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Finance Team\Month end Reconciliations\FY 2021\09 Mar 2021\AU\"/>
    </mc:Choice>
  </mc:AlternateContent>
  <xr:revisionPtr revIDLastSave="0" documentId="13_ncr:1_{AD1BBFA6-3FEA-48BA-B78A-371C752C5B76}" xr6:coauthVersionLast="45" xr6:coauthVersionMax="45" xr10:uidLastSave="{00000000-0000-0000-0000-000000000000}"/>
  <bookViews>
    <workbookView xWindow="-120" yWindow="-120" windowWidth="24240" windowHeight="13140" tabRatio="938" firstSheet="1" activeTab="7" xr2:uid="{00000000-000D-0000-FFFF-FFFF00000000}"/>
  </bookViews>
  <sheets>
    <sheet name="5103 Opening Balance" sheetId="110" state="hidden" r:id="rId1"/>
    <sheet name="5103" sheetId="41" r:id="rId2"/>
    <sheet name="Amex Receipted On the 1st" sheetId="117" r:id="rId3"/>
    <sheet name="Midnight Drawer" sheetId="109" state="hidden" r:id="rId4"/>
    <sheet name="Amex Sale after 7pm Syd Time" sheetId="119" r:id="rId5"/>
    <sheet name="Amex Sales in MidnightDrawer" sheetId="118" state="hidden" r:id="rId6"/>
    <sheet name="Summary before PDE write-offs" sheetId="52" r:id="rId7"/>
    <sheet name="Rec" sheetId="2" r:id="rId8"/>
    <sheet name="Amex Settlement Dump" sheetId="111" state="hidden" r:id="rId9"/>
  </sheets>
  <externalReferences>
    <externalReference r:id="rId10"/>
  </externalReferences>
  <definedNames>
    <definedName name="_xlnm._FilterDatabase" localSheetId="2" hidden="1">'Amex Receipted On the 1st'!$A$1:$F$41</definedName>
    <definedName name="_xlnm._FilterDatabase" localSheetId="4" hidden="1">'Amex Sale after 7pm Syd Time'!$A$1:$M$33</definedName>
    <definedName name="_xlnm._FilterDatabase" localSheetId="8" hidden="1">'Amex Settlement Dump'!$B$1:$W$1647</definedName>
    <definedName name="_xlnm._FilterDatabase" localSheetId="3" hidden="1">'Midnight Drawer'!$A$1:$K$3</definedName>
    <definedName name="_xlnm._FilterDatabase" localSheetId="6" hidden="1">'Summary before PDE write-offs'!$B$1:$R$77</definedName>
    <definedName name="ESTTime">'Amex Sale after 7pm Syd Time'!$J$11</definedName>
    <definedName name="Fetch_Sales_After_Bank_Settlement_Time" localSheetId="4">'Amex Sale after 7pm Syd Time'!$A$1:$C$33</definedName>
    <definedName name="Fetch_Sales_After_Bank_Settlement_Time_1" localSheetId="4">'Amex Sale after 7pm Syd Time'!$A$1:$C$5</definedName>
    <definedName name="Fetch_Sales_in_midnight_drawers" localSheetId="5">'Amex Sales in MidnightDrawer'!$A$1:$E$191</definedName>
    <definedName name="Fetch_Sales_in_midnight_drawers_1" localSheetId="5">'Amex Sales in MidnightDrawer'!$A$1:$E$3</definedName>
    <definedName name="Fetch_Sales_in_midnight_drawers_10" localSheetId="5">'Amex Sales in MidnightDrawer'!$A$1:$F$2</definedName>
    <definedName name="Fetch_Sales_in_midnight_drawers_2" localSheetId="5">'Amex Sales in MidnightDrawer'!$A$1:$F$3</definedName>
    <definedName name="Fetch_Sales_in_midnight_drawers_3" localSheetId="5">'Amex Sales in MidnightDrawer'!$A$1:$F$3</definedName>
    <definedName name="Fetch_Sales_in_midnight_drawers_4" localSheetId="5">'Amex Sales in MidnightDrawer'!$A$1:$F$3</definedName>
    <definedName name="Fetch_Sales_in_midnight_drawers_5" localSheetId="5">'Amex Sales in MidnightDrawer'!$A$1:$F$3</definedName>
    <definedName name="Fetch_Sales_in_midnight_drawers_6" localSheetId="5">'Amex Sales in MidnightDrawer'!$A$1:$F$3</definedName>
    <definedName name="Fetch_Sales_in_midnight_drawers_7" localSheetId="5">'Amex Sales in MidnightDrawer'!$A$1:$F$3</definedName>
    <definedName name="Fetch_Sales_in_midnight_drawers_8" localSheetId="5">'Amex Sales in MidnightDrawer'!$A$1:$F$2</definedName>
    <definedName name="Fetch_Sales_in_midnight_drawers_9" localSheetId="5">'Amex Sales in MidnightDrawer'!$A$1:$F$2</definedName>
    <definedName name="MidnightDate">'Amex Sales in MidnightDrawer'!$K$2</definedName>
    <definedName name="MonthEndDate">'Amex Sale after 7pm Syd Time'!$I$2</definedName>
    <definedName name="NTTime">'Amex Sale after 7pm Syd Time'!$J$17</definedName>
    <definedName name="QLDTime">'Amex Sale after 7pm Syd Time'!$J$13</definedName>
    <definedName name="SATime">'Amex Sale after 7pm Syd Time'!$J$14</definedName>
    <definedName name="Show_Midnight_Drawer" localSheetId="3">'Midnight Drawer'!$A$1:$K$27</definedName>
    <definedName name="Show_Midnight_Drawer_1" localSheetId="3">'Midnight Drawer'!$A$1:$K$4</definedName>
    <definedName name="Show_Midnight_Drawer_2" localSheetId="3">'Midnight Drawer'!$A$1:$K$4</definedName>
    <definedName name="WATime">'Amex Sale after 7pm Syd Time'!$J$15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6" i="2" l="1"/>
  <c r="G45" i="2"/>
  <c r="G44" i="2"/>
  <c r="G43" i="2"/>
  <c r="G42" i="2"/>
  <c r="G41" i="2"/>
  <c r="G40" i="2"/>
  <c r="G39" i="2"/>
  <c r="G38" i="2"/>
  <c r="G37" i="2"/>
  <c r="G36" i="2"/>
  <c r="G35" i="2"/>
  <c r="K2" i="118" l="1"/>
  <c r="J3" i="52"/>
  <c r="J4" i="52"/>
  <c r="J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36" i="52"/>
  <c r="J37" i="52"/>
  <c r="J38" i="52"/>
  <c r="J39" i="52"/>
  <c r="J40" i="52"/>
  <c r="J41" i="52"/>
  <c r="J42" i="52"/>
  <c r="J43" i="52"/>
  <c r="J44" i="52"/>
  <c r="J45" i="52"/>
  <c r="J46" i="52"/>
  <c r="J47" i="52"/>
  <c r="J48" i="52"/>
  <c r="J49" i="52"/>
  <c r="J50" i="52"/>
  <c r="J51" i="52"/>
  <c r="J52" i="52"/>
  <c r="J53" i="52"/>
  <c r="J54" i="52"/>
  <c r="J55" i="52"/>
  <c r="J56" i="52"/>
  <c r="J57" i="52"/>
  <c r="J58" i="52"/>
  <c r="J59" i="52"/>
  <c r="J60" i="52"/>
  <c r="J61" i="52"/>
  <c r="J62" i="52"/>
  <c r="J63" i="52"/>
  <c r="J64" i="52"/>
  <c r="J65" i="52"/>
  <c r="J66" i="52"/>
  <c r="J67" i="52"/>
  <c r="J68" i="52"/>
  <c r="J69" i="52"/>
  <c r="J70" i="52"/>
  <c r="J71" i="52"/>
  <c r="J72" i="52"/>
  <c r="J73" i="52"/>
  <c r="J74" i="52"/>
  <c r="J75" i="52"/>
  <c r="J2" i="52"/>
  <c r="M6" i="2"/>
  <c r="J11" i="119"/>
  <c r="J12" i="119"/>
  <c r="J13" i="119"/>
  <c r="J14" i="119"/>
  <c r="J15" i="119"/>
  <c r="J16" i="119"/>
  <c r="J17" i="119"/>
  <c r="J18" i="119"/>
  <c r="A2" i="111" l="1"/>
  <c r="A3" i="111"/>
  <c r="A4" i="111"/>
  <c r="A5" i="111"/>
  <c r="A6" i="111"/>
  <c r="A7" i="111"/>
  <c r="A8" i="111"/>
  <c r="A9" i="111"/>
  <c r="A10" i="111"/>
  <c r="A11" i="111"/>
  <c r="G2" i="117" l="1"/>
  <c r="G3" i="117"/>
  <c r="G4" i="117"/>
  <c r="G5" i="117"/>
  <c r="G6" i="117"/>
  <c r="G7" i="117"/>
  <c r="G8" i="117"/>
  <c r="G9" i="117"/>
  <c r="G10" i="117"/>
  <c r="G11" i="117"/>
  <c r="G12" i="117"/>
  <c r="G13" i="117"/>
  <c r="G14" i="117"/>
  <c r="L37" i="41" l="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5" i="41"/>
  <c r="L35" i="41"/>
  <c r="K35" i="41"/>
  <c r="J35" i="41"/>
  <c r="I35" i="41"/>
  <c r="H35" i="41"/>
  <c r="G35" i="41"/>
  <c r="F35" i="41"/>
  <c r="E35" i="41"/>
  <c r="D35" i="41"/>
  <c r="C35" i="41"/>
  <c r="B35" i="41" l="1"/>
  <c r="G66" i="52" l="1"/>
  <c r="G3" i="52"/>
  <c r="G4" i="52"/>
  <c r="G5" i="52"/>
  <c r="G6" i="52"/>
  <c r="G7" i="52"/>
  <c r="G8" i="52"/>
  <c r="G9" i="52"/>
  <c r="G10" i="52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6" i="52"/>
  <c r="G57" i="52"/>
  <c r="G58" i="52"/>
  <c r="G59" i="52"/>
  <c r="G60" i="52"/>
  <c r="G61" i="52"/>
  <c r="G62" i="52"/>
  <c r="G63" i="52"/>
  <c r="G64" i="52"/>
  <c r="G65" i="52"/>
  <c r="G67" i="52"/>
  <c r="G68" i="52"/>
  <c r="G69" i="52"/>
  <c r="G70" i="52"/>
  <c r="G71" i="52"/>
  <c r="G72" i="52"/>
  <c r="G73" i="52"/>
  <c r="G74" i="52"/>
  <c r="G75" i="52"/>
  <c r="G2" i="52"/>
  <c r="C37" i="41" l="1"/>
  <c r="D37" i="41" l="1"/>
  <c r="E37" i="41" s="1"/>
  <c r="F37" i="41" s="1"/>
  <c r="G37" i="41" s="1"/>
  <c r="H37" i="41" s="1"/>
  <c r="I37" i="41" s="1"/>
  <c r="J37" i="41" s="1"/>
  <c r="K37" i="41" s="1"/>
  <c r="D42" i="52" l="1"/>
  <c r="E42" i="52"/>
  <c r="F42" i="52" l="1"/>
  <c r="I42" i="52" s="1"/>
  <c r="L42" i="52" s="1"/>
  <c r="C68" i="41" l="1"/>
  <c r="D68" i="41"/>
  <c r="E68" i="41"/>
  <c r="F68" i="41"/>
  <c r="G68" i="41"/>
  <c r="H68" i="41"/>
  <c r="I68" i="41"/>
  <c r="J68" i="41"/>
  <c r="K68" i="41"/>
  <c r="L68" i="41"/>
  <c r="M68" i="41"/>
  <c r="N68" i="41"/>
  <c r="O68" i="41"/>
  <c r="B68" i="41"/>
  <c r="D70" i="41" l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O70" i="41" s="1"/>
  <c r="D17" i="52" l="1"/>
  <c r="E17" i="52"/>
  <c r="E71" i="52"/>
  <c r="D56" i="52"/>
  <c r="E56" i="52"/>
  <c r="F17" i="52" l="1"/>
  <c r="F56" i="52"/>
  <c r="Q68" i="110"/>
  <c r="Q69" i="110"/>
  <c r="Q70" i="110"/>
  <c r="Q71" i="110"/>
  <c r="Q72" i="110"/>
  <c r="Q73" i="110"/>
  <c r="Q74" i="110"/>
  <c r="Q75" i="110"/>
  <c r="E30" i="52"/>
  <c r="D30" i="52"/>
  <c r="D41" i="52"/>
  <c r="E41" i="52"/>
  <c r="D66" i="52"/>
  <c r="E66" i="52"/>
  <c r="I56" i="52" l="1"/>
  <c r="L56" i="52" s="1"/>
  <c r="I17" i="52"/>
  <c r="L17" i="52" s="1"/>
  <c r="F30" i="52"/>
  <c r="F66" i="52"/>
  <c r="F41" i="52"/>
  <c r="I66" i="52" l="1"/>
  <c r="L66" i="52" s="1"/>
  <c r="I41" i="52"/>
  <c r="L41" i="52" s="1"/>
  <c r="I30" i="52"/>
  <c r="L30" i="52" s="1"/>
  <c r="H77" i="52"/>
  <c r="K77" i="52"/>
  <c r="M77" i="52"/>
  <c r="N77" i="52"/>
  <c r="Q77" i="52"/>
  <c r="D44" i="52"/>
  <c r="E44" i="52"/>
  <c r="D75" i="52"/>
  <c r="E75" i="52"/>
  <c r="F44" i="52" l="1"/>
  <c r="F75" i="52"/>
  <c r="Q6" i="41"/>
  <c r="Q7" i="41"/>
  <c r="Q8" i="41"/>
  <c r="Q9" i="41"/>
  <c r="Q10" i="41"/>
  <c r="Q11" i="41"/>
  <c r="Q12" i="41"/>
  <c r="Q13" i="41"/>
  <c r="Q14" i="41"/>
  <c r="Q15" i="41"/>
  <c r="Q16" i="41"/>
  <c r="Q5" i="41"/>
  <c r="D40" i="52"/>
  <c r="E40" i="52"/>
  <c r="D43" i="52"/>
  <c r="E43" i="52"/>
  <c r="Q67" i="110"/>
  <c r="Q66" i="110"/>
  <c r="Q65" i="110"/>
  <c r="Q64" i="110"/>
  <c r="Q63" i="110"/>
  <c r="Q62" i="110"/>
  <c r="Q61" i="110"/>
  <c r="Q60" i="110"/>
  <c r="Q59" i="110"/>
  <c r="Q58" i="110"/>
  <c r="Q57" i="110"/>
  <c r="Q56" i="110"/>
  <c r="Q55" i="110"/>
  <c r="Q54" i="110"/>
  <c r="Q53" i="110"/>
  <c r="Q52" i="110"/>
  <c r="Q51" i="110"/>
  <c r="Q50" i="110"/>
  <c r="Q49" i="110"/>
  <c r="Q48" i="110"/>
  <c r="Q47" i="110"/>
  <c r="Q46" i="110"/>
  <c r="Q45" i="110"/>
  <c r="Q44" i="110"/>
  <c r="Q43" i="110"/>
  <c r="Q42" i="110"/>
  <c r="Q41" i="110"/>
  <c r="Q40" i="110"/>
  <c r="Q39" i="110"/>
  <c r="Q38" i="110"/>
  <c r="Q37" i="110"/>
  <c r="Q36" i="110"/>
  <c r="Q35" i="110"/>
  <c r="Q34" i="110"/>
  <c r="Q33" i="110"/>
  <c r="Q32" i="110"/>
  <c r="Q31" i="110"/>
  <c r="Q30" i="110"/>
  <c r="Q29" i="110"/>
  <c r="Q28" i="110"/>
  <c r="Q27" i="110"/>
  <c r="Q26" i="110"/>
  <c r="Q25" i="110"/>
  <c r="Q24" i="110"/>
  <c r="Q23" i="110"/>
  <c r="Q22" i="110"/>
  <c r="Q21" i="110"/>
  <c r="Q20" i="110"/>
  <c r="Q19" i="110"/>
  <c r="Q18" i="110"/>
  <c r="Q17" i="110"/>
  <c r="Q16" i="110"/>
  <c r="Q15" i="110"/>
  <c r="Q14" i="110"/>
  <c r="Q13" i="110"/>
  <c r="Q12" i="110"/>
  <c r="Q11" i="110"/>
  <c r="Q10" i="110"/>
  <c r="Q9" i="110"/>
  <c r="I75" i="52" l="1"/>
  <c r="L75" i="52" s="1"/>
  <c r="I44" i="52"/>
  <c r="L44" i="52" s="1"/>
  <c r="J77" i="52"/>
  <c r="F43" i="52"/>
  <c r="F40" i="52"/>
  <c r="D39" i="52"/>
  <c r="E39" i="52"/>
  <c r="I43" i="52" l="1"/>
  <c r="L43" i="52" s="1"/>
  <c r="I40" i="52"/>
  <c r="L40" i="52" s="1"/>
  <c r="F39" i="52"/>
  <c r="I39" i="52" s="1"/>
  <c r="L39" i="52" l="1"/>
  <c r="D3" i="52" l="1"/>
  <c r="D4" i="52"/>
  <c r="D5" i="52"/>
  <c r="D6" i="52"/>
  <c r="D7" i="52"/>
  <c r="D8" i="52"/>
  <c r="D9" i="52"/>
  <c r="D10" i="52"/>
  <c r="D11" i="52"/>
  <c r="D12" i="52"/>
  <c r="D13" i="52"/>
  <c r="D14" i="52"/>
  <c r="D15" i="52"/>
  <c r="D16" i="52"/>
  <c r="D18" i="52"/>
  <c r="D19" i="52"/>
  <c r="D20" i="52"/>
  <c r="D21" i="52"/>
  <c r="D22" i="52"/>
  <c r="D23" i="52"/>
  <c r="D24" i="52"/>
  <c r="D25" i="52"/>
  <c r="D26" i="52"/>
  <c r="D27" i="52"/>
  <c r="D28" i="52"/>
  <c r="D29" i="52"/>
  <c r="D31" i="52"/>
  <c r="D32" i="52"/>
  <c r="D33" i="52"/>
  <c r="D34" i="52"/>
  <c r="D35" i="52"/>
  <c r="D36" i="52"/>
  <c r="D37" i="52"/>
  <c r="D38" i="52"/>
  <c r="D45" i="52"/>
  <c r="D46" i="52"/>
  <c r="D47" i="52"/>
  <c r="D48" i="52"/>
  <c r="D49" i="52"/>
  <c r="D50" i="52"/>
  <c r="D51" i="52"/>
  <c r="D52" i="52"/>
  <c r="D53" i="52"/>
  <c r="D54" i="52"/>
  <c r="D55" i="52"/>
  <c r="D57" i="52"/>
  <c r="D58" i="52"/>
  <c r="D59" i="52"/>
  <c r="D60" i="52"/>
  <c r="D61" i="52"/>
  <c r="D62" i="52"/>
  <c r="D63" i="52"/>
  <c r="D64" i="52"/>
  <c r="D65" i="52"/>
  <c r="D67" i="52"/>
  <c r="D68" i="52"/>
  <c r="D69" i="52"/>
  <c r="D70" i="52"/>
  <c r="D71" i="52"/>
  <c r="D72" i="52"/>
  <c r="D73" i="52"/>
  <c r="D74" i="52"/>
  <c r="D2" i="52"/>
  <c r="D77" i="52" l="1"/>
  <c r="E8" i="52"/>
  <c r="E14" i="52"/>
  <c r="E15" i="52"/>
  <c r="E21" i="52"/>
  <c r="E24" i="52"/>
  <c r="E25" i="52"/>
  <c r="F25" i="52" s="1"/>
  <c r="E28" i="52"/>
  <c r="E32" i="52"/>
  <c r="E34" i="52"/>
  <c r="E38" i="52"/>
  <c r="E9" i="52"/>
  <c r="E10" i="52"/>
  <c r="E22" i="52"/>
  <c r="E26" i="52"/>
  <c r="E31" i="52"/>
  <c r="F31" i="52" s="1"/>
  <c r="E45" i="52"/>
  <c r="E11" i="52"/>
  <c r="E12" i="52"/>
  <c r="F12" i="52" s="1"/>
  <c r="E13" i="52"/>
  <c r="F13" i="52" s="1"/>
  <c r="E16" i="52"/>
  <c r="F16" i="52" s="1"/>
  <c r="E18" i="52"/>
  <c r="E19" i="52"/>
  <c r="E20" i="52"/>
  <c r="E23" i="52"/>
  <c r="E27" i="52"/>
  <c r="E29" i="52"/>
  <c r="E33" i="52"/>
  <c r="F33" i="52" s="1"/>
  <c r="E35" i="52"/>
  <c r="E36" i="52"/>
  <c r="E37" i="52"/>
  <c r="E46" i="52"/>
  <c r="E47" i="52"/>
  <c r="E48" i="52"/>
  <c r="E49" i="52"/>
  <c r="F49" i="52" s="1"/>
  <c r="I16" i="52" l="1"/>
  <c r="L16" i="52" s="1"/>
  <c r="I31" i="52"/>
  <c r="L31" i="52" s="1"/>
  <c r="I25" i="52"/>
  <c r="L25" i="52" s="1"/>
  <c r="I33" i="52"/>
  <c r="L33" i="52" s="1"/>
  <c r="I12" i="52"/>
  <c r="L12" i="52" s="1"/>
  <c r="I49" i="52"/>
  <c r="L49" i="52" s="1"/>
  <c r="I13" i="52"/>
  <c r="L13" i="52" s="1"/>
  <c r="F15" i="52"/>
  <c r="I15" i="52" s="1"/>
  <c r="L15" i="52" s="1"/>
  <c r="R11" i="41"/>
  <c r="F46" i="52"/>
  <c r="F19" i="52"/>
  <c r="I19" i="52" s="1"/>
  <c r="L19" i="52" s="1"/>
  <c r="R13" i="41"/>
  <c r="F11" i="52"/>
  <c r="F45" i="52"/>
  <c r="F10" i="52"/>
  <c r="R8" i="41"/>
  <c r="F32" i="52"/>
  <c r="F21" i="52"/>
  <c r="F47" i="52"/>
  <c r="F27" i="52"/>
  <c r="F28" i="52"/>
  <c r="F29" i="52"/>
  <c r="F23" i="52"/>
  <c r="F20" i="52"/>
  <c r="F18" i="52"/>
  <c r="R12" i="41"/>
  <c r="F26" i="52"/>
  <c r="F38" i="52"/>
  <c r="F14" i="52"/>
  <c r="R10" i="41"/>
  <c r="F36" i="52"/>
  <c r="F9" i="52"/>
  <c r="R7" i="41"/>
  <c r="F48" i="52"/>
  <c r="F37" i="52"/>
  <c r="F35" i="52"/>
  <c r="F22" i="52"/>
  <c r="F34" i="52"/>
  <c r="F24" i="52"/>
  <c r="F8" i="52"/>
  <c r="R6" i="41"/>
  <c r="I34" i="52" l="1"/>
  <c r="L34" i="52" s="1"/>
  <c r="I48" i="52"/>
  <c r="L48" i="52" s="1"/>
  <c r="I8" i="52"/>
  <c r="L8" i="52" s="1"/>
  <c r="I35" i="52"/>
  <c r="L35" i="52" s="1"/>
  <c r="I38" i="52"/>
  <c r="L38" i="52" s="1"/>
  <c r="I24" i="52"/>
  <c r="L24" i="52" s="1"/>
  <c r="I37" i="52"/>
  <c r="L37" i="52" s="1"/>
  <c r="I36" i="52"/>
  <c r="I26" i="52"/>
  <c r="L26" i="52" s="1"/>
  <c r="I23" i="52"/>
  <c r="L23" i="52" s="1"/>
  <c r="I47" i="52"/>
  <c r="L47" i="52" s="1"/>
  <c r="I10" i="52"/>
  <c r="L10" i="52" s="1"/>
  <c r="I29" i="52"/>
  <c r="L29" i="52" s="1"/>
  <c r="I21" i="52"/>
  <c r="L21" i="52" s="1"/>
  <c r="I45" i="52"/>
  <c r="L45" i="52" s="1"/>
  <c r="I46" i="52"/>
  <c r="L46" i="52" s="1"/>
  <c r="I22" i="52"/>
  <c r="L22" i="52" s="1"/>
  <c r="I14" i="52"/>
  <c r="L14" i="52" s="1"/>
  <c r="I18" i="52"/>
  <c r="L18" i="52" s="1"/>
  <c r="I28" i="52"/>
  <c r="L28" i="52" s="1"/>
  <c r="I32" i="52"/>
  <c r="L32" i="52" s="1"/>
  <c r="I11" i="52"/>
  <c r="L11" i="52" s="1"/>
  <c r="I9" i="52"/>
  <c r="L9" i="52" s="1"/>
  <c r="I20" i="52"/>
  <c r="L20" i="52" s="1"/>
  <c r="I27" i="52"/>
  <c r="L27" i="52" s="1"/>
  <c r="E3" i="52"/>
  <c r="E4" i="52"/>
  <c r="E5" i="52"/>
  <c r="E6" i="52"/>
  <c r="E7" i="52"/>
  <c r="E50" i="52"/>
  <c r="E51" i="52"/>
  <c r="E52" i="52"/>
  <c r="E53" i="52"/>
  <c r="E54" i="52"/>
  <c r="E55" i="52"/>
  <c r="E57" i="52"/>
  <c r="E58" i="52"/>
  <c r="E59" i="52"/>
  <c r="E60" i="52"/>
  <c r="E61" i="52"/>
  <c r="E62" i="52"/>
  <c r="E63" i="52"/>
  <c r="E64" i="52"/>
  <c r="E65" i="52"/>
  <c r="E67" i="52"/>
  <c r="E68" i="52"/>
  <c r="E69" i="52"/>
  <c r="E70" i="52"/>
  <c r="E72" i="52"/>
  <c r="E73" i="52"/>
  <c r="E74" i="52"/>
  <c r="E2" i="52"/>
  <c r="L36" i="52" l="1"/>
  <c r="O36" i="52"/>
  <c r="R16" i="41"/>
  <c r="R15" i="41"/>
  <c r="R14" i="41"/>
  <c r="E77" i="52"/>
  <c r="R5" i="41"/>
  <c r="R9" i="41"/>
  <c r="F7" i="52"/>
  <c r="F52" i="52"/>
  <c r="F64" i="52"/>
  <c r="F65" i="52"/>
  <c r="F67" i="52"/>
  <c r="F68" i="52"/>
  <c r="F69" i="52"/>
  <c r="F70" i="52"/>
  <c r="F71" i="52"/>
  <c r="F72" i="52"/>
  <c r="F73" i="52"/>
  <c r="F74" i="52"/>
  <c r="F3" i="52"/>
  <c r="F5" i="52"/>
  <c r="F6" i="52"/>
  <c r="I52" i="52" l="1"/>
  <c r="I65" i="52"/>
  <c r="I6" i="52"/>
  <c r="I74" i="52"/>
  <c r="L74" i="52" s="1"/>
  <c r="I72" i="52"/>
  <c r="L72" i="52" s="1"/>
  <c r="I70" i="52"/>
  <c r="I68" i="52"/>
  <c r="L68" i="52" s="1"/>
  <c r="I5" i="52"/>
  <c r="I3" i="52"/>
  <c r="I73" i="52"/>
  <c r="I71" i="52"/>
  <c r="L71" i="52" s="1"/>
  <c r="I69" i="52"/>
  <c r="I67" i="52"/>
  <c r="L67" i="52" s="1"/>
  <c r="I64" i="52"/>
  <c r="I7" i="52"/>
  <c r="G77" i="52"/>
  <c r="L52" i="52"/>
  <c r="L73" i="52"/>
  <c r="F62" i="52"/>
  <c r="I62" i="52" s="1"/>
  <c r="F61" i="52"/>
  <c r="F58" i="52"/>
  <c r="I58" i="52" s="1"/>
  <c r="F57" i="52"/>
  <c r="F53" i="52"/>
  <c r="F4" i="52"/>
  <c r="I4" i="52" s="1"/>
  <c r="F63" i="52"/>
  <c r="F60" i="52"/>
  <c r="I60" i="52" s="1"/>
  <c r="F59" i="52"/>
  <c r="I59" i="52" s="1"/>
  <c r="F55" i="52"/>
  <c r="F54" i="52"/>
  <c r="I54" i="52" s="1"/>
  <c r="F51" i="52"/>
  <c r="I51" i="52" s="1"/>
  <c r="F50" i="52"/>
  <c r="I50" i="52" s="1"/>
  <c r="F2" i="52"/>
  <c r="I2" i="52" s="1"/>
  <c r="I53" i="52" l="1"/>
  <c r="L53" i="52" s="1"/>
  <c r="I57" i="52"/>
  <c r="L57" i="52" s="1"/>
  <c r="I63" i="52"/>
  <c r="L63" i="52" s="1"/>
  <c r="I55" i="52"/>
  <c r="L55" i="52" s="1"/>
  <c r="I61" i="52"/>
  <c r="L61" i="52" s="1"/>
  <c r="F77" i="52"/>
  <c r="G11" i="2" s="1"/>
  <c r="L69" i="52"/>
  <c r="L64" i="52"/>
  <c r="L70" i="52"/>
  <c r="L60" i="52"/>
  <c r="L54" i="52"/>
  <c r="L65" i="52"/>
  <c r="L62" i="52"/>
  <c r="L7" i="52"/>
  <c r="L51" i="52"/>
  <c r="L50" i="52"/>
  <c r="L59" i="52"/>
  <c r="L58" i="52"/>
  <c r="G22" i="2"/>
  <c r="P2" i="52" l="1"/>
  <c r="P3" i="52"/>
  <c r="P4" i="52"/>
  <c r="P5" i="52"/>
  <c r="P6" i="52"/>
  <c r="P11" i="52"/>
  <c r="P12" i="52"/>
  <c r="P13" i="52"/>
  <c r="P14" i="52"/>
  <c r="P15" i="52"/>
  <c r="P16" i="52"/>
  <c r="P18" i="52"/>
  <c r="P19" i="52"/>
  <c r="P20" i="52"/>
  <c r="P21" i="52"/>
  <c r="P22" i="52"/>
  <c r="P23" i="52"/>
  <c r="P24" i="52"/>
  <c r="P25" i="52"/>
  <c r="P26" i="52"/>
  <c r="P27" i="52"/>
  <c r="P28" i="52"/>
  <c r="P29" i="52"/>
  <c r="P31" i="52"/>
  <c r="P32" i="52"/>
  <c r="P33" i="52"/>
  <c r="P34" i="52"/>
  <c r="P35" i="52"/>
  <c r="P45" i="52"/>
  <c r="P47" i="52"/>
  <c r="P48" i="52"/>
  <c r="P49" i="52"/>
  <c r="P50" i="52"/>
  <c r="P51" i="52"/>
  <c r="P53" i="52"/>
  <c r="P54" i="52"/>
  <c r="P55" i="52"/>
  <c r="P57" i="52"/>
  <c r="P58" i="52"/>
  <c r="P59" i="52"/>
  <c r="P60" i="52"/>
  <c r="P61" i="52"/>
  <c r="P62" i="52"/>
  <c r="P63" i="52"/>
  <c r="P65" i="52"/>
  <c r="P67" i="52"/>
  <c r="P68" i="52"/>
  <c r="P69" i="52"/>
  <c r="P70" i="52"/>
  <c r="P71" i="52"/>
  <c r="P72" i="52"/>
  <c r="P73" i="52"/>
  <c r="P74" i="52"/>
  <c r="O74" i="52"/>
  <c r="O65" i="52"/>
  <c r="O60" i="52"/>
  <c r="O27" i="52"/>
  <c r="L6" i="52"/>
  <c r="O69" i="52"/>
  <c r="O31" i="52"/>
  <c r="O26" i="52"/>
  <c r="O18" i="52"/>
  <c r="O68" i="52"/>
  <c r="O16" i="52"/>
  <c r="O4" i="52"/>
  <c r="O71" i="52"/>
  <c r="O57" i="52"/>
  <c r="O15" i="52"/>
  <c r="O49" i="52"/>
  <c r="J56" i="2"/>
  <c r="P77" i="52" l="1"/>
  <c r="I77" i="52"/>
  <c r="O47" i="52"/>
  <c r="O12" i="52"/>
  <c r="O53" i="52"/>
  <c r="O3" i="52"/>
  <c r="L5" i="52"/>
  <c r="O61" i="52"/>
  <c r="O2" i="52"/>
  <c r="O72" i="52"/>
  <c r="O48" i="52"/>
  <c r="O62" i="52"/>
  <c r="O28" i="52"/>
  <c r="O59" i="52"/>
  <c r="O54" i="52"/>
  <c r="O25" i="52"/>
  <c r="O22" i="52"/>
  <c r="L2" i="52"/>
  <c r="O45" i="52"/>
  <c r="L4" i="52"/>
  <c r="O23" i="52"/>
  <c r="O51" i="52"/>
  <c r="O34" i="52"/>
  <c r="O5" i="52"/>
  <c r="O55" i="52"/>
  <c r="O50" i="52"/>
  <c r="O11" i="52"/>
  <c r="O6" i="52"/>
  <c r="O33" i="52"/>
  <c r="O14" i="52"/>
  <c r="O73" i="52"/>
  <c r="O13" i="52"/>
  <c r="O70" i="52"/>
  <c r="O29" i="52"/>
  <c r="O32" i="52"/>
  <c r="O20" i="52"/>
  <c r="O21" i="52"/>
  <c r="O35" i="52"/>
  <c r="O19" i="52"/>
  <c r="O67" i="52" l="1"/>
  <c r="G14" i="2"/>
  <c r="L3" i="52"/>
  <c r="L77" i="52" s="1"/>
  <c r="O63" i="52"/>
  <c r="O58" i="52"/>
  <c r="O24" i="52"/>
  <c r="O77" i="52" l="1"/>
  <c r="G21" i="2"/>
  <c r="G24" i="2" s="1"/>
  <c r="G1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BACB657-3B07-4EDC-8A00-E6297D21D908}" name="Connection" type="1" refreshedVersion="6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 FROM sale LEFT JOIN tenderline ON sale.sale_code=tenderline.source_doc_code  WHERE ( sale.virtualdrawer_code IN (  SELECT storejournal.virtualdrawer_code  FROM virtualdrawer  LEFT JOIN storejournal ON virtualdrawer.virtualdrawer_code = storejournal.virtualdrawer_code  WHERE (virtualdrawer.issued_date_time &lt; CONVERT(DATETIME, ' 2021-02-28 00:00:00', 102))  AND (virtualdrawer.reconciled_date_time &gt; CONVERT(DATETIME, ' 2021-02-28 00:00:00', 102))  AND (storejournal.gltranslation_code &lt;&gt; 'CC')  ))  ORDER BY sale.store_code,sale.transaction_date_time; "/>
  </connection>
  <connection id="2" xr16:uid="{E856D1CC-D380-41B2-9FC3-0C0AD0066908}" name="Connection1" type="1" refreshedVersion="6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 FROM sale LEFT JOIN tenderline ON sale.sale_code=tenderline.source_doc_code  WHERE tenderline.tendertype_mnemonic= 'AMEX' AND ( sale.virtualdrawer_code IN (  SELECT storejournal.virtualdrawer_code  FROM virtualdrawer  LEFT JOIN storejournal ON virtualdrawer.virtualdrawer_code = storejournal.virtualdrawer_code  WHERE (virtualdrawer.issued_date_time &lt; CONVERT(DATETIME, ' 2021-02-28 00:00:00', 102))  AND (virtualdrawer.reconciled_date_time &gt; CONVERT(DATETIME, ' 2021-02-28 00:00:00', 102))  AND (storejournal.gltranslation_code &lt;&gt; 'CC')  ))  ORDER BY sale.store_code,sale.transaction_date_time; "/>
  </connection>
  <connection id="3" xr16:uid="{B5069D8A-EF01-4B9E-8F28-C280925E87E2}" name="Connection10" type="1" refreshedVersion="6" background="1" saveData="1">
    <dbPr connection="DRIVER=SQL Server;SERVER=192.168.1.40;UID=sa;APP=Microsoft Office 2003;WSID=SCOTTP;DATABASE=rms" command=" Use RMS;  SELECT sale.store_code , sale.virtualdrawer_code as midnightdrawer_code, sale.transaction_date_time, tenderline.tendertype_mnemonic as tendertype, sale.net_tran_total as tran_total, tenderline.tender_value as tender_value FROM sale LEFT JOIN tenderline ON sale.sale_code=tenderline.source_doc_code  WHERE tenderline.tendertype_mnemonic= 'AMEX' AND sale.virtualdrawer_code IN (       SELECT storejournal.virtualdrawer_code       FROM virtualdrawer       LEFT JOIN storejournal ON virtualdrawer.virtualdrawer_code = storejournal.virtualdrawer_code       WHERE (virtualdrawer.issued_date_time &lt; CONVERT(DATETIME, ' 2021-04-01 00:00:00', 102))           AND (virtualdrawer.reconciled_date_time &gt; CONVERT(DATETIME, ' 2021-04-01 00:00:00', 102))           AND (storejournal.gltranslation_code &lt;&gt; 'CC')                                                                               )  ORDER BY sale.store_code,sale.transaction_date_time; "/>
  </connection>
  <connection id="4" xr16:uid="{909F466A-0A42-43C7-BB90-8D9EE70AC0F0}" name="Connection11" type="1" refreshedVersion="6" savePassword="1" saveData="1">
    <dbPr connection="DRIVER=SQL Server;SERVER=192.168.1.40;UID=sa;PWD=W@rdyIT01;APP=Microsoft Office 2003;WSID=SCOTTP;DATABASE=rms" command=" Use RMS;  SELECT cluster_code as store_code,tendertype_mnemonic as tender_type, sum(tenderline.tender_value) as tender_amount  FROM sale as s (nolock)  INNER JOIN tenderline (nolock) on s.sale_code = tenderline.source_doc_code  WHERE(transaction_date_time between ' 2021-03-31 19:00:00 ' and ' 2021-03-31 23:59:59' AND LEFT(s.cluster_code,1) in ('2','3','7','9'))  OR (transaction_date_time between ' 2021-03-31 18:00:00 ' and ' 2021-03-31 23:59:59' AND LEFT(s.cluster_code,1) in ('4'))  OR (transaction_date_time between ' 2021-03-31 18:30:00 ' and ' 2021-03-31 23:59:59' AND LEFT(s.cluster_code,1) in ('5'))  OR (transaction_date_time between ' 2021-03-31 17:30:00 ' and ' 2021-03-31 23:59:59' AND LEFT(s.cluster_code,1) in ('8'))  OR (transaction_date_time between ' 2021-03-31 16:00:00 ' and ' 2021-03-31 23:59:59' AND LEFT(s.cluster_code,1) in ('6'))  GROUP BY cluster_code, tendertype_mnemonic  ORDER BY cluster_code; "/>
  </connection>
  <connection id="5" xr16:uid="{6FE9386F-5C4B-4FE0-98E1-09BA196A7EB2}" name="Connection12" type="1" refreshedVersion="6" savePassword="1" saveData="1">
    <dbPr connection="DRIVER=SQL Server;SERVER=192.168.1.40;UID=sa;PWD=W@rdyIT01;APP=Microsoft Office 2003;WSID=SCOTTP;DATABASE=rms" command=" Use RMS;  SELECT cluster_code as store_code,tendertype_mnemonic as tender_type, sum(tenderline.tender_value) as tender_amount  FROM sale as s (nolock)  INNER JOIN tenderline (nolock) on s.sale_code = tenderline.source_doc_code  WHERE(transaction_date_time between ' 2021-03-31 19:00:00 ' and ' 2021-03-31 23:59:59' AND LEFT(s.cluster_code,1) in ('2','3','7','9'))  OR (transaction_date_time between ' 2021-03-31 18:00:00 ' and ' 2021-03-31 23:59:59' AND LEFT(s.cluster_code,1) in ('4'))  OR (transaction_date_time between ' 2021-03-31 18:30:00 ' and ' 2021-03-31 23:59:59' AND LEFT(s.cluster_code,1) in ('5'))  OR (transaction_date_time between ' 2021-03-31 17:30:00 ' and ' 2021-03-31 23:59:59' AND LEFT(s.cluster_code,1) in ('8'))  OR (transaction_date_time between ' 2021-03-31 16:00:00 ' and ' 2021-03-31 23:59:59' AND LEFT(s.cluster_code,1) in ('6'))  GROUP BY cluster_code, tendertype_mnemonic  HAVING tendertype_mnemonic IN ('AMEX')  ORDER BY cluster_code; "/>
  </connection>
  <connection id="6" xr16:uid="{8995A6DF-7145-4283-ADAF-A0FE345D4D66}" name="Connection13" type="1" refreshedVersion="6" background="1" saveData="1">
    <dbPr connection="DRIVER=SQL Server;SERVER=192.168.1.40;UID=sa;APP=Microsoft Office 2003;WSID=SCOTTP;DATABASE=rms" command=" Use RMS;  SELECT sale.store_code , sale.virtualdrawer_code as midnightdrawer_code, sale.transaction_date_time, tenderline.tendertype_mnemonic as tendertype, sale.net_tran_total as tran_total, tenderline.tender_value as tender_value FROM sale LEFT JOIN tenderline ON sale.sale_code=tenderline.source_doc_code  WHERE tenderline.tendertype_mnemonic= 'AMEX' AND sale.virtualdrawer_code IN (       SELECT storejournal.virtualdrawer_code       FROM virtualdrawer       LEFT JOIN storejournal ON virtualdrawer.virtualdrawer_code = storejournal.virtualdrawer_code       WHERE (virtualdrawer.issued_date_time &lt; CONVERT(DATETIME, ' 2021-04-01 00:00:00', 102))           AND (virtualdrawer.reconciled_date_time &gt; CONVERT(DATETIME, ' 2021-04-01 00:00:00', 102))           AND (storejournal.gltranslation_code &lt;&gt; 'CC')                                                                               )  ORDER BY sale.store_code,sale.transaction_date_time; "/>
  </connection>
  <connection id="7" xr16:uid="{A90A94AF-7362-4E76-9C11-456F6A444DDB}" name="Connection14" type="1" refreshedVersion="6" savePassword="1" saveData="1">
    <dbPr connection="DRIVER=SQL Server;SERVER=192.168.1.40;UID=sa;PWD=W@rdyIT01;APP=Microsoft Office 2003;WSID=SCOTTP;DATABASE=rms" command=" Use RMS;  SELECT virtualdrawer.issued_date_time AS [Issued Date], virtualdrawer.reconciled_date_time AS [Rec Date],storejournal.store_code AS Store, storejournal.transaction_date_time AS [GL Trans Date],storejournal.gl_company_code AS Co,storejournal.gl_description AS [GL Desc],storejournal.gl_account_code AS Account,storejournal.expense_amount AS [$],storejournal.free_form_description AS [Desc],storejournal.gltranslation_code AS [GL Translation],storejournal.virtualdrawer_code AS Drawer  FROM virtualdrawer INNER JOIN storejournal ON virtualdrawer.virtualdrawer_code = storejournal.virtualdrawer_code  WHERE (virtualdrawer.issued_date_time &lt; CONVERT(DATETIME, ' 2021-04-01 00:00:00', 102))       AND (virtualdrawer.reconciled_date_time &gt; CONVERT(DATETIME, ' 2021-04-01 00:00:00', 102))        AND (storejournal.gltranslation_code &lt;&gt; 'CC'); "/>
  </connection>
  <connection id="8" xr16:uid="{D0256927-9ADE-4B28-980F-F85249CC9000}" name="Connection15" type="1" refreshedVersion="6" savePassword="1" saveData="1">
    <dbPr connection="DRIVER=SQL Server;SERVER=192.168.1.40;UID=sa;PWD=W@rdyIT01;APP=Microsoft Office 2003;WSID=SCOTTP;DATABASE=rms" command=" Use RMS;  SELECT virtualdrawer.issued_date_time AS [Issued Date], virtualdrawer.reconciled_date_time AS [Rec Date],storejournal.store_code AS Store, storejournal.transaction_date_time AS [GL Trans Date],storejournal.gl_company_code AS Co,storejournal.gl_description AS [GL Desc],storejournal.gl_account_code AS Account,storejournal.expense_amount AS [$],storejournal.free_form_description AS [Desc],storejournal.gltranslation_code AS [GL Translation],storejournal.virtualdrawer_code AS Drawer  FROM virtualdrawer INNER JOIN storejournal ON virtualdrawer.virtualdrawer_code = storejournal.virtualdrawer_code  WHERE (virtualdrawer.issued_date_time &lt; CONVERT(DATETIME, ' 2021-04-01 00:00:00', 102))       AND (virtualdrawer.reconciled_date_time &gt; CONVERT(DATETIME, ' 2021-04-01 00:00:00', 102))        AND (storejournal.gltranslation_code &lt;&gt; 'CC'); "/>
  </connection>
  <connection id="9" xr16:uid="{4A9B5272-D807-45E0-8E04-A0B25B6175AA}" name="Connection2" type="1" refreshedVersion="6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, tenderline.tender_value as tender_value FROM sale LEFT JOIN tenderline ON sale.sale_code=tenderline.source_doc_code  WHERE tenderline.tendertype_mnemonic= 'AMEX' AND ( sale.virtualdrawer_code IN (  SELECT storejournal.virtualdrawer_code  FROM virtualdrawer  LEFT JOIN storejournal ON virtualdrawer.virtualdrawer_code = storejournal.virtualdrawer_code  WHERE (virtualdrawer.issued_date_time &lt; CONVERT(DATETIME, ' 2021-03-01 00:00:00', 102))  AND (virtualdrawer.reconciled_date_time &gt; CONVERT(DATETIME, ' 2021-03-01 00:00:00', 102))  AND (storejournal.gltranslation_code &lt;&gt; 'CC')  ))  ORDER BY sale.store_code,sale.transaction_date_time; "/>
  </connection>
  <connection id="10" xr16:uid="{D90C17BF-E31A-40ED-A7A1-A9C1E68CE3C5}" name="Connection3" type="1" refreshedVersion="6" savePassword="1" saveData="1">
    <dbPr connection="DRIVER=SQL Server;SERVER=192.168.1.40;UID=sa;PWD=W@rdyIT01;APP=Microsoft Office 2003;WSID=SCOTTP;DATABASE=rms" command=" Use RMS;  SELECT sale.store_code , sale.virtualdrawer_code as midnightdrawer_code, sale.transaction_date_time, tenderline.tendertype_mnemonic as tendertype, sale.net_tran_total as tran_total, tenderline.tender_value as tender_value FROM sale LEFT JOIN tenderline ON sale.sale_code=tenderline.source_doc_code  WHERE tenderline.tendertype_mnemonic= 'AMEX' AND sale.virtualdrawer_code IN (       SELECT storejournal.virtualdrawer_code       FROM virtualdrawer       LEFT JOIN storejournal ON virtualdrawer.virtualdrawer_code = storejournal.virtualdrawer_code       WHERE (virtualdrawer.issued_date_time &lt; CONVERT(DATETIME, ' 2021-03-01 00:00:00', 102))       AND (virtualdrawer.reconciled_date_time &gt; CONVERT(DATETIME, ' 2021-03-01 00:00:00', 102))       AND (storejournal.gltranslation_code &lt;&gt; 'CC')                                                                               )  ORDER BY sale.store_code,sale.transaction_date_time; "/>
  </connection>
  <connection id="11" xr16:uid="{45349F87-FD52-47CC-A6D7-5E0A34E838D0}" name="Connection4" type="1" refreshedVersion="6" background="1" saveData="1">
    <dbPr connection="DRIVER=SQL Server;SERVER=192.168.1.40;UID=sa;APP=Microsoft Office 2003;WSID=SCOTTP;DATABASE=rms" command=" Use RMS;  SELECT sale.store_code , sale.virtualdrawer_code as midnightdrawer_code, sale.transaction_date_time, tenderline.tendertype_mnemonic as tendertype, sale.net_tran_total as tran_total, tenderline.tender_value as tender_value FROM sale LEFT JOIN tenderline ON sale.sale_code=tenderline.source_doc_code  WHERE tenderline.tendertype_mnemonic= 'AMEX' AND sale.virtualdrawer_code IN (       SELECT storejournal.virtualdrawer_code       FROM virtualdrawer       LEFT JOIN storejournal ON virtualdrawer.virtualdrawer_code = storejournal.virtualdrawer_code       WHERE (virtualdrawer.issued_date_time &lt; CONVERT(DATETIME, ' 2021-03-01 00:00:00', 102))           AND (virtualdrawer.reconciled_date_time &gt; CONVERT(DATETIME, ' 2021-03-01 00:00:00', 102))           AND (storejournal.gltranslation_code &lt;&gt; 'CC')                                                                               )  ORDER BY sale.store_code,sale.transaction_date_time; "/>
  </connection>
  <connection id="12" xr16:uid="{4C3B3AF8-D57F-46E5-A62E-15A9D76610E0}" name="Connection5" type="1" refreshedVersion="6" background="1" saveData="1">
    <dbPr connection="DRIVER=SQL Server;SERVER=192.168.1.40;UID=sa;APP=Microsoft Office 2003;WSID=SCOTTP;DATABASE=rms" command=" Use RMS;  SELECT sale.store_code , sale.virtualdrawer_code as midnightdrawer_code, sale.transaction_date_time, tenderline.tendertype_mnemonic as tendertype, sale.net_tran_total as tran_total, tenderline.tender_value as tender_value FROM sale LEFT JOIN tenderline ON sale.sale_code=tenderline.source_doc_code  WHERE tenderline.tendertype_mnemonic= 'AMEX' AND sale.virtualdrawer_code IN (       SELECT storejournal.virtualdrawer_code       FROM virtualdrawer       LEFT JOIN storejournal ON virtualdrawer.virtualdrawer_code = storejournal.virtualdrawer_code       WHERE (virtualdrawer.issued_date_time &lt; CONVERT(DATETIME, ' 2021-03-01 00:00:00', 102))           AND (virtualdrawer.reconciled_date_time &gt; CONVERT(DATETIME, ' 2021-03-01 00:00:00', 102))           AND (storejournal.gltranslation_code &lt;&gt; 'CC')                                                                               )  ORDER BY sale.store_code,sale.transaction_date_time; "/>
  </connection>
  <connection id="13" xr16:uid="{64B1069E-23C6-4D64-A081-2E27DC0115BD}" name="Connection6" type="1" refreshedVersion="6" background="1" saveData="1">
    <dbPr connection="DRIVER=SQL Server;SERVER=192.168.1.40;UID=sa;APP=Microsoft Office 2003;WSID=SCOTTP;DATABASE=rms" command=" Use RMS;  SELECT sale.store_code , sale.virtualdrawer_code as midnightdrawer_code, sale.transaction_date_time, tenderline.tendertype_mnemonic as tendertype, sale.net_tran_total as tran_total, tenderline.tender_value as tender_value FROM sale LEFT JOIN tenderline ON sale.sale_code=tenderline.source_doc_code  WHERE tenderline.tendertype_mnemonic= 'AMEX' AND sale.virtualdrawer_code IN (       SELECT storejournal.virtualdrawer_code       FROM virtualdrawer       LEFT JOIN storejournal ON virtualdrawer.virtualdrawer_code = storejournal.virtualdrawer_code       WHERE (virtualdrawer.issued_date_time &lt; CONVERT(DATETIME, ' 2021-03-01 00:00:00', 102))           AND (virtualdrawer.reconciled_date_time &gt; CONVERT(DATETIME, ' 2021-03-01 00:00:00', 102))           AND (storejournal.gltranslation_code &lt;&gt; 'CC')                                                                               )  ORDER BY sale.store_code,sale.transaction_date_time; "/>
  </connection>
  <connection id="14" xr16:uid="{19C8BDED-C843-4194-B429-51980996D5BC}" name="Connection7" type="1" refreshedVersion="6" savePassword="1" saveData="1">
    <dbPr connection="DRIVER=SQL Server;SERVER=192.168.1.40;UID=sa;PWD=W@rdyIT01;APP=Microsoft Office 2003;WSID=SCOTTP;DATABASE=rms" command=" Use RMS;  SELECT virtualdrawer.issued_date_time AS [Issued Date], virtualdrawer.reconciled_date_time AS [Rec Date],storejournal.store_code AS Store, storejournal.transaction_date_time AS [GL Trans Date],storejournal.gl_company_code AS Co,storejournal.gl_description AS [GL Desc],storejournal.gl_account_code AS Account,storejournal.expense_amount AS [$],storejournal.free_form_description AS [Desc],storejournal.gltranslation_code AS [GL Translation],storejournal.virtualdrawer_code AS Drawer  FROM virtualdrawer INNER JOIN storejournal ON virtualdrawer.virtualdrawer_code = storejournal.virtualdrawer_code  WHERE (virtualdrawer.issued_date_time &lt; CONVERT(DATETIME, ' 2021-03-01 00:00:00', 102))       AND (virtualdrawer.reconciled_date_time &gt; CONVERT(DATETIME, ' 2021-03-01 00:00:00', 102))        AND (storejournal.gltranslation_code &lt;&gt; 'CC'); "/>
  </connection>
  <connection id="15" xr16:uid="{9D7A6739-1598-4AF7-B2CC-2699CA43C7E6}" name="Connection8" type="1" refreshedVersion="6" background="1" saveData="1">
    <dbPr connection="DRIVER=SQL Server;SERVER=192.168.1.40;UID=sa;APP=Microsoft Office 2003;WSID=SCOTTP;DATABASE=rms" command=" Use RMS;  SELECT sale.store_code , sale.virtualdrawer_code as midnightdrawer_code, sale.transaction_date_time, tenderline.tendertype_mnemonic as tendertype, sale.net_tran_total as tran_total, tenderline.tender_value as tender_value FROM sale LEFT JOIN tenderline ON sale.sale_code=tenderline.source_doc_code  WHERE tenderline.tendertype_mnemonic= 'AMEX' AND sale.virtualdrawer_code IN (       SELECT storejournal.virtualdrawer_code       FROM virtualdrawer       LEFT JOIN storejournal ON virtualdrawer.virtualdrawer_code = storejournal.virtualdrawer_code       WHERE (virtualdrawer.issued_date_time &lt; CONVERT(DATETIME, ' 2021-03-01 00:00:00', 102))           AND (virtualdrawer.reconciled_date_time &gt; CONVERT(DATETIME, ' 2021-03-01 00:00:00', 102))           AND (storejournal.gltranslation_code &lt;&gt; 'CC')                                                                               )  ORDER BY sale.store_code,sale.transaction_date_time; "/>
  </connection>
  <connection id="16" xr16:uid="{7D29E958-A0B7-401C-94D1-191F4C8FDA49}" name="Connection9" type="1" refreshedVersion="6" background="1" saveData="1">
    <dbPr connection="DRIVER=SQL Server;SERVER=192.168.1.40;UID=sa;APP=Microsoft Office 2003;WSID=SCOTTP;DATABASE=rms" command=" Use RMS;  SELECT sale.store_code , sale.virtualdrawer_code as midnightdrawer_code, sale.transaction_date_time, tenderline.tendertype_mnemonic as tendertype, sale.net_tran_total as tran_total, tenderline.tender_value as tender_value FROM sale LEFT JOIN tenderline ON sale.sale_code=tenderline.source_doc_code  WHERE tenderline.tendertype_mnemonic= 'AMEX' AND sale.virtualdrawer_code IN (       SELECT storejournal.virtualdrawer_code       FROM virtualdrawer       LEFT JOIN storejournal ON virtualdrawer.virtualdrawer_code = storejournal.virtualdrawer_code       WHERE (virtualdrawer.issued_date_time &lt; CONVERT(DATETIME, ' 2021-04-01 00:00:00', 102))           AND (virtualdrawer.reconciled_date_time &gt; CONVERT(DATETIME, ' 2021-04-01 00:00:00', 102))           AND (storejournal.gltranslation_code &lt;&gt; 'CC')                                                                               )  ORDER BY sale.store_code,sale.transaction_date_time; "/>
  </connection>
</connections>
</file>

<file path=xl/sharedStrings.xml><?xml version="1.0" encoding="utf-8"?>
<sst xmlns="http://schemas.openxmlformats.org/spreadsheetml/2006/main" count="475" uniqueCount="250">
  <si>
    <t>Store</t>
  </si>
  <si>
    <t>2012 - AW Sydney Domes</t>
  </si>
  <si>
    <t>2013 - Carri On Sydney</t>
  </si>
  <si>
    <t>3019 - AW Melbourne Do</t>
  </si>
  <si>
    <t>3025 - AW Melbourne Li</t>
  </si>
  <si>
    <t>3028 - AW Melbourne &amp;</t>
  </si>
  <si>
    <t>3034 - Carri On Melbou</t>
  </si>
  <si>
    <t>4005 - AW Brisbane Dom</t>
  </si>
  <si>
    <t>4036 - AW Brisbane Dom</t>
  </si>
  <si>
    <t>4100 - NT Sunshine</t>
  </si>
  <si>
    <t>5053 - AW Adelaide Int</t>
  </si>
  <si>
    <t>6026 - AW Perth Int Ai</t>
  </si>
  <si>
    <t>7064 - AW Hobart</t>
  </si>
  <si>
    <t>7078 - Runway News Hob</t>
  </si>
  <si>
    <t>7079 - Tasmania &amp; Beyo</t>
  </si>
  <si>
    <t>8006 - AW Alice Spring</t>
  </si>
  <si>
    <t>8030 - Runway News Ali</t>
  </si>
  <si>
    <t>Account Name:</t>
  </si>
  <si>
    <t>Account Number:</t>
  </si>
  <si>
    <t>Balance Date:</t>
  </si>
  <si>
    <t>Brief description of account:</t>
  </si>
  <si>
    <t>Basis of reconciliation:</t>
  </si>
  <si>
    <t>Balance per GL:</t>
  </si>
  <si>
    <t>Supportable Balance:</t>
  </si>
  <si>
    <t>Variance:</t>
  </si>
  <si>
    <t>Explanation of variance:</t>
  </si>
  <si>
    <t>$</t>
  </si>
  <si>
    <t>Month</t>
  </si>
  <si>
    <t>March</t>
  </si>
  <si>
    <t>July</t>
  </si>
  <si>
    <t>September</t>
  </si>
  <si>
    <t>October</t>
  </si>
  <si>
    <t xml:space="preserve">August </t>
  </si>
  <si>
    <t>November</t>
  </si>
  <si>
    <t>December</t>
  </si>
  <si>
    <t>January</t>
  </si>
  <si>
    <t>February</t>
  </si>
  <si>
    <t>April</t>
  </si>
  <si>
    <t>May</t>
  </si>
  <si>
    <t>Notes:</t>
  </si>
  <si>
    <t>Prepared By:</t>
  </si>
  <si>
    <t xml:space="preserve">Date: </t>
  </si>
  <si>
    <t xml:space="preserve">Reviewed By: </t>
  </si>
  <si>
    <t>Explanation</t>
  </si>
  <si>
    <t>Amount</t>
  </si>
  <si>
    <t>Total Variance</t>
  </si>
  <si>
    <t>Spreadsheet</t>
  </si>
  <si>
    <t>4145 - NT Common User</t>
  </si>
  <si>
    <t>4239 - NT CU Satellite</t>
  </si>
  <si>
    <t>5192 - Carry On Ade</t>
  </si>
  <si>
    <t>2004 - Carry On T2 Syd</t>
  </si>
  <si>
    <t>2009 - AW T2 Syd Dom</t>
  </si>
  <si>
    <t>4024 - NT Express Bris</t>
  </si>
  <si>
    <t>4085 - Carri On Brisb</t>
  </si>
  <si>
    <t>variance</t>
  </si>
  <si>
    <t>total</t>
  </si>
  <si>
    <t>6165 - AW Perth Domest</t>
  </si>
  <si>
    <t>Total Prds</t>
  </si>
  <si>
    <t>Period 0</t>
  </si>
  <si>
    <t>Period 1</t>
  </si>
  <si>
    <t>Period 2</t>
  </si>
  <si>
    <t>Period 3</t>
  </si>
  <si>
    <t>Period 4</t>
  </si>
  <si>
    <t>Period 5</t>
  </si>
  <si>
    <t>Period 6</t>
  </si>
  <si>
    <t>Period 7</t>
  </si>
  <si>
    <t>Period 8</t>
  </si>
  <si>
    <t>Period 9</t>
  </si>
  <si>
    <t>Period 10</t>
  </si>
  <si>
    <t>Period 11</t>
  </si>
  <si>
    <t>Period 12</t>
  </si>
  <si>
    <t>4115 - NT Kiosk Bris</t>
  </si>
  <si>
    <t>4149 - Aero Brisbane V</t>
  </si>
  <si>
    <t>AMEX Clearing</t>
  </si>
  <si>
    <t xml:space="preserve">Represents Amex clearing </t>
  </si>
  <si>
    <t>Debtors - Amex Clearing balance per GL is compared to spreadsheet from Tech 1 and what has been received</t>
  </si>
  <si>
    <t>from American Express in the first few days of the next month</t>
  </si>
  <si>
    <t>Journal</t>
  </si>
  <si>
    <t>GL</t>
  </si>
  <si>
    <t>2450 - NT Newcastle</t>
  </si>
  <si>
    <t>3175 - AW Melb Land</t>
  </si>
  <si>
    <t>3213 - CarryOn Melb II</t>
  </si>
  <si>
    <t>4170 - NT Brisbane Lan</t>
  </si>
  <si>
    <t>4235 - AW Brisbane Int</t>
  </si>
  <si>
    <t>4244 - Merino Collecti</t>
  </si>
  <si>
    <t>4770 - NT Bris Airside</t>
  </si>
  <si>
    <t>4775 - AW Brisbane Air</t>
  </si>
  <si>
    <t>6087 - AW Perth Intern</t>
  </si>
  <si>
    <t>8188 - NT Darwin Dom</t>
  </si>
  <si>
    <t>2128 - AA Lansdise SYD</t>
  </si>
  <si>
    <t>2131 - Produce Landsid</t>
  </si>
  <si>
    <t>2136 - Think Aust Mad</t>
  </si>
  <si>
    <t>2137 - Think Syd PierC</t>
  </si>
  <si>
    <t>2139 - AA Syd Temp</t>
  </si>
  <si>
    <t>4530 - DJ Bris Air</t>
  </si>
  <si>
    <t>8190 - Darwin NT Airsi</t>
  </si>
  <si>
    <t>Comment</t>
  </si>
  <si>
    <t>After Midnight Sales (but only sales till midnight)</t>
  </si>
  <si>
    <t>2120 - IB Syd Landside</t>
  </si>
  <si>
    <t>2230 - Australian Way</t>
  </si>
  <si>
    <t>2231 - Think Syd B</t>
  </si>
  <si>
    <t>4155 - CO Bris Virgin</t>
  </si>
  <si>
    <t>4157 - Aero Sat Virgin</t>
  </si>
  <si>
    <t>8196 - Rip Curl Darwin</t>
  </si>
  <si>
    <t>2105 - Carry On T2Temp</t>
  </si>
  <si>
    <t>2232 - Merino Pier B</t>
  </si>
  <si>
    <t>2233 - Aust Way Syd LS</t>
  </si>
  <si>
    <t>2234 - Think Syd Lands</t>
  </si>
  <si>
    <t>(Enquiry)</t>
  </si>
  <si>
    <t>Settlement date</t>
  </si>
  <si>
    <t>Submission date</t>
  </si>
  <si>
    <t>SOC invoice #</t>
  </si>
  <si>
    <t>Submitting merchant number</t>
  </si>
  <si>
    <t>Merchant Fees</t>
  </si>
  <si>
    <t>Fees and incentives</t>
  </si>
  <si>
    <t>Total charges</t>
  </si>
  <si>
    <t>Credits</t>
  </si>
  <si>
    <t>Transaction count</t>
  </si>
  <si>
    <t>Submitting location ID</t>
  </si>
  <si>
    <t>Submission amount</t>
  </si>
  <si>
    <t>Tax amount</t>
  </si>
  <si>
    <t>Settlement amount</t>
  </si>
  <si>
    <t>Submitting location name</t>
  </si>
  <si>
    <t>Amount of adjustment to summary</t>
  </si>
  <si>
    <t>Description</t>
  </si>
  <si>
    <t>Settlement number</t>
  </si>
  <si>
    <t>Payee merchant number</t>
  </si>
  <si>
    <t>Payee location ID</t>
  </si>
  <si>
    <t>Processed Date</t>
  </si>
  <si>
    <t>Activity Type</t>
  </si>
  <si>
    <t>-</t>
  </si>
  <si>
    <t xml:space="preserve">SUBMISSION - DEBIT                                              </t>
  </si>
  <si>
    <t>Submissions</t>
  </si>
  <si>
    <t>NEWS TRAVELS</t>
  </si>
  <si>
    <t>RUNAWAY NEWS</t>
  </si>
  <si>
    <t>5103 Opening Balance</t>
  </si>
  <si>
    <t>5103 Period Balance</t>
  </si>
  <si>
    <t>5103 Total</t>
  </si>
  <si>
    <t>9990 - Head Office</t>
  </si>
  <si>
    <t>1171 - Merino Airside</t>
  </si>
  <si>
    <t>2106 - Textilis Syd T2</t>
  </si>
  <si>
    <t>4201 - News Concourse</t>
  </si>
  <si>
    <t>6089 - Merino Perth L</t>
  </si>
  <si>
    <t>RMS</t>
  </si>
  <si>
    <t>Tech 1</t>
  </si>
  <si>
    <t/>
  </si>
  <si>
    <t>Matt</t>
  </si>
  <si>
    <t>Unsupportable Balance</t>
  </si>
  <si>
    <t>Issued Date</t>
  </si>
  <si>
    <t>Rec Date</t>
  </si>
  <si>
    <t>GL Trans Date</t>
  </si>
  <si>
    <t>Co</t>
  </si>
  <si>
    <t>GL Desc</t>
  </si>
  <si>
    <t>Account</t>
  </si>
  <si>
    <t>Desc</t>
  </si>
  <si>
    <t>GL Translation</t>
  </si>
  <si>
    <t>Drawer</t>
  </si>
  <si>
    <t>AUSWAY</t>
  </si>
  <si>
    <t>Amex Sale in Midnight Drawer</t>
  </si>
  <si>
    <t>2117 - Carry On T2 Syd</t>
  </si>
  <si>
    <t>2118 - Merchant T2 Syd</t>
  </si>
  <si>
    <t>2119 - Merchant T3 Syd</t>
  </si>
  <si>
    <t>4101 - News@BNE NC</t>
  </si>
  <si>
    <t>4102 - NE@BNE ANorth</t>
  </si>
  <si>
    <t>4103 - NE@ BNE ASouth</t>
  </si>
  <si>
    <t>4122 - 153 East Sunshi</t>
  </si>
  <si>
    <t>June</t>
  </si>
  <si>
    <t>4104 - Xpress@BNE</t>
  </si>
  <si>
    <t xml:space="preserve">Store No. </t>
  </si>
  <si>
    <t>4106 - News@BNE CC</t>
  </si>
  <si>
    <t>4109 - News@BNE NS</t>
  </si>
  <si>
    <t>8030 - News Travels AS</t>
  </si>
  <si>
    <t>AMEX taken from the last day that hit bank on the last day but were part of  aftermidnight drawer from the 1st</t>
  </si>
  <si>
    <t>FY 19/20</t>
  </si>
  <si>
    <t>4110 - News@BNE CS</t>
  </si>
  <si>
    <t>RUNWAY NEWS</t>
  </si>
  <si>
    <t>Amex takings relating to this month but received after month-end</t>
  </si>
  <si>
    <t>3228 - NC CollinsPlace</t>
  </si>
  <si>
    <t>4107 - News@BNE Qantas</t>
  </si>
  <si>
    <t>6176 - Merchant Perth</t>
  </si>
  <si>
    <t>4200 - News Satellite</t>
  </si>
  <si>
    <t>4203 - N&amp;C Temp Guess</t>
  </si>
  <si>
    <t>1085 - Around Airside</t>
  </si>
  <si>
    <t>1161 - Carry On AKL In</t>
  </si>
  <si>
    <t>1181 - Cape to Bluff</t>
  </si>
  <si>
    <t>2225 - News@CBR</t>
  </si>
  <si>
    <t>4250 - News@MKY</t>
  </si>
  <si>
    <t>Reason for Unsupportable Balance</t>
  </si>
  <si>
    <t>4108 - News@BNE SS</t>
  </si>
  <si>
    <t>FY 20/21</t>
  </si>
  <si>
    <t>GST</t>
  </si>
  <si>
    <t>na</t>
  </si>
  <si>
    <t>Acc No.</t>
  </si>
  <si>
    <t>INC</t>
  </si>
  <si>
    <t>Narration 1</t>
  </si>
  <si>
    <t>Amex Deposit NAB</t>
  </si>
  <si>
    <t>NEWS BNE NORTHERN 4101</t>
  </si>
  <si>
    <t>MERCHANT PERTH DOMESTIC</t>
  </si>
  <si>
    <t>store_code</t>
  </si>
  <si>
    <t>midnightdrawer_code</t>
  </si>
  <si>
    <t>transaction_date_time</t>
  </si>
  <si>
    <t>tendertype</t>
  </si>
  <si>
    <t>tran_total</t>
  </si>
  <si>
    <t>Enter Midnight Date:</t>
  </si>
  <si>
    <t>tender_value</t>
  </si>
  <si>
    <t>All EFT except Charge Cards</t>
  </si>
  <si>
    <t>5105</t>
  </si>
  <si>
    <t>TEFT</t>
  </si>
  <si>
    <t>Gross Sales Separation Type 01</t>
  </si>
  <si>
    <t>1000</t>
  </si>
  <si>
    <t>GRSALE01</t>
  </si>
  <si>
    <t>6050</t>
  </si>
  <si>
    <t>Narration 2</t>
  </si>
  <si>
    <t>Store Number</t>
  </si>
  <si>
    <t>$13.25 monies receipted;SJ didn't go through</t>
  </si>
  <si>
    <t>SJ went to 5105</t>
  </si>
  <si>
    <t>NEWS</t>
  </si>
  <si>
    <t>TASMANIA AND BEYOND</t>
  </si>
  <si>
    <t>AUSTRALIAN WAY</t>
  </si>
  <si>
    <t>NATURAL COLLECTIVE</t>
  </si>
  <si>
    <t>Region</t>
  </si>
  <si>
    <t>TimeName</t>
  </si>
  <si>
    <t>Cut Off Time 
On Standard Time</t>
  </si>
  <si>
    <t>Cut Off Time On 
Day Light Saving Time</t>
  </si>
  <si>
    <t>Currently Using:</t>
  </si>
  <si>
    <t>ESTTime</t>
  </si>
  <si>
    <t>QLDTime</t>
  </si>
  <si>
    <t>SATime</t>
  </si>
  <si>
    <t>WATime</t>
  </si>
  <si>
    <t>19:00:00</t>
  </si>
  <si>
    <t>18:00:00</t>
  </si>
  <si>
    <t>NTTime</t>
  </si>
  <si>
    <t>18:30:00</t>
  </si>
  <si>
    <t>17:00:00</t>
  </si>
  <si>
    <t>16:00:00</t>
  </si>
  <si>
    <t>17:30:00</t>
  </si>
  <si>
    <t>tender_type</t>
  </si>
  <si>
    <t>tender_amount</t>
  </si>
  <si>
    <t>4100</t>
  </si>
  <si>
    <t>AMEX</t>
  </si>
  <si>
    <t>7079</t>
  </si>
  <si>
    <t>7641</t>
  </si>
  <si>
    <t>8188</t>
  </si>
  <si>
    <t>Enter End of Month Date:</t>
  </si>
  <si>
    <t>Session 818805003237 Date 01/04/2021 [GST]</t>
  </si>
  <si>
    <t>818805003237</t>
  </si>
  <si>
    <t>Session 818805003237 Date 01/04/2021 [GRSALE01]</t>
  </si>
  <si>
    <t>Session 818805003237 Date 01/04/2021 [TEFT]</t>
  </si>
  <si>
    <t>$5.50 monies receipted;SJ didn't go through</t>
  </si>
  <si>
    <t>$30.45 monies receipted;SJ didn't go through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</si>
</sst>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,##0;\(#,##0\)"/>
    <numFmt numFmtId="165" formatCode="#,##0.00;\(#,##0.00\)"/>
    <numFmt numFmtId="166" formatCode="d/mm/yyyy\ "/>
    <numFmt numFmtId="167" formatCode="_-* #,##0_-;\-* #,##0_-;_-* &quot;-&quot;??_-;_-@_-"/>
    <numFmt numFmtId="168" formatCode="_(&quot;$&quot;* #,##0.00_);_(&quot;$&quot;* \(#,##0.00\);_(&quot;$&quot;* &quot;-&quot;??_);_(@_)"/>
    <numFmt numFmtId="169" formatCode="&quot;$&quot;#,##0"/>
  </numFmts>
  <fonts count="10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u/>
      <sz val="10"/>
      <name val="Calibri"/>
      <family val="2"/>
      <scheme val="minor"/>
    </font>
    <font>
      <i/>
      <u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2"/>
      <color theme="1"/>
      <name val="Arial"/>
      <family val="2"/>
    </font>
    <font>
      <sz val="11"/>
      <color indexed="8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54">
    <xf numFmtId="0" fontId="0" fillId="0" borderId="0"/>
    <xf numFmtId="0" fontId="55" fillId="2" borderId="0" applyNumberFormat="0" applyBorder="0" applyAlignment="0" applyProtection="0"/>
    <xf numFmtId="0" fontId="55" fillId="3" borderId="0" applyNumberFormat="0" applyBorder="0" applyAlignment="0" applyProtection="0"/>
    <xf numFmtId="0" fontId="55" fillId="4" borderId="0" applyNumberFormat="0" applyBorder="0" applyAlignment="0" applyProtection="0"/>
    <xf numFmtId="0" fontId="55" fillId="5" borderId="0" applyNumberFormat="0" applyBorder="0" applyAlignment="0" applyProtection="0"/>
    <xf numFmtId="0" fontId="55" fillId="6" borderId="0" applyNumberFormat="0" applyBorder="0" applyAlignment="0" applyProtection="0"/>
    <xf numFmtId="0" fontId="55" fillId="7" borderId="0" applyNumberFormat="0" applyBorder="0" applyAlignment="0" applyProtection="0"/>
    <xf numFmtId="0" fontId="55" fillId="8" borderId="0" applyNumberFormat="0" applyBorder="0" applyAlignment="0" applyProtection="0"/>
    <xf numFmtId="0" fontId="55" fillId="9" borderId="0" applyNumberFormat="0" applyBorder="0" applyAlignment="0" applyProtection="0"/>
    <xf numFmtId="0" fontId="55" fillId="10" borderId="0" applyNumberFormat="0" applyBorder="0" applyAlignment="0" applyProtection="0"/>
    <xf numFmtId="0" fontId="55" fillId="5" borderId="0" applyNumberFormat="0" applyBorder="0" applyAlignment="0" applyProtection="0"/>
    <xf numFmtId="0" fontId="55" fillId="8" borderId="0" applyNumberFormat="0" applyBorder="0" applyAlignment="0" applyProtection="0"/>
    <xf numFmtId="0" fontId="55" fillId="11" borderId="0" applyNumberFormat="0" applyBorder="0" applyAlignment="0" applyProtection="0"/>
    <xf numFmtId="0" fontId="56" fillId="12" borderId="0" applyNumberFormat="0" applyBorder="0" applyAlignment="0" applyProtection="0"/>
    <xf numFmtId="0" fontId="56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6" fillId="17" borderId="0" applyNumberFormat="0" applyBorder="0" applyAlignment="0" applyProtection="0"/>
    <xf numFmtId="0" fontId="56" fillId="18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9" borderId="0" applyNumberFormat="0" applyBorder="0" applyAlignment="0" applyProtection="0"/>
    <xf numFmtId="0" fontId="57" fillId="3" borderId="0" applyNumberFormat="0" applyBorder="0" applyAlignment="0" applyProtection="0"/>
    <xf numFmtId="0" fontId="58" fillId="20" borderId="1" applyNumberFormat="0" applyAlignment="0" applyProtection="0"/>
    <xf numFmtId="0" fontId="59" fillId="21" borderId="2" applyNumberFormat="0" applyAlignment="0" applyProtection="0"/>
    <xf numFmtId="0" fontId="60" fillId="0" borderId="0" applyNumberFormat="0" applyFill="0" applyBorder="0" applyAlignment="0" applyProtection="0"/>
    <xf numFmtId="0" fontId="61" fillId="4" borderId="0" applyNumberFormat="0" applyBorder="0" applyAlignment="0" applyProtection="0"/>
    <xf numFmtId="0" fontId="62" fillId="0" borderId="3" applyNumberFormat="0" applyFill="0" applyAlignment="0" applyProtection="0"/>
    <xf numFmtId="0" fontId="63" fillId="0" borderId="4" applyNumberFormat="0" applyFill="0" applyAlignment="0" applyProtection="0"/>
    <xf numFmtId="0" fontId="64" fillId="0" borderId="5" applyNumberFormat="0" applyFill="0" applyAlignment="0" applyProtection="0"/>
    <xf numFmtId="0" fontId="64" fillId="0" borderId="0" applyNumberFormat="0" applyFill="0" applyBorder="0" applyAlignment="0" applyProtection="0"/>
    <xf numFmtId="0" fontId="65" fillId="7" borderId="1" applyNumberFormat="0" applyAlignment="0" applyProtection="0"/>
    <xf numFmtId="0" fontId="66" fillId="0" borderId="6" applyNumberFormat="0" applyFill="0" applyAlignment="0" applyProtection="0"/>
    <xf numFmtId="0" fontId="67" fillId="22" borderId="0" applyNumberFormat="0" applyBorder="0" applyAlignment="0" applyProtection="0"/>
    <xf numFmtId="0" fontId="72" fillId="0" borderId="0"/>
    <xf numFmtId="0" fontId="55" fillId="23" borderId="7" applyNumberFormat="0" applyFont="0" applyAlignment="0" applyProtection="0"/>
    <xf numFmtId="0" fontId="68" fillId="20" borderId="8" applyNumberFormat="0" applyAlignment="0" applyProtection="0"/>
    <xf numFmtId="0" fontId="69" fillId="0" borderId="0" applyNumberFormat="0" applyFill="0" applyBorder="0" applyAlignment="0" applyProtection="0"/>
    <xf numFmtId="0" fontId="70" fillId="0" borderId="9" applyNumberFormat="0" applyFill="0" applyAlignment="0" applyProtection="0"/>
    <xf numFmtId="0" fontId="71" fillId="0" borderId="0" applyNumberFormat="0" applyFill="0" applyBorder="0" applyAlignment="0" applyProtection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53" fillId="0" borderId="0"/>
    <xf numFmtId="0" fontId="55" fillId="2" borderId="0" applyNumberFormat="0" applyBorder="0" applyAlignment="0" applyProtection="0"/>
    <xf numFmtId="0" fontId="55" fillId="2" borderId="0" applyNumberFormat="0" applyBorder="0" applyAlignment="0" applyProtection="0"/>
    <xf numFmtId="0" fontId="55" fillId="3" borderId="0" applyNumberFormat="0" applyBorder="0" applyAlignment="0" applyProtection="0"/>
    <xf numFmtId="0" fontId="55" fillId="3" borderId="0" applyNumberFormat="0" applyBorder="0" applyAlignment="0" applyProtection="0"/>
    <xf numFmtId="0" fontId="55" fillId="4" borderId="0" applyNumberFormat="0" applyBorder="0" applyAlignment="0" applyProtection="0"/>
    <xf numFmtId="0" fontId="55" fillId="4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6" borderId="0" applyNumberFormat="0" applyBorder="0" applyAlignment="0" applyProtection="0"/>
    <xf numFmtId="0" fontId="55" fillId="6" borderId="0" applyNumberFormat="0" applyBorder="0" applyAlignment="0" applyProtection="0"/>
    <xf numFmtId="0" fontId="55" fillId="7" borderId="0" applyNumberFormat="0" applyBorder="0" applyAlignment="0" applyProtection="0"/>
    <xf numFmtId="0" fontId="55" fillId="7" borderId="0" applyNumberFormat="0" applyBorder="0" applyAlignment="0" applyProtection="0"/>
    <xf numFmtId="0" fontId="55" fillId="8" borderId="0" applyNumberFormat="0" applyBorder="0" applyAlignment="0" applyProtection="0"/>
    <xf numFmtId="0" fontId="55" fillId="8" borderId="0" applyNumberFormat="0" applyBorder="0" applyAlignment="0" applyProtection="0"/>
    <xf numFmtId="0" fontId="55" fillId="9" borderId="0" applyNumberFormat="0" applyBorder="0" applyAlignment="0" applyProtection="0"/>
    <xf numFmtId="0" fontId="55" fillId="9" borderId="0" applyNumberFormat="0" applyBorder="0" applyAlignment="0" applyProtection="0"/>
    <xf numFmtId="0" fontId="55" fillId="10" borderId="0" applyNumberFormat="0" applyBorder="0" applyAlignment="0" applyProtection="0"/>
    <xf numFmtId="0" fontId="55" fillId="10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8" borderId="0" applyNumberFormat="0" applyBorder="0" applyAlignment="0" applyProtection="0"/>
    <xf numFmtId="0" fontId="55" fillId="8" borderId="0" applyNumberFormat="0" applyBorder="0" applyAlignment="0" applyProtection="0"/>
    <xf numFmtId="0" fontId="55" fillId="11" borderId="0" applyNumberFormat="0" applyBorder="0" applyAlignment="0" applyProtection="0"/>
    <xf numFmtId="0" fontId="55" fillId="11" borderId="0" applyNumberFormat="0" applyBorder="0" applyAlignment="0" applyProtection="0"/>
    <xf numFmtId="0" fontId="56" fillId="12" borderId="0" applyNumberFormat="0" applyBorder="0" applyAlignment="0" applyProtection="0"/>
    <xf numFmtId="0" fontId="56" fillId="12" borderId="0" applyNumberFormat="0" applyBorder="0" applyAlignment="0" applyProtection="0"/>
    <xf numFmtId="0" fontId="56" fillId="9" borderId="0" applyNumberFormat="0" applyBorder="0" applyAlignment="0" applyProtection="0"/>
    <xf numFmtId="0" fontId="56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10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6" fillId="16" borderId="0" applyNumberFormat="0" applyBorder="0" applyAlignment="0" applyProtection="0"/>
    <xf numFmtId="0" fontId="56" fillId="17" borderId="0" applyNumberFormat="0" applyBorder="0" applyAlignment="0" applyProtection="0"/>
    <xf numFmtId="0" fontId="56" fillId="17" borderId="0" applyNumberFormat="0" applyBorder="0" applyAlignment="0" applyProtection="0"/>
    <xf numFmtId="0" fontId="56" fillId="18" borderId="0" applyNumberFormat="0" applyBorder="0" applyAlignment="0" applyProtection="0"/>
    <xf numFmtId="0" fontId="56" fillId="18" borderId="0" applyNumberFormat="0" applyBorder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4" borderId="0" applyNumberFormat="0" applyBorder="0" applyAlignment="0" applyProtection="0"/>
    <xf numFmtId="0" fontId="56" fillId="19" borderId="0" applyNumberFormat="0" applyBorder="0" applyAlignment="0" applyProtection="0"/>
    <xf numFmtId="0" fontId="56" fillId="19" borderId="0" applyNumberFormat="0" applyBorder="0" applyAlignment="0" applyProtection="0"/>
    <xf numFmtId="0" fontId="57" fillId="3" borderId="0" applyNumberFormat="0" applyBorder="0" applyAlignment="0" applyProtection="0"/>
    <xf numFmtId="0" fontId="57" fillId="3" borderId="0" applyNumberFormat="0" applyBorder="0" applyAlignment="0" applyProtection="0"/>
    <xf numFmtId="0" fontId="58" fillId="20" borderId="1" applyNumberFormat="0" applyAlignment="0" applyProtection="0"/>
    <xf numFmtId="0" fontId="58" fillId="20" borderId="1" applyNumberFormat="0" applyAlignment="0" applyProtection="0"/>
    <xf numFmtId="0" fontId="59" fillId="21" borderId="2" applyNumberFormat="0" applyAlignment="0" applyProtection="0"/>
    <xf numFmtId="0" fontId="59" fillId="21" borderId="2" applyNumberFormat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4" borderId="0" applyNumberFormat="0" applyBorder="0" applyAlignment="0" applyProtection="0"/>
    <xf numFmtId="0" fontId="61" fillId="4" borderId="0" applyNumberFormat="0" applyBorder="0" applyAlignment="0" applyProtection="0"/>
    <xf numFmtId="0" fontId="62" fillId="0" borderId="3" applyNumberFormat="0" applyFill="0" applyAlignment="0" applyProtection="0"/>
    <xf numFmtId="0" fontId="62" fillId="0" borderId="3" applyNumberFormat="0" applyFill="0" applyAlignment="0" applyProtection="0"/>
    <xf numFmtId="0" fontId="63" fillId="0" borderId="4" applyNumberFormat="0" applyFill="0" applyAlignment="0" applyProtection="0"/>
    <xf numFmtId="0" fontId="63" fillId="0" borderId="4" applyNumberFormat="0" applyFill="0" applyAlignment="0" applyProtection="0"/>
    <xf numFmtId="0" fontId="64" fillId="0" borderId="5" applyNumberFormat="0" applyFill="0" applyAlignment="0" applyProtection="0"/>
    <xf numFmtId="0" fontId="64" fillId="0" borderId="5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7" borderId="1" applyNumberFormat="0" applyAlignment="0" applyProtection="0"/>
    <xf numFmtId="0" fontId="65" fillId="7" borderId="1" applyNumberFormat="0" applyAlignment="0" applyProtection="0"/>
    <xf numFmtId="0" fontId="66" fillId="0" borderId="6" applyNumberFormat="0" applyFill="0" applyAlignment="0" applyProtection="0"/>
    <xf numFmtId="0" fontId="66" fillId="0" borderId="6" applyNumberFormat="0" applyFill="0" applyAlignment="0" applyProtection="0"/>
    <xf numFmtId="0" fontId="67" fillId="22" borderId="0" applyNumberFormat="0" applyBorder="0" applyAlignment="0" applyProtection="0"/>
    <xf numFmtId="0" fontId="67" fillId="22" borderId="0" applyNumberFormat="0" applyBorder="0" applyAlignment="0" applyProtection="0"/>
    <xf numFmtId="0" fontId="55" fillId="23" borderId="7" applyNumberFormat="0" applyFont="0" applyAlignment="0" applyProtection="0"/>
    <xf numFmtId="0" fontId="55" fillId="23" borderId="7" applyNumberFormat="0" applyFont="0" applyAlignment="0" applyProtection="0"/>
    <xf numFmtId="0" fontId="68" fillId="20" borderId="8" applyNumberFormat="0" applyAlignment="0" applyProtection="0"/>
    <xf numFmtId="0" fontId="68" fillId="20" borderId="8" applyNumberFormat="0" applyAlignment="0" applyProtection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9" applyNumberFormat="0" applyFill="0" applyAlignment="0" applyProtection="0"/>
    <xf numFmtId="0" fontId="70" fillId="0" borderId="9" applyNumberFormat="0" applyFill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43" fontId="33" fillId="0" borderId="0" applyFont="0" applyFill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33" fillId="35" borderId="0" applyNumberFormat="0" applyBorder="0" applyAlignment="0" applyProtection="0"/>
    <xf numFmtId="0" fontId="33" fillId="36" borderId="0" applyNumberFormat="0" applyBorder="0" applyAlignment="0" applyProtection="0"/>
    <xf numFmtId="0" fontId="74" fillId="37" borderId="0" applyNumberFormat="0" applyBorder="0" applyAlignment="0" applyProtection="0"/>
    <xf numFmtId="0" fontId="74" fillId="38" borderId="0" applyNumberFormat="0" applyBorder="0" applyAlignment="0" applyProtection="0"/>
    <xf numFmtId="0" fontId="74" fillId="39" borderId="0" applyNumberFormat="0" applyBorder="0" applyAlignment="0" applyProtection="0"/>
    <xf numFmtId="0" fontId="74" fillId="40" borderId="0" applyNumberFormat="0" applyBorder="0" applyAlignment="0" applyProtection="0"/>
    <xf numFmtId="0" fontId="74" fillId="41" borderId="0" applyNumberFormat="0" applyBorder="0" applyAlignment="0" applyProtection="0"/>
    <xf numFmtId="0" fontId="74" fillId="42" borderId="0" applyNumberFormat="0" applyBorder="0" applyAlignment="0" applyProtection="0"/>
    <xf numFmtId="0" fontId="74" fillId="43" borderId="0" applyNumberFormat="0" applyBorder="0" applyAlignment="0" applyProtection="0"/>
    <xf numFmtId="0" fontId="74" fillId="44" borderId="0" applyNumberFormat="0" applyBorder="0" applyAlignment="0" applyProtection="0"/>
    <xf numFmtId="0" fontId="74" fillId="45" borderId="0" applyNumberFormat="0" applyBorder="0" applyAlignment="0" applyProtection="0"/>
    <xf numFmtId="0" fontId="74" fillId="46" borderId="0" applyNumberFormat="0" applyBorder="0" applyAlignment="0" applyProtection="0"/>
    <xf numFmtId="0" fontId="74" fillId="47" borderId="0" applyNumberFormat="0" applyBorder="0" applyAlignment="0" applyProtection="0"/>
    <xf numFmtId="0" fontId="74" fillId="48" borderId="0" applyNumberFormat="0" applyBorder="0" applyAlignment="0" applyProtection="0"/>
    <xf numFmtId="0" fontId="75" fillId="49" borderId="0" applyNumberFormat="0" applyBorder="0" applyAlignment="0" applyProtection="0"/>
    <xf numFmtId="0" fontId="76" fillId="50" borderId="22" applyNumberFormat="0" applyAlignment="0" applyProtection="0"/>
    <xf numFmtId="0" fontId="77" fillId="51" borderId="23" applyNumberFormat="0" applyAlignment="0" applyProtection="0"/>
    <xf numFmtId="43" fontId="53" fillId="0" borderId="0" applyFont="0" applyFill="0" applyBorder="0" applyAlignment="0" applyProtection="0"/>
    <xf numFmtId="0" fontId="78" fillId="0" borderId="0" applyNumberFormat="0" applyFill="0" applyBorder="0" applyAlignment="0" applyProtection="0"/>
    <xf numFmtId="0" fontId="79" fillId="52" borderId="0" applyNumberFormat="0" applyBorder="0" applyAlignment="0" applyProtection="0"/>
    <xf numFmtId="0" fontId="80" fillId="0" borderId="24" applyNumberFormat="0" applyFill="0" applyAlignment="0" applyProtection="0"/>
    <xf numFmtId="0" fontId="81" fillId="0" borderId="25" applyNumberFormat="0" applyFill="0" applyAlignment="0" applyProtection="0"/>
    <xf numFmtId="0" fontId="82" fillId="0" borderId="26" applyNumberFormat="0" applyFill="0" applyAlignment="0" applyProtection="0"/>
    <xf numFmtId="0" fontId="82" fillId="0" borderId="0" applyNumberFormat="0" applyFill="0" applyBorder="0" applyAlignment="0" applyProtection="0"/>
    <xf numFmtId="0" fontId="83" fillId="53" borderId="22" applyNumberFormat="0" applyAlignment="0" applyProtection="0"/>
    <xf numFmtId="0" fontId="84" fillId="0" borderId="27" applyNumberFormat="0" applyFill="0" applyAlignment="0" applyProtection="0"/>
    <xf numFmtId="0" fontId="85" fillId="54" borderId="0" applyNumberFormat="0" applyBorder="0" applyAlignment="0" applyProtection="0"/>
    <xf numFmtId="0" fontId="33" fillId="0" borderId="0"/>
    <xf numFmtId="0" fontId="33" fillId="55" borderId="28" applyNumberFormat="0" applyFont="0" applyAlignment="0" applyProtection="0"/>
    <xf numFmtId="0" fontId="86" fillId="50" borderId="29" applyNumberFormat="0" applyAlignment="0" applyProtection="0"/>
    <xf numFmtId="0" fontId="87" fillId="0" borderId="0" applyNumberFormat="0" applyFill="0" applyBorder="0" applyAlignment="0" applyProtection="0"/>
    <xf numFmtId="0" fontId="73" fillId="0" borderId="30" applyNumberFormat="0" applyFill="0" applyAlignment="0" applyProtection="0"/>
    <xf numFmtId="0" fontId="88" fillId="0" borderId="0" applyNumberFormat="0" applyFill="0" applyBorder="0" applyAlignment="0" applyProtection="0"/>
    <xf numFmtId="0" fontId="32" fillId="0" borderId="0"/>
    <xf numFmtId="0" fontId="31" fillId="0" borderId="0"/>
    <xf numFmtId="0" fontId="30" fillId="0" borderId="0"/>
    <xf numFmtId="43" fontId="91" fillId="0" borderId="0" applyFont="0" applyFill="0" applyBorder="0" applyAlignment="0" applyProtection="0"/>
    <xf numFmtId="0" fontId="29" fillId="0" borderId="0"/>
    <xf numFmtId="0" fontId="28" fillId="0" borderId="0"/>
    <xf numFmtId="0" fontId="53" fillId="0" borderId="0"/>
    <xf numFmtId="0" fontId="55" fillId="2" borderId="0" applyNumberFormat="0" applyBorder="0" applyAlignment="0" applyProtection="0"/>
    <xf numFmtId="0" fontId="55" fillId="3" borderId="0" applyNumberFormat="0" applyBorder="0" applyAlignment="0" applyProtection="0"/>
    <xf numFmtId="0" fontId="55" fillId="4" borderId="0" applyNumberFormat="0" applyBorder="0" applyAlignment="0" applyProtection="0"/>
    <xf numFmtId="0" fontId="55" fillId="5" borderId="0" applyNumberFormat="0" applyBorder="0" applyAlignment="0" applyProtection="0"/>
    <xf numFmtId="0" fontId="55" fillId="6" borderId="0" applyNumberFormat="0" applyBorder="0" applyAlignment="0" applyProtection="0"/>
    <xf numFmtId="0" fontId="55" fillId="7" borderId="0" applyNumberFormat="0" applyBorder="0" applyAlignment="0" applyProtection="0"/>
    <xf numFmtId="0" fontId="55" fillId="8" borderId="0" applyNumberFormat="0" applyBorder="0" applyAlignment="0" applyProtection="0"/>
    <xf numFmtId="0" fontId="55" fillId="9" borderId="0" applyNumberFormat="0" applyBorder="0" applyAlignment="0" applyProtection="0"/>
    <xf numFmtId="0" fontId="55" fillId="10" borderId="0" applyNumberFormat="0" applyBorder="0" applyAlignment="0" applyProtection="0"/>
    <xf numFmtId="0" fontId="55" fillId="5" borderId="0" applyNumberFormat="0" applyBorder="0" applyAlignment="0" applyProtection="0"/>
    <xf numFmtId="0" fontId="55" fillId="8" borderId="0" applyNumberFormat="0" applyBorder="0" applyAlignment="0" applyProtection="0"/>
    <xf numFmtId="0" fontId="55" fillId="11" borderId="0" applyNumberFormat="0" applyBorder="0" applyAlignment="0" applyProtection="0"/>
    <xf numFmtId="0" fontId="56" fillId="12" borderId="0" applyNumberFormat="0" applyBorder="0" applyAlignment="0" applyProtection="0"/>
    <xf numFmtId="0" fontId="56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6" fillId="17" borderId="0" applyNumberFormat="0" applyBorder="0" applyAlignment="0" applyProtection="0"/>
    <xf numFmtId="0" fontId="56" fillId="18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9" borderId="0" applyNumberFormat="0" applyBorder="0" applyAlignment="0" applyProtection="0"/>
    <xf numFmtId="0" fontId="57" fillId="3" borderId="0" applyNumberFormat="0" applyBorder="0" applyAlignment="0" applyProtection="0"/>
    <xf numFmtId="0" fontId="58" fillId="20" borderId="1" applyNumberFormat="0" applyAlignment="0" applyProtection="0"/>
    <xf numFmtId="0" fontId="59" fillId="21" borderId="2" applyNumberFormat="0" applyAlignment="0" applyProtection="0"/>
    <xf numFmtId="0" fontId="60" fillId="0" borderId="0" applyNumberFormat="0" applyFill="0" applyBorder="0" applyAlignment="0" applyProtection="0"/>
    <xf numFmtId="0" fontId="61" fillId="4" borderId="0" applyNumberFormat="0" applyBorder="0" applyAlignment="0" applyProtection="0"/>
    <xf numFmtId="0" fontId="62" fillId="0" borderId="3" applyNumberFormat="0" applyFill="0" applyAlignment="0" applyProtection="0"/>
    <xf numFmtId="0" fontId="63" fillId="0" borderId="4" applyNumberFormat="0" applyFill="0" applyAlignment="0" applyProtection="0"/>
    <xf numFmtId="0" fontId="64" fillId="0" borderId="5" applyNumberFormat="0" applyFill="0" applyAlignment="0" applyProtection="0"/>
    <xf numFmtId="0" fontId="64" fillId="0" borderId="0" applyNumberFormat="0" applyFill="0" applyBorder="0" applyAlignment="0" applyProtection="0"/>
    <xf numFmtId="0" fontId="65" fillId="7" borderId="1" applyNumberFormat="0" applyAlignment="0" applyProtection="0"/>
    <xf numFmtId="0" fontId="66" fillId="0" borderId="6" applyNumberFormat="0" applyFill="0" applyAlignment="0" applyProtection="0"/>
    <xf numFmtId="0" fontId="67" fillId="22" borderId="0" applyNumberFormat="0" applyBorder="0" applyAlignment="0" applyProtection="0"/>
    <xf numFmtId="0" fontId="28" fillId="0" borderId="0"/>
    <xf numFmtId="0" fontId="55" fillId="23" borderId="7" applyNumberFormat="0" applyFont="0" applyAlignment="0" applyProtection="0"/>
    <xf numFmtId="0" fontId="68" fillId="20" borderId="8" applyNumberFormat="0" applyAlignment="0" applyProtection="0"/>
    <xf numFmtId="0" fontId="69" fillId="0" borderId="0" applyNumberFormat="0" applyFill="0" applyBorder="0" applyAlignment="0" applyProtection="0"/>
    <xf numFmtId="0" fontId="70" fillId="0" borderId="9" applyNumberFormat="0" applyFill="0" applyAlignment="0" applyProtection="0"/>
    <xf numFmtId="0" fontId="71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43" fontId="28" fillId="0" borderId="0" applyFont="0" applyFill="0" applyBorder="0" applyAlignment="0" applyProtection="0"/>
    <xf numFmtId="0" fontId="28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28" fillId="28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28" fillId="32" borderId="0" applyNumberFormat="0" applyBorder="0" applyAlignment="0" applyProtection="0"/>
    <xf numFmtId="0" fontId="28" fillId="33" borderId="0" applyNumberFormat="0" applyBorder="0" applyAlignment="0" applyProtection="0"/>
    <xf numFmtId="0" fontId="28" fillId="34" borderId="0" applyNumberFormat="0" applyBorder="0" applyAlignment="0" applyProtection="0"/>
    <xf numFmtId="0" fontId="28" fillId="35" borderId="0" applyNumberFormat="0" applyBorder="0" applyAlignment="0" applyProtection="0"/>
    <xf numFmtId="0" fontId="28" fillId="36" borderId="0" applyNumberFormat="0" applyBorder="0" applyAlignment="0" applyProtection="0"/>
    <xf numFmtId="168" fontId="28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5" borderId="28" applyNumberFormat="0" applyFont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43" fontId="53" fillId="0" borderId="0" applyFont="0" applyFill="0" applyBorder="0" applyAlignment="0" applyProtection="0"/>
    <xf numFmtId="0" fontId="28" fillId="0" borderId="0"/>
    <xf numFmtId="9" fontId="53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3" fillId="0" borderId="0"/>
    <xf numFmtId="43" fontId="53" fillId="0" borderId="0" applyFont="0" applyFill="0" applyBorder="0" applyAlignment="0" applyProtection="0"/>
    <xf numFmtId="0" fontId="27" fillId="0" borderId="0"/>
    <xf numFmtId="0" fontId="26" fillId="0" borderId="0"/>
    <xf numFmtId="0" fontId="25" fillId="0" borderId="0"/>
    <xf numFmtId="0" fontId="24" fillId="0" borderId="0"/>
    <xf numFmtId="0" fontId="99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43" fontId="17" fillId="0" borderId="0" applyFont="0" applyFill="0" applyBorder="0" applyAlignment="0" applyProtection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00" fillId="0" borderId="0"/>
  </cellStyleXfs>
  <cellXfs count="120">
    <xf numFmtId="0" fontId="0" fillId="0" borderId="0" xfId="0"/>
    <xf numFmtId="0" fontId="89" fillId="0" borderId="0" xfId="0" applyFont="1"/>
    <xf numFmtId="4" fontId="89" fillId="0" borderId="0" xfId="0" applyNumberFormat="1" applyFont="1"/>
    <xf numFmtId="164" fontId="89" fillId="0" borderId="0" xfId="0" applyNumberFormat="1" applyFont="1"/>
    <xf numFmtId="2" fontId="89" fillId="0" borderId="0" xfId="0" applyNumberFormat="1" applyFont="1"/>
    <xf numFmtId="49" fontId="90" fillId="0" borderId="0" xfId="0" applyNumberFormat="1" applyFont="1" applyAlignment="1">
      <alignment horizontal="center" wrapText="1"/>
    </xf>
    <xf numFmtId="49" fontId="90" fillId="56" borderId="0" xfId="0" applyNumberFormat="1" applyFont="1" applyFill="1" applyAlignment="1">
      <alignment horizontal="center" wrapText="1"/>
    </xf>
    <xf numFmtId="0" fontId="93" fillId="0" borderId="0" xfId="49" applyFont="1"/>
    <xf numFmtId="164" fontId="93" fillId="0" borderId="0" xfId="57" applyNumberFormat="1" applyFont="1"/>
    <xf numFmtId="2" fontId="93" fillId="0" borderId="0" xfId="43" applyNumberFormat="1" applyFont="1"/>
    <xf numFmtId="167" fontId="89" fillId="0" borderId="0" xfId="194" applyNumberFormat="1" applyFont="1"/>
    <xf numFmtId="167" fontId="90" fillId="0" borderId="0" xfId="194" applyNumberFormat="1" applyFont="1" applyAlignment="1">
      <alignment horizontal="center" wrapText="1"/>
    </xf>
    <xf numFmtId="0" fontId="89" fillId="24" borderId="10" xfId="0" applyFont="1" applyFill="1" applyBorder="1"/>
    <xf numFmtId="0" fontId="89" fillId="24" borderId="11" xfId="0" applyFont="1" applyFill="1" applyBorder="1"/>
    <xf numFmtId="0" fontId="89" fillId="24" borderId="12" xfId="0" applyFont="1" applyFill="1" applyBorder="1"/>
    <xf numFmtId="0" fontId="89" fillId="24" borderId="0" xfId="0" applyFont="1" applyFill="1"/>
    <xf numFmtId="0" fontId="89" fillId="24" borderId="14" xfId="0" applyFont="1" applyFill="1" applyBorder="1"/>
    <xf numFmtId="0" fontId="89" fillId="24" borderId="13" xfId="0" applyFont="1" applyFill="1" applyBorder="1"/>
    <xf numFmtId="0" fontId="90" fillId="24" borderId="10" xfId="0" applyFont="1" applyFill="1" applyBorder="1"/>
    <xf numFmtId="0" fontId="89" fillId="24" borderId="11" xfId="0" applyFont="1" applyFill="1" applyBorder="1" applyAlignment="1">
      <alignment horizontal="left"/>
    </xf>
    <xf numFmtId="15" fontId="89" fillId="24" borderId="11" xfId="0" applyNumberFormat="1" applyFont="1" applyFill="1" applyBorder="1"/>
    <xf numFmtId="0" fontId="90" fillId="24" borderId="11" xfId="0" applyFont="1" applyFill="1" applyBorder="1"/>
    <xf numFmtId="0" fontId="90" fillId="24" borderId="15" xfId="0" applyFont="1" applyFill="1" applyBorder="1"/>
    <xf numFmtId="0" fontId="89" fillId="24" borderId="16" xfId="0" applyFont="1" applyFill="1" applyBorder="1"/>
    <xf numFmtId="0" fontId="89" fillId="24" borderId="16" xfId="0" applyFont="1" applyFill="1" applyBorder="1" applyAlignment="1">
      <alignment horizontal="left"/>
    </xf>
    <xf numFmtId="0" fontId="89" fillId="24" borderId="17" xfId="0" applyFont="1" applyFill="1" applyBorder="1"/>
    <xf numFmtId="0" fontId="89" fillId="24" borderId="15" xfId="0" applyFont="1" applyFill="1" applyBorder="1"/>
    <xf numFmtId="0" fontId="89" fillId="24" borderId="0" xfId="0" applyFont="1" applyFill="1" applyAlignment="1">
      <alignment horizontal="center"/>
    </xf>
    <xf numFmtId="165" fontId="89" fillId="24" borderId="0" xfId="0" applyNumberFormat="1" applyFont="1" applyFill="1"/>
    <xf numFmtId="0" fontId="94" fillId="24" borderId="10" xfId="0" applyFont="1" applyFill="1" applyBorder="1"/>
    <xf numFmtId="165" fontId="89" fillId="0" borderId="18" xfId="0" applyNumberFormat="1" applyFont="1" applyBorder="1"/>
    <xf numFmtId="165" fontId="89" fillId="0" borderId="0" xfId="0" applyNumberFormat="1" applyFont="1"/>
    <xf numFmtId="0" fontId="95" fillId="24" borderId="13" xfId="0" applyFont="1" applyFill="1" applyBorder="1"/>
    <xf numFmtId="0" fontId="95" fillId="24" borderId="0" xfId="0" applyFont="1" applyFill="1"/>
    <xf numFmtId="165" fontId="95" fillId="24" borderId="0" xfId="0" applyNumberFormat="1" applyFont="1" applyFill="1"/>
    <xf numFmtId="0" fontId="95" fillId="24" borderId="14" xfId="0" applyFont="1" applyFill="1" applyBorder="1"/>
    <xf numFmtId="0" fontId="95" fillId="0" borderId="0" xfId="0" applyFont="1"/>
    <xf numFmtId="165" fontId="89" fillId="24" borderId="18" xfId="0" applyNumberFormat="1" applyFont="1" applyFill="1" applyBorder="1"/>
    <xf numFmtId="0" fontId="96" fillId="24" borderId="10" xfId="0" applyFont="1" applyFill="1" applyBorder="1"/>
    <xf numFmtId="0" fontId="97" fillId="24" borderId="13" xfId="0" applyFont="1" applyFill="1" applyBorder="1"/>
    <xf numFmtId="0" fontId="97" fillId="24" borderId="0" xfId="0" applyFont="1" applyFill="1"/>
    <xf numFmtId="0" fontId="90" fillId="24" borderId="19" xfId="0" applyFont="1" applyFill="1" applyBorder="1" applyAlignment="1">
      <alignment horizontal="center"/>
    </xf>
    <xf numFmtId="0" fontId="90" fillId="24" borderId="13" xfId="0" applyFont="1" applyFill="1" applyBorder="1"/>
    <xf numFmtId="0" fontId="90" fillId="24" borderId="0" xfId="0" applyFont="1" applyFill="1"/>
    <xf numFmtId="0" fontId="90" fillId="24" borderId="20" xfId="0" applyFont="1" applyFill="1" applyBorder="1" applyAlignment="1">
      <alignment horizontal="center"/>
    </xf>
    <xf numFmtId="166" fontId="89" fillId="24" borderId="16" xfId="0" applyNumberFormat="1" applyFont="1" applyFill="1" applyBorder="1"/>
    <xf numFmtId="164" fontId="27" fillId="0" borderId="0" xfId="323" applyNumberFormat="1"/>
    <xf numFmtId="0" fontId="22" fillId="0" borderId="0" xfId="329"/>
    <xf numFmtId="49" fontId="22" fillId="0" borderId="0" xfId="329" applyNumberFormat="1"/>
    <xf numFmtId="164" fontId="73" fillId="0" borderId="0" xfId="329" applyNumberFormat="1" applyFont="1"/>
    <xf numFmtId="49" fontId="19" fillId="0" borderId="0" xfId="332" applyNumberFormat="1"/>
    <xf numFmtId="164" fontId="19" fillId="0" borderId="0" xfId="332" applyNumberFormat="1"/>
    <xf numFmtId="49" fontId="98" fillId="0" borderId="0" xfId="332" applyNumberFormat="1" applyFont="1"/>
    <xf numFmtId="169" fontId="89" fillId="24" borderId="20" xfId="0" applyNumberFormat="1" applyFont="1" applyFill="1" applyBorder="1"/>
    <xf numFmtId="169" fontId="89" fillId="0" borderId="21" xfId="0" applyNumberFormat="1" applyFont="1" applyBorder="1"/>
    <xf numFmtId="22" fontId="0" fillId="0" borderId="0" xfId="0" applyNumberFormat="1"/>
    <xf numFmtId="49" fontId="92" fillId="0" borderId="0" xfId="56" applyNumberFormat="1" applyFont="1" applyAlignment="1">
      <alignment vertical="center"/>
    </xf>
    <xf numFmtId="49" fontId="90" fillId="56" borderId="0" xfId="0" applyNumberFormat="1" applyFont="1" applyFill="1" applyAlignment="1">
      <alignment horizontal="center" vertical="center" wrapText="1"/>
    </xf>
    <xf numFmtId="49" fontId="90" fillId="0" borderId="0" xfId="0" applyNumberFormat="1" applyFont="1" applyAlignment="1">
      <alignment horizontal="center" vertical="center" wrapText="1"/>
    </xf>
    <xf numFmtId="49" fontId="92" fillId="0" borderId="0" xfId="56" applyNumberFormat="1" applyFont="1" applyAlignment="1">
      <alignment vertical="center" wrapText="1"/>
    </xf>
    <xf numFmtId="49" fontId="17" fillId="0" borderId="0" xfId="336" applyNumberFormat="1"/>
    <xf numFmtId="14" fontId="0" fillId="0" borderId="0" xfId="0" applyNumberFormat="1"/>
    <xf numFmtId="49" fontId="15" fillId="0" borderId="0" xfId="336" applyNumberFormat="1" applyFont="1"/>
    <xf numFmtId="49" fontId="15" fillId="0" borderId="0" xfId="338" applyNumberFormat="1"/>
    <xf numFmtId="49" fontId="98" fillId="0" borderId="0" xfId="340" applyNumberFormat="1" applyFont="1"/>
    <xf numFmtId="49" fontId="12" fillId="0" borderId="0" xfId="341" applyNumberFormat="1"/>
    <xf numFmtId="49" fontId="98" fillId="0" borderId="0" xfId="341" applyNumberFormat="1" applyFont="1"/>
    <xf numFmtId="49" fontId="11" fillId="0" borderId="0" xfId="342" applyNumberFormat="1"/>
    <xf numFmtId="0" fontId="0" fillId="57" borderId="0" xfId="0" applyFill="1"/>
    <xf numFmtId="49" fontId="9" fillId="0" borderId="0" xfId="344" applyNumberFormat="1"/>
    <xf numFmtId="49" fontId="8" fillId="0" borderId="0" xfId="345" applyNumberFormat="1"/>
    <xf numFmtId="49" fontId="93" fillId="0" borderId="0" xfId="193" applyNumberFormat="1" applyFont="1" applyAlignment="1">
      <alignment vertical="center" wrapText="1"/>
    </xf>
    <xf numFmtId="49" fontId="90" fillId="0" borderId="0" xfId="0" applyNumberFormat="1" applyFont="1" applyAlignment="1">
      <alignment horizontal="center" vertical="center"/>
    </xf>
    <xf numFmtId="49" fontId="93" fillId="0" borderId="0" xfId="193" applyNumberFormat="1" applyFont="1" applyAlignment="1">
      <alignment vertical="center"/>
    </xf>
    <xf numFmtId="0" fontId="53" fillId="0" borderId="0" xfId="58" applyAlignment="1">
      <alignment vertical="center" wrapText="1"/>
    </xf>
    <xf numFmtId="164" fontId="73" fillId="0" borderId="0" xfId="329" applyNumberFormat="1" applyFont="1" applyAlignment="1">
      <alignment vertical="center"/>
    </xf>
    <xf numFmtId="0" fontId="89" fillId="0" borderId="0" xfId="0" applyFont="1" applyAlignment="1">
      <alignment vertical="center"/>
    </xf>
    <xf numFmtId="0" fontId="53" fillId="0" borderId="0" xfId="58" applyAlignment="1">
      <alignment horizontal="left" vertical="center"/>
    </xf>
    <xf numFmtId="0" fontId="53" fillId="0" borderId="0" xfId="58"/>
    <xf numFmtId="0" fontId="4" fillId="0" borderId="0" xfId="349"/>
    <xf numFmtId="49" fontId="4" fillId="0" borderId="0" xfId="349" applyNumberFormat="1"/>
    <xf numFmtId="164" fontId="4" fillId="0" borderId="0" xfId="349" applyNumberFormat="1"/>
    <xf numFmtId="164" fontId="73" fillId="0" borderId="0" xfId="349" applyNumberFormat="1" applyFont="1"/>
    <xf numFmtId="49" fontId="98" fillId="0" borderId="0" xfId="349" applyNumberFormat="1" applyFont="1"/>
    <xf numFmtId="0" fontId="3" fillId="0" borderId="0" xfId="350"/>
    <xf numFmtId="49" fontId="3" fillId="0" borderId="0" xfId="350" applyNumberFormat="1"/>
    <xf numFmtId="164" fontId="3" fillId="0" borderId="0" xfId="350" applyNumberFormat="1"/>
    <xf numFmtId="164" fontId="73" fillId="0" borderId="0" xfId="350" applyNumberFormat="1" applyFont="1"/>
    <xf numFmtId="49" fontId="98" fillId="0" borderId="0" xfId="350" applyNumberFormat="1" applyFont="1"/>
    <xf numFmtId="165" fontId="73" fillId="0" borderId="0" xfId="329" applyNumberFormat="1" applyFont="1"/>
    <xf numFmtId="2" fontId="92" fillId="0" borderId="0" xfId="56" applyNumberFormat="1" applyFont="1" applyAlignment="1">
      <alignment vertical="center" wrapText="1"/>
    </xf>
    <xf numFmtId="2" fontId="22" fillId="0" borderId="0" xfId="329" applyNumberFormat="1"/>
    <xf numFmtId="2" fontId="73" fillId="0" borderId="0" xfId="329" applyNumberFormat="1" applyFont="1"/>
    <xf numFmtId="2" fontId="93" fillId="0" borderId="0" xfId="50" applyNumberFormat="1" applyFont="1"/>
    <xf numFmtId="49" fontId="98" fillId="0" borderId="0" xfId="352" applyNumberFormat="1" applyFont="1"/>
    <xf numFmtId="0" fontId="53" fillId="0" borderId="0" xfId="0" applyFont="1"/>
    <xf numFmtId="0" fontId="98" fillId="0" borderId="0" xfId="0" applyFont="1"/>
    <xf numFmtId="164" fontId="0" fillId="0" borderId="0" xfId="0" applyNumberFormat="1"/>
    <xf numFmtId="164" fontId="101" fillId="0" borderId="0" xfId="0" applyNumberFormat="1" applyFont="1"/>
    <xf numFmtId="0" fontId="89" fillId="0" borderId="0" xfId="0" applyFont="1" applyFill="1"/>
    <xf numFmtId="164" fontId="89" fillId="0" borderId="0" xfId="0" applyNumberFormat="1" applyFont="1" applyFill="1"/>
    <xf numFmtId="167" fontId="89" fillId="0" borderId="0" xfId="194" applyNumberFormat="1" applyFont="1" applyFill="1"/>
    <xf numFmtId="0" fontId="89" fillId="0" borderId="0" xfId="0" applyFont="1" applyFill="1" applyAlignment="1">
      <alignment vertical="center"/>
    </xf>
    <xf numFmtId="14" fontId="89" fillId="0" borderId="0" xfId="0" applyNumberFormat="1" applyFont="1" applyFill="1"/>
    <xf numFmtId="0" fontId="89" fillId="0" borderId="0" xfId="0" applyNumberFormat="1" applyFont="1" applyFill="1"/>
    <xf numFmtId="0" fontId="102" fillId="0" borderId="0" xfId="0" applyFont="1"/>
    <xf numFmtId="14" fontId="0" fillId="58" borderId="0" xfId="0" applyNumberFormat="1" applyFill="1"/>
    <xf numFmtId="12" fontId="0" fillId="0" borderId="0" xfId="0" applyNumberFormat="1"/>
    <xf numFmtId="1" fontId="0" fillId="0" borderId="0" xfId="0" applyNumberFormat="1"/>
    <xf numFmtId="166" fontId="0" fillId="0" borderId="0" xfId="0" applyNumberFormat="1"/>
    <xf numFmtId="2" fontId="17" fillId="0" borderId="0" xfId="329" applyNumberFormat="1" applyFont="1"/>
    <xf numFmtId="2" fontId="93" fillId="0" borderId="0" xfId="57" applyNumberFormat="1" applyFont="1"/>
    <xf numFmtId="14" fontId="0" fillId="57" borderId="0" xfId="0" applyNumberFormat="1" applyFill="1"/>
    <xf numFmtId="0" fontId="0" fillId="0" borderId="0" xfId="0" applyAlignment="1">
      <alignment horizontal="center"/>
    </xf>
    <xf numFmtId="0" fontId="53" fillId="0" borderId="0" xfId="0" quotePrefix="1" applyFont="1" applyAlignment="1">
      <alignment horizontal="center"/>
    </xf>
    <xf numFmtId="0" fontId="0" fillId="58" borderId="0" xfId="0" applyFill="1" applyAlignment="1">
      <alignment horizontal="center"/>
    </xf>
    <xf numFmtId="21" fontId="53" fillId="0" borderId="0" xfId="0" quotePrefix="1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0" fontId="53" fillId="0" borderId="0" xfId="0" applyFont="1" applyAlignment="1">
      <alignment horizontal="left" vertical="top" wrapText="1"/>
    </xf>
  </cellXfs>
  <cellStyles count="354">
    <cellStyle name="20% - Accent1" xfId="1" builtinId="30" customBuiltin="1"/>
    <cellStyle name="20% - Accent1 2" xfId="59" xr:uid="{00000000-0005-0000-0000-000001000000}"/>
    <cellStyle name="20% - Accent1 3" xfId="60" xr:uid="{00000000-0005-0000-0000-000002000000}"/>
    <cellStyle name="20% - Accent1 4" xfId="148" xr:uid="{00000000-0005-0000-0000-000003000000}"/>
    <cellStyle name="20% - Accent1 4 2" xfId="283" xr:uid="{00000000-0005-0000-0000-000004000000}"/>
    <cellStyle name="20% - Accent1 5" xfId="198" xr:uid="{00000000-0005-0000-0000-000005000000}"/>
    <cellStyle name="20% - Accent2" xfId="2" builtinId="34" customBuiltin="1"/>
    <cellStyle name="20% - Accent2 2" xfId="61" xr:uid="{00000000-0005-0000-0000-000007000000}"/>
    <cellStyle name="20% - Accent2 3" xfId="62" xr:uid="{00000000-0005-0000-0000-000008000000}"/>
    <cellStyle name="20% - Accent2 4" xfId="149" xr:uid="{00000000-0005-0000-0000-000009000000}"/>
    <cellStyle name="20% - Accent2 4 2" xfId="284" xr:uid="{00000000-0005-0000-0000-00000A000000}"/>
    <cellStyle name="20% - Accent2 5" xfId="199" xr:uid="{00000000-0005-0000-0000-00000B000000}"/>
    <cellStyle name="20% - Accent3" xfId="3" builtinId="38" customBuiltin="1"/>
    <cellStyle name="20% - Accent3 2" xfId="63" xr:uid="{00000000-0005-0000-0000-00000D000000}"/>
    <cellStyle name="20% - Accent3 3" xfId="64" xr:uid="{00000000-0005-0000-0000-00000E000000}"/>
    <cellStyle name="20% - Accent3 4" xfId="150" xr:uid="{00000000-0005-0000-0000-00000F000000}"/>
    <cellStyle name="20% - Accent3 4 2" xfId="285" xr:uid="{00000000-0005-0000-0000-000010000000}"/>
    <cellStyle name="20% - Accent3 5" xfId="200" xr:uid="{00000000-0005-0000-0000-000011000000}"/>
    <cellStyle name="20% - Accent4" xfId="4" builtinId="42" customBuiltin="1"/>
    <cellStyle name="20% - Accent4 2" xfId="65" xr:uid="{00000000-0005-0000-0000-000013000000}"/>
    <cellStyle name="20% - Accent4 3" xfId="66" xr:uid="{00000000-0005-0000-0000-000014000000}"/>
    <cellStyle name="20% - Accent4 4" xfId="151" xr:uid="{00000000-0005-0000-0000-000015000000}"/>
    <cellStyle name="20% - Accent4 4 2" xfId="286" xr:uid="{00000000-0005-0000-0000-000016000000}"/>
    <cellStyle name="20% - Accent4 5" xfId="201" xr:uid="{00000000-0005-0000-0000-000017000000}"/>
    <cellStyle name="20% - Accent5" xfId="5" builtinId="46" customBuiltin="1"/>
    <cellStyle name="20% - Accent5 2" xfId="67" xr:uid="{00000000-0005-0000-0000-000019000000}"/>
    <cellStyle name="20% - Accent5 3" xfId="68" xr:uid="{00000000-0005-0000-0000-00001A000000}"/>
    <cellStyle name="20% - Accent5 4" xfId="152" xr:uid="{00000000-0005-0000-0000-00001B000000}"/>
    <cellStyle name="20% - Accent5 4 2" xfId="287" xr:uid="{00000000-0005-0000-0000-00001C000000}"/>
    <cellStyle name="20% - Accent5 5" xfId="202" xr:uid="{00000000-0005-0000-0000-00001D000000}"/>
    <cellStyle name="20% - Accent6" xfId="6" builtinId="50" customBuiltin="1"/>
    <cellStyle name="20% - Accent6 2" xfId="69" xr:uid="{00000000-0005-0000-0000-00001F000000}"/>
    <cellStyle name="20% - Accent6 3" xfId="70" xr:uid="{00000000-0005-0000-0000-000020000000}"/>
    <cellStyle name="20% - Accent6 4" xfId="153" xr:uid="{00000000-0005-0000-0000-000021000000}"/>
    <cellStyle name="20% - Accent6 4 2" xfId="288" xr:uid="{00000000-0005-0000-0000-000022000000}"/>
    <cellStyle name="20% - Accent6 5" xfId="203" xr:uid="{00000000-0005-0000-0000-000023000000}"/>
    <cellStyle name="40% - Accent1" xfId="7" builtinId="31" customBuiltin="1"/>
    <cellStyle name="40% - Accent1 2" xfId="71" xr:uid="{00000000-0005-0000-0000-000025000000}"/>
    <cellStyle name="40% - Accent1 3" xfId="72" xr:uid="{00000000-0005-0000-0000-000026000000}"/>
    <cellStyle name="40% - Accent1 4" xfId="154" xr:uid="{00000000-0005-0000-0000-000027000000}"/>
    <cellStyle name="40% - Accent1 4 2" xfId="289" xr:uid="{00000000-0005-0000-0000-000028000000}"/>
    <cellStyle name="40% - Accent1 5" xfId="204" xr:uid="{00000000-0005-0000-0000-000029000000}"/>
    <cellStyle name="40% - Accent2" xfId="8" builtinId="35" customBuiltin="1"/>
    <cellStyle name="40% - Accent2 2" xfId="73" xr:uid="{00000000-0005-0000-0000-00002B000000}"/>
    <cellStyle name="40% - Accent2 3" xfId="74" xr:uid="{00000000-0005-0000-0000-00002C000000}"/>
    <cellStyle name="40% - Accent2 4" xfId="155" xr:uid="{00000000-0005-0000-0000-00002D000000}"/>
    <cellStyle name="40% - Accent2 4 2" xfId="290" xr:uid="{00000000-0005-0000-0000-00002E000000}"/>
    <cellStyle name="40% - Accent2 5" xfId="205" xr:uid="{00000000-0005-0000-0000-00002F000000}"/>
    <cellStyle name="40% - Accent3" xfId="9" builtinId="39" customBuiltin="1"/>
    <cellStyle name="40% - Accent3 2" xfId="75" xr:uid="{00000000-0005-0000-0000-000031000000}"/>
    <cellStyle name="40% - Accent3 3" xfId="76" xr:uid="{00000000-0005-0000-0000-000032000000}"/>
    <cellStyle name="40% - Accent3 4" xfId="156" xr:uid="{00000000-0005-0000-0000-000033000000}"/>
    <cellStyle name="40% - Accent3 4 2" xfId="291" xr:uid="{00000000-0005-0000-0000-000034000000}"/>
    <cellStyle name="40% - Accent3 5" xfId="206" xr:uid="{00000000-0005-0000-0000-000035000000}"/>
    <cellStyle name="40% - Accent4" xfId="10" builtinId="43" customBuiltin="1"/>
    <cellStyle name="40% - Accent4 2" xfId="77" xr:uid="{00000000-0005-0000-0000-000037000000}"/>
    <cellStyle name="40% - Accent4 3" xfId="78" xr:uid="{00000000-0005-0000-0000-000038000000}"/>
    <cellStyle name="40% - Accent4 4" xfId="157" xr:uid="{00000000-0005-0000-0000-000039000000}"/>
    <cellStyle name="40% - Accent4 4 2" xfId="292" xr:uid="{00000000-0005-0000-0000-00003A000000}"/>
    <cellStyle name="40% - Accent4 5" xfId="207" xr:uid="{00000000-0005-0000-0000-00003B000000}"/>
    <cellStyle name="40% - Accent5" xfId="11" builtinId="47" customBuiltin="1"/>
    <cellStyle name="40% - Accent5 2" xfId="79" xr:uid="{00000000-0005-0000-0000-00003D000000}"/>
    <cellStyle name="40% - Accent5 3" xfId="80" xr:uid="{00000000-0005-0000-0000-00003E000000}"/>
    <cellStyle name="40% - Accent5 4" xfId="158" xr:uid="{00000000-0005-0000-0000-00003F000000}"/>
    <cellStyle name="40% - Accent5 4 2" xfId="293" xr:uid="{00000000-0005-0000-0000-000040000000}"/>
    <cellStyle name="40% - Accent5 5" xfId="208" xr:uid="{00000000-0005-0000-0000-000041000000}"/>
    <cellStyle name="40% - Accent6" xfId="12" builtinId="51" customBuiltin="1"/>
    <cellStyle name="40% - Accent6 2" xfId="81" xr:uid="{00000000-0005-0000-0000-000043000000}"/>
    <cellStyle name="40% - Accent6 3" xfId="82" xr:uid="{00000000-0005-0000-0000-000044000000}"/>
    <cellStyle name="40% - Accent6 4" xfId="159" xr:uid="{00000000-0005-0000-0000-000045000000}"/>
    <cellStyle name="40% - Accent6 4 2" xfId="294" xr:uid="{00000000-0005-0000-0000-000046000000}"/>
    <cellStyle name="40% - Accent6 5" xfId="209" xr:uid="{00000000-0005-0000-0000-000047000000}"/>
    <cellStyle name="60% - Accent1" xfId="13" builtinId="32" customBuiltin="1"/>
    <cellStyle name="60% - Accent1 2" xfId="83" xr:uid="{00000000-0005-0000-0000-000049000000}"/>
    <cellStyle name="60% - Accent1 3" xfId="84" xr:uid="{00000000-0005-0000-0000-00004A000000}"/>
    <cellStyle name="60% - Accent1 4" xfId="160" xr:uid="{00000000-0005-0000-0000-00004B000000}"/>
    <cellStyle name="60% - Accent1 5" xfId="210" xr:uid="{00000000-0005-0000-0000-00004C000000}"/>
    <cellStyle name="60% - Accent2" xfId="14" builtinId="36" customBuiltin="1"/>
    <cellStyle name="60% - Accent2 2" xfId="85" xr:uid="{00000000-0005-0000-0000-00004E000000}"/>
    <cellStyle name="60% - Accent2 3" xfId="86" xr:uid="{00000000-0005-0000-0000-00004F000000}"/>
    <cellStyle name="60% - Accent2 4" xfId="161" xr:uid="{00000000-0005-0000-0000-000050000000}"/>
    <cellStyle name="60% - Accent2 5" xfId="211" xr:uid="{00000000-0005-0000-0000-000051000000}"/>
    <cellStyle name="60% - Accent3" xfId="15" builtinId="40" customBuiltin="1"/>
    <cellStyle name="60% - Accent3 2" xfId="87" xr:uid="{00000000-0005-0000-0000-000053000000}"/>
    <cellStyle name="60% - Accent3 3" xfId="88" xr:uid="{00000000-0005-0000-0000-000054000000}"/>
    <cellStyle name="60% - Accent3 4" xfId="162" xr:uid="{00000000-0005-0000-0000-000055000000}"/>
    <cellStyle name="60% - Accent3 5" xfId="212" xr:uid="{00000000-0005-0000-0000-000056000000}"/>
    <cellStyle name="60% - Accent4" xfId="16" builtinId="44" customBuiltin="1"/>
    <cellStyle name="60% - Accent4 2" xfId="89" xr:uid="{00000000-0005-0000-0000-000058000000}"/>
    <cellStyle name="60% - Accent4 3" xfId="90" xr:uid="{00000000-0005-0000-0000-000059000000}"/>
    <cellStyle name="60% - Accent4 4" xfId="163" xr:uid="{00000000-0005-0000-0000-00005A000000}"/>
    <cellStyle name="60% - Accent4 5" xfId="213" xr:uid="{00000000-0005-0000-0000-00005B000000}"/>
    <cellStyle name="60% - Accent5" xfId="17" builtinId="48" customBuiltin="1"/>
    <cellStyle name="60% - Accent5 2" xfId="91" xr:uid="{00000000-0005-0000-0000-00005D000000}"/>
    <cellStyle name="60% - Accent5 3" xfId="92" xr:uid="{00000000-0005-0000-0000-00005E000000}"/>
    <cellStyle name="60% - Accent5 4" xfId="164" xr:uid="{00000000-0005-0000-0000-00005F000000}"/>
    <cellStyle name="60% - Accent5 5" xfId="214" xr:uid="{00000000-0005-0000-0000-000060000000}"/>
    <cellStyle name="60% - Accent6" xfId="18" builtinId="52" customBuiltin="1"/>
    <cellStyle name="60% - Accent6 2" xfId="93" xr:uid="{00000000-0005-0000-0000-000062000000}"/>
    <cellStyle name="60% - Accent6 3" xfId="94" xr:uid="{00000000-0005-0000-0000-000063000000}"/>
    <cellStyle name="60% - Accent6 4" xfId="165" xr:uid="{00000000-0005-0000-0000-000064000000}"/>
    <cellStyle name="60% - Accent6 5" xfId="215" xr:uid="{00000000-0005-0000-0000-000065000000}"/>
    <cellStyle name="Accent1" xfId="19" builtinId="29" customBuiltin="1"/>
    <cellStyle name="Accent1 2" xfId="95" xr:uid="{00000000-0005-0000-0000-000067000000}"/>
    <cellStyle name="Accent1 3" xfId="96" xr:uid="{00000000-0005-0000-0000-000068000000}"/>
    <cellStyle name="Accent1 4" xfId="166" xr:uid="{00000000-0005-0000-0000-000069000000}"/>
    <cellStyle name="Accent1 5" xfId="216" xr:uid="{00000000-0005-0000-0000-00006A000000}"/>
    <cellStyle name="Accent2" xfId="20" builtinId="33" customBuiltin="1"/>
    <cellStyle name="Accent2 2" xfId="97" xr:uid="{00000000-0005-0000-0000-00006C000000}"/>
    <cellStyle name="Accent2 3" xfId="98" xr:uid="{00000000-0005-0000-0000-00006D000000}"/>
    <cellStyle name="Accent2 4" xfId="167" xr:uid="{00000000-0005-0000-0000-00006E000000}"/>
    <cellStyle name="Accent2 5" xfId="217" xr:uid="{00000000-0005-0000-0000-00006F000000}"/>
    <cellStyle name="Accent3" xfId="21" builtinId="37" customBuiltin="1"/>
    <cellStyle name="Accent3 2" xfId="99" xr:uid="{00000000-0005-0000-0000-000071000000}"/>
    <cellStyle name="Accent3 3" xfId="100" xr:uid="{00000000-0005-0000-0000-000072000000}"/>
    <cellStyle name="Accent3 4" xfId="168" xr:uid="{00000000-0005-0000-0000-000073000000}"/>
    <cellStyle name="Accent3 5" xfId="218" xr:uid="{00000000-0005-0000-0000-000074000000}"/>
    <cellStyle name="Accent4" xfId="22" builtinId="41" customBuiltin="1"/>
    <cellStyle name="Accent4 2" xfId="101" xr:uid="{00000000-0005-0000-0000-000076000000}"/>
    <cellStyle name="Accent4 3" xfId="102" xr:uid="{00000000-0005-0000-0000-000077000000}"/>
    <cellStyle name="Accent4 4" xfId="169" xr:uid="{00000000-0005-0000-0000-000078000000}"/>
    <cellStyle name="Accent4 5" xfId="219" xr:uid="{00000000-0005-0000-0000-000079000000}"/>
    <cellStyle name="Accent5" xfId="23" builtinId="45" customBuiltin="1"/>
    <cellStyle name="Accent5 2" xfId="103" xr:uid="{00000000-0005-0000-0000-00007B000000}"/>
    <cellStyle name="Accent5 3" xfId="104" xr:uid="{00000000-0005-0000-0000-00007C000000}"/>
    <cellStyle name="Accent5 4" xfId="170" xr:uid="{00000000-0005-0000-0000-00007D000000}"/>
    <cellStyle name="Accent5 5" xfId="220" xr:uid="{00000000-0005-0000-0000-00007E000000}"/>
    <cellStyle name="Accent6" xfId="24" builtinId="49" customBuiltin="1"/>
    <cellStyle name="Accent6 2" xfId="105" xr:uid="{00000000-0005-0000-0000-000080000000}"/>
    <cellStyle name="Accent6 3" xfId="106" xr:uid="{00000000-0005-0000-0000-000081000000}"/>
    <cellStyle name="Accent6 4" xfId="171" xr:uid="{00000000-0005-0000-0000-000082000000}"/>
    <cellStyle name="Accent6 5" xfId="221" xr:uid="{00000000-0005-0000-0000-000083000000}"/>
    <cellStyle name="Bad" xfId="25" builtinId="27" customBuiltin="1"/>
    <cellStyle name="Bad 2" xfId="107" xr:uid="{00000000-0005-0000-0000-000085000000}"/>
    <cellStyle name="Bad 3" xfId="108" xr:uid="{00000000-0005-0000-0000-000086000000}"/>
    <cellStyle name="Bad 4" xfId="172" xr:uid="{00000000-0005-0000-0000-000087000000}"/>
    <cellStyle name="Bad 5" xfId="222" xr:uid="{00000000-0005-0000-0000-000088000000}"/>
    <cellStyle name="Calculation" xfId="26" builtinId="22" customBuiltin="1"/>
    <cellStyle name="Calculation 2" xfId="109" xr:uid="{00000000-0005-0000-0000-00008A000000}"/>
    <cellStyle name="Calculation 3" xfId="110" xr:uid="{00000000-0005-0000-0000-00008B000000}"/>
    <cellStyle name="Calculation 4" xfId="173" xr:uid="{00000000-0005-0000-0000-00008C000000}"/>
    <cellStyle name="Calculation 5" xfId="223" xr:uid="{00000000-0005-0000-0000-00008D000000}"/>
    <cellStyle name="Check Cell" xfId="27" builtinId="23" customBuiltin="1"/>
    <cellStyle name="Check Cell 2" xfId="111" xr:uid="{00000000-0005-0000-0000-00008F000000}"/>
    <cellStyle name="Check Cell 3" xfId="112" xr:uid="{00000000-0005-0000-0000-000090000000}"/>
    <cellStyle name="Check Cell 4" xfId="174" xr:uid="{00000000-0005-0000-0000-000091000000}"/>
    <cellStyle name="Check Cell 5" xfId="224" xr:uid="{00000000-0005-0000-0000-000092000000}"/>
    <cellStyle name="Comma" xfId="194" builtinId="3"/>
    <cellStyle name="Comma 2" xfId="175" xr:uid="{00000000-0005-0000-0000-000094000000}"/>
    <cellStyle name="Comma 3" xfId="147" xr:uid="{00000000-0005-0000-0000-000095000000}"/>
    <cellStyle name="Comma 3 2" xfId="282" xr:uid="{00000000-0005-0000-0000-000096000000}"/>
    <cellStyle name="Comma 4" xfId="307" xr:uid="{00000000-0005-0000-0000-000097000000}"/>
    <cellStyle name="Comma 4 2" xfId="322" xr:uid="{00000000-0005-0000-0000-000098000000}"/>
    <cellStyle name="Comma 5" xfId="335" xr:uid="{00000000-0005-0000-0000-000099000000}"/>
    <cellStyle name="Currency 2" xfId="295" xr:uid="{00000000-0005-0000-0000-00009A000000}"/>
    <cellStyle name="Explanatory Text" xfId="28" builtinId="53" customBuiltin="1"/>
    <cellStyle name="Explanatory Text 2" xfId="113" xr:uid="{00000000-0005-0000-0000-00009C000000}"/>
    <cellStyle name="Explanatory Text 3" xfId="114" xr:uid="{00000000-0005-0000-0000-00009D000000}"/>
    <cellStyle name="Explanatory Text 4" xfId="176" xr:uid="{00000000-0005-0000-0000-00009E000000}"/>
    <cellStyle name="Explanatory Text 5" xfId="225" xr:uid="{00000000-0005-0000-0000-00009F000000}"/>
    <cellStyle name="Good" xfId="29" builtinId="26" customBuiltin="1"/>
    <cellStyle name="Good 2" xfId="115" xr:uid="{00000000-0005-0000-0000-0000A1000000}"/>
    <cellStyle name="Good 3" xfId="116" xr:uid="{00000000-0005-0000-0000-0000A2000000}"/>
    <cellStyle name="Good 4" xfId="177" xr:uid="{00000000-0005-0000-0000-0000A3000000}"/>
    <cellStyle name="Good 5" xfId="226" xr:uid="{00000000-0005-0000-0000-0000A4000000}"/>
    <cellStyle name="Heading 1" xfId="30" builtinId="16" customBuiltin="1"/>
    <cellStyle name="Heading 1 2" xfId="117" xr:uid="{00000000-0005-0000-0000-0000A6000000}"/>
    <cellStyle name="Heading 1 3" xfId="118" xr:uid="{00000000-0005-0000-0000-0000A7000000}"/>
    <cellStyle name="Heading 1 4" xfId="178" xr:uid="{00000000-0005-0000-0000-0000A8000000}"/>
    <cellStyle name="Heading 1 5" xfId="227" xr:uid="{00000000-0005-0000-0000-0000A9000000}"/>
    <cellStyle name="Heading 2" xfId="31" builtinId="17" customBuiltin="1"/>
    <cellStyle name="Heading 2 2" xfId="119" xr:uid="{00000000-0005-0000-0000-0000AB000000}"/>
    <cellStyle name="Heading 2 3" xfId="120" xr:uid="{00000000-0005-0000-0000-0000AC000000}"/>
    <cellStyle name="Heading 2 4" xfId="179" xr:uid="{00000000-0005-0000-0000-0000AD000000}"/>
    <cellStyle name="Heading 2 5" xfId="228" xr:uid="{00000000-0005-0000-0000-0000AE000000}"/>
    <cellStyle name="Heading 3" xfId="32" builtinId="18" customBuiltin="1"/>
    <cellStyle name="Heading 3 2" xfId="121" xr:uid="{00000000-0005-0000-0000-0000B0000000}"/>
    <cellStyle name="Heading 3 3" xfId="122" xr:uid="{00000000-0005-0000-0000-0000B1000000}"/>
    <cellStyle name="Heading 3 4" xfId="180" xr:uid="{00000000-0005-0000-0000-0000B2000000}"/>
    <cellStyle name="Heading 3 5" xfId="229" xr:uid="{00000000-0005-0000-0000-0000B3000000}"/>
    <cellStyle name="Heading 4" xfId="33" builtinId="19" customBuiltin="1"/>
    <cellStyle name="Heading 4 2" xfId="123" xr:uid="{00000000-0005-0000-0000-0000B5000000}"/>
    <cellStyle name="Heading 4 3" xfId="124" xr:uid="{00000000-0005-0000-0000-0000B6000000}"/>
    <cellStyle name="Heading 4 4" xfId="181" xr:uid="{00000000-0005-0000-0000-0000B7000000}"/>
    <cellStyle name="Heading 4 5" xfId="230" xr:uid="{00000000-0005-0000-0000-0000B8000000}"/>
    <cellStyle name="Input" xfId="34" builtinId="20" customBuiltin="1"/>
    <cellStyle name="Input 2" xfId="125" xr:uid="{00000000-0005-0000-0000-0000BA000000}"/>
    <cellStyle name="Input 3" xfId="126" xr:uid="{00000000-0005-0000-0000-0000BB000000}"/>
    <cellStyle name="Input 4" xfId="182" xr:uid="{00000000-0005-0000-0000-0000BC000000}"/>
    <cellStyle name="Input 5" xfId="231" xr:uid="{00000000-0005-0000-0000-0000BD000000}"/>
    <cellStyle name="Linked Cell" xfId="35" builtinId="24" customBuiltin="1"/>
    <cellStyle name="Linked Cell 2" xfId="127" xr:uid="{00000000-0005-0000-0000-0000BF000000}"/>
    <cellStyle name="Linked Cell 3" xfId="128" xr:uid="{00000000-0005-0000-0000-0000C0000000}"/>
    <cellStyle name="Linked Cell 4" xfId="183" xr:uid="{00000000-0005-0000-0000-0000C1000000}"/>
    <cellStyle name="Linked Cell 5" xfId="232" xr:uid="{00000000-0005-0000-0000-0000C2000000}"/>
    <cellStyle name="Neutral" xfId="36" builtinId="28" customBuiltin="1"/>
    <cellStyle name="Neutral 2" xfId="129" xr:uid="{00000000-0005-0000-0000-0000C4000000}"/>
    <cellStyle name="Neutral 3" xfId="130" xr:uid="{00000000-0005-0000-0000-0000C5000000}"/>
    <cellStyle name="Neutral 4" xfId="184" xr:uid="{00000000-0005-0000-0000-0000C6000000}"/>
    <cellStyle name="Neutral 5" xfId="233" xr:uid="{00000000-0005-0000-0000-0000C7000000}"/>
    <cellStyle name="Normal" xfId="0" builtinId="0"/>
    <cellStyle name="Normal 10" xfId="50" xr:uid="{00000000-0005-0000-0000-0000C9000000}"/>
    <cellStyle name="Normal 10 2" xfId="247" xr:uid="{00000000-0005-0000-0000-0000CA000000}"/>
    <cellStyle name="Normal 11" xfId="51" xr:uid="{00000000-0005-0000-0000-0000CB000000}"/>
    <cellStyle name="Normal 11 2" xfId="248" xr:uid="{00000000-0005-0000-0000-0000CC000000}"/>
    <cellStyle name="Normal 12" xfId="52" xr:uid="{00000000-0005-0000-0000-0000CD000000}"/>
    <cellStyle name="Normal 12 2" xfId="249" xr:uid="{00000000-0005-0000-0000-0000CE000000}"/>
    <cellStyle name="Normal 13" xfId="53" xr:uid="{00000000-0005-0000-0000-0000CF000000}"/>
    <cellStyle name="Normal 13 2" xfId="250" xr:uid="{00000000-0005-0000-0000-0000D0000000}"/>
    <cellStyle name="Normal 14" xfId="54" xr:uid="{00000000-0005-0000-0000-0000D1000000}"/>
    <cellStyle name="Normal 14 2" xfId="251" xr:uid="{00000000-0005-0000-0000-0000D2000000}"/>
    <cellStyle name="Normal 15" xfId="55" xr:uid="{00000000-0005-0000-0000-0000D3000000}"/>
    <cellStyle name="Normal 15 2" xfId="252" xr:uid="{00000000-0005-0000-0000-0000D4000000}"/>
    <cellStyle name="Normal 16" xfId="56" xr:uid="{00000000-0005-0000-0000-0000D5000000}"/>
    <cellStyle name="Normal 16 2" xfId="253" xr:uid="{00000000-0005-0000-0000-0000D6000000}"/>
    <cellStyle name="Normal 17" xfId="57" xr:uid="{00000000-0005-0000-0000-0000D7000000}"/>
    <cellStyle name="Normal 17 2" xfId="254" xr:uid="{00000000-0005-0000-0000-0000D8000000}"/>
    <cellStyle name="Normal 18" xfId="58" xr:uid="{00000000-0005-0000-0000-0000D9000000}"/>
    <cellStyle name="Normal 19" xfId="141" xr:uid="{00000000-0005-0000-0000-0000DA000000}"/>
    <cellStyle name="Normal 19 2" xfId="276" xr:uid="{00000000-0005-0000-0000-0000DB000000}"/>
    <cellStyle name="Normal 2" xfId="37" xr:uid="{00000000-0005-0000-0000-0000DC000000}"/>
    <cellStyle name="Normal 2 2" xfId="234" xr:uid="{00000000-0005-0000-0000-0000DD000000}"/>
    <cellStyle name="Normal 20" xfId="143" xr:uid="{00000000-0005-0000-0000-0000DE000000}"/>
    <cellStyle name="Normal 20 2" xfId="278" xr:uid="{00000000-0005-0000-0000-0000DF000000}"/>
    <cellStyle name="Normal 21" xfId="144" xr:uid="{00000000-0005-0000-0000-0000E0000000}"/>
    <cellStyle name="Normal 21 2" xfId="279" xr:uid="{00000000-0005-0000-0000-0000E1000000}"/>
    <cellStyle name="Normal 22" xfId="145" xr:uid="{00000000-0005-0000-0000-0000E2000000}"/>
    <cellStyle name="Normal 22 2" xfId="146" xr:uid="{00000000-0005-0000-0000-0000E3000000}"/>
    <cellStyle name="Normal 22 2 2" xfId="281" xr:uid="{00000000-0005-0000-0000-0000E4000000}"/>
    <cellStyle name="Normal 22 3" xfId="280" xr:uid="{00000000-0005-0000-0000-0000E5000000}"/>
    <cellStyle name="Normal 23" xfId="185" xr:uid="{00000000-0005-0000-0000-0000E6000000}"/>
    <cellStyle name="Normal 23 2" xfId="301" xr:uid="{00000000-0005-0000-0000-0000E7000000}"/>
    <cellStyle name="Normal 24" xfId="191" xr:uid="{00000000-0005-0000-0000-0000E8000000}"/>
    <cellStyle name="Normal 24 2" xfId="304" xr:uid="{00000000-0005-0000-0000-0000E9000000}"/>
    <cellStyle name="Normal 25" xfId="192" xr:uid="{00000000-0005-0000-0000-0000EA000000}"/>
    <cellStyle name="Normal 25 2" xfId="305" xr:uid="{00000000-0005-0000-0000-0000EB000000}"/>
    <cellStyle name="Normal 26" xfId="193" xr:uid="{00000000-0005-0000-0000-0000EC000000}"/>
    <cellStyle name="Normal 26 2" xfId="306" xr:uid="{00000000-0005-0000-0000-0000ED000000}"/>
    <cellStyle name="Normal 27" xfId="195" xr:uid="{00000000-0005-0000-0000-0000EE000000}"/>
    <cellStyle name="Normal 27 2" xfId="308" xr:uid="{00000000-0005-0000-0000-0000EF000000}"/>
    <cellStyle name="Normal 28" xfId="196" xr:uid="{00000000-0005-0000-0000-0000F0000000}"/>
    <cellStyle name="Normal 29" xfId="197" xr:uid="{00000000-0005-0000-0000-0000F1000000}"/>
    <cellStyle name="Normal 29 2" xfId="321" xr:uid="{00000000-0005-0000-0000-0000F2000000}"/>
    <cellStyle name="Normal 3" xfId="43" xr:uid="{00000000-0005-0000-0000-0000F3000000}"/>
    <cellStyle name="Normal 3 2" xfId="240" xr:uid="{00000000-0005-0000-0000-0000F4000000}"/>
    <cellStyle name="Normal 3 3" xfId="336" xr:uid="{00000000-0005-0000-0000-0000F5000000}"/>
    <cellStyle name="Normal 30" xfId="310" xr:uid="{00000000-0005-0000-0000-0000F6000000}"/>
    <cellStyle name="Normal 31" xfId="311" xr:uid="{00000000-0005-0000-0000-0000F7000000}"/>
    <cellStyle name="Normal 32" xfId="312" xr:uid="{00000000-0005-0000-0000-0000F8000000}"/>
    <cellStyle name="Normal 33" xfId="271" xr:uid="{00000000-0005-0000-0000-0000F9000000}"/>
    <cellStyle name="Normal 33 2" xfId="328" xr:uid="{00000000-0005-0000-0000-0000FA000000}"/>
    <cellStyle name="Normal 34" xfId="314" xr:uid="{00000000-0005-0000-0000-0000FB000000}"/>
    <cellStyle name="Normal 35" xfId="263" xr:uid="{00000000-0005-0000-0000-0000FC000000}"/>
    <cellStyle name="Normal 36" xfId="262" xr:uid="{00000000-0005-0000-0000-0000FD000000}"/>
    <cellStyle name="Normal 37" xfId="298" xr:uid="{00000000-0005-0000-0000-0000FE000000}"/>
    <cellStyle name="Normal 38" xfId="275" xr:uid="{00000000-0005-0000-0000-0000FF000000}"/>
    <cellStyle name="Normal 39" xfId="317" xr:uid="{00000000-0005-0000-0000-000000010000}"/>
    <cellStyle name="Normal 4" xfId="44" xr:uid="{00000000-0005-0000-0000-000001010000}"/>
    <cellStyle name="Normal 4 2" xfId="241" xr:uid="{00000000-0005-0000-0000-000002010000}"/>
    <cellStyle name="Normal 4 2 2" xfId="327" xr:uid="{00000000-0005-0000-0000-000003010000}"/>
    <cellStyle name="Normal 40" xfId="274" xr:uid="{00000000-0005-0000-0000-000004010000}"/>
    <cellStyle name="Normal 41" xfId="270" xr:uid="{00000000-0005-0000-0000-000005010000}"/>
    <cellStyle name="Normal 42" xfId="266" xr:uid="{00000000-0005-0000-0000-000006010000}"/>
    <cellStyle name="Normal 43" xfId="261" xr:uid="{00000000-0005-0000-0000-000007010000}"/>
    <cellStyle name="Normal 44" xfId="260" xr:uid="{00000000-0005-0000-0000-000008010000}"/>
    <cellStyle name="Normal 45" xfId="269" xr:uid="{00000000-0005-0000-0000-000009010000}"/>
    <cellStyle name="Normal 46" xfId="296" xr:uid="{00000000-0005-0000-0000-00000A010000}"/>
    <cellStyle name="Normal 47" xfId="318" xr:uid="{00000000-0005-0000-0000-00000B010000}"/>
    <cellStyle name="Normal 48" xfId="300" xr:uid="{00000000-0005-0000-0000-00000C010000}"/>
    <cellStyle name="Normal 49" xfId="297" xr:uid="{00000000-0005-0000-0000-00000D010000}"/>
    <cellStyle name="Normal 5" xfId="45" xr:uid="{00000000-0005-0000-0000-00000E010000}"/>
    <cellStyle name="Normal 5 2" xfId="242" xr:uid="{00000000-0005-0000-0000-00000F010000}"/>
    <cellStyle name="Normal 50" xfId="315" xr:uid="{00000000-0005-0000-0000-000010010000}"/>
    <cellStyle name="Normal 51" xfId="259" xr:uid="{00000000-0005-0000-0000-000011010000}"/>
    <cellStyle name="Normal 52" xfId="258" xr:uid="{00000000-0005-0000-0000-000012010000}"/>
    <cellStyle name="Normal 53" xfId="268" xr:uid="{00000000-0005-0000-0000-000013010000}"/>
    <cellStyle name="Normal 54" xfId="303" xr:uid="{00000000-0005-0000-0000-000014010000}"/>
    <cellStyle name="Normal 55" xfId="319" xr:uid="{00000000-0005-0000-0000-000015010000}"/>
    <cellStyle name="Normal 56" xfId="273" xr:uid="{00000000-0005-0000-0000-000016010000}"/>
    <cellStyle name="Normal 57" xfId="267" xr:uid="{00000000-0005-0000-0000-000017010000}"/>
    <cellStyle name="Normal 58" xfId="265" xr:uid="{00000000-0005-0000-0000-000018010000}"/>
    <cellStyle name="Normal 59" xfId="257" xr:uid="{00000000-0005-0000-0000-000019010000}"/>
    <cellStyle name="Normal 6" xfId="46" xr:uid="{00000000-0005-0000-0000-00001A010000}"/>
    <cellStyle name="Normal 6 2" xfId="243" xr:uid="{00000000-0005-0000-0000-00001B010000}"/>
    <cellStyle name="Normal 60" xfId="256" xr:uid="{00000000-0005-0000-0000-00001C010000}"/>
    <cellStyle name="Normal 61" xfId="313" xr:uid="{00000000-0005-0000-0000-00001D010000}"/>
    <cellStyle name="Normal 62" xfId="264" xr:uid="{00000000-0005-0000-0000-00001E010000}"/>
    <cellStyle name="Normal 63" xfId="320" xr:uid="{00000000-0005-0000-0000-00001F010000}"/>
    <cellStyle name="Normal 64" xfId="272" xr:uid="{00000000-0005-0000-0000-000020010000}"/>
    <cellStyle name="Normal 65" xfId="299" xr:uid="{00000000-0005-0000-0000-000021010000}"/>
    <cellStyle name="Normal 66" xfId="316" xr:uid="{00000000-0005-0000-0000-000022010000}"/>
    <cellStyle name="Normal 67" xfId="255" xr:uid="{00000000-0005-0000-0000-000023010000}"/>
    <cellStyle name="Normal 68" xfId="323" xr:uid="{00000000-0005-0000-0000-000024010000}"/>
    <cellStyle name="Normal 69" xfId="324" xr:uid="{00000000-0005-0000-0000-000025010000}"/>
    <cellStyle name="Normal 7" xfId="47" xr:uid="{00000000-0005-0000-0000-000026010000}"/>
    <cellStyle name="Normal 7 2" xfId="244" xr:uid="{00000000-0005-0000-0000-000027010000}"/>
    <cellStyle name="Normal 70" xfId="325" xr:uid="{00000000-0005-0000-0000-000028010000}"/>
    <cellStyle name="Normal 71" xfId="326" xr:uid="{00000000-0005-0000-0000-000029010000}"/>
    <cellStyle name="Normal 72" xfId="329" xr:uid="{00000000-0005-0000-0000-00002A010000}"/>
    <cellStyle name="Normal 73" xfId="330" xr:uid="{00000000-0005-0000-0000-00002B010000}"/>
    <cellStyle name="Normal 74" xfId="331" xr:uid="{00000000-0005-0000-0000-00002C010000}"/>
    <cellStyle name="Normal 75" xfId="332" xr:uid="{00000000-0005-0000-0000-00002D010000}"/>
    <cellStyle name="Normal 76" xfId="333" xr:uid="{00000000-0005-0000-0000-00002E010000}"/>
    <cellStyle name="Normal 77" xfId="334" xr:uid="{00000000-0005-0000-0000-00002F010000}"/>
    <cellStyle name="Normal 78" xfId="337" xr:uid="{00000000-0005-0000-0000-000030010000}"/>
    <cellStyle name="Normal 79" xfId="338" xr:uid="{5107EE74-57E6-477E-822F-A1321648BF70}"/>
    <cellStyle name="Normal 8" xfId="48" xr:uid="{00000000-0005-0000-0000-000031010000}"/>
    <cellStyle name="Normal 8 2" xfId="142" xr:uid="{00000000-0005-0000-0000-000032010000}"/>
    <cellStyle name="Normal 8 2 2" xfId="277" xr:uid="{00000000-0005-0000-0000-000033010000}"/>
    <cellStyle name="Normal 8 3" xfId="245" xr:uid="{00000000-0005-0000-0000-000034010000}"/>
    <cellStyle name="Normal 80" xfId="339" xr:uid="{E65342D9-6B7C-425E-914C-30A235FB6E45}"/>
    <cellStyle name="Normal 81" xfId="340" xr:uid="{7DA40AFC-5F17-40E5-89BB-5600B2689C5D}"/>
    <cellStyle name="Normal 82" xfId="341" xr:uid="{C38EC35C-E2D7-46AF-B9ED-0AEA5A0623CB}"/>
    <cellStyle name="Normal 83" xfId="342" xr:uid="{222036B6-8D8F-4D96-8872-0CC12B973C41}"/>
    <cellStyle name="Normal 84" xfId="343" xr:uid="{84E666C4-456E-42D4-9CC5-4003582F0CD2}"/>
    <cellStyle name="Normal 85" xfId="344" xr:uid="{A42FA689-D8D4-44C3-BC38-C9953D7F96FF}"/>
    <cellStyle name="Normal 86" xfId="345" xr:uid="{AE779FFA-5071-4902-9D20-293DE6C7BBFA}"/>
    <cellStyle name="Normal 87" xfId="346" xr:uid="{971407F4-4E13-46B9-8120-CF8B5F4FF798}"/>
    <cellStyle name="Normal 88" xfId="347" xr:uid="{396F0D74-A88B-4133-BFBC-96F46E1490C2}"/>
    <cellStyle name="Normal 89" xfId="348" xr:uid="{D474AD78-EF6E-486D-87DE-0F269D6F64BC}"/>
    <cellStyle name="Normal 9" xfId="49" xr:uid="{00000000-0005-0000-0000-000035010000}"/>
    <cellStyle name="Normal 9 2" xfId="246" xr:uid="{00000000-0005-0000-0000-000036010000}"/>
    <cellStyle name="Normal 90" xfId="349" xr:uid="{62F67882-1D2B-47A7-9FE5-2E4F67AA22DE}"/>
    <cellStyle name="Normal 91" xfId="350" xr:uid="{D2E83470-4A90-4B37-946F-5ABB497004BE}"/>
    <cellStyle name="Normal 92" xfId="351" xr:uid="{664AE524-71C2-4FC3-86CD-D8EE2457569E}"/>
    <cellStyle name="Normal 93" xfId="352" xr:uid="{88FCFC88-38DD-4E64-AA63-197FB590F574}"/>
    <cellStyle name="Normal 94" xfId="353" xr:uid="{4122219B-9076-4553-B26E-EAA59D646608}"/>
    <cellStyle name="Note" xfId="38" builtinId="10" customBuiltin="1"/>
    <cellStyle name="Note 2" xfId="131" xr:uid="{00000000-0005-0000-0000-000038010000}"/>
    <cellStyle name="Note 3" xfId="132" xr:uid="{00000000-0005-0000-0000-000039010000}"/>
    <cellStyle name="Note 4" xfId="186" xr:uid="{00000000-0005-0000-0000-00003A010000}"/>
    <cellStyle name="Note 4 2" xfId="302" xr:uid="{00000000-0005-0000-0000-00003B010000}"/>
    <cellStyle name="Note 5" xfId="235" xr:uid="{00000000-0005-0000-0000-00003C010000}"/>
    <cellStyle name="Output" xfId="39" builtinId="21" customBuiltin="1"/>
    <cellStyle name="Output 2" xfId="133" xr:uid="{00000000-0005-0000-0000-00003E010000}"/>
    <cellStyle name="Output 3" xfId="134" xr:uid="{00000000-0005-0000-0000-00003F010000}"/>
    <cellStyle name="Output 4" xfId="187" xr:uid="{00000000-0005-0000-0000-000040010000}"/>
    <cellStyle name="Output 5" xfId="236" xr:uid="{00000000-0005-0000-0000-000041010000}"/>
    <cellStyle name="Percent 2" xfId="309" xr:uid="{00000000-0005-0000-0000-000042010000}"/>
    <cellStyle name="Title" xfId="40" builtinId="15" customBuiltin="1"/>
    <cellStyle name="Title 2" xfId="135" xr:uid="{00000000-0005-0000-0000-000044010000}"/>
    <cellStyle name="Title 3" xfId="136" xr:uid="{00000000-0005-0000-0000-000045010000}"/>
    <cellStyle name="Title 4" xfId="188" xr:uid="{00000000-0005-0000-0000-000046010000}"/>
    <cellStyle name="Title 5" xfId="237" xr:uid="{00000000-0005-0000-0000-000047010000}"/>
    <cellStyle name="Total" xfId="41" builtinId="25" customBuiltin="1"/>
    <cellStyle name="Total 2" xfId="137" xr:uid="{00000000-0005-0000-0000-000049010000}"/>
    <cellStyle name="Total 3" xfId="138" xr:uid="{00000000-0005-0000-0000-00004A010000}"/>
    <cellStyle name="Total 4" xfId="189" xr:uid="{00000000-0005-0000-0000-00004B010000}"/>
    <cellStyle name="Total 5" xfId="238" xr:uid="{00000000-0005-0000-0000-00004C010000}"/>
    <cellStyle name="Warning Text" xfId="42" builtinId="11" customBuiltin="1"/>
    <cellStyle name="Warning Text 2" xfId="139" xr:uid="{00000000-0005-0000-0000-00004E010000}"/>
    <cellStyle name="Warning Text 3" xfId="140" xr:uid="{00000000-0005-0000-0000-00004F010000}"/>
    <cellStyle name="Warning Text 4" xfId="190" xr:uid="{00000000-0005-0000-0000-000050010000}"/>
    <cellStyle name="Warning Text 5" xfId="239" xr:uid="{00000000-0005-0000-0000-000051010000}"/>
  </cellStyles>
  <dxfs count="7">
    <dxf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3407202216067"/>
          <c:y val="7.784442517956057E-2"/>
          <c:w val="0.71052631578947367"/>
          <c:h val="0.66766564673238493"/>
        </c:manualLayout>
      </c:layout>
      <c:lineChart>
        <c:grouping val="standard"/>
        <c:varyColors val="0"/>
        <c:ser>
          <c:idx val="0"/>
          <c:order val="0"/>
          <c:tx>
            <c:strRef>
              <c:f>Rec!$F$33</c:f>
              <c:strCache>
                <c:ptCount val="1"/>
                <c:pt idx="0">
                  <c:v>FY 19/20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Rec!$C$35:$C$46</c:f>
              <c:strCache>
                <c:ptCount val="12"/>
                <c:pt idx="0">
                  <c:v>July</c:v>
                </c:pt>
                <c:pt idx="1">
                  <c:v>August 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Rec!$F$35:$F$46</c:f>
              <c:numCache>
                <c:formatCode>"$"#,##0</c:formatCode>
                <c:ptCount val="12"/>
                <c:pt idx="0">
                  <c:v>1580.080000000009</c:v>
                </c:pt>
                <c:pt idx="1">
                  <c:v>-34872.049999999996</c:v>
                </c:pt>
                <c:pt idx="2">
                  <c:v>-16382.309999999998</c:v>
                </c:pt>
                <c:pt idx="3">
                  <c:v>-21279.739999999998</c:v>
                </c:pt>
                <c:pt idx="4">
                  <c:v>-25510.03</c:v>
                </c:pt>
                <c:pt idx="5">
                  <c:v>-48835.909999999996</c:v>
                </c:pt>
                <c:pt idx="6">
                  <c:v>-61390.099999999991</c:v>
                </c:pt>
                <c:pt idx="7">
                  <c:v>-55503.119999999988</c:v>
                </c:pt>
                <c:pt idx="8">
                  <c:v>-83914.049999999988</c:v>
                </c:pt>
                <c:pt idx="9">
                  <c:v>-83914.049999999988</c:v>
                </c:pt>
                <c:pt idx="10">
                  <c:v>-83545.12999999999</c:v>
                </c:pt>
                <c:pt idx="11">
                  <c:v>123.7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F3-4DCB-A76B-FE0D6D9E863F}"/>
            </c:ext>
          </c:extLst>
        </c:ser>
        <c:ser>
          <c:idx val="1"/>
          <c:order val="1"/>
          <c:tx>
            <c:strRef>
              <c:f>Rec!$G$33</c:f>
              <c:strCache>
                <c:ptCount val="1"/>
                <c:pt idx="0">
                  <c:v>FY 20/21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Rec!$C$35:$C$46</c:f>
              <c:strCache>
                <c:ptCount val="12"/>
                <c:pt idx="0">
                  <c:v>July</c:v>
                </c:pt>
                <c:pt idx="1">
                  <c:v>August 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Rec!$G$35:$G$46</c:f>
              <c:numCache>
                <c:formatCode>"$"#,##0</c:formatCode>
                <c:ptCount val="12"/>
                <c:pt idx="0">
                  <c:v>211.80999999999997</c:v>
                </c:pt>
                <c:pt idx="1">
                  <c:v>336.86</c:v>
                </c:pt>
                <c:pt idx="2">
                  <c:v>472.05</c:v>
                </c:pt>
                <c:pt idx="3">
                  <c:v>1394.43</c:v>
                </c:pt>
                <c:pt idx="4">
                  <c:v>615.27000000000021</c:v>
                </c:pt>
                <c:pt idx="5">
                  <c:v>1179.4100000000003</c:v>
                </c:pt>
                <c:pt idx="6">
                  <c:v>2341.15</c:v>
                </c:pt>
                <c:pt idx="7">
                  <c:v>5133.71</c:v>
                </c:pt>
                <c:pt idx="8">
                  <c:v>1677.3500000000004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F3-4DCB-A76B-FE0D6D9E8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949376"/>
        <c:axId val="181335168"/>
      </c:lineChart>
      <c:catAx>
        <c:axId val="18094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1335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1335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949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149584487534625"/>
          <c:y val="0.34730601788548882"/>
          <c:w val="0.12742382271468145"/>
          <c:h val="0.1287428293020258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</xdr:colOff>
          <xdr:row>2</xdr:row>
          <xdr:rowOff>57150</xdr:rowOff>
        </xdr:from>
        <xdr:to>
          <xdr:col>10</xdr:col>
          <xdr:colOff>590550</xdr:colOff>
          <xdr:row>6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Amex Transactions in Bank Rec Dump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152400</xdr:colOff>
          <xdr:row>3</xdr:row>
          <xdr:rowOff>9525</xdr:rowOff>
        </xdr:from>
        <xdr:to>
          <xdr:col>9</xdr:col>
          <xdr:colOff>619125</xdr:colOff>
          <xdr:row>7</xdr:row>
          <xdr:rowOff>85725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Fectch Amex Sales After Settlement CutOff Time(Syd 1900)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3</xdr:row>
          <xdr:rowOff>57150</xdr:rowOff>
        </xdr:from>
        <xdr:to>
          <xdr:col>9</xdr:col>
          <xdr:colOff>1304925</xdr:colOff>
          <xdr:row>7</xdr:row>
          <xdr:rowOff>95250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Fectch Amex Sales In Midnight Drawers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11</xdr:row>
          <xdr:rowOff>57150</xdr:rowOff>
        </xdr:from>
        <xdr:to>
          <xdr:col>9</xdr:col>
          <xdr:colOff>1304925</xdr:colOff>
          <xdr:row>15</xdr:row>
          <xdr:rowOff>95250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57150</xdr:rowOff>
        </xdr:from>
        <xdr:to>
          <xdr:col>12</xdr:col>
          <xdr:colOff>447675</xdr:colOff>
          <xdr:row>8</xdr:row>
          <xdr:rowOff>95250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5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Midnight Drawers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9</xdr:col>
      <xdr:colOff>600075</xdr:colOff>
      <xdr:row>8</xdr:row>
      <xdr:rowOff>0</xdr:rowOff>
    </xdr:from>
    <xdr:to>
      <xdr:col>9</xdr:col>
      <xdr:colOff>981075</xdr:colOff>
      <xdr:row>11</xdr:row>
      <xdr:rowOff>9525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639175" y="1295400"/>
          <a:ext cx="381000" cy="4953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31</xdr:row>
      <xdr:rowOff>57150</xdr:rowOff>
    </xdr:from>
    <xdr:to>
      <xdr:col>21</xdr:col>
      <xdr:colOff>0</xdr:colOff>
      <xdr:row>51</xdr:row>
      <xdr:rowOff>0</xdr:rowOff>
    </xdr:to>
    <xdr:graphicFrame macro="">
      <xdr:nvGraphicFramePr>
        <xdr:cNvPr id="1060" name="Chart 2">
          <a:extLst>
            <a:ext uri="{FF2B5EF4-FFF2-40B4-BE49-F238E27FC236}">
              <a16:creationId xmlns:a16="http://schemas.microsoft.com/office/drawing/2014/main" id="{00000000-0008-0000-0700-00002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5</xdr:col>
      <xdr:colOff>47625</xdr:colOff>
      <xdr:row>3</xdr:row>
      <xdr:rowOff>85725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71450"/>
          <a:ext cx="271462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nce%20Team/BANK/Merchant%20Numb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4"/>
    </sheetNames>
    <sheetDataSet>
      <sheetData sheetId="0">
        <row r="1">
          <cell r="A1" t="str">
            <v>AMEX NO.</v>
          </cell>
          <cell r="B1" t="str">
            <v>DYNAMIC</v>
          </cell>
          <cell r="C1" t="str">
            <v>A/C NO.</v>
          </cell>
        </row>
        <row r="2">
          <cell r="C2" t="str">
            <v>AUSTRALIAN WAY STORES</v>
          </cell>
        </row>
        <row r="3">
          <cell r="A3">
            <v>9795564848</v>
          </cell>
          <cell r="C3" t="str">
            <v>Head Office 9990</v>
          </cell>
        </row>
        <row r="4">
          <cell r="A4">
            <v>9795695121</v>
          </cell>
          <cell r="C4" t="str">
            <v>CLOSED4005</v>
          </cell>
        </row>
        <row r="5">
          <cell r="A5">
            <v>9794467233</v>
          </cell>
          <cell r="C5">
            <v>8006</v>
          </cell>
        </row>
        <row r="6">
          <cell r="A6">
            <v>9794911263</v>
          </cell>
          <cell r="B6">
            <v>59470041</v>
          </cell>
          <cell r="C6">
            <v>4775</v>
          </cell>
        </row>
        <row r="7">
          <cell r="C7" t="str">
            <v>CLOSED4008</v>
          </cell>
        </row>
        <row r="8">
          <cell r="A8">
            <v>9797173135</v>
          </cell>
          <cell r="C8">
            <v>2012</v>
          </cell>
        </row>
        <row r="9">
          <cell r="A9">
            <v>9797365160</v>
          </cell>
          <cell r="C9">
            <v>6165</v>
          </cell>
        </row>
        <row r="10">
          <cell r="A10">
            <v>9796381374</v>
          </cell>
          <cell r="C10">
            <v>3019</v>
          </cell>
        </row>
        <row r="11">
          <cell r="A11">
            <v>9790071724</v>
          </cell>
          <cell r="C11" t="str">
            <v>CLOSED3025</v>
          </cell>
        </row>
        <row r="12">
          <cell r="A12">
            <v>9796910305</v>
          </cell>
          <cell r="C12">
            <v>6026</v>
          </cell>
        </row>
        <row r="13">
          <cell r="A13">
            <v>9796910263</v>
          </cell>
          <cell r="C13">
            <v>6087</v>
          </cell>
        </row>
        <row r="14">
          <cell r="A14">
            <v>9790502157</v>
          </cell>
          <cell r="C14">
            <v>5053</v>
          </cell>
        </row>
        <row r="15">
          <cell r="A15">
            <v>9792908378</v>
          </cell>
          <cell r="C15" t="str">
            <v>CLOSED4036</v>
          </cell>
        </row>
        <row r="16">
          <cell r="A16">
            <v>9790446520</v>
          </cell>
          <cell r="B16">
            <v>59470032</v>
          </cell>
          <cell r="C16">
            <v>3175</v>
          </cell>
        </row>
        <row r="17">
          <cell r="A17">
            <v>9793434333</v>
          </cell>
          <cell r="C17">
            <v>7064</v>
          </cell>
        </row>
        <row r="18">
          <cell r="A18">
            <v>9798043451</v>
          </cell>
          <cell r="C18">
            <v>6176</v>
          </cell>
        </row>
        <row r="19">
          <cell r="A19">
            <v>9798040218</v>
          </cell>
          <cell r="C19" t="str">
            <v>CLOSED4023</v>
          </cell>
        </row>
        <row r="20">
          <cell r="A20">
            <v>9799889340</v>
          </cell>
          <cell r="C20" t="str">
            <v>CLOSED3160</v>
          </cell>
        </row>
        <row r="21">
          <cell r="A21">
            <v>9790675300</v>
          </cell>
          <cell r="C21" t="str">
            <v>CLOSED2207</v>
          </cell>
        </row>
        <row r="22">
          <cell r="A22">
            <v>9794911297</v>
          </cell>
          <cell r="B22">
            <v>59470042</v>
          </cell>
          <cell r="C22">
            <v>4170</v>
          </cell>
        </row>
        <row r="23">
          <cell r="A23">
            <v>9791790223</v>
          </cell>
          <cell r="C23" t="str">
            <v>CLOSED2009</v>
          </cell>
        </row>
        <row r="24">
          <cell r="A24">
            <v>8038344776</v>
          </cell>
          <cell r="C24">
            <v>6176</v>
          </cell>
        </row>
        <row r="27">
          <cell r="A27" t="str">
            <v/>
          </cell>
          <cell r="C27" t="str">
            <v>R M WILLIAMS STORES</v>
          </cell>
        </row>
        <row r="28">
          <cell r="A28">
            <v>9797550118</v>
          </cell>
          <cell r="C28" t="str">
            <v>CLOSED2016</v>
          </cell>
        </row>
        <row r="29">
          <cell r="A29">
            <v>9797087012</v>
          </cell>
          <cell r="C29" t="str">
            <v>CLOSED3018</v>
          </cell>
        </row>
        <row r="30">
          <cell r="A30">
            <v>9792362485</v>
          </cell>
          <cell r="C30" t="str">
            <v>CLOSED3039</v>
          </cell>
        </row>
        <row r="31">
          <cell r="A31" t="str">
            <v/>
          </cell>
        </row>
        <row r="32">
          <cell r="A32" t="str">
            <v/>
          </cell>
          <cell r="C32" t="str">
            <v>CARRION STORES</v>
          </cell>
        </row>
        <row r="33">
          <cell r="A33">
            <v>9797542537</v>
          </cell>
          <cell r="C33">
            <v>2013</v>
          </cell>
        </row>
        <row r="34">
          <cell r="A34">
            <v>9792908386</v>
          </cell>
          <cell r="C34">
            <v>3034</v>
          </cell>
        </row>
        <row r="35">
          <cell r="A35">
            <v>9792728388</v>
          </cell>
          <cell r="C35" t="str">
            <v>CLOSED2056</v>
          </cell>
        </row>
        <row r="36">
          <cell r="A36">
            <v>9792990905</v>
          </cell>
          <cell r="B36">
            <v>59470039</v>
          </cell>
          <cell r="C36" t="str">
            <v>CLOSED4082</v>
          </cell>
        </row>
        <row r="37">
          <cell r="A37">
            <v>9792990947</v>
          </cell>
          <cell r="C37">
            <v>4085</v>
          </cell>
        </row>
        <row r="38">
          <cell r="A38">
            <v>9790678361</v>
          </cell>
          <cell r="C38">
            <v>5192</v>
          </cell>
        </row>
        <row r="39">
          <cell r="A39">
            <v>9791790215</v>
          </cell>
          <cell r="C39" t="str">
            <v>CLOSED2004</v>
          </cell>
        </row>
        <row r="40">
          <cell r="A40">
            <v>8031216880</v>
          </cell>
          <cell r="C40" t="str">
            <v>CLOSED4155</v>
          </cell>
        </row>
        <row r="41">
          <cell r="A41">
            <v>8032504797</v>
          </cell>
          <cell r="C41" t="str">
            <v>CLOSED2105</v>
          </cell>
        </row>
        <row r="43">
          <cell r="A43" t="str">
            <v/>
          </cell>
          <cell r="C43" t="str">
            <v>&amp; BEYOND STORES</v>
          </cell>
        </row>
        <row r="44">
          <cell r="A44">
            <v>9797820412</v>
          </cell>
          <cell r="C44" t="str">
            <v>CLOSED4022</v>
          </cell>
        </row>
        <row r="45">
          <cell r="A45">
            <v>9797081148</v>
          </cell>
          <cell r="C45">
            <v>3028</v>
          </cell>
        </row>
        <row r="46">
          <cell r="A46">
            <v>8038231833</v>
          </cell>
          <cell r="C46">
            <v>3228</v>
          </cell>
        </row>
        <row r="47">
          <cell r="A47">
            <v>9792020281</v>
          </cell>
          <cell r="C47">
            <v>3213</v>
          </cell>
        </row>
        <row r="48">
          <cell r="A48">
            <v>9791719552</v>
          </cell>
          <cell r="C48">
            <v>7079</v>
          </cell>
        </row>
        <row r="49">
          <cell r="A49">
            <v>9792931776</v>
          </cell>
          <cell r="C49">
            <v>4530</v>
          </cell>
        </row>
        <row r="50">
          <cell r="A50">
            <v>9792367740</v>
          </cell>
          <cell r="C50" t="str">
            <v>CLOSED4043</v>
          </cell>
        </row>
        <row r="51">
          <cell r="A51">
            <v>9792728370</v>
          </cell>
          <cell r="C51" t="str">
            <v>CLOSED2055</v>
          </cell>
        </row>
        <row r="52">
          <cell r="A52">
            <v>8032880387</v>
          </cell>
          <cell r="C52">
            <v>4107</v>
          </cell>
        </row>
        <row r="53">
          <cell r="A53" t="str">
            <v/>
          </cell>
        </row>
        <row r="54">
          <cell r="A54" t="str">
            <v/>
          </cell>
          <cell r="C54" t="str">
            <v>RUNWAY NEWS</v>
          </cell>
        </row>
        <row r="55">
          <cell r="A55">
            <v>9793815051</v>
          </cell>
          <cell r="C55">
            <v>8030</v>
          </cell>
        </row>
        <row r="56">
          <cell r="A56">
            <v>9793815069</v>
          </cell>
          <cell r="C56">
            <v>8188</v>
          </cell>
        </row>
        <row r="57">
          <cell r="A57">
            <v>9791719545</v>
          </cell>
          <cell r="C57">
            <v>7078</v>
          </cell>
        </row>
        <row r="58">
          <cell r="A58">
            <v>9792619132</v>
          </cell>
          <cell r="C58">
            <v>2450</v>
          </cell>
        </row>
        <row r="59">
          <cell r="A59" t="str">
            <v/>
          </cell>
        </row>
        <row r="60">
          <cell r="A60" t="str">
            <v/>
          </cell>
          <cell r="C60" t="str">
            <v>AROUND AUSTRALIA</v>
          </cell>
        </row>
        <row r="61">
          <cell r="A61" t="str">
            <v/>
          </cell>
        </row>
        <row r="62">
          <cell r="A62">
            <v>9792455610</v>
          </cell>
          <cell r="C62" t="str">
            <v>CLOSED2052</v>
          </cell>
        </row>
        <row r="63">
          <cell r="A63">
            <v>9798851820</v>
          </cell>
          <cell r="B63">
            <v>59470040</v>
          </cell>
          <cell r="C63" t="str">
            <v>CLOSED4073</v>
          </cell>
        </row>
        <row r="64">
          <cell r="A64">
            <v>9798617163</v>
          </cell>
          <cell r="C64" t="str">
            <v>CLOSED2126</v>
          </cell>
        </row>
        <row r="65">
          <cell r="A65">
            <v>9798617171</v>
          </cell>
          <cell r="C65" t="str">
            <v>CLOSED2127</v>
          </cell>
        </row>
        <row r="66">
          <cell r="A66">
            <v>9798617189</v>
          </cell>
          <cell r="C66" t="str">
            <v>CLOSED2128</v>
          </cell>
        </row>
        <row r="67">
          <cell r="A67" t="str">
            <v/>
          </cell>
        </row>
        <row r="68">
          <cell r="A68" t="str">
            <v/>
          </cell>
          <cell r="C68" t="str">
            <v>NEWS TRAVELS</v>
          </cell>
        </row>
        <row r="69">
          <cell r="A69">
            <v>9793432220</v>
          </cell>
          <cell r="C69" t="str">
            <v>CLOSED3063</v>
          </cell>
        </row>
        <row r="70">
          <cell r="A70">
            <v>9793434580</v>
          </cell>
          <cell r="C70" t="str">
            <v>CLOSED3065</v>
          </cell>
        </row>
        <row r="71">
          <cell r="C71" t="str">
            <v>CLOSED4068</v>
          </cell>
        </row>
        <row r="72">
          <cell r="A72">
            <v>9798815353</v>
          </cell>
          <cell r="B72">
            <v>59470036</v>
          </cell>
          <cell r="C72">
            <v>4770</v>
          </cell>
        </row>
        <row r="73">
          <cell r="A73">
            <v>9798815361</v>
          </cell>
          <cell r="B73">
            <v>59470037</v>
          </cell>
          <cell r="C73" t="str">
            <v>CLOSED4070</v>
          </cell>
        </row>
        <row r="74">
          <cell r="A74">
            <v>9798819009</v>
          </cell>
          <cell r="B74">
            <v>59470038</v>
          </cell>
          <cell r="C74">
            <v>4235</v>
          </cell>
        </row>
        <row r="75">
          <cell r="A75">
            <v>9798868816</v>
          </cell>
          <cell r="C75" t="str">
            <v>CLOSED4072</v>
          </cell>
        </row>
        <row r="76">
          <cell r="A76">
            <v>9798035077</v>
          </cell>
          <cell r="C76" t="str">
            <v>CLOSED7084</v>
          </cell>
        </row>
        <row r="77">
          <cell r="A77">
            <v>9799486121</v>
          </cell>
          <cell r="C77">
            <v>8190</v>
          </cell>
        </row>
        <row r="78">
          <cell r="A78">
            <v>9799816848</v>
          </cell>
          <cell r="C78">
            <v>4100</v>
          </cell>
        </row>
        <row r="79">
          <cell r="A79">
            <v>9799637038</v>
          </cell>
          <cell r="C79" t="str">
            <v>CLOSED4145</v>
          </cell>
        </row>
        <row r="80">
          <cell r="A80">
            <v>9790678353</v>
          </cell>
          <cell r="C80">
            <v>4110</v>
          </cell>
        </row>
        <row r="81">
          <cell r="A81">
            <v>9799328588</v>
          </cell>
          <cell r="C81">
            <v>4024</v>
          </cell>
        </row>
        <row r="82">
          <cell r="A82">
            <v>9798766929</v>
          </cell>
          <cell r="C82" t="str">
            <v>CLOSED4146</v>
          </cell>
        </row>
        <row r="83">
          <cell r="A83">
            <v>9798767455</v>
          </cell>
          <cell r="C83">
            <v>4157</v>
          </cell>
        </row>
        <row r="84">
          <cell r="A84">
            <v>9793091166</v>
          </cell>
          <cell r="C84">
            <v>4115</v>
          </cell>
        </row>
        <row r="85">
          <cell r="A85">
            <v>9793091224</v>
          </cell>
          <cell r="C85" t="str">
            <v>CLOSED4149</v>
          </cell>
        </row>
        <row r="86">
          <cell r="A86">
            <v>9793093832</v>
          </cell>
          <cell r="C86" t="str">
            <v>CLOSED3169</v>
          </cell>
        </row>
        <row r="87">
          <cell r="C87">
            <v>8188</v>
          </cell>
        </row>
        <row r="89">
          <cell r="A89">
            <v>9790869796</v>
          </cell>
          <cell r="C89" t="str">
            <v>CLOSED6045</v>
          </cell>
        </row>
        <row r="90">
          <cell r="A90">
            <v>9790869804</v>
          </cell>
          <cell r="C90" t="str">
            <v>CLOSED8046</v>
          </cell>
        </row>
        <row r="91">
          <cell r="A91">
            <v>9790917595</v>
          </cell>
          <cell r="B91">
            <v>59470033</v>
          </cell>
          <cell r="C91" t="str">
            <v>CLOSED3216</v>
          </cell>
        </row>
        <row r="92">
          <cell r="A92">
            <v>9790678346</v>
          </cell>
          <cell r="B92">
            <v>59470034</v>
          </cell>
          <cell r="C92" t="str">
            <v>CLOSED3249</v>
          </cell>
        </row>
        <row r="94">
          <cell r="B94">
            <v>59470035</v>
          </cell>
          <cell r="C94" t="str">
            <v>CLOSED3130</v>
          </cell>
        </row>
        <row r="95">
          <cell r="A95">
            <v>9790267405</v>
          </cell>
          <cell r="C95">
            <v>3228</v>
          </cell>
        </row>
        <row r="96">
          <cell r="A96">
            <v>9790267397</v>
          </cell>
          <cell r="C96" t="str">
            <v>CLOSED3135</v>
          </cell>
        </row>
        <row r="97">
          <cell r="A97">
            <v>9798897559</v>
          </cell>
          <cell r="C97" t="str">
            <v>CLOSED2150</v>
          </cell>
        </row>
        <row r="99">
          <cell r="A99" t="str">
            <v/>
          </cell>
        </row>
        <row r="100">
          <cell r="A100">
            <v>9842271272</v>
          </cell>
          <cell r="C100" t="str">
            <v>CLOSED1001</v>
          </cell>
        </row>
        <row r="101">
          <cell r="A101">
            <v>9842067183</v>
          </cell>
          <cell r="C101" t="str">
            <v>CLOSED1002</v>
          </cell>
        </row>
        <row r="102">
          <cell r="A102">
            <v>9846059749</v>
          </cell>
          <cell r="C102" t="str">
            <v>CLOSED1010</v>
          </cell>
        </row>
        <row r="103">
          <cell r="A103">
            <v>9847805165</v>
          </cell>
          <cell r="C103" t="str">
            <v>CLOSED1038</v>
          </cell>
        </row>
        <row r="104">
          <cell r="A104">
            <v>9847803020</v>
          </cell>
          <cell r="C104">
            <v>1161</v>
          </cell>
        </row>
        <row r="105">
          <cell r="A105">
            <v>9847810256</v>
          </cell>
          <cell r="C105">
            <v>1085</v>
          </cell>
        </row>
        <row r="106">
          <cell r="A106">
            <v>9843371162</v>
          </cell>
          <cell r="C106" t="str">
            <v>CLOSED1086</v>
          </cell>
        </row>
        <row r="107">
          <cell r="A107">
            <v>9843371170</v>
          </cell>
          <cell r="C107" t="str">
            <v>CLOSED1149</v>
          </cell>
        </row>
        <row r="108">
          <cell r="A108">
            <v>9843360462</v>
          </cell>
          <cell r="C108" t="str">
            <v>CLOSED1210</v>
          </cell>
        </row>
        <row r="109">
          <cell r="A109">
            <v>9844095141</v>
          </cell>
          <cell r="C109" t="str">
            <v>CLOSED1010</v>
          </cell>
        </row>
        <row r="110">
          <cell r="A110">
            <v>9844088161</v>
          </cell>
          <cell r="C110" t="str">
            <v>CLOSED1199</v>
          </cell>
        </row>
        <row r="111">
          <cell r="A111">
            <v>9840229827</v>
          </cell>
          <cell r="C111" t="str">
            <v>CLOSED1015</v>
          </cell>
        </row>
        <row r="112">
          <cell r="A112">
            <v>9840353635</v>
          </cell>
          <cell r="C112">
            <v>1161</v>
          </cell>
        </row>
        <row r="113">
          <cell r="A113">
            <v>9840353643</v>
          </cell>
        </row>
        <row r="114">
          <cell r="A114">
            <v>9840353650</v>
          </cell>
          <cell r="C114">
            <v>1181</v>
          </cell>
        </row>
        <row r="115">
          <cell r="A115">
            <v>9840414536</v>
          </cell>
          <cell r="C115">
            <v>1171</v>
          </cell>
        </row>
        <row r="116">
          <cell r="A116">
            <v>9840243588</v>
          </cell>
          <cell r="C116">
            <v>1085</v>
          </cell>
        </row>
        <row r="118">
          <cell r="C118" t="str">
            <v>MERINO COLLECTION</v>
          </cell>
        </row>
        <row r="120">
          <cell r="A120">
            <v>9796755304</v>
          </cell>
          <cell r="C120">
            <v>4244</v>
          </cell>
        </row>
        <row r="122">
          <cell r="C122" t="str">
            <v>PRODUCE</v>
          </cell>
        </row>
        <row r="124">
          <cell r="A124">
            <v>9798662623</v>
          </cell>
          <cell r="C124" t="str">
            <v>CLOSED2131</v>
          </cell>
        </row>
        <row r="125">
          <cell r="A125">
            <v>9798662631</v>
          </cell>
          <cell r="C125" t="str">
            <v>CLOSED2129</v>
          </cell>
        </row>
        <row r="126">
          <cell r="A126">
            <v>9798662649</v>
          </cell>
          <cell r="C126" t="str">
            <v>CLOSED2132</v>
          </cell>
        </row>
        <row r="128">
          <cell r="A128">
            <v>9798662656</v>
          </cell>
          <cell r="C128">
            <v>2137</v>
          </cell>
        </row>
        <row r="129">
          <cell r="A129">
            <v>9798662664</v>
          </cell>
          <cell r="C129">
            <v>2136</v>
          </cell>
        </row>
        <row r="131">
          <cell r="A131">
            <v>8030280556</v>
          </cell>
          <cell r="C131">
            <v>2233</v>
          </cell>
        </row>
        <row r="132">
          <cell r="A132">
            <v>8030105573</v>
          </cell>
          <cell r="C132">
            <v>4530</v>
          </cell>
        </row>
        <row r="134">
          <cell r="A134">
            <v>8030419584</v>
          </cell>
          <cell r="C134">
            <v>2230</v>
          </cell>
        </row>
        <row r="135">
          <cell r="A135">
            <v>8030419592</v>
          </cell>
          <cell r="C135" t="str">
            <v>CLOSED2140</v>
          </cell>
        </row>
        <row r="137">
          <cell r="A137">
            <v>8030451389</v>
          </cell>
          <cell r="C137" t="str">
            <v>CLOSED8196</v>
          </cell>
        </row>
        <row r="139">
          <cell r="A139">
            <v>8030453104</v>
          </cell>
          <cell r="C139">
            <v>2230</v>
          </cell>
        </row>
        <row r="140">
          <cell r="A140">
            <v>8031211600</v>
          </cell>
          <cell r="C140">
            <v>2231</v>
          </cell>
        </row>
        <row r="141">
          <cell r="A141">
            <v>8031211618</v>
          </cell>
          <cell r="C141">
            <v>2232</v>
          </cell>
        </row>
        <row r="142">
          <cell r="A142">
            <v>8031304132</v>
          </cell>
          <cell r="C142" t="str">
            <v>CLOSED2242</v>
          </cell>
        </row>
        <row r="143">
          <cell r="A143">
            <v>8031304140</v>
          </cell>
          <cell r="C143" t="str">
            <v>CLOSED2245</v>
          </cell>
        </row>
        <row r="144">
          <cell r="A144">
            <v>8031284128</v>
          </cell>
          <cell r="C144">
            <v>2120</v>
          </cell>
        </row>
        <row r="145">
          <cell r="A145">
            <v>8031876162</v>
          </cell>
          <cell r="C145">
            <v>2233</v>
          </cell>
        </row>
        <row r="146">
          <cell r="A146">
            <v>8031876170</v>
          </cell>
          <cell r="C146">
            <v>2234</v>
          </cell>
        </row>
        <row r="148">
          <cell r="C148" t="str">
            <v>Temp Stores</v>
          </cell>
        </row>
        <row r="150">
          <cell r="A150">
            <v>8032606857</v>
          </cell>
          <cell r="C150">
            <v>4200</v>
          </cell>
        </row>
        <row r="151">
          <cell r="A151">
            <v>8032606832</v>
          </cell>
          <cell r="C151" t="str">
            <v>CLOSED4201</v>
          </cell>
        </row>
        <row r="152">
          <cell r="C152" t="str">
            <v>CLOSED4203</v>
          </cell>
        </row>
        <row r="153">
          <cell r="A153">
            <v>8032606154</v>
          </cell>
          <cell r="C153">
            <v>2117</v>
          </cell>
        </row>
        <row r="154">
          <cell r="A154">
            <v>8032974818</v>
          </cell>
          <cell r="C154">
            <v>2117</v>
          </cell>
        </row>
        <row r="155">
          <cell r="A155">
            <v>8032974784</v>
          </cell>
          <cell r="C155" t="str">
            <v>CLOSED2106</v>
          </cell>
        </row>
        <row r="156">
          <cell r="A156">
            <v>8032974792</v>
          </cell>
          <cell r="C156">
            <v>2118</v>
          </cell>
        </row>
        <row r="157">
          <cell r="A157">
            <v>8032974800</v>
          </cell>
          <cell r="C157">
            <v>2119</v>
          </cell>
        </row>
        <row r="158">
          <cell r="A158">
            <v>8032606840</v>
          </cell>
          <cell r="C158">
            <v>6089</v>
          </cell>
        </row>
        <row r="159">
          <cell r="A159">
            <v>8032980369</v>
          </cell>
          <cell r="C159">
            <v>4122</v>
          </cell>
        </row>
        <row r="160">
          <cell r="A160">
            <v>8032980377</v>
          </cell>
          <cell r="C160">
            <v>4101</v>
          </cell>
        </row>
        <row r="161">
          <cell r="A161">
            <v>8034745315</v>
          </cell>
          <cell r="C161">
            <v>4102</v>
          </cell>
        </row>
        <row r="162">
          <cell r="A162">
            <v>8034745323</v>
          </cell>
          <cell r="C162">
            <v>4103</v>
          </cell>
        </row>
        <row r="163">
          <cell r="A163">
            <v>8032880437</v>
          </cell>
          <cell r="C163">
            <v>4104</v>
          </cell>
        </row>
        <row r="164">
          <cell r="A164">
            <v>8032880395</v>
          </cell>
          <cell r="C164">
            <v>4106</v>
          </cell>
        </row>
        <row r="165">
          <cell r="A165">
            <v>8034753665</v>
          </cell>
          <cell r="C165">
            <v>4107</v>
          </cell>
        </row>
        <row r="166">
          <cell r="A166">
            <v>8032880460</v>
          </cell>
          <cell r="C166">
            <v>4107</v>
          </cell>
        </row>
        <row r="167">
          <cell r="A167">
            <v>8034753673</v>
          </cell>
          <cell r="C167">
            <v>4108</v>
          </cell>
        </row>
        <row r="168">
          <cell r="A168">
            <v>8034753681</v>
          </cell>
          <cell r="C168">
            <v>4109</v>
          </cell>
        </row>
        <row r="169">
          <cell r="A169">
            <v>8034753699</v>
          </cell>
          <cell r="C169">
            <v>4111</v>
          </cell>
        </row>
        <row r="170">
          <cell r="A170">
            <v>8032880445</v>
          </cell>
          <cell r="C170">
            <v>4110</v>
          </cell>
        </row>
        <row r="171">
          <cell r="A171">
            <v>8032880460</v>
          </cell>
          <cell r="C171">
            <v>4107</v>
          </cell>
        </row>
        <row r="172">
          <cell r="A172">
            <v>8037752334</v>
          </cell>
          <cell r="C172">
            <v>4250</v>
          </cell>
        </row>
        <row r="173">
          <cell r="B173" t="str">
            <v>Canberra</v>
          </cell>
        </row>
        <row r="174">
          <cell r="A174">
            <v>8037748829</v>
          </cell>
          <cell r="C174">
            <v>2225</v>
          </cell>
        </row>
        <row r="175">
          <cell r="A175">
            <v>8037748837</v>
          </cell>
          <cell r="C175">
            <v>2226</v>
          </cell>
        </row>
        <row r="176">
          <cell r="A176" t="str">
            <v xml:space="preserve">2225 AMEX </v>
          </cell>
          <cell r="C176">
            <v>2225</v>
          </cell>
        </row>
        <row r="177">
          <cell r="A177" t="str">
            <v>2225 331SA</v>
          </cell>
          <cell r="C177">
            <v>2225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how Midnight Drawer_2" backgroundRefresh="0" growShrinkType="overwriteClear" fillFormulas="1" adjustColumnWidth="0" connectionId="8" xr16:uid="{8EDF9156-110F-42EA-ACA7-3863429B0E56}" autoFormatId="16" applyNumberFormats="0" applyBorderFormats="0" applyFontFormats="1" applyPatternFormats="1" applyAlignmentFormats="0" applyWidthHeightFormats="0">
  <queryTableRefresh nextId="12">
    <queryTableFields count="11">
      <queryTableField id="1" name="Issued Date"/>
      <queryTableField id="2" name="Rec Date"/>
      <queryTableField id="3" name="Store"/>
      <queryTableField id="4" name="GL Trans Date"/>
      <queryTableField id="5" name="Co"/>
      <queryTableField id="6" name="GL Desc"/>
      <queryTableField id="7" name="Account"/>
      <queryTableField id="8" name="$"/>
      <queryTableField id="9" name="Desc"/>
      <queryTableField id="10" name="GL Translation"/>
      <queryTableField id="11" name="Drawer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how Midnight Drawer_1" backgroundRefresh="0" growShrinkType="overwriteClear" fillFormulas="1" adjustColumnWidth="0" connectionId="7" xr16:uid="{1CDF9B84-64CE-4787-AC8F-92FFB4E3B4F5}" autoFormatId="16" applyNumberFormats="0" applyBorderFormats="0" applyFontFormats="1" applyPatternFormats="1" applyAlignmentFormats="0" applyWidthHeightFormats="0">
  <queryTableRefresh nextId="12">
    <queryTableFields count="11">
      <queryTableField id="1" name="Issued Date"/>
      <queryTableField id="2" name="Rec Date"/>
      <queryTableField id="3" name="Store"/>
      <queryTableField id="4" name="GL Trans Date"/>
      <queryTableField id="5" name="Co"/>
      <queryTableField id="6" name="GL Desc"/>
      <queryTableField id="7" name="Account"/>
      <queryTableField id="8" name="$"/>
      <queryTableField id="9" name="Desc"/>
      <queryTableField id="10" name="GL Translation"/>
      <queryTableField id="11" name="Drawer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how Midnight Drawer" backgroundRefresh="0" growShrinkType="overwriteClear" fillFormulas="1" adjustColumnWidth="0" connectionId="14" xr16:uid="{0EC8BA10-2EC7-44A4-ABA6-F314A53D5042}" autoFormatId="16" applyNumberFormats="0" applyBorderFormats="0" applyFontFormats="1" applyPatternFormats="1" applyAlignmentFormats="0" applyWidthHeightFormats="0">
  <queryTableRefresh nextId="12">
    <queryTableFields count="11">
      <queryTableField id="1" name="Issued Date"/>
      <queryTableField id="2" name="Rec Date"/>
      <queryTableField id="3" name="Store"/>
      <queryTableField id="4" name="GL Trans Date"/>
      <queryTableField id="5" name="Co"/>
      <queryTableField id="6" name="GL Desc"/>
      <queryTableField id="7" name="Account"/>
      <queryTableField id="8" name="$"/>
      <queryTableField id="9" name="Desc"/>
      <queryTableField id="10" name="GL Translation"/>
      <queryTableField id="11" name="Drawer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After Bank Settlement Time_1" backgroundRefresh="0" growShrinkType="overwriteClear" fillFormulas="1" adjustColumnWidth="0" connectionId="5" xr16:uid="{DE4EE15C-8D61-4339-AF17-DA004F869AF4}" autoFormatId="16" applyNumberFormats="0" applyBorderFormats="0" applyFontFormats="1" applyPatternFormats="1" applyAlignmentFormats="0" applyWidthHeightFormats="0">
  <queryTableRefresh nextId="4">
    <queryTableFields count="3">
      <queryTableField id="1" name="store_code"/>
      <queryTableField id="2" name="tender_type"/>
      <queryTableField id="3" name="tender_amount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After Bank Settlement Time" backgroundRefresh="0" growShrinkType="overwriteClear" fillFormulas="1" adjustColumnWidth="0" connectionId="4" xr16:uid="{F61AC75D-BAC2-4576-8EC1-15A95F8AC081}" autoFormatId="16" applyNumberFormats="0" applyBorderFormats="0" applyFontFormats="1" applyPatternFormats="1" applyAlignmentFormats="0" applyWidthHeightFormats="0">
  <queryTableRefresh nextId="17">
    <queryTableFields count="3">
      <queryTableField id="1" name="store_code"/>
      <queryTableField id="2" name="tender_type"/>
      <queryTableField id="3" name="tender_amount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3" backgroundRefresh="0" growShrinkType="overwriteClear" fillFormulas="1" adjustColumnWidth="0" connectionId="10" xr16:uid="{D6571783-7B04-4F26-8145-ED19285083C1}" autoFormatId="16" applyNumberFormats="0" applyBorderFormats="0" applyFontFormats="1" applyPatternFormats="1" applyAlignmentFormats="0" applyWidthHeightFormats="0">
  <queryTableRefresh nextId="7">
    <queryTableFields count="6">
      <queryTableField id="1" name="store_code"/>
      <queryTableField id="2" name="midnightdrawer_code"/>
      <queryTableField id="3" name="transaction_date_time"/>
      <queryTableField id="4" name="tendertype"/>
      <queryTableField id="5" name="tran_total"/>
      <queryTableField id="6" name="tender_value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10" connectionId="6" xr16:uid="{9F57610D-A4CA-4B79-9427-086DC87C0BCD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store_code"/>
      <queryTableField id="2" name="midnightdrawer_code"/>
      <queryTableField id="3" name="transaction_date_time"/>
      <queryTableField id="4" name="tendertype"/>
      <queryTableField id="5" name="tran_total"/>
      <queryTableField id="6" name="tender_value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9" connectionId="3" xr16:uid="{74EB7C69-C285-4FC0-A77D-F64117BBAC34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store_code"/>
      <queryTableField id="2" name="midnightdrawer_code"/>
      <queryTableField id="3" name="transaction_date_time"/>
      <queryTableField id="4" name="tendertype"/>
      <queryTableField id="5" name="tran_total"/>
      <queryTableField id="6" name="tender_value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8" connectionId="16" xr16:uid="{E4C8EBD1-3A3F-49A6-A930-BAC7D38148C6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store_code"/>
      <queryTableField id="2" name="midnightdrawer_code"/>
      <queryTableField id="3" name="transaction_date_time"/>
      <queryTableField id="4" name="tendertype"/>
      <queryTableField id="5" name="tran_total"/>
      <queryTableField id="6" name="tender_value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5" connectionId="12" xr16:uid="{0C9BA10E-84BB-4992-9F74-9771F6169D38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store_code"/>
      <queryTableField id="2" name="midnightdrawer_code"/>
      <queryTableField id="3" name="transaction_date_time"/>
      <queryTableField id="4" name="tendertype"/>
      <queryTableField id="5" name="tran_total"/>
      <queryTableField id="6" name="tender_value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" backgroundRefresh="0" growShrinkType="overwriteClear" fillFormulas="1" adjustColumnWidth="0" connectionId="1" xr16:uid="{60AE922E-A8F5-4287-9EA5-FF19A5257D58}" autoFormatId="16" applyNumberFormats="0" applyBorderFormats="0" applyFontFormats="1" applyPatternFormats="1" applyAlignmentFormats="0" applyWidthHeightFormats="0">
  <queryTableRefresh nextId="6">
    <queryTableFields count="5">
      <queryTableField id="1" name="store_code"/>
      <queryTableField id="2" name="midnightdrawer_code"/>
      <queryTableField id="3" name="transaction_date_time"/>
      <queryTableField id="4" name="tendertype"/>
      <queryTableField id="5" name="tran_total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6" connectionId="13" xr16:uid="{8A3E3540-8D90-4777-84D8-BED2B4B6317C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store_code"/>
      <queryTableField id="2" name="midnightdrawer_code"/>
      <queryTableField id="3" name="transaction_date_time"/>
      <queryTableField id="4" name="tendertype"/>
      <queryTableField id="5" name="tran_total"/>
      <queryTableField id="6" name="tender_value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1" backgroundRefresh="0" growShrinkType="overwriteClear" fillFormulas="1" adjustColumnWidth="0" connectionId="2" xr16:uid="{EDE64593-C224-4B4B-B6D7-7EB018DE47EB}" autoFormatId="16" applyNumberFormats="0" applyBorderFormats="0" applyFontFormats="1" applyPatternFormats="1" applyAlignmentFormats="0" applyWidthHeightFormats="0">
  <queryTableRefresh nextId="6">
    <queryTableFields count="5">
      <queryTableField id="1" name="store_code"/>
      <queryTableField id="2" name="midnightdrawer_code"/>
      <queryTableField id="3" name="transaction_date_time"/>
      <queryTableField id="4" name="tendertype"/>
      <queryTableField id="5" name="tran_total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2" backgroundRefresh="0" growShrinkType="overwriteClear" fillFormulas="1" adjustColumnWidth="0" connectionId="9" xr16:uid="{F67A086E-F345-4155-9782-DFBFD77D5BF7}" autoFormatId="16" applyNumberFormats="0" applyBorderFormats="0" applyFontFormats="1" applyPatternFormats="1" applyAlignmentFormats="0" applyWidthHeightFormats="0">
  <queryTableRefresh nextId="7">
    <queryTableFields count="6">
      <queryTableField id="1" name="store_code"/>
      <queryTableField id="2" name="midnightdrawer_code"/>
      <queryTableField id="3" name="transaction_date_time"/>
      <queryTableField id="4" name="tendertype"/>
      <queryTableField id="5" name="tran_total"/>
      <queryTableField id="6" name="tender_value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4" connectionId="11" xr16:uid="{FB8A3520-18E7-44F1-BE00-AAD1FEDC2C8D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store_code"/>
      <queryTableField id="2" name="midnightdrawer_code"/>
      <queryTableField id="3" name="transaction_date_time"/>
      <queryTableField id="4" name="tendertype"/>
      <queryTableField id="5" name="tran_total"/>
      <queryTableField id="6" name="tender_value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etch Sales in midnight drawers_7" connectionId="15" xr16:uid="{D6A577AF-AEE0-4634-9970-C514D7161FCB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store_code"/>
      <queryTableField id="2" name="midnightdrawer_code"/>
      <queryTableField id="3" name="transaction_date_time"/>
      <queryTableField id="4" name="tendertype"/>
      <queryTableField id="5" name="tran_total"/>
      <queryTableField id="6" name="tender_value"/>
    </queryTableFields>
  </queryTableRefresh>
</queryTable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98AE6C-E8D8-42EE-815A-C3745AF6D94A}" name="Table2" displayName="Table2" ref="F10:J18" totalsRowShown="0" headerRowDxfId="6" dataDxfId="5">
  <tableColumns count="5">
    <tableColumn id="1" xr3:uid="{5428FF30-FC82-4CB5-875E-F8C44F4461AD}" name="Region" dataDxfId="4"/>
    <tableColumn id="2" xr3:uid="{A29D7390-4FE5-45EC-9A5F-0F501C4DAEEE}" name="TimeName" dataDxfId="3"/>
    <tableColumn id="3" xr3:uid="{5A903FAB-3328-4D40-A5E7-8AD2A126C333}" name="Cut Off Time _x000a_On Standard Time" dataDxfId="2"/>
    <tableColumn id="4" xr3:uid="{4644FFDE-ED0D-4159-A756-1A40514CB428}" name="Cut Off Time On _x000a_Day Light Saving Time" dataDxfId="1"/>
    <tableColumn id="5" xr3:uid="{E5507400-7B87-41F0-B67F-739B9F4457A3}" name="Currently Using:" dataDxfId="0">
      <calculatedColumnFormula>I11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ctrlProp" Target="../ctrlProps/ctrlProp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6.xml"/><Relationship Id="rId1" Type="http://schemas.openxmlformats.org/officeDocument/2006/relationships/drawing" Target="../drawings/drawing3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ctrlProp" Target="../ctrlProps/ctrlProp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FFFF00"/>
  </sheetPr>
  <dimension ref="A1:Q85"/>
  <sheetViews>
    <sheetView workbookViewId="0">
      <selection activeCell="H95" sqref="H95"/>
    </sheetView>
  </sheetViews>
  <sheetFormatPr defaultColWidth="9" defaultRowHeight="12.75" x14ac:dyDescent="0.2"/>
  <cols>
    <col min="1" max="1" width="24" style="1" bestFit="1" customWidth="1"/>
    <col min="2" max="2" width="12.42578125" style="1" bestFit="1" customWidth="1"/>
    <col min="3" max="12" width="10.28515625" style="1" bestFit="1" customWidth="1"/>
    <col min="13" max="15" width="11.5703125" style="1" bestFit="1" customWidth="1"/>
    <col min="16" max="16" width="9" style="1"/>
    <col min="17" max="17" width="21.85546875" style="1" bestFit="1" customWidth="1"/>
    <col min="18" max="16384" width="9" style="1"/>
  </cols>
  <sheetData>
    <row r="1" spans="1:17" ht="15.75" x14ac:dyDescent="0.25">
      <c r="A1" s="64" t="s">
        <v>108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</row>
    <row r="2" spans="1:17" ht="15.75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</row>
    <row r="3" spans="1:17" ht="15" x14ac:dyDescent="0.25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</row>
    <row r="4" spans="1:17" ht="15.75" x14ac:dyDescent="0.25">
      <c r="A4" s="88" t="s">
        <v>0</v>
      </c>
      <c r="B4" s="88" t="s">
        <v>57</v>
      </c>
      <c r="C4" s="88" t="s">
        <v>58</v>
      </c>
      <c r="D4" s="88" t="s">
        <v>59</v>
      </c>
      <c r="E4" s="88" t="s">
        <v>60</v>
      </c>
      <c r="F4" s="88" t="s">
        <v>61</v>
      </c>
      <c r="G4" s="88" t="s">
        <v>62</v>
      </c>
      <c r="H4" s="88" t="s">
        <v>63</v>
      </c>
      <c r="I4" s="88" t="s">
        <v>64</v>
      </c>
      <c r="J4" s="88" t="s">
        <v>65</v>
      </c>
      <c r="K4" s="88" t="s">
        <v>66</v>
      </c>
      <c r="L4" s="88" t="s">
        <v>67</v>
      </c>
      <c r="M4" s="88" t="s">
        <v>68</v>
      </c>
      <c r="N4" s="88" t="s">
        <v>69</v>
      </c>
      <c r="O4" s="88" t="s">
        <v>70</v>
      </c>
    </row>
    <row r="5" spans="1:17" ht="15" x14ac:dyDescent="0.25">
      <c r="A5" s="85" t="s">
        <v>182</v>
      </c>
      <c r="B5" s="86">
        <v>0</v>
      </c>
      <c r="C5" s="86">
        <v>0</v>
      </c>
      <c r="D5" s="86">
        <v>0</v>
      </c>
      <c r="E5" s="86">
        <v>0</v>
      </c>
      <c r="F5" s="86">
        <v>0</v>
      </c>
      <c r="G5" s="86">
        <v>0</v>
      </c>
      <c r="H5" s="86">
        <v>0</v>
      </c>
      <c r="I5" s="86">
        <v>0</v>
      </c>
      <c r="J5" s="86">
        <v>0</v>
      </c>
      <c r="K5" s="86">
        <v>0</v>
      </c>
      <c r="L5" s="86">
        <v>0</v>
      </c>
      <c r="M5" s="86">
        <v>0</v>
      </c>
      <c r="N5" s="86">
        <v>0</v>
      </c>
      <c r="O5" s="86">
        <v>0</v>
      </c>
    </row>
    <row r="6" spans="1:17" ht="15" x14ac:dyDescent="0.25">
      <c r="A6" s="85" t="s">
        <v>183</v>
      </c>
      <c r="B6" s="86">
        <v>0</v>
      </c>
      <c r="C6" s="86">
        <v>0</v>
      </c>
      <c r="D6" s="86">
        <v>0</v>
      </c>
      <c r="E6" s="86">
        <v>0</v>
      </c>
      <c r="F6" s="86">
        <v>0</v>
      </c>
      <c r="G6" s="86">
        <v>0</v>
      </c>
      <c r="H6" s="86">
        <v>0</v>
      </c>
      <c r="I6" s="86">
        <v>0</v>
      </c>
      <c r="J6" s="86">
        <v>0</v>
      </c>
      <c r="K6" s="86">
        <v>0</v>
      </c>
      <c r="L6" s="86">
        <v>0</v>
      </c>
      <c r="M6" s="86">
        <v>0</v>
      </c>
      <c r="N6" s="86">
        <v>0</v>
      </c>
      <c r="O6" s="86">
        <v>0</v>
      </c>
    </row>
    <row r="7" spans="1:17" ht="15" x14ac:dyDescent="0.25">
      <c r="A7" s="85" t="s">
        <v>139</v>
      </c>
      <c r="B7" s="86">
        <v>0</v>
      </c>
      <c r="C7" s="86">
        <v>0</v>
      </c>
      <c r="D7" s="86">
        <v>0</v>
      </c>
      <c r="E7" s="86">
        <v>0</v>
      </c>
      <c r="F7" s="86">
        <v>0</v>
      </c>
      <c r="G7" s="86">
        <v>0</v>
      </c>
      <c r="H7" s="86">
        <v>0</v>
      </c>
      <c r="I7" s="86">
        <v>0</v>
      </c>
      <c r="J7" s="86">
        <v>0</v>
      </c>
      <c r="K7" s="86">
        <v>0</v>
      </c>
      <c r="L7" s="86">
        <v>0</v>
      </c>
      <c r="M7" s="86">
        <v>0</v>
      </c>
      <c r="N7" s="86">
        <v>0</v>
      </c>
      <c r="O7" s="86">
        <v>0</v>
      </c>
    </row>
    <row r="8" spans="1:17" ht="15" x14ac:dyDescent="0.25">
      <c r="A8" s="85" t="s">
        <v>184</v>
      </c>
      <c r="B8" s="86">
        <v>0</v>
      </c>
      <c r="C8" s="86">
        <v>0</v>
      </c>
      <c r="D8" s="86">
        <v>0</v>
      </c>
      <c r="E8" s="86">
        <v>0</v>
      </c>
      <c r="F8" s="86">
        <v>0</v>
      </c>
      <c r="G8" s="86">
        <v>0</v>
      </c>
      <c r="H8" s="86">
        <v>0</v>
      </c>
      <c r="I8" s="86">
        <v>0</v>
      </c>
      <c r="J8" s="86">
        <v>0</v>
      </c>
      <c r="K8" s="86">
        <v>0</v>
      </c>
      <c r="L8" s="86">
        <v>0</v>
      </c>
      <c r="M8" s="86">
        <v>0</v>
      </c>
      <c r="N8" s="86">
        <v>0</v>
      </c>
      <c r="O8" s="86">
        <v>0</v>
      </c>
    </row>
    <row r="9" spans="1:17" ht="15" x14ac:dyDescent="0.25">
      <c r="A9" s="85" t="s">
        <v>50</v>
      </c>
      <c r="B9" s="86">
        <v>0</v>
      </c>
      <c r="C9" s="86">
        <v>0</v>
      </c>
      <c r="D9" s="86">
        <v>0</v>
      </c>
      <c r="E9" s="86">
        <v>0</v>
      </c>
      <c r="F9" s="86">
        <v>0</v>
      </c>
      <c r="G9" s="86">
        <v>0</v>
      </c>
      <c r="H9" s="86">
        <v>0</v>
      </c>
      <c r="I9" s="86">
        <v>0</v>
      </c>
      <c r="J9" s="86">
        <v>0</v>
      </c>
      <c r="K9" s="86">
        <v>0</v>
      </c>
      <c r="L9" s="86">
        <v>0</v>
      </c>
      <c r="M9" s="86">
        <v>0</v>
      </c>
      <c r="N9" s="86">
        <v>0</v>
      </c>
      <c r="O9" s="86">
        <v>0</v>
      </c>
      <c r="Q9" s="1" t="str">
        <f>VLOOKUP(A9,'Summary before PDE write-offs'!C:C,1,FALSE)</f>
        <v>2004 - Carry On T2 Syd</v>
      </c>
    </row>
    <row r="10" spans="1:17" ht="15" x14ac:dyDescent="0.25">
      <c r="A10" s="85" t="s">
        <v>51</v>
      </c>
      <c r="B10" s="86">
        <v>0</v>
      </c>
      <c r="C10" s="86">
        <v>0</v>
      </c>
      <c r="D10" s="86">
        <v>0</v>
      </c>
      <c r="E10" s="86">
        <v>0</v>
      </c>
      <c r="F10" s="86">
        <v>0</v>
      </c>
      <c r="G10" s="86">
        <v>0</v>
      </c>
      <c r="H10" s="86">
        <v>0</v>
      </c>
      <c r="I10" s="86">
        <v>0</v>
      </c>
      <c r="J10" s="86">
        <v>0</v>
      </c>
      <c r="K10" s="86">
        <v>0</v>
      </c>
      <c r="L10" s="86">
        <v>0</v>
      </c>
      <c r="M10" s="86">
        <v>0</v>
      </c>
      <c r="N10" s="86">
        <v>0</v>
      </c>
      <c r="O10" s="86">
        <v>0</v>
      </c>
      <c r="Q10" s="1" t="str">
        <f>VLOOKUP(A10,'Summary before PDE write-offs'!C:C,1,FALSE)</f>
        <v>2009 - AW T2 Syd Dom</v>
      </c>
    </row>
    <row r="11" spans="1:17" ht="15" x14ac:dyDescent="0.25">
      <c r="A11" s="85" t="s">
        <v>1</v>
      </c>
      <c r="B11" s="86">
        <v>0</v>
      </c>
      <c r="C11" s="86">
        <v>0</v>
      </c>
      <c r="D11" s="86">
        <v>0</v>
      </c>
      <c r="E11" s="86">
        <v>0</v>
      </c>
      <c r="F11" s="86">
        <v>0</v>
      </c>
      <c r="G11" s="86">
        <v>0</v>
      </c>
      <c r="H11" s="86">
        <v>0</v>
      </c>
      <c r="I11" s="86">
        <v>0</v>
      </c>
      <c r="J11" s="86">
        <v>0</v>
      </c>
      <c r="K11" s="86">
        <v>0</v>
      </c>
      <c r="L11" s="86">
        <v>0</v>
      </c>
      <c r="M11" s="86">
        <v>0</v>
      </c>
      <c r="N11" s="86">
        <v>0</v>
      </c>
      <c r="O11" s="86">
        <v>0</v>
      </c>
      <c r="Q11" s="1" t="str">
        <f>VLOOKUP(A11,'Summary before PDE write-offs'!C:C,1,FALSE)</f>
        <v>2012 - AW Sydney Domes</v>
      </c>
    </row>
    <row r="12" spans="1:17" ht="15" x14ac:dyDescent="0.25">
      <c r="A12" s="85" t="s">
        <v>2</v>
      </c>
      <c r="B12" s="86">
        <v>0</v>
      </c>
      <c r="C12" s="86">
        <v>1019.63</v>
      </c>
      <c r="D12" s="86">
        <v>-614.95000000000005</v>
      </c>
      <c r="E12" s="86">
        <v>-1177.72</v>
      </c>
      <c r="F12" s="86">
        <v>773.04</v>
      </c>
      <c r="G12" s="86">
        <v>0</v>
      </c>
      <c r="H12" s="86">
        <v>0</v>
      </c>
      <c r="I12" s="86">
        <v>0</v>
      </c>
      <c r="J12" s="86">
        <v>0</v>
      </c>
      <c r="K12" s="86">
        <v>0</v>
      </c>
      <c r="L12" s="86">
        <v>0</v>
      </c>
      <c r="M12" s="86">
        <v>0</v>
      </c>
      <c r="N12" s="86">
        <v>0</v>
      </c>
      <c r="O12" s="86">
        <v>0</v>
      </c>
      <c r="Q12" s="1" t="str">
        <f>VLOOKUP(A12,'Summary before PDE write-offs'!C:C,1,FALSE)</f>
        <v>2013 - Carri On Sydney</v>
      </c>
    </row>
    <row r="13" spans="1:17" ht="15" x14ac:dyDescent="0.25">
      <c r="A13" s="85" t="s">
        <v>104</v>
      </c>
      <c r="B13" s="86">
        <v>0</v>
      </c>
      <c r="C13" s="86">
        <v>0</v>
      </c>
      <c r="D13" s="86">
        <v>0</v>
      </c>
      <c r="E13" s="86">
        <v>0</v>
      </c>
      <c r="F13" s="86">
        <v>0</v>
      </c>
      <c r="G13" s="86">
        <v>0</v>
      </c>
      <c r="H13" s="86">
        <v>0</v>
      </c>
      <c r="I13" s="86">
        <v>0</v>
      </c>
      <c r="J13" s="86">
        <v>0</v>
      </c>
      <c r="K13" s="86">
        <v>0</v>
      </c>
      <c r="L13" s="86">
        <v>0</v>
      </c>
      <c r="M13" s="86">
        <v>0</v>
      </c>
      <c r="N13" s="86">
        <v>0</v>
      </c>
      <c r="O13" s="86">
        <v>0</v>
      </c>
      <c r="Q13" s="1" t="str">
        <f>VLOOKUP(A13,'Summary before PDE write-offs'!C:C,1,FALSE)</f>
        <v>2105 - Carry On T2Temp</v>
      </c>
    </row>
    <row r="14" spans="1:17" ht="15" x14ac:dyDescent="0.25">
      <c r="A14" s="85" t="s">
        <v>140</v>
      </c>
      <c r="B14" s="86">
        <v>0</v>
      </c>
      <c r="C14" s="86">
        <v>0</v>
      </c>
      <c r="D14" s="86">
        <v>0</v>
      </c>
      <c r="E14" s="86">
        <v>0</v>
      </c>
      <c r="F14" s="86">
        <v>0</v>
      </c>
      <c r="G14" s="86">
        <v>0</v>
      </c>
      <c r="H14" s="86">
        <v>0</v>
      </c>
      <c r="I14" s="86">
        <v>0</v>
      </c>
      <c r="J14" s="86">
        <v>0</v>
      </c>
      <c r="K14" s="86">
        <v>0</v>
      </c>
      <c r="L14" s="86">
        <v>0</v>
      </c>
      <c r="M14" s="86">
        <v>0</v>
      </c>
      <c r="N14" s="86">
        <v>0</v>
      </c>
      <c r="O14" s="86">
        <v>0</v>
      </c>
      <c r="Q14" s="1" t="str">
        <f>VLOOKUP(A14,'Summary before PDE write-offs'!C:C,1,FALSE)</f>
        <v>2106 - Textilis Syd T2</v>
      </c>
    </row>
    <row r="15" spans="1:17" ht="15" x14ac:dyDescent="0.25">
      <c r="A15" s="85" t="s">
        <v>159</v>
      </c>
      <c r="B15" s="86">
        <v>0</v>
      </c>
      <c r="C15" s="86">
        <v>427.74</v>
      </c>
      <c r="D15" s="86">
        <v>-219.12</v>
      </c>
      <c r="E15" s="86">
        <v>-404.68</v>
      </c>
      <c r="F15" s="86">
        <v>-22.83</v>
      </c>
      <c r="G15" s="86">
        <v>-121.44</v>
      </c>
      <c r="H15" s="86">
        <v>218.6</v>
      </c>
      <c r="I15" s="86">
        <v>480.54</v>
      </c>
      <c r="J15" s="86">
        <v>-699.14</v>
      </c>
      <c r="K15" s="86">
        <v>225.33</v>
      </c>
      <c r="L15" s="86">
        <v>-395.24</v>
      </c>
      <c r="M15" s="86">
        <v>0</v>
      </c>
      <c r="N15" s="86">
        <v>0</v>
      </c>
      <c r="O15" s="86">
        <v>510.24</v>
      </c>
      <c r="Q15" s="1" t="str">
        <f>VLOOKUP(A15,'Summary before PDE write-offs'!C:C,1,FALSE)</f>
        <v>2117 - Carry On T2 Syd</v>
      </c>
    </row>
    <row r="16" spans="1:17" ht="15" x14ac:dyDescent="0.25">
      <c r="A16" s="85" t="s">
        <v>160</v>
      </c>
      <c r="B16" s="86">
        <v>0</v>
      </c>
      <c r="C16" s="86">
        <v>277.79000000000002</v>
      </c>
      <c r="D16" s="86">
        <v>-158.58000000000001</v>
      </c>
      <c r="E16" s="86">
        <v>-207.28</v>
      </c>
      <c r="F16" s="86">
        <v>66.819999999999993</v>
      </c>
      <c r="G16" s="86">
        <v>-50.94</v>
      </c>
      <c r="H16" s="86">
        <v>-7.44</v>
      </c>
      <c r="I16" s="86">
        <v>-37.9</v>
      </c>
      <c r="J16" s="86">
        <v>34.83</v>
      </c>
      <c r="K16" s="86">
        <v>81.09</v>
      </c>
      <c r="L16" s="86">
        <v>-139.88999999999999</v>
      </c>
      <c r="M16" s="86">
        <v>0</v>
      </c>
      <c r="N16" s="86">
        <v>0</v>
      </c>
      <c r="O16" s="86">
        <v>141.5</v>
      </c>
      <c r="Q16" s="1" t="str">
        <f>VLOOKUP(A16,'Summary before PDE write-offs'!C:C,1,FALSE)</f>
        <v>2118 - Merchant T2 Syd</v>
      </c>
    </row>
    <row r="17" spans="1:17" ht="15" x14ac:dyDescent="0.25">
      <c r="A17" s="85" t="s">
        <v>161</v>
      </c>
      <c r="B17" s="86">
        <v>0</v>
      </c>
      <c r="C17" s="86">
        <v>616.35</v>
      </c>
      <c r="D17" s="86">
        <v>-404.29</v>
      </c>
      <c r="E17" s="86">
        <v>-600.48</v>
      </c>
      <c r="F17" s="86">
        <v>-73.97</v>
      </c>
      <c r="G17" s="86">
        <v>489.07</v>
      </c>
      <c r="H17" s="86">
        <v>-367.66</v>
      </c>
      <c r="I17" s="86">
        <v>-307.22000000000003</v>
      </c>
      <c r="J17" s="86">
        <v>-54.23</v>
      </c>
      <c r="K17" s="86">
        <v>-131.91999999999999</v>
      </c>
      <c r="L17" s="86">
        <v>-228.09</v>
      </c>
      <c r="M17" s="86">
        <v>0</v>
      </c>
      <c r="N17" s="86">
        <v>0</v>
      </c>
      <c r="O17" s="86">
        <v>1062.44</v>
      </c>
      <c r="Q17" s="1" t="str">
        <f>VLOOKUP(A17,'Summary before PDE write-offs'!C:C,1,FALSE)</f>
        <v>2119 - Merchant T3 Syd</v>
      </c>
    </row>
    <row r="18" spans="1:17" ht="15" x14ac:dyDescent="0.25">
      <c r="A18" s="85" t="s">
        <v>98</v>
      </c>
      <c r="B18" s="86">
        <v>0</v>
      </c>
      <c r="C18" s="86">
        <v>0</v>
      </c>
      <c r="D18" s="86">
        <v>-309</v>
      </c>
      <c r="E18" s="86">
        <v>-504.96</v>
      </c>
      <c r="F18" s="86">
        <v>793.15</v>
      </c>
      <c r="G18" s="86">
        <v>542.80999999999995</v>
      </c>
      <c r="H18" s="86">
        <v>-432.45</v>
      </c>
      <c r="I18" s="86">
        <v>-398.55</v>
      </c>
      <c r="J18" s="86">
        <v>269.74</v>
      </c>
      <c r="K18" s="86">
        <v>600.32000000000005</v>
      </c>
      <c r="L18" s="86">
        <v>-870.06</v>
      </c>
      <c r="M18" s="86">
        <v>0</v>
      </c>
      <c r="N18" s="86">
        <v>0</v>
      </c>
      <c r="O18" s="86">
        <v>309</v>
      </c>
      <c r="Q18" s="1" t="str">
        <f>VLOOKUP(A18,'Summary before PDE write-offs'!C:C,1,FALSE)</f>
        <v>2120 - IB Syd Landside</v>
      </c>
    </row>
    <row r="19" spans="1:17" ht="15" x14ac:dyDescent="0.25">
      <c r="A19" s="85" t="s">
        <v>89</v>
      </c>
      <c r="B19" s="86">
        <v>0</v>
      </c>
      <c r="C19" s="86">
        <v>0</v>
      </c>
      <c r="D19" s="86">
        <v>0</v>
      </c>
      <c r="E19" s="86">
        <v>0</v>
      </c>
      <c r="F19" s="86">
        <v>0</v>
      </c>
      <c r="G19" s="86">
        <v>0</v>
      </c>
      <c r="H19" s="86">
        <v>0</v>
      </c>
      <c r="I19" s="86">
        <v>0</v>
      </c>
      <c r="J19" s="86">
        <v>0</v>
      </c>
      <c r="K19" s="86">
        <v>0</v>
      </c>
      <c r="L19" s="86">
        <v>0</v>
      </c>
      <c r="M19" s="86">
        <v>0</v>
      </c>
      <c r="N19" s="86">
        <v>0</v>
      </c>
      <c r="O19" s="86">
        <v>0</v>
      </c>
      <c r="Q19" s="1" t="str">
        <f>VLOOKUP(A19,'Summary before PDE write-offs'!C:C,1,FALSE)</f>
        <v>2128 - AA Lansdise SYD</v>
      </c>
    </row>
    <row r="20" spans="1:17" ht="15" x14ac:dyDescent="0.25">
      <c r="A20" s="85" t="s">
        <v>90</v>
      </c>
      <c r="B20" s="86">
        <v>0</v>
      </c>
      <c r="C20" s="86">
        <v>0</v>
      </c>
      <c r="D20" s="86">
        <v>0</v>
      </c>
      <c r="E20" s="86">
        <v>0</v>
      </c>
      <c r="F20" s="86">
        <v>0</v>
      </c>
      <c r="G20" s="86">
        <v>0</v>
      </c>
      <c r="H20" s="86">
        <v>0</v>
      </c>
      <c r="I20" s="86">
        <v>0</v>
      </c>
      <c r="J20" s="86">
        <v>0</v>
      </c>
      <c r="K20" s="86">
        <v>0</v>
      </c>
      <c r="L20" s="86">
        <v>0</v>
      </c>
      <c r="M20" s="86">
        <v>0</v>
      </c>
      <c r="N20" s="86">
        <v>0</v>
      </c>
      <c r="O20" s="86">
        <v>0</v>
      </c>
      <c r="Q20" s="1" t="str">
        <f>VLOOKUP(A20,'Summary before PDE write-offs'!C:C,1,FALSE)</f>
        <v>2131 - Produce Landsid</v>
      </c>
    </row>
    <row r="21" spans="1:17" ht="15" x14ac:dyDescent="0.25">
      <c r="A21" s="85" t="s">
        <v>91</v>
      </c>
      <c r="B21" s="86">
        <v>0</v>
      </c>
      <c r="C21" s="86">
        <v>715.47</v>
      </c>
      <c r="D21" s="86">
        <v>-609.96</v>
      </c>
      <c r="E21" s="86">
        <v>-626.41</v>
      </c>
      <c r="F21" s="86">
        <v>44.44</v>
      </c>
      <c r="G21" s="86">
        <v>-118.11</v>
      </c>
      <c r="H21" s="86">
        <v>4.7300000000000004</v>
      </c>
      <c r="I21" s="86">
        <v>-111.46</v>
      </c>
      <c r="J21" s="86">
        <v>207.18</v>
      </c>
      <c r="K21" s="86">
        <v>-198.13</v>
      </c>
      <c r="L21" s="86">
        <v>-589.84</v>
      </c>
      <c r="M21" s="86">
        <v>0</v>
      </c>
      <c r="N21" s="86">
        <v>0</v>
      </c>
      <c r="O21" s="86">
        <v>1282.0899999999999</v>
      </c>
      <c r="Q21" s="1" t="str">
        <f>VLOOKUP(A21,'Summary before PDE write-offs'!C:C,1,FALSE)</f>
        <v>2136 - Think Aust Mad</v>
      </c>
    </row>
    <row r="22" spans="1:17" ht="15" x14ac:dyDescent="0.25">
      <c r="A22" s="85" t="s">
        <v>92</v>
      </c>
      <c r="B22" s="86">
        <v>0</v>
      </c>
      <c r="C22" s="86">
        <v>1645.23</v>
      </c>
      <c r="D22" s="86">
        <v>-1619.8</v>
      </c>
      <c r="E22" s="86">
        <v>-2125.2600000000002</v>
      </c>
      <c r="F22" s="86">
        <v>1395.87</v>
      </c>
      <c r="G22" s="86">
        <v>-624.63</v>
      </c>
      <c r="H22" s="86">
        <v>827.5</v>
      </c>
      <c r="I22" s="86">
        <v>-895.08</v>
      </c>
      <c r="J22" s="86">
        <v>-1465.72</v>
      </c>
      <c r="K22" s="86">
        <v>467.11</v>
      </c>
      <c r="L22" s="86">
        <v>-1724.73</v>
      </c>
      <c r="M22" s="86">
        <v>0</v>
      </c>
      <c r="N22" s="86">
        <v>0</v>
      </c>
      <c r="O22" s="86">
        <v>4119.51</v>
      </c>
      <c r="Q22" s="1" t="str">
        <f>VLOOKUP(A22,'Summary before PDE write-offs'!C:C,1,FALSE)</f>
        <v>2137 - Think Syd PierC</v>
      </c>
    </row>
    <row r="23" spans="1:17" ht="15" x14ac:dyDescent="0.25">
      <c r="A23" s="85" t="s">
        <v>93</v>
      </c>
      <c r="B23" s="86">
        <v>0</v>
      </c>
      <c r="C23" s="86">
        <v>0</v>
      </c>
      <c r="D23" s="86">
        <v>0</v>
      </c>
      <c r="E23" s="86">
        <v>0</v>
      </c>
      <c r="F23" s="86">
        <v>0</v>
      </c>
      <c r="G23" s="86">
        <v>0</v>
      </c>
      <c r="H23" s="86">
        <v>0</v>
      </c>
      <c r="I23" s="86">
        <v>0</v>
      </c>
      <c r="J23" s="86">
        <v>0</v>
      </c>
      <c r="K23" s="86">
        <v>0</v>
      </c>
      <c r="L23" s="86">
        <v>0</v>
      </c>
      <c r="M23" s="86">
        <v>0</v>
      </c>
      <c r="N23" s="86">
        <v>0</v>
      </c>
      <c r="O23" s="86">
        <v>0</v>
      </c>
      <c r="Q23" s="1" t="str">
        <f>VLOOKUP(A23,'Summary before PDE write-offs'!C:C,1,FALSE)</f>
        <v>2139 - AA Syd Temp</v>
      </c>
    </row>
    <row r="24" spans="1:17" ht="15" x14ac:dyDescent="0.25">
      <c r="A24" s="85" t="s">
        <v>185</v>
      </c>
      <c r="B24" s="86">
        <v>0</v>
      </c>
      <c r="C24" s="86">
        <v>0</v>
      </c>
      <c r="D24" s="86">
        <v>0</v>
      </c>
      <c r="E24" s="86">
        <v>0</v>
      </c>
      <c r="F24" s="86">
        <v>0</v>
      </c>
      <c r="G24" s="86">
        <v>0</v>
      </c>
      <c r="H24" s="86">
        <v>0</v>
      </c>
      <c r="I24" s="86">
        <v>186.5</v>
      </c>
      <c r="J24" s="86">
        <v>282.14999999999998</v>
      </c>
      <c r="K24" s="86">
        <v>45.39</v>
      </c>
      <c r="L24" s="86">
        <v>-521.13</v>
      </c>
      <c r="M24" s="86">
        <v>0</v>
      </c>
      <c r="N24" s="86">
        <v>0</v>
      </c>
      <c r="O24" s="86">
        <v>7.09</v>
      </c>
      <c r="Q24" s="1" t="str">
        <f>VLOOKUP(A24,'Summary before PDE write-offs'!C:C,1,FALSE)</f>
        <v>2225 - News@CBR</v>
      </c>
    </row>
    <row r="25" spans="1:17" ht="15" x14ac:dyDescent="0.25">
      <c r="A25" s="85" t="s">
        <v>99</v>
      </c>
      <c r="B25" s="86">
        <v>0</v>
      </c>
      <c r="C25" s="86">
        <v>4202.5600000000004</v>
      </c>
      <c r="D25" s="86">
        <v>-3271.46</v>
      </c>
      <c r="E25" s="86">
        <v>-3508.48</v>
      </c>
      <c r="F25" s="86">
        <v>2084.2199999999998</v>
      </c>
      <c r="G25" s="86">
        <v>-946.55</v>
      </c>
      <c r="H25" s="86">
        <v>1567.79</v>
      </c>
      <c r="I25" s="86">
        <v>-2167.2399999999998</v>
      </c>
      <c r="J25" s="86">
        <v>-1172.97</v>
      </c>
      <c r="K25" s="86">
        <v>2517.13</v>
      </c>
      <c r="L25" s="86">
        <v>-4820.68</v>
      </c>
      <c r="M25" s="86">
        <v>0</v>
      </c>
      <c r="N25" s="86">
        <v>0</v>
      </c>
      <c r="O25" s="86">
        <v>5515.68</v>
      </c>
      <c r="Q25" s="1" t="str">
        <f>VLOOKUP(A25,'Summary before PDE write-offs'!C:C,1,FALSE)</f>
        <v>2230 - Australian Way</v>
      </c>
    </row>
    <row r="26" spans="1:17" ht="15" x14ac:dyDescent="0.25">
      <c r="A26" s="85" t="s">
        <v>100</v>
      </c>
      <c r="B26" s="86">
        <v>0</v>
      </c>
      <c r="C26" s="86">
        <v>3360.02</v>
      </c>
      <c r="D26" s="86">
        <v>-3800.89</v>
      </c>
      <c r="E26" s="86">
        <v>-3891.97</v>
      </c>
      <c r="F26" s="86">
        <v>1808.55</v>
      </c>
      <c r="G26" s="86">
        <v>-840.93</v>
      </c>
      <c r="H26" s="86">
        <v>290.18</v>
      </c>
      <c r="I26" s="86">
        <v>-3824.8</v>
      </c>
      <c r="J26" s="86">
        <v>-608.67999999999995</v>
      </c>
      <c r="K26" s="86">
        <v>158.88</v>
      </c>
      <c r="L26" s="86">
        <v>-3123.74</v>
      </c>
      <c r="M26" s="86">
        <v>0</v>
      </c>
      <c r="N26" s="86">
        <v>0</v>
      </c>
      <c r="O26" s="86">
        <v>10473.379999999999</v>
      </c>
      <c r="Q26" s="1" t="str">
        <f>VLOOKUP(A26,'Summary before PDE write-offs'!C:C,1,FALSE)</f>
        <v>2231 - Think Syd B</v>
      </c>
    </row>
    <row r="27" spans="1:17" ht="15" x14ac:dyDescent="0.25">
      <c r="A27" s="85" t="s">
        <v>105</v>
      </c>
      <c r="B27" s="86">
        <v>0</v>
      </c>
      <c r="C27" s="86">
        <v>497.88</v>
      </c>
      <c r="D27" s="86">
        <v>-497.88</v>
      </c>
      <c r="E27" s="86">
        <v>-650</v>
      </c>
      <c r="F27" s="86">
        <v>432.1</v>
      </c>
      <c r="G27" s="86">
        <v>-41.48</v>
      </c>
      <c r="H27" s="86">
        <v>210.38</v>
      </c>
      <c r="I27" s="86">
        <v>53.06</v>
      </c>
      <c r="J27" s="86">
        <v>-598.16</v>
      </c>
      <c r="K27" s="86">
        <v>455.2</v>
      </c>
      <c r="L27" s="86">
        <v>-845.11</v>
      </c>
      <c r="M27" s="86">
        <v>0</v>
      </c>
      <c r="N27" s="86">
        <v>0</v>
      </c>
      <c r="O27" s="86">
        <v>984.01</v>
      </c>
      <c r="Q27" s="1" t="str">
        <f>VLOOKUP(A27,'Summary before PDE write-offs'!C:C,1,FALSE)</f>
        <v>2232 - Merino Pier B</v>
      </c>
    </row>
    <row r="28" spans="1:17" ht="15" x14ac:dyDescent="0.25">
      <c r="A28" s="85" t="s">
        <v>106</v>
      </c>
      <c r="B28" s="86">
        <v>0</v>
      </c>
      <c r="C28" s="86">
        <v>615.14</v>
      </c>
      <c r="D28" s="86">
        <v>-574.95000000000005</v>
      </c>
      <c r="E28" s="86">
        <v>-417.01</v>
      </c>
      <c r="F28" s="86">
        <v>15.18</v>
      </c>
      <c r="G28" s="86">
        <v>-94.67</v>
      </c>
      <c r="H28" s="86">
        <v>346.91</v>
      </c>
      <c r="I28" s="86">
        <v>-622.84</v>
      </c>
      <c r="J28" s="86">
        <v>-740.17</v>
      </c>
      <c r="K28" s="86">
        <v>1040.6400000000001</v>
      </c>
      <c r="L28" s="86">
        <v>-1112.79</v>
      </c>
      <c r="M28" s="86">
        <v>0</v>
      </c>
      <c r="N28" s="86">
        <v>0</v>
      </c>
      <c r="O28" s="86">
        <v>1544.56</v>
      </c>
      <c r="Q28" s="1" t="str">
        <f>VLOOKUP(A28,'Summary before PDE write-offs'!C:C,1,FALSE)</f>
        <v>2233 - Aust Way Syd LS</v>
      </c>
    </row>
    <row r="29" spans="1:17" ht="15" x14ac:dyDescent="0.25">
      <c r="A29" s="85" t="s">
        <v>107</v>
      </c>
      <c r="B29" s="86">
        <v>0</v>
      </c>
      <c r="C29" s="86">
        <v>153.51</v>
      </c>
      <c r="D29" s="86">
        <v>-690.68</v>
      </c>
      <c r="E29" s="86">
        <v>-1052.8800000000001</v>
      </c>
      <c r="F29" s="86">
        <v>-96.18</v>
      </c>
      <c r="G29" s="86">
        <v>-37.28</v>
      </c>
      <c r="H29" s="86">
        <v>335.14</v>
      </c>
      <c r="I29" s="86">
        <v>-869.36</v>
      </c>
      <c r="J29" s="86">
        <v>141.46</v>
      </c>
      <c r="K29" s="86">
        <v>-123.19</v>
      </c>
      <c r="L29" s="86">
        <v>-502.17</v>
      </c>
      <c r="M29" s="86">
        <v>0</v>
      </c>
      <c r="N29" s="86">
        <v>0</v>
      </c>
      <c r="O29" s="86">
        <v>2741.63</v>
      </c>
      <c r="Q29" s="1" t="str">
        <f>VLOOKUP(A29,'Summary before PDE write-offs'!C:C,1,FALSE)</f>
        <v>2234 - Think Syd Lands</v>
      </c>
    </row>
    <row r="30" spans="1:17" ht="15" x14ac:dyDescent="0.25">
      <c r="A30" s="85" t="s">
        <v>79</v>
      </c>
      <c r="B30" s="86">
        <v>0</v>
      </c>
      <c r="C30" s="86">
        <v>499.1</v>
      </c>
      <c r="D30" s="86">
        <v>-387.64</v>
      </c>
      <c r="E30" s="86">
        <v>-165.59</v>
      </c>
      <c r="F30" s="86">
        <v>173.04</v>
      </c>
      <c r="G30" s="86">
        <v>125.69</v>
      </c>
      <c r="H30" s="86">
        <v>156.49</v>
      </c>
      <c r="I30" s="86">
        <v>-187.85</v>
      </c>
      <c r="J30" s="86">
        <v>-88.88</v>
      </c>
      <c r="K30" s="86">
        <v>45.4</v>
      </c>
      <c r="L30" s="86">
        <v>-65.8</v>
      </c>
      <c r="M30" s="86">
        <v>0</v>
      </c>
      <c r="N30" s="86">
        <v>0</v>
      </c>
      <c r="O30" s="86">
        <v>-103.96</v>
      </c>
      <c r="Q30" s="1" t="str">
        <f>VLOOKUP(A30,'Summary before PDE write-offs'!C:C,1,FALSE)</f>
        <v>2450 - NT Newcastle</v>
      </c>
    </row>
    <row r="31" spans="1:17" ht="15" x14ac:dyDescent="0.25">
      <c r="A31" s="85" t="s">
        <v>3</v>
      </c>
      <c r="B31" s="86">
        <v>0</v>
      </c>
      <c r="C31" s="86">
        <v>382.65</v>
      </c>
      <c r="D31" s="86">
        <v>-48.68</v>
      </c>
      <c r="E31" s="86">
        <v>-627.62</v>
      </c>
      <c r="F31" s="86">
        <v>-196.42</v>
      </c>
      <c r="G31" s="86">
        <v>78.47</v>
      </c>
      <c r="H31" s="86">
        <v>-54.13</v>
      </c>
      <c r="I31" s="86">
        <v>-476.82</v>
      </c>
      <c r="J31" s="86">
        <v>13</v>
      </c>
      <c r="K31" s="86">
        <v>18.07</v>
      </c>
      <c r="L31" s="86">
        <v>-192.43</v>
      </c>
      <c r="M31" s="86">
        <v>0</v>
      </c>
      <c r="N31" s="86">
        <v>0</v>
      </c>
      <c r="O31" s="86">
        <v>1103.9100000000001</v>
      </c>
      <c r="Q31" s="1" t="str">
        <f>VLOOKUP(A31,'Summary before PDE write-offs'!C:C,1,FALSE)</f>
        <v>3019 - AW Melbourne Do</v>
      </c>
    </row>
    <row r="32" spans="1:17" ht="15" x14ac:dyDescent="0.25">
      <c r="A32" s="85" t="s">
        <v>4</v>
      </c>
      <c r="B32" s="86">
        <v>0</v>
      </c>
      <c r="C32" s="86">
        <v>0</v>
      </c>
      <c r="D32" s="86">
        <v>0</v>
      </c>
      <c r="E32" s="86">
        <v>0</v>
      </c>
      <c r="F32" s="86">
        <v>0</v>
      </c>
      <c r="G32" s="86">
        <v>0</v>
      </c>
      <c r="H32" s="86">
        <v>0</v>
      </c>
      <c r="I32" s="86">
        <v>0</v>
      </c>
      <c r="J32" s="86">
        <v>0</v>
      </c>
      <c r="K32" s="86">
        <v>0</v>
      </c>
      <c r="L32" s="86">
        <v>0</v>
      </c>
      <c r="M32" s="86">
        <v>0</v>
      </c>
      <c r="N32" s="86">
        <v>0</v>
      </c>
      <c r="O32" s="86">
        <v>0</v>
      </c>
      <c r="Q32" s="1" t="str">
        <f>VLOOKUP(A32,'Summary before PDE write-offs'!C:C,1,FALSE)</f>
        <v>3025 - AW Melbourne Li</v>
      </c>
    </row>
    <row r="33" spans="1:17" ht="15" x14ac:dyDescent="0.25">
      <c r="A33" s="85" t="s">
        <v>5</v>
      </c>
      <c r="B33" s="86">
        <v>0</v>
      </c>
      <c r="C33" s="86">
        <v>194.3</v>
      </c>
      <c r="D33" s="86">
        <v>-181.35</v>
      </c>
      <c r="E33" s="86">
        <v>-93.82</v>
      </c>
      <c r="F33" s="86">
        <v>87.86</v>
      </c>
      <c r="G33" s="86">
        <v>66.02</v>
      </c>
      <c r="H33" s="86">
        <v>138.78</v>
      </c>
      <c r="I33" s="86">
        <v>-134.9</v>
      </c>
      <c r="J33" s="86">
        <v>15.4</v>
      </c>
      <c r="K33" s="86">
        <v>-113.11</v>
      </c>
      <c r="L33" s="86">
        <v>-185.57</v>
      </c>
      <c r="M33" s="86">
        <v>0</v>
      </c>
      <c r="N33" s="86">
        <v>0</v>
      </c>
      <c r="O33" s="86">
        <v>206.39</v>
      </c>
      <c r="Q33" s="1" t="str">
        <f>VLOOKUP(A33,'Summary before PDE write-offs'!C:C,1,FALSE)</f>
        <v>3028 - AW Melbourne &amp;</v>
      </c>
    </row>
    <row r="34" spans="1:17" ht="15" x14ac:dyDescent="0.25">
      <c r="A34" s="85" t="s">
        <v>6</v>
      </c>
      <c r="B34" s="86">
        <v>0</v>
      </c>
      <c r="C34" s="86">
        <v>129.94999999999999</v>
      </c>
      <c r="D34" s="86">
        <v>-428.21</v>
      </c>
      <c r="E34" s="86">
        <v>-369.04</v>
      </c>
      <c r="F34" s="86">
        <v>1239.98</v>
      </c>
      <c r="G34" s="86">
        <v>-374.19</v>
      </c>
      <c r="H34" s="86">
        <v>2.8</v>
      </c>
      <c r="I34" s="86">
        <v>168.84</v>
      </c>
      <c r="J34" s="86">
        <v>-308.14</v>
      </c>
      <c r="K34" s="86">
        <v>0</v>
      </c>
      <c r="L34" s="86">
        <v>0</v>
      </c>
      <c r="M34" s="86">
        <v>0</v>
      </c>
      <c r="N34" s="86">
        <v>0</v>
      </c>
      <c r="O34" s="86">
        <v>-61.99</v>
      </c>
      <c r="Q34" s="1" t="str">
        <f>VLOOKUP(A34,'Summary before PDE write-offs'!C:C,1,FALSE)</f>
        <v>3034 - Carri On Melbou</v>
      </c>
    </row>
    <row r="35" spans="1:17" ht="15" x14ac:dyDescent="0.25">
      <c r="A35" s="85" t="s">
        <v>80</v>
      </c>
      <c r="B35" s="86">
        <v>0</v>
      </c>
      <c r="C35" s="86">
        <v>1195.2</v>
      </c>
      <c r="D35" s="86">
        <v>-1123</v>
      </c>
      <c r="E35" s="86">
        <v>-3332.81</v>
      </c>
      <c r="F35" s="86">
        <v>-61.34</v>
      </c>
      <c r="G35" s="86">
        <v>-450.41</v>
      </c>
      <c r="H35" s="86">
        <v>-1165.1600000000001</v>
      </c>
      <c r="I35" s="86">
        <v>-1421.9</v>
      </c>
      <c r="J35" s="86">
        <v>-1149.3</v>
      </c>
      <c r="K35" s="86">
        <v>-410.74</v>
      </c>
      <c r="L35" s="86">
        <v>-597.33000000000004</v>
      </c>
      <c r="M35" s="86">
        <v>0</v>
      </c>
      <c r="N35" s="86">
        <v>0</v>
      </c>
      <c r="O35" s="86">
        <v>8516.7900000000009</v>
      </c>
      <c r="Q35" s="1" t="str">
        <f>VLOOKUP(A35,'Summary before PDE write-offs'!C:C,1,FALSE)</f>
        <v>3175 - AW Melb Land</v>
      </c>
    </row>
    <row r="36" spans="1:17" ht="15" x14ac:dyDescent="0.25">
      <c r="A36" s="85" t="s">
        <v>81</v>
      </c>
      <c r="B36" s="86">
        <v>0</v>
      </c>
      <c r="C36" s="86">
        <v>241.45</v>
      </c>
      <c r="D36" s="86">
        <v>-112.96</v>
      </c>
      <c r="E36" s="86">
        <v>-458.88</v>
      </c>
      <c r="F36" s="86">
        <v>350.38</v>
      </c>
      <c r="G36" s="86">
        <v>-201.36</v>
      </c>
      <c r="H36" s="86">
        <v>297.55</v>
      </c>
      <c r="I36" s="86">
        <v>42.71</v>
      </c>
      <c r="J36" s="86">
        <v>-405.24</v>
      </c>
      <c r="K36" s="86">
        <v>-39.99</v>
      </c>
      <c r="L36" s="86">
        <v>0</v>
      </c>
      <c r="M36" s="86">
        <v>0</v>
      </c>
      <c r="N36" s="86">
        <v>0</v>
      </c>
      <c r="O36" s="86">
        <v>286.33999999999997</v>
      </c>
      <c r="Q36" s="1" t="str">
        <f>VLOOKUP(A36,'Summary before PDE write-offs'!C:C,1,FALSE)</f>
        <v>3213 - CarryOn Melb II</v>
      </c>
    </row>
    <row r="37" spans="1:17" ht="15" x14ac:dyDescent="0.25">
      <c r="A37" s="85" t="s">
        <v>177</v>
      </c>
      <c r="B37" s="86">
        <v>0</v>
      </c>
      <c r="C37" s="86">
        <v>0</v>
      </c>
      <c r="D37" s="86">
        <v>0</v>
      </c>
      <c r="E37" s="86">
        <v>0</v>
      </c>
      <c r="F37" s="86">
        <v>0</v>
      </c>
      <c r="G37" s="86">
        <v>-1546.99</v>
      </c>
      <c r="H37" s="86">
        <v>-4641.72</v>
      </c>
      <c r="I37" s="86">
        <v>-4859.3</v>
      </c>
      <c r="J37" s="86">
        <v>-3917.29</v>
      </c>
      <c r="K37" s="86">
        <v>-3853.81</v>
      </c>
      <c r="L37" s="86">
        <v>-2629.83</v>
      </c>
      <c r="M37" s="86">
        <v>0</v>
      </c>
      <c r="N37" s="86">
        <v>208.9</v>
      </c>
      <c r="O37" s="86">
        <v>21240.04</v>
      </c>
      <c r="Q37" s="1" t="str">
        <f>VLOOKUP(A37,'Summary before PDE write-offs'!C:C,1,FALSE)</f>
        <v>3228 - NC CollinsPlace</v>
      </c>
    </row>
    <row r="38" spans="1:17" ht="15" x14ac:dyDescent="0.25">
      <c r="A38" s="85" t="s">
        <v>7</v>
      </c>
      <c r="B38" s="86">
        <v>0</v>
      </c>
      <c r="C38" s="86">
        <v>0</v>
      </c>
      <c r="D38" s="86">
        <v>0</v>
      </c>
      <c r="E38" s="86">
        <v>0</v>
      </c>
      <c r="F38" s="86">
        <v>0</v>
      </c>
      <c r="G38" s="86">
        <v>0</v>
      </c>
      <c r="H38" s="86">
        <v>0</v>
      </c>
      <c r="I38" s="86">
        <v>0</v>
      </c>
      <c r="J38" s="86">
        <v>0</v>
      </c>
      <c r="K38" s="86">
        <v>0</v>
      </c>
      <c r="L38" s="86">
        <v>0</v>
      </c>
      <c r="M38" s="86">
        <v>0</v>
      </c>
      <c r="N38" s="86">
        <v>0</v>
      </c>
      <c r="O38" s="86">
        <v>0</v>
      </c>
      <c r="Q38" s="1" t="str">
        <f>VLOOKUP(A38,'Summary before PDE write-offs'!C:C,1,FALSE)</f>
        <v>4005 - AW Brisbane Dom</v>
      </c>
    </row>
    <row r="39" spans="1:17" ht="15" x14ac:dyDescent="0.25">
      <c r="A39" s="85" t="s">
        <v>52</v>
      </c>
      <c r="B39" s="86">
        <v>0</v>
      </c>
      <c r="C39" s="86">
        <v>428.38</v>
      </c>
      <c r="D39" s="86">
        <v>-213.43</v>
      </c>
      <c r="E39" s="86">
        <v>-200.88</v>
      </c>
      <c r="F39" s="86">
        <v>45.33</v>
      </c>
      <c r="G39" s="86">
        <v>-8.09</v>
      </c>
      <c r="H39" s="86">
        <v>327.76</v>
      </c>
      <c r="I39" s="86">
        <v>-312.02</v>
      </c>
      <c r="J39" s="86">
        <v>-73.599999999999994</v>
      </c>
      <c r="K39" s="86">
        <v>77.13</v>
      </c>
      <c r="L39" s="86">
        <v>-212.13</v>
      </c>
      <c r="M39" s="86">
        <v>0</v>
      </c>
      <c r="N39" s="86">
        <v>0</v>
      </c>
      <c r="O39" s="86">
        <v>141.55000000000001</v>
      </c>
      <c r="Q39" s="1" t="str">
        <f>VLOOKUP(A39,'Summary before PDE write-offs'!C:C,1,FALSE)</f>
        <v>4024 - NT Express Bris</v>
      </c>
    </row>
    <row r="40" spans="1:17" ht="15" x14ac:dyDescent="0.25">
      <c r="A40" s="85" t="s">
        <v>8</v>
      </c>
      <c r="B40" s="86">
        <v>0</v>
      </c>
      <c r="C40" s="86">
        <v>0</v>
      </c>
      <c r="D40" s="86">
        <v>0</v>
      </c>
      <c r="E40" s="86">
        <v>0</v>
      </c>
      <c r="F40" s="86">
        <v>0</v>
      </c>
      <c r="G40" s="86">
        <v>0</v>
      </c>
      <c r="H40" s="86">
        <v>0</v>
      </c>
      <c r="I40" s="86">
        <v>0</v>
      </c>
      <c r="J40" s="86">
        <v>0</v>
      </c>
      <c r="K40" s="86">
        <v>0</v>
      </c>
      <c r="L40" s="86">
        <v>0</v>
      </c>
      <c r="M40" s="86">
        <v>0</v>
      </c>
      <c r="N40" s="86">
        <v>0</v>
      </c>
      <c r="O40" s="86">
        <v>0</v>
      </c>
      <c r="Q40" s="1" t="str">
        <f>VLOOKUP(A40,'Summary before PDE write-offs'!C:C,1,FALSE)</f>
        <v>4036 - AW Brisbane Dom</v>
      </c>
    </row>
    <row r="41" spans="1:17" ht="15" x14ac:dyDescent="0.25">
      <c r="A41" s="85" t="s">
        <v>53</v>
      </c>
      <c r="B41" s="86">
        <v>0</v>
      </c>
      <c r="C41" s="86">
        <v>86.2</v>
      </c>
      <c r="D41" s="86">
        <v>-22.61</v>
      </c>
      <c r="E41" s="86">
        <v>-213.7</v>
      </c>
      <c r="F41" s="86">
        <v>394.06</v>
      </c>
      <c r="G41" s="86">
        <v>-104.56</v>
      </c>
      <c r="H41" s="86">
        <v>-61.71</v>
      </c>
      <c r="I41" s="86">
        <v>115.85</v>
      </c>
      <c r="J41" s="86">
        <v>-65.45</v>
      </c>
      <c r="K41" s="86">
        <v>189</v>
      </c>
      <c r="L41" s="86">
        <v>-322.66000000000003</v>
      </c>
      <c r="M41" s="86">
        <v>0</v>
      </c>
      <c r="N41" s="86">
        <v>0</v>
      </c>
      <c r="O41" s="86">
        <v>5.58</v>
      </c>
      <c r="Q41" s="1" t="str">
        <f>VLOOKUP(A41,'Summary before PDE write-offs'!C:C,1,FALSE)</f>
        <v>4085 - Carri On Brisb</v>
      </c>
    </row>
    <row r="42" spans="1:17" ht="15" x14ac:dyDescent="0.25">
      <c r="A42" s="85" t="s">
        <v>9</v>
      </c>
      <c r="B42" s="86">
        <v>0</v>
      </c>
      <c r="C42" s="86">
        <v>249.2</v>
      </c>
      <c r="D42" s="86">
        <v>-172.91</v>
      </c>
      <c r="E42" s="86">
        <v>-286.83</v>
      </c>
      <c r="F42" s="86">
        <v>226.03</v>
      </c>
      <c r="G42" s="86">
        <v>82.01</v>
      </c>
      <c r="H42" s="86">
        <v>184.05</v>
      </c>
      <c r="I42" s="86">
        <v>11.19</v>
      </c>
      <c r="J42" s="86">
        <v>-284.14999999999998</v>
      </c>
      <c r="K42" s="86">
        <v>322.66000000000003</v>
      </c>
      <c r="L42" s="86">
        <v>-389.97</v>
      </c>
      <c r="M42" s="86">
        <v>60.23</v>
      </c>
      <c r="N42" s="86">
        <v>0</v>
      </c>
      <c r="O42" s="86">
        <v>-1.51</v>
      </c>
      <c r="Q42" s="1" t="str">
        <f>VLOOKUP(A42,'Summary before PDE write-offs'!C:C,1,FALSE)</f>
        <v>4100 - NT Sunshine</v>
      </c>
    </row>
    <row r="43" spans="1:17" ht="15" x14ac:dyDescent="0.25">
      <c r="A43" s="85" t="s">
        <v>162</v>
      </c>
      <c r="B43" s="86">
        <v>35.54</v>
      </c>
      <c r="C43" s="86">
        <v>1141.6500000000001</v>
      </c>
      <c r="D43" s="86">
        <v>-874.98</v>
      </c>
      <c r="E43" s="86">
        <v>-756.36</v>
      </c>
      <c r="F43" s="86">
        <v>509.59</v>
      </c>
      <c r="G43" s="86">
        <v>-334</v>
      </c>
      <c r="H43" s="86">
        <v>1074.58</v>
      </c>
      <c r="I43" s="86">
        <v>-1324.57</v>
      </c>
      <c r="J43" s="86">
        <v>490.93</v>
      </c>
      <c r="K43" s="86">
        <v>72.64</v>
      </c>
      <c r="L43" s="86">
        <v>-548</v>
      </c>
      <c r="M43" s="86">
        <v>0</v>
      </c>
      <c r="N43" s="86">
        <v>0</v>
      </c>
      <c r="O43" s="86">
        <v>584.05999999999995</v>
      </c>
      <c r="Q43" s="1" t="str">
        <f>VLOOKUP(A43,'Summary before PDE write-offs'!C:C,1,FALSE)</f>
        <v>4101 - News@BNE NC</v>
      </c>
    </row>
    <row r="44" spans="1:17" ht="15" x14ac:dyDescent="0.25">
      <c r="A44" s="85" t="s">
        <v>163</v>
      </c>
      <c r="B44" s="86">
        <v>0</v>
      </c>
      <c r="C44" s="86">
        <v>188.72</v>
      </c>
      <c r="D44" s="86">
        <v>-207.37</v>
      </c>
      <c r="E44" s="86">
        <v>-340.16</v>
      </c>
      <c r="F44" s="86">
        <v>351.1</v>
      </c>
      <c r="G44" s="86">
        <v>45.18</v>
      </c>
      <c r="H44" s="86">
        <v>36.18</v>
      </c>
      <c r="I44" s="86">
        <v>-201.1</v>
      </c>
      <c r="J44" s="86">
        <v>145.05000000000001</v>
      </c>
      <c r="K44" s="86">
        <v>77.92</v>
      </c>
      <c r="L44" s="86">
        <v>-272.75</v>
      </c>
      <c r="M44" s="86">
        <v>0</v>
      </c>
      <c r="N44" s="86">
        <v>0</v>
      </c>
      <c r="O44" s="86">
        <v>177.23</v>
      </c>
      <c r="Q44" s="1" t="str">
        <f>VLOOKUP(A44,'Summary before PDE write-offs'!C:C,1,FALSE)</f>
        <v>4102 - NE@BNE ANorth</v>
      </c>
    </row>
    <row r="45" spans="1:17" ht="15" x14ac:dyDescent="0.25">
      <c r="A45" s="85" t="s">
        <v>164</v>
      </c>
      <c r="B45" s="86">
        <v>0</v>
      </c>
      <c r="C45" s="86">
        <v>175.14</v>
      </c>
      <c r="D45" s="86">
        <v>-142.65</v>
      </c>
      <c r="E45" s="86">
        <v>-180.13</v>
      </c>
      <c r="F45" s="86">
        <v>152.63</v>
      </c>
      <c r="G45" s="86">
        <v>-4.99</v>
      </c>
      <c r="H45" s="86">
        <v>220.19</v>
      </c>
      <c r="I45" s="86">
        <v>-176.7</v>
      </c>
      <c r="J45" s="86">
        <v>-14.52</v>
      </c>
      <c r="K45" s="86">
        <v>24</v>
      </c>
      <c r="L45" s="86">
        <v>-152.31</v>
      </c>
      <c r="M45" s="86">
        <v>0</v>
      </c>
      <c r="N45" s="86">
        <v>0</v>
      </c>
      <c r="O45" s="86">
        <v>99.34</v>
      </c>
      <c r="Q45" s="1" t="str">
        <f>VLOOKUP(A45,'Summary before PDE write-offs'!C:C,1,FALSE)</f>
        <v>4103 - NE@ BNE ASouth</v>
      </c>
    </row>
    <row r="46" spans="1:17" ht="15" x14ac:dyDescent="0.25">
      <c r="A46" s="85" t="s">
        <v>167</v>
      </c>
      <c r="B46" s="86">
        <v>2.1</v>
      </c>
      <c r="C46" s="86">
        <v>70.540000000000006</v>
      </c>
      <c r="D46" s="86">
        <v>11.53</v>
      </c>
      <c r="E46" s="86">
        <v>-102.3</v>
      </c>
      <c r="F46" s="86">
        <v>75.89</v>
      </c>
      <c r="G46" s="86">
        <v>-36.89</v>
      </c>
      <c r="H46" s="86">
        <v>41.79</v>
      </c>
      <c r="I46" s="86">
        <v>-19.55</v>
      </c>
      <c r="J46" s="86">
        <v>6.76</v>
      </c>
      <c r="K46" s="86">
        <v>40.14</v>
      </c>
      <c r="L46" s="86">
        <v>-76.84</v>
      </c>
      <c r="M46" s="86">
        <v>0</v>
      </c>
      <c r="N46" s="86">
        <v>0</v>
      </c>
      <c r="O46" s="86">
        <v>-8.9700000000000006</v>
      </c>
      <c r="Q46" s="1" t="str">
        <f>VLOOKUP(A46,'Summary before PDE write-offs'!C:C,1,FALSE)</f>
        <v>4104 - Xpress@BNE</v>
      </c>
    </row>
    <row r="47" spans="1:17" ht="15" x14ac:dyDescent="0.25">
      <c r="A47" s="85" t="s">
        <v>169</v>
      </c>
      <c r="B47" s="86">
        <v>48.08</v>
      </c>
      <c r="C47" s="86">
        <v>0</v>
      </c>
      <c r="D47" s="86">
        <v>299.24</v>
      </c>
      <c r="E47" s="86">
        <v>-456.7</v>
      </c>
      <c r="F47" s="86">
        <v>457.51</v>
      </c>
      <c r="G47" s="86">
        <v>-61.41</v>
      </c>
      <c r="H47" s="86">
        <v>91.79</v>
      </c>
      <c r="I47" s="86">
        <v>-106.57</v>
      </c>
      <c r="J47" s="86">
        <v>-41.16</v>
      </c>
      <c r="K47" s="86">
        <v>-33.01</v>
      </c>
      <c r="L47" s="86">
        <v>-308.70999999999998</v>
      </c>
      <c r="M47" s="86">
        <v>0</v>
      </c>
      <c r="N47" s="86">
        <v>52.94</v>
      </c>
      <c r="O47" s="86">
        <v>154.16</v>
      </c>
      <c r="Q47" s="1" t="str">
        <f>VLOOKUP(A47,'Summary before PDE write-offs'!C:C,1,FALSE)</f>
        <v>4106 - News@BNE CC</v>
      </c>
    </row>
    <row r="48" spans="1:17" ht="15" x14ac:dyDescent="0.25">
      <c r="A48" s="85" t="s">
        <v>178</v>
      </c>
      <c r="B48" s="86">
        <v>37.979999999999997</v>
      </c>
      <c r="C48" s="86">
        <v>0</v>
      </c>
      <c r="D48" s="86">
        <v>0</v>
      </c>
      <c r="E48" s="86">
        <v>0</v>
      </c>
      <c r="F48" s="86">
        <v>0</v>
      </c>
      <c r="G48" s="86">
        <v>1951.35</v>
      </c>
      <c r="H48" s="86">
        <v>5703.17</v>
      </c>
      <c r="I48" s="86">
        <v>4058.66</v>
      </c>
      <c r="J48" s="86">
        <v>4189.83</v>
      </c>
      <c r="K48" s="86">
        <v>3385.96</v>
      </c>
      <c r="L48" s="86">
        <v>1817.43</v>
      </c>
      <c r="M48" s="86">
        <v>0</v>
      </c>
      <c r="N48" s="86">
        <v>0</v>
      </c>
      <c r="O48" s="86">
        <v>-21068.42</v>
      </c>
      <c r="Q48" s="1" t="str">
        <f>VLOOKUP(A48,'Summary before PDE write-offs'!C:C,1,FALSE)</f>
        <v>4107 - News@BNE Qantas</v>
      </c>
    </row>
    <row r="49" spans="1:17" ht="15" x14ac:dyDescent="0.25">
      <c r="A49" s="85" t="s">
        <v>188</v>
      </c>
      <c r="B49" s="86">
        <v>0</v>
      </c>
      <c r="C49" s="86">
        <v>0</v>
      </c>
      <c r="D49" s="86">
        <v>0</v>
      </c>
      <c r="E49" s="86">
        <v>0</v>
      </c>
      <c r="F49" s="86">
        <v>0</v>
      </c>
      <c r="G49" s="86">
        <v>0</v>
      </c>
      <c r="H49" s="86">
        <v>0</v>
      </c>
      <c r="I49" s="86">
        <v>0</v>
      </c>
      <c r="J49" s="86">
        <v>0</v>
      </c>
      <c r="K49" s="86">
        <v>0</v>
      </c>
      <c r="L49" s="86">
        <v>0</v>
      </c>
      <c r="M49" s="86">
        <v>0</v>
      </c>
      <c r="N49" s="86">
        <v>0</v>
      </c>
      <c r="O49" s="86">
        <v>0</v>
      </c>
      <c r="Q49" s="1" t="str">
        <f>VLOOKUP(A49,'Summary before PDE write-offs'!C:C,1,FALSE)</f>
        <v>4108 - News@BNE SS</v>
      </c>
    </row>
    <row r="50" spans="1:17" ht="15" x14ac:dyDescent="0.25">
      <c r="A50" s="85" t="s">
        <v>170</v>
      </c>
      <c r="B50" s="86">
        <v>0</v>
      </c>
      <c r="C50" s="86">
        <v>0</v>
      </c>
      <c r="D50" s="86">
        <v>0</v>
      </c>
      <c r="E50" s="86">
        <v>-96.07</v>
      </c>
      <c r="F50" s="86">
        <v>246.34</v>
      </c>
      <c r="G50" s="86">
        <v>310.64999999999998</v>
      </c>
      <c r="H50" s="86">
        <v>-297.8</v>
      </c>
      <c r="I50" s="86">
        <v>-152.49</v>
      </c>
      <c r="J50" s="86">
        <v>209.21</v>
      </c>
      <c r="K50" s="86">
        <v>-126.06</v>
      </c>
      <c r="L50" s="86">
        <v>-181.29</v>
      </c>
      <c r="M50" s="86">
        <v>0</v>
      </c>
      <c r="N50" s="86">
        <v>0</v>
      </c>
      <c r="O50" s="86">
        <v>87.51</v>
      </c>
      <c r="Q50" s="1" t="str">
        <f>VLOOKUP(A50,'Summary before PDE write-offs'!C:C,1,FALSE)</f>
        <v>4109 - News@BNE NS</v>
      </c>
    </row>
    <row r="51" spans="1:17" ht="15" x14ac:dyDescent="0.25">
      <c r="A51" s="85" t="s">
        <v>174</v>
      </c>
      <c r="B51" s="86">
        <v>0</v>
      </c>
      <c r="C51" s="86">
        <v>0</v>
      </c>
      <c r="D51" s="86">
        <v>0</v>
      </c>
      <c r="E51" s="86">
        <v>31.97</v>
      </c>
      <c r="F51" s="86">
        <v>26.02</v>
      </c>
      <c r="G51" s="86">
        <v>28.27</v>
      </c>
      <c r="H51" s="86">
        <v>673.9</v>
      </c>
      <c r="I51" s="86">
        <v>316.43</v>
      </c>
      <c r="J51" s="86">
        <v>496.37</v>
      </c>
      <c r="K51" s="86">
        <v>271.72000000000003</v>
      </c>
      <c r="L51" s="86">
        <v>41.46</v>
      </c>
      <c r="M51" s="86">
        <v>0</v>
      </c>
      <c r="N51" s="86">
        <v>0</v>
      </c>
      <c r="O51" s="86">
        <v>-1886.14</v>
      </c>
      <c r="Q51" s="1" t="str">
        <f>VLOOKUP(A51,'Summary before PDE write-offs'!C:C,1,FALSE)</f>
        <v>4110 - News@BNE CS</v>
      </c>
    </row>
    <row r="52" spans="1:17" ht="15" x14ac:dyDescent="0.25">
      <c r="A52" s="85" t="s">
        <v>71</v>
      </c>
      <c r="B52" s="86">
        <v>0</v>
      </c>
      <c r="C52" s="86">
        <v>333.27</v>
      </c>
      <c r="D52" s="86">
        <v>-237.95</v>
      </c>
      <c r="E52" s="86">
        <v>-779.15</v>
      </c>
      <c r="F52" s="86">
        <v>334.96</v>
      </c>
      <c r="G52" s="86">
        <v>-181.81</v>
      </c>
      <c r="H52" s="86">
        <v>225.46</v>
      </c>
      <c r="I52" s="86">
        <v>-328.15</v>
      </c>
      <c r="J52" s="86">
        <v>64.39</v>
      </c>
      <c r="K52" s="86">
        <v>-186.6</v>
      </c>
      <c r="L52" s="86">
        <v>-325.66000000000003</v>
      </c>
      <c r="M52" s="86">
        <v>0</v>
      </c>
      <c r="N52" s="86">
        <v>0</v>
      </c>
      <c r="O52" s="86">
        <v>1081.24</v>
      </c>
      <c r="Q52" s="1" t="str">
        <f>VLOOKUP(A52,'Summary before PDE write-offs'!C:C,1,FALSE)</f>
        <v>4115 - NT Kiosk Bris</v>
      </c>
    </row>
    <row r="53" spans="1:17" ht="15" x14ac:dyDescent="0.25">
      <c r="A53" s="85" t="s">
        <v>165</v>
      </c>
      <c r="B53" s="86">
        <v>0</v>
      </c>
      <c r="C53" s="86">
        <v>0</v>
      </c>
      <c r="D53" s="86">
        <v>-1402.02</v>
      </c>
      <c r="E53" s="86">
        <v>-1079.7</v>
      </c>
      <c r="F53" s="86">
        <v>-870.44</v>
      </c>
      <c r="G53" s="86">
        <v>-1957.05</v>
      </c>
      <c r="H53" s="86">
        <v>-1543.27</v>
      </c>
      <c r="I53" s="86">
        <v>-2746.47</v>
      </c>
      <c r="J53" s="86">
        <v>-1846.02</v>
      </c>
      <c r="K53" s="86">
        <v>-870.3</v>
      </c>
      <c r="L53" s="86">
        <v>-134.97</v>
      </c>
      <c r="M53" s="86">
        <v>0</v>
      </c>
      <c r="N53" s="86">
        <v>0</v>
      </c>
      <c r="O53" s="86">
        <v>12450.24</v>
      </c>
      <c r="Q53" s="1" t="str">
        <f>VLOOKUP(A53,'Summary before PDE write-offs'!C:C,1,FALSE)</f>
        <v>4122 - 153 East Sunshi</v>
      </c>
    </row>
    <row r="54" spans="1:17" ht="15" x14ac:dyDescent="0.25">
      <c r="A54" s="85" t="s">
        <v>47</v>
      </c>
      <c r="B54" s="86">
        <v>0</v>
      </c>
      <c r="C54" s="86">
        <v>303.12</v>
      </c>
      <c r="D54" s="86">
        <v>-303.12</v>
      </c>
      <c r="E54" s="86">
        <v>0</v>
      </c>
      <c r="F54" s="86">
        <v>0</v>
      </c>
      <c r="G54" s="86">
        <v>0</v>
      </c>
      <c r="H54" s="86">
        <v>0</v>
      </c>
      <c r="I54" s="86">
        <v>0</v>
      </c>
      <c r="J54" s="86">
        <v>0</v>
      </c>
      <c r="K54" s="86">
        <v>0</v>
      </c>
      <c r="L54" s="86">
        <v>0</v>
      </c>
      <c r="M54" s="86">
        <v>0</v>
      </c>
      <c r="N54" s="86">
        <v>0</v>
      </c>
      <c r="O54" s="86">
        <v>0</v>
      </c>
      <c r="Q54" s="1" t="str">
        <f>VLOOKUP(A54,'Summary before PDE write-offs'!C:C,1,FALSE)</f>
        <v>4145 - NT Common User</v>
      </c>
    </row>
    <row r="55" spans="1:17" ht="15" x14ac:dyDescent="0.25">
      <c r="A55" s="85" t="s">
        <v>72</v>
      </c>
      <c r="B55" s="86">
        <v>0</v>
      </c>
      <c r="C55" s="86">
        <v>967.06</v>
      </c>
      <c r="D55" s="86">
        <v>-967.06</v>
      </c>
      <c r="E55" s="86">
        <v>0</v>
      </c>
      <c r="F55" s="86">
        <v>0</v>
      </c>
      <c r="G55" s="86">
        <v>0</v>
      </c>
      <c r="H55" s="86">
        <v>0</v>
      </c>
      <c r="I55" s="86">
        <v>0</v>
      </c>
      <c r="J55" s="86">
        <v>0</v>
      </c>
      <c r="K55" s="86">
        <v>0</v>
      </c>
      <c r="L55" s="86">
        <v>0</v>
      </c>
      <c r="M55" s="86">
        <v>0</v>
      </c>
      <c r="N55" s="86">
        <v>0</v>
      </c>
      <c r="O55" s="86">
        <v>0</v>
      </c>
      <c r="Q55" s="1" t="str">
        <f>VLOOKUP(A55,'Summary before PDE write-offs'!C:C,1,FALSE)</f>
        <v>4149 - Aero Brisbane V</v>
      </c>
    </row>
    <row r="56" spans="1:17" ht="15" x14ac:dyDescent="0.25">
      <c r="A56" s="85" t="s">
        <v>101</v>
      </c>
      <c r="B56" s="86">
        <v>0</v>
      </c>
      <c r="C56" s="86">
        <v>0</v>
      </c>
      <c r="D56" s="86">
        <v>0</v>
      </c>
      <c r="E56" s="86">
        <v>0</v>
      </c>
      <c r="F56" s="86">
        <v>0</v>
      </c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v>0</v>
      </c>
      <c r="M56" s="86">
        <v>0</v>
      </c>
      <c r="N56" s="86">
        <v>0</v>
      </c>
      <c r="O56" s="86">
        <v>0</v>
      </c>
      <c r="Q56" s="1" t="str">
        <f>VLOOKUP(A56,'Summary before PDE write-offs'!C:C,1,FALSE)</f>
        <v>4155 - CO Bris Virgin</v>
      </c>
    </row>
    <row r="57" spans="1:17" ht="15" x14ac:dyDescent="0.25">
      <c r="A57" s="85" t="s">
        <v>102</v>
      </c>
      <c r="B57" s="86">
        <v>0</v>
      </c>
      <c r="C57" s="86">
        <v>132.72999999999999</v>
      </c>
      <c r="D57" s="86">
        <v>-69.41</v>
      </c>
      <c r="E57" s="86">
        <v>394.89</v>
      </c>
      <c r="F57" s="86">
        <v>466</v>
      </c>
      <c r="G57" s="86">
        <v>-17.440000000000001</v>
      </c>
      <c r="H57" s="86">
        <v>0</v>
      </c>
      <c r="I57" s="86">
        <v>0</v>
      </c>
      <c r="J57" s="86">
        <v>0</v>
      </c>
      <c r="K57" s="86">
        <v>0</v>
      </c>
      <c r="L57" s="86">
        <v>0</v>
      </c>
      <c r="M57" s="86">
        <v>0</v>
      </c>
      <c r="N57" s="86">
        <v>0</v>
      </c>
      <c r="O57" s="86">
        <v>-906.77</v>
      </c>
      <c r="Q57" s="1" t="str">
        <f>VLOOKUP(A57,'Summary before PDE write-offs'!C:C,1,FALSE)</f>
        <v>4157 - Aero Sat Virgin</v>
      </c>
    </row>
    <row r="58" spans="1:17" ht="15" x14ac:dyDescent="0.25">
      <c r="A58" s="85" t="s">
        <v>82</v>
      </c>
      <c r="B58" s="86">
        <v>0</v>
      </c>
      <c r="C58" s="86">
        <v>315.64</v>
      </c>
      <c r="D58" s="86">
        <v>-309.60000000000002</v>
      </c>
      <c r="E58" s="86">
        <v>-654.15</v>
      </c>
      <c r="F58" s="86">
        <v>394.38</v>
      </c>
      <c r="G58" s="86">
        <v>-295.3</v>
      </c>
      <c r="H58" s="86">
        <v>28.3</v>
      </c>
      <c r="I58" s="86">
        <v>-112.14</v>
      </c>
      <c r="J58" s="86">
        <v>237.51</v>
      </c>
      <c r="K58" s="86">
        <v>-464.02</v>
      </c>
      <c r="L58" s="86">
        <v>-292.86</v>
      </c>
      <c r="M58" s="86">
        <v>0</v>
      </c>
      <c r="N58" s="86">
        <v>0</v>
      </c>
      <c r="O58" s="86">
        <v>1152.24</v>
      </c>
      <c r="Q58" s="1" t="str">
        <f>VLOOKUP(A58,'Summary before PDE write-offs'!C:C,1,FALSE)</f>
        <v>4170 - NT Brisbane Lan</v>
      </c>
    </row>
    <row r="59" spans="1:17" ht="15" x14ac:dyDescent="0.25">
      <c r="A59" s="85" t="s">
        <v>180</v>
      </c>
      <c r="B59" s="86">
        <v>0</v>
      </c>
      <c r="C59" s="86">
        <v>0</v>
      </c>
      <c r="D59" s="86">
        <v>0</v>
      </c>
      <c r="E59" s="86">
        <v>0</v>
      </c>
      <c r="F59" s="86">
        <v>0</v>
      </c>
      <c r="G59" s="86">
        <v>0</v>
      </c>
      <c r="H59" s="86">
        <v>0</v>
      </c>
      <c r="I59" s="86">
        <v>0</v>
      </c>
      <c r="J59" s="86">
        <v>0</v>
      </c>
      <c r="K59" s="86">
        <v>0</v>
      </c>
      <c r="L59" s="86">
        <v>0</v>
      </c>
      <c r="M59" s="86">
        <v>0</v>
      </c>
      <c r="N59" s="86">
        <v>0</v>
      </c>
      <c r="O59" s="86">
        <v>0</v>
      </c>
      <c r="Q59" s="1" t="e">
        <f>VLOOKUP(A59,'Summary before PDE write-offs'!C:C,1,FALSE)</f>
        <v>#N/A</v>
      </c>
    </row>
    <row r="60" spans="1:17" ht="15" x14ac:dyDescent="0.25">
      <c r="A60" s="85" t="s">
        <v>141</v>
      </c>
      <c r="B60" s="86">
        <v>0</v>
      </c>
      <c r="C60" s="86">
        <v>0</v>
      </c>
      <c r="D60" s="86">
        <v>0</v>
      </c>
      <c r="E60" s="86">
        <v>0</v>
      </c>
      <c r="F60" s="86">
        <v>0</v>
      </c>
      <c r="G60" s="86">
        <v>0</v>
      </c>
      <c r="H60" s="86">
        <v>0</v>
      </c>
      <c r="I60" s="86">
        <v>0</v>
      </c>
      <c r="J60" s="86">
        <v>0</v>
      </c>
      <c r="K60" s="86">
        <v>0</v>
      </c>
      <c r="L60" s="86">
        <v>0</v>
      </c>
      <c r="M60" s="86">
        <v>0</v>
      </c>
      <c r="N60" s="86">
        <v>0</v>
      </c>
      <c r="O60" s="86">
        <v>0</v>
      </c>
      <c r="Q60" s="1" t="str">
        <f>VLOOKUP(A60,'Summary before PDE write-offs'!C:C,1,FALSE)</f>
        <v>4201 - News Concourse</v>
      </c>
    </row>
    <row r="61" spans="1:17" ht="15" x14ac:dyDescent="0.25">
      <c r="A61" s="85" t="s">
        <v>181</v>
      </c>
      <c r="B61" s="86">
        <v>0</v>
      </c>
      <c r="C61" s="86">
        <v>0</v>
      </c>
      <c r="D61" s="86">
        <v>0</v>
      </c>
      <c r="E61" s="86">
        <v>0</v>
      </c>
      <c r="F61" s="86">
        <v>0</v>
      </c>
      <c r="G61" s="86">
        <v>0</v>
      </c>
      <c r="H61" s="86">
        <v>0</v>
      </c>
      <c r="I61" s="86">
        <v>0</v>
      </c>
      <c r="J61" s="86">
        <v>0</v>
      </c>
      <c r="K61" s="86">
        <v>0</v>
      </c>
      <c r="L61" s="86">
        <v>0</v>
      </c>
      <c r="M61" s="86">
        <v>0</v>
      </c>
      <c r="N61" s="86">
        <v>0</v>
      </c>
      <c r="O61" s="86">
        <v>0</v>
      </c>
      <c r="Q61" s="1" t="e">
        <f>VLOOKUP(A61,'Summary before PDE write-offs'!C:C,1,FALSE)</f>
        <v>#N/A</v>
      </c>
    </row>
    <row r="62" spans="1:17" ht="15" x14ac:dyDescent="0.25">
      <c r="A62" s="85" t="s">
        <v>83</v>
      </c>
      <c r="B62" s="86">
        <v>0</v>
      </c>
      <c r="C62" s="86">
        <v>651.65</v>
      </c>
      <c r="D62" s="86">
        <v>-525.26</v>
      </c>
      <c r="E62" s="86">
        <v>-822.67</v>
      </c>
      <c r="F62" s="86">
        <v>598.22</v>
      </c>
      <c r="G62" s="86">
        <v>-28.9</v>
      </c>
      <c r="H62" s="86">
        <v>397.79</v>
      </c>
      <c r="I62" s="86">
        <v>-375.5</v>
      </c>
      <c r="J62" s="86">
        <v>-214.8</v>
      </c>
      <c r="K62" s="86">
        <v>43.02</v>
      </c>
      <c r="L62" s="86">
        <v>-156.44</v>
      </c>
      <c r="M62" s="86">
        <v>0</v>
      </c>
      <c r="N62" s="86">
        <v>0</v>
      </c>
      <c r="O62" s="86">
        <v>432.89</v>
      </c>
      <c r="Q62" s="1" t="str">
        <f>VLOOKUP(A62,'Summary before PDE write-offs'!C:C,1,FALSE)</f>
        <v>4235 - AW Brisbane Int</v>
      </c>
    </row>
    <row r="63" spans="1:17" ht="15" x14ac:dyDescent="0.25">
      <c r="A63" s="85" t="s">
        <v>48</v>
      </c>
      <c r="B63" s="86">
        <v>0</v>
      </c>
      <c r="C63" s="86">
        <v>88.53</v>
      </c>
      <c r="D63" s="86">
        <v>-96.93</v>
      </c>
      <c r="E63" s="86">
        <v>-738.62</v>
      </c>
      <c r="F63" s="86">
        <v>-111.19</v>
      </c>
      <c r="G63" s="86">
        <v>-108.43</v>
      </c>
      <c r="H63" s="86">
        <v>-556.36</v>
      </c>
      <c r="I63" s="86">
        <v>-400.07</v>
      </c>
      <c r="J63" s="86">
        <v>-508.5</v>
      </c>
      <c r="K63" s="86">
        <v>-203.65</v>
      </c>
      <c r="L63" s="86">
        <v>-216.91</v>
      </c>
      <c r="M63" s="86">
        <v>0</v>
      </c>
      <c r="N63" s="86">
        <v>0</v>
      </c>
      <c r="O63" s="86">
        <v>2852.13</v>
      </c>
      <c r="Q63" s="1" t="str">
        <f>VLOOKUP(A63,'Summary before PDE write-offs'!C:C,1,FALSE)</f>
        <v>4239 - NT CU Satellite</v>
      </c>
    </row>
    <row r="64" spans="1:17" ht="15" x14ac:dyDescent="0.25">
      <c r="A64" s="85" t="s">
        <v>84</v>
      </c>
      <c r="B64" s="86">
        <v>0</v>
      </c>
      <c r="C64" s="86">
        <v>1228.04</v>
      </c>
      <c r="D64" s="86">
        <v>-1056.22</v>
      </c>
      <c r="E64" s="86">
        <v>-315.99</v>
      </c>
      <c r="F64" s="86">
        <v>566.4</v>
      </c>
      <c r="G64" s="86">
        <v>-680.45</v>
      </c>
      <c r="H64" s="86">
        <v>1280.96</v>
      </c>
      <c r="I64" s="86">
        <v>-1649.74</v>
      </c>
      <c r="J64" s="86">
        <v>-279.85000000000002</v>
      </c>
      <c r="K64" s="86">
        <v>233.07</v>
      </c>
      <c r="L64" s="86">
        <v>-2981.68</v>
      </c>
      <c r="M64" s="86">
        <v>0</v>
      </c>
      <c r="N64" s="86">
        <v>0</v>
      </c>
      <c r="O64" s="86">
        <v>3655.46</v>
      </c>
      <c r="Q64" s="1" t="str">
        <f>VLOOKUP(A64,'Summary before PDE write-offs'!C:C,1,FALSE)</f>
        <v>4244 - Merino Collecti</v>
      </c>
    </row>
    <row r="65" spans="1:17" ht="15" x14ac:dyDescent="0.25">
      <c r="A65" s="85" t="s">
        <v>186</v>
      </c>
      <c r="B65" s="86">
        <v>0</v>
      </c>
      <c r="C65" s="86">
        <v>0</v>
      </c>
      <c r="D65" s="86">
        <v>0</v>
      </c>
      <c r="E65" s="86">
        <v>0</v>
      </c>
      <c r="F65" s="86">
        <v>0</v>
      </c>
      <c r="G65" s="86">
        <v>0</v>
      </c>
      <c r="H65" s="86">
        <v>-184.53</v>
      </c>
      <c r="I65" s="86">
        <v>-412.91</v>
      </c>
      <c r="J65" s="86">
        <v>-261.85000000000002</v>
      </c>
      <c r="K65" s="86">
        <v>-204.54</v>
      </c>
      <c r="L65" s="86">
        <v>-57.35</v>
      </c>
      <c r="M65" s="86">
        <v>0</v>
      </c>
      <c r="N65" s="86">
        <v>0</v>
      </c>
      <c r="O65" s="86">
        <v>1121.18</v>
      </c>
      <c r="Q65" s="1" t="str">
        <f>VLOOKUP(A65,'Summary before PDE write-offs'!C:C,1,FALSE)</f>
        <v>4250 - News@MKY</v>
      </c>
    </row>
    <row r="66" spans="1:17" ht="15" x14ac:dyDescent="0.25">
      <c r="A66" s="85" t="s">
        <v>94</v>
      </c>
      <c r="B66" s="86">
        <v>0</v>
      </c>
      <c r="C66" s="86">
        <v>555.27</v>
      </c>
      <c r="D66" s="86">
        <v>-622.86</v>
      </c>
      <c r="E66" s="86">
        <v>-470.14</v>
      </c>
      <c r="F66" s="86">
        <v>294.45999999999998</v>
      </c>
      <c r="G66" s="86">
        <v>27.67</v>
      </c>
      <c r="H66" s="86">
        <v>27.62</v>
      </c>
      <c r="I66" s="86">
        <v>0.06</v>
      </c>
      <c r="J66" s="86">
        <v>182.72</v>
      </c>
      <c r="K66" s="86">
        <v>87.84</v>
      </c>
      <c r="L66" s="86">
        <v>-341.36</v>
      </c>
      <c r="M66" s="86">
        <v>0</v>
      </c>
      <c r="N66" s="86">
        <v>0</v>
      </c>
      <c r="O66" s="86">
        <v>258.72000000000003</v>
      </c>
      <c r="Q66" s="1" t="str">
        <f>VLOOKUP(A66,'Summary before PDE write-offs'!C:C,1,FALSE)</f>
        <v>4530 - DJ Bris Air</v>
      </c>
    </row>
    <row r="67" spans="1:17" ht="15" x14ac:dyDescent="0.25">
      <c r="A67" s="85" t="s">
        <v>85</v>
      </c>
      <c r="B67" s="86">
        <v>0</v>
      </c>
      <c r="C67" s="86">
        <v>1861.56</v>
      </c>
      <c r="D67" s="86">
        <v>-2053.31</v>
      </c>
      <c r="E67" s="86">
        <v>-1726.17</v>
      </c>
      <c r="F67" s="86">
        <v>1405.91</v>
      </c>
      <c r="G67" s="86">
        <v>-511.27</v>
      </c>
      <c r="H67" s="86">
        <v>-11378.01</v>
      </c>
      <c r="I67" s="86">
        <v>-118.89</v>
      </c>
      <c r="J67" s="86">
        <v>-1165.83</v>
      </c>
      <c r="K67" s="86">
        <v>714.39</v>
      </c>
      <c r="L67" s="86">
        <v>-1209.9100000000001</v>
      </c>
      <c r="M67" s="86">
        <v>0</v>
      </c>
      <c r="N67" s="86">
        <v>0</v>
      </c>
      <c r="O67" s="86">
        <v>14181.53</v>
      </c>
      <c r="Q67" s="1" t="str">
        <f>VLOOKUP(A67,'Summary before PDE write-offs'!C:C,1,FALSE)</f>
        <v>4770 - NT Bris Airside</v>
      </c>
    </row>
    <row r="68" spans="1:17" ht="15" x14ac:dyDescent="0.25">
      <c r="A68" s="85" t="s">
        <v>86</v>
      </c>
      <c r="B68" s="86">
        <v>0</v>
      </c>
      <c r="C68" s="86">
        <v>1400.34</v>
      </c>
      <c r="D68" s="86">
        <v>-1673.22</v>
      </c>
      <c r="E68" s="86">
        <v>-879.88</v>
      </c>
      <c r="F68" s="86">
        <v>894.94</v>
      </c>
      <c r="G68" s="86">
        <v>-182.33</v>
      </c>
      <c r="H68" s="86">
        <v>906.16</v>
      </c>
      <c r="I68" s="86">
        <v>-1073.45</v>
      </c>
      <c r="J68" s="86">
        <v>-543.28</v>
      </c>
      <c r="K68" s="86">
        <v>748.77</v>
      </c>
      <c r="L68" s="86">
        <v>-1134</v>
      </c>
      <c r="M68" s="86">
        <v>0</v>
      </c>
      <c r="N68" s="86">
        <v>0</v>
      </c>
      <c r="O68" s="86">
        <v>1535.95</v>
      </c>
      <c r="Q68" s="1" t="str">
        <f>VLOOKUP(A68,'Summary before PDE write-offs'!C:C,1,FALSE)</f>
        <v>4775 - AW Brisbane Air</v>
      </c>
    </row>
    <row r="69" spans="1:17" ht="15" x14ac:dyDescent="0.25">
      <c r="A69" s="85" t="s">
        <v>10</v>
      </c>
      <c r="B69" s="86">
        <v>0</v>
      </c>
      <c r="C69" s="86">
        <v>483.12</v>
      </c>
      <c r="D69" s="86">
        <v>-607.35</v>
      </c>
      <c r="E69" s="86">
        <v>-307.38</v>
      </c>
      <c r="F69" s="86">
        <v>145.97999999999999</v>
      </c>
      <c r="G69" s="86">
        <v>-15.2</v>
      </c>
      <c r="H69" s="86">
        <v>466.33</v>
      </c>
      <c r="I69" s="86">
        <v>-1020.2</v>
      </c>
      <c r="J69" s="86">
        <v>-273.36</v>
      </c>
      <c r="K69" s="86">
        <v>-42.18</v>
      </c>
      <c r="L69" s="86">
        <v>0</v>
      </c>
      <c r="M69" s="86">
        <v>0</v>
      </c>
      <c r="N69" s="86">
        <v>0</v>
      </c>
      <c r="O69" s="86">
        <v>1170.24</v>
      </c>
      <c r="Q69" s="1" t="str">
        <f>VLOOKUP(A69,'Summary before PDE write-offs'!C:C,1,FALSE)</f>
        <v>5053 - AW Adelaide Int</v>
      </c>
    </row>
    <row r="70" spans="1:17" ht="15" x14ac:dyDescent="0.25">
      <c r="A70" s="85" t="s">
        <v>49</v>
      </c>
      <c r="B70" s="86">
        <v>0</v>
      </c>
      <c r="C70" s="86">
        <v>219.25</v>
      </c>
      <c r="D70" s="86">
        <v>-239.2</v>
      </c>
      <c r="E70" s="86">
        <v>-45.47</v>
      </c>
      <c r="F70" s="86">
        <v>0</v>
      </c>
      <c r="G70" s="86">
        <v>0</v>
      </c>
      <c r="H70" s="86">
        <v>401.25</v>
      </c>
      <c r="I70" s="86">
        <v>-401.25</v>
      </c>
      <c r="J70" s="86">
        <v>34.99</v>
      </c>
      <c r="K70" s="86">
        <v>-34.99</v>
      </c>
      <c r="L70" s="86">
        <v>0</v>
      </c>
      <c r="M70" s="86">
        <v>0</v>
      </c>
      <c r="N70" s="86">
        <v>0</v>
      </c>
      <c r="O70" s="86">
        <v>65.42</v>
      </c>
      <c r="Q70" s="1" t="str">
        <f>VLOOKUP(A70,'Summary before PDE write-offs'!C:C,1,FALSE)</f>
        <v>5192 - Carry On Ade</v>
      </c>
    </row>
    <row r="71" spans="1:17" ht="15" x14ac:dyDescent="0.25">
      <c r="A71" s="85" t="s">
        <v>11</v>
      </c>
      <c r="B71" s="86">
        <v>0</v>
      </c>
      <c r="C71" s="86">
        <v>344.17</v>
      </c>
      <c r="D71" s="86">
        <v>101.18</v>
      </c>
      <c r="E71" s="86">
        <v>-903.75</v>
      </c>
      <c r="F71" s="86">
        <v>443.38</v>
      </c>
      <c r="G71" s="86">
        <v>44.41</v>
      </c>
      <c r="H71" s="86">
        <v>-251.69</v>
      </c>
      <c r="I71" s="86">
        <v>-260.88</v>
      </c>
      <c r="J71" s="86">
        <v>-548.02</v>
      </c>
      <c r="K71" s="86">
        <v>-59.58</v>
      </c>
      <c r="L71" s="86">
        <v>-219.62</v>
      </c>
      <c r="M71" s="86">
        <v>0</v>
      </c>
      <c r="N71" s="86">
        <v>0</v>
      </c>
      <c r="O71" s="86">
        <v>1310.4000000000001</v>
      </c>
      <c r="Q71" s="1" t="str">
        <f>VLOOKUP(A71,'Summary before PDE write-offs'!C:C,1,FALSE)</f>
        <v>6026 - AW Perth Int Ai</v>
      </c>
    </row>
    <row r="72" spans="1:17" ht="15" x14ac:dyDescent="0.25">
      <c r="A72" s="85" t="s">
        <v>87</v>
      </c>
      <c r="B72" s="86">
        <v>0</v>
      </c>
      <c r="C72" s="86">
        <v>651.33000000000004</v>
      </c>
      <c r="D72" s="86">
        <v>-498.14</v>
      </c>
      <c r="E72" s="86">
        <v>-357.32</v>
      </c>
      <c r="F72" s="86">
        <v>199.53</v>
      </c>
      <c r="G72" s="86">
        <v>269.11</v>
      </c>
      <c r="H72" s="86">
        <v>-901.73</v>
      </c>
      <c r="I72" s="86">
        <v>-1.59</v>
      </c>
      <c r="J72" s="86">
        <v>-505.05</v>
      </c>
      <c r="K72" s="86">
        <v>100.78</v>
      </c>
      <c r="L72" s="86">
        <v>-179.37</v>
      </c>
      <c r="M72" s="86">
        <v>0</v>
      </c>
      <c r="N72" s="86">
        <v>0</v>
      </c>
      <c r="O72" s="86">
        <v>1222.45</v>
      </c>
      <c r="Q72" s="1" t="str">
        <f>VLOOKUP(A72,'Summary before PDE write-offs'!C:C,1,FALSE)</f>
        <v>6087 - AW Perth Intern</v>
      </c>
    </row>
    <row r="73" spans="1:17" ht="15" x14ac:dyDescent="0.25">
      <c r="A73" s="85" t="s">
        <v>142</v>
      </c>
      <c r="B73" s="86">
        <v>0</v>
      </c>
      <c r="C73" s="86">
        <v>220.95</v>
      </c>
      <c r="D73" s="86">
        <v>-220.95</v>
      </c>
      <c r="E73" s="86">
        <v>-145.41999999999999</v>
      </c>
      <c r="F73" s="86">
        <v>487.76</v>
      </c>
      <c r="G73" s="86">
        <v>874.83</v>
      </c>
      <c r="H73" s="86">
        <v>-1217.17</v>
      </c>
      <c r="I73" s="86">
        <v>744.82</v>
      </c>
      <c r="J73" s="86">
        <v>-744.82</v>
      </c>
      <c r="K73" s="86">
        <v>149.19999999999999</v>
      </c>
      <c r="L73" s="86">
        <v>-149.19999999999999</v>
      </c>
      <c r="M73" s="86">
        <v>0</v>
      </c>
      <c r="N73" s="86">
        <v>0</v>
      </c>
      <c r="O73" s="86">
        <v>0</v>
      </c>
      <c r="Q73" s="1" t="str">
        <f>VLOOKUP(A73,'Summary before PDE write-offs'!C:C,1,FALSE)</f>
        <v>6089 - Merino Perth L</v>
      </c>
    </row>
    <row r="74" spans="1:17" ht="15" x14ac:dyDescent="0.25">
      <c r="A74" s="85" t="s">
        <v>56</v>
      </c>
      <c r="B74" s="86">
        <v>0</v>
      </c>
      <c r="C74" s="86">
        <v>750.38</v>
      </c>
      <c r="D74" s="86">
        <v>-903.99</v>
      </c>
      <c r="E74" s="86">
        <v>-405.35</v>
      </c>
      <c r="F74" s="86">
        <v>0</v>
      </c>
      <c r="G74" s="86">
        <v>0</v>
      </c>
      <c r="H74" s="86">
        <v>0</v>
      </c>
      <c r="I74" s="86">
        <v>0</v>
      </c>
      <c r="J74" s="86">
        <v>0</v>
      </c>
      <c r="K74" s="86">
        <v>0</v>
      </c>
      <c r="L74" s="86">
        <v>0</v>
      </c>
      <c r="M74" s="86">
        <v>0</v>
      </c>
      <c r="N74" s="86">
        <v>0</v>
      </c>
      <c r="O74" s="86">
        <v>558.96</v>
      </c>
      <c r="Q74" s="1" t="str">
        <f>VLOOKUP(A74,'Summary before PDE write-offs'!C:C,1,FALSE)</f>
        <v>6165 - AW Perth Domest</v>
      </c>
    </row>
    <row r="75" spans="1:17" ht="15" x14ac:dyDescent="0.25">
      <c r="A75" s="85" t="s">
        <v>179</v>
      </c>
      <c r="B75" s="86">
        <v>0</v>
      </c>
      <c r="C75" s="86">
        <v>0</v>
      </c>
      <c r="D75" s="86">
        <v>0</v>
      </c>
      <c r="E75" s="86">
        <v>0</v>
      </c>
      <c r="F75" s="86">
        <v>0</v>
      </c>
      <c r="G75" s="86">
        <v>19.989999999999998</v>
      </c>
      <c r="H75" s="86">
        <v>860.53</v>
      </c>
      <c r="I75" s="86">
        <v>-1044.8599999999999</v>
      </c>
      <c r="J75" s="86">
        <v>-67.84</v>
      </c>
      <c r="K75" s="86">
        <v>760.44</v>
      </c>
      <c r="L75" s="86">
        <v>-1036.8900000000001</v>
      </c>
      <c r="M75" s="86">
        <v>0</v>
      </c>
      <c r="N75" s="86">
        <v>46.85</v>
      </c>
      <c r="O75" s="86">
        <v>461.78</v>
      </c>
      <c r="Q75" s="1" t="str">
        <f>VLOOKUP(A75,'Summary before PDE write-offs'!C:C,1,FALSE)</f>
        <v>6176 - Merchant Perth</v>
      </c>
    </row>
    <row r="76" spans="1:17" ht="15" x14ac:dyDescent="0.25">
      <c r="A76" s="85" t="s">
        <v>12</v>
      </c>
      <c r="B76" s="86">
        <v>0</v>
      </c>
      <c r="C76" s="86">
        <v>0</v>
      </c>
      <c r="D76" s="86">
        <v>39.549999999999997</v>
      </c>
      <c r="E76" s="86">
        <v>-124.22</v>
      </c>
      <c r="F76" s="86">
        <v>5.86</v>
      </c>
      <c r="G76" s="86">
        <v>-66.989999999999995</v>
      </c>
      <c r="H76" s="86">
        <v>302.08999999999997</v>
      </c>
      <c r="I76" s="86">
        <v>59.25</v>
      </c>
      <c r="J76" s="86">
        <v>-175.48</v>
      </c>
      <c r="K76" s="86">
        <v>-203</v>
      </c>
      <c r="L76" s="86">
        <v>-45.62</v>
      </c>
      <c r="M76" s="86">
        <v>0</v>
      </c>
      <c r="N76" s="86">
        <v>0</v>
      </c>
      <c r="O76" s="86">
        <v>208.56</v>
      </c>
    </row>
    <row r="77" spans="1:17" ht="15" x14ac:dyDescent="0.25">
      <c r="A77" s="85" t="s">
        <v>13</v>
      </c>
      <c r="B77" s="86">
        <v>0</v>
      </c>
      <c r="C77" s="86">
        <v>366.05</v>
      </c>
      <c r="D77" s="86">
        <v>-260.43</v>
      </c>
      <c r="E77" s="86">
        <v>-457.47</v>
      </c>
      <c r="F77" s="86">
        <v>296.49</v>
      </c>
      <c r="G77" s="86">
        <v>54.07</v>
      </c>
      <c r="H77" s="86">
        <v>157.15</v>
      </c>
      <c r="I77" s="86">
        <v>-113.98</v>
      </c>
      <c r="J77" s="86">
        <v>-44.3</v>
      </c>
      <c r="K77" s="86">
        <v>256.17</v>
      </c>
      <c r="L77" s="86">
        <v>-358.46</v>
      </c>
      <c r="M77" s="86">
        <v>0</v>
      </c>
      <c r="N77" s="86">
        <v>0</v>
      </c>
      <c r="O77" s="86">
        <v>104.71</v>
      </c>
    </row>
    <row r="78" spans="1:17" ht="15" x14ac:dyDescent="0.25">
      <c r="A78" s="85" t="s">
        <v>14</v>
      </c>
      <c r="B78" s="86">
        <v>0</v>
      </c>
      <c r="C78" s="86">
        <v>551.22</v>
      </c>
      <c r="D78" s="86">
        <v>-102.56</v>
      </c>
      <c r="E78" s="86">
        <v>-773.46</v>
      </c>
      <c r="F78" s="86">
        <v>324.8</v>
      </c>
      <c r="G78" s="86">
        <v>-41.1</v>
      </c>
      <c r="H78" s="86">
        <v>782.7</v>
      </c>
      <c r="I78" s="86">
        <v>-600.63</v>
      </c>
      <c r="J78" s="86">
        <v>-77.42</v>
      </c>
      <c r="K78" s="86">
        <v>-209.29</v>
      </c>
      <c r="L78" s="86">
        <v>-130.84</v>
      </c>
      <c r="M78" s="86">
        <v>0</v>
      </c>
      <c r="N78" s="86">
        <v>0</v>
      </c>
      <c r="O78" s="86">
        <v>276.58</v>
      </c>
    </row>
    <row r="79" spans="1:17" ht="15" x14ac:dyDescent="0.25">
      <c r="A79" s="85" t="s">
        <v>15</v>
      </c>
      <c r="B79" s="86">
        <v>0</v>
      </c>
      <c r="C79" s="86">
        <v>479.9</v>
      </c>
      <c r="D79" s="86">
        <v>-639.11</v>
      </c>
      <c r="E79" s="86">
        <v>-1366.57</v>
      </c>
      <c r="F79" s="86">
        <v>409.81</v>
      </c>
      <c r="G79" s="86">
        <v>-245.57</v>
      </c>
      <c r="H79" s="86">
        <v>-36.53</v>
      </c>
      <c r="I79" s="86">
        <v>87.2</v>
      </c>
      <c r="J79" s="86">
        <v>-465.73</v>
      </c>
      <c r="K79" s="86">
        <v>115.92</v>
      </c>
      <c r="L79" s="86">
        <v>-135.91</v>
      </c>
      <c r="M79" s="86">
        <v>0</v>
      </c>
      <c r="N79" s="86">
        <v>0</v>
      </c>
      <c r="O79" s="86">
        <v>1796.59</v>
      </c>
    </row>
    <row r="80" spans="1:17" ht="15" x14ac:dyDescent="0.25">
      <c r="A80" s="85" t="s">
        <v>171</v>
      </c>
      <c r="B80" s="86">
        <v>0</v>
      </c>
      <c r="C80" s="86">
        <v>154.69</v>
      </c>
      <c r="D80" s="86">
        <v>-149.66</v>
      </c>
      <c r="E80" s="86">
        <v>-356.99</v>
      </c>
      <c r="F80" s="86">
        <v>209.04</v>
      </c>
      <c r="G80" s="86">
        <v>-12.77</v>
      </c>
      <c r="H80" s="86">
        <v>13.59</v>
      </c>
      <c r="I80" s="86">
        <v>-19.07</v>
      </c>
      <c r="J80" s="86">
        <v>0</v>
      </c>
      <c r="K80" s="86">
        <v>-22.75</v>
      </c>
      <c r="L80" s="86">
        <v>0</v>
      </c>
      <c r="M80" s="86">
        <v>0</v>
      </c>
      <c r="N80" s="86">
        <v>0</v>
      </c>
      <c r="O80" s="86">
        <v>183.92</v>
      </c>
    </row>
    <row r="81" spans="1:15" ht="15" x14ac:dyDescent="0.25">
      <c r="A81" s="85" t="s">
        <v>88</v>
      </c>
      <c r="B81" s="86">
        <v>0</v>
      </c>
      <c r="C81" s="86">
        <v>894.22</v>
      </c>
      <c r="D81" s="86">
        <v>-726.73</v>
      </c>
      <c r="E81" s="86">
        <v>-745.17</v>
      </c>
      <c r="F81" s="86">
        <v>661.2</v>
      </c>
      <c r="G81" s="86">
        <v>-90.85</v>
      </c>
      <c r="H81" s="86">
        <v>230.56</v>
      </c>
      <c r="I81" s="86">
        <v>-326.67</v>
      </c>
      <c r="J81" s="86">
        <v>-177.21</v>
      </c>
      <c r="K81" s="86">
        <v>102.96</v>
      </c>
      <c r="L81" s="86">
        <v>-142.94</v>
      </c>
      <c r="M81" s="86">
        <v>0</v>
      </c>
      <c r="N81" s="86">
        <v>0</v>
      </c>
      <c r="O81" s="86">
        <v>320.63</v>
      </c>
    </row>
    <row r="82" spans="1:15" ht="15" x14ac:dyDescent="0.25">
      <c r="A82" s="85" t="s">
        <v>95</v>
      </c>
      <c r="B82" s="86">
        <v>0</v>
      </c>
      <c r="C82" s="86">
        <v>143.83000000000001</v>
      </c>
      <c r="D82" s="86">
        <v>-129.11000000000001</v>
      </c>
      <c r="E82" s="86">
        <v>-48.58</v>
      </c>
      <c r="F82" s="86">
        <v>33.86</v>
      </c>
      <c r="G82" s="86">
        <v>0</v>
      </c>
      <c r="H82" s="86">
        <v>36.32</v>
      </c>
      <c r="I82" s="86">
        <v>-36.32</v>
      </c>
      <c r="J82" s="86">
        <v>10.45</v>
      </c>
      <c r="K82" s="86">
        <v>-10.45</v>
      </c>
      <c r="L82" s="86">
        <v>-10.74</v>
      </c>
      <c r="M82" s="86">
        <v>0</v>
      </c>
      <c r="N82" s="86">
        <v>0</v>
      </c>
      <c r="O82" s="86">
        <v>10.74</v>
      </c>
    </row>
    <row r="83" spans="1:15" ht="15" x14ac:dyDescent="0.25">
      <c r="A83" s="85" t="s">
        <v>103</v>
      </c>
      <c r="B83" s="86">
        <v>0</v>
      </c>
      <c r="C83" s="86">
        <v>0</v>
      </c>
      <c r="D83" s="86">
        <v>0</v>
      </c>
      <c r="E83" s="86">
        <v>0</v>
      </c>
      <c r="F83" s="86">
        <v>0</v>
      </c>
      <c r="G83" s="86">
        <v>0</v>
      </c>
      <c r="H83" s="86">
        <v>0</v>
      </c>
      <c r="I83" s="86">
        <v>0</v>
      </c>
      <c r="J83" s="86">
        <v>0</v>
      </c>
      <c r="K83" s="86">
        <v>0</v>
      </c>
      <c r="L83" s="86">
        <v>0</v>
      </c>
      <c r="M83" s="86">
        <v>0</v>
      </c>
      <c r="N83" s="86">
        <v>0</v>
      </c>
      <c r="O83" s="86">
        <v>0</v>
      </c>
    </row>
    <row r="84" spans="1:15" ht="15" x14ac:dyDescent="0.25">
      <c r="A84" s="85" t="s">
        <v>138</v>
      </c>
      <c r="B84" s="86">
        <v>0</v>
      </c>
      <c r="C84" s="86">
        <v>0</v>
      </c>
      <c r="D84" s="86">
        <v>0</v>
      </c>
      <c r="E84" s="86">
        <v>-527.35</v>
      </c>
      <c r="F84" s="86">
        <v>0</v>
      </c>
      <c r="G84" s="86">
        <v>527.35</v>
      </c>
      <c r="H84" s="86">
        <v>0</v>
      </c>
      <c r="I84" s="86">
        <v>0</v>
      </c>
      <c r="J84" s="86">
        <v>0</v>
      </c>
      <c r="K84" s="86">
        <v>0</v>
      </c>
      <c r="L84" s="86">
        <v>0</v>
      </c>
      <c r="M84" s="86">
        <v>0</v>
      </c>
      <c r="N84" s="86">
        <v>0</v>
      </c>
      <c r="O84" s="86">
        <v>0</v>
      </c>
    </row>
    <row r="85" spans="1:15" ht="15" x14ac:dyDescent="0.25">
      <c r="A85" s="84"/>
      <c r="B85" s="87">
        <v>123.69999999999999</v>
      </c>
      <c r="C85" s="87">
        <v>31610.120000000014</v>
      </c>
      <c r="D85" s="87">
        <v>-30030.040000000005</v>
      </c>
      <c r="E85" s="87">
        <v>-36452.130000000005</v>
      </c>
      <c r="F85" s="87">
        <v>18489.739999999998</v>
      </c>
      <c r="G85" s="87">
        <v>-4897.43</v>
      </c>
      <c r="H85" s="87">
        <v>-4230.2900000000009</v>
      </c>
      <c r="I85" s="87">
        <v>-23325.879999999997</v>
      </c>
      <c r="J85" s="87">
        <v>-12554.189999999999</v>
      </c>
      <c r="K85" s="87">
        <v>5886.9800000000023</v>
      </c>
      <c r="L85" s="87">
        <v>-28410.93</v>
      </c>
      <c r="M85" s="87">
        <v>60.23</v>
      </c>
      <c r="N85" s="87">
        <v>308.69000000000005</v>
      </c>
      <c r="O85" s="87">
        <v>83668.830000000016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00"/>
  </sheetPr>
  <dimension ref="A1:R70"/>
  <sheetViews>
    <sheetView topLeftCell="A16" workbookViewId="0">
      <selection activeCell="L37" sqref="L37"/>
    </sheetView>
  </sheetViews>
  <sheetFormatPr defaultColWidth="9" defaultRowHeight="12.75" x14ac:dyDescent="0.2"/>
  <cols>
    <col min="1" max="1" width="24" style="1" bestFit="1" customWidth="1"/>
    <col min="2" max="2" width="12.42578125" style="1" bestFit="1" customWidth="1"/>
    <col min="3" max="12" width="10.28515625" style="1" bestFit="1" customWidth="1"/>
    <col min="13" max="15" width="11.5703125" style="1" bestFit="1" customWidth="1"/>
    <col min="16" max="16" width="9" style="1"/>
    <col min="17" max="17" width="21" style="1" bestFit="1" customWidth="1"/>
    <col min="18" max="16384" width="9" style="1"/>
  </cols>
  <sheetData>
    <row r="1" spans="1:18" ht="15.75" x14ac:dyDescent="0.25">
      <c r="A1" s="94" t="s">
        <v>108</v>
      </c>
      <c r="B1" s="94"/>
      <c r="C1" s="94"/>
      <c r="D1" s="94"/>
      <c r="E1" s="94"/>
      <c r="F1" s="66"/>
      <c r="G1" s="66"/>
      <c r="H1" s="66"/>
      <c r="I1" s="66"/>
      <c r="J1" s="66"/>
      <c r="K1" s="66"/>
      <c r="L1" s="66"/>
      <c r="M1" s="66"/>
      <c r="N1" s="66"/>
      <c r="O1" s="66"/>
    </row>
    <row r="2" spans="1:18" ht="15.75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</row>
    <row r="3" spans="1:18" ht="15" x14ac:dyDescent="0.25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</row>
    <row r="4" spans="1:18" ht="15.75" x14ac:dyDescent="0.25">
      <c r="A4" s="96" t="s">
        <v>0</v>
      </c>
      <c r="B4" s="96" t="s">
        <v>57</v>
      </c>
      <c r="C4" s="96" t="s">
        <v>58</v>
      </c>
      <c r="D4" s="96" t="s">
        <v>59</v>
      </c>
      <c r="E4" s="96" t="s">
        <v>60</v>
      </c>
      <c r="F4" s="96" t="s">
        <v>61</v>
      </c>
      <c r="G4" s="96" t="s">
        <v>62</v>
      </c>
      <c r="H4" s="96" t="s">
        <v>63</v>
      </c>
      <c r="I4" s="96" t="s">
        <v>64</v>
      </c>
      <c r="J4" s="96" t="s">
        <v>65</v>
      </c>
      <c r="K4" s="96" t="s">
        <v>66</v>
      </c>
      <c r="L4" s="96" t="s">
        <v>67</v>
      </c>
      <c r="M4" s="83" t="s">
        <v>68</v>
      </c>
      <c r="N4" s="83" t="s">
        <v>69</v>
      </c>
      <c r="O4" s="83" t="s">
        <v>70</v>
      </c>
    </row>
    <row r="5" spans="1:18" ht="15" x14ac:dyDescent="0.25">
      <c r="A5" t="s">
        <v>159</v>
      </c>
      <c r="B5" s="97">
        <f>SUM(D5:L5)</f>
        <v>0</v>
      </c>
      <c r="C5" s="97">
        <v>0</v>
      </c>
      <c r="D5" s="97">
        <v>0</v>
      </c>
      <c r="E5" s="97">
        <v>0</v>
      </c>
      <c r="F5" s="97">
        <v>0</v>
      </c>
      <c r="G5" s="97">
        <v>134.5</v>
      </c>
      <c r="H5" s="97">
        <v>-134.5</v>
      </c>
      <c r="I5" s="97">
        <v>0</v>
      </c>
      <c r="J5" s="97">
        <v>0</v>
      </c>
      <c r="K5" s="97">
        <v>0</v>
      </c>
      <c r="L5" s="97">
        <v>0</v>
      </c>
      <c r="M5" s="81"/>
      <c r="N5" s="81"/>
      <c r="O5" s="81"/>
      <c r="Q5" s="1" t="str">
        <f>VLOOKUP(A5,'Summary before PDE write-offs'!C:C,1,FALSE)</f>
        <v>2117 - Carry On T2 Syd</v>
      </c>
      <c r="R5" s="1" t="b">
        <f>B5=VLOOKUP(Q5,'Summary before PDE write-offs'!$C:$E,3,FALSE)</f>
        <v>1</v>
      </c>
    </row>
    <row r="6" spans="1:18" ht="15" x14ac:dyDescent="0.25">
      <c r="A6" t="s">
        <v>160</v>
      </c>
      <c r="B6" s="97">
        <f t="shared" ref="B6:B34" si="0">SUM(D6:L6)</f>
        <v>0</v>
      </c>
      <c r="C6" s="97">
        <v>0</v>
      </c>
      <c r="D6" s="97">
        <v>0</v>
      </c>
      <c r="E6" s="97">
        <v>0</v>
      </c>
      <c r="F6" s="97">
        <v>0</v>
      </c>
      <c r="G6" s="97">
        <v>0</v>
      </c>
      <c r="H6" s="97">
        <v>0</v>
      </c>
      <c r="I6" s="97">
        <v>0</v>
      </c>
      <c r="J6" s="97">
        <v>0</v>
      </c>
      <c r="K6" s="97">
        <v>0</v>
      </c>
      <c r="L6" s="97">
        <v>0</v>
      </c>
      <c r="M6" s="81"/>
      <c r="N6" s="81"/>
      <c r="O6" s="81"/>
      <c r="Q6" s="1" t="str">
        <f>VLOOKUP(A6,'Summary before PDE write-offs'!C:C,1,FALSE)</f>
        <v>2118 - Merchant T2 Syd</v>
      </c>
      <c r="R6" s="1" t="b">
        <f>B6=VLOOKUP(Q6,'Summary before PDE write-offs'!$C:$E,3,FALSE)</f>
        <v>1</v>
      </c>
    </row>
    <row r="7" spans="1:18" ht="15" x14ac:dyDescent="0.25">
      <c r="A7" t="s">
        <v>161</v>
      </c>
      <c r="B7" s="97">
        <f t="shared" si="0"/>
        <v>-7.1054273576010019E-15</v>
      </c>
      <c r="C7" s="97">
        <v>0</v>
      </c>
      <c r="D7" s="97">
        <v>0</v>
      </c>
      <c r="E7" s="97">
        <v>0</v>
      </c>
      <c r="F7" s="97">
        <v>84.99</v>
      </c>
      <c r="G7" s="97">
        <v>-56.21</v>
      </c>
      <c r="H7" s="97">
        <v>-28.78</v>
      </c>
      <c r="I7" s="97">
        <v>29.99</v>
      </c>
      <c r="J7" s="97">
        <v>-29.99</v>
      </c>
      <c r="K7" s="97">
        <v>0</v>
      </c>
      <c r="L7" s="97">
        <v>0</v>
      </c>
      <c r="M7" s="81"/>
      <c r="N7" s="81"/>
      <c r="O7" s="81"/>
      <c r="Q7" s="1" t="str">
        <f>VLOOKUP(A7,'Summary before PDE write-offs'!C:C,1,FALSE)</f>
        <v>2119 - Merchant T3 Syd</v>
      </c>
      <c r="R7" s="1" t="b">
        <f>B7=VLOOKUP(Q7,'Summary before PDE write-offs'!$C:$E,3,FALSE)</f>
        <v>1</v>
      </c>
    </row>
    <row r="8" spans="1:18" ht="15" x14ac:dyDescent="0.25">
      <c r="A8" t="s">
        <v>92</v>
      </c>
      <c r="B8" s="97">
        <f t="shared" si="0"/>
        <v>0</v>
      </c>
      <c r="C8" s="97">
        <v>0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97">
        <v>0</v>
      </c>
      <c r="L8" s="97">
        <v>0</v>
      </c>
      <c r="M8" s="81"/>
      <c r="N8" s="81"/>
      <c r="O8" s="81"/>
      <c r="Q8" s="1" t="str">
        <f>VLOOKUP(A8,'Summary before PDE write-offs'!C:C,1,FALSE)</f>
        <v>2137 - Think Syd PierC</v>
      </c>
      <c r="R8" s="1" t="b">
        <f>B8=VLOOKUP(Q8,'Summary before PDE write-offs'!$C:$E,3,FALSE)</f>
        <v>1</v>
      </c>
    </row>
    <row r="9" spans="1:18" ht="15" x14ac:dyDescent="0.25">
      <c r="A9" t="s">
        <v>185</v>
      </c>
      <c r="B9" s="97">
        <f t="shared" si="0"/>
        <v>39.710000000000036</v>
      </c>
      <c r="C9" s="97">
        <v>0</v>
      </c>
      <c r="D9" s="97">
        <v>13.2</v>
      </c>
      <c r="E9" s="97">
        <v>-13.2</v>
      </c>
      <c r="F9" s="97">
        <v>163.12</v>
      </c>
      <c r="G9" s="97">
        <v>-108.53</v>
      </c>
      <c r="H9" s="97">
        <v>33.18</v>
      </c>
      <c r="I9" s="97">
        <v>-72.569999999999993</v>
      </c>
      <c r="J9" s="97">
        <v>44.67</v>
      </c>
      <c r="K9" s="97">
        <v>509.35</v>
      </c>
      <c r="L9" s="97">
        <v>-529.51</v>
      </c>
      <c r="M9" s="81"/>
      <c r="N9" s="81"/>
      <c r="O9" s="81"/>
      <c r="Q9" s="1" t="str">
        <f>VLOOKUP(A9,'Summary before PDE write-offs'!C:C,1,FALSE)</f>
        <v>2225 - News@CBR</v>
      </c>
      <c r="R9" s="1" t="b">
        <f>B9=VLOOKUP(Q9,'Summary before PDE write-offs'!$C:$E,3,FALSE)</f>
        <v>1</v>
      </c>
    </row>
    <row r="10" spans="1:18" ht="15" x14ac:dyDescent="0.25">
      <c r="A10" t="s">
        <v>99</v>
      </c>
      <c r="B10" s="97">
        <f t="shared" si="0"/>
        <v>0</v>
      </c>
      <c r="C10" s="97">
        <v>0</v>
      </c>
      <c r="D10" s="97">
        <v>0</v>
      </c>
      <c r="E10" s="97">
        <v>0</v>
      </c>
      <c r="F10" s="97">
        <v>0</v>
      </c>
      <c r="G10" s="97">
        <v>0</v>
      </c>
      <c r="H10" s="97">
        <v>8.9499999999999993</v>
      </c>
      <c r="I10" s="97">
        <v>-8.9499999999999993</v>
      </c>
      <c r="J10" s="97">
        <v>102.57</v>
      </c>
      <c r="K10" s="97">
        <v>-102.57</v>
      </c>
      <c r="L10" s="97">
        <v>0</v>
      </c>
      <c r="M10" s="81"/>
      <c r="N10" s="81"/>
      <c r="O10" s="81"/>
      <c r="Q10" s="1" t="str">
        <f>VLOOKUP(A10,'Summary before PDE write-offs'!C:C,1,FALSE)</f>
        <v>2230 - Australian Way</v>
      </c>
      <c r="R10" s="1" t="b">
        <f>B10=VLOOKUP(Q10,'Summary before PDE write-offs'!$C:$E,3,FALSE)</f>
        <v>1</v>
      </c>
    </row>
    <row r="11" spans="1:18" ht="15" x14ac:dyDescent="0.25">
      <c r="A11" t="s">
        <v>100</v>
      </c>
      <c r="B11" s="97">
        <f t="shared" si="0"/>
        <v>-23.73</v>
      </c>
      <c r="C11" s="97">
        <v>0</v>
      </c>
      <c r="D11" s="97">
        <v>0</v>
      </c>
      <c r="E11" s="97">
        <v>0</v>
      </c>
      <c r="F11" s="97">
        <v>0</v>
      </c>
      <c r="G11" s="97">
        <v>0</v>
      </c>
      <c r="H11" s="97">
        <v>74.88</v>
      </c>
      <c r="I11" s="97">
        <v>-74.88</v>
      </c>
      <c r="J11" s="97">
        <v>22.72</v>
      </c>
      <c r="K11" s="97">
        <v>-22.72</v>
      </c>
      <c r="L11" s="97">
        <v>-23.73</v>
      </c>
      <c r="M11" s="81"/>
      <c r="N11" s="81"/>
      <c r="O11" s="81"/>
      <c r="Q11" s="1" t="str">
        <f>VLOOKUP(A11,'Summary before PDE write-offs'!C:C,1,FALSE)</f>
        <v>2231 - Think Syd B</v>
      </c>
      <c r="R11" s="1" t="b">
        <f>B11=VLOOKUP(Q11,'Summary before PDE write-offs'!$C:$E,3,FALSE)</f>
        <v>1</v>
      </c>
    </row>
    <row r="12" spans="1:18" ht="15" x14ac:dyDescent="0.25">
      <c r="A12" t="s">
        <v>107</v>
      </c>
      <c r="B12" s="97">
        <f t="shared" si="0"/>
        <v>0</v>
      </c>
      <c r="C12" s="97">
        <v>0</v>
      </c>
      <c r="D12" s="97">
        <v>0</v>
      </c>
      <c r="E12" s="97">
        <v>0</v>
      </c>
      <c r="F12" s="97">
        <v>0</v>
      </c>
      <c r="G12" s="97">
        <v>0</v>
      </c>
      <c r="H12" s="97">
        <v>0</v>
      </c>
      <c r="I12" s="97">
        <v>0</v>
      </c>
      <c r="J12" s="97">
        <v>59.97</v>
      </c>
      <c r="K12" s="97">
        <v>-59.97</v>
      </c>
      <c r="L12" s="97">
        <v>0</v>
      </c>
      <c r="M12" s="81"/>
      <c r="N12" s="81"/>
      <c r="O12" s="81"/>
      <c r="Q12" s="1" t="str">
        <f>VLOOKUP(A12,'Summary before PDE write-offs'!C:C,1,FALSE)</f>
        <v>2234 - Think Syd Lands</v>
      </c>
      <c r="R12" s="1" t="b">
        <f>B12=VLOOKUP(Q12,'Summary before PDE write-offs'!$C:$E,3,FALSE)</f>
        <v>1</v>
      </c>
    </row>
    <row r="13" spans="1:18" ht="15" x14ac:dyDescent="0.25">
      <c r="A13" t="s">
        <v>79</v>
      </c>
      <c r="B13" s="97">
        <f t="shared" si="0"/>
        <v>25.5</v>
      </c>
      <c r="C13" s="97">
        <v>0</v>
      </c>
      <c r="D13" s="97">
        <v>8.4499999999999993</v>
      </c>
      <c r="E13" s="97">
        <v>-8.4499999999999993</v>
      </c>
      <c r="F13" s="97">
        <v>0</v>
      </c>
      <c r="G13" s="97">
        <v>0</v>
      </c>
      <c r="H13" s="97">
        <v>0</v>
      </c>
      <c r="I13" s="97">
        <v>89.58</v>
      </c>
      <c r="J13" s="97">
        <v>-22.68</v>
      </c>
      <c r="K13" s="97">
        <v>40.58</v>
      </c>
      <c r="L13" s="97">
        <v>-81.98</v>
      </c>
      <c r="M13" s="81"/>
      <c r="N13" s="81"/>
      <c r="O13" s="81"/>
      <c r="Q13" s="1" t="str">
        <f>VLOOKUP(A13,'Summary before PDE write-offs'!C:C,1,FALSE)</f>
        <v>2450 - NT Newcastle</v>
      </c>
      <c r="R13" s="1" t="b">
        <f>B13=VLOOKUP(Q13,'Summary before PDE write-offs'!$C:$E,3,FALSE)</f>
        <v>1</v>
      </c>
    </row>
    <row r="14" spans="1:18" ht="15" x14ac:dyDescent="0.25">
      <c r="A14" t="s">
        <v>3</v>
      </c>
      <c r="B14" s="97">
        <f t="shared" si="0"/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-238.92</v>
      </c>
      <c r="I14" s="97">
        <v>258.92</v>
      </c>
      <c r="J14" s="97">
        <v>-5.04</v>
      </c>
      <c r="K14" s="97">
        <v>478.02</v>
      </c>
      <c r="L14" s="97">
        <v>-492.98</v>
      </c>
      <c r="M14" s="81"/>
      <c r="N14" s="81"/>
      <c r="O14" s="81"/>
      <c r="Q14" s="1" t="str">
        <f>VLOOKUP(A14,'Summary before PDE write-offs'!C:C,1,FALSE)</f>
        <v>3019 - AW Melbourne Do</v>
      </c>
      <c r="R14" s="1" t="b">
        <f>B14=VLOOKUP(Q14,'Summary before PDE write-offs'!$C:$E,3,FALSE)</f>
        <v>1</v>
      </c>
    </row>
    <row r="15" spans="1:18" ht="15" x14ac:dyDescent="0.25">
      <c r="A15" t="s">
        <v>6</v>
      </c>
      <c r="B15" s="97">
        <f t="shared" si="0"/>
        <v>0</v>
      </c>
      <c r="C15" s="97">
        <v>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259</v>
      </c>
      <c r="K15" s="97">
        <v>-259</v>
      </c>
      <c r="L15" s="97">
        <v>0</v>
      </c>
      <c r="M15" s="81"/>
      <c r="N15" s="81"/>
      <c r="O15" s="81"/>
      <c r="Q15" s="1" t="str">
        <f>VLOOKUP(A15,'Summary before PDE write-offs'!C:C,1,FALSE)</f>
        <v>3034 - Carri On Melbou</v>
      </c>
      <c r="R15" s="1" t="b">
        <f>B15=VLOOKUP(Q15,'Summary before PDE write-offs'!$C:$E,3,FALSE)</f>
        <v>1</v>
      </c>
    </row>
    <row r="16" spans="1:18" ht="15" x14ac:dyDescent="0.25">
      <c r="A16" t="s">
        <v>80</v>
      </c>
      <c r="B16" s="97">
        <f t="shared" si="0"/>
        <v>0</v>
      </c>
      <c r="C16" s="97">
        <v>0</v>
      </c>
      <c r="D16" s="97">
        <v>0</v>
      </c>
      <c r="E16" s="97">
        <v>0</v>
      </c>
      <c r="F16" s="97">
        <v>0</v>
      </c>
      <c r="G16" s="97">
        <v>0</v>
      </c>
      <c r="H16" s="97">
        <v>0</v>
      </c>
      <c r="I16" s="97">
        <v>0</v>
      </c>
      <c r="J16" s="97">
        <v>8.48</v>
      </c>
      <c r="K16" s="97">
        <v>-8.48</v>
      </c>
      <c r="L16" s="97">
        <v>0</v>
      </c>
      <c r="M16" s="81"/>
      <c r="N16" s="81"/>
      <c r="O16" s="81"/>
      <c r="Q16" s="1" t="str">
        <f>VLOOKUP(A16,'Summary before PDE write-offs'!C:C,1,FALSE)</f>
        <v>3175 - AW Melb Land</v>
      </c>
      <c r="R16" s="1" t="b">
        <f>B16=VLOOKUP(Q16,'Summary before PDE write-offs'!$C:$E,3,FALSE)</f>
        <v>1</v>
      </c>
    </row>
    <row r="17" spans="1:15" ht="15" x14ac:dyDescent="0.25">
      <c r="A17" t="s">
        <v>177</v>
      </c>
      <c r="B17" s="97">
        <f t="shared" si="0"/>
        <v>149.94999999999999</v>
      </c>
      <c r="C17" s="97">
        <v>0</v>
      </c>
      <c r="D17" s="97">
        <v>0</v>
      </c>
      <c r="E17" s="97">
        <v>0</v>
      </c>
      <c r="F17" s="97">
        <v>0</v>
      </c>
      <c r="G17" s="97">
        <v>0</v>
      </c>
      <c r="H17" s="97">
        <v>0</v>
      </c>
      <c r="I17" s="97">
        <v>0</v>
      </c>
      <c r="J17" s="97">
        <v>294.55</v>
      </c>
      <c r="K17" s="97">
        <v>-65.55</v>
      </c>
      <c r="L17" s="97">
        <v>-79.05</v>
      </c>
      <c r="M17" s="81"/>
      <c r="N17" s="81"/>
      <c r="O17" s="81"/>
    </row>
    <row r="18" spans="1:15" ht="15" x14ac:dyDescent="0.25">
      <c r="A18" t="s">
        <v>9</v>
      </c>
      <c r="B18" s="97">
        <f t="shared" si="0"/>
        <v>40.680000000000007</v>
      </c>
      <c r="C18" s="97">
        <v>0</v>
      </c>
      <c r="D18" s="97">
        <v>36.46</v>
      </c>
      <c r="E18" s="97">
        <v>-36.46</v>
      </c>
      <c r="F18" s="97">
        <v>0</v>
      </c>
      <c r="G18" s="97">
        <v>0</v>
      </c>
      <c r="H18" s="97">
        <v>14.8</v>
      </c>
      <c r="I18" s="97">
        <v>1.19</v>
      </c>
      <c r="J18" s="97">
        <v>74.61</v>
      </c>
      <c r="K18" s="97">
        <v>237.72</v>
      </c>
      <c r="L18" s="97">
        <v>-287.64</v>
      </c>
      <c r="M18" s="81"/>
      <c r="N18" s="81"/>
      <c r="O18" s="81"/>
    </row>
    <row r="19" spans="1:15" ht="15" x14ac:dyDescent="0.25">
      <c r="A19" t="s">
        <v>162</v>
      </c>
      <c r="B19" s="97">
        <f t="shared" si="0"/>
        <v>38.920000000000073</v>
      </c>
      <c r="C19" s="97">
        <v>0</v>
      </c>
      <c r="D19" s="97">
        <v>0.36</v>
      </c>
      <c r="E19" s="97">
        <v>-20.41</v>
      </c>
      <c r="F19" s="97">
        <v>-15.49</v>
      </c>
      <c r="G19" s="97">
        <v>222.97</v>
      </c>
      <c r="H19" s="97">
        <v>-157.41999999999999</v>
      </c>
      <c r="I19" s="97">
        <v>114.45</v>
      </c>
      <c r="J19" s="97">
        <v>373.24</v>
      </c>
      <c r="K19" s="97">
        <v>-59.26</v>
      </c>
      <c r="L19" s="97">
        <v>-419.52</v>
      </c>
      <c r="M19" s="81"/>
      <c r="N19" s="81"/>
      <c r="O19" s="81"/>
    </row>
    <row r="20" spans="1:15" ht="15" x14ac:dyDescent="0.25">
      <c r="A20" t="s">
        <v>163</v>
      </c>
      <c r="B20" s="97">
        <f t="shared" si="0"/>
        <v>0</v>
      </c>
      <c r="C20" s="97">
        <v>0</v>
      </c>
      <c r="D20" s="97">
        <v>0</v>
      </c>
      <c r="E20" s="97">
        <v>0</v>
      </c>
      <c r="F20" s="97">
        <v>0</v>
      </c>
      <c r="G20" s="97">
        <v>0</v>
      </c>
      <c r="H20" s="97">
        <v>14.97</v>
      </c>
      <c r="I20" s="97">
        <v>89.49</v>
      </c>
      <c r="J20" s="97">
        <v>-104.46</v>
      </c>
      <c r="K20" s="97">
        <v>139.31</v>
      </c>
      <c r="L20" s="97">
        <v>-139.31</v>
      </c>
      <c r="M20" s="81"/>
      <c r="N20" s="81"/>
      <c r="O20" s="81"/>
    </row>
    <row r="21" spans="1:15" ht="15" x14ac:dyDescent="0.25">
      <c r="A21" t="s">
        <v>167</v>
      </c>
      <c r="B21" s="97">
        <f t="shared" si="0"/>
        <v>-2.0999999999999979</v>
      </c>
      <c r="C21" s="97">
        <v>0</v>
      </c>
      <c r="D21" s="97">
        <v>16.850000000000001</v>
      </c>
      <c r="E21" s="97">
        <v>-5.65</v>
      </c>
      <c r="F21" s="97">
        <v>-1.1000000000000001</v>
      </c>
      <c r="G21" s="97">
        <v>-12.2</v>
      </c>
      <c r="H21" s="97">
        <v>30.65</v>
      </c>
      <c r="I21" s="97">
        <v>-30.65</v>
      </c>
      <c r="J21" s="97">
        <v>11.1</v>
      </c>
      <c r="K21" s="97">
        <v>-11.1</v>
      </c>
      <c r="L21" s="97">
        <v>0</v>
      </c>
      <c r="M21" s="81"/>
      <c r="N21" s="81"/>
      <c r="O21" s="81"/>
    </row>
    <row r="22" spans="1:15" ht="15" x14ac:dyDescent="0.25">
      <c r="A22" t="s">
        <v>169</v>
      </c>
      <c r="B22" s="97">
        <f t="shared" si="0"/>
        <v>-6.6499999999999773</v>
      </c>
      <c r="C22" s="97">
        <v>0</v>
      </c>
      <c r="D22" s="97">
        <v>-36.090000000000003</v>
      </c>
      <c r="E22" s="97">
        <v>17.510000000000002</v>
      </c>
      <c r="F22" s="97">
        <v>5.08</v>
      </c>
      <c r="G22" s="97">
        <v>150.33000000000001</v>
      </c>
      <c r="H22" s="97">
        <v>-94.18</v>
      </c>
      <c r="I22" s="97">
        <v>-59.73</v>
      </c>
      <c r="J22" s="97">
        <v>45.22</v>
      </c>
      <c r="K22" s="97">
        <v>149.44</v>
      </c>
      <c r="L22" s="97">
        <v>-184.23</v>
      </c>
      <c r="M22" s="81"/>
      <c r="N22" s="81"/>
      <c r="O22" s="81"/>
    </row>
    <row r="23" spans="1:15" ht="15" x14ac:dyDescent="0.25">
      <c r="A23" t="s">
        <v>178</v>
      </c>
      <c r="B23" s="97">
        <f t="shared" si="0"/>
        <v>67.180000000000064</v>
      </c>
      <c r="C23" s="97">
        <v>0</v>
      </c>
      <c r="D23" s="97">
        <v>-8.02</v>
      </c>
      <c r="E23" s="97">
        <v>100.79</v>
      </c>
      <c r="F23" s="97">
        <v>-36.369999999999997</v>
      </c>
      <c r="G23" s="97">
        <v>101.66</v>
      </c>
      <c r="H23" s="97">
        <v>-63.62</v>
      </c>
      <c r="I23" s="97">
        <v>-19.43</v>
      </c>
      <c r="J23" s="97">
        <v>78.010000000000005</v>
      </c>
      <c r="K23" s="97">
        <v>416.66</v>
      </c>
      <c r="L23" s="97">
        <v>-502.5</v>
      </c>
      <c r="M23" s="81"/>
      <c r="N23" s="81"/>
      <c r="O23" s="81"/>
    </row>
    <row r="24" spans="1:15" ht="15" x14ac:dyDescent="0.25">
      <c r="A24" t="s">
        <v>170</v>
      </c>
      <c r="B24" s="97">
        <f t="shared" si="0"/>
        <v>0</v>
      </c>
      <c r="C24" s="97">
        <v>0</v>
      </c>
      <c r="D24" s="97">
        <v>0</v>
      </c>
      <c r="E24" s="97">
        <v>0</v>
      </c>
      <c r="F24" s="97">
        <v>0</v>
      </c>
      <c r="G24" s="97">
        <v>0</v>
      </c>
      <c r="H24" s="97">
        <v>0</v>
      </c>
      <c r="I24" s="97">
        <v>14.95</v>
      </c>
      <c r="J24" s="97">
        <v>-4.75</v>
      </c>
      <c r="K24" s="97">
        <v>150.38</v>
      </c>
      <c r="L24" s="97">
        <v>-160.58000000000001</v>
      </c>
      <c r="M24" s="81"/>
      <c r="N24" s="81"/>
      <c r="O24" s="81"/>
    </row>
    <row r="25" spans="1:15" ht="15" x14ac:dyDescent="0.25">
      <c r="A25" t="s">
        <v>174</v>
      </c>
      <c r="B25" s="97">
        <f t="shared" si="0"/>
        <v>0</v>
      </c>
      <c r="C25" s="97">
        <v>0</v>
      </c>
      <c r="D25" s="97">
        <v>0</v>
      </c>
      <c r="E25" s="97">
        <v>0</v>
      </c>
      <c r="F25" s="97">
        <v>0</v>
      </c>
      <c r="G25" s="97">
        <v>0</v>
      </c>
      <c r="H25" s="97">
        <v>0</v>
      </c>
      <c r="I25" s="97">
        <v>8</v>
      </c>
      <c r="J25" s="97">
        <v>3.5</v>
      </c>
      <c r="K25" s="97">
        <v>0.2</v>
      </c>
      <c r="L25" s="97">
        <v>-11.7</v>
      </c>
      <c r="M25" s="81"/>
      <c r="N25" s="81"/>
      <c r="O25" s="81"/>
    </row>
    <row r="26" spans="1:15" ht="15" x14ac:dyDescent="0.25">
      <c r="A26" t="s">
        <v>85</v>
      </c>
      <c r="B26" s="97">
        <f t="shared" si="0"/>
        <v>0</v>
      </c>
      <c r="C26" s="97">
        <v>0</v>
      </c>
      <c r="D26" s="97">
        <v>0</v>
      </c>
      <c r="E26" s="97">
        <v>0</v>
      </c>
      <c r="F26" s="97">
        <v>12.09</v>
      </c>
      <c r="G26" s="97">
        <v>-5.18</v>
      </c>
      <c r="H26" s="97">
        <v>-6.91</v>
      </c>
      <c r="I26" s="97">
        <v>7.45</v>
      </c>
      <c r="J26" s="97">
        <v>84.61</v>
      </c>
      <c r="K26" s="97">
        <v>175.58</v>
      </c>
      <c r="L26" s="97">
        <v>-267.64</v>
      </c>
      <c r="M26" s="81"/>
      <c r="N26" s="81"/>
      <c r="O26" s="81"/>
    </row>
    <row r="27" spans="1:15" ht="15" x14ac:dyDescent="0.25">
      <c r="A27" t="s">
        <v>86</v>
      </c>
      <c r="B27" s="97">
        <f t="shared" si="0"/>
        <v>0</v>
      </c>
      <c r="C27" s="97">
        <v>0</v>
      </c>
      <c r="D27" s="97">
        <v>0</v>
      </c>
      <c r="E27" s="97">
        <v>0</v>
      </c>
      <c r="F27" s="97">
        <v>0</v>
      </c>
      <c r="G27" s="97">
        <v>508.15</v>
      </c>
      <c r="H27" s="97">
        <v>-508.15</v>
      </c>
      <c r="I27" s="97">
        <v>0</v>
      </c>
      <c r="J27" s="97">
        <v>0</v>
      </c>
      <c r="K27" s="97">
        <v>0</v>
      </c>
      <c r="L27" s="97">
        <v>0</v>
      </c>
      <c r="M27" s="81"/>
      <c r="N27" s="81"/>
      <c r="O27" s="81"/>
    </row>
    <row r="28" spans="1:15" ht="15" x14ac:dyDescent="0.25">
      <c r="A28" t="s">
        <v>87</v>
      </c>
      <c r="B28" s="97">
        <f t="shared" si="0"/>
        <v>0</v>
      </c>
      <c r="C28" s="97">
        <v>0</v>
      </c>
      <c r="D28" s="97">
        <v>0</v>
      </c>
      <c r="E28" s="97">
        <v>0</v>
      </c>
      <c r="F28" s="97">
        <v>0</v>
      </c>
      <c r="G28" s="97">
        <v>4.8</v>
      </c>
      <c r="H28" s="97">
        <v>5.32</v>
      </c>
      <c r="I28" s="97">
        <v>26.11</v>
      </c>
      <c r="J28" s="97">
        <v>20.77</v>
      </c>
      <c r="K28" s="97">
        <v>-57</v>
      </c>
      <c r="L28" s="97">
        <v>0</v>
      </c>
      <c r="M28" s="81"/>
      <c r="N28" s="81"/>
      <c r="O28" s="81"/>
    </row>
    <row r="29" spans="1:15" ht="15" x14ac:dyDescent="0.25">
      <c r="A29" t="s">
        <v>179</v>
      </c>
      <c r="B29" s="97">
        <f t="shared" si="0"/>
        <v>142.46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113.95</v>
      </c>
      <c r="J29" s="97">
        <v>-68.959999999999994</v>
      </c>
      <c r="K29" s="97">
        <v>-54.47</v>
      </c>
      <c r="L29" s="97">
        <v>151.94</v>
      </c>
      <c r="M29" s="81"/>
      <c r="N29" s="81"/>
      <c r="O29" s="81"/>
    </row>
    <row r="30" spans="1:15" ht="15" x14ac:dyDescent="0.25">
      <c r="A30" t="s">
        <v>12</v>
      </c>
      <c r="B30" s="97">
        <f t="shared" si="0"/>
        <v>74.949999999999989</v>
      </c>
      <c r="C30" s="97">
        <v>0</v>
      </c>
      <c r="D30" s="97">
        <v>0</v>
      </c>
      <c r="E30" s="97">
        <v>0</v>
      </c>
      <c r="F30" s="97">
        <v>0</v>
      </c>
      <c r="G30" s="97">
        <v>0</v>
      </c>
      <c r="H30" s="97">
        <v>79.930000000000007</v>
      </c>
      <c r="I30" s="97">
        <v>-79.930000000000007</v>
      </c>
      <c r="J30" s="97">
        <v>0</v>
      </c>
      <c r="K30" s="97">
        <v>69.959999999999994</v>
      </c>
      <c r="L30" s="97">
        <v>4.99</v>
      </c>
      <c r="M30" s="81"/>
      <c r="N30" s="81"/>
      <c r="O30" s="81"/>
    </row>
    <row r="31" spans="1:15" ht="15" x14ac:dyDescent="0.25">
      <c r="A31" t="s">
        <v>13</v>
      </c>
      <c r="B31" s="97">
        <f t="shared" si="0"/>
        <v>126.12000000000002</v>
      </c>
      <c r="C31" s="97">
        <v>0</v>
      </c>
      <c r="D31" s="97">
        <v>0</v>
      </c>
      <c r="E31" s="97">
        <v>0</v>
      </c>
      <c r="F31" s="97">
        <v>0</v>
      </c>
      <c r="G31" s="97">
        <v>21.7</v>
      </c>
      <c r="H31" s="97">
        <v>10.9</v>
      </c>
      <c r="I31" s="97">
        <v>-7</v>
      </c>
      <c r="J31" s="97">
        <v>68.180000000000007</v>
      </c>
      <c r="K31" s="97">
        <v>137.83000000000001</v>
      </c>
      <c r="L31" s="97">
        <v>-105.49</v>
      </c>
      <c r="M31" s="81"/>
      <c r="N31" s="81"/>
      <c r="O31" s="81"/>
    </row>
    <row r="32" spans="1:15" ht="15" x14ac:dyDescent="0.25">
      <c r="A32" t="s">
        <v>14</v>
      </c>
      <c r="B32" s="97">
        <f t="shared" si="0"/>
        <v>707.36999999999989</v>
      </c>
      <c r="C32" s="97">
        <v>0</v>
      </c>
      <c r="D32" s="97">
        <v>0</v>
      </c>
      <c r="E32" s="97">
        <v>0</v>
      </c>
      <c r="F32" s="97">
        <v>0</v>
      </c>
      <c r="G32" s="97">
        <v>0</v>
      </c>
      <c r="H32" s="97">
        <v>35.94</v>
      </c>
      <c r="I32" s="97">
        <v>67.03</v>
      </c>
      <c r="J32" s="97">
        <v>-37.54</v>
      </c>
      <c r="K32" s="97">
        <v>875.38</v>
      </c>
      <c r="L32" s="97">
        <v>-233.44</v>
      </c>
      <c r="M32" s="81"/>
      <c r="N32" s="81"/>
      <c r="O32" s="81"/>
    </row>
    <row r="33" spans="1:15" ht="15" x14ac:dyDescent="0.25">
      <c r="A33" t="s">
        <v>171</v>
      </c>
      <c r="B33" s="97">
        <f t="shared" si="0"/>
        <v>0</v>
      </c>
      <c r="C33" s="97">
        <v>0</v>
      </c>
      <c r="D33" s="97">
        <v>0</v>
      </c>
      <c r="E33" s="97">
        <v>0</v>
      </c>
      <c r="F33" s="97">
        <v>6.1</v>
      </c>
      <c r="G33" s="97">
        <v>13.89</v>
      </c>
      <c r="H33" s="97">
        <v>36.4</v>
      </c>
      <c r="I33" s="97">
        <v>49.42</v>
      </c>
      <c r="J33" s="97">
        <v>-18.579999999999998</v>
      </c>
      <c r="K33" s="97">
        <v>-74.25</v>
      </c>
      <c r="L33" s="97">
        <v>-12.98</v>
      </c>
      <c r="M33" s="81"/>
      <c r="N33" s="81"/>
      <c r="O33" s="81"/>
    </row>
    <row r="34" spans="1:15" ht="15" x14ac:dyDescent="0.25">
      <c r="A34" t="s">
        <v>88</v>
      </c>
      <c r="B34" s="97">
        <f t="shared" si="0"/>
        <v>173.29000000000002</v>
      </c>
      <c r="C34" s="97">
        <v>0</v>
      </c>
      <c r="D34" s="97">
        <v>56.9</v>
      </c>
      <c r="E34" s="97">
        <v>90.92</v>
      </c>
      <c r="F34" s="97">
        <v>-83.23</v>
      </c>
      <c r="G34" s="97">
        <v>-53.5</v>
      </c>
      <c r="H34" s="97">
        <v>107.4</v>
      </c>
      <c r="I34" s="97">
        <v>46.75</v>
      </c>
      <c r="J34" s="97">
        <v>-97.46</v>
      </c>
      <c r="K34" s="97">
        <v>186.52</v>
      </c>
      <c r="L34" s="97">
        <v>-81.010000000000005</v>
      </c>
      <c r="M34" s="81"/>
      <c r="N34" s="81"/>
      <c r="O34" s="81"/>
    </row>
    <row r="35" spans="1:15" ht="15" x14ac:dyDescent="0.25">
      <c r="A35"/>
      <c r="B35" s="98">
        <f t="shared" ref="B35:L35" si="1">SUM(B5:B34)</f>
        <v>1553.65</v>
      </c>
      <c r="C35" s="98">
        <f t="shared" si="1"/>
        <v>0</v>
      </c>
      <c r="D35" s="98">
        <f t="shared" si="1"/>
        <v>88.109999999999985</v>
      </c>
      <c r="E35" s="98">
        <f t="shared" si="1"/>
        <v>125.05000000000001</v>
      </c>
      <c r="F35" s="98">
        <f t="shared" si="1"/>
        <v>135.19</v>
      </c>
      <c r="G35" s="98">
        <f t="shared" si="1"/>
        <v>922.38</v>
      </c>
      <c r="H35" s="98">
        <f t="shared" si="1"/>
        <v>-779.15999999999985</v>
      </c>
      <c r="I35" s="98">
        <f t="shared" si="1"/>
        <v>564.14</v>
      </c>
      <c r="J35" s="98">
        <f t="shared" si="1"/>
        <v>1161.7399999999998</v>
      </c>
      <c r="K35" s="98">
        <f t="shared" si="1"/>
        <v>2792.56</v>
      </c>
      <c r="L35" s="98">
        <f t="shared" si="1"/>
        <v>-3456.3599999999997</v>
      </c>
      <c r="M35" s="81"/>
      <c r="N35" s="81"/>
      <c r="O35" s="81"/>
    </row>
    <row r="36" spans="1:15" ht="15" x14ac:dyDescent="0.25">
      <c r="A36" s="80"/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</row>
    <row r="37" spans="1:15" ht="15" x14ac:dyDescent="0.25">
      <c r="A37" s="80"/>
      <c r="B37" s="81"/>
      <c r="C37" s="81">
        <f>'5103 Opening Balance'!B85</f>
        <v>123.69999999999999</v>
      </c>
      <c r="D37" s="81">
        <f>C37+D35</f>
        <v>211.80999999999997</v>
      </c>
      <c r="E37" s="81">
        <f t="shared" ref="E37:L37" si="2">D37+E35</f>
        <v>336.86</v>
      </c>
      <c r="F37" s="81">
        <f t="shared" si="2"/>
        <v>472.05</v>
      </c>
      <c r="G37" s="81">
        <f t="shared" si="2"/>
        <v>1394.43</v>
      </c>
      <c r="H37" s="81">
        <f t="shared" si="2"/>
        <v>615.27000000000021</v>
      </c>
      <c r="I37" s="81">
        <f t="shared" si="2"/>
        <v>1179.4100000000003</v>
      </c>
      <c r="J37" s="81">
        <f t="shared" si="2"/>
        <v>2341.15</v>
      </c>
      <c r="K37" s="81">
        <f t="shared" si="2"/>
        <v>5133.71</v>
      </c>
      <c r="L37" s="81">
        <f t="shared" si="2"/>
        <v>1677.3500000000004</v>
      </c>
      <c r="M37" s="81"/>
      <c r="N37" s="81"/>
      <c r="O37" s="81"/>
    </row>
    <row r="38" spans="1:15" ht="15" x14ac:dyDescent="0.25">
      <c r="A38" s="80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</row>
    <row r="39" spans="1:15" ht="15" x14ac:dyDescent="0.25">
      <c r="A39" s="80"/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</row>
    <row r="40" spans="1:15" ht="15" x14ac:dyDescent="0.25">
      <c r="A40" s="80"/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</row>
    <row r="41" spans="1:15" ht="15" x14ac:dyDescent="0.25">
      <c r="A41" s="80"/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</row>
    <row r="42" spans="1:15" ht="15" x14ac:dyDescent="0.25">
      <c r="A42" s="80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</row>
    <row r="43" spans="1:15" ht="15" x14ac:dyDescent="0.25">
      <c r="A43" s="80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</row>
    <row r="44" spans="1:15" ht="15" x14ac:dyDescent="0.25">
      <c r="A44" s="80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</row>
    <row r="45" spans="1:15" ht="15" x14ac:dyDescent="0.25">
      <c r="A45" s="80"/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</row>
    <row r="46" spans="1:15" ht="15" x14ac:dyDescent="0.25">
      <c r="A46" s="80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</row>
    <row r="47" spans="1:15" ht="15" x14ac:dyDescent="0.25">
      <c r="A47" s="80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</row>
    <row r="48" spans="1:15" ht="15" x14ac:dyDescent="0.25">
      <c r="A48" s="80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</row>
    <row r="49" spans="1:15" ht="15" x14ac:dyDescent="0.25">
      <c r="A49" s="80"/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</row>
    <row r="50" spans="1:15" ht="15" x14ac:dyDescent="0.25">
      <c r="A50" s="80"/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</row>
    <row r="51" spans="1:15" ht="15" x14ac:dyDescent="0.25">
      <c r="A51" s="80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</row>
    <row r="52" spans="1:15" ht="15" x14ac:dyDescent="0.25">
      <c r="A52" s="80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</row>
    <row r="53" spans="1:15" ht="15" x14ac:dyDescent="0.25">
      <c r="A53" s="80"/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</row>
    <row r="54" spans="1:15" ht="15" x14ac:dyDescent="0.25">
      <c r="A54" s="80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</row>
    <row r="55" spans="1:15" ht="15" x14ac:dyDescent="0.25">
      <c r="A55" s="80"/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</row>
    <row r="56" spans="1:15" ht="15" x14ac:dyDescent="0.25">
      <c r="A56" s="80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</row>
    <row r="57" spans="1:15" ht="15" x14ac:dyDescent="0.25">
      <c r="A57" s="80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</row>
    <row r="58" spans="1:15" ht="15" x14ac:dyDescent="0.25">
      <c r="A58" s="80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</row>
    <row r="59" spans="1:15" ht="15" x14ac:dyDescent="0.25">
      <c r="A59" s="80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</row>
    <row r="60" spans="1:15" ht="15" x14ac:dyDescent="0.25">
      <c r="A60" s="80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</row>
    <row r="61" spans="1:15" ht="15" x14ac:dyDescent="0.25">
      <c r="A61" s="80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</row>
    <row r="62" spans="1:15" ht="15" x14ac:dyDescent="0.25">
      <c r="A62" s="80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</row>
    <row r="63" spans="1:15" ht="15" x14ac:dyDescent="0.25">
      <c r="A63" s="80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</row>
    <row r="64" spans="1:15" ht="15" x14ac:dyDescent="0.25">
      <c r="A64" s="80"/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</row>
    <row r="65" spans="1:15" ht="15" x14ac:dyDescent="0.25">
      <c r="A65" s="80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</row>
    <row r="66" spans="1:15" ht="15" x14ac:dyDescent="0.25">
      <c r="A66" s="80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</row>
    <row r="67" spans="1:15" ht="15" x14ac:dyDescent="0.25">
      <c r="A67" s="80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</row>
    <row r="68" spans="1:15" ht="15" x14ac:dyDescent="0.25">
      <c r="A68" s="79"/>
      <c r="B68" s="82">
        <f>SUM(B5:B67)</f>
        <v>3107.3</v>
      </c>
      <c r="C68" s="82">
        <f t="shared" ref="C68:O68" si="3">SUM(C5:C67)</f>
        <v>123.69999999999999</v>
      </c>
      <c r="D68" s="82">
        <f t="shared" si="3"/>
        <v>388.03</v>
      </c>
      <c r="E68" s="82">
        <f t="shared" si="3"/>
        <v>586.96</v>
      </c>
      <c r="F68" s="82">
        <f t="shared" si="3"/>
        <v>742.43000000000006</v>
      </c>
      <c r="G68" s="82">
        <f t="shared" si="3"/>
        <v>3239.19</v>
      </c>
      <c r="H68" s="82">
        <f t="shared" si="3"/>
        <v>-943.0499999999995</v>
      </c>
      <c r="I68" s="82">
        <f t="shared" si="3"/>
        <v>2307.6900000000005</v>
      </c>
      <c r="J68" s="82">
        <f t="shared" si="3"/>
        <v>4664.6299999999992</v>
      </c>
      <c r="K68" s="82">
        <f t="shared" si="3"/>
        <v>10718.83</v>
      </c>
      <c r="L68" s="82">
        <f t="shared" si="3"/>
        <v>-5235.369999999999</v>
      </c>
      <c r="M68" s="82">
        <f t="shared" si="3"/>
        <v>0</v>
      </c>
      <c r="N68" s="82">
        <f t="shared" si="3"/>
        <v>0</v>
      </c>
      <c r="O68" s="82">
        <f t="shared" si="3"/>
        <v>0</v>
      </c>
    </row>
    <row r="69" spans="1:15" x14ac:dyDescent="0.2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</row>
    <row r="70" spans="1:15" x14ac:dyDescent="0.2">
      <c r="D70" s="3">
        <f>C68+D68</f>
        <v>511.72999999999996</v>
      </c>
      <c r="E70" s="3">
        <f>D70+E68</f>
        <v>1098.69</v>
      </c>
      <c r="F70" s="3">
        <f t="shared" ref="F70:M70" si="4">E70+F68</f>
        <v>1841.1200000000001</v>
      </c>
      <c r="G70" s="3">
        <f t="shared" si="4"/>
        <v>5080.3100000000004</v>
      </c>
      <c r="H70" s="3">
        <f t="shared" si="4"/>
        <v>4137.2600000000011</v>
      </c>
      <c r="I70" s="3">
        <f t="shared" si="4"/>
        <v>6444.9500000000016</v>
      </c>
      <c r="J70" s="3">
        <f t="shared" si="4"/>
        <v>11109.580000000002</v>
      </c>
      <c r="K70" s="3">
        <f t="shared" si="4"/>
        <v>21828.410000000003</v>
      </c>
      <c r="L70" s="3">
        <f t="shared" si="4"/>
        <v>16593.040000000005</v>
      </c>
      <c r="M70" s="3">
        <f t="shared" si="4"/>
        <v>16593.040000000005</v>
      </c>
      <c r="N70" s="3">
        <f t="shared" ref="N70" si="5">M70+N68</f>
        <v>16593.040000000005</v>
      </c>
      <c r="O70" s="3">
        <f t="shared" ref="O70" si="6">N70+O68</f>
        <v>16593.040000000005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BE5EB-6029-4C05-8DF3-0249FBAA031E}">
  <sheetPr codeName="Sheet3"/>
  <dimension ref="A1:G14"/>
  <sheetViews>
    <sheetView workbookViewId="0">
      <selection activeCell="H10" sqref="H10"/>
    </sheetView>
  </sheetViews>
  <sheetFormatPr defaultRowHeight="12.75" x14ac:dyDescent="0.2"/>
  <cols>
    <col min="1" max="1" width="3.42578125" bestFit="1" customWidth="1"/>
    <col min="2" max="2" width="9" bestFit="1" customWidth="1"/>
    <col min="3" max="3" width="4.7109375" bestFit="1" customWidth="1"/>
    <col min="4" max="4" width="7" bestFit="1" customWidth="1"/>
    <col min="5" max="5" width="17.42578125" bestFit="1" customWidth="1"/>
    <col min="6" max="6" width="10" style="109" bestFit="1" customWidth="1"/>
    <col min="7" max="7" width="12.42578125" style="108" bestFit="1" customWidth="1"/>
  </cols>
  <sheetData>
    <row r="1" spans="1:7" x14ac:dyDescent="0.2">
      <c r="A1" t="s">
        <v>78</v>
      </c>
      <c r="B1" t="s">
        <v>192</v>
      </c>
      <c r="C1" t="s">
        <v>190</v>
      </c>
      <c r="D1" t="s">
        <v>193</v>
      </c>
      <c r="E1" t="s">
        <v>194</v>
      </c>
      <c r="F1" s="109" t="s">
        <v>212</v>
      </c>
      <c r="G1" s="108" t="s">
        <v>213</v>
      </c>
    </row>
    <row r="2" spans="1:7" x14ac:dyDescent="0.2">
      <c r="A2" t="s">
        <v>78</v>
      </c>
      <c r="B2">
        <v>22255103</v>
      </c>
      <c r="C2" t="s">
        <v>191</v>
      </c>
      <c r="D2" s="68">
        <v>52.96</v>
      </c>
      <c r="E2" t="s">
        <v>195</v>
      </c>
      <c r="F2" s="109">
        <v>44200</v>
      </c>
      <c r="G2" s="108">
        <f t="shared" ref="G2:G14" si="0">LEFT(B2,4)*1</f>
        <v>2225</v>
      </c>
    </row>
    <row r="3" spans="1:7" x14ac:dyDescent="0.2">
      <c r="A3" t="s">
        <v>78</v>
      </c>
      <c r="B3">
        <v>41075103</v>
      </c>
      <c r="C3" t="s">
        <v>191</v>
      </c>
      <c r="D3">
        <v>84.15</v>
      </c>
      <c r="E3" t="s">
        <v>195</v>
      </c>
      <c r="F3" s="109">
        <v>44200</v>
      </c>
      <c r="G3" s="108">
        <f t="shared" si="0"/>
        <v>4107</v>
      </c>
    </row>
    <row r="4" spans="1:7" x14ac:dyDescent="0.2">
      <c r="A4" t="s">
        <v>78</v>
      </c>
      <c r="B4">
        <v>41065103</v>
      </c>
      <c r="C4" t="s">
        <v>191</v>
      </c>
      <c r="D4">
        <v>46.93</v>
      </c>
      <c r="E4" t="s">
        <v>195</v>
      </c>
      <c r="F4" s="109">
        <v>44200</v>
      </c>
      <c r="G4" s="108">
        <f t="shared" si="0"/>
        <v>4106</v>
      </c>
    </row>
    <row r="5" spans="1:7" x14ac:dyDescent="0.2">
      <c r="A5" t="s">
        <v>78</v>
      </c>
      <c r="B5">
        <v>41075103</v>
      </c>
      <c r="C5" t="s">
        <v>191</v>
      </c>
      <c r="D5">
        <v>51.46</v>
      </c>
      <c r="E5" t="s">
        <v>195</v>
      </c>
      <c r="F5" s="109">
        <v>44200</v>
      </c>
      <c r="G5" s="108">
        <f t="shared" si="0"/>
        <v>4107</v>
      </c>
    </row>
    <row r="6" spans="1:7" x14ac:dyDescent="0.2">
      <c r="A6" t="s">
        <v>78</v>
      </c>
      <c r="B6">
        <v>41015103</v>
      </c>
      <c r="C6" t="s">
        <v>191</v>
      </c>
      <c r="D6" s="68">
        <v>74.459999999999994</v>
      </c>
      <c r="E6" t="s">
        <v>195</v>
      </c>
      <c r="F6" s="109">
        <v>44200</v>
      </c>
      <c r="G6" s="108">
        <f t="shared" si="0"/>
        <v>4101</v>
      </c>
    </row>
    <row r="7" spans="1:7" x14ac:dyDescent="0.2">
      <c r="A7" t="s">
        <v>78</v>
      </c>
      <c r="B7">
        <v>32285103</v>
      </c>
      <c r="C7" t="s">
        <v>191</v>
      </c>
      <c r="D7" s="68">
        <v>149.94999999999999</v>
      </c>
      <c r="E7" t="s">
        <v>195</v>
      </c>
      <c r="F7" s="109">
        <v>44200</v>
      </c>
      <c r="G7" s="108">
        <f t="shared" si="0"/>
        <v>3228</v>
      </c>
    </row>
    <row r="8" spans="1:7" x14ac:dyDescent="0.2">
      <c r="A8" t="s">
        <v>78</v>
      </c>
      <c r="B8">
        <v>61765103</v>
      </c>
      <c r="C8" t="s">
        <v>191</v>
      </c>
      <c r="D8" s="68">
        <v>142.46</v>
      </c>
      <c r="E8" t="s">
        <v>195</v>
      </c>
      <c r="F8" s="109">
        <v>44200</v>
      </c>
      <c r="G8" s="108">
        <f t="shared" si="0"/>
        <v>6176</v>
      </c>
    </row>
    <row r="9" spans="1:7" x14ac:dyDescent="0.2">
      <c r="A9" t="s">
        <v>78</v>
      </c>
      <c r="B9">
        <v>70785103</v>
      </c>
      <c r="C9" t="s">
        <v>191</v>
      </c>
      <c r="D9" s="68">
        <v>126.12</v>
      </c>
      <c r="E9" t="s">
        <v>195</v>
      </c>
      <c r="F9" s="109">
        <v>44200</v>
      </c>
      <c r="G9" s="108">
        <f t="shared" si="0"/>
        <v>7078</v>
      </c>
    </row>
    <row r="10" spans="1:7" x14ac:dyDescent="0.2">
      <c r="A10" t="s">
        <v>78</v>
      </c>
      <c r="B10">
        <v>70795103</v>
      </c>
      <c r="C10" t="s">
        <v>191</v>
      </c>
      <c r="D10" s="68">
        <v>540.37</v>
      </c>
      <c r="E10" t="s">
        <v>195</v>
      </c>
      <c r="F10" s="109">
        <v>44200</v>
      </c>
      <c r="G10" s="108">
        <f t="shared" si="0"/>
        <v>7079</v>
      </c>
    </row>
    <row r="11" spans="1:7" x14ac:dyDescent="0.2">
      <c r="A11" t="s">
        <v>78</v>
      </c>
      <c r="B11">
        <v>24505103</v>
      </c>
      <c r="C11" t="s">
        <v>191</v>
      </c>
      <c r="D11" s="68">
        <v>25.5</v>
      </c>
      <c r="E11" t="s">
        <v>195</v>
      </c>
      <c r="F11" s="109">
        <v>44200</v>
      </c>
      <c r="G11" s="108">
        <f t="shared" si="0"/>
        <v>2450</v>
      </c>
    </row>
    <row r="12" spans="1:7" x14ac:dyDescent="0.2">
      <c r="A12" t="s">
        <v>78</v>
      </c>
      <c r="B12">
        <v>70645103</v>
      </c>
      <c r="C12" t="s">
        <v>191</v>
      </c>
      <c r="D12" s="68">
        <v>19.95</v>
      </c>
      <c r="E12" t="s">
        <v>195</v>
      </c>
      <c r="F12" s="109">
        <v>44200</v>
      </c>
      <c r="G12" s="108">
        <f t="shared" si="0"/>
        <v>7064</v>
      </c>
    </row>
    <row r="13" spans="1:7" x14ac:dyDescent="0.2">
      <c r="A13" t="s">
        <v>78</v>
      </c>
      <c r="B13">
        <v>81885103</v>
      </c>
      <c r="C13" t="s">
        <v>191</v>
      </c>
      <c r="D13" s="68">
        <v>141</v>
      </c>
      <c r="E13" t="s">
        <v>195</v>
      </c>
      <c r="F13" s="109">
        <v>44200</v>
      </c>
      <c r="G13" s="108">
        <f t="shared" si="0"/>
        <v>8188</v>
      </c>
    </row>
    <row r="14" spans="1:7" x14ac:dyDescent="0.2">
      <c r="A14" t="s">
        <v>78</v>
      </c>
      <c r="B14">
        <v>41005103</v>
      </c>
      <c r="C14" t="s">
        <v>191</v>
      </c>
      <c r="D14" s="68">
        <v>30.78</v>
      </c>
      <c r="E14" t="s">
        <v>195</v>
      </c>
      <c r="F14" s="109">
        <v>44200</v>
      </c>
      <c r="G14" s="108">
        <f t="shared" si="0"/>
        <v>4100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ImportAmexSettlementAfterMonthEnd">
                <anchor>
                  <from>
                    <xdr:col>9</xdr:col>
                    <xdr:colOff>38100</xdr:colOff>
                    <xdr:row>2</xdr:row>
                    <xdr:rowOff>57150</xdr:rowOff>
                  </from>
                  <to>
                    <xdr:col>10</xdr:col>
                    <xdr:colOff>590550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K27"/>
  <sheetViews>
    <sheetView workbookViewId="0"/>
  </sheetViews>
  <sheetFormatPr defaultRowHeight="12.75" x14ac:dyDescent="0.2"/>
  <cols>
    <col min="1" max="11" width="15.7109375" customWidth="1"/>
  </cols>
  <sheetData>
    <row r="1" spans="1:11" x14ac:dyDescent="0.2">
      <c r="A1" s="105" t="s">
        <v>148</v>
      </c>
      <c r="B1" s="105" t="s">
        <v>149</v>
      </c>
      <c r="C1" s="105" t="s">
        <v>0</v>
      </c>
      <c r="D1" s="105" t="s">
        <v>150</v>
      </c>
      <c r="E1" s="105" t="s">
        <v>151</v>
      </c>
      <c r="F1" s="105" t="s">
        <v>152</v>
      </c>
      <c r="G1" s="105" t="s">
        <v>153</v>
      </c>
      <c r="H1" s="105" t="s">
        <v>26</v>
      </c>
      <c r="I1" s="105" t="s">
        <v>154</v>
      </c>
      <c r="J1" s="105" t="s">
        <v>155</v>
      </c>
      <c r="K1" s="105" t="s">
        <v>156</v>
      </c>
    </row>
    <row r="2" spans="1:11" x14ac:dyDescent="0.2">
      <c r="A2" s="55">
        <v>44286.918703703705</v>
      </c>
      <c r="B2" s="55">
        <v>44287.036354166667</v>
      </c>
      <c r="C2" t="s">
        <v>242</v>
      </c>
      <c r="D2" s="55">
        <v>44287</v>
      </c>
      <c r="E2" t="s">
        <v>157</v>
      </c>
      <c r="F2" t="s">
        <v>205</v>
      </c>
      <c r="G2" t="s">
        <v>206</v>
      </c>
      <c r="H2">
        <v>121.96</v>
      </c>
      <c r="I2" t="s">
        <v>247</v>
      </c>
      <c r="J2" t="s">
        <v>207</v>
      </c>
      <c r="K2" s="107" t="s">
        <v>245</v>
      </c>
    </row>
    <row r="3" spans="1:11" x14ac:dyDescent="0.2">
      <c r="A3" s="55">
        <v>44286.918703703705</v>
      </c>
      <c r="B3" s="55">
        <v>44287.036354166667</v>
      </c>
      <c r="C3" t="s">
        <v>242</v>
      </c>
      <c r="D3" s="55">
        <v>44287</v>
      </c>
      <c r="E3" t="s">
        <v>157</v>
      </c>
      <c r="F3" t="s">
        <v>208</v>
      </c>
      <c r="G3" t="s">
        <v>209</v>
      </c>
      <c r="H3">
        <v>-110.87</v>
      </c>
      <c r="I3" t="s">
        <v>246</v>
      </c>
      <c r="J3" t="s">
        <v>210</v>
      </c>
      <c r="K3" s="107" t="s">
        <v>245</v>
      </c>
    </row>
    <row r="4" spans="1:11" x14ac:dyDescent="0.2">
      <c r="A4" s="55">
        <v>44286.918703703705</v>
      </c>
      <c r="B4" s="55">
        <v>44287.036354166667</v>
      </c>
      <c r="C4" t="s">
        <v>242</v>
      </c>
      <c r="D4" s="55">
        <v>44287</v>
      </c>
      <c r="E4" t="s">
        <v>157</v>
      </c>
      <c r="F4" t="s">
        <v>190</v>
      </c>
      <c r="G4" t="s">
        <v>211</v>
      </c>
      <c r="H4">
        <v>-11.09</v>
      </c>
      <c r="I4" t="s">
        <v>244</v>
      </c>
      <c r="J4" t="s">
        <v>190</v>
      </c>
      <c r="K4" t="s">
        <v>245</v>
      </c>
    </row>
    <row r="5" spans="1:11" x14ac:dyDescent="0.2">
      <c r="A5" s="55"/>
      <c r="B5" s="55"/>
      <c r="D5" s="55"/>
    </row>
    <row r="6" spans="1:11" x14ac:dyDescent="0.2">
      <c r="A6" s="55"/>
      <c r="B6" s="55"/>
      <c r="D6" s="55"/>
    </row>
    <row r="7" spans="1:11" x14ac:dyDescent="0.2">
      <c r="A7" s="55"/>
      <c r="B7" s="55"/>
      <c r="D7" s="55"/>
    </row>
    <row r="8" spans="1:11" x14ac:dyDescent="0.2">
      <c r="A8" s="55"/>
      <c r="B8" s="55"/>
      <c r="D8" s="55"/>
    </row>
    <row r="9" spans="1:11" x14ac:dyDescent="0.2">
      <c r="A9" s="55"/>
      <c r="B9" s="55"/>
      <c r="D9" s="55"/>
    </row>
    <row r="10" spans="1:11" x14ac:dyDescent="0.2">
      <c r="A10" s="55"/>
      <c r="B10" s="55"/>
      <c r="D10" s="55"/>
    </row>
    <row r="11" spans="1:11" x14ac:dyDescent="0.2">
      <c r="A11" s="55"/>
      <c r="B11" s="55"/>
      <c r="D11" s="55"/>
    </row>
    <row r="12" spans="1:11" x14ac:dyDescent="0.2">
      <c r="A12" s="55"/>
      <c r="B12" s="55"/>
      <c r="D12" s="55"/>
    </row>
    <row r="13" spans="1:11" x14ac:dyDescent="0.2">
      <c r="A13" s="55"/>
      <c r="B13" s="55"/>
      <c r="D13" s="55"/>
    </row>
    <row r="14" spans="1:11" x14ac:dyDescent="0.2">
      <c r="A14" s="55"/>
      <c r="B14" s="55"/>
      <c r="D14" s="55"/>
    </row>
    <row r="15" spans="1:11" x14ac:dyDescent="0.2">
      <c r="A15" s="55"/>
      <c r="B15" s="55"/>
      <c r="D15" s="55"/>
    </row>
    <row r="16" spans="1:11" x14ac:dyDescent="0.2">
      <c r="A16" s="55"/>
      <c r="B16" s="55"/>
      <c r="D16" s="55"/>
    </row>
    <row r="17" spans="1:4" x14ac:dyDescent="0.2">
      <c r="A17" s="55"/>
      <c r="B17" s="55"/>
      <c r="D17" s="55"/>
    </row>
    <row r="18" spans="1:4" x14ac:dyDescent="0.2">
      <c r="A18" s="55"/>
      <c r="B18" s="55"/>
      <c r="D18" s="55"/>
    </row>
    <row r="19" spans="1:4" x14ac:dyDescent="0.2">
      <c r="A19" s="55"/>
      <c r="B19" s="55"/>
      <c r="D19" s="55"/>
    </row>
    <row r="20" spans="1:4" x14ac:dyDescent="0.2">
      <c r="A20" s="55"/>
      <c r="B20" s="55"/>
      <c r="D20" s="55"/>
    </row>
    <row r="21" spans="1:4" x14ac:dyDescent="0.2">
      <c r="A21" s="55"/>
      <c r="B21" s="55"/>
      <c r="D21" s="55"/>
    </row>
    <row r="22" spans="1:4" x14ac:dyDescent="0.2">
      <c r="A22" s="55"/>
      <c r="B22" s="55"/>
      <c r="D22" s="55"/>
    </row>
    <row r="23" spans="1:4" x14ac:dyDescent="0.2">
      <c r="A23" s="55"/>
      <c r="B23" s="55"/>
      <c r="D23" s="55"/>
    </row>
    <row r="24" spans="1:4" x14ac:dyDescent="0.2">
      <c r="A24" s="55"/>
      <c r="B24" s="55"/>
      <c r="D24" s="55"/>
    </row>
    <row r="25" spans="1:4" x14ac:dyDescent="0.2">
      <c r="A25" s="55"/>
      <c r="B25" s="55"/>
      <c r="D25" s="55"/>
    </row>
    <row r="26" spans="1:4" x14ac:dyDescent="0.2">
      <c r="A26" s="55"/>
      <c r="B26" s="55"/>
      <c r="D26" s="55"/>
    </row>
    <row r="27" spans="1:4" x14ac:dyDescent="0.2">
      <c r="A27" s="55"/>
      <c r="B27" s="55"/>
      <c r="D27" s="5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A70A-49FB-4551-A02D-ABAC81AD2545}">
  <sheetPr codeName="Sheet4"/>
  <dimension ref="A1:J18"/>
  <sheetViews>
    <sheetView workbookViewId="0">
      <selection activeCell="J14" sqref="J14"/>
    </sheetView>
  </sheetViews>
  <sheetFormatPr defaultRowHeight="12.75" x14ac:dyDescent="0.2"/>
  <cols>
    <col min="1" max="1" width="14.7109375" customWidth="1"/>
    <col min="6" max="6" width="9.7109375" bestFit="1" customWidth="1"/>
    <col min="7" max="7" width="10.85546875" bestFit="1" customWidth="1"/>
    <col min="8" max="8" width="21.85546875" customWidth="1"/>
    <col min="9" max="9" width="21.28515625" customWidth="1"/>
    <col min="10" max="10" width="18.5703125" customWidth="1"/>
  </cols>
  <sheetData>
    <row r="1" spans="1:10" x14ac:dyDescent="0.2">
      <c r="A1" s="105" t="s">
        <v>198</v>
      </c>
      <c r="B1" s="105" t="s">
        <v>236</v>
      </c>
      <c r="C1" s="105" t="s">
        <v>237</v>
      </c>
    </row>
    <row r="2" spans="1:10" x14ac:dyDescent="0.2">
      <c r="A2" t="s">
        <v>238</v>
      </c>
      <c r="B2" t="s">
        <v>239</v>
      </c>
      <c r="C2">
        <v>9.9</v>
      </c>
      <c r="H2" s="95" t="s">
        <v>243</v>
      </c>
      <c r="I2" s="106">
        <v>44286</v>
      </c>
    </row>
    <row r="3" spans="1:10" x14ac:dyDescent="0.2">
      <c r="A3" t="s">
        <v>240</v>
      </c>
      <c r="B3" t="s">
        <v>239</v>
      </c>
      <c r="C3">
        <v>167</v>
      </c>
    </row>
    <row r="4" spans="1:10" x14ac:dyDescent="0.2">
      <c r="A4" t="s">
        <v>241</v>
      </c>
      <c r="B4" t="s">
        <v>239</v>
      </c>
      <c r="C4">
        <v>55</v>
      </c>
    </row>
    <row r="5" spans="1:10" x14ac:dyDescent="0.2">
      <c r="A5" t="s">
        <v>242</v>
      </c>
      <c r="B5" t="s">
        <v>239</v>
      </c>
      <c r="C5">
        <v>32.29</v>
      </c>
    </row>
    <row r="10" spans="1:10" ht="65.25" customHeight="1" x14ac:dyDescent="0.2">
      <c r="F10" s="117" t="s">
        <v>220</v>
      </c>
      <c r="G10" s="117" t="s">
        <v>221</v>
      </c>
      <c r="H10" s="118" t="s">
        <v>222</v>
      </c>
      <c r="I10" s="118" t="s">
        <v>223</v>
      </c>
      <c r="J10" s="117" t="s">
        <v>224</v>
      </c>
    </row>
    <row r="11" spans="1:10" x14ac:dyDescent="0.2">
      <c r="F11" s="113">
        <v>2000</v>
      </c>
      <c r="G11" s="113" t="s">
        <v>225</v>
      </c>
      <c r="H11" s="114" t="s">
        <v>229</v>
      </c>
      <c r="I11" s="114" t="s">
        <v>229</v>
      </c>
      <c r="J11" s="115" t="str">
        <f>I11</f>
        <v>19:00:00</v>
      </c>
    </row>
    <row r="12" spans="1:10" x14ac:dyDescent="0.2">
      <c r="F12" s="113">
        <v>3000</v>
      </c>
      <c r="G12" s="113" t="s">
        <v>225</v>
      </c>
      <c r="H12" s="114" t="s">
        <v>229</v>
      </c>
      <c r="I12" s="114" t="s">
        <v>229</v>
      </c>
      <c r="J12" s="115" t="str">
        <f t="shared" ref="J12:J18" si="0">I12</f>
        <v>19:00:00</v>
      </c>
    </row>
    <row r="13" spans="1:10" x14ac:dyDescent="0.2">
      <c r="F13" s="113">
        <v>4000</v>
      </c>
      <c r="G13" s="113" t="s">
        <v>226</v>
      </c>
      <c r="H13" s="116" t="s">
        <v>229</v>
      </c>
      <c r="I13" s="114" t="s">
        <v>230</v>
      </c>
      <c r="J13" s="115" t="str">
        <f t="shared" si="0"/>
        <v>18:00:00</v>
      </c>
    </row>
    <row r="14" spans="1:10" x14ac:dyDescent="0.2">
      <c r="F14" s="113">
        <v>5000</v>
      </c>
      <c r="G14" s="113" t="s">
        <v>227</v>
      </c>
      <c r="H14" s="114" t="s">
        <v>232</v>
      </c>
      <c r="I14" s="114" t="s">
        <v>232</v>
      </c>
      <c r="J14" s="115" t="str">
        <f t="shared" si="0"/>
        <v>18:30:00</v>
      </c>
    </row>
    <row r="15" spans="1:10" x14ac:dyDescent="0.2">
      <c r="F15" s="113">
        <v>6000</v>
      </c>
      <c r="G15" s="113" t="s">
        <v>228</v>
      </c>
      <c r="H15" s="114" t="s">
        <v>233</v>
      </c>
      <c r="I15" s="114" t="s">
        <v>234</v>
      </c>
      <c r="J15" s="115" t="str">
        <f t="shared" si="0"/>
        <v>16:00:00</v>
      </c>
    </row>
    <row r="16" spans="1:10" x14ac:dyDescent="0.2">
      <c r="F16" s="113">
        <v>7000</v>
      </c>
      <c r="G16" s="113" t="s">
        <v>225</v>
      </c>
      <c r="H16" s="114" t="s">
        <v>229</v>
      </c>
      <c r="I16" s="114" t="s">
        <v>229</v>
      </c>
      <c r="J16" s="115" t="str">
        <f t="shared" si="0"/>
        <v>19:00:00</v>
      </c>
    </row>
    <row r="17" spans="6:10" x14ac:dyDescent="0.2">
      <c r="F17" s="113">
        <v>8000</v>
      </c>
      <c r="G17" s="113" t="s">
        <v>231</v>
      </c>
      <c r="H17" s="114" t="s">
        <v>232</v>
      </c>
      <c r="I17" s="114" t="s">
        <v>235</v>
      </c>
      <c r="J17" s="115" t="str">
        <f t="shared" si="0"/>
        <v>17:30:00</v>
      </c>
    </row>
    <row r="18" spans="6:10" x14ac:dyDescent="0.2">
      <c r="F18" s="113">
        <v>9000</v>
      </c>
      <c r="G18" s="113" t="s">
        <v>225</v>
      </c>
      <c r="H18" s="114" t="s">
        <v>229</v>
      </c>
      <c r="I18" s="114" t="s">
        <v>229</v>
      </c>
      <c r="J18" s="115" t="str">
        <f t="shared" si="0"/>
        <v>19:00:00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FetchAmexSalesAfterBankSettlementTime">
                <anchor>
                  <from>
                    <xdr:col>6</xdr:col>
                    <xdr:colOff>152400</xdr:colOff>
                    <xdr:row>3</xdr:row>
                    <xdr:rowOff>9525</xdr:rowOff>
                  </from>
                  <to>
                    <xdr:col>9</xdr:col>
                    <xdr:colOff>619125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E24BA-A03C-4AFC-9985-27124CB3D85A}">
  <sheetPr codeName="Sheet5"/>
  <dimension ref="A1:K191"/>
  <sheetViews>
    <sheetView workbookViewId="0">
      <selection activeCell="G22" sqref="G22"/>
    </sheetView>
  </sheetViews>
  <sheetFormatPr defaultRowHeight="12.75" x14ac:dyDescent="0.2"/>
  <cols>
    <col min="1" max="1" width="10.85546875" bestFit="1" customWidth="1"/>
    <col min="2" max="2" width="21.140625" bestFit="1" customWidth="1"/>
    <col min="3" max="3" width="21.42578125" bestFit="1" customWidth="1"/>
    <col min="4" max="4" width="10.7109375" bestFit="1" customWidth="1"/>
    <col min="5" max="5" width="9.5703125" bestFit="1" customWidth="1"/>
    <col min="6" max="6" width="12.85546875" bestFit="1" customWidth="1"/>
    <col min="7" max="7" width="15.7109375" customWidth="1"/>
    <col min="10" max="10" width="22" customWidth="1"/>
    <col min="11" max="11" width="10.140625" bestFit="1" customWidth="1"/>
  </cols>
  <sheetData>
    <row r="1" spans="1:11" x14ac:dyDescent="0.2">
      <c r="A1" s="105" t="s">
        <v>198</v>
      </c>
      <c r="B1" s="105" t="s">
        <v>199</v>
      </c>
      <c r="C1" s="105" t="s">
        <v>200</v>
      </c>
      <c r="D1" s="105" t="s">
        <v>201</v>
      </c>
      <c r="E1" s="105" t="s">
        <v>202</v>
      </c>
      <c r="F1" s="105" t="s">
        <v>204</v>
      </c>
      <c r="G1" s="105"/>
    </row>
    <row r="2" spans="1:11" x14ac:dyDescent="0.2">
      <c r="C2" s="55"/>
      <c r="G2" s="95"/>
      <c r="J2" s="95" t="s">
        <v>203</v>
      </c>
      <c r="K2" s="106">
        <f>MonthEndDate+1</f>
        <v>44287</v>
      </c>
    </row>
    <row r="3" spans="1:11" x14ac:dyDescent="0.2">
      <c r="C3" s="55"/>
    </row>
    <row r="4" spans="1:11" x14ac:dyDescent="0.2">
      <c r="C4" s="55"/>
    </row>
    <row r="5" spans="1:11" x14ac:dyDescent="0.2">
      <c r="C5" s="55"/>
    </row>
    <row r="6" spans="1:11" x14ac:dyDescent="0.2">
      <c r="C6" s="55"/>
    </row>
    <row r="7" spans="1:11" x14ac:dyDescent="0.2">
      <c r="C7" s="55"/>
    </row>
    <row r="8" spans="1:11" x14ac:dyDescent="0.2">
      <c r="C8" s="55"/>
    </row>
    <row r="9" spans="1:11" x14ac:dyDescent="0.2">
      <c r="C9" s="55"/>
    </row>
    <row r="10" spans="1:11" x14ac:dyDescent="0.2">
      <c r="C10" s="55"/>
    </row>
    <row r="11" spans="1:11" x14ac:dyDescent="0.2">
      <c r="C11" s="55"/>
    </row>
    <row r="12" spans="1:11" x14ac:dyDescent="0.2">
      <c r="C12" s="55"/>
    </row>
    <row r="13" spans="1:11" x14ac:dyDescent="0.2">
      <c r="C13" s="55"/>
    </row>
    <row r="14" spans="1:11" x14ac:dyDescent="0.2">
      <c r="C14" s="55"/>
    </row>
    <row r="15" spans="1:11" x14ac:dyDescent="0.2">
      <c r="C15" s="55"/>
    </row>
    <row r="16" spans="1:11" x14ac:dyDescent="0.2">
      <c r="C16" s="55"/>
    </row>
    <row r="17" spans="3:3" x14ac:dyDescent="0.2">
      <c r="C17" s="55"/>
    </row>
    <row r="18" spans="3:3" x14ac:dyDescent="0.2">
      <c r="C18" s="55"/>
    </row>
    <row r="19" spans="3:3" x14ac:dyDescent="0.2">
      <c r="C19" s="55"/>
    </row>
    <row r="20" spans="3:3" x14ac:dyDescent="0.2">
      <c r="C20" s="55"/>
    </row>
    <row r="21" spans="3:3" x14ac:dyDescent="0.2">
      <c r="C21" s="55"/>
    </row>
    <row r="22" spans="3:3" x14ac:dyDescent="0.2">
      <c r="C22" s="55"/>
    </row>
    <row r="23" spans="3:3" x14ac:dyDescent="0.2">
      <c r="C23" s="55"/>
    </row>
    <row r="24" spans="3:3" x14ac:dyDescent="0.2">
      <c r="C24" s="55"/>
    </row>
    <row r="25" spans="3:3" x14ac:dyDescent="0.2">
      <c r="C25" s="55"/>
    </row>
    <row r="26" spans="3:3" x14ac:dyDescent="0.2">
      <c r="C26" s="55"/>
    </row>
    <row r="27" spans="3:3" x14ac:dyDescent="0.2">
      <c r="C27" s="55"/>
    </row>
    <row r="28" spans="3:3" x14ac:dyDescent="0.2">
      <c r="C28" s="55"/>
    </row>
    <row r="29" spans="3:3" x14ac:dyDescent="0.2">
      <c r="C29" s="55"/>
    </row>
    <row r="30" spans="3:3" x14ac:dyDescent="0.2">
      <c r="C30" s="55"/>
    </row>
    <row r="31" spans="3:3" x14ac:dyDescent="0.2">
      <c r="C31" s="55"/>
    </row>
    <row r="32" spans="3:3" x14ac:dyDescent="0.2">
      <c r="C32" s="55"/>
    </row>
    <row r="33" spans="3:3" x14ac:dyDescent="0.2">
      <c r="C33" s="55"/>
    </row>
    <row r="34" spans="3:3" x14ac:dyDescent="0.2">
      <c r="C34" s="55"/>
    </row>
    <row r="35" spans="3:3" x14ac:dyDescent="0.2">
      <c r="C35" s="55"/>
    </row>
    <row r="36" spans="3:3" x14ac:dyDescent="0.2">
      <c r="C36" s="55"/>
    </row>
    <row r="37" spans="3:3" x14ac:dyDescent="0.2">
      <c r="C37" s="55"/>
    </row>
    <row r="38" spans="3:3" x14ac:dyDescent="0.2">
      <c r="C38" s="55"/>
    </row>
    <row r="39" spans="3:3" x14ac:dyDescent="0.2">
      <c r="C39" s="55"/>
    </row>
    <row r="40" spans="3:3" x14ac:dyDescent="0.2">
      <c r="C40" s="55"/>
    </row>
    <row r="41" spans="3:3" x14ac:dyDescent="0.2">
      <c r="C41" s="55"/>
    </row>
    <row r="42" spans="3:3" x14ac:dyDescent="0.2">
      <c r="C42" s="55"/>
    </row>
    <row r="43" spans="3:3" x14ac:dyDescent="0.2">
      <c r="C43" s="55"/>
    </row>
    <row r="44" spans="3:3" x14ac:dyDescent="0.2">
      <c r="C44" s="55"/>
    </row>
    <row r="45" spans="3:3" x14ac:dyDescent="0.2">
      <c r="C45" s="55"/>
    </row>
    <row r="46" spans="3:3" x14ac:dyDescent="0.2">
      <c r="C46" s="55"/>
    </row>
    <row r="47" spans="3:3" x14ac:dyDescent="0.2">
      <c r="C47" s="55"/>
    </row>
    <row r="48" spans="3:3" x14ac:dyDescent="0.2">
      <c r="C48" s="55"/>
    </row>
    <row r="49" spans="3:3" x14ac:dyDescent="0.2">
      <c r="C49" s="55"/>
    </row>
    <row r="50" spans="3:3" x14ac:dyDescent="0.2">
      <c r="C50" s="55"/>
    </row>
    <row r="51" spans="3:3" x14ac:dyDescent="0.2">
      <c r="C51" s="55"/>
    </row>
    <row r="52" spans="3:3" x14ac:dyDescent="0.2">
      <c r="C52" s="55"/>
    </row>
    <row r="53" spans="3:3" x14ac:dyDescent="0.2">
      <c r="C53" s="55"/>
    </row>
    <row r="54" spans="3:3" x14ac:dyDescent="0.2">
      <c r="C54" s="55"/>
    </row>
    <row r="55" spans="3:3" x14ac:dyDescent="0.2">
      <c r="C55" s="55"/>
    </row>
    <row r="56" spans="3:3" x14ac:dyDescent="0.2">
      <c r="C56" s="55"/>
    </row>
    <row r="57" spans="3:3" x14ac:dyDescent="0.2">
      <c r="C57" s="55"/>
    </row>
    <row r="58" spans="3:3" x14ac:dyDescent="0.2">
      <c r="C58" s="55"/>
    </row>
    <row r="59" spans="3:3" x14ac:dyDescent="0.2">
      <c r="C59" s="55"/>
    </row>
    <row r="60" spans="3:3" x14ac:dyDescent="0.2">
      <c r="C60" s="55"/>
    </row>
    <row r="61" spans="3:3" x14ac:dyDescent="0.2">
      <c r="C61" s="55"/>
    </row>
    <row r="62" spans="3:3" x14ac:dyDescent="0.2">
      <c r="C62" s="55"/>
    </row>
    <row r="63" spans="3:3" x14ac:dyDescent="0.2">
      <c r="C63" s="55"/>
    </row>
    <row r="64" spans="3:3" x14ac:dyDescent="0.2">
      <c r="C64" s="55"/>
    </row>
    <row r="65" spans="3:3" x14ac:dyDescent="0.2">
      <c r="C65" s="55"/>
    </row>
    <row r="66" spans="3:3" x14ac:dyDescent="0.2">
      <c r="C66" s="55"/>
    </row>
    <row r="67" spans="3:3" x14ac:dyDescent="0.2">
      <c r="C67" s="55"/>
    </row>
    <row r="68" spans="3:3" x14ac:dyDescent="0.2">
      <c r="C68" s="55"/>
    </row>
    <row r="69" spans="3:3" x14ac:dyDescent="0.2">
      <c r="C69" s="55"/>
    </row>
    <row r="70" spans="3:3" x14ac:dyDescent="0.2">
      <c r="C70" s="55"/>
    </row>
    <row r="71" spans="3:3" x14ac:dyDescent="0.2">
      <c r="C71" s="55"/>
    </row>
    <row r="72" spans="3:3" x14ac:dyDescent="0.2">
      <c r="C72" s="55"/>
    </row>
    <row r="73" spans="3:3" x14ac:dyDescent="0.2">
      <c r="C73" s="55"/>
    </row>
    <row r="74" spans="3:3" x14ac:dyDescent="0.2">
      <c r="C74" s="55"/>
    </row>
    <row r="75" spans="3:3" x14ac:dyDescent="0.2">
      <c r="C75" s="55"/>
    </row>
    <row r="76" spans="3:3" x14ac:dyDescent="0.2">
      <c r="C76" s="55"/>
    </row>
    <row r="77" spans="3:3" x14ac:dyDescent="0.2">
      <c r="C77" s="55"/>
    </row>
    <row r="78" spans="3:3" x14ac:dyDescent="0.2">
      <c r="C78" s="55"/>
    </row>
    <row r="79" spans="3:3" x14ac:dyDescent="0.2">
      <c r="C79" s="55"/>
    </row>
    <row r="80" spans="3:3" x14ac:dyDescent="0.2">
      <c r="C80" s="55"/>
    </row>
    <row r="81" spans="3:3" x14ac:dyDescent="0.2">
      <c r="C81" s="55"/>
    </row>
    <row r="82" spans="3:3" x14ac:dyDescent="0.2">
      <c r="C82" s="55"/>
    </row>
    <row r="83" spans="3:3" x14ac:dyDescent="0.2">
      <c r="C83" s="55"/>
    </row>
    <row r="84" spans="3:3" x14ac:dyDescent="0.2">
      <c r="C84" s="55"/>
    </row>
    <row r="85" spans="3:3" x14ac:dyDescent="0.2">
      <c r="C85" s="55"/>
    </row>
    <row r="86" spans="3:3" x14ac:dyDescent="0.2">
      <c r="C86" s="55"/>
    </row>
    <row r="87" spans="3:3" x14ac:dyDescent="0.2">
      <c r="C87" s="55"/>
    </row>
    <row r="88" spans="3:3" x14ac:dyDescent="0.2">
      <c r="C88" s="55"/>
    </row>
    <row r="89" spans="3:3" x14ac:dyDescent="0.2">
      <c r="C89" s="55"/>
    </row>
    <row r="90" spans="3:3" x14ac:dyDescent="0.2">
      <c r="C90" s="55"/>
    </row>
    <row r="91" spans="3:3" x14ac:dyDescent="0.2">
      <c r="C91" s="55"/>
    </row>
    <row r="92" spans="3:3" x14ac:dyDescent="0.2">
      <c r="C92" s="55"/>
    </row>
    <row r="93" spans="3:3" x14ac:dyDescent="0.2">
      <c r="C93" s="55"/>
    </row>
    <row r="94" spans="3:3" x14ac:dyDescent="0.2">
      <c r="C94" s="55"/>
    </row>
    <row r="95" spans="3:3" x14ac:dyDescent="0.2">
      <c r="C95" s="55"/>
    </row>
    <row r="96" spans="3:3" x14ac:dyDescent="0.2">
      <c r="C96" s="55"/>
    </row>
    <row r="97" spans="3:3" x14ac:dyDescent="0.2">
      <c r="C97" s="55"/>
    </row>
    <row r="98" spans="3:3" x14ac:dyDescent="0.2">
      <c r="C98" s="55"/>
    </row>
    <row r="99" spans="3:3" x14ac:dyDescent="0.2">
      <c r="C99" s="55"/>
    </row>
    <row r="100" spans="3:3" x14ac:dyDescent="0.2">
      <c r="C100" s="55"/>
    </row>
    <row r="101" spans="3:3" x14ac:dyDescent="0.2">
      <c r="C101" s="55"/>
    </row>
    <row r="102" spans="3:3" x14ac:dyDescent="0.2">
      <c r="C102" s="55"/>
    </row>
    <row r="103" spans="3:3" x14ac:dyDescent="0.2">
      <c r="C103" s="55"/>
    </row>
    <row r="104" spans="3:3" x14ac:dyDescent="0.2">
      <c r="C104" s="55"/>
    </row>
    <row r="105" spans="3:3" x14ac:dyDescent="0.2">
      <c r="C105" s="55"/>
    </row>
    <row r="106" spans="3:3" x14ac:dyDescent="0.2">
      <c r="C106" s="55"/>
    </row>
    <row r="107" spans="3:3" x14ac:dyDescent="0.2">
      <c r="C107" s="55"/>
    </row>
    <row r="108" spans="3:3" x14ac:dyDescent="0.2">
      <c r="C108" s="55"/>
    </row>
    <row r="109" spans="3:3" x14ac:dyDescent="0.2">
      <c r="C109" s="55"/>
    </row>
    <row r="110" spans="3:3" x14ac:dyDescent="0.2">
      <c r="C110" s="55"/>
    </row>
    <row r="111" spans="3:3" x14ac:dyDescent="0.2">
      <c r="C111" s="55"/>
    </row>
    <row r="112" spans="3:3" x14ac:dyDescent="0.2">
      <c r="C112" s="55"/>
    </row>
    <row r="113" spans="3:3" x14ac:dyDescent="0.2">
      <c r="C113" s="55"/>
    </row>
    <row r="114" spans="3:3" x14ac:dyDescent="0.2">
      <c r="C114" s="55"/>
    </row>
    <row r="115" spans="3:3" x14ac:dyDescent="0.2">
      <c r="C115" s="55"/>
    </row>
    <row r="116" spans="3:3" x14ac:dyDescent="0.2">
      <c r="C116" s="55"/>
    </row>
    <row r="117" spans="3:3" x14ac:dyDescent="0.2">
      <c r="C117" s="55"/>
    </row>
    <row r="118" spans="3:3" x14ac:dyDescent="0.2">
      <c r="C118" s="55"/>
    </row>
    <row r="119" spans="3:3" x14ac:dyDescent="0.2">
      <c r="C119" s="55"/>
    </row>
    <row r="120" spans="3:3" x14ac:dyDescent="0.2">
      <c r="C120" s="55"/>
    </row>
    <row r="121" spans="3:3" x14ac:dyDescent="0.2">
      <c r="C121" s="55"/>
    </row>
    <row r="122" spans="3:3" x14ac:dyDescent="0.2">
      <c r="C122" s="55"/>
    </row>
    <row r="123" spans="3:3" x14ac:dyDescent="0.2">
      <c r="C123" s="55"/>
    </row>
    <row r="124" spans="3:3" x14ac:dyDescent="0.2">
      <c r="C124" s="55"/>
    </row>
    <row r="125" spans="3:3" x14ac:dyDescent="0.2">
      <c r="C125" s="55"/>
    </row>
    <row r="126" spans="3:3" x14ac:dyDescent="0.2">
      <c r="C126" s="55"/>
    </row>
    <row r="127" spans="3:3" x14ac:dyDescent="0.2">
      <c r="C127" s="55"/>
    </row>
    <row r="128" spans="3:3" x14ac:dyDescent="0.2">
      <c r="C128" s="55"/>
    </row>
    <row r="129" spans="3:3" x14ac:dyDescent="0.2">
      <c r="C129" s="55"/>
    </row>
    <row r="130" spans="3:3" x14ac:dyDescent="0.2">
      <c r="C130" s="55"/>
    </row>
    <row r="131" spans="3:3" x14ac:dyDescent="0.2">
      <c r="C131" s="55"/>
    </row>
    <row r="132" spans="3:3" x14ac:dyDescent="0.2">
      <c r="C132" s="55"/>
    </row>
    <row r="133" spans="3:3" x14ac:dyDescent="0.2">
      <c r="C133" s="55"/>
    </row>
    <row r="134" spans="3:3" x14ac:dyDescent="0.2">
      <c r="C134" s="55"/>
    </row>
    <row r="135" spans="3:3" x14ac:dyDescent="0.2">
      <c r="C135" s="55"/>
    </row>
    <row r="136" spans="3:3" x14ac:dyDescent="0.2">
      <c r="C136" s="55"/>
    </row>
    <row r="137" spans="3:3" x14ac:dyDescent="0.2">
      <c r="C137" s="55"/>
    </row>
    <row r="138" spans="3:3" x14ac:dyDescent="0.2">
      <c r="C138" s="55"/>
    </row>
    <row r="139" spans="3:3" x14ac:dyDescent="0.2">
      <c r="C139" s="55"/>
    </row>
    <row r="140" spans="3:3" x14ac:dyDescent="0.2">
      <c r="C140" s="55"/>
    </row>
    <row r="141" spans="3:3" x14ac:dyDescent="0.2">
      <c r="C141" s="55"/>
    </row>
    <row r="142" spans="3:3" x14ac:dyDescent="0.2">
      <c r="C142" s="55"/>
    </row>
    <row r="143" spans="3:3" x14ac:dyDescent="0.2">
      <c r="C143" s="55"/>
    </row>
    <row r="144" spans="3:3" x14ac:dyDescent="0.2">
      <c r="C144" s="55"/>
    </row>
    <row r="145" spans="3:3" x14ac:dyDescent="0.2">
      <c r="C145" s="55"/>
    </row>
    <row r="146" spans="3:3" x14ac:dyDescent="0.2">
      <c r="C146" s="55"/>
    </row>
    <row r="147" spans="3:3" x14ac:dyDescent="0.2">
      <c r="C147" s="55"/>
    </row>
    <row r="148" spans="3:3" x14ac:dyDescent="0.2">
      <c r="C148" s="55"/>
    </row>
    <row r="149" spans="3:3" x14ac:dyDescent="0.2">
      <c r="C149" s="55"/>
    </row>
    <row r="150" spans="3:3" x14ac:dyDescent="0.2">
      <c r="C150" s="55"/>
    </row>
    <row r="151" spans="3:3" x14ac:dyDescent="0.2">
      <c r="C151" s="55"/>
    </row>
    <row r="152" spans="3:3" x14ac:dyDescent="0.2">
      <c r="C152" s="55"/>
    </row>
    <row r="153" spans="3:3" x14ac:dyDescent="0.2">
      <c r="C153" s="55"/>
    </row>
    <row r="154" spans="3:3" x14ac:dyDescent="0.2">
      <c r="C154" s="55"/>
    </row>
    <row r="155" spans="3:3" x14ac:dyDescent="0.2">
      <c r="C155" s="55"/>
    </row>
    <row r="156" spans="3:3" x14ac:dyDescent="0.2">
      <c r="C156" s="55"/>
    </row>
    <row r="157" spans="3:3" x14ac:dyDescent="0.2">
      <c r="C157" s="55"/>
    </row>
    <row r="158" spans="3:3" x14ac:dyDescent="0.2">
      <c r="C158" s="55"/>
    </row>
    <row r="159" spans="3:3" x14ac:dyDescent="0.2">
      <c r="C159" s="55"/>
    </row>
    <row r="160" spans="3:3" x14ac:dyDescent="0.2">
      <c r="C160" s="55"/>
    </row>
    <row r="161" spans="3:3" x14ac:dyDescent="0.2">
      <c r="C161" s="55"/>
    </row>
    <row r="162" spans="3:3" x14ac:dyDescent="0.2">
      <c r="C162" s="55"/>
    </row>
    <row r="163" spans="3:3" x14ac:dyDescent="0.2">
      <c r="C163" s="55"/>
    </row>
    <row r="164" spans="3:3" x14ac:dyDescent="0.2">
      <c r="C164" s="55"/>
    </row>
    <row r="165" spans="3:3" x14ac:dyDescent="0.2">
      <c r="C165" s="55"/>
    </row>
    <row r="166" spans="3:3" x14ac:dyDescent="0.2">
      <c r="C166" s="55"/>
    </row>
    <row r="167" spans="3:3" x14ac:dyDescent="0.2">
      <c r="C167" s="55"/>
    </row>
    <row r="168" spans="3:3" x14ac:dyDescent="0.2">
      <c r="C168" s="55"/>
    </row>
    <row r="169" spans="3:3" x14ac:dyDescent="0.2">
      <c r="C169" s="55"/>
    </row>
    <row r="170" spans="3:3" x14ac:dyDescent="0.2">
      <c r="C170" s="55"/>
    </row>
    <row r="171" spans="3:3" x14ac:dyDescent="0.2">
      <c r="C171" s="55"/>
    </row>
    <row r="172" spans="3:3" x14ac:dyDescent="0.2">
      <c r="C172" s="55"/>
    </row>
    <row r="173" spans="3:3" x14ac:dyDescent="0.2">
      <c r="C173" s="55"/>
    </row>
    <row r="174" spans="3:3" x14ac:dyDescent="0.2">
      <c r="C174" s="55"/>
    </row>
    <row r="175" spans="3:3" x14ac:dyDescent="0.2">
      <c r="C175" s="55"/>
    </row>
    <row r="176" spans="3:3" x14ac:dyDescent="0.2">
      <c r="C176" s="55"/>
    </row>
    <row r="177" spans="3:3" x14ac:dyDescent="0.2">
      <c r="C177" s="55"/>
    </row>
    <row r="178" spans="3:3" x14ac:dyDescent="0.2">
      <c r="C178" s="55"/>
    </row>
    <row r="179" spans="3:3" x14ac:dyDescent="0.2">
      <c r="C179" s="55"/>
    </row>
    <row r="180" spans="3:3" x14ac:dyDescent="0.2">
      <c r="C180" s="55"/>
    </row>
    <row r="181" spans="3:3" x14ac:dyDescent="0.2">
      <c r="C181" s="55"/>
    </row>
    <row r="182" spans="3:3" x14ac:dyDescent="0.2">
      <c r="C182" s="55"/>
    </row>
    <row r="183" spans="3:3" x14ac:dyDescent="0.2">
      <c r="C183" s="55"/>
    </row>
    <row r="184" spans="3:3" x14ac:dyDescent="0.2">
      <c r="C184" s="55"/>
    </row>
    <row r="185" spans="3:3" x14ac:dyDescent="0.2">
      <c r="C185" s="55"/>
    </row>
    <row r="186" spans="3:3" x14ac:dyDescent="0.2">
      <c r="C186" s="55"/>
    </row>
    <row r="187" spans="3:3" x14ac:dyDescent="0.2">
      <c r="C187" s="55"/>
    </row>
    <row r="188" spans="3:3" x14ac:dyDescent="0.2">
      <c r="C188" s="55"/>
    </row>
    <row r="189" spans="3:3" x14ac:dyDescent="0.2">
      <c r="C189" s="55"/>
    </row>
    <row r="190" spans="3:3" x14ac:dyDescent="0.2">
      <c r="C190" s="55"/>
    </row>
    <row r="191" spans="3:3" x14ac:dyDescent="0.2">
      <c r="C191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FectchAmexSalesinMidnightDrawer">
                <anchor>
                  <from>
                    <xdr:col>9</xdr:col>
                    <xdr:colOff>247650</xdr:colOff>
                    <xdr:row>3</xdr:row>
                    <xdr:rowOff>57150</xdr:rowOff>
                  </from>
                  <to>
                    <xdr:col>9</xdr:col>
                    <xdr:colOff>1304925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CategorizeAmexSalesInMidNightDrawers">
                <anchor>
                  <from>
                    <xdr:col>9</xdr:col>
                    <xdr:colOff>247650</xdr:colOff>
                    <xdr:row>11</xdr:row>
                    <xdr:rowOff>57150</xdr:rowOff>
                  </from>
                  <to>
                    <xdr:col>9</xdr:col>
                    <xdr:colOff>1304925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FectchAmexSalesinMidnightDrawer">
                <anchor>
                  <from>
                    <xdr:col>11</xdr:col>
                    <xdr:colOff>0</xdr:colOff>
                    <xdr:row>4</xdr:row>
                    <xdr:rowOff>57150</xdr:rowOff>
                  </from>
                  <to>
                    <xdr:col>12</xdr:col>
                    <xdr:colOff>447675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U103"/>
  <sheetViews>
    <sheetView zoomScaleNormal="100" workbookViewId="0">
      <pane xSplit="3" ySplit="1" topLeftCell="D57" activePane="bottomRight" state="frozen"/>
      <selection pane="topRight" activeCell="C1" sqref="C1"/>
      <selection pane="bottomLeft" activeCell="A4" sqref="A4"/>
      <selection pane="bottomRight" activeCell="C83" sqref="C82:C83"/>
    </sheetView>
  </sheetViews>
  <sheetFormatPr defaultColWidth="9" defaultRowHeight="12.75" x14ac:dyDescent="0.2"/>
  <cols>
    <col min="1" max="2" width="9" style="1"/>
    <col min="3" max="3" width="25" style="1" bestFit="1" customWidth="1"/>
    <col min="4" max="4" width="14" style="4" customWidth="1"/>
    <col min="5" max="5" width="12.28515625" style="4" customWidth="1"/>
    <col min="6" max="6" width="11.42578125" style="4" customWidth="1"/>
    <col min="7" max="7" width="15.85546875" style="4" customWidth="1"/>
    <col min="8" max="8" width="15" style="1" customWidth="1"/>
    <col min="9" max="9" width="11.5703125" style="4" customWidth="1"/>
    <col min="10" max="10" width="14" style="1" customWidth="1"/>
    <col min="11" max="11" width="16.28515625" style="1" customWidth="1"/>
    <col min="12" max="12" width="10.28515625" style="1" customWidth="1"/>
    <col min="13" max="13" width="14" style="1" hidden="1" customWidth="1"/>
    <col min="14" max="14" width="9" style="1" hidden="1" customWidth="1"/>
    <col min="15" max="15" width="11.5703125" style="1" hidden="1" customWidth="1"/>
    <col min="16" max="16" width="9" style="1" hidden="1" customWidth="1"/>
    <col min="17" max="17" width="9" style="10" hidden="1" customWidth="1"/>
    <col min="18" max="18" width="31.140625" style="76" customWidth="1"/>
    <col min="19" max="19" width="6" style="1" bestFit="1" customWidth="1"/>
    <col min="20" max="16384" width="9" style="1"/>
  </cols>
  <sheetData>
    <row r="1" spans="1:18" ht="38.65" customHeight="1" x14ac:dyDescent="0.2">
      <c r="A1" s="56" t="s">
        <v>144</v>
      </c>
      <c r="B1" s="56" t="s">
        <v>143</v>
      </c>
      <c r="C1" s="56" t="s">
        <v>0</v>
      </c>
      <c r="D1" s="90" t="s">
        <v>135</v>
      </c>
      <c r="E1" s="90" t="s">
        <v>136</v>
      </c>
      <c r="F1" s="90" t="s">
        <v>137</v>
      </c>
      <c r="G1" s="90" t="s">
        <v>97</v>
      </c>
      <c r="H1" s="59" t="s">
        <v>172</v>
      </c>
      <c r="I1" s="90" t="s">
        <v>55</v>
      </c>
      <c r="J1" s="57" t="s">
        <v>176</v>
      </c>
      <c r="K1" s="57" t="s">
        <v>96</v>
      </c>
      <c r="L1" s="58" t="s">
        <v>54</v>
      </c>
      <c r="M1" s="5"/>
      <c r="O1" s="6" t="s">
        <v>77</v>
      </c>
      <c r="P1" s="5"/>
      <c r="Q1" s="11"/>
      <c r="R1" s="72" t="s">
        <v>187</v>
      </c>
    </row>
    <row r="2" spans="1:18" ht="15" x14ac:dyDescent="0.25">
      <c r="A2" s="1">
        <v>2004</v>
      </c>
      <c r="B2" s="7">
        <v>2004</v>
      </c>
      <c r="C2" s="48" t="s">
        <v>50</v>
      </c>
      <c r="D2" s="110">
        <f>IFERROR(VLOOKUP(C2,'5103 Opening Balance'!A:B,2,FALSE),0)</f>
        <v>0</v>
      </c>
      <c r="E2" s="110">
        <f>IFERROR(VLOOKUP(C2,'5103'!A:B,2,FALSE),0)</f>
        <v>0</v>
      </c>
      <c r="F2" s="91">
        <f>D2+E2</f>
        <v>0</v>
      </c>
      <c r="G2" s="111">
        <f>SUMIFS('Amex Sales in MidnightDrawer'!F:F,'Amex Sales in MidnightDrawer'!A:A,'Summary before PDE write-offs'!B2,'Amex Sales in MidnightDrawer'!G:G,"Before Midnight")</f>
        <v>0</v>
      </c>
      <c r="H2" s="8"/>
      <c r="I2" s="93">
        <f>SUM(F2:H2)</f>
        <v>0</v>
      </c>
      <c r="J2" s="9">
        <f>SUMIF('Amex Receipted On the 1st'!G:G,'Summary before PDE write-offs'!A2,'Amex Receipted On the 1st'!D:D)+SUMIF('Amex Sale after 7pm Syd Time'!A:A,'Summary before PDE write-offs'!B2,'Amex Sale after 7pm Syd Time'!C:C)</f>
        <v>0</v>
      </c>
      <c r="K2" s="9"/>
      <c r="L2" s="31">
        <f>I2-J2</f>
        <v>0</v>
      </c>
      <c r="M2" s="2"/>
      <c r="O2" s="4">
        <f>J2-I2</f>
        <v>0</v>
      </c>
      <c r="P2" s="4" t="str">
        <f t="shared" ref="P2:P48" si="0">LEFT(C2,4)</f>
        <v>2004</v>
      </c>
      <c r="Q2" s="10">
        <v>5103</v>
      </c>
      <c r="R2" s="73"/>
    </row>
    <row r="3" spans="1:18" ht="15" x14ac:dyDescent="0.25">
      <c r="A3" s="1">
        <v>2009</v>
      </c>
      <c r="B3" s="7">
        <v>2009</v>
      </c>
      <c r="C3" s="48" t="s">
        <v>51</v>
      </c>
      <c r="D3" s="110">
        <f>IFERROR(VLOOKUP(C3,'5103 Opening Balance'!A:B,2,FALSE),0)</f>
        <v>0</v>
      </c>
      <c r="E3" s="110">
        <f>IFERROR(VLOOKUP(C3,'5103'!A:B,2,FALSE),0)</f>
        <v>0</v>
      </c>
      <c r="F3" s="91">
        <f t="shared" ref="F3:F6" si="1">D3+E3</f>
        <v>0</v>
      </c>
      <c r="G3" s="111">
        <f>SUMIFS('Amex Sales in MidnightDrawer'!F:F,'Amex Sales in MidnightDrawer'!A:A,'Summary before PDE write-offs'!B3,'Amex Sales in MidnightDrawer'!G:G,"Before Midnight")</f>
        <v>0</v>
      </c>
      <c r="H3" s="8"/>
      <c r="I3" s="93">
        <f t="shared" ref="I3:I67" si="2">SUM(F3:H3)</f>
        <v>0</v>
      </c>
      <c r="J3" s="9">
        <f>SUMIF('Amex Receipted On the 1st'!G:G,'Summary before PDE write-offs'!A3,'Amex Receipted On the 1st'!D:D)+SUMIF('Amex Sale after 7pm Syd Time'!A:A,'Summary before PDE write-offs'!B3,'Amex Sale after 7pm Syd Time'!C:C)</f>
        <v>0</v>
      </c>
      <c r="K3" s="9"/>
      <c r="L3" s="31">
        <f t="shared" ref="L3:L6" si="3">I3-J3</f>
        <v>0</v>
      </c>
      <c r="M3" s="2"/>
      <c r="O3" s="4">
        <f t="shared" ref="O3:O74" si="4">J3-I3</f>
        <v>0</v>
      </c>
      <c r="P3" s="4" t="str">
        <f t="shared" si="0"/>
        <v>2009</v>
      </c>
      <c r="Q3" s="10">
        <v>5103</v>
      </c>
      <c r="R3" s="73"/>
    </row>
    <row r="4" spans="1:18" ht="15" x14ac:dyDescent="0.25">
      <c r="A4" s="1">
        <v>2012</v>
      </c>
      <c r="B4" s="7">
        <v>2121</v>
      </c>
      <c r="C4" s="48" t="s">
        <v>1</v>
      </c>
      <c r="D4" s="110">
        <f>IFERROR(VLOOKUP(C4,'5103 Opening Balance'!A:B,2,FALSE),0)</f>
        <v>0</v>
      </c>
      <c r="E4" s="110">
        <f>IFERROR(VLOOKUP(C4,'5103'!A:B,2,FALSE),0)</f>
        <v>0</v>
      </c>
      <c r="F4" s="91">
        <f t="shared" si="1"/>
        <v>0</v>
      </c>
      <c r="G4" s="111">
        <f>SUMIFS('Amex Sales in MidnightDrawer'!F:F,'Amex Sales in MidnightDrawer'!A:A,'Summary before PDE write-offs'!B4,'Amex Sales in MidnightDrawer'!G:G,"Before Midnight")</f>
        <v>0</v>
      </c>
      <c r="H4" s="8"/>
      <c r="I4" s="93">
        <f t="shared" si="2"/>
        <v>0</v>
      </c>
      <c r="J4" s="9">
        <f>SUMIF('Amex Receipted On the 1st'!G:G,'Summary before PDE write-offs'!A4,'Amex Receipted On the 1st'!D:D)+SUMIF('Amex Sale after 7pm Syd Time'!A:A,'Summary before PDE write-offs'!B4,'Amex Sale after 7pm Syd Time'!C:C)</f>
        <v>0</v>
      </c>
      <c r="K4" s="9"/>
      <c r="L4" s="31">
        <f>I4-J4</f>
        <v>0</v>
      </c>
      <c r="M4" s="2"/>
      <c r="O4" s="4">
        <f>J4-I4</f>
        <v>0</v>
      </c>
      <c r="P4" s="4" t="str">
        <f t="shared" si="0"/>
        <v>2012</v>
      </c>
      <c r="Q4" s="10">
        <v>5103</v>
      </c>
      <c r="R4" s="73"/>
    </row>
    <row r="5" spans="1:18" ht="15" x14ac:dyDescent="0.25">
      <c r="A5" s="1">
        <v>2013</v>
      </c>
      <c r="B5" s="7">
        <v>2133</v>
      </c>
      <c r="C5" s="48" t="s">
        <v>2</v>
      </c>
      <c r="D5" s="110">
        <f>IFERROR(VLOOKUP(C5,'5103 Opening Balance'!A:B,2,FALSE),0)</f>
        <v>0</v>
      </c>
      <c r="E5" s="110">
        <f>IFERROR(VLOOKUP(C5,'5103'!A:B,2,FALSE),0)</f>
        <v>0</v>
      </c>
      <c r="F5" s="91">
        <f t="shared" si="1"/>
        <v>0</v>
      </c>
      <c r="G5" s="111">
        <f>SUMIFS('Amex Sales in MidnightDrawer'!F:F,'Amex Sales in MidnightDrawer'!A:A,'Summary before PDE write-offs'!B5,'Amex Sales in MidnightDrawer'!G:G,"Before Midnight")</f>
        <v>0</v>
      </c>
      <c r="H5" s="8"/>
      <c r="I5" s="93">
        <f t="shared" si="2"/>
        <v>0</v>
      </c>
      <c r="J5" s="9">
        <f>SUMIF('Amex Receipted On the 1st'!G:G,'Summary before PDE write-offs'!A5,'Amex Receipted On the 1st'!D:D)+SUMIF('Amex Sale after 7pm Syd Time'!A:A,'Summary before PDE write-offs'!B5,'Amex Sale after 7pm Syd Time'!C:C)</f>
        <v>0</v>
      </c>
      <c r="K5" s="9"/>
      <c r="L5" s="31">
        <f t="shared" si="3"/>
        <v>0</v>
      </c>
      <c r="M5" s="2"/>
      <c r="O5" s="4">
        <f t="shared" si="4"/>
        <v>0</v>
      </c>
      <c r="P5" s="4" t="str">
        <f t="shared" si="0"/>
        <v>2013</v>
      </c>
      <c r="Q5" s="10">
        <v>5103</v>
      </c>
      <c r="R5" s="73"/>
    </row>
    <row r="6" spans="1:18" ht="15" x14ac:dyDescent="0.25">
      <c r="A6" s="1">
        <v>2105</v>
      </c>
      <c r="B6" s="7">
        <v>2105</v>
      </c>
      <c r="C6" s="48" t="s">
        <v>104</v>
      </c>
      <c r="D6" s="110">
        <f>IFERROR(VLOOKUP(C6,'5103 Opening Balance'!A:B,2,FALSE),0)</f>
        <v>0</v>
      </c>
      <c r="E6" s="110">
        <f>IFERROR(VLOOKUP(C6,'5103'!A:B,2,FALSE),0)</f>
        <v>0</v>
      </c>
      <c r="F6" s="91">
        <f t="shared" si="1"/>
        <v>0</v>
      </c>
      <c r="G6" s="111">
        <f>SUMIFS('Amex Sales in MidnightDrawer'!F:F,'Amex Sales in MidnightDrawer'!A:A,'Summary before PDE write-offs'!B6,'Amex Sales in MidnightDrawer'!G:G,"Before Midnight")</f>
        <v>0</v>
      </c>
      <c r="H6" s="8"/>
      <c r="I6" s="93">
        <f t="shared" si="2"/>
        <v>0</v>
      </c>
      <c r="J6" s="9">
        <f>SUMIF('Amex Receipted On the 1st'!G:G,'Summary before PDE write-offs'!A6,'Amex Receipted On the 1st'!D:D)+SUMIF('Amex Sale after 7pm Syd Time'!A:A,'Summary before PDE write-offs'!B6,'Amex Sale after 7pm Syd Time'!C:C)</f>
        <v>0</v>
      </c>
      <c r="K6" s="9"/>
      <c r="L6" s="31">
        <f t="shared" si="3"/>
        <v>0</v>
      </c>
      <c r="M6" s="2"/>
      <c r="O6" s="4">
        <f t="shared" si="4"/>
        <v>0</v>
      </c>
      <c r="P6" s="4" t="str">
        <f t="shared" si="0"/>
        <v>2105</v>
      </c>
      <c r="Q6" s="10">
        <v>5103</v>
      </c>
      <c r="R6" s="73"/>
    </row>
    <row r="7" spans="1:18" ht="15" x14ac:dyDescent="0.25">
      <c r="A7" s="1">
        <v>2106</v>
      </c>
      <c r="B7" s="7">
        <v>2106</v>
      </c>
      <c r="C7" s="60" t="s">
        <v>140</v>
      </c>
      <c r="D7" s="110">
        <f>IFERROR(VLOOKUP(C7,'5103 Opening Balance'!A:B,2,FALSE),0)</f>
        <v>0</v>
      </c>
      <c r="E7" s="110">
        <f>IFERROR(VLOOKUP(C7,'5103'!A:B,2,FALSE),0)</f>
        <v>0</v>
      </c>
      <c r="F7" s="91">
        <f t="shared" ref="F7:F74" si="5">D7+E7</f>
        <v>0</v>
      </c>
      <c r="G7" s="111">
        <f>SUMIFS('Amex Sales in MidnightDrawer'!F:F,'Amex Sales in MidnightDrawer'!A:A,'Summary before PDE write-offs'!B7,'Amex Sales in MidnightDrawer'!G:G,"Before Midnight")</f>
        <v>0</v>
      </c>
      <c r="H7" s="8"/>
      <c r="I7" s="93">
        <f t="shared" si="2"/>
        <v>0</v>
      </c>
      <c r="J7" s="9">
        <f>SUMIF('Amex Receipted On the 1st'!G:G,'Summary before PDE write-offs'!A7,'Amex Receipted On the 1st'!D:D)+SUMIF('Amex Sale after 7pm Syd Time'!A:A,'Summary before PDE write-offs'!B7,'Amex Sale after 7pm Syd Time'!C:C)</f>
        <v>0</v>
      </c>
      <c r="K7" s="9"/>
      <c r="L7" s="31">
        <f t="shared" ref="L7:L74" si="6">I7-J7</f>
        <v>0</v>
      </c>
      <c r="M7" s="2"/>
      <c r="O7" s="4"/>
      <c r="P7" s="4"/>
      <c r="R7" s="73"/>
    </row>
    <row r="8" spans="1:18" ht="15" x14ac:dyDescent="0.25">
      <c r="A8" s="1">
        <v>2117</v>
      </c>
      <c r="B8" s="7">
        <v>2117</v>
      </c>
      <c r="C8" s="62" t="s">
        <v>159</v>
      </c>
      <c r="D8" s="110">
        <f>IFERROR(VLOOKUP(C8,'5103 Opening Balance'!A:B,2,FALSE),0)</f>
        <v>0</v>
      </c>
      <c r="E8" s="110">
        <f>IFERROR(VLOOKUP(C8,'5103'!A:B,2,FALSE),0)</f>
        <v>0</v>
      </c>
      <c r="F8" s="91">
        <f t="shared" ref="F8:F49" si="7">D8+E8</f>
        <v>0</v>
      </c>
      <c r="G8" s="111">
        <f>SUMIFS('Amex Sales in MidnightDrawer'!F:F,'Amex Sales in MidnightDrawer'!A:A,'Summary before PDE write-offs'!B8,'Amex Sales in MidnightDrawer'!G:G,"Before Midnight")</f>
        <v>0</v>
      </c>
      <c r="H8" s="8"/>
      <c r="I8" s="93">
        <f t="shared" si="2"/>
        <v>0</v>
      </c>
      <c r="J8" s="9">
        <f>SUMIF('Amex Receipted On the 1st'!G:G,'Summary before PDE write-offs'!A8,'Amex Receipted On the 1st'!D:D)+SUMIF('Amex Sale after 7pm Syd Time'!A:A,'Summary before PDE write-offs'!B8,'Amex Sale after 7pm Syd Time'!C:C)</f>
        <v>0</v>
      </c>
      <c r="K8" s="9"/>
      <c r="L8" s="31">
        <f t="shared" ref="L8:L49" si="8">I8-J8</f>
        <v>0</v>
      </c>
      <c r="M8" s="2"/>
      <c r="O8" s="4"/>
      <c r="P8" s="4"/>
      <c r="R8" s="73"/>
    </row>
    <row r="9" spans="1:18" ht="15" x14ac:dyDescent="0.25">
      <c r="A9" s="1">
        <v>2118</v>
      </c>
      <c r="B9" s="7">
        <v>2118</v>
      </c>
      <c r="C9" s="60" t="s">
        <v>160</v>
      </c>
      <c r="D9" s="110">
        <f>IFERROR(VLOOKUP(C9,'5103 Opening Balance'!A:B,2,FALSE),0)</f>
        <v>0</v>
      </c>
      <c r="E9" s="110">
        <f>IFERROR(VLOOKUP(C9,'5103'!A:B,2,FALSE),0)</f>
        <v>0</v>
      </c>
      <c r="F9" s="91">
        <f t="shared" si="7"/>
        <v>0</v>
      </c>
      <c r="G9" s="111">
        <f>SUMIFS('Amex Sales in MidnightDrawer'!F:F,'Amex Sales in MidnightDrawer'!A:A,'Summary before PDE write-offs'!B9,'Amex Sales in MidnightDrawer'!G:G,"Before Midnight")</f>
        <v>0</v>
      </c>
      <c r="H9" s="8"/>
      <c r="I9" s="93">
        <f t="shared" si="2"/>
        <v>0</v>
      </c>
      <c r="J9" s="9">
        <f>SUMIF('Amex Receipted On the 1st'!G:G,'Summary before PDE write-offs'!A9,'Amex Receipted On the 1st'!D:D)+SUMIF('Amex Sale after 7pm Syd Time'!A:A,'Summary before PDE write-offs'!B9,'Amex Sale after 7pm Syd Time'!C:C)</f>
        <v>0</v>
      </c>
      <c r="K9" s="9"/>
      <c r="L9" s="31">
        <f t="shared" si="8"/>
        <v>0</v>
      </c>
      <c r="M9" s="2"/>
      <c r="O9" s="4"/>
      <c r="P9" s="4"/>
      <c r="R9" s="73"/>
    </row>
    <row r="10" spans="1:18" ht="15" x14ac:dyDescent="0.25">
      <c r="A10" s="1">
        <v>2119</v>
      </c>
      <c r="B10" s="7">
        <v>2119</v>
      </c>
      <c r="C10" s="60" t="s">
        <v>161</v>
      </c>
      <c r="D10" s="110">
        <f>IFERROR(VLOOKUP(C10,'5103 Opening Balance'!A:B,2,FALSE),0)</f>
        <v>0</v>
      </c>
      <c r="E10" s="110">
        <f>IFERROR(VLOOKUP(C10,'5103'!A:B,2,FALSE),0)</f>
        <v>-7.1054273576010019E-15</v>
      </c>
      <c r="F10" s="91">
        <f t="shared" si="7"/>
        <v>-7.1054273576010019E-15</v>
      </c>
      <c r="G10" s="111">
        <f>SUMIFS('Amex Sales in MidnightDrawer'!F:F,'Amex Sales in MidnightDrawer'!A:A,'Summary before PDE write-offs'!B10,'Amex Sales in MidnightDrawer'!G:G,"Before Midnight")</f>
        <v>0</v>
      </c>
      <c r="H10" s="8"/>
      <c r="I10" s="93">
        <f t="shared" si="2"/>
        <v>-7.1054273576010019E-15</v>
      </c>
      <c r="J10" s="9">
        <f>SUMIF('Amex Receipted On the 1st'!G:G,'Summary before PDE write-offs'!A10,'Amex Receipted On the 1st'!D:D)+SUMIF('Amex Sale after 7pm Syd Time'!A:A,'Summary before PDE write-offs'!B10,'Amex Sale after 7pm Syd Time'!C:C)</f>
        <v>0</v>
      </c>
      <c r="K10" s="9"/>
      <c r="L10" s="31">
        <f t="shared" si="8"/>
        <v>-7.1054273576010019E-15</v>
      </c>
      <c r="M10" s="2"/>
      <c r="O10" s="4"/>
      <c r="P10" s="4"/>
      <c r="R10" s="73"/>
    </row>
    <row r="11" spans="1:18" ht="15" x14ac:dyDescent="0.25">
      <c r="A11" s="1">
        <v>2120</v>
      </c>
      <c r="B11" s="7">
        <v>2120</v>
      </c>
      <c r="C11" s="48" t="s">
        <v>98</v>
      </c>
      <c r="D11" s="110">
        <f>IFERROR(VLOOKUP(C11,'5103 Opening Balance'!A:B,2,FALSE),0)</f>
        <v>0</v>
      </c>
      <c r="E11" s="110">
        <f>IFERROR(VLOOKUP(C11,'5103'!A:B,2,FALSE),0)</f>
        <v>0</v>
      </c>
      <c r="F11" s="91">
        <f t="shared" si="7"/>
        <v>0</v>
      </c>
      <c r="G11" s="111">
        <f>SUMIFS('Amex Sales in MidnightDrawer'!F:F,'Amex Sales in MidnightDrawer'!A:A,'Summary before PDE write-offs'!B11,'Amex Sales in MidnightDrawer'!G:G,"Before Midnight")</f>
        <v>0</v>
      </c>
      <c r="H11" s="8"/>
      <c r="I11" s="93">
        <f t="shared" si="2"/>
        <v>0</v>
      </c>
      <c r="J11" s="9">
        <f>SUMIF('Amex Receipted On the 1st'!G:G,'Summary before PDE write-offs'!A11,'Amex Receipted On the 1st'!D:D)+SUMIF('Amex Sale after 7pm Syd Time'!A:A,'Summary before PDE write-offs'!B11,'Amex Sale after 7pm Syd Time'!C:C)</f>
        <v>0</v>
      </c>
      <c r="K11" s="9"/>
      <c r="L11" s="31">
        <f t="shared" si="8"/>
        <v>0</v>
      </c>
      <c r="M11" s="2"/>
      <c r="O11" s="4">
        <f t="shared" si="4"/>
        <v>0</v>
      </c>
      <c r="P11" s="4" t="str">
        <f t="shared" si="0"/>
        <v>2120</v>
      </c>
      <c r="Q11" s="10">
        <v>5103</v>
      </c>
      <c r="R11" s="73"/>
    </row>
    <row r="12" spans="1:18" ht="15" x14ac:dyDescent="0.25">
      <c r="A12" s="1">
        <v>2128</v>
      </c>
      <c r="B12" s="7">
        <v>2128</v>
      </c>
      <c r="C12" s="48" t="s">
        <v>89</v>
      </c>
      <c r="D12" s="110">
        <f>IFERROR(VLOOKUP(C12,'5103 Opening Balance'!A:B,2,FALSE),0)</f>
        <v>0</v>
      </c>
      <c r="E12" s="110">
        <f>IFERROR(VLOOKUP(C12,'5103'!A:B,2,FALSE),0)</f>
        <v>0</v>
      </c>
      <c r="F12" s="91">
        <f t="shared" si="7"/>
        <v>0</v>
      </c>
      <c r="G12" s="111">
        <f>SUMIFS('Amex Sales in MidnightDrawer'!F:F,'Amex Sales in MidnightDrawer'!A:A,'Summary before PDE write-offs'!B12,'Amex Sales in MidnightDrawer'!G:G,"Before Midnight")</f>
        <v>0</v>
      </c>
      <c r="H12" s="8"/>
      <c r="I12" s="93">
        <f t="shared" si="2"/>
        <v>0</v>
      </c>
      <c r="J12" s="9">
        <f>SUMIF('Amex Receipted On the 1st'!G:G,'Summary before PDE write-offs'!A12,'Amex Receipted On the 1st'!D:D)+SUMIF('Amex Sale after 7pm Syd Time'!A:A,'Summary before PDE write-offs'!B12,'Amex Sale after 7pm Syd Time'!C:C)</f>
        <v>0</v>
      </c>
      <c r="K12" s="9"/>
      <c r="L12" s="31">
        <f t="shared" si="8"/>
        <v>0</v>
      </c>
      <c r="M12" s="2"/>
      <c r="O12" s="4">
        <f t="shared" si="4"/>
        <v>0</v>
      </c>
      <c r="P12" s="4" t="str">
        <f t="shared" si="0"/>
        <v>2128</v>
      </c>
      <c r="Q12" s="10">
        <v>5103</v>
      </c>
      <c r="R12" s="73"/>
    </row>
    <row r="13" spans="1:18" ht="15" x14ac:dyDescent="0.25">
      <c r="A13" s="1">
        <v>2131</v>
      </c>
      <c r="B13" s="7">
        <v>2131</v>
      </c>
      <c r="C13" s="48" t="s">
        <v>90</v>
      </c>
      <c r="D13" s="110">
        <f>IFERROR(VLOOKUP(C13,'5103 Opening Balance'!A:B,2,FALSE),0)</f>
        <v>0</v>
      </c>
      <c r="E13" s="110">
        <f>IFERROR(VLOOKUP(C13,'5103'!A:B,2,FALSE),0)</f>
        <v>0</v>
      </c>
      <c r="F13" s="91">
        <f t="shared" si="7"/>
        <v>0</v>
      </c>
      <c r="G13" s="111">
        <f>SUMIFS('Amex Sales in MidnightDrawer'!F:F,'Amex Sales in MidnightDrawer'!A:A,'Summary before PDE write-offs'!B13,'Amex Sales in MidnightDrawer'!G:G,"Before Midnight")</f>
        <v>0</v>
      </c>
      <c r="H13" s="8"/>
      <c r="I13" s="93">
        <f t="shared" si="2"/>
        <v>0</v>
      </c>
      <c r="J13" s="9">
        <f>SUMIF('Amex Receipted On the 1st'!G:G,'Summary before PDE write-offs'!A13,'Amex Receipted On the 1st'!D:D)+SUMIF('Amex Sale after 7pm Syd Time'!A:A,'Summary before PDE write-offs'!B13,'Amex Sale after 7pm Syd Time'!C:C)</f>
        <v>0</v>
      </c>
      <c r="K13" s="9"/>
      <c r="L13" s="31">
        <f t="shared" si="8"/>
        <v>0</v>
      </c>
      <c r="M13" s="2"/>
      <c r="O13" s="4">
        <f t="shared" si="4"/>
        <v>0</v>
      </c>
      <c r="P13" s="4" t="str">
        <f t="shared" si="0"/>
        <v>2131</v>
      </c>
      <c r="Q13" s="10">
        <v>5103</v>
      </c>
      <c r="R13" s="73"/>
    </row>
    <row r="14" spans="1:18" ht="15" x14ac:dyDescent="0.25">
      <c r="A14" s="1">
        <v>2136</v>
      </c>
      <c r="B14" s="7">
        <v>2136</v>
      </c>
      <c r="C14" s="48" t="s">
        <v>91</v>
      </c>
      <c r="D14" s="110">
        <f>IFERROR(VLOOKUP(C14,'5103 Opening Balance'!A:B,2,FALSE),0)</f>
        <v>0</v>
      </c>
      <c r="E14" s="110">
        <f>IFERROR(VLOOKUP(C14,'5103'!A:B,2,FALSE),0)</f>
        <v>0</v>
      </c>
      <c r="F14" s="91">
        <f t="shared" si="7"/>
        <v>0</v>
      </c>
      <c r="G14" s="111">
        <f>SUMIFS('Amex Sales in MidnightDrawer'!F:F,'Amex Sales in MidnightDrawer'!A:A,'Summary before PDE write-offs'!B14,'Amex Sales in MidnightDrawer'!G:G,"Before Midnight")</f>
        <v>0</v>
      </c>
      <c r="H14" s="8"/>
      <c r="I14" s="93">
        <f t="shared" si="2"/>
        <v>0</v>
      </c>
      <c r="J14" s="9">
        <f>SUMIF('Amex Receipted On the 1st'!G:G,'Summary before PDE write-offs'!A14,'Amex Receipted On the 1st'!D:D)+SUMIF('Amex Sale after 7pm Syd Time'!A:A,'Summary before PDE write-offs'!B14,'Amex Sale after 7pm Syd Time'!C:C)</f>
        <v>0</v>
      </c>
      <c r="K14" s="9"/>
      <c r="L14" s="31">
        <f t="shared" si="8"/>
        <v>0</v>
      </c>
      <c r="M14" s="2"/>
      <c r="O14" s="4">
        <f t="shared" si="4"/>
        <v>0</v>
      </c>
      <c r="P14" s="4" t="str">
        <f t="shared" si="0"/>
        <v>2136</v>
      </c>
      <c r="Q14" s="10">
        <v>5103</v>
      </c>
      <c r="R14" s="73"/>
    </row>
    <row r="15" spans="1:18" ht="15" x14ac:dyDescent="0.25">
      <c r="A15" s="1">
        <v>2137</v>
      </c>
      <c r="B15" s="7">
        <v>2137</v>
      </c>
      <c r="C15" s="48" t="s">
        <v>92</v>
      </c>
      <c r="D15" s="110">
        <f>IFERROR(VLOOKUP(C15,'5103 Opening Balance'!A:B,2,FALSE),0)</f>
        <v>0</v>
      </c>
      <c r="E15" s="110">
        <f>IFERROR(VLOOKUP(C15,'5103'!A:B,2,FALSE),0)</f>
        <v>0</v>
      </c>
      <c r="F15" s="91">
        <f t="shared" si="7"/>
        <v>0</v>
      </c>
      <c r="G15" s="111">
        <f>SUMIFS('Amex Sales in MidnightDrawer'!F:F,'Amex Sales in MidnightDrawer'!A:A,'Summary before PDE write-offs'!B15,'Amex Sales in MidnightDrawer'!G:G,"Before Midnight")</f>
        <v>0</v>
      </c>
      <c r="H15" s="8"/>
      <c r="I15" s="93">
        <f t="shared" si="2"/>
        <v>0</v>
      </c>
      <c r="J15" s="9">
        <f>SUMIF('Amex Receipted On the 1st'!G:G,'Summary before PDE write-offs'!A15,'Amex Receipted On the 1st'!D:D)+SUMIF('Amex Sale after 7pm Syd Time'!A:A,'Summary before PDE write-offs'!B15,'Amex Sale after 7pm Syd Time'!C:C)</f>
        <v>0</v>
      </c>
      <c r="K15" s="9"/>
      <c r="L15" s="31">
        <f t="shared" si="8"/>
        <v>0</v>
      </c>
      <c r="M15" s="2"/>
      <c r="O15" s="4">
        <f>J15-I15</f>
        <v>0</v>
      </c>
      <c r="P15" s="4" t="str">
        <f t="shared" si="0"/>
        <v>2137</v>
      </c>
      <c r="Q15" s="10">
        <v>5103</v>
      </c>
      <c r="R15" s="73"/>
    </row>
    <row r="16" spans="1:18" ht="15" x14ac:dyDescent="0.25">
      <c r="A16" s="1">
        <v>2139</v>
      </c>
      <c r="B16" s="7">
        <v>2139</v>
      </c>
      <c r="C16" s="48" t="s">
        <v>93</v>
      </c>
      <c r="D16" s="110">
        <f>IFERROR(VLOOKUP(C16,'5103 Opening Balance'!A:B,2,FALSE),0)</f>
        <v>0</v>
      </c>
      <c r="E16" s="110">
        <f>IFERROR(VLOOKUP(C16,'5103'!A:B,2,FALSE),0)</f>
        <v>0</v>
      </c>
      <c r="F16" s="91">
        <f t="shared" si="7"/>
        <v>0</v>
      </c>
      <c r="G16" s="111">
        <f>SUMIFS('Amex Sales in MidnightDrawer'!F:F,'Amex Sales in MidnightDrawer'!A:A,'Summary before PDE write-offs'!B16,'Amex Sales in MidnightDrawer'!G:G,"Before Midnight")</f>
        <v>0</v>
      </c>
      <c r="H16" s="8"/>
      <c r="I16" s="93">
        <f t="shared" si="2"/>
        <v>0</v>
      </c>
      <c r="J16" s="9">
        <f>SUMIF('Amex Receipted On the 1st'!G:G,'Summary before PDE write-offs'!A16,'Amex Receipted On the 1st'!D:D)+SUMIF('Amex Sale after 7pm Syd Time'!A:A,'Summary before PDE write-offs'!B16,'Amex Sale after 7pm Syd Time'!C:C)</f>
        <v>0</v>
      </c>
      <c r="K16" s="9"/>
      <c r="L16" s="31">
        <f t="shared" si="8"/>
        <v>0</v>
      </c>
      <c r="M16" s="2"/>
      <c r="O16" s="4">
        <f t="shared" si="4"/>
        <v>0</v>
      </c>
      <c r="P16" s="4" t="str">
        <f t="shared" si="0"/>
        <v>2139</v>
      </c>
      <c r="Q16" s="10">
        <v>5103</v>
      </c>
      <c r="R16" s="73"/>
    </row>
    <row r="17" spans="1:18" ht="15" x14ac:dyDescent="0.25">
      <c r="A17" s="1">
        <v>2225</v>
      </c>
      <c r="B17" s="7">
        <v>2225</v>
      </c>
      <c r="C17" s="70" t="s">
        <v>185</v>
      </c>
      <c r="D17" s="110">
        <f>IFERROR(VLOOKUP(C17,'5103 Opening Balance'!A:B,2,FALSE),0)</f>
        <v>0</v>
      </c>
      <c r="E17" s="110">
        <f>IFERROR(VLOOKUP(C17,'5103'!A:B,2,FALSE),0)</f>
        <v>39.710000000000036</v>
      </c>
      <c r="F17" s="91">
        <f t="shared" ref="F17" si="9">D17+E17</f>
        <v>39.710000000000036</v>
      </c>
      <c r="G17" s="111">
        <f>SUMIFS('Amex Sales in MidnightDrawer'!F:F,'Amex Sales in MidnightDrawer'!A:A,'Summary before PDE write-offs'!B17,'Amex Sales in MidnightDrawer'!G:G,"Before Midnight")</f>
        <v>0</v>
      </c>
      <c r="H17" s="8"/>
      <c r="I17" s="93">
        <f t="shared" si="2"/>
        <v>39.710000000000036</v>
      </c>
      <c r="J17" s="9">
        <f>SUMIF('Amex Receipted On the 1st'!G:G,'Summary before PDE write-offs'!A17,'Amex Receipted On the 1st'!D:D)+SUMIF('Amex Sale after 7pm Syd Time'!A:A,'Summary before PDE write-offs'!B17,'Amex Sale after 7pm Syd Time'!C:C)</f>
        <v>52.96</v>
      </c>
      <c r="K17" s="9"/>
      <c r="L17" s="31">
        <f t="shared" ref="L17" si="10">I17-J17</f>
        <v>-13.249999999999964</v>
      </c>
      <c r="M17" s="2"/>
      <c r="O17" s="4"/>
      <c r="P17" s="4"/>
      <c r="R17" s="73" t="s">
        <v>214</v>
      </c>
    </row>
    <row r="18" spans="1:18" ht="15" x14ac:dyDescent="0.25">
      <c r="A18" s="1">
        <v>2230</v>
      </c>
      <c r="B18" s="7">
        <v>2230</v>
      </c>
      <c r="C18" s="48" t="s">
        <v>99</v>
      </c>
      <c r="D18" s="110">
        <f>IFERROR(VLOOKUP(C18,'5103 Opening Balance'!A:B,2,FALSE),0)</f>
        <v>0</v>
      </c>
      <c r="E18" s="110">
        <f>IFERROR(VLOOKUP(C18,'5103'!A:B,2,FALSE),0)</f>
        <v>0</v>
      </c>
      <c r="F18" s="91">
        <f t="shared" si="7"/>
        <v>0</v>
      </c>
      <c r="G18" s="111">
        <f>SUMIFS('Amex Sales in MidnightDrawer'!F:F,'Amex Sales in MidnightDrawer'!A:A,'Summary before PDE write-offs'!B18,'Amex Sales in MidnightDrawer'!G:G,"Before Midnight")</f>
        <v>0</v>
      </c>
      <c r="H18" s="8"/>
      <c r="I18" s="93">
        <f t="shared" si="2"/>
        <v>0</v>
      </c>
      <c r="J18" s="9">
        <f>SUMIF('Amex Receipted On the 1st'!G:G,'Summary before PDE write-offs'!A18,'Amex Receipted On the 1st'!D:D)+SUMIF('Amex Sale after 7pm Syd Time'!A:A,'Summary before PDE write-offs'!B18,'Amex Sale after 7pm Syd Time'!C:C)</f>
        <v>0</v>
      </c>
      <c r="K18" s="9"/>
      <c r="L18" s="31">
        <f t="shared" si="8"/>
        <v>0</v>
      </c>
      <c r="M18" s="2"/>
      <c r="O18" s="4">
        <f t="shared" si="4"/>
        <v>0</v>
      </c>
      <c r="P18" s="4" t="str">
        <f t="shared" si="0"/>
        <v>2230</v>
      </c>
      <c r="Q18" s="10">
        <v>5103</v>
      </c>
      <c r="R18" s="73"/>
    </row>
    <row r="19" spans="1:18" ht="15" x14ac:dyDescent="0.25">
      <c r="A19" s="1">
        <v>2231</v>
      </c>
      <c r="B19" s="7">
        <v>2231</v>
      </c>
      <c r="C19" s="48" t="s">
        <v>100</v>
      </c>
      <c r="D19" s="110">
        <f>IFERROR(VLOOKUP(C19,'5103 Opening Balance'!A:B,2,FALSE),0)</f>
        <v>0</v>
      </c>
      <c r="E19" s="110">
        <f>IFERROR(VLOOKUP(C19,'5103'!A:B,2,FALSE),0)</f>
        <v>-23.73</v>
      </c>
      <c r="F19" s="91">
        <f t="shared" si="7"/>
        <v>-23.73</v>
      </c>
      <c r="G19" s="111">
        <f>SUMIFS('Amex Sales in MidnightDrawer'!F:F,'Amex Sales in MidnightDrawer'!A:A,'Summary before PDE write-offs'!B19,'Amex Sales in MidnightDrawer'!G:G,"Before Midnight")</f>
        <v>0</v>
      </c>
      <c r="H19" s="8"/>
      <c r="I19" s="93">
        <f t="shared" si="2"/>
        <v>-23.73</v>
      </c>
      <c r="J19" s="9">
        <f>SUMIF('Amex Receipted On the 1st'!G:G,'Summary before PDE write-offs'!A19,'Amex Receipted On the 1st'!D:D)+SUMIF('Amex Sale after 7pm Syd Time'!A:A,'Summary before PDE write-offs'!B19,'Amex Sale after 7pm Syd Time'!C:C)</f>
        <v>0</v>
      </c>
      <c r="K19" s="9"/>
      <c r="L19" s="31">
        <f t="shared" si="8"/>
        <v>-23.73</v>
      </c>
      <c r="M19" s="2"/>
      <c r="O19" s="4">
        <f t="shared" si="4"/>
        <v>23.73</v>
      </c>
      <c r="P19" s="4" t="str">
        <f t="shared" si="0"/>
        <v>2231</v>
      </c>
      <c r="Q19" s="10">
        <v>5103</v>
      </c>
      <c r="R19" s="73" t="s">
        <v>215</v>
      </c>
    </row>
    <row r="20" spans="1:18" ht="15" x14ac:dyDescent="0.25">
      <c r="A20" s="1">
        <v>2232</v>
      </c>
      <c r="B20" s="7">
        <v>2232</v>
      </c>
      <c r="C20" s="48" t="s">
        <v>105</v>
      </c>
      <c r="D20" s="110">
        <f>IFERROR(VLOOKUP(C20,'5103 Opening Balance'!A:B,2,FALSE),0)</f>
        <v>0</v>
      </c>
      <c r="E20" s="110">
        <f>IFERROR(VLOOKUP(C20,'5103'!A:B,2,FALSE),0)</f>
        <v>0</v>
      </c>
      <c r="F20" s="91">
        <f t="shared" si="7"/>
        <v>0</v>
      </c>
      <c r="G20" s="111">
        <f>SUMIFS('Amex Sales in MidnightDrawer'!F:F,'Amex Sales in MidnightDrawer'!A:A,'Summary before PDE write-offs'!B20,'Amex Sales in MidnightDrawer'!G:G,"Before Midnight")</f>
        <v>0</v>
      </c>
      <c r="H20" s="8"/>
      <c r="I20" s="93">
        <f t="shared" si="2"/>
        <v>0</v>
      </c>
      <c r="J20" s="9">
        <f>SUMIF('Amex Receipted On the 1st'!G:G,'Summary before PDE write-offs'!A20,'Amex Receipted On the 1st'!D:D)+SUMIF('Amex Sale after 7pm Syd Time'!A:A,'Summary before PDE write-offs'!B20,'Amex Sale after 7pm Syd Time'!C:C)</f>
        <v>0</v>
      </c>
      <c r="K20" s="9"/>
      <c r="L20" s="31">
        <f t="shared" si="8"/>
        <v>0</v>
      </c>
      <c r="M20" s="2"/>
      <c r="O20" s="4">
        <f t="shared" si="4"/>
        <v>0</v>
      </c>
      <c r="P20" s="4" t="str">
        <f t="shared" si="0"/>
        <v>2232</v>
      </c>
      <c r="Q20" s="10">
        <v>5103</v>
      </c>
      <c r="R20" s="71"/>
    </row>
    <row r="21" spans="1:18" ht="15" x14ac:dyDescent="0.25">
      <c r="A21" s="1">
        <v>2233</v>
      </c>
      <c r="B21" s="7">
        <v>2233</v>
      </c>
      <c r="C21" s="48" t="s">
        <v>106</v>
      </c>
      <c r="D21" s="110">
        <f>IFERROR(VLOOKUP(C21,'5103 Opening Balance'!A:B,2,FALSE),0)</f>
        <v>0</v>
      </c>
      <c r="E21" s="110">
        <f>IFERROR(VLOOKUP(C21,'5103'!A:B,2,FALSE),0)</f>
        <v>0</v>
      </c>
      <c r="F21" s="91">
        <f t="shared" si="7"/>
        <v>0</v>
      </c>
      <c r="G21" s="111">
        <f>SUMIFS('Amex Sales in MidnightDrawer'!F:F,'Amex Sales in MidnightDrawer'!A:A,'Summary before PDE write-offs'!B21,'Amex Sales in MidnightDrawer'!G:G,"Before Midnight")</f>
        <v>0</v>
      </c>
      <c r="H21" s="8"/>
      <c r="I21" s="93">
        <f t="shared" si="2"/>
        <v>0</v>
      </c>
      <c r="J21" s="9">
        <f>SUMIF('Amex Receipted On the 1st'!G:G,'Summary before PDE write-offs'!A21,'Amex Receipted On the 1st'!D:D)+SUMIF('Amex Sale after 7pm Syd Time'!A:A,'Summary before PDE write-offs'!B21,'Amex Sale after 7pm Syd Time'!C:C)</f>
        <v>0</v>
      </c>
      <c r="K21" s="9"/>
      <c r="L21" s="31">
        <f t="shared" si="8"/>
        <v>0</v>
      </c>
      <c r="M21" s="2"/>
      <c r="O21" s="4">
        <f t="shared" si="4"/>
        <v>0</v>
      </c>
      <c r="P21" s="4" t="str">
        <f t="shared" si="0"/>
        <v>2233</v>
      </c>
      <c r="Q21" s="10">
        <v>5103</v>
      </c>
      <c r="R21" s="73"/>
    </row>
    <row r="22" spans="1:18" ht="15" x14ac:dyDescent="0.25">
      <c r="A22" s="1">
        <v>2234</v>
      </c>
      <c r="B22" s="7">
        <v>2234</v>
      </c>
      <c r="C22" s="48" t="s">
        <v>107</v>
      </c>
      <c r="D22" s="110">
        <f>IFERROR(VLOOKUP(C22,'5103 Opening Balance'!A:B,2,FALSE),0)</f>
        <v>0</v>
      </c>
      <c r="E22" s="110">
        <f>IFERROR(VLOOKUP(C22,'5103'!A:B,2,FALSE),0)</f>
        <v>0</v>
      </c>
      <c r="F22" s="91">
        <f t="shared" si="7"/>
        <v>0</v>
      </c>
      <c r="G22" s="111">
        <f>SUMIFS('Amex Sales in MidnightDrawer'!F:F,'Amex Sales in MidnightDrawer'!A:A,'Summary before PDE write-offs'!B22,'Amex Sales in MidnightDrawer'!G:G,"Before Midnight")</f>
        <v>0</v>
      </c>
      <c r="H22" s="8"/>
      <c r="I22" s="93">
        <f t="shared" si="2"/>
        <v>0</v>
      </c>
      <c r="J22" s="9">
        <f>SUMIF('Amex Receipted On the 1st'!G:G,'Summary before PDE write-offs'!A22,'Amex Receipted On the 1st'!D:D)+SUMIF('Amex Sale after 7pm Syd Time'!A:A,'Summary before PDE write-offs'!B22,'Amex Sale after 7pm Syd Time'!C:C)</f>
        <v>0</v>
      </c>
      <c r="K22" s="9"/>
      <c r="L22" s="31">
        <f t="shared" si="8"/>
        <v>0</v>
      </c>
      <c r="M22" s="2"/>
      <c r="O22" s="4">
        <f t="shared" si="4"/>
        <v>0</v>
      </c>
      <c r="P22" s="4" t="str">
        <f t="shared" si="0"/>
        <v>2234</v>
      </c>
      <c r="Q22" s="10">
        <v>5103</v>
      </c>
      <c r="R22" s="73"/>
    </row>
    <row r="23" spans="1:18" ht="15" x14ac:dyDescent="0.25">
      <c r="A23" s="1">
        <v>2450</v>
      </c>
      <c r="B23" s="7">
        <v>2450</v>
      </c>
      <c r="C23" s="48" t="s">
        <v>79</v>
      </c>
      <c r="D23" s="110">
        <f>IFERROR(VLOOKUP(C23,'5103 Opening Balance'!A:B,2,FALSE),0)</f>
        <v>0</v>
      </c>
      <c r="E23" s="110">
        <f>IFERROR(VLOOKUP(C23,'5103'!A:B,2,FALSE),0)</f>
        <v>25.5</v>
      </c>
      <c r="F23" s="91">
        <f t="shared" si="7"/>
        <v>25.5</v>
      </c>
      <c r="G23" s="111">
        <f>SUMIFS('Amex Sales in MidnightDrawer'!F:F,'Amex Sales in MidnightDrawer'!A:A,'Summary before PDE write-offs'!B23,'Amex Sales in MidnightDrawer'!G:G,"Before Midnight")</f>
        <v>0</v>
      </c>
      <c r="H23" s="8"/>
      <c r="I23" s="93">
        <f t="shared" si="2"/>
        <v>25.5</v>
      </c>
      <c r="J23" s="9">
        <f>SUMIF('Amex Receipted On the 1st'!G:G,'Summary before PDE write-offs'!A23,'Amex Receipted On the 1st'!D:D)+SUMIF('Amex Sale after 7pm Syd Time'!A:A,'Summary before PDE write-offs'!B23,'Amex Sale after 7pm Syd Time'!C:C)</f>
        <v>25.5</v>
      </c>
      <c r="K23" s="9"/>
      <c r="L23" s="31">
        <f t="shared" si="8"/>
        <v>0</v>
      </c>
      <c r="M23" s="2"/>
      <c r="O23" s="4">
        <f t="shared" si="4"/>
        <v>0</v>
      </c>
      <c r="P23" s="4" t="str">
        <f t="shared" si="0"/>
        <v>2450</v>
      </c>
      <c r="Q23" s="10">
        <v>5103</v>
      </c>
      <c r="R23" s="73"/>
    </row>
    <row r="24" spans="1:18" ht="22.9" customHeight="1" x14ac:dyDescent="0.25">
      <c r="A24" s="1">
        <v>3019</v>
      </c>
      <c r="B24" s="7">
        <v>3191</v>
      </c>
      <c r="C24" s="48" t="s">
        <v>3</v>
      </c>
      <c r="D24" s="110">
        <f>IFERROR(VLOOKUP(C24,'5103 Opening Balance'!A:B,2,FALSE),0)</f>
        <v>0</v>
      </c>
      <c r="E24" s="110">
        <f>IFERROR(VLOOKUP(C24,'5103'!A:B,2,FALSE),0)</f>
        <v>0</v>
      </c>
      <c r="F24" s="91">
        <f t="shared" si="7"/>
        <v>0</v>
      </c>
      <c r="G24" s="111">
        <f>SUMIFS('Amex Sales in MidnightDrawer'!F:F,'Amex Sales in MidnightDrawer'!A:A,'Summary before PDE write-offs'!B24,'Amex Sales in MidnightDrawer'!G:G,"Before Midnight")</f>
        <v>0</v>
      </c>
      <c r="H24" s="8"/>
      <c r="I24" s="93">
        <f t="shared" si="2"/>
        <v>0</v>
      </c>
      <c r="J24" s="9">
        <f>SUMIF('Amex Receipted On the 1st'!G:G,'Summary before PDE write-offs'!A24,'Amex Receipted On the 1st'!D:D)+SUMIF('Amex Sale after 7pm Syd Time'!A:A,'Summary before PDE write-offs'!B24,'Amex Sale after 7pm Syd Time'!C:C)</f>
        <v>0</v>
      </c>
      <c r="K24" s="9"/>
      <c r="L24" s="31">
        <f t="shared" si="8"/>
        <v>0</v>
      </c>
      <c r="M24" s="2"/>
      <c r="O24" s="4">
        <f t="shared" si="4"/>
        <v>0</v>
      </c>
      <c r="P24" s="4" t="str">
        <f t="shared" si="0"/>
        <v>3019</v>
      </c>
      <c r="Q24" s="10">
        <v>5103</v>
      </c>
      <c r="R24" s="71"/>
    </row>
    <row r="25" spans="1:18" ht="15" x14ac:dyDescent="0.25">
      <c r="A25" s="1">
        <v>3025</v>
      </c>
      <c r="B25" s="7">
        <v>3251</v>
      </c>
      <c r="C25" s="48" t="s">
        <v>4</v>
      </c>
      <c r="D25" s="110">
        <f>IFERROR(VLOOKUP(C25,'5103 Opening Balance'!A:B,2,FALSE),0)</f>
        <v>0</v>
      </c>
      <c r="E25" s="110">
        <f>IFERROR(VLOOKUP(C25,'5103'!A:B,2,FALSE),0)</f>
        <v>0</v>
      </c>
      <c r="F25" s="91">
        <f t="shared" si="7"/>
        <v>0</v>
      </c>
      <c r="G25" s="111">
        <f>SUMIFS('Amex Sales in MidnightDrawer'!F:F,'Amex Sales in MidnightDrawer'!A:A,'Summary before PDE write-offs'!B25,'Amex Sales in MidnightDrawer'!G:G,"Before Midnight")</f>
        <v>0</v>
      </c>
      <c r="H25" s="8"/>
      <c r="I25" s="93">
        <f t="shared" si="2"/>
        <v>0</v>
      </c>
      <c r="J25" s="9">
        <f>SUMIF('Amex Receipted On the 1st'!G:G,'Summary before PDE write-offs'!A25,'Amex Receipted On the 1st'!D:D)+SUMIF('Amex Sale after 7pm Syd Time'!A:A,'Summary before PDE write-offs'!B25,'Amex Sale after 7pm Syd Time'!C:C)</f>
        <v>0</v>
      </c>
      <c r="K25" s="9"/>
      <c r="L25" s="31">
        <f t="shared" si="8"/>
        <v>0</v>
      </c>
      <c r="M25" s="2"/>
      <c r="O25" s="4">
        <f t="shared" si="4"/>
        <v>0</v>
      </c>
      <c r="P25" s="4" t="str">
        <f t="shared" si="0"/>
        <v>3025</v>
      </c>
      <c r="Q25" s="10">
        <v>5103</v>
      </c>
      <c r="R25" s="73"/>
    </row>
    <row r="26" spans="1:18" ht="15" x14ac:dyDescent="0.25">
      <c r="A26" s="1">
        <v>3028</v>
      </c>
      <c r="B26" s="7">
        <v>3284</v>
      </c>
      <c r="C26" s="48" t="s">
        <v>5</v>
      </c>
      <c r="D26" s="110">
        <f>IFERROR(VLOOKUP(C26,'5103 Opening Balance'!A:B,2,FALSE),0)</f>
        <v>0</v>
      </c>
      <c r="E26" s="110">
        <f>IFERROR(VLOOKUP(C26,'5103'!A:B,2,FALSE),0)</f>
        <v>0</v>
      </c>
      <c r="F26" s="91">
        <f t="shared" si="7"/>
        <v>0</v>
      </c>
      <c r="G26" s="111">
        <f>SUMIFS('Amex Sales in MidnightDrawer'!F:F,'Amex Sales in MidnightDrawer'!A:A,'Summary before PDE write-offs'!B26,'Amex Sales in MidnightDrawer'!G:G,"Before Midnight")</f>
        <v>0</v>
      </c>
      <c r="H26" s="8"/>
      <c r="I26" s="93">
        <f t="shared" si="2"/>
        <v>0</v>
      </c>
      <c r="J26" s="9">
        <f>SUMIF('Amex Receipted On the 1st'!G:G,'Summary before PDE write-offs'!A26,'Amex Receipted On the 1st'!D:D)+SUMIF('Amex Sale after 7pm Syd Time'!A:A,'Summary before PDE write-offs'!B26,'Amex Sale after 7pm Syd Time'!C:C)</f>
        <v>0</v>
      </c>
      <c r="K26" s="9"/>
      <c r="L26" s="31">
        <f t="shared" si="8"/>
        <v>0</v>
      </c>
      <c r="M26" s="2"/>
      <c r="O26" s="4">
        <f t="shared" si="4"/>
        <v>0</v>
      </c>
      <c r="P26" s="4" t="str">
        <f t="shared" si="0"/>
        <v>3028</v>
      </c>
      <c r="Q26" s="10">
        <v>5103</v>
      </c>
      <c r="R26" s="78"/>
    </row>
    <row r="27" spans="1:18" ht="15" x14ac:dyDescent="0.25">
      <c r="A27" s="1">
        <v>3034</v>
      </c>
      <c r="B27" s="7">
        <v>3343</v>
      </c>
      <c r="C27" s="48" t="s">
        <v>6</v>
      </c>
      <c r="D27" s="110">
        <f>IFERROR(VLOOKUP(C27,'5103 Opening Balance'!A:B,2,FALSE),0)</f>
        <v>0</v>
      </c>
      <c r="E27" s="110">
        <f>IFERROR(VLOOKUP(C27,'5103'!A:B,2,FALSE),0)</f>
        <v>0</v>
      </c>
      <c r="F27" s="91">
        <f t="shared" si="7"/>
        <v>0</v>
      </c>
      <c r="G27" s="111">
        <f>SUMIFS('Amex Sales in MidnightDrawer'!F:F,'Amex Sales in MidnightDrawer'!A:A,'Summary before PDE write-offs'!B27,'Amex Sales in MidnightDrawer'!G:G,"Before Midnight")</f>
        <v>0</v>
      </c>
      <c r="H27" s="8"/>
      <c r="I27" s="93">
        <f t="shared" si="2"/>
        <v>0</v>
      </c>
      <c r="J27" s="9">
        <f>SUMIF('Amex Receipted On the 1st'!G:G,'Summary before PDE write-offs'!A27,'Amex Receipted On the 1st'!D:D)+SUMIF('Amex Sale after 7pm Syd Time'!A:A,'Summary before PDE write-offs'!B27,'Amex Sale after 7pm Syd Time'!C:C)</f>
        <v>0</v>
      </c>
      <c r="K27" s="9"/>
      <c r="L27" s="31">
        <f t="shared" si="8"/>
        <v>0</v>
      </c>
      <c r="M27" s="2"/>
      <c r="O27" s="4">
        <f t="shared" si="4"/>
        <v>0</v>
      </c>
      <c r="P27" s="4" t="str">
        <f t="shared" si="0"/>
        <v>3034</v>
      </c>
      <c r="Q27" s="10">
        <v>5103</v>
      </c>
      <c r="R27" s="73"/>
    </row>
    <row r="28" spans="1:18" ht="15" x14ac:dyDescent="0.25">
      <c r="A28" s="1">
        <v>3175</v>
      </c>
      <c r="B28" s="7">
        <v>3175</v>
      </c>
      <c r="C28" s="48" t="s">
        <v>80</v>
      </c>
      <c r="D28" s="110">
        <f>IFERROR(VLOOKUP(C28,'5103 Opening Balance'!A:B,2,FALSE),0)</f>
        <v>0</v>
      </c>
      <c r="E28" s="110">
        <f>IFERROR(VLOOKUP(C28,'5103'!A:B,2,FALSE),0)</f>
        <v>0</v>
      </c>
      <c r="F28" s="91">
        <f t="shared" si="7"/>
        <v>0</v>
      </c>
      <c r="G28" s="111">
        <f>SUMIFS('Amex Sales in MidnightDrawer'!F:F,'Amex Sales in MidnightDrawer'!A:A,'Summary before PDE write-offs'!B28,'Amex Sales in MidnightDrawer'!G:G,"Before Midnight")</f>
        <v>0</v>
      </c>
      <c r="H28" s="8"/>
      <c r="I28" s="93">
        <f t="shared" si="2"/>
        <v>0</v>
      </c>
      <c r="J28" s="9">
        <f>SUMIF('Amex Receipted On the 1st'!G:G,'Summary before PDE write-offs'!A28,'Amex Receipted On the 1st'!D:D)+SUMIF('Amex Sale after 7pm Syd Time'!A:A,'Summary before PDE write-offs'!B28,'Amex Sale after 7pm Syd Time'!C:C)</f>
        <v>0</v>
      </c>
      <c r="K28" s="9"/>
      <c r="L28" s="31">
        <f t="shared" si="8"/>
        <v>0</v>
      </c>
      <c r="M28" s="2"/>
      <c r="O28" s="4">
        <f t="shared" si="4"/>
        <v>0</v>
      </c>
      <c r="P28" s="4" t="str">
        <f t="shared" si="0"/>
        <v>3175</v>
      </c>
      <c r="Q28" s="10">
        <v>5103</v>
      </c>
      <c r="R28" s="73"/>
    </row>
    <row r="29" spans="1:18" ht="15" x14ac:dyDescent="0.25">
      <c r="A29" s="1">
        <v>3213</v>
      </c>
      <c r="B29" s="7">
        <v>3213</v>
      </c>
      <c r="C29" s="48" t="s">
        <v>81</v>
      </c>
      <c r="D29" s="110">
        <f>IFERROR(VLOOKUP(C29,'5103 Opening Balance'!A:B,2,FALSE),0)</f>
        <v>0</v>
      </c>
      <c r="E29" s="110">
        <f>IFERROR(VLOOKUP(C29,'5103'!A:B,2,FALSE),0)</f>
        <v>0</v>
      </c>
      <c r="F29" s="91">
        <f t="shared" si="7"/>
        <v>0</v>
      </c>
      <c r="G29" s="111">
        <f>SUMIFS('Amex Sales in MidnightDrawer'!F:F,'Amex Sales in MidnightDrawer'!A:A,'Summary before PDE write-offs'!B29,'Amex Sales in MidnightDrawer'!G:G,"Before Midnight")</f>
        <v>0</v>
      </c>
      <c r="H29" s="8"/>
      <c r="I29" s="93">
        <f t="shared" si="2"/>
        <v>0</v>
      </c>
      <c r="J29" s="9">
        <f>SUMIF('Amex Receipted On the 1st'!G:G,'Summary before PDE write-offs'!A29,'Amex Receipted On the 1st'!D:D)+SUMIF('Amex Sale after 7pm Syd Time'!A:A,'Summary before PDE write-offs'!B29,'Amex Sale after 7pm Syd Time'!C:C)</f>
        <v>0</v>
      </c>
      <c r="K29" s="9"/>
      <c r="L29" s="31">
        <f t="shared" si="8"/>
        <v>0</v>
      </c>
      <c r="M29" s="2"/>
      <c r="O29" s="4">
        <f t="shared" si="4"/>
        <v>0</v>
      </c>
      <c r="P29" s="4" t="str">
        <f t="shared" si="0"/>
        <v>3213</v>
      </c>
      <c r="Q29" s="10">
        <v>5103</v>
      </c>
      <c r="R29" s="73"/>
    </row>
    <row r="30" spans="1:18" ht="15" x14ac:dyDescent="0.25">
      <c r="A30" s="1">
        <v>3228</v>
      </c>
      <c r="B30" s="7">
        <v>3228</v>
      </c>
      <c r="C30" s="69" t="s">
        <v>177</v>
      </c>
      <c r="D30" s="110">
        <f>IFERROR(VLOOKUP(C30,'5103 Opening Balance'!A:B,2,FALSE),0)</f>
        <v>0</v>
      </c>
      <c r="E30" s="110">
        <f>IFERROR(VLOOKUP(C30,'5103'!A:B,2,FALSE),0)</f>
        <v>149.94999999999999</v>
      </c>
      <c r="F30" s="91">
        <f t="shared" ref="F30" si="11">D30+E30</f>
        <v>149.94999999999999</v>
      </c>
      <c r="G30" s="111">
        <f>SUMIFS('Amex Sales in MidnightDrawer'!F:F,'Amex Sales in MidnightDrawer'!A:A,'Summary before PDE write-offs'!B30,'Amex Sales in MidnightDrawer'!G:G,"Before Midnight")</f>
        <v>0</v>
      </c>
      <c r="H30" s="8"/>
      <c r="I30" s="93">
        <f t="shared" si="2"/>
        <v>149.94999999999999</v>
      </c>
      <c r="J30" s="9">
        <f>SUMIF('Amex Receipted On the 1st'!G:G,'Summary before PDE write-offs'!A30,'Amex Receipted On the 1st'!D:D)+SUMIF('Amex Sale after 7pm Syd Time'!A:A,'Summary before PDE write-offs'!B30,'Amex Sale after 7pm Syd Time'!C:C)</f>
        <v>149.94999999999999</v>
      </c>
      <c r="K30" s="9"/>
      <c r="L30" s="31">
        <f t="shared" ref="L30" si="12">I30-J30</f>
        <v>0</v>
      </c>
      <c r="M30" s="2"/>
      <c r="O30" s="4"/>
      <c r="P30" s="4"/>
      <c r="R30" s="73"/>
    </row>
    <row r="31" spans="1:18" ht="15" x14ac:dyDescent="0.25">
      <c r="A31" s="1">
        <v>4005</v>
      </c>
      <c r="B31" s="7">
        <v>4051</v>
      </c>
      <c r="C31" s="48" t="s">
        <v>7</v>
      </c>
      <c r="D31" s="110">
        <f>IFERROR(VLOOKUP(C31,'5103 Opening Balance'!A:B,2,FALSE),0)</f>
        <v>0</v>
      </c>
      <c r="E31" s="110">
        <f>IFERROR(VLOOKUP(C31,'5103'!A:B,2,FALSE),0)</f>
        <v>0</v>
      </c>
      <c r="F31" s="91">
        <f t="shared" si="7"/>
        <v>0</v>
      </c>
      <c r="G31" s="111">
        <f>SUMIFS('Amex Sales in MidnightDrawer'!F:F,'Amex Sales in MidnightDrawer'!A:A,'Summary before PDE write-offs'!B31,'Amex Sales in MidnightDrawer'!G:G,"Before Midnight")</f>
        <v>0</v>
      </c>
      <c r="H31" s="8"/>
      <c r="I31" s="93">
        <f t="shared" si="2"/>
        <v>0</v>
      </c>
      <c r="J31" s="9">
        <f>SUMIF('Amex Receipted On the 1st'!G:G,'Summary before PDE write-offs'!A31,'Amex Receipted On the 1st'!D:D)+SUMIF('Amex Sale after 7pm Syd Time'!A:A,'Summary before PDE write-offs'!B31,'Amex Sale after 7pm Syd Time'!C:C)</f>
        <v>0</v>
      </c>
      <c r="K31" s="9"/>
      <c r="L31" s="31">
        <f t="shared" si="8"/>
        <v>0</v>
      </c>
      <c r="M31" s="2"/>
      <c r="O31" s="4">
        <f t="shared" si="4"/>
        <v>0</v>
      </c>
      <c r="P31" s="4" t="str">
        <f t="shared" si="0"/>
        <v>4005</v>
      </c>
      <c r="Q31" s="10">
        <v>5103</v>
      </c>
      <c r="R31" s="73"/>
    </row>
    <row r="32" spans="1:18" ht="15" x14ac:dyDescent="0.25">
      <c r="A32" s="1">
        <v>4024</v>
      </c>
      <c r="B32" s="7">
        <v>4024</v>
      </c>
      <c r="C32" s="48" t="s">
        <v>52</v>
      </c>
      <c r="D32" s="110">
        <f>IFERROR(VLOOKUP(C32,'5103 Opening Balance'!A:B,2,FALSE),0)</f>
        <v>0</v>
      </c>
      <c r="E32" s="110">
        <f>IFERROR(VLOOKUP(C32,'5103'!A:B,2,FALSE),0)</f>
        <v>0</v>
      </c>
      <c r="F32" s="91">
        <f t="shared" si="7"/>
        <v>0</v>
      </c>
      <c r="G32" s="111">
        <f>SUMIFS('Amex Sales in MidnightDrawer'!F:F,'Amex Sales in MidnightDrawer'!A:A,'Summary before PDE write-offs'!B32,'Amex Sales in MidnightDrawer'!G:G,"Before Midnight")</f>
        <v>0</v>
      </c>
      <c r="H32" s="8"/>
      <c r="I32" s="93">
        <f t="shared" si="2"/>
        <v>0</v>
      </c>
      <c r="J32" s="9">
        <f>SUMIF('Amex Receipted On the 1st'!G:G,'Summary before PDE write-offs'!A32,'Amex Receipted On the 1st'!D:D)+SUMIF('Amex Sale after 7pm Syd Time'!A:A,'Summary before PDE write-offs'!B32,'Amex Sale after 7pm Syd Time'!C:C)</f>
        <v>0</v>
      </c>
      <c r="K32" s="9"/>
      <c r="L32" s="31">
        <f t="shared" si="8"/>
        <v>0</v>
      </c>
      <c r="M32" s="2"/>
      <c r="O32" s="4">
        <f t="shared" si="4"/>
        <v>0</v>
      </c>
      <c r="P32" s="4" t="str">
        <f t="shared" si="0"/>
        <v>4024</v>
      </c>
      <c r="Q32" s="10">
        <v>5103</v>
      </c>
      <c r="R32" s="73"/>
    </row>
    <row r="33" spans="1:18" ht="15" x14ac:dyDescent="0.25">
      <c r="A33" s="1">
        <v>4036</v>
      </c>
      <c r="B33" s="7">
        <v>4361</v>
      </c>
      <c r="C33" s="48" t="s">
        <v>8</v>
      </c>
      <c r="D33" s="110">
        <f>IFERROR(VLOOKUP(C33,'5103 Opening Balance'!A:B,2,FALSE),0)</f>
        <v>0</v>
      </c>
      <c r="E33" s="110">
        <f>IFERROR(VLOOKUP(C33,'5103'!A:B,2,FALSE),0)</f>
        <v>0</v>
      </c>
      <c r="F33" s="91">
        <f t="shared" si="7"/>
        <v>0</v>
      </c>
      <c r="G33" s="111">
        <f>SUMIFS('Amex Sales in MidnightDrawer'!F:F,'Amex Sales in MidnightDrawer'!A:A,'Summary before PDE write-offs'!B33,'Amex Sales in MidnightDrawer'!G:G,"Before Midnight")</f>
        <v>0</v>
      </c>
      <c r="H33" s="8"/>
      <c r="I33" s="93">
        <f t="shared" si="2"/>
        <v>0</v>
      </c>
      <c r="J33" s="9">
        <f>SUMIF('Amex Receipted On the 1st'!G:G,'Summary before PDE write-offs'!A33,'Amex Receipted On the 1st'!D:D)+SUMIF('Amex Sale after 7pm Syd Time'!A:A,'Summary before PDE write-offs'!B33,'Amex Sale after 7pm Syd Time'!C:C)</f>
        <v>0</v>
      </c>
      <c r="K33" s="9"/>
      <c r="L33" s="31">
        <f t="shared" si="8"/>
        <v>0</v>
      </c>
      <c r="M33" s="2"/>
      <c r="O33" s="4">
        <f t="shared" si="4"/>
        <v>0</v>
      </c>
      <c r="P33" s="4" t="str">
        <f t="shared" si="0"/>
        <v>4036</v>
      </c>
      <c r="Q33" s="10">
        <v>5103</v>
      </c>
      <c r="R33" s="73"/>
    </row>
    <row r="34" spans="1:18" ht="15" x14ac:dyDescent="0.25">
      <c r="A34" s="1">
        <v>4085</v>
      </c>
      <c r="B34" s="7">
        <v>4085</v>
      </c>
      <c r="C34" s="48" t="s">
        <v>53</v>
      </c>
      <c r="D34" s="110">
        <f>IFERROR(VLOOKUP(C34,'5103 Opening Balance'!A:B,2,FALSE),0)</f>
        <v>0</v>
      </c>
      <c r="E34" s="110">
        <f>IFERROR(VLOOKUP(C34,'5103'!A:B,2,FALSE),0)</f>
        <v>0</v>
      </c>
      <c r="F34" s="91">
        <f t="shared" si="7"/>
        <v>0</v>
      </c>
      <c r="G34" s="111">
        <f>SUMIFS('Amex Sales in MidnightDrawer'!F:F,'Amex Sales in MidnightDrawer'!A:A,'Summary before PDE write-offs'!B34,'Amex Sales in MidnightDrawer'!G:G,"Before Midnight")</f>
        <v>0</v>
      </c>
      <c r="H34" s="8"/>
      <c r="I34" s="93">
        <f t="shared" si="2"/>
        <v>0</v>
      </c>
      <c r="J34" s="9">
        <f>SUMIF('Amex Receipted On the 1st'!G:G,'Summary before PDE write-offs'!A34,'Amex Receipted On the 1st'!D:D)+SUMIF('Amex Sale after 7pm Syd Time'!A:A,'Summary before PDE write-offs'!B34,'Amex Sale after 7pm Syd Time'!C:C)</f>
        <v>0</v>
      </c>
      <c r="K34" s="9"/>
      <c r="L34" s="31">
        <f t="shared" si="8"/>
        <v>0</v>
      </c>
      <c r="M34" s="2"/>
      <c r="O34" s="4">
        <f t="shared" si="4"/>
        <v>0</v>
      </c>
      <c r="P34" s="4" t="str">
        <f t="shared" si="0"/>
        <v>4085</v>
      </c>
      <c r="Q34" s="10">
        <v>5103</v>
      </c>
      <c r="R34" s="73"/>
    </row>
    <row r="35" spans="1:18" ht="15" x14ac:dyDescent="0.25">
      <c r="A35" s="1">
        <v>4100</v>
      </c>
      <c r="B35" s="7">
        <v>4100</v>
      </c>
      <c r="C35" s="48" t="s">
        <v>9</v>
      </c>
      <c r="D35" s="110">
        <f>IFERROR(VLOOKUP(C35,'5103 Opening Balance'!A:B,2,FALSE),0)</f>
        <v>0</v>
      </c>
      <c r="E35" s="110">
        <f>IFERROR(VLOOKUP(C35,'5103'!A:B,2,FALSE),0)</f>
        <v>40.680000000000007</v>
      </c>
      <c r="F35" s="91">
        <f t="shared" si="7"/>
        <v>40.680000000000007</v>
      </c>
      <c r="G35" s="111">
        <f>SUMIFS('Amex Sales in MidnightDrawer'!F:F,'Amex Sales in MidnightDrawer'!A:A,'Summary before PDE write-offs'!B35,'Amex Sales in MidnightDrawer'!G:G,"Before Midnight")</f>
        <v>0</v>
      </c>
      <c r="H35" s="8"/>
      <c r="I35" s="93">
        <f t="shared" si="2"/>
        <v>40.680000000000007</v>
      </c>
      <c r="J35" s="9">
        <f>SUMIF('Amex Receipted On the 1st'!G:G,'Summary before PDE write-offs'!A35,'Amex Receipted On the 1st'!D:D)+SUMIF('Amex Sale after 7pm Syd Time'!A:A,'Summary before PDE write-offs'!B35,'Amex Sale after 7pm Syd Time'!C:C)</f>
        <v>40.68</v>
      </c>
      <c r="K35" s="9"/>
      <c r="L35" s="31">
        <f t="shared" si="8"/>
        <v>0</v>
      </c>
      <c r="M35" s="2"/>
      <c r="O35" s="4">
        <f t="shared" si="4"/>
        <v>0</v>
      </c>
      <c r="P35" s="4" t="str">
        <f t="shared" si="0"/>
        <v>4100</v>
      </c>
      <c r="Q35" s="10">
        <v>5103</v>
      </c>
      <c r="R35" s="73"/>
    </row>
    <row r="36" spans="1:18" ht="15" x14ac:dyDescent="0.25">
      <c r="A36" s="1">
        <v>4101</v>
      </c>
      <c r="B36" s="1">
        <v>4101</v>
      </c>
      <c r="C36" s="63" t="s">
        <v>162</v>
      </c>
      <c r="D36" s="110">
        <f>IFERROR(VLOOKUP(C36,'5103 Opening Balance'!A:B,2,FALSE),0)</f>
        <v>35.54</v>
      </c>
      <c r="E36" s="110">
        <f>IFERROR(VLOOKUP(C36,'5103'!A:B,2,FALSE),0)</f>
        <v>38.920000000000073</v>
      </c>
      <c r="F36" s="91">
        <f t="shared" si="7"/>
        <v>74.460000000000065</v>
      </c>
      <c r="G36" s="111">
        <f>SUMIFS('Amex Sales in MidnightDrawer'!F:F,'Amex Sales in MidnightDrawer'!A:A,'Summary before PDE write-offs'!B36,'Amex Sales in MidnightDrawer'!G:G,"Before Midnight")</f>
        <v>0</v>
      </c>
      <c r="H36" s="8"/>
      <c r="I36" s="93">
        <f t="shared" si="2"/>
        <v>74.460000000000065</v>
      </c>
      <c r="J36" s="9">
        <f>SUMIF('Amex Receipted On the 1st'!G:G,'Summary before PDE write-offs'!A36,'Amex Receipted On the 1st'!D:D)+SUMIF('Amex Sale after 7pm Syd Time'!A:A,'Summary before PDE write-offs'!B36,'Amex Sale after 7pm Syd Time'!C:C)</f>
        <v>74.459999999999994</v>
      </c>
      <c r="K36" s="9"/>
      <c r="L36" s="31">
        <f t="shared" si="8"/>
        <v>0</v>
      </c>
      <c r="M36" s="2"/>
      <c r="O36" s="4">
        <f t="shared" si="4"/>
        <v>0</v>
      </c>
      <c r="P36" s="4"/>
      <c r="R36" s="73"/>
    </row>
    <row r="37" spans="1:18" ht="15" x14ac:dyDescent="0.25">
      <c r="A37" s="1">
        <v>4102</v>
      </c>
      <c r="B37" s="1">
        <v>4102</v>
      </c>
      <c r="C37" s="63" t="s">
        <v>163</v>
      </c>
      <c r="D37" s="110">
        <f>IFERROR(VLOOKUP(C37,'5103 Opening Balance'!A:B,2,FALSE),0)</f>
        <v>0</v>
      </c>
      <c r="E37" s="110">
        <f>IFERROR(VLOOKUP(C37,'5103'!A:B,2,FALSE),0)</f>
        <v>0</v>
      </c>
      <c r="F37" s="91">
        <f t="shared" si="7"/>
        <v>0</v>
      </c>
      <c r="G37" s="111">
        <f>SUMIFS('Amex Sales in MidnightDrawer'!F:F,'Amex Sales in MidnightDrawer'!A:A,'Summary before PDE write-offs'!B37,'Amex Sales in MidnightDrawer'!G:G,"Before Midnight")</f>
        <v>0</v>
      </c>
      <c r="H37" s="8"/>
      <c r="I37" s="93">
        <f t="shared" si="2"/>
        <v>0</v>
      </c>
      <c r="J37" s="9">
        <f>SUMIF('Amex Receipted On the 1st'!G:G,'Summary before PDE write-offs'!A37,'Amex Receipted On the 1st'!D:D)+SUMIF('Amex Sale after 7pm Syd Time'!A:A,'Summary before PDE write-offs'!B37,'Amex Sale after 7pm Syd Time'!C:C)</f>
        <v>0</v>
      </c>
      <c r="K37" s="9"/>
      <c r="L37" s="31">
        <f t="shared" si="8"/>
        <v>0</v>
      </c>
      <c r="M37" s="2"/>
      <c r="O37" s="4"/>
      <c r="P37" s="4"/>
      <c r="R37" s="73"/>
    </row>
    <row r="38" spans="1:18" ht="15" x14ac:dyDescent="0.25">
      <c r="A38" s="1">
        <v>4103</v>
      </c>
      <c r="B38" s="1">
        <v>4103</v>
      </c>
      <c r="C38" s="63" t="s">
        <v>164</v>
      </c>
      <c r="D38" s="110">
        <f>IFERROR(VLOOKUP(C38,'5103 Opening Balance'!A:B,2,FALSE),0)</f>
        <v>0</v>
      </c>
      <c r="E38" s="110">
        <f>IFERROR(VLOOKUP(C38,'5103'!A:B,2,FALSE),0)</f>
        <v>0</v>
      </c>
      <c r="F38" s="91">
        <f t="shared" si="7"/>
        <v>0</v>
      </c>
      <c r="G38" s="111">
        <f>SUMIFS('Amex Sales in MidnightDrawer'!F:F,'Amex Sales in MidnightDrawer'!A:A,'Summary before PDE write-offs'!B38,'Amex Sales in MidnightDrawer'!G:G,"Before Midnight")</f>
        <v>0</v>
      </c>
      <c r="H38" s="8"/>
      <c r="I38" s="93">
        <f t="shared" si="2"/>
        <v>0</v>
      </c>
      <c r="J38" s="9">
        <f>SUMIF('Amex Receipted On the 1st'!G:G,'Summary before PDE write-offs'!A38,'Amex Receipted On the 1st'!D:D)+SUMIF('Amex Sale after 7pm Syd Time'!A:A,'Summary before PDE write-offs'!B38,'Amex Sale after 7pm Syd Time'!C:C)</f>
        <v>0</v>
      </c>
      <c r="K38" s="9"/>
      <c r="L38" s="31">
        <f t="shared" si="8"/>
        <v>0</v>
      </c>
      <c r="M38" s="2"/>
      <c r="O38" s="4"/>
      <c r="P38" s="4"/>
      <c r="R38" s="71"/>
    </row>
    <row r="39" spans="1:18" ht="15" x14ac:dyDescent="0.25">
      <c r="A39" s="1">
        <v>4104</v>
      </c>
      <c r="B39" s="1">
        <v>4104</v>
      </c>
      <c r="C39" s="63" t="s">
        <v>167</v>
      </c>
      <c r="D39" s="110">
        <f>IFERROR(VLOOKUP(C39,'5103 Opening Balance'!A:B,2,FALSE),0)</f>
        <v>2.1</v>
      </c>
      <c r="E39" s="110">
        <f>IFERROR(VLOOKUP(C39,'5103'!A:B,2,FALSE),0)</f>
        <v>-2.0999999999999979</v>
      </c>
      <c r="F39" s="91">
        <f t="shared" ref="F39" si="13">D39+E39</f>
        <v>0</v>
      </c>
      <c r="G39" s="111">
        <f>SUMIFS('Amex Sales in MidnightDrawer'!F:F,'Amex Sales in MidnightDrawer'!A:A,'Summary before PDE write-offs'!B39,'Amex Sales in MidnightDrawer'!G:G,"Before Midnight")</f>
        <v>0</v>
      </c>
      <c r="H39" s="8"/>
      <c r="I39" s="93">
        <f t="shared" si="2"/>
        <v>0</v>
      </c>
      <c r="J39" s="9">
        <f>SUMIF('Amex Receipted On the 1st'!G:G,'Summary before PDE write-offs'!A39,'Amex Receipted On the 1st'!D:D)+SUMIF('Amex Sale after 7pm Syd Time'!A:A,'Summary before PDE write-offs'!B39,'Amex Sale after 7pm Syd Time'!C:C)</f>
        <v>0</v>
      </c>
      <c r="K39" s="9"/>
      <c r="L39" s="31">
        <f t="shared" ref="L39" si="14">I39-J39</f>
        <v>0</v>
      </c>
      <c r="M39" s="2"/>
      <c r="O39" s="4"/>
      <c r="P39" s="4"/>
      <c r="R39" s="73"/>
    </row>
    <row r="40" spans="1:18" ht="15" x14ac:dyDescent="0.25">
      <c r="A40" s="1">
        <v>4106</v>
      </c>
      <c r="B40" s="1">
        <v>4106</v>
      </c>
      <c r="C40" s="65" t="s">
        <v>169</v>
      </c>
      <c r="D40" s="110">
        <f>IFERROR(VLOOKUP(C40,'5103 Opening Balance'!A:B,2,FALSE),0)</f>
        <v>48.08</v>
      </c>
      <c r="E40" s="110">
        <f>IFERROR(VLOOKUP(C40,'5103'!A:B,2,FALSE),0)</f>
        <v>-6.6499999999999773</v>
      </c>
      <c r="F40" s="91">
        <f t="shared" ref="F40:F43" si="15">D40+E40</f>
        <v>41.430000000000021</v>
      </c>
      <c r="G40" s="111">
        <f>SUMIFS('Amex Sales in MidnightDrawer'!F:F,'Amex Sales in MidnightDrawer'!A:A,'Summary before PDE write-offs'!B40,'Amex Sales in MidnightDrawer'!G:G,"Before Midnight")</f>
        <v>0</v>
      </c>
      <c r="H40" s="8"/>
      <c r="I40" s="93">
        <f t="shared" si="2"/>
        <v>41.430000000000021</v>
      </c>
      <c r="J40" s="9">
        <f>SUMIF('Amex Receipted On the 1st'!G:G,'Summary before PDE write-offs'!A40,'Amex Receipted On the 1st'!D:D)+SUMIF('Amex Sale after 7pm Syd Time'!A:A,'Summary before PDE write-offs'!B40,'Amex Sale after 7pm Syd Time'!C:C)</f>
        <v>46.93</v>
      </c>
      <c r="K40" s="9"/>
      <c r="L40" s="31">
        <f t="shared" ref="L40:L43" si="16">I40-J40</f>
        <v>-5.4999999999999787</v>
      </c>
      <c r="M40" s="2"/>
      <c r="O40" s="4"/>
      <c r="P40" s="4"/>
      <c r="R40" s="73" t="s">
        <v>248</v>
      </c>
    </row>
    <row r="41" spans="1:18" ht="15" x14ac:dyDescent="0.25">
      <c r="A41" s="1">
        <v>4107</v>
      </c>
      <c r="B41" s="1">
        <v>4107</v>
      </c>
      <c r="C41" s="69" t="s">
        <v>178</v>
      </c>
      <c r="D41" s="110">
        <f>IFERROR(VLOOKUP(C41,'5103 Opening Balance'!A:B,2,FALSE),0)</f>
        <v>37.979999999999997</v>
      </c>
      <c r="E41" s="110">
        <f>IFERROR(VLOOKUP(C41,'5103'!A:B,2,FALSE),0)</f>
        <v>67.180000000000064</v>
      </c>
      <c r="F41" s="91">
        <f t="shared" ref="F41" si="17">D41+E41</f>
        <v>105.16000000000005</v>
      </c>
      <c r="G41" s="111">
        <f>SUMIFS('Amex Sales in MidnightDrawer'!F:F,'Amex Sales in MidnightDrawer'!A:A,'Summary before PDE write-offs'!B41,'Amex Sales in MidnightDrawer'!G:G,"Before Midnight")</f>
        <v>0</v>
      </c>
      <c r="H41" s="8"/>
      <c r="I41" s="93">
        <f t="shared" si="2"/>
        <v>105.16000000000005</v>
      </c>
      <c r="J41" s="9">
        <f>SUMIF('Amex Receipted On the 1st'!G:G,'Summary before PDE write-offs'!A41,'Amex Receipted On the 1st'!D:D)+SUMIF('Amex Sale after 7pm Syd Time'!A:A,'Summary before PDE write-offs'!B41,'Amex Sale after 7pm Syd Time'!C:C)</f>
        <v>135.61000000000001</v>
      </c>
      <c r="K41" s="9"/>
      <c r="L41" s="31">
        <f t="shared" ref="L41" si="18">I41-J41</f>
        <v>-30.44999999999996</v>
      </c>
      <c r="M41" s="2"/>
      <c r="O41" s="4"/>
      <c r="P41" s="4"/>
      <c r="R41" s="73" t="s">
        <v>249</v>
      </c>
    </row>
    <row r="42" spans="1:18" ht="15" x14ac:dyDescent="0.25">
      <c r="A42" s="1">
        <v>4108</v>
      </c>
      <c r="B42" s="1">
        <v>4108</v>
      </c>
      <c r="C42" s="80" t="s">
        <v>188</v>
      </c>
      <c r="D42" s="110">
        <f>IFERROR(VLOOKUP(C42,'5103 Opening Balance'!A:B,2,FALSE),0)</f>
        <v>0</v>
      </c>
      <c r="E42" s="110">
        <f>IFERROR(VLOOKUP(C42,'5103'!A:B,2,FALSE),0)</f>
        <v>0</v>
      </c>
      <c r="F42" s="91">
        <f t="shared" ref="F42" si="19">D42+E42</f>
        <v>0</v>
      </c>
      <c r="G42" s="111">
        <f>SUMIFS('Amex Sales in MidnightDrawer'!F:F,'Amex Sales in MidnightDrawer'!A:A,'Summary before PDE write-offs'!B42,'Amex Sales in MidnightDrawer'!G:G,"Before Midnight")</f>
        <v>0</v>
      </c>
      <c r="H42" s="8"/>
      <c r="I42" s="93">
        <f t="shared" ref="I42" si="20">SUM(F42:H42)</f>
        <v>0</v>
      </c>
      <c r="J42" s="9">
        <f>SUMIF('Amex Receipted On the 1st'!G:G,'Summary before PDE write-offs'!A42,'Amex Receipted On the 1st'!D:D)+SUMIF('Amex Sale after 7pm Syd Time'!A:A,'Summary before PDE write-offs'!B42,'Amex Sale after 7pm Syd Time'!C:C)</f>
        <v>0</v>
      </c>
      <c r="K42" s="9"/>
      <c r="L42" s="31">
        <f t="shared" ref="L42" si="21">I42-J42</f>
        <v>0</v>
      </c>
      <c r="M42" s="2"/>
      <c r="O42" s="4"/>
      <c r="P42" s="4"/>
      <c r="R42" s="78"/>
    </row>
    <row r="43" spans="1:18" ht="15" x14ac:dyDescent="0.25">
      <c r="A43" s="1">
        <v>4109</v>
      </c>
      <c r="B43" s="1">
        <v>4109</v>
      </c>
      <c r="C43" s="65" t="s">
        <v>170</v>
      </c>
      <c r="D43" s="110">
        <f>IFERROR(VLOOKUP(C43,'5103 Opening Balance'!A:B,2,FALSE),0)</f>
        <v>0</v>
      </c>
      <c r="E43" s="110">
        <f>IFERROR(VLOOKUP(C43,'5103'!A:B,2,FALSE),0)</f>
        <v>0</v>
      </c>
      <c r="F43" s="91">
        <f t="shared" si="15"/>
        <v>0</v>
      </c>
      <c r="G43" s="111">
        <f>SUMIFS('Amex Sales in MidnightDrawer'!F:F,'Amex Sales in MidnightDrawer'!A:A,'Summary before PDE write-offs'!B43,'Amex Sales in MidnightDrawer'!G:G,"Before Midnight")</f>
        <v>0</v>
      </c>
      <c r="H43" s="8"/>
      <c r="I43" s="93">
        <f t="shared" si="2"/>
        <v>0</v>
      </c>
      <c r="J43" s="9">
        <f>SUMIF('Amex Receipted On the 1st'!G:G,'Summary before PDE write-offs'!A43,'Amex Receipted On the 1st'!D:D)+SUMIF('Amex Sale after 7pm Syd Time'!A:A,'Summary before PDE write-offs'!B43,'Amex Sale after 7pm Syd Time'!C:C)</f>
        <v>0</v>
      </c>
      <c r="K43" s="9"/>
      <c r="L43" s="31">
        <f t="shared" si="16"/>
        <v>0</v>
      </c>
      <c r="M43" s="2"/>
      <c r="O43" s="4"/>
      <c r="P43" s="4"/>
      <c r="R43" s="73"/>
    </row>
    <row r="44" spans="1:18" ht="15" x14ac:dyDescent="0.25">
      <c r="A44" s="1">
        <v>4110</v>
      </c>
      <c r="B44" s="1">
        <v>4110</v>
      </c>
      <c r="C44" s="67" t="s">
        <v>174</v>
      </c>
      <c r="D44" s="110">
        <f>IFERROR(VLOOKUP(C44,'5103 Opening Balance'!A:B,2,FALSE),0)</f>
        <v>0</v>
      </c>
      <c r="E44" s="110">
        <f>IFERROR(VLOOKUP(C44,'5103'!A:B,2,FALSE),0)</f>
        <v>0</v>
      </c>
      <c r="F44" s="91">
        <f t="shared" ref="F44" si="22">D44+E44</f>
        <v>0</v>
      </c>
      <c r="G44" s="111">
        <f>SUMIFS('Amex Sales in MidnightDrawer'!F:F,'Amex Sales in MidnightDrawer'!A:A,'Summary before PDE write-offs'!B44,'Amex Sales in MidnightDrawer'!G:G,"Before Midnight")</f>
        <v>0</v>
      </c>
      <c r="H44" s="8"/>
      <c r="I44" s="93">
        <f t="shared" si="2"/>
        <v>0</v>
      </c>
      <c r="J44" s="9">
        <f>SUMIF('Amex Receipted On the 1st'!G:G,'Summary before PDE write-offs'!A44,'Amex Receipted On the 1st'!D:D)+SUMIF('Amex Sale after 7pm Syd Time'!A:A,'Summary before PDE write-offs'!B44,'Amex Sale after 7pm Syd Time'!C:C)</f>
        <v>0</v>
      </c>
      <c r="K44" s="9"/>
      <c r="L44" s="31">
        <f t="shared" ref="L44" si="23">I44-J44</f>
        <v>0</v>
      </c>
      <c r="M44" s="2"/>
      <c r="O44" s="4"/>
      <c r="P44" s="4"/>
      <c r="R44" s="73"/>
    </row>
    <row r="45" spans="1:18" ht="15" x14ac:dyDescent="0.25">
      <c r="A45" s="1">
        <v>4115</v>
      </c>
      <c r="B45" s="7">
        <v>4115</v>
      </c>
      <c r="C45" s="48" t="s">
        <v>71</v>
      </c>
      <c r="D45" s="110">
        <f>IFERROR(VLOOKUP(C45,'5103 Opening Balance'!A:B,2,FALSE),0)</f>
        <v>0</v>
      </c>
      <c r="E45" s="110">
        <f>IFERROR(VLOOKUP(C45,'5103'!A:B,2,FALSE),0)</f>
        <v>0</v>
      </c>
      <c r="F45" s="91">
        <f t="shared" si="7"/>
        <v>0</v>
      </c>
      <c r="G45" s="111">
        <f>SUMIFS('Amex Sales in MidnightDrawer'!F:F,'Amex Sales in MidnightDrawer'!A:A,'Summary before PDE write-offs'!B45,'Amex Sales in MidnightDrawer'!G:G,"Before Midnight")</f>
        <v>0</v>
      </c>
      <c r="H45" s="8"/>
      <c r="I45" s="93">
        <f t="shared" si="2"/>
        <v>0</v>
      </c>
      <c r="J45" s="9">
        <f>SUMIF('Amex Receipted On the 1st'!G:G,'Summary before PDE write-offs'!A45,'Amex Receipted On the 1st'!D:D)+SUMIF('Amex Sale after 7pm Syd Time'!A:A,'Summary before PDE write-offs'!B45,'Amex Sale after 7pm Syd Time'!C:C)</f>
        <v>0</v>
      </c>
      <c r="K45" s="9"/>
      <c r="L45" s="31">
        <f t="shared" si="8"/>
        <v>0</v>
      </c>
      <c r="M45" s="2"/>
      <c r="O45" s="4">
        <f t="shared" si="4"/>
        <v>0</v>
      </c>
      <c r="P45" s="4" t="str">
        <f t="shared" si="0"/>
        <v>4115</v>
      </c>
      <c r="Q45" s="10">
        <v>5103</v>
      </c>
      <c r="R45" s="73"/>
    </row>
    <row r="46" spans="1:18" ht="15" x14ac:dyDescent="0.25">
      <c r="A46" s="1">
        <v>4122</v>
      </c>
      <c r="B46" s="1">
        <v>4122</v>
      </c>
      <c r="C46" s="63" t="s">
        <v>165</v>
      </c>
      <c r="D46" s="110">
        <f>IFERROR(VLOOKUP(C46,'5103 Opening Balance'!A:B,2,FALSE),0)</f>
        <v>0</v>
      </c>
      <c r="E46" s="110">
        <f>IFERROR(VLOOKUP(C46,'5103'!A:B,2,FALSE),0)</f>
        <v>0</v>
      </c>
      <c r="F46" s="91">
        <f t="shared" si="7"/>
        <v>0</v>
      </c>
      <c r="G46" s="111">
        <f>SUMIFS('Amex Sales in MidnightDrawer'!F:F,'Amex Sales in MidnightDrawer'!A:A,'Summary before PDE write-offs'!B46,'Amex Sales in MidnightDrawer'!G:G,"Before Midnight")</f>
        <v>0</v>
      </c>
      <c r="H46" s="8"/>
      <c r="I46" s="93">
        <f t="shared" si="2"/>
        <v>0</v>
      </c>
      <c r="J46" s="9">
        <f>SUMIF('Amex Receipted On the 1st'!G:G,'Summary before PDE write-offs'!A46,'Amex Receipted On the 1st'!D:D)+SUMIF('Amex Sale after 7pm Syd Time'!A:A,'Summary before PDE write-offs'!B46,'Amex Sale after 7pm Syd Time'!C:C)</f>
        <v>0</v>
      </c>
      <c r="K46" s="9"/>
      <c r="L46" s="31">
        <f t="shared" si="8"/>
        <v>0</v>
      </c>
      <c r="M46" s="2"/>
      <c r="O46" s="4"/>
      <c r="P46" s="4"/>
      <c r="R46" s="73"/>
    </row>
    <row r="47" spans="1:18" ht="15" x14ac:dyDescent="0.25">
      <c r="A47" s="1">
        <v>4145</v>
      </c>
      <c r="B47" s="7">
        <v>4145</v>
      </c>
      <c r="C47" s="48" t="s">
        <v>47</v>
      </c>
      <c r="D47" s="110">
        <f>IFERROR(VLOOKUP(C47,'5103 Opening Balance'!A:B,2,FALSE),0)</f>
        <v>0</v>
      </c>
      <c r="E47" s="110">
        <f>IFERROR(VLOOKUP(C47,'5103'!A:B,2,FALSE),0)</f>
        <v>0</v>
      </c>
      <c r="F47" s="91">
        <f t="shared" si="7"/>
        <v>0</v>
      </c>
      <c r="G47" s="111">
        <f>SUMIFS('Amex Sales in MidnightDrawer'!F:F,'Amex Sales in MidnightDrawer'!A:A,'Summary before PDE write-offs'!B47,'Amex Sales in MidnightDrawer'!G:G,"Before Midnight")</f>
        <v>0</v>
      </c>
      <c r="H47" s="8"/>
      <c r="I47" s="93">
        <f t="shared" si="2"/>
        <v>0</v>
      </c>
      <c r="J47" s="9">
        <f>SUMIF('Amex Receipted On the 1st'!G:G,'Summary before PDE write-offs'!A47,'Amex Receipted On the 1st'!D:D)+SUMIF('Amex Sale after 7pm Syd Time'!A:A,'Summary before PDE write-offs'!B47,'Amex Sale after 7pm Syd Time'!C:C)</f>
        <v>0</v>
      </c>
      <c r="K47" s="9"/>
      <c r="L47" s="31">
        <f t="shared" si="8"/>
        <v>0</v>
      </c>
      <c r="M47" s="2"/>
      <c r="O47" s="4">
        <f t="shared" si="4"/>
        <v>0</v>
      </c>
      <c r="P47" s="4" t="str">
        <f t="shared" si="0"/>
        <v>4145</v>
      </c>
      <c r="Q47" s="10">
        <v>5103</v>
      </c>
      <c r="R47" s="73"/>
    </row>
    <row r="48" spans="1:18" ht="15" x14ac:dyDescent="0.25">
      <c r="A48" s="1">
        <v>4149</v>
      </c>
      <c r="B48" s="7">
        <v>4149</v>
      </c>
      <c r="C48" s="48" t="s">
        <v>72</v>
      </c>
      <c r="D48" s="110">
        <f>IFERROR(VLOOKUP(C48,'5103 Opening Balance'!A:B,2,FALSE),0)</f>
        <v>0</v>
      </c>
      <c r="E48" s="110">
        <f>IFERROR(VLOOKUP(C48,'5103'!A:B,2,FALSE),0)</f>
        <v>0</v>
      </c>
      <c r="F48" s="91">
        <f t="shared" si="7"/>
        <v>0</v>
      </c>
      <c r="G48" s="111">
        <f>SUMIFS('Amex Sales in MidnightDrawer'!F:F,'Amex Sales in MidnightDrawer'!A:A,'Summary before PDE write-offs'!B48,'Amex Sales in MidnightDrawer'!G:G,"Before Midnight")</f>
        <v>0</v>
      </c>
      <c r="H48" s="8"/>
      <c r="I48" s="93">
        <f t="shared" si="2"/>
        <v>0</v>
      </c>
      <c r="J48" s="9">
        <f>SUMIF('Amex Receipted On the 1st'!G:G,'Summary before PDE write-offs'!A48,'Amex Receipted On the 1st'!D:D)+SUMIF('Amex Sale after 7pm Syd Time'!A:A,'Summary before PDE write-offs'!B48,'Amex Sale after 7pm Syd Time'!C:C)</f>
        <v>0</v>
      </c>
      <c r="K48" s="9"/>
      <c r="L48" s="31">
        <f t="shared" si="8"/>
        <v>0</v>
      </c>
      <c r="M48" s="2"/>
      <c r="O48" s="4">
        <f t="shared" si="4"/>
        <v>0</v>
      </c>
      <c r="P48" s="4" t="str">
        <f t="shared" si="0"/>
        <v>4149</v>
      </c>
      <c r="Q48" s="10">
        <v>5103</v>
      </c>
      <c r="R48" s="73"/>
    </row>
    <row r="49" spans="1:18" ht="15" x14ac:dyDescent="0.25">
      <c r="A49" s="1">
        <v>4155</v>
      </c>
      <c r="B49" s="7">
        <v>4155</v>
      </c>
      <c r="C49" s="48" t="s">
        <v>101</v>
      </c>
      <c r="D49" s="110">
        <f>IFERROR(VLOOKUP(C49,'5103 Opening Balance'!A:B,2,FALSE),0)</f>
        <v>0</v>
      </c>
      <c r="E49" s="110">
        <f>IFERROR(VLOOKUP(C49,'5103'!A:B,2,FALSE),0)</f>
        <v>0</v>
      </c>
      <c r="F49" s="91">
        <f t="shared" si="7"/>
        <v>0</v>
      </c>
      <c r="G49" s="111">
        <f>SUMIFS('Amex Sales in MidnightDrawer'!F:F,'Amex Sales in MidnightDrawer'!A:A,'Summary before PDE write-offs'!B49,'Amex Sales in MidnightDrawer'!G:G,"Before Midnight")</f>
        <v>0</v>
      </c>
      <c r="H49" s="8"/>
      <c r="I49" s="93">
        <f t="shared" si="2"/>
        <v>0</v>
      </c>
      <c r="J49" s="9">
        <f>SUMIF('Amex Receipted On the 1st'!G:G,'Summary before PDE write-offs'!A49,'Amex Receipted On the 1st'!D:D)+SUMIF('Amex Sale after 7pm Syd Time'!A:A,'Summary before PDE write-offs'!B49,'Amex Sale after 7pm Syd Time'!C:C)</f>
        <v>0</v>
      </c>
      <c r="K49" s="9"/>
      <c r="L49" s="31">
        <f t="shared" si="8"/>
        <v>0</v>
      </c>
      <c r="M49" s="2"/>
      <c r="O49" s="4">
        <f t="shared" si="4"/>
        <v>0</v>
      </c>
      <c r="P49" s="4" t="str">
        <f t="shared" ref="P49:P74" si="24">LEFT(C49,4)</f>
        <v>4155</v>
      </c>
      <c r="Q49" s="10">
        <v>5103</v>
      </c>
      <c r="R49" s="73"/>
    </row>
    <row r="50" spans="1:18" ht="15" x14ac:dyDescent="0.25">
      <c r="A50" s="1">
        <v>4157</v>
      </c>
      <c r="B50" s="7">
        <v>4157</v>
      </c>
      <c r="C50" s="48" t="s">
        <v>102</v>
      </c>
      <c r="D50" s="110">
        <f>IFERROR(VLOOKUP(C50,'5103 Opening Balance'!A:B,2,FALSE),0)</f>
        <v>0</v>
      </c>
      <c r="E50" s="110">
        <f>IFERROR(VLOOKUP(C50,'5103'!A:B,2,FALSE),0)</f>
        <v>0</v>
      </c>
      <c r="F50" s="91">
        <f t="shared" si="5"/>
        <v>0</v>
      </c>
      <c r="G50" s="111">
        <f>SUMIFS('Amex Sales in MidnightDrawer'!F:F,'Amex Sales in MidnightDrawer'!A:A,'Summary before PDE write-offs'!B50,'Amex Sales in MidnightDrawer'!G:G,"Before Midnight")</f>
        <v>0</v>
      </c>
      <c r="H50" s="8"/>
      <c r="I50" s="93">
        <f t="shared" si="2"/>
        <v>0</v>
      </c>
      <c r="J50" s="9">
        <f>SUMIF('Amex Receipted On the 1st'!G:G,'Summary before PDE write-offs'!A50,'Amex Receipted On the 1st'!D:D)+SUMIF('Amex Sale after 7pm Syd Time'!A:A,'Summary before PDE write-offs'!B50,'Amex Sale after 7pm Syd Time'!C:C)</f>
        <v>0</v>
      </c>
      <c r="K50" s="9"/>
      <c r="L50" s="31">
        <f t="shared" si="6"/>
        <v>0</v>
      </c>
      <c r="M50" s="2"/>
      <c r="O50" s="4">
        <f t="shared" si="4"/>
        <v>0</v>
      </c>
      <c r="P50" s="4" t="str">
        <f t="shared" si="24"/>
        <v>4157</v>
      </c>
      <c r="Q50" s="10">
        <v>5103</v>
      </c>
      <c r="R50" s="73"/>
    </row>
    <row r="51" spans="1:18" ht="15" x14ac:dyDescent="0.25">
      <c r="A51" s="1">
        <v>4170</v>
      </c>
      <c r="B51" s="7">
        <v>4170</v>
      </c>
      <c r="C51" s="48" t="s">
        <v>82</v>
      </c>
      <c r="D51" s="110">
        <f>IFERROR(VLOOKUP(C51,'5103 Opening Balance'!A:B,2,FALSE),0)</f>
        <v>0</v>
      </c>
      <c r="E51" s="110">
        <f>IFERROR(VLOOKUP(C51,'5103'!A:B,2,FALSE),0)</f>
        <v>0</v>
      </c>
      <c r="F51" s="91">
        <f t="shared" si="5"/>
        <v>0</v>
      </c>
      <c r="G51" s="111">
        <f>SUMIFS('Amex Sales in MidnightDrawer'!F:F,'Amex Sales in MidnightDrawer'!A:A,'Summary before PDE write-offs'!B51,'Amex Sales in MidnightDrawer'!G:G,"Before Midnight")</f>
        <v>0</v>
      </c>
      <c r="H51" s="8"/>
      <c r="I51" s="93">
        <f t="shared" si="2"/>
        <v>0</v>
      </c>
      <c r="J51" s="9">
        <f>SUMIF('Amex Receipted On the 1st'!G:G,'Summary before PDE write-offs'!A51,'Amex Receipted On the 1st'!D:D)+SUMIF('Amex Sale after 7pm Syd Time'!A:A,'Summary before PDE write-offs'!B51,'Amex Sale after 7pm Syd Time'!C:C)</f>
        <v>0</v>
      </c>
      <c r="K51" s="9"/>
      <c r="L51" s="31">
        <f t="shared" si="6"/>
        <v>0</v>
      </c>
      <c r="M51" s="2"/>
      <c r="O51" s="4">
        <f t="shared" si="4"/>
        <v>0</v>
      </c>
      <c r="P51" s="4" t="str">
        <f t="shared" si="24"/>
        <v>4170</v>
      </c>
      <c r="Q51" s="10">
        <v>5103</v>
      </c>
      <c r="R51" s="73"/>
    </row>
    <row r="52" spans="1:18" ht="15" x14ac:dyDescent="0.25">
      <c r="A52" s="1">
        <v>4201</v>
      </c>
      <c r="B52" s="7">
        <v>4201</v>
      </c>
      <c r="C52" s="60" t="s">
        <v>141</v>
      </c>
      <c r="D52" s="110">
        <f>IFERROR(VLOOKUP(C52,'5103 Opening Balance'!A:B,2,FALSE),0)</f>
        <v>0</v>
      </c>
      <c r="E52" s="110">
        <f>IFERROR(VLOOKUP(C52,'5103'!A:B,2,FALSE),0)</f>
        <v>0</v>
      </c>
      <c r="F52" s="91">
        <f t="shared" si="5"/>
        <v>0</v>
      </c>
      <c r="G52" s="111">
        <f>SUMIFS('Amex Sales in MidnightDrawer'!F:F,'Amex Sales in MidnightDrawer'!A:A,'Summary before PDE write-offs'!B52,'Amex Sales in MidnightDrawer'!G:G,"Before Midnight")</f>
        <v>0</v>
      </c>
      <c r="H52" s="8"/>
      <c r="I52" s="93">
        <f t="shared" si="2"/>
        <v>0</v>
      </c>
      <c r="J52" s="9">
        <f>SUMIF('Amex Receipted On the 1st'!G:G,'Summary before PDE write-offs'!A52,'Amex Receipted On the 1st'!D:D)+SUMIF('Amex Sale after 7pm Syd Time'!A:A,'Summary before PDE write-offs'!B52,'Amex Sale after 7pm Syd Time'!C:C)</f>
        <v>0</v>
      </c>
      <c r="K52" s="9"/>
      <c r="L52" s="31">
        <f t="shared" si="6"/>
        <v>0</v>
      </c>
      <c r="M52" s="2"/>
      <c r="O52" s="4"/>
      <c r="P52" s="4"/>
      <c r="R52" s="73"/>
    </row>
    <row r="53" spans="1:18" ht="15" x14ac:dyDescent="0.25">
      <c r="A53" s="1">
        <v>4235</v>
      </c>
      <c r="B53" s="7">
        <v>4235</v>
      </c>
      <c r="C53" s="48" t="s">
        <v>83</v>
      </c>
      <c r="D53" s="110">
        <f>IFERROR(VLOOKUP(C53,'5103 Opening Balance'!A:B,2,FALSE),0)</f>
        <v>0</v>
      </c>
      <c r="E53" s="110">
        <f>IFERROR(VLOOKUP(C53,'5103'!A:B,2,FALSE),0)</f>
        <v>0</v>
      </c>
      <c r="F53" s="91">
        <f t="shared" si="5"/>
        <v>0</v>
      </c>
      <c r="G53" s="111">
        <f>SUMIFS('Amex Sales in MidnightDrawer'!F:F,'Amex Sales in MidnightDrawer'!A:A,'Summary before PDE write-offs'!B53,'Amex Sales in MidnightDrawer'!G:G,"Before Midnight")</f>
        <v>0</v>
      </c>
      <c r="H53" s="8"/>
      <c r="I53" s="93">
        <f t="shared" si="2"/>
        <v>0</v>
      </c>
      <c r="J53" s="9">
        <f>SUMIF('Amex Receipted On the 1st'!G:G,'Summary before PDE write-offs'!A53,'Amex Receipted On the 1st'!D:D)+SUMIF('Amex Sale after 7pm Syd Time'!A:A,'Summary before PDE write-offs'!B53,'Amex Sale after 7pm Syd Time'!C:C)</f>
        <v>0</v>
      </c>
      <c r="K53" s="9"/>
      <c r="L53" s="31">
        <f t="shared" si="6"/>
        <v>0</v>
      </c>
      <c r="M53" s="2"/>
      <c r="O53" s="4">
        <f t="shared" si="4"/>
        <v>0</v>
      </c>
      <c r="P53" s="4" t="str">
        <f t="shared" si="24"/>
        <v>4235</v>
      </c>
      <c r="Q53" s="10">
        <v>5103</v>
      </c>
      <c r="R53" s="73"/>
    </row>
    <row r="54" spans="1:18" ht="15" x14ac:dyDescent="0.25">
      <c r="A54" s="1">
        <v>4239</v>
      </c>
      <c r="B54" s="7">
        <v>4239</v>
      </c>
      <c r="C54" s="48" t="s">
        <v>48</v>
      </c>
      <c r="D54" s="110">
        <f>IFERROR(VLOOKUP(C54,'5103 Opening Balance'!A:B,2,FALSE),0)</f>
        <v>0</v>
      </c>
      <c r="E54" s="110">
        <f>IFERROR(VLOOKUP(C54,'5103'!A:B,2,FALSE),0)</f>
        <v>0</v>
      </c>
      <c r="F54" s="91">
        <f t="shared" si="5"/>
        <v>0</v>
      </c>
      <c r="G54" s="111">
        <f>SUMIFS('Amex Sales in MidnightDrawer'!F:F,'Amex Sales in MidnightDrawer'!A:A,'Summary before PDE write-offs'!B54,'Amex Sales in MidnightDrawer'!G:G,"Before Midnight")</f>
        <v>0</v>
      </c>
      <c r="H54" s="8"/>
      <c r="I54" s="93">
        <f t="shared" si="2"/>
        <v>0</v>
      </c>
      <c r="J54" s="9">
        <f>SUMIF('Amex Receipted On the 1st'!G:G,'Summary before PDE write-offs'!A54,'Amex Receipted On the 1st'!D:D)+SUMIF('Amex Sale after 7pm Syd Time'!A:A,'Summary before PDE write-offs'!B54,'Amex Sale after 7pm Syd Time'!C:C)</f>
        <v>0</v>
      </c>
      <c r="K54" s="9"/>
      <c r="L54" s="31">
        <f t="shared" si="6"/>
        <v>0</v>
      </c>
      <c r="M54" s="2"/>
      <c r="O54" s="4">
        <f t="shared" si="4"/>
        <v>0</v>
      </c>
      <c r="P54" s="4" t="str">
        <f t="shared" si="24"/>
        <v>4239</v>
      </c>
      <c r="Q54" s="10">
        <v>5103</v>
      </c>
      <c r="R54" s="73"/>
    </row>
    <row r="55" spans="1:18" ht="15" x14ac:dyDescent="0.25">
      <c r="A55" s="1">
        <v>4244</v>
      </c>
      <c r="B55" s="7">
        <v>4244</v>
      </c>
      <c r="C55" s="48" t="s">
        <v>84</v>
      </c>
      <c r="D55" s="110">
        <f>IFERROR(VLOOKUP(C55,'5103 Opening Balance'!A:B,2,FALSE),0)</f>
        <v>0</v>
      </c>
      <c r="E55" s="110">
        <f>IFERROR(VLOOKUP(C55,'5103'!A:B,2,FALSE),0)</f>
        <v>0</v>
      </c>
      <c r="F55" s="91">
        <f t="shared" si="5"/>
        <v>0</v>
      </c>
      <c r="G55" s="111">
        <f>SUMIFS('Amex Sales in MidnightDrawer'!F:F,'Amex Sales in MidnightDrawer'!A:A,'Summary before PDE write-offs'!B55,'Amex Sales in MidnightDrawer'!G:G,"Before Midnight")</f>
        <v>0</v>
      </c>
      <c r="H55" s="8"/>
      <c r="I55" s="93">
        <f t="shared" si="2"/>
        <v>0</v>
      </c>
      <c r="J55" s="9">
        <f>SUMIF('Amex Receipted On the 1st'!G:G,'Summary before PDE write-offs'!A55,'Amex Receipted On the 1st'!D:D)+SUMIF('Amex Sale after 7pm Syd Time'!A:A,'Summary before PDE write-offs'!B55,'Amex Sale after 7pm Syd Time'!C:C)</f>
        <v>0</v>
      </c>
      <c r="K55" s="9"/>
      <c r="L55" s="31">
        <f t="shared" si="6"/>
        <v>0</v>
      </c>
      <c r="M55" s="2"/>
      <c r="O55" s="4">
        <f t="shared" si="4"/>
        <v>0</v>
      </c>
      <c r="P55" s="4" t="str">
        <f t="shared" si="24"/>
        <v>4244</v>
      </c>
      <c r="Q55" s="10">
        <v>5103</v>
      </c>
      <c r="R55" s="74"/>
    </row>
    <row r="56" spans="1:18" ht="15" x14ac:dyDescent="0.25">
      <c r="A56" s="1">
        <v>4250</v>
      </c>
      <c r="B56" s="7">
        <v>4250</v>
      </c>
      <c r="C56" s="70" t="s">
        <v>186</v>
      </c>
      <c r="D56" s="110">
        <f>IFERROR(VLOOKUP(C56,'5103 Opening Balance'!A:B,2,FALSE),0)</f>
        <v>0</v>
      </c>
      <c r="E56" s="110">
        <f>IFERROR(VLOOKUP(C56,'5103'!A:B,2,FALSE),0)</f>
        <v>0</v>
      </c>
      <c r="F56" s="91">
        <f t="shared" ref="F56" si="25">D56+E56</f>
        <v>0</v>
      </c>
      <c r="G56" s="111">
        <f>SUMIFS('Amex Sales in MidnightDrawer'!F:F,'Amex Sales in MidnightDrawer'!A:A,'Summary before PDE write-offs'!B56,'Amex Sales in MidnightDrawer'!G:G,"Before Midnight")</f>
        <v>0</v>
      </c>
      <c r="H56" s="8"/>
      <c r="I56" s="93">
        <f t="shared" si="2"/>
        <v>0</v>
      </c>
      <c r="J56" s="9">
        <f>SUMIF('Amex Receipted On the 1st'!G:G,'Summary before PDE write-offs'!A56,'Amex Receipted On the 1st'!D:D)+SUMIF('Amex Sale after 7pm Syd Time'!A:A,'Summary before PDE write-offs'!B56,'Amex Sale after 7pm Syd Time'!C:C)</f>
        <v>0</v>
      </c>
      <c r="K56" s="9"/>
      <c r="L56" s="31">
        <f t="shared" ref="L56" si="26">I56-J56</f>
        <v>0</v>
      </c>
      <c r="M56" s="2"/>
      <c r="O56" s="4"/>
      <c r="P56" s="4"/>
      <c r="R56" s="73"/>
    </row>
    <row r="57" spans="1:18" ht="15" x14ac:dyDescent="0.25">
      <c r="A57" s="1">
        <v>4530</v>
      </c>
      <c r="B57" s="7">
        <v>4530</v>
      </c>
      <c r="C57" s="48" t="s">
        <v>94</v>
      </c>
      <c r="D57" s="110">
        <f>IFERROR(VLOOKUP(C57,'5103 Opening Balance'!A:B,2,FALSE),0)</f>
        <v>0</v>
      </c>
      <c r="E57" s="110">
        <f>IFERROR(VLOOKUP(C57,'5103'!A:B,2,FALSE),0)</f>
        <v>0</v>
      </c>
      <c r="F57" s="91">
        <f t="shared" si="5"/>
        <v>0</v>
      </c>
      <c r="G57" s="111">
        <f>SUMIFS('Amex Sales in MidnightDrawer'!F:F,'Amex Sales in MidnightDrawer'!A:A,'Summary before PDE write-offs'!B57,'Amex Sales in MidnightDrawer'!G:G,"Before Midnight")</f>
        <v>0</v>
      </c>
      <c r="H57" s="8"/>
      <c r="I57" s="93">
        <f t="shared" si="2"/>
        <v>0</v>
      </c>
      <c r="J57" s="9">
        <f>SUMIF('Amex Receipted On the 1st'!G:G,'Summary before PDE write-offs'!A57,'Amex Receipted On the 1st'!D:D)+SUMIF('Amex Sale after 7pm Syd Time'!A:A,'Summary before PDE write-offs'!B57,'Amex Sale after 7pm Syd Time'!C:C)</f>
        <v>0</v>
      </c>
      <c r="K57" s="9"/>
      <c r="L57" s="31">
        <f t="shared" si="6"/>
        <v>0</v>
      </c>
      <c r="M57" s="2"/>
      <c r="O57" s="4">
        <f t="shared" si="4"/>
        <v>0</v>
      </c>
      <c r="P57" s="4" t="str">
        <f t="shared" si="24"/>
        <v>4530</v>
      </c>
      <c r="Q57" s="10">
        <v>5103</v>
      </c>
      <c r="R57" s="73"/>
    </row>
    <row r="58" spans="1:18" ht="15" x14ac:dyDescent="0.25">
      <c r="A58" s="1">
        <v>4770</v>
      </c>
      <c r="B58" s="7">
        <v>4770</v>
      </c>
      <c r="C58" s="48" t="s">
        <v>85</v>
      </c>
      <c r="D58" s="110">
        <f>IFERROR(VLOOKUP(C58,'5103 Opening Balance'!A:B,2,FALSE),0)</f>
        <v>0</v>
      </c>
      <c r="E58" s="110">
        <f>IFERROR(VLOOKUP(C58,'5103'!A:B,2,FALSE),0)</f>
        <v>0</v>
      </c>
      <c r="F58" s="91">
        <f t="shared" si="5"/>
        <v>0</v>
      </c>
      <c r="G58" s="111">
        <f>SUMIFS('Amex Sales in MidnightDrawer'!F:F,'Amex Sales in MidnightDrawer'!A:A,'Summary before PDE write-offs'!B58,'Amex Sales in MidnightDrawer'!G:G,"Before Midnight")</f>
        <v>0</v>
      </c>
      <c r="H58" s="8"/>
      <c r="I58" s="93">
        <f t="shared" si="2"/>
        <v>0</v>
      </c>
      <c r="J58" s="9">
        <f>SUMIF('Amex Receipted On the 1st'!G:G,'Summary before PDE write-offs'!A58,'Amex Receipted On the 1st'!D:D)+SUMIF('Amex Sale after 7pm Syd Time'!A:A,'Summary before PDE write-offs'!B58,'Amex Sale after 7pm Syd Time'!C:C)</f>
        <v>0</v>
      </c>
      <c r="K58" s="9"/>
      <c r="L58" s="31">
        <f t="shared" si="6"/>
        <v>0</v>
      </c>
      <c r="M58" s="2"/>
      <c r="O58" s="4">
        <f t="shared" si="4"/>
        <v>0</v>
      </c>
      <c r="P58" s="4" t="str">
        <f t="shared" ref="P58" si="27">LEFT(C58,4)</f>
        <v>4770</v>
      </c>
      <c r="Q58" s="10">
        <v>5103</v>
      </c>
      <c r="R58" s="77"/>
    </row>
    <row r="59" spans="1:18" ht="15" x14ac:dyDescent="0.25">
      <c r="A59" s="1">
        <v>4775</v>
      </c>
      <c r="B59" s="7">
        <v>4775</v>
      </c>
      <c r="C59" s="48" t="s">
        <v>86</v>
      </c>
      <c r="D59" s="110">
        <f>IFERROR(VLOOKUP(C59,'5103 Opening Balance'!A:B,2,FALSE),0)</f>
        <v>0</v>
      </c>
      <c r="E59" s="110">
        <f>IFERROR(VLOOKUP(C59,'5103'!A:B,2,FALSE),0)</f>
        <v>0</v>
      </c>
      <c r="F59" s="91">
        <f t="shared" si="5"/>
        <v>0</v>
      </c>
      <c r="G59" s="111">
        <f>SUMIFS('Amex Sales in MidnightDrawer'!F:F,'Amex Sales in MidnightDrawer'!A:A,'Summary before PDE write-offs'!B59,'Amex Sales in MidnightDrawer'!G:G,"Before Midnight")</f>
        <v>0</v>
      </c>
      <c r="H59" s="8"/>
      <c r="I59" s="93">
        <f t="shared" si="2"/>
        <v>0</v>
      </c>
      <c r="J59" s="9">
        <f>SUMIF('Amex Receipted On the 1st'!G:G,'Summary before PDE write-offs'!A59,'Amex Receipted On the 1st'!D:D)+SUMIF('Amex Sale after 7pm Syd Time'!A:A,'Summary before PDE write-offs'!B59,'Amex Sale after 7pm Syd Time'!C:C)</f>
        <v>0</v>
      </c>
      <c r="K59" s="9"/>
      <c r="L59" s="31">
        <f t="shared" si="6"/>
        <v>0</v>
      </c>
      <c r="M59" s="2"/>
      <c r="O59" s="4">
        <f t="shared" si="4"/>
        <v>0</v>
      </c>
      <c r="P59" s="4" t="str">
        <f t="shared" si="24"/>
        <v>4775</v>
      </c>
      <c r="Q59" s="10">
        <v>5103</v>
      </c>
      <c r="R59" s="73"/>
    </row>
    <row r="60" spans="1:18" ht="15" x14ac:dyDescent="0.25">
      <c r="A60" s="1">
        <v>5053</v>
      </c>
      <c r="B60" s="7">
        <v>5531</v>
      </c>
      <c r="C60" s="48" t="s">
        <v>10</v>
      </c>
      <c r="D60" s="110">
        <f>IFERROR(VLOOKUP(C60,'5103 Opening Balance'!A:B,2,FALSE),0)</f>
        <v>0</v>
      </c>
      <c r="E60" s="110">
        <f>IFERROR(VLOOKUP(C60,'5103'!A:B,2,FALSE),0)</f>
        <v>0</v>
      </c>
      <c r="F60" s="91">
        <f t="shared" si="5"/>
        <v>0</v>
      </c>
      <c r="G60" s="111">
        <f>SUMIFS('Amex Sales in MidnightDrawer'!F:F,'Amex Sales in MidnightDrawer'!A:A,'Summary before PDE write-offs'!B60,'Amex Sales in MidnightDrawer'!G:G,"Before Midnight")</f>
        <v>0</v>
      </c>
      <c r="H60" s="8"/>
      <c r="I60" s="93">
        <f t="shared" si="2"/>
        <v>0</v>
      </c>
      <c r="J60" s="9">
        <f>SUMIF('Amex Receipted On the 1st'!G:G,'Summary before PDE write-offs'!A60,'Amex Receipted On the 1st'!D:D)+SUMIF('Amex Sale after 7pm Syd Time'!A:A,'Summary before PDE write-offs'!B60,'Amex Sale after 7pm Syd Time'!C:C)</f>
        <v>0</v>
      </c>
      <c r="K60" s="9"/>
      <c r="L60" s="31">
        <f t="shared" si="6"/>
        <v>0</v>
      </c>
      <c r="M60" s="2"/>
      <c r="O60" s="4">
        <f t="shared" si="4"/>
        <v>0</v>
      </c>
      <c r="P60" s="4" t="str">
        <f t="shared" si="24"/>
        <v>5053</v>
      </c>
      <c r="Q60" s="10">
        <v>5103</v>
      </c>
      <c r="R60" s="73"/>
    </row>
    <row r="61" spans="1:18" ht="15" x14ac:dyDescent="0.25">
      <c r="A61" s="1">
        <v>5192</v>
      </c>
      <c r="B61" s="7">
        <v>5192</v>
      </c>
      <c r="C61" s="48" t="s">
        <v>49</v>
      </c>
      <c r="D61" s="110">
        <f>IFERROR(VLOOKUP(C61,'5103 Opening Balance'!A:B,2,FALSE),0)</f>
        <v>0</v>
      </c>
      <c r="E61" s="110">
        <f>IFERROR(VLOOKUP(C61,'5103'!A:B,2,FALSE),0)</f>
        <v>0</v>
      </c>
      <c r="F61" s="91">
        <f t="shared" si="5"/>
        <v>0</v>
      </c>
      <c r="G61" s="111">
        <f>SUMIFS('Amex Sales in MidnightDrawer'!F:F,'Amex Sales in MidnightDrawer'!A:A,'Summary before PDE write-offs'!B61,'Amex Sales in MidnightDrawer'!G:G,"Before Midnight")</f>
        <v>0</v>
      </c>
      <c r="H61" s="8"/>
      <c r="I61" s="93">
        <f t="shared" si="2"/>
        <v>0</v>
      </c>
      <c r="J61" s="9">
        <f>SUMIF('Amex Receipted On the 1st'!G:G,'Summary before PDE write-offs'!A61,'Amex Receipted On the 1st'!D:D)+SUMIF('Amex Sale after 7pm Syd Time'!A:A,'Summary before PDE write-offs'!B61,'Amex Sale after 7pm Syd Time'!C:C)</f>
        <v>0</v>
      </c>
      <c r="K61" s="9"/>
      <c r="L61" s="31">
        <f t="shared" si="6"/>
        <v>0</v>
      </c>
      <c r="M61" s="2"/>
      <c r="O61" s="4">
        <f t="shared" si="4"/>
        <v>0</v>
      </c>
      <c r="P61" s="4" t="str">
        <f t="shared" si="24"/>
        <v>5192</v>
      </c>
      <c r="Q61" s="10">
        <v>5103</v>
      </c>
      <c r="R61" s="73"/>
    </row>
    <row r="62" spans="1:18" ht="15" x14ac:dyDescent="0.25">
      <c r="A62" s="1">
        <v>6026</v>
      </c>
      <c r="B62" s="7">
        <v>6261</v>
      </c>
      <c r="C62" s="48" t="s">
        <v>11</v>
      </c>
      <c r="D62" s="110">
        <f>IFERROR(VLOOKUP(C62,'5103 Opening Balance'!A:B,2,FALSE),0)</f>
        <v>0</v>
      </c>
      <c r="E62" s="110">
        <f>IFERROR(VLOOKUP(C62,'5103'!A:B,2,FALSE),0)</f>
        <v>0</v>
      </c>
      <c r="F62" s="91">
        <f t="shared" si="5"/>
        <v>0</v>
      </c>
      <c r="G62" s="111">
        <f>SUMIFS('Amex Sales in MidnightDrawer'!F:F,'Amex Sales in MidnightDrawer'!A:A,'Summary before PDE write-offs'!B62,'Amex Sales in MidnightDrawer'!G:G,"Before Midnight")</f>
        <v>0</v>
      </c>
      <c r="H62" s="8"/>
      <c r="I62" s="93">
        <f t="shared" si="2"/>
        <v>0</v>
      </c>
      <c r="J62" s="9">
        <f>SUMIF('Amex Receipted On the 1st'!G:G,'Summary before PDE write-offs'!A62,'Amex Receipted On the 1st'!D:D)+SUMIF('Amex Sale after 7pm Syd Time'!A:A,'Summary before PDE write-offs'!B62,'Amex Sale after 7pm Syd Time'!C:C)</f>
        <v>0</v>
      </c>
      <c r="K62" s="9"/>
      <c r="L62" s="31">
        <f t="shared" si="6"/>
        <v>0</v>
      </c>
      <c r="M62" s="2"/>
      <c r="O62" s="4">
        <f t="shared" si="4"/>
        <v>0</v>
      </c>
      <c r="P62" s="4" t="str">
        <f t="shared" si="24"/>
        <v>6026</v>
      </c>
      <c r="Q62" s="10">
        <v>5103</v>
      </c>
      <c r="R62" s="73"/>
    </row>
    <row r="63" spans="1:18" ht="15" x14ac:dyDescent="0.25">
      <c r="A63" s="1">
        <v>6087</v>
      </c>
      <c r="B63" s="7">
        <v>6087</v>
      </c>
      <c r="C63" s="48" t="s">
        <v>87</v>
      </c>
      <c r="D63" s="110">
        <f>IFERROR(VLOOKUP(C63,'5103 Opening Balance'!A:B,2,FALSE),0)</f>
        <v>0</v>
      </c>
      <c r="E63" s="110">
        <f>IFERROR(VLOOKUP(C63,'5103'!A:B,2,FALSE),0)</f>
        <v>0</v>
      </c>
      <c r="F63" s="91">
        <f t="shared" si="5"/>
        <v>0</v>
      </c>
      <c r="G63" s="111">
        <f>SUMIFS('Amex Sales in MidnightDrawer'!F:F,'Amex Sales in MidnightDrawer'!A:A,'Summary before PDE write-offs'!B63,'Amex Sales in MidnightDrawer'!G:G,"Before Midnight")</f>
        <v>0</v>
      </c>
      <c r="H63" s="8"/>
      <c r="I63" s="93">
        <f t="shared" si="2"/>
        <v>0</v>
      </c>
      <c r="J63" s="9">
        <f>SUMIF('Amex Receipted On the 1st'!G:G,'Summary before PDE write-offs'!A63,'Amex Receipted On the 1st'!D:D)+SUMIF('Amex Sale after 7pm Syd Time'!A:A,'Summary before PDE write-offs'!B63,'Amex Sale after 7pm Syd Time'!C:C)</f>
        <v>0</v>
      </c>
      <c r="K63" s="9"/>
      <c r="L63" s="31">
        <f t="shared" si="6"/>
        <v>0</v>
      </c>
      <c r="M63" s="2"/>
      <c r="O63" s="4">
        <f t="shared" si="4"/>
        <v>0</v>
      </c>
      <c r="P63" s="4" t="str">
        <f t="shared" si="24"/>
        <v>6087</v>
      </c>
      <c r="Q63" s="10">
        <v>5103</v>
      </c>
      <c r="R63" s="73"/>
    </row>
    <row r="64" spans="1:18" ht="15" x14ac:dyDescent="0.25">
      <c r="A64" s="1">
        <v>6089</v>
      </c>
      <c r="B64" s="7">
        <v>6089</v>
      </c>
      <c r="C64" s="60" t="s">
        <v>142</v>
      </c>
      <c r="D64" s="110">
        <f>IFERROR(VLOOKUP(C64,'5103 Opening Balance'!A:B,2,FALSE),0)</f>
        <v>0</v>
      </c>
      <c r="E64" s="110">
        <f>IFERROR(VLOOKUP(C64,'5103'!A:B,2,FALSE),0)</f>
        <v>0</v>
      </c>
      <c r="F64" s="91">
        <f t="shared" si="5"/>
        <v>0</v>
      </c>
      <c r="G64" s="111">
        <f>SUMIFS('Amex Sales in MidnightDrawer'!F:F,'Amex Sales in MidnightDrawer'!A:A,'Summary before PDE write-offs'!B64,'Amex Sales in MidnightDrawer'!G:G,"Before Midnight")</f>
        <v>0</v>
      </c>
      <c r="H64" s="8"/>
      <c r="I64" s="93">
        <f t="shared" si="2"/>
        <v>0</v>
      </c>
      <c r="J64" s="9">
        <f>SUMIF('Amex Receipted On the 1st'!G:G,'Summary before PDE write-offs'!A64,'Amex Receipted On the 1st'!D:D)+SUMIF('Amex Sale after 7pm Syd Time'!A:A,'Summary before PDE write-offs'!B64,'Amex Sale after 7pm Syd Time'!C:C)</f>
        <v>0</v>
      </c>
      <c r="K64" s="9"/>
      <c r="L64" s="31">
        <f t="shared" si="6"/>
        <v>0</v>
      </c>
      <c r="M64" s="2"/>
      <c r="O64" s="4"/>
      <c r="P64" s="4"/>
      <c r="R64" s="73"/>
    </row>
    <row r="65" spans="1:19" ht="15" x14ac:dyDescent="0.25">
      <c r="A65" s="1">
        <v>6165</v>
      </c>
      <c r="B65" s="7">
        <v>6165</v>
      </c>
      <c r="C65" s="48" t="s">
        <v>56</v>
      </c>
      <c r="D65" s="110">
        <f>IFERROR(VLOOKUP(C65,'5103 Opening Balance'!A:B,2,FALSE),0)</f>
        <v>0</v>
      </c>
      <c r="E65" s="110">
        <f>IFERROR(VLOOKUP(C65,'5103'!A:B,2,FALSE),0)</f>
        <v>0</v>
      </c>
      <c r="F65" s="91">
        <f t="shared" si="5"/>
        <v>0</v>
      </c>
      <c r="G65" s="111">
        <f>SUMIFS('Amex Sales in MidnightDrawer'!F:F,'Amex Sales in MidnightDrawer'!A:A,'Summary before PDE write-offs'!B65,'Amex Sales in MidnightDrawer'!G:G,"Before Midnight")</f>
        <v>0</v>
      </c>
      <c r="H65" s="8"/>
      <c r="I65" s="93">
        <f t="shared" si="2"/>
        <v>0</v>
      </c>
      <c r="J65" s="9">
        <f>SUMIF('Amex Receipted On the 1st'!G:G,'Summary before PDE write-offs'!A65,'Amex Receipted On the 1st'!D:D)+SUMIF('Amex Sale after 7pm Syd Time'!A:A,'Summary before PDE write-offs'!B65,'Amex Sale after 7pm Syd Time'!C:C)</f>
        <v>0</v>
      </c>
      <c r="K65" s="9"/>
      <c r="L65" s="31">
        <f t="shared" si="6"/>
        <v>0</v>
      </c>
      <c r="M65" s="2"/>
      <c r="O65" s="4">
        <f t="shared" si="4"/>
        <v>0</v>
      </c>
      <c r="P65" s="4" t="str">
        <f t="shared" si="24"/>
        <v>6165</v>
      </c>
      <c r="Q65" s="10">
        <v>5103</v>
      </c>
      <c r="R65" s="73"/>
    </row>
    <row r="66" spans="1:19" ht="15" x14ac:dyDescent="0.25">
      <c r="A66" s="1">
        <v>6176</v>
      </c>
      <c r="B66" s="7">
        <v>6176</v>
      </c>
      <c r="C66" s="69" t="s">
        <v>179</v>
      </c>
      <c r="D66" s="110">
        <f>IFERROR(VLOOKUP(C66,'5103 Opening Balance'!A:B,2,FALSE),0)</f>
        <v>0</v>
      </c>
      <c r="E66" s="110">
        <f>IFERROR(VLOOKUP(C66,'5103'!A:B,2,FALSE),0)</f>
        <v>142.46</v>
      </c>
      <c r="F66" s="91">
        <f t="shared" ref="F66" si="28">D66+E66</f>
        <v>142.46</v>
      </c>
      <c r="G66" s="111">
        <f>SUMIFS('Amex Sales in MidnightDrawer'!F:F,'Amex Sales in MidnightDrawer'!A:A,'Summary before PDE write-offs'!B66,'Amex Sales in MidnightDrawer'!G:G,"Before Midnight")</f>
        <v>0</v>
      </c>
      <c r="H66" s="8"/>
      <c r="I66" s="93">
        <f t="shared" si="2"/>
        <v>142.46</v>
      </c>
      <c r="J66" s="9">
        <f>SUMIF('Amex Receipted On the 1st'!G:G,'Summary before PDE write-offs'!A66,'Amex Receipted On the 1st'!D:D)+SUMIF('Amex Sale after 7pm Syd Time'!A:A,'Summary before PDE write-offs'!B66,'Amex Sale after 7pm Syd Time'!C:C)</f>
        <v>142.46</v>
      </c>
      <c r="K66" s="9"/>
      <c r="L66" s="31">
        <f t="shared" ref="L66" si="29">I66-J66</f>
        <v>0</v>
      </c>
      <c r="M66" s="2"/>
      <c r="O66" s="4"/>
      <c r="P66" s="4"/>
      <c r="R66" s="73"/>
    </row>
    <row r="67" spans="1:19" ht="15" x14ac:dyDescent="0.25">
      <c r="A67" s="1">
        <v>7064</v>
      </c>
      <c r="B67" s="7">
        <v>7641</v>
      </c>
      <c r="C67" s="48" t="s">
        <v>12</v>
      </c>
      <c r="D67" s="110">
        <f>IFERROR(VLOOKUP(C67,'5103 Opening Balance'!A:B,2,FALSE),0)</f>
        <v>0</v>
      </c>
      <c r="E67" s="110">
        <f>IFERROR(VLOOKUP(C67,'5103'!A:B,2,FALSE),0)</f>
        <v>74.949999999999989</v>
      </c>
      <c r="F67" s="91">
        <f t="shared" si="5"/>
        <v>74.949999999999989</v>
      </c>
      <c r="G67" s="111">
        <f>SUMIFS('Amex Sales in MidnightDrawer'!F:F,'Amex Sales in MidnightDrawer'!A:A,'Summary before PDE write-offs'!B67,'Amex Sales in MidnightDrawer'!G:G,"Before Midnight")</f>
        <v>0</v>
      </c>
      <c r="H67" s="8"/>
      <c r="I67" s="93">
        <f t="shared" si="2"/>
        <v>74.949999999999989</v>
      </c>
      <c r="J67" s="9">
        <f>SUMIF('Amex Receipted On the 1st'!G:G,'Summary before PDE write-offs'!A67,'Amex Receipted On the 1st'!D:D)+SUMIF('Amex Sale after 7pm Syd Time'!A:A,'Summary before PDE write-offs'!B67,'Amex Sale after 7pm Syd Time'!C:C)</f>
        <v>74.95</v>
      </c>
      <c r="K67" s="9"/>
      <c r="L67" s="31">
        <f t="shared" si="6"/>
        <v>0</v>
      </c>
      <c r="M67" s="2"/>
      <c r="O67" s="4">
        <f t="shared" si="4"/>
        <v>0</v>
      </c>
      <c r="P67" s="4" t="str">
        <f t="shared" si="24"/>
        <v>7064</v>
      </c>
      <c r="Q67" s="10">
        <v>5103</v>
      </c>
      <c r="R67" s="73"/>
    </row>
    <row r="68" spans="1:19" ht="15" x14ac:dyDescent="0.25">
      <c r="A68" s="1">
        <v>7078</v>
      </c>
      <c r="B68" s="7">
        <v>7078</v>
      </c>
      <c r="C68" s="48" t="s">
        <v>13</v>
      </c>
      <c r="D68" s="110">
        <f>IFERROR(VLOOKUP(C68,'5103 Opening Balance'!A:B,2,FALSE),0)</f>
        <v>0</v>
      </c>
      <c r="E68" s="110">
        <f>IFERROR(VLOOKUP(C68,'5103'!A:B,2,FALSE),0)</f>
        <v>126.12000000000002</v>
      </c>
      <c r="F68" s="91">
        <f t="shared" si="5"/>
        <v>126.12000000000002</v>
      </c>
      <c r="G68" s="111">
        <f>SUMIFS('Amex Sales in MidnightDrawer'!F:F,'Amex Sales in MidnightDrawer'!A:A,'Summary before PDE write-offs'!B68,'Amex Sales in MidnightDrawer'!G:G,"Before Midnight")</f>
        <v>0</v>
      </c>
      <c r="H68" s="8"/>
      <c r="I68" s="93">
        <f t="shared" ref="I68:I75" si="30">SUM(F68:H68)</f>
        <v>126.12000000000002</v>
      </c>
      <c r="J68" s="9">
        <f>SUMIF('Amex Receipted On the 1st'!G:G,'Summary before PDE write-offs'!A68,'Amex Receipted On the 1st'!D:D)+SUMIF('Amex Sale after 7pm Syd Time'!A:A,'Summary before PDE write-offs'!B68,'Amex Sale after 7pm Syd Time'!C:C)</f>
        <v>126.12</v>
      </c>
      <c r="K68" s="9"/>
      <c r="L68" s="31">
        <f t="shared" si="6"/>
        <v>0</v>
      </c>
      <c r="M68" s="2"/>
      <c r="O68" s="4">
        <f t="shared" si="4"/>
        <v>0</v>
      </c>
      <c r="P68" s="4" t="str">
        <f t="shared" si="24"/>
        <v>7078</v>
      </c>
      <c r="Q68" s="10">
        <v>5103</v>
      </c>
      <c r="R68" s="73"/>
    </row>
    <row r="69" spans="1:19" ht="15" x14ac:dyDescent="0.25">
      <c r="A69" s="1">
        <v>7079</v>
      </c>
      <c r="B69" s="7">
        <v>7079</v>
      </c>
      <c r="C69" s="48" t="s">
        <v>14</v>
      </c>
      <c r="D69" s="110">
        <f>IFERROR(VLOOKUP(C69,'5103 Opening Balance'!A:B,2,FALSE),0)</f>
        <v>0</v>
      </c>
      <c r="E69" s="110">
        <f>IFERROR(VLOOKUP(C69,'5103'!A:B,2,FALSE),0)</f>
        <v>707.36999999999989</v>
      </c>
      <c r="F69" s="91">
        <f t="shared" si="5"/>
        <v>707.36999999999989</v>
      </c>
      <c r="G69" s="111">
        <f>SUMIFS('Amex Sales in MidnightDrawer'!F:F,'Amex Sales in MidnightDrawer'!A:A,'Summary before PDE write-offs'!B69,'Amex Sales in MidnightDrawer'!G:G,"Before Midnight")</f>
        <v>0</v>
      </c>
      <c r="H69" s="8"/>
      <c r="I69" s="93">
        <f t="shared" si="30"/>
        <v>707.36999999999989</v>
      </c>
      <c r="J69" s="9">
        <f>SUMIF('Amex Receipted On the 1st'!G:G,'Summary before PDE write-offs'!A69,'Amex Receipted On the 1st'!D:D)+SUMIF('Amex Sale after 7pm Syd Time'!A:A,'Summary before PDE write-offs'!B69,'Amex Sale after 7pm Syd Time'!C:C)</f>
        <v>707.37</v>
      </c>
      <c r="K69" s="9"/>
      <c r="L69" s="31">
        <f t="shared" si="6"/>
        <v>0</v>
      </c>
      <c r="M69" s="2"/>
      <c r="O69" s="4">
        <f t="shared" si="4"/>
        <v>0</v>
      </c>
      <c r="P69" s="4" t="str">
        <f t="shared" si="24"/>
        <v>7079</v>
      </c>
      <c r="Q69" s="10">
        <v>5103</v>
      </c>
      <c r="R69" s="73"/>
    </row>
    <row r="70" spans="1:19" ht="15" x14ac:dyDescent="0.25">
      <c r="A70" s="1">
        <v>8006</v>
      </c>
      <c r="B70" s="7">
        <v>8061</v>
      </c>
      <c r="C70" s="48" t="s">
        <v>15</v>
      </c>
      <c r="D70" s="110">
        <f>IFERROR(VLOOKUP(C70,'5103 Opening Balance'!A:B,2,FALSE),0)</f>
        <v>0</v>
      </c>
      <c r="E70" s="110">
        <f>IFERROR(VLOOKUP(C70,'5103'!A:B,2,FALSE),0)</f>
        <v>0</v>
      </c>
      <c r="F70" s="91">
        <f t="shared" si="5"/>
        <v>0</v>
      </c>
      <c r="G70" s="111">
        <f>SUMIFS('Amex Sales in MidnightDrawer'!F:F,'Amex Sales in MidnightDrawer'!A:A,'Summary before PDE write-offs'!B70,'Amex Sales in MidnightDrawer'!G:G,"Before Midnight")</f>
        <v>0</v>
      </c>
      <c r="H70" s="8"/>
      <c r="I70" s="93">
        <f t="shared" si="30"/>
        <v>0</v>
      </c>
      <c r="J70" s="9">
        <f>SUMIF('Amex Receipted On the 1st'!G:G,'Summary before PDE write-offs'!A70,'Amex Receipted On the 1st'!D:D)+SUMIF('Amex Sale after 7pm Syd Time'!A:A,'Summary before PDE write-offs'!B70,'Amex Sale after 7pm Syd Time'!C:C)</f>
        <v>0</v>
      </c>
      <c r="K70" s="9"/>
      <c r="L70" s="31">
        <f t="shared" si="6"/>
        <v>0</v>
      </c>
      <c r="M70" s="2"/>
      <c r="O70" s="4">
        <f t="shared" si="4"/>
        <v>0</v>
      </c>
      <c r="P70" s="4" t="str">
        <f t="shared" si="24"/>
        <v>8006</v>
      </c>
      <c r="Q70" s="10">
        <v>5103</v>
      </c>
      <c r="R70" s="73"/>
    </row>
    <row r="71" spans="1:19" ht="15" x14ac:dyDescent="0.25">
      <c r="A71" s="1">
        <v>8030</v>
      </c>
      <c r="B71" s="7">
        <v>8305</v>
      </c>
      <c r="C71" s="48" t="s">
        <v>16</v>
      </c>
      <c r="D71" s="110">
        <f>IFERROR(VLOOKUP(C71,'5103 Opening Balance'!A:B,2,FALSE),0)</f>
        <v>0</v>
      </c>
      <c r="E71" s="110">
        <f>IFERROR(VLOOKUP("8030 - News Travels AS",'5103'!A:B,2,FALSE),0)</f>
        <v>0</v>
      </c>
      <c r="F71" s="91">
        <f t="shared" si="5"/>
        <v>0</v>
      </c>
      <c r="G71" s="111">
        <f>SUMIFS('Amex Sales in MidnightDrawer'!F:F,'Amex Sales in MidnightDrawer'!A:A,'Summary before PDE write-offs'!B71,'Amex Sales in MidnightDrawer'!G:G,"Before Midnight")</f>
        <v>0</v>
      </c>
      <c r="H71" s="8"/>
      <c r="I71" s="93">
        <f t="shared" si="30"/>
        <v>0</v>
      </c>
      <c r="J71" s="9">
        <f>SUMIF('Amex Receipted On the 1st'!G:G,'Summary before PDE write-offs'!A71,'Amex Receipted On the 1st'!D:D)+SUMIF('Amex Sale after 7pm Syd Time'!A:A,'Summary before PDE write-offs'!B71,'Amex Sale after 7pm Syd Time'!C:C)</f>
        <v>0</v>
      </c>
      <c r="K71" s="9"/>
      <c r="L71" s="31">
        <f t="shared" si="6"/>
        <v>0</v>
      </c>
      <c r="M71" s="2"/>
      <c r="O71" s="4">
        <f t="shared" si="4"/>
        <v>0</v>
      </c>
      <c r="P71" s="4" t="str">
        <f t="shared" si="24"/>
        <v>8030</v>
      </c>
      <c r="Q71" s="10">
        <v>5103</v>
      </c>
      <c r="R71" s="73"/>
    </row>
    <row r="72" spans="1:19" ht="15" x14ac:dyDescent="0.25">
      <c r="A72" s="1">
        <v>8188</v>
      </c>
      <c r="B72" s="7">
        <v>8188</v>
      </c>
      <c r="C72" s="48" t="s">
        <v>88</v>
      </c>
      <c r="D72" s="110">
        <f>IFERROR(VLOOKUP(C72,'5103 Opening Balance'!A:B,2,FALSE),0)</f>
        <v>0</v>
      </c>
      <c r="E72" s="110">
        <f>IFERROR(VLOOKUP(C72,'5103'!A:B,2,FALSE),0)</f>
        <v>173.29000000000002</v>
      </c>
      <c r="F72" s="91">
        <f t="shared" si="5"/>
        <v>173.29000000000002</v>
      </c>
      <c r="G72" s="111">
        <f>SUMIFS('Amex Sales in MidnightDrawer'!F:F,'Amex Sales in MidnightDrawer'!A:A,'Summary before PDE write-offs'!B72,'Amex Sales in MidnightDrawer'!G:G,"Before Midnight")</f>
        <v>0</v>
      </c>
      <c r="H72" s="8"/>
      <c r="I72" s="93">
        <f t="shared" si="30"/>
        <v>173.29000000000002</v>
      </c>
      <c r="J72" s="9">
        <f>SUMIF('Amex Receipted On the 1st'!G:G,'Summary before PDE write-offs'!A72,'Amex Receipted On the 1st'!D:D)+SUMIF('Amex Sale after 7pm Syd Time'!A:A,'Summary before PDE write-offs'!B72,'Amex Sale after 7pm Syd Time'!C:C)</f>
        <v>173.29</v>
      </c>
      <c r="K72" s="9"/>
      <c r="L72" s="31">
        <f t="shared" si="6"/>
        <v>0</v>
      </c>
      <c r="M72" s="2"/>
      <c r="O72" s="4">
        <f t="shared" si="4"/>
        <v>0</v>
      </c>
      <c r="P72" s="4" t="str">
        <f t="shared" si="24"/>
        <v>8188</v>
      </c>
      <c r="Q72" s="10">
        <v>5103</v>
      </c>
      <c r="R72" s="73"/>
    </row>
    <row r="73" spans="1:19" ht="15" x14ac:dyDescent="0.25">
      <c r="A73" s="1">
        <v>8190</v>
      </c>
      <c r="B73" s="7">
        <v>8190</v>
      </c>
      <c r="C73" s="48" t="s">
        <v>95</v>
      </c>
      <c r="D73" s="110">
        <f>IFERROR(VLOOKUP(C73,'5103 Opening Balance'!A:B,2,FALSE),0)</f>
        <v>0</v>
      </c>
      <c r="E73" s="110">
        <f>IFERROR(VLOOKUP(C73,'5103'!A:B,2,FALSE),0)</f>
        <v>0</v>
      </c>
      <c r="F73" s="91">
        <f t="shared" si="5"/>
        <v>0</v>
      </c>
      <c r="G73" s="111">
        <f>SUMIFS('Amex Sales in MidnightDrawer'!F:F,'Amex Sales in MidnightDrawer'!A:A,'Summary before PDE write-offs'!B73,'Amex Sales in MidnightDrawer'!G:G,"Before Midnight")</f>
        <v>0</v>
      </c>
      <c r="H73" s="8"/>
      <c r="I73" s="93">
        <f t="shared" si="30"/>
        <v>0</v>
      </c>
      <c r="J73" s="9">
        <f>SUMIF('Amex Receipted On the 1st'!G:G,'Summary before PDE write-offs'!A73,'Amex Receipted On the 1st'!D:D)+SUMIF('Amex Sale after 7pm Syd Time'!A:A,'Summary before PDE write-offs'!B73,'Amex Sale after 7pm Syd Time'!C:C)</f>
        <v>0</v>
      </c>
      <c r="K73" s="9"/>
      <c r="L73" s="31">
        <f t="shared" si="6"/>
        <v>0</v>
      </c>
      <c r="M73" s="2"/>
      <c r="O73" s="4">
        <f t="shared" si="4"/>
        <v>0</v>
      </c>
      <c r="P73" s="4" t="str">
        <f t="shared" si="24"/>
        <v>8190</v>
      </c>
      <c r="Q73" s="10">
        <v>5103</v>
      </c>
      <c r="R73" s="73"/>
    </row>
    <row r="74" spans="1:19" ht="15" x14ac:dyDescent="0.25">
      <c r="A74" s="1">
        <v>8196</v>
      </c>
      <c r="B74" s="7">
        <v>8196</v>
      </c>
      <c r="C74" s="48" t="s">
        <v>103</v>
      </c>
      <c r="D74" s="110">
        <f>IFERROR(VLOOKUP(C74,'5103 Opening Balance'!A:B,2,FALSE),0)</f>
        <v>0</v>
      </c>
      <c r="E74" s="110">
        <f>IFERROR(VLOOKUP(C74,'5103'!A:B,2,FALSE),0)</f>
        <v>0</v>
      </c>
      <c r="F74" s="91">
        <f t="shared" si="5"/>
        <v>0</v>
      </c>
      <c r="G74" s="111">
        <f>SUMIFS('Amex Sales in MidnightDrawer'!F:F,'Amex Sales in MidnightDrawer'!A:A,'Summary before PDE write-offs'!B74,'Amex Sales in MidnightDrawer'!G:G,"Before Midnight")</f>
        <v>0</v>
      </c>
      <c r="H74" s="8"/>
      <c r="I74" s="93">
        <f t="shared" si="30"/>
        <v>0</v>
      </c>
      <c r="J74" s="9">
        <f>SUMIF('Amex Receipted On the 1st'!G:G,'Summary before PDE write-offs'!A74,'Amex Receipted On the 1st'!D:D)+SUMIF('Amex Sale after 7pm Syd Time'!A:A,'Summary before PDE write-offs'!B74,'Amex Sale after 7pm Syd Time'!C:C)</f>
        <v>0</v>
      </c>
      <c r="K74" s="9"/>
      <c r="L74" s="31">
        <f t="shared" si="6"/>
        <v>0</v>
      </c>
      <c r="M74" s="2"/>
      <c r="O74" s="4">
        <f t="shared" si="4"/>
        <v>0</v>
      </c>
      <c r="P74" s="4" t="str">
        <f t="shared" si="24"/>
        <v>8196</v>
      </c>
      <c r="Q74" s="10">
        <v>5103</v>
      </c>
      <c r="R74" s="73"/>
    </row>
    <row r="75" spans="1:19" ht="15" x14ac:dyDescent="0.25">
      <c r="A75" s="1">
        <v>9990</v>
      </c>
      <c r="B75" s="7">
        <v>9998</v>
      </c>
      <c r="C75" s="67" t="s">
        <v>138</v>
      </c>
      <c r="D75" s="110">
        <f>IFERROR(VLOOKUP(C75,'5103 Opening Balance'!A:B,2,FALSE),0)</f>
        <v>0</v>
      </c>
      <c r="E75" s="110">
        <f>IFERROR(VLOOKUP(C75,'5103'!A:B,2,FALSE),0)</f>
        <v>0</v>
      </c>
      <c r="F75" s="91">
        <f t="shared" ref="F75" si="31">D75+E75</f>
        <v>0</v>
      </c>
      <c r="G75" s="111">
        <f>SUMIFS('Amex Sales in MidnightDrawer'!F:F,'Amex Sales in MidnightDrawer'!A:A,'Summary before PDE write-offs'!B75,'Amex Sales in MidnightDrawer'!G:G,"Before Midnight")</f>
        <v>0</v>
      </c>
      <c r="H75" s="8"/>
      <c r="I75" s="93">
        <f t="shared" si="30"/>
        <v>0</v>
      </c>
      <c r="J75" s="9">
        <f>SUMIF('Amex Receipted On the 1st'!G:G,'Summary before PDE write-offs'!A75,'Amex Receipted On the 1st'!D:D)+SUMIF('Amex Sale after 7pm Syd Time'!A:A,'Summary before PDE write-offs'!B75,'Amex Sale after 7pm Syd Time'!C:C)</f>
        <v>0</v>
      </c>
      <c r="K75" s="9"/>
      <c r="L75" s="31">
        <f t="shared" ref="L75" si="32">I75-J75</f>
        <v>0</v>
      </c>
      <c r="M75" s="2"/>
      <c r="O75" s="4"/>
      <c r="P75" s="4"/>
      <c r="R75" s="73"/>
    </row>
    <row r="76" spans="1:19" ht="15" x14ac:dyDescent="0.25">
      <c r="A76" s="1" t="s">
        <v>145</v>
      </c>
      <c r="B76" s="7"/>
      <c r="C76" s="48"/>
      <c r="D76" s="91"/>
      <c r="E76" s="91"/>
      <c r="F76" s="91"/>
      <c r="G76" s="111"/>
      <c r="H76" s="8"/>
      <c r="I76" s="93"/>
      <c r="J76" s="9"/>
      <c r="K76" s="9"/>
      <c r="L76" s="31"/>
      <c r="M76" s="2"/>
      <c r="O76" s="4"/>
      <c r="P76" s="4"/>
      <c r="R76" s="73"/>
    </row>
    <row r="77" spans="1:19" ht="15" x14ac:dyDescent="0.25">
      <c r="C77" s="47"/>
      <c r="D77" s="92">
        <f t="shared" ref="D77:Q77" si="33">SUM(D2:D76)</f>
        <v>123.69999999999999</v>
      </c>
      <c r="E77" s="92">
        <f t="shared" si="33"/>
        <v>1553.65</v>
      </c>
      <c r="F77" s="92">
        <f t="shared" si="33"/>
        <v>1677.35</v>
      </c>
      <c r="G77" s="92">
        <f t="shared" si="33"/>
        <v>0</v>
      </c>
      <c r="H77" s="49">
        <f t="shared" si="33"/>
        <v>0</v>
      </c>
      <c r="I77" s="92">
        <f t="shared" si="33"/>
        <v>1677.35</v>
      </c>
      <c r="J77" s="49">
        <f t="shared" si="33"/>
        <v>1750.28</v>
      </c>
      <c r="K77" s="49">
        <f t="shared" si="33"/>
        <v>0</v>
      </c>
      <c r="L77" s="89">
        <f t="shared" si="33"/>
        <v>-72.929999999999922</v>
      </c>
      <c r="M77" s="49">
        <f t="shared" si="33"/>
        <v>0</v>
      </c>
      <c r="N77" s="49">
        <f t="shared" si="33"/>
        <v>0</v>
      </c>
      <c r="O77" s="49">
        <f t="shared" si="33"/>
        <v>23.73</v>
      </c>
      <c r="P77" s="49">
        <f t="shared" si="33"/>
        <v>0</v>
      </c>
      <c r="Q77" s="49">
        <f t="shared" si="33"/>
        <v>270459</v>
      </c>
      <c r="R77" s="75"/>
      <c r="S77" s="49"/>
    </row>
    <row r="78" spans="1:19" x14ac:dyDescent="0.2">
      <c r="J78" s="3"/>
      <c r="K78" s="3"/>
    </row>
    <row r="80" spans="1:19" x14ac:dyDescent="0.2">
      <c r="L80" s="3"/>
    </row>
    <row r="81" spans="10:21" x14ac:dyDescent="0.2">
      <c r="J81" s="99"/>
      <c r="K81" s="99"/>
      <c r="L81" s="100"/>
      <c r="M81" s="99"/>
      <c r="N81" s="99"/>
      <c r="O81" s="99"/>
      <c r="P81" s="99"/>
      <c r="Q81" s="101"/>
      <c r="R81" s="102"/>
      <c r="S81" s="99"/>
      <c r="T81" s="99"/>
      <c r="U81" s="99"/>
    </row>
    <row r="82" spans="10:21" x14ac:dyDescent="0.2">
      <c r="J82" s="99"/>
      <c r="K82" s="99"/>
      <c r="L82" s="103"/>
      <c r="M82" s="99"/>
      <c r="N82" s="99"/>
      <c r="O82" s="99"/>
      <c r="P82" s="99"/>
      <c r="Q82" s="101"/>
      <c r="R82" s="102"/>
      <c r="S82" s="99"/>
      <c r="T82" s="99"/>
      <c r="U82" s="99"/>
    </row>
    <row r="83" spans="10:21" x14ac:dyDescent="0.2">
      <c r="J83" s="104"/>
      <c r="K83" s="99"/>
      <c r="L83" s="100"/>
      <c r="M83" s="99"/>
      <c r="N83" s="99"/>
      <c r="O83" s="99"/>
      <c r="P83" s="99"/>
      <c r="Q83" s="101"/>
      <c r="R83" s="102"/>
      <c r="S83" s="100"/>
      <c r="T83" s="99"/>
      <c r="U83" s="99"/>
    </row>
    <row r="84" spans="10:21" x14ac:dyDescent="0.2">
      <c r="J84" s="104"/>
      <c r="K84" s="99"/>
      <c r="L84" s="100"/>
      <c r="M84" s="99"/>
      <c r="N84" s="99"/>
      <c r="O84" s="99"/>
      <c r="P84" s="99"/>
      <c r="Q84" s="101"/>
      <c r="R84" s="102"/>
      <c r="S84" s="100"/>
      <c r="T84" s="99"/>
      <c r="U84" s="99"/>
    </row>
    <row r="85" spans="10:21" x14ac:dyDescent="0.2">
      <c r="J85" s="104"/>
      <c r="K85" s="99"/>
      <c r="L85" s="100"/>
      <c r="M85" s="99"/>
      <c r="N85" s="99"/>
      <c r="O85" s="99"/>
      <c r="P85" s="99"/>
      <c r="Q85" s="101"/>
      <c r="R85" s="102"/>
      <c r="S85" s="100"/>
      <c r="T85" s="99"/>
      <c r="U85" s="99"/>
    </row>
    <row r="86" spans="10:21" x14ac:dyDescent="0.2">
      <c r="J86" s="104"/>
      <c r="K86" s="99"/>
      <c r="L86" s="100"/>
      <c r="M86" s="99"/>
      <c r="N86" s="99"/>
      <c r="O86" s="99"/>
      <c r="P86" s="99"/>
      <c r="Q86" s="101"/>
      <c r="R86" s="102"/>
      <c r="S86" s="100"/>
      <c r="T86" s="99"/>
      <c r="U86" s="99"/>
    </row>
    <row r="87" spans="10:21" x14ac:dyDescent="0.2">
      <c r="J87" s="104"/>
      <c r="K87" s="99"/>
      <c r="L87" s="99"/>
      <c r="M87" s="99"/>
      <c r="N87" s="99"/>
      <c r="O87" s="99"/>
      <c r="P87" s="99"/>
      <c r="Q87" s="101"/>
      <c r="R87" s="102"/>
      <c r="S87" s="100"/>
      <c r="T87" s="99"/>
      <c r="U87" s="99"/>
    </row>
    <row r="88" spans="10:21" x14ac:dyDescent="0.2">
      <c r="J88" s="104"/>
      <c r="K88" s="99"/>
      <c r="L88" s="99"/>
      <c r="M88" s="99"/>
      <c r="N88" s="99"/>
      <c r="O88" s="99"/>
      <c r="P88" s="99"/>
      <c r="Q88" s="101"/>
      <c r="R88" s="102"/>
      <c r="S88" s="100"/>
      <c r="T88" s="99"/>
      <c r="U88" s="99"/>
    </row>
    <row r="89" spans="10:21" x14ac:dyDescent="0.2">
      <c r="J89" s="104"/>
      <c r="K89" s="99"/>
      <c r="L89" s="99"/>
      <c r="M89" s="99"/>
      <c r="N89" s="99"/>
      <c r="O89" s="99"/>
      <c r="P89" s="99"/>
      <c r="Q89" s="101"/>
      <c r="R89" s="102"/>
      <c r="S89" s="100"/>
      <c r="T89" s="99"/>
      <c r="U89" s="99"/>
    </row>
    <row r="90" spans="10:21" x14ac:dyDescent="0.2">
      <c r="J90" s="104"/>
      <c r="K90" s="99"/>
      <c r="L90" s="99"/>
      <c r="M90" s="99"/>
      <c r="N90" s="99"/>
      <c r="O90" s="99"/>
      <c r="P90" s="99"/>
      <c r="Q90" s="101"/>
      <c r="R90" s="102"/>
      <c r="S90" s="100"/>
      <c r="T90" s="99"/>
      <c r="U90" s="99"/>
    </row>
    <row r="91" spans="10:21" x14ac:dyDescent="0.2">
      <c r="J91" s="104"/>
      <c r="K91" s="99"/>
      <c r="L91" s="99"/>
      <c r="M91" s="99"/>
      <c r="N91" s="99"/>
      <c r="O91" s="99"/>
      <c r="P91" s="99"/>
      <c r="Q91" s="101"/>
      <c r="R91" s="102"/>
      <c r="S91" s="100"/>
      <c r="T91" s="99"/>
      <c r="U91" s="99"/>
    </row>
    <row r="92" spans="10:21" x14ac:dyDescent="0.2">
      <c r="J92" s="104"/>
      <c r="K92" s="99"/>
      <c r="L92" s="99"/>
      <c r="M92" s="99"/>
      <c r="N92" s="99"/>
      <c r="O92" s="99"/>
      <c r="P92" s="99"/>
      <c r="Q92" s="101"/>
      <c r="R92" s="102"/>
      <c r="S92" s="100"/>
      <c r="T92" s="99"/>
      <c r="U92" s="99"/>
    </row>
    <row r="93" spans="10:21" x14ac:dyDescent="0.2">
      <c r="J93" s="104"/>
      <c r="K93" s="99"/>
      <c r="L93" s="99"/>
      <c r="M93" s="99"/>
      <c r="N93" s="99"/>
      <c r="O93" s="99"/>
      <c r="P93" s="99"/>
      <c r="Q93" s="101"/>
      <c r="R93" s="102"/>
      <c r="S93" s="100"/>
      <c r="T93" s="99"/>
      <c r="U93" s="99"/>
    </row>
    <row r="94" spans="10:21" x14ac:dyDescent="0.2">
      <c r="J94" s="104"/>
      <c r="K94" s="99"/>
      <c r="L94" s="99"/>
      <c r="M94" s="99"/>
      <c r="N94" s="99"/>
      <c r="O94" s="99"/>
      <c r="P94" s="99"/>
      <c r="Q94" s="101"/>
      <c r="R94" s="102"/>
      <c r="S94" s="100"/>
      <c r="T94" s="99"/>
      <c r="U94" s="99"/>
    </row>
    <row r="95" spans="10:21" x14ac:dyDescent="0.2">
      <c r="J95" s="104"/>
      <c r="K95" s="99"/>
      <c r="L95" s="99"/>
      <c r="M95" s="99"/>
      <c r="N95" s="99"/>
      <c r="O95" s="99"/>
      <c r="P95" s="99"/>
      <c r="Q95" s="101"/>
      <c r="R95" s="102"/>
      <c r="S95" s="100"/>
      <c r="T95" s="99"/>
      <c r="U95" s="99"/>
    </row>
    <row r="96" spans="10:21" x14ac:dyDescent="0.2">
      <c r="J96" s="104"/>
      <c r="K96" s="99"/>
      <c r="L96" s="99"/>
      <c r="M96" s="99"/>
      <c r="N96" s="99"/>
      <c r="O96" s="99"/>
      <c r="P96" s="99"/>
      <c r="Q96" s="101"/>
      <c r="R96" s="102"/>
      <c r="S96" s="100"/>
      <c r="T96" s="99"/>
      <c r="U96" s="99"/>
    </row>
    <row r="97" spans="10:21" x14ac:dyDescent="0.2">
      <c r="J97" s="104"/>
      <c r="K97" s="99"/>
      <c r="L97" s="99"/>
      <c r="M97" s="99"/>
      <c r="N97" s="99"/>
      <c r="O97" s="99"/>
      <c r="P97" s="99"/>
      <c r="Q97" s="101"/>
      <c r="R97" s="102"/>
      <c r="S97" s="100"/>
      <c r="T97" s="99"/>
      <c r="U97" s="99"/>
    </row>
    <row r="98" spans="10:21" x14ac:dyDescent="0.2">
      <c r="J98" s="104"/>
      <c r="K98" s="99"/>
      <c r="L98" s="99"/>
      <c r="M98" s="99"/>
      <c r="N98" s="99"/>
      <c r="O98" s="99"/>
      <c r="P98" s="99"/>
      <c r="Q98" s="101"/>
      <c r="R98" s="102"/>
      <c r="S98" s="100"/>
      <c r="T98" s="99"/>
      <c r="U98" s="99"/>
    </row>
    <row r="99" spans="10:21" x14ac:dyDescent="0.2">
      <c r="J99" s="104"/>
      <c r="K99" s="99"/>
      <c r="L99" s="99"/>
      <c r="M99" s="99"/>
      <c r="N99" s="99"/>
      <c r="O99" s="99"/>
      <c r="P99" s="99"/>
      <c r="Q99" s="101"/>
      <c r="R99" s="102"/>
      <c r="S99" s="100"/>
      <c r="T99" s="99"/>
      <c r="U99" s="99"/>
    </row>
    <row r="100" spans="10:21" x14ac:dyDescent="0.2">
      <c r="J100" s="104"/>
      <c r="K100" s="99"/>
      <c r="L100" s="99"/>
      <c r="M100" s="99"/>
      <c r="N100" s="99"/>
      <c r="O100" s="99"/>
      <c r="P100" s="99"/>
      <c r="Q100" s="101"/>
      <c r="R100" s="102"/>
      <c r="S100" s="99"/>
      <c r="T100" s="99"/>
      <c r="U100" s="99"/>
    </row>
    <row r="101" spans="10:21" x14ac:dyDescent="0.2">
      <c r="J101" s="104"/>
      <c r="K101" s="99"/>
      <c r="L101" s="100"/>
      <c r="M101" s="99"/>
      <c r="N101" s="99"/>
      <c r="O101" s="99"/>
      <c r="P101" s="99"/>
      <c r="Q101" s="101"/>
      <c r="R101" s="102"/>
      <c r="S101" s="99"/>
      <c r="T101" s="99"/>
      <c r="U101" s="99"/>
    </row>
    <row r="103" spans="10:21" x14ac:dyDescent="0.2">
      <c r="L103" s="3"/>
    </row>
  </sheetData>
  <pageMargins left="0.7" right="0.7" top="0.75" bottom="0.75" header="0.3" footer="0.3"/>
  <pageSetup paperSize="9" scale="4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V60"/>
  <sheetViews>
    <sheetView tabSelected="1" zoomScaleNormal="100" workbookViewId="0">
      <selection activeCell="J41" sqref="J41"/>
    </sheetView>
  </sheetViews>
  <sheetFormatPr defaultColWidth="9" defaultRowHeight="12.75" x14ac:dyDescent="0.2"/>
  <cols>
    <col min="1" max="1" width="4.5703125" style="1" customWidth="1"/>
    <col min="2" max="4" width="9" style="1"/>
    <col min="5" max="5" width="12.5703125" style="1" customWidth="1"/>
    <col min="6" max="6" width="14" style="1" bestFit="1" customWidth="1"/>
    <col min="7" max="7" width="14" style="1" customWidth="1"/>
    <col min="8" max="9" width="9" style="1"/>
    <col min="10" max="10" width="15.42578125" style="1" bestFit="1" customWidth="1"/>
    <col min="11" max="12" width="9" style="1"/>
    <col min="13" max="13" width="10.42578125" style="1" bestFit="1" customWidth="1"/>
    <col min="14" max="19" width="9" style="1"/>
    <col min="20" max="20" width="10.5703125" style="1" bestFit="1" customWidth="1"/>
    <col min="21" max="21" width="9" style="1"/>
    <col min="22" max="22" width="9" style="15"/>
    <col min="23" max="16384" width="9" style="1"/>
  </cols>
  <sheetData>
    <row r="1" spans="2:22" ht="14.25" customHeight="1" x14ac:dyDescent="0.2">
      <c r="B1" s="12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4"/>
    </row>
    <row r="2" spans="2:22" ht="14.25" customHeight="1" x14ac:dyDescent="0.2"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6"/>
    </row>
    <row r="3" spans="2:22" ht="14.25" customHeight="1" x14ac:dyDescent="0.2">
      <c r="B3" s="17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6"/>
    </row>
    <row r="4" spans="2:22" x14ac:dyDescent="0.2">
      <c r="B4" s="17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6"/>
    </row>
    <row r="5" spans="2:22" x14ac:dyDescent="0.2">
      <c r="B5" s="17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6"/>
    </row>
    <row r="6" spans="2:22" x14ac:dyDescent="0.2">
      <c r="B6" s="17"/>
      <c r="C6" s="18" t="s">
        <v>18</v>
      </c>
      <c r="D6" s="13"/>
      <c r="E6" s="13"/>
      <c r="F6" s="13"/>
      <c r="G6" s="19">
        <v>5103</v>
      </c>
      <c r="H6" s="14"/>
      <c r="I6" s="15"/>
      <c r="J6" s="15"/>
      <c r="K6" s="18" t="s">
        <v>19</v>
      </c>
      <c r="L6" s="13"/>
      <c r="M6" s="20">
        <f>MonthEndDate</f>
        <v>44286</v>
      </c>
      <c r="N6" s="13"/>
      <c r="O6" s="21"/>
      <c r="P6" s="13"/>
      <c r="Q6" s="20"/>
      <c r="R6" s="21"/>
      <c r="S6" s="13"/>
      <c r="T6" s="20"/>
      <c r="U6" s="14"/>
      <c r="V6" s="16"/>
    </row>
    <row r="7" spans="2:22" x14ac:dyDescent="0.2">
      <c r="B7" s="17"/>
      <c r="C7" s="22" t="s">
        <v>17</v>
      </c>
      <c r="D7" s="23"/>
      <c r="E7" s="23"/>
      <c r="F7" s="23"/>
      <c r="G7" s="24" t="s">
        <v>73</v>
      </c>
      <c r="H7" s="25"/>
      <c r="I7" s="15"/>
      <c r="J7" s="15"/>
      <c r="K7" s="26"/>
      <c r="L7" s="23"/>
      <c r="M7" s="23"/>
      <c r="N7" s="23"/>
      <c r="O7" s="23"/>
      <c r="P7" s="23"/>
      <c r="Q7" s="23"/>
      <c r="R7" s="23"/>
      <c r="S7" s="23"/>
      <c r="T7" s="23"/>
      <c r="U7" s="25"/>
      <c r="V7" s="16"/>
    </row>
    <row r="8" spans="2:22" x14ac:dyDescent="0.2">
      <c r="B8" s="17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6"/>
    </row>
    <row r="9" spans="2:22" x14ac:dyDescent="0.2">
      <c r="B9" s="17"/>
      <c r="C9" s="15"/>
      <c r="D9" s="15"/>
      <c r="E9" s="15"/>
      <c r="F9" s="15"/>
      <c r="G9" s="27" t="s">
        <v>26</v>
      </c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6"/>
    </row>
    <row r="10" spans="2:22" x14ac:dyDescent="0.2">
      <c r="B10" s="17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6"/>
    </row>
    <row r="11" spans="2:22" x14ac:dyDescent="0.2">
      <c r="B11" s="17"/>
      <c r="C11" s="15" t="s">
        <v>22</v>
      </c>
      <c r="D11" s="15"/>
      <c r="E11" s="15"/>
      <c r="F11" s="15"/>
      <c r="G11" s="2">
        <f>'Summary before PDE write-offs'!F77</f>
        <v>1677.35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6"/>
    </row>
    <row r="12" spans="2:22" x14ac:dyDescent="0.2">
      <c r="B12" s="17"/>
      <c r="C12" s="15"/>
      <c r="D12" s="15"/>
      <c r="E12" s="15"/>
      <c r="F12" s="15"/>
      <c r="G12" s="28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6"/>
    </row>
    <row r="13" spans="2:22" x14ac:dyDescent="0.2">
      <c r="B13" s="17"/>
      <c r="C13" s="15"/>
      <c r="D13" s="15"/>
      <c r="E13" s="15"/>
      <c r="F13" s="15"/>
      <c r="G13" s="28"/>
      <c r="H13" s="15"/>
      <c r="I13" s="15"/>
      <c r="J13" s="15"/>
      <c r="K13" s="29" t="s">
        <v>20</v>
      </c>
      <c r="L13" s="13"/>
      <c r="M13" s="13"/>
      <c r="N13" s="13"/>
      <c r="O13" s="13"/>
      <c r="P13" s="13"/>
      <c r="Q13" s="13"/>
      <c r="R13" s="13"/>
      <c r="S13" s="13"/>
      <c r="T13" s="13"/>
      <c r="U13" s="14"/>
      <c r="V13" s="16"/>
    </row>
    <row r="14" spans="2:22" x14ac:dyDescent="0.2">
      <c r="B14" s="17"/>
      <c r="C14" s="1" t="s">
        <v>23</v>
      </c>
      <c r="E14" s="1" t="s">
        <v>46</v>
      </c>
      <c r="G14" s="30">
        <f>'Summary before PDE write-offs'!J77</f>
        <v>1750.28</v>
      </c>
      <c r="H14" s="15"/>
      <c r="I14" s="15"/>
      <c r="J14" s="15"/>
      <c r="K14" s="17"/>
      <c r="L14" s="15"/>
      <c r="M14" s="15"/>
      <c r="N14" s="15"/>
      <c r="O14" s="15"/>
      <c r="P14" s="15"/>
      <c r="Q14" s="15"/>
      <c r="R14" s="15"/>
      <c r="S14" s="15"/>
      <c r="T14" s="15"/>
      <c r="U14" s="16"/>
      <c r="V14" s="16"/>
    </row>
    <row r="15" spans="2:22" x14ac:dyDescent="0.2">
      <c r="B15" s="17"/>
      <c r="G15" s="31"/>
      <c r="H15" s="15"/>
      <c r="I15" s="15"/>
      <c r="J15" s="15"/>
      <c r="K15" s="17" t="s">
        <v>74</v>
      </c>
      <c r="L15" s="15"/>
      <c r="M15" s="15"/>
      <c r="N15" s="15"/>
      <c r="O15" s="15"/>
      <c r="P15" s="15"/>
      <c r="Q15" s="15"/>
      <c r="R15" s="15"/>
      <c r="S15" s="15"/>
      <c r="T15" s="15"/>
      <c r="U15" s="16"/>
      <c r="V15" s="16"/>
    </row>
    <row r="16" spans="2:22" x14ac:dyDescent="0.2">
      <c r="B16" s="17"/>
      <c r="G16" s="31"/>
      <c r="H16" s="15"/>
      <c r="I16" s="15"/>
      <c r="J16" s="15"/>
      <c r="K16" s="17"/>
      <c r="L16" s="15"/>
      <c r="M16" s="15"/>
      <c r="N16" s="15"/>
      <c r="O16" s="15"/>
      <c r="P16" s="15"/>
      <c r="Q16" s="15"/>
      <c r="R16" s="15"/>
      <c r="S16" s="15"/>
      <c r="T16" s="15"/>
      <c r="U16" s="16"/>
      <c r="V16" s="16"/>
    </row>
    <row r="17" spans="2:22" x14ac:dyDescent="0.2">
      <c r="B17" s="17"/>
      <c r="C17" s="1" t="s">
        <v>24</v>
      </c>
      <c r="G17" s="31">
        <f>G11-G14</f>
        <v>-72.930000000000064</v>
      </c>
      <c r="H17" s="15"/>
      <c r="I17" s="15"/>
      <c r="J17" s="15"/>
      <c r="K17" s="26"/>
      <c r="L17" s="23"/>
      <c r="M17" s="23"/>
      <c r="N17" s="23"/>
      <c r="O17" s="23"/>
      <c r="P17" s="23"/>
      <c r="Q17" s="23"/>
      <c r="R17" s="23"/>
      <c r="S17" s="23"/>
      <c r="T17" s="23"/>
      <c r="U17" s="25"/>
      <c r="V17" s="16"/>
    </row>
    <row r="18" spans="2:22" x14ac:dyDescent="0.2">
      <c r="B18" s="17"/>
      <c r="G18" s="31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6"/>
    </row>
    <row r="19" spans="2:22" s="36" customFormat="1" x14ac:dyDescent="0.2">
      <c r="B19" s="32"/>
      <c r="C19" s="33" t="s">
        <v>25</v>
      </c>
      <c r="D19" s="33"/>
      <c r="E19" s="33"/>
      <c r="F19" s="33"/>
      <c r="G19" s="34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5"/>
    </row>
    <row r="20" spans="2:22" x14ac:dyDescent="0.2">
      <c r="B20" s="17"/>
      <c r="G20" s="31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6"/>
    </row>
    <row r="21" spans="2:22" x14ac:dyDescent="0.2">
      <c r="B21" s="17"/>
      <c r="C21" t="s">
        <v>147</v>
      </c>
      <c r="D21"/>
      <c r="E21"/>
      <c r="F21"/>
      <c r="G21" s="31">
        <f>'Summary before PDE write-offs'!L77</f>
        <v>-72.929999999999922</v>
      </c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6"/>
    </row>
    <row r="22" spans="2:22" x14ac:dyDescent="0.2">
      <c r="B22" s="17"/>
      <c r="C22" s="119" t="s">
        <v>158</v>
      </c>
      <c r="D22" s="119"/>
      <c r="E22" s="119"/>
      <c r="F22" s="119"/>
      <c r="G22" s="31">
        <f>-'Summary before PDE write-offs'!G77</f>
        <v>0</v>
      </c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6"/>
    </row>
    <row r="23" spans="2:22" x14ac:dyDescent="0.2">
      <c r="B23" s="17"/>
      <c r="C23" s="15"/>
      <c r="D23" s="15"/>
      <c r="E23" s="15"/>
      <c r="F23" s="15"/>
      <c r="G23" s="28"/>
      <c r="H23" s="15"/>
      <c r="I23" s="15"/>
      <c r="J23" s="15"/>
      <c r="K23" s="29" t="s">
        <v>21</v>
      </c>
      <c r="L23" s="13"/>
      <c r="M23" s="13"/>
      <c r="N23" s="13"/>
      <c r="O23" s="13"/>
      <c r="P23" s="13"/>
      <c r="Q23" s="13"/>
      <c r="R23" s="13"/>
      <c r="S23" s="13"/>
      <c r="T23" s="13"/>
      <c r="U23" s="14"/>
      <c r="V23" s="16"/>
    </row>
    <row r="24" spans="2:22" x14ac:dyDescent="0.2">
      <c r="B24" s="17"/>
      <c r="C24" s="15" t="s">
        <v>45</v>
      </c>
      <c r="D24" s="15"/>
      <c r="E24" s="15"/>
      <c r="F24" s="15"/>
      <c r="G24" s="37">
        <f>SUM(G20:G23)</f>
        <v>-72.929999999999922</v>
      </c>
      <c r="H24" s="15"/>
      <c r="I24" s="15"/>
      <c r="J24" s="15"/>
      <c r="K24" s="17"/>
      <c r="L24" s="15"/>
      <c r="M24" s="15"/>
      <c r="N24" s="15"/>
      <c r="O24" s="15"/>
      <c r="P24" s="15"/>
      <c r="Q24" s="15"/>
      <c r="R24" s="15"/>
      <c r="S24" s="15"/>
      <c r="T24" s="15"/>
      <c r="U24" s="16"/>
      <c r="V24" s="16"/>
    </row>
    <row r="25" spans="2:22" x14ac:dyDescent="0.2">
      <c r="B25" s="17"/>
      <c r="C25" s="15"/>
      <c r="D25" s="15"/>
      <c r="E25" s="15"/>
      <c r="F25" s="15"/>
      <c r="G25" s="15"/>
      <c r="H25" s="15"/>
      <c r="I25" s="15"/>
      <c r="J25" s="15"/>
      <c r="K25" s="17" t="s">
        <v>75</v>
      </c>
      <c r="L25" s="15"/>
      <c r="M25" s="15"/>
      <c r="N25" s="15"/>
      <c r="O25" s="15"/>
      <c r="P25" s="15"/>
      <c r="Q25" s="15"/>
      <c r="R25" s="15"/>
      <c r="S25" s="15"/>
      <c r="T25" s="15"/>
      <c r="U25" s="16"/>
      <c r="V25" s="16"/>
    </row>
    <row r="26" spans="2:22" x14ac:dyDescent="0.2">
      <c r="B26" s="17"/>
      <c r="C26" s="38" t="s">
        <v>24</v>
      </c>
      <c r="D26" s="13"/>
      <c r="E26" s="13"/>
      <c r="F26" s="13"/>
      <c r="G26" s="13"/>
      <c r="H26" s="14"/>
      <c r="I26" s="15"/>
      <c r="J26" s="15"/>
      <c r="K26" s="17" t="s">
        <v>76</v>
      </c>
      <c r="L26" s="15"/>
      <c r="M26" s="15"/>
      <c r="N26" s="15"/>
      <c r="O26" s="15"/>
      <c r="P26" s="15"/>
      <c r="Q26" s="15"/>
      <c r="R26" s="15"/>
      <c r="S26" s="15"/>
      <c r="T26" s="15"/>
      <c r="U26" s="16"/>
      <c r="V26" s="16"/>
    </row>
    <row r="27" spans="2:22" x14ac:dyDescent="0.2">
      <c r="B27" s="17"/>
      <c r="C27" s="39" t="s">
        <v>43</v>
      </c>
      <c r="D27" s="40"/>
      <c r="E27" s="40"/>
      <c r="F27" s="40" t="s">
        <v>27</v>
      </c>
      <c r="G27" s="40" t="s">
        <v>44</v>
      </c>
      <c r="H27" s="16"/>
      <c r="I27" s="15"/>
      <c r="J27" s="15"/>
      <c r="K27" s="17"/>
      <c r="L27" s="15"/>
      <c r="M27" s="15"/>
      <c r="N27" s="15"/>
      <c r="O27" s="15"/>
      <c r="P27" s="15"/>
      <c r="Q27" s="15"/>
      <c r="R27" s="15"/>
      <c r="S27" s="15"/>
      <c r="T27" s="15"/>
      <c r="U27" s="16"/>
      <c r="V27" s="16"/>
    </row>
    <row r="28" spans="2:22" x14ac:dyDescent="0.2">
      <c r="B28" s="17"/>
      <c r="C28" s="17"/>
      <c r="D28" s="15"/>
      <c r="E28" s="15"/>
      <c r="F28" s="15"/>
      <c r="G28" s="15"/>
      <c r="H28" s="16"/>
      <c r="I28" s="15"/>
      <c r="J28" s="15"/>
      <c r="K28" s="17"/>
      <c r="L28" s="15"/>
      <c r="M28" s="15"/>
      <c r="N28" s="15"/>
      <c r="O28" s="15"/>
      <c r="P28" s="15"/>
      <c r="Q28" s="15"/>
      <c r="R28" s="15"/>
      <c r="S28" s="15"/>
      <c r="T28" s="15"/>
      <c r="U28" s="16"/>
      <c r="V28" s="16"/>
    </row>
    <row r="29" spans="2:22" x14ac:dyDescent="0.2">
      <c r="B29" s="17"/>
      <c r="C29" s="17"/>
      <c r="D29" s="15"/>
      <c r="E29" s="15"/>
      <c r="F29" s="15"/>
      <c r="G29" s="15"/>
      <c r="H29" s="16"/>
      <c r="I29" s="15"/>
      <c r="J29" s="15"/>
      <c r="K29" s="26"/>
      <c r="L29" s="23"/>
      <c r="M29" s="23"/>
      <c r="N29" s="23"/>
      <c r="O29" s="23"/>
      <c r="P29" s="23"/>
      <c r="Q29" s="23"/>
      <c r="R29" s="23"/>
      <c r="S29" s="23"/>
      <c r="T29" s="23"/>
      <c r="U29" s="25"/>
      <c r="V29" s="16"/>
    </row>
    <row r="30" spans="2:22" x14ac:dyDescent="0.2">
      <c r="B30" s="17"/>
      <c r="C30" s="26"/>
      <c r="D30" s="23"/>
      <c r="E30" s="23"/>
      <c r="F30" s="23"/>
      <c r="G30" s="23"/>
      <c r="H30" s="2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6"/>
    </row>
    <row r="31" spans="2:22" x14ac:dyDescent="0.2">
      <c r="B31" s="17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6"/>
    </row>
    <row r="32" spans="2:22" x14ac:dyDescent="0.2">
      <c r="B32" s="17"/>
      <c r="C32" s="15"/>
      <c r="D32" s="15"/>
      <c r="E32" s="15"/>
      <c r="F32" s="23"/>
      <c r="G32" s="23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6"/>
    </row>
    <row r="33" spans="2:22" x14ac:dyDescent="0.2">
      <c r="B33" s="17"/>
      <c r="C33" s="18" t="s">
        <v>27</v>
      </c>
      <c r="D33" s="21"/>
      <c r="E33" s="21"/>
      <c r="F33" s="41" t="s">
        <v>173</v>
      </c>
      <c r="G33" s="41" t="s">
        <v>189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6"/>
    </row>
    <row r="34" spans="2:22" x14ac:dyDescent="0.2">
      <c r="B34" s="17"/>
      <c r="C34" s="42"/>
      <c r="D34" s="43"/>
      <c r="E34" s="43"/>
      <c r="F34" s="44" t="s">
        <v>26</v>
      </c>
      <c r="G34" s="44" t="s">
        <v>26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6"/>
    </row>
    <row r="35" spans="2:22" x14ac:dyDescent="0.2">
      <c r="B35" s="17"/>
      <c r="C35" s="17" t="s">
        <v>29</v>
      </c>
      <c r="D35" s="15"/>
      <c r="E35" s="15"/>
      <c r="F35" s="53">
        <v>1580.080000000009</v>
      </c>
      <c r="G35" s="53">
        <f>'5103'!D37</f>
        <v>211.80999999999997</v>
      </c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6"/>
    </row>
    <row r="36" spans="2:22" x14ac:dyDescent="0.2">
      <c r="B36" s="17"/>
      <c r="C36" s="17" t="s">
        <v>32</v>
      </c>
      <c r="D36" s="15"/>
      <c r="E36" s="15"/>
      <c r="F36" s="53">
        <v>-34872.049999999996</v>
      </c>
      <c r="G36" s="53">
        <f>'5103'!E37</f>
        <v>336.86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6"/>
    </row>
    <row r="37" spans="2:22" x14ac:dyDescent="0.2">
      <c r="B37" s="17"/>
      <c r="C37" s="17" t="s">
        <v>30</v>
      </c>
      <c r="D37" s="15"/>
      <c r="E37" s="15"/>
      <c r="F37" s="53">
        <v>-16382.309999999998</v>
      </c>
      <c r="G37" s="53">
        <f>'5103'!F37</f>
        <v>472.05</v>
      </c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6"/>
    </row>
    <row r="38" spans="2:22" x14ac:dyDescent="0.2">
      <c r="B38" s="17"/>
      <c r="C38" s="17" t="s">
        <v>31</v>
      </c>
      <c r="D38" s="15"/>
      <c r="E38" s="15"/>
      <c r="F38" s="53">
        <v>-21279.739999999998</v>
      </c>
      <c r="G38" s="53">
        <f>'5103'!G37</f>
        <v>1394.43</v>
      </c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6"/>
    </row>
    <row r="39" spans="2:22" x14ac:dyDescent="0.2">
      <c r="B39" s="17"/>
      <c r="C39" s="17" t="s">
        <v>33</v>
      </c>
      <c r="D39" s="15"/>
      <c r="E39" s="15"/>
      <c r="F39" s="53">
        <v>-25510.03</v>
      </c>
      <c r="G39" s="53">
        <f>'5103'!H37</f>
        <v>615.27000000000021</v>
      </c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6"/>
    </row>
    <row r="40" spans="2:22" x14ac:dyDescent="0.2">
      <c r="B40" s="17"/>
      <c r="C40" s="17" t="s">
        <v>34</v>
      </c>
      <c r="D40" s="15"/>
      <c r="E40" s="15"/>
      <c r="F40" s="53">
        <v>-48835.909999999996</v>
      </c>
      <c r="G40" s="53">
        <f>'5103'!I37</f>
        <v>1179.4100000000003</v>
      </c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6"/>
    </row>
    <row r="41" spans="2:22" x14ac:dyDescent="0.2">
      <c r="B41" s="17"/>
      <c r="C41" s="17" t="s">
        <v>35</v>
      </c>
      <c r="D41" s="15"/>
      <c r="E41" s="15"/>
      <c r="F41" s="53">
        <v>-61390.099999999991</v>
      </c>
      <c r="G41" s="53">
        <f>'5103'!J37</f>
        <v>2341.15</v>
      </c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6"/>
    </row>
    <row r="42" spans="2:22" x14ac:dyDescent="0.2">
      <c r="B42" s="17"/>
      <c r="C42" s="17" t="s">
        <v>36</v>
      </c>
      <c r="D42" s="15"/>
      <c r="E42" s="15"/>
      <c r="F42" s="53">
        <v>-55503.119999999988</v>
      </c>
      <c r="G42" s="53">
        <f>'5103'!K37</f>
        <v>5133.71</v>
      </c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6"/>
    </row>
    <row r="43" spans="2:22" x14ac:dyDescent="0.2">
      <c r="B43" s="17"/>
      <c r="C43" s="17" t="s">
        <v>28</v>
      </c>
      <c r="D43" s="15"/>
      <c r="E43" s="15"/>
      <c r="F43" s="53">
        <v>-83914.049999999988</v>
      </c>
      <c r="G43" s="53">
        <f>'5103'!L37</f>
        <v>1677.3500000000004</v>
      </c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6"/>
    </row>
    <row r="44" spans="2:22" x14ac:dyDescent="0.2">
      <c r="B44" s="17"/>
      <c r="C44" s="17" t="s">
        <v>37</v>
      </c>
      <c r="D44" s="15"/>
      <c r="E44" s="15"/>
      <c r="F44" s="53">
        <v>-83914.049999999988</v>
      </c>
      <c r="G44" s="53">
        <f>'5103'!M37</f>
        <v>0</v>
      </c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6"/>
    </row>
    <row r="45" spans="2:22" x14ac:dyDescent="0.2">
      <c r="B45" s="17"/>
      <c r="C45" s="17" t="s">
        <v>38</v>
      </c>
      <c r="D45" s="15"/>
      <c r="E45" s="15"/>
      <c r="F45" s="53">
        <v>-83545.12999999999</v>
      </c>
      <c r="G45" s="53">
        <f>'5103'!N37</f>
        <v>0</v>
      </c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6"/>
    </row>
    <row r="46" spans="2:22" x14ac:dyDescent="0.2">
      <c r="B46" s="17"/>
      <c r="C46" s="26" t="s">
        <v>166</v>
      </c>
      <c r="D46" s="23"/>
      <c r="E46" s="23"/>
      <c r="F46" s="54">
        <v>123.7</v>
      </c>
      <c r="G46" s="54">
        <f>'5103'!O37</f>
        <v>0</v>
      </c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6"/>
    </row>
    <row r="47" spans="2:22" x14ac:dyDescent="0.2">
      <c r="B47" s="17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6"/>
    </row>
    <row r="48" spans="2:22" x14ac:dyDescent="0.2">
      <c r="B48" s="17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6"/>
    </row>
    <row r="49" spans="2:22" x14ac:dyDescent="0.2">
      <c r="B49" s="17"/>
      <c r="C49" s="38" t="s">
        <v>39</v>
      </c>
      <c r="D49" s="13"/>
      <c r="E49" s="13"/>
      <c r="F49" s="13"/>
      <c r="G49" s="13"/>
      <c r="H49" s="13"/>
      <c r="I49" s="14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6"/>
    </row>
    <row r="50" spans="2:22" x14ac:dyDescent="0.2">
      <c r="B50" s="17"/>
      <c r="C50" s="17"/>
      <c r="D50" s="15"/>
      <c r="E50" s="15"/>
      <c r="F50" s="15"/>
      <c r="G50" s="15"/>
      <c r="H50" s="15"/>
      <c r="I50" s="16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6"/>
    </row>
    <row r="51" spans="2:22" x14ac:dyDescent="0.2">
      <c r="B51" s="17"/>
      <c r="C51" s="17"/>
      <c r="D51" s="15"/>
      <c r="E51" s="15"/>
      <c r="F51" s="15"/>
      <c r="G51" s="15"/>
      <c r="H51" s="15"/>
      <c r="I51" s="16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6"/>
    </row>
    <row r="52" spans="2:22" x14ac:dyDescent="0.2">
      <c r="B52" s="17"/>
      <c r="C52" s="17"/>
      <c r="D52" s="15"/>
      <c r="E52" s="15"/>
      <c r="F52" s="15"/>
      <c r="G52" s="15"/>
      <c r="H52" s="15"/>
      <c r="I52" s="16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6"/>
    </row>
    <row r="53" spans="2:22" x14ac:dyDescent="0.2">
      <c r="B53" s="17"/>
      <c r="C53" s="26"/>
      <c r="D53" s="23"/>
      <c r="E53" s="23"/>
      <c r="F53" s="23"/>
      <c r="G53" s="23"/>
      <c r="H53" s="23"/>
      <c r="I53" s="2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6"/>
    </row>
    <row r="54" spans="2:22" x14ac:dyDescent="0.2">
      <c r="B54" s="17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6"/>
    </row>
    <row r="55" spans="2:22" x14ac:dyDescent="0.2">
      <c r="B55" s="17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6"/>
    </row>
    <row r="56" spans="2:22" x14ac:dyDescent="0.2">
      <c r="B56" s="17"/>
      <c r="C56" s="43" t="s">
        <v>40</v>
      </c>
      <c r="D56" s="15"/>
      <c r="E56" s="15"/>
      <c r="F56" s="23" t="s">
        <v>146</v>
      </c>
      <c r="G56" s="23"/>
      <c r="H56" s="15"/>
      <c r="I56" s="43" t="s">
        <v>41</v>
      </c>
      <c r="J56" s="45">
        <f ca="1">NOW()</f>
        <v>44298.635050578705</v>
      </c>
      <c r="K56" s="23"/>
      <c r="L56" s="43"/>
      <c r="M56" s="43" t="s">
        <v>42</v>
      </c>
      <c r="N56" s="15"/>
      <c r="O56" s="23"/>
      <c r="P56" s="23"/>
      <c r="Q56" s="23"/>
      <c r="R56" s="15"/>
      <c r="S56" s="15"/>
      <c r="T56" s="15"/>
      <c r="U56" s="15"/>
      <c r="V56" s="16"/>
    </row>
    <row r="57" spans="2:22" x14ac:dyDescent="0.2">
      <c r="B57" s="17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6"/>
    </row>
    <row r="58" spans="2:22" x14ac:dyDescent="0.2">
      <c r="B58" s="26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5"/>
    </row>
    <row r="60" spans="2:22" ht="15" x14ac:dyDescent="0.25"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</row>
  </sheetData>
  <mergeCells count="1">
    <mergeCell ref="C22:F22"/>
  </mergeCells>
  <phoneticPr fontId="54" type="noConversion"/>
  <pageMargins left="0.75" right="0.75" top="1" bottom="1" header="0.5" footer="0.5"/>
  <pageSetup paperSize="9" scale="60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V11"/>
  <sheetViews>
    <sheetView workbookViewId="0">
      <selection activeCell="E6" sqref="E6"/>
    </sheetView>
  </sheetViews>
  <sheetFormatPr defaultRowHeight="12.75" x14ac:dyDescent="0.2"/>
  <cols>
    <col min="1" max="1" width="29.42578125" customWidth="1"/>
    <col min="2" max="2" width="23.42578125" style="61" bestFit="1" customWidth="1"/>
    <col min="3" max="3" width="18.5703125" style="61" bestFit="1" customWidth="1"/>
    <col min="4" max="4" width="12.5703125" bestFit="1" customWidth="1"/>
    <col min="5" max="5" width="25.28515625" bestFit="1" customWidth="1"/>
    <col min="6" max="6" width="25" customWidth="1"/>
    <col min="8" max="8" width="26.5703125" customWidth="1"/>
    <col min="12" max="12" width="18.5703125" bestFit="1" customWidth="1"/>
  </cols>
  <sheetData>
    <row r="1" spans="1:22" x14ac:dyDescent="0.2">
      <c r="A1" t="s">
        <v>168</v>
      </c>
      <c r="B1" s="112" t="s">
        <v>109</v>
      </c>
      <c r="C1" s="112" t="s">
        <v>110</v>
      </c>
      <c r="D1" s="68" t="s">
        <v>111</v>
      </c>
      <c r="E1" s="68" t="s">
        <v>112</v>
      </c>
      <c r="F1" s="68" t="s">
        <v>113</v>
      </c>
      <c r="G1" s="68" t="s">
        <v>114</v>
      </c>
      <c r="H1" s="68" t="s">
        <v>115</v>
      </c>
      <c r="I1" s="68" t="s">
        <v>116</v>
      </c>
      <c r="J1" s="68" t="s">
        <v>117</v>
      </c>
      <c r="K1" s="68" t="s">
        <v>118</v>
      </c>
      <c r="L1" s="68" t="s">
        <v>119</v>
      </c>
      <c r="M1" s="68" t="s">
        <v>120</v>
      </c>
      <c r="N1" s="68" t="s">
        <v>121</v>
      </c>
      <c r="O1" s="68" t="s">
        <v>122</v>
      </c>
      <c r="P1" s="68" t="s">
        <v>123</v>
      </c>
      <c r="Q1" s="68" t="s">
        <v>124</v>
      </c>
      <c r="R1" s="68" t="s">
        <v>125</v>
      </c>
      <c r="S1" s="68" t="s">
        <v>126</v>
      </c>
      <c r="T1" s="68" t="s">
        <v>127</v>
      </c>
      <c r="U1" s="68" t="s">
        <v>128</v>
      </c>
      <c r="V1" s="68" t="s">
        <v>129</v>
      </c>
    </row>
    <row r="2" spans="1:22" x14ac:dyDescent="0.2">
      <c r="A2">
        <f>VLOOKUP(E2,[1]Sheet1!$A$1:$C$177,3,FALSE)</f>
        <v>4101</v>
      </c>
      <c r="B2" s="61">
        <v>44287</v>
      </c>
      <c r="C2" s="61">
        <v>44286</v>
      </c>
      <c r="D2">
        <v>210331</v>
      </c>
      <c r="E2">
        <v>8032980377</v>
      </c>
      <c r="F2">
        <v>0</v>
      </c>
      <c r="G2">
        <v>0</v>
      </c>
      <c r="H2" s="68">
        <v>74.459999999999994</v>
      </c>
      <c r="I2">
        <v>0</v>
      </c>
      <c r="J2">
        <v>6</v>
      </c>
      <c r="K2" t="s">
        <v>130</v>
      </c>
      <c r="L2">
        <v>74.459999999999994</v>
      </c>
      <c r="M2">
        <v>0</v>
      </c>
      <c r="N2">
        <v>74.459999999999994</v>
      </c>
      <c r="O2" t="s">
        <v>196</v>
      </c>
      <c r="P2">
        <v>0</v>
      </c>
      <c r="Q2" t="s">
        <v>131</v>
      </c>
      <c r="R2">
        <v>10038666</v>
      </c>
      <c r="S2">
        <v>8032980377</v>
      </c>
      <c r="T2" t="s">
        <v>130</v>
      </c>
      <c r="U2">
        <v>44286</v>
      </c>
      <c r="V2" t="s">
        <v>132</v>
      </c>
    </row>
    <row r="3" spans="1:22" x14ac:dyDescent="0.2">
      <c r="A3">
        <f>VLOOKUP(E3,[1]Sheet1!$A$1:$C$177,3,FALSE)</f>
        <v>2225</v>
      </c>
      <c r="B3" s="61">
        <v>44287</v>
      </c>
      <c r="C3" s="61">
        <v>44286</v>
      </c>
      <c r="D3">
        <v>210331</v>
      </c>
      <c r="E3">
        <v>8037748829</v>
      </c>
      <c r="F3">
        <v>0</v>
      </c>
      <c r="G3">
        <v>0</v>
      </c>
      <c r="H3" s="68">
        <v>52.96</v>
      </c>
      <c r="I3">
        <v>0</v>
      </c>
      <c r="J3">
        <v>5</v>
      </c>
      <c r="K3">
        <v>2225</v>
      </c>
      <c r="L3">
        <v>52.96</v>
      </c>
      <c r="M3">
        <v>0</v>
      </c>
      <c r="N3">
        <v>52.96</v>
      </c>
      <c r="O3" t="s">
        <v>216</v>
      </c>
      <c r="P3">
        <v>0</v>
      </c>
      <c r="Q3" t="s">
        <v>131</v>
      </c>
      <c r="R3">
        <v>10040706</v>
      </c>
      <c r="S3">
        <v>8037748829</v>
      </c>
      <c r="T3">
        <v>2225</v>
      </c>
      <c r="U3">
        <v>44286</v>
      </c>
      <c r="V3" t="s">
        <v>132</v>
      </c>
    </row>
    <row r="4" spans="1:22" x14ac:dyDescent="0.2">
      <c r="A4">
        <f>VLOOKUP(E4,[1]Sheet1!$A$1:$C$177,3,FALSE)</f>
        <v>3228</v>
      </c>
      <c r="B4" s="61">
        <v>44287</v>
      </c>
      <c r="C4" s="61">
        <v>44286</v>
      </c>
      <c r="D4">
        <v>210331</v>
      </c>
      <c r="E4">
        <v>8038231833</v>
      </c>
      <c r="F4">
        <v>0</v>
      </c>
      <c r="G4">
        <v>0</v>
      </c>
      <c r="H4" s="68">
        <v>149.94999999999999</v>
      </c>
      <c r="I4">
        <v>0</v>
      </c>
      <c r="J4">
        <v>1</v>
      </c>
      <c r="K4" t="s">
        <v>130</v>
      </c>
      <c r="L4">
        <v>149.94999999999999</v>
      </c>
      <c r="M4">
        <v>0</v>
      </c>
      <c r="N4">
        <v>149.94999999999999</v>
      </c>
      <c r="O4" t="s">
        <v>219</v>
      </c>
      <c r="P4">
        <v>0</v>
      </c>
      <c r="Q4" t="s">
        <v>131</v>
      </c>
      <c r="R4">
        <v>10040707</v>
      </c>
      <c r="S4">
        <v>8038231833</v>
      </c>
      <c r="T4" t="s">
        <v>130</v>
      </c>
      <c r="U4">
        <v>44286</v>
      </c>
      <c r="V4" t="s">
        <v>132</v>
      </c>
    </row>
    <row r="5" spans="1:22" x14ac:dyDescent="0.2">
      <c r="A5">
        <f>VLOOKUP(E5,[1]Sheet1!$A$1:$C$177,3,FALSE)</f>
        <v>6176</v>
      </c>
      <c r="B5" s="61">
        <v>44287</v>
      </c>
      <c r="C5" s="61">
        <v>44286</v>
      </c>
      <c r="D5">
        <v>210331</v>
      </c>
      <c r="E5">
        <v>8038344776</v>
      </c>
      <c r="F5">
        <v>0</v>
      </c>
      <c r="G5">
        <v>0</v>
      </c>
      <c r="H5" s="68">
        <v>142.46</v>
      </c>
      <c r="I5">
        <v>0</v>
      </c>
      <c r="J5">
        <v>8</v>
      </c>
      <c r="K5" t="s">
        <v>130</v>
      </c>
      <c r="L5">
        <v>142.46</v>
      </c>
      <c r="M5">
        <v>0</v>
      </c>
      <c r="N5">
        <v>142.46</v>
      </c>
      <c r="O5" t="s">
        <v>197</v>
      </c>
      <c r="P5">
        <v>0</v>
      </c>
      <c r="Q5" t="s">
        <v>131</v>
      </c>
      <c r="R5">
        <v>10040708</v>
      </c>
      <c r="S5">
        <v>8038344776</v>
      </c>
      <c r="T5" t="s">
        <v>130</v>
      </c>
      <c r="U5">
        <v>44286</v>
      </c>
      <c r="V5" t="s">
        <v>132</v>
      </c>
    </row>
    <row r="6" spans="1:22" x14ac:dyDescent="0.2">
      <c r="A6">
        <f>VLOOKUP(E6,[1]Sheet1!$A$1:$C$177,3,FALSE)</f>
        <v>7078</v>
      </c>
      <c r="B6" s="61">
        <v>44287</v>
      </c>
      <c r="C6" s="61">
        <v>44286</v>
      </c>
      <c r="D6">
        <v>210331</v>
      </c>
      <c r="E6">
        <v>9791719545</v>
      </c>
      <c r="F6">
        <v>0</v>
      </c>
      <c r="G6">
        <v>0</v>
      </c>
      <c r="H6" s="68">
        <v>126.12</v>
      </c>
      <c r="I6">
        <v>0</v>
      </c>
      <c r="J6">
        <v>5</v>
      </c>
      <c r="K6" t="s">
        <v>130</v>
      </c>
      <c r="L6">
        <v>126.12</v>
      </c>
      <c r="M6">
        <v>0</v>
      </c>
      <c r="N6">
        <v>126.12</v>
      </c>
      <c r="O6" t="s">
        <v>134</v>
      </c>
      <c r="P6">
        <v>0</v>
      </c>
      <c r="Q6" t="s">
        <v>131</v>
      </c>
      <c r="R6">
        <v>10040709</v>
      </c>
      <c r="S6">
        <v>9791719545</v>
      </c>
      <c r="T6" t="s">
        <v>130</v>
      </c>
      <c r="U6">
        <v>44286</v>
      </c>
      <c r="V6" t="s">
        <v>132</v>
      </c>
    </row>
    <row r="7" spans="1:22" x14ac:dyDescent="0.2">
      <c r="A7">
        <f>VLOOKUP(E7,[1]Sheet1!$A$1:$C$177,3,FALSE)</f>
        <v>7079</v>
      </c>
      <c r="B7" s="61">
        <v>44287</v>
      </c>
      <c r="C7" s="61">
        <v>44286</v>
      </c>
      <c r="D7">
        <v>210331</v>
      </c>
      <c r="E7">
        <v>9791719552</v>
      </c>
      <c r="F7">
        <v>0</v>
      </c>
      <c r="G7">
        <v>0</v>
      </c>
      <c r="H7" s="68">
        <v>540.37</v>
      </c>
      <c r="I7">
        <v>0</v>
      </c>
      <c r="J7">
        <v>5</v>
      </c>
      <c r="K7" t="s">
        <v>130</v>
      </c>
      <c r="L7">
        <v>540.37</v>
      </c>
      <c r="M7">
        <v>0</v>
      </c>
      <c r="N7">
        <v>540.37</v>
      </c>
      <c r="O7" t="s">
        <v>217</v>
      </c>
      <c r="P7">
        <v>0</v>
      </c>
      <c r="Q7" t="s">
        <v>131</v>
      </c>
      <c r="R7">
        <v>10040710</v>
      </c>
      <c r="S7">
        <v>9791719552</v>
      </c>
      <c r="T7" t="s">
        <v>130</v>
      </c>
      <c r="U7">
        <v>44286</v>
      </c>
      <c r="V7" t="s">
        <v>132</v>
      </c>
    </row>
    <row r="8" spans="1:22" x14ac:dyDescent="0.2">
      <c r="A8">
        <f>VLOOKUP(E8,[1]Sheet1!$A$1:$C$177,3,FALSE)</f>
        <v>2450</v>
      </c>
      <c r="B8" s="61">
        <v>44287</v>
      </c>
      <c r="C8" s="61">
        <v>44286</v>
      </c>
      <c r="D8">
        <v>210331</v>
      </c>
      <c r="E8">
        <v>9792619132</v>
      </c>
      <c r="F8">
        <v>0</v>
      </c>
      <c r="G8">
        <v>0</v>
      </c>
      <c r="H8" s="68">
        <v>25.5</v>
      </c>
      <c r="I8">
        <v>0</v>
      </c>
      <c r="J8">
        <v>3</v>
      </c>
      <c r="K8" t="s">
        <v>130</v>
      </c>
      <c r="L8">
        <v>25.5</v>
      </c>
      <c r="M8">
        <v>0</v>
      </c>
      <c r="N8">
        <v>25.5</v>
      </c>
      <c r="O8" t="s">
        <v>175</v>
      </c>
      <c r="P8">
        <v>0</v>
      </c>
      <c r="Q8" t="s">
        <v>131</v>
      </c>
      <c r="R8">
        <v>10040711</v>
      </c>
      <c r="S8">
        <v>9792619132</v>
      </c>
      <c r="T8" t="s">
        <v>130</v>
      </c>
      <c r="U8">
        <v>44286</v>
      </c>
      <c r="V8" t="s">
        <v>132</v>
      </c>
    </row>
    <row r="9" spans="1:22" x14ac:dyDescent="0.2">
      <c r="A9">
        <f>VLOOKUP(E9,[1]Sheet1!$A$1:$C$177,3,FALSE)</f>
        <v>7064</v>
      </c>
      <c r="B9" s="61">
        <v>44287</v>
      </c>
      <c r="C9" s="61">
        <v>44286</v>
      </c>
      <c r="D9">
        <v>210331</v>
      </c>
      <c r="E9">
        <v>9793434333</v>
      </c>
      <c r="F9">
        <v>0</v>
      </c>
      <c r="G9">
        <v>0</v>
      </c>
      <c r="H9" s="68">
        <v>19.95</v>
      </c>
      <c r="I9">
        <v>0</v>
      </c>
      <c r="J9">
        <v>1</v>
      </c>
      <c r="K9" t="s">
        <v>130</v>
      </c>
      <c r="L9">
        <v>19.95</v>
      </c>
      <c r="M9">
        <v>0</v>
      </c>
      <c r="N9">
        <v>19.95</v>
      </c>
      <c r="O9" t="s">
        <v>218</v>
      </c>
      <c r="P9">
        <v>0</v>
      </c>
      <c r="Q9" t="s">
        <v>131</v>
      </c>
      <c r="R9">
        <v>10040712</v>
      </c>
      <c r="S9">
        <v>9793434333</v>
      </c>
      <c r="T9" t="s">
        <v>130</v>
      </c>
      <c r="U9">
        <v>44286</v>
      </c>
      <c r="V9" t="s">
        <v>132</v>
      </c>
    </row>
    <row r="10" spans="1:22" x14ac:dyDescent="0.2">
      <c r="A10">
        <f>VLOOKUP(E10,[1]Sheet1!$A$1:$C$177,3,FALSE)</f>
        <v>8188</v>
      </c>
      <c r="B10" s="61">
        <v>44287</v>
      </c>
      <c r="C10" s="61">
        <v>44286</v>
      </c>
      <c r="D10">
        <v>210331</v>
      </c>
      <c r="E10">
        <v>9793815069</v>
      </c>
      <c r="F10">
        <v>0</v>
      </c>
      <c r="G10">
        <v>0</v>
      </c>
      <c r="H10" s="68">
        <v>141</v>
      </c>
      <c r="I10">
        <v>0</v>
      </c>
      <c r="J10">
        <v>6</v>
      </c>
      <c r="K10" t="s">
        <v>130</v>
      </c>
      <c r="L10">
        <v>141</v>
      </c>
      <c r="M10">
        <v>0</v>
      </c>
      <c r="N10">
        <v>141</v>
      </c>
      <c r="O10" t="s">
        <v>134</v>
      </c>
      <c r="P10">
        <v>0</v>
      </c>
      <c r="Q10" t="s">
        <v>131</v>
      </c>
      <c r="R10">
        <v>10040713</v>
      </c>
      <c r="S10">
        <v>9793815069</v>
      </c>
      <c r="T10" t="s">
        <v>130</v>
      </c>
      <c r="U10">
        <v>44286</v>
      </c>
      <c r="V10" t="s">
        <v>132</v>
      </c>
    </row>
    <row r="11" spans="1:22" x14ac:dyDescent="0.2">
      <c r="A11">
        <f>VLOOKUP(E11,[1]Sheet1!$A$1:$C$177,3,FALSE)</f>
        <v>4100</v>
      </c>
      <c r="B11" s="61">
        <v>44287</v>
      </c>
      <c r="C11" s="61">
        <v>44286</v>
      </c>
      <c r="D11">
        <v>210331</v>
      </c>
      <c r="E11">
        <v>9799816848</v>
      </c>
      <c r="F11">
        <v>0</v>
      </c>
      <c r="G11">
        <v>0</v>
      </c>
      <c r="H11" s="68">
        <v>30.78</v>
      </c>
      <c r="I11">
        <v>0</v>
      </c>
      <c r="J11">
        <v>4</v>
      </c>
      <c r="K11" t="s">
        <v>130</v>
      </c>
      <c r="L11">
        <v>30.78</v>
      </c>
      <c r="M11">
        <v>0</v>
      </c>
      <c r="N11">
        <v>30.78</v>
      </c>
      <c r="O11" t="s">
        <v>133</v>
      </c>
      <c r="P11">
        <v>0</v>
      </c>
      <c r="Q11" t="s">
        <v>131</v>
      </c>
      <c r="R11">
        <v>10040714</v>
      </c>
      <c r="S11">
        <v>9799816848</v>
      </c>
      <c r="T11" t="s">
        <v>130</v>
      </c>
      <c r="U11">
        <v>44286</v>
      </c>
      <c r="V11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5103 Opening Balance</vt:lpstr>
      <vt:lpstr>5103</vt:lpstr>
      <vt:lpstr>Amex Receipted On the 1st</vt:lpstr>
      <vt:lpstr>Midnight Drawer</vt:lpstr>
      <vt:lpstr>Amex Sale after 7pm Syd Time</vt:lpstr>
      <vt:lpstr>Amex Sales in MidnightDrawer</vt:lpstr>
      <vt:lpstr>Summary before PDE write-offs</vt:lpstr>
      <vt:lpstr>Rec</vt:lpstr>
      <vt:lpstr>Amex Settlement Dump</vt:lpstr>
      <vt:lpstr>ESTTime</vt:lpstr>
      <vt:lpstr>'Amex Sale after 7pm Syd Time'!Fetch_Sales_After_Bank_Settlement_Time</vt:lpstr>
      <vt:lpstr>'Amex Sale after 7pm Syd Time'!Fetch_Sales_After_Bank_Settlement_Time_1</vt:lpstr>
      <vt:lpstr>'Amex Sales in MidnightDrawer'!Fetch_Sales_in_midnight_drawers</vt:lpstr>
      <vt:lpstr>'Amex Sales in MidnightDrawer'!Fetch_Sales_in_midnight_drawers_1</vt:lpstr>
      <vt:lpstr>'Amex Sales in MidnightDrawer'!Fetch_Sales_in_midnight_drawers_10</vt:lpstr>
      <vt:lpstr>'Amex Sales in MidnightDrawer'!Fetch_Sales_in_midnight_drawers_2</vt:lpstr>
      <vt:lpstr>'Amex Sales in MidnightDrawer'!Fetch_Sales_in_midnight_drawers_3</vt:lpstr>
      <vt:lpstr>'Amex Sales in MidnightDrawer'!Fetch_Sales_in_midnight_drawers_4</vt:lpstr>
      <vt:lpstr>'Amex Sales in MidnightDrawer'!Fetch_Sales_in_midnight_drawers_5</vt:lpstr>
      <vt:lpstr>'Amex Sales in MidnightDrawer'!Fetch_Sales_in_midnight_drawers_6</vt:lpstr>
      <vt:lpstr>'Amex Sales in MidnightDrawer'!Fetch_Sales_in_midnight_drawers_7</vt:lpstr>
      <vt:lpstr>'Amex Sales in MidnightDrawer'!Fetch_Sales_in_midnight_drawers_8</vt:lpstr>
      <vt:lpstr>'Amex Sales in MidnightDrawer'!Fetch_Sales_in_midnight_drawers_9</vt:lpstr>
      <vt:lpstr>MidnightDate</vt:lpstr>
      <vt:lpstr>MonthEndDate</vt:lpstr>
      <vt:lpstr>NTTime</vt:lpstr>
      <vt:lpstr>QLDTime</vt:lpstr>
      <vt:lpstr>SATime</vt:lpstr>
      <vt:lpstr>'Midnight Drawer'!Show_Midnight_Drawer</vt:lpstr>
      <vt:lpstr>'Midnight Drawer'!Show_Midnight_Drawer_1</vt:lpstr>
      <vt:lpstr>'Midnight Drawer'!Show_Midnight_Drawer_2</vt:lpstr>
      <vt:lpstr>WATime</vt:lpstr>
    </vt:vector>
  </TitlesOfParts>
  <Company>AWPL Retail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cp:lastPrinted>2019-11-13T04:43:37Z</cp:lastPrinted>
  <dcterms:created xsi:type="dcterms:W3CDTF">2010-03-28T22:58:50Z</dcterms:created>
  <dcterms:modified xsi:type="dcterms:W3CDTF">2021-04-12T05:17:10Z</dcterms:modified>
</cp:coreProperties>
</file>