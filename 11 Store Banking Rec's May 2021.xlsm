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1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5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9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Store Banking Recs\"/>
    </mc:Choice>
  </mc:AlternateContent>
  <xr:revisionPtr revIDLastSave="0" documentId="13_ncr:1_{87805B96-D691-4EB2-8B18-1D95FD7F9379}" xr6:coauthVersionLast="45" xr6:coauthVersionMax="46" xr10:uidLastSave="{00000000-0000-0000-0000-000000000000}"/>
  <workbookProtection lockStructure="1"/>
  <bookViews>
    <workbookView xWindow="-120" yWindow="-120" windowWidth="24240" windowHeight="13140" tabRatio="948" firstSheet="1" activeTab="11" xr2:uid="{00000000-000D-0000-FFFF-FFFF00000000}"/>
  </bookViews>
  <sheets>
    <sheet name="Drawer" sheetId="63" r:id="rId1"/>
    <sheet name="Drawer Overview" sheetId="75" r:id="rId2"/>
    <sheet name="Drawer Rec" sheetId="68" r:id="rId3"/>
    <sheet name="Petty Cash" sheetId="5" r:id="rId4"/>
    <sheet name="POS Banking" sheetId="67" r:id="rId5"/>
    <sheet name="Bank Deposit List" sheetId="14" r:id="rId6"/>
    <sheet name="Deposits AU NAB" sheetId="9" r:id="rId7"/>
    <sheet name="Master Sheet" sheetId="2" r:id="rId8"/>
    <sheet name="SecureCash Collection" sheetId="1" r:id="rId9"/>
    <sheet name="Float" sheetId="74" r:id="rId10"/>
    <sheet name="Detail Variance Report" sheetId="73" r:id="rId11"/>
    <sheet name="Cash Drawer Variances" sheetId="72" r:id="rId12"/>
    <sheet name="Banking Errors" sheetId="76" r:id="rId13"/>
    <sheet name="Store Rec" sheetId="70" r:id="rId14"/>
    <sheet name="FX" sheetId="15" state="hidden" r:id="rId15"/>
    <sheet name="Deposits NZ" sheetId="10" state="hidden" r:id="rId16"/>
    <sheet name="Deposits AU ANZ" sheetId="52" state="hidden" r:id="rId17"/>
    <sheet name="ANZ FX" sheetId="55" state="hidden" r:id="rId18"/>
    <sheet name="RMS codes" sheetId="12" state="hidden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xlnm._FilterDatabase" localSheetId="17" hidden="1">'ANZ FX'!$A$2:$S$86</definedName>
    <definedName name="_xlnm._FilterDatabase" localSheetId="5" hidden="1">'Bank Deposit List'!$A$1:$L$1</definedName>
    <definedName name="_xlnm._FilterDatabase" localSheetId="11" hidden="1">'Cash Drawer Variances'!$C$1:$J$23</definedName>
    <definedName name="_xlnm._FilterDatabase" localSheetId="16" hidden="1">'Deposits AU ANZ'!$A$2:$M$138</definedName>
    <definedName name="_xlnm._FilterDatabase" localSheetId="6" hidden="1">'Deposits AU NAB'!$A$1:$M$640</definedName>
    <definedName name="_xlnm._FilterDatabase" localSheetId="15" hidden="1">'Deposits NZ'!$A$2:$K$3</definedName>
    <definedName name="_xlnm._FilterDatabase" localSheetId="10" hidden="1">'Detail Variance Report'!$A$1:$G$273</definedName>
    <definedName name="_xlnm._FilterDatabase" localSheetId="1" hidden="1">'Drawer Overview'!$A$4:$G$96</definedName>
    <definedName name="_xlnm._FilterDatabase" localSheetId="2" hidden="1">'Drawer Rec'!$A$8:$F$8</definedName>
    <definedName name="_xlnm._FilterDatabase" localSheetId="9" hidden="1">Float!$A$1:$C$31</definedName>
    <definedName name="_xlnm._FilterDatabase" localSheetId="14" hidden="1">FX!$A$2:$W$154</definedName>
    <definedName name="_xlnm._FilterDatabase" localSheetId="3" hidden="1">'Petty Cash'!$D$1:$E$31</definedName>
    <definedName name="_xlnm._FilterDatabase" localSheetId="4" hidden="1">'POS Banking'!$A$1:$F$29</definedName>
    <definedName name="_xlnm._FilterDatabase" localSheetId="8" hidden="1">'SecureCash Collection'!$A$2:$H$32</definedName>
    <definedName name="_xlnm._FilterDatabase" localSheetId="13" hidden="1">'Store Rec'!$A$15:$I$15</definedName>
    <definedName name="Drawer_Overview" localSheetId="1">'Drawer Overview'!$A$4:$G$96</definedName>
    <definedName name="Drawer_Overview_4" localSheetId="1">'Drawer Overview'!$A$4:$F$49</definedName>
    <definedName name="Drawer_Overview_5" localSheetId="1">'Drawer Overview'!$A$4:$G$30</definedName>
    <definedName name="Drawer_Overview_6" localSheetId="1">'Drawer Overview'!$A$4:$G$24</definedName>
    <definedName name="Drawer_Overview_7" localSheetId="1">'Drawer Overview'!$A$4:$G$29</definedName>
    <definedName name="Drawer_Overview_8" localSheetId="1">'Drawer Overview'!$A$4:$G$29</definedName>
    <definedName name="Fetch_Bank_Deposit_List" localSheetId="5">'Bank Deposit List'!#REF!</definedName>
    <definedName name="Fetch_Bank_Deposit_List_1" localSheetId="5">'Bank Deposit List'!#REF!</definedName>
    <definedName name="Fetch_Bank_Deposit_List_2" localSheetId="5">'Bank Deposit List'!#REF!</definedName>
    <definedName name="Fetch_Bank_Deposit_List_3" localSheetId="5">'Bank Deposit List'!$A$2:$H$4</definedName>
    <definedName name="Fetch_Cash_Variance_Over__5" localSheetId="11">'Cash Drawer Variances'!$C$2:$I$3</definedName>
    <definedName name="Fetch_Cash_Variance_Over__5_1" localSheetId="11">'Cash Drawer Variances'!#REF!</definedName>
    <definedName name="Fetch_Cash_Variance_Over__5_10" localSheetId="11">'Cash Drawer Variances'!$C$15:$I$18</definedName>
    <definedName name="Fetch_Cash_Variance_Over__5_11" localSheetId="11">'Cash Drawer Variances'!#REF!</definedName>
    <definedName name="Fetch_Cash_Variance_Over__5_12" localSheetId="11">'Cash Drawer Variances'!$C$19:$I$20</definedName>
    <definedName name="Fetch_Cash_Variance_Over__5_13" localSheetId="11">'Cash Drawer Variances'!$C$21:$I$23</definedName>
    <definedName name="Fetch_Cash_Variance_Over__5_2" localSheetId="11">'Cash Drawer Variances'!#REF!</definedName>
    <definedName name="Fetch_Cash_Variance_Over__5_3" localSheetId="11">'Cash Drawer Variances'!#REF!</definedName>
    <definedName name="Fetch_Cash_Variance_Over__5_4" localSheetId="11">'Cash Drawer Variances'!#REF!</definedName>
    <definedName name="Fetch_Cash_Variance_Over__5_5" localSheetId="11">'Cash Drawer Variances'!#REF!</definedName>
    <definedName name="Fetch_Cash_Variance_Over__5_6" localSheetId="11">'Cash Drawer Variances'!#REF!</definedName>
    <definedName name="Fetch_Cash_Variance_Over__5_7" localSheetId="11">'Cash Drawer Variances'!#REF!</definedName>
    <definedName name="Fetch_Cash_Variance_Over__5_8" localSheetId="11">'Cash Drawer Variances'!$C$4:$I$5</definedName>
    <definedName name="Fetch_Cash_Variance_Over__5_9" localSheetId="11">'Cash Drawer Variances'!$C$6:$I$14</definedName>
    <definedName name="Fetch_POS_Drawer_History" localSheetId="0">Drawer!$A$143:$O$174</definedName>
    <definedName name="Fetch_POS_Drawer_History_1" localSheetId="0">Drawer!#REF!</definedName>
    <definedName name="Fetch_POS_Drawer_History_2" localSheetId="0">Drawer!$A$2:$O$93</definedName>
    <definedName name="Fetch_POS_Drawer_History_3" localSheetId="0">Drawer!$A$175:$O$198</definedName>
    <definedName name="Fetch_POS_Drawer_History_4" localSheetId="0">Drawer!$A$199:$O$222</definedName>
    <definedName name="Fetch_POS_Drawer_History_5" localSheetId="0">Drawer!$A$223:$O$248</definedName>
    <definedName name="Fetch_Store_Rec" localSheetId="13">'Store Rec'!#REF!</definedName>
    <definedName name="Fetch_Store_Rec_1" localSheetId="13">'Store Rec'!#REF!</definedName>
    <definedName name="Fetch_Store_Rec_2" localSheetId="13">'Store Rec'!#REF!</definedName>
    <definedName name="Fetch_Store_Rec_3" localSheetId="13">'Store Rec'!#REF!</definedName>
    <definedName name="Fetch_Store_Rec_4" localSheetId="13">'Store Rec'!#REF!</definedName>
    <definedName name="Fetch_Store_Rec_5" localSheetId="13">'Store Rec'!$A$2:$E$3</definedName>
    <definedName name="_xlnm.Print_Area" localSheetId="11">'Cash Drawer Variances'!$C$1:$J$1</definedName>
    <definedName name="_xlnm.Print_Area" localSheetId="10">'Detail Variance Report'!$C$1:$G$30</definedName>
    <definedName name="_xlnm.Print_Area" localSheetId="9">Float!$B$1:$C$33</definedName>
    <definedName name="_xlnm.Print_Area" localSheetId="7">'Master Sheet'!$A$3:$C$36</definedName>
    <definedName name="_xlnm.Print_Area" localSheetId="8">'SecureCash Collection'!$B$1:$H$34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5" i="1" l="1"/>
  <c r="Q258" i="73"/>
  <c r="Q260" i="73" s="1"/>
  <c r="Q257" i="73"/>
  <c r="Q248" i="73"/>
  <c r="Q247" i="73"/>
  <c r="Q238" i="73"/>
  <c r="Q237" i="73"/>
  <c r="Q229" i="73"/>
  <c r="Q228" i="73"/>
  <c r="Q220" i="73"/>
  <c r="Q210" i="73"/>
  <c r="Q209" i="73"/>
  <c r="Q201" i="73"/>
  <c r="Q200" i="73"/>
  <c r="Q191" i="73"/>
  <c r="Q190" i="73"/>
  <c r="Q182" i="73"/>
  <c r="Q181" i="73"/>
  <c r="Q173" i="73"/>
  <c r="Q172" i="73"/>
  <c r="Q164" i="73"/>
  <c r="Q163" i="73"/>
  <c r="Q155" i="73"/>
  <c r="Q154" i="73"/>
  <c r="Q146" i="73"/>
  <c r="Q137" i="73"/>
  <c r="Q136" i="73"/>
  <c r="Q128" i="73"/>
  <c r="Q127" i="73"/>
  <c r="Q119" i="73"/>
  <c r="Q118" i="73"/>
  <c r="Q110" i="73"/>
  <c r="Q109" i="73"/>
  <c r="Q100" i="73"/>
  <c r="Q99" i="73"/>
  <c r="Q90" i="73"/>
  <c r="Q89" i="73"/>
  <c r="Q81" i="73"/>
  <c r="Q80" i="73"/>
  <c r="Q71" i="73"/>
  <c r="Q70" i="73"/>
  <c r="Q61" i="73"/>
  <c r="Q60" i="73"/>
  <c r="Q51" i="73"/>
  <c r="Q50" i="73"/>
  <c r="Q42" i="73"/>
  <c r="Q41" i="73"/>
  <c r="Q33" i="73"/>
  <c r="Q32" i="73"/>
  <c r="Q23" i="73"/>
  <c r="Q22" i="73"/>
  <c r="Q14" i="73"/>
  <c r="Q13" i="73"/>
  <c r="Q5" i="73"/>
  <c r="Q268" i="73" s="1"/>
  <c r="Q4" i="73"/>
  <c r="Q1" i="73"/>
  <c r="M30" i="74"/>
  <c r="M29" i="74"/>
  <c r="M28" i="74"/>
  <c r="M27" i="74"/>
  <c r="M26" i="74"/>
  <c r="M25" i="74"/>
  <c r="M24" i="74"/>
  <c r="M23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7" i="74"/>
  <c r="M6" i="74"/>
  <c r="M5" i="74"/>
  <c r="M4" i="74"/>
  <c r="M3" i="74"/>
  <c r="M2" i="74"/>
  <c r="M1" i="74"/>
  <c r="R31" i="1"/>
  <c r="R30" i="1"/>
  <c r="R29" i="1"/>
  <c r="R28" i="1"/>
  <c r="R27" i="1"/>
  <c r="R26" i="1"/>
  <c r="R24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8" i="1"/>
  <c r="R7" i="1"/>
  <c r="R6" i="1"/>
  <c r="R5" i="1"/>
  <c r="R4" i="1"/>
  <c r="R3" i="1"/>
  <c r="P36" i="2"/>
  <c r="P30" i="2"/>
  <c r="O29" i="67"/>
  <c r="O28" i="67"/>
  <c r="O27" i="67"/>
  <c r="O26" i="67"/>
  <c r="O25" i="67"/>
  <c r="O24" i="67"/>
  <c r="O23" i="67"/>
  <c r="O22" i="67"/>
  <c r="O21" i="67"/>
  <c r="O20" i="67"/>
  <c r="O19" i="67"/>
  <c r="O18" i="67"/>
  <c r="O17" i="67"/>
  <c r="O16" i="67"/>
  <c r="O15" i="67"/>
  <c r="O14" i="67"/>
  <c r="O13" i="67"/>
  <c r="O12" i="67"/>
  <c r="O11" i="67"/>
  <c r="O10" i="67"/>
  <c r="O9" i="67"/>
  <c r="O8" i="67"/>
  <c r="O7" i="67"/>
  <c r="O6" i="67"/>
  <c r="O5" i="67"/>
  <c r="O4" i="67"/>
  <c r="O3" i="67"/>
  <c r="O2" i="67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31" i="5" l="1"/>
  <c r="M31" i="74"/>
  <c r="Q267" i="73"/>
  <c r="R32" i="1"/>
  <c r="Q259" i="73"/>
  <c r="Q249" i="73"/>
  <c r="Q250" i="73" s="1"/>
  <c r="Q239" i="73"/>
  <c r="Q240" i="73" s="1"/>
  <c r="Q230" i="73"/>
  <c r="Q231" i="73" s="1"/>
  <c r="Q221" i="73"/>
  <c r="Q222" i="73" s="1"/>
  <c r="Q140" i="73"/>
  <c r="Q131" i="73"/>
  <c r="Q113" i="73"/>
  <c r="Q84" i="73"/>
  <c r="Q54" i="73"/>
  <c r="Q26" i="73"/>
  <c r="R2" i="1"/>
  <c r="O1" i="67"/>
  <c r="Q176" i="73"/>
  <c r="Q213" i="73"/>
  <c r="Q204" i="73"/>
  <c r="Q194" i="73"/>
  <c r="Q185" i="73"/>
  <c r="Q158" i="73"/>
  <c r="Q261" i="73"/>
  <c r="Q251" i="73"/>
  <c r="Q241" i="73"/>
  <c r="Q232" i="73"/>
  <c r="Q223" i="73"/>
  <c r="Q138" i="73"/>
  <c r="Q139" i="73" s="1"/>
  <c r="Q129" i="73"/>
  <c r="Q130" i="73" s="1"/>
  <c r="Q120" i="73"/>
  <c r="Q121" i="73" s="1"/>
  <c r="Q111" i="73"/>
  <c r="Q112" i="73" s="1"/>
  <c r="Q101" i="73"/>
  <c r="Q102" i="73" s="1"/>
  <c r="Q91" i="73"/>
  <c r="Q92" i="73" s="1"/>
  <c r="Q82" i="73"/>
  <c r="Q83" i="73" s="1"/>
  <c r="Q72" i="73"/>
  <c r="Q73" i="73" s="1"/>
  <c r="Q62" i="73"/>
  <c r="Q63" i="73" s="1"/>
  <c r="Q52" i="73"/>
  <c r="Q53" i="73" s="1"/>
  <c r="Q43" i="73"/>
  <c r="Q44" i="73" s="1"/>
  <c r="Q34" i="73"/>
  <c r="Q35" i="73" s="1"/>
  <c r="Q24" i="73"/>
  <c r="Q25" i="73" s="1"/>
  <c r="Q15" i="73"/>
  <c r="Q16" i="73" s="1"/>
  <c r="Q6" i="73"/>
  <c r="N1" i="5"/>
  <c r="Q103" i="73"/>
  <c r="Q64" i="73"/>
  <c r="Q36" i="73"/>
  <c r="Q8" i="73"/>
  <c r="Q149" i="73"/>
  <c r="Q211" i="73"/>
  <c r="Q212" i="73" s="1"/>
  <c r="Q202" i="73"/>
  <c r="Q203" i="73" s="1"/>
  <c r="Q192" i="73"/>
  <c r="Q193" i="73" s="1"/>
  <c r="Q183" i="73"/>
  <c r="Q184" i="73" s="1"/>
  <c r="Q174" i="73"/>
  <c r="Q175" i="73" s="1"/>
  <c r="Q165" i="73"/>
  <c r="Q166" i="73" s="1"/>
  <c r="Q156" i="73"/>
  <c r="Q157" i="73" s="1"/>
  <c r="Q147" i="73"/>
  <c r="Q148" i="73" s="1"/>
  <c r="P1" i="2"/>
  <c r="P8" i="68"/>
  <c r="P63" i="68" s="1"/>
  <c r="Q122" i="73"/>
  <c r="Q93" i="73"/>
  <c r="Q74" i="73"/>
  <c r="Q45" i="73"/>
  <c r="Q17" i="73"/>
  <c r="Q167" i="73"/>
  <c r="P12" i="68"/>
  <c r="P16" i="68"/>
  <c r="P28" i="68"/>
  <c r="P32" i="68"/>
  <c r="P44" i="68"/>
  <c r="P48" i="68"/>
  <c r="P60" i="68"/>
  <c r="P13" i="68"/>
  <c r="P37" i="68"/>
  <c r="P49" i="68"/>
  <c r="P22" i="68"/>
  <c r="P30" i="68"/>
  <c r="P42" i="68"/>
  <c r="P46" i="68"/>
  <c r="P58" i="68"/>
  <c r="P62" i="68"/>
  <c r="P25" i="68"/>
  <c r="P33" i="68"/>
  <c r="P53" i="68"/>
  <c r="P61" i="68"/>
  <c r="P26" i="68"/>
  <c r="P11" i="68"/>
  <c r="P23" i="68"/>
  <c r="P27" i="68"/>
  <c r="P39" i="68"/>
  <c r="P43" i="68"/>
  <c r="P51" i="68"/>
  <c r="P55" i="68"/>
  <c r="P59" i="68"/>
  <c r="G29" i="68"/>
  <c r="H29" i="68"/>
  <c r="I29" i="68"/>
  <c r="J29" i="68"/>
  <c r="N29" i="68"/>
  <c r="O29" i="68"/>
  <c r="Q76" i="73" l="1"/>
  <c r="Q75" i="73"/>
  <c r="Q77" i="73" s="1"/>
  <c r="P35" i="68"/>
  <c r="P18" i="68"/>
  <c r="P17" i="68"/>
  <c r="P47" i="68"/>
  <c r="P31" i="68"/>
  <c r="P15" i="68"/>
  <c r="P14" i="68"/>
  <c r="P41" i="68"/>
  <c r="P9" i="68"/>
  <c r="P50" i="68"/>
  <c r="P34" i="68"/>
  <c r="P57" i="68"/>
  <c r="P21" i="68"/>
  <c r="P52" i="68"/>
  <c r="P36" i="68"/>
  <c r="P20" i="68"/>
  <c r="Q19" i="73"/>
  <c r="Q18" i="73"/>
  <c r="Q20" i="73" s="1"/>
  <c r="Q124" i="73"/>
  <c r="Q123" i="73"/>
  <c r="Q125" i="73" s="1"/>
  <c r="Q271" i="73"/>
  <c r="Q10" i="73"/>
  <c r="Q9" i="73"/>
  <c r="Q225" i="73"/>
  <c r="Q224" i="73"/>
  <c r="Q226" i="73" s="1"/>
  <c r="Q263" i="73"/>
  <c r="Q262" i="73"/>
  <c r="Q264" i="73" s="1"/>
  <c r="Q205" i="73"/>
  <c r="Q207" i="73" s="1"/>
  <c r="Q206" i="73"/>
  <c r="Q115" i="73"/>
  <c r="Q114" i="73"/>
  <c r="Q116" i="73" s="1"/>
  <c r="Q47" i="73"/>
  <c r="Q46" i="73"/>
  <c r="Q48" i="73" s="1"/>
  <c r="Q38" i="73"/>
  <c r="Q37" i="73"/>
  <c r="Q39" i="73" s="1"/>
  <c r="Q269" i="73"/>
  <c r="Q273" i="73" s="1"/>
  <c r="Q7" i="73"/>
  <c r="Q270" i="73" s="1"/>
  <c r="Q234" i="73"/>
  <c r="Q233" i="73"/>
  <c r="Q235" i="73" s="1"/>
  <c r="Q159" i="73"/>
  <c r="Q161" i="73" s="1"/>
  <c r="Q160" i="73"/>
  <c r="Q214" i="73"/>
  <c r="Q216" i="73" s="1"/>
  <c r="Q215" i="73"/>
  <c r="Q28" i="73"/>
  <c r="Q27" i="73"/>
  <c r="Q29" i="73" s="1"/>
  <c r="Q133" i="73"/>
  <c r="Q132" i="73"/>
  <c r="Q134" i="73" s="1"/>
  <c r="Q66" i="73"/>
  <c r="Q65" i="73"/>
  <c r="Q67" i="73" s="1"/>
  <c r="Q243" i="73"/>
  <c r="Q242" i="73"/>
  <c r="Q244" i="73" s="1"/>
  <c r="Q186" i="73"/>
  <c r="Q188" i="73" s="1"/>
  <c r="Q187" i="73"/>
  <c r="Q177" i="73"/>
  <c r="Q179" i="73" s="1"/>
  <c r="Q178" i="73"/>
  <c r="Q56" i="73"/>
  <c r="Q55" i="73"/>
  <c r="Q57" i="73" s="1"/>
  <c r="Q142" i="73"/>
  <c r="Q141" i="73"/>
  <c r="Q143" i="73" s="1"/>
  <c r="P19" i="68"/>
  <c r="P45" i="68"/>
  <c r="P54" i="68"/>
  <c r="P38" i="68"/>
  <c r="P10" i="68"/>
  <c r="P29" i="68"/>
  <c r="P56" i="68"/>
  <c r="P40" i="68"/>
  <c r="P24" i="68"/>
  <c r="Q168" i="73"/>
  <c r="Q170" i="73" s="1"/>
  <c r="Q169" i="73"/>
  <c r="Q95" i="73"/>
  <c r="Q94" i="73"/>
  <c r="Q96" i="73" s="1"/>
  <c r="Q150" i="73"/>
  <c r="Q152" i="73" s="1"/>
  <c r="Q151" i="73"/>
  <c r="Q105" i="73"/>
  <c r="Q104" i="73"/>
  <c r="Q106" i="73" s="1"/>
  <c r="Q253" i="73"/>
  <c r="Q252" i="73"/>
  <c r="Q254" i="73" s="1"/>
  <c r="Q195" i="73"/>
  <c r="Q197" i="73" s="1"/>
  <c r="Q196" i="73"/>
  <c r="Q86" i="73"/>
  <c r="Q85" i="73"/>
  <c r="Q87" i="73" s="1"/>
  <c r="I1" i="70"/>
  <c r="Q272" i="73" l="1"/>
  <c r="Q11" i="73"/>
  <c r="P258" i="73"/>
  <c r="P257" i="73"/>
  <c r="P248" i="73"/>
  <c r="P247" i="73"/>
  <c r="P238" i="73"/>
  <c r="P237" i="73"/>
  <c r="P229" i="73"/>
  <c r="P228" i="73"/>
  <c r="P220" i="73"/>
  <c r="P210" i="73"/>
  <c r="P209" i="73"/>
  <c r="P201" i="73"/>
  <c r="P200" i="73"/>
  <c r="P191" i="73"/>
  <c r="P190" i="73"/>
  <c r="P182" i="73"/>
  <c r="P181" i="73"/>
  <c r="P173" i="73"/>
  <c r="P172" i="73"/>
  <c r="P164" i="73"/>
  <c r="P163" i="73"/>
  <c r="P155" i="73"/>
  <c r="P154" i="73"/>
  <c r="P146" i="73"/>
  <c r="P137" i="73"/>
  <c r="P136" i="73"/>
  <c r="P128" i="73"/>
  <c r="P127" i="73"/>
  <c r="P119" i="73"/>
  <c r="P118" i="73"/>
  <c r="P110" i="73"/>
  <c r="P109" i="73"/>
  <c r="P100" i="73"/>
  <c r="P99" i="73"/>
  <c r="P90" i="73"/>
  <c r="P89" i="73"/>
  <c r="P81" i="73"/>
  <c r="P80" i="73"/>
  <c r="P71" i="73"/>
  <c r="P70" i="73"/>
  <c r="P61" i="73"/>
  <c r="P60" i="73"/>
  <c r="P51" i="73"/>
  <c r="P50" i="73"/>
  <c r="P42" i="73"/>
  <c r="P41" i="73"/>
  <c r="P33" i="73"/>
  <c r="P32" i="73"/>
  <c r="P23" i="73"/>
  <c r="P22" i="73"/>
  <c r="P14" i="73"/>
  <c r="P13" i="73"/>
  <c r="P5" i="73"/>
  <c r="P4" i="73"/>
  <c r="P1" i="73"/>
  <c r="P259" i="73" s="1"/>
  <c r="L30" i="74"/>
  <c r="L29" i="74"/>
  <c r="L28" i="74"/>
  <c r="L27" i="74"/>
  <c r="L26" i="74"/>
  <c r="L25" i="74"/>
  <c r="L24" i="74"/>
  <c r="L23" i="74"/>
  <c r="L21" i="74"/>
  <c r="L20" i="74"/>
  <c r="L19" i="74"/>
  <c r="L18" i="74"/>
  <c r="L17" i="74"/>
  <c r="L16" i="74"/>
  <c r="L15" i="74"/>
  <c r="L14" i="74"/>
  <c r="L13" i="74"/>
  <c r="L12" i="74"/>
  <c r="L11" i="74"/>
  <c r="L10" i="74"/>
  <c r="L9" i="74"/>
  <c r="L7" i="74"/>
  <c r="L6" i="74"/>
  <c r="L5" i="74"/>
  <c r="L4" i="74"/>
  <c r="L3" i="74"/>
  <c r="L2" i="74"/>
  <c r="L1" i="74"/>
  <c r="Q31" i="1"/>
  <c r="Q30" i="1"/>
  <c r="Q29" i="1"/>
  <c r="Q28" i="1"/>
  <c r="Q27" i="1"/>
  <c r="Q26" i="1"/>
  <c r="Q24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8" i="1"/>
  <c r="Q7" i="1"/>
  <c r="Q6" i="1"/>
  <c r="Q5" i="1"/>
  <c r="Q4" i="1"/>
  <c r="Q3" i="1"/>
  <c r="Q2" i="1"/>
  <c r="O36" i="2"/>
  <c r="O30" i="2"/>
  <c r="N29" i="67"/>
  <c r="N28" i="67"/>
  <c r="N27" i="67"/>
  <c r="N26" i="67"/>
  <c r="N25" i="67"/>
  <c r="N24" i="67"/>
  <c r="N23" i="67"/>
  <c r="N22" i="67"/>
  <c r="N21" i="67"/>
  <c r="N20" i="67"/>
  <c r="N19" i="67"/>
  <c r="N18" i="67"/>
  <c r="N17" i="67"/>
  <c r="N16" i="67"/>
  <c r="N15" i="67"/>
  <c r="N14" i="67"/>
  <c r="N13" i="67"/>
  <c r="N12" i="67"/>
  <c r="N11" i="67"/>
  <c r="N10" i="67"/>
  <c r="N9" i="67"/>
  <c r="N8" i="67"/>
  <c r="N7" i="67"/>
  <c r="N6" i="67"/>
  <c r="N5" i="67"/>
  <c r="N4" i="67"/>
  <c r="N3" i="67"/>
  <c r="N2" i="67"/>
  <c r="N1" i="67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P268" i="73" l="1"/>
  <c r="P260" i="73"/>
  <c r="L31" i="74"/>
  <c r="M31" i="5"/>
  <c r="Q32" i="1"/>
  <c r="P267" i="73"/>
  <c r="P167" i="73"/>
  <c r="O8" i="68"/>
  <c r="O53" i="68" s="1"/>
  <c r="P17" i="73"/>
  <c r="P26" i="73"/>
  <c r="P45" i="73"/>
  <c r="P54" i="73"/>
  <c r="P74" i="73"/>
  <c r="P93" i="73"/>
  <c r="P122" i="73"/>
  <c r="M1" i="5"/>
  <c r="P147" i="73"/>
  <c r="P148" i="73" s="1"/>
  <c r="P156" i="73"/>
  <c r="P157" i="73" s="1"/>
  <c r="P165" i="73"/>
  <c r="P166" i="73" s="1"/>
  <c r="P174" i="73"/>
  <c r="P175" i="73" s="1"/>
  <c r="P183" i="73"/>
  <c r="P184" i="73" s="1"/>
  <c r="P192" i="73"/>
  <c r="P193" i="73" s="1"/>
  <c r="P202" i="73"/>
  <c r="P203" i="73" s="1"/>
  <c r="P211" i="73"/>
  <c r="P212" i="73" s="1"/>
  <c r="P8" i="73"/>
  <c r="P36" i="73"/>
  <c r="P64" i="73"/>
  <c r="P103" i="73"/>
  <c r="P6" i="73"/>
  <c r="P15" i="73"/>
  <c r="P16" i="73" s="1"/>
  <c r="P24" i="73"/>
  <c r="P25" i="73" s="1"/>
  <c r="P34" i="73"/>
  <c r="P35" i="73" s="1"/>
  <c r="P43" i="73"/>
  <c r="P44" i="73" s="1"/>
  <c r="P52" i="73"/>
  <c r="P53" i="73" s="1"/>
  <c r="P62" i="73"/>
  <c r="P63" i="73" s="1"/>
  <c r="P72" i="73"/>
  <c r="P73" i="73" s="1"/>
  <c r="P82" i="73"/>
  <c r="P83" i="73" s="1"/>
  <c r="P91" i="73"/>
  <c r="P92" i="73" s="1"/>
  <c r="P101" i="73"/>
  <c r="P102" i="73" s="1"/>
  <c r="P111" i="73"/>
  <c r="P112" i="73" s="1"/>
  <c r="P120" i="73"/>
  <c r="P121" i="73" s="1"/>
  <c r="P129" i="73"/>
  <c r="P130" i="73" s="1"/>
  <c r="P138" i="73"/>
  <c r="P139" i="73" s="1"/>
  <c r="P223" i="73"/>
  <c r="P232" i="73"/>
  <c r="P241" i="73"/>
  <c r="P251" i="73"/>
  <c r="P261" i="73"/>
  <c r="P176" i="73"/>
  <c r="P185" i="73"/>
  <c r="P194" i="73"/>
  <c r="P204" i="73"/>
  <c r="P213" i="73"/>
  <c r="P149" i="73"/>
  <c r="P158" i="73"/>
  <c r="O1" i="2"/>
  <c r="P84" i="73"/>
  <c r="P113" i="73"/>
  <c r="P131" i="73"/>
  <c r="P140" i="73"/>
  <c r="P221" i="73"/>
  <c r="P222" i="73" s="1"/>
  <c r="P230" i="73"/>
  <c r="P231" i="73" s="1"/>
  <c r="P239" i="73"/>
  <c r="P240" i="73" s="1"/>
  <c r="P249" i="73"/>
  <c r="P250" i="73" s="1"/>
  <c r="O39" i="68"/>
  <c r="O55" i="68"/>
  <c r="O15" i="68"/>
  <c r="O32" i="68"/>
  <c r="O48" i="68"/>
  <c r="O61" i="68"/>
  <c r="N228" i="73"/>
  <c r="N219" i="73"/>
  <c r="M219" i="73"/>
  <c r="L219" i="73"/>
  <c r="K219" i="73"/>
  <c r="J219" i="73"/>
  <c r="P28" i="1"/>
  <c r="L2" i="14"/>
  <c r="L3" i="14"/>
  <c r="L4" i="14"/>
  <c r="K2" i="14"/>
  <c r="K3" i="14"/>
  <c r="K4" i="14"/>
  <c r="I2" i="14"/>
  <c r="I3" i="14"/>
  <c r="I4" i="14"/>
  <c r="O258" i="73"/>
  <c r="O257" i="73"/>
  <c r="O248" i="73"/>
  <c r="O247" i="73"/>
  <c r="O238" i="73"/>
  <c r="O237" i="73"/>
  <c r="O229" i="73"/>
  <c r="O228" i="73"/>
  <c r="O220" i="73"/>
  <c r="O210" i="73"/>
  <c r="O209" i="73"/>
  <c r="O201" i="73"/>
  <c r="O200" i="73"/>
  <c r="O191" i="73"/>
  <c r="O190" i="73"/>
  <c r="O182" i="73"/>
  <c r="O181" i="73"/>
  <c r="O173" i="73"/>
  <c r="O172" i="73"/>
  <c r="O164" i="73"/>
  <c r="O163" i="73"/>
  <c r="O155" i="73"/>
  <c r="O154" i="73"/>
  <c r="O146" i="73"/>
  <c r="O137" i="73"/>
  <c r="O136" i="73"/>
  <c r="O128" i="73"/>
  <c r="O127" i="73"/>
  <c r="O119" i="73"/>
  <c r="O118" i="73"/>
  <c r="O110" i="73"/>
  <c r="O109" i="73"/>
  <c r="O100" i="73"/>
  <c r="O99" i="73"/>
  <c r="O90" i="73"/>
  <c r="O89" i="73"/>
  <c r="O81" i="73"/>
  <c r="O80" i="73"/>
  <c r="O71" i="73"/>
  <c r="O70" i="73"/>
  <c r="O61" i="73"/>
  <c r="O60" i="73"/>
  <c r="O51" i="73"/>
  <c r="O50" i="73"/>
  <c r="O42" i="73"/>
  <c r="O41" i="73"/>
  <c r="O33" i="73"/>
  <c r="O32" i="73"/>
  <c r="O23" i="73"/>
  <c r="O22" i="73"/>
  <c r="O14" i="73"/>
  <c r="O13" i="73"/>
  <c r="O5" i="73"/>
  <c r="O4" i="73"/>
  <c r="O1" i="73"/>
  <c r="N8" i="68" s="1"/>
  <c r="K30" i="74"/>
  <c r="K29" i="74"/>
  <c r="K28" i="74"/>
  <c r="K27" i="74"/>
  <c r="K26" i="74"/>
  <c r="K25" i="74"/>
  <c r="K24" i="74"/>
  <c r="K23" i="74"/>
  <c r="K21" i="74"/>
  <c r="K20" i="74"/>
  <c r="K19" i="74"/>
  <c r="K18" i="74"/>
  <c r="K17" i="74"/>
  <c r="K16" i="74"/>
  <c r="K15" i="74"/>
  <c r="K14" i="74"/>
  <c r="K13" i="74"/>
  <c r="K12" i="74"/>
  <c r="K11" i="74"/>
  <c r="K10" i="74"/>
  <c r="K9" i="74"/>
  <c r="K7" i="74"/>
  <c r="K6" i="74"/>
  <c r="K5" i="74"/>
  <c r="K4" i="74"/>
  <c r="K3" i="74"/>
  <c r="K2" i="74"/>
  <c r="P31" i="1"/>
  <c r="P30" i="1"/>
  <c r="P29" i="1"/>
  <c r="P27" i="1"/>
  <c r="P26" i="1"/>
  <c r="P25" i="1"/>
  <c r="P24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8" i="1"/>
  <c r="P7" i="1"/>
  <c r="P6" i="1"/>
  <c r="P5" i="1"/>
  <c r="P4" i="1"/>
  <c r="P3" i="1"/>
  <c r="N36" i="2"/>
  <c r="N30" i="2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4" i="67"/>
  <c r="M3" i="67"/>
  <c r="M2" i="67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O260" i="73" l="1"/>
  <c r="O60" i="68"/>
  <c r="O44" i="68"/>
  <c r="O27" i="68"/>
  <c r="O11" i="68"/>
  <c r="O51" i="68"/>
  <c r="O35" i="68"/>
  <c r="O18" i="68"/>
  <c r="O58" i="68"/>
  <c r="O42" i="68"/>
  <c r="O25" i="68"/>
  <c r="O57" i="68"/>
  <c r="O37" i="68"/>
  <c r="O20" i="68"/>
  <c r="O62" i="68"/>
  <c r="O30" i="68"/>
  <c r="O41" i="68"/>
  <c r="O56" i="68"/>
  <c r="O40" i="68"/>
  <c r="O23" i="68"/>
  <c r="O63" i="68"/>
  <c r="O47" i="68"/>
  <c r="O31" i="68"/>
  <c r="O14" i="68"/>
  <c r="O54" i="68"/>
  <c r="O38" i="68"/>
  <c r="O21" i="68"/>
  <c r="O49" i="68"/>
  <c r="O33" i="68"/>
  <c r="O16" i="68"/>
  <c r="O22" i="68"/>
  <c r="O46" i="68"/>
  <c r="O9" i="68"/>
  <c r="O24" i="68"/>
  <c r="O13" i="68"/>
  <c r="O52" i="68"/>
  <c r="O36" i="68"/>
  <c r="O19" i="68"/>
  <c r="O59" i="68"/>
  <c r="O43" i="68"/>
  <c r="O26" i="68"/>
  <c r="O10" i="68"/>
  <c r="O50" i="68"/>
  <c r="O34" i="68"/>
  <c r="O17" i="68"/>
  <c r="O45" i="68"/>
  <c r="O28" i="68"/>
  <c r="O12" i="68"/>
  <c r="O268" i="73"/>
  <c r="P115" i="73"/>
  <c r="P114" i="73"/>
  <c r="P116" i="73" s="1"/>
  <c r="P150" i="73"/>
  <c r="P152" i="73" s="1"/>
  <c r="P151" i="73"/>
  <c r="P186" i="73"/>
  <c r="P188" i="73" s="1"/>
  <c r="P187" i="73"/>
  <c r="P243" i="73"/>
  <c r="P242" i="73"/>
  <c r="P244" i="73" s="1"/>
  <c r="P38" i="73"/>
  <c r="P37" i="73"/>
  <c r="P39" i="73" s="1"/>
  <c r="P95" i="73"/>
  <c r="P94" i="73"/>
  <c r="P96" i="73" s="1"/>
  <c r="P28" i="73"/>
  <c r="P27" i="73"/>
  <c r="P29" i="73" s="1"/>
  <c r="P86" i="73"/>
  <c r="P85" i="73"/>
  <c r="P87" i="73" s="1"/>
  <c r="P214" i="73"/>
  <c r="P216" i="73" s="1"/>
  <c r="P215" i="73"/>
  <c r="P177" i="73"/>
  <c r="P179" i="73" s="1"/>
  <c r="P178" i="73"/>
  <c r="P234" i="73"/>
  <c r="P233" i="73"/>
  <c r="P235" i="73" s="1"/>
  <c r="P269" i="73"/>
  <c r="P273" i="73" s="1"/>
  <c r="P7" i="73"/>
  <c r="P270" i="73" s="1"/>
  <c r="P271" i="73"/>
  <c r="P10" i="73"/>
  <c r="P9" i="73"/>
  <c r="P76" i="73"/>
  <c r="P75" i="73"/>
  <c r="P77" i="73" s="1"/>
  <c r="P19" i="73"/>
  <c r="P18" i="73"/>
  <c r="P20" i="73" s="1"/>
  <c r="P142" i="73"/>
  <c r="P141" i="73"/>
  <c r="P143" i="73" s="1"/>
  <c r="P205" i="73"/>
  <c r="P207" i="73" s="1"/>
  <c r="P206" i="73"/>
  <c r="P263" i="73"/>
  <c r="P262" i="73"/>
  <c r="P264" i="73" s="1"/>
  <c r="P225" i="73"/>
  <c r="P224" i="73"/>
  <c r="P226" i="73" s="1"/>
  <c r="P105" i="73"/>
  <c r="P104" i="73"/>
  <c r="P106" i="73" s="1"/>
  <c r="P56" i="73"/>
  <c r="P55" i="73"/>
  <c r="P57" i="73" s="1"/>
  <c r="P133" i="73"/>
  <c r="P132" i="73"/>
  <c r="P134" i="73" s="1"/>
  <c r="P159" i="73"/>
  <c r="P161" i="73" s="1"/>
  <c r="P160" i="73"/>
  <c r="P195" i="73"/>
  <c r="P197" i="73" s="1"/>
  <c r="P196" i="73"/>
  <c r="P253" i="73"/>
  <c r="P252" i="73"/>
  <c r="P254" i="73" s="1"/>
  <c r="P66" i="73"/>
  <c r="P65" i="73"/>
  <c r="P67" i="73" s="1"/>
  <c r="P124" i="73"/>
  <c r="P123" i="73"/>
  <c r="P125" i="73" s="1"/>
  <c r="P47" i="73"/>
  <c r="P46" i="73"/>
  <c r="P48" i="73" s="1"/>
  <c r="P168" i="73"/>
  <c r="P170" i="73" s="1"/>
  <c r="P169" i="73"/>
  <c r="O267" i="73"/>
  <c r="K31" i="74"/>
  <c r="L31" i="5"/>
  <c r="P32" i="1"/>
  <c r="N62" i="68"/>
  <c r="N10" i="68"/>
  <c r="N35" i="68"/>
  <c r="N18" i="68"/>
  <c r="N31" i="68"/>
  <c r="N14" i="68"/>
  <c r="N26" i="68"/>
  <c r="N22" i="68"/>
  <c r="O259" i="73"/>
  <c r="O249" i="73"/>
  <c r="O250" i="73" s="1"/>
  <c r="O239" i="73"/>
  <c r="O240" i="73" s="1"/>
  <c r="O230" i="73"/>
  <c r="O231" i="73" s="1"/>
  <c r="O221" i="73"/>
  <c r="O222" i="73" s="1"/>
  <c r="O138" i="73"/>
  <c r="O139" i="73" s="1"/>
  <c r="O129" i="73"/>
  <c r="O130" i="73" s="1"/>
  <c r="O120" i="73"/>
  <c r="O121" i="73" s="1"/>
  <c r="O111" i="73"/>
  <c r="O112" i="73" s="1"/>
  <c r="O101" i="73"/>
  <c r="O102" i="73" s="1"/>
  <c r="O91" i="73"/>
  <c r="O92" i="73" s="1"/>
  <c r="O82" i="73"/>
  <c r="O83" i="73" s="1"/>
  <c r="O72" i="73"/>
  <c r="O73" i="73" s="1"/>
  <c r="O62" i="73"/>
  <c r="O63" i="73" s="1"/>
  <c r="O52" i="73"/>
  <c r="O53" i="73" s="1"/>
  <c r="O43" i="73"/>
  <c r="O44" i="73" s="1"/>
  <c r="O34" i="73"/>
  <c r="O35" i="73" s="1"/>
  <c r="O24" i="73"/>
  <c r="O25" i="73" s="1"/>
  <c r="O15" i="73"/>
  <c r="O16" i="73" s="1"/>
  <c r="O6" i="73"/>
  <c r="K1" i="74"/>
  <c r="N1" i="2"/>
  <c r="O211" i="73"/>
  <c r="O212" i="73" s="1"/>
  <c r="O202" i="73"/>
  <c r="O203" i="73" s="1"/>
  <c r="O192" i="73"/>
  <c r="O193" i="73" s="1"/>
  <c r="O183" i="73"/>
  <c r="O184" i="73" s="1"/>
  <c r="O174" i="73"/>
  <c r="O175" i="73" s="1"/>
  <c r="O165" i="73"/>
  <c r="O166" i="73" s="1"/>
  <c r="O156" i="73"/>
  <c r="O157" i="73" s="1"/>
  <c r="O147" i="73"/>
  <c r="O148" i="73" s="1"/>
  <c r="P2" i="1"/>
  <c r="M1" i="67"/>
  <c r="N43" i="68"/>
  <c r="N51" i="68"/>
  <c r="N59" i="68"/>
  <c r="N11" i="68"/>
  <c r="N19" i="68"/>
  <c r="N27" i="68"/>
  <c r="N36" i="68"/>
  <c r="N40" i="68"/>
  <c r="N44" i="68"/>
  <c r="N48" i="68"/>
  <c r="N52" i="68"/>
  <c r="N56" i="68"/>
  <c r="N60" i="68"/>
  <c r="N39" i="68"/>
  <c r="N47" i="68"/>
  <c r="N55" i="68"/>
  <c r="N63" i="68"/>
  <c r="N15" i="68"/>
  <c r="N23" i="68"/>
  <c r="N32" i="68"/>
  <c r="N12" i="68"/>
  <c r="N16" i="68"/>
  <c r="N20" i="68"/>
  <c r="N24" i="68"/>
  <c r="N28" i="68"/>
  <c r="N33" i="68"/>
  <c r="N37" i="68"/>
  <c r="N41" i="68"/>
  <c r="N45" i="68"/>
  <c r="N49" i="68"/>
  <c r="N53" i="68"/>
  <c r="N57" i="68"/>
  <c r="N61" i="68"/>
  <c r="N9" i="68"/>
  <c r="N13" i="68"/>
  <c r="N17" i="68"/>
  <c r="N21" i="68"/>
  <c r="N25" i="68"/>
  <c r="N30" i="68"/>
  <c r="N34" i="68"/>
  <c r="N38" i="68"/>
  <c r="N42" i="68"/>
  <c r="N46" i="68"/>
  <c r="N50" i="68"/>
  <c r="N54" i="68"/>
  <c r="N58" i="68"/>
  <c r="O28" i="1"/>
  <c r="N258" i="73"/>
  <c r="N257" i="73"/>
  <c r="N248" i="73"/>
  <c r="N247" i="73"/>
  <c r="N238" i="73"/>
  <c r="N237" i="73"/>
  <c r="N229" i="73"/>
  <c r="N220" i="73"/>
  <c r="N210" i="73"/>
  <c r="N209" i="73"/>
  <c r="N201" i="73"/>
  <c r="N200" i="73"/>
  <c r="N191" i="73"/>
  <c r="N190" i="73"/>
  <c r="N182" i="73"/>
  <c r="N181" i="73"/>
  <c r="N173" i="73"/>
  <c r="N172" i="73"/>
  <c r="N164" i="73"/>
  <c r="N163" i="73"/>
  <c r="N155" i="73"/>
  <c r="N154" i="73"/>
  <c r="N146" i="73"/>
  <c r="N137" i="73"/>
  <c r="N136" i="73"/>
  <c r="N128" i="73"/>
  <c r="N127" i="73"/>
  <c r="N119" i="73"/>
  <c r="N118" i="73"/>
  <c r="N110" i="73"/>
  <c r="N109" i="73"/>
  <c r="N100" i="73"/>
  <c r="N99" i="73"/>
  <c r="N90" i="73"/>
  <c r="N89" i="73"/>
  <c r="N81" i="73"/>
  <c r="N80" i="73"/>
  <c r="N71" i="73"/>
  <c r="N70" i="73"/>
  <c r="N61" i="73"/>
  <c r="N60" i="73"/>
  <c r="N51" i="73"/>
  <c r="N50" i="73"/>
  <c r="N42" i="73"/>
  <c r="N41" i="73"/>
  <c r="N33" i="73"/>
  <c r="N32" i="73"/>
  <c r="N23" i="73"/>
  <c r="N22" i="73"/>
  <c r="N14" i="73"/>
  <c r="N13" i="73"/>
  <c r="N5" i="73"/>
  <c r="N4" i="73"/>
  <c r="J30" i="74"/>
  <c r="J29" i="74"/>
  <c r="J28" i="74"/>
  <c r="J27" i="74"/>
  <c r="J26" i="74"/>
  <c r="J25" i="74"/>
  <c r="J24" i="74"/>
  <c r="J23" i="74"/>
  <c r="J21" i="74"/>
  <c r="J20" i="74"/>
  <c r="J19" i="74"/>
  <c r="J18" i="74"/>
  <c r="J17" i="74"/>
  <c r="J16" i="74"/>
  <c r="J15" i="74"/>
  <c r="J14" i="74"/>
  <c r="J13" i="74"/>
  <c r="J12" i="74"/>
  <c r="J11" i="74"/>
  <c r="J10" i="74"/>
  <c r="J9" i="74"/>
  <c r="J7" i="74"/>
  <c r="J6" i="74"/>
  <c r="J5" i="74"/>
  <c r="J4" i="74"/>
  <c r="J3" i="74"/>
  <c r="J2" i="74"/>
  <c r="O31" i="1"/>
  <c r="O30" i="1"/>
  <c r="O29" i="1"/>
  <c r="O27" i="1"/>
  <c r="O26" i="1"/>
  <c r="O25" i="1"/>
  <c r="O24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8" i="1"/>
  <c r="O7" i="1"/>
  <c r="O6" i="1"/>
  <c r="O5" i="1"/>
  <c r="O4" i="1"/>
  <c r="O3" i="1"/>
  <c r="M36" i="2"/>
  <c r="M30" i="2"/>
  <c r="L29" i="67"/>
  <c r="L28" i="67"/>
  <c r="L27" i="67"/>
  <c r="L26" i="67"/>
  <c r="L25" i="67"/>
  <c r="L24" i="67"/>
  <c r="L23" i="67"/>
  <c r="L22" i="67"/>
  <c r="L21" i="67"/>
  <c r="L20" i="67"/>
  <c r="L19" i="67"/>
  <c r="L18" i="67"/>
  <c r="L17" i="67"/>
  <c r="L16" i="67"/>
  <c r="L15" i="67"/>
  <c r="L14" i="67"/>
  <c r="L13" i="67"/>
  <c r="L12" i="67"/>
  <c r="L11" i="67"/>
  <c r="L10" i="67"/>
  <c r="L9" i="67"/>
  <c r="L8" i="67"/>
  <c r="L7" i="67"/>
  <c r="L6" i="67"/>
  <c r="L5" i="67"/>
  <c r="L4" i="67"/>
  <c r="L3" i="67"/>
  <c r="L2" i="67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M31" i="1"/>
  <c r="N31" i="1"/>
  <c r="L31" i="1"/>
  <c r="J27" i="1"/>
  <c r="J28" i="1"/>
  <c r="J19" i="1"/>
  <c r="N260" i="73" l="1"/>
  <c r="P11" i="73"/>
  <c r="P272" i="73"/>
  <c r="O269" i="73"/>
  <c r="O273" i="73" s="1"/>
  <c r="O7" i="73"/>
  <c r="O270" i="73" s="1"/>
  <c r="N268" i="73"/>
  <c r="O32" i="1"/>
  <c r="N267" i="73"/>
  <c r="J31" i="74"/>
  <c r="K31" i="5"/>
  <c r="L1" i="14"/>
  <c r="M258" i="73"/>
  <c r="M257" i="73"/>
  <c r="M248" i="73"/>
  <c r="M247" i="73"/>
  <c r="M238" i="73"/>
  <c r="M237" i="73"/>
  <c r="M229" i="73"/>
  <c r="M228" i="73"/>
  <c r="M220" i="73"/>
  <c r="M210" i="73"/>
  <c r="M209" i="73"/>
  <c r="M201" i="73"/>
  <c r="M200" i="73"/>
  <c r="M191" i="73"/>
  <c r="M190" i="73"/>
  <c r="M182" i="73"/>
  <c r="M181" i="73"/>
  <c r="M173" i="73"/>
  <c r="M172" i="73"/>
  <c r="M164" i="73"/>
  <c r="M163" i="73"/>
  <c r="M155" i="73"/>
  <c r="M154" i="73"/>
  <c r="M146" i="73"/>
  <c r="M137" i="73"/>
  <c r="M136" i="73"/>
  <c r="M128" i="73"/>
  <c r="M127" i="73"/>
  <c r="M119" i="73"/>
  <c r="M118" i="73"/>
  <c r="M110" i="73"/>
  <c r="M109" i="73"/>
  <c r="M100" i="73"/>
  <c r="M99" i="73"/>
  <c r="M90" i="73"/>
  <c r="M89" i="73"/>
  <c r="M81" i="73"/>
  <c r="M80" i="73"/>
  <c r="M71" i="73"/>
  <c r="M70" i="73"/>
  <c r="M61" i="73"/>
  <c r="M60" i="73"/>
  <c r="M51" i="73"/>
  <c r="M50" i="73"/>
  <c r="M42" i="73"/>
  <c r="M41" i="73"/>
  <c r="M33" i="73"/>
  <c r="M32" i="73"/>
  <c r="M23" i="73"/>
  <c r="M22" i="73"/>
  <c r="M14" i="73"/>
  <c r="M13" i="73"/>
  <c r="M5" i="73"/>
  <c r="M4" i="73"/>
  <c r="I30" i="74"/>
  <c r="I29" i="74"/>
  <c r="I28" i="74"/>
  <c r="I27" i="74"/>
  <c r="I26" i="74"/>
  <c r="I25" i="74"/>
  <c r="I24" i="74"/>
  <c r="I23" i="74"/>
  <c r="I21" i="74"/>
  <c r="I20" i="74"/>
  <c r="I19" i="74"/>
  <c r="I18" i="74"/>
  <c r="I17" i="74"/>
  <c r="I16" i="74"/>
  <c r="I15" i="74"/>
  <c r="I14" i="74"/>
  <c r="I13" i="74"/>
  <c r="I12" i="74"/>
  <c r="I11" i="74"/>
  <c r="I10" i="74"/>
  <c r="I9" i="74"/>
  <c r="I7" i="74"/>
  <c r="I6" i="74"/>
  <c r="I5" i="74"/>
  <c r="I4" i="74"/>
  <c r="I3" i="74"/>
  <c r="I2" i="74"/>
  <c r="N30" i="1"/>
  <c r="N29" i="1"/>
  <c r="N28" i="1"/>
  <c r="N27" i="1"/>
  <c r="N26" i="1"/>
  <c r="N25" i="1"/>
  <c r="N24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8" i="1"/>
  <c r="N7" i="1"/>
  <c r="N6" i="1"/>
  <c r="N5" i="1"/>
  <c r="N4" i="1"/>
  <c r="N3" i="1"/>
  <c r="L36" i="2"/>
  <c r="L30" i="2"/>
  <c r="K29" i="67"/>
  <c r="K28" i="67"/>
  <c r="K27" i="67"/>
  <c r="K26" i="67"/>
  <c r="K25" i="67"/>
  <c r="K24" i="67"/>
  <c r="K23" i="67"/>
  <c r="K22" i="67"/>
  <c r="K21" i="67"/>
  <c r="K20" i="67"/>
  <c r="K19" i="67"/>
  <c r="K18" i="67"/>
  <c r="K17" i="67"/>
  <c r="K16" i="67"/>
  <c r="K15" i="67"/>
  <c r="K14" i="67"/>
  <c r="K13" i="67"/>
  <c r="K12" i="67"/>
  <c r="K11" i="67"/>
  <c r="K10" i="67"/>
  <c r="K9" i="67"/>
  <c r="K8" i="67"/>
  <c r="K7" i="67"/>
  <c r="K6" i="67"/>
  <c r="K5" i="67"/>
  <c r="K4" i="67"/>
  <c r="K3" i="67"/>
  <c r="K2" i="67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L258" i="73"/>
  <c r="L257" i="73"/>
  <c r="L248" i="73"/>
  <c r="L247" i="73"/>
  <c r="L238" i="73"/>
  <c r="L237" i="73"/>
  <c r="L229" i="73"/>
  <c r="L228" i="73"/>
  <c r="L220" i="73"/>
  <c r="L210" i="73"/>
  <c r="L209" i="73"/>
  <c r="L201" i="73"/>
  <c r="L200" i="73"/>
  <c r="L191" i="73"/>
  <c r="L190" i="73"/>
  <c r="L182" i="73"/>
  <c r="L181" i="73"/>
  <c r="L173" i="73"/>
  <c r="L172" i="73"/>
  <c r="L164" i="73"/>
  <c r="L163" i="73"/>
  <c r="L155" i="73"/>
  <c r="L154" i="73"/>
  <c r="L146" i="73"/>
  <c r="L137" i="73"/>
  <c r="L136" i="73"/>
  <c r="L128" i="73"/>
  <c r="L127" i="73"/>
  <c r="L119" i="73"/>
  <c r="L118" i="73"/>
  <c r="L110" i="73"/>
  <c r="L109" i="73"/>
  <c r="L100" i="73"/>
  <c r="L99" i="73"/>
  <c r="L90" i="73"/>
  <c r="L89" i="73"/>
  <c r="L81" i="73"/>
  <c r="L80" i="73"/>
  <c r="L71" i="73"/>
  <c r="L70" i="73"/>
  <c r="L61" i="73"/>
  <c r="L60" i="73"/>
  <c r="L51" i="73"/>
  <c r="L50" i="73"/>
  <c r="L42" i="73"/>
  <c r="L41" i="73"/>
  <c r="L33" i="73"/>
  <c r="L32" i="73"/>
  <c r="L23" i="73"/>
  <c r="L22" i="73"/>
  <c r="L14" i="73"/>
  <c r="L13" i="73"/>
  <c r="L5" i="73"/>
  <c r="L4" i="73"/>
  <c r="H30" i="74"/>
  <c r="H29" i="74"/>
  <c r="H28" i="74"/>
  <c r="H27" i="74"/>
  <c r="H26" i="74"/>
  <c r="H25" i="74"/>
  <c r="H24" i="74"/>
  <c r="H23" i="74"/>
  <c r="H21" i="74"/>
  <c r="H20" i="74"/>
  <c r="H19" i="74"/>
  <c r="H18" i="74"/>
  <c r="H17" i="74"/>
  <c r="H16" i="74"/>
  <c r="H15" i="74"/>
  <c r="H14" i="74"/>
  <c r="H13" i="74"/>
  <c r="H12" i="74"/>
  <c r="H11" i="74"/>
  <c r="H10" i="74"/>
  <c r="H9" i="74"/>
  <c r="H7" i="74"/>
  <c r="H6" i="74"/>
  <c r="H5" i="74"/>
  <c r="H4" i="74"/>
  <c r="H3" i="74"/>
  <c r="H2" i="74"/>
  <c r="M30" i="1"/>
  <c r="M29" i="1"/>
  <c r="M28" i="1"/>
  <c r="M27" i="1"/>
  <c r="M26" i="1"/>
  <c r="M25" i="1"/>
  <c r="M24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8" i="1"/>
  <c r="M7" i="1"/>
  <c r="M6" i="1"/>
  <c r="M5" i="1"/>
  <c r="M4" i="1"/>
  <c r="M3" i="1"/>
  <c r="K36" i="2"/>
  <c r="K30" i="2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J10" i="67"/>
  <c r="J9" i="67"/>
  <c r="J8" i="67"/>
  <c r="J7" i="67"/>
  <c r="J6" i="67"/>
  <c r="J5" i="67"/>
  <c r="J4" i="67"/>
  <c r="J3" i="67"/>
  <c r="J2" i="67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K258" i="73"/>
  <c r="K257" i="73"/>
  <c r="K248" i="73"/>
  <c r="K247" i="73"/>
  <c r="K238" i="73"/>
  <c r="K237" i="73"/>
  <c r="K229" i="73"/>
  <c r="K228" i="73"/>
  <c r="K220" i="73"/>
  <c r="K210" i="73"/>
  <c r="K201" i="73"/>
  <c r="K200" i="73"/>
  <c r="K191" i="73"/>
  <c r="K190" i="73"/>
  <c r="K182" i="73"/>
  <c r="K181" i="73"/>
  <c r="K173" i="73"/>
  <c r="K172" i="73"/>
  <c r="K164" i="73"/>
  <c r="K163" i="73"/>
  <c r="K155" i="73"/>
  <c r="K154" i="73"/>
  <c r="K146" i="73"/>
  <c r="K137" i="73"/>
  <c r="K136" i="73"/>
  <c r="K128" i="73"/>
  <c r="K127" i="73"/>
  <c r="K119" i="73"/>
  <c r="K118" i="73"/>
  <c r="K110" i="73"/>
  <c r="K109" i="73"/>
  <c r="K100" i="73"/>
  <c r="K99" i="73"/>
  <c r="K90" i="73"/>
  <c r="K89" i="73"/>
  <c r="K81" i="73"/>
  <c r="K80" i="73"/>
  <c r="K71" i="73"/>
  <c r="K70" i="73"/>
  <c r="K61" i="73"/>
  <c r="K60" i="73"/>
  <c r="K51" i="73"/>
  <c r="K50" i="73"/>
  <c r="K42" i="73"/>
  <c r="K41" i="73"/>
  <c r="K33" i="73"/>
  <c r="K32" i="73"/>
  <c r="K23" i="73"/>
  <c r="K22" i="73"/>
  <c r="K14" i="73"/>
  <c r="K13" i="73"/>
  <c r="K5" i="73"/>
  <c r="K4" i="73"/>
  <c r="G30" i="74"/>
  <c r="G29" i="74"/>
  <c r="G28" i="74"/>
  <c r="G27" i="74"/>
  <c r="G26" i="74"/>
  <c r="G25" i="74"/>
  <c r="G24" i="74"/>
  <c r="G23" i="74"/>
  <c r="G21" i="74"/>
  <c r="G20" i="74"/>
  <c r="G19" i="74"/>
  <c r="G18" i="74"/>
  <c r="G17" i="74"/>
  <c r="G16" i="74"/>
  <c r="G15" i="74"/>
  <c r="G14" i="74"/>
  <c r="G13" i="74"/>
  <c r="G12" i="74"/>
  <c r="G11" i="74"/>
  <c r="G10" i="74"/>
  <c r="G9" i="74"/>
  <c r="G7" i="74"/>
  <c r="G6" i="74"/>
  <c r="G5" i="74"/>
  <c r="G4" i="74"/>
  <c r="G3" i="74"/>
  <c r="G2" i="74"/>
  <c r="L30" i="1"/>
  <c r="L29" i="1"/>
  <c r="L28" i="1"/>
  <c r="L27" i="1"/>
  <c r="L25" i="1"/>
  <c r="L24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8" i="1"/>
  <c r="L7" i="1"/>
  <c r="L6" i="1"/>
  <c r="L5" i="1"/>
  <c r="L4" i="1"/>
  <c r="L3" i="1"/>
  <c r="J36" i="2"/>
  <c r="J30" i="2"/>
  <c r="I29" i="67"/>
  <c r="I28" i="67"/>
  <c r="I27" i="67"/>
  <c r="I26" i="67"/>
  <c r="I25" i="67"/>
  <c r="I24" i="67"/>
  <c r="I23" i="67"/>
  <c r="I22" i="67"/>
  <c r="I21" i="67"/>
  <c r="I20" i="67"/>
  <c r="I19" i="67"/>
  <c r="I18" i="67"/>
  <c r="I17" i="67"/>
  <c r="I16" i="67"/>
  <c r="I15" i="67"/>
  <c r="I14" i="67"/>
  <c r="I13" i="67"/>
  <c r="I12" i="67"/>
  <c r="I11" i="67"/>
  <c r="I10" i="67"/>
  <c r="I9" i="67"/>
  <c r="I8" i="67"/>
  <c r="I7" i="67"/>
  <c r="I6" i="67"/>
  <c r="I5" i="67"/>
  <c r="I4" i="67"/>
  <c r="I3" i="67"/>
  <c r="I2" i="67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K27" i="1"/>
  <c r="K19" i="1"/>
  <c r="J258" i="73"/>
  <c r="J257" i="73"/>
  <c r="J248" i="73"/>
  <c r="J247" i="73"/>
  <c r="J238" i="73"/>
  <c r="J237" i="73"/>
  <c r="J229" i="73"/>
  <c r="J228" i="73"/>
  <c r="J220" i="73"/>
  <c r="J210" i="73"/>
  <c r="J209" i="73"/>
  <c r="J201" i="73"/>
  <c r="J200" i="73"/>
  <c r="J191" i="73"/>
  <c r="J190" i="73"/>
  <c r="J182" i="73"/>
  <c r="J181" i="73"/>
  <c r="J173" i="73"/>
  <c r="J172" i="73"/>
  <c r="J164" i="73"/>
  <c r="J163" i="73"/>
  <c r="J155" i="73"/>
  <c r="J154" i="73"/>
  <c r="J146" i="73"/>
  <c r="J137" i="73"/>
  <c r="J136" i="73"/>
  <c r="J128" i="73"/>
  <c r="J127" i="73"/>
  <c r="J119" i="73"/>
  <c r="J118" i="73"/>
  <c r="J110" i="73"/>
  <c r="J109" i="73"/>
  <c r="J100" i="73"/>
  <c r="J99" i="73"/>
  <c r="J90" i="73"/>
  <c r="J89" i="73"/>
  <c r="J81" i="73"/>
  <c r="J80" i="73"/>
  <c r="J71" i="73"/>
  <c r="J70" i="73"/>
  <c r="J61" i="73"/>
  <c r="J60" i="73"/>
  <c r="J51" i="73"/>
  <c r="J50" i="73"/>
  <c r="J42" i="73"/>
  <c r="J41" i="73"/>
  <c r="J33" i="73"/>
  <c r="J32" i="73"/>
  <c r="J23" i="73"/>
  <c r="J22" i="73"/>
  <c r="J14" i="73"/>
  <c r="J13" i="73"/>
  <c r="J5" i="73"/>
  <c r="J4" i="73"/>
  <c r="F30" i="74"/>
  <c r="F29" i="74"/>
  <c r="F28" i="74"/>
  <c r="F27" i="74"/>
  <c r="F26" i="74"/>
  <c r="F25" i="74"/>
  <c r="F24" i="74"/>
  <c r="F23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F9" i="74"/>
  <c r="F7" i="74"/>
  <c r="F6" i="74"/>
  <c r="F5" i="74"/>
  <c r="F4" i="74"/>
  <c r="F3" i="74"/>
  <c r="F2" i="74"/>
  <c r="K31" i="1"/>
  <c r="K30" i="1"/>
  <c r="K29" i="1"/>
  <c r="K28" i="1"/>
  <c r="K26" i="1"/>
  <c r="K25" i="1"/>
  <c r="K24" i="1"/>
  <c r="K22" i="1"/>
  <c r="K21" i="1"/>
  <c r="K20" i="1"/>
  <c r="K18" i="1"/>
  <c r="K17" i="1"/>
  <c r="K16" i="1"/>
  <c r="K15" i="1"/>
  <c r="K14" i="1"/>
  <c r="K13" i="1"/>
  <c r="K12" i="1"/>
  <c r="K11" i="1"/>
  <c r="K10" i="1"/>
  <c r="K8" i="1"/>
  <c r="K7" i="1"/>
  <c r="K6" i="1"/>
  <c r="K5" i="1"/>
  <c r="K4" i="1"/>
  <c r="K3" i="1"/>
  <c r="I36" i="2"/>
  <c r="I30" i="2"/>
  <c r="H29" i="67"/>
  <c r="H28" i="67"/>
  <c r="H27" i="67"/>
  <c r="H26" i="67"/>
  <c r="H25" i="67"/>
  <c r="H24" i="67"/>
  <c r="H23" i="67"/>
  <c r="H22" i="67"/>
  <c r="H21" i="67"/>
  <c r="H20" i="67"/>
  <c r="H19" i="67"/>
  <c r="H18" i="67"/>
  <c r="H17" i="67"/>
  <c r="H16" i="67"/>
  <c r="H15" i="67"/>
  <c r="H14" i="67"/>
  <c r="H13" i="67"/>
  <c r="H12" i="67"/>
  <c r="H11" i="67"/>
  <c r="H10" i="67"/>
  <c r="H9" i="67"/>
  <c r="H8" i="67"/>
  <c r="H7" i="67"/>
  <c r="H6" i="67"/>
  <c r="H5" i="67"/>
  <c r="H4" i="67"/>
  <c r="H3" i="67"/>
  <c r="H2" i="67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O74" i="73" l="1"/>
  <c r="O167" i="73"/>
  <c r="O194" i="73"/>
  <c r="O241" i="73"/>
  <c r="O93" i="73"/>
  <c r="O149" i="73"/>
  <c r="O103" i="73"/>
  <c r="O8" i="73"/>
  <c r="O140" i="73"/>
  <c r="O54" i="73"/>
  <c r="O158" i="73"/>
  <c r="O185" i="73"/>
  <c r="O232" i="73"/>
  <c r="O64" i="73"/>
  <c r="O84" i="73"/>
  <c r="O176" i="73"/>
  <c r="O131" i="73"/>
  <c r="O45" i="73"/>
  <c r="O213" i="73"/>
  <c r="O261" i="73"/>
  <c r="O223" i="73"/>
  <c r="O36" i="73"/>
  <c r="O26" i="73"/>
  <c r="O122" i="73"/>
  <c r="O17" i="73"/>
  <c r="O204" i="73"/>
  <c r="O251" i="73"/>
  <c r="O113" i="73"/>
  <c r="M268" i="73"/>
  <c r="M260" i="73"/>
  <c r="J260" i="73"/>
  <c r="L268" i="73"/>
  <c r="L260" i="73"/>
  <c r="K260" i="73"/>
  <c r="K267" i="73"/>
  <c r="K268" i="73"/>
  <c r="H31" i="5"/>
  <c r="N32" i="1"/>
  <c r="J268" i="73"/>
  <c r="J267" i="73"/>
  <c r="I31" i="5"/>
  <c r="L267" i="73"/>
  <c r="I31" i="74"/>
  <c r="L32" i="1"/>
  <c r="G31" i="74"/>
  <c r="J31" i="5"/>
  <c r="M267" i="73"/>
  <c r="G31" i="5"/>
  <c r="F31" i="74"/>
  <c r="M32" i="1"/>
  <c r="H31" i="74"/>
  <c r="K32" i="1"/>
  <c r="J31" i="1"/>
  <c r="D1" i="68"/>
  <c r="B2" i="75"/>
  <c r="I258" i="73"/>
  <c r="I257" i="73"/>
  <c r="I248" i="73"/>
  <c r="I247" i="73"/>
  <c r="I238" i="73"/>
  <c r="I237" i="73"/>
  <c r="I229" i="73"/>
  <c r="I228" i="73"/>
  <c r="I220" i="73"/>
  <c r="I210" i="73"/>
  <c r="I209" i="73"/>
  <c r="I201" i="73"/>
  <c r="I200" i="73"/>
  <c r="I191" i="73"/>
  <c r="I190" i="73"/>
  <c r="I182" i="73"/>
  <c r="I181" i="73"/>
  <c r="I173" i="73"/>
  <c r="I172" i="73"/>
  <c r="I164" i="73"/>
  <c r="I163" i="73"/>
  <c r="I155" i="73"/>
  <c r="I154" i="73"/>
  <c r="I146" i="73"/>
  <c r="I137" i="73"/>
  <c r="I136" i="73"/>
  <c r="I128" i="73"/>
  <c r="I127" i="73"/>
  <c r="I119" i="73"/>
  <c r="I118" i="73"/>
  <c r="I110" i="73"/>
  <c r="I109" i="73"/>
  <c r="I100" i="73"/>
  <c r="I99" i="73"/>
  <c r="I90" i="73"/>
  <c r="I89" i="73"/>
  <c r="I81" i="73"/>
  <c r="I80" i="73"/>
  <c r="I71" i="73"/>
  <c r="I70" i="73"/>
  <c r="I61" i="73"/>
  <c r="I60" i="73"/>
  <c r="I51" i="73"/>
  <c r="I50" i="73"/>
  <c r="I42" i="73"/>
  <c r="I41" i="73"/>
  <c r="I33" i="73"/>
  <c r="I32" i="73"/>
  <c r="I23" i="73"/>
  <c r="I22" i="73"/>
  <c r="I14" i="73"/>
  <c r="I13" i="73"/>
  <c r="I5" i="73"/>
  <c r="I4" i="73"/>
  <c r="E30" i="74"/>
  <c r="E29" i="74"/>
  <c r="E28" i="74"/>
  <c r="E27" i="74"/>
  <c r="E26" i="74"/>
  <c r="E25" i="74"/>
  <c r="E24" i="74"/>
  <c r="E23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7" i="74"/>
  <c r="E6" i="74"/>
  <c r="E5" i="74"/>
  <c r="E4" i="74"/>
  <c r="E3" i="74"/>
  <c r="E2" i="74"/>
  <c r="J30" i="1"/>
  <c r="J29" i="1"/>
  <c r="J26" i="1"/>
  <c r="J25" i="1"/>
  <c r="J24" i="1"/>
  <c r="J22" i="1"/>
  <c r="J21" i="1"/>
  <c r="J20" i="1"/>
  <c r="J18" i="1"/>
  <c r="J17" i="1"/>
  <c r="J16" i="1"/>
  <c r="J15" i="1"/>
  <c r="J14" i="1"/>
  <c r="J13" i="1"/>
  <c r="J12" i="1"/>
  <c r="J11" i="1"/>
  <c r="J10" i="1"/>
  <c r="J8" i="1"/>
  <c r="J7" i="1"/>
  <c r="J6" i="1"/>
  <c r="J5" i="1"/>
  <c r="J4" i="1"/>
  <c r="J3" i="1"/>
  <c r="H36" i="2"/>
  <c r="H30" i="2"/>
  <c r="G29" i="67"/>
  <c r="G28" i="67"/>
  <c r="G27" i="67"/>
  <c r="G26" i="67"/>
  <c r="G25" i="67"/>
  <c r="G24" i="67"/>
  <c r="G23" i="67"/>
  <c r="G22" i="67"/>
  <c r="G21" i="67"/>
  <c r="G20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G5" i="67"/>
  <c r="G4" i="67"/>
  <c r="G3" i="67"/>
  <c r="G2" i="67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D3" i="74"/>
  <c r="D4" i="74"/>
  <c r="D5" i="74"/>
  <c r="D6" i="74"/>
  <c r="D7" i="74"/>
  <c r="D9" i="74"/>
  <c r="D10" i="74"/>
  <c r="D11" i="74"/>
  <c r="D12" i="74"/>
  <c r="D13" i="74"/>
  <c r="D14" i="74"/>
  <c r="D15" i="74"/>
  <c r="D16" i="74"/>
  <c r="D17" i="74"/>
  <c r="D18" i="74"/>
  <c r="D19" i="74"/>
  <c r="D20" i="74"/>
  <c r="D21" i="74"/>
  <c r="D23" i="74"/>
  <c r="D24" i="74"/>
  <c r="D25" i="74"/>
  <c r="D26" i="74"/>
  <c r="D27" i="74"/>
  <c r="D28" i="74"/>
  <c r="D29" i="74"/>
  <c r="D30" i="74"/>
  <c r="D2" i="74"/>
  <c r="O115" i="73" l="1"/>
  <c r="O114" i="73"/>
  <c r="O116" i="73" s="1"/>
  <c r="O124" i="73"/>
  <c r="O123" i="73"/>
  <c r="O125" i="73" s="1"/>
  <c r="O263" i="73"/>
  <c r="O262" i="73"/>
  <c r="O264" i="73" s="1"/>
  <c r="O177" i="73"/>
  <c r="O179" i="73" s="1"/>
  <c r="O178" i="73"/>
  <c r="O186" i="73"/>
  <c r="O188" i="73" s="1"/>
  <c r="O187" i="73"/>
  <c r="O271" i="73"/>
  <c r="O10" i="73"/>
  <c r="O9" i="73"/>
  <c r="O242" i="73"/>
  <c r="O244" i="73" s="1"/>
  <c r="O243" i="73"/>
  <c r="O252" i="73"/>
  <c r="O254" i="73" s="1"/>
  <c r="O253" i="73"/>
  <c r="O27" i="73"/>
  <c r="O29" i="73" s="1"/>
  <c r="O28" i="73"/>
  <c r="O215" i="73"/>
  <c r="O214" i="73"/>
  <c r="O216" i="73" s="1"/>
  <c r="O86" i="73"/>
  <c r="O85" i="73"/>
  <c r="O87" i="73" s="1"/>
  <c r="O160" i="73"/>
  <c r="O159" i="73"/>
  <c r="O161" i="73" s="1"/>
  <c r="O105" i="73"/>
  <c r="O104" i="73"/>
  <c r="O106" i="73" s="1"/>
  <c r="O195" i="73"/>
  <c r="O197" i="73" s="1"/>
  <c r="O196" i="73"/>
  <c r="O205" i="73"/>
  <c r="O207" i="73" s="1"/>
  <c r="O206" i="73"/>
  <c r="O38" i="73"/>
  <c r="O37" i="73"/>
  <c r="O39" i="73" s="1"/>
  <c r="O47" i="73"/>
  <c r="O46" i="73"/>
  <c r="O48" i="73" s="1"/>
  <c r="O65" i="73"/>
  <c r="O67" i="73" s="1"/>
  <c r="O66" i="73"/>
  <c r="O56" i="73"/>
  <c r="O55" i="73"/>
  <c r="O57" i="73" s="1"/>
  <c r="O151" i="73"/>
  <c r="O150" i="73"/>
  <c r="O152" i="73" s="1"/>
  <c r="O169" i="73"/>
  <c r="O168" i="73"/>
  <c r="O170" i="73" s="1"/>
  <c r="O18" i="73"/>
  <c r="O20" i="73" s="1"/>
  <c r="O19" i="73"/>
  <c r="O224" i="73"/>
  <c r="O226" i="73" s="1"/>
  <c r="O225" i="73"/>
  <c r="O132" i="73"/>
  <c r="O134" i="73" s="1"/>
  <c r="O133" i="73"/>
  <c r="O233" i="73"/>
  <c r="O235" i="73" s="1"/>
  <c r="O234" i="73"/>
  <c r="O141" i="73"/>
  <c r="O143" i="73" s="1"/>
  <c r="O142" i="73"/>
  <c r="O95" i="73"/>
  <c r="O94" i="73"/>
  <c r="O96" i="73" s="1"/>
  <c r="O76" i="73"/>
  <c r="O75" i="73"/>
  <c r="O77" i="73" s="1"/>
  <c r="D2" i="68"/>
  <c r="I267" i="73"/>
  <c r="I260" i="73"/>
  <c r="I268" i="73"/>
  <c r="F31" i="5"/>
  <c r="J32" i="1"/>
  <c r="E31" i="74"/>
  <c r="I24" i="1"/>
  <c r="K1" i="70" l="1"/>
  <c r="O272" i="73"/>
  <c r="O11" i="73"/>
  <c r="D31" i="74"/>
  <c r="D2" i="67"/>
  <c r="E2" i="67"/>
  <c r="F2" i="67"/>
  <c r="E2" i="5"/>
  <c r="D2" i="5" s="1"/>
  <c r="E2" i="2"/>
  <c r="F2" i="2" a="1"/>
  <c r="F2" i="2" s="1"/>
  <c r="E9" i="73"/>
  <c r="H5" i="73"/>
  <c r="H4" i="73"/>
  <c r="H3" i="1"/>
  <c r="I3" i="1"/>
  <c r="E3" i="1"/>
  <c r="G3" i="1" l="1"/>
  <c r="D2" i="2" s="1"/>
  <c r="D3" i="1" s="1"/>
  <c r="F3" i="1" s="1"/>
  <c r="I31" i="1"/>
  <c r="I30" i="1"/>
  <c r="I29" i="1"/>
  <c r="I28" i="1"/>
  <c r="I27" i="1"/>
  <c r="I26" i="1"/>
  <c r="I25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8" i="1"/>
  <c r="I7" i="1"/>
  <c r="I6" i="1"/>
  <c r="I5" i="1"/>
  <c r="I4" i="1"/>
  <c r="H258" i="73"/>
  <c r="H257" i="73"/>
  <c r="H248" i="73"/>
  <c r="H247" i="73"/>
  <c r="H238" i="73"/>
  <c r="H237" i="73"/>
  <c r="H229" i="73"/>
  <c r="H228" i="73"/>
  <c r="H220" i="73"/>
  <c r="H219" i="73"/>
  <c r="H210" i="73"/>
  <c r="H209" i="73"/>
  <c r="H201" i="73"/>
  <c r="H200" i="73"/>
  <c r="H191" i="73"/>
  <c r="H190" i="73"/>
  <c r="H182" i="73"/>
  <c r="H181" i="73"/>
  <c r="H173" i="73"/>
  <c r="H172" i="73"/>
  <c r="H164" i="73"/>
  <c r="H163" i="73"/>
  <c r="H155" i="73"/>
  <c r="H154" i="73"/>
  <c r="H146" i="73"/>
  <c r="H145" i="73"/>
  <c r="H137" i="73"/>
  <c r="H136" i="73"/>
  <c r="H128" i="73"/>
  <c r="H127" i="73"/>
  <c r="H119" i="73"/>
  <c r="H118" i="73"/>
  <c r="H110" i="73"/>
  <c r="H109" i="73"/>
  <c r="H100" i="73"/>
  <c r="H99" i="73"/>
  <c r="H90" i="73"/>
  <c r="H89" i="73"/>
  <c r="H81" i="73"/>
  <c r="H80" i="73"/>
  <c r="H71" i="73"/>
  <c r="H70" i="73"/>
  <c r="H61" i="73"/>
  <c r="H60" i="73"/>
  <c r="H51" i="73"/>
  <c r="H50" i="73"/>
  <c r="H42" i="73"/>
  <c r="H41" i="73"/>
  <c r="H33" i="73"/>
  <c r="H32" i="73"/>
  <c r="H23" i="73"/>
  <c r="H22" i="73"/>
  <c r="H14" i="73"/>
  <c r="H13" i="73"/>
  <c r="F29" i="67"/>
  <c r="F28" i="67"/>
  <c r="F27" i="67"/>
  <c r="F26" i="67"/>
  <c r="F25" i="67"/>
  <c r="F24" i="67"/>
  <c r="F23" i="67"/>
  <c r="F22" i="67"/>
  <c r="F21" i="67"/>
  <c r="F20" i="67"/>
  <c r="F19" i="67"/>
  <c r="F18" i="67"/>
  <c r="F17" i="67"/>
  <c r="F16" i="67"/>
  <c r="F15" i="67"/>
  <c r="F14" i="67"/>
  <c r="F13" i="67"/>
  <c r="F12" i="67"/>
  <c r="F11" i="67"/>
  <c r="F10" i="67"/>
  <c r="F9" i="67"/>
  <c r="F8" i="67"/>
  <c r="F7" i="67"/>
  <c r="F6" i="67"/>
  <c r="F5" i="67"/>
  <c r="F4" i="67"/>
  <c r="F3" i="67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12" i="1"/>
  <c r="E13" i="1"/>
  <c r="E17" i="1"/>
  <c r="E16" i="1"/>
  <c r="F4" i="2" l="1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" i="2" a="1"/>
  <c r="F3" i="2" s="1"/>
  <c r="E3" i="67" l="1"/>
  <c r="E4" i="67"/>
  <c r="E5" i="67"/>
  <c r="E6" i="67"/>
  <c r="E7" i="67"/>
  <c r="E8" i="67"/>
  <c r="E9" i="67"/>
  <c r="E10" i="67"/>
  <c r="E12" i="67"/>
  <c r="E13" i="67"/>
  <c r="E14" i="67"/>
  <c r="E15" i="67"/>
  <c r="E16" i="67"/>
  <c r="E17" i="67"/>
  <c r="E18" i="67"/>
  <c r="E19" i="67"/>
  <c r="E20" i="67"/>
  <c r="E21" i="67"/>
  <c r="E22" i="67"/>
  <c r="E23" i="67"/>
  <c r="E24" i="67"/>
  <c r="E25" i="67"/>
  <c r="E26" i="67"/>
  <c r="E27" i="67"/>
  <c r="E28" i="67"/>
  <c r="E29" i="67"/>
  <c r="E11" i="67"/>
  <c r="D4" i="67"/>
  <c r="D5" i="67"/>
  <c r="D6" i="67"/>
  <c r="D7" i="67"/>
  <c r="D8" i="67"/>
  <c r="D9" i="67"/>
  <c r="D10" i="67"/>
  <c r="D11" i="67"/>
  <c r="D12" i="67"/>
  <c r="D13" i="67"/>
  <c r="D14" i="67"/>
  <c r="D15" i="67"/>
  <c r="D16" i="67"/>
  <c r="D17" i="67"/>
  <c r="D18" i="67"/>
  <c r="D19" i="67"/>
  <c r="D20" i="67"/>
  <c r="D21" i="67"/>
  <c r="D22" i="67"/>
  <c r="D23" i="67"/>
  <c r="D24" i="67"/>
  <c r="D25" i="67"/>
  <c r="D26" i="67"/>
  <c r="D27" i="67"/>
  <c r="D28" i="67"/>
  <c r="D29" i="67"/>
  <c r="D3" i="67"/>
  <c r="H9" i="1"/>
  <c r="H5" i="1"/>
  <c r="H6" i="1"/>
  <c r="H7" i="1"/>
  <c r="H8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4" i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10" i="1"/>
  <c r="G10" i="1" l="1"/>
  <c r="D8" i="2" s="1"/>
  <c r="D10" i="1" s="1"/>
  <c r="H1" i="73" l="1"/>
  <c r="I1" i="73" l="1"/>
  <c r="J1" i="73" s="1"/>
  <c r="D1" i="74"/>
  <c r="H8" i="73"/>
  <c r="E1" i="5"/>
  <c r="F1" i="67"/>
  <c r="G1" i="2"/>
  <c r="G8" i="68"/>
  <c r="G9" i="68" s="1"/>
  <c r="I2" i="1"/>
  <c r="H261" i="73"/>
  <c r="H223" i="73"/>
  <c r="H185" i="73"/>
  <c r="H149" i="73"/>
  <c r="H113" i="73"/>
  <c r="H74" i="73"/>
  <c r="H36" i="73"/>
  <c r="H26" i="73"/>
  <c r="H158" i="73"/>
  <c r="H45" i="73"/>
  <c r="H251" i="73"/>
  <c r="H213" i="73"/>
  <c r="H176" i="73"/>
  <c r="H140" i="73"/>
  <c r="H103" i="73"/>
  <c r="H64" i="73"/>
  <c r="H194" i="73"/>
  <c r="H84" i="73"/>
  <c r="H241" i="73"/>
  <c r="H204" i="73"/>
  <c r="H167" i="73"/>
  <c r="H131" i="73"/>
  <c r="F131" i="73" s="1"/>
  <c r="H93" i="73"/>
  <c r="F93" i="73" s="1"/>
  <c r="H54" i="73"/>
  <c r="H17" i="73"/>
  <c r="H232" i="73"/>
  <c r="H122" i="73"/>
  <c r="K2" i="1" l="1"/>
  <c r="K1" i="73"/>
  <c r="H1" i="67"/>
  <c r="J113" i="73"/>
  <c r="J26" i="73"/>
  <c r="J213" i="73"/>
  <c r="J176" i="73"/>
  <c r="J232" i="73"/>
  <c r="J74" i="73"/>
  <c r="J158" i="73"/>
  <c r="J261" i="73"/>
  <c r="J93" i="73"/>
  <c r="J149" i="73"/>
  <c r="J45" i="73"/>
  <c r="J167" i="73"/>
  <c r="J223" i="73"/>
  <c r="F1" i="74"/>
  <c r="J140" i="73"/>
  <c r="J54" i="73"/>
  <c r="J204" i="73"/>
  <c r="J251" i="73"/>
  <c r="J64" i="73"/>
  <c r="G1" i="5"/>
  <c r="J17" i="73"/>
  <c r="J8" i="73"/>
  <c r="J122" i="73"/>
  <c r="I1" i="2"/>
  <c r="J194" i="73"/>
  <c r="J241" i="73"/>
  <c r="J36" i="73"/>
  <c r="J131" i="73"/>
  <c r="I8" i="68"/>
  <c r="J103" i="73"/>
  <c r="J185" i="73"/>
  <c r="J84" i="73"/>
  <c r="J2" i="1"/>
  <c r="G1" i="67"/>
  <c r="H1" i="2"/>
  <c r="F1" i="5"/>
  <c r="E1" i="74"/>
  <c r="H8" i="68"/>
  <c r="I223" i="73"/>
  <c r="I74" i="73"/>
  <c r="I176" i="73"/>
  <c r="I26" i="73"/>
  <c r="I122" i="73"/>
  <c r="I241" i="73"/>
  <c r="I93" i="73"/>
  <c r="I149" i="73"/>
  <c r="I103" i="73"/>
  <c r="I45" i="73"/>
  <c r="I185" i="73"/>
  <c r="I36" i="73"/>
  <c r="I140" i="73"/>
  <c r="I232" i="73"/>
  <c r="I84" i="73"/>
  <c r="I204" i="73"/>
  <c r="I54" i="73"/>
  <c r="I251" i="73"/>
  <c r="I167" i="73"/>
  <c r="I113" i="73"/>
  <c r="I213" i="73"/>
  <c r="I64" i="73"/>
  <c r="I158" i="73"/>
  <c r="I8" i="73"/>
  <c r="I131" i="73"/>
  <c r="I261" i="73"/>
  <c r="I194" i="73"/>
  <c r="I17" i="73"/>
  <c r="H10" i="73"/>
  <c r="F8" i="73"/>
  <c r="G59" i="68"/>
  <c r="G60" i="68"/>
  <c r="F45" i="73"/>
  <c r="F54" i="73"/>
  <c r="F185" i="73"/>
  <c r="F204" i="73"/>
  <c r="F103" i="73"/>
  <c r="F223" i="73"/>
  <c r="F122" i="73"/>
  <c r="H268" i="73"/>
  <c r="F113" i="73"/>
  <c r="F176" i="73"/>
  <c r="F26" i="73"/>
  <c r="F17" i="73"/>
  <c r="H260" i="73"/>
  <c r="F36" i="73"/>
  <c r="F74" i="73"/>
  <c r="F84" i="73"/>
  <c r="F194" i="73"/>
  <c r="F241" i="73"/>
  <c r="F64" i="73"/>
  <c r="F158" i="73"/>
  <c r="F261" i="73"/>
  <c r="F149" i="73"/>
  <c r="F251" i="73"/>
  <c r="H271" i="73"/>
  <c r="F140" i="73"/>
  <c r="F167" i="73"/>
  <c r="F213" i="73"/>
  <c r="F232" i="73"/>
  <c r="J187" i="73" l="1"/>
  <c r="J142" i="73"/>
  <c r="J160" i="73"/>
  <c r="J178" i="73"/>
  <c r="J86" i="73"/>
  <c r="J105" i="73"/>
  <c r="J124" i="73"/>
  <c r="J19" i="73"/>
  <c r="J66" i="73"/>
  <c r="J253" i="73"/>
  <c r="J169" i="73"/>
  <c r="J76" i="73"/>
  <c r="J215" i="73"/>
  <c r="I60" i="68"/>
  <c r="I16" i="68"/>
  <c r="I33" i="68"/>
  <c r="I49" i="68"/>
  <c r="I9" i="68"/>
  <c r="I25" i="68"/>
  <c r="I42" i="68"/>
  <c r="I58" i="68"/>
  <c r="I18" i="68"/>
  <c r="I35" i="68"/>
  <c r="I51" i="68"/>
  <c r="I11" i="68"/>
  <c r="I27" i="68"/>
  <c r="I44" i="68"/>
  <c r="I12" i="68"/>
  <c r="I61" i="68"/>
  <c r="I54" i="68"/>
  <c r="I63" i="68"/>
  <c r="I56" i="68"/>
  <c r="I20" i="68"/>
  <c r="I37" i="68"/>
  <c r="I53" i="68"/>
  <c r="I13" i="68"/>
  <c r="I30" i="68"/>
  <c r="I46" i="68"/>
  <c r="I62" i="68"/>
  <c r="I22" i="68"/>
  <c r="I39" i="68"/>
  <c r="I55" i="68"/>
  <c r="I15" i="68"/>
  <c r="I32" i="68"/>
  <c r="I48" i="68"/>
  <c r="I28" i="68"/>
  <c r="I21" i="68"/>
  <c r="I14" i="68"/>
  <c r="I47" i="68"/>
  <c r="I40" i="68"/>
  <c r="I24" i="68"/>
  <c r="I41" i="68"/>
  <c r="I57" i="68"/>
  <c r="I17" i="68"/>
  <c r="I34" i="68"/>
  <c r="I50" i="68"/>
  <c r="I10" i="68"/>
  <c r="I26" i="68"/>
  <c r="I43" i="68"/>
  <c r="I59" i="68"/>
  <c r="I19" i="68"/>
  <c r="I36" i="68"/>
  <c r="I52" i="68"/>
  <c r="I45" i="68"/>
  <c r="I38" i="68"/>
  <c r="I31" i="68"/>
  <c r="I23" i="68"/>
  <c r="J38" i="73"/>
  <c r="J206" i="73"/>
  <c r="J151" i="73"/>
  <c r="J28" i="73"/>
  <c r="L1" i="73"/>
  <c r="H1" i="5"/>
  <c r="K8" i="73"/>
  <c r="K103" i="73"/>
  <c r="L2" i="1"/>
  <c r="K93" i="73"/>
  <c r="K232" i="73"/>
  <c r="K149" i="73"/>
  <c r="K194" i="73"/>
  <c r="K45" i="73"/>
  <c r="K36" i="73"/>
  <c r="K113" i="73"/>
  <c r="K167" i="73"/>
  <c r="J8" i="68"/>
  <c r="K241" i="73"/>
  <c r="K158" i="73"/>
  <c r="K204" i="73"/>
  <c r="K84" i="73"/>
  <c r="K54" i="73"/>
  <c r="K131" i="73"/>
  <c r="K26" i="73"/>
  <c r="J1" i="2"/>
  <c r="K251" i="73"/>
  <c r="K176" i="73"/>
  <c r="I1" i="67"/>
  <c r="G1" i="74"/>
  <c r="K223" i="73"/>
  <c r="K17" i="73"/>
  <c r="K261" i="73"/>
  <c r="K122" i="73"/>
  <c r="K185" i="73"/>
  <c r="K140" i="73"/>
  <c r="K74" i="73"/>
  <c r="K64" i="73"/>
  <c r="K213" i="73"/>
  <c r="J133" i="73"/>
  <c r="J196" i="73"/>
  <c r="J271" i="73"/>
  <c r="J10" i="73"/>
  <c r="J56" i="73"/>
  <c r="J47" i="73"/>
  <c r="J95" i="73"/>
  <c r="J263" i="73"/>
  <c r="J115" i="73"/>
  <c r="I133" i="73"/>
  <c r="I215" i="73"/>
  <c r="I56" i="73"/>
  <c r="I142" i="73"/>
  <c r="I105" i="73"/>
  <c r="I124" i="73"/>
  <c r="H63" i="68"/>
  <c r="H23" i="68"/>
  <c r="H40" i="68"/>
  <c r="H56" i="68"/>
  <c r="H20" i="68"/>
  <c r="H37" i="68"/>
  <c r="H53" i="68"/>
  <c r="H13" i="68"/>
  <c r="H30" i="68"/>
  <c r="H46" i="68"/>
  <c r="H62" i="68"/>
  <c r="H22" i="68"/>
  <c r="H39" i="68"/>
  <c r="H55" i="68"/>
  <c r="H19" i="68"/>
  <c r="H52" i="68"/>
  <c r="H49" i="68"/>
  <c r="H42" i="68"/>
  <c r="H51" i="68"/>
  <c r="H11" i="68"/>
  <c r="H27" i="68"/>
  <c r="H44" i="68"/>
  <c r="H60" i="68"/>
  <c r="H24" i="68"/>
  <c r="H41" i="68"/>
  <c r="H57" i="68"/>
  <c r="H17" i="68"/>
  <c r="H34" i="68"/>
  <c r="H50" i="68"/>
  <c r="H10" i="68"/>
  <c r="H26" i="68"/>
  <c r="H43" i="68"/>
  <c r="H59" i="68"/>
  <c r="H16" i="68"/>
  <c r="H25" i="68"/>
  <c r="H18" i="68"/>
  <c r="H15" i="68"/>
  <c r="H32" i="68"/>
  <c r="H48" i="68"/>
  <c r="H12" i="68"/>
  <c r="H28" i="68"/>
  <c r="H45" i="68"/>
  <c r="H61" i="68"/>
  <c r="H21" i="68"/>
  <c r="H38" i="68"/>
  <c r="H54" i="68"/>
  <c r="H14" i="68"/>
  <c r="H31" i="68"/>
  <c r="H47" i="68"/>
  <c r="H36" i="68"/>
  <c r="H33" i="68"/>
  <c r="H9" i="68"/>
  <c r="H58" i="68"/>
  <c r="H35" i="68"/>
  <c r="I28" i="73"/>
  <c r="I19" i="73"/>
  <c r="I10" i="73"/>
  <c r="I271" i="73"/>
  <c r="I115" i="73"/>
  <c r="I206" i="73"/>
  <c r="I38" i="73"/>
  <c r="I151" i="73"/>
  <c r="I196" i="73"/>
  <c r="I160" i="73"/>
  <c r="I169" i="73"/>
  <c r="I86" i="73"/>
  <c r="I187" i="73"/>
  <c r="I95" i="73"/>
  <c r="I178" i="73"/>
  <c r="I263" i="73"/>
  <c r="I66" i="73"/>
  <c r="I253" i="73"/>
  <c r="I47" i="73"/>
  <c r="I76" i="73"/>
  <c r="H267" i="73"/>
  <c r="H28" i="73"/>
  <c r="H160" i="73"/>
  <c r="H151" i="73"/>
  <c r="H66" i="73"/>
  <c r="H19" i="73"/>
  <c r="H263" i="73"/>
  <c r="E94" i="73"/>
  <c r="E85" i="73"/>
  <c r="H38" i="73"/>
  <c r="H196" i="73"/>
  <c r="H76" i="73"/>
  <c r="H178" i="73"/>
  <c r="H56" i="73"/>
  <c r="H124" i="73"/>
  <c r="G10" i="68"/>
  <c r="G11" i="68"/>
  <c r="G12" i="68"/>
  <c r="G13" i="68"/>
  <c r="G14" i="68"/>
  <c r="G15" i="68"/>
  <c r="G16" i="68"/>
  <c r="G17" i="68"/>
  <c r="G18" i="68"/>
  <c r="G19" i="68"/>
  <c r="G20" i="68"/>
  <c r="G21" i="68"/>
  <c r="G22" i="68"/>
  <c r="G23" i="68"/>
  <c r="G24" i="68"/>
  <c r="G25" i="68"/>
  <c r="G26" i="68"/>
  <c r="G27" i="68"/>
  <c r="G28" i="68"/>
  <c r="G30" i="68"/>
  <c r="G31" i="68"/>
  <c r="G32" i="68"/>
  <c r="G33" i="68"/>
  <c r="G34" i="68"/>
  <c r="G35" i="68"/>
  <c r="G36" i="68"/>
  <c r="G37" i="68"/>
  <c r="G38" i="68"/>
  <c r="G39" i="68"/>
  <c r="G40" i="68"/>
  <c r="G41" i="68"/>
  <c r="G42" i="68"/>
  <c r="G43" i="68"/>
  <c r="G44" i="68"/>
  <c r="G45" i="68"/>
  <c r="G46" i="68"/>
  <c r="G47" i="68"/>
  <c r="G48" i="68"/>
  <c r="G49" i="68"/>
  <c r="G50" i="68"/>
  <c r="G51" i="68"/>
  <c r="G52" i="68"/>
  <c r="G53" i="68"/>
  <c r="G54" i="68"/>
  <c r="G55" i="68"/>
  <c r="G56" i="68"/>
  <c r="G57" i="68"/>
  <c r="G58" i="68"/>
  <c r="G61" i="68"/>
  <c r="G62" i="68"/>
  <c r="G63" i="68"/>
  <c r="O1" i="72"/>
  <c r="M1" i="72"/>
  <c r="K76" i="73" l="1"/>
  <c r="K253" i="73"/>
  <c r="K86" i="73"/>
  <c r="J63" i="68"/>
  <c r="J11" i="68"/>
  <c r="J15" i="68"/>
  <c r="J32" i="68"/>
  <c r="J48" i="68"/>
  <c r="J12" i="68"/>
  <c r="J28" i="68"/>
  <c r="J45" i="68"/>
  <c r="J61" i="68"/>
  <c r="J21" i="68"/>
  <c r="J38" i="68"/>
  <c r="J54" i="68"/>
  <c r="J14" i="68"/>
  <c r="J31" i="68"/>
  <c r="J47" i="68"/>
  <c r="J36" i="68"/>
  <c r="J56" i="68"/>
  <c r="J24" i="68"/>
  <c r="J49" i="68"/>
  <c r="J13" i="68"/>
  <c r="J34" i="68"/>
  <c r="J58" i="68"/>
  <c r="J22" i="68"/>
  <c r="J43" i="68"/>
  <c r="J20" i="68"/>
  <c r="J30" i="68"/>
  <c r="J18" i="68"/>
  <c r="J19" i="68"/>
  <c r="J40" i="68"/>
  <c r="J60" i="68"/>
  <c r="J33" i="68"/>
  <c r="J53" i="68"/>
  <c r="J17" i="68"/>
  <c r="J42" i="68"/>
  <c r="J62" i="68"/>
  <c r="J26" i="68"/>
  <c r="J51" i="68"/>
  <c r="J39" i="68"/>
  <c r="J23" i="68"/>
  <c r="J44" i="68"/>
  <c r="J16" i="68"/>
  <c r="J37" i="68"/>
  <c r="J57" i="68"/>
  <c r="J25" i="68"/>
  <c r="J46" i="68"/>
  <c r="J10" i="68"/>
  <c r="J35" i="68"/>
  <c r="J55" i="68"/>
  <c r="J27" i="68"/>
  <c r="J52" i="68"/>
  <c r="J41" i="68"/>
  <c r="J9" i="68"/>
  <c r="J50" i="68"/>
  <c r="J59" i="68"/>
  <c r="K115" i="73"/>
  <c r="K196" i="73"/>
  <c r="K271" i="73"/>
  <c r="K10" i="73"/>
  <c r="K142" i="73"/>
  <c r="K133" i="73"/>
  <c r="K206" i="73"/>
  <c r="K169" i="73"/>
  <c r="K38" i="73"/>
  <c r="K151" i="73"/>
  <c r="K215" i="73"/>
  <c r="K187" i="73"/>
  <c r="K124" i="73"/>
  <c r="K28" i="73"/>
  <c r="K56" i="73"/>
  <c r="K160" i="73"/>
  <c r="M1" i="73"/>
  <c r="N1" i="73" s="1"/>
  <c r="I1" i="5"/>
  <c r="L158" i="73"/>
  <c r="L74" i="73"/>
  <c r="K8" i="68"/>
  <c r="K29" i="68" s="1"/>
  <c r="L8" i="73"/>
  <c r="H1" i="74"/>
  <c r="L223" i="73"/>
  <c r="L261" i="73"/>
  <c r="L204" i="73"/>
  <c r="L84" i="73"/>
  <c r="L167" i="73"/>
  <c r="L93" i="73"/>
  <c r="J1" i="67"/>
  <c r="L36" i="73"/>
  <c r="L232" i="73"/>
  <c r="L176" i="73"/>
  <c r="L213" i="73"/>
  <c r="L103" i="73"/>
  <c r="L26" i="73"/>
  <c r="L113" i="73"/>
  <c r="M2" i="1"/>
  <c r="L64" i="73"/>
  <c r="L241" i="73"/>
  <c r="L185" i="73"/>
  <c r="L17" i="73"/>
  <c r="L131" i="73"/>
  <c r="L251" i="73"/>
  <c r="K1" i="2"/>
  <c r="L194" i="73"/>
  <c r="L54" i="73"/>
  <c r="L149" i="73"/>
  <c r="L45" i="73"/>
  <c r="L122" i="73"/>
  <c r="L140" i="73"/>
  <c r="K66" i="73"/>
  <c r="K263" i="73"/>
  <c r="K19" i="73"/>
  <c r="K178" i="73"/>
  <c r="K47" i="73"/>
  <c r="K95" i="73"/>
  <c r="K105" i="73"/>
  <c r="N1" i="14"/>
  <c r="K1" i="5" l="1"/>
  <c r="N45" i="73"/>
  <c r="O2" i="1"/>
  <c r="L1" i="67"/>
  <c r="N232" i="73"/>
  <c r="N149" i="73"/>
  <c r="N204" i="73"/>
  <c r="N26" i="73"/>
  <c r="N122" i="73"/>
  <c r="N74" i="73"/>
  <c r="N8" i="73"/>
  <c r="M8" i="68"/>
  <c r="M29" i="68" s="1"/>
  <c r="N241" i="73"/>
  <c r="N176" i="73"/>
  <c r="N213" i="73"/>
  <c r="N54" i="73"/>
  <c r="N131" i="73"/>
  <c r="N93" i="73"/>
  <c r="N36" i="73"/>
  <c r="M1" i="2"/>
  <c r="N251" i="73"/>
  <c r="N185" i="73"/>
  <c r="N158" i="73"/>
  <c r="N84" i="73"/>
  <c r="N140" i="73"/>
  <c r="N17" i="73"/>
  <c r="N103" i="73"/>
  <c r="N64" i="73"/>
  <c r="J1" i="74"/>
  <c r="N223" i="73"/>
  <c r="N261" i="73"/>
  <c r="N194" i="73"/>
  <c r="N167" i="73"/>
  <c r="N113" i="73"/>
  <c r="L151" i="73"/>
  <c r="L19" i="73"/>
  <c r="L28" i="73"/>
  <c r="L178" i="73"/>
  <c r="K12" i="68"/>
  <c r="K28" i="68"/>
  <c r="K45" i="68"/>
  <c r="K61" i="68"/>
  <c r="K21" i="68"/>
  <c r="K38" i="68"/>
  <c r="K54" i="68"/>
  <c r="K14" i="68"/>
  <c r="K31" i="68"/>
  <c r="K47" i="68"/>
  <c r="K16" i="68"/>
  <c r="K33" i="68"/>
  <c r="K49" i="68"/>
  <c r="K9" i="68"/>
  <c r="K25" i="68"/>
  <c r="K42" i="68"/>
  <c r="K58" i="68"/>
  <c r="K18" i="68"/>
  <c r="K35" i="68"/>
  <c r="K51" i="68"/>
  <c r="K20" i="68"/>
  <c r="K37" i="68"/>
  <c r="K53" i="68"/>
  <c r="K13" i="68"/>
  <c r="K30" i="68"/>
  <c r="K46" i="68"/>
  <c r="K62" i="68"/>
  <c r="K22" i="68"/>
  <c r="K39" i="68"/>
  <c r="K55" i="68"/>
  <c r="K17" i="68"/>
  <c r="K26" i="68"/>
  <c r="K24" i="68"/>
  <c r="K34" i="68"/>
  <c r="K43" i="68"/>
  <c r="K41" i="68"/>
  <c r="K50" i="68"/>
  <c r="K59" i="68"/>
  <c r="K57" i="68"/>
  <c r="K10" i="68"/>
  <c r="K36" i="68"/>
  <c r="K27" i="68"/>
  <c r="K40" i="68"/>
  <c r="K15" i="68"/>
  <c r="K48" i="68"/>
  <c r="K11" i="68"/>
  <c r="K23" i="68"/>
  <c r="K60" i="68"/>
  <c r="K32" i="68"/>
  <c r="K52" i="68"/>
  <c r="K56" i="68"/>
  <c r="K63" i="68"/>
  <c r="K44" i="68"/>
  <c r="K19" i="68"/>
  <c r="J1" i="5"/>
  <c r="M158" i="73"/>
  <c r="M103" i="73"/>
  <c r="M149" i="73"/>
  <c r="L1" i="2"/>
  <c r="M251" i="73"/>
  <c r="M185" i="73"/>
  <c r="L8" i="68"/>
  <c r="L29" i="68" s="1"/>
  <c r="M84" i="73"/>
  <c r="M17" i="73"/>
  <c r="M122" i="73"/>
  <c r="M26" i="73"/>
  <c r="I1" i="74"/>
  <c r="M223" i="73"/>
  <c r="M261" i="73"/>
  <c r="M194" i="73"/>
  <c r="M8" i="73"/>
  <c r="M113" i="73"/>
  <c r="M45" i="73"/>
  <c r="K1" i="67"/>
  <c r="M54" i="73"/>
  <c r="M232" i="73"/>
  <c r="M167" i="73"/>
  <c r="M204" i="73"/>
  <c r="M36" i="73"/>
  <c r="M131" i="73"/>
  <c r="M74" i="73"/>
  <c r="M93" i="73"/>
  <c r="M64" i="73"/>
  <c r="N2" i="1"/>
  <c r="M241" i="73"/>
  <c r="M140" i="73"/>
  <c r="M176" i="73"/>
  <c r="M213" i="73"/>
  <c r="L124" i="73"/>
  <c r="L56" i="73"/>
  <c r="L187" i="73"/>
  <c r="L86" i="73"/>
  <c r="L271" i="73"/>
  <c r="L10" i="73"/>
  <c r="L76" i="73"/>
  <c r="L47" i="73"/>
  <c r="L196" i="73"/>
  <c r="L105" i="73"/>
  <c r="L38" i="73"/>
  <c r="L95" i="73"/>
  <c r="L206" i="73"/>
  <c r="L160" i="73"/>
  <c r="L142" i="73"/>
  <c r="L253" i="73"/>
  <c r="L133" i="73"/>
  <c r="L66" i="73"/>
  <c r="L115" i="73"/>
  <c r="L215" i="73"/>
  <c r="L169" i="73"/>
  <c r="L263" i="73"/>
  <c r="P1" i="14"/>
  <c r="N169" i="73" l="1"/>
  <c r="N66" i="73"/>
  <c r="N19" i="73"/>
  <c r="N160" i="73"/>
  <c r="N38" i="73"/>
  <c r="N178" i="73"/>
  <c r="N124" i="73"/>
  <c r="N196" i="73"/>
  <c r="N187" i="73"/>
  <c r="N133" i="73"/>
  <c r="N28" i="73"/>
  <c r="N47" i="73"/>
  <c r="N263" i="73"/>
  <c r="N142" i="73"/>
  <c r="N253" i="73"/>
  <c r="N56" i="73"/>
  <c r="M63" i="68"/>
  <c r="M15" i="68"/>
  <c r="M32" i="68"/>
  <c r="M48" i="68"/>
  <c r="M12" i="68"/>
  <c r="M28" i="68"/>
  <c r="M45" i="68"/>
  <c r="M61" i="68"/>
  <c r="M21" i="68"/>
  <c r="M38" i="68"/>
  <c r="M54" i="68"/>
  <c r="M14" i="68"/>
  <c r="M31" i="68"/>
  <c r="M47" i="68"/>
  <c r="M19" i="68"/>
  <c r="M36" i="68"/>
  <c r="M52" i="68"/>
  <c r="M16" i="68"/>
  <c r="M33" i="68"/>
  <c r="M49" i="68"/>
  <c r="M9" i="68"/>
  <c r="M25" i="68"/>
  <c r="M42" i="68"/>
  <c r="M58" i="68"/>
  <c r="M18" i="68"/>
  <c r="M35" i="68"/>
  <c r="M51" i="68"/>
  <c r="M23" i="68"/>
  <c r="M40" i="68"/>
  <c r="M56" i="68"/>
  <c r="M20" i="68"/>
  <c r="M37" i="68"/>
  <c r="M53" i="68"/>
  <c r="M13" i="68"/>
  <c r="M30" i="68"/>
  <c r="M46" i="68"/>
  <c r="M62" i="68"/>
  <c r="M22" i="68"/>
  <c r="M39" i="68"/>
  <c r="M55" i="68"/>
  <c r="M11" i="68"/>
  <c r="M27" i="68"/>
  <c r="M44" i="68"/>
  <c r="M60" i="68"/>
  <c r="M24" i="68"/>
  <c r="M41" i="68"/>
  <c r="M57" i="68"/>
  <c r="M17" i="68"/>
  <c r="M34" i="68"/>
  <c r="M50" i="68"/>
  <c r="M10" i="68"/>
  <c r="M26" i="68"/>
  <c r="M43" i="68"/>
  <c r="M59" i="68"/>
  <c r="N76" i="73"/>
  <c r="N206" i="73"/>
  <c r="N115" i="73"/>
  <c r="N105" i="73"/>
  <c r="N86" i="73"/>
  <c r="N95" i="73"/>
  <c r="N215" i="73"/>
  <c r="N271" i="73"/>
  <c r="N10" i="73"/>
  <c r="N151" i="73"/>
  <c r="M215" i="73"/>
  <c r="M178" i="73"/>
  <c r="M133" i="73"/>
  <c r="M271" i="73"/>
  <c r="M10" i="73"/>
  <c r="M28" i="73"/>
  <c r="M19" i="73"/>
  <c r="M187" i="73"/>
  <c r="M76" i="73"/>
  <c r="M206" i="73"/>
  <c r="M263" i="73"/>
  <c r="M86" i="73"/>
  <c r="M105" i="73"/>
  <c r="M142" i="73"/>
  <c r="M66" i="73"/>
  <c r="M169" i="73"/>
  <c r="M115" i="73"/>
  <c r="M124" i="73"/>
  <c r="L15" i="68"/>
  <c r="L11" i="68"/>
  <c r="L44" i="68"/>
  <c r="L12" i="68"/>
  <c r="L33" i="68"/>
  <c r="L57" i="68"/>
  <c r="L22" i="68"/>
  <c r="L43" i="68"/>
  <c r="L19" i="68"/>
  <c r="L48" i="68"/>
  <c r="L16" i="68"/>
  <c r="L41" i="68"/>
  <c r="L61" i="68"/>
  <c r="L26" i="68"/>
  <c r="L51" i="68"/>
  <c r="L27" i="68"/>
  <c r="L52" i="68"/>
  <c r="L24" i="68"/>
  <c r="L45" i="68"/>
  <c r="L10" i="68"/>
  <c r="L35" i="68"/>
  <c r="L55" i="68"/>
  <c r="L60" i="68"/>
  <c r="L39" i="68"/>
  <c r="L28" i="68"/>
  <c r="L59" i="68"/>
  <c r="L49" i="68"/>
  <c r="L36" i="68"/>
  <c r="L18" i="68"/>
  <c r="L47" i="68"/>
  <c r="L37" i="68"/>
  <c r="L23" i="68"/>
  <c r="L54" i="68"/>
  <c r="L30" i="68"/>
  <c r="L42" i="68"/>
  <c r="L50" i="68"/>
  <c r="L31" i="68"/>
  <c r="L20" i="68"/>
  <c r="L38" i="68"/>
  <c r="L13" i="68"/>
  <c r="L25" i="68"/>
  <c r="L17" i="68"/>
  <c r="L14" i="68"/>
  <c r="L56" i="68"/>
  <c r="L62" i="68"/>
  <c r="L34" i="68"/>
  <c r="L9" i="68"/>
  <c r="L53" i="68"/>
  <c r="L40" i="68"/>
  <c r="L32" i="68"/>
  <c r="L63" i="68"/>
  <c r="L46" i="68"/>
  <c r="L58" i="68"/>
  <c r="L21" i="68"/>
  <c r="M151" i="73"/>
  <c r="M160" i="73"/>
  <c r="M95" i="73"/>
  <c r="M38" i="73"/>
  <c r="M56" i="73"/>
  <c r="M47" i="73"/>
  <c r="M196" i="73"/>
  <c r="M253" i="73"/>
  <c r="E35" i="2"/>
  <c r="E32" i="2"/>
  <c r="E33" i="2"/>
  <c r="E34" i="2"/>
  <c r="E31" i="2"/>
  <c r="G151" i="73" l="1"/>
  <c r="G66" i="73"/>
  <c r="G10" i="73"/>
  <c r="E205" i="73"/>
  <c r="G196" i="73"/>
  <c r="G76" i="73"/>
  <c r="G38" i="73"/>
  <c r="G28" i="73"/>
  <c r="G178" i="73"/>
  <c r="G56" i="73"/>
  <c r="G124" i="73"/>
  <c r="G263" i="73"/>
  <c r="G19" i="73"/>
  <c r="G160" i="73"/>
  <c r="E3" i="2"/>
  <c r="D19" i="5" l="1"/>
  <c r="D20" i="5"/>
  <c r="D21" i="5"/>
  <c r="D22" i="5"/>
  <c r="D12" i="5" l="1"/>
  <c r="D11" i="5"/>
  <c r="E31" i="5" l="1"/>
  <c r="G36" i="2"/>
  <c r="G30" i="2"/>
  <c r="D10" i="5" l="1"/>
  <c r="D18" i="5" l="1"/>
  <c r="D17" i="5" l="1"/>
  <c r="D16" i="5"/>
  <c r="D30" i="5" l="1"/>
  <c r="D29" i="5"/>
  <c r="D28" i="5"/>
  <c r="D27" i="5"/>
  <c r="D26" i="5"/>
  <c r="D25" i="5"/>
  <c r="D24" i="5"/>
  <c r="D23" i="5"/>
  <c r="D15" i="5"/>
  <c r="D14" i="5"/>
  <c r="D13" i="5"/>
  <c r="D9" i="5"/>
  <c r="D8" i="5"/>
  <c r="D7" i="5"/>
  <c r="D6" i="5"/>
  <c r="D5" i="5"/>
  <c r="D4" i="5"/>
  <c r="D3" i="5"/>
  <c r="R1" i="55" l="1"/>
  <c r="H3" i="55"/>
  <c r="Q3" i="55" s="1"/>
  <c r="R3" i="55" s="1"/>
  <c r="S1" i="55"/>
  <c r="S3" i="55"/>
  <c r="T1" i="15"/>
  <c r="U1" i="15" s="1"/>
  <c r="T3" i="15"/>
  <c r="U3" i="15" s="1"/>
  <c r="V1" i="15"/>
  <c r="V3" i="15"/>
  <c r="H1" i="10"/>
  <c r="I1" i="10" s="1"/>
  <c r="H3" i="10"/>
  <c r="I3" i="10" s="1"/>
  <c r="J1" i="10"/>
  <c r="J3" i="10"/>
  <c r="I2" i="9"/>
  <c r="L2" i="9" s="1"/>
  <c r="M2" i="9"/>
  <c r="I1" i="52"/>
  <c r="L1" i="52" s="1"/>
  <c r="I3" i="52"/>
  <c r="L3" i="52" s="1"/>
  <c r="M1" i="52"/>
  <c r="M3" i="52"/>
  <c r="F32" i="2"/>
  <c r="F33" i="2"/>
  <c r="F34" i="2"/>
  <c r="F35" i="2"/>
  <c r="F31" i="2"/>
  <c r="H1" i="55"/>
  <c r="N168" i="73" l="1"/>
  <c r="N170" i="73" s="1"/>
  <c r="N27" i="73"/>
  <c r="N29" i="73" s="1"/>
  <c r="N205" i="73"/>
  <c r="N207" i="73" s="1"/>
  <c r="N224" i="73"/>
  <c r="N226" i="73" s="1"/>
  <c r="N214" i="73"/>
  <c r="N216" i="73" s="1"/>
  <c r="N9" i="73"/>
  <c r="N18" i="73"/>
  <c r="N20" i="73" s="1"/>
  <c r="N37" i="73"/>
  <c r="N39" i="73" s="1"/>
  <c r="N123" i="73"/>
  <c r="N125" i="73" s="1"/>
  <c r="N195" i="73"/>
  <c r="N197" i="73" s="1"/>
  <c r="N132" i="73"/>
  <c r="N134" i="73" s="1"/>
  <c r="N262" i="73"/>
  <c r="N264" i="73" s="1"/>
  <c r="N252" i="73"/>
  <c r="N254" i="73" s="1"/>
  <c r="N85" i="73"/>
  <c r="N87" i="73" s="1"/>
  <c r="N159" i="73"/>
  <c r="N161" i="73" s="1"/>
  <c r="N177" i="73"/>
  <c r="N179" i="73" s="1"/>
  <c r="N186" i="73"/>
  <c r="N188" i="73" s="1"/>
  <c r="N75" i="73"/>
  <c r="N77" i="73" s="1"/>
  <c r="N114" i="73"/>
  <c r="N116" i="73" s="1"/>
  <c r="N104" i="73"/>
  <c r="N106" i="73" s="1"/>
  <c r="N150" i="73"/>
  <c r="N152" i="73" s="1"/>
  <c r="N65" i="73"/>
  <c r="N67" i="73" s="1"/>
  <c r="N233" i="73"/>
  <c r="N235" i="73" s="1"/>
  <c r="N242" i="73"/>
  <c r="N244" i="73" s="1"/>
  <c r="N46" i="73"/>
  <c r="N48" i="73" s="1"/>
  <c r="N141" i="73"/>
  <c r="N143" i="73" s="1"/>
  <c r="N55" i="73"/>
  <c r="N57" i="73" s="1"/>
  <c r="N94" i="73"/>
  <c r="N96" i="73" s="1"/>
  <c r="N259" i="73"/>
  <c r="N174" i="73"/>
  <c r="N175" i="73" s="1"/>
  <c r="N230" i="73"/>
  <c r="N231" i="73" s="1"/>
  <c r="N234" i="73" s="1"/>
  <c r="N91" i="73"/>
  <c r="N92" i="73" s="1"/>
  <c r="N138" i="73"/>
  <c r="N139" i="73" s="1"/>
  <c r="N211" i="73"/>
  <c r="N212" i="73" s="1"/>
  <c r="N82" i="73"/>
  <c r="N83" i="73" s="1"/>
  <c r="N129" i="73"/>
  <c r="N130" i="73" s="1"/>
  <c r="N156" i="73"/>
  <c r="N157" i="73" s="1"/>
  <c r="N24" i="73"/>
  <c r="N25" i="73" s="1"/>
  <c r="N165" i="73"/>
  <c r="N166" i="73" s="1"/>
  <c r="N221" i="73"/>
  <c r="N222" i="73" s="1"/>
  <c r="N225" i="73" s="1"/>
  <c r="N120" i="73"/>
  <c r="N121" i="73" s="1"/>
  <c r="N147" i="73"/>
  <c r="N148" i="73" s="1"/>
  <c r="N15" i="73"/>
  <c r="N16" i="73" s="1"/>
  <c r="N192" i="73"/>
  <c r="N193" i="73" s="1"/>
  <c r="N62" i="73"/>
  <c r="N63" i="73" s="1"/>
  <c r="N249" i="73"/>
  <c r="N250" i="73" s="1"/>
  <c r="N202" i="73"/>
  <c r="N203" i="73" s="1"/>
  <c r="N72" i="73"/>
  <c r="N73" i="73" s="1"/>
  <c r="N6" i="73"/>
  <c r="N183" i="73"/>
  <c r="N184" i="73" s="1"/>
  <c r="N239" i="73"/>
  <c r="N240" i="73" s="1"/>
  <c r="N243" i="73" s="1"/>
  <c r="N101" i="73"/>
  <c r="N102" i="73" s="1"/>
  <c r="N111" i="73"/>
  <c r="N112" i="73" s="1"/>
  <c r="N43" i="73"/>
  <c r="N44" i="73" s="1"/>
  <c r="N34" i="73"/>
  <c r="N35" i="73" s="1"/>
  <c r="N52" i="73"/>
  <c r="N53" i="73" s="1"/>
  <c r="J186" i="73"/>
  <c r="J188" i="73" s="1"/>
  <c r="J224" i="73"/>
  <c r="J226" i="73" s="1"/>
  <c r="J177" i="73"/>
  <c r="J179" i="73" s="1"/>
  <c r="J150" i="73"/>
  <c r="J152" i="73" s="1"/>
  <c r="J132" i="73"/>
  <c r="J134" i="73" s="1"/>
  <c r="J104" i="73"/>
  <c r="J106" i="73" s="1"/>
  <c r="J18" i="73"/>
  <c r="J20" i="73" s="1"/>
  <c r="J252" i="73"/>
  <c r="J254" i="73" s="1"/>
  <c r="J75" i="73"/>
  <c r="J77" i="73" s="1"/>
  <c r="J242" i="73"/>
  <c r="J244" i="73" s="1"/>
  <c r="J195" i="73"/>
  <c r="J197" i="73" s="1"/>
  <c r="J9" i="73"/>
  <c r="J46" i="73"/>
  <c r="J48" i="73" s="1"/>
  <c r="J262" i="73"/>
  <c r="J264" i="73" s="1"/>
  <c r="J114" i="73"/>
  <c r="J116" i="73" s="1"/>
  <c r="J159" i="73"/>
  <c r="J161" i="73" s="1"/>
  <c r="J168" i="73"/>
  <c r="J170" i="73" s="1"/>
  <c r="J214" i="73"/>
  <c r="J216" i="73" s="1"/>
  <c r="J141" i="73"/>
  <c r="J143" i="73" s="1"/>
  <c r="J85" i="73"/>
  <c r="J87" i="73" s="1"/>
  <c r="J123" i="73"/>
  <c r="J125" i="73" s="1"/>
  <c r="J65" i="73"/>
  <c r="J67" i="73" s="1"/>
  <c r="J37" i="73"/>
  <c r="J39" i="73" s="1"/>
  <c r="J205" i="73"/>
  <c r="J207" i="73" s="1"/>
  <c r="J27" i="73"/>
  <c r="J29" i="73" s="1"/>
  <c r="J55" i="73"/>
  <c r="J57" i="73" s="1"/>
  <c r="J94" i="73"/>
  <c r="J96" i="73" s="1"/>
  <c r="J233" i="73"/>
  <c r="J235" i="73" s="1"/>
  <c r="K195" i="73"/>
  <c r="K197" i="73" s="1"/>
  <c r="K9" i="73"/>
  <c r="K168" i="73"/>
  <c r="K170" i="73" s="1"/>
  <c r="K214" i="73"/>
  <c r="K216" i="73" s="1"/>
  <c r="K123" i="73"/>
  <c r="K125" i="73" s="1"/>
  <c r="K55" i="73"/>
  <c r="K57" i="73" s="1"/>
  <c r="K94" i="73"/>
  <c r="K96" i="73" s="1"/>
  <c r="K132" i="73"/>
  <c r="K134" i="73" s="1"/>
  <c r="K150" i="73"/>
  <c r="K152" i="73" s="1"/>
  <c r="K233" i="73"/>
  <c r="K235" i="73" s="1"/>
  <c r="K262" i="73"/>
  <c r="K264" i="73" s="1"/>
  <c r="K46" i="73"/>
  <c r="K48" i="73" s="1"/>
  <c r="K104" i="73"/>
  <c r="K106" i="73" s="1"/>
  <c r="K114" i="73"/>
  <c r="K116" i="73" s="1"/>
  <c r="K186" i="73"/>
  <c r="K188" i="73" s="1"/>
  <c r="K27" i="73"/>
  <c r="K29" i="73" s="1"/>
  <c r="K159" i="73"/>
  <c r="K161" i="73" s="1"/>
  <c r="K177" i="73"/>
  <c r="K179" i="73" s="1"/>
  <c r="K75" i="73"/>
  <c r="K77" i="73" s="1"/>
  <c r="K252" i="73"/>
  <c r="K254" i="73" s="1"/>
  <c r="K224" i="73"/>
  <c r="K226" i="73" s="1"/>
  <c r="K85" i="73"/>
  <c r="K87" i="73" s="1"/>
  <c r="K141" i="73"/>
  <c r="K143" i="73" s="1"/>
  <c r="K205" i="73"/>
  <c r="K207" i="73" s="1"/>
  <c r="K37" i="73"/>
  <c r="K39" i="73" s="1"/>
  <c r="K65" i="73"/>
  <c r="K67" i="73" s="1"/>
  <c r="K18" i="73"/>
  <c r="K20" i="73" s="1"/>
  <c r="K242" i="73"/>
  <c r="K244" i="73" s="1"/>
  <c r="L150" i="73"/>
  <c r="L152" i="73" s="1"/>
  <c r="L75" i="73"/>
  <c r="L77" i="73" s="1"/>
  <c r="L104" i="73"/>
  <c r="L106" i="73" s="1"/>
  <c r="L94" i="73"/>
  <c r="L96" i="73" s="1"/>
  <c r="L159" i="73"/>
  <c r="L161" i="73" s="1"/>
  <c r="L214" i="73"/>
  <c r="L216" i="73" s="1"/>
  <c r="L186" i="73"/>
  <c r="L188" i="73" s="1"/>
  <c r="L9" i="73"/>
  <c r="L46" i="73"/>
  <c r="L48" i="73" s="1"/>
  <c r="L242" i="73"/>
  <c r="L244" i="73" s="1"/>
  <c r="L37" i="73"/>
  <c r="L39" i="73" s="1"/>
  <c r="L168" i="73"/>
  <c r="L170" i="73" s="1"/>
  <c r="L123" i="73"/>
  <c r="L125" i="73" s="1"/>
  <c r="L85" i="73"/>
  <c r="L87" i="73" s="1"/>
  <c r="L195" i="73"/>
  <c r="L197" i="73" s="1"/>
  <c r="L141" i="73"/>
  <c r="L143" i="73" s="1"/>
  <c r="L132" i="73"/>
  <c r="L134" i="73" s="1"/>
  <c r="L114" i="73"/>
  <c r="L116" i="73" s="1"/>
  <c r="L27" i="73"/>
  <c r="L29" i="73" s="1"/>
  <c r="L224" i="73"/>
  <c r="L226" i="73" s="1"/>
  <c r="L55" i="73"/>
  <c r="L57" i="73" s="1"/>
  <c r="L233" i="73"/>
  <c r="L235" i="73" s="1"/>
  <c r="L205" i="73"/>
  <c r="L207" i="73" s="1"/>
  <c r="L252" i="73"/>
  <c r="L254" i="73" s="1"/>
  <c r="L65" i="73"/>
  <c r="L67" i="73" s="1"/>
  <c r="L262" i="73"/>
  <c r="L264" i="73" s="1"/>
  <c r="L177" i="73"/>
  <c r="L179" i="73" s="1"/>
  <c r="L18" i="73"/>
  <c r="L20" i="73" s="1"/>
  <c r="M214" i="73"/>
  <c r="M216" i="73" s="1"/>
  <c r="M233" i="73"/>
  <c r="M235" i="73" s="1"/>
  <c r="M114" i="73"/>
  <c r="M116" i="73" s="1"/>
  <c r="M123" i="73"/>
  <c r="M125" i="73" s="1"/>
  <c r="M37" i="73"/>
  <c r="M39" i="73" s="1"/>
  <c r="M46" i="73"/>
  <c r="M48" i="73" s="1"/>
  <c r="M252" i="73"/>
  <c r="M254" i="73" s="1"/>
  <c r="M242" i="73"/>
  <c r="M244" i="73" s="1"/>
  <c r="M27" i="73"/>
  <c r="M29" i="73" s="1"/>
  <c r="M186" i="73"/>
  <c r="M188" i="73" s="1"/>
  <c r="M205" i="73"/>
  <c r="M207" i="73" s="1"/>
  <c r="M85" i="73"/>
  <c r="M87" i="73" s="1"/>
  <c r="M168" i="73"/>
  <c r="M170" i="73" s="1"/>
  <c r="M159" i="73"/>
  <c r="M161" i="73" s="1"/>
  <c r="M94" i="73"/>
  <c r="M96" i="73" s="1"/>
  <c r="M55" i="73"/>
  <c r="M57" i="73" s="1"/>
  <c r="M195" i="73"/>
  <c r="M197" i="73" s="1"/>
  <c r="M150" i="73"/>
  <c r="M152" i="73" s="1"/>
  <c r="M132" i="73"/>
  <c r="M134" i="73" s="1"/>
  <c r="M9" i="73"/>
  <c r="M262" i="73"/>
  <c r="M264" i="73" s="1"/>
  <c r="M141" i="73"/>
  <c r="M143" i="73" s="1"/>
  <c r="M224" i="73"/>
  <c r="M226" i="73" s="1"/>
  <c r="M177" i="73"/>
  <c r="M179" i="73" s="1"/>
  <c r="M18" i="73"/>
  <c r="M20" i="73" s="1"/>
  <c r="M75" i="73"/>
  <c r="M77" i="73" s="1"/>
  <c r="M104" i="73"/>
  <c r="M106" i="73" s="1"/>
  <c r="M65" i="73"/>
  <c r="M67" i="73" s="1"/>
  <c r="J6" i="73"/>
  <c r="J72" i="73"/>
  <c r="J73" i="73" s="1"/>
  <c r="J174" i="73"/>
  <c r="J175" i="73" s="1"/>
  <c r="J15" i="73"/>
  <c r="J16" i="73" s="1"/>
  <c r="J120" i="73"/>
  <c r="J121" i="73" s="1"/>
  <c r="J221" i="73"/>
  <c r="J222" i="73" s="1"/>
  <c r="J225" i="73" s="1"/>
  <c r="J138" i="73"/>
  <c r="J139" i="73" s="1"/>
  <c r="J239" i="73"/>
  <c r="J240" i="73" s="1"/>
  <c r="J243" i="73" s="1"/>
  <c r="J156" i="73"/>
  <c r="J157" i="73" s="1"/>
  <c r="J24" i="73"/>
  <c r="J25" i="73" s="1"/>
  <c r="J249" i="73"/>
  <c r="J250" i="73" s="1"/>
  <c r="J192" i="73"/>
  <c r="J193" i="73" s="1"/>
  <c r="J82" i="73"/>
  <c r="J83" i="73" s="1"/>
  <c r="J91" i="73"/>
  <c r="J92" i="73" s="1"/>
  <c r="J183" i="73"/>
  <c r="J184" i="73" s="1"/>
  <c r="J259" i="73"/>
  <c r="J111" i="73"/>
  <c r="J112" i="73" s="1"/>
  <c r="J202" i="73"/>
  <c r="J203" i="73" s="1"/>
  <c r="J230" i="73"/>
  <c r="J231" i="73" s="1"/>
  <c r="J234" i="73" s="1"/>
  <c r="J147" i="73"/>
  <c r="J148" i="73" s="1"/>
  <c r="J129" i="73"/>
  <c r="J130" i="73" s="1"/>
  <c r="J211" i="73"/>
  <c r="J212" i="73" s="1"/>
  <c r="J101" i="73"/>
  <c r="J102" i="73" s="1"/>
  <c r="J62" i="73"/>
  <c r="J63" i="73" s="1"/>
  <c r="J165" i="73"/>
  <c r="J166" i="73" s="1"/>
  <c r="K259" i="73"/>
  <c r="K120" i="73"/>
  <c r="K121" i="73" s="1"/>
  <c r="K147" i="73"/>
  <c r="K148" i="73" s="1"/>
  <c r="K15" i="73"/>
  <c r="K16" i="73" s="1"/>
  <c r="K230" i="73"/>
  <c r="K231" i="73" s="1"/>
  <c r="K234" i="73" s="1"/>
  <c r="K192" i="73"/>
  <c r="K193" i="73" s="1"/>
  <c r="K62" i="73"/>
  <c r="K63" i="73" s="1"/>
  <c r="K72" i="73"/>
  <c r="K73" i="73" s="1"/>
  <c r="K6" i="73"/>
  <c r="K221" i="73"/>
  <c r="K222" i="73" s="1"/>
  <c r="K225" i="73" s="1"/>
  <c r="K183" i="73"/>
  <c r="K184" i="73" s="1"/>
  <c r="K101" i="73"/>
  <c r="K102" i="73" s="1"/>
  <c r="K249" i="73"/>
  <c r="K250" i="73" s="1"/>
  <c r="K174" i="73"/>
  <c r="K175" i="73" s="1"/>
  <c r="K91" i="73"/>
  <c r="K92" i="73" s="1"/>
  <c r="K138" i="73"/>
  <c r="K139" i="73" s="1"/>
  <c r="K165" i="73"/>
  <c r="K166" i="73" s="1"/>
  <c r="K111" i="73"/>
  <c r="K112" i="73" s="1"/>
  <c r="K239" i="73"/>
  <c r="K240" i="73" s="1"/>
  <c r="K243" i="73" s="1"/>
  <c r="K211" i="73"/>
  <c r="K212" i="73" s="1"/>
  <c r="K82" i="73"/>
  <c r="K83" i="73" s="1"/>
  <c r="K129" i="73"/>
  <c r="K130" i="73" s="1"/>
  <c r="K156" i="73"/>
  <c r="K157" i="73" s="1"/>
  <c r="K24" i="73"/>
  <c r="K25" i="73" s="1"/>
  <c r="K202" i="73"/>
  <c r="K203" i="73" s="1"/>
  <c r="L156" i="73"/>
  <c r="L157" i="73" s="1"/>
  <c r="L202" i="73"/>
  <c r="L203" i="73" s="1"/>
  <c r="L82" i="73"/>
  <c r="L83" i="73" s="1"/>
  <c r="L129" i="73"/>
  <c r="L130" i="73" s="1"/>
  <c r="L62" i="73"/>
  <c r="L63" i="73" s="1"/>
  <c r="L101" i="73"/>
  <c r="L102" i="73" s="1"/>
  <c r="L192" i="73"/>
  <c r="L193" i="73" s="1"/>
  <c r="L72" i="73"/>
  <c r="L73" i="73" s="1"/>
  <c r="L120" i="73"/>
  <c r="L121" i="73" s="1"/>
  <c r="L15" i="73"/>
  <c r="L16" i="73" s="1"/>
  <c r="L239" i="73"/>
  <c r="L240" i="73" s="1"/>
  <c r="L243" i="73" s="1"/>
  <c r="L249" i="73"/>
  <c r="L250" i="73" s="1"/>
  <c r="L259" i="73"/>
  <c r="L111" i="73"/>
  <c r="L112" i="73" s="1"/>
  <c r="L6" i="73"/>
  <c r="L230" i="73"/>
  <c r="L231" i="73" s="1"/>
  <c r="L234" i="73" s="1"/>
  <c r="L174" i="73"/>
  <c r="L175" i="73" s="1"/>
  <c r="L147" i="73"/>
  <c r="L148" i="73" s="1"/>
  <c r="L221" i="73"/>
  <c r="L222" i="73" s="1"/>
  <c r="L225" i="73" s="1"/>
  <c r="L165" i="73"/>
  <c r="L166" i="73" s="1"/>
  <c r="L211" i="73"/>
  <c r="L212" i="73" s="1"/>
  <c r="L91" i="73"/>
  <c r="L92" i="73" s="1"/>
  <c r="L24" i="73"/>
  <c r="L25" i="73" s="1"/>
  <c r="L183" i="73"/>
  <c r="L184" i="73" s="1"/>
  <c r="L138" i="73"/>
  <c r="L139" i="73" s="1"/>
  <c r="M259" i="73"/>
  <c r="M147" i="73"/>
  <c r="M148" i="73" s="1"/>
  <c r="M24" i="73"/>
  <c r="M25" i="73" s="1"/>
  <c r="M221" i="73"/>
  <c r="M222" i="73" s="1"/>
  <c r="M225" i="73" s="1"/>
  <c r="M192" i="73"/>
  <c r="M193" i="73" s="1"/>
  <c r="M72" i="73"/>
  <c r="M73" i="73" s="1"/>
  <c r="M120" i="73"/>
  <c r="M121" i="73" s="1"/>
  <c r="M15" i="73"/>
  <c r="M16" i="73" s="1"/>
  <c r="M91" i="73"/>
  <c r="M92" i="73" s="1"/>
  <c r="M101" i="73"/>
  <c r="M102" i="73" s="1"/>
  <c r="M165" i="73"/>
  <c r="M166" i="73" s="1"/>
  <c r="M239" i="73"/>
  <c r="M240" i="73" s="1"/>
  <c r="M243" i="73" s="1"/>
  <c r="M249" i="73"/>
  <c r="M250" i="73" s="1"/>
  <c r="M138" i="73"/>
  <c r="M139" i="73" s="1"/>
  <c r="M156" i="73"/>
  <c r="M157" i="73" s="1"/>
  <c r="M230" i="73"/>
  <c r="M231" i="73" s="1"/>
  <c r="M234" i="73" s="1"/>
  <c r="M202" i="73"/>
  <c r="M203" i="73" s="1"/>
  <c r="M82" i="73"/>
  <c r="M83" i="73" s="1"/>
  <c r="M174" i="73"/>
  <c r="M175" i="73" s="1"/>
  <c r="M211" i="73"/>
  <c r="M212" i="73" s="1"/>
  <c r="M183" i="73"/>
  <c r="M184" i="73" s="1"/>
  <c r="M62" i="73"/>
  <c r="M63" i="73" s="1"/>
  <c r="M111" i="73"/>
  <c r="M112" i="73" s="1"/>
  <c r="M6" i="73"/>
  <c r="M129" i="73"/>
  <c r="M130" i="73" s="1"/>
  <c r="J52" i="73"/>
  <c r="J53" i="73" s="1"/>
  <c r="J43" i="73"/>
  <c r="J44" i="73" s="1"/>
  <c r="J34" i="73"/>
  <c r="J35" i="73" s="1"/>
  <c r="K52" i="73"/>
  <c r="K53" i="73" s="1"/>
  <c r="K43" i="73"/>
  <c r="K44" i="73" s="1"/>
  <c r="K34" i="73"/>
  <c r="K35" i="73" s="1"/>
  <c r="L34" i="73"/>
  <c r="L35" i="73" s="1"/>
  <c r="L52" i="73"/>
  <c r="L53" i="73" s="1"/>
  <c r="L43" i="73"/>
  <c r="L44" i="73" s="1"/>
  <c r="M52" i="73"/>
  <c r="M53" i="73" s="1"/>
  <c r="M43" i="73"/>
  <c r="M44" i="73" s="1"/>
  <c r="M34" i="73"/>
  <c r="M35" i="73" s="1"/>
  <c r="H123" i="73"/>
  <c r="H18" i="73"/>
  <c r="H20" i="73" s="1"/>
  <c r="H114" i="73"/>
  <c r="H27" i="73"/>
  <c r="H29" i="73" s="1"/>
  <c r="H186" i="73"/>
  <c r="H37" i="73"/>
  <c r="H39" i="73" s="1"/>
  <c r="H55" i="73"/>
  <c r="H57" i="73" s="1"/>
  <c r="H233" i="73"/>
  <c r="H235" i="73" s="1"/>
  <c r="H46" i="73"/>
  <c r="H48" i="73" s="1"/>
  <c r="H168" i="73"/>
  <c r="H214" i="73"/>
  <c r="H216" i="73" s="1"/>
  <c r="H85" i="73"/>
  <c r="H87" i="73" s="1"/>
  <c r="H195" i="73"/>
  <c r="H262" i="73"/>
  <c r="H264" i="73" s="1"/>
  <c r="H150" i="73"/>
  <c r="H132" i="73"/>
  <c r="H104" i="73"/>
  <c r="H106" i="73" s="1"/>
  <c r="H141" i="73"/>
  <c r="H75" i="73"/>
  <c r="H77" i="73" s="1"/>
  <c r="H177" i="73"/>
  <c r="H205" i="73"/>
  <c r="H207" i="73" s="1"/>
  <c r="H242" i="73"/>
  <c r="H244" i="73" s="1"/>
  <c r="H224" i="73"/>
  <c r="H226" i="73" s="1"/>
  <c r="H159" i="73"/>
  <c r="H65" i="73"/>
  <c r="H67" i="73" s="1"/>
  <c r="H252" i="73"/>
  <c r="H254" i="73" s="1"/>
  <c r="H9" i="73"/>
  <c r="H94" i="73"/>
  <c r="H96" i="73" s="1"/>
  <c r="I132" i="73"/>
  <c r="I134" i="73" s="1"/>
  <c r="I104" i="73"/>
  <c r="I106" i="73" s="1"/>
  <c r="I224" i="73"/>
  <c r="I226" i="73" s="1"/>
  <c r="I9" i="73"/>
  <c r="I195" i="73"/>
  <c r="I197" i="73" s="1"/>
  <c r="I168" i="73"/>
  <c r="I170" i="73" s="1"/>
  <c r="I186" i="73"/>
  <c r="I188" i="73" s="1"/>
  <c r="I233" i="73"/>
  <c r="I235" i="73" s="1"/>
  <c r="I55" i="73"/>
  <c r="I57" i="73" s="1"/>
  <c r="I27" i="73"/>
  <c r="I29" i="73" s="1"/>
  <c r="I205" i="73"/>
  <c r="I207" i="73" s="1"/>
  <c r="I150" i="73"/>
  <c r="I152" i="73" s="1"/>
  <c r="I94" i="73"/>
  <c r="I96" i="73" s="1"/>
  <c r="I65" i="73"/>
  <c r="I67" i="73" s="1"/>
  <c r="I242" i="73"/>
  <c r="I244" i="73" s="1"/>
  <c r="I123" i="73"/>
  <c r="I125" i="73" s="1"/>
  <c r="I18" i="73"/>
  <c r="I20" i="73" s="1"/>
  <c r="I159" i="73"/>
  <c r="I161" i="73" s="1"/>
  <c r="I85" i="73"/>
  <c r="I87" i="73" s="1"/>
  <c r="I46" i="73"/>
  <c r="I48" i="73" s="1"/>
  <c r="I214" i="73"/>
  <c r="I216" i="73" s="1"/>
  <c r="I141" i="73"/>
  <c r="I143" i="73" s="1"/>
  <c r="I114" i="73"/>
  <c r="I116" i="73" s="1"/>
  <c r="I37" i="73"/>
  <c r="I39" i="73" s="1"/>
  <c r="I177" i="73"/>
  <c r="I179" i="73" s="1"/>
  <c r="I262" i="73"/>
  <c r="I264" i="73" s="1"/>
  <c r="I252" i="73"/>
  <c r="I254" i="73" s="1"/>
  <c r="I75" i="73"/>
  <c r="I77" i="73" s="1"/>
  <c r="H129" i="73"/>
  <c r="H130" i="73" s="1"/>
  <c r="H133" i="73" s="1"/>
  <c r="G133" i="73" s="1"/>
  <c r="H183" i="73"/>
  <c r="H184" i="73" s="1"/>
  <c r="H187" i="73" s="1"/>
  <c r="G187" i="73" s="1"/>
  <c r="H259" i="73"/>
  <c r="H211" i="73"/>
  <c r="H212" i="73" s="1"/>
  <c r="H156" i="73"/>
  <c r="H157" i="73" s="1"/>
  <c r="H120" i="73"/>
  <c r="H121" i="73" s="1"/>
  <c r="H72" i="73"/>
  <c r="H73" i="73" s="1"/>
  <c r="H202" i="73"/>
  <c r="H203" i="73" s="1"/>
  <c r="H192" i="73"/>
  <c r="H193" i="73" s="1"/>
  <c r="H147" i="73"/>
  <c r="H148" i="73" s="1"/>
  <c r="H62" i="73"/>
  <c r="H221" i="73"/>
  <c r="H222" i="73" s="1"/>
  <c r="H230" i="73"/>
  <c r="H231" i="73" s="1"/>
  <c r="H234" i="73" s="1"/>
  <c r="H24" i="73"/>
  <c r="H25" i="73" s="1"/>
  <c r="H249" i="73"/>
  <c r="H250" i="73" s="1"/>
  <c r="H253" i="73" s="1"/>
  <c r="G253" i="73" s="1"/>
  <c r="H111" i="73"/>
  <c r="H112" i="73" s="1"/>
  <c r="H115" i="73" s="1"/>
  <c r="G115" i="73" s="1"/>
  <c r="H15" i="73"/>
  <c r="H16" i="73" s="1"/>
  <c r="H165" i="73"/>
  <c r="H166" i="73" s="1"/>
  <c r="H169" i="73" s="1"/>
  <c r="G169" i="73" s="1"/>
  <c r="H6" i="73"/>
  <c r="H101" i="73"/>
  <c r="H102" i="73" s="1"/>
  <c r="H105" i="73" s="1"/>
  <c r="H239" i="73"/>
  <c r="H240" i="73" s="1"/>
  <c r="H174" i="73"/>
  <c r="H175" i="73" s="1"/>
  <c r="H138" i="73"/>
  <c r="H139" i="73" s="1"/>
  <c r="H142" i="73" s="1"/>
  <c r="G142" i="73" s="1"/>
  <c r="H91" i="73"/>
  <c r="H92" i="73" s="1"/>
  <c r="H95" i="73" s="1"/>
  <c r="G95" i="73" s="1"/>
  <c r="H82" i="73"/>
  <c r="H83" i="73" s="1"/>
  <c r="H86" i="73" s="1"/>
  <c r="G86" i="73" s="1"/>
  <c r="I24" i="73"/>
  <c r="I25" i="73" s="1"/>
  <c r="I174" i="73"/>
  <c r="I175" i="73" s="1"/>
  <c r="I72" i="73"/>
  <c r="I73" i="73" s="1"/>
  <c r="I221" i="73"/>
  <c r="I222" i="73" s="1"/>
  <c r="I225" i="73" s="1"/>
  <c r="I82" i="73"/>
  <c r="I83" i="73" s="1"/>
  <c r="I230" i="73"/>
  <c r="I231" i="73" s="1"/>
  <c r="I234" i="73" s="1"/>
  <c r="I259" i="73"/>
  <c r="I62" i="73"/>
  <c r="I63" i="73" s="1"/>
  <c r="I211" i="73"/>
  <c r="I212" i="73" s="1"/>
  <c r="I129" i="73"/>
  <c r="I130" i="73" s="1"/>
  <c r="I111" i="73"/>
  <c r="I112" i="73" s="1"/>
  <c r="I165" i="73"/>
  <c r="I166" i="73" s="1"/>
  <c r="I120" i="73"/>
  <c r="I121" i="73" s="1"/>
  <c r="I91" i="73"/>
  <c r="I92" i="73" s="1"/>
  <c r="I101" i="73"/>
  <c r="I102" i="73" s="1"/>
  <c r="I249" i="73"/>
  <c r="I250" i="73" s="1"/>
  <c r="I202" i="73"/>
  <c r="I203" i="73" s="1"/>
  <c r="I147" i="73"/>
  <c r="I148" i="73" s="1"/>
  <c r="I6" i="73"/>
  <c r="I156" i="73"/>
  <c r="I157" i="73" s="1"/>
  <c r="I239" i="73"/>
  <c r="I240" i="73" s="1"/>
  <c r="I243" i="73" s="1"/>
  <c r="I138" i="73"/>
  <c r="I139" i="73" s="1"/>
  <c r="I15" i="73"/>
  <c r="I16" i="73" s="1"/>
  <c r="I183" i="73"/>
  <c r="I184" i="73" s="1"/>
  <c r="I192" i="73"/>
  <c r="I193" i="73" s="1"/>
  <c r="H34" i="73"/>
  <c r="H35" i="73" s="1"/>
  <c r="H43" i="73"/>
  <c r="H44" i="73" s="1"/>
  <c r="H52" i="73"/>
  <c r="H53" i="73" s="1"/>
  <c r="I52" i="73"/>
  <c r="I53" i="73" s="1"/>
  <c r="I34" i="73"/>
  <c r="I35" i="73" s="1"/>
  <c r="I43" i="73"/>
  <c r="I44" i="73" s="1"/>
  <c r="E36" i="2"/>
  <c r="E30" i="2"/>
  <c r="H225" i="73" l="1"/>
  <c r="G225" i="73" s="1"/>
  <c r="G234" i="73"/>
  <c r="H243" i="73"/>
  <c r="G243" i="73" s="1"/>
  <c r="N272" i="73"/>
  <c r="N11" i="73"/>
  <c r="N7" i="73"/>
  <c r="N270" i="73" s="1"/>
  <c r="N269" i="73"/>
  <c r="N273" i="73" s="1"/>
  <c r="M272" i="73"/>
  <c r="M11" i="73"/>
  <c r="L272" i="73"/>
  <c r="L11" i="73"/>
  <c r="J272" i="73"/>
  <c r="J11" i="73"/>
  <c r="M269" i="73"/>
  <c r="M273" i="73" s="1"/>
  <c r="M7" i="73"/>
  <c r="M270" i="73" s="1"/>
  <c r="K7" i="73"/>
  <c r="K270" i="73" s="1"/>
  <c r="K269" i="73"/>
  <c r="K273" i="73" s="1"/>
  <c r="K272" i="73"/>
  <c r="K11" i="73"/>
  <c r="L269" i="73"/>
  <c r="L273" i="73" s="1"/>
  <c r="L7" i="73"/>
  <c r="L270" i="73" s="1"/>
  <c r="J269" i="73"/>
  <c r="J273" i="73" s="1"/>
  <c r="J7" i="73"/>
  <c r="J270" i="73" s="1"/>
  <c r="E65" i="73"/>
  <c r="G29" i="73"/>
  <c r="H206" i="73"/>
  <c r="G206" i="73" s="1"/>
  <c r="E252" i="73"/>
  <c r="H215" i="73"/>
  <c r="G215" i="73" s="1"/>
  <c r="E262" i="73"/>
  <c r="I272" i="73"/>
  <c r="I11" i="73"/>
  <c r="G96" i="73"/>
  <c r="E123" i="73"/>
  <c r="H161" i="73"/>
  <c r="G161" i="73" s="1"/>
  <c r="H179" i="73"/>
  <c r="G179" i="73" s="1"/>
  <c r="H134" i="73"/>
  <c r="G134" i="73" s="1"/>
  <c r="G87" i="73"/>
  <c r="E114" i="73"/>
  <c r="G235" i="73"/>
  <c r="H47" i="73"/>
  <c r="G47" i="73" s="1"/>
  <c r="E55" i="73"/>
  <c r="I269" i="73"/>
  <c r="I273" i="73" s="1"/>
  <c r="I7" i="73"/>
  <c r="I270" i="73" s="1"/>
  <c r="H7" i="73"/>
  <c r="H269" i="73"/>
  <c r="H273" i="73" s="1"/>
  <c r="H63" i="73"/>
  <c r="E75" i="73"/>
  <c r="H11" i="73"/>
  <c r="H272" i="73"/>
  <c r="G226" i="73"/>
  <c r="G77" i="73"/>
  <c r="E104" i="73"/>
  <c r="H152" i="73"/>
  <c r="G152" i="73" s="1"/>
  <c r="E177" i="73"/>
  <c r="G216" i="73"/>
  <c r="G57" i="73"/>
  <c r="H116" i="73"/>
  <c r="G116" i="73" s="1"/>
  <c r="E141" i="73"/>
  <c r="E27" i="73"/>
  <c r="G254" i="73"/>
  <c r="G244" i="73"/>
  <c r="H143" i="73"/>
  <c r="G143" i="73" s="1"/>
  <c r="G264" i="73"/>
  <c r="H170" i="73"/>
  <c r="G170" i="73" s="1"/>
  <c r="G39" i="73"/>
  <c r="G20" i="73"/>
  <c r="G105" i="73"/>
  <c r="E132" i="73"/>
  <c r="E37" i="73"/>
  <c r="E46" i="73"/>
  <c r="E18" i="73"/>
  <c r="G67" i="73"/>
  <c r="G207" i="73"/>
  <c r="G106" i="73"/>
  <c r="H197" i="73"/>
  <c r="G197" i="73" s="1"/>
  <c r="G48" i="73"/>
  <c r="H188" i="73"/>
  <c r="G188" i="73" s="1"/>
  <c r="H125" i="73"/>
  <c r="G125" i="73" s="1"/>
  <c r="D31" i="5"/>
  <c r="E7" i="1"/>
  <c r="E214" i="73" l="1"/>
  <c r="E233" i="73"/>
  <c r="E242" i="73"/>
  <c r="G11" i="73"/>
  <c r="E224" i="73"/>
  <c r="H270" i="73"/>
  <c r="E159" i="73"/>
  <c r="E195" i="73"/>
  <c r="E150" i="73"/>
  <c r="E168" i="73"/>
  <c r="E186" i="73"/>
  <c r="I32" i="1"/>
  <c r="G19" i="1"/>
  <c r="D17" i="2" s="1"/>
  <c r="G18" i="1"/>
  <c r="D16" i="2" s="1"/>
  <c r="D35" i="2"/>
  <c r="G13" i="1"/>
  <c r="D11" i="2" s="1"/>
  <c r="D33" i="2"/>
  <c r="G11" i="1"/>
  <c r="D9" i="2" s="1"/>
  <c r="D11" i="1" s="1"/>
  <c r="G20" i="1"/>
  <c r="D18" i="2" s="1"/>
  <c r="G7" i="1"/>
  <c r="G15" i="1"/>
  <c r="D13" i="2" s="1"/>
  <c r="G24" i="1"/>
  <c r="D22" i="2" s="1"/>
  <c r="D32" i="2"/>
  <c r="G12" i="1"/>
  <c r="D10" i="2" s="1"/>
  <c r="G21" i="1"/>
  <c r="D19" i="2" s="1"/>
  <c r="G31" i="1"/>
  <c r="D29" i="2" s="1"/>
  <c r="G5" i="1"/>
  <c r="G4" i="1"/>
  <c r="D3" i="2" s="1"/>
  <c r="D4" i="1" s="1"/>
  <c r="G25" i="1"/>
  <c r="D23" i="2" s="1"/>
  <c r="G27" i="1"/>
  <c r="D25" i="2" s="1"/>
  <c r="G14" i="1"/>
  <c r="D12" i="2" s="1"/>
  <c r="G30" i="1"/>
  <c r="D28" i="2" s="1"/>
  <c r="G23" i="1"/>
  <c r="D21" i="2" s="1"/>
  <c r="G6" i="1"/>
  <c r="G16" i="1"/>
  <c r="D14" i="2" s="1"/>
  <c r="G22" i="1"/>
  <c r="D20" i="2" s="1"/>
  <c r="G28" i="1"/>
  <c r="D26" i="2" s="1"/>
  <c r="G29" i="1"/>
  <c r="D27" i="2" s="1"/>
  <c r="F10" i="1"/>
  <c r="G17" i="1"/>
  <c r="D15" i="2" s="1"/>
  <c r="G8" i="1"/>
  <c r="D34" i="2"/>
  <c r="G26" i="1"/>
  <c r="D24" i="2" s="1"/>
  <c r="E23" i="1"/>
  <c r="E25" i="1"/>
  <c r="E29" i="1"/>
  <c r="E24" i="1"/>
  <c r="E22" i="1"/>
  <c r="E30" i="1"/>
  <c r="D4" i="2" l="1"/>
  <c r="D5" i="1" s="1"/>
  <c r="D6" i="2"/>
  <c r="D7" i="1" s="1"/>
  <c r="D5" i="2"/>
  <c r="D6" i="1" s="1"/>
  <c r="D7" i="2"/>
  <c r="D8" i="1" s="1"/>
  <c r="D12" i="1"/>
  <c r="D23" i="1"/>
  <c r="F23" i="1" s="1"/>
  <c r="D30" i="1"/>
  <c r="D25" i="1"/>
  <c r="D16" i="1"/>
  <c r="D17" i="1"/>
  <c r="D27" i="1"/>
  <c r="D31" i="1"/>
  <c r="D22" i="1"/>
  <c r="D29" i="1"/>
  <c r="D13" i="1"/>
  <c r="D26" i="1"/>
  <c r="D24" i="1"/>
  <c r="D18" i="1"/>
  <c r="D19" i="1"/>
  <c r="E26" i="1"/>
  <c r="E4" i="1"/>
  <c r="D21" i="1" l="1"/>
  <c r="D20" i="1"/>
  <c r="D15" i="1"/>
  <c r="D14" i="1"/>
  <c r="D28" i="1"/>
  <c r="F22" i="1"/>
  <c r="F29" i="1"/>
  <c r="F25" i="1"/>
  <c r="F17" i="1"/>
  <c r="F4" i="1"/>
  <c r="F24" i="1"/>
  <c r="F7" i="1"/>
  <c r="F30" i="1"/>
  <c r="F26" i="1"/>
  <c r="G32" i="1"/>
  <c r="D31" i="2"/>
  <c r="E14" i="1"/>
  <c r="E5" i="1"/>
  <c r="E28" i="1"/>
  <c r="E11" i="1"/>
  <c r="E20" i="1"/>
  <c r="E15" i="1"/>
  <c r="E19" i="1"/>
  <c r="F19" i="1" l="1"/>
  <c r="E6" i="1"/>
  <c r="E18" i="1"/>
  <c r="E21" i="1"/>
  <c r="F11" i="1" l="1"/>
  <c r="F12" i="1"/>
  <c r="F14" i="1"/>
  <c r="F20" i="1"/>
  <c r="E8" i="1"/>
  <c r="F5" i="1" l="1"/>
  <c r="F8" i="1"/>
  <c r="F21" i="1"/>
  <c r="F6" i="1"/>
  <c r="F16" i="1"/>
  <c r="F18" i="1"/>
  <c r="F13" i="1"/>
  <c r="F15" i="1"/>
  <c r="F28" i="1"/>
  <c r="D30" i="2"/>
  <c r="D36" i="2"/>
  <c r="E27" i="1"/>
  <c r="E31" i="1"/>
  <c r="F27" i="1" l="1"/>
  <c r="E32" i="1"/>
  <c r="F31" i="1"/>
  <c r="D32" i="1"/>
  <c r="F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</authors>
  <commentList>
    <comment ref="D5" authorId="0" shapeId="0" xr:uid="{86600170-13C6-4F5E-A7AF-1573E031676D}">
      <text>
        <r>
          <rPr>
            <b/>
            <sz val="9"/>
            <color indexed="81"/>
            <rFont val="Tahoma"/>
            <family val="2"/>
          </rPr>
          <t>M:
1 additional cash-trading day 27/04/2021:</t>
        </r>
        <r>
          <rPr>
            <sz val="9"/>
            <color indexed="81"/>
            <rFont val="Tahoma"/>
            <family val="2"/>
          </rPr>
          <t xml:space="preserve">
2118: $19.25
2119: $20
2231: $50.90
</t>
        </r>
      </text>
    </comment>
    <comment ref="Q25" authorId="0" shapeId="0" xr:uid="{21591CDE-2FD0-4B52-8236-864385EE993C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Hi Matthew
Emilia had some problems last night with the till rec.
I don’t know exactly what has happened but somehow the cash has been excluded from the reconciliation.
Tot sales for the day should show as $855.70 (tax incl)
Card sales = $732.76 (as declared below)
Cash sales = $122.95 (missing from the below)
Can you see anything on your end to explain why the cash isn’t showing either as declared or as a variance?  She said that she attached a 2nd drawer at some stage, but only one is showing. 
The only thing I can think of is whether she somehow attached the same drawer twice and only one of them is coming up below. (I am grasping at straws here).
</t>
        </r>
      </text>
    </comment>
    <comment ref="N31" authorId="0" shapeId="0" xr:uid="{E81D68C5-FDB3-4C00-A20B-129AD71E7A4D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1862.85 AS PER JO eod spreadsheet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  <author>tc={153D2BA2-C427-4021-BB35-B76DE36D3968}</author>
  </authors>
  <commentList>
    <comment ref="I9" authorId="0" shapeId="0" xr:uid="{BE284D53-CB5B-4B5C-A918-75FBFCD1F0C5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123</t>
        </r>
      </text>
    </comment>
    <comment ref="L19" authorId="1" shapeId="0" xr:uid="{153D2BA2-C427-4021-BB35-B76DE36D3968}">
      <text>
        <t>[Threaded comment]
Your version of Excel allows you to read this threaded comment; however, any edits to it will get removed if the file is opened in a newer version of Excel. Learn more: https://go.microsoft.com/fwlink/?linkid=870924
Comment:
    456</t>
      </text>
    </comment>
    <comment ref="O29" authorId="0" shapeId="0" xr:uid="{5B0DFC25-2E5F-4BC2-870F-624B74EFD81F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789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8FDCBB-0955-4B49-8537-FD8CE05E5173}" name="Connection" type="1" refreshedVersion="6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insert_user  WHERE ABS(vdrawerrecline.reconciliation_discrep)&gt;=5 AND vdrawerrecline.tendertype_id='1000' AND CAST(virtualdrawer.reconciled_date_time as date) BETWEEN '20210502' AND '20210504' ORDER BY CONVERT(date, virtualdrawer.reconciled_date_time, 103),store_code ; "/>
  </connection>
  <connection id="2" xr16:uid="{F11CC51B-AA9C-4B90-BF3B-4D99953F22A7}" name="Connection1" type="1" refreshedVersion="7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update_user  WHERE ABS(vdrawerrecline.reconciliation_discrep)&gt;=5 AND vdrawerrecline.tendertype_id='1000' AND CAST(virtualdrawer.reconciled_date_time as date) BETWEEN '20210505' AND '20210505' ORDER BY CONVERT(date, virtualdrawer.reconciled_date_time, 103),store_code ; "/>
  </connection>
  <connection id="3" xr16:uid="{4C54C784-C980-4F38-8480-C880F75C3D49}" name="Connection10" type="1" refreshedVersion="7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update_user  WHERE ABS(vdrawerrecline.reconciliation_discrep)&gt;=5 AND vdrawerrecline.tendertype_id='1000' AND CAST(virtualdrawer.reconciled_date_time as date) BETWEEN '20210510' AND '20210510' ORDER BY CONVERT(date, virtualdrawer.reconciled_date_time, 103),store_code ; "/>
  </connection>
  <connection id="4" xr16:uid="{45DBF777-6D4D-4B21-82E2-7065319398F5}" name="Connection11" type="1" refreshedVersion="6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,SUM(vt.collected_value-vt.refunded_value+v.reconciliation_discrepan) AS 'cash_declared_in_drawer_exc_float'  FROM virtualdrawer AS v WITH (NOLOCK)  LEFT JOIN virtualdrawertender AS vt ON vt.virtualdrawer_code=v.virtualdrawer_code  WHERE CAST(v.issued_date_time as date) BETWEEN '20210511' AND '20210511' AND vt.tendertype_id=1000 AND vt.collected_value&gt;0  GROUP BY v.store_code,v.allocation_register_code,v.virtualdrawer_code,v.reconciled_ind,v.cash_float_value,v.issued_date_time,vt.collected_value, vt.refunded_value,v.cash_float_value ORDER BY store_code, CONVERT(date, v.issued_date_time, 103); "/>
  </connection>
  <connection id="5" xr16:uid="{770D5DC8-D913-4223-AFE6-6B52DDCFC03F}" name="Connection12" type="1" refreshedVersion="6" background="1" saveData="1">
    <dbPr connection="DRIVER=SQL Server;SERVER=192.168.1.40;UID=sa;APP=Microsoft Office 2003;WSID=SCOTTP;DATABASE=rms" command=" Use RMS;  SELECT DISTINCT STORE.store_code,store.description,virtualdrawertender.virtualdrawer_code,virtualdrawer.post_rec_mnemonic,virtualdrawer.allocation_register_code,virtualdrawer.insert_date_time,employee.first_name,employee.last_name,employee.payroll_id,vdrawerrecline.total_shouldbe_value,vdrawerrecline.total_declared_value,tendertype.long_description,tendertype.tendertype_mnemonic,virtualdrawer.cash_float_value,CONVERT(VARCHAR,CAST(virtualdrawer.reconciled_date_time AS DATE),103) AS virtualdrawer_reconciled_date_time FROM virtualdrawer  (nolock)  LEFT JOIN virtualdrawertender ON virtualdrawertender.virtualdrawer_code=virtualdrawer.virtualdrawer_code  LEFT JOIN employee ON virtualdrawer.update_user=employee.employee_id  LEFT JOIN store ON store.store_code=virtualdrawer.store_code  LEFT JOIN vdrawerrecline ON vdrawerrecline.virtualdrawer_code=virtualdrawer.virtualdrawer_code  LEFT JOIN tendertype ON tendertype.tendertype_id=vdrawerrecline.tendertype_id  WHERE CAST(virtualdrawer.reconciled_date_time AS DATE) BETWEEN '20210511' AND '20210511' AND tendertype.long_description='Cash' AND vdrawerrecline.total_shouldbe_value&lt;&gt;0 ORDER BY  1,5,12; "/>
  </connection>
  <connection id="6" xr16:uid="{65B23949-6AE5-4A1C-AA52-C7377797D9AA}" name="Connection13" type="1" refreshedVersion="6" background="1" saveData="1">
    <dbPr connection="DRIVER=SQL Server;SERVER=192.168.1.40;UID=sa;APP=Microsoft Office 2003;WSID=SCOTTP;DATABASE=rms" command=" Use RMS;  SELECT bankdeposit.store_code,store.description,CONVERT(DATE, CAST(deposit_date_time AS DATE),103) AS deposit_date_time,bankdeposit_code,cash_deposit_amount,cheque_deposit_amount,voucher_deposit_amount,cash_deposit_amount+cheque_deposit_amount+voucher_deposit_amount AS total_deposit_amount FROM bankdeposit  (nolock)  LEFT JOIN store ON bankdeposit.store_code=store.store_code  WHERE CAST(deposit_date_time AS DATE) BETWEEN '20210511' AND '20210511' AND (bankdeposit_type_ind = 'B')  ORDER BY  bankdeposit.store_code,CONVERT(date, deposit_date_time, 3); "/>
  </connection>
  <connection id="7" xr16:uid="{7DBCBBB4-41FE-4CF1-86E3-E78B77435A77}" name="Connection14" type="1" refreshedVersion="6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update_user  WHERE ABS(vdrawerrecline.reconciliation_discrep)&gt;=5 AND vdrawerrecline.tendertype_id='1000' AND CAST(virtualdrawer.reconciled_date_time as date) BETWEEN '20210512' AND '20210512' ORDER BY CONVERT(date, virtualdrawer.reconciled_date_time, 103),store_code ; "/>
  </connection>
  <connection id="8" xr16:uid="{E6DC8BB2-A57F-4351-8EB1-6631E18CDE9E}" name="Connection15" type="1" refreshedVersion="6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,SUM(vt.collected_value-vt.refunded_value+v.reconciliation_discrepan) AS 'cash_declared_in_drawer_exc_float'  FROM virtualdrawer AS v WITH (NOLOCK)  LEFT JOIN virtualdrawertender AS vt ON vt.virtualdrawer_code=v.virtualdrawer_code  WHERE CAST(v.issued_date_time as date) BETWEEN '20210513' AND '20210513' AND vt.tendertype_id=1000 AND vt.collected_value&gt;0  GROUP BY v.store_code,v.allocation_register_code,v.virtualdrawer_code,v.reconciled_ind,v.cash_float_value,v.issued_date_time,vt.collected_value, vt.refunded_value,v.cash_float_value  ORDER BY store_code, CONVERT(date, v.issued_date_time, 103); "/>
  </connection>
  <connection id="9" xr16:uid="{D20FADFC-AD5A-4545-A24E-E9F8F9676B0A}" name="Connection16" type="1" refreshedVersion="6" background="1" saveData="1">
    <dbPr connection="DRIVER=SQL Server;SERVER=192.168.1.40;UID=sa;APP=Microsoft Office 2003;WSID=SCOTTP;DATABASE=rms" command=" Use RMS;  SELECT DISTINCT STORE.store_code,store.description,virtualdrawertender.virtualdrawer_code,virtualdrawer.post_rec_mnemonic,virtualdrawer.allocation_register_code,virtualdrawer.insert_date_time,employee.first_name,employee.last_name,employee.payroll_id,vdrawerrecline.total_shouldbe_value,vdrawerrecline.total_declared_value,tendertype.long_description,tendertype.tendertype_mnemonic,virtualdrawer.cash_float_value,CONVERT(VARCHAR,CAST(virtualdrawer.reconciled_date_time AS DATE),103) AS virtualdrawer_reconciled_date_time FROM virtualdrawer  (nolock)  LEFT JOIN virtualdrawertender ON virtualdrawertender.virtualdrawer_code=virtualdrawer.virtualdrawer_code  LEFT JOIN employee ON virtualdrawer.update_user=employee.employee_id  LEFT JOIN store ON store.store_code=virtualdrawer.store_code  LEFT JOIN vdrawerrecline ON vdrawerrecline.virtualdrawer_code=virtualdrawer.virtualdrawer_code  LEFT JOIN tendertype ON tendertype.tendertype_id=vdrawerrecline.tendertype_id  WHERE CAST(virtualdrawer.reconciled_date_time AS DATE) BETWEEN '20210513' AND '20210513' AND tendertype.long_description='Cash' AND vdrawerrecline.total_shouldbe_value&lt;&gt;0 ORDER BY  1,5,12; "/>
  </connection>
  <connection id="10" xr16:uid="{A45FE81B-C2CA-46B7-969A-FE0C30024662}" name="Connection17" type="1" refreshedVersion="6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update_user  WHERE ABS(vdrawerrecline.reconciliation_discrep)&gt;=5 AND vdrawerrecline.tendertype_id='1000' AND CAST(virtualdrawer.reconciled_date_time as date) BETWEEN '20210513' AND '20210513' ORDER BY CONVERT(date, virtualdrawer.reconciled_date_time, 103),store_code ; "/>
  </connection>
  <connection id="11" xr16:uid="{31CF3A15-A4B9-493D-8090-A775C0C70E53}" name="Connection18" type="1" refreshedVersion="6" background="1" saveData="1">
    <dbPr connection="DRIVER=SQL Server;SERVER=192.168.1.40;UID=sa;APP=Microsoft Office 2003;WSID=SCOTTP;DATABASE=rms" command=" Use RMS;  SELECT CONVERT (char, GETDATE(),103) AS date_now,CONVERT(char, v.trans_confirmed_date_time, 103) AS trading_day,store_code,transfer_amount AS variance,e.first_name  FROM virtualdrawertransfer AS v  LEFT JOIN employee AS e ON e.employee_id=v.update_user  WHERE   transfer_type_ind='s' AND transfer_amount&lt;&gt;0           AND CAST(v.trans_confirmed_date_time AS DATE) BETWEEN '20210501' AND '20210512' ORDER BY trans_confirmed_date_time,store_code ; "/>
  </connection>
  <connection id="12" xr16:uid="{D24DF0F1-5D99-497A-8F9B-A8B381C90BF1}" name="Connection2" type="1" refreshedVersion="6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,SUM(vt.collected_value-vt.refunded_value+v.reconciliation_discrepan) AS 'cash_declared_in_drawer_exc_float'  FROM virtualdrawer AS v WITH (NOLOCK)  LEFT JOIN virtualdrawertender AS vt ON vt.virtualdrawer_code=v.virtualdrawer_code  WHERE CAST(v.issued_date_time as date) BETWEEN '20210512' AND '20210512' AND vt.tendertype_id=1000 AND vt.collected_value&gt;0  GROUP BY v.store_code,v.allocation_register_code,v.virtualdrawer_code,v.reconciled_ind,v.cash_float_value,v.issued_date_time,vt.collected_value, vt.refunded_value,v.cash_float_value ORDER BY store_code, CONVERT(date, v.issued_date_time, 103); "/>
  </connection>
  <connection id="13" xr16:uid="{282A8E40-7F15-4227-8A93-A6043FBCBDCC}" name="Connection3" type="1" refreshedVersion="6" background="1" saveData="1">
    <dbPr connection="DRIVER=SQL Server;SERVER=192.168.1.40;UID=sa;APP=Microsoft Office 2003;WSID=SCOTTP;DATABASE=rms" command=" Use RMS;  SELECT CONVERT (char, GETDATE(),103) AS date,CONVERT(char, virtualdrawer.reconciled_date_time, 103) AS trading_date,virtualdrawer.store_code, virtualdrawer.post_rec_mnemonic AS drawer_code,vdrawerrecline.reconciliation_discrep AS cash_discrepancy, ISNULL(employee.known_as, employee.first_name) AS drawer_handler, virtualdrawer.rec_incident_text AS store_comments  FROM virtualdrawer (nolock)  LEFT JOIN vdrawerrecline ON virtualdrawer.virtualdrawer_code=vdrawerrecline.virtualdrawer_code  LEFT JOIN employee on employee.employee_id=virtualdrawer.update_user  WHERE ABS(vdrawerrecline.reconciliation_discrep)&gt;=5 AND vdrawerrecline.tendertype_id='1000' AND CAST(virtualdrawer.reconciled_date_time as date) BETWEEN '20210506' AND '20210509' ORDER BY CONVERT(date, virtualdrawer.reconciled_date_time, 103),store_code ; "/>
  </connection>
  <connection id="14" xr16:uid="{5DABF43C-74FD-440E-9F6D-3549432BC7E8}" name="Connection4" type="1" refreshedVersion="6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,SUM(vt.collected_value-vt.refunded_value) AS 'cash_takings_in_drawer_exc_float'  FROM virtualdrawer AS v WITH (NOLOCK)  LEFT JOIN virtualdrawertender AS vt ON vt.virtualdrawer_code=v.virtualdrawer_code  WHERE CAST(v.issued_date_time as date) BETWEEN '20210506' AND '20210509' AND vt.tendertype_id=1000 AND vt.collected_value&gt;0  GROUP BY v.store_code,v.allocation_register_code,v.virtualdrawer_code,v.reconciled_ind,v.cash_float_value,v.issued_date_time,vt.collected_value, vt.refunded_value,v.cash_float_value ORDER BY store_code, CONVERT(date, v.issued_date_time, 103); "/>
  </connection>
  <connection id="15" xr16:uid="{B48F6727-5DB0-42B6-89B9-94A3B4C16A41}" name="Connection5" type="1" refreshedVersion="6" background="1" saveData="1">
    <dbPr connection="DRIVER=SQL Server;SERVER=192.168.1.40;UID=sa;APP=Microsoft Office 2003;WSID=SCOTTP;DATABASE=rms" command=" Use RMS;  SELECT DISTINCT STORE.store_code,store.description,virtualdrawertender.virtualdrawer_code,virtualdrawer.post_rec_mnemonic,virtualdrawer.allocation_register_code,virtualdrawer.insert_date_time,employee.first_name,employee.last_name,employee.payroll_id,vdrawerrecline.total_shouldbe_value,vdrawerrecline.total_declared_value,tendertype.long_description,tendertype.tendertype_mnemonic,virtualdrawer.cash_float_value,CONVERT(VARCHAR,CAST(virtualdrawer.reconciled_date_time AS DATE),103) AS virtualdrawer_reconciled_date_time FROM virtualdrawer  (nolock)  LEFT JOIN virtualdrawertender ON virtualdrawertender.virtualdrawer_code=virtualdrawer.virtualdrawer_code  LEFT JOIN employee ON virtualdrawer.update_user=employee.employee_id  LEFT JOIN store ON store.store_code=virtualdrawer.store_code  LEFT JOIN vdrawerrecline ON vdrawerrecline.virtualdrawer_code=virtualdrawer.virtualdrawer_code  LEFT JOIN tendertype ON tendertype.tendertype_id=vdrawerrecline.tendertype_id  WHERE CAST(virtualdrawer.reconciled_date_time AS DATE) BETWEEN '20210506' AND '20210509' AND tendertype.long_description='Cash' AND vdrawerrecline.total_shouldbe_value&lt;&gt;0 ORDER BY  1,5,12; "/>
  </connection>
  <connection id="16" xr16:uid="{8AB39F91-5BB6-4706-B8CB-CA0B14BB6871}" name="Connection6" type="1" refreshedVersion="6" background="1" saveData="1">
    <dbPr connection="DRIVER=SQL Server;SERVER=192.168.1.40;UID=sa;APP=Microsoft Office 2003;WSID=SCOTTP;DATABASE=rms" command=" Use RMS;  SELECT DISTINCT STORE.store_code,store.description,virtualdrawertender.virtualdrawer_code,virtualdrawer.post_rec_mnemonic,virtualdrawer.allocation_register_code,virtualdrawer.insert_date_time,employee.first_name,employee.last_name,employee.payroll_id,vdrawerrecline.total_shouldbe_value,vdrawerrecline.total_declared_value,tendertype.long_description,tendertype.tendertype_mnemonic,virtualdrawer.cash_float_value,CONVERT(VARCHAR,CAST(virtualdrawer.reconciled_date_time AS DATE),103) AS virtualdrawer_reconciled_date_time FROM virtualdrawer  (nolock)  LEFT JOIN virtualdrawertender ON virtualdrawertender.virtualdrawer_code=virtualdrawer.virtualdrawer_code  LEFT JOIN employee ON virtualdrawer.update_user=employee.employee_id  LEFT JOIN store ON store.store_code=virtualdrawer.store_code  LEFT JOIN vdrawerrecline ON vdrawerrecline.virtualdrawer_code=virtualdrawer.virtualdrawer_code  LEFT JOIN tendertype ON tendertype.tendertype_id=vdrawerrecline.tendertype_id  WHERE CAST(virtualdrawer.reconciled_date_time AS DATE) BETWEEN '20210512' AND '20210512' AND tendertype.long_description='Cash' AND vdrawerrecline.total_shouldbe_value&lt;&gt;0 ORDER BY  1,5,12; "/>
  </connection>
  <connection id="17" xr16:uid="{0E2147BC-51B1-4981-91DE-4A9703BC8576}" name="Connection7" type="1" refreshedVersion="7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,SUM(vt.collected_value-vt.refunded_value+v.reconciliation_discrepan) AS 'cash_declared_in_drawer_exc_float'  FROM virtualdrawer AS v WITH (NOLOCK)  LEFT JOIN virtualdrawertender AS vt ON vt.virtualdrawer_code=v.virtualdrawer_code  WHERE CAST(v.issued_date_time as date) BETWEEN '20210510' AND '20210510' AND vt.tendertype_id=1000 AND vt.collected_value&gt;0  GROUP BY v.store_code,v.allocation_register_code,v.virtualdrawer_code,v.reconciled_ind,v.cash_float_value,v.issued_date_time,vt.collected_value, vt.refunded_value,v.cash_float_value ORDER BY store_code, CONVERT(date, v.issued_date_time, 103); "/>
  </connection>
  <connection id="18" xr16:uid="{19FFC4FA-80A0-475B-950B-62ADEC514724}" name="Connection8" type="1" refreshedVersion="7" background="1" saveData="1">
    <dbPr connection="DRIVER=SQL Server;SERVER=192.168.1.40;UID=sa;APP=Microsoft Office 2003;WSID=SCOTTP;DATABASE=rms" command=" Use RMS;  SELECT store_code,allocation_register_code,v.virtualdrawer_code, reconciled_ind,cash_float_value,issued_date_time  FROM virtualdrawer AS v WITH (NOLOCK)  WHERE CAST(v.issued_date_time as date) BETWEEN '20210505' AND '20210505' ORDER BY store_code, CONVERT(date, v.issued_date_time, 103); "/>
  </connection>
  <connection id="19" xr16:uid="{0AB969FA-751B-42F1-A7BD-E53EC9771B4C}" name="Connection9" type="1" refreshedVersion="7" background="1" saveData="1">
    <dbPr connection="DRIVER=SQL Server;SERVER=192.168.1.40;UID=sa;APP=Microsoft Office 2003;WSID=SCOTTP;DATABASE=rms" command=" Use RMS;  SELECT DISTINCT STORE.store_code,store.description,virtualdrawertender.virtualdrawer_code,virtualdrawer.post_rec_mnemonic,virtualdrawer.allocation_register_code,virtualdrawer.insert_date_time,employee.first_name,employee.last_name,employee.payroll_id,vdrawerrecline.total_shouldbe_value,vdrawerrecline.total_declared_value,tendertype.long_description,tendertype.tendertype_mnemonic,virtualdrawer.cash_float_value,CONVERT(VARCHAR,CAST(virtualdrawer.reconciled_date_time AS DATE),103) AS virtualdrawer_reconciled_date_time FROM virtualdrawer  (nolock)  LEFT JOIN virtualdrawertender ON virtualdrawertender.virtualdrawer_code=virtualdrawer.virtualdrawer_code  LEFT JOIN employee ON virtualdrawer.update_user=employee.employee_id  LEFT JOIN store ON store.store_code=virtualdrawer.store_code  LEFT JOIN vdrawerrecline ON vdrawerrecline.virtualdrawer_code=virtualdrawer.virtualdrawer_code  LEFT JOIN tendertype ON tendertype.tendertype_id=vdrawerrecline.tendertype_id  WHERE CAST(virtualdrawer.reconciled_date_time AS DATE) BETWEEN '20210510' AND '20210510' AND tendertype.long_description='Cash' AND vdrawerrecline.total_shouldbe_value&lt;&gt;0 ORDER BY  1,5,12; 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<sst xmlns="http://schemas.openxmlformats.org/spreadsheetml/2006/main" count="3513" uniqueCount="827">
  <si>
    <t xml:space="preserve">                </t>
  </si>
  <si>
    <t>News Travels A/S 1</t>
  </si>
  <si>
    <t>Bris News Travels A/S 1</t>
  </si>
  <si>
    <t>Bris N/T A/S 1</t>
  </si>
  <si>
    <t>still to be banked</t>
  </si>
  <si>
    <t>made up of</t>
  </si>
  <si>
    <t>Total Spent</t>
  </si>
  <si>
    <t>Hobart AW</t>
  </si>
  <si>
    <t>= No deposit slip faxed</t>
  </si>
  <si>
    <t>= No entry in POS but deposit slip received</t>
  </si>
  <si>
    <t>Hobart Runway News</t>
  </si>
  <si>
    <t>Tasmania &amp; Beyond</t>
  </si>
  <si>
    <t>Tas &amp; Beyond</t>
  </si>
  <si>
    <t>Total</t>
  </si>
  <si>
    <t>Stores</t>
  </si>
  <si>
    <t>Melb Dom</t>
  </si>
  <si>
    <t>Darwin</t>
  </si>
  <si>
    <t>AWPL</t>
  </si>
  <si>
    <t>Store #</t>
  </si>
  <si>
    <t>Darwin News Travels</t>
  </si>
  <si>
    <t>= Banking is for previous day</t>
  </si>
  <si>
    <t>Sunshine Coast News Travels</t>
  </si>
  <si>
    <t>Sunshine Coast NT</t>
  </si>
  <si>
    <t>= No cash to deposit</t>
  </si>
  <si>
    <t>Perth Dom Qantas</t>
  </si>
  <si>
    <t>RMS</t>
  </si>
  <si>
    <t>To update values in the Color Sum formula in column E press CTRL+ALT+F9</t>
  </si>
  <si>
    <t>Formula AU</t>
  </si>
  <si>
    <t>Formula NZ</t>
  </si>
  <si>
    <t>Alice Springs NT</t>
  </si>
  <si>
    <t>Date</t>
  </si>
  <si>
    <t>Trading Date</t>
  </si>
  <si>
    <t>Variance</t>
  </si>
  <si>
    <t>SO Comment</t>
  </si>
  <si>
    <t>Should Bank</t>
  </si>
  <si>
    <t>POS Entry</t>
  </si>
  <si>
    <t>DEP</t>
  </si>
  <si>
    <t>Deposit</t>
  </si>
  <si>
    <t>Bankable</t>
  </si>
  <si>
    <t>FX</t>
  </si>
  <si>
    <t>Other Tender</t>
  </si>
  <si>
    <t>Date-Store</t>
  </si>
  <si>
    <t>$</t>
  </si>
  <si>
    <t>Account Number</t>
  </si>
  <si>
    <t>Narrative</t>
  </si>
  <si>
    <t>Reference</t>
  </si>
  <si>
    <t>Currency</t>
  </si>
  <si>
    <t>Debit Amount</t>
  </si>
  <si>
    <t>Credit Amount</t>
  </si>
  <si>
    <t>Example</t>
  </si>
  <si>
    <t>Store +$</t>
  </si>
  <si>
    <t>Pos Entry v Should Bank</t>
  </si>
  <si>
    <t>Deposit v Pos Entry</t>
  </si>
  <si>
    <t>Amount</t>
  </si>
  <si>
    <t>Payee</t>
  </si>
  <si>
    <t>Particulars</t>
  </si>
  <si>
    <t>Code</t>
  </si>
  <si>
    <t>Tran Type</t>
  </si>
  <si>
    <t>TEST EXAMPLE</t>
  </si>
  <si>
    <t>Total AU</t>
  </si>
  <si>
    <t>Outstanding Days Deposits</t>
  </si>
  <si>
    <t>Outstanding Days POS Banking</t>
  </si>
  <si>
    <t>Outstanding Day Deposits</t>
  </si>
  <si>
    <t>Darwin NT</t>
  </si>
  <si>
    <t xml:space="preserve">Brisbane News Travels Landside 1 </t>
  </si>
  <si>
    <t>Melb AW L/S</t>
  </si>
  <si>
    <t>Melb L/S</t>
  </si>
  <si>
    <t>Perth AW L/S</t>
  </si>
  <si>
    <t>Newcastle News Travels</t>
  </si>
  <si>
    <t>Newcastle NT</t>
  </si>
  <si>
    <t>Registers</t>
  </si>
  <si>
    <t>Register #</t>
  </si>
  <si>
    <t>Store</t>
  </si>
  <si>
    <t>Trading 
Hours</t>
  </si>
  <si>
    <t>Expected Reconciliation</t>
  </si>
  <si>
    <t>Reason</t>
  </si>
  <si>
    <t>Total Cash and CIeques to be Banked MTD</t>
  </si>
  <si>
    <t>Think Sydney International Airside</t>
  </si>
  <si>
    <t>store_code</t>
  </si>
  <si>
    <t>description</t>
  </si>
  <si>
    <t>start_date</t>
  </si>
  <si>
    <t>end_date</t>
  </si>
  <si>
    <t>expensetype_code</t>
  </si>
  <si>
    <t>trans_start_date_time</t>
  </si>
  <si>
    <t>transfer_amount</t>
  </si>
  <si>
    <t>gltranslation_code</t>
  </si>
  <si>
    <t>source_register_code</t>
  </si>
  <si>
    <t>dest_register_code</t>
  </si>
  <si>
    <t>expensetype_count</t>
  </si>
  <si>
    <t>Date Act</t>
  </si>
  <si>
    <t>Store-date</t>
  </si>
  <si>
    <t>store_description</t>
  </si>
  <si>
    <t>deposit_date_time</t>
  </si>
  <si>
    <t>bankdeposit_code</t>
  </si>
  <si>
    <t>cash_deposit_amount</t>
  </si>
  <si>
    <t>cheque_deposit_amount</t>
  </si>
  <si>
    <t>voucher_deposit_amount</t>
  </si>
  <si>
    <t>total_deposit_amount</t>
  </si>
  <si>
    <t>Store Date</t>
  </si>
  <si>
    <t>Around New Zealand New</t>
  </si>
  <si>
    <t>AUD</t>
  </si>
  <si>
    <t>Think Sydney Market Place</t>
  </si>
  <si>
    <t xml:space="preserve">Think Sydney </t>
  </si>
  <si>
    <t>Think Sydney</t>
  </si>
  <si>
    <t>Australian Way Lifestyle</t>
  </si>
  <si>
    <t>Store Code</t>
  </si>
  <si>
    <t>Date Banked</t>
  </si>
  <si>
    <t>Cash  Outstanding</t>
  </si>
  <si>
    <r>
      <t xml:space="preserve">difference </t>
    </r>
    <r>
      <rPr>
        <b/>
        <sz val="10"/>
        <color rgb="FFFF0000"/>
        <rFont val="Calibri"/>
        <family val="2"/>
        <scheme val="minor"/>
      </rPr>
      <t>check to make sure no errors</t>
    </r>
  </si>
  <si>
    <t>Aust way Sydney</t>
  </si>
  <si>
    <t>(Pos Entry + FX) v Should Bank</t>
  </si>
  <si>
    <t>Australian Way Sydney</t>
  </si>
  <si>
    <t>Around NZ  New Zealand Auckland Air</t>
  </si>
  <si>
    <t>Aust Way Sydney</t>
  </si>
  <si>
    <t>Foreign Cash Exchange</t>
  </si>
  <si>
    <t>PC07</t>
  </si>
  <si>
    <t>083-166 45-721-8317</t>
  </si>
  <si>
    <t xml:space="preserve">AGENT CREDITS </t>
  </si>
  <si>
    <t>CR</t>
  </si>
  <si>
    <t>13395 462605362</t>
  </si>
  <si>
    <t>Australian Way</t>
  </si>
  <si>
    <t>13413 462605362</t>
  </si>
  <si>
    <t>Outstanding Deposits</t>
  </si>
  <si>
    <t>Carryon Inl A/S</t>
  </si>
  <si>
    <t>Merino Collection Intl A/S</t>
  </si>
  <si>
    <t>Cape to Bluff A/S</t>
  </si>
  <si>
    <t>Merino Collection Intl L/S</t>
  </si>
  <si>
    <t>Merchant Syd Domestic</t>
  </si>
  <si>
    <t>News @ BNE Northern</t>
  </si>
  <si>
    <t>News @ BNE</t>
  </si>
  <si>
    <t>Merchant T3</t>
  </si>
  <si>
    <t>Carry On T2</t>
  </si>
  <si>
    <t xml:space="preserve">News @ BNE </t>
  </si>
  <si>
    <t>Xpress @BNE</t>
  </si>
  <si>
    <t>Xpress @ BNE</t>
  </si>
  <si>
    <t>News BNE Central</t>
  </si>
  <si>
    <t>News BNE Northern Satellite Qantas</t>
  </si>
  <si>
    <t>News @BNE Central Satellite</t>
  </si>
  <si>
    <t>News @BNE Northern Satellite</t>
  </si>
  <si>
    <t>News BNE Southern (Virgin)</t>
  </si>
  <si>
    <t>News BNE</t>
  </si>
  <si>
    <t xml:space="preserve">News BNE </t>
  </si>
  <si>
    <t>Canberra News</t>
  </si>
  <si>
    <t>Drawer Code</t>
  </si>
  <si>
    <t>Cash Discrepancy</t>
  </si>
  <si>
    <t>Store Comment</t>
  </si>
  <si>
    <t>Drawer Handlers</t>
  </si>
  <si>
    <t>To Date:</t>
  </si>
  <si>
    <t>From Date:</t>
  </si>
  <si>
    <t>Times of Drawer Reconciliations On Cash</t>
  </si>
  <si>
    <t>Sunshine Coast</t>
  </si>
  <si>
    <t>Perth Australian Way</t>
  </si>
  <si>
    <t>News Travels</t>
  </si>
  <si>
    <t>Store #
Deposit Slip</t>
  </si>
  <si>
    <t>Store 
RMS</t>
  </si>
  <si>
    <t>Store 
Tech 1</t>
  </si>
  <si>
    <t>Total Cash Banked MTD</t>
  </si>
  <si>
    <t>Store Banking No.MTD</t>
  </si>
  <si>
    <t>05/05/2021</t>
  </si>
  <si>
    <t>04/05/2021</t>
  </si>
  <si>
    <t>4107</t>
  </si>
  <si>
    <t>040101</t>
  </si>
  <si>
    <t>Coral</t>
  </si>
  <si>
    <t>8188</t>
  </si>
  <si>
    <t>040201</t>
  </si>
  <si>
    <t>Jo Anne</t>
  </si>
  <si>
    <t>Sundries collected over non cach</t>
  </si>
  <si>
    <t>tip and must be wrong change</t>
  </si>
  <si>
    <t>virtualdrawer_code</t>
  </si>
  <si>
    <t>post_rec_mnemonic</t>
  </si>
  <si>
    <t>allocation_register_code</t>
  </si>
  <si>
    <t>insert_date_time</t>
  </si>
  <si>
    <t>first_name</t>
  </si>
  <si>
    <t>last_name</t>
  </si>
  <si>
    <t>payroll_id</t>
  </si>
  <si>
    <t>total_shouldbe_value</t>
  </si>
  <si>
    <t>total_declared_value</t>
  </si>
  <si>
    <t>long_description</t>
  </si>
  <si>
    <t>tendertype_mnemonic</t>
  </si>
  <si>
    <t>cash_float_value</t>
  </si>
  <si>
    <t>virtualdrawer_reconciled_date_time</t>
  </si>
  <si>
    <t>06/05/2021</t>
  </si>
  <si>
    <t>4102</t>
  </si>
  <si>
    <t>050501</t>
  </si>
  <si>
    <t>Roberta</t>
  </si>
  <si>
    <t>float not attached properly</t>
  </si>
  <si>
    <t>4109</t>
  </si>
  <si>
    <t>050101</t>
  </si>
  <si>
    <t>Gary</t>
  </si>
  <si>
    <t>float declared as $500 not $400</t>
  </si>
  <si>
    <t>reconciled_ind</t>
  </si>
  <si>
    <t>issued_date_time</t>
  </si>
  <si>
    <t>Y</t>
  </si>
  <si>
    <t>2118</t>
  </si>
  <si>
    <t>211801</t>
  </si>
  <si>
    <t>2119</t>
  </si>
  <si>
    <t>211901</t>
  </si>
  <si>
    <t>2225</t>
  </si>
  <si>
    <t>222501</t>
  </si>
  <si>
    <t>2231</t>
  </si>
  <si>
    <t>223101</t>
  </si>
  <si>
    <t>2450</t>
  </si>
  <si>
    <t>245001</t>
  </si>
  <si>
    <t>3175</t>
  </si>
  <si>
    <t>317501</t>
  </si>
  <si>
    <t>3191</t>
  </si>
  <si>
    <t>319101</t>
  </si>
  <si>
    <t>4100</t>
  </si>
  <si>
    <t>410001</t>
  </si>
  <si>
    <t>4101</t>
  </si>
  <si>
    <t>410101</t>
  </si>
  <si>
    <t>410201</t>
  </si>
  <si>
    <t>4104</t>
  </si>
  <si>
    <t>410401</t>
  </si>
  <si>
    <t>4106</t>
  </si>
  <si>
    <t>410601</t>
  </si>
  <si>
    <t>410701</t>
  </si>
  <si>
    <t>4108</t>
  </si>
  <si>
    <t>410801</t>
  </si>
  <si>
    <t>410901</t>
  </si>
  <si>
    <t>4110</t>
  </si>
  <si>
    <t>411001</t>
  </si>
  <si>
    <t>4770</t>
  </si>
  <si>
    <t>477001</t>
  </si>
  <si>
    <t>6087</t>
  </si>
  <si>
    <t>608702</t>
  </si>
  <si>
    <t>6176</t>
  </si>
  <si>
    <t>617601</t>
  </si>
  <si>
    <t>7078</t>
  </si>
  <si>
    <t>707801</t>
  </si>
  <si>
    <t>707802</t>
  </si>
  <si>
    <t>7079</t>
  </si>
  <si>
    <t>707901</t>
  </si>
  <si>
    <t>7641</t>
  </si>
  <si>
    <t>764101</t>
  </si>
  <si>
    <t>818802</t>
  </si>
  <si>
    <t>8305</t>
  </si>
  <si>
    <t>830501</t>
  </si>
  <si>
    <t>211801001195</t>
  </si>
  <si>
    <t>211801001196</t>
  </si>
  <si>
    <t>211801001197</t>
  </si>
  <si>
    <t>211801001198</t>
  </si>
  <si>
    <t>211901001347</t>
  </si>
  <si>
    <t>211901001348</t>
  </si>
  <si>
    <t>211901001349</t>
  </si>
  <si>
    <t>211901001350</t>
  </si>
  <si>
    <t>222501000182</t>
  </si>
  <si>
    <t>222501000183</t>
  </si>
  <si>
    <t>222501000184</t>
  </si>
  <si>
    <t>222501000185</t>
  </si>
  <si>
    <t>223101003762</t>
  </si>
  <si>
    <t>223101003763</t>
  </si>
  <si>
    <t>245001004317</t>
  </si>
  <si>
    <t>245001004318</t>
  </si>
  <si>
    <t>245001004319</t>
  </si>
  <si>
    <t>245001004320</t>
  </si>
  <si>
    <t>317501005857</t>
  </si>
  <si>
    <t>319101010287</t>
  </si>
  <si>
    <t>319101010288</t>
  </si>
  <si>
    <t>319101010289</t>
  </si>
  <si>
    <t>319101010290</t>
  </si>
  <si>
    <t>410001004409</t>
  </si>
  <si>
    <t>410001004410</t>
  </si>
  <si>
    <t>410001004411</t>
  </si>
  <si>
    <t>410001004412</t>
  </si>
  <si>
    <t>410101000785</t>
  </si>
  <si>
    <t>410101000786</t>
  </si>
  <si>
    <t>410101000787</t>
  </si>
  <si>
    <t>410101000788</t>
  </si>
  <si>
    <t>410201000717</t>
  </si>
  <si>
    <t>410201000719</t>
  </si>
  <si>
    <t>410201000720</t>
  </si>
  <si>
    <t>410201000721</t>
  </si>
  <si>
    <t>410401000503</t>
  </si>
  <si>
    <t>410401000504</t>
  </si>
  <si>
    <t>410601000596</t>
  </si>
  <si>
    <t>410601000597</t>
  </si>
  <si>
    <t>410601000598</t>
  </si>
  <si>
    <t>410601000599</t>
  </si>
  <si>
    <t>410701000394</t>
  </si>
  <si>
    <t>410701000395</t>
  </si>
  <si>
    <t>410701000396</t>
  </si>
  <si>
    <t>410701000397</t>
  </si>
  <si>
    <t>410801000262</t>
  </si>
  <si>
    <t>410801000263</t>
  </si>
  <si>
    <t>410801000264</t>
  </si>
  <si>
    <t>410801000265</t>
  </si>
  <si>
    <t>410901000392</t>
  </si>
  <si>
    <t>410901000393</t>
  </si>
  <si>
    <t>410901000394</t>
  </si>
  <si>
    <t>410901000395</t>
  </si>
  <si>
    <t>411001000353</t>
  </si>
  <si>
    <t>411001000354</t>
  </si>
  <si>
    <t>411001000355</t>
  </si>
  <si>
    <t>411001000356</t>
  </si>
  <si>
    <t>477001005993</t>
  </si>
  <si>
    <t>477001005994</t>
  </si>
  <si>
    <t>477001005995</t>
  </si>
  <si>
    <t>477001005996</t>
  </si>
  <si>
    <t>608702006447</t>
  </si>
  <si>
    <t>608702006448</t>
  </si>
  <si>
    <t>608702006449</t>
  </si>
  <si>
    <t>617601000724</t>
  </si>
  <si>
    <t>617601000725</t>
  </si>
  <si>
    <t>617601000726</t>
  </si>
  <si>
    <t>617601000727</t>
  </si>
  <si>
    <t>707801008861</t>
  </si>
  <si>
    <t>707801008862</t>
  </si>
  <si>
    <t>707801008863</t>
  </si>
  <si>
    <t>707802008895</t>
  </si>
  <si>
    <t>707801008864</t>
  </si>
  <si>
    <t>707901008766</t>
  </si>
  <si>
    <t>707901008767</t>
  </si>
  <si>
    <t>707901008768</t>
  </si>
  <si>
    <t>707901008769</t>
  </si>
  <si>
    <t>764101008947</t>
  </si>
  <si>
    <t>764101008948</t>
  </si>
  <si>
    <t>764101008949</t>
  </si>
  <si>
    <t>764101008950</t>
  </si>
  <si>
    <t>818802006074</t>
  </si>
  <si>
    <t>818802006075</t>
  </si>
  <si>
    <t>818802006076</t>
  </si>
  <si>
    <t>818802006077</t>
  </si>
  <si>
    <t>830501005106</t>
  </si>
  <si>
    <t>830501005107</t>
  </si>
  <si>
    <t>830501005108</t>
  </si>
  <si>
    <t>830501005109</t>
  </si>
  <si>
    <t>10/05/2021</t>
  </si>
  <si>
    <t>07/05/2021</t>
  </si>
  <si>
    <t>07050101</t>
  </si>
  <si>
    <t>Fang(Tracy)</t>
  </si>
  <si>
    <t>070501</t>
  </si>
  <si>
    <t>float attached as $0.00</t>
  </si>
  <si>
    <t>070101</t>
  </si>
  <si>
    <t xml:space="preserve">Suzanne </t>
  </si>
  <si>
    <t>over in till</t>
  </si>
  <si>
    <t>08/05/2021</t>
  </si>
  <si>
    <t>080501</t>
  </si>
  <si>
    <t>Arlene</t>
  </si>
  <si>
    <t>PREVIOUS MONEY COUNT</t>
  </si>
  <si>
    <t>080101</t>
  </si>
  <si>
    <t>David</t>
  </si>
  <si>
    <t>09/05/2021</t>
  </si>
  <si>
    <t>090501</t>
  </si>
  <si>
    <t>George</t>
  </si>
  <si>
    <t>unknown</t>
  </si>
  <si>
    <t>0901</t>
  </si>
  <si>
    <t>Anthony</t>
  </si>
  <si>
    <t>090101</t>
  </si>
  <si>
    <t>Clare</t>
  </si>
  <si>
    <t>found $20 on the floor</t>
  </si>
  <si>
    <t xml:space="preserve">checked all details </t>
  </si>
  <si>
    <t>2117</t>
  </si>
  <si>
    <t xml:space="preserve">2117 Carry On T2 Sydney </t>
  </si>
  <si>
    <t>211701000924</t>
  </si>
  <si>
    <t>060501</t>
  </si>
  <si>
    <t>211701</t>
  </si>
  <si>
    <t>Thanaporn</t>
  </si>
  <si>
    <t>Nemjapatanamogkol</t>
  </si>
  <si>
    <t>4218</t>
  </si>
  <si>
    <t>Cash</t>
  </si>
  <si>
    <t>CASH</t>
  </si>
  <si>
    <t>211701000925</t>
  </si>
  <si>
    <t>Merchant - T2 Sydney Domestic</t>
  </si>
  <si>
    <t>Mei Wan (Karen)</t>
  </si>
  <si>
    <t>Hong</t>
  </si>
  <si>
    <t>3773</t>
  </si>
  <si>
    <t>Fang</t>
  </si>
  <si>
    <t>Lin</t>
  </si>
  <si>
    <t>3987</t>
  </si>
  <si>
    <t>Catherine</t>
  </si>
  <si>
    <t>Trinidad</t>
  </si>
  <si>
    <t>4213</t>
  </si>
  <si>
    <t>Suryanti</t>
  </si>
  <si>
    <t>SUWARDI</t>
  </si>
  <si>
    <t>4201</t>
  </si>
  <si>
    <t>2119 Merchant SYD T3 Sydney Domestic</t>
  </si>
  <si>
    <t>Anabela</t>
  </si>
  <si>
    <t>Passino</t>
  </si>
  <si>
    <t>4224</t>
  </si>
  <si>
    <t>Junko</t>
  </si>
  <si>
    <t>Matsuda</t>
  </si>
  <si>
    <t>4222</t>
  </si>
  <si>
    <t>News @ Canberra (2225)</t>
  </si>
  <si>
    <t>Bozana</t>
  </si>
  <si>
    <t>Despotovski</t>
  </si>
  <si>
    <t>5800</t>
  </si>
  <si>
    <t>Marvin</t>
  </si>
  <si>
    <t>Thomas</t>
  </si>
  <si>
    <t>5789</t>
  </si>
  <si>
    <t>Ebaya</t>
  </si>
  <si>
    <t>5146</t>
  </si>
  <si>
    <t>Cave</t>
  </si>
  <si>
    <t>5187</t>
  </si>
  <si>
    <t xml:space="preserve">Think Sydney International Airside Pier B </t>
  </si>
  <si>
    <t>Lai Chun</t>
  </si>
  <si>
    <t>Leung</t>
  </si>
  <si>
    <t>3338</t>
  </si>
  <si>
    <t xml:space="preserve">Ying Yuan </t>
  </si>
  <si>
    <t xml:space="preserve">Chen </t>
  </si>
  <si>
    <t>5557</t>
  </si>
  <si>
    <t>News Travels Newcastle</t>
  </si>
  <si>
    <t>060101</t>
  </si>
  <si>
    <t xml:space="preserve">Scott </t>
  </si>
  <si>
    <t xml:space="preserve">Cavallaro </t>
  </si>
  <si>
    <t>5559</t>
  </si>
  <si>
    <t>Australian Way Melbourne Inter Landside</t>
  </si>
  <si>
    <t>Serra</t>
  </si>
  <si>
    <t>Callick</t>
  </si>
  <si>
    <t>1605</t>
  </si>
  <si>
    <t>Australian Way Melbourne Domestic Qantas</t>
  </si>
  <si>
    <t>0601</t>
  </si>
  <si>
    <t>Jan</t>
  </si>
  <si>
    <t>Fowler</t>
  </si>
  <si>
    <t>2030</t>
  </si>
  <si>
    <t>0701</t>
  </si>
  <si>
    <t>Fox (sales)</t>
  </si>
  <si>
    <t>4567</t>
  </si>
  <si>
    <t>0801</t>
  </si>
  <si>
    <t>Anna</t>
  </si>
  <si>
    <t>Krstevski</t>
  </si>
  <si>
    <t>2369</t>
  </si>
  <si>
    <t>News Travels Sunshine Coast</t>
  </si>
  <si>
    <t>Danielle</t>
  </si>
  <si>
    <t>Ison</t>
  </si>
  <si>
    <t>5184</t>
  </si>
  <si>
    <t>McMillan</t>
  </si>
  <si>
    <t>1432</t>
  </si>
  <si>
    <t>News @ BNE Northern (4101)</t>
  </si>
  <si>
    <t>Dan</t>
  </si>
  <si>
    <t xml:space="preserve">Truong </t>
  </si>
  <si>
    <t>3870</t>
  </si>
  <si>
    <t>Xpress @ BNE Northern (Qantas)</t>
  </si>
  <si>
    <t xml:space="preserve">Lisa-Ann </t>
  </si>
  <si>
    <t xml:space="preserve">Benstead </t>
  </si>
  <si>
    <t>5229</t>
  </si>
  <si>
    <t>070502</t>
  </si>
  <si>
    <t>Nicole</t>
  </si>
  <si>
    <t>Hockey</t>
  </si>
  <si>
    <t>1819</t>
  </si>
  <si>
    <t xml:space="preserve">Raymond </t>
  </si>
  <si>
    <t xml:space="preserve">Bastian </t>
  </si>
  <si>
    <t>5417</t>
  </si>
  <si>
    <t>Xpress @ BNE Cafe (QantasLink)</t>
  </si>
  <si>
    <t xml:space="preserve">Leone </t>
  </si>
  <si>
    <t xml:space="preserve">Hicklin </t>
  </si>
  <si>
    <t>3926</t>
  </si>
  <si>
    <t xml:space="preserve">Matthew </t>
  </si>
  <si>
    <t xml:space="preserve">Cooper </t>
  </si>
  <si>
    <t>5530</t>
  </si>
  <si>
    <t>News @ BNE Central (4106)</t>
  </si>
  <si>
    <t>Sharon</t>
  </si>
  <si>
    <t>Macmanus</t>
  </si>
  <si>
    <t>3542</t>
  </si>
  <si>
    <t xml:space="preserve">Barry </t>
  </si>
  <si>
    <t>5402</t>
  </si>
  <si>
    <t>News @ BNE Southern (4107)</t>
  </si>
  <si>
    <t>Shaifali</t>
  </si>
  <si>
    <t>Bhasin</t>
  </si>
  <si>
    <t>5178</t>
  </si>
  <si>
    <t>Nadine</t>
  </si>
  <si>
    <t>Labenia</t>
  </si>
  <si>
    <t>5182</t>
  </si>
  <si>
    <t>Yoo-Ji</t>
  </si>
  <si>
    <t>Kim</t>
  </si>
  <si>
    <t>3383</t>
  </si>
  <si>
    <t>Hae-Sook</t>
  </si>
  <si>
    <t>Sim</t>
  </si>
  <si>
    <t>4120</t>
  </si>
  <si>
    <t>News @ BNE Southern Satellite (Virgin)</t>
  </si>
  <si>
    <t>060502</t>
  </si>
  <si>
    <t>Hema</t>
  </si>
  <si>
    <t>1850</t>
  </si>
  <si>
    <t>Bogumila</t>
  </si>
  <si>
    <t>Chodorowski</t>
  </si>
  <si>
    <t>5430</t>
  </si>
  <si>
    <t>Karen</t>
  </si>
  <si>
    <t>Kelty</t>
  </si>
  <si>
    <t>3223</t>
  </si>
  <si>
    <t>410801000261</t>
  </si>
  <si>
    <t>410801*</t>
  </si>
  <si>
    <t>News @ BNE Northern Satellite (Qantas)</t>
  </si>
  <si>
    <t>Smith</t>
  </si>
  <si>
    <t>5420</t>
  </si>
  <si>
    <t>Wei Hui</t>
  </si>
  <si>
    <t>Chen</t>
  </si>
  <si>
    <t>5292</t>
  </si>
  <si>
    <t>Tara</t>
  </si>
  <si>
    <t>Sharp</t>
  </si>
  <si>
    <t>3622</t>
  </si>
  <si>
    <t>News @ BNE Central Satellite (Common User)</t>
  </si>
  <si>
    <t>Brenton</t>
  </si>
  <si>
    <t>Ashe</t>
  </si>
  <si>
    <t>3515</t>
  </si>
  <si>
    <t xml:space="preserve">Monique </t>
  </si>
  <si>
    <t xml:space="preserve">Danson </t>
  </si>
  <si>
    <t>5410</t>
  </si>
  <si>
    <t>News Travels Brisbane International Airside</t>
  </si>
  <si>
    <t>Seonhee</t>
  </si>
  <si>
    <t>Lee</t>
  </si>
  <si>
    <t>3592</t>
  </si>
  <si>
    <t>Barbara</t>
  </si>
  <si>
    <t>Michalak</t>
  </si>
  <si>
    <t>2665</t>
  </si>
  <si>
    <t>Mary (Byoung Hwa)</t>
  </si>
  <si>
    <t>Myang</t>
  </si>
  <si>
    <t>3136</t>
  </si>
  <si>
    <t>Australian Way Perth International Landside</t>
  </si>
  <si>
    <t>608702006446</t>
  </si>
  <si>
    <t>060201</t>
  </si>
  <si>
    <t>Lisa</t>
  </si>
  <si>
    <t>Claridge</t>
  </si>
  <si>
    <t>3483</t>
  </si>
  <si>
    <t>060202</t>
  </si>
  <si>
    <t>070201</t>
  </si>
  <si>
    <t>Ljubica</t>
  </si>
  <si>
    <t>Vozarevic</t>
  </si>
  <si>
    <t>2137</t>
  </si>
  <si>
    <t>080201</t>
  </si>
  <si>
    <t>Sharon Yu Li</t>
  </si>
  <si>
    <t>Chua</t>
  </si>
  <si>
    <t>4530</t>
  </si>
  <si>
    <t>Merchant Perth Domestic</t>
  </si>
  <si>
    <t>Huysing</t>
  </si>
  <si>
    <t>2869</t>
  </si>
  <si>
    <t>Joanne</t>
  </si>
  <si>
    <t>Woo</t>
  </si>
  <si>
    <t>3590</t>
  </si>
  <si>
    <t>Runway News Hobart (7078)</t>
  </si>
  <si>
    <t>Chris</t>
  </si>
  <si>
    <t>Ash</t>
  </si>
  <si>
    <t>2775</t>
  </si>
  <si>
    <t>Yee</t>
  </si>
  <si>
    <t xml:space="preserve">Wong </t>
  </si>
  <si>
    <t>5358</t>
  </si>
  <si>
    <t>0802</t>
  </si>
  <si>
    <t>Tasmania &amp; Beyond Hobart</t>
  </si>
  <si>
    <t xml:space="preserve">Gerd </t>
  </si>
  <si>
    <t xml:space="preserve"> Bahr-Vollrath</t>
  </si>
  <si>
    <t>5238</t>
  </si>
  <si>
    <t xml:space="preserve">Stiff </t>
  </si>
  <si>
    <t>5503</t>
  </si>
  <si>
    <t>Marilyn</t>
  </si>
  <si>
    <t>Patriarca</t>
  </si>
  <si>
    <t>9527</t>
  </si>
  <si>
    <t>Australian Way Hobart International</t>
  </si>
  <si>
    <t>764101008945</t>
  </si>
  <si>
    <t>050102</t>
  </si>
  <si>
    <t>Paula</t>
  </si>
  <si>
    <t>Bourne</t>
  </si>
  <si>
    <t>3797</t>
  </si>
  <si>
    <t>Bishnu</t>
  </si>
  <si>
    <t>Panthi</t>
  </si>
  <si>
    <t>5695</t>
  </si>
  <si>
    <t>Emma</t>
  </si>
  <si>
    <t>Woodward</t>
  </si>
  <si>
    <t>3637</t>
  </si>
  <si>
    <t>Rosalie</t>
  </si>
  <si>
    <t>Pace</t>
  </si>
  <si>
    <t>3076</t>
  </si>
  <si>
    <t>News Travels Darwin Landside (8188)</t>
  </si>
  <si>
    <t>818802006073</t>
  </si>
  <si>
    <t>050201</t>
  </si>
  <si>
    <t>Banarsi</t>
  </si>
  <si>
    <t>Bishnoi</t>
  </si>
  <si>
    <t>5449</t>
  </si>
  <si>
    <t xml:space="preserve">Moira </t>
  </si>
  <si>
    <t xml:space="preserve">Smith </t>
  </si>
  <si>
    <t>5453</t>
  </si>
  <si>
    <t>Keane(Roman)</t>
  </si>
  <si>
    <t xml:space="preserve">McDonald </t>
  </si>
  <si>
    <t>3868</t>
  </si>
  <si>
    <t xml:space="preserve">News Travels Alice Springs </t>
  </si>
  <si>
    <t>Carol</t>
  </si>
  <si>
    <t>Murphy</t>
  </si>
  <si>
    <t>2287</t>
  </si>
  <si>
    <t>Ivor</t>
  </si>
  <si>
    <t>Gaces</t>
  </si>
  <si>
    <t>3476</t>
  </si>
  <si>
    <t xml:space="preserve">Fei  </t>
  </si>
  <si>
    <t>Huang</t>
  </si>
  <si>
    <t>Vongsuvanh</t>
  </si>
  <si>
    <t>Christina</t>
  </si>
  <si>
    <t>Yang</t>
  </si>
  <si>
    <t>Yuqin (Chelsea)</t>
  </si>
  <si>
    <t>Zhong</t>
  </si>
  <si>
    <t>Tomoko</t>
  </si>
  <si>
    <t>Darnakis</t>
  </si>
  <si>
    <t>Jennie</t>
  </si>
  <si>
    <t>Harmour</t>
  </si>
  <si>
    <t>Naomi</t>
  </si>
  <si>
    <t>Vice</t>
  </si>
  <si>
    <t>Leonie</t>
  </si>
  <si>
    <t>Waterhouse</t>
  </si>
  <si>
    <t>Dana</t>
  </si>
  <si>
    <t>Adams</t>
  </si>
  <si>
    <t>Hongbing</t>
  </si>
  <si>
    <t>Cheng</t>
  </si>
  <si>
    <t>Matty</t>
  </si>
  <si>
    <t>Padley</t>
  </si>
  <si>
    <t xml:space="preserve">Iris </t>
  </si>
  <si>
    <t>Walker</t>
  </si>
  <si>
    <t>cash_declared_in_drawer_exc_float</t>
  </si>
  <si>
    <t>211801001199</t>
  </si>
  <si>
    <t>211901001351</t>
  </si>
  <si>
    <t>222501000186</t>
  </si>
  <si>
    <t>222502</t>
  </si>
  <si>
    <t>222502000524</t>
  </si>
  <si>
    <t>223101003764</t>
  </si>
  <si>
    <t>245001004321</t>
  </si>
  <si>
    <t>319101010291</t>
  </si>
  <si>
    <t>410001004413</t>
  </si>
  <si>
    <t>410101000789</t>
  </si>
  <si>
    <t>410201000722</t>
  </si>
  <si>
    <t>410401000505</t>
  </si>
  <si>
    <t>410601000600</t>
  </si>
  <si>
    <t>410701000398</t>
  </si>
  <si>
    <t>410801000266</t>
  </si>
  <si>
    <t>410901000396</t>
  </si>
  <si>
    <t>411001000357</t>
  </si>
  <si>
    <t>477001005997</t>
  </si>
  <si>
    <t>608702006452</t>
  </si>
  <si>
    <t>617601000728</t>
  </si>
  <si>
    <t>707801008865</t>
  </si>
  <si>
    <t>707801008866</t>
  </si>
  <si>
    <t>707901008770</t>
  </si>
  <si>
    <t>764101008951</t>
  </si>
  <si>
    <t>818802006078</t>
  </si>
  <si>
    <t>830501005110</t>
  </si>
  <si>
    <t>211701000926</t>
  </si>
  <si>
    <t>100501</t>
  </si>
  <si>
    <t>6000</t>
  </si>
  <si>
    <t>100502</t>
  </si>
  <si>
    <t>2230</t>
  </si>
  <si>
    <t>Australian Way Sydney International</t>
  </si>
  <si>
    <t>223001003572</t>
  </si>
  <si>
    <t>223001</t>
  </si>
  <si>
    <t xml:space="preserve">Yodhathai </t>
  </si>
  <si>
    <t xml:space="preserve">Netsawang </t>
  </si>
  <si>
    <t>5237</t>
  </si>
  <si>
    <t>Thai Chau</t>
  </si>
  <si>
    <t>Lay</t>
  </si>
  <si>
    <t>3982</t>
  </si>
  <si>
    <t>100101</t>
  </si>
  <si>
    <t>Loren</t>
  </si>
  <si>
    <t>Stanwell</t>
  </si>
  <si>
    <t>5563</t>
  </si>
  <si>
    <t>1001</t>
  </si>
  <si>
    <t>1433</t>
  </si>
  <si>
    <t>Alona</t>
  </si>
  <si>
    <t>Mirianda</t>
  </si>
  <si>
    <t>3493</t>
  </si>
  <si>
    <t>410701000392</t>
  </si>
  <si>
    <t>Renae</t>
  </si>
  <si>
    <t>Thompson</t>
  </si>
  <si>
    <t>1536</t>
  </si>
  <si>
    <t>608702006450</t>
  </si>
  <si>
    <t>090201</t>
  </si>
  <si>
    <t>2170</t>
  </si>
  <si>
    <t>100202</t>
  </si>
  <si>
    <t>Gillian</t>
  </si>
  <si>
    <t>O'Rourke</t>
  </si>
  <si>
    <t>1914</t>
  </si>
  <si>
    <t>608702006451</t>
  </si>
  <si>
    <t>100201</t>
  </si>
  <si>
    <t>Andrea</t>
  </si>
  <si>
    <t>Bullingham</t>
  </si>
  <si>
    <t>5330</t>
  </si>
  <si>
    <t>10010</t>
  </si>
  <si>
    <t>100102</t>
  </si>
  <si>
    <t>100110</t>
  </si>
  <si>
    <t xml:space="preserve">Saruta </t>
  </si>
  <si>
    <t>Samrual</t>
  </si>
  <si>
    <t>5387</t>
  </si>
  <si>
    <t>11/05/2021</t>
  </si>
  <si>
    <t>cashless draw</t>
  </si>
  <si>
    <t>Staff pressed 0 for float.</t>
  </si>
  <si>
    <t>drawer short - unknown</t>
  </si>
  <si>
    <t>222501000187</t>
  </si>
  <si>
    <t>223101003765</t>
  </si>
  <si>
    <t>245001004322</t>
  </si>
  <si>
    <t>319101010292</t>
  </si>
  <si>
    <t>410001004414</t>
  </si>
  <si>
    <t>410101000790</t>
  </si>
  <si>
    <t>410201000723</t>
  </si>
  <si>
    <t>410401000506</t>
  </si>
  <si>
    <t>410601000601</t>
  </si>
  <si>
    <t>410701000399</t>
  </si>
  <si>
    <t>410801000267</t>
  </si>
  <si>
    <t>410901000397</t>
  </si>
  <si>
    <t>411001000358</t>
  </si>
  <si>
    <t>477001005998</t>
  </si>
  <si>
    <t>617601000729</t>
  </si>
  <si>
    <t>707801008867</t>
  </si>
  <si>
    <t>707901008771</t>
  </si>
  <si>
    <t>764101008952</t>
  </si>
  <si>
    <t>818802006079</t>
  </si>
  <si>
    <t>830501005111</t>
  </si>
  <si>
    <t>211701000927</t>
  </si>
  <si>
    <t>110501</t>
  </si>
  <si>
    <t>Penny</t>
  </si>
  <si>
    <t>Luu</t>
  </si>
  <si>
    <t>5541</t>
  </si>
  <si>
    <t>211801001200</t>
  </si>
  <si>
    <t>4197</t>
  </si>
  <si>
    <t>211901001352</t>
  </si>
  <si>
    <t>Jing (Judy)</t>
  </si>
  <si>
    <t>Na Conte</t>
  </si>
  <si>
    <t>3631</t>
  </si>
  <si>
    <t>Mee Ja</t>
  </si>
  <si>
    <t>Kang</t>
  </si>
  <si>
    <t>3462</t>
  </si>
  <si>
    <t>110101</t>
  </si>
  <si>
    <t>6408</t>
  </si>
  <si>
    <t>1101</t>
  </si>
  <si>
    <t>Kelly</t>
  </si>
  <si>
    <t>Rooke</t>
  </si>
  <si>
    <t>5186</t>
  </si>
  <si>
    <t>3345</t>
  </si>
  <si>
    <t>John</t>
  </si>
  <si>
    <t xml:space="preserve">Rago </t>
  </si>
  <si>
    <t>3938</t>
  </si>
  <si>
    <t>110201</t>
  </si>
  <si>
    <t>2021-05-11</t>
  </si>
  <si>
    <t>707802002744</t>
  </si>
  <si>
    <t>707901006783</t>
  </si>
  <si>
    <t>764101006962</t>
  </si>
  <si>
    <t>Store_Amt</t>
  </si>
  <si>
    <t>Store_TD</t>
  </si>
  <si>
    <t>211801001201</t>
  </si>
  <si>
    <t>211901001353</t>
  </si>
  <si>
    <t>222502000526</t>
  </si>
  <si>
    <t>223101003766</t>
  </si>
  <si>
    <t>245001004323</t>
  </si>
  <si>
    <t>317501005858</t>
  </si>
  <si>
    <t>319101010293</t>
  </si>
  <si>
    <t>410001004415</t>
  </si>
  <si>
    <t>410101000791</t>
  </si>
  <si>
    <t>410201000724</t>
  </si>
  <si>
    <t>410401000507</t>
  </si>
  <si>
    <t>410601000602</t>
  </si>
  <si>
    <t>410701000400</t>
  </si>
  <si>
    <t>410801000268</t>
  </si>
  <si>
    <t>410901000398</t>
  </si>
  <si>
    <t>411001000359</t>
  </si>
  <si>
    <t>477001005999</t>
  </si>
  <si>
    <t>617601000730</t>
  </si>
  <si>
    <t>707801008868</t>
  </si>
  <si>
    <t>707901008772</t>
  </si>
  <si>
    <t>764101008953</t>
  </si>
  <si>
    <t>818802006080</t>
  </si>
  <si>
    <t>830501005112</t>
  </si>
  <si>
    <t>211701000928</t>
  </si>
  <si>
    <t>12050101</t>
  </si>
  <si>
    <t>Chaopei (Christine)</t>
  </si>
  <si>
    <t>Zhu</t>
  </si>
  <si>
    <t>3747</t>
  </si>
  <si>
    <t>12/05/2021</t>
  </si>
  <si>
    <t>120501</t>
  </si>
  <si>
    <t>Rong</t>
  </si>
  <si>
    <t>Fan</t>
  </si>
  <si>
    <t>5017</t>
  </si>
  <si>
    <t xml:space="preserve">Betty </t>
  </si>
  <si>
    <t xml:space="preserve">Hui </t>
  </si>
  <si>
    <t>3904</t>
  </si>
  <si>
    <t>120502</t>
  </si>
  <si>
    <t>12050102</t>
  </si>
  <si>
    <t>120101</t>
  </si>
  <si>
    <t>Berderow</t>
  </si>
  <si>
    <t>2831</t>
  </si>
  <si>
    <t>1201</t>
  </si>
  <si>
    <t>13/05/2021</t>
  </si>
  <si>
    <t>Reconciler</t>
  </si>
  <si>
    <t>Store Rec Variance</t>
  </si>
  <si>
    <t xml:space="preserve">Kerrily </t>
  </si>
  <si>
    <t xml:space="preserve">The 2 POS banking reconciliations entered (-13123.10 , + 1600) totals $11523.1. This is made up of:
1)	Store declared incorrect cash takings on trading day 2/02/2020, causing a variance of $9700; 
2)	Floats $1600, 4 trading days' worth;
3)	Cash takings to bank with float deducted: $784.45, trading day 4/5/21-8/5/21. 
4)	Various cash discrepancy pre-COVID: $161.35. </t>
  </si>
  <si>
    <t>accepted cash in  card only POS; backed out by declaring cash under</t>
  </si>
  <si>
    <t>211701000929</t>
  </si>
  <si>
    <t>211801001202</t>
  </si>
  <si>
    <t>211901001354</t>
  </si>
  <si>
    <t>222502000527</t>
  </si>
  <si>
    <t>245001004324</t>
  </si>
  <si>
    <t>317501005859</t>
  </si>
  <si>
    <t>319101010294</t>
  </si>
  <si>
    <t>410001004416</t>
  </si>
  <si>
    <t>410002</t>
  </si>
  <si>
    <t>410002004410</t>
  </si>
  <si>
    <t>410101000792</t>
  </si>
  <si>
    <t>410201000725</t>
  </si>
  <si>
    <t>410401000508</t>
  </si>
  <si>
    <t>410601000603</t>
  </si>
  <si>
    <t>410701000401</t>
  </si>
  <si>
    <t>410801000269</t>
  </si>
  <si>
    <t>410901000399</t>
  </si>
  <si>
    <t>411001000360</t>
  </si>
  <si>
    <t>477001006000</t>
  </si>
  <si>
    <t>608702006455</t>
  </si>
  <si>
    <t>617601000731</t>
  </si>
  <si>
    <t>707801008869</t>
  </si>
  <si>
    <t>707901008773</t>
  </si>
  <si>
    <t>764101008954</t>
  </si>
  <si>
    <t>818802006081</t>
  </si>
  <si>
    <t>830501005113</t>
  </si>
  <si>
    <t>130501</t>
  </si>
  <si>
    <t>130502</t>
  </si>
  <si>
    <t>223101003767</t>
  </si>
  <si>
    <t>Michael</t>
  </si>
  <si>
    <t>Rowe</t>
  </si>
  <si>
    <t>3635</t>
  </si>
  <si>
    <t>130101</t>
  </si>
  <si>
    <t>1352</t>
  </si>
  <si>
    <t>5185</t>
  </si>
  <si>
    <t>130201</t>
  </si>
  <si>
    <t>Adriana</t>
  </si>
  <si>
    <t>Panici</t>
  </si>
  <si>
    <t>3200</t>
  </si>
  <si>
    <t>120201</t>
  </si>
  <si>
    <t>Dolores</t>
  </si>
  <si>
    <t>Lapdez</t>
  </si>
  <si>
    <t>5488</t>
  </si>
  <si>
    <t>14/05/2021</t>
  </si>
  <si>
    <t>Maybe customer short changed?</t>
  </si>
  <si>
    <t>Deposits Received in NAB</t>
  </si>
  <si>
    <t>Store No.</t>
  </si>
  <si>
    <t>SO Comments</t>
  </si>
  <si>
    <t>M:
123</t>
  </si>
  <si>
    <t>M:
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</si>
</sst>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;[Red]&quot;$&quot;#,##0.00"/>
    <numFmt numFmtId="165" formatCode="&quot;$&quot;#,##0;[Red]&quot;$&quot;#,##0"/>
    <numFmt numFmtId="166" formatCode="#,##0;[Red]#,##0"/>
    <numFmt numFmtId="167" formatCode="&quot;$&quot;#,##0.00"/>
    <numFmt numFmtId="168" formatCode="[$-C09]d\ mmmm\ yyyy;@"/>
    <numFmt numFmtId="169" formatCode="0.0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 tint="-4.9989318521683403E-2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814">
    <xf numFmtId="168" fontId="0" fillId="0" borderId="0"/>
    <xf numFmtId="168" fontId="15" fillId="3" borderId="0" applyNumberFormat="0" applyBorder="0" applyAlignment="0" applyProtection="0"/>
    <xf numFmtId="168" fontId="15" fillId="3" borderId="0" applyNumberFormat="0" applyBorder="0" applyAlignment="0" applyProtection="0"/>
    <xf numFmtId="168" fontId="15" fillId="3" borderId="0" applyNumberFormat="0" applyBorder="0" applyAlignment="0" applyProtection="0"/>
    <xf numFmtId="168" fontId="15" fillId="3" borderId="0" applyNumberFormat="0" applyBorder="0" applyAlignment="0" applyProtection="0"/>
    <xf numFmtId="168" fontId="15" fillId="4" borderId="0" applyNumberFormat="0" applyBorder="0" applyAlignment="0" applyProtection="0"/>
    <xf numFmtId="168" fontId="15" fillId="4" borderId="0" applyNumberFormat="0" applyBorder="0" applyAlignment="0" applyProtection="0"/>
    <xf numFmtId="168" fontId="15" fillId="4" borderId="0" applyNumberFormat="0" applyBorder="0" applyAlignment="0" applyProtection="0"/>
    <xf numFmtId="168" fontId="15" fillId="4" borderId="0" applyNumberFormat="0" applyBorder="0" applyAlignment="0" applyProtection="0"/>
    <xf numFmtId="168" fontId="15" fillId="5" borderId="0" applyNumberFormat="0" applyBorder="0" applyAlignment="0" applyProtection="0"/>
    <xf numFmtId="168" fontId="15" fillId="5" borderId="0" applyNumberFormat="0" applyBorder="0" applyAlignment="0" applyProtection="0"/>
    <xf numFmtId="168" fontId="15" fillId="5" borderId="0" applyNumberFormat="0" applyBorder="0" applyAlignment="0" applyProtection="0"/>
    <xf numFmtId="168" fontId="15" fillId="5" borderId="0" applyNumberFormat="0" applyBorder="0" applyAlignment="0" applyProtection="0"/>
    <xf numFmtId="168" fontId="15" fillId="6" borderId="0" applyNumberFormat="0" applyBorder="0" applyAlignment="0" applyProtection="0"/>
    <xf numFmtId="168" fontId="15" fillId="6" borderId="0" applyNumberFormat="0" applyBorder="0" applyAlignment="0" applyProtection="0"/>
    <xf numFmtId="168" fontId="15" fillId="6" borderId="0" applyNumberFormat="0" applyBorder="0" applyAlignment="0" applyProtection="0"/>
    <xf numFmtId="168" fontId="15" fillId="6" borderId="0" applyNumberFormat="0" applyBorder="0" applyAlignment="0" applyProtection="0"/>
    <xf numFmtId="168" fontId="15" fillId="7" borderId="0" applyNumberFormat="0" applyBorder="0" applyAlignment="0" applyProtection="0"/>
    <xf numFmtId="168" fontId="15" fillId="7" borderId="0" applyNumberFormat="0" applyBorder="0" applyAlignment="0" applyProtection="0"/>
    <xf numFmtId="168" fontId="15" fillId="7" borderId="0" applyNumberFormat="0" applyBorder="0" applyAlignment="0" applyProtection="0"/>
    <xf numFmtId="168" fontId="15" fillId="7" borderId="0" applyNumberFormat="0" applyBorder="0" applyAlignment="0" applyProtection="0"/>
    <xf numFmtId="168" fontId="15" fillId="8" borderId="0" applyNumberFormat="0" applyBorder="0" applyAlignment="0" applyProtection="0"/>
    <xf numFmtId="168" fontId="15" fillId="8" borderId="0" applyNumberFormat="0" applyBorder="0" applyAlignment="0" applyProtection="0"/>
    <xf numFmtId="168" fontId="15" fillId="8" borderId="0" applyNumberFormat="0" applyBorder="0" applyAlignment="0" applyProtection="0"/>
    <xf numFmtId="168" fontId="15" fillId="8" borderId="0" applyNumberFormat="0" applyBorder="0" applyAlignment="0" applyProtection="0"/>
    <xf numFmtId="168" fontId="15" fillId="9" borderId="0" applyNumberFormat="0" applyBorder="0" applyAlignment="0" applyProtection="0"/>
    <xf numFmtId="168" fontId="15" fillId="9" borderId="0" applyNumberFormat="0" applyBorder="0" applyAlignment="0" applyProtection="0"/>
    <xf numFmtId="168" fontId="15" fillId="9" borderId="0" applyNumberFormat="0" applyBorder="0" applyAlignment="0" applyProtection="0"/>
    <xf numFmtId="168" fontId="15" fillId="9" borderId="0" applyNumberFormat="0" applyBorder="0" applyAlignment="0" applyProtection="0"/>
    <xf numFmtId="168" fontId="15" fillId="10" borderId="0" applyNumberFormat="0" applyBorder="0" applyAlignment="0" applyProtection="0"/>
    <xf numFmtId="168" fontId="15" fillId="10" borderId="0" applyNumberFormat="0" applyBorder="0" applyAlignment="0" applyProtection="0"/>
    <xf numFmtId="168" fontId="15" fillId="10" borderId="0" applyNumberFormat="0" applyBorder="0" applyAlignment="0" applyProtection="0"/>
    <xf numFmtId="168" fontId="15" fillId="10" borderId="0" applyNumberFormat="0" applyBorder="0" applyAlignment="0" applyProtection="0"/>
    <xf numFmtId="168" fontId="15" fillId="11" borderId="0" applyNumberFormat="0" applyBorder="0" applyAlignment="0" applyProtection="0"/>
    <xf numFmtId="168" fontId="15" fillId="11" borderId="0" applyNumberFormat="0" applyBorder="0" applyAlignment="0" applyProtection="0"/>
    <xf numFmtId="168" fontId="15" fillId="11" borderId="0" applyNumberFormat="0" applyBorder="0" applyAlignment="0" applyProtection="0"/>
    <xf numFmtId="168" fontId="15" fillId="11" borderId="0" applyNumberFormat="0" applyBorder="0" applyAlignment="0" applyProtection="0"/>
    <xf numFmtId="168" fontId="15" fillId="12" borderId="0" applyNumberFormat="0" applyBorder="0" applyAlignment="0" applyProtection="0"/>
    <xf numFmtId="168" fontId="15" fillId="12" borderId="0" applyNumberFormat="0" applyBorder="0" applyAlignment="0" applyProtection="0"/>
    <xf numFmtId="168" fontId="15" fillId="12" borderId="0" applyNumberFormat="0" applyBorder="0" applyAlignment="0" applyProtection="0"/>
    <xf numFmtId="168" fontId="15" fillId="12" borderId="0" applyNumberFormat="0" applyBorder="0" applyAlignment="0" applyProtection="0"/>
    <xf numFmtId="168" fontId="15" fillId="13" borderId="0" applyNumberFormat="0" applyBorder="0" applyAlignment="0" applyProtection="0"/>
    <xf numFmtId="168" fontId="15" fillId="13" borderId="0" applyNumberFormat="0" applyBorder="0" applyAlignment="0" applyProtection="0"/>
    <xf numFmtId="168" fontId="15" fillId="13" borderId="0" applyNumberFormat="0" applyBorder="0" applyAlignment="0" applyProtection="0"/>
    <xf numFmtId="168" fontId="15" fillId="13" borderId="0" applyNumberFormat="0" applyBorder="0" applyAlignment="0" applyProtection="0"/>
    <xf numFmtId="168" fontId="15" fillId="14" borderId="0" applyNumberFormat="0" applyBorder="0" applyAlignment="0" applyProtection="0"/>
    <xf numFmtId="168" fontId="15" fillId="14" borderId="0" applyNumberFormat="0" applyBorder="0" applyAlignment="0" applyProtection="0"/>
    <xf numFmtId="168" fontId="15" fillId="14" borderId="0" applyNumberFormat="0" applyBorder="0" applyAlignment="0" applyProtection="0"/>
    <xf numFmtId="168" fontId="15" fillId="14" borderId="0" applyNumberFormat="0" applyBorder="0" applyAlignment="0" applyProtection="0"/>
    <xf numFmtId="168" fontId="16" fillId="15" borderId="0" applyNumberFormat="0" applyBorder="0" applyAlignment="0" applyProtection="0"/>
    <xf numFmtId="168" fontId="16" fillId="16" borderId="0" applyNumberFormat="0" applyBorder="0" applyAlignment="0" applyProtection="0"/>
    <xf numFmtId="168" fontId="16" fillId="17" borderId="0" applyNumberFormat="0" applyBorder="0" applyAlignment="0" applyProtection="0"/>
    <xf numFmtId="168" fontId="16" fillId="18" borderId="0" applyNumberFormat="0" applyBorder="0" applyAlignment="0" applyProtection="0"/>
    <xf numFmtId="168" fontId="16" fillId="19" borderId="0" applyNumberFormat="0" applyBorder="0" applyAlignment="0" applyProtection="0"/>
    <xf numFmtId="168" fontId="16" fillId="20" borderId="0" applyNumberFormat="0" applyBorder="0" applyAlignment="0" applyProtection="0"/>
    <xf numFmtId="168" fontId="16" fillId="21" borderId="0" applyNumberFormat="0" applyBorder="0" applyAlignment="0" applyProtection="0"/>
    <xf numFmtId="168" fontId="16" fillId="22" borderId="0" applyNumberFormat="0" applyBorder="0" applyAlignment="0" applyProtection="0"/>
    <xf numFmtId="168" fontId="16" fillId="23" borderId="0" applyNumberFormat="0" applyBorder="0" applyAlignment="0" applyProtection="0"/>
    <xf numFmtId="168" fontId="16" fillId="24" borderId="0" applyNumberFormat="0" applyBorder="0" applyAlignment="0" applyProtection="0"/>
    <xf numFmtId="168" fontId="16" fillId="25" borderId="0" applyNumberFormat="0" applyBorder="0" applyAlignment="0" applyProtection="0"/>
    <xf numFmtId="168" fontId="16" fillId="26" borderId="0" applyNumberFormat="0" applyBorder="0" applyAlignment="0" applyProtection="0"/>
    <xf numFmtId="168" fontId="17" fillId="27" borderId="0" applyNumberFormat="0" applyBorder="0" applyAlignment="0" applyProtection="0"/>
    <xf numFmtId="168" fontId="18" fillId="28" borderId="18" applyNumberFormat="0" applyAlignment="0" applyProtection="0"/>
    <xf numFmtId="168" fontId="19" fillId="29" borderId="19" applyNumberFormat="0" applyAlignment="0" applyProtection="0"/>
    <xf numFmtId="43" fontId="14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20" fillId="0" borderId="0" applyNumberFormat="0" applyFill="0" applyBorder="0" applyAlignment="0" applyProtection="0"/>
    <xf numFmtId="168" fontId="21" fillId="30" borderId="0" applyNumberFormat="0" applyBorder="0" applyAlignment="0" applyProtection="0"/>
    <xf numFmtId="168" fontId="22" fillId="0" borderId="20" applyNumberFormat="0" applyFill="0" applyAlignment="0" applyProtection="0"/>
    <xf numFmtId="168" fontId="23" fillId="0" borderId="21" applyNumberFormat="0" applyFill="0" applyAlignment="0" applyProtection="0"/>
    <xf numFmtId="168" fontId="24" fillId="0" borderId="22" applyNumberFormat="0" applyFill="0" applyAlignment="0" applyProtection="0"/>
    <xf numFmtId="168" fontId="24" fillId="0" borderId="0" applyNumberFormat="0" applyFill="0" applyBorder="0" applyAlignment="0" applyProtection="0"/>
    <xf numFmtId="168" fontId="25" fillId="31" borderId="18" applyNumberFormat="0" applyAlignment="0" applyProtection="0"/>
    <xf numFmtId="168" fontId="26" fillId="0" borderId="23" applyNumberFormat="0" applyFill="0" applyAlignment="0" applyProtection="0"/>
    <xf numFmtId="168" fontId="27" fillId="32" borderId="0" applyNumberFormat="0" applyBorder="0" applyAlignment="0" applyProtection="0"/>
    <xf numFmtId="168" fontId="15" fillId="0" borderId="0"/>
    <xf numFmtId="168" fontId="15" fillId="0" borderId="0"/>
    <xf numFmtId="168" fontId="7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7" fillId="0" borderId="0"/>
    <xf numFmtId="168" fontId="7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0" borderId="0"/>
    <xf numFmtId="168" fontId="15" fillId="33" borderId="24" applyNumberFormat="0" applyFont="0" applyAlignment="0" applyProtection="0"/>
    <xf numFmtId="168" fontId="15" fillId="33" borderId="24" applyNumberFormat="0" applyFont="0" applyAlignment="0" applyProtection="0"/>
    <xf numFmtId="168" fontId="15" fillId="33" borderId="24" applyNumberFormat="0" applyFont="0" applyAlignment="0" applyProtection="0"/>
    <xf numFmtId="168" fontId="15" fillId="33" borderId="24" applyNumberFormat="0" applyFont="0" applyAlignment="0" applyProtection="0"/>
    <xf numFmtId="168" fontId="28" fillId="28" borderId="25" applyNumberFormat="0" applyAlignment="0" applyProtection="0"/>
    <xf numFmtId="168" fontId="29" fillId="0" borderId="0" applyNumberFormat="0" applyFill="0" applyBorder="0" applyAlignment="0" applyProtection="0"/>
    <xf numFmtId="168" fontId="30" fillId="0" borderId="26" applyNumberFormat="0" applyFill="0" applyAlignment="0" applyProtection="0"/>
    <xf numFmtId="168" fontId="31" fillId="0" borderId="0" applyNumberFormat="0" applyFill="0" applyBorder="0" applyAlignment="0" applyProtection="0"/>
    <xf numFmtId="168" fontId="6" fillId="0" borderId="0"/>
    <xf numFmtId="168" fontId="6" fillId="3" borderId="0" applyNumberFormat="0" applyBorder="0" applyAlignment="0" applyProtection="0"/>
    <xf numFmtId="168" fontId="6" fillId="9" borderId="0" applyNumberFormat="0" applyBorder="0" applyAlignment="0" applyProtection="0"/>
    <xf numFmtId="168" fontId="6" fillId="4" borderId="0" applyNumberFormat="0" applyBorder="0" applyAlignment="0" applyProtection="0"/>
    <xf numFmtId="168" fontId="6" fillId="10" borderId="0" applyNumberFormat="0" applyBorder="0" applyAlignment="0" applyProtection="0"/>
    <xf numFmtId="168" fontId="6" fillId="5" borderId="0" applyNumberFormat="0" applyBorder="0" applyAlignment="0" applyProtection="0"/>
    <xf numFmtId="168" fontId="6" fillId="11" borderId="0" applyNumberFormat="0" applyBorder="0" applyAlignment="0" applyProtection="0"/>
    <xf numFmtId="168" fontId="6" fillId="6" borderId="0" applyNumberFormat="0" applyBorder="0" applyAlignment="0" applyProtection="0"/>
    <xf numFmtId="168" fontId="6" fillId="12" borderId="0" applyNumberFormat="0" applyBorder="0" applyAlignment="0" applyProtection="0"/>
    <xf numFmtId="168" fontId="6" fillId="7" borderId="0" applyNumberFormat="0" applyBorder="0" applyAlignment="0" applyProtection="0"/>
    <xf numFmtId="168" fontId="6" fillId="13" borderId="0" applyNumberFormat="0" applyBorder="0" applyAlignment="0" applyProtection="0"/>
    <xf numFmtId="168" fontId="6" fillId="8" borderId="0" applyNumberFormat="0" applyBorder="0" applyAlignment="0" applyProtection="0"/>
    <xf numFmtId="168" fontId="6" fillId="14" borderId="0" applyNumberFormat="0" applyBorder="0" applyAlignment="0" applyProtection="0"/>
    <xf numFmtId="168" fontId="7" fillId="0" borderId="0"/>
    <xf numFmtId="168" fontId="6" fillId="3" borderId="0" applyNumberFormat="0" applyBorder="0" applyAlignment="0" applyProtection="0"/>
    <xf numFmtId="168" fontId="6" fillId="3" borderId="0" applyNumberFormat="0" applyBorder="0" applyAlignment="0" applyProtection="0"/>
    <xf numFmtId="168" fontId="6" fillId="3" borderId="0" applyNumberFormat="0" applyBorder="0" applyAlignment="0" applyProtection="0"/>
    <xf numFmtId="168" fontId="6" fillId="4" borderId="0" applyNumberFormat="0" applyBorder="0" applyAlignment="0" applyProtection="0"/>
    <xf numFmtId="168" fontId="6" fillId="4" borderId="0" applyNumberFormat="0" applyBorder="0" applyAlignment="0" applyProtection="0"/>
    <xf numFmtId="168" fontId="6" fillId="4" borderId="0" applyNumberFormat="0" applyBorder="0" applyAlignment="0" applyProtection="0"/>
    <xf numFmtId="168" fontId="6" fillId="5" borderId="0" applyNumberFormat="0" applyBorder="0" applyAlignment="0" applyProtection="0"/>
    <xf numFmtId="168" fontId="6" fillId="5" borderId="0" applyNumberFormat="0" applyBorder="0" applyAlignment="0" applyProtection="0"/>
    <xf numFmtId="168" fontId="6" fillId="5" borderId="0" applyNumberFormat="0" applyBorder="0" applyAlignment="0" applyProtection="0"/>
    <xf numFmtId="168" fontId="6" fillId="6" borderId="0" applyNumberFormat="0" applyBorder="0" applyAlignment="0" applyProtection="0"/>
    <xf numFmtId="168" fontId="6" fillId="6" borderId="0" applyNumberFormat="0" applyBorder="0" applyAlignment="0" applyProtection="0"/>
    <xf numFmtId="168" fontId="6" fillId="6" borderId="0" applyNumberFormat="0" applyBorder="0" applyAlignment="0" applyProtection="0"/>
    <xf numFmtId="168" fontId="6" fillId="7" borderId="0" applyNumberFormat="0" applyBorder="0" applyAlignment="0" applyProtection="0"/>
    <xf numFmtId="168" fontId="6" fillId="7" borderId="0" applyNumberFormat="0" applyBorder="0" applyAlignment="0" applyProtection="0"/>
    <xf numFmtId="168" fontId="6" fillId="7" borderId="0" applyNumberFormat="0" applyBorder="0" applyAlignment="0" applyProtection="0"/>
    <xf numFmtId="168" fontId="6" fillId="8" borderId="0" applyNumberFormat="0" applyBorder="0" applyAlignment="0" applyProtection="0"/>
    <xf numFmtId="168" fontId="6" fillId="8" borderId="0" applyNumberFormat="0" applyBorder="0" applyAlignment="0" applyProtection="0"/>
    <xf numFmtId="168" fontId="6" fillId="8" borderId="0" applyNumberFormat="0" applyBorder="0" applyAlignment="0" applyProtection="0"/>
    <xf numFmtId="168" fontId="6" fillId="9" borderId="0" applyNumberFormat="0" applyBorder="0" applyAlignment="0" applyProtection="0"/>
    <xf numFmtId="168" fontId="6" fillId="9" borderId="0" applyNumberFormat="0" applyBorder="0" applyAlignment="0" applyProtection="0"/>
    <xf numFmtId="168" fontId="6" fillId="9" borderId="0" applyNumberFormat="0" applyBorder="0" applyAlignment="0" applyProtection="0"/>
    <xf numFmtId="168" fontId="6" fillId="10" borderId="0" applyNumberFormat="0" applyBorder="0" applyAlignment="0" applyProtection="0"/>
    <xf numFmtId="168" fontId="6" fillId="10" borderId="0" applyNumberFormat="0" applyBorder="0" applyAlignment="0" applyProtection="0"/>
    <xf numFmtId="168" fontId="6" fillId="10" borderId="0" applyNumberFormat="0" applyBorder="0" applyAlignment="0" applyProtection="0"/>
    <xf numFmtId="168" fontId="6" fillId="11" borderId="0" applyNumberFormat="0" applyBorder="0" applyAlignment="0" applyProtection="0"/>
    <xf numFmtId="168" fontId="6" fillId="11" borderId="0" applyNumberFormat="0" applyBorder="0" applyAlignment="0" applyProtection="0"/>
    <xf numFmtId="168" fontId="6" fillId="11" borderId="0" applyNumberFormat="0" applyBorder="0" applyAlignment="0" applyProtection="0"/>
    <xf numFmtId="168" fontId="6" fillId="12" borderId="0" applyNumberFormat="0" applyBorder="0" applyAlignment="0" applyProtection="0"/>
    <xf numFmtId="168" fontId="6" fillId="12" borderId="0" applyNumberFormat="0" applyBorder="0" applyAlignment="0" applyProtection="0"/>
    <xf numFmtId="168" fontId="6" fillId="12" borderId="0" applyNumberFormat="0" applyBorder="0" applyAlignment="0" applyProtection="0"/>
    <xf numFmtId="168" fontId="6" fillId="13" borderId="0" applyNumberFormat="0" applyBorder="0" applyAlignment="0" applyProtection="0"/>
    <xf numFmtId="168" fontId="6" fillId="13" borderId="0" applyNumberFormat="0" applyBorder="0" applyAlignment="0" applyProtection="0"/>
    <xf numFmtId="168" fontId="6" fillId="13" borderId="0" applyNumberFormat="0" applyBorder="0" applyAlignment="0" applyProtection="0"/>
    <xf numFmtId="168" fontId="6" fillId="14" borderId="0" applyNumberFormat="0" applyBorder="0" applyAlignment="0" applyProtection="0"/>
    <xf numFmtId="168" fontId="6" fillId="14" borderId="0" applyNumberFormat="0" applyBorder="0" applyAlignment="0" applyProtection="0"/>
    <xf numFmtId="168" fontId="6" fillId="14" borderId="0" applyNumberFormat="0" applyBorder="0" applyAlignment="0" applyProtection="0"/>
    <xf numFmtId="43" fontId="7" fillId="0" borderId="0" applyFont="0" applyFill="0" applyBorder="0" applyAlignment="0" applyProtection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33" borderId="24" applyNumberFormat="0" applyFont="0" applyAlignment="0" applyProtection="0"/>
    <xf numFmtId="168" fontId="6" fillId="33" borderId="24" applyNumberFormat="0" applyFont="0" applyAlignment="0" applyProtection="0"/>
    <xf numFmtId="168" fontId="6" fillId="33" borderId="24" applyNumberFormat="0" applyFont="0" applyAlignment="0" applyProtection="0"/>
    <xf numFmtId="168" fontId="6" fillId="33" borderId="24" applyNumberFormat="0" applyFont="0" applyAlignment="0" applyProtection="0"/>
    <xf numFmtId="168" fontId="38" fillId="0" borderId="0"/>
    <xf numFmtId="44" fontId="39" fillId="0" borderId="0" applyFont="0" applyFill="0" applyBorder="0" applyAlignment="0" applyProtection="0"/>
    <xf numFmtId="0" fontId="5" fillId="0" borderId="0"/>
    <xf numFmtId="0" fontId="29" fillId="0" borderId="0" applyNumberFormat="0" applyFill="0" applyBorder="0" applyAlignment="0" applyProtection="0"/>
    <xf numFmtId="0" fontId="22" fillId="0" borderId="20" applyNumberFormat="0" applyFill="0" applyAlignment="0" applyProtection="0"/>
    <xf numFmtId="0" fontId="23" fillId="0" borderId="21" applyNumberFormat="0" applyFill="0" applyAlignment="0" applyProtection="0"/>
    <xf numFmtId="0" fontId="24" fillId="0" borderId="22" applyNumberFormat="0" applyFill="0" applyAlignment="0" applyProtection="0"/>
    <xf numFmtId="0" fontId="24" fillId="0" borderId="0" applyNumberFormat="0" applyFill="0" applyBorder="0" applyAlignment="0" applyProtection="0"/>
    <xf numFmtId="0" fontId="21" fillId="30" borderId="0" applyNumberFormat="0" applyBorder="0" applyAlignment="0" applyProtection="0"/>
    <xf numFmtId="0" fontId="17" fillId="27" borderId="0" applyNumberFormat="0" applyBorder="0" applyAlignment="0" applyProtection="0"/>
    <xf numFmtId="0" fontId="27" fillId="32" borderId="0" applyNumberFormat="0" applyBorder="0" applyAlignment="0" applyProtection="0"/>
    <xf numFmtId="0" fontId="25" fillId="31" borderId="18" applyNumberFormat="0" applyAlignment="0" applyProtection="0"/>
    <xf numFmtId="0" fontId="28" fillId="28" borderId="25" applyNumberFormat="0" applyAlignment="0" applyProtection="0"/>
    <xf numFmtId="0" fontId="18" fillId="28" borderId="18" applyNumberFormat="0" applyAlignment="0" applyProtection="0"/>
    <xf numFmtId="0" fontId="26" fillId="0" borderId="23" applyNumberFormat="0" applyFill="0" applyAlignment="0" applyProtection="0"/>
    <xf numFmtId="0" fontId="19" fillId="29" borderId="19" applyNumberFormat="0" applyAlignment="0" applyProtection="0"/>
    <xf numFmtId="0" fontId="31" fillId="0" borderId="0" applyNumberFormat="0" applyFill="0" applyBorder="0" applyAlignment="0" applyProtection="0"/>
    <xf numFmtId="0" fontId="5" fillId="33" borderId="24" applyNumberFormat="0" applyFont="0" applyAlignment="0" applyProtection="0"/>
    <xf numFmtId="0" fontId="20" fillId="0" borderId="0" applyNumberFormat="0" applyFill="0" applyBorder="0" applyAlignment="0" applyProtection="0"/>
    <xf numFmtId="0" fontId="30" fillId="0" borderId="26" applyNumberFormat="0" applyFill="0" applyAlignment="0" applyProtection="0"/>
    <xf numFmtId="0" fontId="16" fillId="21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16" fillId="15" borderId="0" applyNumberFormat="0" applyBorder="0" applyAlignment="0" applyProtection="0"/>
    <xf numFmtId="0" fontId="16" fillId="22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16" fillId="16" borderId="0" applyNumberFormat="0" applyBorder="0" applyAlignment="0" applyProtection="0"/>
    <xf numFmtId="0" fontId="16" fillId="23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16" fillId="17" borderId="0" applyNumberFormat="0" applyBorder="0" applyAlignment="0" applyProtection="0"/>
    <xf numFmtId="0" fontId="16" fillId="24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16" fillId="18" borderId="0" applyNumberFormat="0" applyBorder="0" applyAlignment="0" applyProtection="0"/>
    <xf numFmtId="0" fontId="16" fillId="25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16" fillId="19" borderId="0" applyNumberFormat="0" applyBorder="0" applyAlignment="0" applyProtection="0"/>
    <xf numFmtId="0" fontId="16" fillId="26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16" fillId="20" borderId="0" applyNumberFormat="0" applyBorder="0" applyAlignment="0" applyProtection="0"/>
    <xf numFmtId="43" fontId="7" fillId="0" borderId="0" applyFont="0" applyFill="0" applyBorder="0" applyAlignment="0" applyProtection="0"/>
    <xf numFmtId="0" fontId="4" fillId="0" borderId="0"/>
    <xf numFmtId="0" fontId="4" fillId="33" borderId="24" applyNumberFormat="0" applyFont="0" applyAlignment="0" applyProtection="0"/>
    <xf numFmtId="0" fontId="4" fillId="3" borderId="0" applyNumberFormat="0" applyBorder="0" applyAlignment="0" applyProtection="0"/>
    <xf numFmtId="0" fontId="4" fillId="9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3" borderId="0" applyNumberFormat="0" applyBorder="0" applyAlignment="0" applyProtection="0"/>
    <xf numFmtId="0" fontId="4" fillId="8" borderId="0" applyNumberFormat="0" applyBorder="0" applyAlignment="0" applyProtection="0"/>
    <xf numFmtId="0" fontId="4" fillId="14" borderId="0" applyNumberFormat="0" applyBorder="0" applyAlignment="0" applyProtection="0"/>
    <xf numFmtId="168" fontId="7" fillId="0" borderId="0"/>
    <xf numFmtId="168" fontId="4" fillId="3" borderId="0" applyNumberFormat="0" applyBorder="0" applyAlignment="0" applyProtection="0"/>
    <xf numFmtId="168" fontId="4" fillId="3" borderId="0" applyNumberFormat="0" applyBorder="0" applyAlignment="0" applyProtection="0"/>
    <xf numFmtId="168" fontId="4" fillId="3" borderId="0" applyNumberFormat="0" applyBorder="0" applyAlignment="0" applyProtection="0"/>
    <xf numFmtId="168" fontId="4" fillId="3" borderId="0" applyNumberFormat="0" applyBorder="0" applyAlignment="0" applyProtection="0"/>
    <xf numFmtId="168" fontId="4" fillId="4" borderId="0" applyNumberFormat="0" applyBorder="0" applyAlignment="0" applyProtection="0"/>
    <xf numFmtId="168" fontId="4" fillId="4" borderId="0" applyNumberFormat="0" applyBorder="0" applyAlignment="0" applyProtection="0"/>
    <xf numFmtId="168" fontId="4" fillId="4" borderId="0" applyNumberFormat="0" applyBorder="0" applyAlignment="0" applyProtection="0"/>
    <xf numFmtId="168" fontId="4" fillId="4" borderId="0" applyNumberFormat="0" applyBorder="0" applyAlignment="0" applyProtection="0"/>
    <xf numFmtId="168" fontId="4" fillId="5" borderId="0" applyNumberFormat="0" applyBorder="0" applyAlignment="0" applyProtection="0"/>
    <xf numFmtId="168" fontId="4" fillId="5" borderId="0" applyNumberFormat="0" applyBorder="0" applyAlignment="0" applyProtection="0"/>
    <xf numFmtId="168" fontId="4" fillId="5" borderId="0" applyNumberFormat="0" applyBorder="0" applyAlignment="0" applyProtection="0"/>
    <xf numFmtId="168" fontId="4" fillId="5" borderId="0" applyNumberFormat="0" applyBorder="0" applyAlignment="0" applyProtection="0"/>
    <xf numFmtId="168" fontId="4" fillId="6" borderId="0" applyNumberFormat="0" applyBorder="0" applyAlignment="0" applyProtection="0"/>
    <xf numFmtId="168" fontId="4" fillId="6" borderId="0" applyNumberFormat="0" applyBorder="0" applyAlignment="0" applyProtection="0"/>
    <xf numFmtId="168" fontId="4" fillId="6" borderId="0" applyNumberFormat="0" applyBorder="0" applyAlignment="0" applyProtection="0"/>
    <xf numFmtId="168" fontId="4" fillId="6" borderId="0" applyNumberFormat="0" applyBorder="0" applyAlignment="0" applyProtection="0"/>
    <xf numFmtId="168" fontId="4" fillId="7" borderId="0" applyNumberFormat="0" applyBorder="0" applyAlignment="0" applyProtection="0"/>
    <xf numFmtId="168" fontId="4" fillId="7" borderId="0" applyNumberFormat="0" applyBorder="0" applyAlignment="0" applyProtection="0"/>
    <xf numFmtId="168" fontId="4" fillId="7" borderId="0" applyNumberFormat="0" applyBorder="0" applyAlignment="0" applyProtection="0"/>
    <xf numFmtId="168" fontId="4" fillId="7" borderId="0" applyNumberFormat="0" applyBorder="0" applyAlignment="0" applyProtection="0"/>
    <xf numFmtId="168" fontId="4" fillId="8" borderId="0" applyNumberFormat="0" applyBorder="0" applyAlignment="0" applyProtection="0"/>
    <xf numFmtId="168" fontId="4" fillId="8" borderId="0" applyNumberFormat="0" applyBorder="0" applyAlignment="0" applyProtection="0"/>
    <xf numFmtId="168" fontId="4" fillId="8" borderId="0" applyNumberFormat="0" applyBorder="0" applyAlignment="0" applyProtection="0"/>
    <xf numFmtId="168" fontId="4" fillId="8" borderId="0" applyNumberFormat="0" applyBorder="0" applyAlignment="0" applyProtection="0"/>
    <xf numFmtId="168" fontId="4" fillId="9" borderId="0" applyNumberFormat="0" applyBorder="0" applyAlignment="0" applyProtection="0"/>
    <xf numFmtId="168" fontId="4" fillId="9" borderId="0" applyNumberFormat="0" applyBorder="0" applyAlignment="0" applyProtection="0"/>
    <xf numFmtId="168" fontId="4" fillId="9" borderId="0" applyNumberFormat="0" applyBorder="0" applyAlignment="0" applyProtection="0"/>
    <xf numFmtId="168" fontId="4" fillId="9" borderId="0" applyNumberFormat="0" applyBorder="0" applyAlignment="0" applyProtection="0"/>
    <xf numFmtId="168" fontId="4" fillId="10" borderId="0" applyNumberFormat="0" applyBorder="0" applyAlignment="0" applyProtection="0"/>
    <xf numFmtId="168" fontId="4" fillId="10" borderId="0" applyNumberFormat="0" applyBorder="0" applyAlignment="0" applyProtection="0"/>
    <xf numFmtId="168" fontId="4" fillId="10" borderId="0" applyNumberFormat="0" applyBorder="0" applyAlignment="0" applyProtection="0"/>
    <xf numFmtId="168" fontId="4" fillId="10" borderId="0" applyNumberFormat="0" applyBorder="0" applyAlignment="0" applyProtection="0"/>
    <xf numFmtId="168" fontId="4" fillId="11" borderId="0" applyNumberFormat="0" applyBorder="0" applyAlignment="0" applyProtection="0"/>
    <xf numFmtId="168" fontId="4" fillId="11" borderId="0" applyNumberFormat="0" applyBorder="0" applyAlignment="0" applyProtection="0"/>
    <xf numFmtId="168" fontId="4" fillId="11" borderId="0" applyNumberFormat="0" applyBorder="0" applyAlignment="0" applyProtection="0"/>
    <xf numFmtId="168" fontId="4" fillId="11" borderId="0" applyNumberFormat="0" applyBorder="0" applyAlignment="0" applyProtection="0"/>
    <xf numFmtId="168" fontId="4" fillId="12" borderId="0" applyNumberFormat="0" applyBorder="0" applyAlignment="0" applyProtection="0"/>
    <xf numFmtId="168" fontId="4" fillId="12" borderId="0" applyNumberFormat="0" applyBorder="0" applyAlignment="0" applyProtection="0"/>
    <xf numFmtId="168" fontId="4" fillId="12" borderId="0" applyNumberFormat="0" applyBorder="0" applyAlignment="0" applyProtection="0"/>
    <xf numFmtId="168" fontId="4" fillId="12" borderId="0" applyNumberFormat="0" applyBorder="0" applyAlignment="0" applyProtection="0"/>
    <xf numFmtId="168" fontId="4" fillId="13" borderId="0" applyNumberFormat="0" applyBorder="0" applyAlignment="0" applyProtection="0"/>
    <xf numFmtId="168" fontId="4" fillId="13" borderId="0" applyNumberFormat="0" applyBorder="0" applyAlignment="0" applyProtection="0"/>
    <xf numFmtId="168" fontId="4" fillId="13" borderId="0" applyNumberFormat="0" applyBorder="0" applyAlignment="0" applyProtection="0"/>
    <xf numFmtId="168" fontId="4" fillId="13" borderId="0" applyNumberFormat="0" applyBorder="0" applyAlignment="0" applyProtection="0"/>
    <xf numFmtId="168" fontId="4" fillId="14" borderId="0" applyNumberFormat="0" applyBorder="0" applyAlignment="0" applyProtection="0"/>
    <xf numFmtId="168" fontId="4" fillId="14" borderId="0" applyNumberFormat="0" applyBorder="0" applyAlignment="0" applyProtection="0"/>
    <xf numFmtId="168" fontId="4" fillId="14" borderId="0" applyNumberFormat="0" applyBorder="0" applyAlignment="0" applyProtection="0"/>
    <xf numFmtId="168" fontId="4" fillId="14" borderId="0" applyNumberFormat="0" applyBorder="0" applyAlignment="0" applyProtection="0"/>
    <xf numFmtId="168" fontId="16" fillId="15" borderId="0" applyNumberFormat="0" applyBorder="0" applyAlignment="0" applyProtection="0"/>
    <xf numFmtId="168" fontId="16" fillId="16" borderId="0" applyNumberFormat="0" applyBorder="0" applyAlignment="0" applyProtection="0"/>
    <xf numFmtId="168" fontId="16" fillId="17" borderId="0" applyNumberFormat="0" applyBorder="0" applyAlignment="0" applyProtection="0"/>
    <xf numFmtId="168" fontId="16" fillId="18" borderId="0" applyNumberFormat="0" applyBorder="0" applyAlignment="0" applyProtection="0"/>
    <xf numFmtId="168" fontId="16" fillId="19" borderId="0" applyNumberFormat="0" applyBorder="0" applyAlignment="0" applyProtection="0"/>
    <xf numFmtId="168" fontId="16" fillId="20" borderId="0" applyNumberFormat="0" applyBorder="0" applyAlignment="0" applyProtection="0"/>
    <xf numFmtId="168" fontId="16" fillId="21" borderId="0" applyNumberFormat="0" applyBorder="0" applyAlignment="0" applyProtection="0"/>
    <xf numFmtId="168" fontId="16" fillId="22" borderId="0" applyNumberFormat="0" applyBorder="0" applyAlignment="0" applyProtection="0"/>
    <xf numFmtId="168" fontId="16" fillId="23" borderId="0" applyNumberFormat="0" applyBorder="0" applyAlignment="0" applyProtection="0"/>
    <xf numFmtId="168" fontId="16" fillId="24" borderId="0" applyNumberFormat="0" applyBorder="0" applyAlignment="0" applyProtection="0"/>
    <xf numFmtId="168" fontId="16" fillId="25" borderId="0" applyNumberFormat="0" applyBorder="0" applyAlignment="0" applyProtection="0"/>
    <xf numFmtId="168" fontId="16" fillId="26" borderId="0" applyNumberFormat="0" applyBorder="0" applyAlignment="0" applyProtection="0"/>
    <xf numFmtId="168" fontId="17" fillId="27" borderId="0" applyNumberFormat="0" applyBorder="0" applyAlignment="0" applyProtection="0"/>
    <xf numFmtId="168" fontId="18" fillId="28" borderId="18" applyNumberFormat="0" applyAlignment="0" applyProtection="0"/>
    <xf numFmtId="168" fontId="19" fillId="29" borderId="19" applyNumberFormat="0" applyAlignment="0" applyProtection="0"/>
    <xf numFmtId="43" fontId="7" fillId="0" borderId="0" applyFont="0" applyFill="0" applyBorder="0" applyAlignment="0" applyProtection="0"/>
    <xf numFmtId="168" fontId="20" fillId="0" borderId="0" applyNumberFormat="0" applyFill="0" applyBorder="0" applyAlignment="0" applyProtection="0"/>
    <xf numFmtId="168" fontId="21" fillId="30" borderId="0" applyNumberFormat="0" applyBorder="0" applyAlignment="0" applyProtection="0"/>
    <xf numFmtId="168" fontId="22" fillId="0" borderId="20" applyNumberFormat="0" applyFill="0" applyAlignment="0" applyProtection="0"/>
    <xf numFmtId="168" fontId="23" fillId="0" borderId="21" applyNumberFormat="0" applyFill="0" applyAlignment="0" applyProtection="0"/>
    <xf numFmtId="168" fontId="24" fillId="0" borderId="22" applyNumberFormat="0" applyFill="0" applyAlignment="0" applyProtection="0"/>
    <xf numFmtId="168" fontId="24" fillId="0" borderId="0" applyNumberFormat="0" applyFill="0" applyBorder="0" applyAlignment="0" applyProtection="0"/>
    <xf numFmtId="168" fontId="25" fillId="31" borderId="18" applyNumberFormat="0" applyAlignment="0" applyProtection="0"/>
    <xf numFmtId="168" fontId="26" fillId="0" borderId="23" applyNumberFormat="0" applyFill="0" applyAlignment="0" applyProtection="0"/>
    <xf numFmtId="168" fontId="27" fillId="32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28" fillId="28" borderId="25" applyNumberFormat="0" applyAlignment="0" applyProtection="0"/>
    <xf numFmtId="168" fontId="29" fillId="0" borderId="0" applyNumberFormat="0" applyFill="0" applyBorder="0" applyAlignment="0" applyProtection="0"/>
    <xf numFmtId="168" fontId="30" fillId="0" borderId="26" applyNumberFormat="0" applyFill="0" applyAlignment="0" applyProtection="0"/>
    <xf numFmtId="168" fontId="31" fillId="0" borderId="0" applyNumberFormat="0" applyFill="0" applyBorder="0" applyAlignment="0" applyProtection="0"/>
    <xf numFmtId="168" fontId="4" fillId="0" borderId="0"/>
    <xf numFmtId="168" fontId="4" fillId="3" borderId="0" applyNumberFormat="0" applyBorder="0" applyAlignment="0" applyProtection="0"/>
    <xf numFmtId="168" fontId="4" fillId="9" borderId="0" applyNumberFormat="0" applyBorder="0" applyAlignment="0" applyProtection="0"/>
    <xf numFmtId="168" fontId="4" fillId="4" borderId="0" applyNumberFormat="0" applyBorder="0" applyAlignment="0" applyProtection="0"/>
    <xf numFmtId="168" fontId="4" fillId="10" borderId="0" applyNumberFormat="0" applyBorder="0" applyAlignment="0" applyProtection="0"/>
    <xf numFmtId="168" fontId="4" fillId="5" borderId="0" applyNumberFormat="0" applyBorder="0" applyAlignment="0" applyProtection="0"/>
    <xf numFmtId="168" fontId="4" fillId="11" borderId="0" applyNumberFormat="0" applyBorder="0" applyAlignment="0" applyProtection="0"/>
    <xf numFmtId="168" fontId="4" fillId="6" borderId="0" applyNumberFormat="0" applyBorder="0" applyAlignment="0" applyProtection="0"/>
    <xf numFmtId="168" fontId="4" fillId="12" borderId="0" applyNumberFormat="0" applyBorder="0" applyAlignment="0" applyProtection="0"/>
    <xf numFmtId="168" fontId="4" fillId="7" borderId="0" applyNumberFormat="0" applyBorder="0" applyAlignment="0" applyProtection="0"/>
    <xf numFmtId="168" fontId="4" fillId="13" borderId="0" applyNumberFormat="0" applyBorder="0" applyAlignment="0" applyProtection="0"/>
    <xf numFmtId="168" fontId="4" fillId="8" borderId="0" applyNumberFormat="0" applyBorder="0" applyAlignment="0" applyProtection="0"/>
    <xf numFmtId="168" fontId="4" fillId="14" borderId="0" applyNumberFormat="0" applyBorder="0" applyAlignment="0" applyProtection="0"/>
    <xf numFmtId="168" fontId="4" fillId="3" borderId="0" applyNumberFormat="0" applyBorder="0" applyAlignment="0" applyProtection="0"/>
    <xf numFmtId="168" fontId="4" fillId="3" borderId="0" applyNumberFormat="0" applyBorder="0" applyAlignment="0" applyProtection="0"/>
    <xf numFmtId="168" fontId="4" fillId="3" borderId="0" applyNumberFormat="0" applyBorder="0" applyAlignment="0" applyProtection="0"/>
    <xf numFmtId="168" fontId="4" fillId="4" borderId="0" applyNumberFormat="0" applyBorder="0" applyAlignment="0" applyProtection="0"/>
    <xf numFmtId="168" fontId="4" fillId="4" borderId="0" applyNumberFormat="0" applyBorder="0" applyAlignment="0" applyProtection="0"/>
    <xf numFmtId="168" fontId="4" fillId="4" borderId="0" applyNumberFormat="0" applyBorder="0" applyAlignment="0" applyProtection="0"/>
    <xf numFmtId="168" fontId="4" fillId="5" borderId="0" applyNumberFormat="0" applyBorder="0" applyAlignment="0" applyProtection="0"/>
    <xf numFmtId="168" fontId="4" fillId="5" borderId="0" applyNumberFormat="0" applyBorder="0" applyAlignment="0" applyProtection="0"/>
    <xf numFmtId="168" fontId="4" fillId="5" borderId="0" applyNumberFormat="0" applyBorder="0" applyAlignment="0" applyProtection="0"/>
    <xf numFmtId="168" fontId="4" fillId="6" borderId="0" applyNumberFormat="0" applyBorder="0" applyAlignment="0" applyProtection="0"/>
    <xf numFmtId="168" fontId="4" fillId="6" borderId="0" applyNumberFormat="0" applyBorder="0" applyAlignment="0" applyProtection="0"/>
    <xf numFmtId="168" fontId="4" fillId="6" borderId="0" applyNumberFormat="0" applyBorder="0" applyAlignment="0" applyProtection="0"/>
    <xf numFmtId="168" fontId="4" fillId="7" borderId="0" applyNumberFormat="0" applyBorder="0" applyAlignment="0" applyProtection="0"/>
    <xf numFmtId="168" fontId="4" fillId="7" borderId="0" applyNumberFormat="0" applyBorder="0" applyAlignment="0" applyProtection="0"/>
    <xf numFmtId="168" fontId="4" fillId="7" borderId="0" applyNumberFormat="0" applyBorder="0" applyAlignment="0" applyProtection="0"/>
    <xf numFmtId="168" fontId="4" fillId="8" borderId="0" applyNumberFormat="0" applyBorder="0" applyAlignment="0" applyProtection="0"/>
    <xf numFmtId="168" fontId="4" fillId="8" borderId="0" applyNumberFormat="0" applyBorder="0" applyAlignment="0" applyProtection="0"/>
    <xf numFmtId="168" fontId="4" fillId="8" borderId="0" applyNumberFormat="0" applyBorder="0" applyAlignment="0" applyProtection="0"/>
    <xf numFmtId="168" fontId="4" fillId="9" borderId="0" applyNumberFormat="0" applyBorder="0" applyAlignment="0" applyProtection="0"/>
    <xf numFmtId="168" fontId="4" fillId="9" borderId="0" applyNumberFormat="0" applyBorder="0" applyAlignment="0" applyProtection="0"/>
    <xf numFmtId="168" fontId="4" fillId="9" borderId="0" applyNumberFormat="0" applyBorder="0" applyAlignment="0" applyProtection="0"/>
    <xf numFmtId="168" fontId="4" fillId="10" borderId="0" applyNumberFormat="0" applyBorder="0" applyAlignment="0" applyProtection="0"/>
    <xf numFmtId="168" fontId="4" fillId="10" borderId="0" applyNumberFormat="0" applyBorder="0" applyAlignment="0" applyProtection="0"/>
    <xf numFmtId="168" fontId="4" fillId="10" borderId="0" applyNumberFormat="0" applyBorder="0" applyAlignment="0" applyProtection="0"/>
    <xf numFmtId="168" fontId="4" fillId="11" borderId="0" applyNumberFormat="0" applyBorder="0" applyAlignment="0" applyProtection="0"/>
    <xf numFmtId="168" fontId="4" fillId="11" borderId="0" applyNumberFormat="0" applyBorder="0" applyAlignment="0" applyProtection="0"/>
    <xf numFmtId="168" fontId="4" fillId="11" borderId="0" applyNumberFormat="0" applyBorder="0" applyAlignment="0" applyProtection="0"/>
    <xf numFmtId="168" fontId="4" fillId="12" borderId="0" applyNumberFormat="0" applyBorder="0" applyAlignment="0" applyProtection="0"/>
    <xf numFmtId="168" fontId="4" fillId="12" borderId="0" applyNumberFormat="0" applyBorder="0" applyAlignment="0" applyProtection="0"/>
    <xf numFmtId="168" fontId="4" fillId="12" borderId="0" applyNumberFormat="0" applyBorder="0" applyAlignment="0" applyProtection="0"/>
    <xf numFmtId="168" fontId="4" fillId="13" borderId="0" applyNumberFormat="0" applyBorder="0" applyAlignment="0" applyProtection="0"/>
    <xf numFmtId="168" fontId="4" fillId="13" borderId="0" applyNumberFormat="0" applyBorder="0" applyAlignment="0" applyProtection="0"/>
    <xf numFmtId="168" fontId="4" fillId="13" borderId="0" applyNumberFormat="0" applyBorder="0" applyAlignment="0" applyProtection="0"/>
    <xf numFmtId="168" fontId="4" fillId="14" borderId="0" applyNumberFormat="0" applyBorder="0" applyAlignment="0" applyProtection="0"/>
    <xf numFmtId="168" fontId="4" fillId="14" borderId="0" applyNumberFormat="0" applyBorder="0" applyAlignment="0" applyProtection="0"/>
    <xf numFmtId="168" fontId="4" fillId="14" borderId="0" applyNumberFormat="0" applyBorder="0" applyAlignment="0" applyProtection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0" borderId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4" fillId="33" borderId="24" applyNumberFormat="0" applyFont="0" applyAlignment="0" applyProtection="0"/>
    <xf numFmtId="168" fontId="7" fillId="0" borderId="0"/>
    <xf numFmtId="44" fontId="7" fillId="0" borderId="0" applyFont="0" applyFill="0" applyBorder="0" applyAlignment="0" applyProtection="0"/>
    <xf numFmtId="0" fontId="4" fillId="0" borderId="0"/>
    <xf numFmtId="0" fontId="4" fillId="33" borderId="24" applyNumberFormat="0" applyFont="0" applyAlignment="0" applyProtection="0"/>
    <xf numFmtId="0" fontId="4" fillId="3" borderId="0" applyNumberFormat="0" applyBorder="0" applyAlignment="0" applyProtection="0"/>
    <xf numFmtId="0" fontId="4" fillId="9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3" borderId="0" applyNumberFormat="0" applyBorder="0" applyAlignment="0" applyProtection="0"/>
    <xf numFmtId="0" fontId="4" fillId="8" borderId="0" applyNumberFormat="0" applyBorder="0" applyAlignment="0" applyProtection="0"/>
    <xf numFmtId="0" fontId="4" fillId="14" borderId="0" applyNumberFormat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3" fillId="0" borderId="0"/>
    <xf numFmtId="0" fontId="3" fillId="33" borderId="24" applyNumberFormat="0" applyFont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  <xf numFmtId="0" fontId="2" fillId="0" borderId="0"/>
    <xf numFmtId="0" fontId="2" fillId="33" borderId="24" applyNumberFormat="0" applyFont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1" fillId="0" borderId="0"/>
    <xf numFmtId="0" fontId="1" fillId="33" borderId="24" applyNumberFormat="0" applyFont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6" borderId="0" applyNumberFormat="0" applyBorder="0" applyAlignment="0" applyProtection="0"/>
    <xf numFmtId="0" fontId="1" fillId="12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168" fontId="1" fillId="3" borderId="0" applyNumberFormat="0" applyBorder="0" applyAlignment="0" applyProtection="0"/>
    <xf numFmtId="168" fontId="1" fillId="3" borderId="0" applyNumberFormat="0" applyBorder="0" applyAlignment="0" applyProtection="0"/>
    <xf numFmtId="168" fontId="1" fillId="3" borderId="0" applyNumberFormat="0" applyBorder="0" applyAlignment="0" applyProtection="0"/>
    <xf numFmtId="168" fontId="1" fillId="3" borderId="0" applyNumberFormat="0" applyBorder="0" applyAlignment="0" applyProtection="0"/>
    <xf numFmtId="168" fontId="1" fillId="4" borderId="0" applyNumberFormat="0" applyBorder="0" applyAlignment="0" applyProtection="0"/>
    <xf numFmtId="168" fontId="1" fillId="4" borderId="0" applyNumberFormat="0" applyBorder="0" applyAlignment="0" applyProtection="0"/>
    <xf numFmtId="168" fontId="1" fillId="4" borderId="0" applyNumberFormat="0" applyBorder="0" applyAlignment="0" applyProtection="0"/>
    <xf numFmtId="168" fontId="1" fillId="4" borderId="0" applyNumberFormat="0" applyBorder="0" applyAlignment="0" applyProtection="0"/>
    <xf numFmtId="168" fontId="1" fillId="5" borderId="0" applyNumberFormat="0" applyBorder="0" applyAlignment="0" applyProtection="0"/>
    <xf numFmtId="168" fontId="1" fillId="5" borderId="0" applyNumberFormat="0" applyBorder="0" applyAlignment="0" applyProtection="0"/>
    <xf numFmtId="168" fontId="1" fillId="5" borderId="0" applyNumberFormat="0" applyBorder="0" applyAlignment="0" applyProtection="0"/>
    <xf numFmtId="168" fontId="1" fillId="5" borderId="0" applyNumberFormat="0" applyBorder="0" applyAlignment="0" applyProtection="0"/>
    <xf numFmtId="168" fontId="1" fillId="6" borderId="0" applyNumberFormat="0" applyBorder="0" applyAlignment="0" applyProtection="0"/>
    <xf numFmtId="168" fontId="1" fillId="6" borderId="0" applyNumberFormat="0" applyBorder="0" applyAlignment="0" applyProtection="0"/>
    <xf numFmtId="168" fontId="1" fillId="6" borderId="0" applyNumberFormat="0" applyBorder="0" applyAlignment="0" applyProtection="0"/>
    <xf numFmtId="168" fontId="1" fillId="6" borderId="0" applyNumberFormat="0" applyBorder="0" applyAlignment="0" applyProtection="0"/>
    <xf numFmtId="168" fontId="1" fillId="7" borderId="0" applyNumberFormat="0" applyBorder="0" applyAlignment="0" applyProtection="0"/>
    <xf numFmtId="168" fontId="1" fillId="7" borderId="0" applyNumberFormat="0" applyBorder="0" applyAlignment="0" applyProtection="0"/>
    <xf numFmtId="168" fontId="1" fillId="7" borderId="0" applyNumberFormat="0" applyBorder="0" applyAlignment="0" applyProtection="0"/>
    <xf numFmtId="168" fontId="1" fillId="7" borderId="0" applyNumberFormat="0" applyBorder="0" applyAlignment="0" applyProtection="0"/>
    <xf numFmtId="168" fontId="1" fillId="8" borderId="0" applyNumberFormat="0" applyBorder="0" applyAlignment="0" applyProtection="0"/>
    <xf numFmtId="168" fontId="1" fillId="8" borderId="0" applyNumberFormat="0" applyBorder="0" applyAlignment="0" applyProtection="0"/>
    <xf numFmtId="168" fontId="1" fillId="8" borderId="0" applyNumberFormat="0" applyBorder="0" applyAlignment="0" applyProtection="0"/>
    <xf numFmtId="168" fontId="1" fillId="8" borderId="0" applyNumberFormat="0" applyBorder="0" applyAlignment="0" applyProtection="0"/>
    <xf numFmtId="168" fontId="1" fillId="9" borderId="0" applyNumberFormat="0" applyBorder="0" applyAlignment="0" applyProtection="0"/>
    <xf numFmtId="168" fontId="1" fillId="9" borderId="0" applyNumberFormat="0" applyBorder="0" applyAlignment="0" applyProtection="0"/>
    <xf numFmtId="168" fontId="1" fillId="9" borderId="0" applyNumberFormat="0" applyBorder="0" applyAlignment="0" applyProtection="0"/>
    <xf numFmtId="168" fontId="1" fillId="9" borderId="0" applyNumberFormat="0" applyBorder="0" applyAlignment="0" applyProtection="0"/>
    <xf numFmtId="168" fontId="1" fillId="10" borderId="0" applyNumberFormat="0" applyBorder="0" applyAlignment="0" applyProtection="0"/>
    <xf numFmtId="168" fontId="1" fillId="10" borderId="0" applyNumberFormat="0" applyBorder="0" applyAlignment="0" applyProtection="0"/>
    <xf numFmtId="168" fontId="1" fillId="10" borderId="0" applyNumberFormat="0" applyBorder="0" applyAlignment="0" applyProtection="0"/>
    <xf numFmtId="168" fontId="1" fillId="10" borderId="0" applyNumberFormat="0" applyBorder="0" applyAlignment="0" applyProtection="0"/>
    <xf numFmtId="168" fontId="1" fillId="11" borderId="0" applyNumberFormat="0" applyBorder="0" applyAlignment="0" applyProtection="0"/>
    <xf numFmtId="168" fontId="1" fillId="11" borderId="0" applyNumberFormat="0" applyBorder="0" applyAlignment="0" applyProtection="0"/>
    <xf numFmtId="168" fontId="1" fillId="11" borderId="0" applyNumberFormat="0" applyBorder="0" applyAlignment="0" applyProtection="0"/>
    <xf numFmtId="168" fontId="1" fillId="11" borderId="0" applyNumberFormat="0" applyBorder="0" applyAlignment="0" applyProtection="0"/>
    <xf numFmtId="168" fontId="1" fillId="12" borderId="0" applyNumberFormat="0" applyBorder="0" applyAlignment="0" applyProtection="0"/>
    <xf numFmtId="168" fontId="1" fillId="12" borderId="0" applyNumberFormat="0" applyBorder="0" applyAlignment="0" applyProtection="0"/>
    <xf numFmtId="168" fontId="1" fillId="12" borderId="0" applyNumberFormat="0" applyBorder="0" applyAlignment="0" applyProtection="0"/>
    <xf numFmtId="168" fontId="1" fillId="12" borderId="0" applyNumberFormat="0" applyBorder="0" applyAlignment="0" applyProtection="0"/>
    <xf numFmtId="168" fontId="1" fillId="13" borderId="0" applyNumberFormat="0" applyBorder="0" applyAlignment="0" applyProtection="0"/>
    <xf numFmtId="168" fontId="1" fillId="13" borderId="0" applyNumberFormat="0" applyBorder="0" applyAlignment="0" applyProtection="0"/>
    <xf numFmtId="168" fontId="1" fillId="13" borderId="0" applyNumberFormat="0" applyBorder="0" applyAlignment="0" applyProtection="0"/>
    <xf numFmtId="168" fontId="1" fillId="13" borderId="0" applyNumberFormat="0" applyBorder="0" applyAlignment="0" applyProtection="0"/>
    <xf numFmtId="168" fontId="1" fillId="14" borderId="0" applyNumberFormat="0" applyBorder="0" applyAlignment="0" applyProtection="0"/>
    <xf numFmtId="168" fontId="1" fillId="14" borderId="0" applyNumberFormat="0" applyBorder="0" applyAlignment="0" applyProtection="0"/>
    <xf numFmtId="168" fontId="1" fillId="14" borderId="0" applyNumberFormat="0" applyBorder="0" applyAlignment="0" applyProtection="0"/>
    <xf numFmtId="168" fontId="1" fillId="14" borderId="0" applyNumberFormat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168" fontId="1" fillId="0" borderId="0"/>
    <xf numFmtId="168" fontId="1" fillId="3" borderId="0" applyNumberFormat="0" applyBorder="0" applyAlignment="0" applyProtection="0"/>
    <xf numFmtId="168" fontId="1" fillId="9" borderId="0" applyNumberFormat="0" applyBorder="0" applyAlignment="0" applyProtection="0"/>
    <xf numFmtId="168" fontId="1" fillId="4" borderId="0" applyNumberFormat="0" applyBorder="0" applyAlignment="0" applyProtection="0"/>
    <xf numFmtId="168" fontId="1" fillId="10" borderId="0" applyNumberFormat="0" applyBorder="0" applyAlignment="0" applyProtection="0"/>
    <xf numFmtId="168" fontId="1" fillId="5" borderId="0" applyNumberFormat="0" applyBorder="0" applyAlignment="0" applyProtection="0"/>
    <xf numFmtId="168" fontId="1" fillId="11" borderId="0" applyNumberFormat="0" applyBorder="0" applyAlignment="0" applyProtection="0"/>
    <xf numFmtId="168" fontId="1" fillId="6" borderId="0" applyNumberFormat="0" applyBorder="0" applyAlignment="0" applyProtection="0"/>
    <xf numFmtId="168" fontId="1" fillId="12" borderId="0" applyNumberFormat="0" applyBorder="0" applyAlignment="0" applyProtection="0"/>
    <xf numFmtId="168" fontId="1" fillId="7" borderId="0" applyNumberFormat="0" applyBorder="0" applyAlignment="0" applyProtection="0"/>
    <xf numFmtId="168" fontId="1" fillId="13" borderId="0" applyNumberFormat="0" applyBorder="0" applyAlignment="0" applyProtection="0"/>
    <xf numFmtId="168" fontId="1" fillId="8" borderId="0" applyNumberFormat="0" applyBorder="0" applyAlignment="0" applyProtection="0"/>
    <xf numFmtId="168" fontId="1" fillId="14" borderId="0" applyNumberFormat="0" applyBorder="0" applyAlignment="0" applyProtection="0"/>
    <xf numFmtId="168" fontId="1" fillId="3" borderId="0" applyNumberFormat="0" applyBorder="0" applyAlignment="0" applyProtection="0"/>
    <xf numFmtId="168" fontId="1" fillId="3" borderId="0" applyNumberFormat="0" applyBorder="0" applyAlignment="0" applyProtection="0"/>
    <xf numFmtId="168" fontId="1" fillId="3" borderId="0" applyNumberFormat="0" applyBorder="0" applyAlignment="0" applyProtection="0"/>
    <xf numFmtId="168" fontId="1" fillId="4" borderId="0" applyNumberFormat="0" applyBorder="0" applyAlignment="0" applyProtection="0"/>
    <xf numFmtId="168" fontId="1" fillId="4" borderId="0" applyNumberFormat="0" applyBorder="0" applyAlignment="0" applyProtection="0"/>
    <xf numFmtId="168" fontId="1" fillId="4" borderId="0" applyNumberFormat="0" applyBorder="0" applyAlignment="0" applyProtection="0"/>
    <xf numFmtId="168" fontId="1" fillId="5" borderId="0" applyNumberFormat="0" applyBorder="0" applyAlignment="0" applyProtection="0"/>
    <xf numFmtId="168" fontId="1" fillId="5" borderId="0" applyNumberFormat="0" applyBorder="0" applyAlignment="0" applyProtection="0"/>
    <xf numFmtId="168" fontId="1" fillId="5" borderId="0" applyNumberFormat="0" applyBorder="0" applyAlignment="0" applyProtection="0"/>
    <xf numFmtId="168" fontId="1" fillId="6" borderId="0" applyNumberFormat="0" applyBorder="0" applyAlignment="0" applyProtection="0"/>
    <xf numFmtId="168" fontId="1" fillId="6" borderId="0" applyNumberFormat="0" applyBorder="0" applyAlignment="0" applyProtection="0"/>
    <xf numFmtId="168" fontId="1" fillId="6" borderId="0" applyNumberFormat="0" applyBorder="0" applyAlignment="0" applyProtection="0"/>
    <xf numFmtId="168" fontId="1" fillId="7" borderId="0" applyNumberFormat="0" applyBorder="0" applyAlignment="0" applyProtection="0"/>
    <xf numFmtId="168" fontId="1" fillId="7" borderId="0" applyNumberFormat="0" applyBorder="0" applyAlignment="0" applyProtection="0"/>
    <xf numFmtId="168" fontId="1" fillId="7" borderId="0" applyNumberFormat="0" applyBorder="0" applyAlignment="0" applyProtection="0"/>
    <xf numFmtId="168" fontId="1" fillId="8" borderId="0" applyNumberFormat="0" applyBorder="0" applyAlignment="0" applyProtection="0"/>
    <xf numFmtId="168" fontId="1" fillId="8" borderId="0" applyNumberFormat="0" applyBorder="0" applyAlignment="0" applyProtection="0"/>
    <xf numFmtId="168" fontId="1" fillId="8" borderId="0" applyNumberFormat="0" applyBorder="0" applyAlignment="0" applyProtection="0"/>
    <xf numFmtId="168" fontId="1" fillId="9" borderId="0" applyNumberFormat="0" applyBorder="0" applyAlignment="0" applyProtection="0"/>
    <xf numFmtId="168" fontId="1" fillId="9" borderId="0" applyNumberFormat="0" applyBorder="0" applyAlignment="0" applyProtection="0"/>
    <xf numFmtId="168" fontId="1" fillId="9" borderId="0" applyNumberFormat="0" applyBorder="0" applyAlignment="0" applyProtection="0"/>
    <xf numFmtId="168" fontId="1" fillId="10" borderId="0" applyNumberFormat="0" applyBorder="0" applyAlignment="0" applyProtection="0"/>
    <xf numFmtId="168" fontId="1" fillId="10" borderId="0" applyNumberFormat="0" applyBorder="0" applyAlignment="0" applyProtection="0"/>
    <xf numFmtId="168" fontId="1" fillId="10" borderId="0" applyNumberFormat="0" applyBorder="0" applyAlignment="0" applyProtection="0"/>
    <xf numFmtId="168" fontId="1" fillId="11" borderId="0" applyNumberFormat="0" applyBorder="0" applyAlignment="0" applyProtection="0"/>
    <xf numFmtId="168" fontId="1" fillId="11" borderId="0" applyNumberFormat="0" applyBorder="0" applyAlignment="0" applyProtection="0"/>
    <xf numFmtId="168" fontId="1" fillId="11" borderId="0" applyNumberFormat="0" applyBorder="0" applyAlignment="0" applyProtection="0"/>
    <xf numFmtId="168" fontId="1" fillId="12" borderId="0" applyNumberFormat="0" applyBorder="0" applyAlignment="0" applyProtection="0"/>
    <xf numFmtId="168" fontId="1" fillId="12" borderId="0" applyNumberFormat="0" applyBorder="0" applyAlignment="0" applyProtection="0"/>
    <xf numFmtId="168" fontId="1" fillId="12" borderId="0" applyNumberFormat="0" applyBorder="0" applyAlignment="0" applyProtection="0"/>
    <xf numFmtId="168" fontId="1" fillId="13" borderId="0" applyNumberFormat="0" applyBorder="0" applyAlignment="0" applyProtection="0"/>
    <xf numFmtId="168" fontId="1" fillId="13" borderId="0" applyNumberFormat="0" applyBorder="0" applyAlignment="0" applyProtection="0"/>
    <xf numFmtId="168" fontId="1" fillId="13" borderId="0" applyNumberFormat="0" applyBorder="0" applyAlignment="0" applyProtection="0"/>
    <xf numFmtId="168" fontId="1" fillId="14" borderId="0" applyNumberFormat="0" applyBorder="0" applyAlignment="0" applyProtection="0"/>
    <xf numFmtId="168" fontId="1" fillId="14" borderId="0" applyNumberFormat="0" applyBorder="0" applyAlignment="0" applyProtection="0"/>
    <xf numFmtId="168" fontId="1" fillId="14" borderId="0" applyNumberFormat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168" fontId="1" fillId="33" borderId="24" applyNumberFormat="0" applyFont="0" applyAlignment="0" applyProtection="0"/>
    <xf numFmtId="0" fontId="1" fillId="0" borderId="0"/>
    <xf numFmtId="0" fontId="1" fillId="33" borderId="24" applyNumberFormat="0" applyFont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6" borderId="0" applyNumberFormat="0" applyBorder="0" applyAlignment="0" applyProtection="0"/>
    <xf numFmtId="0" fontId="1" fillId="12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</cellStyleXfs>
  <cellXfs count="370">
    <xf numFmtId="168" fontId="0" fillId="0" borderId="0" xfId="0"/>
    <xf numFmtId="168" fontId="8" fillId="0" borderId="0" xfId="0" applyFont="1"/>
    <xf numFmtId="168" fontId="9" fillId="0" borderId="0" xfId="0" applyFont="1"/>
    <xf numFmtId="167" fontId="7" fillId="0" borderId="1" xfId="0" applyNumberFormat="1" applyFont="1" applyBorder="1"/>
    <xf numFmtId="168" fontId="12" fillId="0" borderId="0" xfId="93" applyFont="1"/>
    <xf numFmtId="168" fontId="11" fillId="0" borderId="10" xfId="93" applyFont="1" applyBorder="1"/>
    <xf numFmtId="168" fontId="11" fillId="0" borderId="6" xfId="93" applyFont="1" applyBorder="1" applyAlignment="1">
      <alignment horizontal="left"/>
    </xf>
    <xf numFmtId="168" fontId="11" fillId="0" borderId="6" xfId="93" applyFont="1" applyBorder="1"/>
    <xf numFmtId="168" fontId="8" fillId="37" borderId="4" xfId="93" applyFont="1" applyFill="1" applyBorder="1" applyAlignment="1">
      <alignment wrapText="1"/>
    </xf>
    <xf numFmtId="168" fontId="11" fillId="0" borderId="0" xfId="93" applyFont="1"/>
    <xf numFmtId="166" fontId="11" fillId="37" borderId="1" xfId="93" applyNumberFormat="1" applyFont="1" applyFill="1" applyBorder="1" applyAlignment="1">
      <alignment horizontal="center" wrapText="1"/>
    </xf>
    <xf numFmtId="168" fontId="12" fillId="0" borderId="1" xfId="93" applyFont="1" applyBorder="1"/>
    <xf numFmtId="167" fontId="12" fillId="0" borderId="0" xfId="93" applyNumberFormat="1" applyFont="1"/>
    <xf numFmtId="167" fontId="7" fillId="0" borderId="0" xfId="0" applyNumberFormat="1" applyFont="1"/>
    <xf numFmtId="168" fontId="33" fillId="0" borderId="6" xfId="0" applyFont="1" applyBorder="1"/>
    <xf numFmtId="168" fontId="32" fillId="0" borderId="11" xfId="0" applyFont="1" applyBorder="1"/>
    <xf numFmtId="167" fontId="33" fillId="0" borderId="12" xfId="0" applyNumberFormat="1" applyFont="1" applyBorder="1"/>
    <xf numFmtId="168" fontId="32" fillId="0" borderId="0" xfId="0" applyFont="1"/>
    <xf numFmtId="168" fontId="32" fillId="0" borderId="1" xfId="0" applyFont="1" applyBorder="1"/>
    <xf numFmtId="168" fontId="33" fillId="0" borderId="0" xfId="0" applyFont="1"/>
    <xf numFmtId="168" fontId="32" fillId="0" borderId="2" xfId="0" applyFont="1" applyBorder="1"/>
    <xf numFmtId="167" fontId="32" fillId="0" borderId="0" xfId="0" applyNumberFormat="1" applyFont="1"/>
    <xf numFmtId="14" fontId="32" fillId="38" borderId="0" xfId="0" applyNumberFormat="1" applyFont="1" applyFill="1"/>
    <xf numFmtId="49" fontId="32" fillId="0" borderId="0" xfId="93" applyNumberFormat="1" applyFont="1"/>
    <xf numFmtId="168" fontId="32" fillId="0" borderId="0" xfId="93" applyFont="1"/>
    <xf numFmtId="14" fontId="32" fillId="0" borderId="0" xfId="0" applyNumberFormat="1" applyFont="1"/>
    <xf numFmtId="168" fontId="35" fillId="0" borderId="0" xfId="103" applyFont="1"/>
    <xf numFmtId="169" fontId="32" fillId="0" borderId="0" xfId="0" applyNumberFormat="1" applyFont="1"/>
    <xf numFmtId="168" fontId="35" fillId="0" borderId="0" xfId="95" applyFont="1"/>
    <xf numFmtId="169" fontId="35" fillId="0" borderId="0" xfId="95" applyNumberFormat="1" applyFont="1"/>
    <xf numFmtId="168" fontId="35" fillId="38" borderId="0" xfId="95" applyFont="1" applyFill="1"/>
    <xf numFmtId="169" fontId="35" fillId="38" borderId="0" xfId="95" applyNumberFormat="1" applyFont="1" applyFill="1"/>
    <xf numFmtId="14" fontId="35" fillId="0" borderId="0" xfId="95" applyNumberFormat="1" applyFont="1"/>
    <xf numFmtId="168" fontId="33" fillId="0" borderId="0" xfId="0" applyFont="1" applyAlignment="1">
      <alignment wrapText="1"/>
    </xf>
    <xf numFmtId="2" fontId="33" fillId="0" borderId="2" xfId="0" applyNumberFormat="1" applyFont="1" applyBorder="1"/>
    <xf numFmtId="1" fontId="32" fillId="0" borderId="2" xfId="0" applyNumberFormat="1" applyFont="1" applyBorder="1" applyAlignment="1">
      <alignment horizontal="right"/>
    </xf>
    <xf numFmtId="3" fontId="32" fillId="0" borderId="1" xfId="0" applyNumberFormat="1" applyFont="1" applyBorder="1"/>
    <xf numFmtId="3" fontId="32" fillId="0" borderId="2" xfId="0" applyNumberFormat="1" applyFont="1" applyBorder="1"/>
    <xf numFmtId="168" fontId="33" fillId="39" borderId="0" xfId="0" applyFont="1" applyFill="1"/>
    <xf numFmtId="168" fontId="33" fillId="39" borderId="2" xfId="0" applyFont="1" applyFill="1" applyBorder="1"/>
    <xf numFmtId="168" fontId="32" fillId="39" borderId="1" xfId="0" applyFont="1" applyFill="1" applyBorder="1"/>
    <xf numFmtId="168" fontId="32" fillId="39" borderId="2" xfId="0" applyFont="1" applyFill="1" applyBorder="1"/>
    <xf numFmtId="2" fontId="33" fillId="39" borderId="2" xfId="0" applyNumberFormat="1" applyFont="1" applyFill="1" applyBorder="1"/>
    <xf numFmtId="168" fontId="33" fillId="40" borderId="0" xfId="0" applyFont="1" applyFill="1"/>
    <xf numFmtId="167" fontId="32" fillId="40" borderId="1" xfId="0" applyNumberFormat="1" applyFont="1" applyFill="1" applyBorder="1"/>
    <xf numFmtId="167" fontId="32" fillId="40" borderId="2" xfId="0" applyNumberFormat="1" applyFont="1" applyFill="1" applyBorder="1"/>
    <xf numFmtId="2" fontId="33" fillId="40" borderId="2" xfId="0" applyNumberFormat="1" applyFont="1" applyFill="1" applyBorder="1"/>
    <xf numFmtId="167" fontId="32" fillId="39" borderId="9" xfId="0" applyNumberFormat="1" applyFont="1" applyFill="1" applyBorder="1"/>
    <xf numFmtId="167" fontId="32" fillId="39" borderId="2" xfId="0" applyNumberFormat="1" applyFont="1" applyFill="1" applyBorder="1"/>
    <xf numFmtId="167" fontId="32" fillId="39" borderId="1" xfId="0" applyNumberFormat="1" applyFont="1" applyFill="1" applyBorder="1"/>
    <xf numFmtId="168" fontId="33" fillId="0" borderId="0" xfId="93" applyFont="1"/>
    <xf numFmtId="168" fontId="37" fillId="41" borderId="0" xfId="0" applyFont="1" applyFill="1"/>
    <xf numFmtId="168" fontId="32" fillId="41" borderId="0" xfId="0" applyFont="1" applyFill="1"/>
    <xf numFmtId="167" fontId="32" fillId="0" borderId="3" xfId="0" applyNumberFormat="1" applyFont="1" applyBorder="1"/>
    <xf numFmtId="49" fontId="32" fillId="0" borderId="0" xfId="0" applyNumberFormat="1" applyFont="1"/>
    <xf numFmtId="168" fontId="32" fillId="0" borderId="4" xfId="0" applyFont="1" applyBorder="1"/>
    <xf numFmtId="165" fontId="33" fillId="0" borderId="4" xfId="93" applyNumberFormat="1" applyFont="1" applyBorder="1" applyAlignment="1">
      <alignment horizontal="center" wrapText="1"/>
    </xf>
    <xf numFmtId="2" fontId="33" fillId="0" borderId="0" xfId="0" applyNumberFormat="1" applyFont="1"/>
    <xf numFmtId="168" fontId="33" fillId="0" borderId="12" xfId="0" applyFont="1" applyBorder="1" applyAlignment="1">
      <alignment horizontal="left"/>
    </xf>
    <xf numFmtId="168" fontId="32" fillId="0" borderId="4" xfId="93" applyFont="1" applyBorder="1" applyAlignment="1">
      <alignment horizontal="left"/>
    </xf>
    <xf numFmtId="165" fontId="8" fillId="0" borderId="4" xfId="0" applyNumberFormat="1" applyFont="1" applyBorder="1" applyAlignment="1">
      <alignment horizontal="center" wrapText="1"/>
    </xf>
    <xf numFmtId="1" fontId="32" fillId="0" borderId="3" xfId="0" applyNumberFormat="1" applyFont="1" applyBorder="1"/>
    <xf numFmtId="164" fontId="32" fillId="0" borderId="3" xfId="0" applyNumberFormat="1" applyFont="1" applyBorder="1"/>
    <xf numFmtId="168" fontId="12" fillId="0" borderId="2" xfId="93" applyFont="1" applyBorder="1"/>
    <xf numFmtId="168" fontId="7" fillId="0" borderId="2" xfId="93" applyBorder="1" applyAlignment="1">
      <alignment horizontal="left"/>
    </xf>
    <xf numFmtId="168" fontId="33" fillId="0" borderId="4" xfId="93" applyFont="1" applyBorder="1"/>
    <xf numFmtId="168" fontId="33" fillId="0" borderId="14" xfId="93" applyFont="1" applyBorder="1"/>
    <xf numFmtId="168" fontId="33" fillId="0" borderId="14" xfId="93" applyFont="1" applyBorder="1" applyAlignment="1">
      <alignment wrapText="1"/>
    </xf>
    <xf numFmtId="0" fontId="32" fillId="0" borderId="0" xfId="0" applyNumberFormat="1" applyFont="1"/>
    <xf numFmtId="0" fontId="33" fillId="0" borderId="0" xfId="0" applyNumberFormat="1" applyFont="1"/>
    <xf numFmtId="0" fontId="33" fillId="39" borderId="2" xfId="0" applyNumberFormat="1" applyFont="1" applyFill="1" applyBorder="1"/>
    <xf numFmtId="0" fontId="33" fillId="0" borderId="2" xfId="0" applyNumberFormat="1" applyFont="1" applyBorder="1"/>
    <xf numFmtId="0" fontId="33" fillId="40" borderId="2" xfId="0" applyNumberFormat="1" applyFont="1" applyFill="1" applyBorder="1"/>
    <xf numFmtId="0" fontId="32" fillId="0" borderId="0" xfId="0" applyNumberFormat="1" applyFont="1" applyAlignment="1">
      <alignment horizontal="left"/>
    </xf>
    <xf numFmtId="0" fontId="33" fillId="0" borderId="0" xfId="93" applyNumberFormat="1" applyFont="1"/>
    <xf numFmtId="0" fontId="33" fillId="0" borderId="4" xfId="93" applyNumberFormat="1" applyFont="1" applyBorder="1"/>
    <xf numFmtId="0" fontId="33" fillId="0" borderId="1" xfId="93" applyNumberFormat="1" applyFont="1" applyBorder="1"/>
    <xf numFmtId="0" fontId="32" fillId="0" borderId="1" xfId="93" applyNumberFormat="1" applyFont="1" applyBorder="1"/>
    <xf numFmtId="0" fontId="33" fillId="0" borderId="7" xfId="93" applyNumberFormat="1" applyFont="1" applyBorder="1"/>
    <xf numFmtId="0" fontId="32" fillId="0" borderId="1" xfId="93" applyNumberFormat="1" applyFont="1" applyBorder="1" applyAlignment="1">
      <alignment horizontal="left"/>
    </xf>
    <xf numFmtId="0" fontId="32" fillId="0" borderId="1" xfId="0" applyNumberFormat="1" applyFont="1" applyBorder="1"/>
    <xf numFmtId="0" fontId="8" fillId="0" borderId="7" xfId="93" applyNumberFormat="1" applyFont="1" applyBorder="1"/>
    <xf numFmtId="0" fontId="12" fillId="0" borderId="1" xfId="93" applyNumberFormat="1" applyFont="1" applyBorder="1" applyAlignment="1">
      <alignment horizontal="left"/>
    </xf>
    <xf numFmtId="0" fontId="33" fillId="0" borderId="4" xfId="0" applyNumberFormat="1" applyFont="1" applyBorder="1"/>
    <xf numFmtId="0" fontId="32" fillId="0" borderId="4" xfId="0" applyNumberFormat="1" applyFont="1" applyBorder="1" applyAlignment="1">
      <alignment horizontal="right"/>
    </xf>
    <xf numFmtId="0" fontId="32" fillId="0" borderId="4" xfId="0" applyNumberFormat="1" applyFont="1" applyBorder="1"/>
    <xf numFmtId="0" fontId="32" fillId="0" borderId="4" xfId="93" applyNumberFormat="1" applyFont="1" applyBorder="1" applyAlignment="1">
      <alignment horizontal="right"/>
    </xf>
    <xf numFmtId="0" fontId="32" fillId="0" borderId="4" xfId="93" applyNumberFormat="1" applyFont="1" applyBorder="1"/>
    <xf numFmtId="0" fontId="32" fillId="0" borderId="4" xfId="0" applyNumberFormat="1" applyFont="1" applyBorder="1" applyAlignment="1">
      <alignment horizontal="left"/>
    </xf>
    <xf numFmtId="0" fontId="32" fillId="0" borderId="4" xfId="93" applyNumberFormat="1" applyFont="1" applyBorder="1" applyAlignment="1">
      <alignment horizontal="left"/>
    </xf>
    <xf numFmtId="0" fontId="36" fillId="36" borderId="0" xfId="0" applyNumberFormat="1" applyFont="1" applyFill="1" applyAlignment="1">
      <alignment horizontal="left"/>
    </xf>
    <xf numFmtId="0" fontId="8" fillId="0" borderId="0" xfId="0" applyNumberFormat="1" applyFont="1"/>
    <xf numFmtId="0" fontId="7" fillId="0" borderId="1" xfId="0" applyNumberFormat="1" applyFont="1" applyBorder="1"/>
    <xf numFmtId="0" fontId="7" fillId="0" borderId="0" xfId="0" applyNumberFormat="1" applyFont="1"/>
    <xf numFmtId="0" fontId="9" fillId="0" borderId="0" xfId="0" applyNumberFormat="1" applyFont="1"/>
    <xf numFmtId="0" fontId="7" fillId="0" borderId="1" xfId="0" applyNumberFormat="1" applyFont="1" applyBorder="1" applyAlignment="1">
      <alignment horizontal="right"/>
    </xf>
    <xf numFmtId="44" fontId="8" fillId="0" borderId="4" xfId="240" applyFont="1" applyBorder="1"/>
    <xf numFmtId="44" fontId="8" fillId="0" borderId="5" xfId="240" applyFont="1" applyBorder="1"/>
    <xf numFmtId="0" fontId="35" fillId="0" borderId="0" xfId="103" applyNumberFormat="1" applyFont="1"/>
    <xf numFmtId="0" fontId="35" fillId="0" borderId="0" xfId="95" applyNumberFormat="1" applyFont="1"/>
    <xf numFmtId="0" fontId="0" fillId="0" borderId="0" xfId="0" applyNumberFormat="1"/>
    <xf numFmtId="0" fontId="32" fillId="0" borderId="0" xfId="95" applyNumberFormat="1" applyFont="1"/>
    <xf numFmtId="0" fontId="35" fillId="38" borderId="0" xfId="95" applyNumberFormat="1" applyFont="1" applyFill="1"/>
    <xf numFmtId="0" fontId="0" fillId="0" borderId="0" xfId="0" applyNumberFormat="1" applyAlignment="1">
      <alignment horizontal="left"/>
    </xf>
    <xf numFmtId="0" fontId="7" fillId="0" borderId="4" xfId="0" applyNumberFormat="1" applyFont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12" fillId="0" borderId="4" xfId="0" applyNumberFormat="1" applyFont="1" applyBorder="1" applyAlignment="1">
      <alignment horizontal="left"/>
    </xf>
    <xf numFmtId="0" fontId="8" fillId="0" borderId="15" xfId="0" applyNumberFormat="1" applyFont="1" applyBorder="1" applyAlignment="1">
      <alignment horizontal="left"/>
    </xf>
    <xf numFmtId="0" fontId="7" fillId="0" borderId="28" xfId="0" applyNumberFormat="1" applyFont="1" applyBorder="1"/>
    <xf numFmtId="0" fontId="7" fillId="0" borderId="4" xfId="0" applyNumberFormat="1" applyFont="1" applyBorder="1"/>
    <xf numFmtId="14" fontId="0" fillId="0" borderId="0" xfId="0" applyNumberFormat="1"/>
    <xf numFmtId="0" fontId="0" fillId="0" borderId="5" xfId="0" applyNumberFormat="1" applyBorder="1" applyAlignment="1">
      <alignment horizontal="left"/>
    </xf>
    <xf numFmtId="16" fontId="40" fillId="0" borderId="17" xfId="93" applyNumberFormat="1" applyFont="1" applyBorder="1"/>
    <xf numFmtId="0" fontId="32" fillId="0" borderId="0" xfId="93" applyNumberFormat="1" applyFont="1"/>
    <xf numFmtId="2" fontId="32" fillId="0" borderId="0" xfId="0" applyNumberFormat="1" applyFont="1"/>
    <xf numFmtId="2" fontId="32" fillId="39" borderId="0" xfId="0" applyNumberFormat="1" applyFont="1" applyFill="1"/>
    <xf numFmtId="2" fontId="32" fillId="40" borderId="0" xfId="0" applyNumberFormat="1" applyFont="1" applyFill="1"/>
    <xf numFmtId="0" fontId="35" fillId="0" borderId="0" xfId="64" applyNumberFormat="1" applyFont="1"/>
    <xf numFmtId="0" fontId="32" fillId="39" borderId="1" xfId="93" applyNumberFormat="1" applyFont="1" applyFill="1" applyBorder="1"/>
    <xf numFmtId="2" fontId="32" fillId="39" borderId="1" xfId="93" applyNumberFormat="1" applyFont="1" applyFill="1" applyBorder="1"/>
    <xf numFmtId="0" fontId="41" fillId="0" borderId="0" xfId="103" applyNumberFormat="1" applyFont="1"/>
    <xf numFmtId="168" fontId="8" fillId="0" borderId="4" xfId="0" applyFont="1" applyBorder="1" applyAlignment="1">
      <alignment horizontal="center" vertical="center" wrapText="1"/>
    </xf>
    <xf numFmtId="165" fontId="8" fillId="0" borderId="4" xfId="0" applyNumberFormat="1" applyFont="1" applyBorder="1" applyAlignment="1">
      <alignment horizontal="center" vertical="center" wrapText="1"/>
    </xf>
    <xf numFmtId="0" fontId="33" fillId="42" borderId="2" xfId="0" applyNumberFormat="1" applyFont="1" applyFill="1" applyBorder="1"/>
    <xf numFmtId="168" fontId="34" fillId="0" borderId="0" xfId="0" applyFont="1"/>
    <xf numFmtId="168" fontId="12" fillId="42" borderId="0" xfId="93" applyFont="1" applyFill="1" applyAlignment="1">
      <alignment horizontal="left"/>
    </xf>
    <xf numFmtId="0" fontId="0" fillId="0" borderId="2" xfId="0" applyNumberFormat="1" applyBorder="1"/>
    <xf numFmtId="0" fontId="32" fillId="0" borderId="0" xfId="93" applyNumberFormat="1" applyFont="1" applyAlignment="1">
      <alignment horizontal="left"/>
    </xf>
    <xf numFmtId="168" fontId="7" fillId="42" borderId="0" xfId="93" applyFill="1" applyAlignment="1">
      <alignment horizontal="left"/>
    </xf>
    <xf numFmtId="0" fontId="33" fillId="0" borderId="0" xfId="93" applyNumberFormat="1" applyFont="1" applyAlignment="1">
      <alignment horizontal="left"/>
    </xf>
    <xf numFmtId="2" fontId="33" fillId="0" borderId="1" xfId="0" applyNumberFormat="1" applyFont="1" applyBorder="1"/>
    <xf numFmtId="0" fontId="0" fillId="0" borderId="1" xfId="0" applyNumberFormat="1" applyBorder="1" applyAlignment="1">
      <alignment horizontal="left"/>
    </xf>
    <xf numFmtId="0" fontId="8" fillId="0" borderId="4" xfId="0" applyNumberFormat="1" applyFont="1" applyBorder="1"/>
    <xf numFmtId="167" fontId="32" fillId="0" borderId="30" xfId="0" applyNumberFormat="1" applyFont="1" applyBorder="1"/>
    <xf numFmtId="167" fontId="32" fillId="0" borderId="12" xfId="0" applyNumberFormat="1" applyFont="1" applyBorder="1"/>
    <xf numFmtId="168" fontId="35" fillId="38" borderId="0" xfId="103" applyFont="1" applyFill="1"/>
    <xf numFmtId="0" fontId="35" fillId="38" borderId="0" xfId="103" applyNumberFormat="1" applyFont="1" applyFill="1"/>
    <xf numFmtId="0" fontId="32" fillId="38" borderId="0" xfId="0" applyNumberFormat="1" applyFont="1" applyFill="1"/>
    <xf numFmtId="16" fontId="40" fillId="0" borderId="17" xfId="93" applyNumberFormat="1" applyFont="1" applyBorder="1" applyAlignment="1">
      <alignment horizontal="left"/>
    </xf>
    <xf numFmtId="16" fontId="40" fillId="0" borderId="17" xfId="93" applyNumberFormat="1" applyFont="1" applyBorder="1" applyAlignment="1">
      <alignment horizontal="right"/>
    </xf>
    <xf numFmtId="14" fontId="33" fillId="0" borderId="1" xfId="93" applyNumberFormat="1" applyFont="1" applyBorder="1"/>
    <xf numFmtId="14" fontId="35" fillId="38" borderId="0" xfId="103" applyNumberFormat="1" applyFont="1" applyFill="1"/>
    <xf numFmtId="16" fontId="42" fillId="0" borderId="17" xfId="93" applyNumberFormat="1" applyFont="1" applyBorder="1"/>
    <xf numFmtId="14" fontId="41" fillId="0" borderId="0" xfId="103" applyNumberFormat="1" applyFont="1"/>
    <xf numFmtId="0" fontId="7" fillId="36" borderId="1" xfId="0" quotePrefix="1" applyNumberFormat="1" applyFont="1" applyFill="1" applyBorder="1"/>
    <xf numFmtId="0" fontId="13" fillId="38" borderId="1" xfId="0" quotePrefix="1" applyNumberFormat="1" applyFont="1" applyFill="1" applyBorder="1"/>
    <xf numFmtId="0" fontId="0" fillId="43" borderId="7" xfId="0" applyNumberFormat="1" applyFill="1" applyBorder="1"/>
    <xf numFmtId="14" fontId="0" fillId="43" borderId="0" xfId="0" applyNumberFormat="1" applyFill="1"/>
    <xf numFmtId="0" fontId="0" fillId="43" borderId="0" xfId="0" applyNumberFormat="1" applyFill="1"/>
    <xf numFmtId="0" fontId="0" fillId="43" borderId="2" xfId="0" applyNumberFormat="1" applyFill="1" applyBorder="1"/>
    <xf numFmtId="168" fontId="0" fillId="43" borderId="0" xfId="0" applyFill="1"/>
    <xf numFmtId="168" fontId="0" fillId="43" borderId="7" xfId="0" applyFill="1" applyBorder="1"/>
    <xf numFmtId="14" fontId="33" fillId="0" borderId="37" xfId="93" applyNumberFormat="1" applyFont="1" applyBorder="1" applyAlignment="1">
      <alignment horizontal="left" vertical="center" wrapText="1"/>
    </xf>
    <xf numFmtId="14" fontId="33" fillId="0" borderId="38" xfId="93" applyNumberFormat="1" applyFont="1" applyBorder="1" applyAlignment="1">
      <alignment horizontal="left" vertical="center" wrapText="1"/>
    </xf>
    <xf numFmtId="0" fontId="33" fillId="0" borderId="38" xfId="93" applyNumberFormat="1" applyFont="1" applyBorder="1" applyAlignment="1">
      <alignment horizontal="left" vertical="center" wrapText="1"/>
    </xf>
    <xf numFmtId="168" fontId="33" fillId="0" borderId="38" xfId="93" applyFont="1" applyBorder="1" applyAlignment="1">
      <alignment horizontal="left" vertical="center" wrapText="1"/>
    </xf>
    <xf numFmtId="0" fontId="8" fillId="0" borderId="5" xfId="0" applyNumberFormat="1" applyFont="1" applyBorder="1"/>
    <xf numFmtId="14" fontId="33" fillId="40" borderId="36" xfId="93" applyNumberFormat="1" applyFont="1" applyFill="1" applyBorder="1" applyAlignment="1">
      <alignment horizontal="left" vertical="center" wrapText="1"/>
    </xf>
    <xf numFmtId="168" fontId="7" fillId="0" borderId="2" xfId="77" applyBorder="1" applyAlignment="1">
      <alignment horizontal="left"/>
    </xf>
    <xf numFmtId="168" fontId="7" fillId="0" borderId="1" xfId="77" applyBorder="1"/>
    <xf numFmtId="168" fontId="7" fillId="0" borderId="0" xfId="77"/>
    <xf numFmtId="0" fontId="32" fillId="0" borderId="0" xfId="77" applyNumberFormat="1" applyFont="1"/>
    <xf numFmtId="0" fontId="32" fillId="0" borderId="1" xfId="77" applyNumberFormat="1" applyFont="1" applyBorder="1"/>
    <xf numFmtId="0" fontId="32" fillId="0" borderId="1" xfId="77" applyNumberFormat="1" applyFont="1" applyBorder="1" applyAlignment="1">
      <alignment horizontal="left"/>
    </xf>
    <xf numFmtId="168" fontId="32" fillId="0" borderId="0" xfId="77" applyFont="1" applyAlignment="1">
      <alignment horizontal="left" vertical="center"/>
    </xf>
    <xf numFmtId="14" fontId="32" fillId="0" borderId="31" xfId="77" applyNumberFormat="1" applyFont="1" applyBorder="1" applyAlignment="1">
      <alignment horizontal="left" vertical="center"/>
    </xf>
    <xf numFmtId="14" fontId="32" fillId="0" borderId="4" xfId="77" applyNumberFormat="1" applyFont="1" applyBorder="1" applyAlignment="1">
      <alignment horizontal="left" vertical="center"/>
    </xf>
    <xf numFmtId="0" fontId="32" fillId="0" borderId="4" xfId="77" applyNumberFormat="1" applyFont="1" applyBorder="1" applyAlignment="1">
      <alignment horizontal="left" vertical="center"/>
    </xf>
    <xf numFmtId="14" fontId="32" fillId="40" borderId="4" xfId="77" applyNumberFormat="1" applyFont="1" applyFill="1" applyBorder="1" applyAlignment="1">
      <alignment horizontal="left" vertical="center"/>
    </xf>
    <xf numFmtId="0" fontId="32" fillId="40" borderId="4" xfId="77" applyNumberFormat="1" applyFont="1" applyFill="1" applyBorder="1" applyAlignment="1">
      <alignment horizontal="left" vertical="center"/>
    </xf>
    <xf numFmtId="168" fontId="32" fillId="0" borderId="0" xfId="77" applyFont="1" applyAlignment="1">
      <alignment horizontal="left"/>
    </xf>
    <xf numFmtId="14" fontId="32" fillId="0" borderId="34" xfId="77" applyNumberFormat="1" applyFont="1" applyBorder="1" applyAlignment="1">
      <alignment horizontal="left" vertical="center"/>
    </xf>
    <xf numFmtId="14" fontId="32" fillId="0" borderId="3" xfId="77" applyNumberFormat="1" applyFont="1" applyBorder="1" applyAlignment="1">
      <alignment horizontal="left" vertical="center"/>
    </xf>
    <xf numFmtId="0" fontId="32" fillId="0" borderId="3" xfId="77" applyNumberFormat="1" applyFont="1" applyBorder="1" applyAlignment="1">
      <alignment horizontal="left" vertical="center"/>
    </xf>
    <xf numFmtId="2" fontId="32" fillId="0" borderId="3" xfId="77" applyNumberFormat="1" applyFont="1" applyBorder="1" applyAlignment="1">
      <alignment horizontal="left" vertical="center"/>
    </xf>
    <xf numFmtId="0" fontId="32" fillId="0" borderId="35" xfId="77" applyNumberFormat="1" applyFont="1" applyBorder="1" applyAlignment="1">
      <alignment horizontal="left" vertical="center" wrapText="1"/>
    </xf>
    <xf numFmtId="14" fontId="32" fillId="40" borderId="34" xfId="77" applyNumberFormat="1" applyFont="1" applyFill="1" applyBorder="1" applyAlignment="1">
      <alignment horizontal="left" vertical="center"/>
    </xf>
    <xf numFmtId="0" fontId="32" fillId="40" borderId="32" xfId="77" applyNumberFormat="1" applyFont="1" applyFill="1" applyBorder="1" applyAlignment="1">
      <alignment horizontal="left" vertical="center" wrapText="1"/>
    </xf>
    <xf numFmtId="168" fontId="7" fillId="0" borderId="0" xfId="77" applyAlignment="1">
      <alignment horizontal="left"/>
    </xf>
    <xf numFmtId="0" fontId="32" fillId="0" borderId="32" xfId="77" applyNumberFormat="1" applyFont="1" applyBorder="1" applyAlignment="1">
      <alignment horizontal="left" vertical="center" wrapText="1"/>
    </xf>
    <xf numFmtId="14" fontId="32" fillId="40" borderId="33" xfId="77" applyNumberFormat="1" applyFont="1" applyFill="1" applyBorder="1" applyAlignment="1">
      <alignment horizontal="left" vertical="center"/>
    </xf>
    <xf numFmtId="14" fontId="32" fillId="40" borderId="6" xfId="77" applyNumberFormat="1" applyFont="1" applyFill="1" applyBorder="1" applyAlignment="1">
      <alignment horizontal="left" vertical="center"/>
    </xf>
    <xf numFmtId="0" fontId="32" fillId="40" borderId="6" xfId="77" applyNumberFormat="1" applyFont="1" applyFill="1" applyBorder="1" applyAlignment="1">
      <alignment horizontal="left" vertical="center"/>
    </xf>
    <xf numFmtId="168" fontId="7" fillId="40" borderId="39" xfId="77" applyFill="1" applyBorder="1"/>
    <xf numFmtId="14" fontId="32" fillId="0" borderId="33" xfId="77" applyNumberFormat="1" applyFont="1" applyBorder="1" applyAlignment="1">
      <alignment horizontal="left"/>
    </xf>
    <xf numFmtId="14" fontId="32" fillId="0" borderId="6" xfId="77" applyNumberFormat="1" applyFont="1" applyBorder="1" applyAlignment="1">
      <alignment horizontal="left"/>
    </xf>
    <xf numFmtId="0" fontId="32" fillId="0" borderId="6" xfId="77" applyNumberFormat="1" applyFont="1" applyBorder="1" applyAlignment="1">
      <alignment horizontal="left"/>
    </xf>
    <xf numFmtId="0" fontId="32" fillId="0" borderId="6" xfId="77" applyNumberFormat="1" applyFont="1" applyBorder="1" applyAlignment="1">
      <alignment horizontal="left" vertical="center"/>
    </xf>
    <xf numFmtId="0" fontId="7" fillId="0" borderId="39" xfId="77" applyNumberFormat="1" applyBorder="1"/>
    <xf numFmtId="0" fontId="32" fillId="40" borderId="39" xfId="77" applyNumberFormat="1" applyFont="1" applyFill="1" applyBorder="1" applyAlignment="1">
      <alignment horizontal="left" vertical="center" wrapText="1"/>
    </xf>
    <xf numFmtId="14" fontId="32" fillId="0" borderId="31" xfId="77" applyNumberFormat="1" applyFont="1" applyBorder="1" applyAlignment="1">
      <alignment horizontal="left"/>
    </xf>
    <xf numFmtId="14" fontId="32" fillId="0" borderId="4" xfId="77" applyNumberFormat="1" applyFont="1" applyBorder="1" applyAlignment="1">
      <alignment horizontal="left"/>
    </xf>
    <xf numFmtId="0" fontId="32" fillId="0" borderId="4" xfId="77" applyNumberFormat="1" applyFont="1" applyBorder="1" applyAlignment="1">
      <alignment horizontal="left"/>
    </xf>
    <xf numFmtId="0" fontId="32" fillId="0" borderId="32" xfId="77" applyNumberFormat="1" applyFont="1" applyBorder="1"/>
    <xf numFmtId="14" fontId="32" fillId="40" borderId="31" xfId="77" applyNumberFormat="1" applyFont="1" applyFill="1" applyBorder="1" applyAlignment="1">
      <alignment horizontal="left"/>
    </xf>
    <xf numFmtId="14" fontId="32" fillId="40" borderId="4" xfId="77" applyNumberFormat="1" applyFont="1" applyFill="1" applyBorder="1" applyAlignment="1">
      <alignment horizontal="left"/>
    </xf>
    <xf numFmtId="0" fontId="32" fillId="40" borderId="4" xfId="77" applyNumberFormat="1" applyFont="1" applyFill="1" applyBorder="1" applyAlignment="1">
      <alignment horizontal="left"/>
    </xf>
    <xf numFmtId="0" fontId="32" fillId="40" borderId="32" xfId="77" applyNumberFormat="1" applyFont="1" applyFill="1" applyBorder="1"/>
    <xf numFmtId="14" fontId="32" fillId="0" borderId="0" xfId="77" applyNumberFormat="1" applyFont="1" applyAlignment="1">
      <alignment horizontal="left"/>
    </xf>
    <xf numFmtId="0" fontId="7" fillId="0" borderId="0" xfId="77" applyNumberFormat="1" applyAlignment="1">
      <alignment horizontal="left"/>
    </xf>
    <xf numFmtId="0" fontId="7" fillId="0" borderId="0" xfId="77" applyNumberFormat="1"/>
    <xf numFmtId="2" fontId="32" fillId="40" borderId="3" xfId="77" applyNumberFormat="1" applyFont="1" applyFill="1" applyBorder="1" applyAlignment="1">
      <alignment horizontal="left" vertical="center"/>
    </xf>
    <xf numFmtId="168" fontId="8" fillId="0" borderId="14" xfId="0" applyFont="1" applyBorder="1" applyAlignment="1">
      <alignment horizontal="center" vertical="center"/>
    </xf>
    <xf numFmtId="168" fontId="8" fillId="0" borderId="4" xfId="0" applyFont="1" applyBorder="1" applyAlignment="1">
      <alignment horizontal="center" vertical="center"/>
    </xf>
    <xf numFmtId="2" fontId="32" fillId="36" borderId="4" xfId="0" applyNumberFormat="1" applyFont="1" applyFill="1" applyBorder="1"/>
    <xf numFmtId="2" fontId="32" fillId="0" borderId="4" xfId="77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left"/>
    </xf>
    <xf numFmtId="14" fontId="32" fillId="0" borderId="31" xfId="77" applyNumberFormat="1" applyFont="1" applyFill="1" applyBorder="1" applyAlignment="1">
      <alignment horizontal="left"/>
    </xf>
    <xf numFmtId="14" fontId="32" fillId="0" borderId="4" xfId="77" applyNumberFormat="1" applyFont="1" applyFill="1" applyBorder="1" applyAlignment="1">
      <alignment horizontal="left"/>
    </xf>
    <xf numFmtId="0" fontId="32" fillId="0" borderId="4" xfId="77" applyNumberFormat="1" applyFont="1" applyFill="1" applyBorder="1" applyAlignment="1">
      <alignment horizontal="left"/>
    </xf>
    <xf numFmtId="0" fontId="32" fillId="0" borderId="32" xfId="77" applyNumberFormat="1" applyFont="1" applyFill="1" applyBorder="1"/>
    <xf numFmtId="0" fontId="43" fillId="0" borderId="8" xfId="0" applyNumberFormat="1" applyFont="1" applyBorder="1"/>
    <xf numFmtId="167" fontId="33" fillId="0" borderId="29" xfId="0" applyNumberFormat="1" applyFont="1" applyBorder="1"/>
    <xf numFmtId="0" fontId="0" fillId="0" borderId="1" xfId="0" applyNumberFormat="1" applyFill="1" applyBorder="1" applyAlignment="1">
      <alignment horizontal="left"/>
    </xf>
    <xf numFmtId="0" fontId="7" fillId="0" borderId="1" xfId="0" applyNumberFormat="1" applyFont="1" applyFill="1" applyBorder="1"/>
    <xf numFmtId="0" fontId="0" fillId="0" borderId="0" xfId="0" applyNumberFormat="1" applyFill="1"/>
    <xf numFmtId="168" fontId="32" fillId="0" borderId="0" xfId="77" applyFont="1" applyFill="1" applyAlignment="1">
      <alignment horizontal="left" vertical="center"/>
    </xf>
    <xf numFmtId="14" fontId="32" fillId="0" borderId="0" xfId="77" applyNumberFormat="1" applyFont="1" applyFill="1" applyAlignment="1">
      <alignment horizontal="left" vertical="center"/>
    </xf>
    <xf numFmtId="0" fontId="32" fillId="0" borderId="0" xfId="77" applyNumberFormat="1" applyFont="1" applyFill="1" applyAlignment="1">
      <alignment horizontal="left" vertical="center"/>
    </xf>
    <xf numFmtId="168" fontId="32" fillId="0" borderId="0" xfId="77" applyFont="1" applyFill="1" applyAlignment="1">
      <alignment horizontal="left" vertical="center" wrapText="1"/>
    </xf>
    <xf numFmtId="168" fontId="0" fillId="0" borderId="0" xfId="0" applyFill="1"/>
    <xf numFmtId="14" fontId="0" fillId="0" borderId="0" xfId="0" applyNumberFormat="1" applyFill="1"/>
    <xf numFmtId="0" fontId="9" fillId="0" borderId="7" xfId="0" applyNumberFormat="1" applyFont="1" applyFill="1" applyBorder="1"/>
    <xf numFmtId="168" fontId="9" fillId="0" borderId="7" xfId="0" applyFont="1" applyFill="1" applyBorder="1"/>
    <xf numFmtId="0" fontId="32" fillId="45" borderId="0" xfId="0" applyNumberFormat="1" applyFont="1" applyFill="1"/>
    <xf numFmtId="14" fontId="32" fillId="45" borderId="0" xfId="0" applyNumberFormat="1" applyFont="1" applyFill="1"/>
    <xf numFmtId="0" fontId="32" fillId="45" borderId="0" xfId="64" applyNumberFormat="1" applyFont="1" applyFill="1"/>
    <xf numFmtId="0" fontId="35" fillId="44" borderId="0" xfId="95" applyNumberFormat="1" applyFont="1" applyFill="1"/>
    <xf numFmtId="14" fontId="35" fillId="44" borderId="0" xfId="95" applyNumberFormat="1" applyFont="1" applyFill="1"/>
    <xf numFmtId="0" fontId="35" fillId="44" borderId="0" xfId="64" applyNumberFormat="1" applyFont="1" applyFill="1"/>
    <xf numFmtId="22" fontId="0" fillId="43" borderId="0" xfId="0" applyNumberFormat="1" applyFill="1" applyAlignment="1">
      <alignment vertical="center" wrapText="1"/>
    </xf>
    <xf numFmtId="0" fontId="0" fillId="43" borderId="0" xfId="0" applyNumberFormat="1" applyFill="1" applyAlignment="1">
      <alignment vertical="center" wrapText="1"/>
    </xf>
    <xf numFmtId="0" fontId="7" fillId="43" borderId="0" xfId="0" applyNumberFormat="1" applyFont="1" applyFill="1" applyAlignment="1">
      <alignment vertical="center" wrapText="1"/>
    </xf>
    <xf numFmtId="0" fontId="32" fillId="38" borderId="0" xfId="0" applyNumberFormat="1" applyFont="1" applyFill="1" applyAlignment="1">
      <alignment vertical="center" wrapText="1"/>
    </xf>
    <xf numFmtId="168" fontId="32" fillId="34" borderId="0" xfId="77" applyFont="1" applyFill="1" applyAlignment="1">
      <alignment horizontal="left" vertical="center"/>
    </xf>
    <xf numFmtId="0" fontId="32" fillId="35" borderId="0" xfId="93" applyNumberFormat="1" applyFont="1" applyFill="1" applyAlignment="1">
      <alignment horizontal="left"/>
    </xf>
    <xf numFmtId="0" fontId="32" fillId="36" borderId="0" xfId="93" applyNumberFormat="1" applyFont="1" applyFill="1" applyAlignment="1">
      <alignment horizontal="left"/>
    </xf>
    <xf numFmtId="0" fontId="32" fillId="34" borderId="0" xfId="93" applyNumberFormat="1" applyFont="1" applyFill="1" applyAlignment="1">
      <alignment horizontal="left"/>
    </xf>
    <xf numFmtId="0" fontId="32" fillId="2" borderId="0" xfId="93" applyNumberFormat="1" applyFont="1" applyFill="1" applyAlignment="1">
      <alignment horizontal="left"/>
    </xf>
    <xf numFmtId="0" fontId="33" fillId="0" borderId="4" xfId="93" applyNumberFormat="1" applyFont="1" applyBorder="1" applyAlignment="1">
      <alignment horizontal="left"/>
    </xf>
    <xf numFmtId="0" fontId="32" fillId="0" borderId="1" xfId="77" applyNumberFormat="1" applyFont="1" applyFill="1" applyBorder="1"/>
    <xf numFmtId="2" fontId="8" fillId="0" borderId="0" xfId="0" applyNumberFormat="1" applyFont="1"/>
    <xf numFmtId="2" fontId="0" fillId="0" borderId="0" xfId="0" applyNumberFormat="1"/>
    <xf numFmtId="0" fontId="33" fillId="0" borderId="2" xfId="0" applyNumberFormat="1" applyFont="1" applyFill="1" applyBorder="1"/>
    <xf numFmtId="0" fontId="33" fillId="0" borderId="6" xfId="0" applyNumberFormat="1" applyFont="1" applyBorder="1" applyAlignment="1"/>
    <xf numFmtId="0" fontId="33" fillId="39" borderId="2" xfId="0" applyNumberFormat="1" applyFont="1" applyFill="1" applyBorder="1" applyAlignment="1"/>
    <xf numFmtId="0" fontId="32" fillId="0" borderId="2" xfId="0" applyNumberFormat="1" applyFont="1" applyBorder="1" applyAlignment="1"/>
    <xf numFmtId="0" fontId="32" fillId="39" borderId="1" xfId="93" applyNumberFormat="1" applyFont="1" applyFill="1" applyBorder="1" applyAlignment="1"/>
    <xf numFmtId="0" fontId="33" fillId="39" borderId="0" xfId="0" applyNumberFormat="1" applyFont="1" applyFill="1" applyAlignment="1"/>
    <xf numFmtId="0" fontId="32" fillId="40" borderId="0" xfId="0" applyNumberFormat="1" applyFont="1" applyFill="1" applyAlignment="1"/>
    <xf numFmtId="168" fontId="0" fillId="0" borderId="0" xfId="0" applyAlignment="1"/>
    <xf numFmtId="168" fontId="33" fillId="0" borderId="16" xfId="0" applyFont="1" applyBorder="1" applyAlignment="1">
      <alignment horizontal="center" vertical="center"/>
    </xf>
    <xf numFmtId="165" fontId="33" fillId="0" borderId="16" xfId="0" applyNumberFormat="1" applyFont="1" applyBorder="1" applyAlignment="1">
      <alignment horizontal="center" vertical="center" wrapText="1"/>
    </xf>
    <xf numFmtId="15" fontId="33" fillId="0" borderId="27" xfId="0" applyNumberFormat="1" applyFont="1" applyBorder="1" applyAlignment="1">
      <alignment horizontal="center" vertical="center" wrapText="1"/>
    </xf>
    <xf numFmtId="0" fontId="33" fillId="0" borderId="4" xfId="93" applyNumberFormat="1" applyFont="1" applyFill="1" applyBorder="1"/>
    <xf numFmtId="0" fontId="33" fillId="38" borderId="4" xfId="0" applyNumberFormat="1" applyFont="1" applyFill="1" applyBorder="1"/>
    <xf numFmtId="0" fontId="33" fillId="0" borderId="2" xfId="93" applyNumberFormat="1" applyFont="1" applyFill="1" applyBorder="1"/>
    <xf numFmtId="0" fontId="33" fillId="0" borderId="0" xfId="93" applyNumberFormat="1" applyFont="1" applyFill="1"/>
    <xf numFmtId="168" fontId="32" fillId="0" borderId="7" xfId="93" applyFont="1" applyFill="1" applyBorder="1"/>
    <xf numFmtId="0" fontId="33" fillId="0" borderId="15" xfId="0" applyNumberFormat="1" applyFont="1" applyBorder="1" applyAlignment="1">
      <alignment horizontal="center" vertical="center" wrapText="1"/>
    </xf>
    <xf numFmtId="0" fontId="33" fillId="0" borderId="16" xfId="0" applyNumberFormat="1" applyFont="1" applyBorder="1" applyAlignment="1">
      <alignment horizontal="center" vertical="center" wrapText="1"/>
    </xf>
    <xf numFmtId="0" fontId="33" fillId="38" borderId="6" xfId="0" applyNumberFormat="1" applyFont="1" applyFill="1" applyBorder="1"/>
    <xf numFmtId="0" fontId="32" fillId="0" borderId="6" xfId="0" applyNumberFormat="1" applyFont="1" applyBorder="1" applyAlignment="1">
      <alignment horizontal="left"/>
    </xf>
    <xf numFmtId="168" fontId="32" fillId="0" borderId="6" xfId="0" applyFont="1" applyBorder="1"/>
    <xf numFmtId="167" fontId="32" fillId="0" borderId="1" xfId="0" applyNumberFormat="1" applyFont="1" applyBorder="1"/>
    <xf numFmtId="164" fontId="32" fillId="0" borderId="1" xfId="0" applyNumberFormat="1" applyFont="1" applyBorder="1"/>
    <xf numFmtId="1" fontId="32" fillId="0" borderId="1" xfId="0" applyNumberFormat="1" applyFont="1" applyBorder="1"/>
    <xf numFmtId="2" fontId="32" fillId="36" borderId="6" xfId="0" applyNumberFormat="1" applyFont="1" applyFill="1" applyBorder="1"/>
    <xf numFmtId="0" fontId="33" fillId="0" borderId="3" xfId="0" applyNumberFormat="1" applyFont="1" applyBorder="1"/>
    <xf numFmtId="0" fontId="32" fillId="0" borderId="3" xfId="0" applyNumberFormat="1" applyFont="1" applyBorder="1" applyAlignment="1">
      <alignment horizontal="left"/>
    </xf>
    <xf numFmtId="168" fontId="32" fillId="0" borderId="3" xfId="0" applyFont="1" applyBorder="1"/>
    <xf numFmtId="2" fontId="32" fillId="36" borderId="3" xfId="0" applyNumberFormat="1" applyFont="1" applyFill="1" applyBorder="1"/>
    <xf numFmtId="0" fontId="33" fillId="38" borderId="41" xfId="0" applyNumberFormat="1" applyFont="1" applyFill="1" applyBorder="1"/>
    <xf numFmtId="0" fontId="32" fillId="0" borderId="41" xfId="0" applyNumberFormat="1" applyFont="1" applyBorder="1" applyAlignment="1">
      <alignment horizontal="left"/>
    </xf>
    <xf numFmtId="168" fontId="32" fillId="0" borderId="41" xfId="0" applyFont="1" applyBorder="1"/>
    <xf numFmtId="167" fontId="32" fillId="0" borderId="41" xfId="0" applyNumberFormat="1" applyFont="1" applyBorder="1"/>
    <xf numFmtId="164" fontId="32" fillId="0" borderId="41" xfId="0" applyNumberFormat="1" applyFont="1" applyBorder="1"/>
    <xf numFmtId="1" fontId="32" fillId="0" borderId="41" xfId="0" applyNumberFormat="1" applyFont="1" applyBorder="1"/>
    <xf numFmtId="2" fontId="32" fillId="36" borderId="41" xfId="0" applyNumberFormat="1" applyFont="1" applyFill="1" applyBorder="1"/>
    <xf numFmtId="0" fontId="33" fillId="0" borderId="8" xfId="0" applyNumberFormat="1" applyFont="1" applyBorder="1"/>
    <xf numFmtId="0" fontId="32" fillId="0" borderId="8" xfId="0" applyNumberFormat="1" applyFont="1" applyBorder="1" applyAlignment="1">
      <alignment horizontal="left"/>
    </xf>
    <xf numFmtId="168" fontId="32" fillId="0" borderId="8" xfId="0" applyFont="1" applyBorder="1"/>
    <xf numFmtId="167" fontId="32" fillId="0" borderId="42" xfId="0" applyNumberFormat="1" applyFont="1" applyBorder="1"/>
    <xf numFmtId="164" fontId="32" fillId="0" borderId="42" xfId="0" applyNumberFormat="1" applyFont="1" applyBorder="1"/>
    <xf numFmtId="1" fontId="32" fillId="0" borderId="42" xfId="0" applyNumberFormat="1" applyFont="1" applyBorder="1"/>
    <xf numFmtId="2" fontId="32" fillId="36" borderId="8" xfId="0" applyNumberFormat="1" applyFont="1" applyFill="1" applyBorder="1"/>
    <xf numFmtId="0" fontId="33" fillId="0" borderId="41" xfId="0" applyNumberFormat="1" applyFont="1" applyBorder="1"/>
    <xf numFmtId="0" fontId="33" fillId="38" borderId="1" xfId="0" applyNumberFormat="1" applyFont="1" applyFill="1" applyBorder="1"/>
    <xf numFmtId="0" fontId="32" fillId="0" borderId="1" xfId="0" applyNumberFormat="1" applyFont="1" applyBorder="1" applyAlignment="1">
      <alignment horizontal="left"/>
    </xf>
    <xf numFmtId="2" fontId="32" fillId="36" borderId="1" xfId="0" applyNumberFormat="1" applyFont="1" applyFill="1" applyBorder="1"/>
    <xf numFmtId="0" fontId="33" fillId="0" borderId="43" xfId="0" applyNumberFormat="1" applyFont="1" applyBorder="1"/>
    <xf numFmtId="0" fontId="33" fillId="0" borderId="43" xfId="0" applyNumberFormat="1" applyFont="1" applyBorder="1" applyAlignment="1">
      <alignment horizontal="left"/>
    </xf>
    <xf numFmtId="168" fontId="33" fillId="0" borderId="43" xfId="0" applyFont="1" applyBorder="1"/>
    <xf numFmtId="167" fontId="33" fillId="0" borderId="43" xfId="0" applyNumberFormat="1" applyFont="1" applyBorder="1"/>
    <xf numFmtId="1" fontId="33" fillId="0" borderId="43" xfId="0" applyNumberFormat="1" applyFont="1" applyBorder="1"/>
    <xf numFmtId="0" fontId="33" fillId="38" borderId="40" xfId="0" applyNumberFormat="1" applyFont="1" applyFill="1" applyBorder="1"/>
    <xf numFmtId="0" fontId="32" fillId="0" borderId="40" xfId="0" applyNumberFormat="1" applyFont="1" applyBorder="1" applyAlignment="1">
      <alignment horizontal="left"/>
    </xf>
    <xf numFmtId="168" fontId="32" fillId="0" borderId="40" xfId="0" applyFont="1" applyBorder="1"/>
    <xf numFmtId="167" fontId="32" fillId="0" borderId="40" xfId="0" applyNumberFormat="1" applyFont="1" applyBorder="1"/>
    <xf numFmtId="164" fontId="32" fillId="0" borderId="40" xfId="0" applyNumberFormat="1" applyFont="1" applyBorder="1"/>
    <xf numFmtId="1" fontId="32" fillId="0" borderId="40" xfId="0" applyNumberFormat="1" applyFont="1" applyBorder="1"/>
    <xf numFmtId="2" fontId="32" fillId="36" borderId="40" xfId="0" applyNumberFormat="1" applyFont="1" applyFill="1" applyBorder="1"/>
    <xf numFmtId="0" fontId="33" fillId="38" borderId="8" xfId="0" applyNumberFormat="1" applyFont="1" applyFill="1" applyBorder="1"/>
    <xf numFmtId="168" fontId="32" fillId="0" borderId="8" xfId="0" applyFont="1" applyBorder="1" applyAlignment="1">
      <alignment horizontal="left"/>
    </xf>
    <xf numFmtId="0" fontId="33" fillId="0" borderId="41" xfId="93" applyNumberFormat="1" applyFont="1" applyFill="1" applyBorder="1"/>
    <xf numFmtId="0" fontId="32" fillId="0" borderId="41" xfId="93" applyNumberFormat="1" applyFont="1" applyBorder="1" applyAlignment="1">
      <alignment horizontal="left"/>
    </xf>
    <xf numFmtId="168" fontId="32" fillId="0" borderId="41" xfId="93" applyFont="1" applyBorder="1"/>
    <xf numFmtId="0" fontId="33" fillId="38" borderId="8" xfId="93" applyNumberFormat="1" applyFont="1" applyFill="1" applyBorder="1"/>
    <xf numFmtId="0" fontId="32" fillId="0" borderId="8" xfId="93" applyNumberFormat="1" applyFont="1" applyBorder="1" applyAlignment="1">
      <alignment horizontal="left"/>
    </xf>
    <xf numFmtId="0" fontId="32" fillId="0" borderId="8" xfId="93" applyNumberFormat="1" applyFont="1" applyBorder="1"/>
    <xf numFmtId="168" fontId="0" fillId="0" borderId="13" xfId="0" applyBorder="1"/>
    <xf numFmtId="22" fontId="32" fillId="38" borderId="0" xfId="0" applyNumberFormat="1" applyFont="1" applyFill="1" applyAlignment="1">
      <alignment vertical="center" wrapText="1"/>
    </xf>
    <xf numFmtId="14" fontId="32" fillId="0" borderId="3" xfId="77" applyNumberFormat="1" applyFont="1" applyFill="1" applyBorder="1" applyAlignment="1">
      <alignment horizontal="left" vertical="center"/>
    </xf>
    <xf numFmtId="0" fontId="32" fillId="0" borderId="3" xfId="77" applyNumberFormat="1" applyFont="1" applyFill="1" applyBorder="1" applyAlignment="1">
      <alignment horizontal="left" vertical="center"/>
    </xf>
    <xf numFmtId="168" fontId="32" fillId="0" borderId="3" xfId="77" applyFont="1" applyFill="1" applyBorder="1" applyAlignment="1">
      <alignment horizontal="left" vertical="center"/>
    </xf>
    <xf numFmtId="168" fontId="32" fillId="0" borderId="3" xfId="77" applyFont="1" applyFill="1" applyBorder="1" applyAlignment="1">
      <alignment horizontal="left" vertical="center" wrapText="1"/>
    </xf>
    <xf numFmtId="14" fontId="32" fillId="46" borderId="4" xfId="77" applyNumberFormat="1" applyFont="1" applyFill="1" applyBorder="1" applyAlignment="1">
      <alignment horizontal="left" vertical="center"/>
    </xf>
    <xf numFmtId="0" fontId="32" fillId="46" borderId="4" xfId="77" applyNumberFormat="1" applyFont="1" applyFill="1" applyBorder="1" applyAlignment="1">
      <alignment horizontal="left" vertical="center"/>
    </xf>
    <xf numFmtId="168" fontId="32" fillId="46" borderId="4" xfId="77" applyFont="1" applyFill="1" applyBorder="1" applyAlignment="1">
      <alignment horizontal="left" vertical="center"/>
    </xf>
    <xf numFmtId="168" fontId="32" fillId="46" borderId="4" xfId="77" applyFont="1" applyFill="1" applyBorder="1" applyAlignment="1">
      <alignment horizontal="left" vertical="center" wrapText="1"/>
    </xf>
    <xf numFmtId="16" fontId="40" fillId="0" borderId="17" xfId="93" applyNumberFormat="1" applyFont="1" applyFill="1" applyBorder="1"/>
    <xf numFmtId="2" fontId="32" fillId="0" borderId="4" xfId="0" applyNumberFormat="1" applyFont="1" applyFill="1" applyBorder="1"/>
    <xf numFmtId="2" fontId="32" fillId="0" borderId="6" xfId="0" applyNumberFormat="1" applyFont="1" applyFill="1" applyBorder="1"/>
    <xf numFmtId="2" fontId="32" fillId="0" borderId="41" xfId="0" applyNumberFormat="1" applyFont="1" applyFill="1" applyBorder="1"/>
    <xf numFmtId="168" fontId="0" fillId="0" borderId="13" xfId="0" applyFill="1" applyBorder="1"/>
    <xf numFmtId="2" fontId="32" fillId="0" borderId="40" xfId="0" applyNumberFormat="1" applyFont="1" applyFill="1" applyBorder="1"/>
    <xf numFmtId="2" fontId="32" fillId="0" borderId="1" xfId="0" applyNumberFormat="1" applyFont="1" applyFill="1" applyBorder="1"/>
    <xf numFmtId="2" fontId="32" fillId="0" borderId="8" xfId="0" applyNumberFormat="1" applyFont="1" applyFill="1" applyBorder="1"/>
    <xf numFmtId="2" fontId="32" fillId="0" borderId="3" xfId="0" applyNumberFormat="1" applyFont="1" applyFill="1" applyBorder="1"/>
    <xf numFmtId="167" fontId="33" fillId="0" borderId="43" xfId="0" applyNumberFormat="1" applyFont="1" applyFill="1" applyBorder="1"/>
    <xf numFmtId="168" fontId="32" fillId="0" borderId="0" xfId="0" applyFont="1" applyFill="1"/>
    <xf numFmtId="14" fontId="32" fillId="46" borderId="3" xfId="77" applyNumberFormat="1" applyFont="1" applyFill="1" applyBorder="1" applyAlignment="1">
      <alignment horizontal="left" vertical="center"/>
    </xf>
    <xf numFmtId="0" fontId="32" fillId="46" borderId="3" xfId="77" applyNumberFormat="1" applyFont="1" applyFill="1" applyBorder="1" applyAlignment="1">
      <alignment horizontal="left" vertical="center"/>
    </xf>
    <xf numFmtId="168" fontId="32" fillId="46" borderId="3" xfId="77" applyFont="1" applyFill="1" applyBorder="1" applyAlignment="1">
      <alignment horizontal="left" vertical="center"/>
    </xf>
    <xf numFmtId="168" fontId="32" fillId="46" borderId="3" xfId="77" applyFont="1" applyFill="1" applyBorder="1" applyAlignment="1">
      <alignment horizontal="left" vertical="center" wrapText="1"/>
    </xf>
    <xf numFmtId="168" fontId="45" fillId="0" borderId="0" xfId="0" applyFont="1"/>
    <xf numFmtId="22" fontId="0" fillId="0" borderId="0" xfId="0" applyNumberFormat="1"/>
    <xf numFmtId="22" fontId="8" fillId="0" borderId="0" xfId="0" applyNumberFormat="1" applyFont="1"/>
    <xf numFmtId="0" fontId="7" fillId="0" borderId="7" xfId="0" applyNumberFormat="1" applyFont="1" applyBorder="1"/>
    <xf numFmtId="0" fontId="7" fillId="0" borderId="0" xfId="0" applyNumberFormat="1" applyFont="1" applyFill="1" applyBorder="1"/>
    <xf numFmtId="0" fontId="7" fillId="0" borderId="11" xfId="0" applyNumberFormat="1" applyFont="1" applyFill="1" applyBorder="1"/>
    <xf numFmtId="0" fontId="7" fillId="0" borderId="44" xfId="0" applyNumberFormat="1" applyFont="1" applyFill="1" applyBorder="1"/>
    <xf numFmtId="2" fontId="46" fillId="36" borderId="4" xfId="0" applyNumberFormat="1" applyFont="1" applyFill="1" applyBorder="1"/>
    <xf numFmtId="2" fontId="46" fillId="36" borderId="40" xfId="0" applyNumberFormat="1" applyFont="1" applyFill="1" applyBorder="1"/>
    <xf numFmtId="1" fontId="8" fillId="0" borderId="0" xfId="0" applyNumberFormat="1" applyFont="1"/>
    <xf numFmtId="1" fontId="0" fillId="0" borderId="0" xfId="0" applyNumberFormat="1"/>
    <xf numFmtId="14" fontId="8" fillId="0" borderId="0" xfId="0" applyNumberFormat="1" applyFont="1"/>
    <xf numFmtId="2" fontId="35" fillId="36" borderId="40" xfId="0" applyNumberFormat="1" applyFont="1" applyFill="1" applyBorder="1"/>
    <xf numFmtId="2" fontId="35" fillId="36" borderId="41" xfId="0" applyNumberFormat="1" applyFont="1" applyFill="1" applyBorder="1"/>
    <xf numFmtId="2" fontId="35" fillId="36" borderId="4" xfId="0" applyNumberFormat="1" applyFont="1" applyFill="1" applyBorder="1"/>
    <xf numFmtId="2" fontId="32" fillId="0" borderId="14" xfId="0" applyNumberFormat="1" applyFont="1" applyFill="1" applyBorder="1"/>
    <xf numFmtId="2" fontId="32" fillId="0" borderId="17" xfId="0" applyNumberFormat="1" applyFont="1" applyFill="1" applyBorder="1"/>
    <xf numFmtId="2" fontId="46" fillId="36" borderId="3" xfId="0" applyNumberFormat="1" applyFont="1" applyFill="1" applyBorder="1"/>
    <xf numFmtId="14" fontId="33" fillId="40" borderId="45" xfId="93" applyNumberFormat="1" applyFont="1" applyFill="1" applyBorder="1" applyAlignment="1">
      <alignment horizontal="left" vertical="center" wrapText="1"/>
    </xf>
    <xf numFmtId="2" fontId="7" fillId="0" borderId="0" xfId="77" applyNumberFormat="1"/>
    <xf numFmtId="168" fontId="7" fillId="0" borderId="3" xfId="77" applyBorder="1" applyAlignment="1">
      <alignment horizontal="center" vertical="center"/>
    </xf>
    <xf numFmtId="0" fontId="7" fillId="0" borderId="3" xfId="77" applyNumberFormat="1" applyBorder="1" applyAlignment="1">
      <alignment horizontal="center" vertical="center"/>
    </xf>
    <xf numFmtId="2" fontId="7" fillId="0" borderId="3" xfId="77" applyNumberFormat="1" applyBorder="1" applyAlignment="1">
      <alignment horizontal="center" vertical="center"/>
    </xf>
    <xf numFmtId="168" fontId="7" fillId="0" borderId="3" xfId="77" applyBorder="1" applyAlignment="1">
      <alignment horizontal="left" vertical="center"/>
    </xf>
    <xf numFmtId="14" fontId="33" fillId="0" borderId="46" xfId="93" applyNumberFormat="1" applyFont="1" applyFill="1" applyBorder="1" applyAlignment="1">
      <alignment horizontal="left" vertical="center" wrapText="1"/>
    </xf>
    <xf numFmtId="14" fontId="33" fillId="0" borderId="47" xfId="93" applyNumberFormat="1" applyFont="1" applyFill="1" applyBorder="1" applyAlignment="1">
      <alignment horizontal="left" vertical="center" wrapText="1"/>
    </xf>
    <xf numFmtId="0" fontId="33" fillId="0" borderId="47" xfId="93" applyNumberFormat="1" applyFont="1" applyFill="1" applyBorder="1" applyAlignment="1">
      <alignment horizontal="left" vertical="center" wrapText="1"/>
    </xf>
    <xf numFmtId="2" fontId="33" fillId="0" borderId="47" xfId="93" applyNumberFormat="1" applyFont="1" applyFill="1" applyBorder="1" applyAlignment="1">
      <alignment horizontal="left" vertical="center" wrapText="1"/>
    </xf>
    <xf numFmtId="0" fontId="33" fillId="0" borderId="47" xfId="65" applyNumberFormat="1" applyFont="1" applyFill="1" applyBorder="1" applyAlignment="1">
      <alignment horizontal="left" vertical="center"/>
    </xf>
    <xf numFmtId="43" fontId="33" fillId="0" borderId="48" xfId="65" applyFont="1" applyFill="1" applyBorder="1" applyAlignment="1">
      <alignment horizontal="left" vertical="center"/>
    </xf>
    <xf numFmtId="168" fontId="7" fillId="46" borderId="4" xfId="77" applyFill="1" applyBorder="1" applyAlignment="1">
      <alignment horizontal="center" vertical="center"/>
    </xf>
    <xf numFmtId="0" fontId="7" fillId="46" borderId="4" xfId="77" applyNumberFormat="1" applyFill="1" applyBorder="1" applyAlignment="1">
      <alignment horizontal="center" vertical="center"/>
    </xf>
    <xf numFmtId="2" fontId="7" fillId="46" borderId="4" xfId="77" applyNumberFormat="1" applyFill="1" applyBorder="1" applyAlignment="1">
      <alignment horizontal="center" vertical="center"/>
    </xf>
    <xf numFmtId="168" fontId="7" fillId="46" borderId="4" xfId="77" applyFill="1" applyBorder="1" applyAlignment="1">
      <alignment horizontal="left" vertical="center" wrapText="1"/>
    </xf>
    <xf numFmtId="2" fontId="0" fillId="38" borderId="0" xfId="0" applyNumberFormat="1" applyFill="1"/>
  </cellXfs>
  <cellStyles count="814">
    <cellStyle name="20% - Accent1" xfId="1" builtinId="30" customBuiltin="1"/>
    <cellStyle name="20% - Accent1 10" xfId="585" xr:uid="{00000000-0005-0000-0000-000001000000}"/>
    <cellStyle name="20% - Accent1 2" xfId="2" xr:uid="{00000000-0005-0000-0000-000002000000}"/>
    <cellStyle name="20% - Accent1 2 2" xfId="3" xr:uid="{00000000-0005-0000-0000-000003000000}"/>
    <cellStyle name="20% - Accent1 2 2 2" xfId="150" xr:uid="{00000000-0005-0000-0000-000004000000}"/>
    <cellStyle name="20% - Accent1 2 2 2 2" xfId="443" xr:uid="{00000000-0005-0000-0000-000005000000}"/>
    <cellStyle name="20% - Accent1 2 2 2 3" xfId="712" xr:uid="{00000000-0005-0000-0000-000006000000}"/>
    <cellStyle name="20% - Accent1 2 2 3" xfId="301" xr:uid="{00000000-0005-0000-0000-000007000000}"/>
    <cellStyle name="20% - Accent1 2 2 4" xfId="599" xr:uid="{00000000-0005-0000-0000-000008000000}"/>
    <cellStyle name="20% - Accent1 2 3" xfId="149" xr:uid="{00000000-0005-0000-0000-000009000000}"/>
    <cellStyle name="20% - Accent1 2 3 2" xfId="442" xr:uid="{00000000-0005-0000-0000-00000A000000}"/>
    <cellStyle name="20% - Accent1 2 3 3" xfId="711" xr:uid="{00000000-0005-0000-0000-00000B000000}"/>
    <cellStyle name="20% - Accent1 2 4" xfId="300" xr:uid="{00000000-0005-0000-0000-00000C000000}"/>
    <cellStyle name="20% - Accent1 2 5" xfId="598" xr:uid="{00000000-0005-0000-0000-00000D000000}"/>
    <cellStyle name="20% - Accent1 3" xfId="4" xr:uid="{00000000-0005-0000-0000-00000E000000}"/>
    <cellStyle name="20% - Accent1 3 2" xfId="151" xr:uid="{00000000-0005-0000-0000-00000F000000}"/>
    <cellStyle name="20% - Accent1 3 2 2" xfId="444" xr:uid="{00000000-0005-0000-0000-000010000000}"/>
    <cellStyle name="20% - Accent1 3 2 3" xfId="713" xr:uid="{00000000-0005-0000-0000-000011000000}"/>
    <cellStyle name="20% - Accent1 3 3" xfId="302" xr:uid="{00000000-0005-0000-0000-000012000000}"/>
    <cellStyle name="20% - Accent1 3 4" xfId="600" xr:uid="{00000000-0005-0000-0000-000013000000}"/>
    <cellStyle name="20% - Accent1 4" xfId="136" xr:uid="{00000000-0005-0000-0000-000014000000}"/>
    <cellStyle name="20% - Accent1 4 2" xfId="430" xr:uid="{00000000-0005-0000-0000-000015000000}"/>
    <cellStyle name="20% - Accent1 4 3" xfId="699" xr:uid="{00000000-0005-0000-0000-000016000000}"/>
    <cellStyle name="20% - Accent1 5" xfId="260" xr:uid="{00000000-0005-0000-0000-000017000000}"/>
    <cellStyle name="20% - Accent1 5 2" xfId="535" xr:uid="{00000000-0005-0000-0000-000018000000}"/>
    <cellStyle name="20% - Accent1 5 3" xfId="802" xr:uid="{00000000-0005-0000-0000-000019000000}"/>
    <cellStyle name="20% - Accent1 6" xfId="299" xr:uid="{00000000-0005-0000-0000-00001A000000}"/>
    <cellStyle name="20% - Accent1 6 2" xfId="597" xr:uid="{00000000-0005-0000-0000-00001B000000}"/>
    <cellStyle name="20% - Accent1 7" xfId="286" xr:uid="{00000000-0005-0000-0000-00001C000000}"/>
    <cellStyle name="20% - Accent1 8" xfId="557" xr:uid="{00000000-0005-0000-0000-00001D000000}"/>
    <cellStyle name="20% - Accent1 9" xfId="571" xr:uid="{00000000-0005-0000-0000-00001E000000}"/>
    <cellStyle name="20% - Accent2" xfId="5" builtinId="34" customBuiltin="1"/>
    <cellStyle name="20% - Accent2 10" xfId="587" xr:uid="{00000000-0005-0000-0000-000020000000}"/>
    <cellStyle name="20% - Accent2 2" xfId="6" xr:uid="{00000000-0005-0000-0000-000021000000}"/>
    <cellStyle name="20% - Accent2 2 2" xfId="7" xr:uid="{00000000-0005-0000-0000-000022000000}"/>
    <cellStyle name="20% - Accent2 2 2 2" xfId="153" xr:uid="{00000000-0005-0000-0000-000023000000}"/>
    <cellStyle name="20% - Accent2 2 2 2 2" xfId="446" xr:uid="{00000000-0005-0000-0000-000024000000}"/>
    <cellStyle name="20% - Accent2 2 2 2 3" xfId="715" xr:uid="{00000000-0005-0000-0000-000025000000}"/>
    <cellStyle name="20% - Accent2 2 2 3" xfId="305" xr:uid="{00000000-0005-0000-0000-000026000000}"/>
    <cellStyle name="20% - Accent2 2 2 4" xfId="603" xr:uid="{00000000-0005-0000-0000-000027000000}"/>
    <cellStyle name="20% - Accent2 2 3" xfId="152" xr:uid="{00000000-0005-0000-0000-000028000000}"/>
    <cellStyle name="20% - Accent2 2 3 2" xfId="445" xr:uid="{00000000-0005-0000-0000-000029000000}"/>
    <cellStyle name="20% - Accent2 2 3 3" xfId="714" xr:uid="{00000000-0005-0000-0000-00002A000000}"/>
    <cellStyle name="20% - Accent2 2 4" xfId="304" xr:uid="{00000000-0005-0000-0000-00002B000000}"/>
    <cellStyle name="20% - Accent2 2 5" xfId="602" xr:uid="{00000000-0005-0000-0000-00002C000000}"/>
    <cellStyle name="20% - Accent2 3" xfId="8" xr:uid="{00000000-0005-0000-0000-00002D000000}"/>
    <cellStyle name="20% - Accent2 3 2" xfId="154" xr:uid="{00000000-0005-0000-0000-00002E000000}"/>
    <cellStyle name="20% - Accent2 3 2 2" xfId="447" xr:uid="{00000000-0005-0000-0000-00002F000000}"/>
    <cellStyle name="20% - Accent2 3 2 3" xfId="716" xr:uid="{00000000-0005-0000-0000-000030000000}"/>
    <cellStyle name="20% - Accent2 3 3" xfId="306" xr:uid="{00000000-0005-0000-0000-000031000000}"/>
    <cellStyle name="20% - Accent2 3 4" xfId="604" xr:uid="{00000000-0005-0000-0000-000032000000}"/>
    <cellStyle name="20% - Accent2 4" xfId="138" xr:uid="{00000000-0005-0000-0000-000033000000}"/>
    <cellStyle name="20% - Accent2 4 2" xfId="432" xr:uid="{00000000-0005-0000-0000-000034000000}"/>
    <cellStyle name="20% - Accent2 4 3" xfId="701" xr:uid="{00000000-0005-0000-0000-000035000000}"/>
    <cellStyle name="20% - Accent2 5" xfId="264" xr:uid="{00000000-0005-0000-0000-000036000000}"/>
    <cellStyle name="20% - Accent2 5 2" xfId="537" xr:uid="{00000000-0005-0000-0000-000037000000}"/>
    <cellStyle name="20% - Accent2 5 3" xfId="804" xr:uid="{00000000-0005-0000-0000-000038000000}"/>
    <cellStyle name="20% - Accent2 6" xfId="303" xr:uid="{00000000-0005-0000-0000-000039000000}"/>
    <cellStyle name="20% - Accent2 6 2" xfId="601" xr:uid="{00000000-0005-0000-0000-00003A000000}"/>
    <cellStyle name="20% - Accent2 7" xfId="288" xr:uid="{00000000-0005-0000-0000-00003B000000}"/>
    <cellStyle name="20% - Accent2 8" xfId="559" xr:uid="{00000000-0005-0000-0000-00003C000000}"/>
    <cellStyle name="20% - Accent2 9" xfId="573" xr:uid="{00000000-0005-0000-0000-00003D000000}"/>
    <cellStyle name="20% - Accent3" xfId="9" builtinId="38" customBuiltin="1"/>
    <cellStyle name="20% - Accent3 10" xfId="589" xr:uid="{00000000-0005-0000-0000-00003F000000}"/>
    <cellStyle name="20% - Accent3 2" xfId="10" xr:uid="{00000000-0005-0000-0000-000040000000}"/>
    <cellStyle name="20% - Accent3 2 2" xfId="11" xr:uid="{00000000-0005-0000-0000-000041000000}"/>
    <cellStyle name="20% - Accent3 2 2 2" xfId="156" xr:uid="{00000000-0005-0000-0000-000042000000}"/>
    <cellStyle name="20% - Accent3 2 2 2 2" xfId="449" xr:uid="{00000000-0005-0000-0000-000043000000}"/>
    <cellStyle name="20% - Accent3 2 2 2 3" xfId="718" xr:uid="{00000000-0005-0000-0000-000044000000}"/>
    <cellStyle name="20% - Accent3 2 2 3" xfId="309" xr:uid="{00000000-0005-0000-0000-000045000000}"/>
    <cellStyle name="20% - Accent3 2 2 4" xfId="607" xr:uid="{00000000-0005-0000-0000-000046000000}"/>
    <cellStyle name="20% - Accent3 2 3" xfId="155" xr:uid="{00000000-0005-0000-0000-000047000000}"/>
    <cellStyle name="20% - Accent3 2 3 2" xfId="448" xr:uid="{00000000-0005-0000-0000-000048000000}"/>
    <cellStyle name="20% - Accent3 2 3 3" xfId="717" xr:uid="{00000000-0005-0000-0000-000049000000}"/>
    <cellStyle name="20% - Accent3 2 4" xfId="308" xr:uid="{00000000-0005-0000-0000-00004A000000}"/>
    <cellStyle name="20% - Accent3 2 5" xfId="606" xr:uid="{00000000-0005-0000-0000-00004B000000}"/>
    <cellStyle name="20% - Accent3 3" xfId="12" xr:uid="{00000000-0005-0000-0000-00004C000000}"/>
    <cellStyle name="20% - Accent3 3 2" xfId="157" xr:uid="{00000000-0005-0000-0000-00004D000000}"/>
    <cellStyle name="20% - Accent3 3 2 2" xfId="450" xr:uid="{00000000-0005-0000-0000-00004E000000}"/>
    <cellStyle name="20% - Accent3 3 2 3" xfId="719" xr:uid="{00000000-0005-0000-0000-00004F000000}"/>
    <cellStyle name="20% - Accent3 3 3" xfId="310" xr:uid="{00000000-0005-0000-0000-000050000000}"/>
    <cellStyle name="20% - Accent3 3 4" xfId="608" xr:uid="{00000000-0005-0000-0000-000051000000}"/>
    <cellStyle name="20% - Accent3 4" xfId="140" xr:uid="{00000000-0005-0000-0000-000052000000}"/>
    <cellStyle name="20% - Accent3 4 2" xfId="434" xr:uid="{00000000-0005-0000-0000-000053000000}"/>
    <cellStyle name="20% - Accent3 4 3" xfId="703" xr:uid="{00000000-0005-0000-0000-000054000000}"/>
    <cellStyle name="20% - Accent3 5" xfId="268" xr:uid="{00000000-0005-0000-0000-000055000000}"/>
    <cellStyle name="20% - Accent3 5 2" xfId="539" xr:uid="{00000000-0005-0000-0000-000056000000}"/>
    <cellStyle name="20% - Accent3 5 3" xfId="806" xr:uid="{00000000-0005-0000-0000-000057000000}"/>
    <cellStyle name="20% - Accent3 6" xfId="307" xr:uid="{00000000-0005-0000-0000-000058000000}"/>
    <cellStyle name="20% - Accent3 6 2" xfId="605" xr:uid="{00000000-0005-0000-0000-000059000000}"/>
    <cellStyle name="20% - Accent3 7" xfId="290" xr:uid="{00000000-0005-0000-0000-00005A000000}"/>
    <cellStyle name="20% - Accent3 8" xfId="561" xr:uid="{00000000-0005-0000-0000-00005B000000}"/>
    <cellStyle name="20% - Accent3 9" xfId="575" xr:uid="{00000000-0005-0000-0000-00005C000000}"/>
    <cellStyle name="20% - Accent4" xfId="13" builtinId="42" customBuiltin="1"/>
    <cellStyle name="20% - Accent4 10" xfId="591" xr:uid="{00000000-0005-0000-0000-00005E000000}"/>
    <cellStyle name="20% - Accent4 2" xfId="14" xr:uid="{00000000-0005-0000-0000-00005F000000}"/>
    <cellStyle name="20% - Accent4 2 2" xfId="15" xr:uid="{00000000-0005-0000-0000-000060000000}"/>
    <cellStyle name="20% - Accent4 2 2 2" xfId="159" xr:uid="{00000000-0005-0000-0000-000061000000}"/>
    <cellStyle name="20% - Accent4 2 2 2 2" xfId="452" xr:uid="{00000000-0005-0000-0000-000062000000}"/>
    <cellStyle name="20% - Accent4 2 2 2 3" xfId="721" xr:uid="{00000000-0005-0000-0000-000063000000}"/>
    <cellStyle name="20% - Accent4 2 2 3" xfId="313" xr:uid="{00000000-0005-0000-0000-000064000000}"/>
    <cellStyle name="20% - Accent4 2 2 4" xfId="611" xr:uid="{00000000-0005-0000-0000-000065000000}"/>
    <cellStyle name="20% - Accent4 2 3" xfId="158" xr:uid="{00000000-0005-0000-0000-000066000000}"/>
    <cellStyle name="20% - Accent4 2 3 2" xfId="451" xr:uid="{00000000-0005-0000-0000-000067000000}"/>
    <cellStyle name="20% - Accent4 2 3 3" xfId="720" xr:uid="{00000000-0005-0000-0000-000068000000}"/>
    <cellStyle name="20% - Accent4 2 4" xfId="312" xr:uid="{00000000-0005-0000-0000-000069000000}"/>
    <cellStyle name="20% - Accent4 2 5" xfId="610" xr:uid="{00000000-0005-0000-0000-00006A000000}"/>
    <cellStyle name="20% - Accent4 3" xfId="16" xr:uid="{00000000-0005-0000-0000-00006B000000}"/>
    <cellStyle name="20% - Accent4 3 2" xfId="160" xr:uid="{00000000-0005-0000-0000-00006C000000}"/>
    <cellStyle name="20% - Accent4 3 2 2" xfId="453" xr:uid="{00000000-0005-0000-0000-00006D000000}"/>
    <cellStyle name="20% - Accent4 3 2 3" xfId="722" xr:uid="{00000000-0005-0000-0000-00006E000000}"/>
    <cellStyle name="20% - Accent4 3 3" xfId="314" xr:uid="{00000000-0005-0000-0000-00006F000000}"/>
    <cellStyle name="20% - Accent4 3 4" xfId="612" xr:uid="{00000000-0005-0000-0000-000070000000}"/>
    <cellStyle name="20% - Accent4 4" xfId="142" xr:uid="{00000000-0005-0000-0000-000071000000}"/>
    <cellStyle name="20% - Accent4 4 2" xfId="436" xr:uid="{00000000-0005-0000-0000-000072000000}"/>
    <cellStyle name="20% - Accent4 4 3" xfId="705" xr:uid="{00000000-0005-0000-0000-000073000000}"/>
    <cellStyle name="20% - Accent4 5" xfId="272" xr:uid="{00000000-0005-0000-0000-000074000000}"/>
    <cellStyle name="20% - Accent4 5 2" xfId="541" xr:uid="{00000000-0005-0000-0000-000075000000}"/>
    <cellStyle name="20% - Accent4 5 3" xfId="808" xr:uid="{00000000-0005-0000-0000-000076000000}"/>
    <cellStyle name="20% - Accent4 6" xfId="311" xr:uid="{00000000-0005-0000-0000-000077000000}"/>
    <cellStyle name="20% - Accent4 6 2" xfId="609" xr:uid="{00000000-0005-0000-0000-000078000000}"/>
    <cellStyle name="20% - Accent4 7" xfId="292" xr:uid="{00000000-0005-0000-0000-000079000000}"/>
    <cellStyle name="20% - Accent4 8" xfId="563" xr:uid="{00000000-0005-0000-0000-00007A000000}"/>
    <cellStyle name="20% - Accent4 9" xfId="577" xr:uid="{00000000-0005-0000-0000-00007B000000}"/>
    <cellStyle name="20% - Accent5" xfId="17" builtinId="46" customBuiltin="1"/>
    <cellStyle name="20% - Accent5 10" xfId="593" xr:uid="{00000000-0005-0000-0000-00007D000000}"/>
    <cellStyle name="20% - Accent5 2" xfId="18" xr:uid="{00000000-0005-0000-0000-00007E000000}"/>
    <cellStyle name="20% - Accent5 2 2" xfId="19" xr:uid="{00000000-0005-0000-0000-00007F000000}"/>
    <cellStyle name="20% - Accent5 2 2 2" xfId="162" xr:uid="{00000000-0005-0000-0000-000080000000}"/>
    <cellStyle name="20% - Accent5 2 2 2 2" xfId="455" xr:uid="{00000000-0005-0000-0000-000081000000}"/>
    <cellStyle name="20% - Accent5 2 2 2 3" xfId="724" xr:uid="{00000000-0005-0000-0000-000082000000}"/>
    <cellStyle name="20% - Accent5 2 2 3" xfId="317" xr:uid="{00000000-0005-0000-0000-000083000000}"/>
    <cellStyle name="20% - Accent5 2 2 4" xfId="615" xr:uid="{00000000-0005-0000-0000-000084000000}"/>
    <cellStyle name="20% - Accent5 2 3" xfId="161" xr:uid="{00000000-0005-0000-0000-000085000000}"/>
    <cellStyle name="20% - Accent5 2 3 2" xfId="454" xr:uid="{00000000-0005-0000-0000-000086000000}"/>
    <cellStyle name="20% - Accent5 2 3 3" xfId="723" xr:uid="{00000000-0005-0000-0000-000087000000}"/>
    <cellStyle name="20% - Accent5 2 4" xfId="316" xr:uid="{00000000-0005-0000-0000-000088000000}"/>
    <cellStyle name="20% - Accent5 2 5" xfId="614" xr:uid="{00000000-0005-0000-0000-000089000000}"/>
    <cellStyle name="20% - Accent5 3" xfId="20" xr:uid="{00000000-0005-0000-0000-00008A000000}"/>
    <cellStyle name="20% - Accent5 3 2" xfId="163" xr:uid="{00000000-0005-0000-0000-00008B000000}"/>
    <cellStyle name="20% - Accent5 3 2 2" xfId="456" xr:uid="{00000000-0005-0000-0000-00008C000000}"/>
    <cellStyle name="20% - Accent5 3 2 3" xfId="725" xr:uid="{00000000-0005-0000-0000-00008D000000}"/>
    <cellStyle name="20% - Accent5 3 3" xfId="318" xr:uid="{00000000-0005-0000-0000-00008E000000}"/>
    <cellStyle name="20% - Accent5 3 4" xfId="616" xr:uid="{00000000-0005-0000-0000-00008F000000}"/>
    <cellStyle name="20% - Accent5 4" xfId="144" xr:uid="{00000000-0005-0000-0000-000090000000}"/>
    <cellStyle name="20% - Accent5 4 2" xfId="438" xr:uid="{00000000-0005-0000-0000-000091000000}"/>
    <cellStyle name="20% - Accent5 4 3" xfId="707" xr:uid="{00000000-0005-0000-0000-000092000000}"/>
    <cellStyle name="20% - Accent5 5" xfId="276" xr:uid="{00000000-0005-0000-0000-000093000000}"/>
    <cellStyle name="20% - Accent5 5 2" xfId="543" xr:uid="{00000000-0005-0000-0000-000094000000}"/>
    <cellStyle name="20% - Accent5 5 3" xfId="810" xr:uid="{00000000-0005-0000-0000-000095000000}"/>
    <cellStyle name="20% - Accent5 6" xfId="315" xr:uid="{00000000-0005-0000-0000-000096000000}"/>
    <cellStyle name="20% - Accent5 6 2" xfId="613" xr:uid="{00000000-0005-0000-0000-000097000000}"/>
    <cellStyle name="20% - Accent5 7" xfId="294" xr:uid="{00000000-0005-0000-0000-000098000000}"/>
    <cellStyle name="20% - Accent5 8" xfId="565" xr:uid="{00000000-0005-0000-0000-000099000000}"/>
    <cellStyle name="20% - Accent5 9" xfId="579" xr:uid="{00000000-0005-0000-0000-00009A000000}"/>
    <cellStyle name="20% - Accent6" xfId="21" builtinId="50" customBuiltin="1"/>
    <cellStyle name="20% - Accent6 10" xfId="595" xr:uid="{00000000-0005-0000-0000-00009C000000}"/>
    <cellStyle name="20% - Accent6 2" xfId="22" xr:uid="{00000000-0005-0000-0000-00009D000000}"/>
    <cellStyle name="20% - Accent6 2 2" xfId="23" xr:uid="{00000000-0005-0000-0000-00009E000000}"/>
    <cellStyle name="20% - Accent6 2 2 2" xfId="165" xr:uid="{00000000-0005-0000-0000-00009F000000}"/>
    <cellStyle name="20% - Accent6 2 2 2 2" xfId="458" xr:uid="{00000000-0005-0000-0000-0000A0000000}"/>
    <cellStyle name="20% - Accent6 2 2 2 3" xfId="727" xr:uid="{00000000-0005-0000-0000-0000A1000000}"/>
    <cellStyle name="20% - Accent6 2 2 3" xfId="321" xr:uid="{00000000-0005-0000-0000-0000A2000000}"/>
    <cellStyle name="20% - Accent6 2 2 4" xfId="619" xr:uid="{00000000-0005-0000-0000-0000A3000000}"/>
    <cellStyle name="20% - Accent6 2 3" xfId="164" xr:uid="{00000000-0005-0000-0000-0000A4000000}"/>
    <cellStyle name="20% - Accent6 2 3 2" xfId="457" xr:uid="{00000000-0005-0000-0000-0000A5000000}"/>
    <cellStyle name="20% - Accent6 2 3 3" xfId="726" xr:uid="{00000000-0005-0000-0000-0000A6000000}"/>
    <cellStyle name="20% - Accent6 2 4" xfId="320" xr:uid="{00000000-0005-0000-0000-0000A7000000}"/>
    <cellStyle name="20% - Accent6 2 5" xfId="618" xr:uid="{00000000-0005-0000-0000-0000A8000000}"/>
    <cellStyle name="20% - Accent6 3" xfId="24" xr:uid="{00000000-0005-0000-0000-0000A9000000}"/>
    <cellStyle name="20% - Accent6 3 2" xfId="166" xr:uid="{00000000-0005-0000-0000-0000AA000000}"/>
    <cellStyle name="20% - Accent6 3 2 2" xfId="459" xr:uid="{00000000-0005-0000-0000-0000AB000000}"/>
    <cellStyle name="20% - Accent6 3 2 3" xfId="728" xr:uid="{00000000-0005-0000-0000-0000AC000000}"/>
    <cellStyle name="20% - Accent6 3 3" xfId="322" xr:uid="{00000000-0005-0000-0000-0000AD000000}"/>
    <cellStyle name="20% - Accent6 3 4" xfId="620" xr:uid="{00000000-0005-0000-0000-0000AE000000}"/>
    <cellStyle name="20% - Accent6 4" xfId="146" xr:uid="{00000000-0005-0000-0000-0000AF000000}"/>
    <cellStyle name="20% - Accent6 4 2" xfId="440" xr:uid="{00000000-0005-0000-0000-0000B0000000}"/>
    <cellStyle name="20% - Accent6 4 3" xfId="709" xr:uid="{00000000-0005-0000-0000-0000B1000000}"/>
    <cellStyle name="20% - Accent6 5" xfId="280" xr:uid="{00000000-0005-0000-0000-0000B2000000}"/>
    <cellStyle name="20% - Accent6 5 2" xfId="545" xr:uid="{00000000-0005-0000-0000-0000B3000000}"/>
    <cellStyle name="20% - Accent6 5 3" xfId="812" xr:uid="{00000000-0005-0000-0000-0000B4000000}"/>
    <cellStyle name="20% - Accent6 6" xfId="319" xr:uid="{00000000-0005-0000-0000-0000B5000000}"/>
    <cellStyle name="20% - Accent6 6 2" xfId="617" xr:uid="{00000000-0005-0000-0000-0000B6000000}"/>
    <cellStyle name="20% - Accent6 7" xfId="296" xr:uid="{00000000-0005-0000-0000-0000B7000000}"/>
    <cellStyle name="20% - Accent6 8" xfId="567" xr:uid="{00000000-0005-0000-0000-0000B8000000}"/>
    <cellStyle name="20% - Accent6 9" xfId="581" xr:uid="{00000000-0005-0000-0000-0000B9000000}"/>
    <cellStyle name="40% - Accent1" xfId="25" builtinId="31" customBuiltin="1"/>
    <cellStyle name="40% - Accent1 10" xfId="586" xr:uid="{00000000-0005-0000-0000-0000BB000000}"/>
    <cellStyle name="40% - Accent1 2" xfId="26" xr:uid="{00000000-0005-0000-0000-0000BC000000}"/>
    <cellStyle name="40% - Accent1 2 2" xfId="27" xr:uid="{00000000-0005-0000-0000-0000BD000000}"/>
    <cellStyle name="40% - Accent1 2 2 2" xfId="168" xr:uid="{00000000-0005-0000-0000-0000BE000000}"/>
    <cellStyle name="40% - Accent1 2 2 2 2" xfId="461" xr:uid="{00000000-0005-0000-0000-0000BF000000}"/>
    <cellStyle name="40% - Accent1 2 2 2 3" xfId="730" xr:uid="{00000000-0005-0000-0000-0000C0000000}"/>
    <cellStyle name="40% - Accent1 2 2 3" xfId="325" xr:uid="{00000000-0005-0000-0000-0000C1000000}"/>
    <cellStyle name="40% - Accent1 2 2 4" xfId="623" xr:uid="{00000000-0005-0000-0000-0000C2000000}"/>
    <cellStyle name="40% - Accent1 2 3" xfId="167" xr:uid="{00000000-0005-0000-0000-0000C3000000}"/>
    <cellStyle name="40% - Accent1 2 3 2" xfId="460" xr:uid="{00000000-0005-0000-0000-0000C4000000}"/>
    <cellStyle name="40% - Accent1 2 3 3" xfId="729" xr:uid="{00000000-0005-0000-0000-0000C5000000}"/>
    <cellStyle name="40% - Accent1 2 4" xfId="324" xr:uid="{00000000-0005-0000-0000-0000C6000000}"/>
    <cellStyle name="40% - Accent1 2 5" xfId="622" xr:uid="{00000000-0005-0000-0000-0000C7000000}"/>
    <cellStyle name="40% - Accent1 3" xfId="28" xr:uid="{00000000-0005-0000-0000-0000C8000000}"/>
    <cellStyle name="40% - Accent1 3 2" xfId="169" xr:uid="{00000000-0005-0000-0000-0000C9000000}"/>
    <cellStyle name="40% - Accent1 3 2 2" xfId="462" xr:uid="{00000000-0005-0000-0000-0000CA000000}"/>
    <cellStyle name="40% - Accent1 3 2 3" xfId="731" xr:uid="{00000000-0005-0000-0000-0000CB000000}"/>
    <cellStyle name="40% - Accent1 3 3" xfId="326" xr:uid="{00000000-0005-0000-0000-0000CC000000}"/>
    <cellStyle name="40% - Accent1 3 4" xfId="624" xr:uid="{00000000-0005-0000-0000-0000CD000000}"/>
    <cellStyle name="40% - Accent1 4" xfId="137" xr:uid="{00000000-0005-0000-0000-0000CE000000}"/>
    <cellStyle name="40% - Accent1 4 2" xfId="431" xr:uid="{00000000-0005-0000-0000-0000CF000000}"/>
    <cellStyle name="40% - Accent1 4 3" xfId="700" xr:uid="{00000000-0005-0000-0000-0000D0000000}"/>
    <cellStyle name="40% - Accent1 5" xfId="261" xr:uid="{00000000-0005-0000-0000-0000D1000000}"/>
    <cellStyle name="40% - Accent1 5 2" xfId="536" xr:uid="{00000000-0005-0000-0000-0000D2000000}"/>
    <cellStyle name="40% - Accent1 5 3" xfId="803" xr:uid="{00000000-0005-0000-0000-0000D3000000}"/>
    <cellStyle name="40% - Accent1 6" xfId="323" xr:uid="{00000000-0005-0000-0000-0000D4000000}"/>
    <cellStyle name="40% - Accent1 6 2" xfId="621" xr:uid="{00000000-0005-0000-0000-0000D5000000}"/>
    <cellStyle name="40% - Accent1 7" xfId="287" xr:uid="{00000000-0005-0000-0000-0000D6000000}"/>
    <cellStyle name="40% - Accent1 8" xfId="558" xr:uid="{00000000-0005-0000-0000-0000D7000000}"/>
    <cellStyle name="40% - Accent1 9" xfId="572" xr:uid="{00000000-0005-0000-0000-0000D8000000}"/>
    <cellStyle name="40% - Accent2" xfId="29" builtinId="35" customBuiltin="1"/>
    <cellStyle name="40% - Accent2 10" xfId="588" xr:uid="{00000000-0005-0000-0000-0000DA000000}"/>
    <cellStyle name="40% - Accent2 2" xfId="30" xr:uid="{00000000-0005-0000-0000-0000DB000000}"/>
    <cellStyle name="40% - Accent2 2 2" xfId="31" xr:uid="{00000000-0005-0000-0000-0000DC000000}"/>
    <cellStyle name="40% - Accent2 2 2 2" xfId="171" xr:uid="{00000000-0005-0000-0000-0000DD000000}"/>
    <cellStyle name="40% - Accent2 2 2 2 2" xfId="464" xr:uid="{00000000-0005-0000-0000-0000DE000000}"/>
    <cellStyle name="40% - Accent2 2 2 2 3" xfId="733" xr:uid="{00000000-0005-0000-0000-0000DF000000}"/>
    <cellStyle name="40% - Accent2 2 2 3" xfId="329" xr:uid="{00000000-0005-0000-0000-0000E0000000}"/>
    <cellStyle name="40% - Accent2 2 2 4" xfId="627" xr:uid="{00000000-0005-0000-0000-0000E1000000}"/>
    <cellStyle name="40% - Accent2 2 3" xfId="170" xr:uid="{00000000-0005-0000-0000-0000E2000000}"/>
    <cellStyle name="40% - Accent2 2 3 2" xfId="463" xr:uid="{00000000-0005-0000-0000-0000E3000000}"/>
    <cellStyle name="40% - Accent2 2 3 3" xfId="732" xr:uid="{00000000-0005-0000-0000-0000E4000000}"/>
    <cellStyle name="40% - Accent2 2 4" xfId="328" xr:uid="{00000000-0005-0000-0000-0000E5000000}"/>
    <cellStyle name="40% - Accent2 2 5" xfId="626" xr:uid="{00000000-0005-0000-0000-0000E6000000}"/>
    <cellStyle name="40% - Accent2 3" xfId="32" xr:uid="{00000000-0005-0000-0000-0000E7000000}"/>
    <cellStyle name="40% - Accent2 3 2" xfId="172" xr:uid="{00000000-0005-0000-0000-0000E8000000}"/>
    <cellStyle name="40% - Accent2 3 2 2" xfId="465" xr:uid="{00000000-0005-0000-0000-0000E9000000}"/>
    <cellStyle name="40% - Accent2 3 2 3" xfId="734" xr:uid="{00000000-0005-0000-0000-0000EA000000}"/>
    <cellStyle name="40% - Accent2 3 3" xfId="330" xr:uid="{00000000-0005-0000-0000-0000EB000000}"/>
    <cellStyle name="40% - Accent2 3 4" xfId="628" xr:uid="{00000000-0005-0000-0000-0000EC000000}"/>
    <cellStyle name="40% - Accent2 4" xfId="139" xr:uid="{00000000-0005-0000-0000-0000ED000000}"/>
    <cellStyle name="40% - Accent2 4 2" xfId="433" xr:uid="{00000000-0005-0000-0000-0000EE000000}"/>
    <cellStyle name="40% - Accent2 4 3" xfId="702" xr:uid="{00000000-0005-0000-0000-0000EF000000}"/>
    <cellStyle name="40% - Accent2 5" xfId="265" xr:uid="{00000000-0005-0000-0000-0000F0000000}"/>
    <cellStyle name="40% - Accent2 5 2" xfId="538" xr:uid="{00000000-0005-0000-0000-0000F1000000}"/>
    <cellStyle name="40% - Accent2 5 3" xfId="805" xr:uid="{00000000-0005-0000-0000-0000F2000000}"/>
    <cellStyle name="40% - Accent2 6" xfId="327" xr:uid="{00000000-0005-0000-0000-0000F3000000}"/>
    <cellStyle name="40% - Accent2 6 2" xfId="625" xr:uid="{00000000-0005-0000-0000-0000F4000000}"/>
    <cellStyle name="40% - Accent2 7" xfId="289" xr:uid="{00000000-0005-0000-0000-0000F5000000}"/>
    <cellStyle name="40% - Accent2 8" xfId="560" xr:uid="{00000000-0005-0000-0000-0000F6000000}"/>
    <cellStyle name="40% - Accent2 9" xfId="574" xr:uid="{00000000-0005-0000-0000-0000F7000000}"/>
    <cellStyle name="40% - Accent3" xfId="33" builtinId="39" customBuiltin="1"/>
    <cellStyle name="40% - Accent3 10" xfId="590" xr:uid="{00000000-0005-0000-0000-0000F9000000}"/>
    <cellStyle name="40% - Accent3 2" xfId="34" xr:uid="{00000000-0005-0000-0000-0000FA000000}"/>
    <cellStyle name="40% - Accent3 2 2" xfId="35" xr:uid="{00000000-0005-0000-0000-0000FB000000}"/>
    <cellStyle name="40% - Accent3 2 2 2" xfId="174" xr:uid="{00000000-0005-0000-0000-0000FC000000}"/>
    <cellStyle name="40% - Accent3 2 2 2 2" xfId="467" xr:uid="{00000000-0005-0000-0000-0000FD000000}"/>
    <cellStyle name="40% - Accent3 2 2 2 3" xfId="736" xr:uid="{00000000-0005-0000-0000-0000FE000000}"/>
    <cellStyle name="40% - Accent3 2 2 3" xfId="333" xr:uid="{00000000-0005-0000-0000-0000FF000000}"/>
    <cellStyle name="40% - Accent3 2 2 4" xfId="631" xr:uid="{00000000-0005-0000-0000-000000010000}"/>
    <cellStyle name="40% - Accent3 2 3" xfId="173" xr:uid="{00000000-0005-0000-0000-000001010000}"/>
    <cellStyle name="40% - Accent3 2 3 2" xfId="466" xr:uid="{00000000-0005-0000-0000-000002010000}"/>
    <cellStyle name="40% - Accent3 2 3 3" xfId="735" xr:uid="{00000000-0005-0000-0000-000003010000}"/>
    <cellStyle name="40% - Accent3 2 4" xfId="332" xr:uid="{00000000-0005-0000-0000-000004010000}"/>
    <cellStyle name="40% - Accent3 2 5" xfId="630" xr:uid="{00000000-0005-0000-0000-000005010000}"/>
    <cellStyle name="40% - Accent3 3" xfId="36" xr:uid="{00000000-0005-0000-0000-000006010000}"/>
    <cellStyle name="40% - Accent3 3 2" xfId="175" xr:uid="{00000000-0005-0000-0000-000007010000}"/>
    <cellStyle name="40% - Accent3 3 2 2" xfId="468" xr:uid="{00000000-0005-0000-0000-000008010000}"/>
    <cellStyle name="40% - Accent3 3 2 3" xfId="737" xr:uid="{00000000-0005-0000-0000-000009010000}"/>
    <cellStyle name="40% - Accent3 3 3" xfId="334" xr:uid="{00000000-0005-0000-0000-00000A010000}"/>
    <cellStyle name="40% - Accent3 3 4" xfId="632" xr:uid="{00000000-0005-0000-0000-00000B010000}"/>
    <cellStyle name="40% - Accent3 4" xfId="141" xr:uid="{00000000-0005-0000-0000-00000C010000}"/>
    <cellStyle name="40% - Accent3 4 2" xfId="435" xr:uid="{00000000-0005-0000-0000-00000D010000}"/>
    <cellStyle name="40% - Accent3 4 3" xfId="704" xr:uid="{00000000-0005-0000-0000-00000E010000}"/>
    <cellStyle name="40% - Accent3 5" xfId="269" xr:uid="{00000000-0005-0000-0000-00000F010000}"/>
    <cellStyle name="40% - Accent3 5 2" xfId="540" xr:uid="{00000000-0005-0000-0000-000010010000}"/>
    <cellStyle name="40% - Accent3 5 3" xfId="807" xr:uid="{00000000-0005-0000-0000-000011010000}"/>
    <cellStyle name="40% - Accent3 6" xfId="331" xr:uid="{00000000-0005-0000-0000-000012010000}"/>
    <cellStyle name="40% - Accent3 6 2" xfId="629" xr:uid="{00000000-0005-0000-0000-000013010000}"/>
    <cellStyle name="40% - Accent3 7" xfId="291" xr:uid="{00000000-0005-0000-0000-000014010000}"/>
    <cellStyle name="40% - Accent3 8" xfId="562" xr:uid="{00000000-0005-0000-0000-000015010000}"/>
    <cellStyle name="40% - Accent3 9" xfId="576" xr:uid="{00000000-0005-0000-0000-000016010000}"/>
    <cellStyle name="40% - Accent4" xfId="37" builtinId="43" customBuiltin="1"/>
    <cellStyle name="40% - Accent4 10" xfId="592" xr:uid="{00000000-0005-0000-0000-000018010000}"/>
    <cellStyle name="40% - Accent4 2" xfId="38" xr:uid="{00000000-0005-0000-0000-000019010000}"/>
    <cellStyle name="40% - Accent4 2 2" xfId="39" xr:uid="{00000000-0005-0000-0000-00001A010000}"/>
    <cellStyle name="40% - Accent4 2 2 2" xfId="177" xr:uid="{00000000-0005-0000-0000-00001B010000}"/>
    <cellStyle name="40% - Accent4 2 2 2 2" xfId="470" xr:uid="{00000000-0005-0000-0000-00001C010000}"/>
    <cellStyle name="40% - Accent4 2 2 2 3" xfId="739" xr:uid="{00000000-0005-0000-0000-00001D010000}"/>
    <cellStyle name="40% - Accent4 2 2 3" xfId="337" xr:uid="{00000000-0005-0000-0000-00001E010000}"/>
    <cellStyle name="40% - Accent4 2 2 4" xfId="635" xr:uid="{00000000-0005-0000-0000-00001F010000}"/>
    <cellStyle name="40% - Accent4 2 3" xfId="176" xr:uid="{00000000-0005-0000-0000-000020010000}"/>
    <cellStyle name="40% - Accent4 2 3 2" xfId="469" xr:uid="{00000000-0005-0000-0000-000021010000}"/>
    <cellStyle name="40% - Accent4 2 3 3" xfId="738" xr:uid="{00000000-0005-0000-0000-000022010000}"/>
    <cellStyle name="40% - Accent4 2 4" xfId="336" xr:uid="{00000000-0005-0000-0000-000023010000}"/>
    <cellStyle name="40% - Accent4 2 5" xfId="634" xr:uid="{00000000-0005-0000-0000-000024010000}"/>
    <cellStyle name="40% - Accent4 3" xfId="40" xr:uid="{00000000-0005-0000-0000-000025010000}"/>
    <cellStyle name="40% - Accent4 3 2" xfId="178" xr:uid="{00000000-0005-0000-0000-000026010000}"/>
    <cellStyle name="40% - Accent4 3 2 2" xfId="471" xr:uid="{00000000-0005-0000-0000-000027010000}"/>
    <cellStyle name="40% - Accent4 3 2 3" xfId="740" xr:uid="{00000000-0005-0000-0000-000028010000}"/>
    <cellStyle name="40% - Accent4 3 3" xfId="338" xr:uid="{00000000-0005-0000-0000-000029010000}"/>
    <cellStyle name="40% - Accent4 3 4" xfId="636" xr:uid="{00000000-0005-0000-0000-00002A010000}"/>
    <cellStyle name="40% - Accent4 4" xfId="143" xr:uid="{00000000-0005-0000-0000-00002B010000}"/>
    <cellStyle name="40% - Accent4 4 2" xfId="437" xr:uid="{00000000-0005-0000-0000-00002C010000}"/>
    <cellStyle name="40% - Accent4 4 3" xfId="706" xr:uid="{00000000-0005-0000-0000-00002D010000}"/>
    <cellStyle name="40% - Accent4 5" xfId="273" xr:uid="{00000000-0005-0000-0000-00002E010000}"/>
    <cellStyle name="40% - Accent4 5 2" xfId="542" xr:uid="{00000000-0005-0000-0000-00002F010000}"/>
    <cellStyle name="40% - Accent4 5 3" xfId="809" xr:uid="{00000000-0005-0000-0000-000030010000}"/>
    <cellStyle name="40% - Accent4 6" xfId="335" xr:uid="{00000000-0005-0000-0000-000031010000}"/>
    <cellStyle name="40% - Accent4 6 2" xfId="633" xr:uid="{00000000-0005-0000-0000-000032010000}"/>
    <cellStyle name="40% - Accent4 7" xfId="293" xr:uid="{00000000-0005-0000-0000-000033010000}"/>
    <cellStyle name="40% - Accent4 8" xfId="564" xr:uid="{00000000-0005-0000-0000-000034010000}"/>
    <cellStyle name="40% - Accent4 9" xfId="578" xr:uid="{00000000-0005-0000-0000-000035010000}"/>
    <cellStyle name="40% - Accent5" xfId="41" builtinId="47" customBuiltin="1"/>
    <cellStyle name="40% - Accent5 10" xfId="594" xr:uid="{00000000-0005-0000-0000-000037010000}"/>
    <cellStyle name="40% - Accent5 2" xfId="42" xr:uid="{00000000-0005-0000-0000-000038010000}"/>
    <cellStyle name="40% - Accent5 2 2" xfId="43" xr:uid="{00000000-0005-0000-0000-000039010000}"/>
    <cellStyle name="40% - Accent5 2 2 2" xfId="180" xr:uid="{00000000-0005-0000-0000-00003A010000}"/>
    <cellStyle name="40% - Accent5 2 2 2 2" xfId="473" xr:uid="{00000000-0005-0000-0000-00003B010000}"/>
    <cellStyle name="40% - Accent5 2 2 2 3" xfId="742" xr:uid="{00000000-0005-0000-0000-00003C010000}"/>
    <cellStyle name="40% - Accent5 2 2 3" xfId="341" xr:uid="{00000000-0005-0000-0000-00003D010000}"/>
    <cellStyle name="40% - Accent5 2 2 4" xfId="639" xr:uid="{00000000-0005-0000-0000-00003E010000}"/>
    <cellStyle name="40% - Accent5 2 3" xfId="179" xr:uid="{00000000-0005-0000-0000-00003F010000}"/>
    <cellStyle name="40% - Accent5 2 3 2" xfId="472" xr:uid="{00000000-0005-0000-0000-000040010000}"/>
    <cellStyle name="40% - Accent5 2 3 3" xfId="741" xr:uid="{00000000-0005-0000-0000-000041010000}"/>
    <cellStyle name="40% - Accent5 2 4" xfId="340" xr:uid="{00000000-0005-0000-0000-000042010000}"/>
    <cellStyle name="40% - Accent5 2 5" xfId="638" xr:uid="{00000000-0005-0000-0000-000043010000}"/>
    <cellStyle name="40% - Accent5 3" xfId="44" xr:uid="{00000000-0005-0000-0000-000044010000}"/>
    <cellStyle name="40% - Accent5 3 2" xfId="181" xr:uid="{00000000-0005-0000-0000-000045010000}"/>
    <cellStyle name="40% - Accent5 3 2 2" xfId="474" xr:uid="{00000000-0005-0000-0000-000046010000}"/>
    <cellStyle name="40% - Accent5 3 2 3" xfId="743" xr:uid="{00000000-0005-0000-0000-000047010000}"/>
    <cellStyle name="40% - Accent5 3 3" xfId="342" xr:uid="{00000000-0005-0000-0000-000048010000}"/>
    <cellStyle name="40% - Accent5 3 4" xfId="640" xr:uid="{00000000-0005-0000-0000-000049010000}"/>
    <cellStyle name="40% - Accent5 4" xfId="145" xr:uid="{00000000-0005-0000-0000-00004A010000}"/>
    <cellStyle name="40% - Accent5 4 2" xfId="439" xr:uid="{00000000-0005-0000-0000-00004B010000}"/>
    <cellStyle name="40% - Accent5 4 3" xfId="708" xr:uid="{00000000-0005-0000-0000-00004C010000}"/>
    <cellStyle name="40% - Accent5 5" xfId="277" xr:uid="{00000000-0005-0000-0000-00004D010000}"/>
    <cellStyle name="40% - Accent5 5 2" xfId="544" xr:uid="{00000000-0005-0000-0000-00004E010000}"/>
    <cellStyle name="40% - Accent5 5 3" xfId="811" xr:uid="{00000000-0005-0000-0000-00004F010000}"/>
    <cellStyle name="40% - Accent5 6" xfId="339" xr:uid="{00000000-0005-0000-0000-000050010000}"/>
    <cellStyle name="40% - Accent5 6 2" xfId="637" xr:uid="{00000000-0005-0000-0000-000051010000}"/>
    <cellStyle name="40% - Accent5 7" xfId="295" xr:uid="{00000000-0005-0000-0000-000052010000}"/>
    <cellStyle name="40% - Accent5 8" xfId="566" xr:uid="{00000000-0005-0000-0000-000053010000}"/>
    <cellStyle name="40% - Accent5 9" xfId="580" xr:uid="{00000000-0005-0000-0000-000054010000}"/>
    <cellStyle name="40% - Accent6" xfId="45" builtinId="51" customBuiltin="1"/>
    <cellStyle name="40% - Accent6 10" xfId="596" xr:uid="{00000000-0005-0000-0000-000056010000}"/>
    <cellStyle name="40% - Accent6 2" xfId="46" xr:uid="{00000000-0005-0000-0000-000057010000}"/>
    <cellStyle name="40% - Accent6 2 2" xfId="47" xr:uid="{00000000-0005-0000-0000-000058010000}"/>
    <cellStyle name="40% - Accent6 2 2 2" xfId="183" xr:uid="{00000000-0005-0000-0000-000059010000}"/>
    <cellStyle name="40% - Accent6 2 2 2 2" xfId="476" xr:uid="{00000000-0005-0000-0000-00005A010000}"/>
    <cellStyle name="40% - Accent6 2 2 2 3" xfId="745" xr:uid="{00000000-0005-0000-0000-00005B010000}"/>
    <cellStyle name="40% - Accent6 2 2 3" xfId="345" xr:uid="{00000000-0005-0000-0000-00005C010000}"/>
    <cellStyle name="40% - Accent6 2 2 4" xfId="643" xr:uid="{00000000-0005-0000-0000-00005D010000}"/>
    <cellStyle name="40% - Accent6 2 3" xfId="182" xr:uid="{00000000-0005-0000-0000-00005E010000}"/>
    <cellStyle name="40% - Accent6 2 3 2" xfId="475" xr:uid="{00000000-0005-0000-0000-00005F010000}"/>
    <cellStyle name="40% - Accent6 2 3 3" xfId="744" xr:uid="{00000000-0005-0000-0000-000060010000}"/>
    <cellStyle name="40% - Accent6 2 4" xfId="344" xr:uid="{00000000-0005-0000-0000-000061010000}"/>
    <cellStyle name="40% - Accent6 2 5" xfId="642" xr:uid="{00000000-0005-0000-0000-000062010000}"/>
    <cellStyle name="40% - Accent6 3" xfId="48" xr:uid="{00000000-0005-0000-0000-000063010000}"/>
    <cellStyle name="40% - Accent6 3 2" xfId="184" xr:uid="{00000000-0005-0000-0000-000064010000}"/>
    <cellStyle name="40% - Accent6 3 2 2" xfId="477" xr:uid="{00000000-0005-0000-0000-000065010000}"/>
    <cellStyle name="40% - Accent6 3 2 3" xfId="746" xr:uid="{00000000-0005-0000-0000-000066010000}"/>
    <cellStyle name="40% - Accent6 3 3" xfId="346" xr:uid="{00000000-0005-0000-0000-000067010000}"/>
    <cellStyle name="40% - Accent6 3 4" xfId="644" xr:uid="{00000000-0005-0000-0000-000068010000}"/>
    <cellStyle name="40% - Accent6 4" xfId="147" xr:uid="{00000000-0005-0000-0000-000069010000}"/>
    <cellStyle name="40% - Accent6 4 2" xfId="441" xr:uid="{00000000-0005-0000-0000-00006A010000}"/>
    <cellStyle name="40% - Accent6 4 3" xfId="710" xr:uid="{00000000-0005-0000-0000-00006B010000}"/>
    <cellStyle name="40% - Accent6 5" xfId="281" xr:uid="{00000000-0005-0000-0000-00006C010000}"/>
    <cellStyle name="40% - Accent6 5 2" xfId="546" xr:uid="{00000000-0005-0000-0000-00006D010000}"/>
    <cellStyle name="40% - Accent6 5 3" xfId="813" xr:uid="{00000000-0005-0000-0000-00006E010000}"/>
    <cellStyle name="40% - Accent6 6" xfId="343" xr:uid="{00000000-0005-0000-0000-00006F010000}"/>
    <cellStyle name="40% - Accent6 6 2" xfId="641" xr:uid="{00000000-0005-0000-0000-000070010000}"/>
    <cellStyle name="40% - Accent6 7" xfId="297" xr:uid="{00000000-0005-0000-0000-000071010000}"/>
    <cellStyle name="40% - Accent6 8" xfId="568" xr:uid="{00000000-0005-0000-0000-000072010000}"/>
    <cellStyle name="40% - Accent6 9" xfId="582" xr:uid="{00000000-0005-0000-0000-000073010000}"/>
    <cellStyle name="60% - Accent1" xfId="49" builtinId="32" customBuiltin="1"/>
    <cellStyle name="60% - Accent1 2" xfId="262" xr:uid="{00000000-0005-0000-0000-000075010000}"/>
    <cellStyle name="60% - Accent1 3" xfId="347" xr:uid="{00000000-0005-0000-0000-000076010000}"/>
    <cellStyle name="60% - Accent2" xfId="50" builtinId="36" customBuiltin="1"/>
    <cellStyle name="60% - Accent2 2" xfId="266" xr:uid="{00000000-0005-0000-0000-000078010000}"/>
    <cellStyle name="60% - Accent2 3" xfId="348" xr:uid="{00000000-0005-0000-0000-000079010000}"/>
    <cellStyle name="60% - Accent3" xfId="51" builtinId="40" customBuiltin="1"/>
    <cellStyle name="60% - Accent3 2" xfId="270" xr:uid="{00000000-0005-0000-0000-00007B010000}"/>
    <cellStyle name="60% - Accent3 3" xfId="349" xr:uid="{00000000-0005-0000-0000-00007C010000}"/>
    <cellStyle name="60% - Accent4" xfId="52" builtinId="44" customBuiltin="1"/>
    <cellStyle name="60% - Accent4 2" xfId="274" xr:uid="{00000000-0005-0000-0000-00007E010000}"/>
    <cellStyle name="60% - Accent4 3" xfId="350" xr:uid="{00000000-0005-0000-0000-00007F010000}"/>
    <cellStyle name="60% - Accent5" xfId="53" builtinId="48" customBuiltin="1"/>
    <cellStyle name="60% - Accent5 2" xfId="278" xr:uid="{00000000-0005-0000-0000-000081010000}"/>
    <cellStyle name="60% - Accent5 3" xfId="351" xr:uid="{00000000-0005-0000-0000-000082010000}"/>
    <cellStyle name="60% - Accent6" xfId="54" builtinId="52" customBuiltin="1"/>
    <cellStyle name="60% - Accent6 2" xfId="282" xr:uid="{00000000-0005-0000-0000-000084010000}"/>
    <cellStyle name="60% - Accent6 3" xfId="352" xr:uid="{00000000-0005-0000-0000-000085010000}"/>
    <cellStyle name="Accent1" xfId="55" builtinId="29" customBuiltin="1"/>
    <cellStyle name="Accent1 2" xfId="259" xr:uid="{00000000-0005-0000-0000-000087010000}"/>
    <cellStyle name="Accent1 3" xfId="353" xr:uid="{00000000-0005-0000-0000-000088010000}"/>
    <cellStyle name="Accent2" xfId="56" builtinId="33" customBuiltin="1"/>
    <cellStyle name="Accent2 2" xfId="263" xr:uid="{00000000-0005-0000-0000-00008A010000}"/>
    <cellStyle name="Accent2 3" xfId="354" xr:uid="{00000000-0005-0000-0000-00008B010000}"/>
    <cellStyle name="Accent3" xfId="57" builtinId="37" customBuiltin="1"/>
    <cellStyle name="Accent3 2" xfId="267" xr:uid="{00000000-0005-0000-0000-00008D010000}"/>
    <cellStyle name="Accent3 3" xfId="355" xr:uid="{00000000-0005-0000-0000-00008E010000}"/>
    <cellStyle name="Accent4" xfId="58" builtinId="41" customBuiltin="1"/>
    <cellStyle name="Accent4 2" xfId="271" xr:uid="{00000000-0005-0000-0000-000090010000}"/>
    <cellStyle name="Accent4 3" xfId="356" xr:uid="{00000000-0005-0000-0000-000091010000}"/>
    <cellStyle name="Accent5" xfId="59" builtinId="45" customBuiltin="1"/>
    <cellStyle name="Accent5 2" xfId="275" xr:uid="{00000000-0005-0000-0000-000093010000}"/>
    <cellStyle name="Accent5 3" xfId="357" xr:uid="{00000000-0005-0000-0000-000094010000}"/>
    <cellStyle name="Accent6" xfId="60" builtinId="49" customBuiltin="1"/>
    <cellStyle name="Accent6 2" xfId="279" xr:uid="{00000000-0005-0000-0000-000096010000}"/>
    <cellStyle name="Accent6 3" xfId="358" xr:uid="{00000000-0005-0000-0000-000097010000}"/>
    <cellStyle name="Bad" xfId="61" builtinId="27" customBuiltin="1"/>
    <cellStyle name="Bad 2" xfId="248" xr:uid="{00000000-0005-0000-0000-000099010000}"/>
    <cellStyle name="Bad 3" xfId="359" xr:uid="{00000000-0005-0000-0000-00009A010000}"/>
    <cellStyle name="Calculation" xfId="62" builtinId="22" customBuiltin="1"/>
    <cellStyle name="Calculation 2" xfId="252" xr:uid="{00000000-0005-0000-0000-00009C010000}"/>
    <cellStyle name="Calculation 3" xfId="360" xr:uid="{00000000-0005-0000-0000-00009D010000}"/>
    <cellStyle name="Check Cell" xfId="63" builtinId="23" customBuiltin="1"/>
    <cellStyle name="Check Cell 2" xfId="254" xr:uid="{00000000-0005-0000-0000-00009F010000}"/>
    <cellStyle name="Check Cell 3" xfId="361" xr:uid="{00000000-0005-0000-0000-0000A0010000}"/>
    <cellStyle name="Comma" xfId="64" builtinId="3"/>
    <cellStyle name="Comma 2" xfId="65" xr:uid="{00000000-0005-0000-0000-0000A2010000}"/>
    <cellStyle name="Comma 3" xfId="185" xr:uid="{00000000-0005-0000-0000-0000A3010000}"/>
    <cellStyle name="Comma 4" xfId="283" xr:uid="{00000000-0005-0000-0000-0000A4010000}"/>
    <cellStyle name="Comma 5" xfId="362" xr:uid="{00000000-0005-0000-0000-0000A5010000}"/>
    <cellStyle name="Currency" xfId="240" builtinId="4"/>
    <cellStyle name="Currency 2" xfId="532" xr:uid="{00000000-0005-0000-0000-0000A7010000}"/>
    <cellStyle name="Explanatory Text" xfId="66" builtinId="53" customBuiltin="1"/>
    <cellStyle name="Explanatory Text 2" xfId="257" xr:uid="{00000000-0005-0000-0000-0000A9010000}"/>
    <cellStyle name="Explanatory Text 3" xfId="363" xr:uid="{00000000-0005-0000-0000-0000AA010000}"/>
    <cellStyle name="Good" xfId="67" builtinId="26" customBuiltin="1"/>
    <cellStyle name="Good 2" xfId="247" xr:uid="{00000000-0005-0000-0000-0000AC010000}"/>
    <cellStyle name="Good 3" xfId="364" xr:uid="{00000000-0005-0000-0000-0000AD010000}"/>
    <cellStyle name="Heading 1" xfId="68" builtinId="16" customBuiltin="1"/>
    <cellStyle name="Heading 1 2" xfId="243" xr:uid="{00000000-0005-0000-0000-0000AF010000}"/>
    <cellStyle name="Heading 1 3" xfId="365" xr:uid="{00000000-0005-0000-0000-0000B0010000}"/>
    <cellStyle name="Heading 2" xfId="69" builtinId="17" customBuiltin="1"/>
    <cellStyle name="Heading 2 2" xfId="244" xr:uid="{00000000-0005-0000-0000-0000B2010000}"/>
    <cellStyle name="Heading 2 3" xfId="366" xr:uid="{00000000-0005-0000-0000-0000B3010000}"/>
    <cellStyle name="Heading 3" xfId="70" builtinId="18" customBuiltin="1"/>
    <cellStyle name="Heading 3 2" xfId="245" xr:uid="{00000000-0005-0000-0000-0000B5010000}"/>
    <cellStyle name="Heading 3 3" xfId="367" xr:uid="{00000000-0005-0000-0000-0000B6010000}"/>
    <cellStyle name="Heading 4" xfId="71" builtinId="19" customBuiltin="1"/>
    <cellStyle name="Heading 4 2" xfId="246" xr:uid="{00000000-0005-0000-0000-0000B8010000}"/>
    <cellStyle name="Heading 4 3" xfId="368" xr:uid="{00000000-0005-0000-0000-0000B9010000}"/>
    <cellStyle name="Input" xfId="72" builtinId="20" customBuiltin="1"/>
    <cellStyle name="Input 2" xfId="250" xr:uid="{00000000-0005-0000-0000-0000BB010000}"/>
    <cellStyle name="Input 3" xfId="369" xr:uid="{00000000-0005-0000-0000-0000BC010000}"/>
    <cellStyle name="Linked Cell" xfId="73" builtinId="24" customBuiltin="1"/>
    <cellStyle name="Linked Cell 2" xfId="253" xr:uid="{00000000-0005-0000-0000-0000BE010000}"/>
    <cellStyle name="Linked Cell 3" xfId="370" xr:uid="{00000000-0005-0000-0000-0000BF010000}"/>
    <cellStyle name="Neutral" xfId="74" builtinId="28" customBuiltin="1"/>
    <cellStyle name="Neutral 2" xfId="249" xr:uid="{00000000-0005-0000-0000-0000C1010000}"/>
    <cellStyle name="Neutral 3" xfId="371" xr:uid="{00000000-0005-0000-0000-0000C2010000}"/>
    <cellStyle name="Normal" xfId="0" builtinId="0"/>
    <cellStyle name="Normal 10" xfId="75" xr:uid="{00000000-0005-0000-0000-0000C4010000}"/>
    <cellStyle name="Normal 10 2" xfId="76" xr:uid="{00000000-0005-0000-0000-0000C5010000}"/>
    <cellStyle name="Normal 10 2 2" xfId="187" xr:uid="{00000000-0005-0000-0000-0000C6010000}"/>
    <cellStyle name="Normal 10 2 2 2" xfId="479" xr:uid="{00000000-0005-0000-0000-0000C7010000}"/>
    <cellStyle name="Normal 10 2 2 3" xfId="748" xr:uid="{00000000-0005-0000-0000-0000C8010000}"/>
    <cellStyle name="Normal 10 2 3" xfId="373" xr:uid="{00000000-0005-0000-0000-0000C9010000}"/>
    <cellStyle name="Normal 10 2 4" xfId="646" xr:uid="{00000000-0005-0000-0000-0000CA010000}"/>
    <cellStyle name="Normal 10 3" xfId="186" xr:uid="{00000000-0005-0000-0000-0000CB010000}"/>
    <cellStyle name="Normal 10 3 2" xfId="478" xr:uid="{00000000-0005-0000-0000-0000CC010000}"/>
    <cellStyle name="Normal 10 3 3" xfId="747" xr:uid="{00000000-0005-0000-0000-0000CD010000}"/>
    <cellStyle name="Normal 10 4" xfId="372" xr:uid="{00000000-0005-0000-0000-0000CE010000}"/>
    <cellStyle name="Normal 10 5" xfId="645" xr:uid="{00000000-0005-0000-0000-0000CF010000}"/>
    <cellStyle name="Normal 11" xfId="77" xr:uid="{00000000-0005-0000-0000-0000D0010000}"/>
    <cellStyle name="Normal 12" xfId="78" xr:uid="{00000000-0005-0000-0000-0000D1010000}"/>
    <cellStyle name="Normal 12 2" xfId="79" xr:uid="{00000000-0005-0000-0000-0000D2010000}"/>
    <cellStyle name="Normal 12 2 2" xfId="189" xr:uid="{00000000-0005-0000-0000-0000D3010000}"/>
    <cellStyle name="Normal 12 2 2 2" xfId="481" xr:uid="{00000000-0005-0000-0000-0000D4010000}"/>
    <cellStyle name="Normal 12 2 2 3" xfId="750" xr:uid="{00000000-0005-0000-0000-0000D5010000}"/>
    <cellStyle name="Normal 12 2 3" xfId="375" xr:uid="{00000000-0005-0000-0000-0000D6010000}"/>
    <cellStyle name="Normal 12 2 4" xfId="648" xr:uid="{00000000-0005-0000-0000-0000D7010000}"/>
    <cellStyle name="Normal 12 3" xfId="188" xr:uid="{00000000-0005-0000-0000-0000D8010000}"/>
    <cellStyle name="Normal 12 3 2" xfId="480" xr:uid="{00000000-0005-0000-0000-0000D9010000}"/>
    <cellStyle name="Normal 12 3 3" xfId="749" xr:uid="{00000000-0005-0000-0000-0000DA010000}"/>
    <cellStyle name="Normal 12 4" xfId="374" xr:uid="{00000000-0005-0000-0000-0000DB010000}"/>
    <cellStyle name="Normal 12 5" xfId="647" xr:uid="{00000000-0005-0000-0000-0000DC010000}"/>
    <cellStyle name="Normal 13" xfId="80" xr:uid="{00000000-0005-0000-0000-0000DD010000}"/>
    <cellStyle name="Normal 13 2" xfId="81" xr:uid="{00000000-0005-0000-0000-0000DE010000}"/>
    <cellStyle name="Normal 13 2 2" xfId="191" xr:uid="{00000000-0005-0000-0000-0000DF010000}"/>
    <cellStyle name="Normal 13 2 2 2" xfId="483" xr:uid="{00000000-0005-0000-0000-0000E0010000}"/>
    <cellStyle name="Normal 13 2 2 3" xfId="752" xr:uid="{00000000-0005-0000-0000-0000E1010000}"/>
    <cellStyle name="Normal 13 2 3" xfId="377" xr:uid="{00000000-0005-0000-0000-0000E2010000}"/>
    <cellStyle name="Normal 13 2 4" xfId="650" xr:uid="{00000000-0005-0000-0000-0000E3010000}"/>
    <cellStyle name="Normal 13 3" xfId="190" xr:uid="{00000000-0005-0000-0000-0000E4010000}"/>
    <cellStyle name="Normal 13 3 2" xfId="482" xr:uid="{00000000-0005-0000-0000-0000E5010000}"/>
    <cellStyle name="Normal 13 3 3" xfId="751" xr:uid="{00000000-0005-0000-0000-0000E6010000}"/>
    <cellStyle name="Normal 13 4" xfId="376" xr:uid="{00000000-0005-0000-0000-0000E7010000}"/>
    <cellStyle name="Normal 13 5" xfId="649" xr:uid="{00000000-0005-0000-0000-0000E8010000}"/>
    <cellStyle name="Normal 14" xfId="82" xr:uid="{00000000-0005-0000-0000-0000E9010000}"/>
    <cellStyle name="Normal 14 2" xfId="83" xr:uid="{00000000-0005-0000-0000-0000EA010000}"/>
    <cellStyle name="Normal 14 2 2" xfId="193" xr:uid="{00000000-0005-0000-0000-0000EB010000}"/>
    <cellStyle name="Normal 14 2 2 2" xfId="485" xr:uid="{00000000-0005-0000-0000-0000EC010000}"/>
    <cellStyle name="Normal 14 2 2 3" xfId="754" xr:uid="{00000000-0005-0000-0000-0000ED010000}"/>
    <cellStyle name="Normal 14 2 3" xfId="379" xr:uid="{00000000-0005-0000-0000-0000EE010000}"/>
    <cellStyle name="Normal 14 2 4" xfId="652" xr:uid="{00000000-0005-0000-0000-0000EF010000}"/>
    <cellStyle name="Normal 14 3" xfId="192" xr:uid="{00000000-0005-0000-0000-0000F0010000}"/>
    <cellStyle name="Normal 14 3 2" xfId="484" xr:uid="{00000000-0005-0000-0000-0000F1010000}"/>
    <cellStyle name="Normal 14 3 3" xfId="753" xr:uid="{00000000-0005-0000-0000-0000F2010000}"/>
    <cellStyle name="Normal 14 4" xfId="378" xr:uid="{00000000-0005-0000-0000-0000F3010000}"/>
    <cellStyle name="Normal 14 5" xfId="651" xr:uid="{00000000-0005-0000-0000-0000F4010000}"/>
    <cellStyle name="Normal 15" xfId="84" xr:uid="{00000000-0005-0000-0000-0000F5010000}"/>
    <cellStyle name="Normal 15 2" xfId="85" xr:uid="{00000000-0005-0000-0000-0000F6010000}"/>
    <cellStyle name="Normal 15 2 2" xfId="195" xr:uid="{00000000-0005-0000-0000-0000F7010000}"/>
    <cellStyle name="Normal 15 2 2 2" xfId="487" xr:uid="{00000000-0005-0000-0000-0000F8010000}"/>
    <cellStyle name="Normal 15 2 2 3" xfId="756" xr:uid="{00000000-0005-0000-0000-0000F9010000}"/>
    <cellStyle name="Normal 15 2 3" xfId="381" xr:uid="{00000000-0005-0000-0000-0000FA010000}"/>
    <cellStyle name="Normal 15 2 4" xfId="654" xr:uid="{00000000-0005-0000-0000-0000FB010000}"/>
    <cellStyle name="Normal 15 3" xfId="194" xr:uid="{00000000-0005-0000-0000-0000FC010000}"/>
    <cellStyle name="Normal 15 3 2" xfId="486" xr:uid="{00000000-0005-0000-0000-0000FD010000}"/>
    <cellStyle name="Normal 15 3 3" xfId="755" xr:uid="{00000000-0005-0000-0000-0000FE010000}"/>
    <cellStyle name="Normal 15 4" xfId="380" xr:uid="{00000000-0005-0000-0000-0000FF010000}"/>
    <cellStyle name="Normal 15 5" xfId="653" xr:uid="{00000000-0005-0000-0000-000000020000}"/>
    <cellStyle name="Normal 16" xfId="86" xr:uid="{00000000-0005-0000-0000-000001020000}"/>
    <cellStyle name="Normal 16 2" xfId="87" xr:uid="{00000000-0005-0000-0000-000002020000}"/>
    <cellStyle name="Normal 16 2 2" xfId="197" xr:uid="{00000000-0005-0000-0000-000003020000}"/>
    <cellStyle name="Normal 16 2 2 2" xfId="489" xr:uid="{00000000-0005-0000-0000-000004020000}"/>
    <cellStyle name="Normal 16 2 2 3" xfId="758" xr:uid="{00000000-0005-0000-0000-000005020000}"/>
    <cellStyle name="Normal 16 2 3" xfId="383" xr:uid="{00000000-0005-0000-0000-000006020000}"/>
    <cellStyle name="Normal 16 2 4" xfId="656" xr:uid="{00000000-0005-0000-0000-000007020000}"/>
    <cellStyle name="Normal 16 3" xfId="196" xr:uid="{00000000-0005-0000-0000-000008020000}"/>
    <cellStyle name="Normal 16 3 2" xfId="488" xr:uid="{00000000-0005-0000-0000-000009020000}"/>
    <cellStyle name="Normal 16 3 3" xfId="757" xr:uid="{00000000-0005-0000-0000-00000A020000}"/>
    <cellStyle name="Normal 16 4" xfId="382" xr:uid="{00000000-0005-0000-0000-00000B020000}"/>
    <cellStyle name="Normal 16 5" xfId="655" xr:uid="{00000000-0005-0000-0000-00000C020000}"/>
    <cellStyle name="Normal 17" xfId="88" xr:uid="{00000000-0005-0000-0000-00000D020000}"/>
    <cellStyle name="Normal 17 2" xfId="89" xr:uid="{00000000-0005-0000-0000-00000E020000}"/>
    <cellStyle name="Normal 17 2 2" xfId="199" xr:uid="{00000000-0005-0000-0000-00000F020000}"/>
    <cellStyle name="Normal 17 2 2 2" xfId="491" xr:uid="{00000000-0005-0000-0000-000010020000}"/>
    <cellStyle name="Normal 17 2 2 3" xfId="760" xr:uid="{00000000-0005-0000-0000-000011020000}"/>
    <cellStyle name="Normal 17 2 3" xfId="385" xr:uid="{00000000-0005-0000-0000-000012020000}"/>
    <cellStyle name="Normal 17 2 4" xfId="658" xr:uid="{00000000-0005-0000-0000-000013020000}"/>
    <cellStyle name="Normal 17 3" xfId="198" xr:uid="{00000000-0005-0000-0000-000014020000}"/>
    <cellStyle name="Normal 17 3 2" xfId="490" xr:uid="{00000000-0005-0000-0000-000015020000}"/>
    <cellStyle name="Normal 17 3 3" xfId="759" xr:uid="{00000000-0005-0000-0000-000016020000}"/>
    <cellStyle name="Normal 17 4" xfId="384" xr:uid="{00000000-0005-0000-0000-000017020000}"/>
    <cellStyle name="Normal 17 5" xfId="657" xr:uid="{00000000-0005-0000-0000-000018020000}"/>
    <cellStyle name="Normal 18" xfId="90" xr:uid="{00000000-0005-0000-0000-000019020000}"/>
    <cellStyle name="Normal 18 2" xfId="91" xr:uid="{00000000-0005-0000-0000-00001A020000}"/>
    <cellStyle name="Normal 18 2 2" xfId="201" xr:uid="{00000000-0005-0000-0000-00001B020000}"/>
    <cellStyle name="Normal 18 2 2 2" xfId="493" xr:uid="{00000000-0005-0000-0000-00001C020000}"/>
    <cellStyle name="Normal 18 2 2 3" xfId="762" xr:uid="{00000000-0005-0000-0000-00001D020000}"/>
    <cellStyle name="Normal 18 2 3" xfId="387" xr:uid="{00000000-0005-0000-0000-00001E020000}"/>
    <cellStyle name="Normal 18 2 4" xfId="660" xr:uid="{00000000-0005-0000-0000-00001F020000}"/>
    <cellStyle name="Normal 18 3" xfId="200" xr:uid="{00000000-0005-0000-0000-000020020000}"/>
    <cellStyle name="Normal 18 3 2" xfId="492" xr:uid="{00000000-0005-0000-0000-000021020000}"/>
    <cellStyle name="Normal 18 3 3" xfId="761" xr:uid="{00000000-0005-0000-0000-000022020000}"/>
    <cellStyle name="Normal 18 4" xfId="386" xr:uid="{00000000-0005-0000-0000-000023020000}"/>
    <cellStyle name="Normal 18 5" xfId="659" xr:uid="{00000000-0005-0000-0000-000024020000}"/>
    <cellStyle name="Normal 19" xfId="92" xr:uid="{00000000-0005-0000-0000-000025020000}"/>
    <cellStyle name="Normal 2" xfId="93" xr:uid="{00000000-0005-0000-0000-000026020000}"/>
    <cellStyle name="Normal 2 2" xfId="547" xr:uid="{00000000-0005-0000-0000-000027020000}"/>
    <cellStyle name="Normal 20" xfId="94" xr:uid="{00000000-0005-0000-0000-000028020000}"/>
    <cellStyle name="Normal 20 2" xfId="202" xr:uid="{00000000-0005-0000-0000-000029020000}"/>
    <cellStyle name="Normal 20 2 2" xfId="494" xr:uid="{00000000-0005-0000-0000-00002A020000}"/>
    <cellStyle name="Normal 20 2 3" xfId="763" xr:uid="{00000000-0005-0000-0000-00002B020000}"/>
    <cellStyle name="Normal 20 3" xfId="388" xr:uid="{00000000-0005-0000-0000-00002C020000}"/>
    <cellStyle name="Normal 20 4" xfId="661" xr:uid="{00000000-0005-0000-0000-00002D020000}"/>
    <cellStyle name="Normal 21" xfId="148" xr:uid="{00000000-0005-0000-0000-00002E020000}"/>
    <cellStyle name="Normal 22" xfId="135" xr:uid="{00000000-0005-0000-0000-00002F020000}"/>
    <cellStyle name="Normal 22 2" xfId="429" xr:uid="{00000000-0005-0000-0000-000030020000}"/>
    <cellStyle name="Normal 22 3" xfId="698" xr:uid="{00000000-0005-0000-0000-000031020000}"/>
    <cellStyle name="Normal 23" xfId="239" xr:uid="{00000000-0005-0000-0000-000032020000}"/>
    <cellStyle name="Normal 23 2" xfId="531" xr:uid="{00000000-0005-0000-0000-000033020000}"/>
    <cellStyle name="Normal 24" xfId="241" xr:uid="{00000000-0005-0000-0000-000034020000}"/>
    <cellStyle name="Normal 24 2" xfId="533" xr:uid="{00000000-0005-0000-0000-000035020000}"/>
    <cellStyle name="Normal 24 3" xfId="800" xr:uid="{00000000-0005-0000-0000-000036020000}"/>
    <cellStyle name="Normal 25" xfId="298" xr:uid="{00000000-0005-0000-0000-000037020000}"/>
    <cellStyle name="Normal 26" xfId="284" xr:uid="{00000000-0005-0000-0000-000038020000}"/>
    <cellStyle name="Normal 27" xfId="548" xr:uid="{00000000-0005-0000-0000-000039020000}"/>
    <cellStyle name="Normal 28" xfId="549" xr:uid="{00000000-0005-0000-0000-00003A020000}"/>
    <cellStyle name="Normal 29" xfId="550" xr:uid="{00000000-0005-0000-0000-00003B020000}"/>
    <cellStyle name="Normal 3" xfId="95" xr:uid="{00000000-0005-0000-0000-00003C020000}"/>
    <cellStyle name="Normal 3 2" xfId="96" xr:uid="{00000000-0005-0000-0000-00003D020000}"/>
    <cellStyle name="Normal 3 2 2" xfId="97" xr:uid="{00000000-0005-0000-0000-00003E020000}"/>
    <cellStyle name="Normal 3 2 2 2" xfId="98" xr:uid="{00000000-0005-0000-0000-00003F020000}"/>
    <cellStyle name="Normal 3 2 2 2 2" xfId="206" xr:uid="{00000000-0005-0000-0000-000040020000}"/>
    <cellStyle name="Normal 3 2 2 2 2 2" xfId="498" xr:uid="{00000000-0005-0000-0000-000041020000}"/>
    <cellStyle name="Normal 3 2 2 2 2 3" xfId="767" xr:uid="{00000000-0005-0000-0000-000042020000}"/>
    <cellStyle name="Normal 3 2 2 2 3" xfId="392" xr:uid="{00000000-0005-0000-0000-000043020000}"/>
    <cellStyle name="Normal 3 2 2 2 4" xfId="665" xr:uid="{00000000-0005-0000-0000-000044020000}"/>
    <cellStyle name="Normal 3 2 2 3" xfId="205" xr:uid="{00000000-0005-0000-0000-000045020000}"/>
    <cellStyle name="Normal 3 2 2 3 2" xfId="497" xr:uid="{00000000-0005-0000-0000-000046020000}"/>
    <cellStyle name="Normal 3 2 2 3 3" xfId="766" xr:uid="{00000000-0005-0000-0000-000047020000}"/>
    <cellStyle name="Normal 3 2 2 4" xfId="391" xr:uid="{00000000-0005-0000-0000-000048020000}"/>
    <cellStyle name="Normal 3 2 2 5" xfId="664" xr:uid="{00000000-0005-0000-0000-000049020000}"/>
    <cellStyle name="Normal 3 2 3" xfId="99" xr:uid="{00000000-0005-0000-0000-00004A020000}"/>
    <cellStyle name="Normal 3 2 3 2" xfId="207" xr:uid="{00000000-0005-0000-0000-00004B020000}"/>
    <cellStyle name="Normal 3 2 3 2 2" xfId="499" xr:uid="{00000000-0005-0000-0000-00004C020000}"/>
    <cellStyle name="Normal 3 2 3 2 3" xfId="768" xr:uid="{00000000-0005-0000-0000-00004D020000}"/>
    <cellStyle name="Normal 3 2 3 3" xfId="393" xr:uid="{00000000-0005-0000-0000-00004E020000}"/>
    <cellStyle name="Normal 3 2 3 4" xfId="666" xr:uid="{00000000-0005-0000-0000-00004F020000}"/>
    <cellStyle name="Normal 3 2 4" xfId="204" xr:uid="{00000000-0005-0000-0000-000050020000}"/>
    <cellStyle name="Normal 3 2 4 2" xfId="496" xr:uid="{00000000-0005-0000-0000-000051020000}"/>
    <cellStyle name="Normal 3 2 4 3" xfId="765" xr:uid="{00000000-0005-0000-0000-000052020000}"/>
    <cellStyle name="Normal 3 2 5" xfId="390" xr:uid="{00000000-0005-0000-0000-000053020000}"/>
    <cellStyle name="Normal 3 2 6" xfId="663" xr:uid="{00000000-0005-0000-0000-000054020000}"/>
    <cellStyle name="Normal 3 3" xfId="100" xr:uid="{00000000-0005-0000-0000-000055020000}"/>
    <cellStyle name="Normal 3 3 2" xfId="101" xr:uid="{00000000-0005-0000-0000-000056020000}"/>
    <cellStyle name="Normal 3 3 2 2" xfId="209" xr:uid="{00000000-0005-0000-0000-000057020000}"/>
    <cellStyle name="Normal 3 3 2 2 2" xfId="501" xr:uid="{00000000-0005-0000-0000-000058020000}"/>
    <cellStyle name="Normal 3 3 2 2 3" xfId="770" xr:uid="{00000000-0005-0000-0000-000059020000}"/>
    <cellStyle name="Normal 3 3 2 3" xfId="395" xr:uid="{00000000-0005-0000-0000-00005A020000}"/>
    <cellStyle name="Normal 3 3 2 4" xfId="668" xr:uid="{00000000-0005-0000-0000-00005B020000}"/>
    <cellStyle name="Normal 3 3 3" xfId="208" xr:uid="{00000000-0005-0000-0000-00005C020000}"/>
    <cellStyle name="Normal 3 3 3 2" xfId="500" xr:uid="{00000000-0005-0000-0000-00005D020000}"/>
    <cellStyle name="Normal 3 3 3 3" xfId="769" xr:uid="{00000000-0005-0000-0000-00005E020000}"/>
    <cellStyle name="Normal 3 3 4" xfId="394" xr:uid="{00000000-0005-0000-0000-00005F020000}"/>
    <cellStyle name="Normal 3 3 5" xfId="667" xr:uid="{00000000-0005-0000-0000-000060020000}"/>
    <cellStyle name="Normal 3 4" xfId="102" xr:uid="{00000000-0005-0000-0000-000061020000}"/>
    <cellStyle name="Normal 3 4 2" xfId="210" xr:uid="{00000000-0005-0000-0000-000062020000}"/>
    <cellStyle name="Normal 3 4 2 2" xfId="502" xr:uid="{00000000-0005-0000-0000-000063020000}"/>
    <cellStyle name="Normal 3 4 2 3" xfId="771" xr:uid="{00000000-0005-0000-0000-000064020000}"/>
    <cellStyle name="Normal 3 4 3" xfId="396" xr:uid="{00000000-0005-0000-0000-000065020000}"/>
    <cellStyle name="Normal 3 4 4" xfId="669" xr:uid="{00000000-0005-0000-0000-000066020000}"/>
    <cellStyle name="Normal 3 5" xfId="203" xr:uid="{00000000-0005-0000-0000-000067020000}"/>
    <cellStyle name="Normal 3 5 2" xfId="495" xr:uid="{00000000-0005-0000-0000-000068020000}"/>
    <cellStyle name="Normal 3 5 3" xfId="764" xr:uid="{00000000-0005-0000-0000-000069020000}"/>
    <cellStyle name="Normal 3 6" xfId="389" xr:uid="{00000000-0005-0000-0000-00006A020000}"/>
    <cellStyle name="Normal 3 7" xfId="662" xr:uid="{00000000-0005-0000-0000-00006B020000}"/>
    <cellStyle name="Normal 30" xfId="551" xr:uid="{00000000-0005-0000-0000-00006C020000}"/>
    <cellStyle name="Normal 31" xfId="552" xr:uid="{00000000-0005-0000-0000-00006D020000}"/>
    <cellStyle name="Normal 32" xfId="553" xr:uid="{00000000-0005-0000-0000-00006E020000}"/>
    <cellStyle name="Normal 33" xfId="554" xr:uid="{00000000-0005-0000-0000-00006F020000}"/>
    <cellStyle name="Normal 34" xfId="555" xr:uid="{00000000-0005-0000-0000-000070020000}"/>
    <cellStyle name="Normal 35" xfId="569" xr:uid="{00000000-0005-0000-0000-000071020000}"/>
    <cellStyle name="Normal 36" xfId="583" xr:uid="{00000000-0005-0000-0000-000072020000}"/>
    <cellStyle name="Normal 4" xfId="103" xr:uid="{00000000-0005-0000-0000-000073020000}"/>
    <cellStyle name="Normal 4 2" xfId="104" xr:uid="{00000000-0005-0000-0000-000074020000}"/>
    <cellStyle name="Normal 4 2 2" xfId="105" xr:uid="{00000000-0005-0000-0000-000075020000}"/>
    <cellStyle name="Normal 4 2 2 2" xfId="213" xr:uid="{00000000-0005-0000-0000-000076020000}"/>
    <cellStyle name="Normal 4 2 2 2 2" xfId="505" xr:uid="{00000000-0005-0000-0000-000077020000}"/>
    <cellStyle name="Normal 4 2 2 2 3" xfId="774" xr:uid="{00000000-0005-0000-0000-000078020000}"/>
    <cellStyle name="Normal 4 2 2 3" xfId="399" xr:uid="{00000000-0005-0000-0000-000079020000}"/>
    <cellStyle name="Normal 4 2 2 4" xfId="672" xr:uid="{00000000-0005-0000-0000-00007A020000}"/>
    <cellStyle name="Normal 4 2 3" xfId="212" xr:uid="{00000000-0005-0000-0000-00007B020000}"/>
    <cellStyle name="Normal 4 2 3 2" xfId="504" xr:uid="{00000000-0005-0000-0000-00007C020000}"/>
    <cellStyle name="Normal 4 2 3 3" xfId="773" xr:uid="{00000000-0005-0000-0000-00007D020000}"/>
    <cellStyle name="Normal 4 2 4" xfId="398" xr:uid="{00000000-0005-0000-0000-00007E020000}"/>
    <cellStyle name="Normal 4 2 5" xfId="671" xr:uid="{00000000-0005-0000-0000-00007F020000}"/>
    <cellStyle name="Normal 4 3" xfId="106" xr:uid="{00000000-0005-0000-0000-000080020000}"/>
    <cellStyle name="Normal 4 3 2" xfId="214" xr:uid="{00000000-0005-0000-0000-000081020000}"/>
    <cellStyle name="Normal 4 3 2 2" xfId="506" xr:uid="{00000000-0005-0000-0000-000082020000}"/>
    <cellStyle name="Normal 4 3 2 3" xfId="775" xr:uid="{00000000-0005-0000-0000-000083020000}"/>
    <cellStyle name="Normal 4 3 3" xfId="400" xr:uid="{00000000-0005-0000-0000-000084020000}"/>
    <cellStyle name="Normal 4 3 4" xfId="673" xr:uid="{00000000-0005-0000-0000-000085020000}"/>
    <cellStyle name="Normal 4 4" xfId="211" xr:uid="{00000000-0005-0000-0000-000086020000}"/>
    <cellStyle name="Normal 4 4 2" xfId="503" xr:uid="{00000000-0005-0000-0000-000087020000}"/>
    <cellStyle name="Normal 4 4 3" xfId="772" xr:uid="{00000000-0005-0000-0000-000088020000}"/>
    <cellStyle name="Normal 4 5" xfId="397" xr:uid="{00000000-0005-0000-0000-000089020000}"/>
    <cellStyle name="Normal 4 6" xfId="670" xr:uid="{00000000-0005-0000-0000-00008A020000}"/>
    <cellStyle name="Normal 5" xfId="107" xr:uid="{00000000-0005-0000-0000-00008B020000}"/>
    <cellStyle name="Normal 5 2" xfId="108" xr:uid="{00000000-0005-0000-0000-00008C020000}"/>
    <cellStyle name="Normal 5 2 2" xfId="109" xr:uid="{00000000-0005-0000-0000-00008D020000}"/>
    <cellStyle name="Normal 5 2 2 2" xfId="217" xr:uid="{00000000-0005-0000-0000-00008E020000}"/>
    <cellStyle name="Normal 5 2 2 2 2" xfId="509" xr:uid="{00000000-0005-0000-0000-00008F020000}"/>
    <cellStyle name="Normal 5 2 2 2 3" xfId="778" xr:uid="{00000000-0005-0000-0000-000090020000}"/>
    <cellStyle name="Normal 5 2 2 3" xfId="403" xr:uid="{00000000-0005-0000-0000-000091020000}"/>
    <cellStyle name="Normal 5 2 2 4" xfId="676" xr:uid="{00000000-0005-0000-0000-000092020000}"/>
    <cellStyle name="Normal 5 2 3" xfId="216" xr:uid="{00000000-0005-0000-0000-000093020000}"/>
    <cellStyle name="Normal 5 2 3 2" xfId="508" xr:uid="{00000000-0005-0000-0000-000094020000}"/>
    <cellStyle name="Normal 5 2 3 3" xfId="777" xr:uid="{00000000-0005-0000-0000-000095020000}"/>
    <cellStyle name="Normal 5 2 4" xfId="402" xr:uid="{00000000-0005-0000-0000-000096020000}"/>
    <cellStyle name="Normal 5 2 5" xfId="675" xr:uid="{00000000-0005-0000-0000-000097020000}"/>
    <cellStyle name="Normal 5 3" xfId="110" xr:uid="{00000000-0005-0000-0000-000098020000}"/>
    <cellStyle name="Normal 5 3 2" xfId="218" xr:uid="{00000000-0005-0000-0000-000099020000}"/>
    <cellStyle name="Normal 5 3 2 2" xfId="510" xr:uid="{00000000-0005-0000-0000-00009A020000}"/>
    <cellStyle name="Normal 5 3 2 3" xfId="779" xr:uid="{00000000-0005-0000-0000-00009B020000}"/>
    <cellStyle name="Normal 5 3 3" xfId="404" xr:uid="{00000000-0005-0000-0000-00009C020000}"/>
    <cellStyle name="Normal 5 3 4" xfId="677" xr:uid="{00000000-0005-0000-0000-00009D020000}"/>
    <cellStyle name="Normal 5 4" xfId="215" xr:uid="{00000000-0005-0000-0000-00009E020000}"/>
    <cellStyle name="Normal 5 4 2" xfId="507" xr:uid="{00000000-0005-0000-0000-00009F020000}"/>
    <cellStyle name="Normal 5 4 3" xfId="776" xr:uid="{00000000-0005-0000-0000-0000A0020000}"/>
    <cellStyle name="Normal 5 5" xfId="401" xr:uid="{00000000-0005-0000-0000-0000A1020000}"/>
    <cellStyle name="Normal 5 6" xfId="674" xr:uid="{00000000-0005-0000-0000-0000A2020000}"/>
    <cellStyle name="Normal 6" xfId="111" xr:uid="{00000000-0005-0000-0000-0000A3020000}"/>
    <cellStyle name="Normal 6 2" xfId="112" xr:uid="{00000000-0005-0000-0000-0000A4020000}"/>
    <cellStyle name="Normal 6 2 2" xfId="113" xr:uid="{00000000-0005-0000-0000-0000A5020000}"/>
    <cellStyle name="Normal 6 2 2 2" xfId="221" xr:uid="{00000000-0005-0000-0000-0000A6020000}"/>
    <cellStyle name="Normal 6 2 2 2 2" xfId="513" xr:uid="{00000000-0005-0000-0000-0000A7020000}"/>
    <cellStyle name="Normal 6 2 2 2 3" xfId="782" xr:uid="{00000000-0005-0000-0000-0000A8020000}"/>
    <cellStyle name="Normal 6 2 2 3" xfId="407" xr:uid="{00000000-0005-0000-0000-0000A9020000}"/>
    <cellStyle name="Normal 6 2 2 4" xfId="680" xr:uid="{00000000-0005-0000-0000-0000AA020000}"/>
    <cellStyle name="Normal 6 2 3" xfId="220" xr:uid="{00000000-0005-0000-0000-0000AB020000}"/>
    <cellStyle name="Normal 6 2 3 2" xfId="512" xr:uid="{00000000-0005-0000-0000-0000AC020000}"/>
    <cellStyle name="Normal 6 2 3 3" xfId="781" xr:uid="{00000000-0005-0000-0000-0000AD020000}"/>
    <cellStyle name="Normal 6 2 4" xfId="406" xr:uid="{00000000-0005-0000-0000-0000AE020000}"/>
    <cellStyle name="Normal 6 2 5" xfId="679" xr:uid="{00000000-0005-0000-0000-0000AF020000}"/>
    <cellStyle name="Normal 6 3" xfId="114" xr:uid="{00000000-0005-0000-0000-0000B0020000}"/>
    <cellStyle name="Normal 6 3 2" xfId="222" xr:uid="{00000000-0005-0000-0000-0000B1020000}"/>
    <cellStyle name="Normal 6 3 2 2" xfId="514" xr:uid="{00000000-0005-0000-0000-0000B2020000}"/>
    <cellStyle name="Normal 6 3 2 3" xfId="783" xr:uid="{00000000-0005-0000-0000-0000B3020000}"/>
    <cellStyle name="Normal 6 3 3" xfId="408" xr:uid="{00000000-0005-0000-0000-0000B4020000}"/>
    <cellStyle name="Normal 6 3 4" xfId="681" xr:uid="{00000000-0005-0000-0000-0000B5020000}"/>
    <cellStyle name="Normal 6 4" xfId="219" xr:uid="{00000000-0005-0000-0000-0000B6020000}"/>
    <cellStyle name="Normal 6 4 2" xfId="511" xr:uid="{00000000-0005-0000-0000-0000B7020000}"/>
    <cellStyle name="Normal 6 4 3" xfId="780" xr:uid="{00000000-0005-0000-0000-0000B8020000}"/>
    <cellStyle name="Normal 6 5" xfId="405" xr:uid="{00000000-0005-0000-0000-0000B9020000}"/>
    <cellStyle name="Normal 6 6" xfId="678" xr:uid="{00000000-0005-0000-0000-0000BA020000}"/>
    <cellStyle name="Normal 7" xfId="115" xr:uid="{00000000-0005-0000-0000-0000BB020000}"/>
    <cellStyle name="Normal 7 2" xfId="116" xr:uid="{00000000-0005-0000-0000-0000BC020000}"/>
    <cellStyle name="Normal 7 2 2" xfId="117" xr:uid="{00000000-0005-0000-0000-0000BD020000}"/>
    <cellStyle name="Normal 7 2 2 2" xfId="225" xr:uid="{00000000-0005-0000-0000-0000BE020000}"/>
    <cellStyle name="Normal 7 2 2 2 2" xfId="517" xr:uid="{00000000-0005-0000-0000-0000BF020000}"/>
    <cellStyle name="Normal 7 2 2 2 3" xfId="786" xr:uid="{00000000-0005-0000-0000-0000C0020000}"/>
    <cellStyle name="Normal 7 2 2 3" xfId="411" xr:uid="{00000000-0005-0000-0000-0000C1020000}"/>
    <cellStyle name="Normal 7 2 2 4" xfId="684" xr:uid="{00000000-0005-0000-0000-0000C2020000}"/>
    <cellStyle name="Normal 7 2 3" xfId="224" xr:uid="{00000000-0005-0000-0000-0000C3020000}"/>
    <cellStyle name="Normal 7 2 3 2" xfId="516" xr:uid="{00000000-0005-0000-0000-0000C4020000}"/>
    <cellStyle name="Normal 7 2 3 3" xfId="785" xr:uid="{00000000-0005-0000-0000-0000C5020000}"/>
    <cellStyle name="Normal 7 2 4" xfId="410" xr:uid="{00000000-0005-0000-0000-0000C6020000}"/>
    <cellStyle name="Normal 7 2 5" xfId="683" xr:uid="{00000000-0005-0000-0000-0000C7020000}"/>
    <cellStyle name="Normal 7 3" xfId="118" xr:uid="{00000000-0005-0000-0000-0000C8020000}"/>
    <cellStyle name="Normal 7 3 2" xfId="226" xr:uid="{00000000-0005-0000-0000-0000C9020000}"/>
    <cellStyle name="Normal 7 3 2 2" xfId="518" xr:uid="{00000000-0005-0000-0000-0000CA020000}"/>
    <cellStyle name="Normal 7 3 2 3" xfId="787" xr:uid="{00000000-0005-0000-0000-0000CB020000}"/>
    <cellStyle name="Normal 7 3 3" xfId="412" xr:uid="{00000000-0005-0000-0000-0000CC020000}"/>
    <cellStyle name="Normal 7 3 4" xfId="685" xr:uid="{00000000-0005-0000-0000-0000CD020000}"/>
    <cellStyle name="Normal 7 4" xfId="223" xr:uid="{00000000-0005-0000-0000-0000CE020000}"/>
    <cellStyle name="Normal 7 4 2" xfId="515" xr:uid="{00000000-0005-0000-0000-0000CF020000}"/>
    <cellStyle name="Normal 7 4 3" xfId="784" xr:uid="{00000000-0005-0000-0000-0000D0020000}"/>
    <cellStyle name="Normal 7 5" xfId="409" xr:uid="{00000000-0005-0000-0000-0000D1020000}"/>
    <cellStyle name="Normal 7 6" xfId="682" xr:uid="{00000000-0005-0000-0000-0000D2020000}"/>
    <cellStyle name="Normal 8" xfId="119" xr:uid="{00000000-0005-0000-0000-0000D3020000}"/>
    <cellStyle name="Normal 8 2" xfId="120" xr:uid="{00000000-0005-0000-0000-0000D4020000}"/>
    <cellStyle name="Normal 8 2 2" xfId="121" xr:uid="{00000000-0005-0000-0000-0000D5020000}"/>
    <cellStyle name="Normal 8 2 2 2" xfId="229" xr:uid="{00000000-0005-0000-0000-0000D6020000}"/>
    <cellStyle name="Normal 8 2 2 2 2" xfId="521" xr:uid="{00000000-0005-0000-0000-0000D7020000}"/>
    <cellStyle name="Normal 8 2 2 2 3" xfId="790" xr:uid="{00000000-0005-0000-0000-0000D8020000}"/>
    <cellStyle name="Normal 8 2 2 3" xfId="415" xr:uid="{00000000-0005-0000-0000-0000D9020000}"/>
    <cellStyle name="Normal 8 2 2 4" xfId="688" xr:uid="{00000000-0005-0000-0000-0000DA020000}"/>
    <cellStyle name="Normal 8 2 3" xfId="228" xr:uid="{00000000-0005-0000-0000-0000DB020000}"/>
    <cellStyle name="Normal 8 2 3 2" xfId="520" xr:uid="{00000000-0005-0000-0000-0000DC020000}"/>
    <cellStyle name="Normal 8 2 3 3" xfId="789" xr:uid="{00000000-0005-0000-0000-0000DD020000}"/>
    <cellStyle name="Normal 8 2 4" xfId="414" xr:uid="{00000000-0005-0000-0000-0000DE020000}"/>
    <cellStyle name="Normal 8 2 5" xfId="687" xr:uid="{00000000-0005-0000-0000-0000DF020000}"/>
    <cellStyle name="Normal 8 3" xfId="122" xr:uid="{00000000-0005-0000-0000-0000E0020000}"/>
    <cellStyle name="Normal 8 3 2" xfId="230" xr:uid="{00000000-0005-0000-0000-0000E1020000}"/>
    <cellStyle name="Normal 8 3 2 2" xfId="522" xr:uid="{00000000-0005-0000-0000-0000E2020000}"/>
    <cellStyle name="Normal 8 3 2 3" xfId="791" xr:uid="{00000000-0005-0000-0000-0000E3020000}"/>
    <cellStyle name="Normal 8 3 3" xfId="416" xr:uid="{00000000-0005-0000-0000-0000E4020000}"/>
    <cellStyle name="Normal 8 3 4" xfId="689" xr:uid="{00000000-0005-0000-0000-0000E5020000}"/>
    <cellStyle name="Normal 8 4" xfId="227" xr:uid="{00000000-0005-0000-0000-0000E6020000}"/>
    <cellStyle name="Normal 8 4 2" xfId="519" xr:uid="{00000000-0005-0000-0000-0000E7020000}"/>
    <cellStyle name="Normal 8 4 3" xfId="788" xr:uid="{00000000-0005-0000-0000-0000E8020000}"/>
    <cellStyle name="Normal 8 5" xfId="413" xr:uid="{00000000-0005-0000-0000-0000E9020000}"/>
    <cellStyle name="Normal 8 6" xfId="686" xr:uid="{00000000-0005-0000-0000-0000EA020000}"/>
    <cellStyle name="Normal 9" xfId="123" xr:uid="{00000000-0005-0000-0000-0000EB020000}"/>
    <cellStyle name="Normal 9 2" xfId="124" xr:uid="{00000000-0005-0000-0000-0000EC020000}"/>
    <cellStyle name="Normal 9 2 2" xfId="125" xr:uid="{00000000-0005-0000-0000-0000ED020000}"/>
    <cellStyle name="Normal 9 2 2 2" xfId="233" xr:uid="{00000000-0005-0000-0000-0000EE020000}"/>
    <cellStyle name="Normal 9 2 2 2 2" xfId="525" xr:uid="{00000000-0005-0000-0000-0000EF020000}"/>
    <cellStyle name="Normal 9 2 2 2 3" xfId="794" xr:uid="{00000000-0005-0000-0000-0000F0020000}"/>
    <cellStyle name="Normal 9 2 2 3" xfId="419" xr:uid="{00000000-0005-0000-0000-0000F1020000}"/>
    <cellStyle name="Normal 9 2 2 4" xfId="692" xr:uid="{00000000-0005-0000-0000-0000F2020000}"/>
    <cellStyle name="Normal 9 2 3" xfId="232" xr:uid="{00000000-0005-0000-0000-0000F3020000}"/>
    <cellStyle name="Normal 9 2 3 2" xfId="524" xr:uid="{00000000-0005-0000-0000-0000F4020000}"/>
    <cellStyle name="Normal 9 2 3 3" xfId="793" xr:uid="{00000000-0005-0000-0000-0000F5020000}"/>
    <cellStyle name="Normal 9 2 4" xfId="418" xr:uid="{00000000-0005-0000-0000-0000F6020000}"/>
    <cellStyle name="Normal 9 2 5" xfId="691" xr:uid="{00000000-0005-0000-0000-0000F7020000}"/>
    <cellStyle name="Normal 9 3" xfId="126" xr:uid="{00000000-0005-0000-0000-0000F8020000}"/>
    <cellStyle name="Normal 9 3 2" xfId="234" xr:uid="{00000000-0005-0000-0000-0000F9020000}"/>
    <cellStyle name="Normal 9 3 2 2" xfId="526" xr:uid="{00000000-0005-0000-0000-0000FA020000}"/>
    <cellStyle name="Normal 9 3 2 3" xfId="795" xr:uid="{00000000-0005-0000-0000-0000FB020000}"/>
    <cellStyle name="Normal 9 3 3" xfId="420" xr:uid="{00000000-0005-0000-0000-0000FC020000}"/>
    <cellStyle name="Normal 9 3 4" xfId="693" xr:uid="{00000000-0005-0000-0000-0000FD020000}"/>
    <cellStyle name="Normal 9 4" xfId="231" xr:uid="{00000000-0005-0000-0000-0000FE020000}"/>
    <cellStyle name="Normal 9 4 2" xfId="523" xr:uid="{00000000-0005-0000-0000-0000FF020000}"/>
    <cellStyle name="Normal 9 4 3" xfId="792" xr:uid="{00000000-0005-0000-0000-000000030000}"/>
    <cellStyle name="Normal 9 5" xfId="417" xr:uid="{00000000-0005-0000-0000-000001030000}"/>
    <cellStyle name="Normal 9 6" xfId="690" xr:uid="{00000000-0005-0000-0000-000002030000}"/>
    <cellStyle name="Note 2" xfId="127" xr:uid="{00000000-0005-0000-0000-000003030000}"/>
    <cellStyle name="Note 2 2" xfId="128" xr:uid="{00000000-0005-0000-0000-000004030000}"/>
    <cellStyle name="Note 2 2 2" xfId="129" xr:uid="{00000000-0005-0000-0000-000005030000}"/>
    <cellStyle name="Note 2 2 2 2" xfId="237" xr:uid="{00000000-0005-0000-0000-000006030000}"/>
    <cellStyle name="Note 2 2 2 2 2" xfId="529" xr:uid="{00000000-0005-0000-0000-000007030000}"/>
    <cellStyle name="Note 2 2 2 2 3" xfId="798" xr:uid="{00000000-0005-0000-0000-000008030000}"/>
    <cellStyle name="Note 2 2 2 3" xfId="423" xr:uid="{00000000-0005-0000-0000-000009030000}"/>
    <cellStyle name="Note 2 2 2 4" xfId="696" xr:uid="{00000000-0005-0000-0000-00000A030000}"/>
    <cellStyle name="Note 2 2 3" xfId="236" xr:uid="{00000000-0005-0000-0000-00000B030000}"/>
    <cellStyle name="Note 2 2 3 2" xfId="528" xr:uid="{00000000-0005-0000-0000-00000C030000}"/>
    <cellStyle name="Note 2 2 3 3" xfId="797" xr:uid="{00000000-0005-0000-0000-00000D030000}"/>
    <cellStyle name="Note 2 2 4" xfId="422" xr:uid="{00000000-0005-0000-0000-00000E030000}"/>
    <cellStyle name="Note 2 2 5" xfId="695" xr:uid="{00000000-0005-0000-0000-00000F030000}"/>
    <cellStyle name="Note 2 3" xfId="130" xr:uid="{00000000-0005-0000-0000-000010030000}"/>
    <cellStyle name="Note 2 3 2" xfId="238" xr:uid="{00000000-0005-0000-0000-000011030000}"/>
    <cellStyle name="Note 2 3 2 2" xfId="530" xr:uid="{00000000-0005-0000-0000-000012030000}"/>
    <cellStyle name="Note 2 3 2 3" xfId="799" xr:uid="{00000000-0005-0000-0000-000013030000}"/>
    <cellStyle name="Note 2 3 3" xfId="424" xr:uid="{00000000-0005-0000-0000-000014030000}"/>
    <cellStyle name="Note 2 3 4" xfId="697" xr:uid="{00000000-0005-0000-0000-000015030000}"/>
    <cellStyle name="Note 2 4" xfId="235" xr:uid="{00000000-0005-0000-0000-000016030000}"/>
    <cellStyle name="Note 2 4 2" xfId="527" xr:uid="{00000000-0005-0000-0000-000017030000}"/>
    <cellStyle name="Note 2 4 3" xfId="796" xr:uid="{00000000-0005-0000-0000-000018030000}"/>
    <cellStyle name="Note 2 5" xfId="421" xr:uid="{00000000-0005-0000-0000-000019030000}"/>
    <cellStyle name="Note 2 6" xfId="694" xr:uid="{00000000-0005-0000-0000-00001A030000}"/>
    <cellStyle name="Note 3" xfId="256" xr:uid="{00000000-0005-0000-0000-00001B030000}"/>
    <cellStyle name="Note 3 2" xfId="534" xr:uid="{00000000-0005-0000-0000-00001C030000}"/>
    <cellStyle name="Note 3 3" xfId="801" xr:uid="{00000000-0005-0000-0000-00001D030000}"/>
    <cellStyle name="Note 4" xfId="285" xr:uid="{00000000-0005-0000-0000-00001E030000}"/>
    <cellStyle name="Note 5" xfId="556" xr:uid="{00000000-0005-0000-0000-00001F030000}"/>
    <cellStyle name="Note 6" xfId="570" xr:uid="{00000000-0005-0000-0000-000020030000}"/>
    <cellStyle name="Note 7" xfId="584" xr:uid="{00000000-0005-0000-0000-000021030000}"/>
    <cellStyle name="Output" xfId="131" builtinId="21" customBuiltin="1"/>
    <cellStyle name="Output 2" xfId="251" xr:uid="{00000000-0005-0000-0000-000023030000}"/>
    <cellStyle name="Output 3" xfId="425" xr:uid="{00000000-0005-0000-0000-000024030000}"/>
    <cellStyle name="Title" xfId="132" builtinId="15" customBuiltin="1"/>
    <cellStyle name="Title 2" xfId="242" xr:uid="{00000000-0005-0000-0000-000026030000}"/>
    <cellStyle name="Title 3" xfId="426" xr:uid="{00000000-0005-0000-0000-000027030000}"/>
    <cellStyle name="Total" xfId="133" builtinId="25" customBuiltin="1"/>
    <cellStyle name="Total 2" xfId="258" xr:uid="{00000000-0005-0000-0000-000029030000}"/>
    <cellStyle name="Total 3" xfId="427" xr:uid="{00000000-0005-0000-0000-00002A030000}"/>
    <cellStyle name="Warning Text" xfId="134" builtinId="11" customBuiltin="1"/>
    <cellStyle name="Warning Text 2" xfId="255" xr:uid="{00000000-0005-0000-0000-00002C030000}"/>
    <cellStyle name="Warning Text 3" xfId="428" xr:uid="{00000000-0005-0000-0000-00002D030000}"/>
  </cellStyles>
  <dxfs count="38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externalLink" Target="externalLinks/externalLink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theme" Target="theme/theme1.xml"/><Relationship Id="rId35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57150</xdr:rowOff>
        </xdr:from>
        <xdr:to>
          <xdr:col>3</xdr:col>
          <xdr:colOff>85725</xdr:colOff>
          <xdr:row>1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Drawer Overview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447675</xdr:colOff>
          <xdr:row>0</xdr:row>
          <xdr:rowOff>47625</xdr:rowOff>
        </xdr:from>
        <xdr:to>
          <xdr:col>5</xdr:col>
          <xdr:colOff>685800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Drawer 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266700</xdr:colOff>
          <xdr:row>0</xdr:row>
          <xdr:rowOff>47625</xdr:rowOff>
        </xdr:from>
        <xdr:to>
          <xdr:col>9</xdr:col>
          <xdr:colOff>104775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Trading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114300</xdr:rowOff>
        </xdr:from>
        <xdr:to>
          <xdr:col>16</xdr:col>
          <xdr:colOff>571500</xdr:colOff>
          <xdr:row>0</xdr:row>
          <xdr:rowOff>390525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Fetch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0</xdr:row>
          <xdr:rowOff>0</xdr:rowOff>
        </xdr:from>
        <xdr:to>
          <xdr:col>19</xdr:col>
          <xdr:colOff>276225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Fetch Cash Variance Over/Under $5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76200</xdr:rowOff>
        </xdr:from>
        <xdr:to>
          <xdr:col>12</xdr:col>
          <xdr:colOff>219075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Comments (Notes) from Detail Variance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514350</xdr:rowOff>
        </xdr:from>
        <xdr:to>
          <xdr:col>9</xdr:col>
          <xdr:colOff>600075</xdr:colOff>
          <xdr:row>2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Email Attachment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200025</xdr:colOff>
          <xdr:row>0</xdr:row>
          <xdr:rowOff>9525</xdr:rowOff>
        </xdr:from>
        <xdr:to>
          <xdr:col>13</xdr:col>
          <xdr:colOff>466725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Fectch Store Rec History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405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505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605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705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8052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09052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10052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110521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120521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Bank%20rec%20data%20archive/BankRecData1305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44320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04/05/21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04/05/21</v>
          </cell>
          <cell r="F8">
            <v>699</v>
          </cell>
          <cell r="H8">
            <v>699</v>
          </cell>
          <cell r="I8">
            <v>400</v>
          </cell>
          <cell r="J8">
            <v>0</v>
          </cell>
          <cell r="K8">
            <v>699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04/05/21</v>
          </cell>
          <cell r="F9">
            <v>400</v>
          </cell>
          <cell r="H9">
            <v>400</v>
          </cell>
          <cell r="I9">
            <v>400</v>
          </cell>
          <cell r="J9">
            <v>0</v>
          </cell>
          <cell r="K9">
            <v>400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04/05/21</v>
          </cell>
          <cell r="F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04/05/21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04/05/21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04/05/21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04/05/21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04/05/21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04/05/21</v>
          </cell>
          <cell r="F16">
            <v>755.4</v>
          </cell>
          <cell r="H16">
            <v>755.4</v>
          </cell>
          <cell r="I16">
            <v>400</v>
          </cell>
          <cell r="J16">
            <v>-2</v>
          </cell>
          <cell r="K16">
            <v>755.4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04/05/21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04/05/21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04/05/21</v>
          </cell>
          <cell r="F19">
            <v>429.1</v>
          </cell>
          <cell r="H19">
            <v>429.1</v>
          </cell>
          <cell r="I19">
            <v>400</v>
          </cell>
          <cell r="J19">
            <v>0</v>
          </cell>
          <cell r="K19">
            <v>429.1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04/05/21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04/05/21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04/05/21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04/05/21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04/05/21</v>
          </cell>
          <cell r="F24">
            <v>718.75</v>
          </cell>
          <cell r="H24">
            <v>718.75</v>
          </cell>
          <cell r="I24">
            <v>400</v>
          </cell>
          <cell r="J24">
            <v>0</v>
          </cell>
          <cell r="K24">
            <v>718.75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04/05/21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04/05/21</v>
          </cell>
          <cell r="F26">
            <v>839.6</v>
          </cell>
          <cell r="H26">
            <v>839.6</v>
          </cell>
          <cell r="I26">
            <v>400</v>
          </cell>
          <cell r="J26">
            <v>0</v>
          </cell>
          <cell r="K26">
            <v>839.6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04/05/21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04/05/21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04/05/21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04/05/21</v>
          </cell>
          <cell r="H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04/05/21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04/05/21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04/05/21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04/05/21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04/05/21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04/05/21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04/05/21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04/05/21</v>
          </cell>
          <cell r="F38">
            <v>1064</v>
          </cell>
          <cell r="H38">
            <v>1064</v>
          </cell>
          <cell r="I38">
            <v>400</v>
          </cell>
          <cell r="J38">
            <v>0</v>
          </cell>
          <cell r="K38">
            <v>1064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04/05/21</v>
          </cell>
          <cell r="F39">
            <v>1559.35</v>
          </cell>
          <cell r="H39">
            <v>1559.35</v>
          </cell>
          <cell r="I39">
            <v>400</v>
          </cell>
          <cell r="J39">
            <v>1.25</v>
          </cell>
          <cell r="K39">
            <v>1559.35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04/05/21</v>
          </cell>
          <cell r="F40">
            <v>573.70000000000005</v>
          </cell>
          <cell r="H40">
            <v>573.70000000000005</v>
          </cell>
          <cell r="I40">
            <v>400</v>
          </cell>
          <cell r="J40">
            <v>0.2</v>
          </cell>
          <cell r="K40">
            <v>573.70000000000005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04/05/21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04/05/21</v>
          </cell>
          <cell r="F42">
            <v>570.6</v>
          </cell>
          <cell r="H42">
            <v>570.6</v>
          </cell>
          <cell r="I42">
            <v>400</v>
          </cell>
          <cell r="J42">
            <v>0.05</v>
          </cell>
          <cell r="K42">
            <v>570.6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04/05/21</v>
          </cell>
          <cell r="F43">
            <v>1314.15</v>
          </cell>
          <cell r="H43">
            <v>1314.15</v>
          </cell>
          <cell r="I43">
            <v>400</v>
          </cell>
          <cell r="J43">
            <v>0.6</v>
          </cell>
          <cell r="K43">
            <v>1314.15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04/05/21</v>
          </cell>
          <cell r="F44">
            <v>1518.9</v>
          </cell>
          <cell r="H44">
            <v>1518.9</v>
          </cell>
          <cell r="I44">
            <v>400</v>
          </cell>
          <cell r="J44">
            <v>38.1</v>
          </cell>
          <cell r="K44">
            <v>1518.9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04/05/21</v>
          </cell>
          <cell r="F45">
            <v>884.3</v>
          </cell>
          <cell r="H45">
            <v>884.3</v>
          </cell>
          <cell r="I45">
            <v>400</v>
          </cell>
          <cell r="J45">
            <v>0</v>
          </cell>
          <cell r="K45">
            <v>884.3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04/05/21</v>
          </cell>
          <cell r="F46">
            <v>886.9</v>
          </cell>
          <cell r="H46">
            <v>886.9</v>
          </cell>
          <cell r="I46">
            <v>400</v>
          </cell>
          <cell r="J46">
            <v>0.25</v>
          </cell>
          <cell r="K46">
            <v>886.9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04/05/21</v>
          </cell>
          <cell r="F47">
            <v>721.05</v>
          </cell>
          <cell r="H47">
            <v>721.05</v>
          </cell>
          <cell r="I47">
            <v>400</v>
          </cell>
          <cell r="J47">
            <v>0</v>
          </cell>
          <cell r="K47">
            <v>721.05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04/05/21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04/05/21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04/05/21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04/05/21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04/05/21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04/05/21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04/05/21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04/05/21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04/05/21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04/05/21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04/05/21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04/05/21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04/05/21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04/05/21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04/05/21</v>
          </cell>
          <cell r="F62">
            <v>993.85</v>
          </cell>
          <cell r="H62">
            <v>993.85</v>
          </cell>
          <cell r="I62">
            <v>400</v>
          </cell>
          <cell r="J62">
            <v>0.25</v>
          </cell>
          <cell r="K62">
            <v>993.85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04/05/21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04/05/21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04/05/21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04/05/21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04/05/21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04/05/21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04/05/21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04/05/21</v>
          </cell>
          <cell r="F70">
            <v>400</v>
          </cell>
          <cell r="H70">
            <v>400</v>
          </cell>
          <cell r="I70">
            <v>400</v>
          </cell>
          <cell r="J70">
            <v>0</v>
          </cell>
          <cell r="K70">
            <v>400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04/05/21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04/05/21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04/05/21</v>
          </cell>
          <cell r="F73">
            <v>773.9</v>
          </cell>
          <cell r="H73">
            <v>773.9</v>
          </cell>
          <cell r="I73">
            <v>400</v>
          </cell>
          <cell r="J73">
            <v>0.2</v>
          </cell>
          <cell r="K73">
            <v>773.9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04/05/21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04/05/21</v>
          </cell>
          <cell r="F75">
            <v>464.65</v>
          </cell>
          <cell r="H75">
            <v>464.65</v>
          </cell>
          <cell r="I75">
            <v>200</v>
          </cell>
          <cell r="J75">
            <v>0</v>
          </cell>
          <cell r="K75">
            <v>464.65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04/05/21</v>
          </cell>
          <cell r="F76">
            <v>969.6</v>
          </cell>
          <cell r="H76">
            <v>969.6</v>
          </cell>
          <cell r="I76">
            <v>200</v>
          </cell>
          <cell r="J76">
            <v>0</v>
          </cell>
          <cell r="K76">
            <v>969.6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04/05/21</v>
          </cell>
          <cell r="F77">
            <v>337</v>
          </cell>
          <cell r="H77">
            <v>337</v>
          </cell>
          <cell r="I77">
            <v>200</v>
          </cell>
          <cell r="J77">
            <v>0</v>
          </cell>
          <cell r="K77">
            <v>337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04/05/21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04/05/21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04/05/21</v>
          </cell>
          <cell r="F80">
            <v>939.25</v>
          </cell>
          <cell r="H80">
            <v>939.25</v>
          </cell>
          <cell r="I80">
            <v>400</v>
          </cell>
          <cell r="J80">
            <v>0</v>
          </cell>
          <cell r="K80">
            <v>939.25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04/05/21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04/05/21</v>
          </cell>
          <cell r="F82">
            <v>1843.65</v>
          </cell>
          <cell r="H82">
            <v>1843.65</v>
          </cell>
          <cell r="I82">
            <v>200</v>
          </cell>
          <cell r="J82">
            <v>13.2</v>
          </cell>
          <cell r="K82">
            <v>1843.65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04/05/21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04/05/21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04/05/21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04/05/21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04/05/21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04/05/21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04/05/21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04/05/21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04/05/21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04/05/21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04/05/21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04/05/21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04/05/21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04/05/21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04/05/21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44321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05/05/21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05/05/21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05/05/21</v>
          </cell>
          <cell r="F9">
            <v>472.95</v>
          </cell>
          <cell r="H9">
            <v>472.95</v>
          </cell>
          <cell r="I9">
            <v>400</v>
          </cell>
          <cell r="J9">
            <v>0</v>
          </cell>
          <cell r="K9">
            <v>472.95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05/05/21</v>
          </cell>
          <cell r="F10">
            <v>443</v>
          </cell>
          <cell r="H10">
            <v>443</v>
          </cell>
          <cell r="I10">
            <v>400</v>
          </cell>
          <cell r="J10">
            <v>0</v>
          </cell>
          <cell r="K10">
            <v>443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05/05/21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05/05/21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05/05/21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05/05/21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05/05/21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05/05/21</v>
          </cell>
          <cell r="F16">
            <v>840.65</v>
          </cell>
          <cell r="H16">
            <v>840.65</v>
          </cell>
          <cell r="I16">
            <v>400</v>
          </cell>
          <cell r="J16">
            <v>0</v>
          </cell>
          <cell r="K16">
            <v>840.65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05/05/21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05/05/21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05/05/21</v>
          </cell>
          <cell r="F19">
            <v>528.54999999999995</v>
          </cell>
          <cell r="H19">
            <v>528.54999999999995</v>
          </cell>
          <cell r="I19">
            <v>400</v>
          </cell>
          <cell r="J19">
            <v>0</v>
          </cell>
          <cell r="K19">
            <v>528.54999999999995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05/05/21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05/05/21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05/05/21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05/05/21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05/05/21</v>
          </cell>
          <cell r="F24">
            <v>762.85</v>
          </cell>
          <cell r="H24">
            <v>762.85</v>
          </cell>
          <cell r="I24">
            <v>400</v>
          </cell>
          <cell r="J24">
            <v>0</v>
          </cell>
          <cell r="K24">
            <v>762.85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05/05/21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05/05/21</v>
          </cell>
          <cell r="F26">
            <v>734.25</v>
          </cell>
          <cell r="H26">
            <v>734.25</v>
          </cell>
          <cell r="I26">
            <v>400</v>
          </cell>
          <cell r="J26">
            <v>0</v>
          </cell>
          <cell r="K26">
            <v>734.25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05/05/21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05/05/21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05/05/21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05/05/21</v>
          </cell>
          <cell r="F30">
            <v>400</v>
          </cell>
          <cell r="H30">
            <v>400</v>
          </cell>
          <cell r="I30">
            <v>400</v>
          </cell>
          <cell r="J30">
            <v>0</v>
          </cell>
          <cell r="K30">
            <v>400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05/05/21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05/05/21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05/05/21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05/05/21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05/05/21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05/05/21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05/05/21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05/05/21</v>
          </cell>
          <cell r="F38">
            <v>1234.75</v>
          </cell>
          <cell r="H38">
            <v>1234.75</v>
          </cell>
          <cell r="I38">
            <v>400</v>
          </cell>
          <cell r="J38">
            <v>-0.02</v>
          </cell>
          <cell r="K38">
            <v>1234.75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05/05/21</v>
          </cell>
          <cell r="F39">
            <v>1477.25</v>
          </cell>
          <cell r="H39">
            <v>1477.25</v>
          </cell>
          <cell r="I39">
            <v>400</v>
          </cell>
          <cell r="J39">
            <v>0.8</v>
          </cell>
          <cell r="K39">
            <v>1477.25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05/05/21</v>
          </cell>
          <cell r="F40">
            <v>723.8</v>
          </cell>
          <cell r="H40">
            <v>723.8</v>
          </cell>
          <cell r="I40">
            <v>400</v>
          </cell>
          <cell r="J40">
            <v>723.8</v>
          </cell>
          <cell r="K40">
            <v>723.8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05/05/21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05/05/21</v>
          </cell>
          <cell r="F42">
            <v>538.75</v>
          </cell>
          <cell r="H42">
            <v>538.75</v>
          </cell>
          <cell r="I42">
            <v>400</v>
          </cell>
          <cell r="J42">
            <v>0</v>
          </cell>
          <cell r="K42">
            <v>538.75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05/05/21</v>
          </cell>
          <cell r="F43">
            <v>1186.3499999999999</v>
          </cell>
          <cell r="H43">
            <v>1186.3499999999999</v>
          </cell>
          <cell r="I43">
            <v>400</v>
          </cell>
          <cell r="J43">
            <v>0.35</v>
          </cell>
          <cell r="K43">
            <v>1186.3499999999999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05/05/21</v>
          </cell>
          <cell r="F44">
            <v>1653.95</v>
          </cell>
          <cell r="H44">
            <v>1653.95</v>
          </cell>
          <cell r="I44">
            <v>800</v>
          </cell>
          <cell r="J44">
            <v>-6.6</v>
          </cell>
          <cell r="K44">
            <v>1653.95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05/05/21</v>
          </cell>
          <cell r="F45">
            <v>674.4</v>
          </cell>
          <cell r="H45">
            <v>674.4</v>
          </cell>
          <cell r="I45">
            <v>400</v>
          </cell>
          <cell r="J45">
            <v>0</v>
          </cell>
          <cell r="K45">
            <v>674.4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05/05/21</v>
          </cell>
          <cell r="F46">
            <v>801.35</v>
          </cell>
          <cell r="H46">
            <v>801.35</v>
          </cell>
          <cell r="I46">
            <v>400</v>
          </cell>
          <cell r="J46">
            <v>-100</v>
          </cell>
          <cell r="K46">
            <v>801.35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05/05/21</v>
          </cell>
          <cell r="F47">
            <v>839</v>
          </cell>
          <cell r="H47">
            <v>839</v>
          </cell>
          <cell r="I47">
            <v>400</v>
          </cell>
          <cell r="J47">
            <v>0.1</v>
          </cell>
          <cell r="K47">
            <v>839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05/05/21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05/05/21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05/05/21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05/05/21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05/05/21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05/05/21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05/05/21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05/05/21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05/05/21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05/05/21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05/05/21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05/05/21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05/05/21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05/05/21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05/05/21</v>
          </cell>
          <cell r="F62">
            <v>1210.6500000000001</v>
          </cell>
          <cell r="H62">
            <v>1210.6500000000001</v>
          </cell>
          <cell r="I62">
            <v>800</v>
          </cell>
          <cell r="J62">
            <v>0.05</v>
          </cell>
          <cell r="K62">
            <v>1210.6500000000001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05/05/21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05/05/21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05/05/21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05/05/21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05/05/21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05/05/21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05/05/21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05/05/21</v>
          </cell>
          <cell r="F70">
            <v>483.7</v>
          </cell>
          <cell r="H70">
            <v>483.7</v>
          </cell>
          <cell r="I70">
            <v>400</v>
          </cell>
          <cell r="J70">
            <v>0</v>
          </cell>
          <cell r="K70">
            <v>483.7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05/05/21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05/05/21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05/05/21</v>
          </cell>
          <cell r="F73">
            <v>1241.0999999999999</v>
          </cell>
          <cell r="H73">
            <v>1241.0999999999999</v>
          </cell>
          <cell r="I73">
            <v>400</v>
          </cell>
          <cell r="J73">
            <v>-0.05</v>
          </cell>
          <cell r="K73">
            <v>1241.0999999999999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05/05/21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05/05/21</v>
          </cell>
          <cell r="F75">
            <v>406</v>
          </cell>
          <cell r="H75">
            <v>406</v>
          </cell>
          <cell r="I75">
            <v>1000</v>
          </cell>
          <cell r="J75">
            <v>-400</v>
          </cell>
          <cell r="K75">
            <v>406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05/05/21</v>
          </cell>
          <cell r="F76">
            <v>1354.2</v>
          </cell>
          <cell r="H76">
            <v>1354.2</v>
          </cell>
          <cell r="I76">
            <v>600</v>
          </cell>
          <cell r="J76">
            <v>0</v>
          </cell>
          <cell r="K76">
            <v>1354.2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05/05/21</v>
          </cell>
          <cell r="F77">
            <v>297.25</v>
          </cell>
          <cell r="H77">
            <v>297.25</v>
          </cell>
          <cell r="I77">
            <v>200</v>
          </cell>
          <cell r="J77">
            <v>0</v>
          </cell>
          <cell r="K77">
            <v>297.25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05/05/21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05/05/21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05/05/21</v>
          </cell>
          <cell r="F80">
            <v>428.5</v>
          </cell>
          <cell r="H80">
            <v>428.5</v>
          </cell>
          <cell r="I80">
            <v>400</v>
          </cell>
          <cell r="J80">
            <v>0</v>
          </cell>
          <cell r="K80">
            <v>428.5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05/05/21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05/05/21</v>
          </cell>
          <cell r="F82">
            <v>1883.25</v>
          </cell>
          <cell r="H82">
            <v>1883.25</v>
          </cell>
          <cell r="I82">
            <v>0</v>
          </cell>
          <cell r="J82">
            <v>1.45</v>
          </cell>
          <cell r="K82">
            <v>1883.25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05/05/21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05/05/21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05/05/21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05/05/21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05/05/21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05/05/21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05/05/21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05/05/21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05/05/21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05/05/21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05/05/21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05/05/21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05/05/21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05/05/21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05/05/21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44322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06/05/21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06/05/21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06/05/21</v>
          </cell>
          <cell r="F9">
            <v>449.95</v>
          </cell>
          <cell r="H9">
            <v>449.95</v>
          </cell>
          <cell r="I9">
            <v>400</v>
          </cell>
          <cell r="J9">
            <v>0</v>
          </cell>
          <cell r="K9">
            <v>449.95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06/05/21</v>
          </cell>
          <cell r="F10">
            <v>423.95</v>
          </cell>
          <cell r="H10">
            <v>423.95</v>
          </cell>
          <cell r="I10">
            <v>400</v>
          </cell>
          <cell r="J10">
            <v>0</v>
          </cell>
          <cell r="K10">
            <v>423.95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06/05/21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06/05/21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06/05/21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06/05/21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06/05/21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06/05/21</v>
          </cell>
          <cell r="F16">
            <v>727.7</v>
          </cell>
          <cell r="H16">
            <v>727.7</v>
          </cell>
          <cell r="I16">
            <v>400</v>
          </cell>
          <cell r="J16">
            <v>0</v>
          </cell>
          <cell r="K16">
            <v>727.7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06/05/21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06/05/21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06/05/21</v>
          </cell>
          <cell r="F19">
            <v>530.95000000000005</v>
          </cell>
          <cell r="H19">
            <v>530.95000000000005</v>
          </cell>
          <cell r="I19">
            <v>400</v>
          </cell>
          <cell r="J19">
            <v>0</v>
          </cell>
          <cell r="K19">
            <v>530.95000000000005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06/05/21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06/05/21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06/05/21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06/05/21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06/05/21</v>
          </cell>
          <cell r="F24">
            <v>831.65</v>
          </cell>
          <cell r="H24">
            <v>831.65</v>
          </cell>
          <cell r="I24">
            <v>400</v>
          </cell>
          <cell r="J24">
            <v>0</v>
          </cell>
          <cell r="K24">
            <v>831.65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06/05/21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06/05/21</v>
          </cell>
          <cell r="F26">
            <v>522.1</v>
          </cell>
          <cell r="H26">
            <v>522.1</v>
          </cell>
          <cell r="I26">
            <v>400</v>
          </cell>
          <cell r="J26">
            <v>0</v>
          </cell>
          <cell r="K26">
            <v>522.1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06/05/21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06/05/21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06/05/21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06/05/21</v>
          </cell>
          <cell r="F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06/05/21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06/05/21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06/05/21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06/05/21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06/05/21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06/05/21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06/05/21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06/05/21</v>
          </cell>
          <cell r="F38">
            <v>1523.85</v>
          </cell>
          <cell r="H38">
            <v>1523.85</v>
          </cell>
          <cell r="I38">
            <v>400</v>
          </cell>
          <cell r="J38">
            <v>0.9</v>
          </cell>
          <cell r="K38">
            <v>1523.85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06/05/21</v>
          </cell>
          <cell r="F39">
            <v>1604.55</v>
          </cell>
          <cell r="H39">
            <v>1604.55</v>
          </cell>
          <cell r="I39">
            <v>400</v>
          </cell>
          <cell r="J39">
            <v>0.9</v>
          </cell>
          <cell r="K39">
            <v>1604.55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06/05/21</v>
          </cell>
          <cell r="F40">
            <v>634.79999999999995</v>
          </cell>
          <cell r="H40">
            <v>634.79999999999995</v>
          </cell>
          <cell r="I40">
            <v>400</v>
          </cell>
          <cell r="J40">
            <v>0.15</v>
          </cell>
          <cell r="K40">
            <v>634.79999999999995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06/05/21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06/05/21</v>
          </cell>
          <cell r="F42">
            <v>700.3</v>
          </cell>
          <cell r="H42">
            <v>700.3</v>
          </cell>
          <cell r="I42">
            <v>400</v>
          </cell>
          <cell r="J42">
            <v>0.1</v>
          </cell>
          <cell r="K42">
            <v>700.3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06/05/21</v>
          </cell>
          <cell r="F43">
            <v>1404.4</v>
          </cell>
          <cell r="H43">
            <v>1404.4</v>
          </cell>
          <cell r="I43">
            <v>400</v>
          </cell>
          <cell r="J43">
            <v>0.05</v>
          </cell>
          <cell r="K43">
            <v>1404.4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06/05/21</v>
          </cell>
          <cell r="F44">
            <v>1591.55</v>
          </cell>
          <cell r="H44">
            <v>1591.55</v>
          </cell>
          <cell r="I44">
            <v>400</v>
          </cell>
          <cell r="J44">
            <v>1.7</v>
          </cell>
          <cell r="K44">
            <v>1591.55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06/05/21</v>
          </cell>
          <cell r="F45">
            <v>1189.9000000000001</v>
          </cell>
          <cell r="H45">
            <v>1189.9000000000001</v>
          </cell>
          <cell r="I45">
            <v>800</v>
          </cell>
          <cell r="J45">
            <v>0</v>
          </cell>
          <cell r="K45">
            <v>1189.9000000000001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06/05/21</v>
          </cell>
          <cell r="F46">
            <v>654.45000000000005</v>
          </cell>
          <cell r="H46">
            <v>654.45000000000005</v>
          </cell>
          <cell r="I46">
            <v>400</v>
          </cell>
          <cell r="J46">
            <v>1</v>
          </cell>
          <cell r="K46">
            <v>654.45000000000005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06/05/21</v>
          </cell>
          <cell r="F47">
            <v>823.4</v>
          </cell>
          <cell r="H47">
            <v>823.4</v>
          </cell>
          <cell r="I47">
            <v>400</v>
          </cell>
          <cell r="J47">
            <v>0</v>
          </cell>
          <cell r="K47">
            <v>823.4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06/05/21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06/05/21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06/05/21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06/05/21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06/05/21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06/05/21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06/05/21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06/05/21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06/05/21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06/05/21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06/05/21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06/05/21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06/05/21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06/05/21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06/05/21</v>
          </cell>
          <cell r="F62">
            <v>1150.3</v>
          </cell>
          <cell r="H62">
            <v>1150.3</v>
          </cell>
          <cell r="I62">
            <v>400</v>
          </cell>
          <cell r="J62">
            <v>0.85</v>
          </cell>
          <cell r="K62">
            <v>1150.3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06/05/21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06/05/21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06/05/21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06/05/21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06/05/21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06/05/21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06/05/21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06/05/21</v>
          </cell>
          <cell r="F70">
            <v>881.95</v>
          </cell>
          <cell r="H70">
            <v>881.95</v>
          </cell>
          <cell r="I70">
            <v>400</v>
          </cell>
          <cell r="J70">
            <v>0</v>
          </cell>
          <cell r="K70">
            <v>881.95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06/05/21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06/05/21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06/05/21</v>
          </cell>
          <cell r="F73">
            <v>942.2</v>
          </cell>
          <cell r="H73">
            <v>942.2</v>
          </cell>
          <cell r="I73">
            <v>400</v>
          </cell>
          <cell r="J73">
            <v>0</v>
          </cell>
          <cell r="K73">
            <v>942.2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06/05/21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06/05/21</v>
          </cell>
          <cell r="F75">
            <v>590</v>
          </cell>
          <cell r="H75">
            <v>590</v>
          </cell>
          <cell r="I75">
            <v>400</v>
          </cell>
          <cell r="J75">
            <v>-1.5</v>
          </cell>
          <cell r="K75">
            <v>590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06/05/21</v>
          </cell>
          <cell r="F76">
            <v>1277.0999999999999</v>
          </cell>
          <cell r="H76">
            <v>1277.0999999999999</v>
          </cell>
          <cell r="I76">
            <v>400</v>
          </cell>
          <cell r="J76">
            <v>4.4000000000000004</v>
          </cell>
          <cell r="K76">
            <v>1277.0999999999999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06/05/21</v>
          </cell>
          <cell r="F77">
            <v>716.25</v>
          </cell>
          <cell r="H77">
            <v>716.25</v>
          </cell>
          <cell r="I77">
            <v>400</v>
          </cell>
          <cell r="J77">
            <v>0</v>
          </cell>
          <cell r="K77">
            <v>716.25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06/05/21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06/05/21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06/05/21</v>
          </cell>
          <cell r="F80">
            <v>508.9</v>
          </cell>
          <cell r="H80">
            <v>508.9</v>
          </cell>
          <cell r="I80">
            <v>400</v>
          </cell>
          <cell r="J80">
            <v>0</v>
          </cell>
          <cell r="K80">
            <v>508.9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06/05/21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06/05/21</v>
          </cell>
          <cell r="F82">
            <v>1905.1</v>
          </cell>
          <cell r="H82">
            <v>1905.1</v>
          </cell>
          <cell r="I82">
            <v>0</v>
          </cell>
          <cell r="J82">
            <v>1.95</v>
          </cell>
          <cell r="K82">
            <v>1905.1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06/05/21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06/05/21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06/05/21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06/05/21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06/05/21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06/05/21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06/05/21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06/05/21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06/05/21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06/05/21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06/05/21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06/05/21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06/05/21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06/05/21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06/05/21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44323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07/05/21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07/05/21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07/05/21</v>
          </cell>
          <cell r="F9">
            <v>447</v>
          </cell>
          <cell r="H9">
            <v>447</v>
          </cell>
          <cell r="I9">
            <v>400</v>
          </cell>
          <cell r="J9">
            <v>5</v>
          </cell>
          <cell r="K9">
            <v>447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07/05/21</v>
          </cell>
          <cell r="F10">
            <v>738.5</v>
          </cell>
          <cell r="H10">
            <v>738.5</v>
          </cell>
          <cell r="I10">
            <v>400</v>
          </cell>
          <cell r="J10">
            <v>0</v>
          </cell>
          <cell r="K10">
            <v>738.5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07/05/21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07/05/21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07/05/21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07/05/21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07/05/21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07/05/21</v>
          </cell>
          <cell r="F16">
            <v>1067.55</v>
          </cell>
          <cell r="H16">
            <v>1067.55</v>
          </cell>
          <cell r="I16">
            <v>400</v>
          </cell>
          <cell r="J16">
            <v>0</v>
          </cell>
          <cell r="K16">
            <v>1067.55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07/05/21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07/05/21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07/05/21</v>
          </cell>
          <cell r="F19">
            <v>416.35</v>
          </cell>
          <cell r="H19">
            <v>416.35</v>
          </cell>
          <cell r="I19">
            <v>400</v>
          </cell>
          <cell r="J19">
            <v>0</v>
          </cell>
          <cell r="K19">
            <v>416.35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07/05/21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07/05/21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07/05/21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07/05/21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07/05/21</v>
          </cell>
          <cell r="F24">
            <v>1141.75</v>
          </cell>
          <cell r="H24">
            <v>1141.75</v>
          </cell>
          <cell r="I24">
            <v>400</v>
          </cell>
          <cell r="J24">
            <v>-0.05</v>
          </cell>
          <cell r="K24">
            <v>1141.75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07/05/21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07/05/21</v>
          </cell>
          <cell r="F26">
            <v>484.1</v>
          </cell>
          <cell r="H26">
            <v>484.1</v>
          </cell>
          <cell r="I26">
            <v>400</v>
          </cell>
          <cell r="J26">
            <v>0.1</v>
          </cell>
          <cell r="K26">
            <v>484.1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07/05/21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07/05/21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07/05/21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07/05/21</v>
          </cell>
          <cell r="F30">
            <v>413</v>
          </cell>
          <cell r="H30">
            <v>413</v>
          </cell>
          <cell r="I30">
            <v>400</v>
          </cell>
          <cell r="J30">
            <v>0</v>
          </cell>
          <cell r="K30">
            <v>413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07/05/21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07/05/21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07/05/21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07/05/21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07/05/21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07/05/21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07/05/21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07/05/21</v>
          </cell>
          <cell r="F38">
            <v>1089.3</v>
          </cell>
          <cell r="H38">
            <v>1089.3</v>
          </cell>
          <cell r="I38">
            <v>400</v>
          </cell>
          <cell r="J38">
            <v>0.05</v>
          </cell>
          <cell r="K38">
            <v>1089.3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07/05/21</v>
          </cell>
          <cell r="F39">
            <v>1226.05</v>
          </cell>
          <cell r="H39">
            <v>1226.05</v>
          </cell>
          <cell r="I39">
            <v>400</v>
          </cell>
          <cell r="J39">
            <v>4.8499999999999996</v>
          </cell>
          <cell r="K39">
            <v>1226.05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07/05/21</v>
          </cell>
          <cell r="F40">
            <v>1027.45</v>
          </cell>
          <cell r="H40">
            <v>1027.45</v>
          </cell>
          <cell r="I40">
            <v>800</v>
          </cell>
          <cell r="J40">
            <v>400</v>
          </cell>
          <cell r="K40">
            <v>1027.45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07/05/21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07/05/21</v>
          </cell>
          <cell r="F42">
            <v>574.79999999999995</v>
          </cell>
          <cell r="H42">
            <v>574.79999999999995</v>
          </cell>
          <cell r="I42">
            <v>400</v>
          </cell>
          <cell r="J42">
            <v>0</v>
          </cell>
          <cell r="K42">
            <v>574.79999999999995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07/05/21</v>
          </cell>
          <cell r="F43">
            <v>1225.05</v>
          </cell>
          <cell r="H43">
            <v>1225.05</v>
          </cell>
          <cell r="I43">
            <v>400</v>
          </cell>
          <cell r="J43">
            <v>1.65</v>
          </cell>
          <cell r="K43">
            <v>1225.05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07/05/21</v>
          </cell>
          <cell r="F44">
            <v>1868.65</v>
          </cell>
          <cell r="H44">
            <v>1868.65</v>
          </cell>
          <cell r="I44">
            <v>400</v>
          </cell>
          <cell r="J44">
            <v>3.4</v>
          </cell>
          <cell r="K44">
            <v>1868.65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07/05/21</v>
          </cell>
          <cell r="F45">
            <v>765.05</v>
          </cell>
          <cell r="H45">
            <v>765.05</v>
          </cell>
          <cell r="I45">
            <v>400</v>
          </cell>
          <cell r="J45">
            <v>-1.35</v>
          </cell>
          <cell r="K45">
            <v>765.05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07/05/21</v>
          </cell>
          <cell r="F46">
            <v>813.2</v>
          </cell>
          <cell r="H46">
            <v>813.2</v>
          </cell>
          <cell r="I46">
            <v>400</v>
          </cell>
          <cell r="J46">
            <v>0.05</v>
          </cell>
          <cell r="K46">
            <v>813.2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07/05/21</v>
          </cell>
          <cell r="F47">
            <v>821.15</v>
          </cell>
          <cell r="H47">
            <v>821.15</v>
          </cell>
          <cell r="I47">
            <v>400</v>
          </cell>
          <cell r="J47">
            <v>-0.1</v>
          </cell>
          <cell r="K47">
            <v>821.15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07/05/21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07/05/21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07/05/21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07/05/21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07/05/21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07/05/21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07/05/21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07/05/21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07/05/21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07/05/21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07/05/21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07/05/21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07/05/21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07/05/21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07/05/21</v>
          </cell>
          <cell r="F62">
            <v>944.3</v>
          </cell>
          <cell r="H62">
            <v>944.3</v>
          </cell>
          <cell r="I62">
            <v>400</v>
          </cell>
          <cell r="J62">
            <v>0.1</v>
          </cell>
          <cell r="K62">
            <v>944.3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07/05/21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07/05/21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07/05/21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07/05/21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07/05/21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07/05/21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07/05/21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07/05/21</v>
          </cell>
          <cell r="F70">
            <v>813.85</v>
          </cell>
          <cell r="H70">
            <v>813.85</v>
          </cell>
          <cell r="I70">
            <v>400</v>
          </cell>
          <cell r="J70">
            <v>0</v>
          </cell>
          <cell r="K70">
            <v>813.85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07/05/21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07/05/21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07/05/21</v>
          </cell>
          <cell r="H73">
            <v>0</v>
          </cell>
          <cell r="I73">
            <v>400</v>
          </cell>
          <cell r="J73">
            <v>-736.85</v>
          </cell>
          <cell r="K73">
            <v>0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07/05/21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07/05/21</v>
          </cell>
          <cell r="F75">
            <v>587.35</v>
          </cell>
          <cell r="H75">
            <v>587.35</v>
          </cell>
          <cell r="I75">
            <v>400</v>
          </cell>
          <cell r="J75">
            <v>0</v>
          </cell>
          <cell r="K75">
            <v>587.35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07/05/21</v>
          </cell>
          <cell r="F76">
            <v>1382.6</v>
          </cell>
          <cell r="H76">
            <v>1382.6</v>
          </cell>
          <cell r="I76">
            <v>400</v>
          </cell>
          <cell r="J76">
            <v>0</v>
          </cell>
          <cell r="K76">
            <v>1382.6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07/05/21</v>
          </cell>
          <cell r="F77">
            <v>889.6</v>
          </cell>
          <cell r="H77">
            <v>889.6</v>
          </cell>
          <cell r="I77">
            <v>400</v>
          </cell>
          <cell r="J77">
            <v>10.050000000000001</v>
          </cell>
          <cell r="K77">
            <v>889.6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07/05/21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07/05/21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07/05/21</v>
          </cell>
          <cell r="F80">
            <v>589.1</v>
          </cell>
          <cell r="H80">
            <v>589.1</v>
          </cell>
          <cell r="I80">
            <v>400</v>
          </cell>
          <cell r="J80">
            <v>0</v>
          </cell>
          <cell r="K80">
            <v>589.1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07/05/21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07/05/21</v>
          </cell>
          <cell r="F82">
            <v>2171.75</v>
          </cell>
          <cell r="H82">
            <v>2171.75</v>
          </cell>
          <cell r="I82">
            <v>0</v>
          </cell>
          <cell r="J82">
            <v>0.3</v>
          </cell>
          <cell r="K82">
            <v>2171.75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07/05/21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07/05/21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07/05/21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07/05/21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07/05/21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07/05/21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07/05/21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07/05/21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07/05/21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07/05/21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07/05/21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07/05/21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07/05/21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07/05/21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07/05/21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44324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08/05/21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08/05/21</v>
          </cell>
          <cell r="H8">
            <v>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08/05/21</v>
          </cell>
          <cell r="F9">
            <v>426</v>
          </cell>
          <cell r="H9">
            <v>426</v>
          </cell>
          <cell r="I9">
            <v>400</v>
          </cell>
          <cell r="J9">
            <v>0</v>
          </cell>
          <cell r="K9">
            <v>426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08/05/21</v>
          </cell>
          <cell r="F10">
            <v>445.4</v>
          </cell>
          <cell r="H10">
            <v>445.4</v>
          </cell>
          <cell r="I10">
            <v>400</v>
          </cell>
          <cell r="J10">
            <v>0.5</v>
          </cell>
          <cell r="K10">
            <v>445.4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08/05/21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08/05/21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08/05/21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08/05/21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08/05/21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08/05/21</v>
          </cell>
          <cell r="F16">
            <v>845.25</v>
          </cell>
          <cell r="H16">
            <v>845.25</v>
          </cell>
          <cell r="I16">
            <v>400</v>
          </cell>
          <cell r="J16">
            <v>-14.5</v>
          </cell>
          <cell r="K16">
            <v>845.25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08/05/21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08/05/21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08/05/21</v>
          </cell>
          <cell r="H19">
            <v>0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08/05/21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08/05/21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08/05/21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08/05/21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08/05/21</v>
          </cell>
          <cell r="F24">
            <v>562.65</v>
          </cell>
          <cell r="H24">
            <v>562.65</v>
          </cell>
          <cell r="I24">
            <v>400</v>
          </cell>
          <cell r="J24">
            <v>0</v>
          </cell>
          <cell r="K24">
            <v>562.65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08/05/21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08/05/21</v>
          </cell>
          <cell r="F26">
            <v>724.1</v>
          </cell>
          <cell r="H26">
            <v>724.1</v>
          </cell>
          <cell r="I26">
            <v>400</v>
          </cell>
          <cell r="J26">
            <v>0</v>
          </cell>
          <cell r="K26">
            <v>724.1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08/05/21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08/05/21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08/05/21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08/05/21</v>
          </cell>
          <cell r="H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08/05/21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08/05/21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08/05/21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08/05/21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08/05/21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08/05/21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08/05/21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08/05/21</v>
          </cell>
          <cell r="F38">
            <v>1405.1</v>
          </cell>
          <cell r="H38">
            <v>1405.1</v>
          </cell>
          <cell r="I38">
            <v>400</v>
          </cell>
          <cell r="J38">
            <v>3.5</v>
          </cell>
          <cell r="K38">
            <v>1405.1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08/05/21</v>
          </cell>
          <cell r="F39">
            <v>1130.2</v>
          </cell>
          <cell r="H39">
            <v>1130.2</v>
          </cell>
          <cell r="I39">
            <v>400</v>
          </cell>
          <cell r="J39">
            <v>0.55000000000000004</v>
          </cell>
          <cell r="K39">
            <v>1130.2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08/05/21</v>
          </cell>
          <cell r="F40">
            <v>559.4</v>
          </cell>
          <cell r="H40">
            <v>559.4</v>
          </cell>
          <cell r="I40">
            <v>400</v>
          </cell>
          <cell r="J40">
            <v>0</v>
          </cell>
          <cell r="K40">
            <v>559.4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08/05/21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08/05/21</v>
          </cell>
          <cell r="H42">
            <v>0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08/05/21</v>
          </cell>
          <cell r="F43">
            <v>1496</v>
          </cell>
          <cell r="H43">
            <v>1496</v>
          </cell>
          <cell r="I43">
            <v>400</v>
          </cell>
          <cell r="J43">
            <v>6.5</v>
          </cell>
          <cell r="K43">
            <v>1496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08/05/21</v>
          </cell>
          <cell r="F44">
            <v>1412.65</v>
          </cell>
          <cell r="H44">
            <v>1412.65</v>
          </cell>
          <cell r="I44">
            <v>400</v>
          </cell>
          <cell r="J44">
            <v>0.4</v>
          </cell>
          <cell r="K44">
            <v>1412.65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08/05/21</v>
          </cell>
          <cell r="F45">
            <v>587.79999999999995</v>
          </cell>
          <cell r="H45">
            <v>587.79999999999995</v>
          </cell>
          <cell r="I45">
            <v>400</v>
          </cell>
          <cell r="J45">
            <v>0</v>
          </cell>
          <cell r="K45">
            <v>587.79999999999995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08/05/21</v>
          </cell>
          <cell r="F46">
            <v>602.15</v>
          </cell>
          <cell r="H46">
            <v>602.15</v>
          </cell>
          <cell r="I46">
            <v>400</v>
          </cell>
          <cell r="J46">
            <v>-0.1</v>
          </cell>
          <cell r="K46">
            <v>602.15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08/05/21</v>
          </cell>
          <cell r="F47">
            <v>734.2</v>
          </cell>
          <cell r="H47">
            <v>734.2</v>
          </cell>
          <cell r="I47">
            <v>400</v>
          </cell>
          <cell r="J47">
            <v>0.1</v>
          </cell>
          <cell r="K47">
            <v>734.2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08/05/21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08/05/21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08/05/21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08/05/21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08/05/21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08/05/21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08/05/21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08/05/21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08/05/21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08/05/21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08/05/21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08/05/21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08/05/21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08/05/21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08/05/21</v>
          </cell>
          <cell r="F62">
            <v>737.95</v>
          </cell>
          <cell r="H62">
            <v>737.95</v>
          </cell>
          <cell r="I62">
            <v>400</v>
          </cell>
          <cell r="J62">
            <v>0</v>
          </cell>
          <cell r="K62">
            <v>737.95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08/05/21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08/05/21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08/05/21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08/05/21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08/05/21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08/05/21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08/05/21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08/05/21</v>
          </cell>
          <cell r="F70">
            <v>448.95</v>
          </cell>
          <cell r="H70">
            <v>448.95</v>
          </cell>
          <cell r="I70">
            <v>400</v>
          </cell>
          <cell r="J70">
            <v>0</v>
          </cell>
          <cell r="K70">
            <v>448.95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08/05/21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08/05/21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08/05/21</v>
          </cell>
          <cell r="F73">
            <v>436.4</v>
          </cell>
          <cell r="H73">
            <v>436.4</v>
          </cell>
          <cell r="I73">
            <v>400</v>
          </cell>
          <cell r="J73">
            <v>2</v>
          </cell>
          <cell r="K73">
            <v>436.4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08/05/21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08/05/21</v>
          </cell>
          <cell r="F75">
            <v>580.15</v>
          </cell>
          <cell r="H75">
            <v>580.15</v>
          </cell>
          <cell r="I75">
            <v>400</v>
          </cell>
          <cell r="J75">
            <v>0.15</v>
          </cell>
          <cell r="K75">
            <v>580.15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08/05/21</v>
          </cell>
          <cell r="F76">
            <v>1041.2</v>
          </cell>
          <cell r="H76">
            <v>1041.2</v>
          </cell>
          <cell r="I76">
            <v>400</v>
          </cell>
          <cell r="J76">
            <v>-3.4</v>
          </cell>
          <cell r="K76">
            <v>1041.2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08/05/21</v>
          </cell>
          <cell r="F77">
            <v>641.70000000000005</v>
          </cell>
          <cell r="H77">
            <v>641.70000000000005</v>
          </cell>
          <cell r="I77">
            <v>400</v>
          </cell>
          <cell r="J77">
            <v>0</v>
          </cell>
          <cell r="K77">
            <v>641.70000000000005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08/05/21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08/05/21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08/05/21</v>
          </cell>
          <cell r="F80">
            <v>427.7</v>
          </cell>
          <cell r="H80">
            <v>427.7</v>
          </cell>
          <cell r="I80">
            <v>400</v>
          </cell>
          <cell r="J80">
            <v>0.05</v>
          </cell>
          <cell r="K80">
            <v>427.7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08/05/21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08/05/21</v>
          </cell>
          <cell r="F82">
            <v>2045.1</v>
          </cell>
          <cell r="H82">
            <v>2045.1</v>
          </cell>
          <cell r="I82">
            <v>400</v>
          </cell>
          <cell r="J82">
            <v>0.2</v>
          </cell>
          <cell r="K82">
            <v>2045.1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08/05/21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08/05/21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08/05/21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08/05/21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08/05/21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08/05/21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08/05/21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08/05/21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08/05/21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08/05/21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08/05/21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08/05/21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08/05/21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08/05/21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08/05/21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44325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09/05/21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09/05/21</v>
          </cell>
          <cell r="H8">
            <v>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09/05/21</v>
          </cell>
          <cell r="F9">
            <v>641.85</v>
          </cell>
          <cell r="H9">
            <v>641.85</v>
          </cell>
          <cell r="I9">
            <v>400</v>
          </cell>
          <cell r="J9">
            <v>-0.05</v>
          </cell>
          <cell r="K9">
            <v>641.85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09/05/21</v>
          </cell>
          <cell r="F10">
            <v>564.35</v>
          </cell>
          <cell r="H10">
            <v>564.35</v>
          </cell>
          <cell r="I10">
            <v>400</v>
          </cell>
          <cell r="J10">
            <v>0</v>
          </cell>
          <cell r="K10">
            <v>564.35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09/05/21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09/05/21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09/05/21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09/05/21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09/05/21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09/05/21</v>
          </cell>
          <cell r="F16">
            <v>1203.5999999999999</v>
          </cell>
          <cell r="H16">
            <v>1203.5999999999999</v>
          </cell>
          <cell r="I16">
            <v>400</v>
          </cell>
          <cell r="J16">
            <v>417.35</v>
          </cell>
          <cell r="K16">
            <v>1203.5999999999999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09/05/21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09/05/21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09/05/21</v>
          </cell>
          <cell r="H19">
            <v>0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09/05/21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09/05/21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09/05/21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09/05/21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09/05/21</v>
          </cell>
          <cell r="F24">
            <v>679.3</v>
          </cell>
          <cell r="H24">
            <v>679.3</v>
          </cell>
          <cell r="I24">
            <v>400</v>
          </cell>
          <cell r="J24">
            <v>0.15</v>
          </cell>
          <cell r="K24">
            <v>679.3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09/05/21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09/05/21</v>
          </cell>
          <cell r="F26">
            <v>762.35</v>
          </cell>
          <cell r="H26">
            <v>762.35</v>
          </cell>
          <cell r="I26">
            <v>400</v>
          </cell>
          <cell r="J26">
            <v>10</v>
          </cell>
          <cell r="K26">
            <v>762.35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09/05/21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09/05/21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09/05/21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09/05/21</v>
          </cell>
          <cell r="H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09/05/21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09/05/21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09/05/21</v>
          </cell>
          <cell r="H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09/05/21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09/05/21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09/05/21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09/05/21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09/05/21</v>
          </cell>
          <cell r="F38">
            <v>1211.9000000000001</v>
          </cell>
          <cell r="H38">
            <v>1211.9000000000001</v>
          </cell>
          <cell r="I38">
            <v>400</v>
          </cell>
          <cell r="J38">
            <v>20.6</v>
          </cell>
          <cell r="K38">
            <v>1211.9000000000001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09/05/21</v>
          </cell>
          <cell r="F39">
            <v>1302.5999999999999</v>
          </cell>
          <cell r="H39">
            <v>1302.5999999999999</v>
          </cell>
          <cell r="I39">
            <v>400</v>
          </cell>
          <cell r="J39">
            <v>2.4500000000000002</v>
          </cell>
          <cell r="K39">
            <v>1302.5999999999999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09/05/21</v>
          </cell>
          <cell r="F40">
            <v>653.25</v>
          </cell>
          <cell r="H40">
            <v>653.25</v>
          </cell>
          <cell r="I40">
            <v>400</v>
          </cell>
          <cell r="J40">
            <v>0.5</v>
          </cell>
          <cell r="K40">
            <v>653.25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09/05/21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09/05/21</v>
          </cell>
          <cell r="H42">
            <v>0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09/05/21</v>
          </cell>
          <cell r="F43">
            <v>1083.0999999999999</v>
          </cell>
          <cell r="H43">
            <v>1083.0999999999999</v>
          </cell>
          <cell r="I43">
            <v>400</v>
          </cell>
          <cell r="J43">
            <v>-11.1</v>
          </cell>
          <cell r="K43">
            <v>1083.0999999999999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09/05/21</v>
          </cell>
          <cell r="F44">
            <v>1985.05</v>
          </cell>
          <cell r="H44">
            <v>1985.05</v>
          </cell>
          <cell r="I44">
            <v>400</v>
          </cell>
          <cell r="J44">
            <v>1.05</v>
          </cell>
          <cell r="K44">
            <v>1985.05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09/05/21</v>
          </cell>
          <cell r="F45">
            <v>647.6</v>
          </cell>
          <cell r="H45">
            <v>647.6</v>
          </cell>
          <cell r="I45">
            <v>400</v>
          </cell>
          <cell r="J45">
            <v>0</v>
          </cell>
          <cell r="K45">
            <v>647.6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09/05/21</v>
          </cell>
          <cell r="F46">
            <v>803.7</v>
          </cell>
          <cell r="H46">
            <v>803.7</v>
          </cell>
          <cell r="I46">
            <v>400</v>
          </cell>
          <cell r="J46">
            <v>0.55000000000000004</v>
          </cell>
          <cell r="K46">
            <v>803.7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09/05/21</v>
          </cell>
          <cell r="F47">
            <v>1013.6</v>
          </cell>
          <cell r="H47">
            <v>1013.6</v>
          </cell>
          <cell r="I47">
            <v>400</v>
          </cell>
          <cell r="J47">
            <v>0</v>
          </cell>
          <cell r="K47">
            <v>1013.6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09/05/21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09/05/21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09/05/21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09/05/21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09/05/21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09/05/21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09/05/21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09/05/21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09/05/21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09/05/21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09/05/21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09/05/21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09/05/21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09/05/21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09/05/21</v>
          </cell>
          <cell r="F62">
            <v>1176.5999999999999</v>
          </cell>
          <cell r="H62">
            <v>1176.5999999999999</v>
          </cell>
          <cell r="I62">
            <v>400</v>
          </cell>
          <cell r="J62">
            <v>0</v>
          </cell>
          <cell r="K62">
            <v>1176.5999999999999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09/05/21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09/05/21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09/05/21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09/05/21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09/05/21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09/05/21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09/05/21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09/05/21</v>
          </cell>
          <cell r="H70">
            <v>0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09/05/21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09/05/21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09/05/21</v>
          </cell>
          <cell r="F73">
            <v>964.65</v>
          </cell>
          <cell r="H73">
            <v>964.65</v>
          </cell>
          <cell r="I73">
            <v>400</v>
          </cell>
          <cell r="J73">
            <v>0</v>
          </cell>
          <cell r="K73">
            <v>964.65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09/05/21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09/05/21</v>
          </cell>
          <cell r="F75">
            <v>633.75</v>
          </cell>
          <cell r="H75">
            <v>633.75</v>
          </cell>
          <cell r="I75">
            <v>400</v>
          </cell>
          <cell r="J75">
            <v>0.05</v>
          </cell>
          <cell r="K75">
            <v>633.75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09/05/21</v>
          </cell>
          <cell r="F76">
            <v>1526.5</v>
          </cell>
          <cell r="H76">
            <v>1526.5</v>
          </cell>
          <cell r="I76">
            <v>400</v>
          </cell>
          <cell r="J76">
            <v>-1.8</v>
          </cell>
          <cell r="K76">
            <v>1526.5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09/05/21</v>
          </cell>
          <cell r="F77">
            <v>918.25</v>
          </cell>
          <cell r="H77">
            <v>918.25</v>
          </cell>
          <cell r="I77">
            <v>400</v>
          </cell>
          <cell r="J77">
            <v>0.2</v>
          </cell>
          <cell r="K77">
            <v>918.25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09/05/21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09/05/21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09/05/21</v>
          </cell>
          <cell r="F80">
            <v>617.35</v>
          </cell>
          <cell r="H80">
            <v>617.35</v>
          </cell>
          <cell r="I80">
            <v>400</v>
          </cell>
          <cell r="J80">
            <v>-0.1</v>
          </cell>
          <cell r="K80">
            <v>617.35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09/05/21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09/05/21</v>
          </cell>
          <cell r="F82">
            <v>2261.75</v>
          </cell>
          <cell r="H82">
            <v>2261.75</v>
          </cell>
          <cell r="I82">
            <v>0</v>
          </cell>
          <cell r="J82">
            <v>-1.1000000000000001</v>
          </cell>
          <cell r="K82">
            <v>2261.75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09/05/21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09/05/21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09/05/21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09/05/21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09/05/21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09/05/21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09/05/21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09/05/21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09/05/21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09/05/21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09/05/21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09/05/21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09/05/21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09/05/21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09/05/21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44326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10/05/21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10/05/21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10/05/21</v>
          </cell>
          <cell r="F9">
            <v>543.45000000000005</v>
          </cell>
          <cell r="H9">
            <v>543.45000000000005</v>
          </cell>
          <cell r="I9">
            <v>400</v>
          </cell>
          <cell r="J9">
            <v>0</v>
          </cell>
          <cell r="K9">
            <v>543.45000000000005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10/05/21</v>
          </cell>
          <cell r="F10">
            <v>542.65</v>
          </cell>
          <cell r="H10">
            <v>542.65</v>
          </cell>
          <cell r="I10">
            <v>400</v>
          </cell>
          <cell r="J10">
            <v>0.2</v>
          </cell>
          <cell r="K10">
            <v>542.65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10/05/21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10/05/21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10/05/21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10/05/21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10/05/21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10/05/21</v>
          </cell>
          <cell r="F16">
            <v>948.75</v>
          </cell>
          <cell r="H16">
            <v>948.75</v>
          </cell>
          <cell r="I16">
            <v>400</v>
          </cell>
          <cell r="J16">
            <v>-39.950000000000003</v>
          </cell>
          <cell r="K16">
            <v>948.75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10/05/21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10/05/21</v>
          </cell>
          <cell r="F18">
            <v>400</v>
          </cell>
          <cell r="H18">
            <v>400</v>
          </cell>
          <cell r="I18">
            <v>400</v>
          </cell>
          <cell r="J18">
            <v>0</v>
          </cell>
          <cell r="K18">
            <v>400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10/05/21</v>
          </cell>
          <cell r="F19">
            <v>450.75</v>
          </cell>
          <cell r="H19">
            <v>450.75</v>
          </cell>
          <cell r="I19">
            <v>400</v>
          </cell>
          <cell r="J19">
            <v>0.8</v>
          </cell>
          <cell r="K19">
            <v>450.75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10/05/21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10/05/21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10/05/21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10/05/21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10/05/21</v>
          </cell>
          <cell r="F24">
            <v>938.35</v>
          </cell>
          <cell r="H24">
            <v>938.35</v>
          </cell>
          <cell r="I24">
            <v>400</v>
          </cell>
          <cell r="J24">
            <v>0</v>
          </cell>
          <cell r="K24">
            <v>938.35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10/05/21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10/05/21</v>
          </cell>
          <cell r="F26">
            <v>867.35</v>
          </cell>
          <cell r="H26">
            <v>867.35</v>
          </cell>
          <cell r="I26">
            <v>400</v>
          </cell>
          <cell r="J26">
            <v>0</v>
          </cell>
          <cell r="K26">
            <v>867.35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10/05/21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10/05/21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10/05/21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10/05/21</v>
          </cell>
          <cell r="H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10/05/21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10/05/21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10/05/21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10/05/21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10/05/21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10/05/21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10/05/21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10/05/21</v>
          </cell>
          <cell r="F38">
            <v>1136.5999999999999</v>
          </cell>
          <cell r="H38">
            <v>1136.5999999999999</v>
          </cell>
          <cell r="I38">
            <v>400</v>
          </cell>
          <cell r="J38">
            <v>0.1</v>
          </cell>
          <cell r="K38">
            <v>1136.5999999999999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10/05/21</v>
          </cell>
          <cell r="F39">
            <v>1474.2</v>
          </cell>
          <cell r="H39">
            <v>1474.2</v>
          </cell>
          <cell r="I39">
            <v>400</v>
          </cell>
          <cell r="J39">
            <v>-1.75</v>
          </cell>
          <cell r="K39">
            <v>1474.2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10/05/21</v>
          </cell>
          <cell r="F40">
            <v>716.65</v>
          </cell>
          <cell r="H40">
            <v>716.65</v>
          </cell>
          <cell r="I40">
            <v>400</v>
          </cell>
          <cell r="J40">
            <v>0</v>
          </cell>
          <cell r="K40">
            <v>716.65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10/05/21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10/05/21</v>
          </cell>
          <cell r="F42">
            <v>645.5</v>
          </cell>
          <cell r="H42">
            <v>645.5</v>
          </cell>
          <cell r="I42">
            <v>400</v>
          </cell>
          <cell r="J42">
            <v>0.1</v>
          </cell>
          <cell r="K42">
            <v>645.5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10/05/21</v>
          </cell>
          <cell r="F43">
            <v>1192.05</v>
          </cell>
          <cell r="H43">
            <v>1192.05</v>
          </cell>
          <cell r="I43">
            <v>400</v>
          </cell>
          <cell r="J43">
            <v>0.1</v>
          </cell>
          <cell r="K43">
            <v>1192.05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10/05/21</v>
          </cell>
          <cell r="F44">
            <v>1838.5</v>
          </cell>
          <cell r="H44">
            <v>1838.5</v>
          </cell>
          <cell r="I44">
            <v>400</v>
          </cell>
          <cell r="J44">
            <v>400</v>
          </cell>
          <cell r="K44">
            <v>1838.5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10/05/21</v>
          </cell>
          <cell r="F45">
            <v>776.35</v>
          </cell>
          <cell r="H45">
            <v>776.35</v>
          </cell>
          <cell r="I45">
            <v>400</v>
          </cell>
          <cell r="J45">
            <v>0</v>
          </cell>
          <cell r="K45">
            <v>776.35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10/05/21</v>
          </cell>
          <cell r="F46">
            <v>704.2</v>
          </cell>
          <cell r="H46">
            <v>704.2</v>
          </cell>
          <cell r="I46">
            <v>400</v>
          </cell>
          <cell r="J46">
            <v>0</v>
          </cell>
          <cell r="K46">
            <v>704.2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10/05/21</v>
          </cell>
          <cell r="F47">
            <v>779.3</v>
          </cell>
          <cell r="H47">
            <v>779.3</v>
          </cell>
          <cell r="I47">
            <v>400</v>
          </cell>
          <cell r="J47">
            <v>0.1</v>
          </cell>
          <cell r="K47">
            <v>779.3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10/05/21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10/05/21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10/05/21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10/05/21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10/05/21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10/05/21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10/05/21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10/05/21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10/05/21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10/05/21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10/05/21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10/05/21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10/05/21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10/05/21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10/05/21</v>
          </cell>
          <cell r="F62">
            <v>886.6</v>
          </cell>
          <cell r="H62">
            <v>886.6</v>
          </cell>
          <cell r="I62">
            <v>400</v>
          </cell>
          <cell r="J62">
            <v>0.25</v>
          </cell>
          <cell r="K62">
            <v>886.6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10/05/21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10/05/21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10/05/21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10/05/21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10/05/21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10/05/21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10/05/21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10/05/21</v>
          </cell>
          <cell r="F70">
            <v>917.85</v>
          </cell>
          <cell r="H70">
            <v>917.85</v>
          </cell>
          <cell r="I70">
            <v>800</v>
          </cell>
          <cell r="J70">
            <v>0</v>
          </cell>
          <cell r="K70">
            <v>917.85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10/05/21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10/05/21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10/05/21</v>
          </cell>
          <cell r="F73">
            <v>791.55</v>
          </cell>
          <cell r="H73">
            <v>791.55</v>
          </cell>
          <cell r="I73">
            <v>400</v>
          </cell>
          <cell r="J73">
            <v>0</v>
          </cell>
          <cell r="K73">
            <v>791.55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10/05/21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10/05/21</v>
          </cell>
          <cell r="F75">
            <v>499.85</v>
          </cell>
          <cell r="H75">
            <v>499.85</v>
          </cell>
          <cell r="I75">
            <v>400</v>
          </cell>
          <cell r="J75">
            <v>0</v>
          </cell>
          <cell r="K75">
            <v>499.85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10/05/21</v>
          </cell>
          <cell r="F76">
            <v>1335.65</v>
          </cell>
          <cell r="H76">
            <v>1335.65</v>
          </cell>
          <cell r="I76">
            <v>800</v>
          </cell>
          <cell r="J76">
            <v>0.05</v>
          </cell>
          <cell r="K76">
            <v>1335.65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10/05/21</v>
          </cell>
          <cell r="F77">
            <v>683.65</v>
          </cell>
          <cell r="H77">
            <v>683.65</v>
          </cell>
          <cell r="I77">
            <v>400</v>
          </cell>
          <cell r="J77">
            <v>-49.95</v>
          </cell>
          <cell r="K77">
            <v>683.65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10/05/21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10/05/21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10/05/21</v>
          </cell>
          <cell r="F80">
            <v>661.75</v>
          </cell>
          <cell r="H80">
            <v>661.75</v>
          </cell>
          <cell r="I80">
            <v>400</v>
          </cell>
          <cell r="J80">
            <v>0</v>
          </cell>
          <cell r="K80">
            <v>661.75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10/05/21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10/05/21</v>
          </cell>
          <cell r="F82">
            <v>2295.85</v>
          </cell>
          <cell r="H82">
            <v>2295.85</v>
          </cell>
          <cell r="I82">
            <v>0</v>
          </cell>
          <cell r="J82">
            <v>-0.25</v>
          </cell>
          <cell r="K82">
            <v>2295.85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10/05/21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10/05/21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10/05/21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10/05/21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10/05/21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10/05/21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10/05/21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10/05/21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10/05/21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10/05/21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10/05/21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10/05/21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10/05/21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10/05/21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10/05/21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44327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11/05/21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11/05/21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11/05/21</v>
          </cell>
          <cell r="F9">
            <v>400</v>
          </cell>
          <cell r="H9">
            <v>400</v>
          </cell>
          <cell r="I9">
            <v>400</v>
          </cell>
          <cell r="J9">
            <v>0</v>
          </cell>
          <cell r="K9">
            <v>400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11/05/21</v>
          </cell>
          <cell r="F10">
            <v>400</v>
          </cell>
          <cell r="H10">
            <v>400</v>
          </cell>
          <cell r="I10">
            <v>400</v>
          </cell>
          <cell r="J10">
            <v>0</v>
          </cell>
          <cell r="K10">
            <v>400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11/05/21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11/05/21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11/05/21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11/05/21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11/05/21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11/05/21</v>
          </cell>
          <cell r="F16">
            <v>852.1</v>
          </cell>
          <cell r="H16">
            <v>852.1</v>
          </cell>
          <cell r="I16">
            <v>400</v>
          </cell>
          <cell r="J16">
            <v>0</v>
          </cell>
          <cell r="K16">
            <v>852.1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11/05/21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11/05/21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11/05/21</v>
          </cell>
          <cell r="F19">
            <v>591.4</v>
          </cell>
          <cell r="H19">
            <v>591.4</v>
          </cell>
          <cell r="I19">
            <v>400</v>
          </cell>
          <cell r="J19">
            <v>1.8</v>
          </cell>
          <cell r="K19">
            <v>591.4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11/05/21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11/05/21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11/05/21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11/05/21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11/05/21</v>
          </cell>
          <cell r="F24">
            <v>611.5</v>
          </cell>
          <cell r="H24">
            <v>611.5</v>
          </cell>
          <cell r="I24">
            <v>400</v>
          </cell>
          <cell r="J24">
            <v>0</v>
          </cell>
          <cell r="K24">
            <v>611.5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11/05/21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11/05/21</v>
          </cell>
          <cell r="F26">
            <v>577.4</v>
          </cell>
          <cell r="H26">
            <v>577.4</v>
          </cell>
          <cell r="I26">
            <v>400</v>
          </cell>
          <cell r="J26">
            <v>0.1</v>
          </cell>
          <cell r="K26">
            <v>577.4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11/05/21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11/05/21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11/05/21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11/05/21</v>
          </cell>
          <cell r="F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11/05/21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11/05/21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11/05/21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11/05/21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11/05/21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11/05/21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11/05/21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11/05/21</v>
          </cell>
          <cell r="F38">
            <v>1393.35</v>
          </cell>
          <cell r="H38">
            <v>1393.35</v>
          </cell>
          <cell r="I38">
            <v>400</v>
          </cell>
          <cell r="J38">
            <v>0.2</v>
          </cell>
          <cell r="K38">
            <v>1393.35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11/05/21</v>
          </cell>
          <cell r="F39">
            <v>1504.95</v>
          </cell>
          <cell r="H39">
            <v>1504.95</v>
          </cell>
          <cell r="I39">
            <v>400</v>
          </cell>
          <cell r="J39">
            <v>0.1</v>
          </cell>
          <cell r="K39">
            <v>1504.95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11/05/21</v>
          </cell>
          <cell r="F40">
            <v>806.05</v>
          </cell>
          <cell r="H40">
            <v>806.05</v>
          </cell>
          <cell r="I40">
            <v>400</v>
          </cell>
          <cell r="J40">
            <v>0</v>
          </cell>
          <cell r="K40">
            <v>806.05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11/05/21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11/05/21</v>
          </cell>
          <cell r="F42">
            <v>670.15</v>
          </cell>
          <cell r="H42">
            <v>670.15</v>
          </cell>
          <cell r="I42">
            <v>400</v>
          </cell>
          <cell r="J42">
            <v>0</v>
          </cell>
          <cell r="K42">
            <v>670.15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11/05/21</v>
          </cell>
          <cell r="F43">
            <v>1120.5</v>
          </cell>
          <cell r="H43">
            <v>1120.5</v>
          </cell>
          <cell r="I43">
            <v>400</v>
          </cell>
          <cell r="J43">
            <v>0</v>
          </cell>
          <cell r="K43">
            <v>1120.5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11/05/21</v>
          </cell>
          <cell r="F44">
            <v>1633.9</v>
          </cell>
          <cell r="H44">
            <v>1633.9</v>
          </cell>
          <cell r="I44">
            <v>400</v>
          </cell>
          <cell r="J44">
            <v>0.6</v>
          </cell>
          <cell r="K44">
            <v>1633.9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11/05/21</v>
          </cell>
          <cell r="F45">
            <v>737.8</v>
          </cell>
          <cell r="H45">
            <v>737.8</v>
          </cell>
          <cell r="I45">
            <v>400</v>
          </cell>
          <cell r="J45">
            <v>0</v>
          </cell>
          <cell r="K45">
            <v>737.8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11/05/21</v>
          </cell>
          <cell r="F46">
            <v>683.2</v>
          </cell>
          <cell r="H46">
            <v>683.2</v>
          </cell>
          <cell r="I46">
            <v>400</v>
          </cell>
          <cell r="J46">
            <v>0</v>
          </cell>
          <cell r="K46">
            <v>683.2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11/05/21</v>
          </cell>
          <cell r="F47">
            <v>612.65</v>
          </cell>
          <cell r="H47">
            <v>612.65</v>
          </cell>
          <cell r="I47">
            <v>400</v>
          </cell>
          <cell r="J47">
            <v>0</v>
          </cell>
          <cell r="K47">
            <v>612.65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11/05/21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11/05/21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11/05/21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11/05/21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11/05/21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11/05/21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11/05/21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11/05/21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11/05/21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11/05/21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11/05/21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11/05/21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11/05/21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11/05/21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11/05/21</v>
          </cell>
          <cell r="F62">
            <v>1142.45</v>
          </cell>
          <cell r="H62">
            <v>1142.45</v>
          </cell>
          <cell r="I62">
            <v>400</v>
          </cell>
          <cell r="J62">
            <v>0.7</v>
          </cell>
          <cell r="K62">
            <v>1142.45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11/05/21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11/05/21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11/05/21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11/05/21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11/05/21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11/05/21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11/05/21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11/05/21</v>
          </cell>
          <cell r="H70">
            <v>0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11/05/21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11/05/21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11/05/21</v>
          </cell>
          <cell r="F73">
            <v>789.9</v>
          </cell>
          <cell r="H73">
            <v>789.9</v>
          </cell>
          <cell r="I73">
            <v>400</v>
          </cell>
          <cell r="J73">
            <v>0</v>
          </cell>
          <cell r="K73">
            <v>789.9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11/05/21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11/05/21</v>
          </cell>
          <cell r="F75">
            <v>487.35</v>
          </cell>
          <cell r="H75">
            <v>487.35</v>
          </cell>
          <cell r="I75">
            <v>400</v>
          </cell>
          <cell r="J75">
            <v>1.5</v>
          </cell>
          <cell r="K75">
            <v>487.35</v>
          </cell>
          <cell r="L75">
            <v>0</v>
          </cell>
          <cell r="M75">
            <v>0</v>
          </cell>
          <cell r="N75" t="str">
            <v>Yes</v>
          </cell>
          <cell r="O75">
            <v>1161.75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11/05/21</v>
          </cell>
          <cell r="F76">
            <v>1157.75</v>
          </cell>
          <cell r="H76">
            <v>1157.75</v>
          </cell>
          <cell r="I76">
            <v>400</v>
          </cell>
          <cell r="J76">
            <v>0</v>
          </cell>
          <cell r="K76">
            <v>1157.75</v>
          </cell>
          <cell r="L76">
            <v>0</v>
          </cell>
          <cell r="M76">
            <v>0</v>
          </cell>
          <cell r="N76" t="str">
            <v>Yes</v>
          </cell>
          <cell r="O76">
            <v>6086.85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11/05/21</v>
          </cell>
          <cell r="F77">
            <v>942.25</v>
          </cell>
          <cell r="H77">
            <v>942.25</v>
          </cell>
          <cell r="I77">
            <v>400</v>
          </cell>
          <cell r="J77">
            <v>0</v>
          </cell>
          <cell r="K77">
            <v>942.25</v>
          </cell>
          <cell r="L77">
            <v>0</v>
          </cell>
          <cell r="M77">
            <v>0</v>
          </cell>
          <cell r="N77" t="str">
            <v>Yes</v>
          </cell>
          <cell r="O77">
            <v>2083.6999999999998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11/05/21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11/05/21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11/05/21</v>
          </cell>
          <cell r="F80">
            <v>571.04999999999995</v>
          </cell>
          <cell r="H80">
            <v>571.04999999999995</v>
          </cell>
          <cell r="I80">
            <v>400</v>
          </cell>
          <cell r="J80">
            <v>0</v>
          </cell>
          <cell r="K80">
            <v>571.04999999999995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11/05/21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11/05/21</v>
          </cell>
          <cell r="F82">
            <v>1860.35</v>
          </cell>
          <cell r="H82">
            <v>1860.35</v>
          </cell>
          <cell r="I82">
            <v>0</v>
          </cell>
          <cell r="J82">
            <v>1.7</v>
          </cell>
          <cell r="K82">
            <v>1860.35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11/05/21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11/05/21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11/05/21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11/05/21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11/05/21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11/05/21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11/05/21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11/05/21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11/05/21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11/05/21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11/05/21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11/05/21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11/05/21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11/05/21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11/05/21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44328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12/05/21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12/05/21</v>
          </cell>
          <cell r="F8">
            <v>400</v>
          </cell>
          <cell r="H8">
            <v>400</v>
          </cell>
          <cell r="I8">
            <v>400</v>
          </cell>
          <cell r="J8">
            <v>0</v>
          </cell>
          <cell r="K8">
            <v>400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12/05/21</v>
          </cell>
          <cell r="F9">
            <v>457</v>
          </cell>
          <cell r="H9">
            <v>457</v>
          </cell>
          <cell r="I9">
            <v>400</v>
          </cell>
          <cell r="J9">
            <v>0</v>
          </cell>
          <cell r="K9">
            <v>457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12/05/21</v>
          </cell>
          <cell r="F10">
            <v>675.5</v>
          </cell>
          <cell r="H10">
            <v>675.5</v>
          </cell>
          <cell r="I10">
            <v>400</v>
          </cell>
          <cell r="J10">
            <v>0</v>
          </cell>
          <cell r="K10">
            <v>675.5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12/05/21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12/05/21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12/05/21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12/05/21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12/05/21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12/05/21</v>
          </cell>
          <cell r="F16">
            <v>750.95</v>
          </cell>
          <cell r="H16">
            <v>750.95</v>
          </cell>
          <cell r="I16">
            <v>400</v>
          </cell>
          <cell r="J16">
            <v>0</v>
          </cell>
          <cell r="K16">
            <v>750.95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12/05/21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12/05/21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12/05/21</v>
          </cell>
          <cell r="F19">
            <v>519.04999999999995</v>
          </cell>
          <cell r="H19">
            <v>519.04999999999995</v>
          </cell>
          <cell r="I19">
            <v>400</v>
          </cell>
          <cell r="J19">
            <v>0</v>
          </cell>
          <cell r="K19">
            <v>519.04999999999995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12/05/21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12/05/21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12/05/21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12/05/21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12/05/21</v>
          </cell>
          <cell r="F24">
            <v>740.05</v>
          </cell>
          <cell r="H24">
            <v>740.05</v>
          </cell>
          <cell r="I24">
            <v>400</v>
          </cell>
          <cell r="J24">
            <v>0</v>
          </cell>
          <cell r="K24">
            <v>740.05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12/05/21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12/05/21</v>
          </cell>
          <cell r="F26">
            <v>723.5</v>
          </cell>
          <cell r="H26">
            <v>723.5</v>
          </cell>
          <cell r="I26">
            <v>400</v>
          </cell>
          <cell r="J26">
            <v>0</v>
          </cell>
          <cell r="K26">
            <v>723.5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12/05/21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12/05/21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12/05/21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12/05/21</v>
          </cell>
          <cell r="F30">
            <v>430</v>
          </cell>
          <cell r="H30">
            <v>430</v>
          </cell>
          <cell r="I30">
            <v>400</v>
          </cell>
          <cell r="J30">
            <v>0</v>
          </cell>
          <cell r="K30">
            <v>430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12/05/21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12/05/21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12/05/21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12/05/21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12/05/21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12/05/21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12/05/21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12/05/21</v>
          </cell>
          <cell r="F38">
            <v>1159.6500000000001</v>
          </cell>
          <cell r="H38">
            <v>1159.6500000000001</v>
          </cell>
          <cell r="I38">
            <v>400</v>
          </cell>
          <cell r="J38">
            <v>0</v>
          </cell>
          <cell r="K38">
            <v>1159.6500000000001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12/05/21</v>
          </cell>
          <cell r="F39">
            <v>1234.3499999999999</v>
          </cell>
          <cell r="H39">
            <v>1234.3499999999999</v>
          </cell>
          <cell r="I39">
            <v>400</v>
          </cell>
          <cell r="J39">
            <v>3.15</v>
          </cell>
          <cell r="K39">
            <v>1234.3499999999999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12/05/21</v>
          </cell>
          <cell r="F40">
            <v>678.4</v>
          </cell>
          <cell r="H40">
            <v>678.4</v>
          </cell>
          <cell r="I40">
            <v>400</v>
          </cell>
          <cell r="J40">
            <v>0.4</v>
          </cell>
          <cell r="K40">
            <v>678.4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12/05/21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12/05/21</v>
          </cell>
          <cell r="F42">
            <v>628.6</v>
          </cell>
          <cell r="H42">
            <v>628.6</v>
          </cell>
          <cell r="I42">
            <v>400</v>
          </cell>
          <cell r="J42">
            <v>0</v>
          </cell>
          <cell r="K42">
            <v>628.6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12/05/21</v>
          </cell>
          <cell r="F43">
            <v>1560.05</v>
          </cell>
          <cell r="H43">
            <v>1560.05</v>
          </cell>
          <cell r="I43">
            <v>400</v>
          </cell>
          <cell r="J43">
            <v>-6.5</v>
          </cell>
          <cell r="K43">
            <v>1560.05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12/05/21</v>
          </cell>
          <cell r="F44">
            <v>1154.3</v>
          </cell>
          <cell r="H44">
            <v>1154.3</v>
          </cell>
          <cell r="I44">
            <v>400</v>
          </cell>
          <cell r="J44">
            <v>1.2</v>
          </cell>
          <cell r="K44">
            <v>1154.3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12/05/21</v>
          </cell>
          <cell r="F45">
            <v>712.8</v>
          </cell>
          <cell r="H45">
            <v>712.8</v>
          </cell>
          <cell r="I45">
            <v>400</v>
          </cell>
          <cell r="J45">
            <v>0</v>
          </cell>
          <cell r="K45">
            <v>712.8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12/05/21</v>
          </cell>
          <cell r="F46">
            <v>943.3</v>
          </cell>
          <cell r="H46">
            <v>943.3</v>
          </cell>
          <cell r="I46">
            <v>400</v>
          </cell>
          <cell r="J46">
            <v>-1.05</v>
          </cell>
          <cell r="K46">
            <v>943.3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12/05/21</v>
          </cell>
          <cell r="F47">
            <v>1104.95</v>
          </cell>
          <cell r="H47">
            <v>1104.95</v>
          </cell>
          <cell r="I47">
            <v>400</v>
          </cell>
          <cell r="J47">
            <v>0.05</v>
          </cell>
          <cell r="K47">
            <v>1104.95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12/05/21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12/05/21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12/05/21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12/05/21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12/05/21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12/05/21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12/05/21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12/05/21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12/05/21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12/05/21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12/05/21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12/05/21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12/05/21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12/05/21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12/05/21</v>
          </cell>
          <cell r="F62">
            <v>967.5</v>
          </cell>
          <cell r="H62">
            <v>967.5</v>
          </cell>
          <cell r="I62">
            <v>400</v>
          </cell>
          <cell r="J62">
            <v>0.85</v>
          </cell>
          <cell r="K62">
            <v>967.5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12/05/21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12/05/21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12/05/21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12/05/21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12/05/21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12/05/21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12/05/21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12/05/21</v>
          </cell>
          <cell r="F70">
            <v>0</v>
          </cell>
          <cell r="H70">
            <v>0</v>
          </cell>
          <cell r="I70">
            <v>400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12/05/21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12/05/21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12/05/21</v>
          </cell>
          <cell r="F73">
            <v>668.85</v>
          </cell>
          <cell r="H73">
            <v>668.85</v>
          </cell>
          <cell r="I73">
            <v>400</v>
          </cell>
          <cell r="J73">
            <v>0</v>
          </cell>
          <cell r="K73">
            <v>668.85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12/05/21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12/05/21</v>
          </cell>
          <cell r="F75">
            <v>605.85</v>
          </cell>
          <cell r="H75">
            <v>605.85</v>
          </cell>
          <cell r="I75">
            <v>400</v>
          </cell>
          <cell r="J75">
            <v>0</v>
          </cell>
          <cell r="K75">
            <v>605.85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12/05/21</v>
          </cell>
          <cell r="F76">
            <v>883.85</v>
          </cell>
          <cell r="H76">
            <v>883.85</v>
          </cell>
          <cell r="I76">
            <v>400</v>
          </cell>
          <cell r="J76">
            <v>6</v>
          </cell>
          <cell r="K76">
            <v>883.85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12/05/21</v>
          </cell>
          <cell r="F77">
            <v>607.95000000000005</v>
          </cell>
          <cell r="H77">
            <v>607.95000000000005</v>
          </cell>
          <cell r="I77">
            <v>400</v>
          </cell>
          <cell r="J77">
            <v>0</v>
          </cell>
          <cell r="K77">
            <v>607.95000000000005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12/05/21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12/05/21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12/05/21</v>
          </cell>
          <cell r="F80">
            <v>593.9</v>
          </cell>
          <cell r="H80">
            <v>593.9</v>
          </cell>
          <cell r="I80">
            <v>400</v>
          </cell>
          <cell r="J80">
            <v>0</v>
          </cell>
          <cell r="K80">
            <v>593.9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12/05/21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12/05/21</v>
          </cell>
          <cell r="F82">
            <v>1992.6</v>
          </cell>
          <cell r="H82">
            <v>1992.6</v>
          </cell>
          <cell r="I82">
            <v>0</v>
          </cell>
          <cell r="J82">
            <v>5.2</v>
          </cell>
          <cell r="K82">
            <v>1992.6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12/05/21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12/05/21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12/05/21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12/05/21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12/05/21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12/05/21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12/05/21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12/05/21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12/05/21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12/05/21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12/05/21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12/05/21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12/05/21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12/05/21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12/05/21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RecData"/>
      <sheetName val="Sheet1"/>
    </sheetNames>
    <sheetDataSet>
      <sheetData sheetId="0">
        <row r="2">
          <cell r="E2" t="str">
            <v>1. Enter Date for which Bank Reconciliation Data is required</v>
          </cell>
        </row>
        <row r="3">
          <cell r="B3"/>
          <cell r="D3"/>
          <cell r="E3" t="str">
            <v>2. Select the Refresh Bank Reconciliation Data button</v>
          </cell>
        </row>
        <row r="4">
          <cell r="B4">
            <v>44329</v>
          </cell>
          <cell r="C4"/>
          <cell r="D4"/>
          <cell r="F4"/>
          <cell r="G4"/>
        </row>
        <row r="5">
          <cell r="B5"/>
          <cell r="D5"/>
          <cell r="F5"/>
          <cell r="G5"/>
        </row>
        <row r="6">
          <cell r="B6" t="str">
            <v>Store</v>
          </cell>
          <cell r="C6" t="str">
            <v>F1 Cost Centre</v>
          </cell>
          <cell r="D6" t="str">
            <v>Desc</v>
          </cell>
          <cell r="E6" t="str">
            <v>Date</v>
          </cell>
          <cell r="F6" t="str">
            <v>Cash To Safe</v>
          </cell>
          <cell r="G6" t="str">
            <v>Other Tenders</v>
          </cell>
          <cell r="H6" t="str">
            <v>Bankable</v>
          </cell>
          <cell r="I6" t="str">
            <v>Float</v>
          </cell>
          <cell r="J6" t="str">
            <v>+/-</v>
          </cell>
          <cell r="K6" t="str">
            <v>Cash PickUp</v>
          </cell>
          <cell r="L6" t="str">
            <v>PCash-Reg</v>
          </cell>
          <cell r="M6" t="str">
            <v>PCash-Safe</v>
          </cell>
          <cell r="N6" t="str">
            <v>Deposit?</v>
          </cell>
          <cell r="O6" t="str">
            <v>Deposit$</v>
          </cell>
        </row>
        <row r="7">
          <cell r="B7" t="str">
            <v>2133</v>
          </cell>
          <cell r="C7" t="str">
            <v>2013</v>
          </cell>
          <cell r="D7" t="str">
            <v>{CLOSED} Carry On Sydney Domestic Qantas</v>
          </cell>
          <cell r="E7" t="str">
            <v>13/05/21</v>
          </cell>
          <cell r="H7">
            <v>0</v>
          </cell>
          <cell r="L7">
            <v>0</v>
          </cell>
          <cell r="M7">
            <v>0</v>
          </cell>
          <cell r="N7" t="str">
            <v>No</v>
          </cell>
        </row>
        <row r="8">
          <cell r="B8" t="str">
            <v>2117</v>
          </cell>
          <cell r="C8" t="str">
            <v>2117</v>
          </cell>
          <cell r="D8" t="str">
            <v xml:space="preserve">2117 Carry On T2 Sydney </v>
          </cell>
          <cell r="E8" t="str">
            <v>13/05/21</v>
          </cell>
          <cell r="F8">
            <v>459.4</v>
          </cell>
          <cell r="H8">
            <v>459.4</v>
          </cell>
          <cell r="I8">
            <v>400</v>
          </cell>
          <cell r="J8">
            <v>0</v>
          </cell>
          <cell r="K8">
            <v>459.4</v>
          </cell>
          <cell r="L8">
            <v>0</v>
          </cell>
          <cell r="M8">
            <v>0</v>
          </cell>
          <cell r="N8" t="str">
            <v>No</v>
          </cell>
        </row>
        <row r="9">
          <cell r="B9" t="str">
            <v>2118</v>
          </cell>
          <cell r="C9" t="str">
            <v>2118</v>
          </cell>
          <cell r="D9" t="str">
            <v>Merchant - T2 Sydney Domestic</v>
          </cell>
          <cell r="E9" t="str">
            <v>13/05/21</v>
          </cell>
          <cell r="F9">
            <v>557.4</v>
          </cell>
          <cell r="H9">
            <v>557.4</v>
          </cell>
          <cell r="I9">
            <v>400</v>
          </cell>
          <cell r="J9">
            <v>0</v>
          </cell>
          <cell r="K9">
            <v>557.4</v>
          </cell>
          <cell r="L9">
            <v>0</v>
          </cell>
          <cell r="M9">
            <v>0</v>
          </cell>
          <cell r="N9" t="str">
            <v>No</v>
          </cell>
        </row>
        <row r="10">
          <cell r="B10" t="str">
            <v>2119</v>
          </cell>
          <cell r="C10" t="str">
            <v>2119</v>
          </cell>
          <cell r="D10" t="str">
            <v>2119 Merchant SYD T3 Sydney Domestic</v>
          </cell>
          <cell r="E10" t="str">
            <v>13/05/21</v>
          </cell>
          <cell r="F10">
            <v>563.9</v>
          </cell>
          <cell r="H10">
            <v>563.9</v>
          </cell>
          <cell r="I10">
            <v>400</v>
          </cell>
          <cell r="J10">
            <v>0</v>
          </cell>
          <cell r="K10">
            <v>563.9</v>
          </cell>
          <cell r="L10">
            <v>0</v>
          </cell>
          <cell r="M10">
            <v>0</v>
          </cell>
          <cell r="N10" t="str">
            <v>No</v>
          </cell>
        </row>
        <row r="11">
          <cell r="B11" t="str">
            <v>2120</v>
          </cell>
          <cell r="C11" t="str">
            <v>2120</v>
          </cell>
          <cell r="D11" t="str">
            <v>Icebreaker Sydney International Landside</v>
          </cell>
          <cell r="E11" t="str">
            <v>13/05/21</v>
          </cell>
          <cell r="H11">
            <v>0</v>
          </cell>
          <cell r="L11">
            <v>0</v>
          </cell>
          <cell r="M11">
            <v>0</v>
          </cell>
          <cell r="N11" t="str">
            <v>No</v>
          </cell>
        </row>
        <row r="12">
          <cell r="B12" t="str">
            <v>2136</v>
          </cell>
          <cell r="C12" t="str">
            <v>2136</v>
          </cell>
          <cell r="D12" t="str">
            <v>Think Australia International Airside</v>
          </cell>
          <cell r="E12" t="str">
            <v>13/05/21</v>
          </cell>
          <cell r="H12">
            <v>0</v>
          </cell>
          <cell r="L12">
            <v>0</v>
          </cell>
          <cell r="M12">
            <v>0</v>
          </cell>
          <cell r="N12" t="str">
            <v>No</v>
          </cell>
        </row>
        <row r="13">
          <cell r="B13" t="str">
            <v>2137</v>
          </cell>
          <cell r="C13" t="str">
            <v>2137</v>
          </cell>
          <cell r="D13" t="str">
            <v>Think Sydney International Airside</v>
          </cell>
          <cell r="E13" t="str">
            <v>13/05/21</v>
          </cell>
          <cell r="H13">
            <v>0</v>
          </cell>
          <cell r="L13">
            <v>0</v>
          </cell>
          <cell r="M13">
            <v>0</v>
          </cell>
          <cell r="N13" t="str">
            <v>No</v>
          </cell>
        </row>
        <row r="14">
          <cell r="B14" t="str">
            <v>2140</v>
          </cell>
          <cell r="C14" t="str">
            <v>2140</v>
          </cell>
          <cell r="D14" t="str">
            <v xml:space="preserve">[CLOSED] Merino Sydney Temp B </v>
          </cell>
          <cell r="E14" t="str">
            <v>13/05/21</v>
          </cell>
          <cell r="H14">
            <v>0</v>
          </cell>
          <cell r="L14">
            <v>0</v>
          </cell>
          <cell r="M14">
            <v>0</v>
          </cell>
          <cell r="N14" t="str">
            <v>No</v>
          </cell>
        </row>
        <row r="15">
          <cell r="B15" t="str">
            <v>2220</v>
          </cell>
          <cell r="C15" t="str">
            <v>2220</v>
          </cell>
          <cell r="D15" t="str">
            <v>AWPL Canberra Store Room</v>
          </cell>
          <cell r="E15" t="str">
            <v>13/05/21</v>
          </cell>
          <cell r="H15">
            <v>0</v>
          </cell>
          <cell r="L15">
            <v>0</v>
          </cell>
          <cell r="M15">
            <v>0</v>
          </cell>
          <cell r="N15" t="str">
            <v>No</v>
          </cell>
        </row>
        <row r="16">
          <cell r="B16" t="str">
            <v>2225</v>
          </cell>
          <cell r="C16" t="str">
            <v>2225</v>
          </cell>
          <cell r="D16" t="str">
            <v>News @ Canberra (2225)</v>
          </cell>
          <cell r="E16" t="str">
            <v>13/05/21</v>
          </cell>
          <cell r="F16">
            <v>959.7</v>
          </cell>
          <cell r="H16">
            <v>959.7</v>
          </cell>
          <cell r="I16">
            <v>400</v>
          </cell>
          <cell r="J16">
            <v>0</v>
          </cell>
          <cell r="K16">
            <v>959.7</v>
          </cell>
          <cell r="L16">
            <v>0</v>
          </cell>
          <cell r="M16">
            <v>0</v>
          </cell>
          <cell r="N16" t="str">
            <v>No</v>
          </cell>
        </row>
        <row r="17">
          <cell r="B17" t="str">
            <v>2226</v>
          </cell>
          <cell r="C17" t="str">
            <v>2226</v>
          </cell>
          <cell r="D17" t="str">
            <v>Merchant Canberra</v>
          </cell>
          <cell r="E17" t="str">
            <v>13/05/21</v>
          </cell>
          <cell r="H17">
            <v>0</v>
          </cell>
          <cell r="L17">
            <v>0</v>
          </cell>
          <cell r="M17">
            <v>0</v>
          </cell>
          <cell r="N17" t="str">
            <v>No</v>
          </cell>
        </row>
        <row r="18">
          <cell r="B18" t="str">
            <v>2230</v>
          </cell>
          <cell r="C18" t="str">
            <v>2230</v>
          </cell>
          <cell r="D18" t="str">
            <v>Australian Way Sydney International</v>
          </cell>
          <cell r="E18" t="str">
            <v>13/05/21</v>
          </cell>
          <cell r="H18">
            <v>0</v>
          </cell>
          <cell r="L18">
            <v>0</v>
          </cell>
          <cell r="M18">
            <v>0</v>
          </cell>
          <cell r="N18" t="str">
            <v>No</v>
          </cell>
        </row>
        <row r="19">
          <cell r="B19" t="str">
            <v>2231</v>
          </cell>
          <cell r="C19" t="str">
            <v>2231</v>
          </cell>
          <cell r="D19" t="str">
            <v xml:space="preserve">Think Sydney International Airside Pier B </v>
          </cell>
          <cell r="E19" t="str">
            <v>13/05/21</v>
          </cell>
          <cell r="F19">
            <v>400</v>
          </cell>
          <cell r="H19">
            <v>400</v>
          </cell>
          <cell r="I19">
            <v>400</v>
          </cell>
          <cell r="J19">
            <v>0</v>
          </cell>
          <cell r="K19">
            <v>400</v>
          </cell>
          <cell r="L19">
            <v>0</v>
          </cell>
          <cell r="M19">
            <v>0</v>
          </cell>
          <cell r="N19" t="str">
            <v>No</v>
          </cell>
        </row>
        <row r="20">
          <cell r="B20" t="str">
            <v>2232</v>
          </cell>
          <cell r="C20" t="str">
            <v>2232</v>
          </cell>
          <cell r="D20" t="str">
            <v>Merino Collection Inter Airside Sydney</v>
          </cell>
          <cell r="E20" t="str">
            <v>13/05/21</v>
          </cell>
          <cell r="H20">
            <v>0</v>
          </cell>
          <cell r="L20">
            <v>0</v>
          </cell>
          <cell r="M20">
            <v>0</v>
          </cell>
          <cell r="N20" t="str">
            <v>No</v>
          </cell>
        </row>
        <row r="21">
          <cell r="B21" t="str">
            <v>2233</v>
          </cell>
          <cell r="C21" t="str">
            <v>2233</v>
          </cell>
          <cell r="D21" t="str">
            <v>Australian Way Sydney Landside</v>
          </cell>
          <cell r="E21" t="str">
            <v>13/05/21</v>
          </cell>
          <cell r="H21">
            <v>0</v>
          </cell>
          <cell r="L21">
            <v>0</v>
          </cell>
          <cell r="M21">
            <v>0</v>
          </cell>
          <cell r="N21" t="str">
            <v>No</v>
          </cell>
        </row>
        <row r="22">
          <cell r="B22" t="str">
            <v>2234</v>
          </cell>
          <cell r="C22" t="str">
            <v>2234</v>
          </cell>
          <cell r="D22" t="str">
            <v>Think Sydney Landside</v>
          </cell>
          <cell r="E22" t="str">
            <v>13/05/21</v>
          </cell>
          <cell r="H22">
            <v>0</v>
          </cell>
          <cell r="L22">
            <v>0</v>
          </cell>
          <cell r="M22">
            <v>0</v>
          </cell>
          <cell r="N22" t="str">
            <v>No</v>
          </cell>
        </row>
        <row r="23">
          <cell r="B23" t="str">
            <v>2242</v>
          </cell>
          <cell r="C23" t="str">
            <v>2242</v>
          </cell>
          <cell r="D23" t="str">
            <v xml:space="preserve">[CLOSED] Havaianas Sydney International </v>
          </cell>
          <cell r="E23" t="str">
            <v>13/05/21</v>
          </cell>
          <cell r="H23">
            <v>0</v>
          </cell>
          <cell r="L23">
            <v>0</v>
          </cell>
          <cell r="M23">
            <v>0</v>
          </cell>
          <cell r="N23" t="str">
            <v>No</v>
          </cell>
        </row>
        <row r="24">
          <cell r="B24" t="str">
            <v>2450</v>
          </cell>
          <cell r="C24" t="str">
            <v>2450</v>
          </cell>
          <cell r="D24" t="str">
            <v>News Travels Newcastle</v>
          </cell>
          <cell r="E24" t="str">
            <v>13/05/21</v>
          </cell>
          <cell r="F24">
            <v>823.5</v>
          </cell>
          <cell r="H24">
            <v>823.5</v>
          </cell>
          <cell r="I24">
            <v>400</v>
          </cell>
          <cell r="J24">
            <v>0</v>
          </cell>
          <cell r="K24">
            <v>823.5</v>
          </cell>
          <cell r="L24">
            <v>0</v>
          </cell>
          <cell r="M24">
            <v>0</v>
          </cell>
          <cell r="N24" t="str">
            <v>No</v>
          </cell>
        </row>
        <row r="25">
          <cell r="B25" t="str">
            <v>2990</v>
          </cell>
          <cell r="C25" t="str">
            <v>2990</v>
          </cell>
          <cell r="D25" t="str">
            <v>RPC Sydney International Airport</v>
          </cell>
          <cell r="E25" t="str">
            <v>13/05/21</v>
          </cell>
          <cell r="H25">
            <v>0</v>
          </cell>
          <cell r="L25">
            <v>0</v>
          </cell>
          <cell r="M25">
            <v>0</v>
          </cell>
          <cell r="N25" t="str">
            <v>No</v>
          </cell>
        </row>
        <row r="26">
          <cell r="B26" t="str">
            <v>3191</v>
          </cell>
          <cell r="C26" t="str">
            <v>3019</v>
          </cell>
          <cell r="D26" t="str">
            <v>Australian Way Melbourne Domestic Qantas</v>
          </cell>
          <cell r="E26" t="str">
            <v>13/05/21</v>
          </cell>
          <cell r="F26">
            <v>617.9</v>
          </cell>
          <cell r="H26">
            <v>617.9</v>
          </cell>
          <cell r="I26">
            <v>400</v>
          </cell>
          <cell r="J26">
            <v>0</v>
          </cell>
          <cell r="K26">
            <v>617.9</v>
          </cell>
          <cell r="L26">
            <v>0</v>
          </cell>
          <cell r="M26">
            <v>0</v>
          </cell>
          <cell r="N26" t="str">
            <v>No</v>
          </cell>
        </row>
        <row r="27">
          <cell r="B27" t="str">
            <v>3284</v>
          </cell>
          <cell r="C27" t="str">
            <v>3028</v>
          </cell>
          <cell r="D27" t="str">
            <v>Melbourne &amp; Beyond Qantas Domestic</v>
          </cell>
          <cell r="E27" t="str">
            <v>13/05/21</v>
          </cell>
          <cell r="H27">
            <v>0</v>
          </cell>
          <cell r="L27">
            <v>0</v>
          </cell>
          <cell r="M27">
            <v>0</v>
          </cell>
          <cell r="N27" t="str">
            <v>No</v>
          </cell>
        </row>
        <row r="28">
          <cell r="B28" t="str">
            <v>3343</v>
          </cell>
          <cell r="C28" t="str">
            <v>3034</v>
          </cell>
          <cell r="D28" t="str">
            <v>Carry On Melbourne Qantas Domestic</v>
          </cell>
          <cell r="E28" t="str">
            <v>13/05/21</v>
          </cell>
          <cell r="H28">
            <v>0</v>
          </cell>
          <cell r="L28">
            <v>0</v>
          </cell>
          <cell r="M28">
            <v>0</v>
          </cell>
          <cell r="N28" t="str">
            <v>No</v>
          </cell>
        </row>
        <row r="29">
          <cell r="B29" t="str">
            <v>3088</v>
          </cell>
          <cell r="C29" t="str">
            <v>3088</v>
          </cell>
          <cell r="D29" t="str">
            <v>Online Store</v>
          </cell>
          <cell r="E29" t="str">
            <v>13/05/21</v>
          </cell>
          <cell r="H29">
            <v>0</v>
          </cell>
          <cell r="L29">
            <v>0</v>
          </cell>
          <cell r="M29">
            <v>0</v>
          </cell>
          <cell r="N29" t="str">
            <v>No</v>
          </cell>
        </row>
        <row r="30">
          <cell r="B30" t="str">
            <v>3175</v>
          </cell>
          <cell r="C30" t="str">
            <v>3175</v>
          </cell>
          <cell r="D30" t="str">
            <v>Australian Way Melbourne Inter Landside</v>
          </cell>
          <cell r="E30" t="str">
            <v>13/05/21</v>
          </cell>
          <cell r="F30">
            <v>410.05</v>
          </cell>
          <cell r="H30">
            <v>410.05</v>
          </cell>
          <cell r="I30">
            <v>400</v>
          </cell>
          <cell r="J30">
            <v>0</v>
          </cell>
          <cell r="K30">
            <v>410.05</v>
          </cell>
          <cell r="L30">
            <v>0</v>
          </cell>
          <cell r="M30">
            <v>0</v>
          </cell>
          <cell r="N30" t="str">
            <v>No</v>
          </cell>
        </row>
        <row r="31">
          <cell r="B31" t="str">
            <v>3195</v>
          </cell>
          <cell r="C31" t="str">
            <v>3195</v>
          </cell>
          <cell r="D31" t="str">
            <v>3195 RPC Melbourne Qantas Domestic</v>
          </cell>
          <cell r="E31" t="str">
            <v>13/05/21</v>
          </cell>
          <cell r="H31">
            <v>0</v>
          </cell>
          <cell r="L31">
            <v>0</v>
          </cell>
          <cell r="M31">
            <v>0</v>
          </cell>
          <cell r="N31" t="str">
            <v>No</v>
          </cell>
        </row>
        <row r="32">
          <cell r="B32" t="str">
            <v>3213</v>
          </cell>
          <cell r="C32" t="str">
            <v>3213</v>
          </cell>
          <cell r="D32" t="str">
            <v xml:space="preserve">Carry On Melbourne Jetstar </v>
          </cell>
          <cell r="E32" t="str">
            <v>13/05/21</v>
          </cell>
          <cell r="H32">
            <v>0</v>
          </cell>
          <cell r="L32">
            <v>0</v>
          </cell>
          <cell r="M32">
            <v>0</v>
          </cell>
          <cell r="N32" t="str">
            <v>No</v>
          </cell>
        </row>
        <row r="33">
          <cell r="B33" t="str">
            <v>3228</v>
          </cell>
          <cell r="C33" t="str">
            <v>3228</v>
          </cell>
          <cell r="D33" t="str">
            <v>Natural Collective Collins Place</v>
          </cell>
          <cell r="E33" t="str">
            <v>13/05/21</v>
          </cell>
          <cell r="F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 t="str">
            <v>No</v>
          </cell>
        </row>
        <row r="34">
          <cell r="B34" t="str">
            <v>4011</v>
          </cell>
          <cell r="C34" t="str">
            <v>4011</v>
          </cell>
          <cell r="D34" t="str">
            <v>(Closed) Carry On Brisbane Land</v>
          </cell>
          <cell r="E34" t="str">
            <v>13/05/21</v>
          </cell>
          <cell r="H34">
            <v>0</v>
          </cell>
          <cell r="L34">
            <v>0</v>
          </cell>
          <cell r="M34">
            <v>0</v>
          </cell>
          <cell r="N34" t="str">
            <v>No</v>
          </cell>
        </row>
        <row r="35">
          <cell r="B35" t="str">
            <v>4023</v>
          </cell>
          <cell r="C35" t="str">
            <v>4023</v>
          </cell>
          <cell r="D35" t="str">
            <v xml:space="preserve">(Closed) Australian Way Brisbane Land </v>
          </cell>
          <cell r="E35" t="str">
            <v>13/05/21</v>
          </cell>
          <cell r="H35">
            <v>0</v>
          </cell>
          <cell r="L35">
            <v>0</v>
          </cell>
          <cell r="M35">
            <v>0</v>
          </cell>
          <cell r="N35" t="str">
            <v>No</v>
          </cell>
        </row>
        <row r="36">
          <cell r="B36" t="str">
            <v>4024</v>
          </cell>
          <cell r="C36" t="str">
            <v>4024</v>
          </cell>
          <cell r="D36" t="str">
            <v>News Travels Express Brisbane Int Arrivals</v>
          </cell>
          <cell r="E36" t="str">
            <v>13/05/21</v>
          </cell>
          <cell r="H36">
            <v>0</v>
          </cell>
          <cell r="L36">
            <v>0</v>
          </cell>
          <cell r="M36">
            <v>0</v>
          </cell>
          <cell r="N36" t="str">
            <v>No</v>
          </cell>
        </row>
        <row r="37">
          <cell r="B37" t="str">
            <v>4085</v>
          </cell>
          <cell r="C37" t="str">
            <v>4085</v>
          </cell>
          <cell r="D37" t="str">
            <v>Carry On Brisbane International Landside</v>
          </cell>
          <cell r="E37" t="str">
            <v>13/05/21</v>
          </cell>
          <cell r="H37">
            <v>0</v>
          </cell>
          <cell r="L37">
            <v>0</v>
          </cell>
          <cell r="M37">
            <v>0</v>
          </cell>
          <cell r="N37" t="str">
            <v>No</v>
          </cell>
        </row>
        <row r="38">
          <cell r="B38" t="str">
            <v>4100</v>
          </cell>
          <cell r="C38" t="str">
            <v>4100</v>
          </cell>
          <cell r="D38" t="str">
            <v>News Travels Sunshine Coast</v>
          </cell>
          <cell r="E38" t="str">
            <v>13/05/21</v>
          </cell>
          <cell r="F38">
            <v>1207.4000000000001</v>
          </cell>
          <cell r="H38">
            <v>1207.4000000000001</v>
          </cell>
          <cell r="I38">
            <v>400</v>
          </cell>
          <cell r="J38">
            <v>0</v>
          </cell>
          <cell r="K38">
            <v>1207.4000000000001</v>
          </cell>
          <cell r="L38">
            <v>0</v>
          </cell>
          <cell r="M38">
            <v>0</v>
          </cell>
          <cell r="N38" t="str">
            <v>No</v>
          </cell>
        </row>
        <row r="39">
          <cell r="B39" t="str">
            <v>4101</v>
          </cell>
          <cell r="C39" t="str">
            <v>4101</v>
          </cell>
          <cell r="D39" t="str">
            <v>News @ BNE Northern (4101)</v>
          </cell>
          <cell r="E39" t="str">
            <v>13/05/21</v>
          </cell>
          <cell r="F39">
            <v>1434.2</v>
          </cell>
          <cell r="H39">
            <v>1434.2</v>
          </cell>
          <cell r="I39">
            <v>400</v>
          </cell>
          <cell r="J39">
            <v>0.4</v>
          </cell>
          <cell r="K39">
            <v>1434.2</v>
          </cell>
          <cell r="L39">
            <v>0</v>
          </cell>
          <cell r="M39">
            <v>0</v>
          </cell>
          <cell r="N39" t="str">
            <v>No</v>
          </cell>
        </row>
        <row r="40">
          <cell r="B40" t="str">
            <v>4102</v>
          </cell>
          <cell r="C40" t="str">
            <v>4102</v>
          </cell>
          <cell r="D40" t="str">
            <v>Xpress @ BNE Northern (Qantas)</v>
          </cell>
          <cell r="E40" t="str">
            <v>13/05/21</v>
          </cell>
          <cell r="F40">
            <v>642.29999999999995</v>
          </cell>
          <cell r="H40">
            <v>642.29999999999995</v>
          </cell>
          <cell r="I40">
            <v>400</v>
          </cell>
          <cell r="J40">
            <v>-0.05</v>
          </cell>
          <cell r="K40">
            <v>642.29999999999995</v>
          </cell>
          <cell r="L40">
            <v>0</v>
          </cell>
          <cell r="M40">
            <v>0</v>
          </cell>
          <cell r="N40" t="str">
            <v>No</v>
          </cell>
        </row>
        <row r="41">
          <cell r="B41" t="str">
            <v>4103</v>
          </cell>
          <cell r="C41" t="str">
            <v>4103</v>
          </cell>
          <cell r="D41" t="str">
            <v>Xpress @ BNE Southern (Virgin)</v>
          </cell>
          <cell r="E41" t="str">
            <v>13/05/21</v>
          </cell>
          <cell r="H41">
            <v>0</v>
          </cell>
          <cell r="L41">
            <v>0</v>
          </cell>
          <cell r="M41">
            <v>0</v>
          </cell>
          <cell r="N41" t="str">
            <v>No</v>
          </cell>
        </row>
        <row r="42">
          <cell r="B42" t="str">
            <v>4104</v>
          </cell>
          <cell r="C42" t="str">
            <v>4104</v>
          </cell>
          <cell r="D42" t="str">
            <v>Xpress @ BNE Cafe (QantasLink)</v>
          </cell>
          <cell r="E42" t="str">
            <v>13/05/21</v>
          </cell>
          <cell r="F42">
            <v>676.95</v>
          </cell>
          <cell r="H42">
            <v>676.95</v>
          </cell>
          <cell r="I42">
            <v>400</v>
          </cell>
          <cell r="J42">
            <v>2</v>
          </cell>
          <cell r="K42">
            <v>676.95</v>
          </cell>
          <cell r="L42">
            <v>0</v>
          </cell>
          <cell r="M42">
            <v>0</v>
          </cell>
          <cell r="N42" t="str">
            <v>No</v>
          </cell>
        </row>
        <row r="43">
          <cell r="B43" t="str">
            <v>4106</v>
          </cell>
          <cell r="C43" t="str">
            <v>4106</v>
          </cell>
          <cell r="D43" t="str">
            <v>News @ BNE Central (4106)</v>
          </cell>
          <cell r="E43" t="str">
            <v>13/05/21</v>
          </cell>
          <cell r="F43">
            <v>1069.3</v>
          </cell>
          <cell r="H43">
            <v>1069.3</v>
          </cell>
          <cell r="I43">
            <v>400</v>
          </cell>
          <cell r="J43">
            <v>8</v>
          </cell>
          <cell r="K43">
            <v>1069.3</v>
          </cell>
          <cell r="L43">
            <v>0</v>
          </cell>
          <cell r="M43">
            <v>0</v>
          </cell>
          <cell r="N43" t="str">
            <v>No</v>
          </cell>
        </row>
        <row r="44">
          <cell r="B44" t="str">
            <v>4107</v>
          </cell>
          <cell r="C44" t="str">
            <v>4107</v>
          </cell>
          <cell r="D44" t="str">
            <v>News @ BNE Southern (4107)</v>
          </cell>
          <cell r="E44" t="str">
            <v>13/05/21</v>
          </cell>
          <cell r="F44">
            <v>1475.8</v>
          </cell>
          <cell r="H44">
            <v>1475.8</v>
          </cell>
          <cell r="I44">
            <v>400</v>
          </cell>
          <cell r="J44">
            <v>-0.55000000000000004</v>
          </cell>
          <cell r="K44">
            <v>1475.8</v>
          </cell>
          <cell r="L44">
            <v>0</v>
          </cell>
          <cell r="M44">
            <v>0</v>
          </cell>
          <cell r="N44" t="str">
            <v>No</v>
          </cell>
        </row>
        <row r="45">
          <cell r="B45" t="str">
            <v>4108</v>
          </cell>
          <cell r="C45" t="str">
            <v>4108</v>
          </cell>
          <cell r="D45" t="str">
            <v>News @ BNE Southern Satellite (Virgin)</v>
          </cell>
          <cell r="E45" t="str">
            <v>13/05/21</v>
          </cell>
          <cell r="F45">
            <v>818.3</v>
          </cell>
          <cell r="H45">
            <v>818.3</v>
          </cell>
          <cell r="I45">
            <v>400</v>
          </cell>
          <cell r="J45">
            <v>0.15</v>
          </cell>
          <cell r="K45">
            <v>818.3</v>
          </cell>
          <cell r="L45">
            <v>0</v>
          </cell>
          <cell r="M45">
            <v>0</v>
          </cell>
          <cell r="N45" t="str">
            <v>No</v>
          </cell>
        </row>
        <row r="46">
          <cell r="B46" t="str">
            <v>4109</v>
          </cell>
          <cell r="C46" t="str">
            <v>4109</v>
          </cell>
          <cell r="D46" t="str">
            <v>News @ BNE Northern Satellite (Qantas)</v>
          </cell>
          <cell r="E46" t="str">
            <v>13/05/21</v>
          </cell>
          <cell r="F46">
            <v>701.5</v>
          </cell>
          <cell r="H46">
            <v>701.5</v>
          </cell>
          <cell r="I46">
            <v>400</v>
          </cell>
          <cell r="J46">
            <v>-0.35</v>
          </cell>
          <cell r="K46">
            <v>701.5</v>
          </cell>
          <cell r="L46">
            <v>0</v>
          </cell>
          <cell r="M46">
            <v>0</v>
          </cell>
          <cell r="N46" t="str">
            <v>No</v>
          </cell>
        </row>
        <row r="47">
          <cell r="B47" t="str">
            <v>4110</v>
          </cell>
          <cell r="C47" t="str">
            <v>4110</v>
          </cell>
          <cell r="D47" t="str">
            <v>News @ BNE Central Satellite (Common User)</v>
          </cell>
          <cell r="E47" t="str">
            <v>13/05/21</v>
          </cell>
          <cell r="F47">
            <v>1031.8499999999999</v>
          </cell>
          <cell r="H47">
            <v>1031.8499999999999</v>
          </cell>
          <cell r="I47">
            <v>400</v>
          </cell>
          <cell r="J47">
            <v>14.9</v>
          </cell>
          <cell r="K47">
            <v>1031.8499999999999</v>
          </cell>
          <cell r="L47">
            <v>0</v>
          </cell>
          <cell r="M47">
            <v>0</v>
          </cell>
          <cell r="N47" t="str">
            <v>No</v>
          </cell>
        </row>
        <row r="48">
          <cell r="B48" t="str">
            <v>4111</v>
          </cell>
          <cell r="C48" t="str">
            <v>4111</v>
          </cell>
          <cell r="D48" t="str">
            <v>Bound Brisbane Domestic</v>
          </cell>
          <cell r="E48" t="str">
            <v>13/05/21</v>
          </cell>
          <cell r="H48">
            <v>0</v>
          </cell>
          <cell r="L48">
            <v>0</v>
          </cell>
          <cell r="M48">
            <v>0</v>
          </cell>
          <cell r="N48" t="str">
            <v>No</v>
          </cell>
        </row>
        <row r="49">
          <cell r="B49" t="str">
            <v>4115</v>
          </cell>
          <cell r="C49" t="str">
            <v>4115</v>
          </cell>
          <cell r="D49" t="str">
            <v>News Travels Brisbane Kiosk Inter Airside</v>
          </cell>
          <cell r="E49" t="str">
            <v>13/05/21</v>
          </cell>
          <cell r="H49">
            <v>0</v>
          </cell>
          <cell r="L49">
            <v>0</v>
          </cell>
          <cell r="M49">
            <v>0</v>
          </cell>
          <cell r="N49" t="str">
            <v>No</v>
          </cell>
        </row>
        <row r="50">
          <cell r="B50" t="str">
            <v>4116</v>
          </cell>
          <cell r="C50" t="str">
            <v>4116</v>
          </cell>
          <cell r="D50" t="str">
            <v>News Travels Express International Airside</v>
          </cell>
          <cell r="E50" t="str">
            <v>13/05/21</v>
          </cell>
          <cell r="H50">
            <v>0</v>
          </cell>
          <cell r="L50">
            <v>0</v>
          </cell>
          <cell r="M50">
            <v>0</v>
          </cell>
          <cell r="N50" t="str">
            <v>No</v>
          </cell>
        </row>
        <row r="51">
          <cell r="B51" t="str">
            <v>4122</v>
          </cell>
          <cell r="C51" t="str">
            <v>4122</v>
          </cell>
          <cell r="D51" t="str">
            <v>153 East Sunshine Coast Airport</v>
          </cell>
          <cell r="E51" t="str">
            <v>13/05/21</v>
          </cell>
          <cell r="H51">
            <v>0</v>
          </cell>
          <cell r="L51">
            <v>0</v>
          </cell>
          <cell r="M51">
            <v>0</v>
          </cell>
          <cell r="N51" t="str">
            <v>No</v>
          </cell>
        </row>
        <row r="52">
          <cell r="B52" t="str">
            <v>4149</v>
          </cell>
          <cell r="C52" t="str">
            <v>4149</v>
          </cell>
          <cell r="D52" t="str">
            <v>Aero Brisbane Virgin Domestic Terminal (CLOSED)</v>
          </cell>
          <cell r="E52" t="str">
            <v>13/05/21</v>
          </cell>
          <cell r="H52">
            <v>0</v>
          </cell>
          <cell r="L52">
            <v>0</v>
          </cell>
          <cell r="M52">
            <v>0</v>
          </cell>
          <cell r="N52" t="str">
            <v>No</v>
          </cell>
        </row>
        <row r="53">
          <cell r="B53" t="str">
            <v>4157</v>
          </cell>
          <cell r="C53" t="str">
            <v>4157</v>
          </cell>
          <cell r="D53" t="str">
            <v>{CLOSED}Aero Brisbane Virgin Domestic Satellite</v>
          </cell>
          <cell r="E53" t="str">
            <v>13/05/21</v>
          </cell>
          <cell r="H53">
            <v>0</v>
          </cell>
          <cell r="L53">
            <v>0</v>
          </cell>
          <cell r="M53">
            <v>0</v>
          </cell>
          <cell r="N53" t="str">
            <v>No</v>
          </cell>
        </row>
        <row r="54">
          <cell r="B54" t="str">
            <v>4170</v>
          </cell>
          <cell r="C54" t="str">
            <v>4170</v>
          </cell>
          <cell r="D54" t="str">
            <v>News Travels Brisbane International Landside</v>
          </cell>
          <cell r="E54" t="str">
            <v>13/05/21</v>
          </cell>
          <cell r="H54">
            <v>0</v>
          </cell>
          <cell r="L54">
            <v>0</v>
          </cell>
          <cell r="M54">
            <v>0</v>
          </cell>
          <cell r="N54" t="str">
            <v>No</v>
          </cell>
        </row>
        <row r="55">
          <cell r="B55" t="str">
            <v>4200</v>
          </cell>
          <cell r="C55" t="str">
            <v>4200</v>
          </cell>
          <cell r="D55" t="str">
            <v>CLOSED News Travels Northern Satellite Qantas</v>
          </cell>
          <cell r="E55" t="str">
            <v>13/05/21</v>
          </cell>
          <cell r="H55">
            <v>0</v>
          </cell>
          <cell r="L55">
            <v>0</v>
          </cell>
          <cell r="M55">
            <v>0</v>
          </cell>
          <cell r="N55" t="str">
            <v>No</v>
          </cell>
        </row>
        <row r="56">
          <cell r="B56" t="str">
            <v>4203</v>
          </cell>
          <cell r="C56" t="str">
            <v>4203</v>
          </cell>
          <cell r="D56" t="str">
            <v>(CLOSED) News Travels BNE North Concourse Pop Up</v>
          </cell>
          <cell r="E56" t="str">
            <v>13/05/21</v>
          </cell>
          <cell r="H56">
            <v>0</v>
          </cell>
          <cell r="L56">
            <v>0</v>
          </cell>
          <cell r="M56">
            <v>0</v>
          </cell>
          <cell r="N56" t="str">
            <v>No</v>
          </cell>
        </row>
        <row r="57">
          <cell r="B57" t="str">
            <v>4225</v>
          </cell>
          <cell r="C57" t="str">
            <v>4225</v>
          </cell>
          <cell r="D57" t="str">
            <v>Natural Collective Cairns</v>
          </cell>
          <cell r="E57" t="str">
            <v>13/05/21</v>
          </cell>
          <cell r="H57">
            <v>0</v>
          </cell>
          <cell r="L57">
            <v>0</v>
          </cell>
          <cell r="M57">
            <v>0</v>
          </cell>
          <cell r="N57" t="str">
            <v>No</v>
          </cell>
        </row>
        <row r="58">
          <cell r="B58" t="str">
            <v>4235</v>
          </cell>
          <cell r="C58" t="str">
            <v>4235</v>
          </cell>
          <cell r="D58" t="str">
            <v>Australian Way Brisbane Inter Landside</v>
          </cell>
          <cell r="E58" t="str">
            <v>13/05/21</v>
          </cell>
          <cell r="H58">
            <v>0</v>
          </cell>
          <cell r="L58">
            <v>0</v>
          </cell>
          <cell r="M58">
            <v>0</v>
          </cell>
          <cell r="N58" t="str">
            <v>No</v>
          </cell>
        </row>
        <row r="59">
          <cell r="B59" t="str">
            <v>4244</v>
          </cell>
          <cell r="C59" t="str">
            <v>4244</v>
          </cell>
          <cell r="D59" t="str">
            <v>Merino Collection Brisbane International Airside</v>
          </cell>
          <cell r="E59" t="str">
            <v>13/05/21</v>
          </cell>
          <cell r="H59">
            <v>0</v>
          </cell>
          <cell r="L59">
            <v>0</v>
          </cell>
          <cell r="M59">
            <v>0</v>
          </cell>
          <cell r="N59" t="str">
            <v>No</v>
          </cell>
        </row>
        <row r="60">
          <cell r="B60" t="str">
            <v>4250</v>
          </cell>
          <cell r="C60" t="str">
            <v>4250</v>
          </cell>
          <cell r="D60" t="str">
            <v>News@MKY TEMP SITE</v>
          </cell>
          <cell r="E60" t="str">
            <v>13/05/21</v>
          </cell>
          <cell r="H60">
            <v>0</v>
          </cell>
          <cell r="L60">
            <v>0</v>
          </cell>
          <cell r="M60">
            <v>0</v>
          </cell>
          <cell r="N60" t="str">
            <v>No</v>
          </cell>
        </row>
        <row r="61">
          <cell r="B61" t="str">
            <v>4530</v>
          </cell>
          <cell r="C61" t="str">
            <v>4530</v>
          </cell>
          <cell r="D61" t="str">
            <v>Dreamtime Journey Brisbane Inter Airside</v>
          </cell>
          <cell r="E61" t="str">
            <v>13/05/21</v>
          </cell>
          <cell r="H61">
            <v>0</v>
          </cell>
          <cell r="L61">
            <v>0</v>
          </cell>
          <cell r="M61">
            <v>0</v>
          </cell>
          <cell r="N61" t="str">
            <v>No</v>
          </cell>
        </row>
        <row r="62">
          <cell r="B62" t="str">
            <v>4770</v>
          </cell>
          <cell r="C62" t="str">
            <v>4770</v>
          </cell>
          <cell r="D62" t="str">
            <v>News Travels Brisbane International Airside</v>
          </cell>
          <cell r="E62" t="str">
            <v>13/05/21</v>
          </cell>
          <cell r="F62">
            <v>885.6</v>
          </cell>
          <cell r="H62">
            <v>885.6</v>
          </cell>
          <cell r="I62">
            <v>400</v>
          </cell>
          <cell r="J62">
            <v>1.9</v>
          </cell>
          <cell r="K62">
            <v>885.6</v>
          </cell>
          <cell r="L62">
            <v>0</v>
          </cell>
          <cell r="M62">
            <v>0</v>
          </cell>
          <cell r="N62" t="str">
            <v>No</v>
          </cell>
        </row>
        <row r="63">
          <cell r="B63" t="str">
            <v>4775</v>
          </cell>
          <cell r="C63" t="str">
            <v>4775</v>
          </cell>
          <cell r="D63" t="str">
            <v>Australian Way Brisbane International Airside</v>
          </cell>
          <cell r="E63" t="str">
            <v>13/05/21</v>
          </cell>
          <cell r="H63">
            <v>0</v>
          </cell>
          <cell r="L63">
            <v>0</v>
          </cell>
          <cell r="M63">
            <v>0</v>
          </cell>
          <cell r="N63" t="str">
            <v>No</v>
          </cell>
        </row>
        <row r="64">
          <cell r="B64" t="str">
            <v>4995</v>
          </cell>
          <cell r="C64" t="str">
            <v>4995</v>
          </cell>
          <cell r="D64" t="str">
            <v>4995 BNE International Warehouse</v>
          </cell>
          <cell r="E64" t="str">
            <v>13/05/21</v>
          </cell>
          <cell r="H64">
            <v>0</v>
          </cell>
          <cell r="L64">
            <v>0</v>
          </cell>
          <cell r="M64">
            <v>0</v>
          </cell>
          <cell r="N64" t="str">
            <v>No</v>
          </cell>
        </row>
        <row r="65">
          <cell r="B65" t="str">
            <v>4077</v>
          </cell>
          <cell r="C65" t="str">
            <v>4995</v>
          </cell>
          <cell r="D65" t="str">
            <v>Brisbane Magazine Return Cost Centre</v>
          </cell>
          <cell r="E65" t="str">
            <v>13/05/21</v>
          </cell>
          <cell r="H65">
            <v>0</v>
          </cell>
          <cell r="L65">
            <v>0</v>
          </cell>
          <cell r="M65">
            <v>0</v>
          </cell>
          <cell r="N65" t="str">
            <v>No</v>
          </cell>
        </row>
        <row r="66">
          <cell r="B66" t="str">
            <v>5531</v>
          </cell>
          <cell r="C66" t="str">
            <v>5053</v>
          </cell>
          <cell r="D66" t="str">
            <v>Australian Way Adelaide International</v>
          </cell>
          <cell r="E66" t="str">
            <v>13/05/21</v>
          </cell>
          <cell r="H66">
            <v>0</v>
          </cell>
          <cell r="L66">
            <v>0</v>
          </cell>
          <cell r="M66">
            <v>0</v>
          </cell>
          <cell r="N66" t="str">
            <v>No</v>
          </cell>
        </row>
        <row r="67">
          <cell r="B67" t="str">
            <v>5192</v>
          </cell>
          <cell r="C67" t="str">
            <v>5192</v>
          </cell>
          <cell r="D67" t="str">
            <v>Carry On Adelaide International</v>
          </cell>
          <cell r="E67" t="str">
            <v>13/05/21</v>
          </cell>
          <cell r="H67">
            <v>0</v>
          </cell>
          <cell r="L67">
            <v>0</v>
          </cell>
          <cell r="M67">
            <v>0</v>
          </cell>
          <cell r="N67" t="str">
            <v>No</v>
          </cell>
        </row>
        <row r="68">
          <cell r="B68" t="str">
            <v>6261</v>
          </cell>
          <cell r="C68" t="str">
            <v>6026</v>
          </cell>
          <cell r="D68" t="str">
            <v>Australian Way Perth International Air</v>
          </cell>
          <cell r="E68" t="str">
            <v>13/05/21</v>
          </cell>
          <cell r="H68">
            <v>0</v>
          </cell>
          <cell r="L68">
            <v>0</v>
          </cell>
          <cell r="M68">
            <v>0</v>
          </cell>
          <cell r="N68" t="str">
            <v>No</v>
          </cell>
        </row>
        <row r="69">
          <cell r="B69" t="str">
            <v>6077</v>
          </cell>
          <cell r="C69" t="str">
            <v>6077</v>
          </cell>
          <cell r="D69" t="str">
            <v>(Closed) Australian Way Perth International Land</v>
          </cell>
          <cell r="E69" t="str">
            <v>13/05/21</v>
          </cell>
          <cell r="H69">
            <v>0</v>
          </cell>
          <cell r="L69">
            <v>0</v>
          </cell>
          <cell r="M69">
            <v>0</v>
          </cell>
          <cell r="N69" t="str">
            <v>No</v>
          </cell>
        </row>
        <row r="70">
          <cell r="B70" t="str">
            <v>6087</v>
          </cell>
          <cell r="C70" t="str">
            <v>6087</v>
          </cell>
          <cell r="D70" t="str">
            <v>Australian Way Perth International Landside</v>
          </cell>
          <cell r="E70" t="str">
            <v>13/05/21</v>
          </cell>
          <cell r="F70">
            <v>508</v>
          </cell>
          <cell r="H70">
            <v>508</v>
          </cell>
          <cell r="I70">
            <v>400</v>
          </cell>
          <cell r="J70">
            <v>0</v>
          </cell>
          <cell r="K70">
            <v>508</v>
          </cell>
          <cell r="L70">
            <v>0</v>
          </cell>
          <cell r="M70">
            <v>0</v>
          </cell>
          <cell r="N70" t="str">
            <v>No</v>
          </cell>
        </row>
        <row r="71">
          <cell r="B71" t="str">
            <v>6089</v>
          </cell>
          <cell r="C71" t="str">
            <v>6089</v>
          </cell>
          <cell r="D71" t="str">
            <v>Merino Collection Perth International Landside</v>
          </cell>
          <cell r="E71" t="str">
            <v>13/05/21</v>
          </cell>
          <cell r="H71">
            <v>0</v>
          </cell>
          <cell r="L71">
            <v>0</v>
          </cell>
          <cell r="M71">
            <v>0</v>
          </cell>
          <cell r="N71" t="str">
            <v>No</v>
          </cell>
        </row>
        <row r="72">
          <cell r="B72" t="str">
            <v>6165</v>
          </cell>
          <cell r="C72" t="str">
            <v>6165</v>
          </cell>
          <cell r="D72" t="str">
            <v>[CLOSED] Australian Way Perth Domestic Qantas</v>
          </cell>
          <cell r="E72" t="str">
            <v>13/05/21</v>
          </cell>
          <cell r="H72">
            <v>0</v>
          </cell>
          <cell r="L72">
            <v>0</v>
          </cell>
          <cell r="M72">
            <v>0</v>
          </cell>
          <cell r="N72" t="str">
            <v>No</v>
          </cell>
        </row>
        <row r="73">
          <cell r="B73" t="str">
            <v>6176</v>
          </cell>
          <cell r="C73" t="str">
            <v>6176</v>
          </cell>
          <cell r="D73" t="str">
            <v>Merchant Perth Domestic</v>
          </cell>
          <cell r="E73" t="str">
            <v>13/05/21</v>
          </cell>
          <cell r="F73">
            <v>863.85</v>
          </cell>
          <cell r="H73">
            <v>863.85</v>
          </cell>
          <cell r="I73">
            <v>400</v>
          </cell>
          <cell r="J73">
            <v>0</v>
          </cell>
          <cell r="K73">
            <v>863.85</v>
          </cell>
          <cell r="L73">
            <v>0</v>
          </cell>
          <cell r="M73">
            <v>0</v>
          </cell>
          <cell r="N73" t="str">
            <v>No</v>
          </cell>
        </row>
        <row r="74">
          <cell r="B74" t="str">
            <v>6220</v>
          </cell>
          <cell r="C74" t="str">
            <v>6220</v>
          </cell>
          <cell r="D74" t="str">
            <v>RPC Perth International Store Room</v>
          </cell>
          <cell r="E74" t="str">
            <v>13/05/21</v>
          </cell>
          <cell r="H74">
            <v>0</v>
          </cell>
          <cell r="L74">
            <v>0</v>
          </cell>
          <cell r="M74">
            <v>0</v>
          </cell>
          <cell r="N74" t="str">
            <v>No</v>
          </cell>
        </row>
        <row r="75">
          <cell r="B75" t="str">
            <v>7641</v>
          </cell>
          <cell r="C75" t="str">
            <v>7064</v>
          </cell>
          <cell r="D75" t="str">
            <v>Australian Way Hobart International</v>
          </cell>
          <cell r="E75" t="str">
            <v>13/05/21</v>
          </cell>
          <cell r="F75">
            <v>543.04999999999995</v>
          </cell>
          <cell r="H75">
            <v>543.04999999999995</v>
          </cell>
          <cell r="I75">
            <v>400</v>
          </cell>
          <cell r="J75">
            <v>0</v>
          </cell>
          <cell r="K75">
            <v>543.04999999999995</v>
          </cell>
          <cell r="L75">
            <v>0</v>
          </cell>
          <cell r="M75">
            <v>0</v>
          </cell>
          <cell r="N75" t="str">
            <v>No</v>
          </cell>
        </row>
        <row r="76">
          <cell r="B76" t="str">
            <v>7078</v>
          </cell>
          <cell r="C76" t="str">
            <v>7078</v>
          </cell>
          <cell r="D76" t="str">
            <v>Runway News Hobart (7078)</v>
          </cell>
          <cell r="E76" t="str">
            <v>13/05/21</v>
          </cell>
          <cell r="F76">
            <v>1224.95</v>
          </cell>
          <cell r="H76">
            <v>1224.95</v>
          </cell>
          <cell r="I76">
            <v>400</v>
          </cell>
          <cell r="J76">
            <v>0.4</v>
          </cell>
          <cell r="K76">
            <v>1224.95</v>
          </cell>
          <cell r="L76">
            <v>0</v>
          </cell>
          <cell r="M76">
            <v>0</v>
          </cell>
          <cell r="N76" t="str">
            <v>No</v>
          </cell>
        </row>
        <row r="77">
          <cell r="B77" t="str">
            <v>7079</v>
          </cell>
          <cell r="C77" t="str">
            <v>7079</v>
          </cell>
          <cell r="D77" t="str">
            <v>Tasmania &amp; Beyond Hobart</v>
          </cell>
          <cell r="E77" t="str">
            <v>13/05/21</v>
          </cell>
          <cell r="F77">
            <v>788.35</v>
          </cell>
          <cell r="H77">
            <v>788.35</v>
          </cell>
          <cell r="I77">
            <v>400</v>
          </cell>
          <cell r="J77">
            <v>1.05</v>
          </cell>
          <cell r="K77">
            <v>788.35</v>
          </cell>
          <cell r="L77">
            <v>0</v>
          </cell>
          <cell r="M77">
            <v>0</v>
          </cell>
          <cell r="N77" t="str">
            <v>No</v>
          </cell>
        </row>
        <row r="78">
          <cell r="B78" t="str">
            <v>7990</v>
          </cell>
          <cell r="C78" t="str">
            <v>7990</v>
          </cell>
          <cell r="D78" t="str">
            <v>Hobart RPC</v>
          </cell>
          <cell r="E78" t="str">
            <v>13/05/21</v>
          </cell>
          <cell r="H78">
            <v>0</v>
          </cell>
          <cell r="L78">
            <v>0</v>
          </cell>
          <cell r="M78">
            <v>0</v>
          </cell>
          <cell r="N78" t="str">
            <v>No</v>
          </cell>
        </row>
        <row r="79">
          <cell r="B79" t="str">
            <v>8061</v>
          </cell>
          <cell r="C79" t="str">
            <v>8006</v>
          </cell>
          <cell r="D79" t="str">
            <v>Australian Way Alice Springs</v>
          </cell>
          <cell r="E79" t="str">
            <v>13/05/21</v>
          </cell>
          <cell r="H79">
            <v>0</v>
          </cell>
          <cell r="L79">
            <v>0</v>
          </cell>
          <cell r="M79">
            <v>0</v>
          </cell>
          <cell r="N79" t="str">
            <v>No</v>
          </cell>
        </row>
        <row r="80">
          <cell r="B80" t="str">
            <v>8305</v>
          </cell>
          <cell r="C80" t="str">
            <v>8030</v>
          </cell>
          <cell r="D80" t="str">
            <v xml:space="preserve">News Travels Alice Springs </v>
          </cell>
          <cell r="E80" t="str">
            <v>13/05/21</v>
          </cell>
          <cell r="F80">
            <v>554.65</v>
          </cell>
          <cell r="H80">
            <v>554.65</v>
          </cell>
          <cell r="I80">
            <v>400</v>
          </cell>
          <cell r="J80">
            <v>0</v>
          </cell>
          <cell r="K80">
            <v>554.65</v>
          </cell>
          <cell r="L80">
            <v>0</v>
          </cell>
          <cell r="M80">
            <v>0</v>
          </cell>
          <cell r="N80" t="str">
            <v>No</v>
          </cell>
        </row>
        <row r="81">
          <cell r="B81" t="str">
            <v>8185</v>
          </cell>
          <cell r="C81" t="str">
            <v>8185</v>
          </cell>
          <cell r="D81" t="str">
            <v>News Travels RPC</v>
          </cell>
          <cell r="E81" t="str">
            <v>13/05/21</v>
          </cell>
          <cell r="H81">
            <v>0</v>
          </cell>
          <cell r="L81">
            <v>0</v>
          </cell>
          <cell r="M81">
            <v>0</v>
          </cell>
          <cell r="N81" t="str">
            <v>No</v>
          </cell>
        </row>
        <row r="82">
          <cell r="B82" t="str">
            <v>8188</v>
          </cell>
          <cell r="C82" t="str">
            <v>8188</v>
          </cell>
          <cell r="D82" t="str">
            <v>News Travels Darwin Landside (8188)</v>
          </cell>
          <cell r="E82" t="str">
            <v>13/05/21</v>
          </cell>
          <cell r="F82">
            <v>2493.75</v>
          </cell>
          <cell r="H82">
            <v>2493.75</v>
          </cell>
          <cell r="I82">
            <v>0</v>
          </cell>
          <cell r="J82">
            <v>-5.25</v>
          </cell>
          <cell r="K82">
            <v>2493.75</v>
          </cell>
          <cell r="L82">
            <v>0</v>
          </cell>
          <cell r="M82">
            <v>0</v>
          </cell>
          <cell r="N82" t="str">
            <v>No</v>
          </cell>
        </row>
        <row r="83">
          <cell r="B83" t="str">
            <v>8190</v>
          </cell>
          <cell r="C83" t="str">
            <v>8190</v>
          </cell>
          <cell r="D83" t="str">
            <v>News Travels Darwin International Airside</v>
          </cell>
          <cell r="E83" t="str">
            <v>13/05/21</v>
          </cell>
          <cell r="H83">
            <v>0</v>
          </cell>
          <cell r="L83">
            <v>0</v>
          </cell>
          <cell r="M83">
            <v>0</v>
          </cell>
          <cell r="N83" t="str">
            <v>No</v>
          </cell>
        </row>
        <row r="84">
          <cell r="B84" t="str">
            <v>8196</v>
          </cell>
          <cell r="C84" t="str">
            <v>8196</v>
          </cell>
          <cell r="D84" t="str">
            <v>CLOSED Rip Curl DARWIN LANDSIDE</v>
          </cell>
          <cell r="E84" t="str">
            <v>13/05/21</v>
          </cell>
          <cell r="H84">
            <v>0</v>
          </cell>
          <cell r="L84">
            <v>0</v>
          </cell>
          <cell r="M84">
            <v>0</v>
          </cell>
          <cell r="N84" t="str">
            <v>No</v>
          </cell>
        </row>
        <row r="85">
          <cell r="B85" t="str">
            <v>9301</v>
          </cell>
          <cell r="C85" t="str">
            <v>9301</v>
          </cell>
          <cell r="D85" t="str">
            <v>POC Australia 1</v>
          </cell>
          <cell r="E85" t="str">
            <v>13/05/21</v>
          </cell>
          <cell r="H85">
            <v>0</v>
          </cell>
          <cell r="L85">
            <v>0</v>
          </cell>
          <cell r="M85">
            <v>0</v>
          </cell>
          <cell r="N85" t="str">
            <v>No</v>
          </cell>
        </row>
        <row r="86">
          <cell r="B86" t="str">
            <v>9302</v>
          </cell>
          <cell r="C86" t="str">
            <v>9302</v>
          </cell>
          <cell r="D86" t="str">
            <v>POC AUSTRALIA 2</v>
          </cell>
          <cell r="E86" t="str">
            <v>13/05/21</v>
          </cell>
          <cell r="H86">
            <v>0</v>
          </cell>
          <cell r="L86">
            <v>0</v>
          </cell>
          <cell r="M86">
            <v>0</v>
          </cell>
          <cell r="N86" t="str">
            <v>No</v>
          </cell>
        </row>
        <row r="87">
          <cell r="B87" t="str">
            <v>1085</v>
          </cell>
          <cell r="C87" t="str">
            <v>1085</v>
          </cell>
          <cell r="D87" t="str">
            <v>Around NZ Airside International Auckland</v>
          </cell>
          <cell r="E87" t="str">
            <v>13/05/21</v>
          </cell>
          <cell r="H87">
            <v>0</v>
          </cell>
          <cell r="L87">
            <v>0</v>
          </cell>
          <cell r="M87">
            <v>0</v>
          </cell>
          <cell r="N87" t="str">
            <v>No</v>
          </cell>
        </row>
        <row r="88">
          <cell r="B88" t="str">
            <v>1086</v>
          </cell>
          <cell r="C88" t="str">
            <v>1086</v>
          </cell>
          <cell r="D88" t="str">
            <v>(Closed) Around New Zealand Auckland Int.</v>
          </cell>
          <cell r="E88" t="str">
            <v>13/05/21</v>
          </cell>
          <cell r="H88">
            <v>0</v>
          </cell>
          <cell r="L88">
            <v>0</v>
          </cell>
          <cell r="M88">
            <v>0</v>
          </cell>
          <cell r="N88" t="str">
            <v>No</v>
          </cell>
        </row>
        <row r="89">
          <cell r="B89" t="str">
            <v>1149</v>
          </cell>
          <cell r="C89" t="str">
            <v>1149</v>
          </cell>
          <cell r="D89" t="str">
            <v>[CLOSED] Around New Zealand Auckland Intern</v>
          </cell>
          <cell r="E89" t="str">
            <v>13/05/21</v>
          </cell>
          <cell r="H89">
            <v>0</v>
          </cell>
          <cell r="L89">
            <v>0</v>
          </cell>
          <cell r="M89">
            <v>0</v>
          </cell>
          <cell r="N89" t="str">
            <v>No</v>
          </cell>
        </row>
        <row r="90">
          <cell r="B90" t="str">
            <v>1151</v>
          </cell>
          <cell r="C90" t="str">
            <v>1151</v>
          </cell>
          <cell r="D90" t="str">
            <v>Merino Collection International Landside</v>
          </cell>
          <cell r="E90" t="str">
            <v>13/05/21</v>
          </cell>
          <cell r="H90">
            <v>0</v>
          </cell>
          <cell r="L90">
            <v>0</v>
          </cell>
          <cell r="M90">
            <v>0</v>
          </cell>
          <cell r="N90" t="str">
            <v>No</v>
          </cell>
        </row>
        <row r="91">
          <cell r="B91" t="str">
            <v>1161</v>
          </cell>
          <cell r="C91" t="str">
            <v>1161</v>
          </cell>
          <cell r="D91" t="str">
            <v xml:space="preserve">Carry On International Landside Auckland </v>
          </cell>
          <cell r="E91" t="str">
            <v>13/05/21</v>
          </cell>
          <cell r="H91">
            <v>0</v>
          </cell>
          <cell r="L91">
            <v>0</v>
          </cell>
          <cell r="M91">
            <v>0</v>
          </cell>
          <cell r="N91" t="str">
            <v>No</v>
          </cell>
        </row>
        <row r="92">
          <cell r="B92" t="str">
            <v>1171</v>
          </cell>
          <cell r="C92" t="str">
            <v>1171</v>
          </cell>
          <cell r="D92" t="str">
            <v>Merino Collection Auckland International Airside</v>
          </cell>
          <cell r="E92" t="str">
            <v>13/05/21</v>
          </cell>
          <cell r="H92">
            <v>0</v>
          </cell>
          <cell r="L92">
            <v>0</v>
          </cell>
          <cell r="M92">
            <v>0</v>
          </cell>
          <cell r="N92" t="str">
            <v>No</v>
          </cell>
        </row>
        <row r="93">
          <cell r="B93" t="str">
            <v>1181</v>
          </cell>
          <cell r="C93" t="str">
            <v>1181</v>
          </cell>
          <cell r="D93" t="str">
            <v>Cape To Bluff</v>
          </cell>
          <cell r="E93" t="str">
            <v>13/05/21</v>
          </cell>
          <cell r="H93">
            <v>0</v>
          </cell>
          <cell r="L93">
            <v>0</v>
          </cell>
          <cell r="M93">
            <v>0</v>
          </cell>
          <cell r="N93" t="str">
            <v>No</v>
          </cell>
        </row>
        <row r="94">
          <cell r="B94" t="str">
            <v>9104</v>
          </cell>
          <cell r="C94" t="str">
            <v>9104</v>
          </cell>
          <cell r="D94" t="str">
            <v>POC New Zealand 1</v>
          </cell>
          <cell r="E94" t="str">
            <v>13/05/21</v>
          </cell>
          <cell r="H94">
            <v>0</v>
          </cell>
          <cell r="L94">
            <v>0</v>
          </cell>
          <cell r="M94">
            <v>0</v>
          </cell>
          <cell r="N94" t="str">
            <v>No</v>
          </cell>
        </row>
        <row r="95">
          <cell r="B95" t="str">
            <v>9105</v>
          </cell>
          <cell r="C95" t="str">
            <v>9105</v>
          </cell>
          <cell r="D95" t="str">
            <v>POC New Zealand 2</v>
          </cell>
          <cell r="E95" t="str">
            <v>13/05/21</v>
          </cell>
          <cell r="H95">
            <v>0</v>
          </cell>
          <cell r="L95">
            <v>0</v>
          </cell>
          <cell r="M95">
            <v>0</v>
          </cell>
          <cell r="N95" t="str">
            <v>No</v>
          </cell>
        </row>
        <row r="96">
          <cell r="B96" t="str">
            <v>1990</v>
          </cell>
          <cell r="C96" t="str">
            <v>9990</v>
          </cell>
          <cell r="D96" t="str">
            <v>Auckland International RPC</v>
          </cell>
          <cell r="E96" t="str">
            <v>13/05/21</v>
          </cell>
          <cell r="H96">
            <v>0</v>
          </cell>
          <cell r="L96">
            <v>0</v>
          </cell>
          <cell r="M96">
            <v>0</v>
          </cell>
          <cell r="N96" t="str">
            <v>No</v>
          </cell>
        </row>
        <row r="97">
          <cell r="B97" t="str">
            <v>9997</v>
          </cell>
          <cell r="C97" t="str">
            <v>9997</v>
          </cell>
          <cell r="D97" t="str">
            <v xml:space="preserve">HO TEST NZ </v>
          </cell>
          <cell r="E97" t="str">
            <v>13/05/21</v>
          </cell>
          <cell r="H97">
            <v>0</v>
          </cell>
          <cell r="L97">
            <v>0</v>
          </cell>
          <cell r="M97">
            <v>0</v>
          </cell>
          <cell r="N97" t="str">
            <v>No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thew Li" id="{E5A3AA56-B2FD-4E43-9305-F53F0246D145}" userId="S::mli@awpl.com.au::db18505d-b572-4000-99a4-a79f693410ef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POS Drawer History_3" connectionId="5" xr16:uid="{C2324CDD-4C49-4244-85A0-A2E9C815924C}" autoFormatId="0" applyNumberFormats="0" applyBorderFormats="0" applyFontFormats="1" applyPatternFormats="1" applyAlignmentFormats="0" applyWidthHeightFormats="0">
  <queryTableRefresh preserveSortFilterLayout="0" headersInLastRefresh="0" nextId="16">
    <queryTableFields count="15">
      <queryTableField id="1" name="store_code"/>
      <queryTableField id="2" name="description"/>
      <queryTableField id="3" name="virtualdrawer_code"/>
      <queryTableField id="4" name="post_rec_mnemonic"/>
      <queryTableField id="5" name="allocation_register_code"/>
      <queryTableField id="6" name="insert_date_time"/>
      <queryTableField id="7" name="first_name"/>
      <queryTableField id="8" name="last_name"/>
      <queryTableField id="9" name="payroll_id"/>
      <queryTableField id="10" name="total_shouldbe_value"/>
      <queryTableField id="11" name="total_declared_value"/>
      <queryTableField id="12" name="long_description"/>
      <queryTableField id="13" name="tendertype_mnemonic"/>
      <queryTableField id="14" name="cash_float_value"/>
      <queryTableField id="15" name="virtualdrawer_reconciled_date_tim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POS Drawer History" connectionId="19" xr16:uid="{944753D3-FFC5-415C-8810-A87B1902FBD9}" autoFormatId="0" applyNumberFormats="0" applyBorderFormats="0" applyFontFormats="1" applyPatternFormats="1" applyAlignmentFormats="0" applyWidthHeightFormats="0">
  <queryTableRefresh preserveSortFilterLayout="0" headersInLastRefresh="0" nextId="16">
    <queryTableFields count="15">
      <queryTableField id="1" name="store_code"/>
      <queryTableField id="2" name="description"/>
      <queryTableField id="3" name="virtualdrawer_code"/>
      <queryTableField id="4" name="post_rec_mnemonic"/>
      <queryTableField id="5" name="allocation_register_code"/>
      <queryTableField id="6" name="insert_date_time"/>
      <queryTableField id="7" name="first_name"/>
      <queryTableField id="8" name="last_name"/>
      <queryTableField id="9" name="payroll_id"/>
      <queryTableField id="10" name="total_shouldbe_value"/>
      <queryTableField id="11" name="total_declared_value"/>
      <queryTableField id="12" name="long_description"/>
      <queryTableField id="13" name="tendertype_mnemonic"/>
      <queryTableField id="14" name="cash_float_value"/>
      <queryTableField id="15" name="virtualdrawer_reconciled_date_time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POS Drawer History_2" connectionId="15" xr16:uid="{6364B1FC-25F6-43B4-8903-ACFAE6E104F4}" autoFormatId="0" applyNumberFormats="0" applyBorderFormats="0" applyFontFormats="1" applyPatternFormats="1" applyAlignmentFormats="0" applyWidthHeightFormats="0">
  <queryTableRefresh preserveSortFilterLayout="0" headersInLastRefresh="0" nextId="16">
    <queryTableFields count="15">
      <queryTableField id="1" name="store_code"/>
      <queryTableField id="2" name="description"/>
      <queryTableField id="3" name="virtualdrawer_code"/>
      <queryTableField id="4" name="post_rec_mnemonic"/>
      <queryTableField id="5" name="allocation_register_code"/>
      <queryTableField id="6" name="insert_date_time"/>
      <queryTableField id="7" name="first_name"/>
      <queryTableField id="8" name="last_name"/>
      <queryTableField id="9" name="payroll_id"/>
      <queryTableField id="10" name="total_shouldbe_value"/>
      <queryTableField id="11" name="total_declared_value"/>
      <queryTableField id="12" name="long_description"/>
      <queryTableField id="13" name="tendertype_mnemonic"/>
      <queryTableField id="14" name="cash_float_value"/>
      <queryTableField id="15" name="virtualdrawer_reconciled_date_time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POS Drawer History_5" connectionId="9" xr16:uid="{C5AC8CEB-1F59-4A14-AA0C-BC75EAC7255A}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store_code"/>
      <queryTableField id="2" name="description"/>
      <queryTableField id="3" name="virtualdrawer_code"/>
      <queryTableField id="4" name="post_rec_mnemonic"/>
      <queryTableField id="5" name="allocation_register_code"/>
      <queryTableField id="6" name="insert_date_time"/>
      <queryTableField id="7" name="first_name"/>
      <queryTableField id="8" name="last_name"/>
      <queryTableField id="9" name="payroll_id"/>
      <queryTableField id="10" name="total_shouldbe_value"/>
      <queryTableField id="11" name="total_declared_value"/>
      <queryTableField id="12" name="long_description"/>
      <queryTableField id="13" name="tendertype_mnemonic"/>
      <queryTableField id="14" name="cash_float_value"/>
      <queryTableField id="15" name="virtualdrawer_reconciled_date_time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POS Drawer History_4" connectionId="16" xr16:uid="{DF75C682-A5E3-4907-A38D-D7C3155694A9}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store_code"/>
      <queryTableField id="2" name="description"/>
      <queryTableField id="3" name="virtualdrawer_code"/>
      <queryTableField id="4" name="post_rec_mnemonic"/>
      <queryTableField id="5" name="allocation_register_code"/>
      <queryTableField id="6" name="insert_date_time"/>
      <queryTableField id="7" name="first_name"/>
      <queryTableField id="8" name="last_name"/>
      <queryTableField id="9" name="payroll_id"/>
      <queryTableField id="10" name="total_shouldbe_value"/>
      <queryTableField id="11" name="total_declared_value"/>
      <queryTableField id="12" name="long_description"/>
      <queryTableField id="13" name="tendertype_mnemonic"/>
      <queryTableField id="14" name="cash_float_value"/>
      <queryTableField id="15" name="virtualdrawer_reconciled_date_time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_7" connectionId="12" xr16:uid="{E9B18370-D009-4892-BB64-EA246A361426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  <queryTableField id="7" name="cash_declared_in_drawer_exc_float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_8" connectionId="8" xr16:uid="{4AA8E7F6-7058-438D-8E81-48A740260C84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  <queryTableField id="7" name="cash_declared_in_drawer_exc_float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" connectionId="14" xr16:uid="{0088A7D0-3089-4F34-9A64-8F69FFBBA1CA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  <queryTableField id="7" name="cash_takings_in_drawer_exc_float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_4" connectionId="18" xr16:uid="{FE8AA461-C666-4379-9D4A-69C2DEE18ED8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_6" connectionId="4" xr16:uid="{5141F1A2-5572-43F2-8634-C103AEB2E6C5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  <queryTableField id="7" name="cash_declared_in_drawer_exc_float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rawer Overview_5" connectionId="17" xr16:uid="{9D082490-D221-48E2-A67A-C9D7AC94F2C6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store_code"/>
      <queryTableField id="2" name="allocation_register_code"/>
      <queryTableField id="3" name="virtualdrawer_code"/>
      <queryTableField id="4" name="reconciled_ind"/>
      <queryTableField id="5" name="cash_float_value"/>
      <queryTableField id="6" name="issued_date_time"/>
      <queryTableField id="7" name="cash_declared_in_drawer_exc_float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Bank Deposit List_3" connectionId="6" xr16:uid="{452240E5-A0B4-4A30-BB2F-DD89B9B2BBFE}" autoFormatId="0" applyNumberFormats="0" applyBorderFormats="0" applyFontFormats="1" applyPatternFormats="1" applyAlignmentFormats="0" applyWidthHeightFormats="0">
  <queryTableRefresh preserveSortFilterLayout="0" headersInLastRefresh="0" nextId="9">
    <queryTableFields count="8">
      <queryTableField id="1" name="store_code"/>
      <queryTableField id="2" name="description"/>
      <queryTableField id="3" name="deposit_date_time"/>
      <queryTableField id="4" name="bankdeposit_code"/>
      <queryTableField id="5" name="cash_deposit_amount"/>
      <queryTableField id="6" name="cheque_deposit_amount"/>
      <queryTableField id="7" name="voucher_deposit_amount"/>
      <queryTableField id="8" name="total_deposit_amount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_12" connectionId="7" xr16:uid="{1A3AEFA2-2F50-4C03-82EE-BF3F75D5FEC4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_13" connectionId="10" xr16:uid="{DBC86F95-0545-4A6A-8AC1-96BC77E9ADBE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_9" connectionId="13" xr16:uid="{94860818-F97B-4AEB-8106-36047F4A2769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_8" connectionId="2" xr16:uid="{B581BC65-6819-4D06-8D82-99B99F3E67D7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_10" connectionId="3" xr16:uid="{49BC6393-026B-4F70-B4BA-97530EBC465E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Cash Variance Over $5" connectionId="1" xr16:uid="{540DC2FE-EFDE-422C-B89A-CEC92D64C8D6}" autoFormatId="0" applyNumberFormats="0" applyBorderFormats="0" applyFontFormats="1" applyPatternFormats="1" applyAlignmentFormats="0" applyWidthHeightFormats="0">
  <queryTableRefresh preserveSortFilterLayout="0" headersInLastRefresh="0" nextId="8">
    <queryTableFields count="7">
      <queryTableField id="1" name="date"/>
      <queryTableField id="2" name="trading_date"/>
      <queryTableField id="3" name="store_code"/>
      <queryTableField id="4" name="drawer_code"/>
      <queryTableField id="5" name="cash_discrepancy"/>
      <queryTableField id="6" name="drawer_handler"/>
      <queryTableField id="7" name="store_comments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tore Rec_5" connectionId="11" xr16:uid="{123554CC-2C4E-438E-8F60-75F1628B906E}" autoFormatId="0" applyNumberFormats="0" applyBorderFormats="0" applyFontFormats="1" applyPatternFormats="1" applyAlignmentFormats="0" applyWidthHeightFormats="0">
  <queryTableRefresh preserveSortFilterLayout="0" headersInLastRefresh="0" nextId="6">
    <queryTableFields count="5">
      <queryTableField id="1" name="date_now"/>
      <queryTableField id="2" name="trading_day"/>
      <queryTableField id="3" name="store_code"/>
      <queryTableField id="4" name="variance"/>
      <queryTableField id="5" name="first_nam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1-05-14T00:19:38.44" personId="{E5A3AA56-B2FD-4E43-9305-F53F0246D145}" id="{153D2BA2-C427-4021-BB35-B76DE36D3968}">
    <text>456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7.xml"/><Relationship Id="rId5" Type="http://schemas.openxmlformats.org/officeDocument/2006/relationships/queryTable" Target="../queryTables/queryTable6.xml"/><Relationship Id="rId10" Type="http://schemas.openxmlformats.org/officeDocument/2006/relationships/queryTable" Target="../queryTables/queryTable1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2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.xml"/><Relationship Id="rId3" Type="http://schemas.openxmlformats.org/officeDocument/2006/relationships/vmlDrawing" Target="../drawings/vmlDrawing6.vml"/><Relationship Id="rId7" Type="http://schemas.openxmlformats.org/officeDocument/2006/relationships/queryTable" Target="../queryTables/query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10" Type="http://schemas.openxmlformats.org/officeDocument/2006/relationships/queryTable" Target="../queryTables/queryTable18.xml"/><Relationship Id="rId4" Type="http://schemas.openxmlformats.org/officeDocument/2006/relationships/ctrlProp" Target="../ctrlProps/ctrlProp5.xml"/><Relationship Id="rId9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O1022"/>
  <sheetViews>
    <sheetView topLeftCell="A218" workbookViewId="0">
      <selection activeCell="E242" sqref="E242"/>
    </sheetView>
  </sheetViews>
  <sheetFormatPr defaultColWidth="9.140625" defaultRowHeight="12.75" x14ac:dyDescent="0.2"/>
  <cols>
    <col min="1" max="1" width="10.85546875" style="345" bestFit="1" customWidth="1"/>
    <col min="2" max="2" width="40.7109375" style="345" bestFit="1" customWidth="1"/>
    <col min="3" max="3" width="18.85546875" style="345" bestFit="1" customWidth="1"/>
    <col min="4" max="4" width="19.42578125" style="345" bestFit="1" customWidth="1"/>
    <col min="5" max="5" width="23.7109375" style="345" bestFit="1" customWidth="1"/>
    <col min="6" max="6" width="16.140625" style="110" bestFit="1" customWidth="1"/>
    <col min="7" max="7" width="10.42578125" style="345" bestFit="1" customWidth="1"/>
    <col min="8" max="8" width="12.28515625" style="345" bestFit="1" customWidth="1"/>
    <col min="9" max="9" width="10" style="345" bestFit="1" customWidth="1"/>
    <col min="10" max="10" width="20.5703125" style="345" bestFit="1" customWidth="1"/>
    <col min="11" max="11" width="20.28515625" style="345" bestFit="1" customWidth="1"/>
    <col min="12" max="12" width="16.140625" style="345" bestFit="1" customWidth="1"/>
    <col min="13" max="13" width="21.7109375" style="345" bestFit="1" customWidth="1"/>
    <col min="14" max="14" width="16.28515625" style="345" bestFit="1" customWidth="1"/>
    <col min="15" max="15" width="34.5703125" style="110" bestFit="1" customWidth="1"/>
    <col min="16" max="16384" width="9.140625" style="345"/>
  </cols>
  <sheetData>
    <row r="1" spans="1:15" x14ac:dyDescent="0.2">
      <c r="A1" s="344" t="s">
        <v>78</v>
      </c>
      <c r="B1" s="344" t="s">
        <v>79</v>
      </c>
      <c r="C1" s="344" t="s">
        <v>168</v>
      </c>
      <c r="D1" s="344" t="s">
        <v>169</v>
      </c>
      <c r="E1" s="344" t="s">
        <v>170</v>
      </c>
      <c r="F1" s="346" t="s">
        <v>171</v>
      </c>
      <c r="G1" s="344" t="s">
        <v>172</v>
      </c>
      <c r="H1" s="344" t="s">
        <v>173</v>
      </c>
      <c r="I1" s="344" t="s">
        <v>174</v>
      </c>
      <c r="J1" s="344" t="s">
        <v>175</v>
      </c>
      <c r="K1" s="344" t="s">
        <v>176</v>
      </c>
      <c r="L1" s="344" t="s">
        <v>177</v>
      </c>
      <c r="M1" s="344" t="s">
        <v>178</v>
      </c>
      <c r="N1" s="344" t="s">
        <v>179</v>
      </c>
      <c r="O1" s="346" t="s">
        <v>180</v>
      </c>
    </row>
    <row r="2" spans="1:15" x14ac:dyDescent="0.2">
      <c r="A2" s="345" t="s">
        <v>352</v>
      </c>
      <c r="B2" s="345" t="s">
        <v>353</v>
      </c>
      <c r="C2" s="345" t="s">
        <v>354</v>
      </c>
      <c r="D2" s="345" t="s">
        <v>355</v>
      </c>
      <c r="E2" s="345" t="s">
        <v>356</v>
      </c>
      <c r="F2" s="110">
        <v>44322.371759259258</v>
      </c>
      <c r="G2" s="345" t="s">
        <v>357</v>
      </c>
      <c r="H2" s="345" t="s">
        <v>358</v>
      </c>
      <c r="I2" s="345" t="s">
        <v>359</v>
      </c>
      <c r="J2" s="345">
        <v>400</v>
      </c>
      <c r="K2" s="345">
        <v>400</v>
      </c>
      <c r="L2" s="345" t="s">
        <v>360</v>
      </c>
      <c r="M2" s="345" t="s">
        <v>361</v>
      </c>
      <c r="N2" s="345">
        <v>400</v>
      </c>
      <c r="O2" s="110" t="s">
        <v>181</v>
      </c>
    </row>
    <row r="3" spans="1:15" x14ac:dyDescent="0.2">
      <c r="A3" s="345" t="s">
        <v>352</v>
      </c>
      <c r="B3" s="345" t="s">
        <v>353</v>
      </c>
      <c r="C3" s="345" t="s">
        <v>362</v>
      </c>
      <c r="D3" s="345" t="s">
        <v>331</v>
      </c>
      <c r="E3" s="345" t="s">
        <v>356</v>
      </c>
      <c r="F3" s="110">
        <v>44323.378055555557</v>
      </c>
      <c r="G3" s="345" t="s">
        <v>357</v>
      </c>
      <c r="H3" s="345" t="s">
        <v>358</v>
      </c>
      <c r="I3" s="345" t="s">
        <v>359</v>
      </c>
      <c r="J3" s="345">
        <v>400</v>
      </c>
      <c r="K3" s="345">
        <v>400</v>
      </c>
      <c r="L3" s="345" t="s">
        <v>360</v>
      </c>
      <c r="M3" s="345" t="s">
        <v>361</v>
      </c>
      <c r="N3" s="345">
        <v>400</v>
      </c>
      <c r="O3" s="110" t="s">
        <v>328</v>
      </c>
    </row>
    <row r="4" spans="1:15" x14ac:dyDescent="0.2">
      <c r="A4" s="345" t="s">
        <v>193</v>
      </c>
      <c r="B4" s="345" t="s">
        <v>363</v>
      </c>
      <c r="C4" s="345" t="s">
        <v>238</v>
      </c>
      <c r="D4" s="345" t="s">
        <v>355</v>
      </c>
      <c r="E4" s="345" t="s">
        <v>194</v>
      </c>
      <c r="F4" s="110">
        <v>44322.379155092596</v>
      </c>
      <c r="G4" s="345" t="s">
        <v>364</v>
      </c>
      <c r="H4" s="345" t="s">
        <v>365</v>
      </c>
      <c r="I4" s="345" t="s">
        <v>366</v>
      </c>
      <c r="J4" s="345">
        <v>449.95</v>
      </c>
      <c r="K4" s="345">
        <v>449.95</v>
      </c>
      <c r="L4" s="345" t="s">
        <v>360</v>
      </c>
      <c r="M4" s="345" t="s">
        <v>361</v>
      </c>
      <c r="N4" s="345">
        <v>400</v>
      </c>
      <c r="O4" s="110" t="s">
        <v>181</v>
      </c>
    </row>
    <row r="5" spans="1:15" x14ac:dyDescent="0.2">
      <c r="A5" s="345" t="s">
        <v>193</v>
      </c>
      <c r="B5" s="345" t="s">
        <v>363</v>
      </c>
      <c r="C5" s="345" t="s">
        <v>239</v>
      </c>
      <c r="D5" s="345" t="s">
        <v>329</v>
      </c>
      <c r="E5" s="345" t="s">
        <v>194</v>
      </c>
      <c r="F5" s="110">
        <v>44323.325023148151</v>
      </c>
      <c r="G5" s="345" t="s">
        <v>367</v>
      </c>
      <c r="H5" s="345" t="s">
        <v>368</v>
      </c>
      <c r="I5" s="345" t="s">
        <v>369</v>
      </c>
      <c r="J5" s="345">
        <v>442</v>
      </c>
      <c r="K5" s="345">
        <v>447</v>
      </c>
      <c r="L5" s="345" t="s">
        <v>360</v>
      </c>
      <c r="M5" s="345" t="s">
        <v>361</v>
      </c>
      <c r="N5" s="345">
        <v>400</v>
      </c>
      <c r="O5" s="110" t="s">
        <v>328</v>
      </c>
    </row>
    <row r="6" spans="1:15" x14ac:dyDescent="0.2">
      <c r="A6" s="345" t="s">
        <v>193</v>
      </c>
      <c r="B6" s="345" t="s">
        <v>363</v>
      </c>
      <c r="C6" s="345" t="s">
        <v>240</v>
      </c>
      <c r="D6" s="345" t="s">
        <v>337</v>
      </c>
      <c r="E6" s="345" t="s">
        <v>194</v>
      </c>
      <c r="F6" s="110">
        <v>44324.28875</v>
      </c>
      <c r="G6" s="345" t="s">
        <v>370</v>
      </c>
      <c r="H6" s="345" t="s">
        <v>371</v>
      </c>
      <c r="I6" s="345" t="s">
        <v>372</v>
      </c>
      <c r="J6" s="345">
        <v>426</v>
      </c>
      <c r="K6" s="345">
        <v>426</v>
      </c>
      <c r="L6" s="345" t="s">
        <v>360</v>
      </c>
      <c r="M6" s="345" t="s">
        <v>361</v>
      </c>
      <c r="N6" s="345">
        <v>400</v>
      </c>
      <c r="O6" s="110" t="s">
        <v>336</v>
      </c>
    </row>
    <row r="7" spans="1:15" x14ac:dyDescent="0.2">
      <c r="A7" s="345" t="s">
        <v>193</v>
      </c>
      <c r="B7" s="345" t="s">
        <v>363</v>
      </c>
      <c r="C7" s="345" t="s">
        <v>241</v>
      </c>
      <c r="D7" s="345" t="s">
        <v>343</v>
      </c>
      <c r="E7" s="345" t="s">
        <v>194</v>
      </c>
      <c r="F7" s="110">
        <v>44325.338680555556</v>
      </c>
      <c r="G7" s="345" t="s">
        <v>373</v>
      </c>
      <c r="H7" s="345" t="s">
        <v>374</v>
      </c>
      <c r="I7" s="345" t="s">
        <v>375</v>
      </c>
      <c r="J7" s="345">
        <v>641.9</v>
      </c>
      <c r="K7" s="345">
        <v>641.85</v>
      </c>
      <c r="L7" s="345" t="s">
        <v>360</v>
      </c>
      <c r="M7" s="345" t="s">
        <v>361</v>
      </c>
      <c r="N7" s="345">
        <v>400</v>
      </c>
      <c r="O7" s="110" t="s">
        <v>342</v>
      </c>
    </row>
    <row r="8" spans="1:15" x14ac:dyDescent="0.2">
      <c r="A8" s="345" t="s">
        <v>195</v>
      </c>
      <c r="B8" s="345" t="s">
        <v>376</v>
      </c>
      <c r="C8" s="345" t="s">
        <v>242</v>
      </c>
      <c r="D8" s="345" t="s">
        <v>355</v>
      </c>
      <c r="E8" s="345" t="s">
        <v>196</v>
      </c>
      <c r="F8" s="110">
        <v>44322.295763888891</v>
      </c>
      <c r="G8" s="345" t="s">
        <v>377</v>
      </c>
      <c r="H8" s="345" t="s">
        <v>378</v>
      </c>
      <c r="I8" s="345" t="s">
        <v>379</v>
      </c>
      <c r="J8" s="345">
        <v>423.95</v>
      </c>
      <c r="K8" s="345">
        <v>423.95</v>
      </c>
      <c r="L8" s="345" t="s">
        <v>360</v>
      </c>
      <c r="M8" s="345" t="s">
        <v>361</v>
      </c>
      <c r="N8" s="345">
        <v>400</v>
      </c>
      <c r="O8" s="110" t="s">
        <v>181</v>
      </c>
    </row>
    <row r="9" spans="1:15" x14ac:dyDescent="0.2">
      <c r="A9" s="345" t="s">
        <v>195</v>
      </c>
      <c r="B9" s="345" t="s">
        <v>376</v>
      </c>
      <c r="C9" s="345" t="s">
        <v>243</v>
      </c>
      <c r="D9" s="345" t="s">
        <v>331</v>
      </c>
      <c r="E9" s="345" t="s">
        <v>196</v>
      </c>
      <c r="F9" s="110">
        <v>44323.297881944447</v>
      </c>
      <c r="G9" s="345" t="s">
        <v>380</v>
      </c>
      <c r="H9" s="345" t="s">
        <v>381</v>
      </c>
      <c r="I9" s="345" t="s">
        <v>382</v>
      </c>
      <c r="J9" s="345">
        <v>738.5</v>
      </c>
      <c r="K9" s="345">
        <v>738.5</v>
      </c>
      <c r="L9" s="345" t="s">
        <v>360</v>
      </c>
      <c r="M9" s="345" t="s">
        <v>361</v>
      </c>
      <c r="N9" s="345">
        <v>400</v>
      </c>
      <c r="O9" s="110" t="s">
        <v>328</v>
      </c>
    </row>
    <row r="10" spans="1:15" x14ac:dyDescent="0.2">
      <c r="A10" s="345" t="s">
        <v>195</v>
      </c>
      <c r="B10" s="345" t="s">
        <v>376</v>
      </c>
      <c r="C10" s="345" t="s">
        <v>244</v>
      </c>
      <c r="D10" s="345" t="s">
        <v>337</v>
      </c>
      <c r="E10" s="345" t="s">
        <v>196</v>
      </c>
      <c r="F10" s="110">
        <v>44324.306087962963</v>
      </c>
      <c r="G10" s="345" t="s">
        <v>373</v>
      </c>
      <c r="H10" s="345" t="s">
        <v>374</v>
      </c>
      <c r="I10" s="345" t="s">
        <v>375</v>
      </c>
      <c r="J10" s="345">
        <v>444.9</v>
      </c>
      <c r="K10" s="345">
        <v>445.4</v>
      </c>
      <c r="L10" s="345" t="s">
        <v>360</v>
      </c>
      <c r="M10" s="345" t="s">
        <v>361</v>
      </c>
      <c r="N10" s="345">
        <v>400</v>
      </c>
      <c r="O10" s="110" t="s">
        <v>336</v>
      </c>
    </row>
    <row r="11" spans="1:15" x14ac:dyDescent="0.2">
      <c r="A11" s="345" t="s">
        <v>195</v>
      </c>
      <c r="B11" s="345" t="s">
        <v>376</v>
      </c>
      <c r="C11" s="345" t="s">
        <v>245</v>
      </c>
      <c r="D11" s="345" t="s">
        <v>343</v>
      </c>
      <c r="E11" s="345" t="s">
        <v>196</v>
      </c>
      <c r="F11" s="110">
        <v>44325.324733796297</v>
      </c>
      <c r="G11" s="345" t="s">
        <v>370</v>
      </c>
      <c r="H11" s="345" t="s">
        <v>371</v>
      </c>
      <c r="I11" s="345" t="s">
        <v>372</v>
      </c>
      <c r="J11" s="345">
        <v>564.35</v>
      </c>
      <c r="K11" s="345">
        <v>564.35</v>
      </c>
      <c r="L11" s="345" t="s">
        <v>360</v>
      </c>
      <c r="M11" s="345" t="s">
        <v>361</v>
      </c>
      <c r="N11" s="345">
        <v>400</v>
      </c>
      <c r="O11" s="110" t="s">
        <v>342</v>
      </c>
    </row>
    <row r="12" spans="1:15" x14ac:dyDescent="0.2">
      <c r="A12" s="345" t="s">
        <v>197</v>
      </c>
      <c r="B12" s="345" t="s">
        <v>383</v>
      </c>
      <c r="C12" s="345" t="s">
        <v>246</v>
      </c>
      <c r="D12" s="345" t="s">
        <v>355</v>
      </c>
      <c r="E12" s="345" t="s">
        <v>198</v>
      </c>
      <c r="F12" s="110">
        <v>44322.28365740741</v>
      </c>
      <c r="G12" s="345" t="s">
        <v>384</v>
      </c>
      <c r="H12" s="345" t="s">
        <v>385</v>
      </c>
      <c r="I12" s="345" t="s">
        <v>386</v>
      </c>
      <c r="J12" s="345">
        <v>727.7</v>
      </c>
      <c r="K12" s="345">
        <v>727.7</v>
      </c>
      <c r="L12" s="345" t="s">
        <v>360</v>
      </c>
      <c r="M12" s="345" t="s">
        <v>361</v>
      </c>
      <c r="N12" s="345">
        <v>400</v>
      </c>
      <c r="O12" s="110" t="s">
        <v>181</v>
      </c>
    </row>
    <row r="13" spans="1:15" x14ac:dyDescent="0.2">
      <c r="A13" s="345" t="s">
        <v>197</v>
      </c>
      <c r="B13" s="345" t="s">
        <v>383</v>
      </c>
      <c r="C13" s="345" t="s">
        <v>247</v>
      </c>
      <c r="D13" s="345" t="s">
        <v>331</v>
      </c>
      <c r="E13" s="345" t="s">
        <v>198</v>
      </c>
      <c r="F13" s="110">
        <v>44323.283750000002</v>
      </c>
      <c r="G13" s="345" t="s">
        <v>387</v>
      </c>
      <c r="H13" s="345" t="s">
        <v>388</v>
      </c>
      <c r="I13" s="345" t="s">
        <v>389</v>
      </c>
      <c r="J13" s="345">
        <v>1067.55</v>
      </c>
      <c r="K13" s="345">
        <v>1067.55</v>
      </c>
      <c r="L13" s="345" t="s">
        <v>360</v>
      </c>
      <c r="M13" s="345" t="s">
        <v>361</v>
      </c>
      <c r="N13" s="345">
        <v>400</v>
      </c>
      <c r="O13" s="110" t="s">
        <v>328</v>
      </c>
    </row>
    <row r="14" spans="1:15" x14ac:dyDescent="0.2">
      <c r="A14" s="345" t="s">
        <v>197</v>
      </c>
      <c r="B14" s="345" t="s">
        <v>383</v>
      </c>
      <c r="C14" s="345" t="s">
        <v>248</v>
      </c>
      <c r="D14" s="345" t="s">
        <v>337</v>
      </c>
      <c r="E14" s="345" t="s">
        <v>198</v>
      </c>
      <c r="F14" s="110">
        <v>44324.304270833331</v>
      </c>
      <c r="G14" s="345" t="s">
        <v>338</v>
      </c>
      <c r="H14" s="345" t="s">
        <v>390</v>
      </c>
      <c r="I14" s="345" t="s">
        <v>391</v>
      </c>
      <c r="J14" s="345">
        <v>859.75</v>
      </c>
      <c r="K14" s="345">
        <v>845.25</v>
      </c>
      <c r="L14" s="345" t="s">
        <v>360</v>
      </c>
      <c r="M14" s="345" t="s">
        <v>361</v>
      </c>
      <c r="N14" s="345">
        <v>400</v>
      </c>
      <c r="O14" s="110" t="s">
        <v>336</v>
      </c>
    </row>
    <row r="15" spans="1:15" x14ac:dyDescent="0.2">
      <c r="A15" s="345" t="s">
        <v>197</v>
      </c>
      <c r="B15" s="345" t="s">
        <v>383</v>
      </c>
      <c r="C15" s="345" t="s">
        <v>249</v>
      </c>
      <c r="D15" s="345" t="s">
        <v>343</v>
      </c>
      <c r="E15" s="345" t="s">
        <v>198</v>
      </c>
      <c r="F15" s="110">
        <v>44325.356574074074</v>
      </c>
      <c r="G15" s="345" t="s">
        <v>344</v>
      </c>
      <c r="H15" s="345" t="s">
        <v>392</v>
      </c>
      <c r="I15" s="345" t="s">
        <v>393</v>
      </c>
      <c r="J15" s="345">
        <v>786.25</v>
      </c>
      <c r="K15" s="345">
        <v>1203.5999999999999</v>
      </c>
      <c r="L15" s="345" t="s">
        <v>360</v>
      </c>
      <c r="M15" s="345" t="s">
        <v>361</v>
      </c>
      <c r="N15" s="345">
        <v>400</v>
      </c>
      <c r="O15" s="110" t="s">
        <v>342</v>
      </c>
    </row>
    <row r="16" spans="1:15" x14ac:dyDescent="0.2">
      <c r="A16" s="345" t="s">
        <v>199</v>
      </c>
      <c r="B16" s="345" t="s">
        <v>394</v>
      </c>
      <c r="C16" s="345" t="s">
        <v>250</v>
      </c>
      <c r="D16" s="345" t="s">
        <v>355</v>
      </c>
      <c r="E16" s="345" t="s">
        <v>200</v>
      </c>
      <c r="F16" s="110">
        <v>44322.29</v>
      </c>
      <c r="G16" s="345" t="s">
        <v>395</v>
      </c>
      <c r="H16" s="345" t="s">
        <v>396</v>
      </c>
      <c r="I16" s="345" t="s">
        <v>397</v>
      </c>
      <c r="J16" s="345">
        <v>530.95000000000005</v>
      </c>
      <c r="K16" s="345">
        <v>530.95000000000005</v>
      </c>
      <c r="L16" s="345" t="s">
        <v>360</v>
      </c>
      <c r="M16" s="345" t="s">
        <v>361</v>
      </c>
      <c r="N16" s="345">
        <v>400</v>
      </c>
      <c r="O16" s="110" t="s">
        <v>181</v>
      </c>
    </row>
    <row r="17" spans="1:15" x14ac:dyDescent="0.2">
      <c r="A17" s="345" t="s">
        <v>199</v>
      </c>
      <c r="B17" s="345" t="s">
        <v>394</v>
      </c>
      <c r="C17" s="345" t="s">
        <v>251</v>
      </c>
      <c r="D17" s="345" t="s">
        <v>331</v>
      </c>
      <c r="E17" s="345" t="s">
        <v>200</v>
      </c>
      <c r="F17" s="110">
        <v>44323.289467592593</v>
      </c>
      <c r="G17" s="345" t="s">
        <v>398</v>
      </c>
      <c r="H17" s="345" t="s">
        <v>399</v>
      </c>
      <c r="I17" s="345" t="s">
        <v>400</v>
      </c>
      <c r="J17" s="345">
        <v>416.35</v>
      </c>
      <c r="K17" s="345">
        <v>416.35</v>
      </c>
      <c r="L17" s="345" t="s">
        <v>360</v>
      </c>
      <c r="M17" s="345" t="s">
        <v>361</v>
      </c>
      <c r="N17" s="345">
        <v>400</v>
      </c>
      <c r="O17" s="110" t="s">
        <v>328</v>
      </c>
    </row>
    <row r="18" spans="1:15" x14ac:dyDescent="0.2">
      <c r="A18" s="345" t="s">
        <v>201</v>
      </c>
      <c r="B18" s="345" t="s">
        <v>401</v>
      </c>
      <c r="C18" s="345" t="s">
        <v>252</v>
      </c>
      <c r="D18" s="345" t="s">
        <v>402</v>
      </c>
      <c r="E18" s="345" t="s">
        <v>202</v>
      </c>
      <c r="F18" s="110">
        <v>44322.244942129626</v>
      </c>
      <c r="G18" s="345" t="s">
        <v>403</v>
      </c>
      <c r="H18" s="345" t="s">
        <v>404</v>
      </c>
      <c r="I18" s="345" t="s">
        <v>405</v>
      </c>
      <c r="J18" s="345">
        <v>831.65</v>
      </c>
      <c r="K18" s="345">
        <v>831.65</v>
      </c>
      <c r="L18" s="345" t="s">
        <v>360</v>
      </c>
      <c r="M18" s="345" t="s">
        <v>361</v>
      </c>
      <c r="N18" s="345">
        <v>400</v>
      </c>
      <c r="O18" s="110" t="s">
        <v>181</v>
      </c>
    </row>
    <row r="19" spans="1:15" x14ac:dyDescent="0.2">
      <c r="A19" s="345" t="s">
        <v>201</v>
      </c>
      <c r="B19" s="345" t="s">
        <v>401</v>
      </c>
      <c r="C19" s="345" t="s">
        <v>253</v>
      </c>
      <c r="D19" s="345" t="s">
        <v>333</v>
      </c>
      <c r="E19" s="345" t="s">
        <v>202</v>
      </c>
      <c r="F19" s="110">
        <v>44323.245497685188</v>
      </c>
      <c r="G19" s="345" t="s">
        <v>403</v>
      </c>
      <c r="H19" s="345" t="s">
        <v>404</v>
      </c>
      <c r="I19" s="345" t="s">
        <v>405</v>
      </c>
      <c r="J19" s="345">
        <v>1141.8</v>
      </c>
      <c r="K19" s="345">
        <v>1141.75</v>
      </c>
      <c r="L19" s="345" t="s">
        <v>360</v>
      </c>
      <c r="M19" s="345" t="s">
        <v>361</v>
      </c>
      <c r="N19" s="345">
        <v>400</v>
      </c>
      <c r="O19" s="110" t="s">
        <v>328</v>
      </c>
    </row>
    <row r="20" spans="1:15" x14ac:dyDescent="0.2">
      <c r="A20" s="345" t="s">
        <v>201</v>
      </c>
      <c r="B20" s="345" t="s">
        <v>401</v>
      </c>
      <c r="C20" s="345" t="s">
        <v>254</v>
      </c>
      <c r="D20" s="345" t="s">
        <v>340</v>
      </c>
      <c r="E20" s="345" t="s">
        <v>202</v>
      </c>
      <c r="F20" s="110">
        <v>44324.233402777776</v>
      </c>
      <c r="G20" s="345" t="s">
        <v>403</v>
      </c>
      <c r="H20" s="345" t="s">
        <v>404</v>
      </c>
      <c r="I20" s="345" t="s">
        <v>405</v>
      </c>
      <c r="J20" s="345">
        <v>562.65</v>
      </c>
      <c r="K20" s="345">
        <v>562.65</v>
      </c>
      <c r="L20" s="345" t="s">
        <v>360</v>
      </c>
      <c r="M20" s="345" t="s">
        <v>361</v>
      </c>
      <c r="N20" s="345">
        <v>400</v>
      </c>
      <c r="O20" s="110" t="s">
        <v>336</v>
      </c>
    </row>
    <row r="21" spans="1:15" x14ac:dyDescent="0.2">
      <c r="A21" s="345" t="s">
        <v>201</v>
      </c>
      <c r="B21" s="345" t="s">
        <v>401</v>
      </c>
      <c r="C21" s="345" t="s">
        <v>255</v>
      </c>
      <c r="D21" s="345" t="s">
        <v>348</v>
      </c>
      <c r="E21" s="345" t="s">
        <v>202</v>
      </c>
      <c r="F21" s="110">
        <v>44325.255474537036</v>
      </c>
      <c r="G21" s="345" t="s">
        <v>403</v>
      </c>
      <c r="H21" s="345" t="s">
        <v>404</v>
      </c>
      <c r="I21" s="345" t="s">
        <v>405</v>
      </c>
      <c r="J21" s="345">
        <v>679.15</v>
      </c>
      <c r="K21" s="345">
        <v>679.3</v>
      </c>
      <c r="L21" s="345" t="s">
        <v>360</v>
      </c>
      <c r="M21" s="345" t="s">
        <v>361</v>
      </c>
      <c r="N21" s="345">
        <v>400</v>
      </c>
      <c r="O21" s="110" t="s">
        <v>342</v>
      </c>
    </row>
    <row r="22" spans="1:15" x14ac:dyDescent="0.2">
      <c r="A22" s="345" t="s">
        <v>203</v>
      </c>
      <c r="B22" s="345" t="s">
        <v>406</v>
      </c>
      <c r="C22" s="345" t="s">
        <v>256</v>
      </c>
      <c r="D22" s="345" t="s">
        <v>331</v>
      </c>
      <c r="E22" s="345" t="s">
        <v>204</v>
      </c>
      <c r="F22" s="110">
        <v>44323.404224537036</v>
      </c>
      <c r="G22" s="345" t="s">
        <v>407</v>
      </c>
      <c r="H22" s="345" t="s">
        <v>408</v>
      </c>
      <c r="I22" s="345" t="s">
        <v>409</v>
      </c>
      <c r="J22" s="345">
        <v>413</v>
      </c>
      <c r="K22" s="345">
        <v>413</v>
      </c>
      <c r="L22" s="345" t="s">
        <v>360</v>
      </c>
      <c r="M22" s="345" t="s">
        <v>361</v>
      </c>
      <c r="N22" s="345">
        <v>400</v>
      </c>
      <c r="O22" s="110" t="s">
        <v>328</v>
      </c>
    </row>
    <row r="23" spans="1:15" x14ac:dyDescent="0.2">
      <c r="A23" s="345" t="s">
        <v>205</v>
      </c>
      <c r="B23" s="345" t="s">
        <v>410</v>
      </c>
      <c r="C23" s="345" t="s">
        <v>257</v>
      </c>
      <c r="D23" s="345" t="s">
        <v>411</v>
      </c>
      <c r="E23" s="345" t="s">
        <v>206</v>
      </c>
      <c r="F23" s="110">
        <v>44322.252129629633</v>
      </c>
      <c r="G23" s="345" t="s">
        <v>412</v>
      </c>
      <c r="H23" s="345" t="s">
        <v>413</v>
      </c>
      <c r="I23" s="345" t="s">
        <v>414</v>
      </c>
      <c r="J23" s="345">
        <v>522.1</v>
      </c>
      <c r="K23" s="345">
        <v>522.1</v>
      </c>
      <c r="L23" s="345" t="s">
        <v>360</v>
      </c>
      <c r="M23" s="345" t="s">
        <v>361</v>
      </c>
      <c r="N23" s="345">
        <v>400</v>
      </c>
      <c r="O23" s="110" t="s">
        <v>181</v>
      </c>
    </row>
    <row r="24" spans="1:15" x14ac:dyDescent="0.2">
      <c r="A24" s="345" t="s">
        <v>205</v>
      </c>
      <c r="B24" s="345" t="s">
        <v>410</v>
      </c>
      <c r="C24" s="345" t="s">
        <v>258</v>
      </c>
      <c r="D24" s="345" t="s">
        <v>415</v>
      </c>
      <c r="E24" s="345" t="s">
        <v>206</v>
      </c>
      <c r="F24" s="110">
        <v>44323.247928240744</v>
      </c>
      <c r="G24" s="345" t="s">
        <v>347</v>
      </c>
      <c r="H24" s="345" t="s">
        <v>416</v>
      </c>
      <c r="I24" s="345" t="s">
        <v>417</v>
      </c>
      <c r="J24" s="345">
        <v>484</v>
      </c>
      <c r="K24" s="345">
        <v>484.1</v>
      </c>
      <c r="L24" s="345" t="s">
        <v>360</v>
      </c>
      <c r="M24" s="345" t="s">
        <v>361</v>
      </c>
      <c r="N24" s="345">
        <v>400</v>
      </c>
      <c r="O24" s="110" t="s">
        <v>328</v>
      </c>
    </row>
    <row r="25" spans="1:15" x14ac:dyDescent="0.2">
      <c r="A25" s="345" t="s">
        <v>205</v>
      </c>
      <c r="B25" s="345" t="s">
        <v>410</v>
      </c>
      <c r="C25" s="345" t="s">
        <v>259</v>
      </c>
      <c r="D25" s="345" t="s">
        <v>418</v>
      </c>
      <c r="E25" s="345" t="s">
        <v>206</v>
      </c>
      <c r="F25" s="110">
        <v>44324.269131944442</v>
      </c>
      <c r="G25" s="345" t="s">
        <v>419</v>
      </c>
      <c r="H25" s="345" t="s">
        <v>420</v>
      </c>
      <c r="I25" s="345" t="s">
        <v>421</v>
      </c>
      <c r="J25" s="345">
        <v>724.1</v>
      </c>
      <c r="K25" s="345">
        <v>724.1</v>
      </c>
      <c r="L25" s="345" t="s">
        <v>360</v>
      </c>
      <c r="M25" s="345" t="s">
        <v>361</v>
      </c>
      <c r="N25" s="345">
        <v>400</v>
      </c>
      <c r="O25" s="110" t="s">
        <v>336</v>
      </c>
    </row>
    <row r="26" spans="1:15" x14ac:dyDescent="0.2">
      <c r="A26" s="345" t="s">
        <v>205</v>
      </c>
      <c r="B26" s="345" t="s">
        <v>410</v>
      </c>
      <c r="C26" s="345" t="s">
        <v>260</v>
      </c>
      <c r="D26" s="345" t="s">
        <v>346</v>
      </c>
      <c r="E26" s="345" t="s">
        <v>206</v>
      </c>
      <c r="F26" s="110">
        <v>44325.272083333337</v>
      </c>
      <c r="G26" s="345" t="s">
        <v>347</v>
      </c>
      <c r="H26" s="345" t="s">
        <v>416</v>
      </c>
      <c r="I26" s="345" t="s">
        <v>417</v>
      </c>
      <c r="J26" s="345">
        <v>752.35</v>
      </c>
      <c r="K26" s="345">
        <v>762.35</v>
      </c>
      <c r="L26" s="345" t="s">
        <v>360</v>
      </c>
      <c r="M26" s="345" t="s">
        <v>361</v>
      </c>
      <c r="N26" s="345">
        <v>400</v>
      </c>
      <c r="O26" s="110" t="s">
        <v>342</v>
      </c>
    </row>
    <row r="27" spans="1:15" x14ac:dyDescent="0.2">
      <c r="A27" s="345" t="s">
        <v>207</v>
      </c>
      <c r="B27" s="345" t="s">
        <v>422</v>
      </c>
      <c r="C27" s="345" t="s">
        <v>261</v>
      </c>
      <c r="D27" s="345" t="s">
        <v>402</v>
      </c>
      <c r="E27" s="345" t="s">
        <v>208</v>
      </c>
      <c r="F27" s="110">
        <v>44322.22210648148</v>
      </c>
      <c r="G27" s="345" t="s">
        <v>423</v>
      </c>
      <c r="H27" s="345" t="s">
        <v>424</v>
      </c>
      <c r="I27" s="345" t="s">
        <v>425</v>
      </c>
      <c r="J27" s="345">
        <v>1522.95</v>
      </c>
      <c r="K27" s="345">
        <v>1523.85</v>
      </c>
      <c r="L27" s="345" t="s">
        <v>360</v>
      </c>
      <c r="M27" s="345" t="s">
        <v>361</v>
      </c>
      <c r="N27" s="345">
        <v>400</v>
      </c>
      <c r="O27" s="110" t="s">
        <v>181</v>
      </c>
    </row>
    <row r="28" spans="1:15" x14ac:dyDescent="0.2">
      <c r="A28" s="345" t="s">
        <v>207</v>
      </c>
      <c r="B28" s="345" t="s">
        <v>422</v>
      </c>
      <c r="C28" s="345" t="s">
        <v>262</v>
      </c>
      <c r="D28" s="345" t="s">
        <v>333</v>
      </c>
      <c r="E28" s="345" t="s">
        <v>208</v>
      </c>
      <c r="F28" s="110">
        <v>44323.221817129626</v>
      </c>
      <c r="G28" s="345" t="s">
        <v>423</v>
      </c>
      <c r="H28" s="345" t="s">
        <v>424</v>
      </c>
      <c r="I28" s="345" t="s">
        <v>425</v>
      </c>
      <c r="J28" s="345">
        <v>1089.25</v>
      </c>
      <c r="K28" s="345">
        <v>1089.3</v>
      </c>
      <c r="L28" s="345" t="s">
        <v>360</v>
      </c>
      <c r="M28" s="345" t="s">
        <v>361</v>
      </c>
      <c r="N28" s="345">
        <v>400</v>
      </c>
      <c r="O28" s="110" t="s">
        <v>328</v>
      </c>
    </row>
    <row r="29" spans="1:15" x14ac:dyDescent="0.2">
      <c r="A29" s="345" t="s">
        <v>207</v>
      </c>
      <c r="B29" s="345" t="s">
        <v>422</v>
      </c>
      <c r="C29" s="345" t="s">
        <v>263</v>
      </c>
      <c r="D29" s="345" t="s">
        <v>340</v>
      </c>
      <c r="E29" s="345" t="s">
        <v>208</v>
      </c>
      <c r="F29" s="110">
        <v>44324.231157407405</v>
      </c>
      <c r="G29" s="345" t="s">
        <v>349</v>
      </c>
      <c r="H29" s="345" t="s">
        <v>426</v>
      </c>
      <c r="I29" s="345" t="s">
        <v>427</v>
      </c>
      <c r="J29" s="345">
        <v>1401.6</v>
      </c>
      <c r="K29" s="345">
        <v>1405.1</v>
      </c>
      <c r="L29" s="345" t="s">
        <v>360</v>
      </c>
      <c r="M29" s="345" t="s">
        <v>361</v>
      </c>
      <c r="N29" s="345">
        <v>400</v>
      </c>
      <c r="O29" s="110" t="s">
        <v>336</v>
      </c>
    </row>
    <row r="30" spans="1:15" x14ac:dyDescent="0.2">
      <c r="A30" s="345" t="s">
        <v>207</v>
      </c>
      <c r="B30" s="345" t="s">
        <v>422</v>
      </c>
      <c r="C30" s="345" t="s">
        <v>264</v>
      </c>
      <c r="D30" s="345" t="s">
        <v>348</v>
      </c>
      <c r="E30" s="345" t="s">
        <v>208</v>
      </c>
      <c r="F30" s="110">
        <v>44325.2893287037</v>
      </c>
      <c r="G30" s="345" t="s">
        <v>349</v>
      </c>
      <c r="H30" s="345" t="s">
        <v>426</v>
      </c>
      <c r="I30" s="345" t="s">
        <v>427</v>
      </c>
      <c r="J30" s="345">
        <v>1191.3</v>
      </c>
      <c r="K30" s="345">
        <v>1211.9000000000001</v>
      </c>
      <c r="L30" s="345" t="s">
        <v>360</v>
      </c>
      <c r="M30" s="345" t="s">
        <v>361</v>
      </c>
      <c r="N30" s="345">
        <v>400</v>
      </c>
      <c r="O30" s="110" t="s">
        <v>342</v>
      </c>
    </row>
    <row r="31" spans="1:15" x14ac:dyDescent="0.2">
      <c r="A31" s="345" t="s">
        <v>209</v>
      </c>
      <c r="B31" s="345" t="s">
        <v>428</v>
      </c>
      <c r="C31" s="345" t="s">
        <v>265</v>
      </c>
      <c r="D31" s="345" t="s">
        <v>355</v>
      </c>
      <c r="E31" s="345" t="s">
        <v>210</v>
      </c>
      <c r="F31" s="110">
        <v>44322.208379629628</v>
      </c>
      <c r="G31" s="345" t="s">
        <v>429</v>
      </c>
      <c r="H31" s="345" t="s">
        <v>430</v>
      </c>
      <c r="I31" s="345" t="s">
        <v>431</v>
      </c>
      <c r="J31" s="345">
        <v>1603.65</v>
      </c>
      <c r="K31" s="345">
        <v>1604.55</v>
      </c>
      <c r="L31" s="345" t="s">
        <v>360</v>
      </c>
      <c r="M31" s="345" t="s">
        <v>361</v>
      </c>
      <c r="N31" s="345">
        <v>400</v>
      </c>
      <c r="O31" s="110" t="s">
        <v>181</v>
      </c>
    </row>
    <row r="32" spans="1:15" x14ac:dyDescent="0.2">
      <c r="A32" s="345" t="s">
        <v>209</v>
      </c>
      <c r="B32" s="345" t="s">
        <v>428</v>
      </c>
      <c r="C32" s="345" t="s">
        <v>266</v>
      </c>
      <c r="D32" s="345" t="s">
        <v>331</v>
      </c>
      <c r="E32" s="345" t="s">
        <v>210</v>
      </c>
      <c r="F32" s="110">
        <v>44323.210949074077</v>
      </c>
      <c r="G32" s="345" t="s">
        <v>429</v>
      </c>
      <c r="H32" s="345" t="s">
        <v>430</v>
      </c>
      <c r="I32" s="345" t="s">
        <v>431</v>
      </c>
      <c r="J32" s="345">
        <v>1221.2</v>
      </c>
      <c r="K32" s="345">
        <v>1226.05</v>
      </c>
      <c r="L32" s="345" t="s">
        <v>360</v>
      </c>
      <c r="M32" s="345" t="s">
        <v>361</v>
      </c>
      <c r="N32" s="345">
        <v>400</v>
      </c>
      <c r="O32" s="110" t="s">
        <v>328</v>
      </c>
    </row>
    <row r="33" spans="1:15" x14ac:dyDescent="0.2">
      <c r="A33" s="345" t="s">
        <v>209</v>
      </c>
      <c r="B33" s="345" t="s">
        <v>428</v>
      </c>
      <c r="C33" s="345" t="s">
        <v>267</v>
      </c>
      <c r="D33" s="345" t="s">
        <v>337</v>
      </c>
      <c r="E33" s="345" t="s">
        <v>210</v>
      </c>
      <c r="F33" s="110">
        <v>44324.210104166668</v>
      </c>
      <c r="G33" s="345" t="s">
        <v>429</v>
      </c>
      <c r="H33" s="345" t="s">
        <v>430</v>
      </c>
      <c r="I33" s="345" t="s">
        <v>431</v>
      </c>
      <c r="J33" s="345">
        <v>1129.6500000000001</v>
      </c>
      <c r="K33" s="345">
        <v>1130.2</v>
      </c>
      <c r="L33" s="345" t="s">
        <v>360</v>
      </c>
      <c r="M33" s="345" t="s">
        <v>361</v>
      </c>
      <c r="N33" s="345">
        <v>400</v>
      </c>
      <c r="O33" s="110" t="s">
        <v>336</v>
      </c>
    </row>
    <row r="34" spans="1:15" x14ac:dyDescent="0.2">
      <c r="A34" s="345" t="s">
        <v>209</v>
      </c>
      <c r="B34" s="345" t="s">
        <v>428</v>
      </c>
      <c r="C34" s="345" t="s">
        <v>268</v>
      </c>
      <c r="D34" s="345" t="s">
        <v>343</v>
      </c>
      <c r="E34" s="345" t="s">
        <v>210</v>
      </c>
      <c r="F34" s="110">
        <v>44325.243587962963</v>
      </c>
      <c r="G34" s="345" t="s">
        <v>429</v>
      </c>
      <c r="H34" s="345" t="s">
        <v>430</v>
      </c>
      <c r="I34" s="345" t="s">
        <v>431</v>
      </c>
      <c r="J34" s="345">
        <v>1300.1500000000001</v>
      </c>
      <c r="K34" s="345">
        <v>1302.5999999999999</v>
      </c>
      <c r="L34" s="345" t="s">
        <v>360</v>
      </c>
      <c r="M34" s="345" t="s">
        <v>361</v>
      </c>
      <c r="N34" s="345">
        <v>400</v>
      </c>
      <c r="O34" s="110" t="s">
        <v>342</v>
      </c>
    </row>
    <row r="35" spans="1:15" x14ac:dyDescent="0.2">
      <c r="A35" s="345" t="s">
        <v>182</v>
      </c>
      <c r="B35" s="345" t="s">
        <v>432</v>
      </c>
      <c r="C35" s="345" t="s">
        <v>269</v>
      </c>
      <c r="D35" s="345" t="s">
        <v>355</v>
      </c>
      <c r="E35" s="345" t="s">
        <v>211</v>
      </c>
      <c r="F35" s="110">
        <v>44322.354131944441</v>
      </c>
      <c r="G35" s="345" t="s">
        <v>433</v>
      </c>
      <c r="H35" s="345" t="s">
        <v>434</v>
      </c>
      <c r="I35" s="345" t="s">
        <v>435</v>
      </c>
      <c r="J35" s="345">
        <v>634.65</v>
      </c>
      <c r="K35" s="345">
        <v>634.79999999999995</v>
      </c>
      <c r="L35" s="345" t="s">
        <v>360</v>
      </c>
      <c r="M35" s="345" t="s">
        <v>361</v>
      </c>
      <c r="N35" s="345">
        <v>400</v>
      </c>
      <c r="O35" s="110" t="s">
        <v>181</v>
      </c>
    </row>
    <row r="36" spans="1:15" x14ac:dyDescent="0.2">
      <c r="A36" s="345" t="s">
        <v>182</v>
      </c>
      <c r="B36" s="345" t="s">
        <v>432</v>
      </c>
      <c r="C36" s="345" t="s">
        <v>270</v>
      </c>
      <c r="D36" s="345" t="s">
        <v>436</v>
      </c>
      <c r="E36" s="345" t="s">
        <v>211</v>
      </c>
      <c r="F36" s="110">
        <v>44323.370034722226</v>
      </c>
      <c r="G36" s="345" t="s">
        <v>433</v>
      </c>
      <c r="H36" s="345" t="s">
        <v>434</v>
      </c>
      <c r="I36" s="345" t="s">
        <v>435</v>
      </c>
      <c r="J36" s="345">
        <v>627.45000000000005</v>
      </c>
      <c r="K36" s="345">
        <v>627.45000000000005</v>
      </c>
      <c r="L36" s="345" t="s">
        <v>360</v>
      </c>
      <c r="M36" s="345" t="s">
        <v>361</v>
      </c>
      <c r="N36" s="345">
        <v>400</v>
      </c>
      <c r="O36" s="110" t="s">
        <v>328</v>
      </c>
    </row>
    <row r="37" spans="1:15" x14ac:dyDescent="0.2">
      <c r="A37" s="345" t="s">
        <v>182</v>
      </c>
      <c r="B37" s="345" t="s">
        <v>432</v>
      </c>
      <c r="C37" s="345" t="s">
        <v>271</v>
      </c>
      <c r="D37" s="345" t="s">
        <v>337</v>
      </c>
      <c r="E37" s="345" t="s">
        <v>211</v>
      </c>
      <c r="F37" s="110">
        <v>44324.359293981484</v>
      </c>
      <c r="G37" s="345" t="s">
        <v>437</v>
      </c>
      <c r="H37" s="345" t="s">
        <v>438</v>
      </c>
      <c r="I37" s="345" t="s">
        <v>439</v>
      </c>
      <c r="J37" s="345">
        <v>559.4</v>
      </c>
      <c r="K37" s="345">
        <v>559.4</v>
      </c>
      <c r="L37" s="345" t="s">
        <v>360</v>
      </c>
      <c r="M37" s="345" t="s">
        <v>361</v>
      </c>
      <c r="N37" s="345">
        <v>400</v>
      </c>
      <c r="O37" s="110" t="s">
        <v>336</v>
      </c>
    </row>
    <row r="38" spans="1:15" x14ac:dyDescent="0.2">
      <c r="A38" s="345" t="s">
        <v>182</v>
      </c>
      <c r="B38" s="345" t="s">
        <v>432</v>
      </c>
      <c r="C38" s="345" t="s">
        <v>272</v>
      </c>
      <c r="D38" s="345" t="s">
        <v>343</v>
      </c>
      <c r="E38" s="345" t="s">
        <v>211</v>
      </c>
      <c r="F38" s="110">
        <v>44325.497499999998</v>
      </c>
      <c r="G38" s="345" t="s">
        <v>440</v>
      </c>
      <c r="H38" s="345" t="s">
        <v>441</v>
      </c>
      <c r="I38" s="345" t="s">
        <v>442</v>
      </c>
      <c r="J38" s="345">
        <v>652.75</v>
      </c>
      <c r="K38" s="345">
        <v>653.25</v>
      </c>
      <c r="L38" s="345" t="s">
        <v>360</v>
      </c>
      <c r="M38" s="345" t="s">
        <v>361</v>
      </c>
      <c r="N38" s="345">
        <v>400</v>
      </c>
      <c r="O38" s="110" t="s">
        <v>342</v>
      </c>
    </row>
    <row r="39" spans="1:15" x14ac:dyDescent="0.2">
      <c r="A39" s="345" t="s">
        <v>212</v>
      </c>
      <c r="B39" s="345" t="s">
        <v>443</v>
      </c>
      <c r="C39" s="345" t="s">
        <v>273</v>
      </c>
      <c r="D39" s="345" t="s">
        <v>355</v>
      </c>
      <c r="E39" s="345" t="s">
        <v>213</v>
      </c>
      <c r="F39" s="110">
        <v>44322.200648148151</v>
      </c>
      <c r="G39" s="345" t="s">
        <v>444</v>
      </c>
      <c r="H39" s="345" t="s">
        <v>445</v>
      </c>
      <c r="I39" s="345" t="s">
        <v>446</v>
      </c>
      <c r="J39" s="345">
        <v>700.2</v>
      </c>
      <c r="K39" s="345">
        <v>700.3</v>
      </c>
      <c r="L39" s="345" t="s">
        <v>360</v>
      </c>
      <c r="M39" s="345" t="s">
        <v>361</v>
      </c>
      <c r="N39" s="345">
        <v>400</v>
      </c>
      <c r="O39" s="110" t="s">
        <v>181</v>
      </c>
    </row>
    <row r="40" spans="1:15" x14ac:dyDescent="0.2">
      <c r="A40" s="345" t="s">
        <v>212</v>
      </c>
      <c r="B40" s="345" t="s">
        <v>443</v>
      </c>
      <c r="C40" s="345" t="s">
        <v>274</v>
      </c>
      <c r="D40" s="345" t="s">
        <v>331</v>
      </c>
      <c r="E40" s="345" t="s">
        <v>213</v>
      </c>
      <c r="F40" s="110">
        <v>44323.202939814815</v>
      </c>
      <c r="G40" s="345" t="s">
        <v>447</v>
      </c>
      <c r="H40" s="345" t="s">
        <v>448</v>
      </c>
      <c r="I40" s="345" t="s">
        <v>449</v>
      </c>
      <c r="J40" s="345">
        <v>574.79999999999995</v>
      </c>
      <c r="K40" s="345">
        <v>574.79999999999995</v>
      </c>
      <c r="L40" s="345" t="s">
        <v>360</v>
      </c>
      <c r="M40" s="345" t="s">
        <v>361</v>
      </c>
      <c r="N40" s="345">
        <v>400</v>
      </c>
      <c r="O40" s="110" t="s">
        <v>328</v>
      </c>
    </row>
    <row r="41" spans="1:15" x14ac:dyDescent="0.2">
      <c r="A41" s="345" t="s">
        <v>214</v>
      </c>
      <c r="B41" s="345" t="s">
        <v>450</v>
      </c>
      <c r="C41" s="345" t="s">
        <v>275</v>
      </c>
      <c r="D41" s="345" t="s">
        <v>402</v>
      </c>
      <c r="E41" s="345" t="s">
        <v>215</v>
      </c>
      <c r="F41" s="110">
        <v>44322.211597222224</v>
      </c>
      <c r="G41" s="345" t="s">
        <v>451</v>
      </c>
      <c r="H41" s="345" t="s">
        <v>452</v>
      </c>
      <c r="I41" s="345" t="s">
        <v>453</v>
      </c>
      <c r="J41" s="345">
        <v>1404.35</v>
      </c>
      <c r="K41" s="345">
        <v>1404.4</v>
      </c>
      <c r="L41" s="345" t="s">
        <v>360</v>
      </c>
      <c r="M41" s="345" t="s">
        <v>361</v>
      </c>
      <c r="N41" s="345">
        <v>400</v>
      </c>
      <c r="O41" s="110" t="s">
        <v>181</v>
      </c>
    </row>
    <row r="42" spans="1:15" x14ac:dyDescent="0.2">
      <c r="A42" s="345" t="s">
        <v>214</v>
      </c>
      <c r="B42" s="345" t="s">
        <v>450</v>
      </c>
      <c r="C42" s="345" t="s">
        <v>276</v>
      </c>
      <c r="D42" s="345" t="s">
        <v>331</v>
      </c>
      <c r="E42" s="345" t="s">
        <v>215</v>
      </c>
      <c r="F42" s="110">
        <v>44323.191331018519</v>
      </c>
      <c r="G42" s="345" t="s">
        <v>341</v>
      </c>
      <c r="H42" s="345" t="s">
        <v>454</v>
      </c>
      <c r="I42" s="345" t="s">
        <v>455</v>
      </c>
      <c r="J42" s="345">
        <v>1223.4000000000001</v>
      </c>
      <c r="K42" s="345">
        <v>1225.05</v>
      </c>
      <c r="L42" s="345" t="s">
        <v>360</v>
      </c>
      <c r="M42" s="345" t="s">
        <v>361</v>
      </c>
      <c r="N42" s="345">
        <v>400</v>
      </c>
      <c r="O42" s="110" t="s">
        <v>328</v>
      </c>
    </row>
    <row r="43" spans="1:15" x14ac:dyDescent="0.2">
      <c r="A43" s="345" t="s">
        <v>214</v>
      </c>
      <c r="B43" s="345" t="s">
        <v>450</v>
      </c>
      <c r="C43" s="345" t="s">
        <v>277</v>
      </c>
      <c r="D43" s="345" t="s">
        <v>340</v>
      </c>
      <c r="E43" s="345" t="s">
        <v>215</v>
      </c>
      <c r="F43" s="110">
        <v>44324.212199074071</v>
      </c>
      <c r="G43" s="345" t="s">
        <v>341</v>
      </c>
      <c r="H43" s="345" t="s">
        <v>454</v>
      </c>
      <c r="I43" s="345" t="s">
        <v>455</v>
      </c>
      <c r="J43" s="345">
        <v>1489.5</v>
      </c>
      <c r="K43" s="345">
        <v>1496</v>
      </c>
      <c r="L43" s="345" t="s">
        <v>360</v>
      </c>
      <c r="M43" s="345" t="s">
        <v>361</v>
      </c>
      <c r="N43" s="345">
        <v>400</v>
      </c>
      <c r="O43" s="110" t="s">
        <v>336</v>
      </c>
    </row>
    <row r="44" spans="1:15" x14ac:dyDescent="0.2">
      <c r="A44" s="345" t="s">
        <v>214</v>
      </c>
      <c r="B44" s="345" t="s">
        <v>450</v>
      </c>
      <c r="C44" s="345" t="s">
        <v>278</v>
      </c>
      <c r="D44" s="345" t="s">
        <v>348</v>
      </c>
      <c r="E44" s="345" t="s">
        <v>215</v>
      </c>
      <c r="F44" s="110">
        <v>44325.216331018521</v>
      </c>
      <c r="G44" s="345" t="s">
        <v>341</v>
      </c>
      <c r="H44" s="345" t="s">
        <v>454</v>
      </c>
      <c r="I44" s="345" t="s">
        <v>455</v>
      </c>
      <c r="J44" s="345">
        <v>1094.2</v>
      </c>
      <c r="K44" s="345">
        <v>1083.0999999999999</v>
      </c>
      <c r="L44" s="345" t="s">
        <v>360</v>
      </c>
      <c r="M44" s="345" t="s">
        <v>361</v>
      </c>
      <c r="N44" s="345">
        <v>400</v>
      </c>
      <c r="O44" s="110" t="s">
        <v>342</v>
      </c>
    </row>
    <row r="45" spans="1:15" x14ac:dyDescent="0.2">
      <c r="A45" s="345" t="s">
        <v>160</v>
      </c>
      <c r="B45" s="345" t="s">
        <v>456</v>
      </c>
      <c r="C45" s="345" t="s">
        <v>279</v>
      </c>
      <c r="D45" s="345" t="s">
        <v>402</v>
      </c>
      <c r="E45" s="345" t="s">
        <v>216</v>
      </c>
      <c r="F45" s="110">
        <v>44322.199594907404</v>
      </c>
      <c r="G45" s="345" t="s">
        <v>457</v>
      </c>
      <c r="H45" s="345" t="s">
        <v>458</v>
      </c>
      <c r="I45" s="345" t="s">
        <v>459</v>
      </c>
      <c r="J45" s="345">
        <v>1589.85</v>
      </c>
      <c r="K45" s="345">
        <v>1591.55</v>
      </c>
      <c r="L45" s="345" t="s">
        <v>360</v>
      </c>
      <c r="M45" s="345" t="s">
        <v>361</v>
      </c>
      <c r="N45" s="345">
        <v>400</v>
      </c>
      <c r="O45" s="110" t="s">
        <v>181</v>
      </c>
    </row>
    <row r="46" spans="1:15" x14ac:dyDescent="0.2">
      <c r="A46" s="345" t="s">
        <v>160</v>
      </c>
      <c r="B46" s="345" t="s">
        <v>456</v>
      </c>
      <c r="C46" s="345" t="s">
        <v>280</v>
      </c>
      <c r="D46" s="345" t="s">
        <v>333</v>
      </c>
      <c r="E46" s="345" t="s">
        <v>216</v>
      </c>
      <c r="F46" s="110">
        <v>44323.20076388889</v>
      </c>
      <c r="G46" s="345" t="s">
        <v>460</v>
      </c>
      <c r="H46" s="345" t="s">
        <v>461</v>
      </c>
      <c r="I46" s="345" t="s">
        <v>462</v>
      </c>
      <c r="J46" s="345">
        <v>1865.25</v>
      </c>
      <c r="K46" s="345">
        <v>1868.65</v>
      </c>
      <c r="L46" s="345" t="s">
        <v>360</v>
      </c>
      <c r="M46" s="345" t="s">
        <v>361</v>
      </c>
      <c r="N46" s="345">
        <v>400</v>
      </c>
      <c r="O46" s="110" t="s">
        <v>328</v>
      </c>
    </row>
    <row r="47" spans="1:15" x14ac:dyDescent="0.2">
      <c r="A47" s="345" t="s">
        <v>160</v>
      </c>
      <c r="B47" s="345" t="s">
        <v>456</v>
      </c>
      <c r="C47" s="345" t="s">
        <v>281</v>
      </c>
      <c r="D47" s="345" t="s">
        <v>340</v>
      </c>
      <c r="E47" s="345" t="s">
        <v>216</v>
      </c>
      <c r="F47" s="110">
        <v>44324.200868055559</v>
      </c>
      <c r="G47" s="345" t="s">
        <v>463</v>
      </c>
      <c r="H47" s="345" t="s">
        <v>464</v>
      </c>
      <c r="I47" s="345" t="s">
        <v>465</v>
      </c>
      <c r="J47" s="345">
        <v>1412.25</v>
      </c>
      <c r="K47" s="345">
        <v>1412.65</v>
      </c>
      <c r="L47" s="345" t="s">
        <v>360</v>
      </c>
      <c r="M47" s="345" t="s">
        <v>361</v>
      </c>
      <c r="N47" s="345">
        <v>400</v>
      </c>
      <c r="O47" s="110" t="s">
        <v>336</v>
      </c>
    </row>
    <row r="48" spans="1:15" x14ac:dyDescent="0.2">
      <c r="A48" s="345" t="s">
        <v>160</v>
      </c>
      <c r="B48" s="345" t="s">
        <v>456</v>
      </c>
      <c r="C48" s="345" t="s">
        <v>282</v>
      </c>
      <c r="D48" s="345" t="s">
        <v>348</v>
      </c>
      <c r="E48" s="345" t="s">
        <v>216</v>
      </c>
      <c r="F48" s="110">
        <v>44325.30431712963</v>
      </c>
      <c r="G48" s="345" t="s">
        <v>466</v>
      </c>
      <c r="H48" s="345" t="s">
        <v>467</v>
      </c>
      <c r="I48" s="345" t="s">
        <v>468</v>
      </c>
      <c r="J48" s="345">
        <v>1984</v>
      </c>
      <c r="K48" s="345">
        <v>1985.05</v>
      </c>
      <c r="L48" s="345" t="s">
        <v>360</v>
      </c>
      <c r="M48" s="345" t="s">
        <v>361</v>
      </c>
      <c r="N48" s="345">
        <v>400</v>
      </c>
      <c r="O48" s="110" t="s">
        <v>342</v>
      </c>
    </row>
    <row r="49" spans="1:15" x14ac:dyDescent="0.2">
      <c r="A49" s="345" t="s">
        <v>217</v>
      </c>
      <c r="B49" s="345" t="s">
        <v>469</v>
      </c>
      <c r="C49" s="345" t="s">
        <v>283</v>
      </c>
      <c r="D49" s="345" t="s">
        <v>470</v>
      </c>
      <c r="E49" s="345" t="s">
        <v>218</v>
      </c>
      <c r="F49" s="110">
        <v>44322.310648148145</v>
      </c>
      <c r="G49" s="345" t="s">
        <v>184</v>
      </c>
      <c r="H49" s="345" t="s">
        <v>471</v>
      </c>
      <c r="I49" s="345" t="s">
        <v>472</v>
      </c>
      <c r="J49" s="345">
        <v>789.9</v>
      </c>
      <c r="K49" s="345">
        <v>789.9</v>
      </c>
      <c r="L49" s="345" t="s">
        <v>360</v>
      </c>
      <c r="M49" s="345" t="s">
        <v>361</v>
      </c>
      <c r="N49" s="345">
        <v>400</v>
      </c>
      <c r="O49" s="110" t="s">
        <v>328</v>
      </c>
    </row>
    <row r="50" spans="1:15" x14ac:dyDescent="0.2">
      <c r="A50" s="345" t="s">
        <v>217</v>
      </c>
      <c r="B50" s="345" t="s">
        <v>469</v>
      </c>
      <c r="C50" s="345" t="s">
        <v>284</v>
      </c>
      <c r="D50" s="345" t="s">
        <v>331</v>
      </c>
      <c r="E50" s="345" t="s">
        <v>218</v>
      </c>
      <c r="F50" s="110">
        <v>44323.310856481483</v>
      </c>
      <c r="G50" s="345" t="s">
        <v>473</v>
      </c>
      <c r="H50" s="345" t="s">
        <v>474</v>
      </c>
      <c r="I50" s="345" t="s">
        <v>475</v>
      </c>
      <c r="J50" s="345">
        <v>766.4</v>
      </c>
      <c r="K50" s="345">
        <v>765.05</v>
      </c>
      <c r="L50" s="345" t="s">
        <v>360</v>
      </c>
      <c r="M50" s="345" t="s">
        <v>361</v>
      </c>
      <c r="N50" s="345">
        <v>400</v>
      </c>
      <c r="O50" s="110" t="s">
        <v>328</v>
      </c>
    </row>
    <row r="51" spans="1:15" x14ac:dyDescent="0.2">
      <c r="A51" s="345" t="s">
        <v>217</v>
      </c>
      <c r="B51" s="345" t="s">
        <v>469</v>
      </c>
      <c r="C51" s="345" t="s">
        <v>285</v>
      </c>
      <c r="D51" s="345" t="s">
        <v>337</v>
      </c>
      <c r="E51" s="345" t="s">
        <v>218</v>
      </c>
      <c r="F51" s="110">
        <v>44324.205092592594</v>
      </c>
      <c r="G51" s="345" t="s">
        <v>476</v>
      </c>
      <c r="H51" s="345" t="s">
        <v>477</v>
      </c>
      <c r="I51" s="345" t="s">
        <v>478</v>
      </c>
      <c r="J51" s="345">
        <v>587.79999999999995</v>
      </c>
      <c r="K51" s="345">
        <v>587.79999999999995</v>
      </c>
      <c r="L51" s="345" t="s">
        <v>360</v>
      </c>
      <c r="M51" s="345" t="s">
        <v>361</v>
      </c>
      <c r="N51" s="345">
        <v>400</v>
      </c>
      <c r="O51" s="110" t="s">
        <v>336</v>
      </c>
    </row>
    <row r="52" spans="1:15" x14ac:dyDescent="0.2">
      <c r="A52" s="345" t="s">
        <v>217</v>
      </c>
      <c r="B52" s="345" t="s">
        <v>469</v>
      </c>
      <c r="C52" s="345" t="s">
        <v>286</v>
      </c>
      <c r="D52" s="345" t="s">
        <v>343</v>
      </c>
      <c r="E52" s="345" t="s">
        <v>218</v>
      </c>
      <c r="F52" s="110">
        <v>44325.402453703704</v>
      </c>
      <c r="G52" s="345" t="s">
        <v>476</v>
      </c>
      <c r="H52" s="345" t="s">
        <v>477</v>
      </c>
      <c r="I52" s="345" t="s">
        <v>478</v>
      </c>
      <c r="J52" s="345">
        <v>647.6</v>
      </c>
      <c r="K52" s="345">
        <v>647.6</v>
      </c>
      <c r="L52" s="345" t="s">
        <v>360</v>
      </c>
      <c r="M52" s="345" t="s">
        <v>361</v>
      </c>
      <c r="N52" s="345">
        <v>400</v>
      </c>
      <c r="O52" s="110" t="s">
        <v>342</v>
      </c>
    </row>
    <row r="53" spans="1:15" x14ac:dyDescent="0.2">
      <c r="A53" s="345" t="s">
        <v>217</v>
      </c>
      <c r="B53" s="345" t="s">
        <v>469</v>
      </c>
      <c r="C53" s="345" t="s">
        <v>479</v>
      </c>
      <c r="D53" s="345" t="s">
        <v>355</v>
      </c>
      <c r="E53" s="345" t="s">
        <v>480</v>
      </c>
      <c r="F53" s="110">
        <v>44322.309606481482</v>
      </c>
      <c r="G53" s="345" t="s">
        <v>184</v>
      </c>
      <c r="H53" s="345" t="s">
        <v>471</v>
      </c>
      <c r="I53" s="345" t="s">
        <v>472</v>
      </c>
      <c r="J53" s="345">
        <v>400</v>
      </c>
      <c r="K53" s="345">
        <v>400</v>
      </c>
      <c r="L53" s="345" t="s">
        <v>360</v>
      </c>
      <c r="M53" s="345" t="s">
        <v>361</v>
      </c>
      <c r="N53" s="345">
        <v>400</v>
      </c>
      <c r="O53" s="110" t="s">
        <v>328</v>
      </c>
    </row>
    <row r="54" spans="1:15" x14ac:dyDescent="0.2">
      <c r="A54" s="345" t="s">
        <v>186</v>
      </c>
      <c r="B54" s="345" t="s">
        <v>481</v>
      </c>
      <c r="C54" s="345" t="s">
        <v>287</v>
      </c>
      <c r="D54" s="345" t="s">
        <v>355</v>
      </c>
      <c r="E54" s="345" t="s">
        <v>219</v>
      </c>
      <c r="F54" s="110">
        <v>44322.206307870372</v>
      </c>
      <c r="G54" s="345" t="s">
        <v>188</v>
      </c>
      <c r="H54" s="345" t="s">
        <v>482</v>
      </c>
      <c r="I54" s="345" t="s">
        <v>483</v>
      </c>
      <c r="J54" s="345">
        <v>653.45000000000005</v>
      </c>
      <c r="K54" s="345">
        <v>654.45000000000005</v>
      </c>
      <c r="L54" s="345" t="s">
        <v>360</v>
      </c>
      <c r="M54" s="345" t="s">
        <v>361</v>
      </c>
      <c r="N54" s="345">
        <v>400</v>
      </c>
      <c r="O54" s="110" t="s">
        <v>181</v>
      </c>
    </row>
    <row r="55" spans="1:15" x14ac:dyDescent="0.2">
      <c r="A55" s="345" t="s">
        <v>186</v>
      </c>
      <c r="B55" s="345" t="s">
        <v>481</v>
      </c>
      <c r="C55" s="345" t="s">
        <v>288</v>
      </c>
      <c r="D55" s="345" t="s">
        <v>331</v>
      </c>
      <c r="E55" s="345" t="s">
        <v>219</v>
      </c>
      <c r="F55" s="110">
        <v>44323.206064814818</v>
      </c>
      <c r="G55" s="345" t="s">
        <v>484</v>
      </c>
      <c r="H55" s="345" t="s">
        <v>485</v>
      </c>
      <c r="I55" s="345" t="s">
        <v>486</v>
      </c>
      <c r="J55" s="345">
        <v>813.15</v>
      </c>
      <c r="K55" s="345">
        <v>813.2</v>
      </c>
      <c r="L55" s="345" t="s">
        <v>360</v>
      </c>
      <c r="M55" s="345" t="s">
        <v>361</v>
      </c>
      <c r="N55" s="345">
        <v>400</v>
      </c>
      <c r="O55" s="110" t="s">
        <v>328</v>
      </c>
    </row>
    <row r="56" spans="1:15" x14ac:dyDescent="0.2">
      <c r="A56" s="345" t="s">
        <v>186</v>
      </c>
      <c r="B56" s="345" t="s">
        <v>481</v>
      </c>
      <c r="C56" s="345" t="s">
        <v>289</v>
      </c>
      <c r="D56" s="345" t="s">
        <v>337</v>
      </c>
      <c r="E56" s="345" t="s">
        <v>219</v>
      </c>
      <c r="F56" s="110">
        <v>44324.206655092596</v>
      </c>
      <c r="G56" s="345" t="s">
        <v>484</v>
      </c>
      <c r="H56" s="345" t="s">
        <v>485</v>
      </c>
      <c r="I56" s="345" t="s">
        <v>486</v>
      </c>
      <c r="J56" s="345">
        <v>602.25</v>
      </c>
      <c r="K56" s="345">
        <v>602.15</v>
      </c>
      <c r="L56" s="345" t="s">
        <v>360</v>
      </c>
      <c r="M56" s="345" t="s">
        <v>361</v>
      </c>
      <c r="N56" s="345">
        <v>400</v>
      </c>
      <c r="O56" s="110" t="s">
        <v>336</v>
      </c>
    </row>
    <row r="57" spans="1:15" x14ac:dyDescent="0.2">
      <c r="A57" s="345" t="s">
        <v>186</v>
      </c>
      <c r="B57" s="345" t="s">
        <v>481</v>
      </c>
      <c r="C57" s="345" t="s">
        <v>290</v>
      </c>
      <c r="D57" s="345" t="s">
        <v>343</v>
      </c>
      <c r="E57" s="345" t="s">
        <v>219</v>
      </c>
      <c r="F57" s="110">
        <v>44325.289131944446</v>
      </c>
      <c r="G57" s="345" t="s">
        <v>487</v>
      </c>
      <c r="H57" s="345" t="s">
        <v>488</v>
      </c>
      <c r="I57" s="345" t="s">
        <v>489</v>
      </c>
      <c r="J57" s="345">
        <v>803.15</v>
      </c>
      <c r="K57" s="345">
        <v>803.7</v>
      </c>
      <c r="L57" s="345" t="s">
        <v>360</v>
      </c>
      <c r="M57" s="345" t="s">
        <v>361</v>
      </c>
      <c r="N57" s="345">
        <v>400</v>
      </c>
      <c r="O57" s="110" t="s">
        <v>342</v>
      </c>
    </row>
    <row r="58" spans="1:15" x14ac:dyDescent="0.2">
      <c r="A58" s="345" t="s">
        <v>220</v>
      </c>
      <c r="B58" s="345" t="s">
        <v>490</v>
      </c>
      <c r="C58" s="345" t="s">
        <v>291</v>
      </c>
      <c r="D58" s="345" t="s">
        <v>355</v>
      </c>
      <c r="E58" s="345" t="s">
        <v>221</v>
      </c>
      <c r="F58" s="110">
        <v>44322.201307870368</v>
      </c>
      <c r="G58" s="345" t="s">
        <v>491</v>
      </c>
      <c r="H58" s="345" t="s">
        <v>492</v>
      </c>
      <c r="I58" s="345" t="s">
        <v>493</v>
      </c>
      <c r="J58" s="345">
        <v>823.4</v>
      </c>
      <c r="K58" s="345">
        <v>823.4</v>
      </c>
      <c r="L58" s="345" t="s">
        <v>360</v>
      </c>
      <c r="M58" s="345" t="s">
        <v>361</v>
      </c>
      <c r="N58" s="345">
        <v>400</v>
      </c>
      <c r="O58" s="110" t="s">
        <v>181</v>
      </c>
    </row>
    <row r="59" spans="1:15" x14ac:dyDescent="0.2">
      <c r="A59" s="345" t="s">
        <v>220</v>
      </c>
      <c r="B59" s="345" t="s">
        <v>490</v>
      </c>
      <c r="C59" s="345" t="s">
        <v>292</v>
      </c>
      <c r="D59" s="345" t="s">
        <v>331</v>
      </c>
      <c r="E59" s="345" t="s">
        <v>221</v>
      </c>
      <c r="F59" s="110">
        <v>44323.200555555559</v>
      </c>
      <c r="G59" s="345" t="s">
        <v>494</v>
      </c>
      <c r="H59" s="345" t="s">
        <v>495</v>
      </c>
      <c r="I59" s="345" t="s">
        <v>496</v>
      </c>
      <c r="J59" s="345">
        <v>821.25</v>
      </c>
      <c r="K59" s="345">
        <v>821.15</v>
      </c>
      <c r="L59" s="345" t="s">
        <v>360</v>
      </c>
      <c r="M59" s="345" t="s">
        <v>361</v>
      </c>
      <c r="N59" s="345">
        <v>400</v>
      </c>
      <c r="O59" s="110" t="s">
        <v>328</v>
      </c>
    </row>
    <row r="60" spans="1:15" x14ac:dyDescent="0.2">
      <c r="A60" s="345" t="s">
        <v>220</v>
      </c>
      <c r="B60" s="345" t="s">
        <v>490</v>
      </c>
      <c r="C60" s="345" t="s">
        <v>293</v>
      </c>
      <c r="D60" s="345" t="s">
        <v>337</v>
      </c>
      <c r="E60" s="345" t="s">
        <v>221</v>
      </c>
      <c r="F60" s="110">
        <v>44324.210405092592</v>
      </c>
      <c r="G60" s="345" t="s">
        <v>494</v>
      </c>
      <c r="H60" s="345" t="s">
        <v>495</v>
      </c>
      <c r="I60" s="345" t="s">
        <v>496</v>
      </c>
      <c r="J60" s="345">
        <v>734.1</v>
      </c>
      <c r="K60" s="345">
        <v>734.2</v>
      </c>
      <c r="L60" s="345" t="s">
        <v>360</v>
      </c>
      <c r="M60" s="345" t="s">
        <v>361</v>
      </c>
      <c r="N60" s="345">
        <v>400</v>
      </c>
      <c r="O60" s="110" t="s">
        <v>336</v>
      </c>
    </row>
    <row r="61" spans="1:15" x14ac:dyDescent="0.2">
      <c r="A61" s="345" t="s">
        <v>220</v>
      </c>
      <c r="B61" s="345" t="s">
        <v>490</v>
      </c>
      <c r="C61" s="345" t="s">
        <v>294</v>
      </c>
      <c r="D61" s="345" t="s">
        <v>343</v>
      </c>
      <c r="E61" s="345" t="s">
        <v>221</v>
      </c>
      <c r="F61" s="110">
        <v>44325.203796296293</v>
      </c>
      <c r="G61" s="345" t="s">
        <v>491</v>
      </c>
      <c r="H61" s="345" t="s">
        <v>492</v>
      </c>
      <c r="I61" s="345" t="s">
        <v>493</v>
      </c>
      <c r="J61" s="345">
        <v>1013.6</v>
      </c>
      <c r="K61" s="345">
        <v>1013.6</v>
      </c>
      <c r="L61" s="345" t="s">
        <v>360</v>
      </c>
      <c r="M61" s="345" t="s">
        <v>361</v>
      </c>
      <c r="N61" s="345">
        <v>400</v>
      </c>
      <c r="O61" s="110" t="s">
        <v>342</v>
      </c>
    </row>
    <row r="62" spans="1:15" x14ac:dyDescent="0.2">
      <c r="A62" s="345" t="s">
        <v>222</v>
      </c>
      <c r="B62" s="345" t="s">
        <v>497</v>
      </c>
      <c r="C62" s="345" t="s">
        <v>295</v>
      </c>
      <c r="D62" s="345" t="s">
        <v>355</v>
      </c>
      <c r="E62" s="345" t="s">
        <v>223</v>
      </c>
      <c r="F62" s="110">
        <v>44322.303599537037</v>
      </c>
      <c r="G62" s="345" t="s">
        <v>498</v>
      </c>
      <c r="H62" s="345" t="s">
        <v>499</v>
      </c>
      <c r="I62" s="345" t="s">
        <v>500</v>
      </c>
      <c r="J62" s="345">
        <v>1149.45</v>
      </c>
      <c r="K62" s="345">
        <v>1150.3</v>
      </c>
      <c r="L62" s="345" t="s">
        <v>360</v>
      </c>
      <c r="M62" s="345" t="s">
        <v>361</v>
      </c>
      <c r="N62" s="345">
        <v>400</v>
      </c>
      <c r="O62" s="110" t="s">
        <v>181</v>
      </c>
    </row>
    <row r="63" spans="1:15" x14ac:dyDescent="0.2">
      <c r="A63" s="345" t="s">
        <v>222</v>
      </c>
      <c r="B63" s="345" t="s">
        <v>497</v>
      </c>
      <c r="C63" s="345" t="s">
        <v>296</v>
      </c>
      <c r="D63" s="345" t="s">
        <v>333</v>
      </c>
      <c r="E63" s="345" t="s">
        <v>223</v>
      </c>
      <c r="F63" s="110">
        <v>44323.309305555558</v>
      </c>
      <c r="G63" s="345" t="s">
        <v>498</v>
      </c>
      <c r="H63" s="345" t="s">
        <v>499</v>
      </c>
      <c r="I63" s="345" t="s">
        <v>500</v>
      </c>
      <c r="J63" s="345">
        <v>944.2</v>
      </c>
      <c r="K63" s="345">
        <v>944.3</v>
      </c>
      <c r="L63" s="345" t="s">
        <v>360</v>
      </c>
      <c r="M63" s="345" t="s">
        <v>361</v>
      </c>
      <c r="N63" s="345">
        <v>400</v>
      </c>
      <c r="O63" s="110" t="s">
        <v>328</v>
      </c>
    </row>
    <row r="64" spans="1:15" x14ac:dyDescent="0.2">
      <c r="A64" s="345" t="s">
        <v>222</v>
      </c>
      <c r="B64" s="345" t="s">
        <v>497</v>
      </c>
      <c r="C64" s="345" t="s">
        <v>297</v>
      </c>
      <c r="D64" s="345" t="s">
        <v>340</v>
      </c>
      <c r="E64" s="345" t="s">
        <v>223</v>
      </c>
      <c r="F64" s="110">
        <v>44324.313217592593</v>
      </c>
      <c r="G64" s="345" t="s">
        <v>501</v>
      </c>
      <c r="H64" s="345" t="s">
        <v>502</v>
      </c>
      <c r="I64" s="345" t="s">
        <v>503</v>
      </c>
      <c r="J64" s="345">
        <v>737.95</v>
      </c>
      <c r="K64" s="345">
        <v>737.95</v>
      </c>
      <c r="L64" s="345" t="s">
        <v>360</v>
      </c>
      <c r="M64" s="345" t="s">
        <v>361</v>
      </c>
      <c r="N64" s="345">
        <v>400</v>
      </c>
      <c r="O64" s="110" t="s">
        <v>342</v>
      </c>
    </row>
    <row r="65" spans="1:15" x14ac:dyDescent="0.2">
      <c r="A65" s="345" t="s">
        <v>222</v>
      </c>
      <c r="B65" s="345" t="s">
        <v>497</v>
      </c>
      <c r="C65" s="345" t="s">
        <v>298</v>
      </c>
      <c r="D65" s="345" t="s">
        <v>343</v>
      </c>
      <c r="E65" s="345" t="s">
        <v>223</v>
      </c>
      <c r="F65" s="110">
        <v>44325.308611111112</v>
      </c>
      <c r="G65" s="345" t="s">
        <v>504</v>
      </c>
      <c r="H65" s="345" t="s">
        <v>505</v>
      </c>
      <c r="I65" s="345" t="s">
        <v>506</v>
      </c>
      <c r="J65" s="345">
        <v>1176.5999999999999</v>
      </c>
      <c r="K65" s="345">
        <v>1176.5999999999999</v>
      </c>
      <c r="L65" s="345" t="s">
        <v>360</v>
      </c>
      <c r="M65" s="345" t="s">
        <v>361</v>
      </c>
      <c r="N65" s="345">
        <v>400</v>
      </c>
      <c r="O65" s="110" t="s">
        <v>342</v>
      </c>
    </row>
    <row r="66" spans="1:15" x14ac:dyDescent="0.2">
      <c r="A66" s="345" t="s">
        <v>224</v>
      </c>
      <c r="B66" s="345" t="s">
        <v>507</v>
      </c>
      <c r="C66" s="345" t="s">
        <v>508</v>
      </c>
      <c r="D66" s="345" t="s">
        <v>509</v>
      </c>
      <c r="E66" s="345" t="s">
        <v>225</v>
      </c>
      <c r="F66" s="110">
        <v>44322.568344907406</v>
      </c>
      <c r="G66" s="345" t="s">
        <v>510</v>
      </c>
      <c r="H66" s="345" t="s">
        <v>511</v>
      </c>
      <c r="I66" s="345" t="s">
        <v>512</v>
      </c>
      <c r="J66" s="345">
        <v>400</v>
      </c>
      <c r="K66" s="345">
        <v>400</v>
      </c>
      <c r="L66" s="345" t="s">
        <v>360</v>
      </c>
      <c r="M66" s="345" t="s">
        <v>361</v>
      </c>
      <c r="N66" s="345">
        <v>0</v>
      </c>
      <c r="O66" s="110" t="s">
        <v>181</v>
      </c>
    </row>
    <row r="67" spans="1:15" x14ac:dyDescent="0.2">
      <c r="A67" s="345" t="s">
        <v>224</v>
      </c>
      <c r="B67" s="345" t="s">
        <v>507</v>
      </c>
      <c r="C67" s="345" t="s">
        <v>299</v>
      </c>
      <c r="D67" s="345" t="s">
        <v>513</v>
      </c>
      <c r="E67" s="345" t="s">
        <v>225</v>
      </c>
      <c r="F67" s="110">
        <v>44322.585729166669</v>
      </c>
      <c r="G67" s="345" t="s">
        <v>510</v>
      </c>
      <c r="H67" s="345" t="s">
        <v>511</v>
      </c>
      <c r="I67" s="345" t="s">
        <v>512</v>
      </c>
      <c r="J67" s="345">
        <v>481.95</v>
      </c>
      <c r="K67" s="345">
        <v>481.95</v>
      </c>
      <c r="L67" s="345" t="s">
        <v>360</v>
      </c>
      <c r="M67" s="345" t="s">
        <v>361</v>
      </c>
      <c r="N67" s="345">
        <v>400</v>
      </c>
      <c r="O67" s="110" t="s">
        <v>181</v>
      </c>
    </row>
    <row r="68" spans="1:15" x14ac:dyDescent="0.2">
      <c r="A68" s="345" t="s">
        <v>224</v>
      </c>
      <c r="B68" s="345" t="s">
        <v>507</v>
      </c>
      <c r="C68" s="345" t="s">
        <v>300</v>
      </c>
      <c r="D68" s="345" t="s">
        <v>514</v>
      </c>
      <c r="E68" s="345" t="s">
        <v>225</v>
      </c>
      <c r="F68" s="110">
        <v>44323.550254629627</v>
      </c>
      <c r="G68" s="345" t="s">
        <v>515</v>
      </c>
      <c r="H68" s="345" t="s">
        <v>516</v>
      </c>
      <c r="I68" s="345" t="s">
        <v>517</v>
      </c>
      <c r="J68" s="345">
        <v>813.85</v>
      </c>
      <c r="K68" s="345">
        <v>813.85</v>
      </c>
      <c r="L68" s="345" t="s">
        <v>360</v>
      </c>
      <c r="M68" s="345" t="s">
        <v>361</v>
      </c>
      <c r="N68" s="345">
        <v>400</v>
      </c>
      <c r="O68" s="110" t="s">
        <v>328</v>
      </c>
    </row>
    <row r="69" spans="1:15" x14ac:dyDescent="0.2">
      <c r="A69" s="345" t="s">
        <v>224</v>
      </c>
      <c r="B69" s="345" t="s">
        <v>507</v>
      </c>
      <c r="C69" s="345" t="s">
        <v>301</v>
      </c>
      <c r="D69" s="345" t="s">
        <v>518</v>
      </c>
      <c r="E69" s="345" t="s">
        <v>225</v>
      </c>
      <c r="F69" s="110">
        <v>44324.576574074075</v>
      </c>
      <c r="G69" s="345" t="s">
        <v>519</v>
      </c>
      <c r="H69" s="345" t="s">
        <v>520</v>
      </c>
      <c r="I69" s="345" t="s">
        <v>521</v>
      </c>
      <c r="J69" s="345">
        <v>448.95</v>
      </c>
      <c r="K69" s="345">
        <v>448.95</v>
      </c>
      <c r="L69" s="345" t="s">
        <v>360</v>
      </c>
      <c r="M69" s="345" t="s">
        <v>361</v>
      </c>
      <c r="N69" s="345">
        <v>400</v>
      </c>
      <c r="O69" s="110" t="s">
        <v>336</v>
      </c>
    </row>
    <row r="70" spans="1:15" x14ac:dyDescent="0.2">
      <c r="A70" s="345" t="s">
        <v>226</v>
      </c>
      <c r="B70" s="345" t="s">
        <v>522</v>
      </c>
      <c r="C70" s="345" t="s">
        <v>302</v>
      </c>
      <c r="D70" s="345" t="s">
        <v>411</v>
      </c>
      <c r="E70" s="345" t="s">
        <v>227</v>
      </c>
      <c r="F70" s="110">
        <v>44322.184837962966</v>
      </c>
      <c r="G70" s="345" t="s">
        <v>341</v>
      </c>
      <c r="H70" s="345" t="s">
        <v>523</v>
      </c>
      <c r="I70" s="345" t="s">
        <v>524</v>
      </c>
      <c r="J70" s="345">
        <v>942.2</v>
      </c>
      <c r="K70" s="345">
        <v>942.2</v>
      </c>
      <c r="L70" s="345" t="s">
        <v>360</v>
      </c>
      <c r="M70" s="345" t="s">
        <v>361</v>
      </c>
      <c r="N70" s="345">
        <v>400</v>
      </c>
      <c r="O70" s="110" t="s">
        <v>181</v>
      </c>
    </row>
    <row r="71" spans="1:15" x14ac:dyDescent="0.2">
      <c r="A71" s="345" t="s">
        <v>226</v>
      </c>
      <c r="B71" s="345" t="s">
        <v>522</v>
      </c>
      <c r="C71" s="345" t="s">
        <v>304</v>
      </c>
      <c r="D71" s="345" t="s">
        <v>340</v>
      </c>
      <c r="E71" s="345" t="s">
        <v>227</v>
      </c>
      <c r="F71" s="110">
        <v>44324.25409722222</v>
      </c>
      <c r="G71" s="345" t="s">
        <v>525</v>
      </c>
      <c r="H71" s="345" t="s">
        <v>526</v>
      </c>
      <c r="I71" s="345" t="s">
        <v>527</v>
      </c>
      <c r="J71" s="345">
        <v>434.4</v>
      </c>
      <c r="K71" s="345">
        <v>436.4</v>
      </c>
      <c r="L71" s="345" t="s">
        <v>360</v>
      </c>
      <c r="M71" s="345" t="s">
        <v>361</v>
      </c>
      <c r="N71" s="345">
        <v>400</v>
      </c>
      <c r="O71" s="110" t="s">
        <v>336</v>
      </c>
    </row>
    <row r="72" spans="1:15" x14ac:dyDescent="0.2">
      <c r="A72" s="345" t="s">
        <v>228</v>
      </c>
      <c r="B72" s="345" t="s">
        <v>528</v>
      </c>
      <c r="C72" s="345" t="s">
        <v>306</v>
      </c>
      <c r="D72" s="345" t="s">
        <v>355</v>
      </c>
      <c r="E72" s="345" t="s">
        <v>229</v>
      </c>
      <c r="F72" s="110">
        <v>44322.194918981484</v>
      </c>
      <c r="G72" s="345" t="s">
        <v>529</v>
      </c>
      <c r="H72" s="345" t="s">
        <v>530</v>
      </c>
      <c r="I72" s="345" t="s">
        <v>531</v>
      </c>
      <c r="J72" s="345">
        <v>1272.7</v>
      </c>
      <c r="K72" s="345">
        <v>1277.0999999999999</v>
      </c>
      <c r="L72" s="345" t="s">
        <v>360</v>
      </c>
      <c r="M72" s="345" t="s">
        <v>361</v>
      </c>
      <c r="N72" s="345">
        <v>400</v>
      </c>
      <c r="O72" s="110" t="s">
        <v>181</v>
      </c>
    </row>
    <row r="73" spans="1:15" x14ac:dyDescent="0.2">
      <c r="A73" s="345" t="s">
        <v>228</v>
      </c>
      <c r="B73" s="345" t="s">
        <v>528</v>
      </c>
      <c r="C73" s="345" t="s">
        <v>307</v>
      </c>
      <c r="D73" s="345" t="s">
        <v>333</v>
      </c>
      <c r="E73" s="345" t="s">
        <v>229</v>
      </c>
      <c r="F73" s="110">
        <v>44323.207511574074</v>
      </c>
      <c r="G73" s="345" t="s">
        <v>529</v>
      </c>
      <c r="H73" s="345" t="s">
        <v>530</v>
      </c>
      <c r="I73" s="345" t="s">
        <v>531</v>
      </c>
      <c r="J73" s="345">
        <v>1382.6</v>
      </c>
      <c r="K73" s="345">
        <v>1382.6</v>
      </c>
      <c r="L73" s="345" t="s">
        <v>360</v>
      </c>
      <c r="M73" s="345" t="s">
        <v>361</v>
      </c>
      <c r="N73" s="345">
        <v>400</v>
      </c>
      <c r="O73" s="110" t="s">
        <v>328</v>
      </c>
    </row>
    <row r="74" spans="1:15" x14ac:dyDescent="0.2">
      <c r="A74" s="345" t="s">
        <v>228</v>
      </c>
      <c r="B74" s="345" t="s">
        <v>528</v>
      </c>
      <c r="C74" s="345" t="s">
        <v>308</v>
      </c>
      <c r="D74" s="345" t="s">
        <v>340</v>
      </c>
      <c r="E74" s="345" t="s">
        <v>229</v>
      </c>
      <c r="F74" s="110">
        <v>44324.207511574074</v>
      </c>
      <c r="G74" s="345" t="s">
        <v>529</v>
      </c>
      <c r="H74" s="345" t="s">
        <v>530</v>
      </c>
      <c r="I74" s="345" t="s">
        <v>531</v>
      </c>
      <c r="J74" s="345">
        <v>1041.5999999999999</v>
      </c>
      <c r="K74" s="345">
        <v>1041.2</v>
      </c>
      <c r="L74" s="345" t="s">
        <v>360</v>
      </c>
      <c r="M74" s="345" t="s">
        <v>361</v>
      </c>
      <c r="N74" s="345">
        <v>400</v>
      </c>
      <c r="O74" s="110" t="s">
        <v>336</v>
      </c>
    </row>
    <row r="75" spans="1:15" x14ac:dyDescent="0.2">
      <c r="A75" s="345" t="s">
        <v>228</v>
      </c>
      <c r="B75" s="345" t="s">
        <v>528</v>
      </c>
      <c r="C75" s="345" t="s">
        <v>310</v>
      </c>
      <c r="D75" s="345" t="s">
        <v>348</v>
      </c>
      <c r="E75" s="345" t="s">
        <v>229</v>
      </c>
      <c r="F75" s="110">
        <v>44325.205717592595</v>
      </c>
      <c r="G75" s="345" t="s">
        <v>532</v>
      </c>
      <c r="H75" s="345" t="s">
        <v>533</v>
      </c>
      <c r="I75" s="345" t="s">
        <v>534</v>
      </c>
      <c r="J75" s="345">
        <v>1528.3</v>
      </c>
      <c r="K75" s="345">
        <v>1526.5</v>
      </c>
      <c r="L75" s="345" t="s">
        <v>360</v>
      </c>
      <c r="M75" s="345" t="s">
        <v>361</v>
      </c>
      <c r="N75" s="345">
        <v>400</v>
      </c>
      <c r="O75" s="110" t="s">
        <v>342</v>
      </c>
    </row>
    <row r="76" spans="1:15" x14ac:dyDescent="0.2">
      <c r="A76" s="345" t="s">
        <v>228</v>
      </c>
      <c r="B76" s="345" t="s">
        <v>528</v>
      </c>
      <c r="C76" s="345" t="s">
        <v>309</v>
      </c>
      <c r="D76" s="345" t="s">
        <v>535</v>
      </c>
      <c r="E76" s="345" t="s">
        <v>230</v>
      </c>
      <c r="F76" s="110">
        <v>44324.202349537038</v>
      </c>
      <c r="G76" s="345" t="s">
        <v>529</v>
      </c>
      <c r="H76" s="345" t="s">
        <v>530</v>
      </c>
      <c r="I76" s="345" t="s">
        <v>531</v>
      </c>
      <c r="J76" s="345">
        <v>3</v>
      </c>
      <c r="K76" s="345">
        <v>0</v>
      </c>
      <c r="L76" s="345" t="s">
        <v>360</v>
      </c>
      <c r="M76" s="345" t="s">
        <v>361</v>
      </c>
      <c r="N76" s="345">
        <v>0</v>
      </c>
      <c r="O76" s="110" t="s">
        <v>336</v>
      </c>
    </row>
    <row r="77" spans="1:15" x14ac:dyDescent="0.2">
      <c r="A77" s="345" t="s">
        <v>231</v>
      </c>
      <c r="B77" s="345" t="s">
        <v>536</v>
      </c>
      <c r="C77" s="345" t="s">
        <v>311</v>
      </c>
      <c r="D77" s="345" t="s">
        <v>402</v>
      </c>
      <c r="E77" s="345" t="s">
        <v>232</v>
      </c>
      <c r="F77" s="110">
        <v>44322.211608796293</v>
      </c>
      <c r="G77" s="345" t="s">
        <v>537</v>
      </c>
      <c r="H77" s="345" t="s">
        <v>538</v>
      </c>
      <c r="I77" s="345" t="s">
        <v>539</v>
      </c>
      <c r="J77" s="345">
        <v>716.25</v>
      </c>
      <c r="K77" s="345">
        <v>716.25</v>
      </c>
      <c r="L77" s="345" t="s">
        <v>360</v>
      </c>
      <c r="M77" s="345" t="s">
        <v>361</v>
      </c>
      <c r="N77" s="345">
        <v>400</v>
      </c>
      <c r="O77" s="110" t="s">
        <v>181</v>
      </c>
    </row>
    <row r="78" spans="1:15" x14ac:dyDescent="0.2">
      <c r="A78" s="345" t="s">
        <v>231</v>
      </c>
      <c r="B78" s="345" t="s">
        <v>536</v>
      </c>
      <c r="C78" s="345" t="s">
        <v>312</v>
      </c>
      <c r="D78" s="345" t="s">
        <v>333</v>
      </c>
      <c r="E78" s="345" t="s">
        <v>232</v>
      </c>
      <c r="F78" s="110">
        <v>44323.215821759259</v>
      </c>
      <c r="G78" s="345" t="s">
        <v>334</v>
      </c>
      <c r="H78" s="345" t="s">
        <v>540</v>
      </c>
      <c r="I78" s="345" t="s">
        <v>541</v>
      </c>
      <c r="J78" s="345">
        <v>879.55</v>
      </c>
      <c r="K78" s="345">
        <v>889.6</v>
      </c>
      <c r="L78" s="345" t="s">
        <v>360</v>
      </c>
      <c r="M78" s="345" t="s">
        <v>361</v>
      </c>
      <c r="N78" s="345">
        <v>400</v>
      </c>
      <c r="O78" s="110" t="s">
        <v>328</v>
      </c>
    </row>
    <row r="79" spans="1:15" x14ac:dyDescent="0.2">
      <c r="A79" s="345" t="s">
        <v>231</v>
      </c>
      <c r="B79" s="345" t="s">
        <v>536</v>
      </c>
      <c r="C79" s="345" t="s">
        <v>313</v>
      </c>
      <c r="D79" s="345" t="s">
        <v>340</v>
      </c>
      <c r="E79" s="345" t="s">
        <v>232</v>
      </c>
      <c r="F79" s="110">
        <v>44324.215717592589</v>
      </c>
      <c r="G79" s="345" t="s">
        <v>542</v>
      </c>
      <c r="H79" s="345" t="s">
        <v>543</v>
      </c>
      <c r="I79" s="345" t="s">
        <v>544</v>
      </c>
      <c r="J79" s="345">
        <v>641.70000000000005</v>
      </c>
      <c r="K79" s="345">
        <v>641.70000000000005</v>
      </c>
      <c r="L79" s="345" t="s">
        <v>360</v>
      </c>
      <c r="M79" s="345" t="s">
        <v>361</v>
      </c>
      <c r="N79" s="345">
        <v>400</v>
      </c>
      <c r="O79" s="110" t="s">
        <v>336</v>
      </c>
    </row>
    <row r="80" spans="1:15" x14ac:dyDescent="0.2">
      <c r="A80" s="345" t="s">
        <v>231</v>
      </c>
      <c r="B80" s="345" t="s">
        <v>536</v>
      </c>
      <c r="C80" s="345" t="s">
        <v>314</v>
      </c>
      <c r="D80" s="345" t="s">
        <v>348</v>
      </c>
      <c r="E80" s="345" t="s">
        <v>232</v>
      </c>
      <c r="F80" s="110">
        <v>44325.21297453704</v>
      </c>
      <c r="G80" s="345" t="s">
        <v>334</v>
      </c>
      <c r="H80" s="345" t="s">
        <v>540</v>
      </c>
      <c r="I80" s="345" t="s">
        <v>541</v>
      </c>
      <c r="J80" s="345">
        <v>918.05</v>
      </c>
      <c r="K80" s="345">
        <v>918.25</v>
      </c>
      <c r="L80" s="345" t="s">
        <v>360</v>
      </c>
      <c r="M80" s="345" t="s">
        <v>361</v>
      </c>
      <c r="N80" s="345">
        <v>400</v>
      </c>
      <c r="O80" s="110" t="s">
        <v>342</v>
      </c>
    </row>
    <row r="81" spans="1:15" x14ac:dyDescent="0.2">
      <c r="A81" s="345" t="s">
        <v>233</v>
      </c>
      <c r="B81" s="345" t="s">
        <v>545</v>
      </c>
      <c r="C81" s="345" t="s">
        <v>546</v>
      </c>
      <c r="D81" s="345" t="s">
        <v>547</v>
      </c>
      <c r="E81" s="345" t="s">
        <v>234</v>
      </c>
      <c r="F81" s="110">
        <v>44321.610925925925</v>
      </c>
      <c r="G81" s="345" t="s">
        <v>548</v>
      </c>
      <c r="H81" s="345" t="s">
        <v>549</v>
      </c>
      <c r="I81" s="345" t="s">
        <v>550</v>
      </c>
      <c r="J81" s="345">
        <v>400</v>
      </c>
      <c r="K81" s="345">
        <v>400</v>
      </c>
      <c r="L81" s="345" t="s">
        <v>360</v>
      </c>
      <c r="M81" s="345" t="s">
        <v>361</v>
      </c>
      <c r="N81" s="345">
        <v>400</v>
      </c>
      <c r="O81" s="110" t="s">
        <v>328</v>
      </c>
    </row>
    <row r="82" spans="1:15" x14ac:dyDescent="0.2">
      <c r="A82" s="345" t="s">
        <v>233</v>
      </c>
      <c r="B82" s="345" t="s">
        <v>545</v>
      </c>
      <c r="C82" s="345" t="s">
        <v>315</v>
      </c>
      <c r="D82" s="345" t="s">
        <v>355</v>
      </c>
      <c r="E82" s="345" t="s">
        <v>234</v>
      </c>
      <c r="F82" s="110">
        <v>44322.301747685182</v>
      </c>
      <c r="G82" s="345" t="s">
        <v>551</v>
      </c>
      <c r="H82" s="345" t="s">
        <v>552</v>
      </c>
      <c r="I82" s="345" t="s">
        <v>553</v>
      </c>
      <c r="J82" s="345">
        <v>591.5</v>
      </c>
      <c r="K82" s="345">
        <v>590</v>
      </c>
      <c r="L82" s="345" t="s">
        <v>360</v>
      </c>
      <c r="M82" s="345" t="s">
        <v>361</v>
      </c>
      <c r="N82" s="345">
        <v>400</v>
      </c>
      <c r="O82" s="110" t="s">
        <v>181</v>
      </c>
    </row>
    <row r="83" spans="1:15" x14ac:dyDescent="0.2">
      <c r="A83" s="345" t="s">
        <v>233</v>
      </c>
      <c r="B83" s="345" t="s">
        <v>545</v>
      </c>
      <c r="C83" s="345" t="s">
        <v>316</v>
      </c>
      <c r="D83" s="345" t="s">
        <v>333</v>
      </c>
      <c r="E83" s="345" t="s">
        <v>234</v>
      </c>
      <c r="F83" s="110">
        <v>44323.342291666668</v>
      </c>
      <c r="G83" s="345" t="s">
        <v>554</v>
      </c>
      <c r="H83" s="345" t="s">
        <v>555</v>
      </c>
      <c r="I83" s="345" t="s">
        <v>556</v>
      </c>
      <c r="J83" s="345">
        <v>587.35</v>
      </c>
      <c r="K83" s="345">
        <v>587.35</v>
      </c>
      <c r="L83" s="345" t="s">
        <v>360</v>
      </c>
      <c r="M83" s="345" t="s">
        <v>361</v>
      </c>
      <c r="N83" s="345">
        <v>400</v>
      </c>
      <c r="O83" s="110" t="s">
        <v>328</v>
      </c>
    </row>
    <row r="84" spans="1:15" x14ac:dyDescent="0.2">
      <c r="A84" s="345" t="s">
        <v>233</v>
      </c>
      <c r="B84" s="345" t="s">
        <v>545</v>
      </c>
      <c r="C84" s="345" t="s">
        <v>317</v>
      </c>
      <c r="D84" s="345" t="s">
        <v>337</v>
      </c>
      <c r="E84" s="345" t="s">
        <v>234</v>
      </c>
      <c r="F84" s="110">
        <v>44324.288344907407</v>
      </c>
      <c r="G84" s="345" t="s">
        <v>557</v>
      </c>
      <c r="H84" s="345" t="s">
        <v>558</v>
      </c>
      <c r="I84" s="345" t="s">
        <v>559</v>
      </c>
      <c r="J84" s="345">
        <v>580</v>
      </c>
      <c r="K84" s="345">
        <v>580.15</v>
      </c>
      <c r="L84" s="345" t="s">
        <v>360</v>
      </c>
      <c r="M84" s="345" t="s">
        <v>361</v>
      </c>
      <c r="N84" s="345">
        <v>400</v>
      </c>
      <c r="O84" s="110" t="s">
        <v>336</v>
      </c>
    </row>
    <row r="85" spans="1:15" x14ac:dyDescent="0.2">
      <c r="A85" s="345" t="s">
        <v>233</v>
      </c>
      <c r="B85" s="345" t="s">
        <v>545</v>
      </c>
      <c r="C85" s="345" t="s">
        <v>318</v>
      </c>
      <c r="D85" s="345" t="s">
        <v>343</v>
      </c>
      <c r="E85" s="345" t="s">
        <v>234</v>
      </c>
      <c r="F85" s="110">
        <v>44325.289409722223</v>
      </c>
      <c r="G85" s="345" t="s">
        <v>557</v>
      </c>
      <c r="H85" s="345" t="s">
        <v>558</v>
      </c>
      <c r="I85" s="345" t="s">
        <v>559</v>
      </c>
      <c r="J85" s="345">
        <v>633.70000000000005</v>
      </c>
      <c r="K85" s="345">
        <v>633.75</v>
      </c>
      <c r="L85" s="345" t="s">
        <v>360</v>
      </c>
      <c r="M85" s="345" t="s">
        <v>361</v>
      </c>
      <c r="N85" s="345">
        <v>400</v>
      </c>
      <c r="O85" s="110" t="s">
        <v>342</v>
      </c>
    </row>
    <row r="86" spans="1:15" x14ac:dyDescent="0.2">
      <c r="A86" s="345" t="s">
        <v>163</v>
      </c>
      <c r="B86" s="345" t="s">
        <v>560</v>
      </c>
      <c r="C86" s="345" t="s">
        <v>561</v>
      </c>
      <c r="D86" s="345" t="s">
        <v>562</v>
      </c>
      <c r="E86" s="345" t="s">
        <v>235</v>
      </c>
      <c r="F86" s="110">
        <v>44321.210243055553</v>
      </c>
      <c r="G86" s="345" t="s">
        <v>563</v>
      </c>
      <c r="H86" s="345" t="s">
        <v>564</v>
      </c>
      <c r="I86" s="345" t="s">
        <v>565</v>
      </c>
      <c r="J86" s="345">
        <v>1881.8</v>
      </c>
      <c r="K86" s="345">
        <v>1883.25</v>
      </c>
      <c r="L86" s="345" t="s">
        <v>360</v>
      </c>
      <c r="M86" s="345" t="s">
        <v>361</v>
      </c>
      <c r="N86" s="345">
        <v>0</v>
      </c>
      <c r="O86" s="110" t="s">
        <v>181</v>
      </c>
    </row>
    <row r="87" spans="1:15" x14ac:dyDescent="0.2">
      <c r="A87" s="345" t="s">
        <v>163</v>
      </c>
      <c r="B87" s="345" t="s">
        <v>560</v>
      </c>
      <c r="C87" s="345" t="s">
        <v>319</v>
      </c>
      <c r="D87" s="345" t="s">
        <v>509</v>
      </c>
      <c r="E87" s="345" t="s">
        <v>235</v>
      </c>
      <c r="F87" s="110">
        <v>44322.215196759258</v>
      </c>
      <c r="G87" s="345" t="s">
        <v>563</v>
      </c>
      <c r="H87" s="345" t="s">
        <v>564</v>
      </c>
      <c r="I87" s="345" t="s">
        <v>565</v>
      </c>
      <c r="J87" s="345">
        <v>1903.15</v>
      </c>
      <c r="K87" s="345">
        <v>1905.1</v>
      </c>
      <c r="L87" s="345" t="s">
        <v>360</v>
      </c>
      <c r="M87" s="345" t="s">
        <v>361</v>
      </c>
      <c r="N87" s="345">
        <v>0</v>
      </c>
      <c r="O87" s="110" t="s">
        <v>328</v>
      </c>
    </row>
    <row r="88" spans="1:15" x14ac:dyDescent="0.2">
      <c r="A88" s="345" t="s">
        <v>163</v>
      </c>
      <c r="B88" s="345" t="s">
        <v>560</v>
      </c>
      <c r="C88" s="345" t="s">
        <v>320</v>
      </c>
      <c r="D88" s="345" t="s">
        <v>514</v>
      </c>
      <c r="E88" s="345" t="s">
        <v>235</v>
      </c>
      <c r="F88" s="110">
        <v>44323.212141203701</v>
      </c>
      <c r="G88" s="345" t="s">
        <v>566</v>
      </c>
      <c r="H88" s="345" t="s">
        <v>567</v>
      </c>
      <c r="I88" s="345" t="s">
        <v>568</v>
      </c>
      <c r="J88" s="345">
        <v>2171.4499999999998</v>
      </c>
      <c r="K88" s="345">
        <v>2171.75</v>
      </c>
      <c r="L88" s="345" t="s">
        <v>360</v>
      </c>
      <c r="M88" s="345" t="s">
        <v>361</v>
      </c>
      <c r="N88" s="345">
        <v>0</v>
      </c>
      <c r="O88" s="110" t="s">
        <v>336</v>
      </c>
    </row>
    <row r="89" spans="1:15" x14ac:dyDescent="0.2">
      <c r="A89" s="345" t="s">
        <v>163</v>
      </c>
      <c r="B89" s="345" t="s">
        <v>560</v>
      </c>
      <c r="C89" s="345" t="s">
        <v>321</v>
      </c>
      <c r="D89" s="345" t="s">
        <v>518</v>
      </c>
      <c r="E89" s="345" t="s">
        <v>235</v>
      </c>
      <c r="F89" s="110">
        <v>44324.252511574072</v>
      </c>
      <c r="G89" s="345" t="s">
        <v>569</v>
      </c>
      <c r="H89" s="345" t="s">
        <v>570</v>
      </c>
      <c r="I89" s="345" t="s">
        <v>571</v>
      </c>
      <c r="J89" s="345">
        <v>2044.9</v>
      </c>
      <c r="K89" s="345">
        <v>2045.1</v>
      </c>
      <c r="L89" s="345" t="s">
        <v>360</v>
      </c>
      <c r="M89" s="345" t="s">
        <v>361</v>
      </c>
      <c r="N89" s="345">
        <v>400</v>
      </c>
      <c r="O89" s="110" t="s">
        <v>342</v>
      </c>
    </row>
    <row r="90" spans="1:15" x14ac:dyDescent="0.2">
      <c r="A90" s="345" t="s">
        <v>236</v>
      </c>
      <c r="B90" s="345" t="s">
        <v>572</v>
      </c>
      <c r="C90" s="345" t="s">
        <v>323</v>
      </c>
      <c r="D90" s="345" t="s">
        <v>355</v>
      </c>
      <c r="E90" s="345" t="s">
        <v>237</v>
      </c>
      <c r="F90" s="110">
        <v>44322.330729166664</v>
      </c>
      <c r="G90" s="345" t="s">
        <v>573</v>
      </c>
      <c r="H90" s="345" t="s">
        <v>574</v>
      </c>
      <c r="I90" s="345" t="s">
        <v>575</v>
      </c>
      <c r="J90" s="345">
        <v>508.9</v>
      </c>
      <c r="K90" s="345">
        <v>508.9</v>
      </c>
      <c r="L90" s="345" t="s">
        <v>360</v>
      </c>
      <c r="M90" s="345" t="s">
        <v>361</v>
      </c>
      <c r="N90" s="345">
        <v>400</v>
      </c>
      <c r="O90" s="110" t="s">
        <v>181</v>
      </c>
    </row>
    <row r="91" spans="1:15" x14ac:dyDescent="0.2">
      <c r="A91" s="345" t="s">
        <v>236</v>
      </c>
      <c r="B91" s="345" t="s">
        <v>572</v>
      </c>
      <c r="C91" s="345" t="s">
        <v>324</v>
      </c>
      <c r="D91" s="345" t="s">
        <v>331</v>
      </c>
      <c r="E91" s="345" t="s">
        <v>237</v>
      </c>
      <c r="F91" s="110">
        <v>44323.33929398148</v>
      </c>
      <c r="G91" s="345" t="s">
        <v>573</v>
      </c>
      <c r="H91" s="345" t="s">
        <v>574</v>
      </c>
      <c r="I91" s="345" t="s">
        <v>575</v>
      </c>
      <c r="J91" s="345">
        <v>589.1</v>
      </c>
      <c r="K91" s="345">
        <v>589.1</v>
      </c>
      <c r="L91" s="345" t="s">
        <v>360</v>
      </c>
      <c r="M91" s="345" t="s">
        <v>361</v>
      </c>
      <c r="N91" s="345">
        <v>400</v>
      </c>
      <c r="O91" s="110" t="s">
        <v>328</v>
      </c>
    </row>
    <row r="92" spans="1:15" x14ac:dyDescent="0.2">
      <c r="A92" s="345" t="s">
        <v>236</v>
      </c>
      <c r="B92" s="345" t="s">
        <v>572</v>
      </c>
      <c r="C92" s="345" t="s">
        <v>325</v>
      </c>
      <c r="D92" s="345" t="s">
        <v>337</v>
      </c>
      <c r="E92" s="345" t="s">
        <v>237</v>
      </c>
      <c r="F92" s="110">
        <v>44324.337673611109</v>
      </c>
      <c r="G92" s="345" t="s">
        <v>576</v>
      </c>
      <c r="H92" s="345" t="s">
        <v>577</v>
      </c>
      <c r="I92" s="345" t="s">
        <v>578</v>
      </c>
      <c r="J92" s="345">
        <v>427.65</v>
      </c>
      <c r="K92" s="345">
        <v>427.7</v>
      </c>
      <c r="L92" s="345" t="s">
        <v>360</v>
      </c>
      <c r="M92" s="345" t="s">
        <v>361</v>
      </c>
      <c r="N92" s="345">
        <v>400</v>
      </c>
      <c r="O92" s="110" t="s">
        <v>336</v>
      </c>
    </row>
    <row r="93" spans="1:15" x14ac:dyDescent="0.2">
      <c r="A93" s="345" t="s">
        <v>236</v>
      </c>
      <c r="B93" s="345" t="s">
        <v>572</v>
      </c>
      <c r="C93" s="345" t="s">
        <v>326</v>
      </c>
      <c r="D93" s="345" t="s">
        <v>343</v>
      </c>
      <c r="E93" s="345" t="s">
        <v>237</v>
      </c>
      <c r="F93" s="110">
        <v>44325.334837962961</v>
      </c>
      <c r="G93" s="345" t="s">
        <v>576</v>
      </c>
      <c r="H93" s="345" t="s">
        <v>577</v>
      </c>
      <c r="I93" s="345" t="s">
        <v>578</v>
      </c>
      <c r="J93" s="345">
        <v>617.45000000000005</v>
      </c>
      <c r="K93" s="345">
        <v>617.35</v>
      </c>
      <c r="L93" s="345" t="s">
        <v>360</v>
      </c>
      <c r="M93" s="345" t="s">
        <v>361</v>
      </c>
      <c r="N93" s="345">
        <v>400</v>
      </c>
      <c r="O93" s="110" t="s">
        <v>342</v>
      </c>
    </row>
    <row r="94" spans="1:15" x14ac:dyDescent="0.2">
      <c r="A94" s="345">
        <v>2117</v>
      </c>
      <c r="B94" s="345" t="s">
        <v>353</v>
      </c>
      <c r="C94" s="345">
        <v>211701000922</v>
      </c>
      <c r="D94" s="345">
        <v>40501</v>
      </c>
      <c r="E94" s="345">
        <v>211701</v>
      </c>
      <c r="F94" s="110">
        <v>44320.376932870371</v>
      </c>
      <c r="G94" s="345" t="s">
        <v>579</v>
      </c>
      <c r="H94" s="345" t="s">
        <v>580</v>
      </c>
      <c r="I94" s="345">
        <v>6000</v>
      </c>
      <c r="J94" s="345">
        <v>699</v>
      </c>
      <c r="K94" s="345">
        <v>699</v>
      </c>
      <c r="L94" s="345" t="s">
        <v>360</v>
      </c>
      <c r="M94" s="345" t="s">
        <v>361</v>
      </c>
      <c r="N94" s="345">
        <v>400</v>
      </c>
      <c r="O94" s="110">
        <v>44320</v>
      </c>
    </row>
    <row r="95" spans="1:15" x14ac:dyDescent="0.2">
      <c r="A95" s="345">
        <v>2117</v>
      </c>
      <c r="B95" s="345" t="s">
        <v>353</v>
      </c>
      <c r="C95" s="345">
        <v>211701000923</v>
      </c>
      <c r="D95" s="345">
        <v>50501</v>
      </c>
      <c r="E95" s="345">
        <v>211701</v>
      </c>
      <c r="F95" s="110">
        <v>44321.378020833334</v>
      </c>
      <c r="G95" s="345" t="s">
        <v>510</v>
      </c>
      <c r="H95" s="345" t="s">
        <v>581</v>
      </c>
      <c r="I95" s="345">
        <v>4197</v>
      </c>
      <c r="J95" s="345">
        <v>400</v>
      </c>
      <c r="K95" s="345">
        <v>400</v>
      </c>
      <c r="L95" s="345" t="s">
        <v>360</v>
      </c>
      <c r="M95" s="345" t="s">
        <v>361</v>
      </c>
      <c r="N95" s="345">
        <v>400</v>
      </c>
      <c r="O95" s="110">
        <v>44321</v>
      </c>
    </row>
    <row r="96" spans="1:15" x14ac:dyDescent="0.2">
      <c r="A96" s="345">
        <v>2118</v>
      </c>
      <c r="B96" s="345" t="s">
        <v>363</v>
      </c>
      <c r="C96" s="345">
        <v>211801001193</v>
      </c>
      <c r="D96" s="345">
        <v>40501</v>
      </c>
      <c r="E96" s="345">
        <v>211801</v>
      </c>
      <c r="F96" s="110">
        <v>44320.373518518521</v>
      </c>
      <c r="G96" s="345" t="s">
        <v>582</v>
      </c>
      <c r="H96" s="345" t="s">
        <v>583</v>
      </c>
      <c r="I96" s="345">
        <v>3634</v>
      </c>
      <c r="J96" s="345">
        <v>400</v>
      </c>
      <c r="K96" s="345">
        <v>400</v>
      </c>
      <c r="L96" s="345" t="s">
        <v>360</v>
      </c>
      <c r="M96" s="345" t="s">
        <v>361</v>
      </c>
      <c r="N96" s="345">
        <v>400</v>
      </c>
      <c r="O96" s="110">
        <v>44320</v>
      </c>
    </row>
    <row r="97" spans="1:15" x14ac:dyDescent="0.2">
      <c r="A97" s="345">
        <v>2118</v>
      </c>
      <c r="B97" s="345" t="s">
        <v>363</v>
      </c>
      <c r="C97" s="345">
        <v>211801001194</v>
      </c>
      <c r="D97" s="345">
        <v>50501</v>
      </c>
      <c r="E97" s="345">
        <v>211801</v>
      </c>
      <c r="F97" s="110">
        <v>44321.375497685185</v>
      </c>
      <c r="G97" s="345" t="s">
        <v>584</v>
      </c>
      <c r="H97" s="345" t="s">
        <v>585</v>
      </c>
      <c r="I97" s="345">
        <v>3657</v>
      </c>
      <c r="J97" s="345">
        <v>472.95</v>
      </c>
      <c r="K97" s="345">
        <v>472.95</v>
      </c>
      <c r="L97" s="345" t="s">
        <v>360</v>
      </c>
      <c r="M97" s="345" t="s">
        <v>361</v>
      </c>
      <c r="N97" s="345">
        <v>400</v>
      </c>
      <c r="O97" s="110">
        <v>44321</v>
      </c>
    </row>
    <row r="98" spans="1:15" x14ac:dyDescent="0.2">
      <c r="A98" s="345">
        <v>2119</v>
      </c>
      <c r="B98" s="345" t="s">
        <v>376</v>
      </c>
      <c r="C98" s="345">
        <v>211901001346</v>
      </c>
      <c r="D98" s="345">
        <v>5050101</v>
      </c>
      <c r="E98" s="345">
        <v>211901</v>
      </c>
      <c r="F98" s="110">
        <v>44321.307986111111</v>
      </c>
      <c r="G98" s="345" t="s">
        <v>367</v>
      </c>
      <c r="H98" s="345" t="s">
        <v>368</v>
      </c>
      <c r="I98" s="345">
        <v>3987</v>
      </c>
      <c r="J98" s="345">
        <v>443</v>
      </c>
      <c r="K98" s="345">
        <v>443</v>
      </c>
      <c r="L98" s="345" t="s">
        <v>360</v>
      </c>
      <c r="M98" s="345" t="s">
        <v>361</v>
      </c>
      <c r="N98" s="345">
        <v>400</v>
      </c>
      <c r="O98" s="110">
        <v>44321</v>
      </c>
    </row>
    <row r="99" spans="1:15" x14ac:dyDescent="0.2">
      <c r="A99" s="345">
        <v>2225</v>
      </c>
      <c r="B99" s="345" t="s">
        <v>383</v>
      </c>
      <c r="C99" s="345">
        <v>222501000180</v>
      </c>
      <c r="D99" s="345">
        <v>40501</v>
      </c>
      <c r="E99" s="345">
        <v>222501</v>
      </c>
      <c r="F99" s="110">
        <v>44320.285486111112</v>
      </c>
      <c r="G99" s="345" t="s">
        <v>344</v>
      </c>
      <c r="H99" s="345" t="s">
        <v>392</v>
      </c>
      <c r="I99" s="345">
        <v>5187</v>
      </c>
      <c r="J99" s="345">
        <v>757.4</v>
      </c>
      <c r="K99" s="345">
        <v>755.4</v>
      </c>
      <c r="L99" s="345" t="s">
        <v>360</v>
      </c>
      <c r="M99" s="345" t="s">
        <v>361</v>
      </c>
      <c r="N99" s="345">
        <v>400</v>
      </c>
      <c r="O99" s="110">
        <v>44320</v>
      </c>
    </row>
    <row r="100" spans="1:15" x14ac:dyDescent="0.2">
      <c r="A100" s="345">
        <v>2225</v>
      </c>
      <c r="B100" s="345" t="s">
        <v>383</v>
      </c>
      <c r="C100" s="345">
        <v>222501000181</v>
      </c>
      <c r="D100" s="345">
        <v>50501</v>
      </c>
      <c r="E100" s="345">
        <v>222501</v>
      </c>
      <c r="F100" s="110">
        <v>44321.287881944445</v>
      </c>
      <c r="G100" s="345" t="s">
        <v>384</v>
      </c>
      <c r="H100" s="345" t="s">
        <v>385</v>
      </c>
      <c r="I100" s="345">
        <v>5800</v>
      </c>
      <c r="J100" s="345">
        <v>840.65</v>
      </c>
      <c r="K100" s="345">
        <v>840.65</v>
      </c>
      <c r="L100" s="345" t="s">
        <v>360</v>
      </c>
      <c r="M100" s="345" t="s">
        <v>361</v>
      </c>
      <c r="N100" s="345">
        <v>400</v>
      </c>
      <c r="O100" s="110">
        <v>44321</v>
      </c>
    </row>
    <row r="101" spans="1:15" x14ac:dyDescent="0.2">
      <c r="A101" s="345">
        <v>2231</v>
      </c>
      <c r="B101" s="345" t="s">
        <v>394</v>
      </c>
      <c r="C101" s="345">
        <v>223101003760</v>
      </c>
      <c r="D101" s="345">
        <v>4050101</v>
      </c>
      <c r="E101" s="345">
        <v>223101</v>
      </c>
      <c r="F101" s="110">
        <v>44320.334131944444</v>
      </c>
      <c r="G101" s="345" t="s">
        <v>367</v>
      </c>
      <c r="H101" s="345" t="s">
        <v>368</v>
      </c>
      <c r="I101" s="345">
        <v>3987</v>
      </c>
      <c r="J101" s="345">
        <v>429.1</v>
      </c>
      <c r="K101" s="345">
        <v>429.1</v>
      </c>
      <c r="L101" s="345" t="s">
        <v>360</v>
      </c>
      <c r="M101" s="345" t="s">
        <v>361</v>
      </c>
      <c r="N101" s="345">
        <v>400</v>
      </c>
      <c r="O101" s="110">
        <v>44320</v>
      </c>
    </row>
    <row r="102" spans="1:15" x14ac:dyDescent="0.2">
      <c r="A102" s="345">
        <v>2231</v>
      </c>
      <c r="B102" s="345" t="s">
        <v>394</v>
      </c>
      <c r="C102" s="345">
        <v>223101003761</v>
      </c>
      <c r="D102" s="345">
        <v>50501</v>
      </c>
      <c r="E102" s="345">
        <v>223101</v>
      </c>
      <c r="F102" s="110">
        <v>44321.28733796296</v>
      </c>
      <c r="G102" s="345" t="s">
        <v>586</v>
      </c>
      <c r="H102" s="345" t="s">
        <v>587</v>
      </c>
      <c r="I102" s="345">
        <v>3399</v>
      </c>
      <c r="J102" s="345">
        <v>528.54999999999995</v>
      </c>
      <c r="K102" s="345">
        <v>528.54999999999995</v>
      </c>
      <c r="L102" s="345" t="s">
        <v>360</v>
      </c>
      <c r="M102" s="345" t="s">
        <v>361</v>
      </c>
      <c r="N102" s="345">
        <v>400</v>
      </c>
      <c r="O102" s="110">
        <v>44321</v>
      </c>
    </row>
    <row r="103" spans="1:15" x14ac:dyDescent="0.2">
      <c r="A103" s="345">
        <v>2450</v>
      </c>
      <c r="B103" s="345" t="s">
        <v>401</v>
      </c>
      <c r="C103" s="345">
        <v>245001004315</v>
      </c>
      <c r="D103" s="345">
        <v>40101</v>
      </c>
      <c r="E103" s="345">
        <v>245001</v>
      </c>
      <c r="F103" s="110">
        <v>44320.38621527778</v>
      </c>
      <c r="G103" s="345" t="s">
        <v>588</v>
      </c>
      <c r="H103" s="345" t="s">
        <v>589</v>
      </c>
      <c r="I103" s="345">
        <v>6408</v>
      </c>
      <c r="J103" s="345">
        <v>718.75</v>
      </c>
      <c r="K103" s="345">
        <v>718.75</v>
      </c>
      <c r="L103" s="345" t="s">
        <v>360</v>
      </c>
      <c r="M103" s="345" t="s">
        <v>361</v>
      </c>
      <c r="N103" s="345">
        <v>400</v>
      </c>
      <c r="O103" s="110">
        <v>44320</v>
      </c>
    </row>
    <row r="104" spans="1:15" x14ac:dyDescent="0.2">
      <c r="A104" s="345">
        <v>2450</v>
      </c>
      <c r="B104" s="345" t="s">
        <v>401</v>
      </c>
      <c r="C104" s="345">
        <v>245001004316</v>
      </c>
      <c r="D104" s="345">
        <v>50101</v>
      </c>
      <c r="E104" s="345">
        <v>245001</v>
      </c>
      <c r="F104" s="110">
        <v>44321.239803240744</v>
      </c>
      <c r="G104" s="345" t="s">
        <v>588</v>
      </c>
      <c r="H104" s="345" t="s">
        <v>589</v>
      </c>
      <c r="I104" s="345">
        <v>6408</v>
      </c>
      <c r="J104" s="345">
        <v>762.85</v>
      </c>
      <c r="K104" s="345">
        <v>762.85</v>
      </c>
      <c r="L104" s="345" t="s">
        <v>360</v>
      </c>
      <c r="M104" s="345" t="s">
        <v>361</v>
      </c>
      <c r="N104" s="345">
        <v>400</v>
      </c>
      <c r="O104" s="110">
        <v>44321</v>
      </c>
    </row>
    <row r="105" spans="1:15" x14ac:dyDescent="0.2">
      <c r="A105" s="345">
        <v>3175</v>
      </c>
      <c r="B105" s="345" t="s">
        <v>406</v>
      </c>
      <c r="C105" s="345">
        <v>317501005856</v>
      </c>
      <c r="D105" s="345">
        <v>50501</v>
      </c>
      <c r="E105" s="345">
        <v>317501</v>
      </c>
      <c r="F105" s="110">
        <v>44321.366851851853</v>
      </c>
      <c r="G105" s="345" t="s">
        <v>407</v>
      </c>
      <c r="H105" s="345" t="s">
        <v>408</v>
      </c>
      <c r="I105" s="345">
        <v>1605</v>
      </c>
      <c r="J105" s="345">
        <v>400</v>
      </c>
      <c r="K105" s="345">
        <v>400</v>
      </c>
      <c r="L105" s="345" t="s">
        <v>360</v>
      </c>
      <c r="M105" s="345" t="s">
        <v>361</v>
      </c>
      <c r="N105" s="345">
        <v>400</v>
      </c>
      <c r="O105" s="110">
        <v>44321</v>
      </c>
    </row>
    <row r="106" spans="1:15" x14ac:dyDescent="0.2">
      <c r="A106" s="345">
        <v>3191</v>
      </c>
      <c r="B106" s="345" t="s">
        <v>410</v>
      </c>
      <c r="C106" s="345">
        <v>319101010285</v>
      </c>
      <c r="D106" s="345">
        <v>40101</v>
      </c>
      <c r="E106" s="345">
        <v>319101</v>
      </c>
      <c r="F106" s="110">
        <v>44320.249560185184</v>
      </c>
      <c r="G106" s="345" t="s">
        <v>590</v>
      </c>
      <c r="H106" s="345" t="s">
        <v>591</v>
      </c>
      <c r="I106" s="345">
        <v>1352</v>
      </c>
      <c r="J106" s="345">
        <v>839.6</v>
      </c>
      <c r="K106" s="345">
        <v>839.6</v>
      </c>
      <c r="L106" s="345" t="s">
        <v>360</v>
      </c>
      <c r="M106" s="345" t="s">
        <v>361</v>
      </c>
      <c r="N106" s="345">
        <v>400</v>
      </c>
      <c r="O106" s="110">
        <v>44320</v>
      </c>
    </row>
    <row r="107" spans="1:15" x14ac:dyDescent="0.2">
      <c r="A107" s="345">
        <v>3191</v>
      </c>
      <c r="B107" s="345" t="s">
        <v>410</v>
      </c>
      <c r="C107" s="345">
        <v>319101010286</v>
      </c>
      <c r="D107" s="345">
        <v>50101</v>
      </c>
      <c r="E107" s="345">
        <v>319101</v>
      </c>
      <c r="F107" s="110">
        <v>44321.244293981479</v>
      </c>
      <c r="G107" s="345" t="s">
        <v>412</v>
      </c>
      <c r="H107" s="345" t="s">
        <v>413</v>
      </c>
      <c r="I107" s="345">
        <v>2030</v>
      </c>
      <c r="J107" s="345">
        <v>734.25</v>
      </c>
      <c r="K107" s="345">
        <v>734.25</v>
      </c>
      <c r="L107" s="345" t="s">
        <v>360</v>
      </c>
      <c r="M107" s="345" t="s">
        <v>361</v>
      </c>
      <c r="N107" s="345">
        <v>400</v>
      </c>
      <c r="O107" s="110">
        <v>44321</v>
      </c>
    </row>
    <row r="108" spans="1:15" x14ac:dyDescent="0.2">
      <c r="A108" s="345">
        <v>4100</v>
      </c>
      <c r="B108" s="345" t="s">
        <v>422</v>
      </c>
      <c r="C108" s="345">
        <v>410001004407</v>
      </c>
      <c r="D108" s="345">
        <v>40101</v>
      </c>
      <c r="E108" s="345">
        <v>410001</v>
      </c>
      <c r="F108" s="110">
        <v>44320.337083333332</v>
      </c>
      <c r="G108" s="345" t="s">
        <v>592</v>
      </c>
      <c r="H108" s="345" t="s">
        <v>593</v>
      </c>
      <c r="I108" s="345">
        <v>5185</v>
      </c>
      <c r="J108" s="345">
        <v>1064</v>
      </c>
      <c r="K108" s="345">
        <v>1064</v>
      </c>
      <c r="L108" s="345" t="s">
        <v>360</v>
      </c>
      <c r="M108" s="345" t="s">
        <v>361</v>
      </c>
      <c r="N108" s="345">
        <v>400</v>
      </c>
      <c r="O108" s="110">
        <v>44320</v>
      </c>
    </row>
    <row r="109" spans="1:15" x14ac:dyDescent="0.2">
      <c r="A109" s="345">
        <v>4100</v>
      </c>
      <c r="B109" s="345" t="s">
        <v>422</v>
      </c>
      <c r="C109" s="345">
        <v>410001004408</v>
      </c>
      <c r="D109" s="345">
        <v>50101</v>
      </c>
      <c r="E109" s="345">
        <v>410001</v>
      </c>
      <c r="F109" s="110">
        <v>44321.231874999998</v>
      </c>
      <c r="G109" s="345" t="s">
        <v>594</v>
      </c>
      <c r="H109" s="345" t="s">
        <v>595</v>
      </c>
      <c r="I109" s="345">
        <v>1433</v>
      </c>
      <c r="J109" s="345">
        <v>1234.77</v>
      </c>
      <c r="K109" s="345">
        <v>1234.75</v>
      </c>
      <c r="L109" s="345" t="s">
        <v>360</v>
      </c>
      <c r="M109" s="345" t="s">
        <v>361</v>
      </c>
      <c r="N109" s="345">
        <v>400</v>
      </c>
      <c r="O109" s="110">
        <v>44321</v>
      </c>
    </row>
    <row r="110" spans="1:15" x14ac:dyDescent="0.2">
      <c r="A110" s="345">
        <v>4101</v>
      </c>
      <c r="B110" s="345" t="s">
        <v>428</v>
      </c>
      <c r="C110" s="345">
        <v>410101000783</v>
      </c>
      <c r="D110" s="345">
        <v>40501</v>
      </c>
      <c r="E110" s="345">
        <v>410101</v>
      </c>
      <c r="F110" s="110">
        <v>44320.17287037037</v>
      </c>
      <c r="G110" s="345" t="s">
        <v>596</v>
      </c>
      <c r="H110" s="345" t="s">
        <v>597</v>
      </c>
      <c r="I110" s="345">
        <v>3345</v>
      </c>
      <c r="J110" s="345">
        <v>1558.1</v>
      </c>
      <c r="K110" s="345">
        <v>1559.35</v>
      </c>
      <c r="L110" s="345" t="s">
        <v>360</v>
      </c>
      <c r="M110" s="345" t="s">
        <v>361</v>
      </c>
      <c r="N110" s="345">
        <v>400</v>
      </c>
      <c r="O110" s="110">
        <v>44320</v>
      </c>
    </row>
    <row r="111" spans="1:15" x14ac:dyDescent="0.2">
      <c r="A111" s="345">
        <v>4101</v>
      </c>
      <c r="B111" s="345" t="s">
        <v>428</v>
      </c>
      <c r="C111" s="345">
        <v>410101000784</v>
      </c>
      <c r="D111" s="345">
        <v>50501</v>
      </c>
      <c r="E111" s="345">
        <v>410101</v>
      </c>
      <c r="F111" s="110">
        <v>44321.170057870368</v>
      </c>
      <c r="G111" s="345" t="s">
        <v>596</v>
      </c>
      <c r="H111" s="345" t="s">
        <v>597</v>
      </c>
      <c r="I111" s="345">
        <v>3345</v>
      </c>
      <c r="J111" s="345">
        <v>1476.45</v>
      </c>
      <c r="K111" s="345">
        <v>1477.25</v>
      </c>
      <c r="L111" s="345" t="s">
        <v>360</v>
      </c>
      <c r="M111" s="345" t="s">
        <v>361</v>
      </c>
      <c r="N111" s="345">
        <v>400</v>
      </c>
      <c r="O111" s="110">
        <v>44321</v>
      </c>
    </row>
    <row r="112" spans="1:15" x14ac:dyDescent="0.2">
      <c r="A112" s="345">
        <v>4102</v>
      </c>
      <c r="B112" s="345" t="s">
        <v>432</v>
      </c>
      <c r="C112" s="345">
        <v>410201000715</v>
      </c>
      <c r="D112" s="345">
        <v>40501</v>
      </c>
      <c r="E112" s="345">
        <v>410201</v>
      </c>
      <c r="F112" s="110">
        <v>44320.358113425929</v>
      </c>
      <c r="G112" s="345" t="s">
        <v>433</v>
      </c>
      <c r="H112" s="345" t="s">
        <v>434</v>
      </c>
      <c r="I112" s="345">
        <v>5229</v>
      </c>
      <c r="J112" s="345">
        <v>573.5</v>
      </c>
      <c r="K112" s="345">
        <v>573.70000000000005</v>
      </c>
      <c r="L112" s="345" t="s">
        <v>360</v>
      </c>
      <c r="M112" s="345" t="s">
        <v>361</v>
      </c>
      <c r="N112" s="345">
        <v>400</v>
      </c>
      <c r="O112" s="110">
        <v>44320</v>
      </c>
    </row>
    <row r="113" spans="1:15" x14ac:dyDescent="0.2">
      <c r="A113" s="345">
        <v>4104</v>
      </c>
      <c r="B113" s="345" t="s">
        <v>443</v>
      </c>
      <c r="C113" s="345">
        <v>410401000501</v>
      </c>
      <c r="D113" s="345">
        <v>4050101</v>
      </c>
      <c r="E113" s="345">
        <v>410401</v>
      </c>
      <c r="F113" s="110">
        <v>44320.198761574073</v>
      </c>
      <c r="G113" s="345" t="s">
        <v>596</v>
      </c>
      <c r="H113" s="345" t="s">
        <v>597</v>
      </c>
      <c r="I113" s="345">
        <v>3345</v>
      </c>
      <c r="J113" s="345">
        <v>570.54999999999995</v>
      </c>
      <c r="K113" s="345">
        <v>570.6</v>
      </c>
      <c r="L113" s="345" t="s">
        <v>360</v>
      </c>
      <c r="M113" s="345" t="s">
        <v>361</v>
      </c>
      <c r="N113" s="345">
        <v>400</v>
      </c>
      <c r="O113" s="110">
        <v>44320</v>
      </c>
    </row>
    <row r="114" spans="1:15" x14ac:dyDescent="0.2">
      <c r="A114" s="345">
        <v>4104</v>
      </c>
      <c r="B114" s="345" t="s">
        <v>443</v>
      </c>
      <c r="C114" s="345">
        <v>410401000502</v>
      </c>
      <c r="D114" s="345">
        <v>5050101</v>
      </c>
      <c r="E114" s="345">
        <v>410401</v>
      </c>
      <c r="F114" s="110">
        <v>44321.206307870372</v>
      </c>
      <c r="G114" s="345" t="s">
        <v>447</v>
      </c>
      <c r="H114" s="345" t="s">
        <v>448</v>
      </c>
      <c r="I114" s="345">
        <v>5530</v>
      </c>
      <c r="J114" s="345">
        <v>538.75</v>
      </c>
      <c r="K114" s="345">
        <v>538.75</v>
      </c>
      <c r="L114" s="345" t="s">
        <v>360</v>
      </c>
      <c r="M114" s="345" t="s">
        <v>361</v>
      </c>
      <c r="N114" s="345">
        <v>400</v>
      </c>
      <c r="O114" s="110">
        <v>44321</v>
      </c>
    </row>
    <row r="115" spans="1:15" x14ac:dyDescent="0.2">
      <c r="A115" s="345">
        <v>4106</v>
      </c>
      <c r="B115" s="345" t="s">
        <v>450</v>
      </c>
      <c r="C115" s="345">
        <v>410601000594</v>
      </c>
      <c r="D115" s="345">
        <v>40101</v>
      </c>
      <c r="E115" s="345">
        <v>410601</v>
      </c>
      <c r="F115" s="110">
        <v>44320.211597222224</v>
      </c>
      <c r="G115" s="345" t="s">
        <v>451</v>
      </c>
      <c r="H115" s="345" t="s">
        <v>452</v>
      </c>
      <c r="I115" s="345">
        <v>3542</v>
      </c>
      <c r="J115" s="345">
        <v>1313.55</v>
      </c>
      <c r="K115" s="345">
        <v>1314.15</v>
      </c>
      <c r="L115" s="345" t="s">
        <v>360</v>
      </c>
      <c r="M115" s="345" t="s">
        <v>361</v>
      </c>
      <c r="N115" s="345">
        <v>400</v>
      </c>
      <c r="O115" s="110">
        <v>44320</v>
      </c>
    </row>
    <row r="116" spans="1:15" x14ac:dyDescent="0.2">
      <c r="A116" s="345">
        <v>4106</v>
      </c>
      <c r="B116" s="345" t="s">
        <v>450</v>
      </c>
      <c r="C116" s="345">
        <v>410601000595</v>
      </c>
      <c r="D116" s="345">
        <v>50101</v>
      </c>
      <c r="E116" s="345">
        <v>410601</v>
      </c>
      <c r="F116" s="110">
        <v>44321.210219907407</v>
      </c>
      <c r="G116" s="345" t="s">
        <v>451</v>
      </c>
      <c r="H116" s="345" t="s">
        <v>452</v>
      </c>
      <c r="I116" s="345">
        <v>3542</v>
      </c>
      <c r="J116" s="345">
        <v>1186</v>
      </c>
      <c r="K116" s="345">
        <v>1186.3499999999999</v>
      </c>
      <c r="L116" s="345" t="s">
        <v>360</v>
      </c>
      <c r="M116" s="345" t="s">
        <v>361</v>
      </c>
      <c r="N116" s="345">
        <v>400</v>
      </c>
      <c r="O116" s="110">
        <v>44321</v>
      </c>
    </row>
    <row r="117" spans="1:15" x14ac:dyDescent="0.2">
      <c r="A117" s="345">
        <v>4107</v>
      </c>
      <c r="B117" s="345" t="s">
        <v>456</v>
      </c>
      <c r="C117" s="345">
        <v>410701000391</v>
      </c>
      <c r="D117" s="345">
        <v>40101</v>
      </c>
      <c r="E117" s="345">
        <v>410701</v>
      </c>
      <c r="F117" s="110">
        <v>44320.207939814813</v>
      </c>
      <c r="G117" s="345" t="s">
        <v>463</v>
      </c>
      <c r="H117" s="345" t="s">
        <v>464</v>
      </c>
      <c r="I117" s="345">
        <v>3383</v>
      </c>
      <c r="J117" s="345">
        <v>1480.8</v>
      </c>
      <c r="K117" s="345">
        <v>1518.9</v>
      </c>
      <c r="L117" s="345" t="s">
        <v>360</v>
      </c>
      <c r="M117" s="345" t="s">
        <v>361</v>
      </c>
      <c r="N117" s="345">
        <v>400</v>
      </c>
      <c r="O117" s="110">
        <v>44320</v>
      </c>
    </row>
    <row r="118" spans="1:15" x14ac:dyDescent="0.2">
      <c r="A118" s="345">
        <v>4107</v>
      </c>
      <c r="B118" s="345" t="s">
        <v>456</v>
      </c>
      <c r="C118" s="345">
        <v>410701000393</v>
      </c>
      <c r="D118" s="345">
        <v>50101</v>
      </c>
      <c r="E118" s="345">
        <v>410701</v>
      </c>
      <c r="F118" s="110">
        <v>44321.289803240739</v>
      </c>
      <c r="G118" s="345" t="s">
        <v>463</v>
      </c>
      <c r="H118" s="345" t="s">
        <v>464</v>
      </c>
      <c r="I118" s="345">
        <v>3383</v>
      </c>
      <c r="J118" s="345">
        <v>1653.95</v>
      </c>
      <c r="K118" s="345">
        <v>1653.95</v>
      </c>
      <c r="L118" s="345" t="s">
        <v>360</v>
      </c>
      <c r="M118" s="345" t="s">
        <v>361</v>
      </c>
      <c r="N118" s="345">
        <v>400</v>
      </c>
      <c r="O118" s="110">
        <v>44321</v>
      </c>
    </row>
    <row r="119" spans="1:15" x14ac:dyDescent="0.2">
      <c r="A119" s="345">
        <v>4108</v>
      </c>
      <c r="B119" s="345" t="s">
        <v>469</v>
      </c>
      <c r="C119" s="345">
        <v>410801000259</v>
      </c>
      <c r="D119" s="345">
        <v>40501</v>
      </c>
      <c r="E119" s="345">
        <v>410801</v>
      </c>
      <c r="F119" s="110">
        <v>44320.309247685182</v>
      </c>
      <c r="G119" s="345" t="s">
        <v>463</v>
      </c>
      <c r="H119" s="345" t="s">
        <v>464</v>
      </c>
      <c r="I119" s="345">
        <v>3383</v>
      </c>
      <c r="J119" s="345">
        <v>884.3</v>
      </c>
      <c r="K119" s="345">
        <v>884.3</v>
      </c>
      <c r="L119" s="345" t="s">
        <v>360</v>
      </c>
      <c r="M119" s="345" t="s">
        <v>361</v>
      </c>
      <c r="N119" s="345">
        <v>400</v>
      </c>
      <c r="O119" s="110">
        <v>44320</v>
      </c>
    </row>
    <row r="120" spans="1:15" x14ac:dyDescent="0.2">
      <c r="A120" s="345">
        <v>4108</v>
      </c>
      <c r="B120" s="345" t="s">
        <v>469</v>
      </c>
      <c r="C120" s="345">
        <v>410801000260</v>
      </c>
      <c r="D120" s="345">
        <v>50501</v>
      </c>
      <c r="E120" s="345">
        <v>410801</v>
      </c>
      <c r="F120" s="110">
        <v>44321.302106481482</v>
      </c>
      <c r="G120" s="345" t="s">
        <v>476</v>
      </c>
      <c r="H120" s="345" t="s">
        <v>477</v>
      </c>
      <c r="I120" s="345">
        <v>3223</v>
      </c>
      <c r="J120" s="345">
        <v>674.4</v>
      </c>
      <c r="K120" s="345">
        <v>674.4</v>
      </c>
      <c r="L120" s="345" t="s">
        <v>360</v>
      </c>
      <c r="M120" s="345" t="s">
        <v>361</v>
      </c>
      <c r="N120" s="345">
        <v>400</v>
      </c>
      <c r="O120" s="110">
        <v>44321</v>
      </c>
    </row>
    <row r="121" spans="1:15" x14ac:dyDescent="0.2">
      <c r="A121" s="345">
        <v>4109</v>
      </c>
      <c r="B121" s="345" t="s">
        <v>481</v>
      </c>
      <c r="C121" s="345">
        <v>410901000390</v>
      </c>
      <c r="D121" s="345">
        <v>40501</v>
      </c>
      <c r="E121" s="345">
        <v>410901</v>
      </c>
      <c r="F121" s="110">
        <v>44320.206736111111</v>
      </c>
      <c r="G121" s="345" t="s">
        <v>596</v>
      </c>
      <c r="H121" s="345" t="s">
        <v>597</v>
      </c>
      <c r="I121" s="345">
        <v>3345</v>
      </c>
      <c r="J121" s="345">
        <v>886.65</v>
      </c>
      <c r="K121" s="345">
        <v>886.9</v>
      </c>
      <c r="L121" s="345" t="s">
        <v>360</v>
      </c>
      <c r="M121" s="345" t="s">
        <v>361</v>
      </c>
      <c r="N121" s="345">
        <v>400</v>
      </c>
      <c r="O121" s="110">
        <v>44320</v>
      </c>
    </row>
    <row r="122" spans="1:15" x14ac:dyDescent="0.2">
      <c r="A122" s="345">
        <v>4109</v>
      </c>
      <c r="B122" s="345" t="s">
        <v>481</v>
      </c>
      <c r="C122" s="345">
        <v>410901000391</v>
      </c>
      <c r="D122" s="345">
        <v>50101</v>
      </c>
      <c r="E122" s="345">
        <v>410901</v>
      </c>
      <c r="F122" s="110">
        <v>44321.207789351851</v>
      </c>
      <c r="G122" s="345" t="s">
        <v>188</v>
      </c>
      <c r="H122" s="345" t="s">
        <v>482</v>
      </c>
      <c r="I122" s="345">
        <v>5420</v>
      </c>
      <c r="J122" s="345">
        <v>901.35</v>
      </c>
      <c r="K122" s="345">
        <v>801.35</v>
      </c>
      <c r="L122" s="345" t="s">
        <v>360</v>
      </c>
      <c r="M122" s="345" t="s">
        <v>361</v>
      </c>
      <c r="N122" s="345">
        <v>400</v>
      </c>
      <c r="O122" s="110">
        <v>44321</v>
      </c>
    </row>
    <row r="123" spans="1:15" x14ac:dyDescent="0.2">
      <c r="A123" s="345">
        <v>4110</v>
      </c>
      <c r="B123" s="345" t="s">
        <v>490</v>
      </c>
      <c r="C123" s="345">
        <v>411001000351</v>
      </c>
      <c r="D123" s="345">
        <v>40501</v>
      </c>
      <c r="E123" s="345">
        <v>411001</v>
      </c>
      <c r="F123" s="110">
        <v>44320.198854166665</v>
      </c>
      <c r="G123" s="345" t="s">
        <v>491</v>
      </c>
      <c r="H123" s="345" t="s">
        <v>492</v>
      </c>
      <c r="I123" s="345">
        <v>3515</v>
      </c>
      <c r="J123" s="345">
        <v>721.05</v>
      </c>
      <c r="K123" s="345">
        <v>721.05</v>
      </c>
      <c r="L123" s="345" t="s">
        <v>360</v>
      </c>
      <c r="M123" s="345" t="s">
        <v>361</v>
      </c>
      <c r="N123" s="345">
        <v>400</v>
      </c>
      <c r="O123" s="110">
        <v>44320</v>
      </c>
    </row>
    <row r="124" spans="1:15" x14ac:dyDescent="0.2">
      <c r="A124" s="345">
        <v>4110</v>
      </c>
      <c r="B124" s="345" t="s">
        <v>490</v>
      </c>
      <c r="C124" s="345">
        <v>411001000352</v>
      </c>
      <c r="D124" s="345">
        <v>50501</v>
      </c>
      <c r="E124" s="345">
        <v>411001</v>
      </c>
      <c r="F124" s="110">
        <v>44321.199953703705</v>
      </c>
      <c r="G124" s="345" t="s">
        <v>341</v>
      </c>
      <c r="H124" s="345" t="s">
        <v>454</v>
      </c>
      <c r="I124" s="345">
        <v>5402</v>
      </c>
      <c r="J124" s="345">
        <v>838.9</v>
      </c>
      <c r="K124" s="345">
        <v>839</v>
      </c>
      <c r="L124" s="345" t="s">
        <v>360</v>
      </c>
      <c r="M124" s="345" t="s">
        <v>361</v>
      </c>
      <c r="N124" s="345">
        <v>400</v>
      </c>
      <c r="O124" s="110">
        <v>44321</v>
      </c>
    </row>
    <row r="125" spans="1:15" x14ac:dyDescent="0.2">
      <c r="A125" s="345">
        <v>4770</v>
      </c>
      <c r="B125" s="345" t="s">
        <v>497</v>
      </c>
      <c r="C125" s="345">
        <v>477001005990</v>
      </c>
      <c r="D125" s="345">
        <v>40501</v>
      </c>
      <c r="E125" s="345">
        <v>477001</v>
      </c>
      <c r="F125" s="110">
        <v>44320.282175925924</v>
      </c>
      <c r="G125" s="345" t="s">
        <v>504</v>
      </c>
      <c r="H125" s="345" t="s">
        <v>505</v>
      </c>
      <c r="I125" s="345">
        <v>3136</v>
      </c>
      <c r="J125" s="345">
        <v>993.6</v>
      </c>
      <c r="K125" s="345">
        <v>993.85</v>
      </c>
      <c r="L125" s="345" t="s">
        <v>360</v>
      </c>
      <c r="M125" s="345" t="s">
        <v>361</v>
      </c>
      <c r="N125" s="345">
        <v>400</v>
      </c>
      <c r="O125" s="110">
        <v>44320</v>
      </c>
    </row>
    <row r="126" spans="1:15" x14ac:dyDescent="0.2">
      <c r="A126" s="345">
        <v>4770</v>
      </c>
      <c r="B126" s="345" t="s">
        <v>497</v>
      </c>
      <c r="C126" s="345">
        <v>477001005991</v>
      </c>
      <c r="D126" s="345">
        <v>50101</v>
      </c>
      <c r="E126" s="345">
        <v>477001</v>
      </c>
      <c r="F126" s="110">
        <v>44321.288275462961</v>
      </c>
      <c r="G126" s="345" t="s">
        <v>504</v>
      </c>
      <c r="H126" s="345" t="s">
        <v>505</v>
      </c>
      <c r="I126" s="345">
        <v>3136</v>
      </c>
      <c r="J126" s="345">
        <v>796.1</v>
      </c>
      <c r="K126" s="345">
        <v>796.15</v>
      </c>
      <c r="L126" s="345" t="s">
        <v>360</v>
      </c>
      <c r="M126" s="345" t="s">
        <v>361</v>
      </c>
      <c r="N126" s="345">
        <v>400</v>
      </c>
      <c r="O126" s="110">
        <v>44321</v>
      </c>
    </row>
    <row r="127" spans="1:15" x14ac:dyDescent="0.2">
      <c r="A127" s="345">
        <v>4770</v>
      </c>
      <c r="B127" s="345" t="s">
        <v>497</v>
      </c>
      <c r="C127" s="345">
        <v>477001005992</v>
      </c>
      <c r="D127" s="345">
        <v>50501</v>
      </c>
      <c r="E127" s="345">
        <v>477001</v>
      </c>
      <c r="F127" s="110">
        <v>44321.634791666664</v>
      </c>
      <c r="G127" s="345" t="s">
        <v>498</v>
      </c>
      <c r="H127" s="345" t="s">
        <v>499</v>
      </c>
      <c r="I127" s="345">
        <v>3592</v>
      </c>
      <c r="J127" s="345">
        <v>414.5</v>
      </c>
      <c r="K127" s="345">
        <v>414.5</v>
      </c>
      <c r="L127" s="345" t="s">
        <v>360</v>
      </c>
      <c r="M127" s="345" t="s">
        <v>361</v>
      </c>
      <c r="N127" s="345">
        <v>400</v>
      </c>
      <c r="O127" s="110">
        <v>44321</v>
      </c>
    </row>
    <row r="128" spans="1:15" x14ac:dyDescent="0.2">
      <c r="A128" s="345">
        <v>6087</v>
      </c>
      <c r="B128" s="345" t="s">
        <v>507</v>
      </c>
      <c r="C128" s="345">
        <v>608702006444</v>
      </c>
      <c r="D128" s="345">
        <v>40201</v>
      </c>
      <c r="E128" s="345">
        <v>608702</v>
      </c>
      <c r="F128" s="110">
        <v>44320.444108796299</v>
      </c>
      <c r="G128" s="345" t="s">
        <v>598</v>
      </c>
      <c r="H128" s="345" t="s">
        <v>599</v>
      </c>
      <c r="I128" s="345">
        <v>2170</v>
      </c>
      <c r="J128" s="345">
        <v>400</v>
      </c>
      <c r="K128" s="345">
        <v>400</v>
      </c>
      <c r="L128" s="345" t="s">
        <v>360</v>
      </c>
      <c r="M128" s="345" t="s">
        <v>361</v>
      </c>
      <c r="N128" s="345">
        <v>400</v>
      </c>
      <c r="O128" s="110">
        <v>44320</v>
      </c>
    </row>
    <row r="129" spans="1:15" x14ac:dyDescent="0.2">
      <c r="A129" s="345">
        <v>6087</v>
      </c>
      <c r="B129" s="345" t="s">
        <v>507</v>
      </c>
      <c r="C129" s="345">
        <v>608702006445</v>
      </c>
      <c r="D129" s="345">
        <v>50201</v>
      </c>
      <c r="E129" s="345">
        <v>608702</v>
      </c>
      <c r="F129" s="110">
        <v>44321.578541666669</v>
      </c>
      <c r="G129" s="345" t="s">
        <v>519</v>
      </c>
      <c r="H129" s="345" t="s">
        <v>520</v>
      </c>
      <c r="I129" s="345">
        <v>4530</v>
      </c>
      <c r="J129" s="345">
        <v>483.7</v>
      </c>
      <c r="K129" s="345">
        <v>483.7</v>
      </c>
      <c r="L129" s="345" t="s">
        <v>360</v>
      </c>
      <c r="M129" s="345" t="s">
        <v>361</v>
      </c>
      <c r="N129" s="345">
        <v>400</v>
      </c>
      <c r="O129" s="110">
        <v>44321</v>
      </c>
    </row>
    <row r="130" spans="1:15" x14ac:dyDescent="0.2">
      <c r="A130" s="345">
        <v>6176</v>
      </c>
      <c r="B130" s="345" t="s">
        <v>522</v>
      </c>
      <c r="C130" s="345">
        <v>617601000722</v>
      </c>
      <c r="D130" s="345">
        <v>40101</v>
      </c>
      <c r="E130" s="345">
        <v>617601</v>
      </c>
      <c r="F130" s="110">
        <v>44320.21130787037</v>
      </c>
      <c r="G130" s="345" t="s">
        <v>525</v>
      </c>
      <c r="H130" s="345" t="s">
        <v>526</v>
      </c>
      <c r="I130" s="345">
        <v>3590</v>
      </c>
      <c r="J130" s="345">
        <v>773.7</v>
      </c>
      <c r="K130" s="345">
        <v>773.9</v>
      </c>
      <c r="L130" s="345" t="s">
        <v>360</v>
      </c>
      <c r="M130" s="345" t="s">
        <v>361</v>
      </c>
      <c r="N130" s="345">
        <v>400</v>
      </c>
      <c r="O130" s="110">
        <v>44321</v>
      </c>
    </row>
    <row r="131" spans="1:15" x14ac:dyDescent="0.2">
      <c r="A131" s="345">
        <v>6176</v>
      </c>
      <c r="B131" s="345" t="s">
        <v>522</v>
      </c>
      <c r="C131" s="345">
        <v>617601000723</v>
      </c>
      <c r="D131" s="345">
        <v>50101</v>
      </c>
      <c r="E131" s="345">
        <v>617601</v>
      </c>
      <c r="F131" s="110">
        <v>44321.187789351854</v>
      </c>
      <c r="G131" s="345" t="s">
        <v>341</v>
      </c>
      <c r="H131" s="345" t="s">
        <v>523</v>
      </c>
      <c r="I131" s="345">
        <v>2869</v>
      </c>
      <c r="J131" s="345">
        <v>1241.1500000000001</v>
      </c>
      <c r="K131" s="345">
        <v>1241.0999999999999</v>
      </c>
      <c r="L131" s="345" t="s">
        <v>360</v>
      </c>
      <c r="M131" s="345" t="s">
        <v>361</v>
      </c>
      <c r="N131" s="345">
        <v>400</v>
      </c>
      <c r="O131" s="110">
        <v>44321</v>
      </c>
    </row>
    <row r="132" spans="1:15" x14ac:dyDescent="0.2">
      <c r="A132" s="345">
        <v>7078</v>
      </c>
      <c r="B132" s="345" t="s">
        <v>528</v>
      </c>
      <c r="C132" s="345">
        <v>707801008858</v>
      </c>
      <c r="D132" s="345">
        <v>40101</v>
      </c>
      <c r="E132" s="345">
        <v>707801</v>
      </c>
      <c r="F132" s="110">
        <v>44320.209317129629</v>
      </c>
      <c r="G132" s="345" t="s">
        <v>537</v>
      </c>
      <c r="H132" s="345" t="s">
        <v>538</v>
      </c>
      <c r="I132" s="345">
        <v>5238</v>
      </c>
      <c r="J132" s="345">
        <v>969.6</v>
      </c>
      <c r="K132" s="345">
        <v>969.6</v>
      </c>
      <c r="L132" s="345" t="s">
        <v>360</v>
      </c>
      <c r="M132" s="345" t="s">
        <v>361</v>
      </c>
      <c r="N132" s="345">
        <v>200</v>
      </c>
      <c r="O132" s="110">
        <v>44320</v>
      </c>
    </row>
    <row r="133" spans="1:15" x14ac:dyDescent="0.2">
      <c r="A133" s="345">
        <v>7078</v>
      </c>
      <c r="B133" s="345" t="s">
        <v>528</v>
      </c>
      <c r="C133" s="345">
        <v>707801008859</v>
      </c>
      <c r="D133" s="345">
        <v>50101</v>
      </c>
      <c r="E133" s="345">
        <v>707801</v>
      </c>
      <c r="F133" s="110">
        <v>44321.200868055559</v>
      </c>
      <c r="G133" s="345" t="s">
        <v>529</v>
      </c>
      <c r="H133" s="345" t="s">
        <v>530</v>
      </c>
      <c r="I133" s="345">
        <v>2775</v>
      </c>
      <c r="J133" s="345">
        <v>602.75</v>
      </c>
      <c r="K133" s="345">
        <v>602.75</v>
      </c>
      <c r="L133" s="345" t="s">
        <v>360</v>
      </c>
      <c r="M133" s="345" t="s">
        <v>361</v>
      </c>
      <c r="N133" s="345">
        <v>200</v>
      </c>
      <c r="O133" s="110">
        <v>44321</v>
      </c>
    </row>
    <row r="134" spans="1:15" x14ac:dyDescent="0.2">
      <c r="A134" s="345">
        <v>7078</v>
      </c>
      <c r="B134" s="345" t="s">
        <v>528</v>
      </c>
      <c r="C134" s="345">
        <v>707801008860</v>
      </c>
      <c r="D134" s="345">
        <v>50102</v>
      </c>
      <c r="E134" s="345">
        <v>707801</v>
      </c>
      <c r="F134" s="110">
        <v>44321.551365740743</v>
      </c>
      <c r="G134" s="345" t="s">
        <v>529</v>
      </c>
      <c r="H134" s="345" t="s">
        <v>530</v>
      </c>
      <c r="I134" s="345">
        <v>2775</v>
      </c>
      <c r="J134" s="345">
        <v>751.45</v>
      </c>
      <c r="K134" s="345">
        <v>751.45</v>
      </c>
      <c r="L134" s="345" t="s">
        <v>360</v>
      </c>
      <c r="M134" s="345" t="s">
        <v>361</v>
      </c>
      <c r="N134" s="345">
        <v>400</v>
      </c>
      <c r="O134" s="110">
        <v>44321</v>
      </c>
    </row>
    <row r="135" spans="1:15" x14ac:dyDescent="0.2">
      <c r="A135" s="345">
        <v>7079</v>
      </c>
      <c r="B135" s="345" t="s">
        <v>536</v>
      </c>
      <c r="C135" s="345">
        <v>707901008764</v>
      </c>
      <c r="D135" s="345">
        <v>40101</v>
      </c>
      <c r="E135" s="345">
        <v>707901</v>
      </c>
      <c r="F135" s="110">
        <v>44320.213414351849</v>
      </c>
      <c r="G135" s="345" t="s">
        <v>554</v>
      </c>
      <c r="H135" s="345" t="s">
        <v>555</v>
      </c>
      <c r="I135" s="345">
        <v>3637</v>
      </c>
      <c r="J135" s="345">
        <v>337</v>
      </c>
      <c r="K135" s="345">
        <v>337</v>
      </c>
      <c r="L135" s="345" t="s">
        <v>360</v>
      </c>
      <c r="M135" s="345" t="s">
        <v>361</v>
      </c>
      <c r="N135" s="345">
        <v>200</v>
      </c>
      <c r="O135" s="110">
        <v>44320</v>
      </c>
    </row>
    <row r="136" spans="1:15" x14ac:dyDescent="0.2">
      <c r="A136" s="345">
        <v>7079</v>
      </c>
      <c r="B136" s="345" t="s">
        <v>536</v>
      </c>
      <c r="C136" s="345">
        <v>707901008765</v>
      </c>
      <c r="D136" s="345">
        <v>50501</v>
      </c>
      <c r="E136" s="345">
        <v>707901</v>
      </c>
      <c r="F136" s="110">
        <v>44321.208541666667</v>
      </c>
      <c r="G136" s="345" t="s">
        <v>537</v>
      </c>
      <c r="H136" s="345" t="s">
        <v>538</v>
      </c>
      <c r="I136" s="345">
        <v>5238</v>
      </c>
      <c r="J136" s="345">
        <v>297.25</v>
      </c>
      <c r="K136" s="345">
        <v>297.25</v>
      </c>
      <c r="L136" s="345" t="s">
        <v>360</v>
      </c>
      <c r="M136" s="345" t="s">
        <v>361</v>
      </c>
      <c r="N136" s="345">
        <v>200</v>
      </c>
      <c r="O136" s="110">
        <v>44321</v>
      </c>
    </row>
    <row r="137" spans="1:15" x14ac:dyDescent="0.2">
      <c r="A137" s="345">
        <v>7641</v>
      </c>
      <c r="B137" s="345" t="s">
        <v>545</v>
      </c>
      <c r="C137" s="345">
        <v>764101008943</v>
      </c>
      <c r="D137" s="345">
        <v>40501</v>
      </c>
      <c r="E137" s="345">
        <v>764101</v>
      </c>
      <c r="F137" s="110">
        <v>44320.344583333332</v>
      </c>
      <c r="G137" s="345" t="s">
        <v>557</v>
      </c>
      <c r="H137" s="345" t="s">
        <v>558</v>
      </c>
      <c r="I137" s="345">
        <v>3076</v>
      </c>
      <c r="J137" s="345">
        <v>464.65</v>
      </c>
      <c r="K137" s="345">
        <v>464.65</v>
      </c>
      <c r="L137" s="345" t="s">
        <v>360</v>
      </c>
      <c r="M137" s="345" t="s">
        <v>361</v>
      </c>
      <c r="N137" s="345">
        <v>200</v>
      </c>
      <c r="O137" s="110">
        <v>44320</v>
      </c>
    </row>
    <row r="138" spans="1:15" x14ac:dyDescent="0.2">
      <c r="A138" s="345">
        <v>7641</v>
      </c>
      <c r="B138" s="345" t="s">
        <v>545</v>
      </c>
      <c r="C138" s="345">
        <v>764101008944</v>
      </c>
      <c r="D138" s="345">
        <v>50101</v>
      </c>
      <c r="E138" s="345">
        <v>764101</v>
      </c>
      <c r="F138" s="110">
        <v>44321.347708333335</v>
      </c>
      <c r="G138" s="345" t="s">
        <v>548</v>
      </c>
      <c r="H138" s="345" t="s">
        <v>549</v>
      </c>
      <c r="I138" s="345">
        <v>3797</v>
      </c>
      <c r="J138" s="345">
        <v>6</v>
      </c>
      <c r="K138" s="345">
        <v>6</v>
      </c>
      <c r="L138" s="345" t="s">
        <v>360</v>
      </c>
      <c r="M138" s="345" t="s">
        <v>361</v>
      </c>
      <c r="N138" s="345">
        <v>200</v>
      </c>
      <c r="O138" s="110">
        <v>44321</v>
      </c>
    </row>
    <row r="139" spans="1:15" x14ac:dyDescent="0.2">
      <c r="A139" s="345">
        <v>7641</v>
      </c>
      <c r="B139" s="345" t="s">
        <v>545</v>
      </c>
      <c r="C139" s="345">
        <v>764101008946</v>
      </c>
      <c r="D139" s="345">
        <v>50103</v>
      </c>
      <c r="E139" s="345">
        <v>764101</v>
      </c>
      <c r="F139" s="110">
        <v>44321.625381944446</v>
      </c>
      <c r="G139" s="345" t="s">
        <v>334</v>
      </c>
      <c r="H139" s="345" t="s">
        <v>540</v>
      </c>
      <c r="I139" s="345">
        <v>5503</v>
      </c>
      <c r="J139" s="345">
        <v>400</v>
      </c>
      <c r="K139" s="345">
        <v>400</v>
      </c>
      <c r="L139" s="345" t="s">
        <v>360</v>
      </c>
      <c r="M139" s="345" t="s">
        <v>361</v>
      </c>
      <c r="N139" s="345">
        <v>400</v>
      </c>
      <c r="O139" s="110">
        <v>44321</v>
      </c>
    </row>
    <row r="140" spans="1:15" x14ac:dyDescent="0.2">
      <c r="A140" s="345">
        <v>8188</v>
      </c>
      <c r="B140" s="345" t="s">
        <v>560</v>
      </c>
      <c r="C140" s="345">
        <v>818802006072</v>
      </c>
      <c r="D140" s="345">
        <v>40201</v>
      </c>
      <c r="E140" s="345">
        <v>818802</v>
      </c>
      <c r="F140" s="110">
        <v>44320.265787037039</v>
      </c>
      <c r="G140" s="345" t="s">
        <v>600</v>
      </c>
      <c r="H140" s="345" t="s">
        <v>601</v>
      </c>
      <c r="I140" s="345">
        <v>5450</v>
      </c>
      <c r="J140" s="345">
        <v>1830.45</v>
      </c>
      <c r="K140" s="345">
        <v>1843.65</v>
      </c>
      <c r="L140" s="345" t="s">
        <v>360</v>
      </c>
      <c r="M140" s="345" t="s">
        <v>361</v>
      </c>
      <c r="N140" s="345">
        <v>200</v>
      </c>
      <c r="O140" s="110">
        <v>44320</v>
      </c>
    </row>
    <row r="141" spans="1:15" x14ac:dyDescent="0.2">
      <c r="A141" s="345">
        <v>8305</v>
      </c>
      <c r="B141" s="345" t="s">
        <v>572</v>
      </c>
      <c r="C141" s="345">
        <v>830501005104</v>
      </c>
      <c r="D141" s="345">
        <v>40501</v>
      </c>
      <c r="E141" s="345">
        <v>830501</v>
      </c>
      <c r="F141" s="110">
        <v>44320.343356481484</v>
      </c>
      <c r="G141" s="345" t="s">
        <v>573</v>
      </c>
      <c r="H141" s="345" t="s">
        <v>574</v>
      </c>
      <c r="I141" s="345">
        <v>2287</v>
      </c>
      <c r="J141" s="345">
        <v>939.25</v>
      </c>
      <c r="K141" s="345">
        <v>939.25</v>
      </c>
      <c r="L141" s="345" t="s">
        <v>360</v>
      </c>
      <c r="M141" s="345" t="s">
        <v>361</v>
      </c>
      <c r="N141" s="345">
        <v>400</v>
      </c>
      <c r="O141" s="110">
        <v>44320</v>
      </c>
    </row>
    <row r="142" spans="1:15" x14ac:dyDescent="0.2">
      <c r="A142" s="345">
        <v>8305</v>
      </c>
      <c r="B142" s="345" t="s">
        <v>572</v>
      </c>
      <c r="C142" s="345">
        <v>830501005105</v>
      </c>
      <c r="D142" s="345">
        <v>50501</v>
      </c>
      <c r="E142" s="345">
        <v>830501</v>
      </c>
      <c r="F142" s="110">
        <v>44321.336724537039</v>
      </c>
      <c r="G142" s="345" t="s">
        <v>576</v>
      </c>
      <c r="H142" s="345" t="s">
        <v>577</v>
      </c>
      <c r="I142" s="345">
        <v>3476</v>
      </c>
      <c r="J142" s="345">
        <v>428.5</v>
      </c>
      <c r="K142" s="345">
        <v>428.5</v>
      </c>
      <c r="L142" s="345" t="s">
        <v>360</v>
      </c>
      <c r="M142" s="345" t="s">
        <v>361</v>
      </c>
      <c r="N142" s="345">
        <v>400</v>
      </c>
      <c r="O142" s="110">
        <v>44321</v>
      </c>
    </row>
    <row r="143" spans="1:15" x14ac:dyDescent="0.2">
      <c r="A143" s="345" t="s">
        <v>352</v>
      </c>
      <c r="B143" s="345" t="s">
        <v>353</v>
      </c>
      <c r="C143" s="345" t="s">
        <v>629</v>
      </c>
      <c r="D143" s="345" t="s">
        <v>630</v>
      </c>
      <c r="E143" s="345" t="s">
        <v>356</v>
      </c>
      <c r="F143" s="110">
        <v>44326.371828703705</v>
      </c>
      <c r="G143" s="345" t="s">
        <v>357</v>
      </c>
      <c r="H143" s="345" t="s">
        <v>358</v>
      </c>
      <c r="I143" s="345" t="s">
        <v>359</v>
      </c>
      <c r="J143" s="345">
        <v>400</v>
      </c>
      <c r="K143" s="345">
        <v>400</v>
      </c>
      <c r="L143" s="345" t="s">
        <v>360</v>
      </c>
      <c r="M143" s="345" t="s">
        <v>361</v>
      </c>
      <c r="N143" s="345">
        <v>400</v>
      </c>
      <c r="O143" s="110" t="s">
        <v>327</v>
      </c>
    </row>
    <row r="144" spans="1:15" x14ac:dyDescent="0.2">
      <c r="A144" s="345" t="s">
        <v>193</v>
      </c>
      <c r="B144" s="345" t="s">
        <v>363</v>
      </c>
      <c r="C144" s="345" t="s">
        <v>603</v>
      </c>
      <c r="D144" s="345" t="s">
        <v>630</v>
      </c>
      <c r="E144" s="345" t="s">
        <v>194</v>
      </c>
      <c r="F144" s="110">
        <v>44326.372511574074</v>
      </c>
      <c r="G144" s="345" t="s">
        <v>398</v>
      </c>
      <c r="H144" s="345" t="s">
        <v>399</v>
      </c>
      <c r="I144" s="345" t="s">
        <v>400</v>
      </c>
      <c r="J144" s="345">
        <v>543.45000000000005</v>
      </c>
      <c r="K144" s="345">
        <v>543.45000000000005</v>
      </c>
      <c r="L144" s="345" t="s">
        <v>360</v>
      </c>
      <c r="M144" s="345" t="s">
        <v>361</v>
      </c>
      <c r="N144" s="345">
        <v>400</v>
      </c>
      <c r="O144" s="110" t="s">
        <v>327</v>
      </c>
    </row>
    <row r="145" spans="1:15" x14ac:dyDescent="0.2">
      <c r="A145" s="345" t="s">
        <v>195</v>
      </c>
      <c r="B145" s="345" t="s">
        <v>376</v>
      </c>
      <c r="C145" s="345" t="s">
        <v>604</v>
      </c>
      <c r="D145" s="345" t="s">
        <v>630</v>
      </c>
      <c r="E145" s="345" t="s">
        <v>196</v>
      </c>
      <c r="F145" s="110">
        <v>44326.288391203707</v>
      </c>
      <c r="G145" s="345" t="s">
        <v>579</v>
      </c>
      <c r="H145" s="345" t="s">
        <v>580</v>
      </c>
      <c r="I145" s="345" t="s">
        <v>631</v>
      </c>
      <c r="J145" s="345">
        <v>542.45000000000005</v>
      </c>
      <c r="K145" s="345">
        <v>542.65</v>
      </c>
      <c r="L145" s="345" t="s">
        <v>360</v>
      </c>
      <c r="M145" s="345" t="s">
        <v>361</v>
      </c>
      <c r="N145" s="345">
        <v>400</v>
      </c>
      <c r="O145" s="110" t="s">
        <v>327</v>
      </c>
    </row>
    <row r="146" spans="1:15" x14ac:dyDescent="0.2">
      <c r="A146" s="345" t="s">
        <v>197</v>
      </c>
      <c r="B146" s="345" t="s">
        <v>383</v>
      </c>
      <c r="C146" s="345" t="s">
        <v>605</v>
      </c>
      <c r="D146" s="345" t="s">
        <v>630</v>
      </c>
      <c r="E146" s="345" t="s">
        <v>198</v>
      </c>
      <c r="F146" s="110">
        <v>44326.287789351853</v>
      </c>
      <c r="G146" s="345" t="s">
        <v>344</v>
      </c>
      <c r="H146" s="345" t="s">
        <v>392</v>
      </c>
      <c r="I146" s="345" t="s">
        <v>393</v>
      </c>
      <c r="J146" s="345">
        <v>948.75</v>
      </c>
      <c r="K146" s="345">
        <v>948.75</v>
      </c>
      <c r="L146" s="345" t="s">
        <v>360</v>
      </c>
      <c r="M146" s="345" t="s">
        <v>361</v>
      </c>
      <c r="N146" s="345">
        <v>400</v>
      </c>
      <c r="O146" s="110" t="s">
        <v>327</v>
      </c>
    </row>
    <row r="147" spans="1:15" x14ac:dyDescent="0.2">
      <c r="A147" s="345" t="s">
        <v>197</v>
      </c>
      <c r="B147" s="345" t="s">
        <v>383</v>
      </c>
      <c r="C147" s="345" t="s">
        <v>607</v>
      </c>
      <c r="D147" s="345" t="s">
        <v>632</v>
      </c>
      <c r="E147" s="345" t="s">
        <v>606</v>
      </c>
      <c r="F147" s="110">
        <v>44326.286643518521</v>
      </c>
      <c r="G147" s="345" t="s">
        <v>384</v>
      </c>
      <c r="H147" s="345" t="s">
        <v>385</v>
      </c>
      <c r="I147" s="345" t="s">
        <v>386</v>
      </c>
      <c r="J147" s="345">
        <v>39.950000000000003</v>
      </c>
      <c r="K147" s="345">
        <v>0</v>
      </c>
      <c r="L147" s="345" t="s">
        <v>360</v>
      </c>
      <c r="M147" s="345" t="s">
        <v>361</v>
      </c>
      <c r="N147" s="345">
        <v>0</v>
      </c>
      <c r="O147" s="110" t="s">
        <v>327</v>
      </c>
    </row>
    <row r="148" spans="1:15" x14ac:dyDescent="0.2">
      <c r="A148" s="345" t="s">
        <v>633</v>
      </c>
      <c r="B148" s="345" t="s">
        <v>634</v>
      </c>
      <c r="C148" s="345" t="s">
        <v>635</v>
      </c>
      <c r="D148" s="345" t="s">
        <v>630</v>
      </c>
      <c r="E148" s="345" t="s">
        <v>636</v>
      </c>
      <c r="F148" s="110">
        <v>44326.304629629631</v>
      </c>
      <c r="G148" s="345" t="s">
        <v>637</v>
      </c>
      <c r="H148" s="345" t="s">
        <v>638</v>
      </c>
      <c r="I148" s="345" t="s">
        <v>639</v>
      </c>
      <c r="J148" s="345">
        <v>400</v>
      </c>
      <c r="K148" s="345">
        <v>400</v>
      </c>
      <c r="L148" s="345" t="s">
        <v>360</v>
      </c>
      <c r="M148" s="345" t="s">
        <v>361</v>
      </c>
      <c r="N148" s="345">
        <v>400</v>
      </c>
      <c r="O148" s="110" t="s">
        <v>327</v>
      </c>
    </row>
    <row r="149" spans="1:15" x14ac:dyDescent="0.2">
      <c r="A149" s="345" t="s">
        <v>199</v>
      </c>
      <c r="B149" s="345" t="s">
        <v>394</v>
      </c>
      <c r="C149" s="345" t="s">
        <v>608</v>
      </c>
      <c r="D149" s="345" t="s">
        <v>630</v>
      </c>
      <c r="E149" s="345" t="s">
        <v>200</v>
      </c>
      <c r="F149" s="110">
        <v>44326.328773148147</v>
      </c>
      <c r="G149" s="345" t="s">
        <v>640</v>
      </c>
      <c r="H149" s="345" t="s">
        <v>641</v>
      </c>
      <c r="I149" s="345" t="s">
        <v>642</v>
      </c>
      <c r="J149" s="345">
        <v>449.95</v>
      </c>
      <c r="K149" s="345">
        <v>450.75</v>
      </c>
      <c r="L149" s="345" t="s">
        <v>360</v>
      </c>
      <c r="M149" s="345" t="s">
        <v>361</v>
      </c>
      <c r="N149" s="345">
        <v>400</v>
      </c>
      <c r="O149" s="110" t="s">
        <v>327</v>
      </c>
    </row>
    <row r="150" spans="1:15" x14ac:dyDescent="0.2">
      <c r="A150" s="345" t="s">
        <v>201</v>
      </c>
      <c r="B150" s="345" t="s">
        <v>401</v>
      </c>
      <c r="C150" s="345" t="s">
        <v>609</v>
      </c>
      <c r="D150" s="345" t="s">
        <v>643</v>
      </c>
      <c r="E150" s="345" t="s">
        <v>202</v>
      </c>
      <c r="F150" s="110">
        <v>44326.244085648148</v>
      </c>
      <c r="G150" s="345" t="s">
        <v>644</v>
      </c>
      <c r="H150" s="345" t="s">
        <v>645</v>
      </c>
      <c r="I150" s="345" t="s">
        <v>646</v>
      </c>
      <c r="J150" s="345">
        <v>938.35</v>
      </c>
      <c r="K150" s="345">
        <v>938.35</v>
      </c>
      <c r="L150" s="345" t="s">
        <v>360</v>
      </c>
      <c r="M150" s="345" t="s">
        <v>361</v>
      </c>
      <c r="N150" s="345">
        <v>400</v>
      </c>
      <c r="O150" s="110" t="s">
        <v>327</v>
      </c>
    </row>
    <row r="151" spans="1:15" x14ac:dyDescent="0.2">
      <c r="A151" s="345" t="s">
        <v>205</v>
      </c>
      <c r="B151" s="345" t="s">
        <v>410</v>
      </c>
      <c r="C151" s="345" t="s">
        <v>610</v>
      </c>
      <c r="D151" s="345" t="s">
        <v>647</v>
      </c>
      <c r="E151" s="345" t="s">
        <v>206</v>
      </c>
      <c r="F151" s="110">
        <v>44326.240983796299</v>
      </c>
      <c r="G151" s="345" t="s">
        <v>347</v>
      </c>
      <c r="H151" s="345" t="s">
        <v>416</v>
      </c>
      <c r="I151" s="345" t="s">
        <v>417</v>
      </c>
      <c r="J151" s="345">
        <v>867.35</v>
      </c>
      <c r="K151" s="345">
        <v>867.35</v>
      </c>
      <c r="L151" s="345" t="s">
        <v>360</v>
      </c>
      <c r="M151" s="345" t="s">
        <v>361</v>
      </c>
      <c r="N151" s="345">
        <v>400</v>
      </c>
      <c r="O151" s="110" t="s">
        <v>327</v>
      </c>
    </row>
    <row r="152" spans="1:15" x14ac:dyDescent="0.2">
      <c r="A152" s="345" t="s">
        <v>207</v>
      </c>
      <c r="B152" s="345" t="s">
        <v>422</v>
      </c>
      <c r="C152" s="345" t="s">
        <v>611</v>
      </c>
      <c r="D152" s="345" t="s">
        <v>643</v>
      </c>
      <c r="E152" s="345" t="s">
        <v>208</v>
      </c>
      <c r="F152" s="110">
        <v>44326.22855324074</v>
      </c>
      <c r="G152" s="345" t="s">
        <v>594</v>
      </c>
      <c r="H152" s="345" t="s">
        <v>595</v>
      </c>
      <c r="I152" s="345" t="s">
        <v>648</v>
      </c>
      <c r="J152" s="345">
        <v>1136.5</v>
      </c>
      <c r="K152" s="345">
        <v>1136.5999999999999</v>
      </c>
      <c r="L152" s="345" t="s">
        <v>360</v>
      </c>
      <c r="M152" s="345" t="s">
        <v>361</v>
      </c>
      <c r="N152" s="345">
        <v>400</v>
      </c>
      <c r="O152" s="110" t="s">
        <v>327</v>
      </c>
    </row>
    <row r="153" spans="1:15" x14ac:dyDescent="0.2">
      <c r="A153" s="345" t="s">
        <v>209</v>
      </c>
      <c r="B153" s="345" t="s">
        <v>428</v>
      </c>
      <c r="C153" s="345" t="s">
        <v>612</v>
      </c>
      <c r="D153" s="345" t="s">
        <v>630</v>
      </c>
      <c r="E153" s="345" t="s">
        <v>210</v>
      </c>
      <c r="F153" s="110">
        <v>44326.210474537038</v>
      </c>
      <c r="G153" s="345" t="s">
        <v>649</v>
      </c>
      <c r="H153" s="345" t="s">
        <v>650</v>
      </c>
      <c r="I153" s="345" t="s">
        <v>651</v>
      </c>
      <c r="J153" s="345">
        <v>1475.95</v>
      </c>
      <c r="K153" s="345">
        <v>1474.2</v>
      </c>
      <c r="L153" s="345" t="s">
        <v>360</v>
      </c>
      <c r="M153" s="345" t="s">
        <v>361</v>
      </c>
      <c r="N153" s="345">
        <v>400</v>
      </c>
      <c r="O153" s="110" t="s">
        <v>327</v>
      </c>
    </row>
    <row r="154" spans="1:15" x14ac:dyDescent="0.2">
      <c r="A154" s="345" t="s">
        <v>182</v>
      </c>
      <c r="B154" s="345" t="s">
        <v>432</v>
      </c>
      <c r="C154" s="345" t="s">
        <v>613</v>
      </c>
      <c r="D154" s="345" t="s">
        <v>643</v>
      </c>
      <c r="E154" s="345" t="s">
        <v>211</v>
      </c>
      <c r="F154" s="110">
        <v>44326.349004629628</v>
      </c>
      <c r="G154" s="345" t="s">
        <v>494</v>
      </c>
      <c r="H154" s="345" t="s">
        <v>495</v>
      </c>
      <c r="I154" s="345" t="s">
        <v>496</v>
      </c>
      <c r="J154" s="345">
        <v>716.65</v>
      </c>
      <c r="K154" s="345">
        <v>716.65</v>
      </c>
      <c r="L154" s="345" t="s">
        <v>360</v>
      </c>
      <c r="M154" s="345" t="s">
        <v>361</v>
      </c>
      <c r="N154" s="345">
        <v>400</v>
      </c>
      <c r="O154" s="110" t="s">
        <v>327</v>
      </c>
    </row>
    <row r="155" spans="1:15" x14ac:dyDescent="0.2">
      <c r="A155" s="345" t="s">
        <v>212</v>
      </c>
      <c r="B155" s="345" t="s">
        <v>443</v>
      </c>
      <c r="C155" s="345" t="s">
        <v>614</v>
      </c>
      <c r="D155" s="345" t="s">
        <v>630</v>
      </c>
      <c r="E155" s="345" t="s">
        <v>213</v>
      </c>
      <c r="F155" s="110">
        <v>44326.200289351851</v>
      </c>
      <c r="G155" s="345" t="s">
        <v>447</v>
      </c>
      <c r="H155" s="345" t="s">
        <v>448</v>
      </c>
      <c r="I155" s="345" t="s">
        <v>449</v>
      </c>
      <c r="J155" s="345">
        <v>645.4</v>
      </c>
      <c r="K155" s="345">
        <v>645.5</v>
      </c>
      <c r="L155" s="345" t="s">
        <v>360</v>
      </c>
      <c r="M155" s="345" t="s">
        <v>361</v>
      </c>
      <c r="N155" s="345">
        <v>400</v>
      </c>
      <c r="O155" s="110" t="s">
        <v>327</v>
      </c>
    </row>
    <row r="156" spans="1:15" x14ac:dyDescent="0.2">
      <c r="A156" s="345" t="s">
        <v>214</v>
      </c>
      <c r="B156" s="345" t="s">
        <v>450</v>
      </c>
      <c r="C156" s="345" t="s">
        <v>615</v>
      </c>
      <c r="D156" s="345" t="s">
        <v>643</v>
      </c>
      <c r="E156" s="345" t="s">
        <v>215</v>
      </c>
      <c r="F156" s="110">
        <v>44326.211331018516</v>
      </c>
      <c r="G156" s="345" t="s">
        <v>341</v>
      </c>
      <c r="H156" s="345" t="s">
        <v>454</v>
      </c>
      <c r="I156" s="345" t="s">
        <v>455</v>
      </c>
      <c r="J156" s="345">
        <v>1191.95</v>
      </c>
      <c r="K156" s="345">
        <v>1192.05</v>
      </c>
      <c r="L156" s="345" t="s">
        <v>360</v>
      </c>
      <c r="M156" s="345" t="s">
        <v>361</v>
      </c>
      <c r="N156" s="345">
        <v>400</v>
      </c>
      <c r="O156" s="110" t="s">
        <v>327</v>
      </c>
    </row>
    <row r="157" spans="1:15" x14ac:dyDescent="0.2">
      <c r="A157" s="345" t="s">
        <v>160</v>
      </c>
      <c r="B157" s="345" t="s">
        <v>456</v>
      </c>
      <c r="C157" s="345" t="s">
        <v>652</v>
      </c>
      <c r="D157" s="345" t="s">
        <v>183</v>
      </c>
      <c r="E157" s="345" t="s">
        <v>216</v>
      </c>
      <c r="F157" s="110">
        <v>44321.233865740738</v>
      </c>
      <c r="G157" s="345" t="s">
        <v>653</v>
      </c>
      <c r="H157" s="345" t="s">
        <v>654</v>
      </c>
      <c r="I157" s="345" t="s">
        <v>655</v>
      </c>
      <c r="J157" s="345">
        <v>6.6</v>
      </c>
      <c r="K157" s="345">
        <v>0</v>
      </c>
      <c r="L157" s="345" t="s">
        <v>360</v>
      </c>
      <c r="M157" s="345" t="s">
        <v>361</v>
      </c>
      <c r="N157" s="345">
        <v>400</v>
      </c>
      <c r="O157" s="110" t="s">
        <v>327</v>
      </c>
    </row>
    <row r="158" spans="1:15" x14ac:dyDescent="0.2">
      <c r="A158" s="345" t="s">
        <v>160</v>
      </c>
      <c r="B158" s="345" t="s">
        <v>456</v>
      </c>
      <c r="C158" s="345" t="s">
        <v>616</v>
      </c>
      <c r="D158" s="345" t="s">
        <v>643</v>
      </c>
      <c r="E158" s="345" t="s">
        <v>216</v>
      </c>
      <c r="F158" s="110">
        <v>44326.220497685186</v>
      </c>
      <c r="G158" s="345" t="s">
        <v>463</v>
      </c>
      <c r="H158" s="345" t="s">
        <v>464</v>
      </c>
      <c r="I158" s="345" t="s">
        <v>465</v>
      </c>
      <c r="J158" s="345">
        <v>1438.5</v>
      </c>
      <c r="K158" s="345">
        <v>1838.5</v>
      </c>
      <c r="L158" s="345" t="s">
        <v>360</v>
      </c>
      <c r="M158" s="345" t="s">
        <v>361</v>
      </c>
      <c r="N158" s="345">
        <v>400</v>
      </c>
      <c r="O158" s="110" t="s">
        <v>327</v>
      </c>
    </row>
    <row r="159" spans="1:15" x14ac:dyDescent="0.2">
      <c r="A159" s="345" t="s">
        <v>217</v>
      </c>
      <c r="B159" s="345" t="s">
        <v>469</v>
      </c>
      <c r="C159" s="345" t="s">
        <v>617</v>
      </c>
      <c r="D159" s="345" t="s">
        <v>630</v>
      </c>
      <c r="E159" s="345" t="s">
        <v>218</v>
      </c>
      <c r="F159" s="110">
        <v>44326.303611111114</v>
      </c>
      <c r="G159" s="345" t="s">
        <v>476</v>
      </c>
      <c r="H159" s="345" t="s">
        <v>477</v>
      </c>
      <c r="I159" s="345" t="s">
        <v>478</v>
      </c>
      <c r="J159" s="345">
        <v>776.35</v>
      </c>
      <c r="K159" s="345">
        <v>776.35</v>
      </c>
      <c r="L159" s="345" t="s">
        <v>360</v>
      </c>
      <c r="M159" s="345" t="s">
        <v>361</v>
      </c>
      <c r="N159" s="345">
        <v>400</v>
      </c>
      <c r="O159" s="110" t="s">
        <v>327</v>
      </c>
    </row>
    <row r="160" spans="1:15" x14ac:dyDescent="0.2">
      <c r="A160" s="345" t="s">
        <v>186</v>
      </c>
      <c r="B160" s="345" t="s">
        <v>481</v>
      </c>
      <c r="C160" s="345" t="s">
        <v>618</v>
      </c>
      <c r="D160" s="345" t="s">
        <v>630</v>
      </c>
      <c r="E160" s="345" t="s">
        <v>219</v>
      </c>
      <c r="F160" s="110">
        <v>44326.205625000002</v>
      </c>
      <c r="G160" s="345" t="s">
        <v>484</v>
      </c>
      <c r="H160" s="345" t="s">
        <v>485</v>
      </c>
      <c r="I160" s="345" t="s">
        <v>486</v>
      </c>
      <c r="J160" s="345">
        <v>704.2</v>
      </c>
      <c r="K160" s="345">
        <v>704.2</v>
      </c>
      <c r="L160" s="345" t="s">
        <v>360</v>
      </c>
      <c r="M160" s="345" t="s">
        <v>361</v>
      </c>
      <c r="N160" s="345">
        <v>400</v>
      </c>
      <c r="O160" s="110" t="s">
        <v>327</v>
      </c>
    </row>
    <row r="161" spans="1:15" x14ac:dyDescent="0.2">
      <c r="A161" s="345" t="s">
        <v>220</v>
      </c>
      <c r="B161" s="345" t="s">
        <v>490</v>
      </c>
      <c r="C161" s="345" t="s">
        <v>619</v>
      </c>
      <c r="D161" s="345" t="s">
        <v>630</v>
      </c>
      <c r="E161" s="345" t="s">
        <v>221</v>
      </c>
      <c r="F161" s="110">
        <v>44326.204930555556</v>
      </c>
      <c r="G161" s="345" t="s">
        <v>491</v>
      </c>
      <c r="H161" s="345" t="s">
        <v>492</v>
      </c>
      <c r="I161" s="345" t="s">
        <v>493</v>
      </c>
      <c r="J161" s="345">
        <v>779.2</v>
      </c>
      <c r="K161" s="345">
        <v>779.3</v>
      </c>
      <c r="L161" s="345" t="s">
        <v>360</v>
      </c>
      <c r="M161" s="345" t="s">
        <v>361</v>
      </c>
      <c r="N161" s="345">
        <v>400</v>
      </c>
      <c r="O161" s="110" t="s">
        <v>327</v>
      </c>
    </row>
    <row r="162" spans="1:15" x14ac:dyDescent="0.2">
      <c r="A162" s="345" t="s">
        <v>222</v>
      </c>
      <c r="B162" s="345" t="s">
        <v>497</v>
      </c>
      <c r="C162" s="345" t="s">
        <v>620</v>
      </c>
      <c r="D162" s="345" t="s">
        <v>630</v>
      </c>
      <c r="E162" s="345" t="s">
        <v>223</v>
      </c>
      <c r="F162" s="110">
        <v>44326.297569444447</v>
      </c>
      <c r="G162" s="345" t="s">
        <v>501</v>
      </c>
      <c r="H162" s="345" t="s">
        <v>502</v>
      </c>
      <c r="I162" s="345" t="s">
        <v>503</v>
      </c>
      <c r="J162" s="345">
        <v>886.35</v>
      </c>
      <c r="K162" s="345">
        <v>886.6</v>
      </c>
      <c r="L162" s="345" t="s">
        <v>360</v>
      </c>
      <c r="M162" s="345" t="s">
        <v>361</v>
      </c>
      <c r="N162" s="345">
        <v>400</v>
      </c>
      <c r="O162" s="110" t="s">
        <v>327</v>
      </c>
    </row>
    <row r="163" spans="1:15" x14ac:dyDescent="0.2">
      <c r="A163" s="345" t="s">
        <v>224</v>
      </c>
      <c r="B163" s="345" t="s">
        <v>507</v>
      </c>
      <c r="C163" s="345" t="s">
        <v>656</v>
      </c>
      <c r="D163" s="345" t="s">
        <v>657</v>
      </c>
      <c r="E163" s="345" t="s">
        <v>225</v>
      </c>
      <c r="F163" s="110">
        <v>44325.576041666667</v>
      </c>
      <c r="G163" s="345" t="s">
        <v>598</v>
      </c>
      <c r="H163" s="345" t="s">
        <v>599</v>
      </c>
      <c r="I163" s="345" t="s">
        <v>658</v>
      </c>
      <c r="J163" s="345">
        <v>513.45000000000005</v>
      </c>
      <c r="K163" s="345">
        <v>513.45000000000005</v>
      </c>
      <c r="L163" s="345" t="s">
        <v>360</v>
      </c>
      <c r="M163" s="345" t="s">
        <v>361</v>
      </c>
      <c r="N163" s="345">
        <v>400</v>
      </c>
      <c r="O163" s="110" t="s">
        <v>327</v>
      </c>
    </row>
    <row r="164" spans="1:15" x14ac:dyDescent="0.2">
      <c r="A164" s="345" t="s">
        <v>224</v>
      </c>
      <c r="B164" s="345" t="s">
        <v>507</v>
      </c>
      <c r="C164" s="345" t="s">
        <v>621</v>
      </c>
      <c r="D164" s="345" t="s">
        <v>659</v>
      </c>
      <c r="E164" s="345" t="s">
        <v>225</v>
      </c>
      <c r="F164" s="110">
        <v>44326.575150462966</v>
      </c>
      <c r="G164" s="345" t="s">
        <v>660</v>
      </c>
      <c r="H164" s="345" t="s">
        <v>661</v>
      </c>
      <c r="I164" s="345" t="s">
        <v>662</v>
      </c>
      <c r="J164" s="345">
        <v>517.85</v>
      </c>
      <c r="K164" s="345">
        <v>517.85</v>
      </c>
      <c r="L164" s="345" t="s">
        <v>360</v>
      </c>
      <c r="M164" s="345" t="s">
        <v>361</v>
      </c>
      <c r="N164" s="345">
        <v>400</v>
      </c>
      <c r="O164" s="110" t="s">
        <v>327</v>
      </c>
    </row>
    <row r="165" spans="1:15" x14ac:dyDescent="0.2">
      <c r="A165" s="345" t="s">
        <v>224</v>
      </c>
      <c r="B165" s="345" t="s">
        <v>507</v>
      </c>
      <c r="C165" s="345" t="s">
        <v>663</v>
      </c>
      <c r="D165" s="345" t="s">
        <v>664</v>
      </c>
      <c r="E165" s="345">
        <v>608702</v>
      </c>
      <c r="F165" s="110">
        <v>44326.507719907408</v>
      </c>
      <c r="G165" s="345" t="s">
        <v>598</v>
      </c>
      <c r="H165" s="345" t="s">
        <v>599</v>
      </c>
      <c r="I165" s="345" t="s">
        <v>658</v>
      </c>
      <c r="J165" s="345">
        <v>400</v>
      </c>
      <c r="K165" s="345">
        <v>400</v>
      </c>
      <c r="L165" s="345" t="s">
        <v>360</v>
      </c>
      <c r="M165" s="345" t="s">
        <v>361</v>
      </c>
      <c r="N165" s="345">
        <v>400</v>
      </c>
      <c r="O165" s="110" t="s">
        <v>327</v>
      </c>
    </row>
    <row r="166" spans="1:15" x14ac:dyDescent="0.2">
      <c r="A166" s="345" t="s">
        <v>226</v>
      </c>
      <c r="B166" s="345" t="s">
        <v>522</v>
      </c>
      <c r="C166" s="345" t="s">
        <v>303</v>
      </c>
      <c r="D166" s="345" t="s">
        <v>333</v>
      </c>
      <c r="E166" s="345" t="s">
        <v>227</v>
      </c>
      <c r="F166" s="110">
        <v>44323.180347222224</v>
      </c>
      <c r="G166" s="345" t="s">
        <v>519</v>
      </c>
      <c r="H166" s="345" t="s">
        <v>520</v>
      </c>
      <c r="I166" s="345" t="s">
        <v>521</v>
      </c>
      <c r="J166" s="345">
        <v>736.85</v>
      </c>
      <c r="K166" s="345">
        <v>736.85</v>
      </c>
      <c r="L166" s="345" t="s">
        <v>360</v>
      </c>
      <c r="M166" s="345" t="s">
        <v>361</v>
      </c>
      <c r="N166" s="345">
        <v>400</v>
      </c>
      <c r="O166" s="110" t="s">
        <v>327</v>
      </c>
    </row>
    <row r="167" spans="1:15" x14ac:dyDescent="0.2">
      <c r="A167" s="345" t="s">
        <v>226</v>
      </c>
      <c r="B167" s="345" t="s">
        <v>522</v>
      </c>
      <c r="C167" s="345" t="s">
        <v>305</v>
      </c>
      <c r="D167" s="345" t="s">
        <v>348</v>
      </c>
      <c r="E167" s="345" t="s">
        <v>227</v>
      </c>
      <c r="F167" s="110">
        <v>44325.248912037037</v>
      </c>
      <c r="G167" s="345" t="s">
        <v>525</v>
      </c>
      <c r="H167" s="345" t="s">
        <v>526</v>
      </c>
      <c r="I167" s="345" t="s">
        <v>527</v>
      </c>
      <c r="J167" s="345">
        <v>964.65</v>
      </c>
      <c r="K167" s="345">
        <v>964.65</v>
      </c>
      <c r="L167" s="345" t="s">
        <v>360</v>
      </c>
      <c r="M167" s="345" t="s">
        <v>361</v>
      </c>
      <c r="N167" s="345">
        <v>400</v>
      </c>
      <c r="O167" s="110" t="s">
        <v>327</v>
      </c>
    </row>
    <row r="168" spans="1:15" x14ac:dyDescent="0.2">
      <c r="A168" s="345" t="s">
        <v>226</v>
      </c>
      <c r="B168" s="345" t="s">
        <v>522</v>
      </c>
      <c r="C168" s="345" t="s">
        <v>622</v>
      </c>
      <c r="D168" s="345" t="s">
        <v>647</v>
      </c>
      <c r="E168" s="345" t="s">
        <v>227</v>
      </c>
      <c r="F168" s="110">
        <v>44326.186874999999</v>
      </c>
      <c r="G168" s="345" t="s">
        <v>665</v>
      </c>
      <c r="H168" s="345" t="s">
        <v>666</v>
      </c>
      <c r="I168" s="345" t="s">
        <v>667</v>
      </c>
      <c r="J168" s="345">
        <v>791.55</v>
      </c>
      <c r="K168" s="345">
        <v>791.55</v>
      </c>
      <c r="L168" s="345" t="s">
        <v>360</v>
      </c>
      <c r="M168" s="345" t="s">
        <v>361</v>
      </c>
      <c r="N168" s="345">
        <v>400</v>
      </c>
      <c r="O168" s="110" t="s">
        <v>327</v>
      </c>
    </row>
    <row r="169" spans="1:15" x14ac:dyDescent="0.2">
      <c r="A169" s="345" t="s">
        <v>228</v>
      </c>
      <c r="B169" s="345" t="s">
        <v>528</v>
      </c>
      <c r="C169" s="345" t="s">
        <v>623</v>
      </c>
      <c r="D169" s="345" t="s">
        <v>668</v>
      </c>
      <c r="E169" s="345" t="s">
        <v>229</v>
      </c>
      <c r="F169" s="110">
        <v>44326.206932870373</v>
      </c>
      <c r="G169" s="345" t="s">
        <v>548</v>
      </c>
      <c r="H169" s="345" t="s">
        <v>549</v>
      </c>
      <c r="I169" s="345" t="s">
        <v>550</v>
      </c>
      <c r="J169" s="345">
        <v>464.7</v>
      </c>
      <c r="K169" s="345">
        <v>464.7</v>
      </c>
      <c r="L169" s="345" t="s">
        <v>360</v>
      </c>
      <c r="M169" s="345" t="s">
        <v>361</v>
      </c>
      <c r="N169" s="345">
        <v>400</v>
      </c>
      <c r="O169" s="110" t="s">
        <v>327</v>
      </c>
    </row>
    <row r="170" spans="1:15" x14ac:dyDescent="0.2">
      <c r="A170" s="345" t="s">
        <v>228</v>
      </c>
      <c r="B170" s="345" t="s">
        <v>528</v>
      </c>
      <c r="C170" s="345" t="s">
        <v>624</v>
      </c>
      <c r="D170" s="345" t="s">
        <v>669</v>
      </c>
      <c r="E170" s="345" t="s">
        <v>229</v>
      </c>
      <c r="F170" s="110">
        <v>44326.532233796293</v>
      </c>
      <c r="G170" s="345" t="s">
        <v>557</v>
      </c>
      <c r="H170" s="345" t="s">
        <v>558</v>
      </c>
      <c r="I170" s="345" t="s">
        <v>559</v>
      </c>
      <c r="J170" s="345">
        <v>870.9</v>
      </c>
      <c r="K170" s="345">
        <v>870.95</v>
      </c>
      <c r="L170" s="345" t="s">
        <v>360</v>
      </c>
      <c r="M170" s="345" t="s">
        <v>361</v>
      </c>
      <c r="N170" s="345">
        <v>400</v>
      </c>
      <c r="O170" s="110" t="s">
        <v>327</v>
      </c>
    </row>
    <row r="171" spans="1:15" x14ac:dyDescent="0.2">
      <c r="A171" s="345" t="s">
        <v>231</v>
      </c>
      <c r="B171" s="345" t="s">
        <v>536</v>
      </c>
      <c r="C171" s="345" t="s">
        <v>625</v>
      </c>
      <c r="D171" s="345" t="s">
        <v>670</v>
      </c>
      <c r="E171" s="345" t="s">
        <v>232</v>
      </c>
      <c r="F171" s="110">
        <v>44326.214583333334</v>
      </c>
      <c r="G171" s="345" t="s">
        <v>334</v>
      </c>
      <c r="H171" s="345" t="s">
        <v>540</v>
      </c>
      <c r="I171" s="345" t="s">
        <v>541</v>
      </c>
      <c r="J171" s="345">
        <v>733.6</v>
      </c>
      <c r="K171" s="345">
        <v>683.65</v>
      </c>
      <c r="L171" s="345" t="s">
        <v>360</v>
      </c>
      <c r="M171" s="345" t="s">
        <v>361</v>
      </c>
      <c r="N171" s="345">
        <v>400</v>
      </c>
      <c r="O171" s="110" t="s">
        <v>327</v>
      </c>
    </row>
    <row r="172" spans="1:15" x14ac:dyDescent="0.2">
      <c r="A172" s="345" t="s">
        <v>233</v>
      </c>
      <c r="B172" s="345" t="s">
        <v>545</v>
      </c>
      <c r="C172" s="345" t="s">
        <v>626</v>
      </c>
      <c r="D172" s="345" t="s">
        <v>643</v>
      </c>
      <c r="E172" s="345" t="s">
        <v>234</v>
      </c>
      <c r="F172" s="110">
        <v>44326.306527777779</v>
      </c>
      <c r="G172" s="345" t="s">
        <v>542</v>
      </c>
      <c r="H172" s="345" t="s">
        <v>543</v>
      </c>
      <c r="I172" s="345" t="s">
        <v>544</v>
      </c>
      <c r="J172" s="345">
        <v>499.85</v>
      </c>
      <c r="K172" s="345">
        <v>499.85</v>
      </c>
      <c r="L172" s="345" t="s">
        <v>360</v>
      </c>
      <c r="M172" s="345" t="s">
        <v>361</v>
      </c>
      <c r="N172" s="345">
        <v>400</v>
      </c>
      <c r="O172" s="110" t="s">
        <v>327</v>
      </c>
    </row>
    <row r="173" spans="1:15" x14ac:dyDescent="0.2">
      <c r="A173" s="345" t="s">
        <v>163</v>
      </c>
      <c r="B173" s="345" t="s">
        <v>560</v>
      </c>
      <c r="C173" s="345" t="s">
        <v>322</v>
      </c>
      <c r="D173" s="345" t="s">
        <v>657</v>
      </c>
      <c r="E173" s="345" t="s">
        <v>235</v>
      </c>
      <c r="F173" s="110">
        <v>44325.234953703701</v>
      </c>
      <c r="G173" s="345" t="s">
        <v>671</v>
      </c>
      <c r="H173" s="345" t="s">
        <v>672</v>
      </c>
      <c r="I173" s="345" t="s">
        <v>673</v>
      </c>
      <c r="J173" s="345">
        <v>2262.85</v>
      </c>
      <c r="K173" s="345">
        <v>2261.75</v>
      </c>
      <c r="L173" s="345" t="s">
        <v>360</v>
      </c>
      <c r="M173" s="345" t="s">
        <v>361</v>
      </c>
      <c r="N173" s="345">
        <v>0</v>
      </c>
      <c r="O173" s="110" t="s">
        <v>327</v>
      </c>
    </row>
    <row r="174" spans="1:15" x14ac:dyDescent="0.2">
      <c r="A174" s="345" t="s">
        <v>236</v>
      </c>
      <c r="B174" s="345" t="s">
        <v>572</v>
      </c>
      <c r="C174" s="345" t="s">
        <v>628</v>
      </c>
      <c r="D174" s="345" t="s">
        <v>630</v>
      </c>
      <c r="E174" s="345" t="s">
        <v>237</v>
      </c>
      <c r="F174" s="110">
        <v>44326.335578703707</v>
      </c>
      <c r="G174" s="345" t="s">
        <v>573</v>
      </c>
      <c r="H174" s="345" t="s">
        <v>574</v>
      </c>
      <c r="I174" s="345" t="s">
        <v>575</v>
      </c>
      <c r="J174" s="345">
        <v>661.75</v>
      </c>
      <c r="K174" s="345">
        <v>661.75</v>
      </c>
      <c r="L174" s="345" t="s">
        <v>360</v>
      </c>
      <c r="M174" s="345" t="s">
        <v>361</v>
      </c>
      <c r="N174" s="345">
        <v>400</v>
      </c>
      <c r="O174" s="110" t="s">
        <v>327</v>
      </c>
    </row>
    <row r="175" spans="1:15" x14ac:dyDescent="0.2">
      <c r="A175" s="345" t="s">
        <v>352</v>
      </c>
      <c r="B175" s="345" t="s">
        <v>353</v>
      </c>
      <c r="C175" s="345" t="s">
        <v>698</v>
      </c>
      <c r="D175" s="345" t="s">
        <v>699</v>
      </c>
      <c r="E175" s="345" t="s">
        <v>356</v>
      </c>
      <c r="F175" s="110">
        <v>44327.377245370371</v>
      </c>
      <c r="G175" s="345" t="s">
        <v>700</v>
      </c>
      <c r="H175" s="345" t="s">
        <v>701</v>
      </c>
      <c r="I175" s="345" t="s">
        <v>702</v>
      </c>
      <c r="J175" s="345">
        <v>400</v>
      </c>
      <c r="K175" s="345">
        <v>400</v>
      </c>
      <c r="L175" s="345" t="s">
        <v>360</v>
      </c>
      <c r="M175" s="345" t="s">
        <v>361</v>
      </c>
      <c r="N175" s="345">
        <v>400</v>
      </c>
      <c r="O175" s="110" t="s">
        <v>674</v>
      </c>
    </row>
    <row r="176" spans="1:15" x14ac:dyDescent="0.2">
      <c r="A176" s="345" t="s">
        <v>193</v>
      </c>
      <c r="B176" s="345" t="s">
        <v>363</v>
      </c>
      <c r="C176" s="345" t="s">
        <v>703</v>
      </c>
      <c r="D176" s="345" t="s">
        <v>699</v>
      </c>
      <c r="E176" s="345" t="s">
        <v>194</v>
      </c>
      <c r="F176" s="110">
        <v>44327.369537037041</v>
      </c>
      <c r="G176" s="345" t="s">
        <v>510</v>
      </c>
      <c r="H176" s="345" t="s">
        <v>581</v>
      </c>
      <c r="I176" s="345" t="s">
        <v>704</v>
      </c>
      <c r="J176" s="345">
        <v>400</v>
      </c>
      <c r="K176" s="345">
        <v>400</v>
      </c>
      <c r="L176" s="345" t="s">
        <v>360</v>
      </c>
      <c r="M176" s="345" t="s">
        <v>361</v>
      </c>
      <c r="N176" s="345">
        <v>400</v>
      </c>
      <c r="O176" s="110" t="s">
        <v>674</v>
      </c>
    </row>
    <row r="177" spans="1:15" x14ac:dyDescent="0.2">
      <c r="A177" s="345" t="s">
        <v>195</v>
      </c>
      <c r="B177" s="345" t="s">
        <v>376</v>
      </c>
      <c r="C177" s="345" t="s">
        <v>705</v>
      </c>
      <c r="D177" s="345" t="s">
        <v>699</v>
      </c>
      <c r="E177" s="345" t="s">
        <v>196</v>
      </c>
      <c r="F177" s="110">
        <v>44327.294363425928</v>
      </c>
      <c r="G177" s="345" t="s">
        <v>706</v>
      </c>
      <c r="H177" s="345" t="s">
        <v>707</v>
      </c>
      <c r="I177" s="345" t="s">
        <v>708</v>
      </c>
      <c r="J177" s="345">
        <v>400</v>
      </c>
      <c r="K177" s="345">
        <v>400</v>
      </c>
      <c r="L177" s="345" t="s">
        <v>360</v>
      </c>
      <c r="M177" s="345" t="s">
        <v>361</v>
      </c>
      <c r="N177" s="345">
        <v>400</v>
      </c>
      <c r="O177" s="110" t="s">
        <v>674</v>
      </c>
    </row>
    <row r="178" spans="1:15" x14ac:dyDescent="0.2">
      <c r="A178" s="345" t="s">
        <v>197</v>
      </c>
      <c r="B178" s="345" t="s">
        <v>383</v>
      </c>
      <c r="C178" s="345" t="s">
        <v>678</v>
      </c>
      <c r="D178" s="345" t="s">
        <v>699</v>
      </c>
      <c r="E178" s="345" t="s">
        <v>198</v>
      </c>
      <c r="F178" s="110">
        <v>44327.288657407407</v>
      </c>
      <c r="G178" s="345" t="s">
        <v>344</v>
      </c>
      <c r="H178" s="345" t="s">
        <v>392</v>
      </c>
      <c r="I178" s="345" t="s">
        <v>393</v>
      </c>
      <c r="J178" s="345">
        <v>852.1</v>
      </c>
      <c r="K178" s="345">
        <v>852.1</v>
      </c>
      <c r="L178" s="345" t="s">
        <v>360</v>
      </c>
      <c r="M178" s="345" t="s">
        <v>361</v>
      </c>
      <c r="N178" s="345">
        <v>400</v>
      </c>
      <c r="O178" s="110" t="s">
        <v>674</v>
      </c>
    </row>
    <row r="179" spans="1:15" x14ac:dyDescent="0.2">
      <c r="A179" s="345" t="s">
        <v>199</v>
      </c>
      <c r="B179" s="345" t="s">
        <v>394</v>
      </c>
      <c r="C179" s="345" t="s">
        <v>679</v>
      </c>
      <c r="D179" s="345" t="s">
        <v>699</v>
      </c>
      <c r="E179" s="345" t="s">
        <v>200</v>
      </c>
      <c r="F179" s="110">
        <v>44327.293645833335</v>
      </c>
      <c r="G179" s="345" t="s">
        <v>709</v>
      </c>
      <c r="H179" s="345" t="s">
        <v>710</v>
      </c>
      <c r="I179" s="345" t="s">
        <v>711</v>
      </c>
      <c r="J179" s="345">
        <v>589.6</v>
      </c>
      <c r="K179" s="345">
        <v>591.4</v>
      </c>
      <c r="L179" s="345" t="s">
        <v>360</v>
      </c>
      <c r="M179" s="345" t="s">
        <v>361</v>
      </c>
      <c r="N179" s="345">
        <v>400</v>
      </c>
      <c r="O179" s="110" t="s">
        <v>674</v>
      </c>
    </row>
    <row r="180" spans="1:15" x14ac:dyDescent="0.2">
      <c r="A180" s="345" t="s">
        <v>201</v>
      </c>
      <c r="B180" s="345" t="s">
        <v>401</v>
      </c>
      <c r="C180" s="345" t="s">
        <v>680</v>
      </c>
      <c r="D180" s="345" t="s">
        <v>712</v>
      </c>
      <c r="E180" s="345" t="s">
        <v>202</v>
      </c>
      <c r="F180" s="110">
        <v>44327.245439814818</v>
      </c>
      <c r="G180" s="345" t="s">
        <v>588</v>
      </c>
      <c r="H180" s="345" t="s">
        <v>589</v>
      </c>
      <c r="I180" s="345" t="s">
        <v>713</v>
      </c>
      <c r="J180" s="345">
        <v>611.5</v>
      </c>
      <c r="K180" s="345">
        <v>611.5</v>
      </c>
      <c r="L180" s="345" t="s">
        <v>360</v>
      </c>
      <c r="M180" s="345" t="s">
        <v>361</v>
      </c>
      <c r="N180" s="345">
        <v>400</v>
      </c>
      <c r="O180" s="110" t="s">
        <v>674</v>
      </c>
    </row>
    <row r="181" spans="1:15" x14ac:dyDescent="0.2">
      <c r="A181" s="345" t="s">
        <v>205</v>
      </c>
      <c r="B181" s="345" t="s">
        <v>410</v>
      </c>
      <c r="C181" s="345" t="s">
        <v>681</v>
      </c>
      <c r="D181" s="345" t="s">
        <v>714</v>
      </c>
      <c r="E181" s="345" t="s">
        <v>206</v>
      </c>
      <c r="F181" s="110">
        <v>44327.240983796299</v>
      </c>
      <c r="G181" s="345" t="s">
        <v>419</v>
      </c>
      <c r="H181" s="345" t="s">
        <v>420</v>
      </c>
      <c r="I181" s="345" t="s">
        <v>421</v>
      </c>
      <c r="J181" s="345">
        <v>577.29999999999995</v>
      </c>
      <c r="K181" s="345">
        <v>577.4</v>
      </c>
      <c r="L181" s="345" t="s">
        <v>360</v>
      </c>
      <c r="M181" s="345" t="s">
        <v>361</v>
      </c>
      <c r="N181" s="345">
        <v>400</v>
      </c>
      <c r="O181" s="110" t="s">
        <v>674</v>
      </c>
    </row>
    <row r="182" spans="1:15" x14ac:dyDescent="0.2">
      <c r="A182" s="345" t="s">
        <v>207</v>
      </c>
      <c r="B182" s="345" t="s">
        <v>422</v>
      </c>
      <c r="C182" s="345" t="s">
        <v>682</v>
      </c>
      <c r="D182" s="345" t="s">
        <v>712</v>
      </c>
      <c r="E182" s="345" t="s">
        <v>208</v>
      </c>
      <c r="F182" s="110">
        <v>44327.234120370369</v>
      </c>
      <c r="G182" s="345" t="s">
        <v>715</v>
      </c>
      <c r="H182" s="345" t="s">
        <v>716</v>
      </c>
      <c r="I182" s="345" t="s">
        <v>717</v>
      </c>
      <c r="J182" s="345">
        <v>1393.15</v>
      </c>
      <c r="K182" s="345">
        <v>1393.35</v>
      </c>
      <c r="L182" s="345" t="s">
        <v>360</v>
      </c>
      <c r="M182" s="345" t="s">
        <v>361</v>
      </c>
      <c r="N182" s="345">
        <v>400</v>
      </c>
      <c r="O182" s="110" t="s">
        <v>674</v>
      </c>
    </row>
    <row r="183" spans="1:15" x14ac:dyDescent="0.2">
      <c r="A183" s="345" t="s">
        <v>209</v>
      </c>
      <c r="B183" s="345" t="s">
        <v>428</v>
      </c>
      <c r="C183" s="345" t="s">
        <v>683</v>
      </c>
      <c r="D183" s="345" t="s">
        <v>699</v>
      </c>
      <c r="E183" s="345" t="s">
        <v>210</v>
      </c>
      <c r="F183" s="110">
        <v>44327.168287037035</v>
      </c>
      <c r="G183" s="345" t="s">
        <v>596</v>
      </c>
      <c r="H183" s="345" t="s">
        <v>597</v>
      </c>
      <c r="I183" s="345" t="s">
        <v>718</v>
      </c>
      <c r="J183" s="345">
        <v>1504.85</v>
      </c>
      <c r="K183" s="345">
        <v>1504.95</v>
      </c>
      <c r="L183" s="345" t="s">
        <v>360</v>
      </c>
      <c r="M183" s="345" t="s">
        <v>361</v>
      </c>
      <c r="N183" s="345">
        <v>400</v>
      </c>
      <c r="O183" s="110" t="s">
        <v>674</v>
      </c>
    </row>
    <row r="184" spans="1:15" x14ac:dyDescent="0.2">
      <c r="A184" s="345" t="s">
        <v>182</v>
      </c>
      <c r="B184" s="345" t="s">
        <v>432</v>
      </c>
      <c r="C184" s="345" t="s">
        <v>684</v>
      </c>
      <c r="D184" s="345" t="s">
        <v>699</v>
      </c>
      <c r="E184" s="345" t="s">
        <v>211</v>
      </c>
      <c r="F184" s="110">
        <v>44327.357557870368</v>
      </c>
      <c r="G184" s="345" t="s">
        <v>433</v>
      </c>
      <c r="H184" s="345" t="s">
        <v>434</v>
      </c>
      <c r="I184" s="345" t="s">
        <v>435</v>
      </c>
      <c r="J184" s="345">
        <v>806.05</v>
      </c>
      <c r="K184" s="345">
        <v>806.05</v>
      </c>
      <c r="L184" s="345" t="s">
        <v>360</v>
      </c>
      <c r="M184" s="345" t="s">
        <v>361</v>
      </c>
      <c r="N184" s="345">
        <v>400</v>
      </c>
      <c r="O184" s="110" t="s">
        <v>674</v>
      </c>
    </row>
    <row r="185" spans="1:15" x14ac:dyDescent="0.2">
      <c r="A185" s="345" t="s">
        <v>212</v>
      </c>
      <c r="B185" s="345" t="s">
        <v>443</v>
      </c>
      <c r="C185" s="345" t="s">
        <v>685</v>
      </c>
      <c r="D185" s="345" t="s">
        <v>699</v>
      </c>
      <c r="E185" s="345" t="s">
        <v>213</v>
      </c>
      <c r="F185" s="110">
        <v>44327.207928240743</v>
      </c>
      <c r="G185" s="345" t="s">
        <v>447</v>
      </c>
      <c r="H185" s="345" t="s">
        <v>448</v>
      </c>
      <c r="I185" s="345" t="s">
        <v>449</v>
      </c>
      <c r="J185" s="345">
        <v>670.15</v>
      </c>
      <c r="K185" s="345">
        <v>670.15</v>
      </c>
      <c r="L185" s="345" t="s">
        <v>360</v>
      </c>
      <c r="M185" s="345" t="s">
        <v>361</v>
      </c>
      <c r="N185" s="345">
        <v>400</v>
      </c>
      <c r="O185" s="110" t="s">
        <v>674</v>
      </c>
    </row>
    <row r="186" spans="1:15" x14ac:dyDescent="0.2">
      <c r="A186" s="345" t="s">
        <v>214</v>
      </c>
      <c r="B186" s="345" t="s">
        <v>450</v>
      </c>
      <c r="C186" s="345" t="s">
        <v>686</v>
      </c>
      <c r="D186" s="345" t="s">
        <v>712</v>
      </c>
      <c r="E186" s="345" t="s">
        <v>215</v>
      </c>
      <c r="F186" s="110">
        <v>44327.21020833333</v>
      </c>
      <c r="G186" s="345" t="s">
        <v>451</v>
      </c>
      <c r="H186" s="345" t="s">
        <v>452</v>
      </c>
      <c r="I186" s="345" t="s">
        <v>453</v>
      </c>
      <c r="J186" s="345">
        <v>1120.5</v>
      </c>
      <c r="K186" s="345">
        <v>1120.5</v>
      </c>
      <c r="L186" s="345" t="s">
        <v>360</v>
      </c>
      <c r="M186" s="345" t="s">
        <v>361</v>
      </c>
      <c r="N186" s="345">
        <v>400</v>
      </c>
      <c r="O186" s="110" t="s">
        <v>674</v>
      </c>
    </row>
    <row r="187" spans="1:15" x14ac:dyDescent="0.2">
      <c r="A187" s="345" t="s">
        <v>160</v>
      </c>
      <c r="B187" s="345" t="s">
        <v>456</v>
      </c>
      <c r="C187" s="345" t="s">
        <v>687</v>
      </c>
      <c r="D187" s="345" t="s">
        <v>712</v>
      </c>
      <c r="E187" s="345" t="s">
        <v>216</v>
      </c>
      <c r="F187" s="110">
        <v>44327.193749999999</v>
      </c>
      <c r="G187" s="345" t="s">
        <v>463</v>
      </c>
      <c r="H187" s="345" t="s">
        <v>464</v>
      </c>
      <c r="I187" s="345" t="s">
        <v>465</v>
      </c>
      <c r="J187" s="345">
        <v>1633.3</v>
      </c>
      <c r="K187" s="345">
        <v>1633.9</v>
      </c>
      <c r="L187" s="345" t="s">
        <v>360</v>
      </c>
      <c r="M187" s="345" t="s">
        <v>361</v>
      </c>
      <c r="N187" s="345">
        <v>400</v>
      </c>
      <c r="O187" s="110" t="s">
        <v>674</v>
      </c>
    </row>
    <row r="188" spans="1:15" x14ac:dyDescent="0.2">
      <c r="A188" s="345" t="s">
        <v>217</v>
      </c>
      <c r="B188" s="345" t="s">
        <v>469</v>
      </c>
      <c r="C188" s="345" t="s">
        <v>688</v>
      </c>
      <c r="D188" s="345" t="s">
        <v>699</v>
      </c>
      <c r="E188" s="345" t="s">
        <v>218</v>
      </c>
      <c r="F188" s="110">
        <v>44327.30133101852</v>
      </c>
      <c r="G188" s="345" t="s">
        <v>476</v>
      </c>
      <c r="H188" s="345" t="s">
        <v>477</v>
      </c>
      <c r="I188" s="345" t="s">
        <v>478</v>
      </c>
      <c r="J188" s="345">
        <v>737.8</v>
      </c>
      <c r="K188" s="345">
        <v>737.8</v>
      </c>
      <c r="L188" s="345" t="s">
        <v>360</v>
      </c>
      <c r="M188" s="345" t="s">
        <v>361</v>
      </c>
      <c r="N188" s="345">
        <v>400</v>
      </c>
      <c r="O188" s="110" t="s">
        <v>674</v>
      </c>
    </row>
    <row r="189" spans="1:15" x14ac:dyDescent="0.2">
      <c r="A189" s="345" t="s">
        <v>186</v>
      </c>
      <c r="B189" s="345" t="s">
        <v>481</v>
      </c>
      <c r="C189" s="345" t="s">
        <v>689</v>
      </c>
      <c r="D189" s="345" t="s">
        <v>699</v>
      </c>
      <c r="E189" s="345" t="s">
        <v>219</v>
      </c>
      <c r="F189" s="110">
        <v>44327.206076388888</v>
      </c>
      <c r="G189" s="345" t="s">
        <v>498</v>
      </c>
      <c r="H189" s="345" t="s">
        <v>499</v>
      </c>
      <c r="I189" s="345" t="s">
        <v>500</v>
      </c>
      <c r="J189" s="345">
        <v>683.2</v>
      </c>
      <c r="K189" s="345">
        <v>683.2</v>
      </c>
      <c r="L189" s="345" t="s">
        <v>360</v>
      </c>
      <c r="M189" s="345" t="s">
        <v>361</v>
      </c>
      <c r="N189" s="345">
        <v>400</v>
      </c>
      <c r="O189" s="110" t="s">
        <v>674</v>
      </c>
    </row>
    <row r="190" spans="1:15" x14ac:dyDescent="0.2">
      <c r="A190" s="345" t="s">
        <v>220</v>
      </c>
      <c r="B190" s="345" t="s">
        <v>490</v>
      </c>
      <c r="C190" s="345" t="s">
        <v>690</v>
      </c>
      <c r="D190" s="345" t="s">
        <v>699</v>
      </c>
      <c r="E190" s="345" t="s">
        <v>221</v>
      </c>
      <c r="F190" s="110">
        <v>44327.20412037037</v>
      </c>
      <c r="G190" s="345" t="s">
        <v>491</v>
      </c>
      <c r="H190" s="345" t="s">
        <v>492</v>
      </c>
      <c r="I190" s="345" t="s">
        <v>493</v>
      </c>
      <c r="J190" s="345">
        <v>612.65</v>
      </c>
      <c r="K190" s="345">
        <v>612.65</v>
      </c>
      <c r="L190" s="345" t="s">
        <v>360</v>
      </c>
      <c r="M190" s="345" t="s">
        <v>361</v>
      </c>
      <c r="N190" s="345">
        <v>400</v>
      </c>
      <c r="O190" s="110" t="s">
        <v>674</v>
      </c>
    </row>
    <row r="191" spans="1:15" x14ac:dyDescent="0.2">
      <c r="A191" s="345" t="s">
        <v>222</v>
      </c>
      <c r="B191" s="345" t="s">
        <v>497</v>
      </c>
      <c r="C191" s="345" t="s">
        <v>691</v>
      </c>
      <c r="D191" s="345" t="s">
        <v>699</v>
      </c>
      <c r="E191" s="345" t="s">
        <v>223</v>
      </c>
      <c r="F191" s="110">
        <v>44327.278240740743</v>
      </c>
      <c r="G191" s="345" t="s">
        <v>504</v>
      </c>
      <c r="H191" s="345" t="s">
        <v>505</v>
      </c>
      <c r="I191" s="345" t="s">
        <v>506</v>
      </c>
      <c r="J191" s="345">
        <v>1141.75</v>
      </c>
      <c r="K191" s="345">
        <v>1142.45</v>
      </c>
      <c r="L191" s="345" t="s">
        <v>360</v>
      </c>
      <c r="M191" s="345" t="s">
        <v>361</v>
      </c>
      <c r="N191" s="345">
        <v>400</v>
      </c>
      <c r="O191" s="110" t="s">
        <v>674</v>
      </c>
    </row>
    <row r="192" spans="1:15" x14ac:dyDescent="0.2">
      <c r="A192" s="345" t="s">
        <v>226</v>
      </c>
      <c r="B192" s="345" t="s">
        <v>522</v>
      </c>
      <c r="C192" s="345" t="s">
        <v>692</v>
      </c>
      <c r="D192" s="345" t="s">
        <v>712</v>
      </c>
      <c r="E192" s="345" t="s">
        <v>227</v>
      </c>
      <c r="F192" s="110">
        <v>44327.182812500003</v>
      </c>
      <c r="G192" s="345" t="s">
        <v>341</v>
      </c>
      <c r="H192" s="345" t="s">
        <v>523</v>
      </c>
      <c r="I192" s="345" t="s">
        <v>524</v>
      </c>
      <c r="J192" s="345">
        <v>789.9</v>
      </c>
      <c r="K192" s="345">
        <v>789.9</v>
      </c>
      <c r="L192" s="345" t="s">
        <v>360</v>
      </c>
      <c r="M192" s="345" t="s">
        <v>361</v>
      </c>
      <c r="N192" s="345">
        <v>400</v>
      </c>
      <c r="O192" s="110" t="s">
        <v>674</v>
      </c>
    </row>
    <row r="193" spans="1:15" x14ac:dyDescent="0.2">
      <c r="A193" s="345" t="s">
        <v>228</v>
      </c>
      <c r="B193" s="345" t="s">
        <v>528</v>
      </c>
      <c r="C193" s="345" t="s">
        <v>693</v>
      </c>
      <c r="D193" s="345" t="s">
        <v>712</v>
      </c>
      <c r="E193" s="345" t="s">
        <v>229</v>
      </c>
      <c r="F193" s="110">
        <v>44327.210393518515</v>
      </c>
      <c r="G193" s="345" t="s">
        <v>537</v>
      </c>
      <c r="H193" s="345" t="s">
        <v>538</v>
      </c>
      <c r="I193" s="345" t="s">
        <v>539</v>
      </c>
      <c r="J193" s="345">
        <v>1157.75</v>
      </c>
      <c r="K193" s="345">
        <v>1157.75</v>
      </c>
      <c r="L193" s="345" t="s">
        <v>360</v>
      </c>
      <c r="M193" s="345" t="s">
        <v>361</v>
      </c>
      <c r="N193" s="345">
        <v>400</v>
      </c>
      <c r="O193" s="110" t="s">
        <v>674</v>
      </c>
    </row>
    <row r="194" spans="1:15" x14ac:dyDescent="0.2">
      <c r="A194" s="345" t="s">
        <v>231</v>
      </c>
      <c r="B194" s="345" t="s">
        <v>536</v>
      </c>
      <c r="C194" s="345" t="s">
        <v>694</v>
      </c>
      <c r="D194" s="345" t="s">
        <v>712</v>
      </c>
      <c r="E194" s="345" t="s">
        <v>232</v>
      </c>
      <c r="F194" s="110">
        <v>44327.213252314818</v>
      </c>
      <c r="G194" s="345" t="s">
        <v>554</v>
      </c>
      <c r="H194" s="345" t="s">
        <v>555</v>
      </c>
      <c r="I194" s="345" t="s">
        <v>556</v>
      </c>
      <c r="J194" s="345">
        <v>942.25</v>
      </c>
      <c r="K194" s="345">
        <v>942.25</v>
      </c>
      <c r="L194" s="345" t="s">
        <v>360</v>
      </c>
      <c r="M194" s="345" t="s">
        <v>361</v>
      </c>
      <c r="N194" s="345">
        <v>400</v>
      </c>
      <c r="O194" s="110" t="s">
        <v>674</v>
      </c>
    </row>
    <row r="195" spans="1:15" x14ac:dyDescent="0.2">
      <c r="A195" s="345" t="s">
        <v>233</v>
      </c>
      <c r="B195" s="345" t="s">
        <v>545</v>
      </c>
      <c r="C195" s="345" t="s">
        <v>695</v>
      </c>
      <c r="D195" s="345" t="s">
        <v>712</v>
      </c>
      <c r="E195" s="345" t="s">
        <v>234</v>
      </c>
      <c r="F195" s="110">
        <v>44327.331284722219</v>
      </c>
      <c r="G195" s="345" t="s">
        <v>557</v>
      </c>
      <c r="H195" s="345" t="s">
        <v>558</v>
      </c>
      <c r="I195" s="345" t="s">
        <v>559</v>
      </c>
      <c r="J195" s="345">
        <v>485.85</v>
      </c>
      <c r="K195" s="345">
        <v>487.35</v>
      </c>
      <c r="L195" s="345" t="s">
        <v>360</v>
      </c>
      <c r="M195" s="345" t="s">
        <v>361</v>
      </c>
      <c r="N195" s="345">
        <v>400</v>
      </c>
      <c r="O195" s="110" t="s">
        <v>674</v>
      </c>
    </row>
    <row r="196" spans="1:15" x14ac:dyDescent="0.2">
      <c r="A196" s="345" t="s">
        <v>163</v>
      </c>
      <c r="B196" s="345" t="s">
        <v>560</v>
      </c>
      <c r="C196" s="345" t="s">
        <v>627</v>
      </c>
      <c r="D196" s="345" t="s">
        <v>664</v>
      </c>
      <c r="E196" s="345" t="s">
        <v>235</v>
      </c>
      <c r="F196" s="110">
        <v>44326.218819444446</v>
      </c>
      <c r="G196" s="345" t="s">
        <v>719</v>
      </c>
      <c r="H196" s="345" t="s">
        <v>720</v>
      </c>
      <c r="I196" s="345" t="s">
        <v>721</v>
      </c>
      <c r="J196" s="345">
        <v>2296.1</v>
      </c>
      <c r="K196" s="345">
        <v>2295.85</v>
      </c>
      <c r="L196" s="345" t="s">
        <v>360</v>
      </c>
      <c r="M196" s="345" t="s">
        <v>361</v>
      </c>
      <c r="N196" s="345">
        <v>0</v>
      </c>
      <c r="O196" s="110" t="s">
        <v>674</v>
      </c>
    </row>
    <row r="197" spans="1:15" x14ac:dyDescent="0.2">
      <c r="A197" s="345" t="s">
        <v>163</v>
      </c>
      <c r="B197" s="345" t="s">
        <v>560</v>
      </c>
      <c r="C197" s="345" t="s">
        <v>696</v>
      </c>
      <c r="D197" s="345" t="s">
        <v>722</v>
      </c>
      <c r="E197" s="345" t="s">
        <v>235</v>
      </c>
      <c r="F197" s="110">
        <v>44327.212245370371</v>
      </c>
      <c r="G197" s="345" t="s">
        <v>671</v>
      </c>
      <c r="H197" s="345" t="s">
        <v>672</v>
      </c>
      <c r="I197" s="345" t="s">
        <v>673</v>
      </c>
      <c r="J197" s="345">
        <v>1858.65</v>
      </c>
      <c r="K197" s="345">
        <v>1860.35</v>
      </c>
      <c r="L197" s="345" t="s">
        <v>360</v>
      </c>
      <c r="M197" s="345" t="s">
        <v>361</v>
      </c>
      <c r="N197" s="345">
        <v>0</v>
      </c>
      <c r="O197" s="110" t="s">
        <v>674</v>
      </c>
    </row>
    <row r="198" spans="1:15" x14ac:dyDescent="0.2">
      <c r="A198" s="345" t="s">
        <v>236</v>
      </c>
      <c r="B198" s="345" t="s">
        <v>572</v>
      </c>
      <c r="C198" s="345" t="s">
        <v>697</v>
      </c>
      <c r="D198" s="345" t="s">
        <v>699</v>
      </c>
      <c r="E198" s="345" t="s">
        <v>237</v>
      </c>
      <c r="F198" s="110">
        <v>44327.338726851849</v>
      </c>
      <c r="G198" s="345" t="s">
        <v>573</v>
      </c>
      <c r="H198" s="345" t="s">
        <v>574</v>
      </c>
      <c r="I198" s="345" t="s">
        <v>575</v>
      </c>
      <c r="J198" s="345">
        <v>571.04999999999995</v>
      </c>
      <c r="K198" s="345">
        <v>571.04999999999995</v>
      </c>
      <c r="L198" s="345" t="s">
        <v>360</v>
      </c>
      <c r="M198" s="345" t="s">
        <v>361</v>
      </c>
      <c r="N198" s="345">
        <v>400</v>
      </c>
      <c r="O198" s="110" t="s">
        <v>674</v>
      </c>
    </row>
    <row r="199" spans="1:15" x14ac:dyDescent="0.2">
      <c r="A199" s="344" t="s">
        <v>78</v>
      </c>
      <c r="B199" s="344" t="s">
        <v>79</v>
      </c>
      <c r="C199" s="344" t="s">
        <v>168</v>
      </c>
      <c r="D199" s="344" t="s">
        <v>169</v>
      </c>
      <c r="E199" s="344" t="s">
        <v>170</v>
      </c>
      <c r="F199" s="346" t="s">
        <v>171</v>
      </c>
      <c r="G199" s="344" t="s">
        <v>172</v>
      </c>
      <c r="H199" s="344" t="s">
        <v>173</v>
      </c>
      <c r="I199" s="344" t="s">
        <v>174</v>
      </c>
      <c r="J199" s="344" t="s">
        <v>175</v>
      </c>
      <c r="K199" s="344" t="s">
        <v>176</v>
      </c>
      <c r="L199" s="344" t="s">
        <v>177</v>
      </c>
      <c r="M199" s="344" t="s">
        <v>178</v>
      </c>
      <c r="N199" s="344" t="s">
        <v>179</v>
      </c>
      <c r="O199" s="346" t="s">
        <v>180</v>
      </c>
    </row>
    <row r="200" spans="1:15" x14ac:dyDescent="0.2">
      <c r="A200" s="345" t="s">
        <v>352</v>
      </c>
      <c r="B200" s="345" t="s">
        <v>353</v>
      </c>
      <c r="C200" s="345" t="s">
        <v>752</v>
      </c>
      <c r="D200" s="345" t="s">
        <v>753</v>
      </c>
      <c r="E200" s="345" t="s">
        <v>356</v>
      </c>
      <c r="F200" s="110">
        <v>44328.379594907405</v>
      </c>
      <c r="G200" s="345" t="s">
        <v>754</v>
      </c>
      <c r="H200" s="345" t="s">
        <v>755</v>
      </c>
      <c r="I200" s="345" t="s">
        <v>756</v>
      </c>
      <c r="J200" s="345">
        <v>400</v>
      </c>
      <c r="K200" s="345">
        <v>400</v>
      </c>
      <c r="L200" s="345" t="s">
        <v>360</v>
      </c>
      <c r="M200" s="345" t="s">
        <v>361</v>
      </c>
      <c r="N200" s="345">
        <v>400</v>
      </c>
      <c r="O200" s="110" t="s">
        <v>757</v>
      </c>
    </row>
    <row r="201" spans="1:15" x14ac:dyDescent="0.2">
      <c r="A201" s="345" t="s">
        <v>193</v>
      </c>
      <c r="B201" s="345" t="s">
        <v>363</v>
      </c>
      <c r="C201" s="345" t="s">
        <v>729</v>
      </c>
      <c r="D201" s="345" t="s">
        <v>758</v>
      </c>
      <c r="E201" s="345" t="s">
        <v>194</v>
      </c>
      <c r="F201" s="110">
        <v>44328.370949074073</v>
      </c>
      <c r="G201" s="345" t="s">
        <v>759</v>
      </c>
      <c r="H201" s="345" t="s">
        <v>760</v>
      </c>
      <c r="I201" s="345" t="s">
        <v>761</v>
      </c>
      <c r="J201" s="345">
        <v>457</v>
      </c>
      <c r="K201" s="345">
        <v>457</v>
      </c>
      <c r="L201" s="345" t="s">
        <v>360</v>
      </c>
      <c r="M201" s="345" t="s">
        <v>361</v>
      </c>
      <c r="N201" s="345">
        <v>400</v>
      </c>
      <c r="O201" s="110" t="s">
        <v>757</v>
      </c>
    </row>
    <row r="202" spans="1:15" x14ac:dyDescent="0.2">
      <c r="A202" s="345" t="s">
        <v>195</v>
      </c>
      <c r="B202" s="345" t="s">
        <v>376</v>
      </c>
      <c r="C202" s="345" t="s">
        <v>730</v>
      </c>
      <c r="D202" s="345" t="s">
        <v>758</v>
      </c>
      <c r="E202" s="345" t="s">
        <v>196</v>
      </c>
      <c r="F202" s="110">
        <v>44328.280509259261</v>
      </c>
      <c r="G202" s="345" t="s">
        <v>762</v>
      </c>
      <c r="H202" s="345" t="s">
        <v>763</v>
      </c>
      <c r="I202" s="345" t="s">
        <v>764</v>
      </c>
      <c r="J202" s="345">
        <v>675.5</v>
      </c>
      <c r="K202" s="345">
        <v>675.5</v>
      </c>
      <c r="L202" s="345" t="s">
        <v>360</v>
      </c>
      <c r="M202" s="345" t="s">
        <v>361</v>
      </c>
      <c r="N202" s="345">
        <v>400</v>
      </c>
      <c r="O202" s="110" t="s">
        <v>757</v>
      </c>
    </row>
    <row r="203" spans="1:15" x14ac:dyDescent="0.2">
      <c r="A203" s="345" t="s">
        <v>197</v>
      </c>
      <c r="B203" s="345" t="s">
        <v>383</v>
      </c>
      <c r="C203" s="345" t="s">
        <v>731</v>
      </c>
      <c r="D203" s="345" t="s">
        <v>765</v>
      </c>
      <c r="E203" s="345" t="s">
        <v>606</v>
      </c>
      <c r="F203" s="110">
        <v>44328.288877314815</v>
      </c>
      <c r="G203" s="345" t="s">
        <v>384</v>
      </c>
      <c r="H203" s="345" t="s">
        <v>385</v>
      </c>
      <c r="I203" s="345" t="s">
        <v>386</v>
      </c>
      <c r="J203" s="345">
        <v>750.95</v>
      </c>
      <c r="K203" s="345">
        <v>750.95</v>
      </c>
      <c r="L203" s="345" t="s">
        <v>360</v>
      </c>
      <c r="M203" s="345" t="s">
        <v>361</v>
      </c>
      <c r="N203" s="345">
        <v>400</v>
      </c>
      <c r="O203" s="110" t="s">
        <v>757</v>
      </c>
    </row>
    <row r="204" spans="1:15" x14ac:dyDescent="0.2">
      <c r="A204" s="345" t="s">
        <v>199</v>
      </c>
      <c r="B204" s="345" t="s">
        <v>394</v>
      </c>
      <c r="C204" s="345" t="s">
        <v>732</v>
      </c>
      <c r="D204" s="345" t="s">
        <v>766</v>
      </c>
      <c r="E204" s="345" t="s">
        <v>200</v>
      </c>
      <c r="F204" s="110">
        <v>44328.296030092592</v>
      </c>
      <c r="G204" s="345" t="s">
        <v>364</v>
      </c>
      <c r="H204" s="345" t="s">
        <v>365</v>
      </c>
      <c r="I204" s="345" t="s">
        <v>366</v>
      </c>
      <c r="J204" s="345">
        <v>519.04999999999995</v>
      </c>
      <c r="K204" s="345">
        <v>519.04999999999995</v>
      </c>
      <c r="L204" s="345" t="s">
        <v>360</v>
      </c>
      <c r="M204" s="345" t="s">
        <v>361</v>
      </c>
      <c r="N204" s="345">
        <v>400</v>
      </c>
      <c r="O204" s="110" t="s">
        <v>757</v>
      </c>
    </row>
    <row r="205" spans="1:15" x14ac:dyDescent="0.2">
      <c r="A205" s="345" t="s">
        <v>201</v>
      </c>
      <c r="B205" s="345" t="s">
        <v>401</v>
      </c>
      <c r="C205" s="345" t="s">
        <v>733</v>
      </c>
      <c r="D205" s="345" t="s">
        <v>767</v>
      </c>
      <c r="E205" s="345" t="s">
        <v>202</v>
      </c>
      <c r="F205" s="110">
        <v>44328.24658564815</v>
      </c>
      <c r="G205" s="345" t="s">
        <v>588</v>
      </c>
      <c r="H205" s="345" t="s">
        <v>589</v>
      </c>
      <c r="I205" s="345" t="s">
        <v>713</v>
      </c>
      <c r="J205" s="345">
        <v>740.05</v>
      </c>
      <c r="K205" s="345">
        <v>740.05</v>
      </c>
      <c r="L205" s="345" t="s">
        <v>360</v>
      </c>
      <c r="M205" s="345" t="s">
        <v>361</v>
      </c>
      <c r="N205" s="345">
        <v>400</v>
      </c>
      <c r="O205" s="110" t="s">
        <v>757</v>
      </c>
    </row>
    <row r="206" spans="1:15" x14ac:dyDescent="0.2">
      <c r="A206" s="345" t="s">
        <v>203</v>
      </c>
      <c r="B206" s="345" t="s">
        <v>406</v>
      </c>
      <c r="C206" s="345" t="s">
        <v>734</v>
      </c>
      <c r="D206" s="345" t="s">
        <v>758</v>
      </c>
      <c r="E206" s="345" t="s">
        <v>204</v>
      </c>
      <c r="F206" s="110">
        <v>44328.251018518517</v>
      </c>
      <c r="G206" s="345" t="s">
        <v>407</v>
      </c>
      <c r="H206" s="345" t="s">
        <v>408</v>
      </c>
      <c r="I206" s="345" t="s">
        <v>409</v>
      </c>
      <c r="J206" s="345">
        <v>430</v>
      </c>
      <c r="K206" s="345">
        <v>430</v>
      </c>
      <c r="L206" s="345" t="s">
        <v>360</v>
      </c>
      <c r="M206" s="345" t="s">
        <v>361</v>
      </c>
      <c r="N206" s="345">
        <v>400</v>
      </c>
      <c r="O206" s="110" t="s">
        <v>757</v>
      </c>
    </row>
    <row r="207" spans="1:15" x14ac:dyDescent="0.2">
      <c r="A207" s="345" t="s">
        <v>205</v>
      </c>
      <c r="B207" s="345" t="s">
        <v>410</v>
      </c>
      <c r="C207" s="345" t="s">
        <v>735</v>
      </c>
      <c r="D207" s="345" t="s">
        <v>767</v>
      </c>
      <c r="E207" s="345" t="s">
        <v>206</v>
      </c>
      <c r="F207" s="110">
        <v>44328.250219907408</v>
      </c>
      <c r="G207" s="345" t="s">
        <v>419</v>
      </c>
      <c r="H207" s="345" t="s">
        <v>420</v>
      </c>
      <c r="I207" s="345" t="s">
        <v>421</v>
      </c>
      <c r="J207" s="345">
        <v>723.5</v>
      </c>
      <c r="K207" s="345">
        <v>723.5</v>
      </c>
      <c r="L207" s="345" t="s">
        <v>360</v>
      </c>
      <c r="M207" s="345" t="s">
        <v>361</v>
      </c>
      <c r="N207" s="345">
        <v>400</v>
      </c>
      <c r="O207" s="110" t="s">
        <v>757</v>
      </c>
    </row>
    <row r="208" spans="1:15" x14ac:dyDescent="0.2">
      <c r="A208" s="345" t="s">
        <v>207</v>
      </c>
      <c r="B208" s="345" t="s">
        <v>422</v>
      </c>
      <c r="C208" s="345" t="s">
        <v>736</v>
      </c>
      <c r="D208" s="345" t="s">
        <v>767</v>
      </c>
      <c r="E208" s="345" t="s">
        <v>208</v>
      </c>
      <c r="F208" s="110">
        <v>44328.234814814816</v>
      </c>
      <c r="G208" s="345" t="s">
        <v>525</v>
      </c>
      <c r="H208" s="345" t="s">
        <v>768</v>
      </c>
      <c r="I208" s="345" t="s">
        <v>769</v>
      </c>
      <c r="J208" s="345">
        <v>1159.6500000000001</v>
      </c>
      <c r="K208" s="345">
        <v>1159.6500000000001</v>
      </c>
      <c r="L208" s="345" t="s">
        <v>360</v>
      </c>
      <c r="M208" s="345" t="s">
        <v>361</v>
      </c>
      <c r="N208" s="345">
        <v>400</v>
      </c>
      <c r="O208" s="110" t="s">
        <v>757</v>
      </c>
    </row>
    <row r="209" spans="1:15" x14ac:dyDescent="0.2">
      <c r="A209" s="345" t="s">
        <v>209</v>
      </c>
      <c r="B209" s="345" t="s">
        <v>428</v>
      </c>
      <c r="C209" s="345" t="s">
        <v>737</v>
      </c>
      <c r="D209" s="345" t="s">
        <v>758</v>
      </c>
      <c r="E209" s="345" t="s">
        <v>210</v>
      </c>
      <c r="F209" s="110">
        <v>44328.170520833337</v>
      </c>
      <c r="G209" s="345" t="s">
        <v>596</v>
      </c>
      <c r="H209" s="345" t="s">
        <v>597</v>
      </c>
      <c r="I209" s="345" t="s">
        <v>718</v>
      </c>
      <c r="J209" s="345">
        <v>1231.2</v>
      </c>
      <c r="K209" s="345">
        <v>1234.3499999999999</v>
      </c>
      <c r="L209" s="345" t="s">
        <v>360</v>
      </c>
      <c r="M209" s="345" t="s">
        <v>361</v>
      </c>
      <c r="N209" s="345">
        <v>400</v>
      </c>
      <c r="O209" s="110" t="s">
        <v>757</v>
      </c>
    </row>
    <row r="210" spans="1:15" x14ac:dyDescent="0.2">
      <c r="A210" s="345" t="s">
        <v>182</v>
      </c>
      <c r="B210" s="345" t="s">
        <v>432</v>
      </c>
      <c r="C210" s="345" t="s">
        <v>738</v>
      </c>
      <c r="D210" s="345" t="s">
        <v>758</v>
      </c>
      <c r="E210" s="345" t="s">
        <v>211</v>
      </c>
      <c r="F210" s="110">
        <v>44328.354247685187</v>
      </c>
      <c r="G210" s="345" t="s">
        <v>440</v>
      </c>
      <c r="H210" s="345" t="s">
        <v>441</v>
      </c>
      <c r="I210" s="345" t="s">
        <v>442</v>
      </c>
      <c r="J210" s="345">
        <v>678</v>
      </c>
      <c r="K210" s="345">
        <v>678.4</v>
      </c>
      <c r="L210" s="345" t="s">
        <v>360</v>
      </c>
      <c r="M210" s="345" t="s">
        <v>361</v>
      </c>
      <c r="N210" s="345">
        <v>400</v>
      </c>
      <c r="O210" s="110" t="s">
        <v>757</v>
      </c>
    </row>
    <row r="211" spans="1:15" x14ac:dyDescent="0.2">
      <c r="A211" s="345" t="s">
        <v>212</v>
      </c>
      <c r="B211" s="345" t="s">
        <v>443</v>
      </c>
      <c r="C211" s="345" t="s">
        <v>739</v>
      </c>
      <c r="D211" s="345" t="s">
        <v>758</v>
      </c>
      <c r="E211" s="345" t="s">
        <v>213</v>
      </c>
      <c r="F211" s="110">
        <v>44328.209953703707</v>
      </c>
      <c r="G211" s="345" t="s">
        <v>447</v>
      </c>
      <c r="H211" s="345" t="s">
        <v>448</v>
      </c>
      <c r="I211" s="345" t="s">
        <v>449</v>
      </c>
      <c r="J211" s="345">
        <v>628.6</v>
      </c>
      <c r="K211" s="345">
        <v>628.6</v>
      </c>
      <c r="L211" s="345" t="s">
        <v>360</v>
      </c>
      <c r="M211" s="345" t="s">
        <v>361</v>
      </c>
      <c r="N211" s="345">
        <v>400</v>
      </c>
      <c r="O211" s="110" t="s">
        <v>757</v>
      </c>
    </row>
    <row r="212" spans="1:15" x14ac:dyDescent="0.2">
      <c r="A212" s="345" t="s">
        <v>214</v>
      </c>
      <c r="B212" s="345" t="s">
        <v>450</v>
      </c>
      <c r="C212" s="345" t="s">
        <v>740</v>
      </c>
      <c r="D212" s="345" t="s">
        <v>767</v>
      </c>
      <c r="E212" s="345" t="s">
        <v>215</v>
      </c>
      <c r="F212" s="110">
        <v>44328.208877314813</v>
      </c>
      <c r="G212" s="345" t="s">
        <v>451</v>
      </c>
      <c r="H212" s="345" t="s">
        <v>452</v>
      </c>
      <c r="I212" s="345" t="s">
        <v>453</v>
      </c>
      <c r="J212" s="345">
        <v>1566.55</v>
      </c>
      <c r="K212" s="345">
        <v>1560.05</v>
      </c>
      <c r="L212" s="345" t="s">
        <v>360</v>
      </c>
      <c r="M212" s="345" t="s">
        <v>361</v>
      </c>
      <c r="N212" s="345">
        <v>400</v>
      </c>
      <c r="O212" s="110" t="s">
        <v>757</v>
      </c>
    </row>
    <row r="213" spans="1:15" x14ac:dyDescent="0.2">
      <c r="A213" s="345" t="s">
        <v>160</v>
      </c>
      <c r="B213" s="345" t="s">
        <v>456</v>
      </c>
      <c r="C213" s="345" t="s">
        <v>741</v>
      </c>
      <c r="D213" s="345" t="s">
        <v>767</v>
      </c>
      <c r="E213" s="345" t="s">
        <v>216</v>
      </c>
      <c r="F213" s="110">
        <v>44328.196030092593</v>
      </c>
      <c r="G213" s="345" t="s">
        <v>463</v>
      </c>
      <c r="H213" s="345" t="s">
        <v>464</v>
      </c>
      <c r="I213" s="345" t="s">
        <v>465</v>
      </c>
      <c r="J213" s="345">
        <v>1153.0999999999999</v>
      </c>
      <c r="K213" s="345">
        <v>1154.3</v>
      </c>
      <c r="L213" s="345" t="s">
        <v>360</v>
      </c>
      <c r="M213" s="345" t="s">
        <v>361</v>
      </c>
      <c r="N213" s="345">
        <v>400</v>
      </c>
      <c r="O213" s="110" t="s">
        <v>757</v>
      </c>
    </row>
    <row r="214" spans="1:15" x14ac:dyDescent="0.2">
      <c r="A214" s="345" t="s">
        <v>217</v>
      </c>
      <c r="B214" s="345" t="s">
        <v>469</v>
      </c>
      <c r="C214" s="345" t="s">
        <v>742</v>
      </c>
      <c r="D214" s="345" t="s">
        <v>758</v>
      </c>
      <c r="E214" s="345" t="s">
        <v>218</v>
      </c>
      <c r="F214" s="110">
        <v>44328.31050925926</v>
      </c>
      <c r="G214" s="345" t="s">
        <v>473</v>
      </c>
      <c r="H214" s="345" t="s">
        <v>474</v>
      </c>
      <c r="I214" s="345" t="s">
        <v>475</v>
      </c>
      <c r="J214" s="345">
        <v>712.8</v>
      </c>
      <c r="K214" s="345">
        <v>712.8</v>
      </c>
      <c r="L214" s="345" t="s">
        <v>360</v>
      </c>
      <c r="M214" s="345" t="s">
        <v>361</v>
      </c>
      <c r="N214" s="345">
        <v>400</v>
      </c>
      <c r="O214" s="110" t="s">
        <v>757</v>
      </c>
    </row>
    <row r="215" spans="1:15" x14ac:dyDescent="0.2">
      <c r="A215" s="345" t="s">
        <v>186</v>
      </c>
      <c r="B215" s="345" t="s">
        <v>481</v>
      </c>
      <c r="C215" s="345" t="s">
        <v>743</v>
      </c>
      <c r="D215" s="345" t="s">
        <v>767</v>
      </c>
      <c r="E215" s="345" t="s">
        <v>219</v>
      </c>
      <c r="F215" s="110">
        <v>44328.207604166666</v>
      </c>
      <c r="G215" s="345" t="s">
        <v>188</v>
      </c>
      <c r="H215" s="345" t="s">
        <v>482</v>
      </c>
      <c r="I215" s="345" t="s">
        <v>483</v>
      </c>
      <c r="J215" s="345">
        <v>944.35</v>
      </c>
      <c r="K215" s="345">
        <v>943.3</v>
      </c>
      <c r="L215" s="345" t="s">
        <v>360</v>
      </c>
      <c r="M215" s="345" t="s">
        <v>361</v>
      </c>
      <c r="N215" s="345">
        <v>400</v>
      </c>
      <c r="O215" s="110" t="s">
        <v>757</v>
      </c>
    </row>
    <row r="216" spans="1:15" x14ac:dyDescent="0.2">
      <c r="A216" s="345" t="s">
        <v>220</v>
      </c>
      <c r="B216" s="345" t="s">
        <v>490</v>
      </c>
      <c r="C216" s="345" t="s">
        <v>744</v>
      </c>
      <c r="D216" s="345" t="s">
        <v>758</v>
      </c>
      <c r="E216" s="345" t="s">
        <v>221</v>
      </c>
      <c r="F216" s="110">
        <v>44328.203368055554</v>
      </c>
      <c r="G216" s="345" t="s">
        <v>451</v>
      </c>
      <c r="H216" s="345" t="s">
        <v>452</v>
      </c>
      <c r="I216" s="345" t="s">
        <v>453</v>
      </c>
      <c r="J216" s="345">
        <v>1104.9000000000001</v>
      </c>
      <c r="K216" s="345">
        <v>1104.95</v>
      </c>
      <c r="L216" s="345" t="s">
        <v>360</v>
      </c>
      <c r="M216" s="345" t="s">
        <v>361</v>
      </c>
      <c r="N216" s="345">
        <v>400</v>
      </c>
      <c r="O216" s="110" t="s">
        <v>757</v>
      </c>
    </row>
    <row r="217" spans="1:15" x14ac:dyDescent="0.2">
      <c r="A217" s="345" t="s">
        <v>222</v>
      </c>
      <c r="B217" s="345" t="s">
        <v>497</v>
      </c>
      <c r="C217" s="345" t="s">
        <v>745</v>
      </c>
      <c r="D217" s="345" t="s">
        <v>758</v>
      </c>
      <c r="E217" s="345" t="s">
        <v>223</v>
      </c>
      <c r="F217" s="110">
        <v>44328.278819444444</v>
      </c>
      <c r="G217" s="345" t="s">
        <v>498</v>
      </c>
      <c r="H217" s="345" t="s">
        <v>499</v>
      </c>
      <c r="I217" s="345" t="s">
        <v>500</v>
      </c>
      <c r="J217" s="345">
        <v>966.65</v>
      </c>
      <c r="K217" s="345">
        <v>967.5</v>
      </c>
      <c r="L217" s="345" t="s">
        <v>360</v>
      </c>
      <c r="M217" s="345" t="s">
        <v>361</v>
      </c>
      <c r="N217" s="345">
        <v>400</v>
      </c>
      <c r="O217" s="110" t="s">
        <v>757</v>
      </c>
    </row>
    <row r="218" spans="1:15" x14ac:dyDescent="0.2">
      <c r="A218" s="345" t="s">
        <v>226</v>
      </c>
      <c r="B218" s="345" t="s">
        <v>522</v>
      </c>
      <c r="C218" s="345" t="s">
        <v>746</v>
      </c>
      <c r="D218" s="345" t="s">
        <v>770</v>
      </c>
      <c r="E218" s="345" t="s">
        <v>227</v>
      </c>
      <c r="F218" s="110">
        <v>44328.185624999998</v>
      </c>
      <c r="G218" s="345" t="s">
        <v>525</v>
      </c>
      <c r="H218" s="345" t="s">
        <v>526</v>
      </c>
      <c r="I218" s="345" t="s">
        <v>527</v>
      </c>
      <c r="J218" s="345">
        <v>668.85</v>
      </c>
      <c r="K218" s="345">
        <v>668.85</v>
      </c>
      <c r="L218" s="345" t="s">
        <v>360</v>
      </c>
      <c r="M218" s="345" t="s">
        <v>361</v>
      </c>
      <c r="N218" s="345">
        <v>400</v>
      </c>
      <c r="O218" s="110" t="s">
        <v>757</v>
      </c>
    </row>
    <row r="219" spans="1:15" x14ac:dyDescent="0.2">
      <c r="A219" s="345" t="s">
        <v>228</v>
      </c>
      <c r="B219" s="345" t="s">
        <v>528</v>
      </c>
      <c r="C219" s="345" t="s">
        <v>747</v>
      </c>
      <c r="D219" s="345" t="s">
        <v>767</v>
      </c>
      <c r="E219" s="345" t="s">
        <v>229</v>
      </c>
      <c r="F219" s="110">
        <v>44328.209016203706</v>
      </c>
      <c r="G219" s="345" t="s">
        <v>529</v>
      </c>
      <c r="H219" s="345" t="s">
        <v>530</v>
      </c>
      <c r="I219" s="345" t="s">
        <v>531</v>
      </c>
      <c r="J219" s="345">
        <v>877.85</v>
      </c>
      <c r="K219" s="345">
        <v>883.85</v>
      </c>
      <c r="L219" s="345" t="s">
        <v>360</v>
      </c>
      <c r="M219" s="345" t="s">
        <v>361</v>
      </c>
      <c r="N219" s="345">
        <v>400</v>
      </c>
      <c r="O219" s="110" t="s">
        <v>757</v>
      </c>
    </row>
    <row r="220" spans="1:15" x14ac:dyDescent="0.2">
      <c r="A220" s="345" t="s">
        <v>231</v>
      </c>
      <c r="B220" s="345" t="s">
        <v>536</v>
      </c>
      <c r="C220" s="345" t="s">
        <v>748</v>
      </c>
      <c r="D220" s="345" t="s">
        <v>767</v>
      </c>
      <c r="E220" s="345" t="s">
        <v>232</v>
      </c>
      <c r="F220" s="110">
        <v>44328.211782407408</v>
      </c>
      <c r="G220" s="345" t="s">
        <v>537</v>
      </c>
      <c r="H220" s="345" t="s">
        <v>538</v>
      </c>
      <c r="I220" s="345" t="s">
        <v>539</v>
      </c>
      <c r="J220" s="345">
        <v>607.95000000000005</v>
      </c>
      <c r="K220" s="345">
        <v>607.95000000000005</v>
      </c>
      <c r="L220" s="345" t="s">
        <v>360</v>
      </c>
      <c r="M220" s="345" t="s">
        <v>361</v>
      </c>
      <c r="N220" s="345">
        <v>400</v>
      </c>
      <c r="O220" s="110" t="s">
        <v>757</v>
      </c>
    </row>
    <row r="221" spans="1:15" x14ac:dyDescent="0.2">
      <c r="A221" s="345" t="s">
        <v>233</v>
      </c>
      <c r="B221" s="345" t="s">
        <v>545</v>
      </c>
      <c r="C221" s="345" t="s">
        <v>749</v>
      </c>
      <c r="D221" s="345" t="s">
        <v>767</v>
      </c>
      <c r="E221" s="345" t="s">
        <v>234</v>
      </c>
      <c r="F221" s="110">
        <v>44328.344641203701</v>
      </c>
      <c r="G221" s="345" t="s">
        <v>554</v>
      </c>
      <c r="H221" s="345" t="s">
        <v>555</v>
      </c>
      <c r="I221" s="345" t="s">
        <v>556</v>
      </c>
      <c r="J221" s="345">
        <v>605.85</v>
      </c>
      <c r="K221" s="345">
        <v>605.85</v>
      </c>
      <c r="L221" s="345" t="s">
        <v>360</v>
      </c>
      <c r="M221" s="345" t="s">
        <v>361</v>
      </c>
      <c r="N221" s="345">
        <v>400</v>
      </c>
      <c r="O221" s="110" t="s">
        <v>757</v>
      </c>
    </row>
    <row r="222" spans="1:15" x14ac:dyDescent="0.2">
      <c r="A222" s="345" t="s">
        <v>236</v>
      </c>
      <c r="B222" s="345" t="s">
        <v>572</v>
      </c>
      <c r="C222" s="345" t="s">
        <v>751</v>
      </c>
      <c r="D222" s="345" t="s">
        <v>758</v>
      </c>
      <c r="E222" s="345" t="s">
        <v>237</v>
      </c>
      <c r="F222" s="110">
        <v>44328.334270833337</v>
      </c>
      <c r="G222" s="345" t="s">
        <v>576</v>
      </c>
      <c r="H222" s="345" t="s">
        <v>577</v>
      </c>
      <c r="I222" s="345" t="s">
        <v>578</v>
      </c>
      <c r="J222" s="345">
        <v>593.9</v>
      </c>
      <c r="K222" s="345">
        <v>593.9</v>
      </c>
      <c r="L222" s="345" t="s">
        <v>360</v>
      </c>
      <c r="M222" s="345" t="s">
        <v>361</v>
      </c>
      <c r="N222" s="345">
        <v>400</v>
      </c>
      <c r="O222" s="110" t="s">
        <v>757</v>
      </c>
    </row>
    <row r="223" spans="1:15" x14ac:dyDescent="0.2">
      <c r="A223" s="344" t="s">
        <v>78</v>
      </c>
      <c r="B223" s="344" t="s">
        <v>79</v>
      </c>
      <c r="C223" s="344" t="s">
        <v>168</v>
      </c>
      <c r="D223" s="344" t="s">
        <v>169</v>
      </c>
      <c r="E223" s="344" t="s">
        <v>170</v>
      </c>
      <c r="F223" s="346" t="s">
        <v>171</v>
      </c>
      <c r="G223" s="344" t="s">
        <v>172</v>
      </c>
      <c r="H223" s="344" t="s">
        <v>173</v>
      </c>
      <c r="I223" s="344" t="s">
        <v>174</v>
      </c>
      <c r="J223" s="344" t="s">
        <v>175</v>
      </c>
      <c r="K223" s="344" t="s">
        <v>176</v>
      </c>
      <c r="L223" s="344" t="s">
        <v>177</v>
      </c>
      <c r="M223" s="344" t="s">
        <v>178</v>
      </c>
      <c r="N223" s="344" t="s">
        <v>179</v>
      </c>
      <c r="O223" s="346" t="s">
        <v>180</v>
      </c>
    </row>
    <row r="224" spans="1:15" x14ac:dyDescent="0.2">
      <c r="A224" s="345" t="s">
        <v>352</v>
      </c>
      <c r="B224" s="345" t="s">
        <v>353</v>
      </c>
      <c r="C224" s="345" t="s">
        <v>777</v>
      </c>
      <c r="D224" s="345" t="s">
        <v>803</v>
      </c>
      <c r="E224" s="345" t="s">
        <v>356</v>
      </c>
      <c r="F224" s="110">
        <v>44329.374444444446</v>
      </c>
      <c r="G224" s="345" t="s">
        <v>510</v>
      </c>
      <c r="H224" s="345" t="s">
        <v>581</v>
      </c>
      <c r="I224" s="345" t="s">
        <v>704</v>
      </c>
      <c r="J224" s="345">
        <v>459.4</v>
      </c>
      <c r="K224" s="345">
        <v>459.4</v>
      </c>
      <c r="L224" s="345" t="s">
        <v>360</v>
      </c>
      <c r="M224" s="345" t="s">
        <v>361</v>
      </c>
      <c r="N224" s="345">
        <v>400</v>
      </c>
      <c r="O224" s="110" t="s">
        <v>771</v>
      </c>
    </row>
    <row r="225" spans="1:15" x14ac:dyDescent="0.2">
      <c r="A225" s="345" t="s">
        <v>193</v>
      </c>
      <c r="B225" s="345" t="s">
        <v>363</v>
      </c>
      <c r="C225" s="345" t="s">
        <v>778</v>
      </c>
      <c r="D225" s="345" t="s">
        <v>803</v>
      </c>
      <c r="E225" s="345" t="s">
        <v>194</v>
      </c>
      <c r="F225" s="110">
        <v>44329.372847222221</v>
      </c>
      <c r="G225" s="345" t="s">
        <v>700</v>
      </c>
      <c r="H225" s="345" t="s">
        <v>701</v>
      </c>
      <c r="I225" s="345" t="s">
        <v>702</v>
      </c>
      <c r="J225" s="345">
        <v>557.4</v>
      </c>
      <c r="K225" s="345">
        <v>557.4</v>
      </c>
      <c r="L225" s="345" t="s">
        <v>360</v>
      </c>
      <c r="M225" s="345" t="s">
        <v>361</v>
      </c>
      <c r="N225" s="345">
        <v>400</v>
      </c>
      <c r="O225" s="110" t="s">
        <v>771</v>
      </c>
    </row>
    <row r="226" spans="1:15" x14ac:dyDescent="0.2">
      <c r="A226" s="345" t="s">
        <v>195</v>
      </c>
      <c r="B226" s="345" t="s">
        <v>376</v>
      </c>
      <c r="C226" s="345" t="s">
        <v>779</v>
      </c>
      <c r="D226" s="345" t="s">
        <v>803</v>
      </c>
      <c r="E226" s="345" t="s">
        <v>196</v>
      </c>
      <c r="F226" s="110">
        <v>44329.289097222223</v>
      </c>
      <c r="G226" s="345" t="s">
        <v>373</v>
      </c>
      <c r="H226" s="345" t="s">
        <v>374</v>
      </c>
      <c r="I226" s="345" t="s">
        <v>375</v>
      </c>
      <c r="J226" s="345">
        <v>563.9</v>
      </c>
      <c r="K226" s="345">
        <v>563.9</v>
      </c>
      <c r="L226" s="345" t="s">
        <v>360</v>
      </c>
      <c r="M226" s="345" t="s">
        <v>361</v>
      </c>
      <c r="N226" s="345">
        <v>400</v>
      </c>
      <c r="O226" s="110" t="s">
        <v>771</v>
      </c>
    </row>
    <row r="227" spans="1:15" x14ac:dyDescent="0.2">
      <c r="A227" s="345" t="s">
        <v>197</v>
      </c>
      <c r="B227" s="345" t="s">
        <v>383</v>
      </c>
      <c r="C227" s="345" t="s">
        <v>780</v>
      </c>
      <c r="D227" s="345" t="s">
        <v>804</v>
      </c>
      <c r="E227" s="345" t="s">
        <v>606</v>
      </c>
      <c r="F227" s="110">
        <v>44329.285324074073</v>
      </c>
      <c r="G227" s="345" t="s">
        <v>384</v>
      </c>
      <c r="H227" s="345" t="s">
        <v>385</v>
      </c>
      <c r="I227" s="345" t="s">
        <v>386</v>
      </c>
      <c r="J227" s="345">
        <v>959.7</v>
      </c>
      <c r="K227" s="345">
        <v>959.7</v>
      </c>
      <c r="L227" s="345" t="s">
        <v>360</v>
      </c>
      <c r="M227" s="345" t="s">
        <v>361</v>
      </c>
      <c r="N227" s="345">
        <v>400</v>
      </c>
      <c r="O227" s="110" t="s">
        <v>771</v>
      </c>
    </row>
    <row r="228" spans="1:15" x14ac:dyDescent="0.2">
      <c r="A228" s="345" t="s">
        <v>199</v>
      </c>
      <c r="B228" s="345" t="s">
        <v>394</v>
      </c>
      <c r="C228" s="345" t="s">
        <v>805</v>
      </c>
      <c r="D228" s="345" t="s">
        <v>803</v>
      </c>
      <c r="E228" s="345" t="s">
        <v>200</v>
      </c>
      <c r="F228" s="110">
        <v>44329.331701388888</v>
      </c>
      <c r="G228" s="345" t="s">
        <v>806</v>
      </c>
      <c r="H228" s="345" t="s">
        <v>807</v>
      </c>
      <c r="I228" s="345" t="s">
        <v>808</v>
      </c>
      <c r="J228" s="345">
        <v>400</v>
      </c>
      <c r="K228" s="345">
        <v>400</v>
      </c>
      <c r="L228" s="345" t="s">
        <v>360</v>
      </c>
      <c r="M228" s="345" t="s">
        <v>361</v>
      </c>
      <c r="N228" s="345">
        <v>400</v>
      </c>
      <c r="O228" s="110" t="s">
        <v>771</v>
      </c>
    </row>
    <row r="229" spans="1:15" x14ac:dyDescent="0.2">
      <c r="A229" s="345" t="s">
        <v>201</v>
      </c>
      <c r="B229" s="345" t="s">
        <v>401</v>
      </c>
      <c r="C229" s="345" t="s">
        <v>781</v>
      </c>
      <c r="D229" s="345" t="s">
        <v>809</v>
      </c>
      <c r="E229" s="345" t="s">
        <v>202</v>
      </c>
      <c r="F229" s="110">
        <v>44329.241909722223</v>
      </c>
      <c r="G229" s="345" t="s">
        <v>403</v>
      </c>
      <c r="H229" s="345" t="s">
        <v>404</v>
      </c>
      <c r="I229" s="345" t="s">
        <v>405</v>
      </c>
      <c r="J229" s="345">
        <v>823.5</v>
      </c>
      <c r="K229" s="345">
        <v>823.5</v>
      </c>
      <c r="L229" s="345" t="s">
        <v>360</v>
      </c>
      <c r="M229" s="345" t="s">
        <v>361</v>
      </c>
      <c r="N229" s="345">
        <v>400</v>
      </c>
      <c r="O229" s="110" t="s">
        <v>771</v>
      </c>
    </row>
    <row r="230" spans="1:15" x14ac:dyDescent="0.2">
      <c r="A230" s="345" t="s">
        <v>203</v>
      </c>
      <c r="B230" s="345" t="s">
        <v>406</v>
      </c>
      <c r="C230" s="345" t="s">
        <v>782</v>
      </c>
      <c r="D230" s="345" t="s">
        <v>803</v>
      </c>
      <c r="E230" s="345" t="s">
        <v>204</v>
      </c>
      <c r="F230" s="110">
        <v>44329.248136574075</v>
      </c>
      <c r="G230" s="345" t="s">
        <v>407</v>
      </c>
      <c r="H230" s="345" t="s">
        <v>408</v>
      </c>
      <c r="I230" s="345" t="s">
        <v>409</v>
      </c>
      <c r="J230" s="345">
        <v>410.05</v>
      </c>
      <c r="K230" s="345">
        <v>410.05</v>
      </c>
      <c r="L230" s="345" t="s">
        <v>360</v>
      </c>
      <c r="M230" s="345" t="s">
        <v>361</v>
      </c>
      <c r="N230" s="345">
        <v>400</v>
      </c>
      <c r="O230" s="110" t="s">
        <v>771</v>
      </c>
    </row>
    <row r="231" spans="1:15" x14ac:dyDescent="0.2">
      <c r="A231" s="345" t="s">
        <v>205</v>
      </c>
      <c r="B231" s="345" t="s">
        <v>410</v>
      </c>
      <c r="C231" s="345" t="s">
        <v>783</v>
      </c>
      <c r="D231" s="345" t="s">
        <v>809</v>
      </c>
      <c r="E231" s="345" t="s">
        <v>206</v>
      </c>
      <c r="F231" s="110">
        <v>44329.249259259261</v>
      </c>
      <c r="G231" s="345" t="s">
        <v>590</v>
      </c>
      <c r="H231" s="345" t="s">
        <v>591</v>
      </c>
      <c r="I231" s="345" t="s">
        <v>810</v>
      </c>
      <c r="J231" s="345">
        <v>617.9</v>
      </c>
      <c r="K231" s="345">
        <v>617.9</v>
      </c>
      <c r="L231" s="345" t="s">
        <v>360</v>
      </c>
      <c r="M231" s="345" t="s">
        <v>361</v>
      </c>
      <c r="N231" s="345">
        <v>400</v>
      </c>
      <c r="O231" s="110" t="s">
        <v>771</v>
      </c>
    </row>
    <row r="232" spans="1:15" x14ac:dyDescent="0.2">
      <c r="A232" s="345" t="s">
        <v>207</v>
      </c>
      <c r="B232" s="345" t="s">
        <v>422</v>
      </c>
      <c r="C232" s="345" t="s">
        <v>784</v>
      </c>
      <c r="D232" s="345" t="s">
        <v>809</v>
      </c>
      <c r="E232" s="345" t="s">
        <v>208</v>
      </c>
      <c r="F232" s="110">
        <v>44329.254803240743</v>
      </c>
      <c r="G232" s="345" t="s">
        <v>592</v>
      </c>
      <c r="H232" s="345" t="s">
        <v>593</v>
      </c>
      <c r="I232" s="345" t="s">
        <v>811</v>
      </c>
      <c r="J232" s="345">
        <v>1207.4000000000001</v>
      </c>
      <c r="K232" s="345">
        <v>1207.4000000000001</v>
      </c>
      <c r="L232" s="345" t="s">
        <v>360</v>
      </c>
      <c r="M232" s="345" t="s">
        <v>361</v>
      </c>
      <c r="N232" s="345">
        <v>400</v>
      </c>
      <c r="O232" s="110" t="s">
        <v>771</v>
      </c>
    </row>
    <row r="233" spans="1:15" x14ac:dyDescent="0.2">
      <c r="A233" s="345" t="s">
        <v>209</v>
      </c>
      <c r="B233" s="345" t="s">
        <v>428</v>
      </c>
      <c r="C233" s="345" t="s">
        <v>787</v>
      </c>
      <c r="D233" s="345" t="s">
        <v>803</v>
      </c>
      <c r="E233" s="345" t="s">
        <v>210</v>
      </c>
      <c r="F233" s="110">
        <v>44329.208854166667</v>
      </c>
      <c r="G233" s="345" t="s">
        <v>429</v>
      </c>
      <c r="H233" s="345" t="s">
        <v>430</v>
      </c>
      <c r="I233" s="345" t="s">
        <v>431</v>
      </c>
      <c r="J233" s="345">
        <v>1433.8</v>
      </c>
      <c r="K233" s="345">
        <v>1434.2</v>
      </c>
      <c r="L233" s="345" t="s">
        <v>360</v>
      </c>
      <c r="M233" s="345" t="s">
        <v>361</v>
      </c>
      <c r="N233" s="345">
        <v>400</v>
      </c>
      <c r="O233" s="110" t="s">
        <v>771</v>
      </c>
    </row>
    <row r="234" spans="1:15" x14ac:dyDescent="0.2">
      <c r="A234" s="345" t="s">
        <v>182</v>
      </c>
      <c r="B234" s="345" t="s">
        <v>432</v>
      </c>
      <c r="C234" s="345" t="s">
        <v>788</v>
      </c>
      <c r="D234" s="345" t="s">
        <v>803</v>
      </c>
      <c r="E234" s="345" t="s">
        <v>211</v>
      </c>
      <c r="F234" s="110">
        <v>44329.354398148149</v>
      </c>
      <c r="G234" s="345" t="s">
        <v>433</v>
      </c>
      <c r="H234" s="345" t="s">
        <v>434</v>
      </c>
      <c r="I234" s="345" t="s">
        <v>435</v>
      </c>
      <c r="J234" s="345">
        <v>642.35</v>
      </c>
      <c r="K234" s="345">
        <v>642.29999999999995</v>
      </c>
      <c r="L234" s="345" t="s">
        <v>360</v>
      </c>
      <c r="M234" s="345" t="s">
        <v>361</v>
      </c>
      <c r="N234" s="345">
        <v>400</v>
      </c>
      <c r="O234" s="110" t="s">
        <v>771</v>
      </c>
    </row>
    <row r="235" spans="1:15" x14ac:dyDescent="0.2">
      <c r="A235" s="345" t="s">
        <v>212</v>
      </c>
      <c r="B235" s="345" t="s">
        <v>443</v>
      </c>
      <c r="C235" s="345" t="s">
        <v>789</v>
      </c>
      <c r="D235" s="345" t="s">
        <v>803</v>
      </c>
      <c r="E235" s="345" t="s">
        <v>213</v>
      </c>
      <c r="F235" s="110">
        <v>44329.206585648149</v>
      </c>
      <c r="G235" s="345" t="s">
        <v>444</v>
      </c>
      <c r="H235" s="345" t="s">
        <v>445</v>
      </c>
      <c r="I235" s="345" t="s">
        <v>446</v>
      </c>
      <c r="J235" s="345">
        <v>674.95</v>
      </c>
      <c r="K235" s="345">
        <v>676.95</v>
      </c>
      <c r="L235" s="345" t="s">
        <v>360</v>
      </c>
      <c r="M235" s="345" t="s">
        <v>361</v>
      </c>
      <c r="N235" s="345">
        <v>400</v>
      </c>
      <c r="O235" s="110" t="s">
        <v>771</v>
      </c>
    </row>
    <row r="236" spans="1:15" x14ac:dyDescent="0.2">
      <c r="A236" s="345" t="s">
        <v>214</v>
      </c>
      <c r="B236" s="345" t="s">
        <v>450</v>
      </c>
      <c r="C236" s="345" t="s">
        <v>790</v>
      </c>
      <c r="D236" s="345" t="s">
        <v>809</v>
      </c>
      <c r="E236" s="345" t="s">
        <v>215</v>
      </c>
      <c r="F236" s="110">
        <v>44329.209317129629</v>
      </c>
      <c r="G236" s="345" t="s">
        <v>451</v>
      </c>
      <c r="H236" s="345" t="s">
        <v>452</v>
      </c>
      <c r="I236" s="345" t="s">
        <v>453</v>
      </c>
      <c r="J236" s="345">
        <v>1061.3</v>
      </c>
      <c r="K236" s="345">
        <v>1069.3</v>
      </c>
      <c r="L236" s="345" t="s">
        <v>360</v>
      </c>
      <c r="M236" s="345" t="s">
        <v>361</v>
      </c>
      <c r="N236" s="345">
        <v>400</v>
      </c>
      <c r="O236" s="110" t="s">
        <v>771</v>
      </c>
    </row>
    <row r="237" spans="1:15" x14ac:dyDescent="0.2">
      <c r="A237" s="345" t="s">
        <v>160</v>
      </c>
      <c r="B237" s="345" t="s">
        <v>456</v>
      </c>
      <c r="C237" s="345" t="s">
        <v>791</v>
      </c>
      <c r="D237" s="345" t="s">
        <v>809</v>
      </c>
      <c r="E237" s="345" t="s">
        <v>216</v>
      </c>
      <c r="F237" s="110">
        <v>44329.202962962961</v>
      </c>
      <c r="G237" s="345" t="s">
        <v>460</v>
      </c>
      <c r="H237" s="345" t="s">
        <v>461</v>
      </c>
      <c r="I237" s="345" t="s">
        <v>462</v>
      </c>
      <c r="J237" s="345">
        <v>1476.35</v>
      </c>
      <c r="K237" s="345">
        <v>1475.8</v>
      </c>
      <c r="L237" s="345" t="s">
        <v>360</v>
      </c>
      <c r="M237" s="345" t="s">
        <v>361</v>
      </c>
      <c r="N237" s="345">
        <v>400</v>
      </c>
      <c r="O237" s="110" t="s">
        <v>771</v>
      </c>
    </row>
    <row r="238" spans="1:15" x14ac:dyDescent="0.2">
      <c r="A238" s="345" t="s">
        <v>217</v>
      </c>
      <c r="B238" s="345" t="s">
        <v>469</v>
      </c>
      <c r="C238" s="345" t="s">
        <v>792</v>
      </c>
      <c r="D238" s="345" t="s">
        <v>803</v>
      </c>
      <c r="E238" s="345" t="s">
        <v>218</v>
      </c>
      <c r="F238" s="110">
        <v>44329.30741898148</v>
      </c>
      <c r="G238" s="345" t="s">
        <v>473</v>
      </c>
      <c r="H238" s="345" t="s">
        <v>474</v>
      </c>
      <c r="I238" s="345" t="s">
        <v>475</v>
      </c>
      <c r="J238" s="345">
        <v>818.15</v>
      </c>
      <c r="K238" s="345">
        <v>818.3</v>
      </c>
      <c r="L238" s="345" t="s">
        <v>360</v>
      </c>
      <c r="M238" s="345" t="s">
        <v>361</v>
      </c>
      <c r="N238" s="345">
        <v>400</v>
      </c>
      <c r="O238" s="110" t="s">
        <v>771</v>
      </c>
    </row>
    <row r="239" spans="1:15" x14ac:dyDescent="0.2">
      <c r="A239" s="345" t="s">
        <v>186</v>
      </c>
      <c r="B239" s="345" t="s">
        <v>481</v>
      </c>
      <c r="C239" s="345" t="s">
        <v>793</v>
      </c>
      <c r="D239" s="345" t="s">
        <v>803</v>
      </c>
      <c r="E239" s="345" t="s">
        <v>219</v>
      </c>
      <c r="F239" s="110">
        <v>44329.204918981479</v>
      </c>
      <c r="G239" s="345" t="s">
        <v>188</v>
      </c>
      <c r="H239" s="345" t="s">
        <v>482</v>
      </c>
      <c r="I239" s="345" t="s">
        <v>483</v>
      </c>
      <c r="J239" s="345">
        <v>701.85</v>
      </c>
      <c r="K239" s="345">
        <v>701.5</v>
      </c>
      <c r="L239" s="345" t="s">
        <v>360</v>
      </c>
      <c r="M239" s="345" t="s">
        <v>361</v>
      </c>
      <c r="N239" s="345">
        <v>400</v>
      </c>
      <c r="O239" s="110" t="s">
        <v>771</v>
      </c>
    </row>
    <row r="240" spans="1:15" x14ac:dyDescent="0.2">
      <c r="A240" s="345" t="s">
        <v>220</v>
      </c>
      <c r="B240" s="345" t="s">
        <v>490</v>
      </c>
      <c r="C240" s="345" t="s">
        <v>794</v>
      </c>
      <c r="D240" s="345" t="s">
        <v>803</v>
      </c>
      <c r="E240" s="345" t="s">
        <v>221</v>
      </c>
      <c r="F240" s="110">
        <v>44329.202326388891</v>
      </c>
      <c r="G240" s="345" t="s">
        <v>491</v>
      </c>
      <c r="H240" s="345" t="s">
        <v>492</v>
      </c>
      <c r="I240" s="345" t="s">
        <v>493</v>
      </c>
      <c r="J240" s="345">
        <v>1016.95</v>
      </c>
      <c r="K240" s="345">
        <v>1031.8499999999999</v>
      </c>
      <c r="L240" s="345" t="s">
        <v>360</v>
      </c>
      <c r="M240" s="345" t="s">
        <v>361</v>
      </c>
      <c r="N240" s="345">
        <v>400</v>
      </c>
      <c r="O240" s="110" t="s">
        <v>771</v>
      </c>
    </row>
    <row r="241" spans="1:15" x14ac:dyDescent="0.2">
      <c r="A241" s="345" t="s">
        <v>222</v>
      </c>
      <c r="B241" s="345" t="s">
        <v>497</v>
      </c>
      <c r="C241" s="345" t="s">
        <v>795</v>
      </c>
      <c r="D241" s="345" t="s">
        <v>803</v>
      </c>
      <c r="E241" s="345" t="s">
        <v>223</v>
      </c>
      <c r="F241" s="110">
        <v>44329.292754629627</v>
      </c>
      <c r="G241" s="345" t="s">
        <v>498</v>
      </c>
      <c r="H241" s="345" t="s">
        <v>499</v>
      </c>
      <c r="I241" s="345" t="s">
        <v>500</v>
      </c>
      <c r="J241" s="345">
        <v>883.7</v>
      </c>
      <c r="K241" s="345">
        <v>885.6</v>
      </c>
      <c r="L241" s="345" t="s">
        <v>360</v>
      </c>
      <c r="M241" s="345" t="s">
        <v>361</v>
      </c>
      <c r="N241" s="345">
        <v>400</v>
      </c>
      <c r="O241" s="110" t="s">
        <v>771</v>
      </c>
    </row>
    <row r="242" spans="1:15" x14ac:dyDescent="0.2">
      <c r="A242" s="345" t="s">
        <v>224</v>
      </c>
      <c r="B242" s="345" t="s">
        <v>507</v>
      </c>
      <c r="C242" s="345" t="s">
        <v>796</v>
      </c>
      <c r="D242" s="345" t="s">
        <v>812</v>
      </c>
      <c r="E242" s="345" t="s">
        <v>225</v>
      </c>
      <c r="F242" s="110">
        <v>44329.576006944444</v>
      </c>
      <c r="G242" s="345" t="s">
        <v>510</v>
      </c>
      <c r="H242" s="345" t="s">
        <v>511</v>
      </c>
      <c r="I242" s="345" t="s">
        <v>512</v>
      </c>
      <c r="J242" s="345">
        <v>508</v>
      </c>
      <c r="K242" s="345">
        <v>508</v>
      </c>
      <c r="L242" s="345" t="s">
        <v>360</v>
      </c>
      <c r="M242" s="345" t="s">
        <v>361</v>
      </c>
      <c r="N242" s="345">
        <v>400</v>
      </c>
      <c r="O242" s="110" t="s">
        <v>771</v>
      </c>
    </row>
    <row r="243" spans="1:15" x14ac:dyDescent="0.2">
      <c r="A243" s="345" t="s">
        <v>226</v>
      </c>
      <c r="B243" s="345" t="s">
        <v>522</v>
      </c>
      <c r="C243" s="345" t="s">
        <v>797</v>
      </c>
      <c r="D243" s="345" t="s">
        <v>809</v>
      </c>
      <c r="E243" s="345" t="s">
        <v>227</v>
      </c>
      <c r="F243" s="110">
        <v>44329.178194444445</v>
      </c>
      <c r="G243" s="345" t="s">
        <v>813</v>
      </c>
      <c r="H243" s="345" t="s">
        <v>814</v>
      </c>
      <c r="I243" s="345" t="s">
        <v>815</v>
      </c>
      <c r="J243" s="345">
        <v>863.85</v>
      </c>
      <c r="K243" s="345">
        <v>863.85</v>
      </c>
      <c r="L243" s="345" t="s">
        <v>360</v>
      </c>
      <c r="M243" s="345" t="s">
        <v>361</v>
      </c>
      <c r="N243" s="345">
        <v>400</v>
      </c>
      <c r="O243" s="110" t="s">
        <v>771</v>
      </c>
    </row>
    <row r="244" spans="1:15" x14ac:dyDescent="0.2">
      <c r="A244" s="345" t="s">
        <v>228</v>
      </c>
      <c r="B244" s="345" t="s">
        <v>528</v>
      </c>
      <c r="C244" s="345" t="s">
        <v>798</v>
      </c>
      <c r="D244" s="345" t="s">
        <v>809</v>
      </c>
      <c r="E244" s="345" t="s">
        <v>229</v>
      </c>
      <c r="F244" s="110">
        <v>44329.204907407409</v>
      </c>
      <c r="G244" s="345" t="s">
        <v>529</v>
      </c>
      <c r="H244" s="345" t="s">
        <v>530</v>
      </c>
      <c r="I244" s="345" t="s">
        <v>531</v>
      </c>
      <c r="J244" s="345">
        <v>1224.55</v>
      </c>
      <c r="K244" s="345">
        <v>1224.95</v>
      </c>
      <c r="L244" s="345" t="s">
        <v>360</v>
      </c>
      <c r="M244" s="345" t="s">
        <v>361</v>
      </c>
      <c r="N244" s="345">
        <v>400</v>
      </c>
      <c r="O244" s="110" t="s">
        <v>771</v>
      </c>
    </row>
    <row r="245" spans="1:15" x14ac:dyDescent="0.2">
      <c r="A245" s="345" t="s">
        <v>231</v>
      </c>
      <c r="B245" s="345" t="s">
        <v>536</v>
      </c>
      <c r="C245" s="345" t="s">
        <v>799</v>
      </c>
      <c r="D245" s="345" t="s">
        <v>809</v>
      </c>
      <c r="E245" s="345" t="s">
        <v>232</v>
      </c>
      <c r="F245" s="110">
        <v>44329.295081018521</v>
      </c>
      <c r="G245" s="345" t="s">
        <v>542</v>
      </c>
      <c r="H245" s="345" t="s">
        <v>543</v>
      </c>
      <c r="I245" s="345" t="s">
        <v>544</v>
      </c>
      <c r="J245" s="345">
        <v>787.3</v>
      </c>
      <c r="K245" s="345">
        <v>788.35</v>
      </c>
      <c r="L245" s="345" t="s">
        <v>360</v>
      </c>
      <c r="M245" s="345" t="s">
        <v>361</v>
      </c>
      <c r="N245" s="345">
        <v>400</v>
      </c>
      <c r="O245" s="110" t="s">
        <v>771</v>
      </c>
    </row>
    <row r="246" spans="1:15" x14ac:dyDescent="0.2">
      <c r="A246" s="345" t="s">
        <v>233</v>
      </c>
      <c r="B246" s="345" t="s">
        <v>545</v>
      </c>
      <c r="C246" s="345" t="s">
        <v>800</v>
      </c>
      <c r="D246" s="345" t="s">
        <v>809</v>
      </c>
      <c r="E246" s="345" t="s">
        <v>234</v>
      </c>
      <c r="F246" s="110">
        <v>44329.320289351854</v>
      </c>
      <c r="G246" s="345" t="s">
        <v>537</v>
      </c>
      <c r="H246" s="345" t="s">
        <v>538</v>
      </c>
      <c r="I246" s="345" t="s">
        <v>539</v>
      </c>
      <c r="J246" s="345">
        <v>543.04999999999995</v>
      </c>
      <c r="K246" s="345">
        <v>543.04999999999995</v>
      </c>
      <c r="L246" s="345" t="s">
        <v>360</v>
      </c>
      <c r="M246" s="345" t="s">
        <v>361</v>
      </c>
      <c r="N246" s="345">
        <v>400</v>
      </c>
      <c r="O246" s="110" t="s">
        <v>771</v>
      </c>
    </row>
    <row r="247" spans="1:15" x14ac:dyDescent="0.2">
      <c r="A247" s="345" t="s">
        <v>163</v>
      </c>
      <c r="B247" s="345" t="s">
        <v>560</v>
      </c>
      <c r="C247" s="345" t="s">
        <v>750</v>
      </c>
      <c r="D247" s="345" t="s">
        <v>816</v>
      </c>
      <c r="E247" s="345" t="s">
        <v>235</v>
      </c>
      <c r="F247" s="110">
        <v>44328.23578703704</v>
      </c>
      <c r="G247" s="345" t="s">
        <v>817</v>
      </c>
      <c r="H247" s="345" t="s">
        <v>818</v>
      </c>
      <c r="I247" s="345" t="s">
        <v>819</v>
      </c>
      <c r="J247" s="345">
        <v>1987.4</v>
      </c>
      <c r="K247" s="345">
        <v>1992.6</v>
      </c>
      <c r="L247" s="345" t="s">
        <v>360</v>
      </c>
      <c r="M247" s="345" t="s">
        <v>361</v>
      </c>
      <c r="N247" s="345">
        <v>0</v>
      </c>
      <c r="O247" s="110" t="s">
        <v>771</v>
      </c>
    </row>
    <row r="248" spans="1:15" x14ac:dyDescent="0.2">
      <c r="A248" s="345" t="s">
        <v>236</v>
      </c>
      <c r="B248" s="345" t="s">
        <v>572</v>
      </c>
      <c r="C248" s="345" t="s">
        <v>802</v>
      </c>
      <c r="D248" s="345" t="s">
        <v>803</v>
      </c>
      <c r="E248" s="345" t="s">
        <v>237</v>
      </c>
      <c r="F248" s="110">
        <v>44329.335150462961</v>
      </c>
      <c r="G248" s="345" t="s">
        <v>573</v>
      </c>
      <c r="H248" s="345" t="s">
        <v>574</v>
      </c>
      <c r="I248" s="345" t="s">
        <v>575</v>
      </c>
      <c r="J248" s="345">
        <v>554.65</v>
      </c>
      <c r="K248" s="345">
        <v>554.65</v>
      </c>
      <c r="L248" s="345" t="s">
        <v>360</v>
      </c>
      <c r="M248" s="345" t="s">
        <v>361</v>
      </c>
      <c r="N248" s="345">
        <v>400</v>
      </c>
      <c r="O248" s="110" t="s">
        <v>771</v>
      </c>
    </row>
    <row r="1022" spans="1:15" x14ac:dyDescent="0.2">
      <c r="A1022" s="344"/>
      <c r="B1022" s="344"/>
      <c r="C1022" s="344"/>
      <c r="D1022" s="344"/>
      <c r="E1022" s="344"/>
      <c r="F1022" s="346"/>
      <c r="G1022" s="344"/>
      <c r="H1022" s="344"/>
      <c r="I1022" s="344"/>
      <c r="J1022" s="344"/>
      <c r="K1022" s="344"/>
      <c r="L1022" s="344"/>
      <c r="M1022" s="344"/>
      <c r="N1022" s="344"/>
      <c r="O1022" s="34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1AF6-DEBD-4F51-A7CC-5FC90AC5A938}">
  <sheetPr codeName="Sheet3">
    <tabColor theme="8" tint="0.39997558519241921"/>
  </sheetPr>
  <dimension ref="A1:G29"/>
  <sheetViews>
    <sheetView workbookViewId="0">
      <selection activeCell="G23" sqref="G23"/>
    </sheetView>
  </sheetViews>
  <sheetFormatPr defaultRowHeight="12.75" x14ac:dyDescent="0.2"/>
  <cols>
    <col min="1" max="1" width="10.85546875" bestFit="1" customWidth="1"/>
    <col min="2" max="2" width="23.7109375" bestFit="1" customWidth="1"/>
    <col min="3" max="3" width="18.85546875" bestFit="1" customWidth="1"/>
    <col min="4" max="4" width="14.5703125" bestFit="1" customWidth="1"/>
    <col min="5" max="5" width="16.28515625" style="242" bestFit="1" customWidth="1"/>
    <col min="6" max="6" width="16.85546875" style="336" bestFit="1" customWidth="1"/>
    <col min="7" max="7" width="34.42578125" style="242" bestFit="1" customWidth="1"/>
  </cols>
  <sheetData>
    <row r="1" spans="1:7" x14ac:dyDescent="0.2">
      <c r="A1" s="164" t="s">
        <v>148</v>
      </c>
      <c r="B1" s="234">
        <v>44329</v>
      </c>
    </row>
    <row r="2" spans="1:7" x14ac:dyDescent="0.2">
      <c r="A2" s="164" t="s">
        <v>147</v>
      </c>
      <c r="B2" s="234">
        <f ca="1">NOW()-1</f>
        <v>44329.464303819441</v>
      </c>
    </row>
    <row r="4" spans="1:7" x14ac:dyDescent="0.2">
      <c r="A4" s="1" t="s">
        <v>78</v>
      </c>
      <c r="B4" s="1" t="s">
        <v>170</v>
      </c>
      <c r="C4" s="1" t="s">
        <v>168</v>
      </c>
      <c r="D4" s="1" t="s">
        <v>190</v>
      </c>
      <c r="E4" s="241" t="s">
        <v>179</v>
      </c>
      <c r="F4" s="337" t="s">
        <v>191</v>
      </c>
      <c r="G4" s="241" t="s">
        <v>602</v>
      </c>
    </row>
    <row r="5" spans="1:7" x14ac:dyDescent="0.2">
      <c r="A5" t="s">
        <v>352</v>
      </c>
      <c r="B5" t="s">
        <v>356</v>
      </c>
      <c r="C5" t="s">
        <v>777</v>
      </c>
      <c r="D5" t="s">
        <v>192</v>
      </c>
      <c r="E5" s="242">
        <v>400</v>
      </c>
      <c r="F5" s="336">
        <v>44329.374444444446</v>
      </c>
      <c r="G5" s="242">
        <v>59.4</v>
      </c>
    </row>
    <row r="6" spans="1:7" x14ac:dyDescent="0.2">
      <c r="A6" t="s">
        <v>193</v>
      </c>
      <c r="B6" t="s">
        <v>194</v>
      </c>
      <c r="C6" t="s">
        <v>778</v>
      </c>
      <c r="D6" t="s">
        <v>192</v>
      </c>
      <c r="E6" s="242">
        <v>400</v>
      </c>
      <c r="F6" s="336">
        <v>44329.372847222221</v>
      </c>
      <c r="G6" s="242">
        <v>157.4</v>
      </c>
    </row>
    <row r="7" spans="1:7" x14ac:dyDescent="0.2">
      <c r="A7" t="s">
        <v>195</v>
      </c>
      <c r="B7" t="s">
        <v>196</v>
      </c>
      <c r="C7" t="s">
        <v>779</v>
      </c>
      <c r="D7" t="s">
        <v>192</v>
      </c>
      <c r="E7" s="242">
        <v>400</v>
      </c>
      <c r="F7" s="336">
        <v>44329.289097222223</v>
      </c>
      <c r="G7" s="242">
        <v>163.9</v>
      </c>
    </row>
    <row r="8" spans="1:7" x14ac:dyDescent="0.2">
      <c r="A8" t="s">
        <v>197</v>
      </c>
      <c r="B8" t="s">
        <v>606</v>
      </c>
      <c r="C8" t="s">
        <v>780</v>
      </c>
      <c r="D8" t="s">
        <v>192</v>
      </c>
      <c r="E8" s="242">
        <v>400</v>
      </c>
      <c r="F8" s="336">
        <v>44329.285324074073</v>
      </c>
      <c r="G8" s="242">
        <v>559.70000000000005</v>
      </c>
    </row>
    <row r="9" spans="1:7" x14ac:dyDescent="0.2">
      <c r="A9" t="s">
        <v>201</v>
      </c>
      <c r="B9" t="s">
        <v>202</v>
      </c>
      <c r="C9" t="s">
        <v>781</v>
      </c>
      <c r="D9" t="s">
        <v>192</v>
      </c>
      <c r="E9" s="242">
        <v>400</v>
      </c>
      <c r="F9" s="336">
        <v>44329.241909722223</v>
      </c>
      <c r="G9" s="242">
        <v>423.5</v>
      </c>
    </row>
    <row r="10" spans="1:7" x14ac:dyDescent="0.2">
      <c r="A10" t="s">
        <v>203</v>
      </c>
      <c r="B10" t="s">
        <v>204</v>
      </c>
      <c r="C10" t="s">
        <v>782</v>
      </c>
      <c r="D10" t="s">
        <v>192</v>
      </c>
      <c r="E10" s="242">
        <v>400</v>
      </c>
      <c r="F10" s="336">
        <v>44329.248136574075</v>
      </c>
      <c r="G10" s="242">
        <v>10.050000000000001</v>
      </c>
    </row>
    <row r="11" spans="1:7" x14ac:dyDescent="0.2">
      <c r="A11" t="s">
        <v>205</v>
      </c>
      <c r="B11" t="s">
        <v>206</v>
      </c>
      <c r="C11" t="s">
        <v>783</v>
      </c>
      <c r="D11" t="s">
        <v>192</v>
      </c>
      <c r="E11" s="242">
        <v>400</v>
      </c>
      <c r="F11" s="336">
        <v>44329.249259259261</v>
      </c>
      <c r="G11" s="242">
        <v>217.9</v>
      </c>
    </row>
    <row r="12" spans="1:7" x14ac:dyDescent="0.2">
      <c r="A12" t="s">
        <v>207</v>
      </c>
      <c r="B12" t="s">
        <v>208</v>
      </c>
      <c r="C12" t="s">
        <v>784</v>
      </c>
      <c r="D12" t="s">
        <v>192</v>
      </c>
      <c r="E12" s="242">
        <v>400</v>
      </c>
      <c r="F12" s="336">
        <v>44329.254803240743</v>
      </c>
      <c r="G12" s="242">
        <v>807.4</v>
      </c>
    </row>
    <row r="13" spans="1:7" x14ac:dyDescent="0.2">
      <c r="A13" t="s">
        <v>207</v>
      </c>
      <c r="B13" t="s">
        <v>785</v>
      </c>
      <c r="C13" t="s">
        <v>786</v>
      </c>
      <c r="D13" t="s">
        <v>192</v>
      </c>
      <c r="E13" s="242">
        <v>0</v>
      </c>
      <c r="F13" s="336">
        <v>44329.254050925927</v>
      </c>
      <c r="G13" s="242">
        <v>0</v>
      </c>
    </row>
    <row r="14" spans="1:7" x14ac:dyDescent="0.2">
      <c r="A14" t="s">
        <v>209</v>
      </c>
      <c r="B14" t="s">
        <v>210</v>
      </c>
      <c r="C14" t="s">
        <v>787</v>
      </c>
      <c r="D14" t="s">
        <v>192</v>
      </c>
      <c r="E14" s="242">
        <v>400</v>
      </c>
      <c r="F14" s="336">
        <v>44329.208854166667</v>
      </c>
      <c r="G14" s="242">
        <v>1034.2</v>
      </c>
    </row>
    <row r="15" spans="1:7" x14ac:dyDescent="0.2">
      <c r="A15" t="s">
        <v>182</v>
      </c>
      <c r="B15" t="s">
        <v>211</v>
      </c>
      <c r="C15" t="s">
        <v>788</v>
      </c>
      <c r="D15" t="s">
        <v>192</v>
      </c>
      <c r="E15" s="242">
        <v>400</v>
      </c>
      <c r="F15" s="336">
        <v>44329.354398148149</v>
      </c>
      <c r="G15" s="242">
        <v>242.3</v>
      </c>
    </row>
    <row r="16" spans="1:7" x14ac:dyDescent="0.2">
      <c r="A16" t="s">
        <v>212</v>
      </c>
      <c r="B16" t="s">
        <v>213</v>
      </c>
      <c r="C16" t="s">
        <v>789</v>
      </c>
      <c r="D16" t="s">
        <v>192</v>
      </c>
      <c r="E16" s="242">
        <v>400</v>
      </c>
      <c r="F16" s="336">
        <v>44329.206585648149</v>
      </c>
      <c r="G16" s="242">
        <v>276.25</v>
      </c>
    </row>
    <row r="17" spans="1:7" x14ac:dyDescent="0.2">
      <c r="A17" t="s">
        <v>214</v>
      </c>
      <c r="B17" t="s">
        <v>215</v>
      </c>
      <c r="C17" t="s">
        <v>790</v>
      </c>
      <c r="D17" t="s">
        <v>192</v>
      </c>
      <c r="E17" s="242">
        <v>400</v>
      </c>
      <c r="F17" s="336">
        <v>44329.209317129629</v>
      </c>
      <c r="G17" s="242">
        <v>669.3</v>
      </c>
    </row>
    <row r="18" spans="1:7" x14ac:dyDescent="0.2">
      <c r="A18" t="s">
        <v>160</v>
      </c>
      <c r="B18" t="s">
        <v>216</v>
      </c>
      <c r="C18" t="s">
        <v>791</v>
      </c>
      <c r="D18" t="s">
        <v>192</v>
      </c>
      <c r="E18" s="242">
        <v>400</v>
      </c>
      <c r="F18" s="336">
        <v>44329.202962962961</v>
      </c>
      <c r="G18" s="242">
        <v>1075.8</v>
      </c>
    </row>
    <row r="19" spans="1:7" x14ac:dyDescent="0.2">
      <c r="A19" t="s">
        <v>217</v>
      </c>
      <c r="B19" t="s">
        <v>218</v>
      </c>
      <c r="C19" t="s">
        <v>792</v>
      </c>
      <c r="D19" t="s">
        <v>192</v>
      </c>
      <c r="E19" s="242">
        <v>400</v>
      </c>
      <c r="F19" s="336">
        <v>44329.30741898148</v>
      </c>
      <c r="G19" s="242">
        <v>418.3</v>
      </c>
    </row>
    <row r="20" spans="1:7" x14ac:dyDescent="0.2">
      <c r="A20" t="s">
        <v>186</v>
      </c>
      <c r="B20" t="s">
        <v>219</v>
      </c>
      <c r="C20" t="s">
        <v>793</v>
      </c>
      <c r="D20" t="s">
        <v>192</v>
      </c>
      <c r="E20" s="242">
        <v>400</v>
      </c>
      <c r="F20" s="336">
        <v>44329.204918981479</v>
      </c>
      <c r="G20" s="242">
        <v>301.5</v>
      </c>
    </row>
    <row r="21" spans="1:7" x14ac:dyDescent="0.2">
      <c r="A21" t="s">
        <v>220</v>
      </c>
      <c r="B21" t="s">
        <v>221</v>
      </c>
      <c r="C21" t="s">
        <v>794</v>
      </c>
      <c r="D21" t="s">
        <v>192</v>
      </c>
      <c r="E21" s="242">
        <v>400</v>
      </c>
      <c r="F21" s="336">
        <v>44329.202326388891</v>
      </c>
      <c r="G21" s="242">
        <v>631.85</v>
      </c>
    </row>
    <row r="22" spans="1:7" x14ac:dyDescent="0.2">
      <c r="A22" t="s">
        <v>222</v>
      </c>
      <c r="B22" t="s">
        <v>223</v>
      </c>
      <c r="C22" t="s">
        <v>795</v>
      </c>
      <c r="D22" t="s">
        <v>192</v>
      </c>
      <c r="E22" s="242">
        <v>400</v>
      </c>
      <c r="F22" s="336">
        <v>44329.292754629627</v>
      </c>
      <c r="G22" s="242">
        <v>485.6</v>
      </c>
    </row>
    <row r="23" spans="1:7" x14ac:dyDescent="0.2">
      <c r="A23" t="s">
        <v>224</v>
      </c>
      <c r="B23" t="s">
        <v>225</v>
      </c>
      <c r="C23" t="s">
        <v>796</v>
      </c>
      <c r="D23" t="s">
        <v>192</v>
      </c>
      <c r="E23" s="242">
        <v>400</v>
      </c>
      <c r="F23" s="336">
        <v>44329.576006944444</v>
      </c>
      <c r="G23" s="369">
        <v>108</v>
      </c>
    </row>
    <row r="24" spans="1:7" x14ac:dyDescent="0.2">
      <c r="A24" t="s">
        <v>226</v>
      </c>
      <c r="B24" t="s">
        <v>227</v>
      </c>
      <c r="C24" t="s">
        <v>797</v>
      </c>
      <c r="D24" t="s">
        <v>192</v>
      </c>
      <c r="E24" s="242">
        <v>400</v>
      </c>
      <c r="F24" s="336">
        <v>44329.178194444445</v>
      </c>
      <c r="G24" s="242">
        <v>463.85</v>
      </c>
    </row>
    <row r="25" spans="1:7" x14ac:dyDescent="0.2">
      <c r="A25" t="s">
        <v>228</v>
      </c>
      <c r="B25" t="s">
        <v>229</v>
      </c>
      <c r="C25" t="s">
        <v>798</v>
      </c>
      <c r="D25" t="s">
        <v>192</v>
      </c>
      <c r="E25" s="242">
        <v>400</v>
      </c>
      <c r="F25" s="336">
        <v>44329.204907407409</v>
      </c>
      <c r="G25" s="242">
        <v>824.95</v>
      </c>
    </row>
    <row r="26" spans="1:7" x14ac:dyDescent="0.2">
      <c r="A26" t="s">
        <v>231</v>
      </c>
      <c r="B26" t="s">
        <v>232</v>
      </c>
      <c r="C26" t="s">
        <v>799</v>
      </c>
      <c r="D26" t="s">
        <v>192</v>
      </c>
      <c r="E26" s="242">
        <v>400</v>
      </c>
      <c r="F26" s="336">
        <v>44329.295081018521</v>
      </c>
      <c r="G26" s="242">
        <v>389.4</v>
      </c>
    </row>
    <row r="27" spans="1:7" x14ac:dyDescent="0.2">
      <c r="A27" t="s">
        <v>233</v>
      </c>
      <c r="B27" t="s">
        <v>234</v>
      </c>
      <c r="C27" t="s">
        <v>800</v>
      </c>
      <c r="D27" t="s">
        <v>192</v>
      </c>
      <c r="E27" s="242">
        <v>400</v>
      </c>
      <c r="F27" s="336">
        <v>44329.320289351854</v>
      </c>
      <c r="G27" s="242">
        <v>143.05000000000001</v>
      </c>
    </row>
    <row r="28" spans="1:7" x14ac:dyDescent="0.2">
      <c r="A28" t="s">
        <v>163</v>
      </c>
      <c r="B28" t="s">
        <v>235</v>
      </c>
      <c r="C28" t="s">
        <v>801</v>
      </c>
      <c r="D28" t="s">
        <v>192</v>
      </c>
      <c r="E28" s="242">
        <v>0</v>
      </c>
      <c r="F28" s="336">
        <v>44329.208391203705</v>
      </c>
      <c r="G28" s="242">
        <v>2093.75</v>
      </c>
    </row>
    <row r="29" spans="1:7" x14ac:dyDescent="0.2">
      <c r="A29" t="s">
        <v>236</v>
      </c>
      <c r="B29" t="s">
        <v>237</v>
      </c>
      <c r="C29" t="s">
        <v>802</v>
      </c>
      <c r="D29" t="s">
        <v>192</v>
      </c>
      <c r="E29" s="242">
        <v>400</v>
      </c>
      <c r="F29" s="336">
        <v>44329.335150462961</v>
      </c>
      <c r="G29" s="242">
        <v>154.65</v>
      </c>
    </row>
  </sheetData>
  <conditionalFormatting sqref="D1:D1048576">
    <cfRule type="expression" dxfId="381" priority="1">
      <formula>D1="N"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DrawerOverview">
                <anchor>
                  <from>
                    <xdr:col>2</xdr:col>
                    <xdr:colOff>276225</xdr:colOff>
                    <xdr:row>0</xdr:row>
                    <xdr:rowOff>57150</xdr:rowOff>
                  </from>
                  <to>
                    <xdr:col>3</xdr:col>
                    <xdr:colOff>85725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8" tint="0.39997558519241921"/>
  </sheetPr>
  <dimension ref="A1:P63"/>
  <sheetViews>
    <sheetView zoomScale="115" zoomScaleNormal="115" workbookViewId="0">
      <selection activeCell="K17" sqref="K17"/>
    </sheetView>
  </sheetViews>
  <sheetFormatPr defaultColWidth="9.140625" defaultRowHeight="12.75" x14ac:dyDescent="0.2"/>
  <cols>
    <col min="1" max="1" width="5.140625" style="160" customWidth="1"/>
    <col min="2" max="2" width="6.42578125" style="200" customWidth="1"/>
    <col min="3" max="3" width="11.42578125" style="160" customWidth="1"/>
    <col min="4" max="4" width="12.28515625" style="160" customWidth="1"/>
    <col min="5" max="5" width="13.85546875" style="160" bestFit="1" customWidth="1"/>
    <col min="6" max="6" width="14.85546875" style="160" customWidth="1"/>
    <col min="7" max="16384" width="9.140625" style="160"/>
  </cols>
  <sheetData>
    <row r="1" spans="1:16" x14ac:dyDescent="0.2">
      <c r="A1" s="50" t="s">
        <v>17</v>
      </c>
      <c r="B1" s="129"/>
      <c r="C1" s="164" t="s">
        <v>148</v>
      </c>
      <c r="D1" s="234">
        <f>'Drawer Overview'!B1</f>
        <v>44329</v>
      </c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1:16" x14ac:dyDescent="0.2">
      <c r="A2" s="50" t="s">
        <v>149</v>
      </c>
      <c r="B2" s="129"/>
      <c r="C2" s="164" t="s">
        <v>147</v>
      </c>
      <c r="D2" s="234">
        <f ca="1">'Drawer Overview'!B2</f>
        <v>44329.464303819441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1:16" x14ac:dyDescent="0.2">
      <c r="A3" s="24"/>
      <c r="B3" s="127"/>
      <c r="C3" s="23"/>
      <c r="D3" s="23"/>
      <c r="E3" s="23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</row>
    <row r="4" spans="1:16" hidden="1" x14ac:dyDescent="0.2">
      <c r="A4" s="24"/>
      <c r="B4" s="235"/>
      <c r="C4" s="23" t="s">
        <v>20</v>
      </c>
      <c r="D4" s="23"/>
      <c r="E4" s="23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16" hidden="1" x14ac:dyDescent="0.2">
      <c r="A5" s="24"/>
      <c r="B5" s="236"/>
      <c r="C5" s="23" t="s">
        <v>8</v>
      </c>
      <c r="D5" s="23"/>
      <c r="E5" s="23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16" hidden="1" x14ac:dyDescent="0.2">
      <c r="A6" s="24"/>
      <c r="B6" s="237">
        <v>43172</v>
      </c>
      <c r="C6" s="23" t="s">
        <v>23</v>
      </c>
      <c r="D6" s="23"/>
      <c r="E6" s="23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</row>
    <row r="7" spans="1:16" hidden="1" x14ac:dyDescent="0.2">
      <c r="A7" s="24"/>
      <c r="B7" s="238"/>
      <c r="C7" s="23" t="s">
        <v>9</v>
      </c>
      <c r="D7" s="23"/>
      <c r="E7" s="23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</row>
    <row r="8" spans="1:16" ht="53.25" customHeight="1" x14ac:dyDescent="0.2">
      <c r="A8" s="66" t="s">
        <v>25</v>
      </c>
      <c r="B8" s="239" t="s">
        <v>71</v>
      </c>
      <c r="C8" s="65" t="s">
        <v>72</v>
      </c>
      <c r="D8" s="66" t="s">
        <v>70</v>
      </c>
      <c r="E8" s="67" t="s">
        <v>73</v>
      </c>
      <c r="F8" s="56" t="s">
        <v>74</v>
      </c>
      <c r="G8" s="139">
        <f>'Detail Variance Report'!H1</f>
        <v>44320</v>
      </c>
      <c r="H8" s="139">
        <f>'Detail Variance Report'!I1</f>
        <v>44321</v>
      </c>
      <c r="I8" s="139">
        <f>'Detail Variance Report'!J1</f>
        <v>44322</v>
      </c>
      <c r="J8" s="139">
        <f>'Detail Variance Report'!K1</f>
        <v>44323</v>
      </c>
      <c r="K8" s="139">
        <f>'Detail Variance Report'!L1</f>
        <v>44324</v>
      </c>
      <c r="L8" s="139">
        <f>'Detail Variance Report'!M1</f>
        <v>44325</v>
      </c>
      <c r="M8" s="139">
        <f>'Detail Variance Report'!N1</f>
        <v>44326</v>
      </c>
      <c r="N8" s="139">
        <f>'Detail Variance Report'!O1</f>
        <v>44327</v>
      </c>
      <c r="O8" s="139">
        <f>'Detail Variance Report'!P1</f>
        <v>44328</v>
      </c>
      <c r="P8" s="139">
        <f>'Detail Variance Report'!Q1</f>
        <v>44329</v>
      </c>
    </row>
    <row r="9" spans="1:16" x14ac:dyDescent="0.2">
      <c r="A9" s="76">
        <v>2117</v>
      </c>
      <c r="B9" s="161">
        <v>211701</v>
      </c>
      <c r="C9" s="77" t="s">
        <v>131</v>
      </c>
      <c r="D9" s="76">
        <v>1</v>
      </c>
      <c r="E9" s="74">
        <v>15</v>
      </c>
      <c r="F9" s="78">
        <v>1</v>
      </c>
      <c r="G9" s="113">
        <f>COUNTIFS(Drawer!$E:$E,'Drawer Rec'!$B9,Drawer!$L:$L,"Cash",Drawer!$O:$O,'Drawer Rec'!G$8,Drawer!$K:$K,"&lt;&gt;0")</f>
        <v>1</v>
      </c>
      <c r="H9" s="113">
        <f>COUNTIFS(Drawer!$E:$E,'Drawer Rec'!$B9,Drawer!$L:$L,"Cash",Drawer!$O:$O,'Drawer Rec'!H$8,Drawer!$K:$K,"&lt;&gt;0")</f>
        <v>1</v>
      </c>
      <c r="I9" s="113">
        <f>COUNTIFS(Drawer!$E:$E,'Drawer Rec'!$B9,Drawer!$L:$L,"Cash",Drawer!$O:$O,'Drawer Rec'!I$8,Drawer!$K:$K,"&lt;&gt;0")</f>
        <v>1</v>
      </c>
      <c r="J9" s="113">
        <f>COUNTIFS(Drawer!$E:$E,'Drawer Rec'!$B9,Drawer!$L:$L,"Cash",Drawer!$O:$O,'Drawer Rec'!J$8,Drawer!$K:$K,"&lt;&gt;0")</f>
        <v>1</v>
      </c>
      <c r="K9" s="113">
        <f>COUNTIFS(Drawer!$E:$E,'Drawer Rec'!$B9,Drawer!$L:$L,"Cash",Drawer!$O:$O,'Drawer Rec'!K$8,Drawer!$K:$K,"&lt;&gt;0")</f>
        <v>0</v>
      </c>
      <c r="L9" s="113">
        <f>COUNTIFS(Drawer!$E:$E,'Drawer Rec'!$B9,Drawer!$L:$L,"Cash",Drawer!$O:$O,'Drawer Rec'!L$8,Drawer!$K:$K,"&lt;&gt;0")</f>
        <v>0</v>
      </c>
      <c r="M9" s="113">
        <f>COUNTIFS(Drawer!$E:$E,'Drawer Rec'!$B9,Drawer!$L:$L,"Cash",Drawer!$O:$O,'Drawer Rec'!M$8,Drawer!$K:$K,"&lt;&gt;0")</f>
        <v>1</v>
      </c>
      <c r="N9" s="113">
        <f>COUNTIFS(Drawer!$E:$E,'Drawer Rec'!$B9,Drawer!$L:$L,"Cash",Drawer!$O:$O,'Drawer Rec'!N$8,Drawer!$K:$K,"&lt;&gt;0")</f>
        <v>1</v>
      </c>
      <c r="O9" s="113">
        <f>COUNTIFS(Drawer!$E:$E,'Drawer Rec'!$B9,Drawer!$L:$L,"Cash",Drawer!$O:$O,'Drawer Rec'!O$8,Drawer!$K:$K,"&lt;&gt;0")</f>
        <v>1</v>
      </c>
      <c r="P9" s="113">
        <f>COUNTIFS(Drawer!$E:$E,'Drawer Rec'!$B9,Drawer!$L:$L,"Cash",Drawer!$O:$O,'Drawer Rec'!P$8,Drawer!$K:$K,"&lt;&gt;0")</f>
        <v>1</v>
      </c>
    </row>
    <row r="10" spans="1:16" x14ac:dyDescent="0.2">
      <c r="A10" s="76">
        <v>2118</v>
      </c>
      <c r="B10" s="161">
        <v>211801</v>
      </c>
      <c r="C10" s="77" t="s">
        <v>127</v>
      </c>
      <c r="D10" s="76">
        <v>1</v>
      </c>
      <c r="E10" s="74">
        <v>15</v>
      </c>
      <c r="F10" s="78">
        <v>2</v>
      </c>
      <c r="G10" s="113">
        <f>COUNTIFS(Drawer!$E:$E,'Drawer Rec'!$B10,Drawer!$L:$L,"Cash",Drawer!$O:$O,'Drawer Rec'!G$8,Drawer!$K:$K,"&lt;&gt;0")</f>
        <v>1</v>
      </c>
      <c r="H10" s="113">
        <f>COUNTIFS(Drawer!$E:$E,'Drawer Rec'!$B10,Drawer!$L:$L,"Cash",Drawer!$O:$O,'Drawer Rec'!H$8,Drawer!$K:$K,"&lt;&gt;0")</f>
        <v>1</v>
      </c>
      <c r="I10" s="113">
        <f>COUNTIFS(Drawer!$E:$E,'Drawer Rec'!$B10,Drawer!$L:$L,"Cash",Drawer!$O:$O,'Drawer Rec'!I$8,Drawer!$K:$K,"&lt;&gt;0")</f>
        <v>1</v>
      </c>
      <c r="J10" s="113">
        <f>COUNTIFS(Drawer!$E:$E,'Drawer Rec'!$B10,Drawer!$L:$L,"Cash",Drawer!$O:$O,'Drawer Rec'!J$8,Drawer!$K:$K,"&lt;&gt;0")</f>
        <v>1</v>
      </c>
      <c r="K10" s="113">
        <f>COUNTIFS(Drawer!$E:$E,'Drawer Rec'!$B10,Drawer!$L:$L,"Cash",Drawer!$O:$O,'Drawer Rec'!K$8,Drawer!$K:$K,"&lt;&gt;0")</f>
        <v>1</v>
      </c>
      <c r="L10" s="113">
        <f>COUNTIFS(Drawer!$E:$E,'Drawer Rec'!$B10,Drawer!$L:$L,"Cash",Drawer!$O:$O,'Drawer Rec'!L$8,Drawer!$K:$K,"&lt;&gt;0")</f>
        <v>1</v>
      </c>
      <c r="M10" s="113">
        <f>COUNTIFS(Drawer!$E:$E,'Drawer Rec'!$B10,Drawer!$L:$L,"Cash",Drawer!$O:$O,'Drawer Rec'!M$8,Drawer!$K:$K,"&lt;&gt;0")</f>
        <v>1</v>
      </c>
      <c r="N10" s="113">
        <f>COUNTIFS(Drawer!$E:$E,'Drawer Rec'!$B10,Drawer!$L:$L,"Cash",Drawer!$O:$O,'Drawer Rec'!N$8,Drawer!$K:$K,"&lt;&gt;0")</f>
        <v>1</v>
      </c>
      <c r="O10" s="113">
        <f>COUNTIFS(Drawer!$E:$E,'Drawer Rec'!$B10,Drawer!$L:$L,"Cash",Drawer!$O:$O,'Drawer Rec'!O$8,Drawer!$K:$K,"&lt;&gt;0")</f>
        <v>1</v>
      </c>
      <c r="P10" s="113">
        <f>COUNTIFS(Drawer!$E:$E,'Drawer Rec'!$B10,Drawer!$L:$L,"Cash",Drawer!$O:$O,'Drawer Rec'!P$8,Drawer!$K:$K,"&lt;&gt;0")</f>
        <v>1</v>
      </c>
    </row>
    <row r="11" spans="1:16" x14ac:dyDescent="0.2">
      <c r="A11" s="76">
        <v>2119</v>
      </c>
      <c r="B11" s="161">
        <v>211901</v>
      </c>
      <c r="C11" s="77" t="s">
        <v>130</v>
      </c>
      <c r="D11" s="76">
        <v>2</v>
      </c>
      <c r="E11" s="74"/>
      <c r="F11" s="78">
        <v>2</v>
      </c>
      <c r="G11" s="113">
        <f>COUNTIFS(Drawer!$E:$E,'Drawer Rec'!$B11,Drawer!$L:$L,"Cash",Drawer!$O:$O,'Drawer Rec'!G$8,Drawer!$K:$K,"&lt;&gt;0")</f>
        <v>0</v>
      </c>
      <c r="H11" s="113">
        <f>COUNTIFS(Drawer!$E:$E,'Drawer Rec'!$B11,Drawer!$L:$L,"Cash",Drawer!$O:$O,'Drawer Rec'!H$8,Drawer!$K:$K,"&lt;&gt;0")</f>
        <v>1</v>
      </c>
      <c r="I11" s="113">
        <f>COUNTIFS(Drawer!$E:$E,'Drawer Rec'!$B11,Drawer!$L:$L,"Cash",Drawer!$O:$O,'Drawer Rec'!I$8,Drawer!$K:$K,"&lt;&gt;0")</f>
        <v>1</v>
      </c>
      <c r="J11" s="113">
        <f>COUNTIFS(Drawer!$E:$E,'Drawer Rec'!$B11,Drawer!$L:$L,"Cash",Drawer!$O:$O,'Drawer Rec'!J$8,Drawer!$K:$K,"&lt;&gt;0")</f>
        <v>1</v>
      </c>
      <c r="K11" s="113">
        <f>COUNTIFS(Drawer!$E:$E,'Drawer Rec'!$B11,Drawer!$L:$L,"Cash",Drawer!$O:$O,'Drawer Rec'!K$8,Drawer!$K:$K,"&lt;&gt;0")</f>
        <v>1</v>
      </c>
      <c r="L11" s="113">
        <f>COUNTIFS(Drawer!$E:$E,'Drawer Rec'!$B11,Drawer!$L:$L,"Cash",Drawer!$O:$O,'Drawer Rec'!L$8,Drawer!$K:$K,"&lt;&gt;0")</f>
        <v>1</v>
      </c>
      <c r="M11" s="113">
        <f>COUNTIFS(Drawer!$E:$E,'Drawer Rec'!$B11,Drawer!$L:$L,"Cash",Drawer!$O:$O,'Drawer Rec'!M$8,Drawer!$K:$K,"&lt;&gt;0")</f>
        <v>1</v>
      </c>
      <c r="N11" s="113">
        <f>COUNTIFS(Drawer!$E:$E,'Drawer Rec'!$B11,Drawer!$L:$L,"Cash",Drawer!$O:$O,'Drawer Rec'!N$8,Drawer!$K:$K,"&lt;&gt;0")</f>
        <v>1</v>
      </c>
      <c r="O11" s="113">
        <f>COUNTIFS(Drawer!$E:$E,'Drawer Rec'!$B11,Drawer!$L:$L,"Cash",Drawer!$O:$O,'Drawer Rec'!O$8,Drawer!$K:$K,"&lt;&gt;0")</f>
        <v>1</v>
      </c>
      <c r="P11" s="113">
        <f>COUNTIFS(Drawer!$E:$E,'Drawer Rec'!$B11,Drawer!$L:$L,"Cash",Drawer!$O:$O,'Drawer Rec'!P$8,Drawer!$K:$K,"&lt;&gt;0")</f>
        <v>1</v>
      </c>
    </row>
    <row r="12" spans="1:16" x14ac:dyDescent="0.2">
      <c r="A12" s="76"/>
      <c r="B12" s="161">
        <v>211902</v>
      </c>
      <c r="C12" s="77"/>
      <c r="D12" s="76"/>
      <c r="E12" s="74"/>
      <c r="F12" s="78">
        <v>2</v>
      </c>
      <c r="G12" s="113">
        <f>COUNTIFS(Drawer!$E:$E,'Drawer Rec'!$B12,Drawer!$L:$L,"Cash",Drawer!$O:$O,'Drawer Rec'!G$8,Drawer!$K:$K,"&lt;&gt;0")</f>
        <v>0</v>
      </c>
      <c r="H12" s="113">
        <f>COUNTIFS(Drawer!$E:$E,'Drawer Rec'!$B12,Drawer!$L:$L,"Cash",Drawer!$O:$O,'Drawer Rec'!H$8,Drawer!$K:$K,"&lt;&gt;0")</f>
        <v>0</v>
      </c>
      <c r="I12" s="113">
        <f>COUNTIFS(Drawer!$E:$E,'Drawer Rec'!$B12,Drawer!$L:$L,"Cash",Drawer!$O:$O,'Drawer Rec'!I$8,Drawer!$K:$K,"&lt;&gt;0")</f>
        <v>0</v>
      </c>
      <c r="J12" s="113">
        <f>COUNTIFS(Drawer!$E:$E,'Drawer Rec'!$B12,Drawer!$L:$L,"Cash",Drawer!$O:$O,'Drawer Rec'!J$8,Drawer!$K:$K,"&lt;&gt;0")</f>
        <v>0</v>
      </c>
      <c r="K12" s="113">
        <f>COUNTIFS(Drawer!$E:$E,'Drawer Rec'!$B12,Drawer!$L:$L,"Cash",Drawer!$O:$O,'Drawer Rec'!K$8,Drawer!$K:$K,"&lt;&gt;0")</f>
        <v>0</v>
      </c>
      <c r="L12" s="113">
        <f>COUNTIFS(Drawer!$E:$E,'Drawer Rec'!$B12,Drawer!$L:$L,"Cash",Drawer!$O:$O,'Drawer Rec'!L$8,Drawer!$K:$K,"&lt;&gt;0")</f>
        <v>0</v>
      </c>
      <c r="M12" s="113">
        <f>COUNTIFS(Drawer!$E:$E,'Drawer Rec'!$B12,Drawer!$L:$L,"Cash",Drawer!$O:$O,'Drawer Rec'!M$8,Drawer!$K:$K,"&lt;&gt;0")</f>
        <v>0</v>
      </c>
      <c r="N12" s="113">
        <f>COUNTIFS(Drawer!$E:$E,'Drawer Rec'!$B12,Drawer!$L:$L,"Cash",Drawer!$O:$O,'Drawer Rec'!N$8,Drawer!$K:$K,"&lt;&gt;0")</f>
        <v>0</v>
      </c>
      <c r="O12" s="113">
        <f>COUNTIFS(Drawer!$E:$E,'Drawer Rec'!$B12,Drawer!$L:$L,"Cash",Drawer!$O:$O,'Drawer Rec'!O$8,Drawer!$K:$K,"&lt;&gt;0")</f>
        <v>0</v>
      </c>
      <c r="P12" s="113">
        <f>COUNTIFS(Drawer!$E:$E,'Drawer Rec'!$B12,Drawer!$L:$L,"Cash",Drawer!$O:$O,'Drawer Rec'!P$8,Drawer!$K:$K,"&lt;&gt;0")</f>
        <v>0</v>
      </c>
    </row>
    <row r="13" spans="1:16" x14ac:dyDescent="0.2">
      <c r="A13" s="76">
        <v>2137</v>
      </c>
      <c r="B13" s="161">
        <v>213701</v>
      </c>
      <c r="C13" s="77" t="s">
        <v>77</v>
      </c>
      <c r="D13" s="76">
        <v>2</v>
      </c>
      <c r="E13" s="74">
        <v>15</v>
      </c>
      <c r="F13" s="78">
        <v>3</v>
      </c>
      <c r="G13" s="113">
        <f>COUNTIFS(Drawer!$E:$E,'Drawer Rec'!$B13,Drawer!$L:$L,"Cash",Drawer!$O:$O,'Drawer Rec'!G$8,Drawer!$K:$K,"&lt;&gt;0")</f>
        <v>0</v>
      </c>
      <c r="H13" s="113">
        <f>COUNTIFS(Drawer!$E:$E,'Drawer Rec'!$B13,Drawer!$L:$L,"Cash",Drawer!$O:$O,'Drawer Rec'!H$8,Drawer!$K:$K,"&lt;&gt;0")</f>
        <v>0</v>
      </c>
      <c r="I13" s="113">
        <f>COUNTIFS(Drawer!$E:$E,'Drawer Rec'!$B13,Drawer!$L:$L,"Cash",Drawer!$O:$O,'Drawer Rec'!I$8,Drawer!$K:$K,"&lt;&gt;0")</f>
        <v>0</v>
      </c>
      <c r="J13" s="113">
        <f>COUNTIFS(Drawer!$E:$E,'Drawer Rec'!$B13,Drawer!$L:$L,"Cash",Drawer!$O:$O,'Drawer Rec'!J$8,Drawer!$K:$K,"&lt;&gt;0")</f>
        <v>0</v>
      </c>
      <c r="K13" s="113">
        <f>COUNTIFS(Drawer!$E:$E,'Drawer Rec'!$B13,Drawer!$L:$L,"Cash",Drawer!$O:$O,'Drawer Rec'!K$8,Drawer!$K:$K,"&lt;&gt;0")</f>
        <v>0</v>
      </c>
      <c r="L13" s="113">
        <f>COUNTIFS(Drawer!$E:$E,'Drawer Rec'!$B13,Drawer!$L:$L,"Cash",Drawer!$O:$O,'Drawer Rec'!L$8,Drawer!$K:$K,"&lt;&gt;0")</f>
        <v>0</v>
      </c>
      <c r="M13" s="113">
        <f>COUNTIFS(Drawer!$E:$E,'Drawer Rec'!$B13,Drawer!$L:$L,"Cash",Drawer!$O:$O,'Drawer Rec'!M$8,Drawer!$K:$K,"&lt;&gt;0")</f>
        <v>0</v>
      </c>
      <c r="N13" s="113">
        <f>COUNTIFS(Drawer!$E:$E,'Drawer Rec'!$B13,Drawer!$L:$L,"Cash",Drawer!$O:$O,'Drawer Rec'!N$8,Drawer!$K:$K,"&lt;&gt;0")</f>
        <v>0</v>
      </c>
      <c r="O13" s="113">
        <f>COUNTIFS(Drawer!$E:$E,'Drawer Rec'!$B13,Drawer!$L:$L,"Cash",Drawer!$O:$O,'Drawer Rec'!O$8,Drawer!$K:$K,"&lt;&gt;0")</f>
        <v>0</v>
      </c>
      <c r="P13" s="113">
        <f>COUNTIFS(Drawer!$E:$E,'Drawer Rec'!$B13,Drawer!$L:$L,"Cash",Drawer!$O:$O,'Drawer Rec'!P$8,Drawer!$K:$K,"&lt;&gt;0")</f>
        <v>0</v>
      </c>
    </row>
    <row r="14" spans="1:16" x14ac:dyDescent="0.2">
      <c r="A14" s="76"/>
      <c r="B14" s="161">
        <v>213702</v>
      </c>
      <c r="C14" s="77"/>
      <c r="D14" s="76"/>
      <c r="E14" s="74">
        <v>15</v>
      </c>
      <c r="F14" s="78">
        <v>3</v>
      </c>
      <c r="G14" s="113">
        <f>COUNTIFS(Drawer!$E:$E,'Drawer Rec'!$B14,Drawer!$L:$L,"Cash",Drawer!$O:$O,'Drawer Rec'!G$8,Drawer!$K:$K,"&lt;&gt;0")</f>
        <v>0</v>
      </c>
      <c r="H14" s="113">
        <f>COUNTIFS(Drawer!$E:$E,'Drawer Rec'!$B14,Drawer!$L:$L,"Cash",Drawer!$O:$O,'Drawer Rec'!H$8,Drawer!$K:$K,"&lt;&gt;0")</f>
        <v>0</v>
      </c>
      <c r="I14" s="113">
        <f>COUNTIFS(Drawer!$E:$E,'Drawer Rec'!$B14,Drawer!$L:$L,"Cash",Drawer!$O:$O,'Drawer Rec'!I$8,Drawer!$K:$K,"&lt;&gt;0")</f>
        <v>0</v>
      </c>
      <c r="J14" s="113">
        <f>COUNTIFS(Drawer!$E:$E,'Drawer Rec'!$B14,Drawer!$L:$L,"Cash",Drawer!$O:$O,'Drawer Rec'!J$8,Drawer!$K:$K,"&lt;&gt;0")</f>
        <v>0</v>
      </c>
      <c r="K14" s="113">
        <f>COUNTIFS(Drawer!$E:$E,'Drawer Rec'!$B14,Drawer!$L:$L,"Cash",Drawer!$O:$O,'Drawer Rec'!K$8,Drawer!$K:$K,"&lt;&gt;0")</f>
        <v>0</v>
      </c>
      <c r="L14" s="113">
        <f>COUNTIFS(Drawer!$E:$E,'Drawer Rec'!$B14,Drawer!$L:$L,"Cash",Drawer!$O:$O,'Drawer Rec'!L$8,Drawer!$K:$K,"&lt;&gt;0")</f>
        <v>0</v>
      </c>
      <c r="M14" s="113">
        <f>COUNTIFS(Drawer!$E:$E,'Drawer Rec'!$B14,Drawer!$L:$L,"Cash",Drawer!$O:$O,'Drawer Rec'!M$8,Drawer!$K:$K,"&lt;&gt;0")</f>
        <v>0</v>
      </c>
      <c r="N14" s="113">
        <f>COUNTIFS(Drawer!$E:$E,'Drawer Rec'!$B14,Drawer!$L:$L,"Cash",Drawer!$O:$O,'Drawer Rec'!N$8,Drawer!$K:$K,"&lt;&gt;0")</f>
        <v>0</v>
      </c>
      <c r="O14" s="113">
        <f>COUNTIFS(Drawer!$E:$E,'Drawer Rec'!$B14,Drawer!$L:$L,"Cash",Drawer!$O:$O,'Drawer Rec'!O$8,Drawer!$K:$K,"&lt;&gt;0")</f>
        <v>0</v>
      </c>
      <c r="P14" s="113">
        <f>COUNTIFS(Drawer!$E:$E,'Drawer Rec'!$B14,Drawer!$L:$L,"Cash",Drawer!$O:$O,'Drawer Rec'!P$8,Drawer!$K:$K,"&lt;&gt;0")</f>
        <v>0</v>
      </c>
    </row>
    <row r="15" spans="1:16" x14ac:dyDescent="0.2">
      <c r="A15" s="76">
        <v>2230</v>
      </c>
      <c r="B15" s="161">
        <v>223001</v>
      </c>
      <c r="C15" s="77" t="s">
        <v>104</v>
      </c>
      <c r="D15" s="76">
        <v>6</v>
      </c>
      <c r="E15" s="74">
        <v>16</v>
      </c>
      <c r="F15" s="78">
        <v>3</v>
      </c>
      <c r="G15" s="113">
        <f>COUNTIFS(Drawer!$E:$E,'Drawer Rec'!$B15,Drawer!$L:$L,"Cash",Drawer!$O:$O,'Drawer Rec'!G$8,Drawer!$K:$K,"&lt;&gt;0")</f>
        <v>0</v>
      </c>
      <c r="H15" s="113">
        <f>COUNTIFS(Drawer!$E:$E,'Drawer Rec'!$B15,Drawer!$L:$L,"Cash",Drawer!$O:$O,'Drawer Rec'!H$8,Drawer!$K:$K,"&lt;&gt;0")</f>
        <v>0</v>
      </c>
      <c r="I15" s="113">
        <f>COUNTIFS(Drawer!$E:$E,'Drawer Rec'!$B15,Drawer!$L:$L,"Cash",Drawer!$O:$O,'Drawer Rec'!I$8,Drawer!$K:$K,"&lt;&gt;0")</f>
        <v>0</v>
      </c>
      <c r="J15" s="113">
        <f>COUNTIFS(Drawer!$E:$E,'Drawer Rec'!$B15,Drawer!$L:$L,"Cash",Drawer!$O:$O,'Drawer Rec'!J$8,Drawer!$K:$K,"&lt;&gt;0")</f>
        <v>0</v>
      </c>
      <c r="K15" s="113">
        <f>COUNTIFS(Drawer!$E:$E,'Drawer Rec'!$B15,Drawer!$L:$L,"Cash",Drawer!$O:$O,'Drawer Rec'!K$8,Drawer!$K:$K,"&lt;&gt;0")</f>
        <v>0</v>
      </c>
      <c r="L15" s="113">
        <f>COUNTIFS(Drawer!$E:$E,'Drawer Rec'!$B15,Drawer!$L:$L,"Cash",Drawer!$O:$O,'Drawer Rec'!L$8,Drawer!$K:$K,"&lt;&gt;0")</f>
        <v>0</v>
      </c>
      <c r="M15" s="113">
        <f>COUNTIFS(Drawer!$E:$E,'Drawer Rec'!$B15,Drawer!$L:$L,"Cash",Drawer!$O:$O,'Drawer Rec'!M$8,Drawer!$K:$K,"&lt;&gt;0")</f>
        <v>1</v>
      </c>
      <c r="N15" s="113">
        <f>COUNTIFS(Drawer!$E:$E,'Drawer Rec'!$B15,Drawer!$L:$L,"Cash",Drawer!$O:$O,'Drawer Rec'!N$8,Drawer!$K:$K,"&lt;&gt;0")</f>
        <v>0</v>
      </c>
      <c r="O15" s="113">
        <f>COUNTIFS(Drawer!$E:$E,'Drawer Rec'!$B15,Drawer!$L:$L,"Cash",Drawer!$O:$O,'Drawer Rec'!O$8,Drawer!$K:$K,"&lt;&gt;0")</f>
        <v>0</v>
      </c>
      <c r="P15" s="113">
        <f>COUNTIFS(Drawer!$E:$E,'Drawer Rec'!$B15,Drawer!$L:$L,"Cash",Drawer!$O:$O,'Drawer Rec'!P$8,Drawer!$K:$K,"&lt;&gt;0")</f>
        <v>0</v>
      </c>
    </row>
    <row r="16" spans="1:16" x14ac:dyDescent="0.2">
      <c r="A16" s="76"/>
      <c r="B16" s="161">
        <v>223002</v>
      </c>
      <c r="C16" s="77"/>
      <c r="D16" s="76"/>
      <c r="E16" s="74">
        <v>16</v>
      </c>
      <c r="F16" s="78">
        <v>3</v>
      </c>
      <c r="G16" s="113">
        <f>COUNTIFS(Drawer!$E:$E,'Drawer Rec'!$B16,Drawer!$L:$L,"Cash",Drawer!$O:$O,'Drawer Rec'!G$8,Drawer!$K:$K,"&lt;&gt;0")</f>
        <v>0</v>
      </c>
      <c r="H16" s="113">
        <f>COUNTIFS(Drawer!$E:$E,'Drawer Rec'!$B16,Drawer!$L:$L,"Cash",Drawer!$O:$O,'Drawer Rec'!H$8,Drawer!$K:$K,"&lt;&gt;0")</f>
        <v>0</v>
      </c>
      <c r="I16" s="113">
        <f>COUNTIFS(Drawer!$E:$E,'Drawer Rec'!$B16,Drawer!$L:$L,"Cash",Drawer!$O:$O,'Drawer Rec'!I$8,Drawer!$K:$K,"&lt;&gt;0")</f>
        <v>0</v>
      </c>
      <c r="J16" s="113">
        <f>COUNTIFS(Drawer!$E:$E,'Drawer Rec'!$B16,Drawer!$L:$L,"Cash",Drawer!$O:$O,'Drawer Rec'!J$8,Drawer!$K:$K,"&lt;&gt;0")</f>
        <v>0</v>
      </c>
      <c r="K16" s="113">
        <f>COUNTIFS(Drawer!$E:$E,'Drawer Rec'!$B16,Drawer!$L:$L,"Cash",Drawer!$O:$O,'Drawer Rec'!K$8,Drawer!$K:$K,"&lt;&gt;0")</f>
        <v>0</v>
      </c>
      <c r="L16" s="113">
        <f>COUNTIFS(Drawer!$E:$E,'Drawer Rec'!$B16,Drawer!$L:$L,"Cash",Drawer!$O:$O,'Drawer Rec'!L$8,Drawer!$K:$K,"&lt;&gt;0")</f>
        <v>0</v>
      </c>
      <c r="M16" s="113">
        <f>COUNTIFS(Drawer!$E:$E,'Drawer Rec'!$B16,Drawer!$L:$L,"Cash",Drawer!$O:$O,'Drawer Rec'!M$8,Drawer!$K:$K,"&lt;&gt;0")</f>
        <v>0</v>
      </c>
      <c r="N16" s="113">
        <f>COUNTIFS(Drawer!$E:$E,'Drawer Rec'!$B16,Drawer!$L:$L,"Cash",Drawer!$O:$O,'Drawer Rec'!N$8,Drawer!$K:$K,"&lt;&gt;0")</f>
        <v>0</v>
      </c>
      <c r="O16" s="113">
        <f>COUNTIFS(Drawer!$E:$E,'Drawer Rec'!$B16,Drawer!$L:$L,"Cash",Drawer!$O:$O,'Drawer Rec'!O$8,Drawer!$K:$K,"&lt;&gt;0")</f>
        <v>0</v>
      </c>
      <c r="P16" s="113">
        <f>COUNTIFS(Drawer!$E:$E,'Drawer Rec'!$B16,Drawer!$L:$L,"Cash",Drawer!$O:$O,'Drawer Rec'!P$8,Drawer!$K:$K,"&lt;&gt;0")</f>
        <v>0</v>
      </c>
    </row>
    <row r="17" spans="1:16" x14ac:dyDescent="0.2">
      <c r="A17" s="76"/>
      <c r="B17" s="161">
        <v>223003</v>
      </c>
      <c r="C17" s="77"/>
      <c r="D17" s="76"/>
      <c r="E17" s="74">
        <v>16</v>
      </c>
      <c r="F17" s="78">
        <v>3</v>
      </c>
      <c r="G17" s="113">
        <f>COUNTIFS(Drawer!$E:$E,'Drawer Rec'!$B17,Drawer!$L:$L,"Cash",Drawer!$O:$O,'Drawer Rec'!G$8,Drawer!$K:$K,"&lt;&gt;0")</f>
        <v>0</v>
      </c>
      <c r="H17" s="113">
        <f>COUNTIFS(Drawer!$E:$E,'Drawer Rec'!$B17,Drawer!$L:$L,"Cash",Drawer!$O:$O,'Drawer Rec'!H$8,Drawer!$K:$K,"&lt;&gt;0")</f>
        <v>0</v>
      </c>
      <c r="I17" s="113">
        <f>COUNTIFS(Drawer!$E:$E,'Drawer Rec'!$B17,Drawer!$L:$L,"Cash",Drawer!$O:$O,'Drawer Rec'!I$8,Drawer!$K:$K,"&lt;&gt;0")</f>
        <v>0</v>
      </c>
      <c r="J17" s="113">
        <f>COUNTIFS(Drawer!$E:$E,'Drawer Rec'!$B17,Drawer!$L:$L,"Cash",Drawer!$O:$O,'Drawer Rec'!J$8,Drawer!$K:$K,"&lt;&gt;0")</f>
        <v>0</v>
      </c>
      <c r="K17" s="113">
        <f>COUNTIFS(Drawer!$E:$E,'Drawer Rec'!$B17,Drawer!$L:$L,"Cash",Drawer!$O:$O,'Drawer Rec'!K$8,Drawer!$K:$K,"&lt;&gt;0")</f>
        <v>0</v>
      </c>
      <c r="L17" s="113">
        <f>COUNTIFS(Drawer!$E:$E,'Drawer Rec'!$B17,Drawer!$L:$L,"Cash",Drawer!$O:$O,'Drawer Rec'!L$8,Drawer!$K:$K,"&lt;&gt;0")</f>
        <v>0</v>
      </c>
      <c r="M17" s="113">
        <f>COUNTIFS(Drawer!$E:$E,'Drawer Rec'!$B17,Drawer!$L:$L,"Cash",Drawer!$O:$O,'Drawer Rec'!M$8,Drawer!$K:$K,"&lt;&gt;0")</f>
        <v>0</v>
      </c>
      <c r="N17" s="113">
        <f>COUNTIFS(Drawer!$E:$E,'Drawer Rec'!$B17,Drawer!$L:$L,"Cash",Drawer!$O:$O,'Drawer Rec'!N$8,Drawer!$K:$K,"&lt;&gt;0")</f>
        <v>0</v>
      </c>
      <c r="O17" s="113">
        <f>COUNTIFS(Drawer!$E:$E,'Drawer Rec'!$B17,Drawer!$L:$L,"Cash",Drawer!$O:$O,'Drawer Rec'!O$8,Drawer!$K:$K,"&lt;&gt;0")</f>
        <v>0</v>
      </c>
      <c r="P17" s="113">
        <f>COUNTIFS(Drawer!$E:$E,'Drawer Rec'!$B17,Drawer!$L:$L,"Cash",Drawer!$O:$O,'Drawer Rec'!P$8,Drawer!$K:$K,"&lt;&gt;0")</f>
        <v>0</v>
      </c>
    </row>
    <row r="18" spans="1:16" x14ac:dyDescent="0.2">
      <c r="A18" s="76"/>
      <c r="B18" s="162">
        <v>223004</v>
      </c>
      <c r="C18" s="77"/>
      <c r="D18" s="76"/>
      <c r="E18" s="74">
        <v>16</v>
      </c>
      <c r="F18" s="78">
        <v>3</v>
      </c>
      <c r="G18" s="113">
        <f>COUNTIFS(Drawer!$E:$E,'Drawer Rec'!$B18,Drawer!$L:$L,"Cash",Drawer!$O:$O,'Drawer Rec'!G$8,Drawer!$K:$K,"&lt;&gt;0")</f>
        <v>0</v>
      </c>
      <c r="H18" s="113">
        <f>COUNTIFS(Drawer!$E:$E,'Drawer Rec'!$B18,Drawer!$L:$L,"Cash",Drawer!$O:$O,'Drawer Rec'!H$8,Drawer!$K:$K,"&lt;&gt;0")</f>
        <v>0</v>
      </c>
      <c r="I18" s="113">
        <f>COUNTIFS(Drawer!$E:$E,'Drawer Rec'!$B18,Drawer!$L:$L,"Cash",Drawer!$O:$O,'Drawer Rec'!I$8,Drawer!$K:$K,"&lt;&gt;0")</f>
        <v>0</v>
      </c>
      <c r="J18" s="113">
        <f>COUNTIFS(Drawer!$E:$E,'Drawer Rec'!$B18,Drawer!$L:$L,"Cash",Drawer!$O:$O,'Drawer Rec'!J$8,Drawer!$K:$K,"&lt;&gt;0")</f>
        <v>0</v>
      </c>
      <c r="K18" s="113">
        <f>COUNTIFS(Drawer!$E:$E,'Drawer Rec'!$B18,Drawer!$L:$L,"Cash",Drawer!$O:$O,'Drawer Rec'!K$8,Drawer!$K:$K,"&lt;&gt;0")</f>
        <v>0</v>
      </c>
      <c r="L18" s="113">
        <f>COUNTIFS(Drawer!$E:$E,'Drawer Rec'!$B18,Drawer!$L:$L,"Cash",Drawer!$O:$O,'Drawer Rec'!L$8,Drawer!$K:$K,"&lt;&gt;0")</f>
        <v>0</v>
      </c>
      <c r="M18" s="113">
        <f>COUNTIFS(Drawer!$E:$E,'Drawer Rec'!$B18,Drawer!$L:$L,"Cash",Drawer!$O:$O,'Drawer Rec'!M$8,Drawer!$K:$K,"&lt;&gt;0")</f>
        <v>0</v>
      </c>
      <c r="N18" s="113">
        <f>COUNTIFS(Drawer!$E:$E,'Drawer Rec'!$B18,Drawer!$L:$L,"Cash",Drawer!$O:$O,'Drawer Rec'!N$8,Drawer!$K:$K,"&lt;&gt;0")</f>
        <v>0</v>
      </c>
      <c r="O18" s="113">
        <f>COUNTIFS(Drawer!$E:$E,'Drawer Rec'!$B18,Drawer!$L:$L,"Cash",Drawer!$O:$O,'Drawer Rec'!O$8,Drawer!$K:$K,"&lt;&gt;0")</f>
        <v>0</v>
      </c>
      <c r="P18" s="113">
        <f>COUNTIFS(Drawer!$E:$E,'Drawer Rec'!$B18,Drawer!$L:$L,"Cash",Drawer!$O:$O,'Drawer Rec'!P$8,Drawer!$K:$K,"&lt;&gt;0")</f>
        <v>0</v>
      </c>
    </row>
    <row r="19" spans="1:16" x14ac:dyDescent="0.2">
      <c r="A19" s="76"/>
      <c r="B19" s="240">
        <v>223005</v>
      </c>
      <c r="C19" s="77"/>
      <c r="D19" s="76"/>
      <c r="E19" s="74">
        <v>16</v>
      </c>
      <c r="F19" s="78">
        <v>3</v>
      </c>
      <c r="G19" s="113">
        <f>COUNTIFS(Drawer!$E:$E,'Drawer Rec'!$B19,Drawer!$L:$L,"Cash",Drawer!$O:$O,'Drawer Rec'!G$8,Drawer!$K:$K,"&lt;&gt;0")</f>
        <v>0</v>
      </c>
      <c r="H19" s="113">
        <f>COUNTIFS(Drawer!$E:$E,'Drawer Rec'!$B19,Drawer!$L:$L,"Cash",Drawer!$O:$O,'Drawer Rec'!H$8,Drawer!$K:$K,"&lt;&gt;0")</f>
        <v>0</v>
      </c>
      <c r="I19" s="113">
        <f>COUNTIFS(Drawer!$E:$E,'Drawer Rec'!$B19,Drawer!$L:$L,"Cash",Drawer!$O:$O,'Drawer Rec'!I$8,Drawer!$K:$K,"&lt;&gt;0")</f>
        <v>0</v>
      </c>
      <c r="J19" s="113">
        <f>COUNTIFS(Drawer!$E:$E,'Drawer Rec'!$B19,Drawer!$L:$L,"Cash",Drawer!$O:$O,'Drawer Rec'!J$8,Drawer!$K:$K,"&lt;&gt;0")</f>
        <v>0</v>
      </c>
      <c r="K19" s="113">
        <f>COUNTIFS(Drawer!$E:$E,'Drawer Rec'!$B19,Drawer!$L:$L,"Cash",Drawer!$O:$O,'Drawer Rec'!K$8,Drawer!$K:$K,"&lt;&gt;0")</f>
        <v>0</v>
      </c>
      <c r="L19" s="113">
        <f>COUNTIFS(Drawer!$E:$E,'Drawer Rec'!$B19,Drawer!$L:$L,"Cash",Drawer!$O:$O,'Drawer Rec'!L$8,Drawer!$K:$K,"&lt;&gt;0")</f>
        <v>0</v>
      </c>
      <c r="M19" s="113">
        <f>COUNTIFS(Drawer!$E:$E,'Drawer Rec'!$B19,Drawer!$L:$L,"Cash",Drawer!$O:$O,'Drawer Rec'!M$8,Drawer!$K:$K,"&lt;&gt;0")</f>
        <v>0</v>
      </c>
      <c r="N19" s="113">
        <f>COUNTIFS(Drawer!$E:$E,'Drawer Rec'!$B19,Drawer!$L:$L,"Cash",Drawer!$O:$O,'Drawer Rec'!N$8,Drawer!$K:$K,"&lt;&gt;0")</f>
        <v>0</v>
      </c>
      <c r="O19" s="113">
        <f>COUNTIFS(Drawer!$E:$E,'Drawer Rec'!$B19,Drawer!$L:$L,"Cash",Drawer!$O:$O,'Drawer Rec'!O$8,Drawer!$K:$K,"&lt;&gt;0")</f>
        <v>0</v>
      </c>
      <c r="P19" s="113">
        <f>COUNTIFS(Drawer!$E:$E,'Drawer Rec'!$B19,Drawer!$L:$L,"Cash",Drawer!$O:$O,'Drawer Rec'!P$8,Drawer!$K:$K,"&lt;&gt;0")</f>
        <v>0</v>
      </c>
    </row>
    <row r="20" spans="1:16" x14ac:dyDescent="0.2">
      <c r="A20" s="76"/>
      <c r="B20" s="162">
        <v>223006</v>
      </c>
      <c r="C20" s="77"/>
      <c r="D20" s="76"/>
      <c r="E20" s="76">
        <v>16</v>
      </c>
      <c r="F20" s="76">
        <v>3</v>
      </c>
      <c r="G20" s="113">
        <f>COUNTIFS(Drawer!$E:$E,'Drawer Rec'!$B20,Drawer!$L:$L,"Cash",Drawer!$O:$O,'Drawer Rec'!G$8,Drawer!$K:$K,"&lt;&gt;0")</f>
        <v>0</v>
      </c>
      <c r="H20" s="113">
        <f>COUNTIFS(Drawer!$E:$E,'Drawer Rec'!$B20,Drawer!$L:$L,"Cash",Drawer!$O:$O,'Drawer Rec'!H$8,Drawer!$K:$K,"&lt;&gt;0")</f>
        <v>0</v>
      </c>
      <c r="I20" s="113">
        <f>COUNTIFS(Drawer!$E:$E,'Drawer Rec'!$B20,Drawer!$L:$L,"Cash",Drawer!$O:$O,'Drawer Rec'!I$8,Drawer!$K:$K,"&lt;&gt;0")</f>
        <v>0</v>
      </c>
      <c r="J20" s="113">
        <f>COUNTIFS(Drawer!$E:$E,'Drawer Rec'!$B20,Drawer!$L:$L,"Cash",Drawer!$O:$O,'Drawer Rec'!J$8,Drawer!$K:$K,"&lt;&gt;0")</f>
        <v>0</v>
      </c>
      <c r="K20" s="113">
        <f>COUNTIFS(Drawer!$E:$E,'Drawer Rec'!$B20,Drawer!$L:$L,"Cash",Drawer!$O:$O,'Drawer Rec'!K$8,Drawer!$K:$K,"&lt;&gt;0")</f>
        <v>0</v>
      </c>
      <c r="L20" s="113">
        <f>COUNTIFS(Drawer!$E:$E,'Drawer Rec'!$B20,Drawer!$L:$L,"Cash",Drawer!$O:$O,'Drawer Rec'!L$8,Drawer!$K:$K,"&lt;&gt;0")</f>
        <v>0</v>
      </c>
      <c r="M20" s="113">
        <f>COUNTIFS(Drawer!$E:$E,'Drawer Rec'!$B20,Drawer!$L:$L,"Cash",Drawer!$O:$O,'Drawer Rec'!M$8,Drawer!$K:$K,"&lt;&gt;0")</f>
        <v>0</v>
      </c>
      <c r="N20" s="113">
        <f>COUNTIFS(Drawer!$E:$E,'Drawer Rec'!$B20,Drawer!$L:$L,"Cash",Drawer!$O:$O,'Drawer Rec'!N$8,Drawer!$K:$K,"&lt;&gt;0")</f>
        <v>0</v>
      </c>
      <c r="O20" s="113">
        <f>COUNTIFS(Drawer!$E:$E,'Drawer Rec'!$B20,Drawer!$L:$L,"Cash",Drawer!$O:$O,'Drawer Rec'!O$8,Drawer!$K:$K,"&lt;&gt;0")</f>
        <v>0</v>
      </c>
      <c r="P20" s="113">
        <f>COUNTIFS(Drawer!$E:$E,'Drawer Rec'!$B20,Drawer!$L:$L,"Cash",Drawer!$O:$O,'Drawer Rec'!P$8,Drawer!$K:$K,"&lt;&gt;0")</f>
        <v>0</v>
      </c>
    </row>
    <row r="21" spans="1:16" x14ac:dyDescent="0.2">
      <c r="A21" s="76">
        <v>2231</v>
      </c>
      <c r="B21" s="240">
        <v>223101</v>
      </c>
      <c r="C21" s="77" t="s">
        <v>102</v>
      </c>
      <c r="D21" s="76"/>
      <c r="E21" s="76">
        <v>16</v>
      </c>
      <c r="F21" s="76">
        <v>3</v>
      </c>
      <c r="G21" s="113">
        <f>COUNTIFS(Drawer!$E:$E,'Drawer Rec'!$B21,Drawer!$L:$L,"Cash",Drawer!$O:$O,'Drawer Rec'!G$8,Drawer!$K:$K,"&lt;&gt;0")</f>
        <v>1</v>
      </c>
      <c r="H21" s="113">
        <f>COUNTIFS(Drawer!$E:$E,'Drawer Rec'!$B21,Drawer!$L:$L,"Cash",Drawer!$O:$O,'Drawer Rec'!H$8,Drawer!$K:$K,"&lt;&gt;0")</f>
        <v>1</v>
      </c>
      <c r="I21" s="113">
        <f>COUNTIFS(Drawer!$E:$E,'Drawer Rec'!$B21,Drawer!$L:$L,"Cash",Drawer!$O:$O,'Drawer Rec'!I$8,Drawer!$K:$K,"&lt;&gt;0")</f>
        <v>1</v>
      </c>
      <c r="J21" s="113">
        <f>COUNTIFS(Drawer!$E:$E,'Drawer Rec'!$B21,Drawer!$L:$L,"Cash",Drawer!$O:$O,'Drawer Rec'!J$8,Drawer!$K:$K,"&lt;&gt;0")</f>
        <v>1</v>
      </c>
      <c r="K21" s="113">
        <f>COUNTIFS(Drawer!$E:$E,'Drawer Rec'!$B21,Drawer!$L:$L,"Cash",Drawer!$O:$O,'Drawer Rec'!K$8,Drawer!$K:$K,"&lt;&gt;0")</f>
        <v>0</v>
      </c>
      <c r="L21" s="113">
        <f>COUNTIFS(Drawer!$E:$E,'Drawer Rec'!$B21,Drawer!$L:$L,"Cash",Drawer!$O:$O,'Drawer Rec'!L$8,Drawer!$K:$K,"&lt;&gt;0")</f>
        <v>0</v>
      </c>
      <c r="M21" s="113">
        <f>COUNTIFS(Drawer!$E:$E,'Drawer Rec'!$B21,Drawer!$L:$L,"Cash",Drawer!$O:$O,'Drawer Rec'!M$8,Drawer!$K:$K,"&lt;&gt;0")</f>
        <v>1</v>
      </c>
      <c r="N21" s="113">
        <f>COUNTIFS(Drawer!$E:$E,'Drawer Rec'!$B21,Drawer!$L:$L,"Cash",Drawer!$O:$O,'Drawer Rec'!N$8,Drawer!$K:$K,"&lt;&gt;0")</f>
        <v>1</v>
      </c>
      <c r="O21" s="113">
        <f>COUNTIFS(Drawer!$E:$E,'Drawer Rec'!$B21,Drawer!$L:$L,"Cash",Drawer!$O:$O,'Drawer Rec'!O$8,Drawer!$K:$K,"&lt;&gt;0")</f>
        <v>1</v>
      </c>
      <c r="P21" s="113">
        <f>COUNTIFS(Drawer!$E:$E,'Drawer Rec'!$B21,Drawer!$L:$L,"Cash",Drawer!$O:$O,'Drawer Rec'!P$8,Drawer!$K:$K,"&lt;&gt;0")</f>
        <v>1</v>
      </c>
    </row>
    <row r="22" spans="1:16" x14ac:dyDescent="0.2">
      <c r="A22" s="140"/>
      <c r="B22" s="162">
        <v>223102</v>
      </c>
      <c r="C22" s="77"/>
      <c r="D22" s="76"/>
      <c r="E22" s="76">
        <v>16</v>
      </c>
      <c r="F22" s="76">
        <v>3</v>
      </c>
      <c r="G22" s="113">
        <f>COUNTIFS(Drawer!$E:$E,'Drawer Rec'!$B22,Drawer!$L:$L,"Cash",Drawer!$O:$O,'Drawer Rec'!G$8,Drawer!$K:$K,"&lt;&gt;0")</f>
        <v>0</v>
      </c>
      <c r="H22" s="113">
        <f>COUNTIFS(Drawer!$E:$E,'Drawer Rec'!$B22,Drawer!$L:$L,"Cash",Drawer!$O:$O,'Drawer Rec'!H$8,Drawer!$K:$K,"&lt;&gt;0")</f>
        <v>0</v>
      </c>
      <c r="I22" s="113">
        <f>COUNTIFS(Drawer!$E:$E,'Drawer Rec'!$B22,Drawer!$L:$L,"Cash",Drawer!$O:$O,'Drawer Rec'!I$8,Drawer!$K:$K,"&lt;&gt;0")</f>
        <v>0</v>
      </c>
      <c r="J22" s="113">
        <f>COUNTIFS(Drawer!$E:$E,'Drawer Rec'!$B22,Drawer!$L:$L,"Cash",Drawer!$O:$O,'Drawer Rec'!J$8,Drawer!$K:$K,"&lt;&gt;0")</f>
        <v>0</v>
      </c>
      <c r="K22" s="113">
        <f>COUNTIFS(Drawer!$E:$E,'Drawer Rec'!$B22,Drawer!$L:$L,"Cash",Drawer!$O:$O,'Drawer Rec'!K$8,Drawer!$K:$K,"&lt;&gt;0")</f>
        <v>0</v>
      </c>
      <c r="L22" s="113">
        <f>COUNTIFS(Drawer!$E:$E,'Drawer Rec'!$B22,Drawer!$L:$L,"Cash",Drawer!$O:$O,'Drawer Rec'!L$8,Drawer!$K:$K,"&lt;&gt;0")</f>
        <v>0</v>
      </c>
      <c r="M22" s="113">
        <f>COUNTIFS(Drawer!$E:$E,'Drawer Rec'!$B22,Drawer!$L:$L,"Cash",Drawer!$O:$O,'Drawer Rec'!M$8,Drawer!$K:$K,"&lt;&gt;0")</f>
        <v>0</v>
      </c>
      <c r="N22" s="113">
        <f>COUNTIFS(Drawer!$E:$E,'Drawer Rec'!$B22,Drawer!$L:$L,"Cash",Drawer!$O:$O,'Drawer Rec'!N$8,Drawer!$K:$K,"&lt;&gt;0")</f>
        <v>0</v>
      </c>
      <c r="O22" s="113">
        <f>COUNTIFS(Drawer!$E:$E,'Drawer Rec'!$B22,Drawer!$L:$L,"Cash",Drawer!$O:$O,'Drawer Rec'!O$8,Drawer!$K:$K,"&lt;&gt;0")</f>
        <v>0</v>
      </c>
      <c r="P22" s="113">
        <f>COUNTIFS(Drawer!$E:$E,'Drawer Rec'!$B22,Drawer!$L:$L,"Cash",Drawer!$O:$O,'Drawer Rec'!P$8,Drawer!$K:$K,"&lt;&gt;0")</f>
        <v>0</v>
      </c>
    </row>
    <row r="23" spans="1:16" x14ac:dyDescent="0.2">
      <c r="A23" s="76"/>
      <c r="B23" s="161">
        <v>223104</v>
      </c>
      <c r="C23" s="77"/>
      <c r="D23" s="76"/>
      <c r="E23" s="74">
        <v>16</v>
      </c>
      <c r="F23" s="78">
        <v>3</v>
      </c>
      <c r="G23" s="113">
        <f>COUNTIFS(Drawer!$E:$E,'Drawer Rec'!$B23,Drawer!$L:$L,"Cash",Drawer!$O:$O,'Drawer Rec'!G$8,Drawer!$K:$K,"&lt;&gt;0")</f>
        <v>0</v>
      </c>
      <c r="H23" s="113">
        <f>COUNTIFS(Drawer!$E:$E,'Drawer Rec'!$B23,Drawer!$L:$L,"Cash",Drawer!$O:$O,'Drawer Rec'!H$8,Drawer!$K:$K,"&lt;&gt;0")</f>
        <v>0</v>
      </c>
      <c r="I23" s="113">
        <f>COUNTIFS(Drawer!$E:$E,'Drawer Rec'!$B23,Drawer!$L:$L,"Cash",Drawer!$O:$O,'Drawer Rec'!I$8,Drawer!$K:$K,"&lt;&gt;0")</f>
        <v>0</v>
      </c>
      <c r="J23" s="113">
        <f>COUNTIFS(Drawer!$E:$E,'Drawer Rec'!$B23,Drawer!$L:$L,"Cash",Drawer!$O:$O,'Drawer Rec'!J$8,Drawer!$K:$K,"&lt;&gt;0")</f>
        <v>0</v>
      </c>
      <c r="K23" s="113">
        <f>COUNTIFS(Drawer!$E:$E,'Drawer Rec'!$B23,Drawer!$L:$L,"Cash",Drawer!$O:$O,'Drawer Rec'!K$8,Drawer!$K:$K,"&lt;&gt;0")</f>
        <v>0</v>
      </c>
      <c r="L23" s="113">
        <f>COUNTIFS(Drawer!$E:$E,'Drawer Rec'!$B23,Drawer!$L:$L,"Cash",Drawer!$O:$O,'Drawer Rec'!L$8,Drawer!$K:$K,"&lt;&gt;0")</f>
        <v>0</v>
      </c>
      <c r="M23" s="113">
        <f>COUNTIFS(Drawer!$E:$E,'Drawer Rec'!$B23,Drawer!$L:$L,"Cash",Drawer!$O:$O,'Drawer Rec'!M$8,Drawer!$K:$K,"&lt;&gt;0")</f>
        <v>0</v>
      </c>
      <c r="N23" s="113">
        <f>COUNTIFS(Drawer!$E:$E,'Drawer Rec'!$B23,Drawer!$L:$L,"Cash",Drawer!$O:$O,'Drawer Rec'!N$8,Drawer!$K:$K,"&lt;&gt;0")</f>
        <v>0</v>
      </c>
      <c r="O23" s="113">
        <f>COUNTIFS(Drawer!$E:$E,'Drawer Rec'!$B23,Drawer!$L:$L,"Cash",Drawer!$O:$O,'Drawer Rec'!O$8,Drawer!$K:$K,"&lt;&gt;0")</f>
        <v>0</v>
      </c>
      <c r="P23" s="113">
        <f>COUNTIFS(Drawer!$E:$E,'Drawer Rec'!$B23,Drawer!$L:$L,"Cash",Drawer!$O:$O,'Drawer Rec'!P$8,Drawer!$K:$K,"&lt;&gt;0")</f>
        <v>0</v>
      </c>
    </row>
    <row r="24" spans="1:16" x14ac:dyDescent="0.2">
      <c r="A24" s="76">
        <v>2234</v>
      </c>
      <c r="B24" s="161">
        <v>223401</v>
      </c>
      <c r="C24" s="77" t="s">
        <v>103</v>
      </c>
      <c r="D24" s="76"/>
      <c r="E24" s="74">
        <v>16</v>
      </c>
      <c r="F24" s="78">
        <v>3</v>
      </c>
      <c r="G24" s="113">
        <f>COUNTIFS(Drawer!$E:$E,'Drawer Rec'!$B24,Drawer!$L:$L,"Cash",Drawer!$O:$O,'Drawer Rec'!G$8,Drawer!$K:$K,"&lt;&gt;0")</f>
        <v>0</v>
      </c>
      <c r="H24" s="113">
        <f>COUNTIFS(Drawer!$E:$E,'Drawer Rec'!$B24,Drawer!$L:$L,"Cash",Drawer!$O:$O,'Drawer Rec'!H$8,Drawer!$K:$K,"&lt;&gt;0")</f>
        <v>0</v>
      </c>
      <c r="I24" s="113">
        <f>COUNTIFS(Drawer!$E:$E,'Drawer Rec'!$B24,Drawer!$L:$L,"Cash",Drawer!$O:$O,'Drawer Rec'!I$8,Drawer!$K:$K,"&lt;&gt;0")</f>
        <v>0</v>
      </c>
      <c r="J24" s="113">
        <f>COUNTIFS(Drawer!$E:$E,'Drawer Rec'!$B24,Drawer!$L:$L,"Cash",Drawer!$O:$O,'Drawer Rec'!J$8,Drawer!$K:$K,"&lt;&gt;0")</f>
        <v>0</v>
      </c>
      <c r="K24" s="113">
        <f>COUNTIFS(Drawer!$E:$E,'Drawer Rec'!$B24,Drawer!$L:$L,"Cash",Drawer!$O:$O,'Drawer Rec'!K$8,Drawer!$K:$K,"&lt;&gt;0")</f>
        <v>0</v>
      </c>
      <c r="L24" s="113">
        <f>COUNTIFS(Drawer!$E:$E,'Drawer Rec'!$B24,Drawer!$L:$L,"Cash",Drawer!$O:$O,'Drawer Rec'!L$8,Drawer!$K:$K,"&lt;&gt;0")</f>
        <v>0</v>
      </c>
      <c r="M24" s="113">
        <f>COUNTIFS(Drawer!$E:$E,'Drawer Rec'!$B24,Drawer!$L:$L,"Cash",Drawer!$O:$O,'Drawer Rec'!M$8,Drawer!$K:$K,"&lt;&gt;0")</f>
        <v>0</v>
      </c>
      <c r="N24" s="113">
        <f>COUNTIFS(Drawer!$E:$E,'Drawer Rec'!$B24,Drawer!$L:$L,"Cash",Drawer!$O:$O,'Drawer Rec'!N$8,Drawer!$K:$K,"&lt;&gt;0")</f>
        <v>0</v>
      </c>
      <c r="O24" s="113">
        <f>COUNTIFS(Drawer!$E:$E,'Drawer Rec'!$B24,Drawer!$L:$L,"Cash",Drawer!$O:$O,'Drawer Rec'!O$8,Drawer!$K:$K,"&lt;&gt;0")</f>
        <v>0</v>
      </c>
      <c r="P24" s="113">
        <f>COUNTIFS(Drawer!$E:$E,'Drawer Rec'!$B24,Drawer!$L:$L,"Cash",Drawer!$O:$O,'Drawer Rec'!P$8,Drawer!$K:$K,"&lt;&gt;0")</f>
        <v>0</v>
      </c>
    </row>
    <row r="25" spans="1:16" x14ac:dyDescent="0.2">
      <c r="A25" s="76"/>
      <c r="B25" s="161">
        <v>223402</v>
      </c>
      <c r="C25" s="77"/>
      <c r="D25" s="76"/>
      <c r="E25" s="74">
        <v>16</v>
      </c>
      <c r="F25" s="78">
        <v>3</v>
      </c>
      <c r="G25" s="113">
        <f>COUNTIFS(Drawer!$E:$E,'Drawer Rec'!$B25,Drawer!$L:$L,"Cash",Drawer!$O:$O,'Drawer Rec'!G$8,Drawer!$K:$K,"&lt;&gt;0")</f>
        <v>0</v>
      </c>
      <c r="H25" s="113">
        <f>COUNTIFS(Drawer!$E:$E,'Drawer Rec'!$B25,Drawer!$L:$L,"Cash",Drawer!$O:$O,'Drawer Rec'!H$8,Drawer!$K:$K,"&lt;&gt;0")</f>
        <v>0</v>
      </c>
      <c r="I25" s="113">
        <f>COUNTIFS(Drawer!$E:$E,'Drawer Rec'!$B25,Drawer!$L:$L,"Cash",Drawer!$O:$O,'Drawer Rec'!I$8,Drawer!$K:$K,"&lt;&gt;0")</f>
        <v>0</v>
      </c>
      <c r="J25" s="113">
        <f>COUNTIFS(Drawer!$E:$E,'Drawer Rec'!$B25,Drawer!$L:$L,"Cash",Drawer!$O:$O,'Drawer Rec'!J$8,Drawer!$K:$K,"&lt;&gt;0")</f>
        <v>0</v>
      </c>
      <c r="K25" s="113">
        <f>COUNTIFS(Drawer!$E:$E,'Drawer Rec'!$B25,Drawer!$L:$L,"Cash",Drawer!$O:$O,'Drawer Rec'!K$8,Drawer!$K:$K,"&lt;&gt;0")</f>
        <v>0</v>
      </c>
      <c r="L25" s="113">
        <f>COUNTIFS(Drawer!$E:$E,'Drawer Rec'!$B25,Drawer!$L:$L,"Cash",Drawer!$O:$O,'Drawer Rec'!L$8,Drawer!$K:$K,"&lt;&gt;0")</f>
        <v>0</v>
      </c>
      <c r="M25" s="113">
        <f>COUNTIFS(Drawer!$E:$E,'Drawer Rec'!$B25,Drawer!$L:$L,"Cash",Drawer!$O:$O,'Drawer Rec'!M$8,Drawer!$K:$K,"&lt;&gt;0")</f>
        <v>0</v>
      </c>
      <c r="N25" s="113">
        <f>COUNTIFS(Drawer!$E:$E,'Drawer Rec'!$B25,Drawer!$L:$L,"Cash",Drawer!$O:$O,'Drawer Rec'!N$8,Drawer!$K:$K,"&lt;&gt;0")</f>
        <v>0</v>
      </c>
      <c r="O25" s="113">
        <f>COUNTIFS(Drawer!$E:$E,'Drawer Rec'!$B25,Drawer!$L:$L,"Cash",Drawer!$O:$O,'Drawer Rec'!O$8,Drawer!$K:$K,"&lt;&gt;0")</f>
        <v>0</v>
      </c>
      <c r="P25" s="113">
        <f>COUNTIFS(Drawer!$E:$E,'Drawer Rec'!$B25,Drawer!$L:$L,"Cash",Drawer!$O:$O,'Drawer Rec'!P$8,Drawer!$K:$K,"&lt;&gt;0")</f>
        <v>0</v>
      </c>
    </row>
    <row r="26" spans="1:16" x14ac:dyDescent="0.2">
      <c r="A26" s="76">
        <v>2450</v>
      </c>
      <c r="B26" s="161">
        <v>245001</v>
      </c>
      <c r="C26" s="77" t="s">
        <v>69</v>
      </c>
      <c r="D26" s="76">
        <v>2</v>
      </c>
      <c r="E26" s="74">
        <v>15</v>
      </c>
      <c r="F26" s="78">
        <v>2</v>
      </c>
      <c r="G26" s="113">
        <f>COUNTIFS(Drawer!$E:$E,'Drawer Rec'!$B26,Drawer!$L:$L,"Cash",Drawer!$O:$O,'Drawer Rec'!G$8,Drawer!$K:$K,"&lt;&gt;0")</f>
        <v>1</v>
      </c>
      <c r="H26" s="113">
        <f>COUNTIFS(Drawer!$E:$E,'Drawer Rec'!$B26,Drawer!$L:$L,"Cash",Drawer!$O:$O,'Drawer Rec'!H$8,Drawer!$K:$K,"&lt;&gt;0")</f>
        <v>1</v>
      </c>
      <c r="I26" s="113">
        <f>COUNTIFS(Drawer!$E:$E,'Drawer Rec'!$B26,Drawer!$L:$L,"Cash",Drawer!$O:$O,'Drawer Rec'!I$8,Drawer!$K:$K,"&lt;&gt;0")</f>
        <v>1</v>
      </c>
      <c r="J26" s="113">
        <f>COUNTIFS(Drawer!$E:$E,'Drawer Rec'!$B26,Drawer!$L:$L,"Cash",Drawer!$O:$O,'Drawer Rec'!J$8,Drawer!$K:$K,"&lt;&gt;0")</f>
        <v>1</v>
      </c>
      <c r="K26" s="113">
        <f>COUNTIFS(Drawer!$E:$E,'Drawer Rec'!$B26,Drawer!$L:$L,"Cash",Drawer!$O:$O,'Drawer Rec'!K$8,Drawer!$K:$K,"&lt;&gt;0")</f>
        <v>1</v>
      </c>
      <c r="L26" s="113">
        <f>COUNTIFS(Drawer!$E:$E,'Drawer Rec'!$B26,Drawer!$L:$L,"Cash",Drawer!$O:$O,'Drawer Rec'!L$8,Drawer!$K:$K,"&lt;&gt;0")</f>
        <v>1</v>
      </c>
      <c r="M26" s="113">
        <f>COUNTIFS(Drawer!$E:$E,'Drawer Rec'!$B26,Drawer!$L:$L,"Cash",Drawer!$O:$O,'Drawer Rec'!M$8,Drawer!$K:$K,"&lt;&gt;0")</f>
        <v>1</v>
      </c>
      <c r="N26" s="113">
        <f>COUNTIFS(Drawer!$E:$E,'Drawer Rec'!$B26,Drawer!$L:$L,"Cash",Drawer!$O:$O,'Drawer Rec'!N$8,Drawer!$K:$K,"&lt;&gt;0")</f>
        <v>1</v>
      </c>
      <c r="O26" s="113">
        <f>COUNTIFS(Drawer!$E:$E,'Drawer Rec'!$B26,Drawer!$L:$L,"Cash",Drawer!$O:$O,'Drawer Rec'!O$8,Drawer!$K:$K,"&lt;&gt;0")</f>
        <v>1</v>
      </c>
      <c r="P26" s="113">
        <f>COUNTIFS(Drawer!$E:$E,'Drawer Rec'!$B26,Drawer!$L:$L,"Cash",Drawer!$O:$O,'Drawer Rec'!P$8,Drawer!$K:$K,"&lt;&gt;0")</f>
        <v>1</v>
      </c>
    </row>
    <row r="27" spans="1:16" x14ac:dyDescent="0.2">
      <c r="A27" s="76"/>
      <c r="B27" s="161">
        <v>245002</v>
      </c>
      <c r="C27" s="77"/>
      <c r="D27" s="76"/>
      <c r="E27" s="74">
        <v>15</v>
      </c>
      <c r="F27" s="78">
        <v>2</v>
      </c>
      <c r="G27" s="113">
        <f>COUNTIFS(Drawer!$E:$E,'Drawer Rec'!$B27,Drawer!$L:$L,"Cash",Drawer!$O:$O,'Drawer Rec'!G$8,Drawer!$K:$K,"&lt;&gt;0")</f>
        <v>0</v>
      </c>
      <c r="H27" s="113">
        <f>COUNTIFS(Drawer!$E:$E,'Drawer Rec'!$B27,Drawer!$L:$L,"Cash",Drawer!$O:$O,'Drawer Rec'!H$8,Drawer!$K:$K,"&lt;&gt;0")</f>
        <v>0</v>
      </c>
      <c r="I27" s="113">
        <f>COUNTIFS(Drawer!$E:$E,'Drawer Rec'!$B27,Drawer!$L:$L,"Cash",Drawer!$O:$O,'Drawer Rec'!I$8,Drawer!$K:$K,"&lt;&gt;0")</f>
        <v>0</v>
      </c>
      <c r="J27" s="113">
        <f>COUNTIFS(Drawer!$E:$E,'Drawer Rec'!$B27,Drawer!$L:$L,"Cash",Drawer!$O:$O,'Drawer Rec'!J$8,Drawer!$K:$K,"&lt;&gt;0")</f>
        <v>0</v>
      </c>
      <c r="K27" s="113">
        <f>COUNTIFS(Drawer!$E:$E,'Drawer Rec'!$B27,Drawer!$L:$L,"Cash",Drawer!$O:$O,'Drawer Rec'!K$8,Drawer!$K:$K,"&lt;&gt;0")</f>
        <v>0</v>
      </c>
      <c r="L27" s="113">
        <f>COUNTIFS(Drawer!$E:$E,'Drawer Rec'!$B27,Drawer!$L:$L,"Cash",Drawer!$O:$O,'Drawer Rec'!L$8,Drawer!$K:$K,"&lt;&gt;0")</f>
        <v>0</v>
      </c>
      <c r="M27" s="113">
        <f>COUNTIFS(Drawer!$E:$E,'Drawer Rec'!$B27,Drawer!$L:$L,"Cash",Drawer!$O:$O,'Drawer Rec'!M$8,Drawer!$K:$K,"&lt;&gt;0")</f>
        <v>0</v>
      </c>
      <c r="N27" s="113">
        <f>COUNTIFS(Drawer!$E:$E,'Drawer Rec'!$B27,Drawer!$L:$L,"Cash",Drawer!$O:$O,'Drawer Rec'!N$8,Drawer!$K:$K,"&lt;&gt;0")</f>
        <v>0</v>
      </c>
      <c r="O27" s="113">
        <f>COUNTIFS(Drawer!$E:$E,'Drawer Rec'!$B27,Drawer!$L:$L,"Cash",Drawer!$O:$O,'Drawer Rec'!O$8,Drawer!$K:$K,"&lt;&gt;0")</f>
        <v>0</v>
      </c>
      <c r="P27" s="113">
        <f>COUNTIFS(Drawer!$E:$E,'Drawer Rec'!$B27,Drawer!$L:$L,"Cash",Drawer!$O:$O,'Drawer Rec'!P$8,Drawer!$K:$K,"&lt;&gt;0")</f>
        <v>0</v>
      </c>
    </row>
    <row r="28" spans="1:16" x14ac:dyDescent="0.2">
      <c r="A28" s="76">
        <v>2225</v>
      </c>
      <c r="B28" s="161">
        <v>222501</v>
      </c>
      <c r="C28" s="77" t="s">
        <v>142</v>
      </c>
      <c r="D28" s="76"/>
      <c r="E28" s="74">
        <v>15</v>
      </c>
      <c r="F28" s="78">
        <v>2</v>
      </c>
      <c r="G28" s="113">
        <f>COUNTIFS(Drawer!$E:$E,'Drawer Rec'!$B28,Drawer!$L:$L,"Cash",Drawer!$O:$O,'Drawer Rec'!G$8,Drawer!$K:$K,"&lt;&gt;0")</f>
        <v>1</v>
      </c>
      <c r="H28" s="113">
        <f>COUNTIFS(Drawer!$E:$E,'Drawer Rec'!$B28,Drawer!$L:$L,"Cash",Drawer!$O:$O,'Drawer Rec'!H$8,Drawer!$K:$K,"&lt;&gt;0")</f>
        <v>1</v>
      </c>
      <c r="I28" s="113">
        <f>COUNTIFS(Drawer!$E:$E,'Drawer Rec'!$B28,Drawer!$L:$L,"Cash",Drawer!$O:$O,'Drawer Rec'!I$8,Drawer!$K:$K,"&lt;&gt;0")</f>
        <v>1</v>
      </c>
      <c r="J28" s="113">
        <f>COUNTIFS(Drawer!$E:$E,'Drawer Rec'!$B28,Drawer!$L:$L,"Cash",Drawer!$O:$O,'Drawer Rec'!J$8,Drawer!$K:$K,"&lt;&gt;0")</f>
        <v>1</v>
      </c>
      <c r="K28" s="113">
        <f>COUNTIFS(Drawer!$E:$E,'Drawer Rec'!$B28,Drawer!$L:$L,"Cash",Drawer!$O:$O,'Drawer Rec'!K$8,Drawer!$K:$K,"&lt;&gt;0")</f>
        <v>1</v>
      </c>
      <c r="L28" s="113">
        <f>COUNTIFS(Drawer!$E:$E,'Drawer Rec'!$B28,Drawer!$L:$L,"Cash",Drawer!$O:$O,'Drawer Rec'!L$8,Drawer!$K:$K,"&lt;&gt;0")</f>
        <v>1</v>
      </c>
      <c r="M28" s="113">
        <f>COUNTIFS(Drawer!$E:$E,'Drawer Rec'!$B28,Drawer!$L:$L,"Cash",Drawer!$O:$O,'Drawer Rec'!M$8,Drawer!$K:$K,"&lt;&gt;0")</f>
        <v>1</v>
      </c>
      <c r="N28" s="113">
        <f>COUNTIFS(Drawer!$E:$E,'Drawer Rec'!$B28,Drawer!$L:$L,"Cash",Drawer!$O:$O,'Drawer Rec'!N$8,Drawer!$K:$K,"&lt;&gt;0")</f>
        <v>1</v>
      </c>
      <c r="O28" s="113">
        <f>COUNTIFS(Drawer!$E:$E,'Drawer Rec'!$B28,Drawer!$L:$L,"Cash",Drawer!$O:$O,'Drawer Rec'!O$8,Drawer!$K:$K,"&lt;&gt;0")</f>
        <v>0</v>
      </c>
      <c r="P28" s="113">
        <f>COUNTIFS(Drawer!$E:$E,'Drawer Rec'!$B28,Drawer!$L:$L,"Cash",Drawer!$O:$O,'Drawer Rec'!P$8,Drawer!$K:$K,"&lt;&gt;0")</f>
        <v>0</v>
      </c>
    </row>
    <row r="29" spans="1:16" x14ac:dyDescent="0.2">
      <c r="A29" s="76"/>
      <c r="B29" s="161">
        <v>222502</v>
      </c>
      <c r="C29" s="77"/>
      <c r="D29" s="76"/>
      <c r="E29" s="74"/>
      <c r="F29" s="78">
        <v>2</v>
      </c>
      <c r="G29" s="113">
        <f>COUNTIFS(Drawer!$E:$E,'Drawer Rec'!$B29,Drawer!$L:$L,"Cash",Drawer!$O:$O,'Drawer Rec'!G$8,Drawer!$K:$K,"&lt;&gt;0")</f>
        <v>0</v>
      </c>
      <c r="H29" s="113">
        <f>COUNTIFS(Drawer!$E:$E,'Drawer Rec'!$B29,Drawer!$L:$L,"Cash",Drawer!$O:$O,'Drawer Rec'!H$8,Drawer!$K:$K,"&lt;&gt;0")</f>
        <v>0</v>
      </c>
      <c r="I29" s="113">
        <f>COUNTIFS(Drawer!$E:$E,'Drawer Rec'!$B29,Drawer!$L:$L,"Cash",Drawer!$O:$O,'Drawer Rec'!I$8,Drawer!$K:$K,"&lt;&gt;0")</f>
        <v>0</v>
      </c>
      <c r="J29" s="113">
        <f>COUNTIFS(Drawer!$E:$E,'Drawer Rec'!$B29,Drawer!$L:$L,"Cash",Drawer!$O:$O,'Drawer Rec'!J$8,Drawer!$K:$K,"&lt;&gt;0")</f>
        <v>0</v>
      </c>
      <c r="K29" s="113">
        <f>COUNTIFS(Drawer!$E:$E,'Drawer Rec'!$B29,Drawer!$L:$L,"Cash",Drawer!$O:$O,'Drawer Rec'!K$8,Drawer!$K:$K,"&lt;&gt;0")</f>
        <v>0</v>
      </c>
      <c r="L29" s="113">
        <f>COUNTIFS(Drawer!$E:$E,'Drawer Rec'!$B29,Drawer!$L:$L,"Cash",Drawer!$O:$O,'Drawer Rec'!L$8,Drawer!$K:$K,"&lt;&gt;0")</f>
        <v>0</v>
      </c>
      <c r="M29" s="113">
        <f>COUNTIFS(Drawer!$E:$E,'Drawer Rec'!$B29,Drawer!$L:$L,"Cash",Drawer!$O:$O,'Drawer Rec'!M$8,Drawer!$K:$K,"&lt;&gt;0")</f>
        <v>0</v>
      </c>
      <c r="N29" s="113">
        <f>COUNTIFS(Drawer!$E:$E,'Drawer Rec'!$B29,Drawer!$L:$L,"Cash",Drawer!$O:$O,'Drawer Rec'!N$8,Drawer!$K:$K,"&lt;&gt;0")</f>
        <v>0</v>
      </c>
      <c r="O29" s="113">
        <f>COUNTIFS(Drawer!$E:$E,'Drawer Rec'!$B29,Drawer!$L:$L,"Cash",Drawer!$O:$O,'Drawer Rec'!O$8,Drawer!$K:$K,"&lt;&gt;0")</f>
        <v>1</v>
      </c>
      <c r="P29" s="113">
        <f>COUNTIFS(Drawer!$E:$E,'Drawer Rec'!$B29,Drawer!$L:$L,"Cash",Drawer!$O:$O,'Drawer Rec'!P$8,Drawer!$K:$K,"&lt;&gt;0")</f>
        <v>1</v>
      </c>
    </row>
    <row r="30" spans="1:16" x14ac:dyDescent="0.2">
      <c r="A30" s="76">
        <v>3191</v>
      </c>
      <c r="B30" s="161">
        <v>319101</v>
      </c>
      <c r="C30" s="77" t="s">
        <v>15</v>
      </c>
      <c r="D30" s="76">
        <v>2</v>
      </c>
      <c r="E30" s="74">
        <v>16</v>
      </c>
      <c r="F30" s="78">
        <v>2</v>
      </c>
      <c r="G30" s="113">
        <f>COUNTIFS(Drawer!$E:$E,'Drawer Rec'!$B30,Drawer!$L:$L,"Cash",Drawer!$O:$O,'Drawer Rec'!G$8,Drawer!$K:$K,"&lt;&gt;0")</f>
        <v>1</v>
      </c>
      <c r="H30" s="113">
        <f>COUNTIFS(Drawer!$E:$E,'Drawer Rec'!$B30,Drawer!$L:$L,"Cash",Drawer!$O:$O,'Drawer Rec'!H$8,Drawer!$K:$K,"&lt;&gt;0")</f>
        <v>1</v>
      </c>
      <c r="I30" s="113">
        <f>COUNTIFS(Drawer!$E:$E,'Drawer Rec'!$B30,Drawer!$L:$L,"Cash",Drawer!$O:$O,'Drawer Rec'!I$8,Drawer!$K:$K,"&lt;&gt;0")</f>
        <v>1</v>
      </c>
      <c r="J30" s="113">
        <f>COUNTIFS(Drawer!$E:$E,'Drawer Rec'!$B30,Drawer!$L:$L,"Cash",Drawer!$O:$O,'Drawer Rec'!J$8,Drawer!$K:$K,"&lt;&gt;0")</f>
        <v>1</v>
      </c>
      <c r="K30" s="113">
        <f>COUNTIFS(Drawer!$E:$E,'Drawer Rec'!$B30,Drawer!$L:$L,"Cash",Drawer!$O:$O,'Drawer Rec'!K$8,Drawer!$K:$K,"&lt;&gt;0")</f>
        <v>1</v>
      </c>
      <c r="L30" s="113">
        <f>COUNTIFS(Drawer!$E:$E,'Drawer Rec'!$B30,Drawer!$L:$L,"Cash",Drawer!$O:$O,'Drawer Rec'!L$8,Drawer!$K:$K,"&lt;&gt;0")</f>
        <v>1</v>
      </c>
      <c r="M30" s="113">
        <f>COUNTIFS(Drawer!$E:$E,'Drawer Rec'!$B30,Drawer!$L:$L,"Cash",Drawer!$O:$O,'Drawer Rec'!M$8,Drawer!$K:$K,"&lt;&gt;0")</f>
        <v>1</v>
      </c>
      <c r="N30" s="113">
        <f>COUNTIFS(Drawer!$E:$E,'Drawer Rec'!$B30,Drawer!$L:$L,"Cash",Drawer!$O:$O,'Drawer Rec'!N$8,Drawer!$K:$K,"&lt;&gt;0")</f>
        <v>1</v>
      </c>
      <c r="O30" s="113">
        <f>COUNTIFS(Drawer!$E:$E,'Drawer Rec'!$B30,Drawer!$L:$L,"Cash",Drawer!$O:$O,'Drawer Rec'!O$8,Drawer!$K:$K,"&lt;&gt;0")</f>
        <v>1</v>
      </c>
      <c r="P30" s="113">
        <f>COUNTIFS(Drawer!$E:$E,'Drawer Rec'!$B30,Drawer!$L:$L,"Cash",Drawer!$O:$O,'Drawer Rec'!P$8,Drawer!$K:$K,"&lt;&gt;0")</f>
        <v>1</v>
      </c>
    </row>
    <row r="31" spans="1:16" x14ac:dyDescent="0.2">
      <c r="A31" s="76"/>
      <c r="B31" s="161">
        <v>319102</v>
      </c>
      <c r="C31" s="163"/>
      <c r="D31" s="76"/>
      <c r="E31" s="74">
        <v>16</v>
      </c>
      <c r="F31" s="78">
        <v>2</v>
      </c>
      <c r="G31" s="113">
        <f>COUNTIFS(Drawer!$E:$E,'Drawer Rec'!$B31,Drawer!$L:$L,"Cash",Drawer!$O:$O,'Drawer Rec'!G$8,Drawer!$K:$K,"&lt;&gt;0")</f>
        <v>0</v>
      </c>
      <c r="H31" s="113">
        <f>COUNTIFS(Drawer!$E:$E,'Drawer Rec'!$B31,Drawer!$L:$L,"Cash",Drawer!$O:$O,'Drawer Rec'!H$8,Drawer!$K:$K,"&lt;&gt;0")</f>
        <v>0</v>
      </c>
      <c r="I31" s="113">
        <f>COUNTIFS(Drawer!$E:$E,'Drawer Rec'!$B31,Drawer!$L:$L,"Cash",Drawer!$O:$O,'Drawer Rec'!I$8,Drawer!$K:$K,"&lt;&gt;0")</f>
        <v>0</v>
      </c>
      <c r="J31" s="113">
        <f>COUNTIFS(Drawer!$E:$E,'Drawer Rec'!$B31,Drawer!$L:$L,"Cash",Drawer!$O:$O,'Drawer Rec'!J$8,Drawer!$K:$K,"&lt;&gt;0")</f>
        <v>0</v>
      </c>
      <c r="K31" s="113">
        <f>COUNTIFS(Drawer!$E:$E,'Drawer Rec'!$B31,Drawer!$L:$L,"Cash",Drawer!$O:$O,'Drawer Rec'!K$8,Drawer!$K:$K,"&lt;&gt;0")</f>
        <v>0</v>
      </c>
      <c r="L31" s="113">
        <f>COUNTIFS(Drawer!$E:$E,'Drawer Rec'!$B31,Drawer!$L:$L,"Cash",Drawer!$O:$O,'Drawer Rec'!L$8,Drawer!$K:$K,"&lt;&gt;0")</f>
        <v>0</v>
      </c>
      <c r="M31" s="113">
        <f>COUNTIFS(Drawer!$E:$E,'Drawer Rec'!$B31,Drawer!$L:$L,"Cash",Drawer!$O:$O,'Drawer Rec'!M$8,Drawer!$K:$K,"&lt;&gt;0")</f>
        <v>0</v>
      </c>
      <c r="N31" s="113">
        <f>COUNTIFS(Drawer!$E:$E,'Drawer Rec'!$B31,Drawer!$L:$L,"Cash",Drawer!$O:$O,'Drawer Rec'!N$8,Drawer!$K:$K,"&lt;&gt;0")</f>
        <v>0</v>
      </c>
      <c r="O31" s="113">
        <f>COUNTIFS(Drawer!$E:$E,'Drawer Rec'!$B31,Drawer!$L:$L,"Cash",Drawer!$O:$O,'Drawer Rec'!O$8,Drawer!$K:$K,"&lt;&gt;0")</f>
        <v>0</v>
      </c>
      <c r="P31" s="113">
        <f>COUNTIFS(Drawer!$E:$E,'Drawer Rec'!$B31,Drawer!$L:$L,"Cash",Drawer!$O:$O,'Drawer Rec'!P$8,Drawer!$K:$K,"&lt;&gt;0")</f>
        <v>0</v>
      </c>
    </row>
    <row r="32" spans="1:16" x14ac:dyDescent="0.2">
      <c r="A32" s="76">
        <v>4100</v>
      </c>
      <c r="B32" s="161">
        <v>410001</v>
      </c>
      <c r="C32" s="77" t="s">
        <v>21</v>
      </c>
      <c r="D32" s="76">
        <v>2</v>
      </c>
      <c r="E32" s="74">
        <v>11.5</v>
      </c>
      <c r="F32" s="78">
        <v>2</v>
      </c>
      <c r="G32" s="113">
        <f>COUNTIFS(Drawer!$E:$E,'Drawer Rec'!$B32,Drawer!$L:$L,"Cash",Drawer!$O:$O,'Drawer Rec'!G$8,Drawer!$K:$K,"&lt;&gt;0")</f>
        <v>1</v>
      </c>
      <c r="H32" s="113">
        <f>COUNTIFS(Drawer!$E:$E,'Drawer Rec'!$B32,Drawer!$L:$L,"Cash",Drawer!$O:$O,'Drawer Rec'!H$8,Drawer!$K:$K,"&lt;&gt;0")</f>
        <v>1</v>
      </c>
      <c r="I32" s="113">
        <f>COUNTIFS(Drawer!$E:$E,'Drawer Rec'!$B32,Drawer!$L:$L,"Cash",Drawer!$O:$O,'Drawer Rec'!I$8,Drawer!$K:$K,"&lt;&gt;0")</f>
        <v>1</v>
      </c>
      <c r="J32" s="113">
        <f>COUNTIFS(Drawer!$E:$E,'Drawer Rec'!$B32,Drawer!$L:$L,"Cash",Drawer!$O:$O,'Drawer Rec'!J$8,Drawer!$K:$K,"&lt;&gt;0")</f>
        <v>1</v>
      </c>
      <c r="K32" s="113">
        <f>COUNTIFS(Drawer!$E:$E,'Drawer Rec'!$B32,Drawer!$L:$L,"Cash",Drawer!$O:$O,'Drawer Rec'!K$8,Drawer!$K:$K,"&lt;&gt;0")</f>
        <v>1</v>
      </c>
      <c r="L32" s="113">
        <f>COUNTIFS(Drawer!$E:$E,'Drawer Rec'!$B32,Drawer!$L:$L,"Cash",Drawer!$O:$O,'Drawer Rec'!L$8,Drawer!$K:$K,"&lt;&gt;0")</f>
        <v>1</v>
      </c>
      <c r="M32" s="113">
        <f>COUNTIFS(Drawer!$E:$E,'Drawer Rec'!$B32,Drawer!$L:$L,"Cash",Drawer!$O:$O,'Drawer Rec'!M$8,Drawer!$K:$K,"&lt;&gt;0")</f>
        <v>1</v>
      </c>
      <c r="N32" s="113">
        <f>COUNTIFS(Drawer!$E:$E,'Drawer Rec'!$B32,Drawer!$L:$L,"Cash",Drawer!$O:$O,'Drawer Rec'!N$8,Drawer!$K:$K,"&lt;&gt;0")</f>
        <v>1</v>
      </c>
      <c r="O32" s="113">
        <f>COUNTIFS(Drawer!$E:$E,'Drawer Rec'!$B32,Drawer!$L:$L,"Cash",Drawer!$O:$O,'Drawer Rec'!O$8,Drawer!$K:$K,"&lt;&gt;0")</f>
        <v>1</v>
      </c>
      <c r="P32" s="113">
        <f>COUNTIFS(Drawer!$E:$E,'Drawer Rec'!$B32,Drawer!$L:$L,"Cash",Drawer!$O:$O,'Drawer Rec'!P$8,Drawer!$K:$K,"&lt;&gt;0")</f>
        <v>1</v>
      </c>
    </row>
    <row r="33" spans="1:16" x14ac:dyDescent="0.2">
      <c r="A33" s="76"/>
      <c r="B33" s="161">
        <v>410002</v>
      </c>
      <c r="C33" s="77"/>
      <c r="D33" s="76"/>
      <c r="E33" s="74"/>
      <c r="F33" s="78">
        <v>2</v>
      </c>
      <c r="G33" s="113">
        <f>COUNTIFS(Drawer!$E:$E,'Drawer Rec'!$B33,Drawer!$L:$L,"Cash",Drawer!$O:$O,'Drawer Rec'!G$8,Drawer!$K:$K,"&lt;&gt;0")</f>
        <v>0</v>
      </c>
      <c r="H33" s="113">
        <f>COUNTIFS(Drawer!$E:$E,'Drawer Rec'!$B33,Drawer!$L:$L,"Cash",Drawer!$O:$O,'Drawer Rec'!H$8,Drawer!$K:$K,"&lt;&gt;0")</f>
        <v>0</v>
      </c>
      <c r="I33" s="113">
        <f>COUNTIFS(Drawer!$E:$E,'Drawer Rec'!$B33,Drawer!$L:$L,"Cash",Drawer!$O:$O,'Drawer Rec'!I$8,Drawer!$K:$K,"&lt;&gt;0")</f>
        <v>0</v>
      </c>
      <c r="J33" s="113">
        <f>COUNTIFS(Drawer!$E:$E,'Drawer Rec'!$B33,Drawer!$L:$L,"Cash",Drawer!$O:$O,'Drawer Rec'!J$8,Drawer!$K:$K,"&lt;&gt;0")</f>
        <v>0</v>
      </c>
      <c r="K33" s="113">
        <f>COUNTIFS(Drawer!$E:$E,'Drawer Rec'!$B33,Drawer!$L:$L,"Cash",Drawer!$O:$O,'Drawer Rec'!K$8,Drawer!$K:$K,"&lt;&gt;0")</f>
        <v>0</v>
      </c>
      <c r="L33" s="113">
        <f>COUNTIFS(Drawer!$E:$E,'Drawer Rec'!$B33,Drawer!$L:$L,"Cash",Drawer!$O:$O,'Drawer Rec'!L$8,Drawer!$K:$K,"&lt;&gt;0")</f>
        <v>0</v>
      </c>
      <c r="M33" s="113">
        <f>COUNTIFS(Drawer!$E:$E,'Drawer Rec'!$B33,Drawer!$L:$L,"Cash",Drawer!$O:$O,'Drawer Rec'!M$8,Drawer!$K:$K,"&lt;&gt;0")</f>
        <v>0</v>
      </c>
      <c r="N33" s="113">
        <f>COUNTIFS(Drawer!$E:$E,'Drawer Rec'!$B33,Drawer!$L:$L,"Cash",Drawer!$O:$O,'Drawer Rec'!N$8,Drawer!$K:$K,"&lt;&gt;0")</f>
        <v>0</v>
      </c>
      <c r="O33" s="113">
        <f>COUNTIFS(Drawer!$E:$E,'Drawer Rec'!$B33,Drawer!$L:$L,"Cash",Drawer!$O:$O,'Drawer Rec'!O$8,Drawer!$K:$K,"&lt;&gt;0")</f>
        <v>0</v>
      </c>
      <c r="P33" s="113">
        <f>COUNTIFS(Drawer!$E:$E,'Drawer Rec'!$B33,Drawer!$L:$L,"Cash",Drawer!$O:$O,'Drawer Rec'!P$8,Drawer!$K:$K,"&lt;&gt;0")</f>
        <v>0</v>
      </c>
    </row>
    <row r="34" spans="1:16" x14ac:dyDescent="0.2">
      <c r="A34" s="76">
        <v>4101</v>
      </c>
      <c r="B34" s="161">
        <v>410101</v>
      </c>
      <c r="C34" s="77" t="s">
        <v>129</v>
      </c>
      <c r="D34" s="76">
        <v>3</v>
      </c>
      <c r="E34" s="74"/>
      <c r="F34" s="78">
        <v>2</v>
      </c>
      <c r="G34" s="113">
        <f>COUNTIFS(Drawer!$E:$E,'Drawer Rec'!$B34,Drawer!$L:$L,"Cash",Drawer!$O:$O,'Drawer Rec'!G$8,Drawer!$K:$K,"&lt;&gt;0")</f>
        <v>1</v>
      </c>
      <c r="H34" s="113">
        <f>COUNTIFS(Drawer!$E:$E,'Drawer Rec'!$B34,Drawer!$L:$L,"Cash",Drawer!$O:$O,'Drawer Rec'!H$8,Drawer!$K:$K,"&lt;&gt;0")</f>
        <v>1</v>
      </c>
      <c r="I34" s="113">
        <f>COUNTIFS(Drawer!$E:$E,'Drawer Rec'!$B34,Drawer!$L:$L,"Cash",Drawer!$O:$O,'Drawer Rec'!I$8,Drawer!$K:$K,"&lt;&gt;0")</f>
        <v>1</v>
      </c>
      <c r="J34" s="113">
        <f>COUNTIFS(Drawer!$E:$E,'Drawer Rec'!$B34,Drawer!$L:$L,"Cash",Drawer!$O:$O,'Drawer Rec'!J$8,Drawer!$K:$K,"&lt;&gt;0")</f>
        <v>1</v>
      </c>
      <c r="K34" s="113">
        <f>COUNTIFS(Drawer!$E:$E,'Drawer Rec'!$B34,Drawer!$L:$L,"Cash",Drawer!$O:$O,'Drawer Rec'!K$8,Drawer!$K:$K,"&lt;&gt;0")</f>
        <v>1</v>
      </c>
      <c r="L34" s="113">
        <f>COUNTIFS(Drawer!$E:$E,'Drawer Rec'!$B34,Drawer!$L:$L,"Cash",Drawer!$O:$O,'Drawer Rec'!L$8,Drawer!$K:$K,"&lt;&gt;0")</f>
        <v>1</v>
      </c>
      <c r="M34" s="113">
        <f>COUNTIFS(Drawer!$E:$E,'Drawer Rec'!$B34,Drawer!$L:$L,"Cash",Drawer!$O:$O,'Drawer Rec'!M$8,Drawer!$K:$K,"&lt;&gt;0")</f>
        <v>1</v>
      </c>
      <c r="N34" s="113">
        <f>COUNTIFS(Drawer!$E:$E,'Drawer Rec'!$B34,Drawer!$L:$L,"Cash",Drawer!$O:$O,'Drawer Rec'!N$8,Drawer!$K:$K,"&lt;&gt;0")</f>
        <v>1</v>
      </c>
      <c r="O34" s="113">
        <f>COUNTIFS(Drawer!$E:$E,'Drawer Rec'!$B34,Drawer!$L:$L,"Cash",Drawer!$O:$O,'Drawer Rec'!O$8,Drawer!$K:$K,"&lt;&gt;0")</f>
        <v>1</v>
      </c>
      <c r="P34" s="113">
        <f>COUNTIFS(Drawer!$E:$E,'Drawer Rec'!$B34,Drawer!$L:$L,"Cash",Drawer!$O:$O,'Drawer Rec'!P$8,Drawer!$K:$K,"&lt;&gt;0")</f>
        <v>1</v>
      </c>
    </row>
    <row r="35" spans="1:16" x14ac:dyDescent="0.2">
      <c r="A35" s="76"/>
      <c r="B35" s="161">
        <v>410102</v>
      </c>
      <c r="C35" s="77"/>
      <c r="D35" s="76"/>
      <c r="E35" s="74"/>
      <c r="F35" s="78">
        <v>2</v>
      </c>
      <c r="G35" s="113">
        <f>COUNTIFS(Drawer!$E:$E,'Drawer Rec'!$B35,Drawer!$L:$L,"Cash",Drawer!$O:$O,'Drawer Rec'!G$8,Drawer!$K:$K,"&lt;&gt;0")</f>
        <v>0</v>
      </c>
      <c r="H35" s="113">
        <f>COUNTIFS(Drawer!$E:$E,'Drawer Rec'!$B35,Drawer!$L:$L,"Cash",Drawer!$O:$O,'Drawer Rec'!H$8,Drawer!$K:$K,"&lt;&gt;0")</f>
        <v>0</v>
      </c>
      <c r="I35" s="113">
        <f>COUNTIFS(Drawer!$E:$E,'Drawer Rec'!$B35,Drawer!$L:$L,"Cash",Drawer!$O:$O,'Drawer Rec'!I$8,Drawer!$K:$K,"&lt;&gt;0")</f>
        <v>0</v>
      </c>
      <c r="J35" s="113">
        <f>COUNTIFS(Drawer!$E:$E,'Drawer Rec'!$B35,Drawer!$L:$L,"Cash",Drawer!$O:$O,'Drawer Rec'!J$8,Drawer!$K:$K,"&lt;&gt;0")</f>
        <v>0</v>
      </c>
      <c r="K35" s="113">
        <f>COUNTIFS(Drawer!$E:$E,'Drawer Rec'!$B35,Drawer!$L:$L,"Cash",Drawer!$O:$O,'Drawer Rec'!K$8,Drawer!$K:$K,"&lt;&gt;0")</f>
        <v>0</v>
      </c>
      <c r="L35" s="113">
        <f>COUNTIFS(Drawer!$E:$E,'Drawer Rec'!$B35,Drawer!$L:$L,"Cash",Drawer!$O:$O,'Drawer Rec'!L$8,Drawer!$K:$K,"&lt;&gt;0")</f>
        <v>0</v>
      </c>
      <c r="M35" s="113">
        <f>COUNTIFS(Drawer!$E:$E,'Drawer Rec'!$B35,Drawer!$L:$L,"Cash",Drawer!$O:$O,'Drawer Rec'!M$8,Drawer!$K:$K,"&lt;&gt;0")</f>
        <v>0</v>
      </c>
      <c r="N35" s="113">
        <f>COUNTIFS(Drawer!$E:$E,'Drawer Rec'!$B35,Drawer!$L:$L,"Cash",Drawer!$O:$O,'Drawer Rec'!N$8,Drawer!$K:$K,"&lt;&gt;0")</f>
        <v>0</v>
      </c>
      <c r="O35" s="113">
        <f>COUNTIFS(Drawer!$E:$E,'Drawer Rec'!$B35,Drawer!$L:$L,"Cash",Drawer!$O:$O,'Drawer Rec'!O$8,Drawer!$K:$K,"&lt;&gt;0")</f>
        <v>0</v>
      </c>
      <c r="P35" s="113">
        <f>COUNTIFS(Drawer!$E:$E,'Drawer Rec'!$B35,Drawer!$L:$L,"Cash",Drawer!$O:$O,'Drawer Rec'!P$8,Drawer!$K:$K,"&lt;&gt;0")</f>
        <v>0</v>
      </c>
    </row>
    <row r="36" spans="1:16" x14ac:dyDescent="0.2">
      <c r="A36" s="76"/>
      <c r="B36" s="161">
        <v>410103</v>
      </c>
      <c r="C36" s="77"/>
      <c r="D36" s="76"/>
      <c r="E36" s="74"/>
      <c r="F36" s="78">
        <v>2</v>
      </c>
      <c r="G36" s="113">
        <f>COUNTIFS(Drawer!$E:$E,'Drawer Rec'!$B36,Drawer!$L:$L,"Cash",Drawer!$O:$O,'Drawer Rec'!G$8,Drawer!$K:$K,"&lt;&gt;0")</f>
        <v>0</v>
      </c>
      <c r="H36" s="113">
        <f>COUNTIFS(Drawer!$E:$E,'Drawer Rec'!$B36,Drawer!$L:$L,"Cash",Drawer!$O:$O,'Drawer Rec'!H$8,Drawer!$K:$K,"&lt;&gt;0")</f>
        <v>0</v>
      </c>
      <c r="I36" s="113">
        <f>COUNTIFS(Drawer!$E:$E,'Drawer Rec'!$B36,Drawer!$L:$L,"Cash",Drawer!$O:$O,'Drawer Rec'!I$8,Drawer!$K:$K,"&lt;&gt;0")</f>
        <v>0</v>
      </c>
      <c r="J36" s="113">
        <f>COUNTIFS(Drawer!$E:$E,'Drawer Rec'!$B36,Drawer!$L:$L,"Cash",Drawer!$O:$O,'Drawer Rec'!J$8,Drawer!$K:$K,"&lt;&gt;0")</f>
        <v>0</v>
      </c>
      <c r="K36" s="113">
        <f>COUNTIFS(Drawer!$E:$E,'Drawer Rec'!$B36,Drawer!$L:$L,"Cash",Drawer!$O:$O,'Drawer Rec'!K$8,Drawer!$K:$K,"&lt;&gt;0")</f>
        <v>0</v>
      </c>
      <c r="L36" s="113">
        <f>COUNTIFS(Drawer!$E:$E,'Drawer Rec'!$B36,Drawer!$L:$L,"Cash",Drawer!$O:$O,'Drawer Rec'!L$8,Drawer!$K:$K,"&lt;&gt;0")</f>
        <v>0</v>
      </c>
      <c r="M36" s="113">
        <f>COUNTIFS(Drawer!$E:$E,'Drawer Rec'!$B36,Drawer!$L:$L,"Cash",Drawer!$O:$O,'Drawer Rec'!M$8,Drawer!$K:$K,"&lt;&gt;0")</f>
        <v>0</v>
      </c>
      <c r="N36" s="113">
        <f>COUNTIFS(Drawer!$E:$E,'Drawer Rec'!$B36,Drawer!$L:$L,"Cash",Drawer!$O:$O,'Drawer Rec'!N$8,Drawer!$K:$K,"&lt;&gt;0")</f>
        <v>0</v>
      </c>
      <c r="O36" s="113">
        <f>COUNTIFS(Drawer!$E:$E,'Drawer Rec'!$B36,Drawer!$L:$L,"Cash",Drawer!$O:$O,'Drawer Rec'!O$8,Drawer!$K:$K,"&lt;&gt;0")</f>
        <v>0</v>
      </c>
      <c r="P36" s="113">
        <f>COUNTIFS(Drawer!$E:$E,'Drawer Rec'!$B36,Drawer!$L:$L,"Cash",Drawer!$O:$O,'Drawer Rec'!P$8,Drawer!$K:$K,"&lt;&gt;0")</f>
        <v>0</v>
      </c>
    </row>
    <row r="37" spans="1:16" x14ac:dyDescent="0.2">
      <c r="A37" s="76">
        <v>4102</v>
      </c>
      <c r="B37" s="161">
        <v>410201</v>
      </c>
      <c r="C37" s="77" t="s">
        <v>129</v>
      </c>
      <c r="D37" s="76">
        <v>1</v>
      </c>
      <c r="E37" s="74"/>
      <c r="F37" s="78">
        <v>2</v>
      </c>
      <c r="G37" s="113">
        <f>COUNTIFS(Drawer!$E:$E,'Drawer Rec'!$B37,Drawer!$L:$L,"Cash",Drawer!$O:$O,'Drawer Rec'!G$8,Drawer!$K:$K,"&lt;&gt;0")</f>
        <v>1</v>
      </c>
      <c r="H37" s="113">
        <f>COUNTIFS(Drawer!$E:$E,'Drawer Rec'!$B37,Drawer!$L:$L,"Cash",Drawer!$O:$O,'Drawer Rec'!H$8,Drawer!$K:$K,"&lt;&gt;0")</f>
        <v>0</v>
      </c>
      <c r="I37" s="113">
        <f>COUNTIFS(Drawer!$E:$E,'Drawer Rec'!$B37,Drawer!$L:$L,"Cash",Drawer!$O:$O,'Drawer Rec'!I$8,Drawer!$K:$K,"&lt;&gt;0")</f>
        <v>1</v>
      </c>
      <c r="J37" s="113">
        <f>COUNTIFS(Drawer!$E:$E,'Drawer Rec'!$B37,Drawer!$L:$L,"Cash",Drawer!$O:$O,'Drawer Rec'!J$8,Drawer!$K:$K,"&lt;&gt;0")</f>
        <v>1</v>
      </c>
      <c r="K37" s="113">
        <f>COUNTIFS(Drawer!$E:$E,'Drawer Rec'!$B37,Drawer!$L:$L,"Cash",Drawer!$O:$O,'Drawer Rec'!K$8,Drawer!$K:$K,"&lt;&gt;0")</f>
        <v>1</v>
      </c>
      <c r="L37" s="113">
        <f>COUNTIFS(Drawer!$E:$E,'Drawer Rec'!$B37,Drawer!$L:$L,"Cash",Drawer!$O:$O,'Drawer Rec'!L$8,Drawer!$K:$K,"&lt;&gt;0")</f>
        <v>1</v>
      </c>
      <c r="M37" s="113">
        <f>COUNTIFS(Drawer!$E:$E,'Drawer Rec'!$B37,Drawer!$L:$L,"Cash",Drawer!$O:$O,'Drawer Rec'!M$8,Drawer!$K:$K,"&lt;&gt;0")</f>
        <v>1</v>
      </c>
      <c r="N37" s="113">
        <f>COUNTIFS(Drawer!$E:$E,'Drawer Rec'!$B37,Drawer!$L:$L,"Cash",Drawer!$O:$O,'Drawer Rec'!N$8,Drawer!$K:$K,"&lt;&gt;0")</f>
        <v>1</v>
      </c>
      <c r="O37" s="113">
        <f>COUNTIFS(Drawer!$E:$E,'Drawer Rec'!$B37,Drawer!$L:$L,"Cash",Drawer!$O:$O,'Drawer Rec'!O$8,Drawer!$K:$K,"&lt;&gt;0")</f>
        <v>1</v>
      </c>
      <c r="P37" s="113">
        <f>COUNTIFS(Drawer!$E:$E,'Drawer Rec'!$B37,Drawer!$L:$L,"Cash",Drawer!$O:$O,'Drawer Rec'!P$8,Drawer!$K:$K,"&lt;&gt;0")</f>
        <v>1</v>
      </c>
    </row>
    <row r="38" spans="1:16" x14ac:dyDescent="0.2">
      <c r="A38" s="76">
        <v>4104</v>
      </c>
      <c r="B38" s="161">
        <v>410401</v>
      </c>
      <c r="C38" s="77" t="s">
        <v>134</v>
      </c>
      <c r="D38" s="76">
        <v>1</v>
      </c>
      <c r="E38" s="74"/>
      <c r="F38" s="78">
        <v>1</v>
      </c>
      <c r="G38" s="113">
        <f>COUNTIFS(Drawer!$E:$E,'Drawer Rec'!$B38,Drawer!$L:$L,"Cash",Drawer!$O:$O,'Drawer Rec'!G$8,Drawer!$K:$K,"&lt;&gt;0")</f>
        <v>1</v>
      </c>
      <c r="H38" s="113">
        <f>COUNTIFS(Drawer!$E:$E,'Drawer Rec'!$B38,Drawer!$L:$L,"Cash",Drawer!$O:$O,'Drawer Rec'!H$8,Drawer!$K:$K,"&lt;&gt;0")</f>
        <v>1</v>
      </c>
      <c r="I38" s="113">
        <f>COUNTIFS(Drawer!$E:$E,'Drawer Rec'!$B38,Drawer!$L:$L,"Cash",Drawer!$O:$O,'Drawer Rec'!I$8,Drawer!$K:$K,"&lt;&gt;0")</f>
        <v>1</v>
      </c>
      <c r="J38" s="113">
        <f>COUNTIFS(Drawer!$E:$E,'Drawer Rec'!$B38,Drawer!$L:$L,"Cash",Drawer!$O:$O,'Drawer Rec'!J$8,Drawer!$K:$K,"&lt;&gt;0")</f>
        <v>1</v>
      </c>
      <c r="K38" s="113">
        <f>COUNTIFS(Drawer!$E:$E,'Drawer Rec'!$B38,Drawer!$L:$L,"Cash",Drawer!$O:$O,'Drawer Rec'!K$8,Drawer!$K:$K,"&lt;&gt;0")</f>
        <v>0</v>
      </c>
      <c r="L38" s="113">
        <f>COUNTIFS(Drawer!$E:$E,'Drawer Rec'!$B38,Drawer!$L:$L,"Cash",Drawer!$O:$O,'Drawer Rec'!L$8,Drawer!$K:$K,"&lt;&gt;0")</f>
        <v>0</v>
      </c>
      <c r="M38" s="113">
        <f>COUNTIFS(Drawer!$E:$E,'Drawer Rec'!$B38,Drawer!$L:$L,"Cash",Drawer!$O:$O,'Drawer Rec'!M$8,Drawer!$K:$K,"&lt;&gt;0")</f>
        <v>1</v>
      </c>
      <c r="N38" s="113">
        <f>COUNTIFS(Drawer!$E:$E,'Drawer Rec'!$B38,Drawer!$L:$L,"Cash",Drawer!$O:$O,'Drawer Rec'!N$8,Drawer!$K:$K,"&lt;&gt;0")</f>
        <v>1</v>
      </c>
      <c r="O38" s="113">
        <f>COUNTIFS(Drawer!$E:$E,'Drawer Rec'!$B38,Drawer!$L:$L,"Cash",Drawer!$O:$O,'Drawer Rec'!O$8,Drawer!$K:$K,"&lt;&gt;0")</f>
        <v>1</v>
      </c>
      <c r="P38" s="113">
        <f>COUNTIFS(Drawer!$E:$E,'Drawer Rec'!$B38,Drawer!$L:$L,"Cash",Drawer!$O:$O,'Drawer Rec'!P$8,Drawer!$K:$K,"&lt;&gt;0")</f>
        <v>1</v>
      </c>
    </row>
    <row r="39" spans="1:16" x14ac:dyDescent="0.2">
      <c r="A39" s="76">
        <v>4106</v>
      </c>
      <c r="B39" s="161">
        <v>410601</v>
      </c>
      <c r="C39" s="77" t="s">
        <v>135</v>
      </c>
      <c r="D39" s="76">
        <v>1</v>
      </c>
      <c r="E39" s="74"/>
      <c r="F39" s="78">
        <v>1</v>
      </c>
      <c r="G39" s="113">
        <f>COUNTIFS(Drawer!$E:$E,'Drawer Rec'!$B39,Drawer!$L:$L,"Cash",Drawer!$O:$O,'Drawer Rec'!G$8,Drawer!$K:$K,"&lt;&gt;0")</f>
        <v>1</v>
      </c>
      <c r="H39" s="113">
        <f>COUNTIFS(Drawer!$E:$E,'Drawer Rec'!$B39,Drawer!$L:$L,"Cash",Drawer!$O:$O,'Drawer Rec'!H$8,Drawer!$K:$K,"&lt;&gt;0")</f>
        <v>1</v>
      </c>
      <c r="I39" s="113">
        <f>COUNTIFS(Drawer!$E:$E,'Drawer Rec'!$B39,Drawer!$L:$L,"Cash",Drawer!$O:$O,'Drawer Rec'!I$8,Drawer!$K:$K,"&lt;&gt;0")</f>
        <v>1</v>
      </c>
      <c r="J39" s="113">
        <f>COUNTIFS(Drawer!$E:$E,'Drawer Rec'!$B39,Drawer!$L:$L,"Cash",Drawer!$O:$O,'Drawer Rec'!J$8,Drawer!$K:$K,"&lt;&gt;0")</f>
        <v>1</v>
      </c>
      <c r="K39" s="113">
        <f>COUNTIFS(Drawer!$E:$E,'Drawer Rec'!$B39,Drawer!$L:$L,"Cash",Drawer!$O:$O,'Drawer Rec'!K$8,Drawer!$K:$K,"&lt;&gt;0")</f>
        <v>1</v>
      </c>
      <c r="L39" s="113">
        <f>COUNTIFS(Drawer!$E:$E,'Drawer Rec'!$B39,Drawer!$L:$L,"Cash",Drawer!$O:$O,'Drawer Rec'!L$8,Drawer!$K:$K,"&lt;&gt;0")</f>
        <v>1</v>
      </c>
      <c r="M39" s="113">
        <f>COUNTIFS(Drawer!$E:$E,'Drawer Rec'!$B39,Drawer!$L:$L,"Cash",Drawer!$O:$O,'Drawer Rec'!M$8,Drawer!$K:$K,"&lt;&gt;0")</f>
        <v>1</v>
      </c>
      <c r="N39" s="113">
        <f>COUNTIFS(Drawer!$E:$E,'Drawer Rec'!$B39,Drawer!$L:$L,"Cash",Drawer!$O:$O,'Drawer Rec'!N$8,Drawer!$K:$K,"&lt;&gt;0")</f>
        <v>1</v>
      </c>
      <c r="O39" s="113">
        <f>COUNTIFS(Drawer!$E:$E,'Drawer Rec'!$B39,Drawer!$L:$L,"Cash",Drawer!$O:$O,'Drawer Rec'!O$8,Drawer!$K:$K,"&lt;&gt;0")</f>
        <v>1</v>
      </c>
      <c r="P39" s="113">
        <f>COUNTIFS(Drawer!$E:$E,'Drawer Rec'!$B39,Drawer!$L:$L,"Cash",Drawer!$O:$O,'Drawer Rec'!P$8,Drawer!$K:$K,"&lt;&gt;0")</f>
        <v>1</v>
      </c>
    </row>
    <row r="40" spans="1:16" x14ac:dyDescent="0.2">
      <c r="A40" s="76">
        <v>4107</v>
      </c>
      <c r="B40" s="161">
        <v>410701</v>
      </c>
      <c r="C40" s="77" t="s">
        <v>139</v>
      </c>
      <c r="D40" s="76">
        <v>1</v>
      </c>
      <c r="E40" s="74"/>
      <c r="F40" s="78">
        <v>1</v>
      </c>
      <c r="G40" s="113">
        <f>COUNTIFS(Drawer!$E:$E,'Drawer Rec'!$B40,Drawer!$L:$L,"Cash",Drawer!$O:$O,'Drawer Rec'!G$8,Drawer!$K:$K,"&lt;&gt;0")</f>
        <v>1</v>
      </c>
      <c r="H40" s="113">
        <f>COUNTIFS(Drawer!$E:$E,'Drawer Rec'!$B40,Drawer!$L:$L,"Cash",Drawer!$O:$O,'Drawer Rec'!H$8,Drawer!$K:$K,"&lt;&gt;0")</f>
        <v>1</v>
      </c>
      <c r="I40" s="113">
        <f>COUNTIFS(Drawer!$E:$E,'Drawer Rec'!$B40,Drawer!$L:$L,"Cash",Drawer!$O:$O,'Drawer Rec'!I$8,Drawer!$K:$K,"&lt;&gt;0")</f>
        <v>1</v>
      </c>
      <c r="J40" s="113">
        <f>COUNTIFS(Drawer!$E:$E,'Drawer Rec'!$B40,Drawer!$L:$L,"Cash",Drawer!$O:$O,'Drawer Rec'!J$8,Drawer!$K:$K,"&lt;&gt;0")</f>
        <v>1</v>
      </c>
      <c r="K40" s="113">
        <f>COUNTIFS(Drawer!$E:$E,'Drawer Rec'!$B40,Drawer!$L:$L,"Cash",Drawer!$O:$O,'Drawer Rec'!K$8,Drawer!$K:$K,"&lt;&gt;0")</f>
        <v>1</v>
      </c>
      <c r="L40" s="113">
        <f>COUNTIFS(Drawer!$E:$E,'Drawer Rec'!$B40,Drawer!$L:$L,"Cash",Drawer!$O:$O,'Drawer Rec'!L$8,Drawer!$K:$K,"&lt;&gt;0")</f>
        <v>1</v>
      </c>
      <c r="M40" s="113">
        <f>COUNTIFS(Drawer!$E:$E,'Drawer Rec'!$B40,Drawer!$L:$L,"Cash",Drawer!$O:$O,'Drawer Rec'!M$8,Drawer!$K:$K,"&lt;&gt;0")</f>
        <v>1</v>
      </c>
      <c r="N40" s="113">
        <f>COUNTIFS(Drawer!$E:$E,'Drawer Rec'!$B40,Drawer!$L:$L,"Cash",Drawer!$O:$O,'Drawer Rec'!N$8,Drawer!$K:$K,"&lt;&gt;0")</f>
        <v>1</v>
      </c>
      <c r="O40" s="113">
        <f>COUNTIFS(Drawer!$E:$E,'Drawer Rec'!$B40,Drawer!$L:$L,"Cash",Drawer!$O:$O,'Drawer Rec'!O$8,Drawer!$K:$K,"&lt;&gt;0")</f>
        <v>1</v>
      </c>
      <c r="P40" s="113">
        <f>COUNTIFS(Drawer!$E:$E,'Drawer Rec'!$B40,Drawer!$L:$L,"Cash",Drawer!$O:$O,'Drawer Rec'!P$8,Drawer!$K:$K,"&lt;&gt;0")</f>
        <v>1</v>
      </c>
    </row>
    <row r="41" spans="1:16" x14ac:dyDescent="0.2">
      <c r="A41" s="76"/>
      <c r="B41" s="161">
        <v>410702</v>
      </c>
      <c r="C41" s="77"/>
      <c r="D41" s="76">
        <v>1</v>
      </c>
      <c r="E41" s="74"/>
      <c r="F41" s="78">
        <v>1</v>
      </c>
      <c r="G41" s="113">
        <f>COUNTIFS(Drawer!$E:$E,'Drawer Rec'!$B41,Drawer!$L:$L,"Cash",Drawer!$O:$O,'Drawer Rec'!G$8,Drawer!$K:$K,"&lt;&gt;0")</f>
        <v>0</v>
      </c>
      <c r="H41" s="113">
        <f>COUNTIFS(Drawer!$E:$E,'Drawer Rec'!$B41,Drawer!$L:$L,"Cash",Drawer!$O:$O,'Drawer Rec'!H$8,Drawer!$K:$K,"&lt;&gt;0")</f>
        <v>0</v>
      </c>
      <c r="I41" s="113">
        <f>COUNTIFS(Drawer!$E:$E,'Drawer Rec'!$B41,Drawer!$L:$L,"Cash",Drawer!$O:$O,'Drawer Rec'!I$8,Drawer!$K:$K,"&lt;&gt;0")</f>
        <v>0</v>
      </c>
      <c r="J41" s="113">
        <f>COUNTIFS(Drawer!$E:$E,'Drawer Rec'!$B41,Drawer!$L:$L,"Cash",Drawer!$O:$O,'Drawer Rec'!J$8,Drawer!$K:$K,"&lt;&gt;0")</f>
        <v>0</v>
      </c>
      <c r="K41" s="113">
        <f>COUNTIFS(Drawer!$E:$E,'Drawer Rec'!$B41,Drawer!$L:$L,"Cash",Drawer!$O:$O,'Drawer Rec'!K$8,Drawer!$K:$K,"&lt;&gt;0")</f>
        <v>0</v>
      </c>
      <c r="L41" s="113">
        <f>COUNTIFS(Drawer!$E:$E,'Drawer Rec'!$B41,Drawer!$L:$L,"Cash",Drawer!$O:$O,'Drawer Rec'!L$8,Drawer!$K:$K,"&lt;&gt;0")</f>
        <v>0</v>
      </c>
      <c r="M41" s="113">
        <f>COUNTIFS(Drawer!$E:$E,'Drawer Rec'!$B41,Drawer!$L:$L,"Cash",Drawer!$O:$O,'Drawer Rec'!M$8,Drawer!$K:$K,"&lt;&gt;0")</f>
        <v>0</v>
      </c>
      <c r="N41" s="113">
        <f>COUNTIFS(Drawer!$E:$E,'Drawer Rec'!$B41,Drawer!$L:$L,"Cash",Drawer!$O:$O,'Drawer Rec'!N$8,Drawer!$K:$K,"&lt;&gt;0")</f>
        <v>0</v>
      </c>
      <c r="O41" s="113">
        <f>COUNTIFS(Drawer!$E:$E,'Drawer Rec'!$B41,Drawer!$L:$L,"Cash",Drawer!$O:$O,'Drawer Rec'!O$8,Drawer!$K:$K,"&lt;&gt;0")</f>
        <v>0</v>
      </c>
      <c r="P41" s="113">
        <f>COUNTIFS(Drawer!$E:$E,'Drawer Rec'!$B41,Drawer!$L:$L,"Cash",Drawer!$O:$O,'Drawer Rec'!P$8,Drawer!$K:$K,"&lt;&gt;0")</f>
        <v>0</v>
      </c>
    </row>
    <row r="42" spans="1:16" x14ac:dyDescent="0.2">
      <c r="A42" s="76"/>
      <c r="B42" s="161">
        <v>410703</v>
      </c>
      <c r="C42" s="77"/>
      <c r="D42" s="76">
        <v>1</v>
      </c>
      <c r="E42" s="74"/>
      <c r="F42" s="78">
        <v>1</v>
      </c>
      <c r="G42" s="113">
        <f>COUNTIFS(Drawer!$E:$E,'Drawer Rec'!$B42,Drawer!$L:$L,"Cash",Drawer!$O:$O,'Drawer Rec'!G$8,Drawer!$K:$K,"&lt;&gt;0")</f>
        <v>0</v>
      </c>
      <c r="H42" s="113">
        <f>COUNTIFS(Drawer!$E:$E,'Drawer Rec'!$B42,Drawer!$L:$L,"Cash",Drawer!$O:$O,'Drawer Rec'!H$8,Drawer!$K:$K,"&lt;&gt;0")</f>
        <v>0</v>
      </c>
      <c r="I42" s="113">
        <f>COUNTIFS(Drawer!$E:$E,'Drawer Rec'!$B42,Drawer!$L:$L,"Cash",Drawer!$O:$O,'Drawer Rec'!I$8,Drawer!$K:$K,"&lt;&gt;0")</f>
        <v>0</v>
      </c>
      <c r="J42" s="113">
        <f>COUNTIFS(Drawer!$E:$E,'Drawer Rec'!$B42,Drawer!$L:$L,"Cash",Drawer!$O:$O,'Drawer Rec'!J$8,Drawer!$K:$K,"&lt;&gt;0")</f>
        <v>0</v>
      </c>
      <c r="K42" s="113">
        <f>COUNTIFS(Drawer!$E:$E,'Drawer Rec'!$B42,Drawer!$L:$L,"Cash",Drawer!$O:$O,'Drawer Rec'!K$8,Drawer!$K:$K,"&lt;&gt;0")</f>
        <v>0</v>
      </c>
      <c r="L42" s="113">
        <f>COUNTIFS(Drawer!$E:$E,'Drawer Rec'!$B42,Drawer!$L:$L,"Cash",Drawer!$O:$O,'Drawer Rec'!L$8,Drawer!$K:$K,"&lt;&gt;0")</f>
        <v>0</v>
      </c>
      <c r="M42" s="113">
        <f>COUNTIFS(Drawer!$E:$E,'Drawer Rec'!$B42,Drawer!$L:$L,"Cash",Drawer!$O:$O,'Drawer Rec'!M$8,Drawer!$K:$K,"&lt;&gt;0")</f>
        <v>0</v>
      </c>
      <c r="N42" s="113">
        <f>COUNTIFS(Drawer!$E:$E,'Drawer Rec'!$B42,Drawer!$L:$L,"Cash",Drawer!$O:$O,'Drawer Rec'!N$8,Drawer!$K:$K,"&lt;&gt;0")</f>
        <v>0</v>
      </c>
      <c r="O42" s="113">
        <f>COUNTIFS(Drawer!$E:$E,'Drawer Rec'!$B42,Drawer!$L:$L,"Cash",Drawer!$O:$O,'Drawer Rec'!O$8,Drawer!$K:$K,"&lt;&gt;0")</f>
        <v>0</v>
      </c>
      <c r="P42" s="113">
        <f>COUNTIFS(Drawer!$E:$E,'Drawer Rec'!$B42,Drawer!$L:$L,"Cash",Drawer!$O:$O,'Drawer Rec'!P$8,Drawer!$K:$K,"&lt;&gt;0")</f>
        <v>0</v>
      </c>
    </row>
    <row r="43" spans="1:16" x14ac:dyDescent="0.2">
      <c r="A43" s="76">
        <v>4108</v>
      </c>
      <c r="B43" s="161">
        <v>410801</v>
      </c>
      <c r="C43" s="77"/>
      <c r="D43" s="76">
        <v>1</v>
      </c>
      <c r="E43" s="74"/>
      <c r="F43" s="78">
        <v>1</v>
      </c>
      <c r="G43" s="113">
        <f>COUNTIFS(Drawer!$E:$E,'Drawer Rec'!$B43,Drawer!$L:$L,"Cash",Drawer!$O:$O,'Drawer Rec'!G$8,Drawer!$K:$K,"&lt;&gt;0")</f>
        <v>1</v>
      </c>
      <c r="H43" s="113">
        <f>COUNTIFS(Drawer!$E:$E,'Drawer Rec'!$B43,Drawer!$L:$L,"Cash",Drawer!$O:$O,'Drawer Rec'!H$8,Drawer!$K:$K,"&lt;&gt;0")</f>
        <v>1</v>
      </c>
      <c r="I43" s="113">
        <f>COUNTIFS(Drawer!$E:$E,'Drawer Rec'!$B43,Drawer!$L:$L,"Cash",Drawer!$O:$O,'Drawer Rec'!I$8,Drawer!$K:$K,"&lt;&gt;0")</f>
        <v>0</v>
      </c>
      <c r="J43" s="113">
        <f>COUNTIFS(Drawer!$E:$E,'Drawer Rec'!$B43,Drawer!$L:$L,"Cash",Drawer!$O:$O,'Drawer Rec'!J$8,Drawer!$K:$K,"&lt;&gt;0")</f>
        <v>2</v>
      </c>
      <c r="K43" s="113">
        <f>COUNTIFS(Drawer!$E:$E,'Drawer Rec'!$B43,Drawer!$L:$L,"Cash",Drawer!$O:$O,'Drawer Rec'!K$8,Drawer!$K:$K,"&lt;&gt;0")</f>
        <v>1</v>
      </c>
      <c r="L43" s="113">
        <f>COUNTIFS(Drawer!$E:$E,'Drawer Rec'!$B43,Drawer!$L:$L,"Cash",Drawer!$O:$O,'Drawer Rec'!L$8,Drawer!$K:$K,"&lt;&gt;0")</f>
        <v>1</v>
      </c>
      <c r="M43" s="113">
        <f>COUNTIFS(Drawer!$E:$E,'Drawer Rec'!$B43,Drawer!$L:$L,"Cash",Drawer!$O:$O,'Drawer Rec'!M$8,Drawer!$K:$K,"&lt;&gt;0")</f>
        <v>1</v>
      </c>
      <c r="N43" s="113">
        <f>COUNTIFS(Drawer!$E:$E,'Drawer Rec'!$B43,Drawer!$L:$L,"Cash",Drawer!$O:$O,'Drawer Rec'!N$8,Drawer!$K:$K,"&lt;&gt;0")</f>
        <v>1</v>
      </c>
      <c r="O43" s="113">
        <f>COUNTIFS(Drawer!$E:$E,'Drawer Rec'!$B43,Drawer!$L:$L,"Cash",Drawer!$O:$O,'Drawer Rec'!O$8,Drawer!$K:$K,"&lt;&gt;0")</f>
        <v>1</v>
      </c>
      <c r="P43" s="113">
        <f>COUNTIFS(Drawer!$E:$E,'Drawer Rec'!$B43,Drawer!$L:$L,"Cash",Drawer!$O:$O,'Drawer Rec'!P$8,Drawer!$K:$K,"&lt;&gt;0")</f>
        <v>1</v>
      </c>
    </row>
    <row r="44" spans="1:16" x14ac:dyDescent="0.2">
      <c r="A44" s="76">
        <v>4109</v>
      </c>
      <c r="B44" s="161">
        <v>410901</v>
      </c>
      <c r="C44" s="77" t="s">
        <v>136</v>
      </c>
      <c r="D44" s="76">
        <v>1</v>
      </c>
      <c r="E44" s="74"/>
      <c r="F44" s="78">
        <v>1</v>
      </c>
      <c r="G44" s="113">
        <f>COUNTIFS(Drawer!$E:$E,'Drawer Rec'!$B44,Drawer!$L:$L,"Cash",Drawer!$O:$O,'Drawer Rec'!G$8,Drawer!$K:$K,"&lt;&gt;0")</f>
        <v>1</v>
      </c>
      <c r="H44" s="113">
        <f>COUNTIFS(Drawer!$E:$E,'Drawer Rec'!$B44,Drawer!$L:$L,"Cash",Drawer!$O:$O,'Drawer Rec'!H$8,Drawer!$K:$K,"&lt;&gt;0")</f>
        <v>1</v>
      </c>
      <c r="I44" s="113">
        <f>COUNTIFS(Drawer!$E:$E,'Drawer Rec'!$B44,Drawer!$L:$L,"Cash",Drawer!$O:$O,'Drawer Rec'!I$8,Drawer!$K:$K,"&lt;&gt;0")</f>
        <v>1</v>
      </c>
      <c r="J44" s="113">
        <f>COUNTIFS(Drawer!$E:$E,'Drawer Rec'!$B44,Drawer!$L:$L,"Cash",Drawer!$O:$O,'Drawer Rec'!J$8,Drawer!$K:$K,"&lt;&gt;0")</f>
        <v>1</v>
      </c>
      <c r="K44" s="113">
        <f>COUNTIFS(Drawer!$E:$E,'Drawer Rec'!$B44,Drawer!$L:$L,"Cash",Drawer!$O:$O,'Drawer Rec'!K$8,Drawer!$K:$K,"&lt;&gt;0")</f>
        <v>1</v>
      </c>
      <c r="L44" s="113">
        <f>COUNTIFS(Drawer!$E:$E,'Drawer Rec'!$B44,Drawer!$L:$L,"Cash",Drawer!$O:$O,'Drawer Rec'!L$8,Drawer!$K:$K,"&lt;&gt;0")</f>
        <v>1</v>
      </c>
      <c r="M44" s="113">
        <f>COUNTIFS(Drawer!$E:$E,'Drawer Rec'!$B44,Drawer!$L:$L,"Cash",Drawer!$O:$O,'Drawer Rec'!M$8,Drawer!$K:$K,"&lt;&gt;0")</f>
        <v>1</v>
      </c>
      <c r="N44" s="113">
        <f>COUNTIFS(Drawer!$E:$E,'Drawer Rec'!$B44,Drawer!$L:$L,"Cash",Drawer!$O:$O,'Drawer Rec'!N$8,Drawer!$K:$K,"&lt;&gt;0")</f>
        <v>1</v>
      </c>
      <c r="O44" s="113">
        <f>COUNTIFS(Drawer!$E:$E,'Drawer Rec'!$B44,Drawer!$L:$L,"Cash",Drawer!$O:$O,'Drawer Rec'!O$8,Drawer!$K:$K,"&lt;&gt;0")</f>
        <v>1</v>
      </c>
      <c r="P44" s="113">
        <f>COUNTIFS(Drawer!$E:$E,'Drawer Rec'!$B44,Drawer!$L:$L,"Cash",Drawer!$O:$O,'Drawer Rec'!P$8,Drawer!$K:$K,"&lt;&gt;0")</f>
        <v>1</v>
      </c>
    </row>
    <row r="45" spans="1:16" x14ac:dyDescent="0.2">
      <c r="A45" s="76">
        <v>4110</v>
      </c>
      <c r="B45" s="161">
        <v>411001</v>
      </c>
      <c r="C45" s="77"/>
      <c r="D45" s="76"/>
      <c r="E45" s="74"/>
      <c r="F45" s="78">
        <v>3</v>
      </c>
      <c r="G45" s="113">
        <f>COUNTIFS(Drawer!$E:$E,'Drawer Rec'!$B45,Drawer!$L:$L,"Cash",Drawer!$O:$O,'Drawer Rec'!G$8,Drawer!$K:$K,"&lt;&gt;0")</f>
        <v>1</v>
      </c>
      <c r="H45" s="113">
        <f>COUNTIFS(Drawer!$E:$E,'Drawer Rec'!$B45,Drawer!$L:$L,"Cash",Drawer!$O:$O,'Drawer Rec'!H$8,Drawer!$K:$K,"&lt;&gt;0")</f>
        <v>1</v>
      </c>
      <c r="I45" s="113">
        <f>COUNTIFS(Drawer!$E:$E,'Drawer Rec'!$B45,Drawer!$L:$L,"Cash",Drawer!$O:$O,'Drawer Rec'!I$8,Drawer!$K:$K,"&lt;&gt;0")</f>
        <v>1</v>
      </c>
      <c r="J45" s="113">
        <f>COUNTIFS(Drawer!$E:$E,'Drawer Rec'!$B45,Drawer!$L:$L,"Cash",Drawer!$O:$O,'Drawer Rec'!J$8,Drawer!$K:$K,"&lt;&gt;0")</f>
        <v>1</v>
      </c>
      <c r="K45" s="113">
        <f>COUNTIFS(Drawer!$E:$E,'Drawer Rec'!$B45,Drawer!$L:$L,"Cash",Drawer!$O:$O,'Drawer Rec'!K$8,Drawer!$K:$K,"&lt;&gt;0")</f>
        <v>1</v>
      </c>
      <c r="L45" s="113">
        <f>COUNTIFS(Drawer!$E:$E,'Drawer Rec'!$B45,Drawer!$L:$L,"Cash",Drawer!$O:$O,'Drawer Rec'!L$8,Drawer!$K:$K,"&lt;&gt;0")</f>
        <v>1</v>
      </c>
      <c r="M45" s="113">
        <f>COUNTIFS(Drawer!$E:$E,'Drawer Rec'!$B45,Drawer!$L:$L,"Cash",Drawer!$O:$O,'Drawer Rec'!M$8,Drawer!$K:$K,"&lt;&gt;0")</f>
        <v>1</v>
      </c>
      <c r="N45" s="113">
        <f>COUNTIFS(Drawer!$E:$E,'Drawer Rec'!$B45,Drawer!$L:$L,"Cash",Drawer!$O:$O,'Drawer Rec'!N$8,Drawer!$K:$K,"&lt;&gt;0")</f>
        <v>1</v>
      </c>
      <c r="O45" s="113">
        <f>COUNTIFS(Drawer!$E:$E,'Drawer Rec'!$B45,Drawer!$L:$L,"Cash",Drawer!$O:$O,'Drawer Rec'!O$8,Drawer!$K:$K,"&lt;&gt;0")</f>
        <v>1</v>
      </c>
      <c r="P45" s="113">
        <f>COUNTIFS(Drawer!$E:$E,'Drawer Rec'!$B45,Drawer!$L:$L,"Cash",Drawer!$O:$O,'Drawer Rec'!P$8,Drawer!$K:$K,"&lt;&gt;0")</f>
        <v>1</v>
      </c>
    </row>
    <row r="46" spans="1:16" x14ac:dyDescent="0.2">
      <c r="A46" s="76">
        <v>4170</v>
      </c>
      <c r="B46" s="161">
        <v>417001</v>
      </c>
      <c r="C46" s="79" t="s">
        <v>64</v>
      </c>
      <c r="D46" s="76">
        <v>2</v>
      </c>
      <c r="E46" s="74">
        <v>17</v>
      </c>
      <c r="F46" s="78">
        <v>3</v>
      </c>
      <c r="G46" s="113">
        <f>COUNTIFS(Drawer!$E:$E,'Drawer Rec'!$B46,Drawer!$L:$L,"Cash",Drawer!$O:$O,'Drawer Rec'!G$8,Drawer!$K:$K,"&lt;&gt;0")</f>
        <v>0</v>
      </c>
      <c r="H46" s="113">
        <f>COUNTIFS(Drawer!$E:$E,'Drawer Rec'!$B46,Drawer!$L:$L,"Cash",Drawer!$O:$O,'Drawer Rec'!H$8,Drawer!$K:$K,"&lt;&gt;0")</f>
        <v>0</v>
      </c>
      <c r="I46" s="113">
        <f>COUNTIFS(Drawer!$E:$E,'Drawer Rec'!$B46,Drawer!$L:$L,"Cash",Drawer!$O:$O,'Drawer Rec'!I$8,Drawer!$K:$K,"&lt;&gt;0")</f>
        <v>0</v>
      </c>
      <c r="J46" s="113">
        <f>COUNTIFS(Drawer!$E:$E,'Drawer Rec'!$B46,Drawer!$L:$L,"Cash",Drawer!$O:$O,'Drawer Rec'!J$8,Drawer!$K:$K,"&lt;&gt;0")</f>
        <v>0</v>
      </c>
      <c r="K46" s="113">
        <f>COUNTIFS(Drawer!$E:$E,'Drawer Rec'!$B46,Drawer!$L:$L,"Cash",Drawer!$O:$O,'Drawer Rec'!K$8,Drawer!$K:$K,"&lt;&gt;0")</f>
        <v>0</v>
      </c>
      <c r="L46" s="113">
        <f>COUNTIFS(Drawer!$E:$E,'Drawer Rec'!$B46,Drawer!$L:$L,"Cash",Drawer!$O:$O,'Drawer Rec'!L$8,Drawer!$K:$K,"&lt;&gt;0")</f>
        <v>0</v>
      </c>
      <c r="M46" s="113">
        <f>COUNTIFS(Drawer!$E:$E,'Drawer Rec'!$B46,Drawer!$L:$L,"Cash",Drawer!$O:$O,'Drawer Rec'!M$8,Drawer!$K:$K,"&lt;&gt;0")</f>
        <v>0</v>
      </c>
      <c r="N46" s="113">
        <f>COUNTIFS(Drawer!$E:$E,'Drawer Rec'!$B46,Drawer!$L:$L,"Cash",Drawer!$O:$O,'Drawer Rec'!N$8,Drawer!$K:$K,"&lt;&gt;0")</f>
        <v>0</v>
      </c>
      <c r="O46" s="113">
        <f>COUNTIFS(Drawer!$E:$E,'Drawer Rec'!$B46,Drawer!$L:$L,"Cash",Drawer!$O:$O,'Drawer Rec'!O$8,Drawer!$K:$K,"&lt;&gt;0")</f>
        <v>0</v>
      </c>
      <c r="P46" s="113">
        <f>COUNTIFS(Drawer!$E:$E,'Drawer Rec'!$B46,Drawer!$L:$L,"Cash",Drawer!$O:$O,'Drawer Rec'!P$8,Drawer!$K:$K,"&lt;&gt;0")</f>
        <v>0</v>
      </c>
    </row>
    <row r="47" spans="1:16" x14ac:dyDescent="0.2">
      <c r="A47" s="76"/>
      <c r="B47" s="161">
        <v>417002</v>
      </c>
      <c r="C47" s="77" t="s">
        <v>135</v>
      </c>
      <c r="D47" s="76">
        <v>2</v>
      </c>
      <c r="E47" s="74">
        <v>17</v>
      </c>
      <c r="F47" s="78">
        <v>3</v>
      </c>
      <c r="G47" s="113">
        <f>COUNTIFS(Drawer!$E:$E,'Drawer Rec'!$B47,Drawer!$L:$L,"Cash",Drawer!$O:$O,'Drawer Rec'!G$8,Drawer!$K:$K,"&lt;&gt;0")</f>
        <v>0</v>
      </c>
      <c r="H47" s="113">
        <f>COUNTIFS(Drawer!$E:$E,'Drawer Rec'!$B47,Drawer!$L:$L,"Cash",Drawer!$O:$O,'Drawer Rec'!H$8,Drawer!$K:$K,"&lt;&gt;0")</f>
        <v>0</v>
      </c>
      <c r="I47" s="113">
        <f>COUNTIFS(Drawer!$E:$E,'Drawer Rec'!$B47,Drawer!$L:$L,"Cash",Drawer!$O:$O,'Drawer Rec'!I$8,Drawer!$K:$K,"&lt;&gt;0")</f>
        <v>0</v>
      </c>
      <c r="J47" s="113">
        <f>COUNTIFS(Drawer!$E:$E,'Drawer Rec'!$B47,Drawer!$L:$L,"Cash",Drawer!$O:$O,'Drawer Rec'!J$8,Drawer!$K:$K,"&lt;&gt;0")</f>
        <v>0</v>
      </c>
      <c r="K47" s="113">
        <f>COUNTIFS(Drawer!$E:$E,'Drawer Rec'!$B47,Drawer!$L:$L,"Cash",Drawer!$O:$O,'Drawer Rec'!K$8,Drawer!$K:$K,"&lt;&gt;0")</f>
        <v>0</v>
      </c>
      <c r="L47" s="113">
        <f>COUNTIFS(Drawer!$E:$E,'Drawer Rec'!$B47,Drawer!$L:$L,"Cash",Drawer!$O:$O,'Drawer Rec'!L$8,Drawer!$K:$K,"&lt;&gt;0")</f>
        <v>0</v>
      </c>
      <c r="M47" s="113">
        <f>COUNTIFS(Drawer!$E:$E,'Drawer Rec'!$B47,Drawer!$L:$L,"Cash",Drawer!$O:$O,'Drawer Rec'!M$8,Drawer!$K:$K,"&lt;&gt;0")</f>
        <v>0</v>
      </c>
      <c r="N47" s="113">
        <f>COUNTIFS(Drawer!$E:$E,'Drawer Rec'!$B47,Drawer!$L:$L,"Cash",Drawer!$O:$O,'Drawer Rec'!N$8,Drawer!$K:$K,"&lt;&gt;0")</f>
        <v>0</v>
      </c>
      <c r="O47" s="113">
        <f>COUNTIFS(Drawer!$E:$E,'Drawer Rec'!$B47,Drawer!$L:$L,"Cash",Drawer!$O:$O,'Drawer Rec'!O$8,Drawer!$K:$K,"&lt;&gt;0")</f>
        <v>0</v>
      </c>
      <c r="P47" s="113">
        <f>COUNTIFS(Drawer!$E:$E,'Drawer Rec'!$B47,Drawer!$L:$L,"Cash",Drawer!$O:$O,'Drawer Rec'!P$8,Drawer!$K:$K,"&lt;&gt;0")</f>
        <v>0</v>
      </c>
    </row>
    <row r="48" spans="1:16" x14ac:dyDescent="0.2">
      <c r="A48" s="76">
        <v>4770</v>
      </c>
      <c r="B48" s="161">
        <v>477001</v>
      </c>
      <c r="C48" s="77" t="s">
        <v>2</v>
      </c>
      <c r="D48" s="76">
        <v>3</v>
      </c>
      <c r="E48" s="74">
        <v>21.5</v>
      </c>
      <c r="F48" s="78">
        <v>4</v>
      </c>
      <c r="G48" s="113">
        <f>COUNTIFS(Drawer!$E:$E,'Drawer Rec'!$B48,Drawer!$L:$L,"Cash",Drawer!$O:$O,'Drawer Rec'!G$8,Drawer!$K:$K,"&lt;&gt;0")</f>
        <v>1</v>
      </c>
      <c r="H48" s="113">
        <f>COUNTIFS(Drawer!$E:$E,'Drawer Rec'!$B48,Drawer!$L:$L,"Cash",Drawer!$O:$O,'Drawer Rec'!H$8,Drawer!$K:$K,"&lt;&gt;0")</f>
        <v>2</v>
      </c>
      <c r="I48" s="113">
        <f>COUNTIFS(Drawer!$E:$E,'Drawer Rec'!$B48,Drawer!$L:$L,"Cash",Drawer!$O:$O,'Drawer Rec'!I$8,Drawer!$K:$K,"&lt;&gt;0")</f>
        <v>1</v>
      </c>
      <c r="J48" s="113">
        <f>COUNTIFS(Drawer!$E:$E,'Drawer Rec'!$B48,Drawer!$L:$L,"Cash",Drawer!$O:$O,'Drawer Rec'!J$8,Drawer!$K:$K,"&lt;&gt;0")</f>
        <v>1</v>
      </c>
      <c r="K48" s="113">
        <f>COUNTIFS(Drawer!$E:$E,'Drawer Rec'!$B48,Drawer!$L:$L,"Cash",Drawer!$O:$O,'Drawer Rec'!K$8,Drawer!$K:$K,"&lt;&gt;0")</f>
        <v>0</v>
      </c>
      <c r="L48" s="113">
        <f>COUNTIFS(Drawer!$E:$E,'Drawer Rec'!$B48,Drawer!$L:$L,"Cash",Drawer!$O:$O,'Drawer Rec'!L$8,Drawer!$K:$K,"&lt;&gt;0")</f>
        <v>2</v>
      </c>
      <c r="M48" s="113">
        <f>COUNTIFS(Drawer!$E:$E,'Drawer Rec'!$B48,Drawer!$L:$L,"Cash",Drawer!$O:$O,'Drawer Rec'!M$8,Drawer!$K:$K,"&lt;&gt;0")</f>
        <v>1</v>
      </c>
      <c r="N48" s="113">
        <f>COUNTIFS(Drawer!$E:$E,'Drawer Rec'!$B48,Drawer!$L:$L,"Cash",Drawer!$O:$O,'Drawer Rec'!N$8,Drawer!$K:$K,"&lt;&gt;0")</f>
        <v>1</v>
      </c>
      <c r="O48" s="113">
        <f>COUNTIFS(Drawer!$E:$E,'Drawer Rec'!$B48,Drawer!$L:$L,"Cash",Drawer!$O:$O,'Drawer Rec'!O$8,Drawer!$K:$K,"&lt;&gt;0")</f>
        <v>1</v>
      </c>
      <c r="P48" s="113">
        <f>COUNTIFS(Drawer!$E:$E,'Drawer Rec'!$B48,Drawer!$L:$L,"Cash",Drawer!$O:$O,'Drawer Rec'!P$8,Drawer!$K:$K,"&lt;&gt;0")</f>
        <v>1</v>
      </c>
    </row>
    <row r="49" spans="1:16" x14ac:dyDescent="0.2">
      <c r="A49" s="76"/>
      <c r="B49" s="161">
        <v>477002</v>
      </c>
      <c r="C49" s="77"/>
      <c r="D49" s="76"/>
      <c r="E49" s="74"/>
      <c r="F49" s="78">
        <v>4</v>
      </c>
      <c r="G49" s="113">
        <f>COUNTIFS(Drawer!$E:$E,'Drawer Rec'!$B49,Drawer!$L:$L,"Cash",Drawer!$O:$O,'Drawer Rec'!G$8,Drawer!$K:$K,"&lt;&gt;0")</f>
        <v>0</v>
      </c>
      <c r="H49" s="113">
        <f>COUNTIFS(Drawer!$E:$E,'Drawer Rec'!$B49,Drawer!$L:$L,"Cash",Drawer!$O:$O,'Drawer Rec'!H$8,Drawer!$K:$K,"&lt;&gt;0")</f>
        <v>0</v>
      </c>
      <c r="I49" s="113">
        <f>COUNTIFS(Drawer!$E:$E,'Drawer Rec'!$B49,Drawer!$L:$L,"Cash",Drawer!$O:$O,'Drawer Rec'!I$8,Drawer!$K:$K,"&lt;&gt;0")</f>
        <v>0</v>
      </c>
      <c r="J49" s="113">
        <f>COUNTIFS(Drawer!$E:$E,'Drawer Rec'!$B49,Drawer!$L:$L,"Cash",Drawer!$O:$O,'Drawer Rec'!J$8,Drawer!$K:$K,"&lt;&gt;0")</f>
        <v>0</v>
      </c>
      <c r="K49" s="113">
        <f>COUNTIFS(Drawer!$E:$E,'Drawer Rec'!$B49,Drawer!$L:$L,"Cash",Drawer!$O:$O,'Drawer Rec'!K$8,Drawer!$K:$K,"&lt;&gt;0")</f>
        <v>0</v>
      </c>
      <c r="L49" s="113">
        <f>COUNTIFS(Drawer!$E:$E,'Drawer Rec'!$B49,Drawer!$L:$L,"Cash",Drawer!$O:$O,'Drawer Rec'!L$8,Drawer!$K:$K,"&lt;&gt;0")</f>
        <v>0</v>
      </c>
      <c r="M49" s="113">
        <f>COUNTIFS(Drawer!$E:$E,'Drawer Rec'!$B49,Drawer!$L:$L,"Cash",Drawer!$O:$O,'Drawer Rec'!M$8,Drawer!$K:$K,"&lt;&gt;0")</f>
        <v>0</v>
      </c>
      <c r="N49" s="113">
        <f>COUNTIFS(Drawer!$E:$E,'Drawer Rec'!$B49,Drawer!$L:$L,"Cash",Drawer!$O:$O,'Drawer Rec'!N$8,Drawer!$K:$K,"&lt;&gt;0")</f>
        <v>0</v>
      </c>
      <c r="O49" s="113">
        <f>COUNTIFS(Drawer!$E:$E,'Drawer Rec'!$B49,Drawer!$L:$L,"Cash",Drawer!$O:$O,'Drawer Rec'!O$8,Drawer!$K:$K,"&lt;&gt;0")</f>
        <v>0</v>
      </c>
      <c r="P49" s="113">
        <f>COUNTIFS(Drawer!$E:$E,'Drawer Rec'!$B49,Drawer!$L:$L,"Cash",Drawer!$O:$O,'Drawer Rec'!P$8,Drawer!$K:$K,"&lt;&gt;0")</f>
        <v>0</v>
      </c>
    </row>
    <row r="50" spans="1:16" x14ac:dyDescent="0.2">
      <c r="A50" s="76"/>
      <c r="B50" s="161">
        <v>477003</v>
      </c>
      <c r="C50" s="77"/>
      <c r="D50" s="76"/>
      <c r="E50" s="74"/>
      <c r="F50" s="78">
        <v>4</v>
      </c>
      <c r="G50" s="113">
        <f>COUNTIFS(Drawer!$E:$E,'Drawer Rec'!$B50,Drawer!$L:$L,"Cash",Drawer!$O:$O,'Drawer Rec'!G$8,Drawer!$K:$K,"&lt;&gt;0")</f>
        <v>0</v>
      </c>
      <c r="H50" s="113">
        <f>COUNTIFS(Drawer!$E:$E,'Drawer Rec'!$B50,Drawer!$L:$L,"Cash",Drawer!$O:$O,'Drawer Rec'!H$8,Drawer!$K:$K,"&lt;&gt;0")</f>
        <v>0</v>
      </c>
      <c r="I50" s="113">
        <f>COUNTIFS(Drawer!$E:$E,'Drawer Rec'!$B50,Drawer!$L:$L,"Cash",Drawer!$O:$O,'Drawer Rec'!I$8,Drawer!$K:$K,"&lt;&gt;0")</f>
        <v>0</v>
      </c>
      <c r="J50" s="113">
        <f>COUNTIFS(Drawer!$E:$E,'Drawer Rec'!$B50,Drawer!$L:$L,"Cash",Drawer!$O:$O,'Drawer Rec'!J$8,Drawer!$K:$K,"&lt;&gt;0")</f>
        <v>0</v>
      </c>
      <c r="K50" s="113">
        <f>COUNTIFS(Drawer!$E:$E,'Drawer Rec'!$B50,Drawer!$L:$L,"Cash",Drawer!$O:$O,'Drawer Rec'!K$8,Drawer!$K:$K,"&lt;&gt;0")</f>
        <v>0</v>
      </c>
      <c r="L50" s="113">
        <f>COUNTIFS(Drawer!$E:$E,'Drawer Rec'!$B50,Drawer!$L:$L,"Cash",Drawer!$O:$O,'Drawer Rec'!L$8,Drawer!$K:$K,"&lt;&gt;0")</f>
        <v>0</v>
      </c>
      <c r="M50" s="113">
        <f>COUNTIFS(Drawer!$E:$E,'Drawer Rec'!$B50,Drawer!$L:$L,"Cash",Drawer!$O:$O,'Drawer Rec'!M$8,Drawer!$K:$K,"&lt;&gt;0")</f>
        <v>0</v>
      </c>
      <c r="N50" s="113">
        <f>COUNTIFS(Drawer!$E:$E,'Drawer Rec'!$B50,Drawer!$L:$L,"Cash",Drawer!$O:$O,'Drawer Rec'!N$8,Drawer!$K:$K,"&lt;&gt;0")</f>
        <v>0</v>
      </c>
      <c r="O50" s="113">
        <f>COUNTIFS(Drawer!$E:$E,'Drawer Rec'!$B50,Drawer!$L:$L,"Cash",Drawer!$O:$O,'Drawer Rec'!O$8,Drawer!$K:$K,"&lt;&gt;0")</f>
        <v>0</v>
      </c>
      <c r="P50" s="113">
        <f>COUNTIFS(Drawer!$E:$E,'Drawer Rec'!$B50,Drawer!$L:$L,"Cash",Drawer!$O:$O,'Drawer Rec'!P$8,Drawer!$K:$K,"&lt;&gt;0")</f>
        <v>0</v>
      </c>
    </row>
    <row r="51" spans="1:16" x14ac:dyDescent="0.2">
      <c r="A51" s="76">
        <v>6087</v>
      </c>
      <c r="B51" s="161">
        <v>608701</v>
      </c>
      <c r="C51" s="162" t="s">
        <v>67</v>
      </c>
      <c r="D51" s="76">
        <v>2</v>
      </c>
      <c r="E51" s="74">
        <v>21</v>
      </c>
      <c r="F51" s="78">
        <v>3</v>
      </c>
      <c r="G51" s="113">
        <f>COUNTIFS(Drawer!$E:$E,'Drawer Rec'!$B51,Drawer!$L:$L,"Cash",Drawer!$O:$O,'Drawer Rec'!G$8,Drawer!$K:$K,"&lt;&gt;0")</f>
        <v>0</v>
      </c>
      <c r="H51" s="113">
        <f>COUNTIFS(Drawer!$E:$E,'Drawer Rec'!$B51,Drawer!$L:$L,"Cash",Drawer!$O:$O,'Drawer Rec'!H$8,Drawer!$K:$K,"&lt;&gt;0")</f>
        <v>0</v>
      </c>
      <c r="I51" s="113">
        <f>COUNTIFS(Drawer!$E:$E,'Drawer Rec'!$B51,Drawer!$L:$L,"Cash",Drawer!$O:$O,'Drawer Rec'!I$8,Drawer!$K:$K,"&lt;&gt;0")</f>
        <v>0</v>
      </c>
      <c r="J51" s="113">
        <f>COUNTIFS(Drawer!$E:$E,'Drawer Rec'!$B51,Drawer!$L:$L,"Cash",Drawer!$O:$O,'Drawer Rec'!J$8,Drawer!$K:$K,"&lt;&gt;0")</f>
        <v>0</v>
      </c>
      <c r="K51" s="113">
        <f>COUNTIFS(Drawer!$E:$E,'Drawer Rec'!$B51,Drawer!$L:$L,"Cash",Drawer!$O:$O,'Drawer Rec'!K$8,Drawer!$K:$K,"&lt;&gt;0")</f>
        <v>0</v>
      </c>
      <c r="L51" s="113">
        <f>COUNTIFS(Drawer!$E:$E,'Drawer Rec'!$B51,Drawer!$L:$L,"Cash",Drawer!$O:$O,'Drawer Rec'!L$8,Drawer!$K:$K,"&lt;&gt;0")</f>
        <v>0</v>
      </c>
      <c r="M51" s="113">
        <f>COUNTIFS(Drawer!$E:$E,'Drawer Rec'!$B51,Drawer!$L:$L,"Cash",Drawer!$O:$O,'Drawer Rec'!M$8,Drawer!$K:$K,"&lt;&gt;0")</f>
        <v>0</v>
      </c>
      <c r="N51" s="113">
        <f>COUNTIFS(Drawer!$E:$E,'Drawer Rec'!$B51,Drawer!$L:$L,"Cash",Drawer!$O:$O,'Drawer Rec'!N$8,Drawer!$K:$K,"&lt;&gt;0")</f>
        <v>0</v>
      </c>
      <c r="O51" s="113">
        <f>COUNTIFS(Drawer!$E:$E,'Drawer Rec'!$B51,Drawer!$L:$L,"Cash",Drawer!$O:$O,'Drawer Rec'!O$8,Drawer!$K:$K,"&lt;&gt;0")</f>
        <v>0</v>
      </c>
      <c r="P51" s="113">
        <f>COUNTIFS(Drawer!$E:$E,'Drawer Rec'!$B51,Drawer!$L:$L,"Cash",Drawer!$O:$O,'Drawer Rec'!P$8,Drawer!$K:$K,"&lt;&gt;0")</f>
        <v>0</v>
      </c>
    </row>
    <row r="52" spans="1:16" x14ac:dyDescent="0.2">
      <c r="A52" s="76"/>
      <c r="B52" s="161">
        <v>608702</v>
      </c>
      <c r="C52" s="162"/>
      <c r="D52" s="76"/>
      <c r="E52" s="74"/>
      <c r="F52" s="78">
        <v>3</v>
      </c>
      <c r="G52" s="113">
        <f>COUNTIFS(Drawer!$E:$E,'Drawer Rec'!$B52,Drawer!$L:$L,"Cash",Drawer!$O:$O,'Drawer Rec'!G$8,Drawer!$K:$K,"&lt;&gt;0")</f>
        <v>1</v>
      </c>
      <c r="H52" s="113">
        <f>COUNTIFS(Drawer!$E:$E,'Drawer Rec'!$B52,Drawer!$L:$L,"Cash",Drawer!$O:$O,'Drawer Rec'!H$8,Drawer!$K:$K,"&lt;&gt;0")</f>
        <v>1</v>
      </c>
      <c r="I52" s="113">
        <f>COUNTIFS(Drawer!$E:$E,'Drawer Rec'!$B52,Drawer!$L:$L,"Cash",Drawer!$O:$O,'Drawer Rec'!I$8,Drawer!$K:$K,"&lt;&gt;0")</f>
        <v>2</v>
      </c>
      <c r="J52" s="113">
        <f>COUNTIFS(Drawer!$E:$E,'Drawer Rec'!$B52,Drawer!$L:$L,"Cash",Drawer!$O:$O,'Drawer Rec'!J$8,Drawer!$K:$K,"&lt;&gt;0")</f>
        <v>1</v>
      </c>
      <c r="K52" s="113">
        <f>COUNTIFS(Drawer!$E:$E,'Drawer Rec'!$B52,Drawer!$L:$L,"Cash",Drawer!$O:$O,'Drawer Rec'!K$8,Drawer!$K:$K,"&lt;&gt;0")</f>
        <v>1</v>
      </c>
      <c r="L52" s="113">
        <f>COUNTIFS(Drawer!$E:$E,'Drawer Rec'!$B52,Drawer!$L:$L,"Cash",Drawer!$O:$O,'Drawer Rec'!L$8,Drawer!$K:$K,"&lt;&gt;0")</f>
        <v>0</v>
      </c>
      <c r="M52" s="113">
        <f>COUNTIFS(Drawer!$E:$E,'Drawer Rec'!$B52,Drawer!$L:$L,"Cash",Drawer!$O:$O,'Drawer Rec'!M$8,Drawer!$K:$K,"&lt;&gt;0")</f>
        <v>3</v>
      </c>
      <c r="N52" s="113">
        <f>COUNTIFS(Drawer!$E:$E,'Drawer Rec'!$B52,Drawer!$L:$L,"Cash",Drawer!$O:$O,'Drawer Rec'!N$8,Drawer!$K:$K,"&lt;&gt;0")</f>
        <v>0</v>
      </c>
      <c r="O52" s="113">
        <f>COUNTIFS(Drawer!$E:$E,'Drawer Rec'!$B52,Drawer!$L:$L,"Cash",Drawer!$O:$O,'Drawer Rec'!O$8,Drawer!$K:$K,"&lt;&gt;0")</f>
        <v>0</v>
      </c>
      <c r="P52" s="113">
        <f>COUNTIFS(Drawer!$E:$E,'Drawer Rec'!$B52,Drawer!$L:$L,"Cash",Drawer!$O:$O,'Drawer Rec'!P$8,Drawer!$K:$K,"&lt;&gt;0")</f>
        <v>1</v>
      </c>
    </row>
    <row r="53" spans="1:16" x14ac:dyDescent="0.2">
      <c r="A53" s="76">
        <v>6176</v>
      </c>
      <c r="B53" s="161">
        <v>617601</v>
      </c>
      <c r="C53" s="77" t="s">
        <v>24</v>
      </c>
      <c r="D53" s="76">
        <v>2</v>
      </c>
      <c r="E53" s="74">
        <v>19.5</v>
      </c>
      <c r="F53" s="78">
        <v>3</v>
      </c>
      <c r="G53" s="113">
        <f>COUNTIFS(Drawer!$E:$E,'Drawer Rec'!$B53,Drawer!$L:$L,"Cash",Drawer!$O:$O,'Drawer Rec'!G$8,Drawer!$K:$K,"&lt;&gt;0")</f>
        <v>0</v>
      </c>
      <c r="H53" s="113">
        <f>COUNTIFS(Drawer!$E:$E,'Drawer Rec'!$B53,Drawer!$L:$L,"Cash",Drawer!$O:$O,'Drawer Rec'!H$8,Drawer!$K:$K,"&lt;&gt;0")</f>
        <v>2</v>
      </c>
      <c r="I53" s="113">
        <f>COUNTIFS(Drawer!$E:$E,'Drawer Rec'!$B53,Drawer!$L:$L,"Cash",Drawer!$O:$O,'Drawer Rec'!I$8,Drawer!$K:$K,"&lt;&gt;0")</f>
        <v>1</v>
      </c>
      <c r="J53" s="113">
        <f>COUNTIFS(Drawer!$E:$E,'Drawer Rec'!$B53,Drawer!$L:$L,"Cash",Drawer!$O:$O,'Drawer Rec'!J$8,Drawer!$K:$K,"&lt;&gt;0")</f>
        <v>0</v>
      </c>
      <c r="K53" s="113">
        <f>COUNTIFS(Drawer!$E:$E,'Drawer Rec'!$B53,Drawer!$L:$L,"Cash",Drawer!$O:$O,'Drawer Rec'!K$8,Drawer!$K:$K,"&lt;&gt;0")</f>
        <v>1</v>
      </c>
      <c r="L53" s="113">
        <f>COUNTIFS(Drawer!$E:$E,'Drawer Rec'!$B53,Drawer!$L:$L,"Cash",Drawer!$O:$O,'Drawer Rec'!L$8,Drawer!$K:$K,"&lt;&gt;0")</f>
        <v>0</v>
      </c>
      <c r="M53" s="113">
        <f>COUNTIFS(Drawer!$E:$E,'Drawer Rec'!$B53,Drawer!$L:$L,"Cash",Drawer!$O:$O,'Drawer Rec'!M$8,Drawer!$K:$K,"&lt;&gt;0")</f>
        <v>3</v>
      </c>
      <c r="N53" s="113">
        <f>COUNTIFS(Drawer!$E:$E,'Drawer Rec'!$B53,Drawer!$L:$L,"Cash",Drawer!$O:$O,'Drawer Rec'!N$8,Drawer!$K:$K,"&lt;&gt;0")</f>
        <v>1</v>
      </c>
      <c r="O53" s="113">
        <f>COUNTIFS(Drawer!$E:$E,'Drawer Rec'!$B53,Drawer!$L:$L,"Cash",Drawer!$O:$O,'Drawer Rec'!O$8,Drawer!$K:$K,"&lt;&gt;0")</f>
        <v>1</v>
      </c>
      <c r="P53" s="113">
        <f>COUNTIFS(Drawer!$E:$E,'Drawer Rec'!$B53,Drawer!$L:$L,"Cash",Drawer!$O:$O,'Drawer Rec'!P$8,Drawer!$K:$K,"&lt;&gt;0")</f>
        <v>1</v>
      </c>
    </row>
    <row r="54" spans="1:16" x14ac:dyDescent="0.2">
      <c r="A54" s="76"/>
      <c r="B54" s="161">
        <v>617602</v>
      </c>
      <c r="C54" s="77"/>
      <c r="D54" s="76"/>
      <c r="E54" s="74"/>
      <c r="F54" s="78">
        <v>3</v>
      </c>
      <c r="G54" s="113">
        <f>COUNTIFS(Drawer!$E:$E,'Drawer Rec'!$B54,Drawer!$L:$L,"Cash",Drawer!$O:$O,'Drawer Rec'!G$8,Drawer!$K:$K,"&lt;&gt;0")</f>
        <v>0</v>
      </c>
      <c r="H54" s="113">
        <f>COUNTIFS(Drawer!$E:$E,'Drawer Rec'!$B54,Drawer!$L:$L,"Cash",Drawer!$O:$O,'Drawer Rec'!H$8,Drawer!$K:$K,"&lt;&gt;0")</f>
        <v>0</v>
      </c>
      <c r="I54" s="113">
        <f>COUNTIFS(Drawer!$E:$E,'Drawer Rec'!$B54,Drawer!$L:$L,"Cash",Drawer!$O:$O,'Drawer Rec'!I$8,Drawer!$K:$K,"&lt;&gt;0")</f>
        <v>0</v>
      </c>
      <c r="J54" s="113">
        <f>COUNTIFS(Drawer!$E:$E,'Drawer Rec'!$B54,Drawer!$L:$L,"Cash",Drawer!$O:$O,'Drawer Rec'!J$8,Drawer!$K:$K,"&lt;&gt;0")</f>
        <v>0</v>
      </c>
      <c r="K54" s="113">
        <f>COUNTIFS(Drawer!$E:$E,'Drawer Rec'!$B54,Drawer!$L:$L,"Cash",Drawer!$O:$O,'Drawer Rec'!K$8,Drawer!$K:$K,"&lt;&gt;0")</f>
        <v>0</v>
      </c>
      <c r="L54" s="113">
        <f>COUNTIFS(Drawer!$E:$E,'Drawer Rec'!$B54,Drawer!$L:$L,"Cash",Drawer!$O:$O,'Drawer Rec'!L$8,Drawer!$K:$K,"&lt;&gt;0")</f>
        <v>0</v>
      </c>
      <c r="M54" s="113">
        <f>COUNTIFS(Drawer!$E:$E,'Drawer Rec'!$B54,Drawer!$L:$L,"Cash",Drawer!$O:$O,'Drawer Rec'!M$8,Drawer!$K:$K,"&lt;&gt;0")</f>
        <v>0</v>
      </c>
      <c r="N54" s="113">
        <f>COUNTIFS(Drawer!$E:$E,'Drawer Rec'!$B54,Drawer!$L:$L,"Cash",Drawer!$O:$O,'Drawer Rec'!N$8,Drawer!$K:$K,"&lt;&gt;0")</f>
        <v>0</v>
      </c>
      <c r="O54" s="113">
        <f>COUNTIFS(Drawer!$E:$E,'Drawer Rec'!$B54,Drawer!$L:$L,"Cash",Drawer!$O:$O,'Drawer Rec'!O$8,Drawer!$K:$K,"&lt;&gt;0")</f>
        <v>0</v>
      </c>
      <c r="P54" s="113">
        <f>COUNTIFS(Drawer!$E:$E,'Drawer Rec'!$B54,Drawer!$L:$L,"Cash",Drawer!$O:$O,'Drawer Rec'!P$8,Drawer!$K:$K,"&lt;&gt;0")</f>
        <v>0</v>
      </c>
    </row>
    <row r="55" spans="1:16" x14ac:dyDescent="0.2">
      <c r="A55" s="76">
        <v>7641</v>
      </c>
      <c r="B55" s="161">
        <v>764101</v>
      </c>
      <c r="C55" s="77" t="s">
        <v>7</v>
      </c>
      <c r="D55" s="76">
        <v>1</v>
      </c>
      <c r="E55" s="74">
        <v>16.5</v>
      </c>
      <c r="F55" s="78">
        <v>3</v>
      </c>
      <c r="G55" s="113">
        <f>COUNTIFS(Drawer!$E:$E,'Drawer Rec'!$B55,Drawer!$L:$L,"Cash",Drawer!$O:$O,'Drawer Rec'!G$8,Drawer!$K:$K,"&lt;&gt;0")</f>
        <v>1</v>
      </c>
      <c r="H55" s="113">
        <f>COUNTIFS(Drawer!$E:$E,'Drawer Rec'!$B55,Drawer!$L:$L,"Cash",Drawer!$O:$O,'Drawer Rec'!H$8,Drawer!$K:$K,"&lt;&gt;0")</f>
        <v>2</v>
      </c>
      <c r="I55" s="113">
        <f>COUNTIFS(Drawer!$E:$E,'Drawer Rec'!$B55,Drawer!$L:$L,"Cash",Drawer!$O:$O,'Drawer Rec'!I$8,Drawer!$K:$K,"&lt;&gt;0")</f>
        <v>1</v>
      </c>
      <c r="J55" s="113">
        <f>COUNTIFS(Drawer!$E:$E,'Drawer Rec'!$B55,Drawer!$L:$L,"Cash",Drawer!$O:$O,'Drawer Rec'!J$8,Drawer!$K:$K,"&lt;&gt;0")</f>
        <v>2</v>
      </c>
      <c r="K55" s="113">
        <f>COUNTIFS(Drawer!$E:$E,'Drawer Rec'!$B55,Drawer!$L:$L,"Cash",Drawer!$O:$O,'Drawer Rec'!K$8,Drawer!$K:$K,"&lt;&gt;0")</f>
        <v>1</v>
      </c>
      <c r="L55" s="113">
        <f>COUNTIFS(Drawer!$E:$E,'Drawer Rec'!$B55,Drawer!$L:$L,"Cash",Drawer!$O:$O,'Drawer Rec'!L$8,Drawer!$K:$K,"&lt;&gt;0")</f>
        <v>1</v>
      </c>
      <c r="M55" s="113">
        <f>COUNTIFS(Drawer!$E:$E,'Drawer Rec'!$B55,Drawer!$L:$L,"Cash",Drawer!$O:$O,'Drawer Rec'!M$8,Drawer!$K:$K,"&lt;&gt;0")</f>
        <v>1</v>
      </c>
      <c r="N55" s="113">
        <f>COUNTIFS(Drawer!$E:$E,'Drawer Rec'!$B55,Drawer!$L:$L,"Cash",Drawer!$O:$O,'Drawer Rec'!N$8,Drawer!$K:$K,"&lt;&gt;0")</f>
        <v>1</v>
      </c>
      <c r="O55" s="113">
        <f>COUNTIFS(Drawer!$E:$E,'Drawer Rec'!$B55,Drawer!$L:$L,"Cash",Drawer!$O:$O,'Drawer Rec'!O$8,Drawer!$K:$K,"&lt;&gt;0")</f>
        <v>1</v>
      </c>
      <c r="P55" s="113">
        <f>COUNTIFS(Drawer!$E:$E,'Drawer Rec'!$B55,Drawer!$L:$L,"Cash",Drawer!$O:$O,'Drawer Rec'!P$8,Drawer!$K:$K,"&lt;&gt;0")</f>
        <v>1</v>
      </c>
    </row>
    <row r="56" spans="1:16" ht="15.75" customHeight="1" x14ac:dyDescent="0.2">
      <c r="A56" s="76">
        <v>7078</v>
      </c>
      <c r="B56" s="161">
        <v>707801</v>
      </c>
      <c r="C56" s="77" t="s">
        <v>10</v>
      </c>
      <c r="D56" s="76">
        <v>2</v>
      </c>
      <c r="E56" s="74">
        <v>16.5</v>
      </c>
      <c r="F56" s="78">
        <v>3</v>
      </c>
      <c r="G56" s="113">
        <f>COUNTIFS(Drawer!$E:$E,'Drawer Rec'!$B56,Drawer!$L:$L,"Cash",Drawer!$O:$O,'Drawer Rec'!G$8,Drawer!$K:$K,"&lt;&gt;0")</f>
        <v>1</v>
      </c>
      <c r="H56" s="113">
        <f>COUNTIFS(Drawer!$E:$E,'Drawer Rec'!$B56,Drawer!$L:$L,"Cash",Drawer!$O:$O,'Drawer Rec'!H$8,Drawer!$K:$K,"&lt;&gt;0")</f>
        <v>2</v>
      </c>
      <c r="I56" s="113">
        <f>COUNTIFS(Drawer!$E:$E,'Drawer Rec'!$B56,Drawer!$L:$L,"Cash",Drawer!$O:$O,'Drawer Rec'!I$8,Drawer!$K:$K,"&lt;&gt;0")</f>
        <v>1</v>
      </c>
      <c r="J56" s="113">
        <f>COUNTIFS(Drawer!$E:$E,'Drawer Rec'!$B56,Drawer!$L:$L,"Cash",Drawer!$O:$O,'Drawer Rec'!J$8,Drawer!$K:$K,"&lt;&gt;0")</f>
        <v>1</v>
      </c>
      <c r="K56" s="113">
        <f>COUNTIFS(Drawer!$E:$E,'Drawer Rec'!$B56,Drawer!$L:$L,"Cash",Drawer!$O:$O,'Drawer Rec'!K$8,Drawer!$K:$K,"&lt;&gt;0")</f>
        <v>1</v>
      </c>
      <c r="L56" s="113">
        <f>COUNTIFS(Drawer!$E:$E,'Drawer Rec'!$B56,Drawer!$L:$L,"Cash",Drawer!$O:$O,'Drawer Rec'!L$8,Drawer!$K:$K,"&lt;&gt;0")</f>
        <v>1</v>
      </c>
      <c r="M56" s="113">
        <f>COUNTIFS(Drawer!$E:$E,'Drawer Rec'!$B56,Drawer!$L:$L,"Cash",Drawer!$O:$O,'Drawer Rec'!M$8,Drawer!$K:$K,"&lt;&gt;0")</f>
        <v>2</v>
      </c>
      <c r="N56" s="113">
        <f>COUNTIFS(Drawer!$E:$E,'Drawer Rec'!$B56,Drawer!$L:$L,"Cash",Drawer!$O:$O,'Drawer Rec'!N$8,Drawer!$K:$K,"&lt;&gt;0")</f>
        <v>1</v>
      </c>
      <c r="O56" s="113">
        <f>COUNTIFS(Drawer!$E:$E,'Drawer Rec'!$B56,Drawer!$L:$L,"Cash",Drawer!$O:$O,'Drawer Rec'!O$8,Drawer!$K:$K,"&lt;&gt;0")</f>
        <v>1</v>
      </c>
      <c r="P56" s="113">
        <f>COUNTIFS(Drawer!$E:$E,'Drawer Rec'!$B56,Drawer!$L:$L,"Cash",Drawer!$O:$O,'Drawer Rec'!P$8,Drawer!$K:$K,"&lt;&gt;0")</f>
        <v>1</v>
      </c>
    </row>
    <row r="57" spans="1:16" x14ac:dyDescent="0.2">
      <c r="A57" s="76"/>
      <c r="B57" s="161">
        <v>707802</v>
      </c>
      <c r="C57" s="77"/>
      <c r="D57" s="76"/>
      <c r="E57" s="74"/>
      <c r="F57" s="78">
        <v>3</v>
      </c>
      <c r="G57" s="113">
        <f>COUNTIFS(Drawer!$E:$E,'Drawer Rec'!$B57,Drawer!$L:$L,"Cash",Drawer!$O:$O,'Drawer Rec'!G$8,Drawer!$K:$K,"&lt;&gt;0")</f>
        <v>0</v>
      </c>
      <c r="H57" s="113">
        <f>COUNTIFS(Drawer!$E:$E,'Drawer Rec'!$B57,Drawer!$L:$L,"Cash",Drawer!$O:$O,'Drawer Rec'!H$8,Drawer!$K:$K,"&lt;&gt;0")</f>
        <v>0</v>
      </c>
      <c r="I57" s="113">
        <f>COUNTIFS(Drawer!$E:$E,'Drawer Rec'!$B57,Drawer!$L:$L,"Cash",Drawer!$O:$O,'Drawer Rec'!I$8,Drawer!$K:$K,"&lt;&gt;0")</f>
        <v>0</v>
      </c>
      <c r="J57" s="113">
        <f>COUNTIFS(Drawer!$E:$E,'Drawer Rec'!$B57,Drawer!$L:$L,"Cash",Drawer!$O:$O,'Drawer Rec'!J$8,Drawer!$K:$K,"&lt;&gt;0")</f>
        <v>0</v>
      </c>
      <c r="K57" s="113">
        <f>COUNTIFS(Drawer!$E:$E,'Drawer Rec'!$B57,Drawer!$L:$L,"Cash",Drawer!$O:$O,'Drawer Rec'!K$8,Drawer!$K:$K,"&lt;&gt;0")</f>
        <v>0</v>
      </c>
      <c r="L57" s="113">
        <f>COUNTIFS(Drawer!$E:$E,'Drawer Rec'!$B57,Drawer!$L:$L,"Cash",Drawer!$O:$O,'Drawer Rec'!L$8,Drawer!$K:$K,"&lt;&gt;0")</f>
        <v>0</v>
      </c>
      <c r="M57" s="113">
        <f>COUNTIFS(Drawer!$E:$E,'Drawer Rec'!$B57,Drawer!$L:$L,"Cash",Drawer!$O:$O,'Drawer Rec'!M$8,Drawer!$K:$K,"&lt;&gt;0")</f>
        <v>0</v>
      </c>
      <c r="N57" s="113">
        <f>COUNTIFS(Drawer!$E:$E,'Drawer Rec'!$B57,Drawer!$L:$L,"Cash",Drawer!$O:$O,'Drawer Rec'!N$8,Drawer!$K:$K,"&lt;&gt;0")</f>
        <v>0</v>
      </c>
      <c r="O57" s="113">
        <f>COUNTIFS(Drawer!$E:$E,'Drawer Rec'!$B57,Drawer!$L:$L,"Cash",Drawer!$O:$O,'Drawer Rec'!O$8,Drawer!$K:$K,"&lt;&gt;0")</f>
        <v>0</v>
      </c>
      <c r="P57" s="113">
        <f>COUNTIFS(Drawer!$E:$E,'Drawer Rec'!$B57,Drawer!$L:$L,"Cash",Drawer!$O:$O,'Drawer Rec'!P$8,Drawer!$K:$K,"&lt;&gt;0")</f>
        <v>0</v>
      </c>
    </row>
    <row r="58" spans="1:16" x14ac:dyDescent="0.2">
      <c r="A58" s="76">
        <v>7079</v>
      </c>
      <c r="B58" s="161">
        <v>707901</v>
      </c>
      <c r="C58" s="77" t="s">
        <v>11</v>
      </c>
      <c r="D58" s="76">
        <v>1</v>
      </c>
      <c r="E58" s="74">
        <v>16.5</v>
      </c>
      <c r="F58" s="78">
        <v>3</v>
      </c>
      <c r="G58" s="113">
        <f>COUNTIFS(Drawer!$E:$E,'Drawer Rec'!$B58,Drawer!$L:$L,"Cash",Drawer!$O:$O,'Drawer Rec'!G$8,Drawer!$K:$K,"&lt;&gt;0")</f>
        <v>1</v>
      </c>
      <c r="H58" s="113">
        <f>COUNTIFS(Drawer!$E:$E,'Drawer Rec'!$B58,Drawer!$L:$L,"Cash",Drawer!$O:$O,'Drawer Rec'!H$8,Drawer!$K:$K,"&lt;&gt;0")</f>
        <v>1</v>
      </c>
      <c r="I58" s="113">
        <f>COUNTIFS(Drawer!$E:$E,'Drawer Rec'!$B58,Drawer!$L:$L,"Cash",Drawer!$O:$O,'Drawer Rec'!I$8,Drawer!$K:$K,"&lt;&gt;0")</f>
        <v>1</v>
      </c>
      <c r="J58" s="113">
        <f>COUNTIFS(Drawer!$E:$E,'Drawer Rec'!$B58,Drawer!$L:$L,"Cash",Drawer!$O:$O,'Drawer Rec'!J$8,Drawer!$K:$K,"&lt;&gt;0")</f>
        <v>1</v>
      </c>
      <c r="K58" s="113">
        <f>COUNTIFS(Drawer!$E:$E,'Drawer Rec'!$B58,Drawer!$L:$L,"Cash",Drawer!$O:$O,'Drawer Rec'!K$8,Drawer!$K:$K,"&lt;&gt;0")</f>
        <v>1</v>
      </c>
      <c r="L58" s="113">
        <f>COUNTIFS(Drawer!$E:$E,'Drawer Rec'!$B58,Drawer!$L:$L,"Cash",Drawer!$O:$O,'Drawer Rec'!L$8,Drawer!$K:$K,"&lt;&gt;0")</f>
        <v>1</v>
      </c>
      <c r="M58" s="113">
        <f>COUNTIFS(Drawer!$E:$E,'Drawer Rec'!$B58,Drawer!$L:$L,"Cash",Drawer!$O:$O,'Drawer Rec'!M$8,Drawer!$K:$K,"&lt;&gt;0")</f>
        <v>1</v>
      </c>
      <c r="N58" s="113">
        <f>COUNTIFS(Drawer!$E:$E,'Drawer Rec'!$B58,Drawer!$L:$L,"Cash",Drawer!$O:$O,'Drawer Rec'!N$8,Drawer!$K:$K,"&lt;&gt;0")</f>
        <v>1</v>
      </c>
      <c r="O58" s="113">
        <f>COUNTIFS(Drawer!$E:$E,'Drawer Rec'!$B58,Drawer!$L:$L,"Cash",Drawer!$O:$O,'Drawer Rec'!O$8,Drawer!$K:$K,"&lt;&gt;0")</f>
        <v>1</v>
      </c>
      <c r="P58" s="113">
        <f>COUNTIFS(Drawer!$E:$E,'Drawer Rec'!$B58,Drawer!$L:$L,"Cash",Drawer!$O:$O,'Drawer Rec'!P$8,Drawer!$K:$K,"&lt;&gt;0")</f>
        <v>1</v>
      </c>
    </row>
    <row r="59" spans="1:16" x14ac:dyDescent="0.2">
      <c r="A59" s="76">
        <v>8305</v>
      </c>
      <c r="B59" s="161">
        <v>830501</v>
      </c>
      <c r="C59" s="77" t="s">
        <v>29</v>
      </c>
      <c r="D59" s="76">
        <v>2</v>
      </c>
      <c r="E59" s="74">
        <v>10</v>
      </c>
      <c r="F59" s="78">
        <v>2</v>
      </c>
      <c r="G59" s="113">
        <f>COUNTIFS(Drawer!$E:$E,'Drawer Rec'!$B59,Drawer!$L:$L,"Cash",Drawer!$O:$O,'Drawer Rec'!G$8,Drawer!$K:$K,"&lt;&gt;0")</f>
        <v>1</v>
      </c>
      <c r="H59" s="113">
        <f>COUNTIFS(Drawer!$E:$E,'Drawer Rec'!$B59,Drawer!$L:$L,"Cash",Drawer!$O:$O,'Drawer Rec'!H$8,Drawer!$K:$K,"&lt;&gt;0")</f>
        <v>1</v>
      </c>
      <c r="I59" s="113">
        <f>COUNTIFS(Drawer!$E:$E,'Drawer Rec'!$B59,Drawer!$L:$L,"Cash",Drawer!$O:$O,'Drawer Rec'!I$8,Drawer!$K:$K,"&lt;&gt;0")</f>
        <v>1</v>
      </c>
      <c r="J59" s="113">
        <f>COUNTIFS(Drawer!$E:$E,'Drawer Rec'!$B59,Drawer!$L:$L,"Cash",Drawer!$O:$O,'Drawer Rec'!J$8,Drawer!$K:$K,"&lt;&gt;0")</f>
        <v>1</v>
      </c>
      <c r="K59" s="113">
        <f>COUNTIFS(Drawer!$E:$E,'Drawer Rec'!$B59,Drawer!$L:$L,"Cash",Drawer!$O:$O,'Drawer Rec'!K$8,Drawer!$K:$K,"&lt;&gt;0")</f>
        <v>1</v>
      </c>
      <c r="L59" s="113">
        <f>COUNTIFS(Drawer!$E:$E,'Drawer Rec'!$B59,Drawer!$L:$L,"Cash",Drawer!$O:$O,'Drawer Rec'!L$8,Drawer!$K:$K,"&lt;&gt;0")</f>
        <v>1</v>
      </c>
      <c r="M59" s="113">
        <f>COUNTIFS(Drawer!$E:$E,'Drawer Rec'!$B59,Drawer!$L:$L,"Cash",Drawer!$O:$O,'Drawer Rec'!M$8,Drawer!$K:$K,"&lt;&gt;0")</f>
        <v>1</v>
      </c>
      <c r="N59" s="113">
        <f>COUNTIFS(Drawer!$E:$E,'Drawer Rec'!$B59,Drawer!$L:$L,"Cash",Drawer!$O:$O,'Drawer Rec'!N$8,Drawer!$K:$K,"&lt;&gt;0")</f>
        <v>1</v>
      </c>
      <c r="O59" s="113">
        <f>COUNTIFS(Drawer!$E:$E,'Drawer Rec'!$B59,Drawer!$L:$L,"Cash",Drawer!$O:$O,'Drawer Rec'!O$8,Drawer!$K:$K,"&lt;&gt;0")</f>
        <v>1</v>
      </c>
      <c r="P59" s="113">
        <f>COUNTIFS(Drawer!$E:$E,'Drawer Rec'!$B59,Drawer!$L:$L,"Cash",Drawer!$O:$O,'Drawer Rec'!P$8,Drawer!$K:$K,"&lt;&gt;0")</f>
        <v>1</v>
      </c>
    </row>
    <row r="60" spans="1:16" x14ac:dyDescent="0.2">
      <c r="A60" s="76"/>
      <c r="B60" s="161">
        <v>830502</v>
      </c>
      <c r="C60" s="77"/>
      <c r="D60" s="76"/>
      <c r="E60" s="74"/>
      <c r="F60" s="78">
        <v>2</v>
      </c>
      <c r="G60" s="113">
        <f>COUNTIFS(Drawer!$E:$E,'Drawer Rec'!$B60,Drawer!$L:$L,"Cash",Drawer!$O:$O,'Drawer Rec'!G$8,Drawer!$K:$K,"&lt;&gt;0")</f>
        <v>0</v>
      </c>
      <c r="H60" s="113">
        <f>COUNTIFS(Drawer!$E:$E,'Drawer Rec'!$B60,Drawer!$L:$L,"Cash",Drawer!$O:$O,'Drawer Rec'!H$8,Drawer!$K:$K,"&lt;&gt;0")</f>
        <v>0</v>
      </c>
      <c r="I60" s="113">
        <f>COUNTIFS(Drawer!$E:$E,'Drawer Rec'!$B60,Drawer!$L:$L,"Cash",Drawer!$O:$O,'Drawer Rec'!I$8,Drawer!$K:$K,"&lt;&gt;0")</f>
        <v>0</v>
      </c>
      <c r="J60" s="113">
        <f>COUNTIFS(Drawer!$E:$E,'Drawer Rec'!$B60,Drawer!$L:$L,"Cash",Drawer!$O:$O,'Drawer Rec'!J$8,Drawer!$K:$K,"&lt;&gt;0")</f>
        <v>0</v>
      </c>
      <c r="K60" s="113">
        <f>COUNTIFS(Drawer!$E:$E,'Drawer Rec'!$B60,Drawer!$L:$L,"Cash",Drawer!$O:$O,'Drawer Rec'!K$8,Drawer!$K:$K,"&lt;&gt;0")</f>
        <v>0</v>
      </c>
      <c r="L60" s="113">
        <f>COUNTIFS(Drawer!$E:$E,'Drawer Rec'!$B60,Drawer!$L:$L,"Cash",Drawer!$O:$O,'Drawer Rec'!L$8,Drawer!$K:$K,"&lt;&gt;0")</f>
        <v>0</v>
      </c>
      <c r="M60" s="113">
        <f>COUNTIFS(Drawer!$E:$E,'Drawer Rec'!$B60,Drawer!$L:$L,"Cash",Drawer!$O:$O,'Drawer Rec'!M$8,Drawer!$K:$K,"&lt;&gt;0")</f>
        <v>0</v>
      </c>
      <c r="N60" s="113">
        <f>COUNTIFS(Drawer!$E:$E,'Drawer Rec'!$B60,Drawer!$L:$L,"Cash",Drawer!$O:$O,'Drawer Rec'!N$8,Drawer!$K:$K,"&lt;&gt;0")</f>
        <v>0</v>
      </c>
      <c r="O60" s="113">
        <f>COUNTIFS(Drawer!$E:$E,'Drawer Rec'!$B60,Drawer!$L:$L,"Cash",Drawer!$O:$O,'Drawer Rec'!O$8,Drawer!$K:$K,"&lt;&gt;0")</f>
        <v>0</v>
      </c>
      <c r="P60" s="113">
        <f>COUNTIFS(Drawer!$E:$E,'Drawer Rec'!$B60,Drawer!$L:$L,"Cash",Drawer!$O:$O,'Drawer Rec'!P$8,Drawer!$K:$K,"&lt;&gt;0")</f>
        <v>0</v>
      </c>
    </row>
    <row r="61" spans="1:16" x14ac:dyDescent="0.2">
      <c r="A61" s="76">
        <v>8188</v>
      </c>
      <c r="B61" s="161">
        <v>818801</v>
      </c>
      <c r="C61" s="162" t="s">
        <v>19</v>
      </c>
      <c r="D61" s="76">
        <v>3</v>
      </c>
      <c r="E61" s="74">
        <v>24</v>
      </c>
      <c r="F61" s="78">
        <v>4</v>
      </c>
      <c r="G61" s="113">
        <f>COUNTIFS(Drawer!$E:$E,'Drawer Rec'!$B61,Drawer!$L:$L,"Cash",Drawer!$O:$O,'Drawer Rec'!G$8,Drawer!$K:$K,"&lt;&gt;0")</f>
        <v>0</v>
      </c>
      <c r="H61" s="113">
        <f>COUNTIFS(Drawer!$E:$E,'Drawer Rec'!$B61,Drawer!$L:$L,"Cash",Drawer!$O:$O,'Drawer Rec'!H$8,Drawer!$K:$K,"&lt;&gt;0")</f>
        <v>0</v>
      </c>
      <c r="I61" s="113">
        <f>COUNTIFS(Drawer!$E:$E,'Drawer Rec'!$B61,Drawer!$L:$L,"Cash",Drawer!$O:$O,'Drawer Rec'!I$8,Drawer!$K:$K,"&lt;&gt;0")</f>
        <v>0</v>
      </c>
      <c r="J61" s="113">
        <f>COUNTIFS(Drawer!$E:$E,'Drawer Rec'!$B61,Drawer!$L:$L,"Cash",Drawer!$O:$O,'Drawer Rec'!J$8,Drawer!$K:$K,"&lt;&gt;0")</f>
        <v>0</v>
      </c>
      <c r="K61" s="113">
        <f>COUNTIFS(Drawer!$E:$E,'Drawer Rec'!$B61,Drawer!$L:$L,"Cash",Drawer!$O:$O,'Drawer Rec'!K$8,Drawer!$K:$K,"&lt;&gt;0")</f>
        <v>0</v>
      </c>
      <c r="L61" s="113">
        <f>COUNTIFS(Drawer!$E:$E,'Drawer Rec'!$B61,Drawer!$L:$L,"Cash",Drawer!$O:$O,'Drawer Rec'!L$8,Drawer!$K:$K,"&lt;&gt;0")</f>
        <v>0</v>
      </c>
      <c r="M61" s="113">
        <f>COUNTIFS(Drawer!$E:$E,'Drawer Rec'!$B61,Drawer!$L:$L,"Cash",Drawer!$O:$O,'Drawer Rec'!M$8,Drawer!$K:$K,"&lt;&gt;0")</f>
        <v>0</v>
      </c>
      <c r="N61" s="113">
        <f>COUNTIFS(Drawer!$E:$E,'Drawer Rec'!$B61,Drawer!$L:$L,"Cash",Drawer!$O:$O,'Drawer Rec'!N$8,Drawer!$K:$K,"&lt;&gt;0")</f>
        <v>0</v>
      </c>
      <c r="O61" s="113">
        <f>COUNTIFS(Drawer!$E:$E,'Drawer Rec'!$B61,Drawer!$L:$L,"Cash",Drawer!$O:$O,'Drawer Rec'!O$8,Drawer!$K:$K,"&lt;&gt;0")</f>
        <v>0</v>
      </c>
      <c r="P61" s="113">
        <f>COUNTIFS(Drawer!$E:$E,'Drawer Rec'!$B61,Drawer!$L:$L,"Cash",Drawer!$O:$O,'Drawer Rec'!P$8,Drawer!$K:$K,"&lt;&gt;0")</f>
        <v>0</v>
      </c>
    </row>
    <row r="62" spans="1:16" x14ac:dyDescent="0.2">
      <c r="A62" s="76"/>
      <c r="B62" s="161">
        <v>818802</v>
      </c>
      <c r="C62" s="162"/>
      <c r="D62" s="76"/>
      <c r="E62" s="74"/>
      <c r="F62" s="78">
        <v>4</v>
      </c>
      <c r="G62" s="113">
        <f>COUNTIFS(Drawer!$E:$E,'Drawer Rec'!$B62,Drawer!$L:$L,"Cash",Drawer!$O:$O,'Drawer Rec'!G$8,Drawer!$K:$K,"&lt;&gt;0")</f>
        <v>1</v>
      </c>
      <c r="H62" s="113">
        <f>COUNTIFS(Drawer!$E:$E,'Drawer Rec'!$B62,Drawer!$L:$L,"Cash",Drawer!$O:$O,'Drawer Rec'!H$8,Drawer!$K:$K,"&lt;&gt;0")</f>
        <v>0</v>
      </c>
      <c r="I62" s="113">
        <f>COUNTIFS(Drawer!$E:$E,'Drawer Rec'!$B62,Drawer!$L:$L,"Cash",Drawer!$O:$O,'Drawer Rec'!I$8,Drawer!$K:$K,"&lt;&gt;0")</f>
        <v>1</v>
      </c>
      <c r="J62" s="113">
        <f>COUNTIFS(Drawer!$E:$E,'Drawer Rec'!$B62,Drawer!$L:$L,"Cash",Drawer!$O:$O,'Drawer Rec'!J$8,Drawer!$K:$K,"&lt;&gt;0")</f>
        <v>1</v>
      </c>
      <c r="K62" s="113">
        <f>COUNTIFS(Drawer!$E:$E,'Drawer Rec'!$B62,Drawer!$L:$L,"Cash",Drawer!$O:$O,'Drawer Rec'!K$8,Drawer!$K:$K,"&lt;&gt;0")</f>
        <v>1</v>
      </c>
      <c r="L62" s="113">
        <f>COUNTIFS(Drawer!$E:$E,'Drawer Rec'!$B62,Drawer!$L:$L,"Cash",Drawer!$O:$O,'Drawer Rec'!L$8,Drawer!$K:$K,"&lt;&gt;0")</f>
        <v>1</v>
      </c>
      <c r="M62" s="113">
        <f>COUNTIFS(Drawer!$E:$E,'Drawer Rec'!$B62,Drawer!$L:$L,"Cash",Drawer!$O:$O,'Drawer Rec'!M$8,Drawer!$K:$K,"&lt;&gt;0")</f>
        <v>1</v>
      </c>
      <c r="N62" s="113">
        <f>COUNTIFS(Drawer!$E:$E,'Drawer Rec'!$B62,Drawer!$L:$L,"Cash",Drawer!$O:$O,'Drawer Rec'!N$8,Drawer!$K:$K,"&lt;&gt;0")</f>
        <v>2</v>
      </c>
      <c r="O62" s="113">
        <f>COUNTIFS(Drawer!$E:$E,'Drawer Rec'!$B62,Drawer!$L:$L,"Cash",Drawer!$O:$O,'Drawer Rec'!O$8,Drawer!$K:$K,"&lt;&gt;0")</f>
        <v>0</v>
      </c>
      <c r="P62" s="113">
        <f>COUNTIFS(Drawer!$E:$E,'Drawer Rec'!$B62,Drawer!$L:$L,"Cash",Drawer!$O:$O,'Drawer Rec'!P$8,Drawer!$K:$K,"&lt;&gt;0")</f>
        <v>1</v>
      </c>
    </row>
    <row r="63" spans="1:16" x14ac:dyDescent="0.2">
      <c r="A63" s="76"/>
      <c r="B63" s="161">
        <v>818805</v>
      </c>
      <c r="C63" s="162"/>
      <c r="D63" s="76"/>
      <c r="E63" s="74"/>
      <c r="F63" s="78">
        <v>4</v>
      </c>
      <c r="G63" s="113">
        <f>COUNTIFS(Drawer!$E:$E,'Drawer Rec'!$B63,Drawer!$L:$L,"Cash",Drawer!$O:$O,'Drawer Rec'!G$8,Drawer!$K:$K,"&lt;&gt;0")</f>
        <v>0</v>
      </c>
      <c r="H63" s="113">
        <f>COUNTIFS(Drawer!$E:$E,'Drawer Rec'!$B63,Drawer!$L:$L,"Cash",Drawer!$O:$O,'Drawer Rec'!H$8,Drawer!$K:$K,"&lt;&gt;0")</f>
        <v>0</v>
      </c>
      <c r="I63" s="113">
        <f>COUNTIFS(Drawer!$E:$E,'Drawer Rec'!$B63,Drawer!$L:$L,"Cash",Drawer!$O:$O,'Drawer Rec'!I$8,Drawer!$K:$K,"&lt;&gt;0")</f>
        <v>0</v>
      </c>
      <c r="J63" s="113">
        <f>COUNTIFS(Drawer!$E:$E,'Drawer Rec'!$B63,Drawer!$L:$L,"Cash",Drawer!$O:$O,'Drawer Rec'!J$8,Drawer!$K:$K,"&lt;&gt;0")</f>
        <v>0</v>
      </c>
      <c r="K63" s="113">
        <f>COUNTIFS(Drawer!$E:$E,'Drawer Rec'!$B63,Drawer!$L:$L,"Cash",Drawer!$O:$O,'Drawer Rec'!K$8,Drawer!$K:$K,"&lt;&gt;0")</f>
        <v>0</v>
      </c>
      <c r="L63" s="113">
        <f>COUNTIFS(Drawer!$E:$E,'Drawer Rec'!$B63,Drawer!$L:$L,"Cash",Drawer!$O:$O,'Drawer Rec'!L$8,Drawer!$K:$K,"&lt;&gt;0")</f>
        <v>0</v>
      </c>
      <c r="M63" s="113">
        <f>COUNTIFS(Drawer!$E:$E,'Drawer Rec'!$B63,Drawer!$L:$L,"Cash",Drawer!$O:$O,'Drawer Rec'!M$8,Drawer!$K:$K,"&lt;&gt;0")</f>
        <v>0</v>
      </c>
      <c r="N63" s="113">
        <f>COUNTIFS(Drawer!$E:$E,'Drawer Rec'!$B63,Drawer!$L:$L,"Cash",Drawer!$O:$O,'Drawer Rec'!N$8,Drawer!$K:$K,"&lt;&gt;0")</f>
        <v>0</v>
      </c>
      <c r="O63" s="113">
        <f>COUNTIFS(Drawer!$E:$E,'Drawer Rec'!$B63,Drawer!$L:$L,"Cash",Drawer!$O:$O,'Drawer Rec'!O$8,Drawer!$K:$K,"&lt;&gt;0")</f>
        <v>0</v>
      </c>
      <c r="P63" s="113">
        <f>COUNTIFS(Drawer!$E:$E,'Drawer Rec'!$B63,Drawer!$L:$L,"Cash",Drawer!$O:$O,'Drawer Rec'!P$8,Drawer!$K:$K,"&lt;&gt;0")</f>
        <v>0</v>
      </c>
    </row>
  </sheetData>
  <conditionalFormatting sqref="G9:G63">
    <cfRule type="expression" dxfId="380" priority="66">
      <formula>"&lt;$G$9"</formula>
    </cfRule>
  </conditionalFormatting>
  <conditionalFormatting sqref="H9:H63">
    <cfRule type="expression" dxfId="379" priority="9">
      <formula>"&lt;$G$9"</formula>
    </cfRule>
  </conditionalFormatting>
  <conditionalFormatting sqref="I9:I63">
    <cfRule type="expression" dxfId="378" priority="8">
      <formula>"&lt;$G$9"</formula>
    </cfRule>
  </conditionalFormatting>
  <conditionalFormatting sqref="J9:J63">
    <cfRule type="expression" dxfId="377" priority="7">
      <formula>"&lt;$G$9"</formula>
    </cfRule>
  </conditionalFormatting>
  <conditionalFormatting sqref="K9:K63">
    <cfRule type="expression" dxfId="376" priority="6">
      <formula>"&lt;$G$9"</formula>
    </cfRule>
  </conditionalFormatting>
  <conditionalFormatting sqref="L9:L63">
    <cfRule type="expression" dxfId="375" priority="5">
      <formula>"&lt;$G$9"</formula>
    </cfRule>
  </conditionalFormatting>
  <conditionalFormatting sqref="M9:M63">
    <cfRule type="expression" dxfId="374" priority="4">
      <formula>"&lt;$G$9"</formula>
    </cfRule>
  </conditionalFormatting>
  <conditionalFormatting sqref="N9:N63">
    <cfRule type="expression" dxfId="373" priority="3">
      <formula>"&lt;$G$9"</formula>
    </cfRule>
  </conditionalFormatting>
  <conditionalFormatting sqref="O9:O63">
    <cfRule type="expression" dxfId="372" priority="2">
      <formula>"&lt;$G$9"</formula>
    </cfRule>
  </conditionalFormatting>
  <conditionalFormatting sqref="P9:P63">
    <cfRule type="expression" dxfId="371" priority="1">
      <formula>"&lt;$G$9"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POSDrawer">
                <anchor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5</xdr:col>
                    <xdr:colOff>685800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PrepBankRecData">
                <anchor>
                  <from>
                    <xdr:col>7</xdr:col>
                    <xdr:colOff>266700</xdr:colOff>
                    <xdr:row>0</xdr:row>
                    <xdr:rowOff>47625</xdr:rowOff>
                  </from>
                  <to>
                    <xdr:col>9</xdr:col>
                    <xdr:colOff>104775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8" tint="0.39997558519241921"/>
  </sheetPr>
  <dimension ref="A1:N32"/>
  <sheetViews>
    <sheetView zoomScaleNormal="100" workbookViewId="0">
      <pane xSplit="4" ySplit="1" topLeftCell="E2" activePane="bottomRight" state="frozen"/>
      <selection activeCell="K16" sqref="K16"/>
      <selection pane="topRight" activeCell="K16" sqref="K16"/>
      <selection pane="bottomLeft" activeCell="K16" sqref="K16"/>
      <selection pane="bottomRight" activeCell="N30" sqref="N30"/>
    </sheetView>
  </sheetViews>
  <sheetFormatPr defaultColWidth="9.140625" defaultRowHeight="12.75" x14ac:dyDescent="0.2"/>
  <cols>
    <col min="1" max="1" width="7.28515625" style="17" customWidth="1"/>
    <col min="2" max="2" width="8.28515625" style="17" customWidth="1"/>
    <col min="3" max="3" width="31.7109375" style="17" customWidth="1"/>
    <col min="4" max="4" width="11.28515625" style="21" bestFit="1" customWidth="1"/>
    <col min="5" max="14" width="9.140625" style="19"/>
    <col min="15" max="16384" width="9.140625" style="17"/>
  </cols>
  <sheetData>
    <row r="1" spans="1:14" x14ac:dyDescent="0.2">
      <c r="A1" s="14" t="s">
        <v>25</v>
      </c>
      <c r="B1" s="58" t="s">
        <v>18</v>
      </c>
      <c r="C1" s="14" t="s">
        <v>14</v>
      </c>
      <c r="D1" s="16" t="s">
        <v>6</v>
      </c>
      <c r="E1" s="142">
        <f>'Detail Variance Report'!H1</f>
        <v>44320</v>
      </c>
      <c r="F1" s="142">
        <f>'Detail Variance Report'!I1</f>
        <v>44321</v>
      </c>
      <c r="G1" s="142">
        <f>'Detail Variance Report'!J1</f>
        <v>44322</v>
      </c>
      <c r="H1" s="142">
        <f>'Detail Variance Report'!K1</f>
        <v>44323</v>
      </c>
      <c r="I1" s="142">
        <f>'Detail Variance Report'!L1</f>
        <v>44324</v>
      </c>
      <c r="J1" s="142">
        <f>'Detail Variance Report'!M1</f>
        <v>44325</v>
      </c>
      <c r="K1" s="142">
        <f>'Detail Variance Report'!N1</f>
        <v>44326</v>
      </c>
      <c r="L1" s="142">
        <f>'Detail Variance Report'!O1</f>
        <v>44327</v>
      </c>
      <c r="M1" s="142">
        <f>'Detail Variance Report'!P1</f>
        <v>44328</v>
      </c>
      <c r="N1" s="142">
        <f>'Detail Variance Report'!Q1</f>
        <v>44329</v>
      </c>
    </row>
    <row r="2" spans="1:14" x14ac:dyDescent="0.2">
      <c r="A2" s="83">
        <v>2117</v>
      </c>
      <c r="B2" s="84">
        <v>2117</v>
      </c>
      <c r="C2" s="85" t="s">
        <v>131</v>
      </c>
      <c r="D2" s="80">
        <f t="shared" ref="D2:D30" si="0">SUM(E2:LV2)</f>
        <v>0</v>
      </c>
      <c r="E2" s="69" t="str">
        <f>IFERROR(IF(VLOOKUP(TEXT($A2,0),[1]BankRecData!$B$1:$O$5542,11,0)=0,"",VLOOKUP(TEXT($A2,0),[1]BankRecData!$B$1:$O$5542,11,0)+VLOOKUP(TEXT($A2,0),[1]BankRecData!$B$1:$O$5542,12,0)),"")</f>
        <v/>
      </c>
      <c r="F2" s="69" t="str">
        <f>IFERROR(IF(VLOOKUP(TEXT($A2,0),[2]BankRecData!$B$1:$O$5542,11,0)=0,"",VLOOKUP(TEXT($A2,0),[2]BankRecData!$B$1:$O$5542,11,0)+VLOOKUP(TEXT($A2,0),[2]BankRecData!$B$1:$O$5542,12,0)),"")</f>
        <v/>
      </c>
      <c r="G2" s="69" t="str">
        <f>IFERROR(IF(VLOOKUP(TEXT($A2,0),[3]BankRecData!$B$1:$O$5542,11,0)=0,"",VLOOKUP(TEXT($A2,0),[3]BankRecData!$B$1:$O$5542,11,0)+VLOOKUP(TEXT($A2,0),[3]BankRecData!$B$1:$O$5542,12,0)),"")</f>
        <v/>
      </c>
      <c r="H2" s="69" t="str">
        <f>IFERROR(IF(VLOOKUP(TEXT($A2,0),[4]BankRecData!$B$1:$O$5542,11,0)=0,"",VLOOKUP(TEXT($A2,0),[4]BankRecData!$B$1:$O$5542,11,0)+VLOOKUP(TEXT($A2,0),[4]BankRecData!$B$1:$O$5542,12,0)),"")</f>
        <v/>
      </c>
      <c r="I2" s="69" t="str">
        <f>IFERROR(IF(VLOOKUP(TEXT($A2,0),[5]BankRecData!$B$1:$O$5542,11,0)=0,"",VLOOKUP(TEXT($A2,0),[5]BankRecData!$B$1:$O$5542,11,0)+VLOOKUP(TEXT($A2,0),[5]BankRecData!$B$1:$O$5542,12,0)),"")</f>
        <v/>
      </c>
      <c r="J2" s="69" t="str">
        <f>IFERROR(IF(VLOOKUP(TEXT($A2,0),[6]BankRecData!$B$1:$O$5542,11,0)=0,"",VLOOKUP(TEXT($A2,0),[6]BankRecData!$B$1:$O$5542,11,0)+VLOOKUP(TEXT($A2,0),[6]BankRecData!$B$1:$O$5542,12,0)),"")</f>
        <v/>
      </c>
      <c r="K2" s="69" t="str">
        <f>IFERROR(IF(VLOOKUP(TEXT($A2,0),[7]BankRecData!$B$1:$O$5542,11,0)=0,"",VLOOKUP(TEXT($A2,0),[7]BankRecData!$B$1:$O$5542,11,0)+VLOOKUP(TEXT($A2,0),[7]BankRecData!$B$1:$O$5542,12,0)),"")</f>
        <v/>
      </c>
      <c r="L2" s="69" t="str">
        <f>IFERROR(IF(VLOOKUP(TEXT($A2,0),[8]BankRecData!$B$1:$O$5542,11,0)=0,"",VLOOKUP(TEXT($A2,0),[8]BankRecData!$B$1:$O$5542,11,0)+VLOOKUP(TEXT($A2,0),[8]BankRecData!$B$1:$O$5542,12,0)),"")</f>
        <v/>
      </c>
      <c r="M2" s="69" t="str">
        <f>IFERROR(IF(VLOOKUP(TEXT($A2,0),[9]BankRecData!$B$1:$O$5542,11,0)=0,"",VLOOKUP(TEXT($A2,0),[9]BankRecData!$B$1:$O$5542,11,0)+VLOOKUP(TEXT($A2,0),[9]BankRecData!$B$1:$O$5542,12,0)),"")</f>
        <v/>
      </c>
      <c r="N2" s="69" t="str">
        <f>IFERROR(IF(VLOOKUP(TEXT($A2,0),[10]BankRecData!$B$1:$O$5542,11,0)=0,"",VLOOKUP(TEXT($A2,0),[10]BankRecData!$B$1:$O$5542,11,0)+VLOOKUP(TEXT($A2,0),[10]BankRecData!$B$1:$O$5542,12,0)),"")</f>
        <v/>
      </c>
    </row>
    <row r="3" spans="1:14" s="68" customFormat="1" x14ac:dyDescent="0.2">
      <c r="A3" s="83">
        <v>2118</v>
      </c>
      <c r="B3" s="84">
        <v>2118</v>
      </c>
      <c r="C3" s="85" t="s">
        <v>127</v>
      </c>
      <c r="D3" s="80">
        <f t="shared" si="0"/>
        <v>0</v>
      </c>
      <c r="E3" s="69" t="str">
        <f>IFERROR(IF(VLOOKUP(TEXT($A3,0),[1]BankRecData!$B$1:$O$5542,11,0)=0,"",VLOOKUP(TEXT($A3,0),[1]BankRecData!$B$1:$O$5542,11,0)+VLOOKUP(TEXT($A3,0),[1]BankRecData!$B$1:$O$5542,12,0)),"")</f>
        <v/>
      </c>
      <c r="F3" s="69" t="str">
        <f>IFERROR(IF(VLOOKUP(TEXT($A3,0),[2]BankRecData!$B$1:$O$5542,11,0)=0,"",VLOOKUP(TEXT($A3,0),[2]BankRecData!$B$1:$O$5542,11,0)+VLOOKUP(TEXT($A3,0),[2]BankRecData!$B$1:$O$5542,12,0)),"")</f>
        <v/>
      </c>
      <c r="G3" s="69" t="str">
        <f>IFERROR(IF(VLOOKUP(TEXT($A3,0),[3]BankRecData!$B$1:$O$5542,11,0)=0,"",VLOOKUP(TEXT($A3,0),[3]BankRecData!$B$1:$O$5542,11,0)+VLOOKUP(TEXT($A3,0),[3]BankRecData!$B$1:$O$5542,12,0)),"")</f>
        <v/>
      </c>
      <c r="H3" s="69" t="str">
        <f>IFERROR(IF(VLOOKUP(TEXT($A3,0),[4]BankRecData!$B$1:$O$5542,11,0)=0,"",VLOOKUP(TEXT($A3,0),[4]BankRecData!$B$1:$O$5542,11,0)+VLOOKUP(TEXT($A3,0),[4]BankRecData!$B$1:$O$5542,12,0)),"")</f>
        <v/>
      </c>
      <c r="I3" s="69" t="str">
        <f>IFERROR(IF(VLOOKUP(TEXT($A3,0),[5]BankRecData!$B$1:$O$5542,11,0)=0,"",VLOOKUP(TEXT($A3,0),[5]BankRecData!$B$1:$O$5542,11,0)+VLOOKUP(TEXT($A3,0),[5]BankRecData!$B$1:$O$5542,12,0)),"")</f>
        <v/>
      </c>
      <c r="J3" s="69" t="str">
        <f>IFERROR(IF(VLOOKUP(TEXT($A3,0),[6]BankRecData!$B$1:$O$5542,11,0)=0,"",VLOOKUP(TEXT($A3,0),[6]BankRecData!$B$1:$O$5542,11,0)+VLOOKUP(TEXT($A3,0),[6]BankRecData!$B$1:$O$5542,12,0)),"")</f>
        <v/>
      </c>
      <c r="K3" s="69" t="str">
        <f>IFERROR(IF(VLOOKUP(TEXT($A3,0),[7]BankRecData!$B$1:$O$5542,11,0)=0,"",VLOOKUP(TEXT($A3,0),[7]BankRecData!$B$1:$O$5542,11,0)+VLOOKUP(TEXT($A3,0),[7]BankRecData!$B$1:$O$5542,12,0)),"")</f>
        <v/>
      </c>
      <c r="L3" s="69" t="str">
        <f>IFERROR(IF(VLOOKUP(TEXT($A3,0),[8]BankRecData!$B$1:$O$5542,11,0)=0,"",VLOOKUP(TEXT($A3,0),[8]BankRecData!$B$1:$O$5542,11,0)+VLOOKUP(TEXT($A3,0),[8]BankRecData!$B$1:$O$5542,12,0)),"")</f>
        <v/>
      </c>
      <c r="M3" s="69" t="str">
        <f>IFERROR(IF(VLOOKUP(TEXT($A3,0),[9]BankRecData!$B$1:$O$5542,11,0)=0,"",VLOOKUP(TEXT($A3,0),[9]BankRecData!$B$1:$O$5542,11,0)+VLOOKUP(TEXT($A3,0),[9]BankRecData!$B$1:$O$5542,12,0)),"")</f>
        <v/>
      </c>
      <c r="N3" s="69" t="str">
        <f>IFERROR(IF(VLOOKUP(TEXT($A3,0),[10]BankRecData!$B$1:$O$5542,11,0)=0,"",VLOOKUP(TEXT($A3,0),[10]BankRecData!$B$1:$O$5542,11,0)+VLOOKUP(TEXT($A3,0),[10]BankRecData!$B$1:$O$5542,12,0)),"")</f>
        <v/>
      </c>
    </row>
    <row r="4" spans="1:14" s="68" customFormat="1" x14ac:dyDescent="0.2">
      <c r="A4" s="83">
        <v>2119</v>
      </c>
      <c r="B4" s="84">
        <v>2119</v>
      </c>
      <c r="C4" s="85" t="s">
        <v>130</v>
      </c>
      <c r="D4" s="80">
        <f t="shared" si="0"/>
        <v>0</v>
      </c>
      <c r="E4" s="69" t="str">
        <f>IFERROR(IF(VLOOKUP(TEXT($A4,0),[1]BankRecData!$B$1:$O$5542,11,0)=0,"",VLOOKUP(TEXT($A4,0),[1]BankRecData!$B$1:$O$5542,11,0)+VLOOKUP(TEXT($A4,0),[1]BankRecData!$B$1:$O$5542,12,0)),"")</f>
        <v/>
      </c>
      <c r="F4" s="69" t="str">
        <f>IFERROR(IF(VLOOKUP(TEXT($A4,0),[2]BankRecData!$B$1:$O$5542,11,0)=0,"",VLOOKUP(TEXT($A4,0),[2]BankRecData!$B$1:$O$5542,11,0)+VLOOKUP(TEXT($A4,0),[2]BankRecData!$B$1:$O$5542,12,0)),"")</f>
        <v/>
      </c>
      <c r="G4" s="69" t="str">
        <f>IFERROR(IF(VLOOKUP(TEXT($A4,0),[3]BankRecData!$B$1:$O$5542,11,0)=0,"",VLOOKUP(TEXT($A4,0),[3]BankRecData!$B$1:$O$5542,11,0)+VLOOKUP(TEXT($A4,0),[3]BankRecData!$B$1:$O$5542,12,0)),"")</f>
        <v/>
      </c>
      <c r="H4" s="69" t="str">
        <f>IFERROR(IF(VLOOKUP(TEXT($A4,0),[4]BankRecData!$B$1:$O$5542,11,0)=0,"",VLOOKUP(TEXT($A4,0),[4]BankRecData!$B$1:$O$5542,11,0)+VLOOKUP(TEXT($A4,0),[4]BankRecData!$B$1:$O$5542,12,0)),"")</f>
        <v/>
      </c>
      <c r="I4" s="69" t="str">
        <f>IFERROR(IF(VLOOKUP(TEXT($A4,0),[5]BankRecData!$B$1:$O$5542,11,0)=0,"",VLOOKUP(TEXT($A4,0),[5]BankRecData!$B$1:$O$5542,11,0)+VLOOKUP(TEXT($A4,0),[5]BankRecData!$B$1:$O$5542,12,0)),"")</f>
        <v/>
      </c>
      <c r="J4" s="69" t="str">
        <f>IFERROR(IF(VLOOKUP(TEXT($A4,0),[6]BankRecData!$B$1:$O$5542,11,0)=0,"",VLOOKUP(TEXT($A4,0),[6]BankRecData!$B$1:$O$5542,11,0)+VLOOKUP(TEXT($A4,0),[6]BankRecData!$B$1:$O$5542,12,0)),"")</f>
        <v/>
      </c>
      <c r="K4" s="69" t="str">
        <f>IFERROR(IF(VLOOKUP(TEXT($A4,0),[7]BankRecData!$B$1:$O$5542,11,0)=0,"",VLOOKUP(TEXT($A4,0),[7]BankRecData!$B$1:$O$5542,11,0)+VLOOKUP(TEXT($A4,0),[7]BankRecData!$B$1:$O$5542,12,0)),"")</f>
        <v/>
      </c>
      <c r="L4" s="69" t="str">
        <f>IFERROR(IF(VLOOKUP(TEXT($A4,0),[8]BankRecData!$B$1:$O$5542,11,0)=0,"",VLOOKUP(TEXT($A4,0),[8]BankRecData!$B$1:$O$5542,11,0)+VLOOKUP(TEXT($A4,0),[8]BankRecData!$B$1:$O$5542,12,0)),"")</f>
        <v/>
      </c>
      <c r="M4" s="69" t="str">
        <f>IFERROR(IF(VLOOKUP(TEXT($A4,0),[9]BankRecData!$B$1:$O$5542,11,0)=0,"",VLOOKUP(TEXT($A4,0),[9]BankRecData!$B$1:$O$5542,11,0)+VLOOKUP(TEXT($A4,0),[9]BankRecData!$B$1:$O$5542,12,0)),"")</f>
        <v/>
      </c>
      <c r="N4" s="69" t="str">
        <f>IFERROR(IF(VLOOKUP(TEXT($A4,0),[10]BankRecData!$B$1:$O$5542,11,0)=0,"",VLOOKUP(TEXT($A4,0),[10]BankRecData!$B$1:$O$5542,11,0)+VLOOKUP(TEXT($A4,0),[10]BankRecData!$B$1:$O$5542,12,0)),"")</f>
        <v/>
      </c>
    </row>
    <row r="5" spans="1:14" s="74" customFormat="1" x14ac:dyDescent="0.2">
      <c r="A5" s="75">
        <v>2137</v>
      </c>
      <c r="B5" s="86">
        <v>137</v>
      </c>
      <c r="C5" s="77" t="s">
        <v>77</v>
      </c>
      <c r="D5" s="80">
        <f t="shared" si="0"/>
        <v>0</v>
      </c>
      <c r="E5" s="69" t="str">
        <f>IFERROR(IF(VLOOKUP(TEXT($A5,0),[1]BankRecData!$B$1:$O$5542,11,0)=0,"",VLOOKUP(TEXT($A5,0),[1]BankRecData!$B$1:$O$5542,11,0)+VLOOKUP(TEXT($A5,0),[1]BankRecData!$B$1:$O$5542,12,0)),"")</f>
        <v/>
      </c>
      <c r="F5" s="69" t="str">
        <f>IFERROR(IF(VLOOKUP(TEXT($A5,0),[2]BankRecData!$B$1:$O$5542,11,0)=0,"",VLOOKUP(TEXT($A5,0),[2]BankRecData!$B$1:$O$5542,11,0)+VLOOKUP(TEXT($A5,0),[2]BankRecData!$B$1:$O$5542,12,0)),"")</f>
        <v/>
      </c>
      <c r="G5" s="69" t="str">
        <f>IFERROR(IF(VLOOKUP(TEXT($A5,0),[3]BankRecData!$B$1:$O$5542,11,0)=0,"",VLOOKUP(TEXT($A5,0),[3]BankRecData!$B$1:$O$5542,11,0)+VLOOKUP(TEXT($A5,0),[3]BankRecData!$B$1:$O$5542,12,0)),"")</f>
        <v/>
      </c>
      <c r="H5" s="69" t="str">
        <f>IFERROR(IF(VLOOKUP(TEXT($A5,0),[4]BankRecData!$B$1:$O$5542,11,0)=0,"",VLOOKUP(TEXT($A5,0),[4]BankRecData!$B$1:$O$5542,11,0)+VLOOKUP(TEXT($A5,0),[4]BankRecData!$B$1:$O$5542,12,0)),"")</f>
        <v/>
      </c>
      <c r="I5" s="69" t="str">
        <f>IFERROR(IF(VLOOKUP(TEXT($A5,0),[5]BankRecData!$B$1:$O$5542,11,0)=0,"",VLOOKUP(TEXT($A5,0),[5]BankRecData!$B$1:$O$5542,11,0)+VLOOKUP(TEXT($A5,0),[5]BankRecData!$B$1:$O$5542,12,0)),"")</f>
        <v/>
      </c>
      <c r="J5" s="69" t="str">
        <f>IFERROR(IF(VLOOKUP(TEXT($A5,0),[6]BankRecData!$B$1:$O$5542,11,0)=0,"",VLOOKUP(TEXT($A5,0),[6]BankRecData!$B$1:$O$5542,11,0)+VLOOKUP(TEXT($A5,0),[6]BankRecData!$B$1:$O$5542,12,0)),"")</f>
        <v/>
      </c>
      <c r="K5" s="69" t="str">
        <f>IFERROR(IF(VLOOKUP(TEXT($A5,0),[7]BankRecData!$B$1:$O$5542,11,0)=0,"",VLOOKUP(TEXT($A5,0),[7]BankRecData!$B$1:$O$5542,11,0)+VLOOKUP(TEXT($A5,0),[7]BankRecData!$B$1:$O$5542,12,0)),"")</f>
        <v/>
      </c>
      <c r="L5" s="69" t="str">
        <f>IFERROR(IF(VLOOKUP(TEXT($A5,0),[8]BankRecData!$B$1:$O$5542,11,0)=0,"",VLOOKUP(TEXT($A5,0),[8]BankRecData!$B$1:$O$5542,11,0)+VLOOKUP(TEXT($A5,0),[8]BankRecData!$B$1:$O$5542,12,0)),"")</f>
        <v/>
      </c>
      <c r="M5" s="69" t="str">
        <f>IFERROR(IF(VLOOKUP(TEXT($A5,0),[9]BankRecData!$B$1:$O$5542,11,0)=0,"",VLOOKUP(TEXT($A5,0),[9]BankRecData!$B$1:$O$5542,11,0)+VLOOKUP(TEXT($A5,0),[9]BankRecData!$B$1:$O$5542,12,0)),"")</f>
        <v/>
      </c>
      <c r="N5" s="69" t="str">
        <f>IFERROR(IF(VLOOKUP(TEXT($A5,0),[10]BankRecData!$B$1:$O$5542,11,0)=0,"",VLOOKUP(TEXT($A5,0),[10]BankRecData!$B$1:$O$5542,11,0)+VLOOKUP(TEXT($A5,0),[10]BankRecData!$B$1:$O$5542,12,0)),"")</f>
        <v/>
      </c>
    </row>
    <row r="6" spans="1:14" s="74" customFormat="1" x14ac:dyDescent="0.2">
      <c r="A6" s="75">
        <v>2230</v>
      </c>
      <c r="B6" s="86">
        <v>2230</v>
      </c>
      <c r="C6" s="87" t="s">
        <v>113</v>
      </c>
      <c r="D6" s="80">
        <f t="shared" si="0"/>
        <v>0</v>
      </c>
      <c r="E6" s="69" t="str">
        <f>IFERROR(IF(VLOOKUP(TEXT($A6,0),[1]BankRecData!$B$1:$O$5542,11,0)=0,"",VLOOKUP(TEXT($A6,0),[1]BankRecData!$B$1:$O$5542,11,0)+VLOOKUP(TEXT($A6,0),[1]BankRecData!$B$1:$O$5542,12,0)),"")</f>
        <v/>
      </c>
      <c r="F6" s="69" t="str">
        <f>IFERROR(IF(VLOOKUP(TEXT($A6,0),[2]BankRecData!$B$1:$O$5542,11,0)=0,"",VLOOKUP(TEXT($A6,0),[2]BankRecData!$B$1:$O$5542,11,0)+VLOOKUP(TEXT($A6,0),[2]BankRecData!$B$1:$O$5542,12,0)),"")</f>
        <v/>
      </c>
      <c r="G6" s="69" t="str">
        <f>IFERROR(IF(VLOOKUP(TEXT($A6,0),[3]BankRecData!$B$1:$O$5542,11,0)=0,"",VLOOKUP(TEXT($A6,0),[3]BankRecData!$B$1:$O$5542,11,0)+VLOOKUP(TEXT($A6,0),[3]BankRecData!$B$1:$O$5542,12,0)),"")</f>
        <v/>
      </c>
      <c r="H6" s="69" t="str">
        <f>IFERROR(IF(VLOOKUP(TEXT($A6,0),[4]BankRecData!$B$1:$O$5542,11,0)=0,"",VLOOKUP(TEXT($A6,0),[4]BankRecData!$B$1:$O$5542,11,0)+VLOOKUP(TEXT($A6,0),[4]BankRecData!$B$1:$O$5542,12,0)),"")</f>
        <v/>
      </c>
      <c r="I6" s="69" t="str">
        <f>IFERROR(IF(VLOOKUP(TEXT($A6,0),[5]BankRecData!$B$1:$O$5542,11,0)=0,"",VLOOKUP(TEXT($A6,0),[5]BankRecData!$B$1:$O$5542,11,0)+VLOOKUP(TEXT($A6,0),[5]BankRecData!$B$1:$O$5542,12,0)),"")</f>
        <v/>
      </c>
      <c r="J6" s="69" t="str">
        <f>IFERROR(IF(VLOOKUP(TEXT($A6,0),[6]BankRecData!$B$1:$O$5542,11,0)=0,"",VLOOKUP(TEXT($A6,0),[6]BankRecData!$B$1:$O$5542,11,0)+VLOOKUP(TEXT($A6,0),[6]BankRecData!$B$1:$O$5542,12,0)),"")</f>
        <v/>
      </c>
      <c r="K6" s="69" t="str">
        <f>IFERROR(IF(VLOOKUP(TEXT($A6,0),[7]BankRecData!$B$1:$O$5542,11,0)=0,"",VLOOKUP(TEXT($A6,0),[7]BankRecData!$B$1:$O$5542,11,0)+VLOOKUP(TEXT($A6,0),[7]BankRecData!$B$1:$O$5542,12,0)),"")</f>
        <v/>
      </c>
      <c r="L6" s="69" t="str">
        <f>IFERROR(IF(VLOOKUP(TEXT($A6,0),[8]BankRecData!$B$1:$O$5542,11,0)=0,"",VLOOKUP(TEXT($A6,0),[8]BankRecData!$B$1:$O$5542,11,0)+VLOOKUP(TEXT($A6,0),[8]BankRecData!$B$1:$O$5542,12,0)),"")</f>
        <v/>
      </c>
      <c r="M6" s="69" t="str">
        <f>IFERROR(IF(VLOOKUP(TEXT($A6,0),[9]BankRecData!$B$1:$O$5542,11,0)=0,"",VLOOKUP(TEXT($A6,0),[9]BankRecData!$B$1:$O$5542,11,0)+VLOOKUP(TEXT($A6,0),[9]BankRecData!$B$1:$O$5542,12,0)),"")</f>
        <v/>
      </c>
      <c r="N6" s="69" t="str">
        <f>IFERROR(IF(VLOOKUP(TEXT($A6,0),[10]BankRecData!$B$1:$O$5542,11,0)=0,"",VLOOKUP(TEXT($A6,0),[10]BankRecData!$B$1:$O$5542,11,0)+VLOOKUP(TEXT($A6,0),[10]BankRecData!$B$1:$O$5542,12,0)),"")</f>
        <v/>
      </c>
    </row>
    <row r="7" spans="1:14" s="74" customFormat="1" x14ac:dyDescent="0.2">
      <c r="A7" s="75">
        <v>2231</v>
      </c>
      <c r="B7" s="86">
        <v>2231</v>
      </c>
      <c r="C7" s="87" t="s">
        <v>103</v>
      </c>
      <c r="D7" s="80">
        <f t="shared" si="0"/>
        <v>0</v>
      </c>
      <c r="E7" s="69" t="str">
        <f>IFERROR(IF(VLOOKUP(TEXT($A7,0),[1]BankRecData!$B$1:$O$5542,11,0)=0,"",VLOOKUP(TEXT($A7,0),[1]BankRecData!$B$1:$O$5542,11,0)+VLOOKUP(TEXT($A7,0),[1]BankRecData!$B$1:$O$5542,12,0)),"")</f>
        <v/>
      </c>
      <c r="F7" s="69" t="str">
        <f>IFERROR(IF(VLOOKUP(TEXT($A7,0),[2]BankRecData!$B$1:$O$5542,11,0)=0,"",VLOOKUP(TEXT($A7,0),[2]BankRecData!$B$1:$O$5542,11,0)+VLOOKUP(TEXT($A7,0),[2]BankRecData!$B$1:$O$5542,12,0)),"")</f>
        <v/>
      </c>
      <c r="G7" s="69" t="str">
        <f>IFERROR(IF(VLOOKUP(TEXT($A7,0),[3]BankRecData!$B$1:$O$5542,11,0)=0,"",VLOOKUP(TEXT($A7,0),[3]BankRecData!$B$1:$O$5542,11,0)+VLOOKUP(TEXT($A7,0),[3]BankRecData!$B$1:$O$5542,12,0)),"")</f>
        <v/>
      </c>
      <c r="H7" s="69" t="str">
        <f>IFERROR(IF(VLOOKUP(TEXT($A7,0),[4]BankRecData!$B$1:$O$5542,11,0)=0,"",VLOOKUP(TEXT($A7,0),[4]BankRecData!$B$1:$O$5542,11,0)+VLOOKUP(TEXT($A7,0),[4]BankRecData!$B$1:$O$5542,12,0)),"")</f>
        <v/>
      </c>
      <c r="I7" s="69" t="str">
        <f>IFERROR(IF(VLOOKUP(TEXT($A7,0),[5]BankRecData!$B$1:$O$5542,11,0)=0,"",VLOOKUP(TEXT($A7,0),[5]BankRecData!$B$1:$O$5542,11,0)+VLOOKUP(TEXT($A7,0),[5]BankRecData!$B$1:$O$5542,12,0)),"")</f>
        <v/>
      </c>
      <c r="J7" s="69" t="str">
        <f>IFERROR(IF(VLOOKUP(TEXT($A7,0),[6]BankRecData!$B$1:$O$5542,11,0)=0,"",VLOOKUP(TEXT($A7,0),[6]BankRecData!$B$1:$O$5542,11,0)+VLOOKUP(TEXT($A7,0),[6]BankRecData!$B$1:$O$5542,12,0)),"")</f>
        <v/>
      </c>
      <c r="K7" s="69" t="str">
        <f>IFERROR(IF(VLOOKUP(TEXT($A7,0),[7]BankRecData!$B$1:$O$5542,11,0)=0,"",VLOOKUP(TEXT($A7,0),[7]BankRecData!$B$1:$O$5542,11,0)+VLOOKUP(TEXT($A7,0),[7]BankRecData!$B$1:$O$5542,12,0)),"")</f>
        <v/>
      </c>
      <c r="L7" s="69" t="str">
        <f>IFERROR(IF(VLOOKUP(TEXT($A7,0),[8]BankRecData!$B$1:$O$5542,11,0)=0,"",VLOOKUP(TEXT($A7,0),[8]BankRecData!$B$1:$O$5542,11,0)+VLOOKUP(TEXT($A7,0),[8]BankRecData!$B$1:$O$5542,12,0)),"")</f>
        <v/>
      </c>
      <c r="M7" s="69" t="str">
        <f>IFERROR(IF(VLOOKUP(TEXT($A7,0),[9]BankRecData!$B$1:$O$5542,11,0)=0,"",VLOOKUP(TEXT($A7,0),[9]BankRecData!$B$1:$O$5542,11,0)+VLOOKUP(TEXT($A7,0),[9]BankRecData!$B$1:$O$5542,12,0)),"")</f>
        <v/>
      </c>
      <c r="N7" s="69" t="str">
        <f>IFERROR(IF(VLOOKUP(TEXT($A7,0),[10]BankRecData!$B$1:$O$5542,11,0)=0,"",VLOOKUP(TEXT($A7,0),[10]BankRecData!$B$1:$O$5542,11,0)+VLOOKUP(TEXT($A7,0),[10]BankRecData!$B$1:$O$5542,12,0)),"")</f>
        <v/>
      </c>
    </row>
    <row r="8" spans="1:14" s="74" customFormat="1" x14ac:dyDescent="0.2">
      <c r="A8" s="75">
        <v>2234</v>
      </c>
      <c r="B8" s="86">
        <v>2234</v>
      </c>
      <c r="C8" s="87" t="s">
        <v>103</v>
      </c>
      <c r="D8" s="80">
        <f t="shared" si="0"/>
        <v>0</v>
      </c>
      <c r="E8" s="69" t="str">
        <f>IFERROR(IF(VLOOKUP(TEXT($A8,0),[1]BankRecData!$B$1:$O$5542,11,0)=0,"",VLOOKUP(TEXT($A8,0),[1]BankRecData!$B$1:$O$5542,11,0)+VLOOKUP(TEXT($A8,0),[1]BankRecData!$B$1:$O$5542,12,0)),"")</f>
        <v/>
      </c>
      <c r="F8" s="69" t="str">
        <f>IFERROR(IF(VLOOKUP(TEXT($A8,0),[2]BankRecData!$B$1:$O$5542,11,0)=0,"",VLOOKUP(TEXT($A8,0),[2]BankRecData!$B$1:$O$5542,11,0)+VLOOKUP(TEXT($A8,0),[2]BankRecData!$B$1:$O$5542,12,0)),"")</f>
        <v/>
      </c>
      <c r="G8" s="69" t="str">
        <f>IFERROR(IF(VLOOKUP(TEXT($A8,0),[3]BankRecData!$B$1:$O$5542,11,0)=0,"",VLOOKUP(TEXT($A8,0),[3]BankRecData!$B$1:$O$5542,11,0)+VLOOKUP(TEXT($A8,0),[3]BankRecData!$B$1:$O$5542,12,0)),"")</f>
        <v/>
      </c>
      <c r="H8" s="69" t="str">
        <f>IFERROR(IF(VLOOKUP(TEXT($A8,0),[4]BankRecData!$B$1:$O$5542,11,0)=0,"",VLOOKUP(TEXT($A8,0),[4]BankRecData!$B$1:$O$5542,11,0)+VLOOKUP(TEXT($A8,0),[4]BankRecData!$B$1:$O$5542,12,0)),"")</f>
        <v/>
      </c>
      <c r="I8" s="69" t="str">
        <f>IFERROR(IF(VLOOKUP(TEXT($A8,0),[5]BankRecData!$B$1:$O$5542,11,0)=0,"",VLOOKUP(TEXT($A8,0),[5]BankRecData!$B$1:$O$5542,11,0)+VLOOKUP(TEXT($A8,0),[5]BankRecData!$B$1:$O$5542,12,0)),"")</f>
        <v/>
      </c>
      <c r="J8" s="69" t="str">
        <f>IFERROR(IF(VLOOKUP(TEXT($A8,0),[6]BankRecData!$B$1:$O$5542,11,0)=0,"",VLOOKUP(TEXT($A8,0),[6]BankRecData!$B$1:$O$5542,11,0)+VLOOKUP(TEXT($A8,0),[6]BankRecData!$B$1:$O$5542,12,0)),"")</f>
        <v/>
      </c>
      <c r="K8" s="69" t="str">
        <f>IFERROR(IF(VLOOKUP(TEXT($A8,0),[7]BankRecData!$B$1:$O$5542,11,0)=0,"",VLOOKUP(TEXT($A8,0),[7]BankRecData!$B$1:$O$5542,11,0)+VLOOKUP(TEXT($A8,0),[7]BankRecData!$B$1:$O$5542,12,0)),"")</f>
        <v/>
      </c>
      <c r="L8" s="69" t="str">
        <f>IFERROR(IF(VLOOKUP(TEXT($A8,0),[8]BankRecData!$B$1:$O$5542,11,0)=0,"",VLOOKUP(TEXT($A8,0),[8]BankRecData!$B$1:$O$5542,11,0)+VLOOKUP(TEXT($A8,0),[8]BankRecData!$B$1:$O$5542,12,0)),"")</f>
        <v/>
      </c>
      <c r="M8" s="69" t="str">
        <f>IFERROR(IF(VLOOKUP(TEXT($A8,0),[9]BankRecData!$B$1:$O$5542,11,0)=0,"",VLOOKUP(TEXT($A8,0),[9]BankRecData!$B$1:$O$5542,11,0)+VLOOKUP(TEXT($A8,0),[9]BankRecData!$B$1:$O$5542,12,0)),"")</f>
        <v/>
      </c>
      <c r="N8" s="69" t="str">
        <f>IFERROR(IF(VLOOKUP(TEXT($A8,0),[10]BankRecData!$B$1:$O$5542,11,0)=0,"",VLOOKUP(TEXT($A8,0),[10]BankRecData!$B$1:$O$5542,11,0)+VLOOKUP(TEXT($A8,0),[10]BankRecData!$B$1:$O$5542,12,0)),"")</f>
        <v/>
      </c>
    </row>
    <row r="9" spans="1:14" s="74" customFormat="1" x14ac:dyDescent="0.2">
      <c r="A9" s="83">
        <v>2450</v>
      </c>
      <c r="B9" s="84">
        <v>450</v>
      </c>
      <c r="C9" s="85" t="s">
        <v>69</v>
      </c>
      <c r="D9" s="80">
        <f t="shared" si="0"/>
        <v>0</v>
      </c>
      <c r="E9" s="69" t="str">
        <f>IFERROR(IF(VLOOKUP(TEXT($A9,0),[1]BankRecData!$B$1:$O$5542,11,0)=0,"",VLOOKUP(TEXT($A9,0),[1]BankRecData!$B$1:$O$5542,11,0)+VLOOKUP(TEXT($A9,0),[1]BankRecData!$B$1:$O$5542,12,0)),"")</f>
        <v/>
      </c>
      <c r="F9" s="69" t="str">
        <f>IFERROR(IF(VLOOKUP(TEXT($A9,0),[2]BankRecData!$B$1:$O$5542,11,0)=0,"",VLOOKUP(TEXT($A9,0),[2]BankRecData!$B$1:$O$5542,11,0)+VLOOKUP(TEXT($A9,0),[2]BankRecData!$B$1:$O$5542,12,0)),"")</f>
        <v/>
      </c>
      <c r="G9" s="69" t="str">
        <f>IFERROR(IF(VLOOKUP(TEXT($A9,0),[3]BankRecData!$B$1:$O$5542,11,0)=0,"",VLOOKUP(TEXT($A9,0),[3]BankRecData!$B$1:$O$5542,11,0)+VLOOKUP(TEXT($A9,0),[3]BankRecData!$B$1:$O$5542,12,0)),"")</f>
        <v/>
      </c>
      <c r="H9" s="69" t="str">
        <f>IFERROR(IF(VLOOKUP(TEXT($A9,0),[4]BankRecData!$B$1:$O$5542,11,0)=0,"",VLOOKUP(TEXT($A9,0),[4]BankRecData!$B$1:$O$5542,11,0)+VLOOKUP(TEXT($A9,0),[4]BankRecData!$B$1:$O$5542,12,0)),"")</f>
        <v/>
      </c>
      <c r="I9" s="69" t="str">
        <f>IFERROR(IF(VLOOKUP(TEXT($A9,0),[5]BankRecData!$B$1:$O$5542,11,0)=0,"",VLOOKUP(TEXT($A9,0),[5]BankRecData!$B$1:$O$5542,11,0)+VLOOKUP(TEXT($A9,0),[5]BankRecData!$B$1:$O$5542,12,0)),"")</f>
        <v/>
      </c>
      <c r="J9" s="69" t="str">
        <f>IFERROR(IF(VLOOKUP(TEXT($A9,0),[6]BankRecData!$B$1:$O$5542,11,0)=0,"",VLOOKUP(TEXT($A9,0),[6]BankRecData!$B$1:$O$5542,11,0)+VLOOKUP(TEXT($A9,0),[6]BankRecData!$B$1:$O$5542,12,0)),"")</f>
        <v/>
      </c>
      <c r="K9" s="69" t="str">
        <f>IFERROR(IF(VLOOKUP(TEXT($A9,0),[7]BankRecData!$B$1:$O$5542,11,0)=0,"",VLOOKUP(TEXT($A9,0),[7]BankRecData!$B$1:$O$5542,11,0)+VLOOKUP(TEXT($A9,0),[7]BankRecData!$B$1:$O$5542,12,0)),"")</f>
        <v/>
      </c>
      <c r="L9" s="69" t="str">
        <f>IFERROR(IF(VLOOKUP(TEXT($A9,0),[8]BankRecData!$B$1:$O$5542,11,0)=0,"",VLOOKUP(TEXT($A9,0),[8]BankRecData!$B$1:$O$5542,11,0)+VLOOKUP(TEXT($A9,0),[8]BankRecData!$B$1:$O$5542,12,0)),"")</f>
        <v/>
      </c>
      <c r="M9" s="69" t="str">
        <f>IFERROR(IF(VLOOKUP(TEXT($A9,0),[9]BankRecData!$B$1:$O$5542,11,0)=0,"",VLOOKUP(TEXT($A9,0),[9]BankRecData!$B$1:$O$5542,11,0)+VLOOKUP(TEXT($A9,0),[9]BankRecData!$B$1:$O$5542,12,0)),"")</f>
        <v/>
      </c>
      <c r="N9" s="69" t="str">
        <f>IFERROR(IF(VLOOKUP(TEXT($A9,0),[10]BankRecData!$B$1:$O$5542,11,0)=0,"",VLOOKUP(TEXT($A9,0),[10]BankRecData!$B$1:$O$5542,11,0)+VLOOKUP(TEXT($A9,0),[10]BankRecData!$B$1:$O$5542,12,0)),"")</f>
        <v/>
      </c>
    </row>
    <row r="10" spans="1:14" s="74" customFormat="1" x14ac:dyDescent="0.2">
      <c r="A10" s="83">
        <v>2225</v>
      </c>
      <c r="B10" s="84">
        <v>2225</v>
      </c>
      <c r="C10" s="85" t="s">
        <v>142</v>
      </c>
      <c r="D10" s="80">
        <f t="shared" si="0"/>
        <v>0</v>
      </c>
      <c r="E10" s="69" t="str">
        <f>IFERROR(IF(VLOOKUP(TEXT($A10,0),[1]BankRecData!$B$1:$O$5542,11,0)=0,"",VLOOKUP(TEXT($A10,0),[1]BankRecData!$B$1:$O$5542,11,0)+VLOOKUP(TEXT($A10,0),[1]BankRecData!$B$1:$O$5542,12,0)),"")</f>
        <v/>
      </c>
      <c r="F10" s="69" t="str">
        <f>IFERROR(IF(VLOOKUP(TEXT($A10,0),[2]BankRecData!$B$1:$O$5542,11,0)=0,"",VLOOKUP(TEXT($A10,0),[2]BankRecData!$B$1:$O$5542,11,0)+VLOOKUP(TEXT($A10,0),[2]BankRecData!$B$1:$O$5542,12,0)),"")</f>
        <v/>
      </c>
      <c r="G10" s="69" t="str">
        <f>IFERROR(IF(VLOOKUP(TEXT($A10,0),[3]BankRecData!$B$1:$O$5542,11,0)=0,"",VLOOKUP(TEXT($A10,0),[3]BankRecData!$B$1:$O$5542,11,0)+VLOOKUP(TEXT($A10,0),[3]BankRecData!$B$1:$O$5542,12,0)),"")</f>
        <v/>
      </c>
      <c r="H10" s="69" t="str">
        <f>IFERROR(IF(VLOOKUP(TEXT($A10,0),[4]BankRecData!$B$1:$O$5542,11,0)=0,"",VLOOKUP(TEXT($A10,0),[4]BankRecData!$B$1:$O$5542,11,0)+VLOOKUP(TEXT($A10,0),[4]BankRecData!$B$1:$O$5542,12,0)),"")</f>
        <v/>
      </c>
      <c r="I10" s="69" t="str">
        <f>IFERROR(IF(VLOOKUP(TEXT($A10,0),[5]BankRecData!$B$1:$O$5542,11,0)=0,"",VLOOKUP(TEXT($A10,0),[5]BankRecData!$B$1:$O$5542,11,0)+VLOOKUP(TEXT($A10,0),[5]BankRecData!$B$1:$O$5542,12,0)),"")</f>
        <v/>
      </c>
      <c r="J10" s="69" t="str">
        <f>IFERROR(IF(VLOOKUP(TEXT($A10,0),[6]BankRecData!$B$1:$O$5542,11,0)=0,"",VLOOKUP(TEXT($A10,0),[6]BankRecData!$B$1:$O$5542,11,0)+VLOOKUP(TEXT($A10,0),[6]BankRecData!$B$1:$O$5542,12,0)),"")</f>
        <v/>
      </c>
      <c r="K10" s="69" t="str">
        <f>IFERROR(IF(VLOOKUP(TEXT($A10,0),[7]BankRecData!$B$1:$O$5542,11,0)=0,"",VLOOKUP(TEXT($A10,0),[7]BankRecData!$B$1:$O$5542,11,0)+VLOOKUP(TEXT($A10,0),[7]BankRecData!$B$1:$O$5542,12,0)),"")</f>
        <v/>
      </c>
      <c r="L10" s="69" t="str">
        <f>IFERROR(IF(VLOOKUP(TEXT($A10,0),[8]BankRecData!$B$1:$O$5542,11,0)=0,"",VLOOKUP(TEXT($A10,0),[8]BankRecData!$B$1:$O$5542,11,0)+VLOOKUP(TEXT($A10,0),[8]BankRecData!$B$1:$O$5542,12,0)),"")</f>
        <v/>
      </c>
      <c r="M10" s="69" t="str">
        <f>IFERROR(IF(VLOOKUP(TEXT($A10,0),[9]BankRecData!$B$1:$O$5542,11,0)=0,"",VLOOKUP(TEXT($A10,0),[9]BankRecData!$B$1:$O$5542,11,0)+VLOOKUP(TEXT($A10,0),[9]BankRecData!$B$1:$O$5542,12,0)),"")</f>
        <v/>
      </c>
      <c r="N10" s="69" t="str">
        <f>IFERROR(IF(VLOOKUP(TEXT($A10,0),[10]BankRecData!$B$1:$O$5542,11,0)=0,"",VLOOKUP(TEXT($A10,0),[10]BankRecData!$B$1:$O$5542,11,0)+VLOOKUP(TEXT($A10,0),[10]BankRecData!$B$1:$O$5542,12,0)),"")</f>
        <v/>
      </c>
    </row>
    <row r="11" spans="1:14" s="68" customFormat="1" x14ac:dyDescent="0.2">
      <c r="A11" s="83">
        <v>3191</v>
      </c>
      <c r="B11" s="84">
        <v>19</v>
      </c>
      <c r="C11" s="85" t="s">
        <v>15</v>
      </c>
      <c r="D11" s="80">
        <f t="shared" si="0"/>
        <v>0</v>
      </c>
      <c r="E11" s="69" t="str">
        <f>IFERROR(IF(VLOOKUP(TEXT($A11,0),[1]BankRecData!$B$1:$O$5542,11,0)=0,"",VLOOKUP(TEXT($A11,0),[1]BankRecData!$B$1:$O$5542,11,0)+VLOOKUP(TEXT($A11,0),[1]BankRecData!$B$1:$O$5542,12,0)),"")</f>
        <v/>
      </c>
      <c r="F11" s="69" t="str">
        <f>IFERROR(IF(VLOOKUP(TEXT($A11,0),[2]BankRecData!$B$1:$O$5542,11,0)=0,"",VLOOKUP(TEXT($A11,0),[2]BankRecData!$B$1:$O$5542,11,0)+VLOOKUP(TEXT($A11,0),[2]BankRecData!$B$1:$O$5542,12,0)),"")</f>
        <v/>
      </c>
      <c r="G11" s="69" t="str">
        <f>IFERROR(IF(VLOOKUP(TEXT($A11,0),[3]BankRecData!$B$1:$O$5542,11,0)=0,"",VLOOKUP(TEXT($A11,0),[3]BankRecData!$B$1:$O$5542,11,0)+VLOOKUP(TEXT($A11,0),[3]BankRecData!$B$1:$O$5542,12,0)),"")</f>
        <v/>
      </c>
      <c r="H11" s="69" t="str">
        <f>IFERROR(IF(VLOOKUP(TEXT($A11,0),[4]BankRecData!$B$1:$O$5542,11,0)=0,"",VLOOKUP(TEXT($A11,0),[4]BankRecData!$B$1:$O$5542,11,0)+VLOOKUP(TEXT($A11,0),[4]BankRecData!$B$1:$O$5542,12,0)),"")</f>
        <v/>
      </c>
      <c r="I11" s="69" t="str">
        <f>IFERROR(IF(VLOOKUP(TEXT($A11,0),[5]BankRecData!$B$1:$O$5542,11,0)=0,"",VLOOKUP(TEXT($A11,0),[5]BankRecData!$B$1:$O$5542,11,0)+VLOOKUP(TEXT($A11,0),[5]BankRecData!$B$1:$O$5542,12,0)),"")</f>
        <v/>
      </c>
      <c r="J11" s="69" t="str">
        <f>IFERROR(IF(VLOOKUP(TEXT($A11,0),[6]BankRecData!$B$1:$O$5542,11,0)=0,"",VLOOKUP(TEXT($A11,0),[6]BankRecData!$B$1:$O$5542,11,0)+VLOOKUP(TEXT($A11,0),[6]BankRecData!$B$1:$O$5542,12,0)),"")</f>
        <v/>
      </c>
      <c r="K11" s="69" t="str">
        <f>IFERROR(IF(VLOOKUP(TEXT($A11,0),[7]BankRecData!$B$1:$O$5542,11,0)=0,"",VLOOKUP(TEXT($A11,0),[7]BankRecData!$B$1:$O$5542,11,0)+VLOOKUP(TEXT($A11,0),[7]BankRecData!$B$1:$O$5542,12,0)),"")</f>
        <v/>
      </c>
      <c r="L11" s="69" t="str">
        <f>IFERROR(IF(VLOOKUP(TEXT($A11,0),[8]BankRecData!$B$1:$O$5542,11,0)=0,"",VLOOKUP(TEXT($A11,0),[8]BankRecData!$B$1:$O$5542,11,0)+VLOOKUP(TEXT($A11,0),[8]BankRecData!$B$1:$O$5542,12,0)),"")</f>
        <v/>
      </c>
      <c r="M11" s="69" t="str">
        <f>IFERROR(IF(VLOOKUP(TEXT($A11,0),[9]BankRecData!$B$1:$O$5542,11,0)=0,"",VLOOKUP(TEXT($A11,0),[9]BankRecData!$B$1:$O$5542,11,0)+VLOOKUP(TEXT($A11,0),[9]BankRecData!$B$1:$O$5542,12,0)),"")</f>
        <v/>
      </c>
      <c r="N11" s="69" t="str">
        <f>IFERROR(IF(VLOOKUP(TEXT($A11,0),[10]BankRecData!$B$1:$O$5542,11,0)=0,"",VLOOKUP(TEXT($A11,0),[10]BankRecData!$B$1:$O$5542,11,0)+VLOOKUP(TEXT($A11,0),[10]BankRecData!$B$1:$O$5542,12,0)),"")</f>
        <v/>
      </c>
    </row>
    <row r="12" spans="1:14" s="68" customFormat="1" x14ac:dyDescent="0.2">
      <c r="A12" s="83">
        <v>3175</v>
      </c>
      <c r="B12" s="84">
        <v>175</v>
      </c>
      <c r="C12" s="88" t="s">
        <v>65</v>
      </c>
      <c r="D12" s="80">
        <f t="shared" si="0"/>
        <v>0</v>
      </c>
      <c r="E12" s="69" t="str">
        <f>IFERROR(IF(VLOOKUP(TEXT($A12,0),[1]BankRecData!$B$1:$O$5542,11,0)=0,"",VLOOKUP(TEXT($A12,0),[1]BankRecData!$B$1:$O$5542,11,0)+VLOOKUP(TEXT($A12,0),[1]BankRecData!$B$1:$O$5542,12,0)),"")</f>
        <v/>
      </c>
      <c r="F12" s="69" t="str">
        <f>IFERROR(IF(VLOOKUP(TEXT($A12,0),[2]BankRecData!$B$1:$O$5542,11,0)=0,"",VLOOKUP(TEXT($A12,0),[2]BankRecData!$B$1:$O$5542,11,0)+VLOOKUP(TEXT($A12,0),[2]BankRecData!$B$1:$O$5542,12,0)),"")</f>
        <v/>
      </c>
      <c r="G12" s="69" t="str">
        <f>IFERROR(IF(VLOOKUP(TEXT($A12,0),[3]BankRecData!$B$1:$O$5542,11,0)=0,"",VLOOKUP(TEXT($A12,0),[3]BankRecData!$B$1:$O$5542,11,0)+VLOOKUP(TEXT($A12,0),[3]BankRecData!$B$1:$O$5542,12,0)),"")</f>
        <v/>
      </c>
      <c r="H12" s="69" t="str">
        <f>IFERROR(IF(VLOOKUP(TEXT($A12,0),[4]BankRecData!$B$1:$O$5542,11,0)=0,"",VLOOKUP(TEXT($A12,0),[4]BankRecData!$B$1:$O$5542,11,0)+VLOOKUP(TEXT($A12,0),[4]BankRecData!$B$1:$O$5542,12,0)),"")</f>
        <v/>
      </c>
      <c r="I12" s="69" t="str">
        <f>IFERROR(IF(VLOOKUP(TEXT($A12,0),[5]BankRecData!$B$1:$O$5542,11,0)=0,"",VLOOKUP(TEXT($A12,0),[5]BankRecData!$B$1:$O$5542,11,0)+VLOOKUP(TEXT($A12,0),[5]BankRecData!$B$1:$O$5542,12,0)),"")</f>
        <v/>
      </c>
      <c r="J12" s="69" t="str">
        <f>IFERROR(IF(VLOOKUP(TEXT($A12,0),[6]BankRecData!$B$1:$O$5542,11,0)=0,"",VLOOKUP(TEXT($A12,0),[6]BankRecData!$B$1:$O$5542,11,0)+VLOOKUP(TEXT($A12,0),[6]BankRecData!$B$1:$O$5542,12,0)),"")</f>
        <v/>
      </c>
      <c r="K12" s="69" t="str">
        <f>IFERROR(IF(VLOOKUP(TEXT($A12,0),[7]BankRecData!$B$1:$O$5542,11,0)=0,"",VLOOKUP(TEXT($A12,0),[7]BankRecData!$B$1:$O$5542,11,0)+VLOOKUP(TEXT($A12,0),[7]BankRecData!$B$1:$O$5542,12,0)),"")</f>
        <v/>
      </c>
      <c r="L12" s="69" t="str">
        <f>IFERROR(IF(VLOOKUP(TEXT($A12,0),[8]BankRecData!$B$1:$O$5542,11,0)=0,"",VLOOKUP(TEXT($A12,0),[8]BankRecData!$B$1:$O$5542,11,0)+VLOOKUP(TEXT($A12,0),[8]BankRecData!$B$1:$O$5542,12,0)),"")</f>
        <v/>
      </c>
      <c r="M12" s="69" t="str">
        <f>IFERROR(IF(VLOOKUP(TEXT($A12,0),[9]BankRecData!$B$1:$O$5542,11,0)=0,"",VLOOKUP(TEXT($A12,0),[9]BankRecData!$B$1:$O$5542,11,0)+VLOOKUP(TEXT($A12,0),[9]BankRecData!$B$1:$O$5542,12,0)),"")</f>
        <v/>
      </c>
      <c r="N12" s="69" t="str">
        <f>IFERROR(IF(VLOOKUP(TEXT($A12,0),[10]BankRecData!$B$1:$O$5542,11,0)=0,"",VLOOKUP(TEXT($A12,0),[10]BankRecData!$B$1:$O$5542,11,0)+VLOOKUP(TEXT($A12,0),[10]BankRecData!$B$1:$O$5542,12,0)),"")</f>
        <v/>
      </c>
    </row>
    <row r="13" spans="1:14" s="68" customFormat="1" x14ac:dyDescent="0.2">
      <c r="A13" s="83">
        <v>4100</v>
      </c>
      <c r="B13" s="84">
        <v>100</v>
      </c>
      <c r="C13" s="85" t="s">
        <v>22</v>
      </c>
      <c r="D13" s="80">
        <f t="shared" si="0"/>
        <v>0</v>
      </c>
      <c r="E13" s="69" t="str">
        <f>IFERROR(IF(VLOOKUP(TEXT($A13,0),[1]BankRecData!$B$1:$O$5542,11,0)=0,"",VLOOKUP(TEXT($A13,0),[1]BankRecData!$B$1:$O$5542,11,0)+VLOOKUP(TEXT($A13,0),[1]BankRecData!$B$1:$O$5542,12,0)),"")</f>
        <v/>
      </c>
      <c r="F13" s="69" t="str">
        <f>IFERROR(IF(VLOOKUP(TEXT($A13,0),[2]BankRecData!$B$1:$O$5542,11,0)=0,"",VLOOKUP(TEXT($A13,0),[2]BankRecData!$B$1:$O$5542,11,0)+VLOOKUP(TEXT($A13,0),[2]BankRecData!$B$1:$O$5542,12,0)),"")</f>
        <v/>
      </c>
      <c r="G13" s="69" t="str">
        <f>IFERROR(IF(VLOOKUP(TEXT($A13,0),[3]BankRecData!$B$1:$O$5542,11,0)=0,"",VLOOKUP(TEXT($A13,0),[3]BankRecData!$B$1:$O$5542,11,0)+VLOOKUP(TEXT($A13,0),[3]BankRecData!$B$1:$O$5542,12,0)),"")</f>
        <v/>
      </c>
      <c r="H13" s="69" t="str">
        <f>IFERROR(IF(VLOOKUP(TEXT($A13,0),[4]BankRecData!$B$1:$O$5542,11,0)=0,"",VLOOKUP(TEXT($A13,0),[4]BankRecData!$B$1:$O$5542,11,0)+VLOOKUP(TEXT($A13,0),[4]BankRecData!$B$1:$O$5542,12,0)),"")</f>
        <v/>
      </c>
      <c r="I13" s="69" t="str">
        <f>IFERROR(IF(VLOOKUP(TEXT($A13,0),[5]BankRecData!$B$1:$O$5542,11,0)=0,"",VLOOKUP(TEXT($A13,0),[5]BankRecData!$B$1:$O$5542,11,0)+VLOOKUP(TEXT($A13,0),[5]BankRecData!$B$1:$O$5542,12,0)),"")</f>
        <v/>
      </c>
      <c r="J13" s="69" t="str">
        <f>IFERROR(IF(VLOOKUP(TEXT($A13,0),[6]BankRecData!$B$1:$O$5542,11,0)=0,"",VLOOKUP(TEXT($A13,0),[6]BankRecData!$B$1:$O$5542,11,0)+VLOOKUP(TEXT($A13,0),[6]BankRecData!$B$1:$O$5542,12,0)),"")</f>
        <v/>
      </c>
      <c r="K13" s="69" t="str">
        <f>IFERROR(IF(VLOOKUP(TEXT($A13,0),[7]BankRecData!$B$1:$O$5542,11,0)=0,"",VLOOKUP(TEXT($A13,0),[7]BankRecData!$B$1:$O$5542,11,0)+VLOOKUP(TEXT($A13,0),[7]BankRecData!$B$1:$O$5542,12,0)),"")</f>
        <v/>
      </c>
      <c r="L13" s="69" t="str">
        <f>IFERROR(IF(VLOOKUP(TEXT($A13,0),[8]BankRecData!$B$1:$O$5542,11,0)=0,"",VLOOKUP(TEXT($A13,0),[8]BankRecData!$B$1:$O$5542,11,0)+VLOOKUP(TEXT($A13,0),[8]BankRecData!$B$1:$O$5542,12,0)),"")</f>
        <v/>
      </c>
      <c r="M13" s="69" t="str">
        <f>IFERROR(IF(VLOOKUP(TEXT($A13,0),[9]BankRecData!$B$1:$O$5542,11,0)=0,"",VLOOKUP(TEXT($A13,0),[9]BankRecData!$B$1:$O$5542,11,0)+VLOOKUP(TEXT($A13,0),[9]BankRecData!$B$1:$O$5542,12,0)),"")</f>
        <v/>
      </c>
      <c r="N13" s="69" t="str">
        <f>IFERROR(IF(VLOOKUP(TEXT($A13,0),[10]BankRecData!$B$1:$O$5542,11,0)=0,"",VLOOKUP(TEXT($A13,0),[10]BankRecData!$B$1:$O$5542,11,0)+VLOOKUP(TEXT($A13,0),[10]BankRecData!$B$1:$O$5542,12,0)),"")</f>
        <v/>
      </c>
    </row>
    <row r="14" spans="1:14" s="68" customFormat="1" x14ac:dyDescent="0.2">
      <c r="A14" s="83">
        <v>4101</v>
      </c>
      <c r="B14" s="84">
        <v>4101</v>
      </c>
      <c r="C14" s="85" t="s">
        <v>128</v>
      </c>
      <c r="D14" s="80">
        <f t="shared" si="0"/>
        <v>0</v>
      </c>
      <c r="E14" s="69" t="str">
        <f>IFERROR(IF(VLOOKUP(TEXT($A14,0),[1]BankRecData!$B$1:$O$5542,11,0)=0,"",VLOOKUP(TEXT($A14,0),[1]BankRecData!$B$1:$O$5542,11,0)+VLOOKUP(TEXT($A14,0),[1]BankRecData!$B$1:$O$5542,12,0)),"")</f>
        <v/>
      </c>
      <c r="F14" s="69" t="str">
        <f>IFERROR(IF(VLOOKUP(TEXT($A14,0),[2]BankRecData!$B$1:$O$5542,11,0)=0,"",VLOOKUP(TEXT($A14,0),[2]BankRecData!$B$1:$O$5542,11,0)+VLOOKUP(TEXT($A14,0),[2]BankRecData!$B$1:$O$5542,12,0)),"")</f>
        <v/>
      </c>
      <c r="G14" s="69" t="str">
        <f>IFERROR(IF(VLOOKUP(TEXT($A14,0),[3]BankRecData!$B$1:$O$5542,11,0)=0,"",VLOOKUP(TEXT($A14,0),[3]BankRecData!$B$1:$O$5542,11,0)+VLOOKUP(TEXT($A14,0),[3]BankRecData!$B$1:$O$5542,12,0)),"")</f>
        <v/>
      </c>
      <c r="H14" s="69" t="str">
        <f>IFERROR(IF(VLOOKUP(TEXT($A14,0),[4]BankRecData!$B$1:$O$5542,11,0)=0,"",VLOOKUP(TEXT($A14,0),[4]BankRecData!$B$1:$O$5542,11,0)+VLOOKUP(TEXT($A14,0),[4]BankRecData!$B$1:$O$5542,12,0)),"")</f>
        <v/>
      </c>
      <c r="I14" s="69" t="str">
        <f>IFERROR(IF(VLOOKUP(TEXT($A14,0),[5]BankRecData!$B$1:$O$5542,11,0)=0,"",VLOOKUP(TEXT($A14,0),[5]BankRecData!$B$1:$O$5542,11,0)+VLOOKUP(TEXT($A14,0),[5]BankRecData!$B$1:$O$5542,12,0)),"")</f>
        <v/>
      </c>
      <c r="J14" s="69" t="str">
        <f>IFERROR(IF(VLOOKUP(TEXT($A14,0),[6]BankRecData!$B$1:$O$5542,11,0)=0,"",VLOOKUP(TEXT($A14,0),[6]BankRecData!$B$1:$O$5542,11,0)+VLOOKUP(TEXT($A14,0),[6]BankRecData!$B$1:$O$5542,12,0)),"")</f>
        <v/>
      </c>
      <c r="K14" s="69" t="str">
        <f>IFERROR(IF(VLOOKUP(TEXT($A14,0),[7]BankRecData!$B$1:$O$5542,11,0)=0,"",VLOOKUP(TEXT($A14,0),[7]BankRecData!$B$1:$O$5542,11,0)+VLOOKUP(TEXT($A14,0),[7]BankRecData!$B$1:$O$5542,12,0)),"")</f>
        <v/>
      </c>
      <c r="L14" s="69" t="str">
        <f>IFERROR(IF(VLOOKUP(TEXT($A14,0),[8]BankRecData!$B$1:$O$5542,11,0)=0,"",VLOOKUP(TEXT($A14,0),[8]BankRecData!$B$1:$O$5542,11,0)+VLOOKUP(TEXT($A14,0),[8]BankRecData!$B$1:$O$5542,12,0)),"")</f>
        <v/>
      </c>
      <c r="M14" s="69" t="str">
        <f>IFERROR(IF(VLOOKUP(TEXT($A14,0),[9]BankRecData!$B$1:$O$5542,11,0)=0,"",VLOOKUP(TEXT($A14,0),[9]BankRecData!$B$1:$O$5542,11,0)+VLOOKUP(TEXT($A14,0),[9]BankRecData!$B$1:$O$5542,12,0)),"")</f>
        <v/>
      </c>
      <c r="N14" s="69" t="str">
        <f>IFERROR(IF(VLOOKUP(TEXT($A14,0),[10]BankRecData!$B$1:$O$5542,11,0)=0,"",VLOOKUP(TEXT($A14,0),[10]BankRecData!$B$1:$O$5542,11,0)+VLOOKUP(TEXT($A14,0),[10]BankRecData!$B$1:$O$5542,12,0)),"")</f>
        <v/>
      </c>
    </row>
    <row r="15" spans="1:14" s="68" customFormat="1" x14ac:dyDescent="0.2">
      <c r="A15" s="83">
        <v>4102</v>
      </c>
      <c r="B15" s="84">
        <v>4102</v>
      </c>
      <c r="C15" s="85" t="s">
        <v>129</v>
      </c>
      <c r="D15" s="80">
        <f t="shared" si="0"/>
        <v>0</v>
      </c>
      <c r="E15" s="69" t="str">
        <f>IFERROR(IF(VLOOKUP(TEXT($A15,0),[1]BankRecData!$B$1:$O$5542,11,0)=0,"",VLOOKUP(TEXT($A15,0),[1]BankRecData!$B$1:$O$5542,11,0)+VLOOKUP(TEXT($A15,0),[1]BankRecData!$B$1:$O$5542,12,0)),"")</f>
        <v/>
      </c>
      <c r="F15" s="69" t="str">
        <f>IFERROR(IF(VLOOKUP(TEXT($A15,0),[2]BankRecData!$B$1:$O$5542,11,0)=0,"",VLOOKUP(TEXT($A15,0),[2]BankRecData!$B$1:$O$5542,11,0)+VLOOKUP(TEXT($A15,0),[2]BankRecData!$B$1:$O$5542,12,0)),"")</f>
        <v/>
      </c>
      <c r="G15" s="69" t="str">
        <f>IFERROR(IF(VLOOKUP(TEXT($A15,0),[3]BankRecData!$B$1:$O$5542,11,0)=0,"",VLOOKUP(TEXT($A15,0),[3]BankRecData!$B$1:$O$5542,11,0)+VLOOKUP(TEXT($A15,0),[3]BankRecData!$B$1:$O$5542,12,0)),"")</f>
        <v/>
      </c>
      <c r="H15" s="69" t="str">
        <f>IFERROR(IF(VLOOKUP(TEXT($A15,0),[4]BankRecData!$B$1:$O$5542,11,0)=0,"",VLOOKUP(TEXT($A15,0),[4]BankRecData!$B$1:$O$5542,11,0)+VLOOKUP(TEXT($A15,0),[4]BankRecData!$B$1:$O$5542,12,0)),"")</f>
        <v/>
      </c>
      <c r="I15" s="69" t="str">
        <f>IFERROR(IF(VLOOKUP(TEXT($A15,0),[5]BankRecData!$B$1:$O$5542,11,0)=0,"",VLOOKUP(TEXT($A15,0),[5]BankRecData!$B$1:$O$5542,11,0)+VLOOKUP(TEXT($A15,0),[5]BankRecData!$B$1:$O$5542,12,0)),"")</f>
        <v/>
      </c>
      <c r="J15" s="69" t="str">
        <f>IFERROR(IF(VLOOKUP(TEXT($A15,0),[6]BankRecData!$B$1:$O$5542,11,0)=0,"",VLOOKUP(TEXT($A15,0),[6]BankRecData!$B$1:$O$5542,11,0)+VLOOKUP(TEXT($A15,0),[6]BankRecData!$B$1:$O$5542,12,0)),"")</f>
        <v/>
      </c>
      <c r="K15" s="69" t="str">
        <f>IFERROR(IF(VLOOKUP(TEXT($A15,0),[7]BankRecData!$B$1:$O$5542,11,0)=0,"",VLOOKUP(TEXT($A15,0),[7]BankRecData!$B$1:$O$5542,11,0)+VLOOKUP(TEXT($A15,0),[7]BankRecData!$B$1:$O$5542,12,0)),"")</f>
        <v/>
      </c>
      <c r="L15" s="69" t="str">
        <f>IFERROR(IF(VLOOKUP(TEXT($A15,0),[8]BankRecData!$B$1:$O$5542,11,0)=0,"",VLOOKUP(TEXT($A15,0),[8]BankRecData!$B$1:$O$5542,11,0)+VLOOKUP(TEXT($A15,0),[8]BankRecData!$B$1:$O$5542,12,0)),"")</f>
        <v/>
      </c>
      <c r="M15" s="69" t="str">
        <f>IFERROR(IF(VLOOKUP(TEXT($A15,0),[9]BankRecData!$B$1:$O$5542,11,0)=0,"",VLOOKUP(TEXT($A15,0),[9]BankRecData!$B$1:$O$5542,11,0)+VLOOKUP(TEXT($A15,0),[9]BankRecData!$B$1:$O$5542,12,0)),"")</f>
        <v/>
      </c>
      <c r="N15" s="69" t="str">
        <f>IFERROR(IF(VLOOKUP(TEXT($A15,0),[10]BankRecData!$B$1:$O$5542,11,0)=0,"",VLOOKUP(TEXT($A15,0),[10]BankRecData!$B$1:$O$5542,11,0)+VLOOKUP(TEXT($A15,0),[10]BankRecData!$B$1:$O$5542,12,0)),"")</f>
        <v/>
      </c>
    </row>
    <row r="16" spans="1:14" s="68" customFormat="1" x14ac:dyDescent="0.2">
      <c r="A16" s="83">
        <v>4104</v>
      </c>
      <c r="B16" s="84">
        <v>4104</v>
      </c>
      <c r="C16" s="85" t="s">
        <v>133</v>
      </c>
      <c r="D16" s="80">
        <f t="shared" si="0"/>
        <v>0</v>
      </c>
      <c r="E16" s="69" t="str">
        <f>IFERROR(IF(VLOOKUP(TEXT($A16,0),[1]BankRecData!$B$1:$O$5542,11,0)=0,"",VLOOKUP(TEXT($A16,0),[1]BankRecData!$B$1:$O$5542,11,0)+VLOOKUP(TEXT($A16,0),[1]BankRecData!$B$1:$O$5542,12,0)),"")</f>
        <v/>
      </c>
      <c r="F16" s="69" t="str">
        <f>IFERROR(IF(VLOOKUP(TEXT($A16,0),[2]BankRecData!$B$1:$O$5542,11,0)=0,"",VLOOKUP(TEXT($A16,0),[2]BankRecData!$B$1:$O$5542,11,0)+VLOOKUP(TEXT($A16,0),[2]BankRecData!$B$1:$O$5542,12,0)),"")</f>
        <v/>
      </c>
      <c r="G16" s="69" t="str">
        <f>IFERROR(IF(VLOOKUP(TEXT($A16,0),[3]BankRecData!$B$1:$O$5542,11,0)=0,"",VLOOKUP(TEXT($A16,0),[3]BankRecData!$B$1:$O$5542,11,0)+VLOOKUP(TEXT($A16,0),[3]BankRecData!$B$1:$O$5542,12,0)),"")</f>
        <v/>
      </c>
      <c r="H16" s="69" t="str">
        <f>IFERROR(IF(VLOOKUP(TEXT($A16,0),[4]BankRecData!$B$1:$O$5542,11,0)=0,"",VLOOKUP(TEXT($A16,0),[4]BankRecData!$B$1:$O$5542,11,0)+VLOOKUP(TEXT($A16,0),[4]BankRecData!$B$1:$O$5542,12,0)),"")</f>
        <v/>
      </c>
      <c r="I16" s="69" t="str">
        <f>IFERROR(IF(VLOOKUP(TEXT($A16,0),[5]BankRecData!$B$1:$O$5542,11,0)=0,"",VLOOKUP(TEXT($A16,0),[5]BankRecData!$B$1:$O$5542,11,0)+VLOOKUP(TEXT($A16,0),[5]BankRecData!$B$1:$O$5542,12,0)),"")</f>
        <v/>
      </c>
      <c r="J16" s="69" t="str">
        <f>IFERROR(IF(VLOOKUP(TEXT($A16,0),[6]BankRecData!$B$1:$O$5542,11,0)=0,"",VLOOKUP(TEXT($A16,0),[6]BankRecData!$B$1:$O$5542,11,0)+VLOOKUP(TEXT($A16,0),[6]BankRecData!$B$1:$O$5542,12,0)),"")</f>
        <v/>
      </c>
      <c r="K16" s="69" t="str">
        <f>IFERROR(IF(VLOOKUP(TEXT($A16,0),[7]BankRecData!$B$1:$O$5542,11,0)=0,"",VLOOKUP(TEXT($A16,0),[7]BankRecData!$B$1:$O$5542,11,0)+VLOOKUP(TEXT($A16,0),[7]BankRecData!$B$1:$O$5542,12,0)),"")</f>
        <v/>
      </c>
      <c r="L16" s="69" t="str">
        <f>IFERROR(IF(VLOOKUP(TEXT($A16,0),[8]BankRecData!$B$1:$O$5542,11,0)=0,"",VLOOKUP(TEXT($A16,0),[8]BankRecData!$B$1:$O$5542,11,0)+VLOOKUP(TEXT($A16,0),[8]BankRecData!$B$1:$O$5542,12,0)),"")</f>
        <v/>
      </c>
      <c r="M16" s="69" t="str">
        <f>IFERROR(IF(VLOOKUP(TEXT($A16,0),[9]BankRecData!$B$1:$O$5542,11,0)=0,"",VLOOKUP(TEXT($A16,0),[9]BankRecData!$B$1:$O$5542,11,0)+VLOOKUP(TEXT($A16,0),[9]BankRecData!$B$1:$O$5542,12,0)),"")</f>
        <v/>
      </c>
      <c r="N16" s="69" t="str">
        <f>IFERROR(IF(VLOOKUP(TEXT($A16,0),[10]BankRecData!$B$1:$O$5542,11,0)=0,"",VLOOKUP(TEXT($A16,0),[10]BankRecData!$B$1:$O$5542,11,0)+VLOOKUP(TEXT($A16,0),[10]BankRecData!$B$1:$O$5542,12,0)),"")</f>
        <v/>
      </c>
    </row>
    <row r="17" spans="1:14" s="68" customFormat="1" x14ac:dyDescent="0.2">
      <c r="A17" s="83">
        <v>4106</v>
      </c>
      <c r="B17" s="84">
        <v>4106</v>
      </c>
      <c r="C17" s="85" t="s">
        <v>135</v>
      </c>
      <c r="D17" s="80">
        <f t="shared" si="0"/>
        <v>0</v>
      </c>
      <c r="E17" s="69" t="str">
        <f>IFERROR(IF(VLOOKUP(TEXT($A17,0),[1]BankRecData!$B$1:$O$5542,11,0)=0,"",VLOOKUP(TEXT($A17,0),[1]BankRecData!$B$1:$O$5542,11,0)+VLOOKUP(TEXT($A17,0),[1]BankRecData!$B$1:$O$5542,12,0)),"")</f>
        <v/>
      </c>
      <c r="F17" s="69" t="str">
        <f>IFERROR(IF(VLOOKUP(TEXT($A17,0),[2]BankRecData!$B$1:$O$5542,11,0)=0,"",VLOOKUP(TEXT($A17,0),[2]BankRecData!$B$1:$O$5542,11,0)+VLOOKUP(TEXT($A17,0),[2]BankRecData!$B$1:$O$5542,12,0)),"")</f>
        <v/>
      </c>
      <c r="G17" s="69" t="str">
        <f>IFERROR(IF(VLOOKUP(TEXT($A17,0),[3]BankRecData!$B$1:$O$5542,11,0)=0,"",VLOOKUP(TEXT($A17,0),[3]BankRecData!$B$1:$O$5542,11,0)+VLOOKUP(TEXT($A17,0),[3]BankRecData!$B$1:$O$5542,12,0)),"")</f>
        <v/>
      </c>
      <c r="H17" s="69" t="str">
        <f>IFERROR(IF(VLOOKUP(TEXT($A17,0),[4]BankRecData!$B$1:$O$5542,11,0)=0,"",VLOOKUP(TEXT($A17,0),[4]BankRecData!$B$1:$O$5542,11,0)+VLOOKUP(TEXT($A17,0),[4]BankRecData!$B$1:$O$5542,12,0)),"")</f>
        <v/>
      </c>
      <c r="I17" s="69" t="str">
        <f>IFERROR(IF(VLOOKUP(TEXT($A17,0),[5]BankRecData!$B$1:$O$5542,11,0)=0,"",VLOOKUP(TEXT($A17,0),[5]BankRecData!$B$1:$O$5542,11,0)+VLOOKUP(TEXT($A17,0),[5]BankRecData!$B$1:$O$5542,12,0)),"")</f>
        <v/>
      </c>
      <c r="J17" s="69" t="str">
        <f>IFERROR(IF(VLOOKUP(TEXT($A17,0),[6]BankRecData!$B$1:$O$5542,11,0)=0,"",VLOOKUP(TEXT($A17,0),[6]BankRecData!$B$1:$O$5542,11,0)+VLOOKUP(TEXT($A17,0),[6]BankRecData!$B$1:$O$5542,12,0)),"")</f>
        <v/>
      </c>
      <c r="K17" s="69" t="str">
        <f>IFERROR(IF(VLOOKUP(TEXT($A17,0),[7]BankRecData!$B$1:$O$5542,11,0)=0,"",VLOOKUP(TEXT($A17,0),[7]BankRecData!$B$1:$O$5542,11,0)+VLOOKUP(TEXT($A17,0),[7]BankRecData!$B$1:$O$5542,12,0)),"")</f>
        <v/>
      </c>
      <c r="L17" s="69" t="str">
        <f>IFERROR(IF(VLOOKUP(TEXT($A17,0),[8]BankRecData!$B$1:$O$5542,11,0)=0,"",VLOOKUP(TEXT($A17,0),[8]BankRecData!$B$1:$O$5542,11,0)+VLOOKUP(TEXT($A17,0),[8]BankRecData!$B$1:$O$5542,12,0)),"")</f>
        <v/>
      </c>
      <c r="M17" s="69" t="str">
        <f>IFERROR(IF(VLOOKUP(TEXT($A17,0),[9]BankRecData!$B$1:$O$5542,11,0)=0,"",VLOOKUP(TEXT($A17,0),[9]BankRecData!$B$1:$O$5542,11,0)+VLOOKUP(TEXT($A17,0),[9]BankRecData!$B$1:$O$5542,12,0)),"")</f>
        <v/>
      </c>
      <c r="N17" s="69" t="str">
        <f>IFERROR(IF(VLOOKUP(TEXT($A17,0),[10]BankRecData!$B$1:$O$5542,11,0)=0,"",VLOOKUP(TEXT($A17,0),[10]BankRecData!$B$1:$O$5542,11,0)+VLOOKUP(TEXT($A17,0),[10]BankRecData!$B$1:$O$5542,12,0)),"")</f>
        <v/>
      </c>
    </row>
    <row r="18" spans="1:14" s="68" customFormat="1" x14ac:dyDescent="0.2">
      <c r="A18" s="83">
        <v>4107</v>
      </c>
      <c r="B18" s="84">
        <v>4107</v>
      </c>
      <c r="C18" s="85" t="s">
        <v>139</v>
      </c>
      <c r="D18" s="80">
        <f t="shared" si="0"/>
        <v>0</v>
      </c>
      <c r="E18" s="69" t="str">
        <f>IFERROR(IF(VLOOKUP(TEXT($A18,0),[1]BankRecData!$B$1:$O$5542,11,0)=0,"",VLOOKUP(TEXT($A18,0),[1]BankRecData!$B$1:$O$5542,11,0)+VLOOKUP(TEXT($A18,0),[1]BankRecData!$B$1:$O$5542,12,0)),"")</f>
        <v/>
      </c>
      <c r="F18" s="69" t="str">
        <f>IFERROR(IF(VLOOKUP(TEXT($A18,0),[2]BankRecData!$B$1:$O$5542,11,0)=0,"",VLOOKUP(TEXT($A18,0),[2]BankRecData!$B$1:$O$5542,11,0)+VLOOKUP(TEXT($A18,0),[2]BankRecData!$B$1:$O$5542,12,0)),"")</f>
        <v/>
      </c>
      <c r="G18" s="69" t="str">
        <f>IFERROR(IF(VLOOKUP(TEXT($A18,0),[3]BankRecData!$B$1:$O$5542,11,0)=0,"",VLOOKUP(TEXT($A18,0),[3]BankRecData!$B$1:$O$5542,11,0)+VLOOKUP(TEXT($A18,0),[3]BankRecData!$B$1:$O$5542,12,0)),"")</f>
        <v/>
      </c>
      <c r="H18" s="69" t="str">
        <f>IFERROR(IF(VLOOKUP(TEXT($A18,0),[4]BankRecData!$B$1:$O$5542,11,0)=0,"",VLOOKUP(TEXT($A18,0),[4]BankRecData!$B$1:$O$5542,11,0)+VLOOKUP(TEXT($A18,0),[4]BankRecData!$B$1:$O$5542,12,0)),"")</f>
        <v/>
      </c>
      <c r="I18" s="69" t="str">
        <f>IFERROR(IF(VLOOKUP(TEXT($A18,0),[5]BankRecData!$B$1:$O$5542,11,0)=0,"",VLOOKUP(TEXT($A18,0),[5]BankRecData!$B$1:$O$5542,11,0)+VLOOKUP(TEXT($A18,0),[5]BankRecData!$B$1:$O$5542,12,0)),"")</f>
        <v/>
      </c>
      <c r="J18" s="69" t="str">
        <f>IFERROR(IF(VLOOKUP(TEXT($A18,0),[6]BankRecData!$B$1:$O$5542,11,0)=0,"",VLOOKUP(TEXT($A18,0),[6]BankRecData!$B$1:$O$5542,11,0)+VLOOKUP(TEXT($A18,0),[6]BankRecData!$B$1:$O$5542,12,0)),"")</f>
        <v/>
      </c>
      <c r="K18" s="69" t="str">
        <f>IFERROR(IF(VLOOKUP(TEXT($A18,0),[7]BankRecData!$B$1:$O$5542,11,0)=0,"",VLOOKUP(TEXT($A18,0),[7]BankRecData!$B$1:$O$5542,11,0)+VLOOKUP(TEXT($A18,0),[7]BankRecData!$B$1:$O$5542,12,0)),"")</f>
        <v/>
      </c>
      <c r="L18" s="69" t="str">
        <f>IFERROR(IF(VLOOKUP(TEXT($A18,0),[8]BankRecData!$B$1:$O$5542,11,0)=0,"",VLOOKUP(TEXT($A18,0),[8]BankRecData!$B$1:$O$5542,11,0)+VLOOKUP(TEXT($A18,0),[8]BankRecData!$B$1:$O$5542,12,0)),"")</f>
        <v/>
      </c>
      <c r="M18" s="69" t="str">
        <f>IFERROR(IF(VLOOKUP(TEXT($A18,0),[9]BankRecData!$B$1:$O$5542,11,0)=0,"",VLOOKUP(TEXT($A18,0),[9]BankRecData!$B$1:$O$5542,11,0)+VLOOKUP(TEXT($A18,0),[9]BankRecData!$B$1:$O$5542,12,0)),"")</f>
        <v/>
      </c>
      <c r="N18" s="69" t="str">
        <f>IFERROR(IF(VLOOKUP(TEXT($A18,0),[10]BankRecData!$B$1:$O$5542,11,0)=0,"",VLOOKUP(TEXT($A18,0),[10]BankRecData!$B$1:$O$5542,11,0)+VLOOKUP(TEXT($A18,0),[10]BankRecData!$B$1:$O$5542,12,0)),"")</f>
        <v/>
      </c>
    </row>
    <row r="19" spans="1:14" s="68" customFormat="1" x14ac:dyDescent="0.2">
      <c r="A19" s="83">
        <v>4108</v>
      </c>
      <c r="B19" s="84">
        <v>4108</v>
      </c>
      <c r="C19" s="85" t="s">
        <v>140</v>
      </c>
      <c r="D19" s="80">
        <f t="shared" si="0"/>
        <v>0</v>
      </c>
      <c r="E19" s="69" t="str">
        <f>IFERROR(IF(VLOOKUP(TEXT($A19,0),[1]BankRecData!$B$1:$O$5542,11,0)=0,"",VLOOKUP(TEXT($A19,0),[1]BankRecData!$B$1:$O$5542,11,0)+VLOOKUP(TEXT($A19,0),[1]BankRecData!$B$1:$O$5542,12,0)),"")</f>
        <v/>
      </c>
      <c r="F19" s="69" t="str">
        <f>IFERROR(IF(VLOOKUP(TEXT($A19,0),[2]BankRecData!$B$1:$O$5542,11,0)=0,"",VLOOKUP(TEXT($A19,0),[2]BankRecData!$B$1:$O$5542,11,0)+VLOOKUP(TEXT($A19,0),[2]BankRecData!$B$1:$O$5542,12,0)),"")</f>
        <v/>
      </c>
      <c r="G19" s="69" t="str">
        <f>IFERROR(IF(VLOOKUP(TEXT($A19,0),[3]BankRecData!$B$1:$O$5542,11,0)=0,"",VLOOKUP(TEXT($A19,0),[3]BankRecData!$B$1:$O$5542,11,0)+VLOOKUP(TEXT($A19,0),[3]BankRecData!$B$1:$O$5542,12,0)),"")</f>
        <v/>
      </c>
      <c r="H19" s="69" t="str">
        <f>IFERROR(IF(VLOOKUP(TEXT($A19,0),[4]BankRecData!$B$1:$O$5542,11,0)=0,"",VLOOKUP(TEXT($A19,0),[4]BankRecData!$B$1:$O$5542,11,0)+VLOOKUP(TEXT($A19,0),[4]BankRecData!$B$1:$O$5542,12,0)),"")</f>
        <v/>
      </c>
      <c r="I19" s="69" t="str">
        <f>IFERROR(IF(VLOOKUP(TEXT($A19,0),[5]BankRecData!$B$1:$O$5542,11,0)=0,"",VLOOKUP(TEXT($A19,0),[5]BankRecData!$B$1:$O$5542,11,0)+VLOOKUP(TEXT($A19,0),[5]BankRecData!$B$1:$O$5542,12,0)),"")</f>
        <v/>
      </c>
      <c r="J19" s="69" t="str">
        <f>IFERROR(IF(VLOOKUP(TEXT($A19,0),[6]BankRecData!$B$1:$O$5542,11,0)=0,"",VLOOKUP(TEXT($A19,0),[6]BankRecData!$B$1:$O$5542,11,0)+VLOOKUP(TEXT($A19,0),[6]BankRecData!$B$1:$O$5542,12,0)),"")</f>
        <v/>
      </c>
      <c r="K19" s="69" t="str">
        <f>IFERROR(IF(VLOOKUP(TEXT($A19,0),[7]BankRecData!$B$1:$O$5542,11,0)=0,"",VLOOKUP(TEXT($A19,0),[7]BankRecData!$B$1:$O$5542,11,0)+VLOOKUP(TEXT($A19,0),[7]BankRecData!$B$1:$O$5542,12,0)),"")</f>
        <v/>
      </c>
      <c r="L19" s="69" t="str">
        <f>IFERROR(IF(VLOOKUP(TEXT($A19,0),[8]BankRecData!$B$1:$O$5542,11,0)=0,"",VLOOKUP(TEXT($A19,0),[8]BankRecData!$B$1:$O$5542,11,0)+VLOOKUP(TEXT($A19,0),[8]BankRecData!$B$1:$O$5542,12,0)),"")</f>
        <v/>
      </c>
      <c r="M19" s="69" t="str">
        <f>IFERROR(IF(VLOOKUP(TEXT($A19,0),[9]BankRecData!$B$1:$O$5542,11,0)=0,"",VLOOKUP(TEXT($A19,0),[9]BankRecData!$B$1:$O$5542,11,0)+VLOOKUP(TEXT($A19,0),[9]BankRecData!$B$1:$O$5542,12,0)),"")</f>
        <v/>
      </c>
      <c r="N19" s="69" t="str">
        <f>IFERROR(IF(VLOOKUP(TEXT($A19,0),[10]BankRecData!$B$1:$O$5542,11,0)=0,"",VLOOKUP(TEXT($A19,0),[10]BankRecData!$B$1:$O$5542,11,0)+VLOOKUP(TEXT($A19,0),[10]BankRecData!$B$1:$O$5542,12,0)),"")</f>
        <v/>
      </c>
    </row>
    <row r="20" spans="1:14" s="68" customFormat="1" x14ac:dyDescent="0.2">
      <c r="A20" s="83">
        <v>4109</v>
      </c>
      <c r="B20" s="84">
        <v>4109</v>
      </c>
      <c r="C20" s="85" t="s">
        <v>136</v>
      </c>
      <c r="D20" s="80">
        <f t="shared" si="0"/>
        <v>0</v>
      </c>
      <c r="E20" s="69" t="str">
        <f>IFERROR(IF(VLOOKUP(TEXT($A20,0),[1]BankRecData!$B$1:$O$5542,11,0)=0,"",VLOOKUP(TEXT($A20,0),[1]BankRecData!$B$1:$O$5542,11,0)+VLOOKUP(TEXT($A20,0),[1]BankRecData!$B$1:$O$5542,12,0)),"")</f>
        <v/>
      </c>
      <c r="F20" s="69" t="str">
        <f>IFERROR(IF(VLOOKUP(TEXT($A20,0),[2]BankRecData!$B$1:$O$5542,11,0)=0,"",VLOOKUP(TEXT($A20,0),[2]BankRecData!$B$1:$O$5542,11,0)+VLOOKUP(TEXT($A20,0),[2]BankRecData!$B$1:$O$5542,12,0)),"")</f>
        <v/>
      </c>
      <c r="G20" s="69" t="str">
        <f>IFERROR(IF(VLOOKUP(TEXT($A20,0),[3]BankRecData!$B$1:$O$5542,11,0)=0,"",VLOOKUP(TEXT($A20,0),[3]BankRecData!$B$1:$O$5542,11,0)+VLOOKUP(TEXT($A20,0),[3]BankRecData!$B$1:$O$5542,12,0)),"")</f>
        <v/>
      </c>
      <c r="H20" s="69" t="str">
        <f>IFERROR(IF(VLOOKUP(TEXT($A20,0),[4]BankRecData!$B$1:$O$5542,11,0)=0,"",VLOOKUP(TEXT($A20,0),[4]BankRecData!$B$1:$O$5542,11,0)+VLOOKUP(TEXT($A20,0),[4]BankRecData!$B$1:$O$5542,12,0)),"")</f>
        <v/>
      </c>
      <c r="I20" s="69" t="str">
        <f>IFERROR(IF(VLOOKUP(TEXT($A20,0),[5]BankRecData!$B$1:$O$5542,11,0)=0,"",VLOOKUP(TEXT($A20,0),[5]BankRecData!$B$1:$O$5542,11,0)+VLOOKUP(TEXT($A20,0),[5]BankRecData!$B$1:$O$5542,12,0)),"")</f>
        <v/>
      </c>
      <c r="J20" s="69" t="str">
        <f>IFERROR(IF(VLOOKUP(TEXT($A20,0),[6]BankRecData!$B$1:$O$5542,11,0)=0,"",VLOOKUP(TEXT($A20,0),[6]BankRecData!$B$1:$O$5542,11,0)+VLOOKUP(TEXT($A20,0),[6]BankRecData!$B$1:$O$5542,12,0)),"")</f>
        <v/>
      </c>
      <c r="K20" s="69" t="str">
        <f>IFERROR(IF(VLOOKUP(TEXT($A20,0),[7]BankRecData!$B$1:$O$5542,11,0)=0,"",VLOOKUP(TEXT($A20,0),[7]BankRecData!$B$1:$O$5542,11,0)+VLOOKUP(TEXT($A20,0),[7]BankRecData!$B$1:$O$5542,12,0)),"")</f>
        <v/>
      </c>
      <c r="L20" s="69" t="str">
        <f>IFERROR(IF(VLOOKUP(TEXT($A20,0),[8]BankRecData!$B$1:$O$5542,11,0)=0,"",VLOOKUP(TEXT($A20,0),[8]BankRecData!$B$1:$O$5542,11,0)+VLOOKUP(TEXT($A20,0),[8]BankRecData!$B$1:$O$5542,12,0)),"")</f>
        <v/>
      </c>
      <c r="M20" s="69" t="str">
        <f>IFERROR(IF(VLOOKUP(TEXT($A20,0),[9]BankRecData!$B$1:$O$5542,11,0)=0,"",VLOOKUP(TEXT($A20,0),[9]BankRecData!$B$1:$O$5542,11,0)+VLOOKUP(TEXT($A20,0),[9]BankRecData!$B$1:$O$5542,12,0)),"")</f>
        <v/>
      </c>
      <c r="N20" s="69" t="str">
        <f>IFERROR(IF(VLOOKUP(TEXT($A20,0),[10]BankRecData!$B$1:$O$5542,11,0)=0,"",VLOOKUP(TEXT($A20,0),[10]BankRecData!$B$1:$O$5542,11,0)+VLOOKUP(TEXT($A20,0),[10]BankRecData!$B$1:$O$5542,12,0)),"")</f>
        <v/>
      </c>
    </row>
    <row r="21" spans="1:14" s="68" customFormat="1" x14ac:dyDescent="0.2">
      <c r="A21" s="83">
        <v>4110</v>
      </c>
      <c r="B21" s="84">
        <v>4110</v>
      </c>
      <c r="C21" s="85" t="s">
        <v>137</v>
      </c>
      <c r="D21" s="80">
        <f t="shared" si="0"/>
        <v>0</v>
      </c>
      <c r="E21" s="69" t="str">
        <f>IFERROR(IF(VLOOKUP(TEXT($A21,0),[1]BankRecData!$B$1:$O$5542,11,0)=0,"",VLOOKUP(TEXT($A21,0),[1]BankRecData!$B$1:$O$5542,11,0)+VLOOKUP(TEXT($A21,0),[1]BankRecData!$B$1:$O$5542,12,0)),"")</f>
        <v/>
      </c>
      <c r="F21" s="69" t="str">
        <f>IFERROR(IF(VLOOKUP(TEXT($A21,0),[2]BankRecData!$B$1:$O$5542,11,0)=0,"",VLOOKUP(TEXT($A21,0),[2]BankRecData!$B$1:$O$5542,11,0)+VLOOKUP(TEXT($A21,0),[2]BankRecData!$B$1:$O$5542,12,0)),"")</f>
        <v/>
      </c>
      <c r="G21" s="69" t="str">
        <f>IFERROR(IF(VLOOKUP(TEXT($A21,0),[3]BankRecData!$B$1:$O$5542,11,0)=0,"",VLOOKUP(TEXT($A21,0),[3]BankRecData!$B$1:$O$5542,11,0)+VLOOKUP(TEXT($A21,0),[3]BankRecData!$B$1:$O$5542,12,0)),"")</f>
        <v/>
      </c>
      <c r="H21" s="69" t="str">
        <f>IFERROR(IF(VLOOKUP(TEXT($A21,0),[4]BankRecData!$B$1:$O$5542,11,0)=0,"",VLOOKUP(TEXT($A21,0),[4]BankRecData!$B$1:$O$5542,11,0)+VLOOKUP(TEXT($A21,0),[4]BankRecData!$B$1:$O$5542,12,0)),"")</f>
        <v/>
      </c>
      <c r="I21" s="69" t="str">
        <f>IFERROR(IF(VLOOKUP(TEXT($A21,0),[5]BankRecData!$B$1:$O$5542,11,0)=0,"",VLOOKUP(TEXT($A21,0),[5]BankRecData!$B$1:$O$5542,11,0)+VLOOKUP(TEXT($A21,0),[5]BankRecData!$B$1:$O$5542,12,0)),"")</f>
        <v/>
      </c>
      <c r="J21" s="69" t="str">
        <f>IFERROR(IF(VLOOKUP(TEXT($A21,0),[6]BankRecData!$B$1:$O$5542,11,0)=0,"",VLOOKUP(TEXT($A21,0),[6]BankRecData!$B$1:$O$5542,11,0)+VLOOKUP(TEXT($A21,0),[6]BankRecData!$B$1:$O$5542,12,0)),"")</f>
        <v/>
      </c>
      <c r="K21" s="69" t="str">
        <f>IFERROR(IF(VLOOKUP(TEXT($A21,0),[7]BankRecData!$B$1:$O$5542,11,0)=0,"",VLOOKUP(TEXT($A21,0),[7]BankRecData!$B$1:$O$5542,11,0)+VLOOKUP(TEXT($A21,0),[7]BankRecData!$B$1:$O$5542,12,0)),"")</f>
        <v/>
      </c>
      <c r="L21" s="69" t="str">
        <f>IFERROR(IF(VLOOKUP(TEXT($A21,0),[8]BankRecData!$B$1:$O$5542,11,0)=0,"",VLOOKUP(TEXT($A21,0),[8]BankRecData!$B$1:$O$5542,11,0)+VLOOKUP(TEXT($A21,0),[8]BankRecData!$B$1:$O$5542,12,0)),"")</f>
        <v/>
      </c>
      <c r="M21" s="69" t="str">
        <f>IFERROR(IF(VLOOKUP(TEXT($A21,0),[9]BankRecData!$B$1:$O$5542,11,0)=0,"",VLOOKUP(TEXT($A21,0),[9]BankRecData!$B$1:$O$5542,11,0)+VLOOKUP(TEXT($A21,0),[9]BankRecData!$B$1:$O$5542,12,0)),"")</f>
        <v/>
      </c>
      <c r="N21" s="69" t="str">
        <f>IFERROR(IF(VLOOKUP(TEXT($A21,0),[10]BankRecData!$B$1:$O$5542,11,0)=0,"",VLOOKUP(TEXT($A21,0),[10]BankRecData!$B$1:$O$5542,11,0)+VLOOKUP(TEXT($A21,0),[10]BankRecData!$B$1:$O$5542,12,0)),"")</f>
        <v/>
      </c>
    </row>
    <row r="22" spans="1:14" s="68" customFormat="1" ht="13.5" customHeight="1" x14ac:dyDescent="0.2">
      <c r="A22" s="75">
        <v>4170</v>
      </c>
      <c r="B22" s="84">
        <v>170</v>
      </c>
      <c r="C22" s="89" t="s">
        <v>64</v>
      </c>
      <c r="D22" s="80">
        <f t="shared" si="0"/>
        <v>0</v>
      </c>
      <c r="E22" s="69" t="str">
        <f>IFERROR(IF(VLOOKUP(TEXT($A22,0),[1]BankRecData!$B$1:$O$5542,11,0)=0,"",VLOOKUP(TEXT($A22,0),[1]BankRecData!$B$1:$O$5542,11,0)+VLOOKUP(TEXT($A22,0),[1]BankRecData!$B$1:$O$5542,12,0)),"")</f>
        <v/>
      </c>
      <c r="F22" s="69" t="str">
        <f>IFERROR(IF(VLOOKUP(TEXT($A22,0),[2]BankRecData!$B$1:$O$5542,11,0)=0,"",VLOOKUP(TEXT($A22,0),[2]BankRecData!$B$1:$O$5542,11,0)+VLOOKUP(TEXT($A22,0),[2]BankRecData!$B$1:$O$5542,12,0)),"")</f>
        <v/>
      </c>
      <c r="G22" s="69" t="str">
        <f>IFERROR(IF(VLOOKUP(TEXT($A22,0),[3]BankRecData!$B$1:$O$5542,11,0)=0,"",VLOOKUP(TEXT($A22,0),[3]BankRecData!$B$1:$O$5542,11,0)+VLOOKUP(TEXT($A22,0),[3]BankRecData!$B$1:$O$5542,12,0)),"")</f>
        <v/>
      </c>
      <c r="H22" s="69" t="str">
        <f>IFERROR(IF(VLOOKUP(TEXT($A22,0),[4]BankRecData!$B$1:$O$5542,11,0)=0,"",VLOOKUP(TEXT($A22,0),[4]BankRecData!$B$1:$O$5542,11,0)+VLOOKUP(TEXT($A22,0),[4]BankRecData!$B$1:$O$5542,12,0)),"")</f>
        <v/>
      </c>
      <c r="I22" s="69" t="str">
        <f>IFERROR(IF(VLOOKUP(TEXT($A22,0),[5]BankRecData!$B$1:$O$5542,11,0)=0,"",VLOOKUP(TEXT($A22,0),[5]BankRecData!$B$1:$O$5542,11,0)+VLOOKUP(TEXT($A22,0),[5]BankRecData!$B$1:$O$5542,12,0)),"")</f>
        <v/>
      </c>
      <c r="J22" s="69" t="str">
        <f>IFERROR(IF(VLOOKUP(TEXT($A22,0),[6]BankRecData!$B$1:$O$5542,11,0)=0,"",VLOOKUP(TEXT($A22,0),[6]BankRecData!$B$1:$O$5542,11,0)+VLOOKUP(TEXT($A22,0),[6]BankRecData!$B$1:$O$5542,12,0)),"")</f>
        <v/>
      </c>
      <c r="K22" s="69" t="str">
        <f>IFERROR(IF(VLOOKUP(TEXT($A22,0),[7]BankRecData!$B$1:$O$5542,11,0)=0,"",VLOOKUP(TEXT($A22,0),[7]BankRecData!$B$1:$O$5542,11,0)+VLOOKUP(TEXT($A22,0),[7]BankRecData!$B$1:$O$5542,12,0)),"")</f>
        <v/>
      </c>
      <c r="L22" s="69" t="str">
        <f>IFERROR(IF(VLOOKUP(TEXT($A22,0),[8]BankRecData!$B$1:$O$5542,11,0)=0,"",VLOOKUP(TEXT($A22,0),[8]BankRecData!$B$1:$O$5542,11,0)+VLOOKUP(TEXT($A22,0),[8]BankRecData!$B$1:$O$5542,12,0)),"")</f>
        <v/>
      </c>
      <c r="M22" s="69" t="str">
        <f>IFERROR(IF(VLOOKUP(TEXT($A22,0),[9]BankRecData!$B$1:$O$5542,11,0)=0,"",VLOOKUP(TEXT($A22,0),[9]BankRecData!$B$1:$O$5542,11,0)+VLOOKUP(TEXT($A22,0),[9]BankRecData!$B$1:$O$5542,12,0)),"")</f>
        <v/>
      </c>
      <c r="N22" s="69" t="str">
        <f>IFERROR(IF(VLOOKUP(TEXT($A22,0),[10]BankRecData!$B$1:$O$5542,11,0)=0,"",VLOOKUP(TEXT($A22,0),[10]BankRecData!$B$1:$O$5542,11,0)+VLOOKUP(TEXT($A22,0),[10]BankRecData!$B$1:$O$5542,12,0)),"")</f>
        <v/>
      </c>
    </row>
    <row r="23" spans="1:14" s="68" customFormat="1" x14ac:dyDescent="0.2">
      <c r="A23" s="83">
        <v>4770</v>
      </c>
      <c r="B23" s="84">
        <v>70</v>
      </c>
      <c r="C23" s="85" t="s">
        <v>3</v>
      </c>
      <c r="D23" s="80">
        <f t="shared" si="0"/>
        <v>0</v>
      </c>
      <c r="E23" s="69" t="str">
        <f>IFERROR(IF(VLOOKUP(TEXT($A23,0),[1]BankRecData!$B$1:$O$5542,11,0)=0,"",VLOOKUP(TEXT($A23,0),[1]BankRecData!$B$1:$O$5542,11,0)+VLOOKUP(TEXT($A23,0),[1]BankRecData!$B$1:$O$5542,12,0)),"")</f>
        <v/>
      </c>
      <c r="F23" s="69" t="str">
        <f>IFERROR(IF(VLOOKUP(TEXT($A23,0),[2]BankRecData!$B$1:$O$5542,11,0)=0,"",VLOOKUP(TEXT($A23,0),[2]BankRecData!$B$1:$O$5542,11,0)+VLOOKUP(TEXT($A23,0),[2]BankRecData!$B$1:$O$5542,12,0)),"")</f>
        <v/>
      </c>
      <c r="G23" s="69" t="str">
        <f>IFERROR(IF(VLOOKUP(TEXT($A23,0),[3]BankRecData!$B$1:$O$5542,11,0)=0,"",VLOOKUP(TEXT($A23,0),[3]BankRecData!$B$1:$O$5542,11,0)+VLOOKUP(TEXT($A23,0),[3]BankRecData!$B$1:$O$5542,12,0)),"")</f>
        <v/>
      </c>
      <c r="H23" s="69" t="str">
        <f>IFERROR(IF(VLOOKUP(TEXT($A23,0),[4]BankRecData!$B$1:$O$5542,11,0)=0,"",VLOOKUP(TEXT($A23,0),[4]BankRecData!$B$1:$O$5542,11,0)+VLOOKUP(TEXT($A23,0),[4]BankRecData!$B$1:$O$5542,12,0)),"")</f>
        <v/>
      </c>
      <c r="I23" s="69" t="str">
        <f>IFERROR(IF(VLOOKUP(TEXT($A23,0),[5]BankRecData!$B$1:$O$5542,11,0)=0,"",VLOOKUP(TEXT($A23,0),[5]BankRecData!$B$1:$O$5542,11,0)+VLOOKUP(TEXT($A23,0),[5]BankRecData!$B$1:$O$5542,12,0)),"")</f>
        <v/>
      </c>
      <c r="J23" s="69" t="str">
        <f>IFERROR(IF(VLOOKUP(TEXT($A23,0),[6]BankRecData!$B$1:$O$5542,11,0)=0,"",VLOOKUP(TEXT($A23,0),[6]BankRecData!$B$1:$O$5542,11,0)+VLOOKUP(TEXT($A23,0),[6]BankRecData!$B$1:$O$5542,12,0)),"")</f>
        <v/>
      </c>
      <c r="K23" s="69" t="str">
        <f>IFERROR(IF(VLOOKUP(TEXT($A23,0),[7]BankRecData!$B$1:$O$5542,11,0)=0,"",VLOOKUP(TEXT($A23,0),[7]BankRecData!$B$1:$O$5542,11,0)+VLOOKUP(TEXT($A23,0),[7]BankRecData!$B$1:$O$5542,12,0)),"")</f>
        <v/>
      </c>
      <c r="L23" s="69" t="str">
        <f>IFERROR(IF(VLOOKUP(TEXT($A23,0),[8]BankRecData!$B$1:$O$5542,11,0)=0,"",VLOOKUP(TEXT($A23,0),[8]BankRecData!$B$1:$O$5542,11,0)+VLOOKUP(TEXT($A23,0),[8]BankRecData!$B$1:$O$5542,12,0)),"")</f>
        <v/>
      </c>
      <c r="M23" s="69" t="str">
        <f>IFERROR(IF(VLOOKUP(TEXT($A23,0),[9]BankRecData!$B$1:$O$5542,11,0)=0,"",VLOOKUP(TEXT($A23,0),[9]BankRecData!$B$1:$O$5542,11,0)+VLOOKUP(TEXT($A23,0),[9]BankRecData!$B$1:$O$5542,12,0)),"")</f>
        <v/>
      </c>
      <c r="N23" s="69" t="str">
        <f>IFERROR(IF(VLOOKUP(TEXT($A23,0),[10]BankRecData!$B$1:$O$5542,11,0)=0,"",VLOOKUP(TEXT($A23,0),[10]BankRecData!$B$1:$O$5542,11,0)+VLOOKUP(TEXT($A23,0),[10]BankRecData!$B$1:$O$5542,12,0)),"")</f>
        <v/>
      </c>
    </row>
    <row r="24" spans="1:14" s="68" customFormat="1" x14ac:dyDescent="0.2">
      <c r="A24" s="83">
        <v>6087</v>
      </c>
      <c r="B24" s="84">
        <v>87</v>
      </c>
      <c r="C24" s="85" t="s">
        <v>67</v>
      </c>
      <c r="D24" s="80">
        <f t="shared" si="0"/>
        <v>0</v>
      </c>
      <c r="E24" s="69" t="str">
        <f>IFERROR(IF(VLOOKUP(TEXT($A24,0),[1]BankRecData!$B$1:$O$5542,11,0)=0,"",VLOOKUP(TEXT($A24,0),[1]BankRecData!$B$1:$O$5542,11,0)+VLOOKUP(TEXT($A24,0),[1]BankRecData!$B$1:$O$5542,12,0)),"")</f>
        <v/>
      </c>
      <c r="F24" s="69" t="str">
        <f>IFERROR(IF(VLOOKUP(TEXT($A24,0),[2]BankRecData!$B$1:$O$5542,11,0)=0,"",VLOOKUP(TEXT($A24,0),[2]BankRecData!$B$1:$O$5542,11,0)+VLOOKUP(TEXT($A24,0),[2]BankRecData!$B$1:$O$5542,12,0)),"")</f>
        <v/>
      </c>
      <c r="G24" s="69" t="str">
        <f>IFERROR(IF(VLOOKUP(TEXT($A24,0),[3]BankRecData!$B$1:$O$5542,11,0)=0,"",VLOOKUP(TEXT($A24,0),[3]BankRecData!$B$1:$O$5542,11,0)+VLOOKUP(TEXT($A24,0),[3]BankRecData!$B$1:$O$5542,12,0)),"")</f>
        <v/>
      </c>
      <c r="H24" s="69" t="str">
        <f>IFERROR(IF(VLOOKUP(TEXT($A24,0),[4]BankRecData!$B$1:$O$5542,11,0)=0,"",VLOOKUP(TEXT($A24,0),[4]BankRecData!$B$1:$O$5542,11,0)+VLOOKUP(TEXT($A24,0),[4]BankRecData!$B$1:$O$5542,12,0)),"")</f>
        <v/>
      </c>
      <c r="I24" s="69" t="str">
        <f>IFERROR(IF(VLOOKUP(TEXT($A24,0),[5]BankRecData!$B$1:$O$5542,11,0)=0,"",VLOOKUP(TEXT($A24,0),[5]BankRecData!$B$1:$O$5542,11,0)+VLOOKUP(TEXT($A24,0),[5]BankRecData!$B$1:$O$5542,12,0)),"")</f>
        <v/>
      </c>
      <c r="J24" s="69" t="str">
        <f>IFERROR(IF(VLOOKUP(TEXT($A24,0),[6]BankRecData!$B$1:$O$5542,11,0)=0,"",VLOOKUP(TEXT($A24,0),[6]BankRecData!$B$1:$O$5542,11,0)+VLOOKUP(TEXT($A24,0),[6]BankRecData!$B$1:$O$5542,12,0)),"")</f>
        <v/>
      </c>
      <c r="K24" s="69" t="str">
        <f>IFERROR(IF(VLOOKUP(TEXT($A24,0),[7]BankRecData!$B$1:$O$5542,11,0)=0,"",VLOOKUP(TEXT($A24,0),[7]BankRecData!$B$1:$O$5542,11,0)+VLOOKUP(TEXT($A24,0),[7]BankRecData!$B$1:$O$5542,12,0)),"")</f>
        <v/>
      </c>
      <c r="L24" s="69" t="str">
        <f>IFERROR(IF(VLOOKUP(TEXT($A24,0),[8]BankRecData!$B$1:$O$5542,11,0)=0,"",VLOOKUP(TEXT($A24,0),[8]BankRecData!$B$1:$O$5542,11,0)+VLOOKUP(TEXT($A24,0),[8]BankRecData!$B$1:$O$5542,12,0)),"")</f>
        <v/>
      </c>
      <c r="M24" s="69" t="str">
        <f>IFERROR(IF(VLOOKUP(TEXT($A24,0),[9]BankRecData!$B$1:$O$5542,11,0)=0,"",VLOOKUP(TEXT($A24,0),[9]BankRecData!$B$1:$O$5542,11,0)+VLOOKUP(TEXT($A24,0),[9]BankRecData!$B$1:$O$5542,12,0)),"")</f>
        <v/>
      </c>
      <c r="N24" s="69" t="str">
        <f>IFERROR(IF(VLOOKUP(TEXT($A24,0),[10]BankRecData!$B$1:$O$5542,11,0)=0,"",VLOOKUP(TEXT($A24,0),[10]BankRecData!$B$1:$O$5542,11,0)+VLOOKUP(TEXT($A24,0),[10]BankRecData!$B$1:$O$5542,12,0)),"")</f>
        <v/>
      </c>
    </row>
    <row r="25" spans="1:14" s="68" customFormat="1" x14ac:dyDescent="0.2">
      <c r="A25" s="83">
        <v>6176</v>
      </c>
      <c r="B25" s="84">
        <v>6176</v>
      </c>
      <c r="C25" s="85" t="s">
        <v>24</v>
      </c>
      <c r="D25" s="80">
        <f t="shared" si="0"/>
        <v>0</v>
      </c>
      <c r="E25" s="69" t="str">
        <f>IFERROR(IF(VLOOKUP(TEXT($A25,0),[1]BankRecData!$B$1:$O$5542,11,0)=0,"",VLOOKUP(TEXT($A25,0),[1]BankRecData!$B$1:$O$5542,11,0)+VLOOKUP(TEXT($A25,0),[1]BankRecData!$B$1:$O$5542,12,0)),"")</f>
        <v/>
      </c>
      <c r="F25" s="69" t="str">
        <f>IFERROR(IF(VLOOKUP(TEXT($A25,0),[2]BankRecData!$B$1:$O$5542,11,0)=0,"",VLOOKUP(TEXT($A25,0),[2]BankRecData!$B$1:$O$5542,11,0)+VLOOKUP(TEXT($A25,0),[2]BankRecData!$B$1:$O$5542,12,0)),"")</f>
        <v/>
      </c>
      <c r="G25" s="69" t="str">
        <f>IFERROR(IF(VLOOKUP(TEXT($A25,0),[3]BankRecData!$B$1:$O$5542,11,0)=0,"",VLOOKUP(TEXT($A25,0),[3]BankRecData!$B$1:$O$5542,11,0)+VLOOKUP(TEXT($A25,0),[3]BankRecData!$B$1:$O$5542,12,0)),"")</f>
        <v/>
      </c>
      <c r="H25" s="69" t="str">
        <f>IFERROR(IF(VLOOKUP(TEXT($A25,0),[4]BankRecData!$B$1:$O$5542,11,0)=0,"",VLOOKUP(TEXT($A25,0),[4]BankRecData!$B$1:$O$5542,11,0)+VLOOKUP(TEXT($A25,0),[4]BankRecData!$B$1:$O$5542,12,0)),"")</f>
        <v/>
      </c>
      <c r="I25" s="69" t="str">
        <f>IFERROR(IF(VLOOKUP(TEXT($A25,0),[5]BankRecData!$B$1:$O$5542,11,0)=0,"",VLOOKUP(TEXT($A25,0),[5]BankRecData!$B$1:$O$5542,11,0)+VLOOKUP(TEXT($A25,0),[5]BankRecData!$B$1:$O$5542,12,0)),"")</f>
        <v/>
      </c>
      <c r="J25" s="69" t="str">
        <f>IFERROR(IF(VLOOKUP(TEXT($A25,0),[6]BankRecData!$B$1:$O$5542,11,0)=0,"",VLOOKUP(TEXT($A25,0),[6]BankRecData!$B$1:$O$5542,11,0)+VLOOKUP(TEXT($A25,0),[6]BankRecData!$B$1:$O$5542,12,0)),"")</f>
        <v/>
      </c>
      <c r="K25" s="69" t="str">
        <f>IFERROR(IF(VLOOKUP(TEXT($A25,0),[7]BankRecData!$B$1:$O$5542,11,0)=0,"",VLOOKUP(TEXT($A25,0),[7]BankRecData!$B$1:$O$5542,11,0)+VLOOKUP(TEXT($A25,0),[7]BankRecData!$B$1:$O$5542,12,0)),"")</f>
        <v/>
      </c>
      <c r="L25" s="69" t="str">
        <f>IFERROR(IF(VLOOKUP(TEXT($A25,0),[8]BankRecData!$B$1:$O$5542,11,0)=0,"",VLOOKUP(TEXT($A25,0),[8]BankRecData!$B$1:$O$5542,11,0)+VLOOKUP(TEXT($A25,0),[8]BankRecData!$B$1:$O$5542,12,0)),"")</f>
        <v/>
      </c>
      <c r="M25" s="69" t="str">
        <f>IFERROR(IF(VLOOKUP(TEXT($A25,0),[9]BankRecData!$B$1:$O$5542,11,0)=0,"",VLOOKUP(TEXT($A25,0),[9]BankRecData!$B$1:$O$5542,11,0)+VLOOKUP(TEXT($A25,0),[9]BankRecData!$B$1:$O$5542,12,0)),"")</f>
        <v/>
      </c>
      <c r="N25" s="69" t="str">
        <f>IFERROR(IF(VLOOKUP(TEXT($A25,0),[10]BankRecData!$B$1:$O$5542,11,0)=0,"",VLOOKUP(TEXT($A25,0),[10]BankRecData!$B$1:$O$5542,11,0)+VLOOKUP(TEXT($A25,0),[10]BankRecData!$B$1:$O$5542,12,0)),"")</f>
        <v/>
      </c>
    </row>
    <row r="26" spans="1:14" s="68" customFormat="1" x14ac:dyDescent="0.2">
      <c r="A26" s="83">
        <v>7641</v>
      </c>
      <c r="B26" s="84">
        <v>64</v>
      </c>
      <c r="C26" s="85" t="s">
        <v>7</v>
      </c>
      <c r="D26" s="80">
        <f t="shared" si="0"/>
        <v>0</v>
      </c>
      <c r="E26" s="69" t="str">
        <f>IFERROR(IF(VLOOKUP(TEXT($A26,0),[1]BankRecData!$B$1:$O$5542,11,0)=0,"",VLOOKUP(TEXT($A26,0),[1]BankRecData!$B$1:$O$5542,11,0)+VLOOKUP(TEXT($A26,0),[1]BankRecData!$B$1:$O$5542,12,0)),"")</f>
        <v/>
      </c>
      <c r="F26" s="69" t="str">
        <f>IFERROR(IF(VLOOKUP(TEXT($A26,0),[2]BankRecData!$B$1:$O$5542,11,0)=0,"",VLOOKUP(TEXT($A26,0),[2]BankRecData!$B$1:$O$5542,11,0)+VLOOKUP(TEXT($A26,0),[2]BankRecData!$B$1:$O$5542,12,0)),"")</f>
        <v/>
      </c>
      <c r="G26" s="69" t="str">
        <f>IFERROR(IF(VLOOKUP(TEXT($A26,0),[3]BankRecData!$B$1:$O$5542,11,0)=0,"",VLOOKUP(TEXT($A26,0),[3]BankRecData!$B$1:$O$5542,11,0)+VLOOKUP(TEXT($A26,0),[3]BankRecData!$B$1:$O$5542,12,0)),"")</f>
        <v/>
      </c>
      <c r="H26" s="69" t="str">
        <f>IFERROR(IF(VLOOKUP(TEXT($A26,0),[4]BankRecData!$B$1:$O$5542,11,0)=0,"",VLOOKUP(TEXT($A26,0),[4]BankRecData!$B$1:$O$5542,11,0)+VLOOKUP(TEXT($A26,0),[4]BankRecData!$B$1:$O$5542,12,0)),"")</f>
        <v/>
      </c>
      <c r="I26" s="69" t="str">
        <f>IFERROR(IF(VLOOKUP(TEXT($A26,0),[5]BankRecData!$B$1:$O$5542,11,0)=0,"",VLOOKUP(TEXT($A26,0),[5]BankRecData!$B$1:$O$5542,11,0)+VLOOKUP(TEXT($A26,0),[5]BankRecData!$B$1:$O$5542,12,0)),"")</f>
        <v/>
      </c>
      <c r="J26" s="69" t="str">
        <f>IFERROR(IF(VLOOKUP(TEXT($A26,0),[6]BankRecData!$B$1:$O$5542,11,0)=0,"",VLOOKUP(TEXT($A26,0),[6]BankRecData!$B$1:$O$5542,11,0)+VLOOKUP(TEXT($A26,0),[6]BankRecData!$B$1:$O$5542,12,0)),"")</f>
        <v/>
      </c>
      <c r="K26" s="69" t="str">
        <f>IFERROR(IF(VLOOKUP(TEXT($A26,0),[7]BankRecData!$B$1:$O$5542,11,0)=0,"",VLOOKUP(TEXT($A26,0),[7]BankRecData!$B$1:$O$5542,11,0)+VLOOKUP(TEXT($A26,0),[7]BankRecData!$B$1:$O$5542,12,0)),"")</f>
        <v/>
      </c>
      <c r="L26" s="69" t="str">
        <f>IFERROR(IF(VLOOKUP(TEXT($A26,0),[8]BankRecData!$B$1:$O$5542,11,0)=0,"",VLOOKUP(TEXT($A26,0),[8]BankRecData!$B$1:$O$5542,11,0)+VLOOKUP(TEXT($A26,0),[8]BankRecData!$B$1:$O$5542,12,0)),"")</f>
        <v/>
      </c>
      <c r="M26" s="69" t="str">
        <f>IFERROR(IF(VLOOKUP(TEXT($A26,0),[9]BankRecData!$B$1:$O$5542,11,0)=0,"",VLOOKUP(TEXT($A26,0),[9]BankRecData!$B$1:$O$5542,11,0)+VLOOKUP(TEXT($A26,0),[9]BankRecData!$B$1:$O$5542,12,0)),"")</f>
        <v/>
      </c>
      <c r="N26" s="69" t="str">
        <f>IFERROR(IF(VLOOKUP(TEXT($A26,0),[10]BankRecData!$B$1:$O$5542,11,0)=0,"",VLOOKUP(TEXT($A26,0),[10]BankRecData!$B$1:$O$5542,11,0)+VLOOKUP(TEXT($A26,0),[10]BankRecData!$B$1:$O$5542,12,0)),"")</f>
        <v/>
      </c>
    </row>
    <row r="27" spans="1:14" s="68" customFormat="1" x14ac:dyDescent="0.2">
      <c r="A27" s="83">
        <v>7078</v>
      </c>
      <c r="B27" s="84">
        <v>78</v>
      </c>
      <c r="C27" s="85" t="s">
        <v>10</v>
      </c>
      <c r="D27" s="80">
        <f t="shared" si="0"/>
        <v>0</v>
      </c>
      <c r="E27" s="69" t="str">
        <f>IFERROR(IF(VLOOKUP(TEXT($A27,0),[1]BankRecData!$B$1:$O$5542,11,0)=0,"",VLOOKUP(TEXT($A27,0),[1]BankRecData!$B$1:$O$5542,11,0)+VLOOKUP(TEXT($A27,0),[1]BankRecData!$B$1:$O$5542,12,0)),"")</f>
        <v/>
      </c>
      <c r="F27" s="69" t="str">
        <f>IFERROR(IF(VLOOKUP(TEXT($A27,0),[2]BankRecData!$B$1:$O$5542,11,0)=0,"",VLOOKUP(TEXT($A27,0),[2]BankRecData!$B$1:$O$5542,11,0)+VLOOKUP(TEXT($A27,0),[2]BankRecData!$B$1:$O$5542,12,0)),"")</f>
        <v/>
      </c>
      <c r="G27" s="69" t="str">
        <f>IFERROR(IF(VLOOKUP(TEXT($A27,0),[3]BankRecData!$B$1:$O$5542,11,0)=0,"",VLOOKUP(TEXT($A27,0),[3]BankRecData!$B$1:$O$5542,11,0)+VLOOKUP(TEXT($A27,0),[3]BankRecData!$B$1:$O$5542,12,0)),"")</f>
        <v/>
      </c>
      <c r="H27" s="69" t="str">
        <f>IFERROR(IF(VLOOKUP(TEXT($A27,0),[4]BankRecData!$B$1:$O$5542,11,0)=0,"",VLOOKUP(TEXT($A27,0),[4]BankRecData!$B$1:$O$5542,11,0)+VLOOKUP(TEXT($A27,0),[4]BankRecData!$B$1:$O$5542,12,0)),"")</f>
        <v/>
      </c>
      <c r="I27" s="69" t="str">
        <f>IFERROR(IF(VLOOKUP(TEXT($A27,0),[5]BankRecData!$B$1:$O$5542,11,0)=0,"",VLOOKUP(TEXT($A27,0),[5]BankRecData!$B$1:$O$5542,11,0)+VLOOKUP(TEXT($A27,0),[5]BankRecData!$B$1:$O$5542,12,0)),"")</f>
        <v/>
      </c>
      <c r="J27" s="69" t="str">
        <f>IFERROR(IF(VLOOKUP(TEXT($A27,0),[6]BankRecData!$B$1:$O$5542,11,0)=0,"",VLOOKUP(TEXT($A27,0),[6]BankRecData!$B$1:$O$5542,11,0)+VLOOKUP(TEXT($A27,0),[6]BankRecData!$B$1:$O$5542,12,0)),"")</f>
        <v/>
      </c>
      <c r="K27" s="69" t="str">
        <f>IFERROR(IF(VLOOKUP(TEXT($A27,0),[7]BankRecData!$B$1:$O$5542,11,0)=0,"",VLOOKUP(TEXT($A27,0),[7]BankRecData!$B$1:$O$5542,11,0)+VLOOKUP(TEXT($A27,0),[7]BankRecData!$B$1:$O$5542,12,0)),"")</f>
        <v/>
      </c>
      <c r="L27" s="69" t="str">
        <f>IFERROR(IF(VLOOKUP(TEXT($A27,0),[8]BankRecData!$B$1:$O$5542,11,0)=0,"",VLOOKUP(TEXT($A27,0),[8]BankRecData!$B$1:$O$5542,11,0)+VLOOKUP(TEXT($A27,0),[8]BankRecData!$B$1:$O$5542,12,0)),"")</f>
        <v/>
      </c>
      <c r="M27" s="69" t="str">
        <f>IFERROR(IF(VLOOKUP(TEXT($A27,0),[9]BankRecData!$B$1:$O$5542,11,0)=0,"",VLOOKUP(TEXT($A27,0),[9]BankRecData!$B$1:$O$5542,11,0)+VLOOKUP(TEXT($A27,0),[9]BankRecData!$B$1:$O$5542,12,0)),"")</f>
        <v/>
      </c>
      <c r="N27" s="69" t="str">
        <f>IFERROR(IF(VLOOKUP(TEXT($A27,0),[10]BankRecData!$B$1:$O$5542,11,0)=0,"",VLOOKUP(TEXT($A27,0),[10]BankRecData!$B$1:$O$5542,11,0)+VLOOKUP(TEXT($A27,0),[10]BankRecData!$B$1:$O$5542,12,0)),"")</f>
        <v/>
      </c>
    </row>
    <row r="28" spans="1:14" s="68" customFormat="1" x14ac:dyDescent="0.2">
      <c r="A28" s="83">
        <v>7079</v>
      </c>
      <c r="B28" s="84">
        <v>79</v>
      </c>
      <c r="C28" s="85" t="s">
        <v>12</v>
      </c>
      <c r="D28" s="80">
        <f t="shared" si="0"/>
        <v>0</v>
      </c>
      <c r="E28" s="69" t="str">
        <f>IFERROR(IF(VLOOKUP(TEXT($A28,0),[1]BankRecData!$B$1:$O$5542,11,0)=0,"",VLOOKUP(TEXT($A28,0),[1]BankRecData!$B$1:$O$5542,11,0)+VLOOKUP(TEXT($A28,0),[1]BankRecData!$B$1:$O$5542,12,0)),"")</f>
        <v/>
      </c>
      <c r="F28" s="69" t="str">
        <f>IFERROR(IF(VLOOKUP(TEXT($A28,0),[2]BankRecData!$B$1:$O$5542,11,0)=0,"",VLOOKUP(TEXT($A28,0),[2]BankRecData!$B$1:$O$5542,11,0)+VLOOKUP(TEXT($A28,0),[2]BankRecData!$B$1:$O$5542,12,0)),"")</f>
        <v/>
      </c>
      <c r="G28" s="69" t="str">
        <f>IFERROR(IF(VLOOKUP(TEXT($A28,0),[3]BankRecData!$B$1:$O$5542,11,0)=0,"",VLOOKUP(TEXT($A28,0),[3]BankRecData!$B$1:$O$5542,11,0)+VLOOKUP(TEXT($A28,0),[3]BankRecData!$B$1:$O$5542,12,0)),"")</f>
        <v/>
      </c>
      <c r="H28" s="69" t="str">
        <f>IFERROR(IF(VLOOKUP(TEXT($A28,0),[4]BankRecData!$B$1:$O$5542,11,0)=0,"",VLOOKUP(TEXT($A28,0),[4]BankRecData!$B$1:$O$5542,11,0)+VLOOKUP(TEXT($A28,0),[4]BankRecData!$B$1:$O$5542,12,0)),"")</f>
        <v/>
      </c>
      <c r="I28" s="69" t="str">
        <f>IFERROR(IF(VLOOKUP(TEXT($A28,0),[5]BankRecData!$B$1:$O$5542,11,0)=0,"",VLOOKUP(TEXT($A28,0),[5]BankRecData!$B$1:$O$5542,11,0)+VLOOKUP(TEXT($A28,0),[5]BankRecData!$B$1:$O$5542,12,0)),"")</f>
        <v/>
      </c>
      <c r="J28" s="69" t="str">
        <f>IFERROR(IF(VLOOKUP(TEXT($A28,0),[6]BankRecData!$B$1:$O$5542,11,0)=0,"",VLOOKUP(TEXT($A28,0),[6]BankRecData!$B$1:$O$5542,11,0)+VLOOKUP(TEXT($A28,0),[6]BankRecData!$B$1:$O$5542,12,0)),"")</f>
        <v/>
      </c>
      <c r="K28" s="69" t="str">
        <f>IFERROR(IF(VLOOKUP(TEXT($A28,0),[7]BankRecData!$B$1:$O$5542,11,0)=0,"",VLOOKUP(TEXT($A28,0),[7]BankRecData!$B$1:$O$5542,11,0)+VLOOKUP(TEXT($A28,0),[7]BankRecData!$B$1:$O$5542,12,0)),"")</f>
        <v/>
      </c>
      <c r="L28" s="69" t="str">
        <f>IFERROR(IF(VLOOKUP(TEXT($A28,0),[8]BankRecData!$B$1:$O$5542,11,0)=0,"",VLOOKUP(TEXT($A28,0),[8]BankRecData!$B$1:$O$5542,11,0)+VLOOKUP(TEXT($A28,0),[8]BankRecData!$B$1:$O$5542,12,0)),"")</f>
        <v/>
      </c>
      <c r="M28" s="69" t="str">
        <f>IFERROR(IF(VLOOKUP(TEXT($A28,0),[9]BankRecData!$B$1:$O$5542,11,0)=0,"",VLOOKUP(TEXT($A28,0),[9]BankRecData!$B$1:$O$5542,11,0)+VLOOKUP(TEXT($A28,0),[9]BankRecData!$B$1:$O$5542,12,0)),"")</f>
        <v/>
      </c>
      <c r="N28" s="69" t="str">
        <f>IFERROR(IF(VLOOKUP(TEXT($A28,0),[10]BankRecData!$B$1:$O$5542,11,0)=0,"",VLOOKUP(TEXT($A28,0),[10]BankRecData!$B$1:$O$5542,11,0)+VLOOKUP(TEXT($A28,0),[10]BankRecData!$B$1:$O$5542,12,0)),"")</f>
        <v/>
      </c>
    </row>
    <row r="29" spans="1:14" s="68" customFormat="1" x14ac:dyDescent="0.2">
      <c r="A29" s="83">
        <v>8305</v>
      </c>
      <c r="B29" s="84">
        <v>30</v>
      </c>
      <c r="C29" s="85" t="s">
        <v>29</v>
      </c>
      <c r="D29" s="80">
        <f t="shared" si="0"/>
        <v>0</v>
      </c>
      <c r="E29" s="69" t="str">
        <f>IFERROR(IF(VLOOKUP(TEXT($A29,0),[1]BankRecData!$B$1:$O$5542,11,0)=0,"",VLOOKUP(TEXT($A29,0),[1]BankRecData!$B$1:$O$5542,11,0)+VLOOKUP(TEXT($A29,0),[1]BankRecData!$B$1:$O$5542,12,0)),"")</f>
        <v/>
      </c>
      <c r="F29" s="69" t="str">
        <f>IFERROR(IF(VLOOKUP(TEXT($A29,0),[2]BankRecData!$B$1:$O$5542,11,0)=0,"",VLOOKUP(TEXT($A29,0),[2]BankRecData!$B$1:$O$5542,11,0)+VLOOKUP(TEXT($A29,0),[2]BankRecData!$B$1:$O$5542,12,0)),"")</f>
        <v/>
      </c>
      <c r="G29" s="69" t="str">
        <f>IFERROR(IF(VLOOKUP(TEXT($A29,0),[3]BankRecData!$B$1:$O$5542,11,0)=0,"",VLOOKUP(TEXT($A29,0),[3]BankRecData!$B$1:$O$5542,11,0)+VLOOKUP(TEXT($A29,0),[3]BankRecData!$B$1:$O$5542,12,0)),"")</f>
        <v/>
      </c>
      <c r="H29" s="69" t="str">
        <f>IFERROR(IF(VLOOKUP(TEXT($A29,0),[4]BankRecData!$B$1:$O$5542,11,0)=0,"",VLOOKUP(TEXT($A29,0),[4]BankRecData!$B$1:$O$5542,11,0)+VLOOKUP(TEXT($A29,0),[4]BankRecData!$B$1:$O$5542,12,0)),"")</f>
        <v/>
      </c>
      <c r="I29" s="69" t="str">
        <f>IFERROR(IF(VLOOKUP(TEXT($A29,0),[5]BankRecData!$B$1:$O$5542,11,0)=0,"",VLOOKUP(TEXT($A29,0),[5]BankRecData!$B$1:$O$5542,11,0)+VLOOKUP(TEXT($A29,0),[5]BankRecData!$B$1:$O$5542,12,0)),"")</f>
        <v/>
      </c>
      <c r="J29" s="69" t="str">
        <f>IFERROR(IF(VLOOKUP(TEXT($A29,0),[6]BankRecData!$B$1:$O$5542,11,0)=0,"",VLOOKUP(TEXT($A29,0),[6]BankRecData!$B$1:$O$5542,11,0)+VLOOKUP(TEXT($A29,0),[6]BankRecData!$B$1:$O$5542,12,0)),"")</f>
        <v/>
      </c>
      <c r="K29" s="69" t="str">
        <f>IFERROR(IF(VLOOKUP(TEXT($A29,0),[7]BankRecData!$B$1:$O$5542,11,0)=0,"",VLOOKUP(TEXT($A29,0),[7]BankRecData!$B$1:$O$5542,11,0)+VLOOKUP(TEXT($A29,0),[7]BankRecData!$B$1:$O$5542,12,0)),"")</f>
        <v/>
      </c>
      <c r="L29" s="69" t="str">
        <f>IFERROR(IF(VLOOKUP(TEXT($A29,0),[8]BankRecData!$B$1:$O$5542,11,0)=0,"",VLOOKUP(TEXT($A29,0),[8]BankRecData!$B$1:$O$5542,11,0)+VLOOKUP(TEXT($A29,0),[8]BankRecData!$B$1:$O$5542,12,0)),"")</f>
        <v/>
      </c>
      <c r="M29" s="69" t="str">
        <f>IFERROR(IF(VLOOKUP(TEXT($A29,0),[9]BankRecData!$B$1:$O$5542,11,0)=0,"",VLOOKUP(TEXT($A29,0),[9]BankRecData!$B$1:$O$5542,11,0)+VLOOKUP(TEXT($A29,0),[9]BankRecData!$B$1:$O$5542,12,0)),"")</f>
        <v/>
      </c>
      <c r="N29" s="69" t="str">
        <f>IFERROR(IF(VLOOKUP(TEXT($A29,0),[10]BankRecData!$B$1:$O$5542,11,0)=0,"",VLOOKUP(TEXT($A29,0),[10]BankRecData!$B$1:$O$5542,11,0)+VLOOKUP(TEXT($A29,0),[10]BankRecData!$B$1:$O$5542,12,0)),"")</f>
        <v/>
      </c>
    </row>
    <row r="30" spans="1:14" s="68" customFormat="1" x14ac:dyDescent="0.2">
      <c r="A30" s="83">
        <v>8188</v>
      </c>
      <c r="B30" s="84">
        <v>188</v>
      </c>
      <c r="C30" s="85" t="s">
        <v>19</v>
      </c>
      <c r="D30" s="80">
        <f t="shared" si="0"/>
        <v>0</v>
      </c>
      <c r="E30" s="69" t="str">
        <f>IFERROR(IF(VLOOKUP(TEXT($A30,0),[1]BankRecData!$B$1:$O$5542,11,0)=0,"",VLOOKUP(TEXT($A30,0),[1]BankRecData!$B$1:$O$5542,11,0)+VLOOKUP(TEXT($A30,0),[1]BankRecData!$B$1:$O$5542,12,0)),"")</f>
        <v/>
      </c>
      <c r="F30" s="69" t="str">
        <f>IFERROR(IF(VLOOKUP(TEXT($A30,0),[2]BankRecData!$B$1:$O$5542,11,0)=0,"",VLOOKUP(TEXT($A30,0),[2]BankRecData!$B$1:$O$5542,11,0)+VLOOKUP(TEXT($A30,0),[2]BankRecData!$B$1:$O$5542,12,0)),"")</f>
        <v/>
      </c>
      <c r="G30" s="69" t="str">
        <f>IFERROR(IF(VLOOKUP(TEXT($A30,0),[3]BankRecData!$B$1:$O$5542,11,0)=0,"",VLOOKUP(TEXT($A30,0),[3]BankRecData!$B$1:$O$5542,11,0)+VLOOKUP(TEXT($A30,0),[3]BankRecData!$B$1:$O$5542,12,0)),"")</f>
        <v/>
      </c>
      <c r="H30" s="69" t="str">
        <f>IFERROR(IF(VLOOKUP(TEXT($A30,0),[4]BankRecData!$B$1:$O$5542,11,0)=0,"",VLOOKUP(TEXT($A30,0),[4]BankRecData!$B$1:$O$5542,11,0)+VLOOKUP(TEXT($A30,0),[4]BankRecData!$B$1:$O$5542,12,0)),"")</f>
        <v/>
      </c>
      <c r="I30" s="69" t="str">
        <f>IFERROR(IF(VLOOKUP(TEXT($A30,0),[5]BankRecData!$B$1:$O$5542,11,0)=0,"",VLOOKUP(TEXT($A30,0),[5]BankRecData!$B$1:$O$5542,11,0)+VLOOKUP(TEXT($A30,0),[5]BankRecData!$B$1:$O$5542,12,0)),"")</f>
        <v/>
      </c>
      <c r="J30" s="69" t="str">
        <f>IFERROR(IF(VLOOKUP(TEXT($A30,0),[6]BankRecData!$B$1:$O$5542,11,0)=0,"",VLOOKUP(TEXT($A30,0),[6]BankRecData!$B$1:$O$5542,11,0)+VLOOKUP(TEXT($A30,0),[6]BankRecData!$B$1:$O$5542,12,0)),"")</f>
        <v/>
      </c>
      <c r="K30" s="69" t="str">
        <f>IFERROR(IF(VLOOKUP(TEXT($A30,0),[7]BankRecData!$B$1:$O$5542,11,0)=0,"",VLOOKUP(TEXT($A30,0),[7]BankRecData!$B$1:$O$5542,11,0)+VLOOKUP(TEXT($A30,0),[7]BankRecData!$B$1:$O$5542,12,0)),"")</f>
        <v/>
      </c>
      <c r="L30" s="69" t="str">
        <f>IFERROR(IF(VLOOKUP(TEXT($A30,0),[8]BankRecData!$B$1:$O$5542,11,0)=0,"",VLOOKUP(TEXT($A30,0),[8]BankRecData!$B$1:$O$5542,11,0)+VLOOKUP(TEXT($A30,0),[8]BankRecData!$B$1:$O$5542,12,0)),"")</f>
        <v/>
      </c>
      <c r="M30" s="69" t="str">
        <f>IFERROR(IF(VLOOKUP(TEXT($A30,0),[9]BankRecData!$B$1:$O$5542,11,0)=0,"",VLOOKUP(TEXT($A30,0),[9]BankRecData!$B$1:$O$5542,11,0)+VLOOKUP(TEXT($A30,0),[9]BankRecData!$B$1:$O$5542,12,0)),"")</f>
        <v/>
      </c>
      <c r="N30" s="69" t="str">
        <f>IFERROR(IF(VLOOKUP(TEXT($A30,0),[10]BankRecData!$B$1:$O$5542,11,0)=0,"",VLOOKUP(TEXT($A30,0),[10]BankRecData!$B$1:$O$5542,11,0)+VLOOKUP(TEXT($A30,0),[10]BankRecData!$B$1:$O$5542,12,0)),"")</f>
        <v/>
      </c>
    </row>
    <row r="31" spans="1:14" ht="13.5" thickBot="1" x14ac:dyDescent="0.25">
      <c r="B31" s="15"/>
      <c r="C31" s="15"/>
      <c r="D31" s="133">
        <f t="shared" ref="D31:J31" si="1">SUM(D3:D30)</f>
        <v>0</v>
      </c>
      <c r="E31" s="212">
        <f t="shared" si="1"/>
        <v>0</v>
      </c>
      <c r="F31" s="212">
        <f t="shared" si="1"/>
        <v>0</v>
      </c>
      <c r="G31" s="212">
        <f t="shared" si="1"/>
        <v>0</v>
      </c>
      <c r="H31" s="212">
        <f t="shared" si="1"/>
        <v>0</v>
      </c>
      <c r="I31" s="212">
        <f t="shared" si="1"/>
        <v>0</v>
      </c>
      <c r="J31" s="212">
        <f t="shared" si="1"/>
        <v>0</v>
      </c>
      <c r="K31" s="212">
        <f t="shared" ref="K31:L31" si="2">SUM(K3:K30)</f>
        <v>0</v>
      </c>
      <c r="L31" s="212">
        <f t="shared" si="2"/>
        <v>0</v>
      </c>
      <c r="M31" s="212">
        <f t="shared" ref="M31:N31" si="3">SUM(M3:M30)</f>
        <v>0</v>
      </c>
      <c r="N31" s="212">
        <f t="shared" si="3"/>
        <v>0</v>
      </c>
    </row>
    <row r="32" spans="1:14" ht="13.5" thickTop="1" x14ac:dyDescent="0.2">
      <c r="D32" s="134"/>
    </row>
  </sheetData>
  <phoneticPr fontId="10" type="noConversion"/>
  <conditionalFormatting sqref="E2:E30">
    <cfRule type="containsText" dxfId="370" priority="100" operator="containsText" text="No">
      <formula>NOT(ISERROR(SEARCH("No",E2)))</formula>
    </cfRule>
  </conditionalFormatting>
  <conditionalFormatting sqref="F2:F30">
    <cfRule type="containsText" dxfId="369" priority="9" operator="containsText" text="No">
      <formula>NOT(ISERROR(SEARCH("No",F2)))</formula>
    </cfRule>
  </conditionalFormatting>
  <conditionalFormatting sqref="G2:G30">
    <cfRule type="containsText" dxfId="368" priority="8" operator="containsText" text="No">
      <formula>NOT(ISERROR(SEARCH("No",G2)))</formula>
    </cfRule>
  </conditionalFormatting>
  <conditionalFormatting sqref="H2:H30">
    <cfRule type="containsText" dxfId="367" priority="7" operator="containsText" text="No">
      <formula>NOT(ISERROR(SEARCH("No",H2)))</formula>
    </cfRule>
  </conditionalFormatting>
  <conditionalFormatting sqref="I2:I30">
    <cfRule type="containsText" dxfId="366" priority="6" operator="containsText" text="No">
      <formula>NOT(ISERROR(SEARCH("No",I2)))</formula>
    </cfRule>
  </conditionalFormatting>
  <conditionalFormatting sqref="J2:J30">
    <cfRule type="containsText" dxfId="365" priority="5" operator="containsText" text="No">
      <formula>NOT(ISERROR(SEARCH("No",J2)))</formula>
    </cfRule>
  </conditionalFormatting>
  <conditionalFormatting sqref="K2:K30">
    <cfRule type="containsText" dxfId="364" priority="4" operator="containsText" text="No">
      <formula>NOT(ISERROR(SEARCH("No",K2)))</formula>
    </cfRule>
  </conditionalFormatting>
  <conditionalFormatting sqref="L2:L30">
    <cfRule type="containsText" dxfId="363" priority="3" operator="containsText" text="No">
      <formula>NOT(ISERROR(SEARCH("No",L2)))</formula>
    </cfRule>
  </conditionalFormatting>
  <conditionalFormatting sqref="M2:M30">
    <cfRule type="containsText" dxfId="362" priority="2" operator="containsText" text="No">
      <formula>NOT(ISERROR(SEARCH("No",M2)))</formula>
    </cfRule>
  </conditionalFormatting>
  <conditionalFormatting sqref="N2:N30">
    <cfRule type="containsText" dxfId="361" priority="1" operator="containsText" text="No">
      <formula>NOT(ISERROR(SEARCH("No",N2)))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8" tint="0.39997558519241921"/>
  </sheetPr>
  <dimension ref="A1:O61"/>
  <sheetViews>
    <sheetView showGridLines="0" zoomScale="85" zoomScaleNormal="85" workbookViewId="0">
      <pane xSplit="3" ySplit="1" topLeftCell="D2" activePane="bottomRight" state="frozen"/>
      <selection activeCell="H24" sqref="H24"/>
      <selection pane="topRight" activeCell="H24" sqref="H24"/>
      <selection pane="bottomLeft" activeCell="H24" sqref="H24"/>
      <selection pane="bottomRight" activeCell="K18" sqref="K18"/>
    </sheetView>
  </sheetViews>
  <sheetFormatPr defaultColWidth="9.140625" defaultRowHeight="14.25" x14ac:dyDescent="0.2"/>
  <cols>
    <col min="1" max="2" width="17.5703125" style="4" bestFit="1" customWidth="1"/>
    <col min="3" max="3" width="34.140625" style="4" customWidth="1"/>
    <col min="4" max="4" width="17.140625" style="4" bestFit="1" customWidth="1"/>
    <col min="5" max="5" width="16" style="4" bestFit="1" customWidth="1"/>
    <col min="6" max="15" width="9.140625" style="125"/>
    <col min="16" max="16384" width="9.140625" style="4"/>
  </cols>
  <sheetData>
    <row r="1" spans="1:15" s="9" customFormat="1" ht="27.75" customHeight="1" x14ac:dyDescent="0.25">
      <c r="A1" s="5" t="s">
        <v>25</v>
      </c>
      <c r="B1" s="6" t="s">
        <v>18</v>
      </c>
      <c r="C1" s="7" t="s">
        <v>14</v>
      </c>
      <c r="D1" s="8" t="s">
        <v>61</v>
      </c>
      <c r="E1" s="8" t="s">
        <v>62</v>
      </c>
      <c r="F1" s="138">
        <f>'Detail Variance Report'!H1</f>
        <v>44320</v>
      </c>
      <c r="G1" s="138">
        <f>'Detail Variance Report'!I1</f>
        <v>44321</v>
      </c>
      <c r="H1" s="138">
        <f>'Detail Variance Report'!J1</f>
        <v>44322</v>
      </c>
      <c r="I1" s="138">
        <f>'Detail Variance Report'!K1</f>
        <v>44323</v>
      </c>
      <c r="J1" s="138">
        <f>'Detail Variance Report'!L1</f>
        <v>44324</v>
      </c>
      <c r="K1" s="138">
        <f>'Detail Variance Report'!M1</f>
        <v>44325</v>
      </c>
      <c r="L1" s="138">
        <f>'Detail Variance Report'!N1</f>
        <v>44326</v>
      </c>
      <c r="M1" s="138">
        <f>'Detail Variance Report'!O1</f>
        <v>44327</v>
      </c>
      <c r="N1" s="138">
        <f>'Detail Variance Report'!P1</f>
        <v>44328</v>
      </c>
      <c r="O1" s="138">
        <f>'Detail Variance Report'!Q1</f>
        <v>44329</v>
      </c>
    </row>
    <row r="2" spans="1:15" s="9" customFormat="1" ht="15" x14ac:dyDescent="0.25">
      <c r="A2" s="81">
        <v>2117</v>
      </c>
      <c r="B2" s="82">
        <v>2117</v>
      </c>
      <c r="C2" s="63" t="s">
        <v>131</v>
      </c>
      <c r="D2" s="10">
        <f>VLOOKUP(A2,'Detail Variance Report'!B:F,5,0)</f>
        <v>0</v>
      </c>
      <c r="E2" s="10">
        <f>VLOOKUP($A2,'Detail Variance Report'!B:E,4,0)-1</f>
        <v>-1</v>
      </c>
      <c r="F2" s="128" t="str">
        <f>VLOOKUP(TEXT($A2,0),[1]BankRecData!$B$1:$O$5542,13,0)</f>
        <v>No</v>
      </c>
      <c r="G2" s="128" t="str">
        <f>VLOOKUP(TEXT($A2,0),[2]BankRecData!$B$1:$O$5542,13,0)</f>
        <v>No</v>
      </c>
      <c r="H2" s="128" t="str">
        <f>VLOOKUP(TEXT($A2,0),[3]BankRecData!$B$1:$O$5542,13,0)</f>
        <v>No</v>
      </c>
      <c r="I2" s="128" t="str">
        <f>VLOOKUP(TEXT($A2,0),[4]BankRecData!$B$1:$O$5542,13,0)</f>
        <v>No</v>
      </c>
      <c r="J2" s="128" t="str">
        <f>VLOOKUP(TEXT($A2,0),[5]BankRecData!$B$1:$O$5542,13,0)</f>
        <v>No</v>
      </c>
      <c r="K2" s="128" t="str">
        <f>VLOOKUP(TEXT($A2,0),[6]BankRecData!$B$1:$O$5542,13,0)</f>
        <v>No</v>
      </c>
      <c r="L2" s="128" t="str">
        <f>VLOOKUP(TEXT($A2,0),[7]BankRecData!$B$1:$O$5542,13,0)</f>
        <v>No</v>
      </c>
      <c r="M2" s="128" t="str">
        <f>VLOOKUP(TEXT($A2,0),[8]BankRecData!$B$1:$O$5542,13,0)</f>
        <v>No</v>
      </c>
      <c r="N2" s="128" t="str">
        <f>VLOOKUP(TEXT($A2,0),[9]BankRecData!$B$1:$O$5542,13,0)</f>
        <v>No</v>
      </c>
      <c r="O2" s="128" t="str">
        <f>VLOOKUP(TEXT($A2,0),[10]BankRecData!$B$1:$O$5542,13,0)</f>
        <v>No</v>
      </c>
    </row>
    <row r="3" spans="1:15" s="9" customFormat="1" ht="15" customHeight="1" x14ac:dyDescent="0.25">
      <c r="A3" s="81">
        <v>2118</v>
      </c>
      <c r="B3" s="82">
        <v>2118</v>
      </c>
      <c r="C3" s="63" t="s">
        <v>127</v>
      </c>
      <c r="D3" s="10">
        <f>VLOOKUP(A3,'Detail Variance Report'!B:F,5,0)</f>
        <v>0</v>
      </c>
      <c r="E3" s="10">
        <f>VLOOKUP($A3,'Detail Variance Report'!B:E,4,0)-1</f>
        <v>-1</v>
      </c>
      <c r="F3" s="128" t="str">
        <f>VLOOKUP(TEXT($A3,0),[1]BankRecData!$B$1:$O$5542,13,0)</f>
        <v>No</v>
      </c>
      <c r="G3" s="128" t="str">
        <f>VLOOKUP(TEXT($A3,0),[2]BankRecData!$B$1:$O$5542,13,0)</f>
        <v>No</v>
      </c>
      <c r="H3" s="128" t="str">
        <f>VLOOKUP(TEXT($A3,0),[3]BankRecData!$B$1:$O$5542,13,0)</f>
        <v>No</v>
      </c>
      <c r="I3" s="128" t="str">
        <f>VLOOKUP(TEXT($A3,0),[4]BankRecData!$B$1:$O$5542,13,0)</f>
        <v>No</v>
      </c>
      <c r="J3" s="128" t="str">
        <f>VLOOKUP(TEXT($A3,0),[5]BankRecData!$B$1:$O$5542,13,0)</f>
        <v>No</v>
      </c>
      <c r="K3" s="128" t="str">
        <f>VLOOKUP(TEXT($A3,0),[6]BankRecData!$B$1:$O$5542,13,0)</f>
        <v>No</v>
      </c>
      <c r="L3" s="128" t="str">
        <f>VLOOKUP(TEXT($A3,0),[7]BankRecData!$B$1:$O$5542,13,0)</f>
        <v>No</v>
      </c>
      <c r="M3" s="128" t="str">
        <f>VLOOKUP(TEXT($A3,0),[8]BankRecData!$B$1:$O$5542,13,0)</f>
        <v>No</v>
      </c>
      <c r="N3" s="128" t="str">
        <f>VLOOKUP(TEXT($A3,0),[9]BankRecData!$B$1:$O$5542,13,0)</f>
        <v>No</v>
      </c>
      <c r="O3" s="128" t="str">
        <f>VLOOKUP(TEXT($A3,0),[10]BankRecData!$B$1:$O$5542,13,0)</f>
        <v>No</v>
      </c>
    </row>
    <row r="4" spans="1:15" s="9" customFormat="1" ht="15" customHeight="1" x14ac:dyDescent="0.25">
      <c r="A4" s="81">
        <v>2119</v>
      </c>
      <c r="B4" s="82">
        <v>2119</v>
      </c>
      <c r="C4" s="63" t="s">
        <v>130</v>
      </c>
      <c r="D4" s="10">
        <f>VLOOKUP(A4,'Detail Variance Report'!B:F,5,0)</f>
        <v>0</v>
      </c>
      <c r="E4" s="10">
        <f>VLOOKUP($A4,'Detail Variance Report'!B:E,4,0)-1</f>
        <v>-1</v>
      </c>
      <c r="F4" s="128" t="str">
        <f>VLOOKUP(TEXT($A4,0),[1]BankRecData!$B$1:$O$5542,13,0)</f>
        <v>No</v>
      </c>
      <c r="G4" s="128" t="str">
        <f>VLOOKUP(TEXT($A4,0),[2]BankRecData!$B$1:$O$5542,13,0)</f>
        <v>No</v>
      </c>
      <c r="H4" s="128" t="str">
        <f>VLOOKUP(TEXT($A4,0),[3]BankRecData!$B$1:$O$5542,13,0)</f>
        <v>No</v>
      </c>
      <c r="I4" s="128" t="str">
        <f>VLOOKUP(TEXT($A4,0),[4]BankRecData!$B$1:$O$5542,13,0)</f>
        <v>No</v>
      </c>
      <c r="J4" s="128" t="str">
        <f>VLOOKUP(TEXT($A4,0),[5]BankRecData!$B$1:$O$5542,13,0)</f>
        <v>No</v>
      </c>
      <c r="K4" s="128" t="str">
        <f>VLOOKUP(TEXT($A4,0),[6]BankRecData!$B$1:$O$5542,13,0)</f>
        <v>No</v>
      </c>
      <c r="L4" s="128" t="str">
        <f>VLOOKUP(TEXT($A4,0),[7]BankRecData!$B$1:$O$5542,13,0)</f>
        <v>No</v>
      </c>
      <c r="M4" s="128" t="str">
        <f>VLOOKUP(TEXT($A4,0),[8]BankRecData!$B$1:$O$5542,13,0)</f>
        <v>No</v>
      </c>
      <c r="N4" s="128" t="str">
        <f>VLOOKUP(TEXT($A4,0),[9]BankRecData!$B$1:$O$5542,13,0)</f>
        <v>No</v>
      </c>
      <c r="O4" s="128" t="str">
        <f>VLOOKUP(TEXT($A4,0),[10]BankRecData!$B$1:$O$5542,13,0)</f>
        <v>No</v>
      </c>
    </row>
    <row r="5" spans="1:15" ht="15" x14ac:dyDescent="0.25">
      <c r="A5" s="81">
        <v>2137</v>
      </c>
      <c r="B5" s="82">
        <v>137</v>
      </c>
      <c r="C5" s="11" t="s">
        <v>77</v>
      </c>
      <c r="D5" s="10">
        <f>VLOOKUP(A5,'Detail Variance Report'!B:F,5,0)</f>
        <v>0</v>
      </c>
      <c r="E5" s="10">
        <f>VLOOKUP($A5,'Detail Variance Report'!B:E,4,0)-1</f>
        <v>-1</v>
      </c>
      <c r="F5" s="128" t="str">
        <f>VLOOKUP(TEXT($A5,0),[1]BankRecData!$B$1:$O$5542,13,0)</f>
        <v>No</v>
      </c>
      <c r="G5" s="128" t="str">
        <f>VLOOKUP(TEXT($A5,0),[2]BankRecData!$B$1:$O$5542,13,0)</f>
        <v>No</v>
      </c>
      <c r="H5" s="128" t="str">
        <f>VLOOKUP(TEXT($A5,0),[3]BankRecData!$B$1:$O$5542,13,0)</f>
        <v>No</v>
      </c>
      <c r="I5" s="128" t="str">
        <f>VLOOKUP(TEXT($A5,0),[4]BankRecData!$B$1:$O$5542,13,0)</f>
        <v>No</v>
      </c>
      <c r="J5" s="128" t="str">
        <f>VLOOKUP(TEXT($A5,0),[5]BankRecData!$B$1:$O$5542,13,0)</f>
        <v>No</v>
      </c>
      <c r="K5" s="128" t="str">
        <f>VLOOKUP(TEXT($A5,0),[6]BankRecData!$B$1:$O$5542,13,0)</f>
        <v>No</v>
      </c>
      <c r="L5" s="128" t="str">
        <f>VLOOKUP(TEXT($A5,0),[7]BankRecData!$B$1:$O$5542,13,0)</f>
        <v>No</v>
      </c>
      <c r="M5" s="128" t="str">
        <f>VLOOKUP(TEXT($A5,0),[8]BankRecData!$B$1:$O$5542,13,0)</f>
        <v>No</v>
      </c>
      <c r="N5" s="128" t="str">
        <f>VLOOKUP(TEXT($A5,0),[9]BankRecData!$B$1:$O$5542,13,0)</f>
        <v>No</v>
      </c>
      <c r="O5" s="128" t="str">
        <f>VLOOKUP(TEXT($A5,0),[10]BankRecData!$B$1:$O$5542,13,0)</f>
        <v>No</v>
      </c>
    </row>
    <row r="6" spans="1:15" ht="15" x14ac:dyDescent="0.25">
      <c r="A6" s="81">
        <v>2230</v>
      </c>
      <c r="B6" s="82">
        <v>2230</v>
      </c>
      <c r="C6" s="11" t="s">
        <v>120</v>
      </c>
      <c r="D6" s="10">
        <f>VLOOKUP(A6,'Detail Variance Report'!B:F,5,0)</f>
        <v>0</v>
      </c>
      <c r="E6" s="10">
        <f>VLOOKUP($A6,'Detail Variance Report'!B:E,4,0)-1</f>
        <v>-1</v>
      </c>
      <c r="F6" s="128" t="str">
        <f>VLOOKUP(TEXT($A6,0),[1]BankRecData!$B$1:$O$5542,13,0)</f>
        <v>No</v>
      </c>
      <c r="G6" s="128" t="str">
        <f>VLOOKUP(TEXT($A6,0),[2]BankRecData!$B$1:$O$5542,13,0)</f>
        <v>No</v>
      </c>
      <c r="H6" s="128" t="str">
        <f>VLOOKUP(TEXT($A6,0),[3]BankRecData!$B$1:$O$5542,13,0)</f>
        <v>No</v>
      </c>
      <c r="I6" s="128" t="str">
        <f>VLOOKUP(TEXT($A6,0),[4]BankRecData!$B$1:$O$5542,13,0)</f>
        <v>No</v>
      </c>
      <c r="J6" s="128" t="str">
        <f>VLOOKUP(TEXT($A6,0),[5]BankRecData!$B$1:$O$5542,13,0)</f>
        <v>No</v>
      </c>
      <c r="K6" s="128" t="str">
        <f>VLOOKUP(TEXT($A6,0),[6]BankRecData!$B$1:$O$5542,13,0)</f>
        <v>No</v>
      </c>
      <c r="L6" s="128" t="str">
        <f>VLOOKUP(TEXT($A6,0),[7]BankRecData!$B$1:$O$5542,13,0)</f>
        <v>No</v>
      </c>
      <c r="M6" s="128" t="str">
        <f>VLOOKUP(TEXT($A6,0),[8]BankRecData!$B$1:$O$5542,13,0)</f>
        <v>No</v>
      </c>
      <c r="N6" s="128" t="str">
        <f>VLOOKUP(TEXT($A6,0),[9]BankRecData!$B$1:$O$5542,13,0)</f>
        <v>No</v>
      </c>
      <c r="O6" s="128" t="str">
        <f>VLOOKUP(TEXT($A6,0),[10]BankRecData!$B$1:$O$5542,13,0)</f>
        <v>No</v>
      </c>
    </row>
    <row r="7" spans="1:15" ht="15" x14ac:dyDescent="0.25">
      <c r="A7" s="81">
        <v>2231</v>
      </c>
      <c r="B7" s="82">
        <v>2231</v>
      </c>
      <c r="C7" s="11" t="s">
        <v>101</v>
      </c>
      <c r="D7" s="10">
        <f>VLOOKUP(A7,'Detail Variance Report'!B:F,5,0)</f>
        <v>0</v>
      </c>
      <c r="E7" s="10">
        <f>VLOOKUP($A7,'Detail Variance Report'!B:E,4,0)-1</f>
        <v>-1</v>
      </c>
      <c r="F7" s="128" t="str">
        <f>VLOOKUP(TEXT($A7,0),[1]BankRecData!$B$1:$O$5542,13,0)</f>
        <v>No</v>
      </c>
      <c r="G7" s="128" t="str">
        <f>VLOOKUP(TEXT($A7,0),[2]BankRecData!$B$1:$O$5542,13,0)</f>
        <v>No</v>
      </c>
      <c r="H7" s="128" t="str">
        <f>VLOOKUP(TEXT($A7,0),[3]BankRecData!$B$1:$O$5542,13,0)</f>
        <v>No</v>
      </c>
      <c r="I7" s="128" t="str">
        <f>VLOOKUP(TEXT($A7,0),[4]BankRecData!$B$1:$O$5542,13,0)</f>
        <v>No</v>
      </c>
      <c r="J7" s="128" t="str">
        <f>VLOOKUP(TEXT($A7,0),[5]BankRecData!$B$1:$O$5542,13,0)</f>
        <v>No</v>
      </c>
      <c r="K7" s="128" t="str">
        <f>VLOOKUP(TEXT($A7,0),[6]BankRecData!$B$1:$O$5542,13,0)</f>
        <v>No</v>
      </c>
      <c r="L7" s="128" t="str">
        <f>VLOOKUP(TEXT($A7,0),[7]BankRecData!$B$1:$O$5542,13,0)</f>
        <v>No</v>
      </c>
      <c r="M7" s="128" t="str">
        <f>VLOOKUP(TEXT($A7,0),[8]BankRecData!$B$1:$O$5542,13,0)</f>
        <v>No</v>
      </c>
      <c r="N7" s="128" t="str">
        <f>VLOOKUP(TEXT($A7,0),[9]BankRecData!$B$1:$O$5542,13,0)</f>
        <v>No</v>
      </c>
      <c r="O7" s="128" t="str">
        <f>VLOOKUP(TEXT($A7,0),[10]BankRecData!$B$1:$O$5542,13,0)</f>
        <v>No</v>
      </c>
    </row>
    <row r="8" spans="1:15" ht="15" x14ac:dyDescent="0.25">
      <c r="A8" s="81">
        <v>2450</v>
      </c>
      <c r="B8" s="82">
        <v>450</v>
      </c>
      <c r="C8" s="11" t="s">
        <v>69</v>
      </c>
      <c r="D8" s="10">
        <f>VLOOKUP(A8,'Detail Variance Report'!B:F,5,0)</f>
        <v>0</v>
      </c>
      <c r="E8" s="10">
        <f>VLOOKUP($A8,'Detail Variance Report'!B:E,4,0)-1</f>
        <v>-1</v>
      </c>
      <c r="F8" s="128" t="str">
        <f>VLOOKUP(TEXT($A8,0),[1]BankRecData!$B$1:$O$5542,13,0)</f>
        <v>No</v>
      </c>
      <c r="G8" s="128" t="str">
        <f>VLOOKUP(TEXT($A8,0),[2]BankRecData!$B$1:$O$5542,13,0)</f>
        <v>No</v>
      </c>
      <c r="H8" s="128" t="str">
        <f>VLOOKUP(TEXT($A8,0),[3]BankRecData!$B$1:$O$5542,13,0)</f>
        <v>No</v>
      </c>
      <c r="I8" s="128" t="str">
        <f>VLOOKUP(TEXT($A8,0),[4]BankRecData!$B$1:$O$5542,13,0)</f>
        <v>No</v>
      </c>
      <c r="J8" s="128" t="str">
        <f>VLOOKUP(TEXT($A8,0),[5]BankRecData!$B$1:$O$5542,13,0)</f>
        <v>No</v>
      </c>
      <c r="K8" s="128" t="str">
        <f>VLOOKUP(TEXT($A8,0),[6]BankRecData!$B$1:$O$5542,13,0)</f>
        <v>No</v>
      </c>
      <c r="L8" s="128" t="str">
        <f>VLOOKUP(TEXT($A8,0),[7]BankRecData!$B$1:$O$5542,13,0)</f>
        <v>No</v>
      </c>
      <c r="M8" s="128" t="str">
        <f>VLOOKUP(TEXT($A8,0),[8]BankRecData!$B$1:$O$5542,13,0)</f>
        <v>No</v>
      </c>
      <c r="N8" s="128" t="str">
        <f>VLOOKUP(TEXT($A8,0),[9]BankRecData!$B$1:$O$5542,13,0)</f>
        <v>No</v>
      </c>
      <c r="O8" s="128" t="str">
        <f>VLOOKUP(TEXT($A8,0),[10]BankRecData!$B$1:$O$5542,13,0)</f>
        <v>No</v>
      </c>
    </row>
    <row r="9" spans="1:15" ht="15" x14ac:dyDescent="0.25">
      <c r="A9" s="81">
        <v>2225</v>
      </c>
      <c r="B9" s="82">
        <v>2225</v>
      </c>
      <c r="C9" s="11" t="s">
        <v>142</v>
      </c>
      <c r="D9" s="10">
        <f>VLOOKUP(A9,'Detail Variance Report'!B:F,5,0)</f>
        <v>0</v>
      </c>
      <c r="E9" s="10">
        <f>VLOOKUP($A9,'Detail Variance Report'!B:E,4,0)-1</f>
        <v>-1</v>
      </c>
      <c r="F9" s="128" t="str">
        <f>VLOOKUP(TEXT($A9,0),[1]BankRecData!$B$1:$O$5542,13,0)</f>
        <v>No</v>
      </c>
      <c r="G9" s="128" t="str">
        <f>VLOOKUP(TEXT($A9,0),[2]BankRecData!$B$1:$O$5542,13,0)</f>
        <v>No</v>
      </c>
      <c r="H9" s="128" t="str">
        <f>VLOOKUP(TEXT($A9,0),[3]BankRecData!$B$1:$O$5542,13,0)</f>
        <v>No</v>
      </c>
      <c r="I9" s="128" t="str">
        <f>VLOOKUP(TEXT($A9,0),[4]BankRecData!$B$1:$O$5542,13,0)</f>
        <v>No</v>
      </c>
      <c r="J9" s="128" t="str">
        <f>VLOOKUP(TEXT($A9,0),[5]BankRecData!$B$1:$O$5542,13,0)</f>
        <v>No</v>
      </c>
      <c r="K9" s="128" t="str">
        <f>VLOOKUP(TEXT($A9,0),[6]BankRecData!$B$1:$O$5542,13,0)</f>
        <v>No</v>
      </c>
      <c r="L9" s="128" t="str">
        <f>VLOOKUP(TEXT($A9,0),[7]BankRecData!$B$1:$O$5542,13,0)</f>
        <v>No</v>
      </c>
      <c r="M9" s="128" t="str">
        <f>VLOOKUP(TEXT($A9,0),[8]BankRecData!$B$1:$O$5542,13,0)</f>
        <v>No</v>
      </c>
      <c r="N9" s="128" t="str">
        <f>VLOOKUP(TEXT($A9,0),[9]BankRecData!$B$1:$O$5542,13,0)</f>
        <v>No</v>
      </c>
      <c r="O9" s="128" t="str">
        <f>VLOOKUP(TEXT($A9,0),[10]BankRecData!$B$1:$O$5542,13,0)</f>
        <v>No</v>
      </c>
    </row>
    <row r="10" spans="1:15" ht="15" x14ac:dyDescent="0.25">
      <c r="A10" s="81">
        <v>3191</v>
      </c>
      <c r="B10" s="82">
        <v>19</v>
      </c>
      <c r="C10" s="11" t="s">
        <v>15</v>
      </c>
      <c r="D10" s="10">
        <f>VLOOKUP(A10,'Detail Variance Report'!B:F,5,0)</f>
        <v>0</v>
      </c>
      <c r="E10" s="10">
        <f>VLOOKUP($A10,'Detail Variance Report'!B:E,4,0)-1</f>
        <v>-1</v>
      </c>
      <c r="F10" s="128" t="str">
        <f>VLOOKUP(TEXT($A10,0),[1]BankRecData!$B$1:$O$5542,13,0)</f>
        <v>No</v>
      </c>
      <c r="G10" s="128" t="str">
        <f>VLOOKUP(TEXT($A10,0),[2]BankRecData!$B$1:$O$5542,13,0)</f>
        <v>No</v>
      </c>
      <c r="H10" s="128" t="str">
        <f>VLOOKUP(TEXT($A10,0),[3]BankRecData!$B$1:$O$5542,13,0)</f>
        <v>No</v>
      </c>
      <c r="I10" s="128" t="str">
        <f>VLOOKUP(TEXT($A10,0),[4]BankRecData!$B$1:$O$5542,13,0)</f>
        <v>No</v>
      </c>
      <c r="J10" s="128" t="str">
        <f>VLOOKUP(TEXT($A10,0),[5]BankRecData!$B$1:$O$5542,13,0)</f>
        <v>No</v>
      </c>
      <c r="K10" s="128" t="str">
        <f>VLOOKUP(TEXT($A10,0),[6]BankRecData!$B$1:$O$5542,13,0)</f>
        <v>No</v>
      </c>
      <c r="L10" s="128" t="str">
        <f>VLOOKUP(TEXT($A10,0),[7]BankRecData!$B$1:$O$5542,13,0)</f>
        <v>No</v>
      </c>
      <c r="M10" s="128" t="str">
        <f>VLOOKUP(TEXT($A10,0),[8]BankRecData!$B$1:$O$5542,13,0)</f>
        <v>No</v>
      </c>
      <c r="N10" s="128" t="str">
        <f>VLOOKUP(TEXT($A10,0),[9]BankRecData!$B$1:$O$5542,13,0)</f>
        <v>No</v>
      </c>
      <c r="O10" s="128" t="str">
        <f>VLOOKUP(TEXT($A10,0),[10]BankRecData!$B$1:$O$5542,13,0)</f>
        <v>No</v>
      </c>
    </row>
    <row r="11" spans="1:15" ht="15" x14ac:dyDescent="0.25">
      <c r="A11" s="81">
        <v>3175</v>
      </c>
      <c r="B11" s="82">
        <v>175</v>
      </c>
      <c r="C11" s="158" t="s">
        <v>65</v>
      </c>
      <c r="D11" s="10">
        <f>VLOOKUP(A11,'Detail Variance Report'!B:F,5,0)</f>
        <v>0</v>
      </c>
      <c r="E11" s="10">
        <f>VLOOKUP($A11,'Detail Variance Report'!B:E,4,0)-1</f>
        <v>-1</v>
      </c>
      <c r="F11" s="128" t="str">
        <f>VLOOKUP(TEXT($A11,0),[1]BankRecData!$B$1:$O$5542,13,0)</f>
        <v>No</v>
      </c>
      <c r="G11" s="128" t="str">
        <f>VLOOKUP(TEXT($A11,0),[2]BankRecData!$B$1:$O$5542,13,0)</f>
        <v>No</v>
      </c>
      <c r="H11" s="128" t="str">
        <f>VLOOKUP(TEXT($A11,0),[3]BankRecData!$B$1:$O$5542,13,0)</f>
        <v>No</v>
      </c>
      <c r="I11" s="128" t="str">
        <f>VLOOKUP(TEXT($A11,0),[4]BankRecData!$B$1:$O$5542,13,0)</f>
        <v>No</v>
      </c>
      <c r="J11" s="128" t="str">
        <f>VLOOKUP(TEXT($A11,0),[5]BankRecData!$B$1:$O$5542,13,0)</f>
        <v>No</v>
      </c>
      <c r="K11" s="128" t="str">
        <f>VLOOKUP(TEXT($A11,0),[6]BankRecData!$B$1:$O$5542,13,0)</f>
        <v>No</v>
      </c>
      <c r="L11" s="128" t="str">
        <f>VLOOKUP(TEXT($A11,0),[7]BankRecData!$B$1:$O$5542,13,0)</f>
        <v>No</v>
      </c>
      <c r="M11" s="128" t="str">
        <f>VLOOKUP(TEXT($A11,0),[8]BankRecData!$B$1:$O$5542,13,0)</f>
        <v>No</v>
      </c>
      <c r="N11" s="128" t="str">
        <f>VLOOKUP(TEXT($A11,0),[9]BankRecData!$B$1:$O$5542,13,0)</f>
        <v>No</v>
      </c>
      <c r="O11" s="128" t="str">
        <f>VLOOKUP(TEXT($A11,0),[10]BankRecData!$B$1:$O$5542,13,0)</f>
        <v>No</v>
      </c>
    </row>
    <row r="12" spans="1:15" ht="15" x14ac:dyDescent="0.25">
      <c r="A12" s="81">
        <v>4100</v>
      </c>
      <c r="B12" s="82">
        <v>100</v>
      </c>
      <c r="C12" s="11" t="s">
        <v>21</v>
      </c>
      <c r="D12" s="10">
        <f>VLOOKUP(A12,'Detail Variance Report'!B:F,5,0)</f>
        <v>0</v>
      </c>
      <c r="E12" s="10">
        <f>VLOOKUP($A12,'Detail Variance Report'!B:E,4,0)-1</f>
        <v>-1</v>
      </c>
      <c r="F12" s="128" t="str">
        <f>VLOOKUP(TEXT($A12,0),[1]BankRecData!$B$1:$O$5542,13,0)</f>
        <v>No</v>
      </c>
      <c r="G12" s="128" t="str">
        <f>VLOOKUP(TEXT($A12,0),[2]BankRecData!$B$1:$O$5542,13,0)</f>
        <v>No</v>
      </c>
      <c r="H12" s="128" t="str">
        <f>VLOOKUP(TEXT($A12,0),[3]BankRecData!$B$1:$O$5542,13,0)</f>
        <v>No</v>
      </c>
      <c r="I12" s="128" t="str">
        <f>VLOOKUP(TEXT($A12,0),[4]BankRecData!$B$1:$O$5542,13,0)</f>
        <v>No</v>
      </c>
      <c r="J12" s="128" t="str">
        <f>VLOOKUP(TEXT($A12,0),[5]BankRecData!$B$1:$O$5542,13,0)</f>
        <v>No</v>
      </c>
      <c r="K12" s="128" t="str">
        <f>VLOOKUP(TEXT($A12,0),[6]BankRecData!$B$1:$O$5542,13,0)</f>
        <v>No</v>
      </c>
      <c r="L12" s="128" t="str">
        <f>VLOOKUP(TEXT($A12,0),[7]BankRecData!$B$1:$O$5542,13,0)</f>
        <v>No</v>
      </c>
      <c r="M12" s="128" t="str">
        <f>VLOOKUP(TEXT($A12,0),[8]BankRecData!$B$1:$O$5542,13,0)</f>
        <v>No</v>
      </c>
      <c r="N12" s="128" t="str">
        <f>VLOOKUP(TEXT($A12,0),[9]BankRecData!$B$1:$O$5542,13,0)</f>
        <v>No</v>
      </c>
      <c r="O12" s="128" t="str">
        <f>VLOOKUP(TEXT($A12,0),[10]BankRecData!$B$1:$O$5542,13,0)</f>
        <v>No</v>
      </c>
    </row>
    <row r="13" spans="1:15" ht="15" x14ac:dyDescent="0.25">
      <c r="A13" s="81">
        <v>4101</v>
      </c>
      <c r="B13" s="82">
        <v>4101</v>
      </c>
      <c r="C13" s="11" t="s">
        <v>128</v>
      </c>
      <c r="D13" s="10">
        <f>VLOOKUP(A13,'Detail Variance Report'!B:F,5,0)</f>
        <v>0</v>
      </c>
      <c r="E13" s="10">
        <f>VLOOKUP($A13,'Detail Variance Report'!B:E,4,0)-1</f>
        <v>-1</v>
      </c>
      <c r="F13" s="128" t="str">
        <f>VLOOKUP(TEXT($A13,0),[1]BankRecData!$B$1:$O$5542,13,0)</f>
        <v>No</v>
      </c>
      <c r="G13" s="128" t="str">
        <f>VLOOKUP(TEXT($A13,0),[2]BankRecData!$B$1:$O$5542,13,0)</f>
        <v>No</v>
      </c>
      <c r="H13" s="128" t="str">
        <f>VLOOKUP(TEXT($A13,0),[3]BankRecData!$B$1:$O$5542,13,0)</f>
        <v>No</v>
      </c>
      <c r="I13" s="128" t="str">
        <f>VLOOKUP(TEXT($A13,0),[4]BankRecData!$B$1:$O$5542,13,0)</f>
        <v>No</v>
      </c>
      <c r="J13" s="128" t="str">
        <f>VLOOKUP(TEXT($A13,0),[5]BankRecData!$B$1:$O$5542,13,0)</f>
        <v>No</v>
      </c>
      <c r="K13" s="128" t="str">
        <f>VLOOKUP(TEXT($A13,0),[6]BankRecData!$B$1:$O$5542,13,0)</f>
        <v>No</v>
      </c>
      <c r="L13" s="128" t="str">
        <f>VLOOKUP(TEXT($A13,0),[7]BankRecData!$B$1:$O$5542,13,0)</f>
        <v>No</v>
      </c>
      <c r="M13" s="128" t="str">
        <f>VLOOKUP(TEXT($A13,0),[8]BankRecData!$B$1:$O$5542,13,0)</f>
        <v>No</v>
      </c>
      <c r="N13" s="128" t="str">
        <f>VLOOKUP(TEXT($A13,0),[9]BankRecData!$B$1:$O$5542,13,0)</f>
        <v>No</v>
      </c>
      <c r="O13" s="128" t="str">
        <f>VLOOKUP(TEXT($A13,0),[10]BankRecData!$B$1:$O$5542,13,0)</f>
        <v>No</v>
      </c>
    </row>
    <row r="14" spans="1:15" ht="15" x14ac:dyDescent="0.25">
      <c r="A14" s="81">
        <v>4102</v>
      </c>
      <c r="B14" s="82">
        <v>4102</v>
      </c>
      <c r="C14" s="11" t="s">
        <v>129</v>
      </c>
      <c r="D14" s="10">
        <f>VLOOKUP(A14,'Detail Variance Report'!B:F,5,0)</f>
        <v>0</v>
      </c>
      <c r="E14" s="10">
        <f>VLOOKUP($A14,'Detail Variance Report'!B:E,4,0)-1</f>
        <v>-1</v>
      </c>
      <c r="F14" s="128" t="str">
        <f>VLOOKUP(TEXT($A14,0),[1]BankRecData!$B$1:$O$5542,13,0)</f>
        <v>No</v>
      </c>
      <c r="G14" s="128" t="str">
        <f>VLOOKUP(TEXT($A14,0),[2]BankRecData!$B$1:$O$5542,13,0)</f>
        <v>No</v>
      </c>
      <c r="H14" s="128" t="str">
        <f>VLOOKUP(TEXT($A14,0),[3]BankRecData!$B$1:$O$5542,13,0)</f>
        <v>No</v>
      </c>
      <c r="I14" s="128" t="str">
        <f>VLOOKUP(TEXT($A14,0),[4]BankRecData!$B$1:$O$5542,13,0)</f>
        <v>No</v>
      </c>
      <c r="J14" s="128" t="str">
        <f>VLOOKUP(TEXT($A14,0),[5]BankRecData!$B$1:$O$5542,13,0)</f>
        <v>No</v>
      </c>
      <c r="K14" s="128" t="str">
        <f>VLOOKUP(TEXT($A14,0),[6]BankRecData!$B$1:$O$5542,13,0)</f>
        <v>No</v>
      </c>
      <c r="L14" s="128" t="str">
        <f>VLOOKUP(TEXT($A14,0),[7]BankRecData!$B$1:$O$5542,13,0)</f>
        <v>No</v>
      </c>
      <c r="M14" s="128" t="str">
        <f>VLOOKUP(TEXT($A14,0),[8]BankRecData!$B$1:$O$5542,13,0)</f>
        <v>No</v>
      </c>
      <c r="N14" s="128" t="str">
        <f>VLOOKUP(TEXT($A14,0),[9]BankRecData!$B$1:$O$5542,13,0)</f>
        <v>No</v>
      </c>
      <c r="O14" s="128" t="str">
        <f>VLOOKUP(TEXT($A14,0),[10]BankRecData!$B$1:$O$5542,13,0)</f>
        <v>No</v>
      </c>
    </row>
    <row r="15" spans="1:15" ht="15" x14ac:dyDescent="0.25">
      <c r="A15" s="81">
        <v>4104</v>
      </c>
      <c r="B15" s="82">
        <v>4104</v>
      </c>
      <c r="C15" s="11" t="s">
        <v>134</v>
      </c>
      <c r="D15" s="10">
        <f>VLOOKUP(A15,'Detail Variance Report'!B:F,5,0)</f>
        <v>0</v>
      </c>
      <c r="E15" s="10">
        <f>VLOOKUP($A15,'Detail Variance Report'!B:E,4,0)-1</f>
        <v>-1</v>
      </c>
      <c r="F15" s="128" t="str">
        <f>VLOOKUP(TEXT($A15,0),[1]BankRecData!$B$1:$O$5542,13,0)</f>
        <v>No</v>
      </c>
      <c r="G15" s="128" t="str">
        <f>VLOOKUP(TEXT($A15,0),[2]BankRecData!$B$1:$O$5542,13,0)</f>
        <v>No</v>
      </c>
      <c r="H15" s="128" t="str">
        <f>VLOOKUP(TEXT($A15,0),[3]BankRecData!$B$1:$O$5542,13,0)</f>
        <v>No</v>
      </c>
      <c r="I15" s="128" t="str">
        <f>VLOOKUP(TEXT($A15,0),[4]BankRecData!$B$1:$O$5542,13,0)</f>
        <v>No</v>
      </c>
      <c r="J15" s="128" t="str">
        <f>VLOOKUP(TEXT($A15,0),[5]BankRecData!$B$1:$O$5542,13,0)</f>
        <v>No</v>
      </c>
      <c r="K15" s="128" t="str">
        <f>VLOOKUP(TEXT($A15,0),[6]BankRecData!$B$1:$O$5542,13,0)</f>
        <v>No</v>
      </c>
      <c r="L15" s="128" t="str">
        <f>VLOOKUP(TEXT($A15,0),[7]BankRecData!$B$1:$O$5542,13,0)</f>
        <v>No</v>
      </c>
      <c r="M15" s="128" t="str">
        <f>VLOOKUP(TEXT($A15,0),[8]BankRecData!$B$1:$O$5542,13,0)</f>
        <v>No</v>
      </c>
      <c r="N15" s="128" t="str">
        <f>VLOOKUP(TEXT($A15,0),[9]BankRecData!$B$1:$O$5542,13,0)</f>
        <v>No</v>
      </c>
      <c r="O15" s="128" t="str">
        <f>VLOOKUP(TEXT($A15,0),[10]BankRecData!$B$1:$O$5542,13,0)</f>
        <v>No</v>
      </c>
    </row>
    <row r="16" spans="1:15" ht="15" x14ac:dyDescent="0.25">
      <c r="A16" s="81">
        <v>4106</v>
      </c>
      <c r="B16" s="82">
        <v>4106</v>
      </c>
      <c r="C16" s="11" t="s">
        <v>135</v>
      </c>
      <c r="D16" s="10">
        <f>VLOOKUP(A16,'Detail Variance Report'!B:F,5,0)</f>
        <v>0</v>
      </c>
      <c r="E16" s="10">
        <f>VLOOKUP($A16,'Detail Variance Report'!B:E,4,0)-1</f>
        <v>-1</v>
      </c>
      <c r="F16" s="128" t="str">
        <f>VLOOKUP(TEXT($A16,0),[1]BankRecData!$B$1:$O$5542,13,0)</f>
        <v>No</v>
      </c>
      <c r="G16" s="128" t="str">
        <f>VLOOKUP(TEXT($A16,0),[2]BankRecData!$B$1:$O$5542,13,0)</f>
        <v>No</v>
      </c>
      <c r="H16" s="128" t="str">
        <f>VLOOKUP(TEXT($A16,0),[3]BankRecData!$B$1:$O$5542,13,0)</f>
        <v>No</v>
      </c>
      <c r="I16" s="128" t="str">
        <f>VLOOKUP(TEXT($A16,0),[4]BankRecData!$B$1:$O$5542,13,0)</f>
        <v>No</v>
      </c>
      <c r="J16" s="128" t="str">
        <f>VLOOKUP(TEXT($A16,0),[5]BankRecData!$B$1:$O$5542,13,0)</f>
        <v>No</v>
      </c>
      <c r="K16" s="128" t="str">
        <f>VLOOKUP(TEXT($A16,0),[6]BankRecData!$B$1:$O$5542,13,0)</f>
        <v>No</v>
      </c>
      <c r="L16" s="128" t="str">
        <f>VLOOKUP(TEXT($A16,0),[7]BankRecData!$B$1:$O$5542,13,0)</f>
        <v>No</v>
      </c>
      <c r="M16" s="128" t="str">
        <f>VLOOKUP(TEXT($A16,0),[8]BankRecData!$B$1:$O$5542,13,0)</f>
        <v>No</v>
      </c>
      <c r="N16" s="128" t="str">
        <f>VLOOKUP(TEXT($A16,0),[9]BankRecData!$B$1:$O$5542,13,0)</f>
        <v>No</v>
      </c>
      <c r="O16" s="128" t="str">
        <f>VLOOKUP(TEXT($A16,0),[10]BankRecData!$B$1:$O$5542,13,0)</f>
        <v>No</v>
      </c>
    </row>
    <row r="17" spans="1:15" ht="15" x14ac:dyDescent="0.25">
      <c r="A17" s="81">
        <v>4107</v>
      </c>
      <c r="B17" s="82">
        <v>4107</v>
      </c>
      <c r="C17" s="11" t="s">
        <v>139</v>
      </c>
      <c r="D17" s="10">
        <f>VLOOKUP(A17,'Detail Variance Report'!B:F,5,0)</f>
        <v>0</v>
      </c>
      <c r="E17" s="10">
        <f>VLOOKUP($A17,'Detail Variance Report'!B:E,4,0)-1</f>
        <v>-1</v>
      </c>
      <c r="F17" s="128" t="str">
        <f>VLOOKUP(TEXT($A17,0),[1]BankRecData!$B$1:$O$5542,13,0)</f>
        <v>No</v>
      </c>
      <c r="G17" s="128" t="str">
        <f>VLOOKUP(TEXT($A17,0),[2]BankRecData!$B$1:$O$5542,13,0)</f>
        <v>No</v>
      </c>
      <c r="H17" s="128" t="str">
        <f>VLOOKUP(TEXT($A17,0),[3]BankRecData!$B$1:$O$5542,13,0)</f>
        <v>No</v>
      </c>
      <c r="I17" s="128" t="str">
        <f>VLOOKUP(TEXT($A17,0),[4]BankRecData!$B$1:$O$5542,13,0)</f>
        <v>No</v>
      </c>
      <c r="J17" s="128" t="str">
        <f>VLOOKUP(TEXT($A17,0),[5]BankRecData!$B$1:$O$5542,13,0)</f>
        <v>No</v>
      </c>
      <c r="K17" s="128" t="str">
        <f>VLOOKUP(TEXT($A17,0),[6]BankRecData!$B$1:$O$5542,13,0)</f>
        <v>No</v>
      </c>
      <c r="L17" s="128" t="str">
        <f>VLOOKUP(TEXT($A17,0),[7]BankRecData!$B$1:$O$5542,13,0)</f>
        <v>No</v>
      </c>
      <c r="M17" s="128" t="str">
        <f>VLOOKUP(TEXT($A17,0),[8]BankRecData!$B$1:$O$5542,13,0)</f>
        <v>No</v>
      </c>
      <c r="N17" s="128" t="str">
        <f>VLOOKUP(TEXT($A17,0),[9]BankRecData!$B$1:$O$5542,13,0)</f>
        <v>No</v>
      </c>
      <c r="O17" s="128" t="str">
        <f>VLOOKUP(TEXT($A17,0),[10]BankRecData!$B$1:$O$5542,13,0)</f>
        <v>No</v>
      </c>
    </row>
    <row r="18" spans="1:15" ht="15" x14ac:dyDescent="0.25">
      <c r="A18" s="81">
        <v>4108</v>
      </c>
      <c r="B18" s="82">
        <v>4108</v>
      </c>
      <c r="C18" s="11" t="s">
        <v>140</v>
      </c>
      <c r="D18" s="10">
        <f>VLOOKUP(A18,'Detail Variance Report'!B:F,5,0)</f>
        <v>0</v>
      </c>
      <c r="E18" s="10">
        <f>VLOOKUP($A18,'Detail Variance Report'!B:E,4,0)-1</f>
        <v>-1</v>
      </c>
      <c r="F18" s="128" t="str">
        <f>VLOOKUP(TEXT($A18,0),[1]BankRecData!$B$1:$O$5542,13,0)</f>
        <v>No</v>
      </c>
      <c r="G18" s="128" t="str">
        <f>VLOOKUP(TEXT($A18,0),[2]BankRecData!$B$1:$O$5542,13,0)</f>
        <v>No</v>
      </c>
      <c r="H18" s="128" t="str">
        <f>VLOOKUP(TEXT($A18,0),[3]BankRecData!$B$1:$O$5542,13,0)</f>
        <v>No</v>
      </c>
      <c r="I18" s="128" t="str">
        <f>VLOOKUP(TEXT($A18,0),[4]BankRecData!$B$1:$O$5542,13,0)</f>
        <v>No</v>
      </c>
      <c r="J18" s="128" t="str">
        <f>VLOOKUP(TEXT($A18,0),[5]BankRecData!$B$1:$O$5542,13,0)</f>
        <v>No</v>
      </c>
      <c r="K18" s="128" t="str">
        <f>VLOOKUP(TEXT($A18,0),[6]BankRecData!$B$1:$O$5542,13,0)</f>
        <v>No</v>
      </c>
      <c r="L18" s="128" t="str">
        <f>VLOOKUP(TEXT($A18,0),[7]BankRecData!$B$1:$O$5542,13,0)</f>
        <v>No</v>
      </c>
      <c r="M18" s="128" t="str">
        <f>VLOOKUP(TEXT($A18,0),[8]BankRecData!$B$1:$O$5542,13,0)</f>
        <v>No</v>
      </c>
      <c r="N18" s="128" t="str">
        <f>VLOOKUP(TEXT($A18,0),[9]BankRecData!$B$1:$O$5542,13,0)</f>
        <v>No</v>
      </c>
      <c r="O18" s="128" t="str">
        <f>VLOOKUP(TEXT($A18,0),[10]BankRecData!$B$1:$O$5542,13,0)</f>
        <v>No</v>
      </c>
    </row>
    <row r="19" spans="1:15" ht="15" x14ac:dyDescent="0.25">
      <c r="A19" s="81">
        <v>4109</v>
      </c>
      <c r="B19" s="82">
        <v>4109</v>
      </c>
      <c r="C19" s="11" t="s">
        <v>136</v>
      </c>
      <c r="D19" s="10">
        <f>VLOOKUP(A19,'Detail Variance Report'!B:F,5,0)</f>
        <v>0</v>
      </c>
      <c r="E19" s="10">
        <f>VLOOKUP($A19,'Detail Variance Report'!B:E,4,0)-1</f>
        <v>-1</v>
      </c>
      <c r="F19" s="128" t="str">
        <f>VLOOKUP(TEXT($A19,0),[1]BankRecData!$B$1:$O$5542,13,0)</f>
        <v>No</v>
      </c>
      <c r="G19" s="128" t="str">
        <f>VLOOKUP(TEXT($A19,0),[2]BankRecData!$B$1:$O$5542,13,0)</f>
        <v>No</v>
      </c>
      <c r="H19" s="128" t="str">
        <f>VLOOKUP(TEXT($A19,0),[3]BankRecData!$B$1:$O$5542,13,0)</f>
        <v>No</v>
      </c>
      <c r="I19" s="128" t="str">
        <f>VLOOKUP(TEXT($A19,0),[4]BankRecData!$B$1:$O$5542,13,0)</f>
        <v>No</v>
      </c>
      <c r="J19" s="128" t="str">
        <f>VLOOKUP(TEXT($A19,0),[5]BankRecData!$B$1:$O$5542,13,0)</f>
        <v>No</v>
      </c>
      <c r="K19" s="128" t="str">
        <f>VLOOKUP(TEXT($A19,0),[6]BankRecData!$B$1:$O$5542,13,0)</f>
        <v>No</v>
      </c>
      <c r="L19" s="128" t="str">
        <f>VLOOKUP(TEXT($A19,0),[7]BankRecData!$B$1:$O$5542,13,0)</f>
        <v>No</v>
      </c>
      <c r="M19" s="128" t="str">
        <f>VLOOKUP(TEXT($A19,0),[8]BankRecData!$B$1:$O$5542,13,0)</f>
        <v>No</v>
      </c>
      <c r="N19" s="128" t="str">
        <f>VLOOKUP(TEXT($A19,0),[9]BankRecData!$B$1:$O$5542,13,0)</f>
        <v>No</v>
      </c>
      <c r="O19" s="128" t="str">
        <f>VLOOKUP(TEXT($A19,0),[10]BankRecData!$B$1:$O$5542,13,0)</f>
        <v>No</v>
      </c>
    </row>
    <row r="20" spans="1:15" ht="15" x14ac:dyDescent="0.25">
      <c r="A20" s="81">
        <v>4110</v>
      </c>
      <c r="B20" s="82">
        <v>4110</v>
      </c>
      <c r="C20" s="11" t="s">
        <v>137</v>
      </c>
      <c r="D20" s="10">
        <f>VLOOKUP(A20,'Detail Variance Report'!B:F,5,0)</f>
        <v>0</v>
      </c>
      <c r="E20" s="10">
        <f>VLOOKUP($A20,'Detail Variance Report'!B:E,4,0)-1</f>
        <v>-1</v>
      </c>
      <c r="F20" s="128" t="str">
        <f>VLOOKUP(TEXT($A20,0),[1]BankRecData!$B$1:$O$5542,13,0)</f>
        <v>No</v>
      </c>
      <c r="G20" s="128" t="str">
        <f>VLOOKUP(TEXT($A20,0),[2]BankRecData!$B$1:$O$5542,13,0)</f>
        <v>No</v>
      </c>
      <c r="H20" s="128" t="str">
        <f>VLOOKUP(TEXT($A20,0),[3]BankRecData!$B$1:$O$5542,13,0)</f>
        <v>No</v>
      </c>
      <c r="I20" s="128" t="str">
        <f>VLOOKUP(TEXT($A20,0),[4]BankRecData!$B$1:$O$5542,13,0)</f>
        <v>No</v>
      </c>
      <c r="J20" s="128" t="str">
        <f>VLOOKUP(TEXT($A20,0),[5]BankRecData!$B$1:$O$5542,13,0)</f>
        <v>No</v>
      </c>
      <c r="K20" s="128" t="str">
        <f>VLOOKUP(TEXT($A20,0),[6]BankRecData!$B$1:$O$5542,13,0)</f>
        <v>No</v>
      </c>
      <c r="L20" s="128" t="str">
        <f>VLOOKUP(TEXT($A20,0),[7]BankRecData!$B$1:$O$5542,13,0)</f>
        <v>No</v>
      </c>
      <c r="M20" s="128" t="str">
        <f>VLOOKUP(TEXT($A20,0),[8]BankRecData!$B$1:$O$5542,13,0)</f>
        <v>No</v>
      </c>
      <c r="N20" s="128" t="str">
        <f>VLOOKUP(TEXT($A20,0),[9]BankRecData!$B$1:$O$5542,13,0)</f>
        <v>No</v>
      </c>
      <c r="O20" s="128" t="str">
        <f>VLOOKUP(TEXT($A20,0),[10]BankRecData!$B$1:$O$5542,13,0)</f>
        <v>No</v>
      </c>
    </row>
    <row r="21" spans="1:15" ht="15" x14ac:dyDescent="0.25">
      <c r="A21" s="81">
        <v>4170</v>
      </c>
      <c r="B21" s="82">
        <v>170</v>
      </c>
      <c r="C21" s="64" t="s">
        <v>64</v>
      </c>
      <c r="D21" s="10">
        <f>VLOOKUP(A21,'Detail Variance Report'!B:F,5,0)</f>
        <v>0</v>
      </c>
      <c r="E21" s="10">
        <f>VLOOKUP($A21,'Detail Variance Report'!B:E,4,0)-1</f>
        <v>-1</v>
      </c>
      <c r="F21" s="128" t="str">
        <f>VLOOKUP(TEXT($A21,0),[1]BankRecData!$B$1:$O$5542,13,0)</f>
        <v>No</v>
      </c>
      <c r="G21" s="128" t="str">
        <f>VLOOKUP(TEXT($A21,0),[2]BankRecData!$B$1:$O$5542,13,0)</f>
        <v>No</v>
      </c>
      <c r="H21" s="128" t="str">
        <f>VLOOKUP(TEXT($A21,0),[3]BankRecData!$B$1:$O$5542,13,0)</f>
        <v>No</v>
      </c>
      <c r="I21" s="128" t="str">
        <f>VLOOKUP(TEXT($A21,0),[4]BankRecData!$B$1:$O$5542,13,0)</f>
        <v>No</v>
      </c>
      <c r="J21" s="128" t="str">
        <f>VLOOKUP(TEXT($A21,0),[5]BankRecData!$B$1:$O$5542,13,0)</f>
        <v>No</v>
      </c>
      <c r="K21" s="128" t="str">
        <f>VLOOKUP(TEXT($A21,0),[6]BankRecData!$B$1:$O$5542,13,0)</f>
        <v>No</v>
      </c>
      <c r="L21" s="128" t="str">
        <f>VLOOKUP(TEXT($A21,0),[7]BankRecData!$B$1:$O$5542,13,0)</f>
        <v>No</v>
      </c>
      <c r="M21" s="128" t="str">
        <f>VLOOKUP(TEXT($A21,0),[8]BankRecData!$B$1:$O$5542,13,0)</f>
        <v>No</v>
      </c>
      <c r="N21" s="128" t="str">
        <f>VLOOKUP(TEXT($A21,0),[9]BankRecData!$B$1:$O$5542,13,0)</f>
        <v>No</v>
      </c>
      <c r="O21" s="128" t="str">
        <f>VLOOKUP(TEXT($A21,0),[10]BankRecData!$B$1:$O$5542,13,0)</f>
        <v>No</v>
      </c>
    </row>
    <row r="22" spans="1:15" ht="15" x14ac:dyDescent="0.25">
      <c r="A22" s="81">
        <v>4770</v>
      </c>
      <c r="B22" s="82">
        <v>70</v>
      </c>
      <c r="C22" s="11" t="s">
        <v>2</v>
      </c>
      <c r="D22" s="10">
        <f>VLOOKUP(A22,'Detail Variance Report'!B:F,5,0)</f>
        <v>0</v>
      </c>
      <c r="E22" s="10">
        <f>VLOOKUP($A22,'Detail Variance Report'!B:E,4,0)-1</f>
        <v>-1</v>
      </c>
      <c r="F22" s="128" t="str">
        <f>VLOOKUP(TEXT($A22,0),[1]BankRecData!$B$1:$O$5542,13,0)</f>
        <v>No</v>
      </c>
      <c r="G22" s="128" t="str">
        <f>VLOOKUP(TEXT($A22,0),[2]BankRecData!$B$1:$O$5542,13,0)</f>
        <v>No</v>
      </c>
      <c r="H22" s="128" t="str">
        <f>VLOOKUP(TEXT($A22,0),[3]BankRecData!$B$1:$O$5542,13,0)</f>
        <v>No</v>
      </c>
      <c r="I22" s="128" t="str">
        <f>VLOOKUP(TEXT($A22,0),[4]BankRecData!$B$1:$O$5542,13,0)</f>
        <v>No</v>
      </c>
      <c r="J22" s="128" t="str">
        <f>VLOOKUP(TEXT($A22,0),[5]BankRecData!$B$1:$O$5542,13,0)</f>
        <v>No</v>
      </c>
      <c r="K22" s="128" t="str">
        <f>VLOOKUP(TEXT($A22,0),[6]BankRecData!$B$1:$O$5542,13,0)</f>
        <v>No</v>
      </c>
      <c r="L22" s="128" t="str">
        <f>VLOOKUP(TEXT($A22,0),[7]BankRecData!$B$1:$O$5542,13,0)</f>
        <v>No</v>
      </c>
      <c r="M22" s="128" t="str">
        <f>VLOOKUP(TEXT($A22,0),[8]BankRecData!$B$1:$O$5542,13,0)</f>
        <v>No</v>
      </c>
      <c r="N22" s="128" t="str">
        <f>VLOOKUP(TEXT($A22,0),[9]BankRecData!$B$1:$O$5542,13,0)</f>
        <v>No</v>
      </c>
      <c r="O22" s="128" t="str">
        <f>VLOOKUP(TEXT($A22,0),[10]BankRecData!$B$1:$O$5542,13,0)</f>
        <v>No</v>
      </c>
    </row>
    <row r="23" spans="1:15" ht="15" x14ac:dyDescent="0.25">
      <c r="A23" s="81">
        <v>6087</v>
      </c>
      <c r="B23" s="82">
        <v>87</v>
      </c>
      <c r="C23" s="159" t="s">
        <v>67</v>
      </c>
      <c r="D23" s="10">
        <f>VLOOKUP(A23,'Detail Variance Report'!B:F,5,0)</f>
        <v>0</v>
      </c>
      <c r="E23" s="10">
        <f>VLOOKUP($A23,'Detail Variance Report'!B:E,4,0)-1</f>
        <v>-1</v>
      </c>
      <c r="F23" s="128" t="str">
        <f>VLOOKUP(TEXT($A23,0),[1]BankRecData!$B$1:$O$5542,13,0)</f>
        <v>No</v>
      </c>
      <c r="G23" s="128" t="str">
        <f>VLOOKUP(TEXT($A23,0),[2]BankRecData!$B$1:$O$5542,13,0)</f>
        <v>No</v>
      </c>
      <c r="H23" s="128" t="str">
        <f>VLOOKUP(TEXT($A23,0),[3]BankRecData!$B$1:$O$5542,13,0)</f>
        <v>No</v>
      </c>
      <c r="I23" s="128" t="str">
        <f>VLOOKUP(TEXT($A23,0),[4]BankRecData!$B$1:$O$5542,13,0)</f>
        <v>No</v>
      </c>
      <c r="J23" s="128" t="str">
        <f>VLOOKUP(TEXT($A23,0),[5]BankRecData!$B$1:$O$5542,13,0)</f>
        <v>No</v>
      </c>
      <c r="K23" s="128" t="str">
        <f>VLOOKUP(TEXT($A23,0),[6]BankRecData!$B$1:$O$5542,13,0)</f>
        <v>No</v>
      </c>
      <c r="L23" s="128" t="str">
        <f>VLOOKUP(TEXT($A23,0),[7]BankRecData!$B$1:$O$5542,13,0)</f>
        <v>No</v>
      </c>
      <c r="M23" s="128" t="str">
        <f>VLOOKUP(TEXT($A23,0),[8]BankRecData!$B$1:$O$5542,13,0)</f>
        <v>No</v>
      </c>
      <c r="N23" s="128" t="str">
        <f>VLOOKUP(TEXT($A23,0),[9]BankRecData!$B$1:$O$5542,13,0)</f>
        <v>No</v>
      </c>
      <c r="O23" s="128" t="str">
        <f>VLOOKUP(TEXT($A23,0),[10]BankRecData!$B$1:$O$5542,13,0)</f>
        <v>No</v>
      </c>
    </row>
    <row r="24" spans="1:15" ht="15" customHeight="1" x14ac:dyDescent="0.25">
      <c r="A24" s="81">
        <v>6176</v>
      </c>
      <c r="B24" s="82">
        <v>6176</v>
      </c>
      <c r="C24" s="11" t="s">
        <v>24</v>
      </c>
      <c r="D24" s="10">
        <f>VLOOKUP(A24,'Detail Variance Report'!B:F,5,0)</f>
        <v>0</v>
      </c>
      <c r="E24" s="10">
        <f>VLOOKUP($A24,'Detail Variance Report'!B:E,4,0)-1</f>
        <v>-1</v>
      </c>
      <c r="F24" s="128" t="str">
        <f>VLOOKUP(TEXT($A24,0),[1]BankRecData!$B$1:$O$5542,13,0)</f>
        <v>No</v>
      </c>
      <c r="G24" s="128" t="str">
        <f>VLOOKUP(TEXT($A24,0),[2]BankRecData!$B$1:$O$5542,13,0)</f>
        <v>No</v>
      </c>
      <c r="H24" s="128" t="str">
        <f>VLOOKUP(TEXT($A24,0),[3]BankRecData!$B$1:$O$5542,13,0)</f>
        <v>No</v>
      </c>
      <c r="I24" s="128" t="str">
        <f>VLOOKUP(TEXT($A24,0),[4]BankRecData!$B$1:$O$5542,13,0)</f>
        <v>No</v>
      </c>
      <c r="J24" s="128" t="str">
        <f>VLOOKUP(TEXT($A24,0),[5]BankRecData!$B$1:$O$5542,13,0)</f>
        <v>No</v>
      </c>
      <c r="K24" s="128" t="str">
        <f>VLOOKUP(TEXT($A24,0),[6]BankRecData!$B$1:$O$5542,13,0)</f>
        <v>No</v>
      </c>
      <c r="L24" s="128" t="str">
        <f>VLOOKUP(TEXT($A24,0),[7]BankRecData!$B$1:$O$5542,13,0)</f>
        <v>No</v>
      </c>
      <c r="M24" s="128" t="str">
        <f>VLOOKUP(TEXT($A24,0),[8]BankRecData!$B$1:$O$5542,13,0)</f>
        <v>No</v>
      </c>
      <c r="N24" s="128" t="str">
        <f>VLOOKUP(TEXT($A24,0),[9]BankRecData!$B$1:$O$5542,13,0)</f>
        <v>No</v>
      </c>
      <c r="O24" s="128" t="str">
        <f>VLOOKUP(TEXT($A24,0),[10]BankRecData!$B$1:$O$5542,13,0)</f>
        <v>No</v>
      </c>
    </row>
    <row r="25" spans="1:15" ht="15" x14ac:dyDescent="0.25">
      <c r="A25" s="81">
        <v>7641</v>
      </c>
      <c r="B25" s="82">
        <v>64</v>
      </c>
      <c r="C25" s="11" t="s">
        <v>7</v>
      </c>
      <c r="D25" s="10">
        <f>VLOOKUP(A25,'Detail Variance Report'!B:F,5,0)</f>
        <v>0</v>
      </c>
      <c r="E25" s="10">
        <f>VLOOKUP($A25,'Detail Variance Report'!B:E,4,0)-1</f>
        <v>-1</v>
      </c>
      <c r="F25" s="128" t="str">
        <f>VLOOKUP(TEXT($A25,0),[1]BankRecData!$B$1:$O$5542,13,0)</f>
        <v>No</v>
      </c>
      <c r="G25" s="128" t="str">
        <f>VLOOKUP(TEXT($A25,0),[2]BankRecData!$B$1:$O$5542,13,0)</f>
        <v>No</v>
      </c>
      <c r="H25" s="128" t="str">
        <f>VLOOKUP(TEXT($A25,0),[3]BankRecData!$B$1:$O$5542,13,0)</f>
        <v>No</v>
      </c>
      <c r="I25" s="128" t="str">
        <f>VLOOKUP(TEXT($A25,0),[4]BankRecData!$B$1:$O$5542,13,0)</f>
        <v>No</v>
      </c>
      <c r="J25" s="128" t="str">
        <f>VLOOKUP(TEXT($A25,0),[5]BankRecData!$B$1:$O$5542,13,0)</f>
        <v>No</v>
      </c>
      <c r="K25" s="128" t="str">
        <f>VLOOKUP(TEXT($A25,0),[6]BankRecData!$B$1:$O$5542,13,0)</f>
        <v>No</v>
      </c>
      <c r="L25" s="128" t="str">
        <f>VLOOKUP(TEXT($A25,0),[7]BankRecData!$B$1:$O$5542,13,0)</f>
        <v>No</v>
      </c>
      <c r="M25" s="128" t="str">
        <f>VLOOKUP(TEXT($A25,0),[8]BankRecData!$B$1:$O$5542,13,0)</f>
        <v>Yes</v>
      </c>
      <c r="N25" s="128" t="str">
        <f>VLOOKUP(TEXT($A25,0),[9]BankRecData!$B$1:$O$5542,13,0)</f>
        <v>No</v>
      </c>
      <c r="O25" s="128" t="str">
        <f>VLOOKUP(TEXT($A25,0),[10]BankRecData!$B$1:$O$5542,13,0)</f>
        <v>No</v>
      </c>
    </row>
    <row r="26" spans="1:15" ht="15" x14ac:dyDescent="0.25">
      <c r="A26" s="81">
        <v>7078</v>
      </c>
      <c r="B26" s="82">
        <v>78</v>
      </c>
      <c r="C26" s="11" t="s">
        <v>10</v>
      </c>
      <c r="D26" s="10">
        <f>VLOOKUP(A26,'Detail Variance Report'!B:F,5,0)</f>
        <v>0</v>
      </c>
      <c r="E26" s="10">
        <f>VLOOKUP($A26,'Detail Variance Report'!B:E,4,0)-1</f>
        <v>-1</v>
      </c>
      <c r="F26" s="128" t="str">
        <f>VLOOKUP(TEXT($A26,0),[1]BankRecData!$B$1:$O$5542,13,0)</f>
        <v>No</v>
      </c>
      <c r="G26" s="128" t="str">
        <f>VLOOKUP(TEXT($A26,0),[2]BankRecData!$B$1:$O$5542,13,0)</f>
        <v>No</v>
      </c>
      <c r="H26" s="128" t="str">
        <f>VLOOKUP(TEXT($A26,0),[3]BankRecData!$B$1:$O$5542,13,0)</f>
        <v>No</v>
      </c>
      <c r="I26" s="128" t="str">
        <f>VLOOKUP(TEXT($A26,0),[4]BankRecData!$B$1:$O$5542,13,0)</f>
        <v>No</v>
      </c>
      <c r="J26" s="128" t="str">
        <f>VLOOKUP(TEXT($A26,0),[5]BankRecData!$B$1:$O$5542,13,0)</f>
        <v>No</v>
      </c>
      <c r="K26" s="128" t="str">
        <f>VLOOKUP(TEXT($A26,0),[6]BankRecData!$B$1:$O$5542,13,0)</f>
        <v>No</v>
      </c>
      <c r="L26" s="128" t="str">
        <f>VLOOKUP(TEXT($A26,0),[7]BankRecData!$B$1:$O$5542,13,0)</f>
        <v>No</v>
      </c>
      <c r="M26" s="128" t="str">
        <f>VLOOKUP(TEXT($A26,0),[8]BankRecData!$B$1:$O$5542,13,0)</f>
        <v>Yes</v>
      </c>
      <c r="N26" s="128" t="str">
        <f>VLOOKUP(TEXT($A26,0),[9]BankRecData!$B$1:$O$5542,13,0)</f>
        <v>No</v>
      </c>
      <c r="O26" s="128" t="str">
        <f>VLOOKUP(TEXT($A26,0),[10]BankRecData!$B$1:$O$5542,13,0)</f>
        <v>No</v>
      </c>
    </row>
    <row r="27" spans="1:15" ht="15" x14ac:dyDescent="0.25">
      <c r="A27" s="81">
        <v>7079</v>
      </c>
      <c r="B27" s="82">
        <v>79</v>
      </c>
      <c r="C27" s="11" t="s">
        <v>11</v>
      </c>
      <c r="D27" s="10">
        <f>VLOOKUP(A27,'Detail Variance Report'!B:F,5,0)</f>
        <v>0</v>
      </c>
      <c r="E27" s="10">
        <f>VLOOKUP($A27,'Detail Variance Report'!B:E,4,0)-1</f>
        <v>-1</v>
      </c>
      <c r="F27" s="128" t="str">
        <f>VLOOKUP(TEXT($A27,0),[1]BankRecData!$B$1:$O$5542,13,0)</f>
        <v>No</v>
      </c>
      <c r="G27" s="128" t="str">
        <f>VLOOKUP(TEXT($A27,0),[2]BankRecData!$B$1:$O$5542,13,0)</f>
        <v>No</v>
      </c>
      <c r="H27" s="128" t="str">
        <f>VLOOKUP(TEXT($A27,0),[3]BankRecData!$B$1:$O$5542,13,0)</f>
        <v>No</v>
      </c>
      <c r="I27" s="128" t="str">
        <f>VLOOKUP(TEXT($A27,0),[4]BankRecData!$B$1:$O$5542,13,0)</f>
        <v>No</v>
      </c>
      <c r="J27" s="128" t="str">
        <f>VLOOKUP(TEXT($A27,0),[5]BankRecData!$B$1:$O$5542,13,0)</f>
        <v>No</v>
      </c>
      <c r="K27" s="128" t="str">
        <f>VLOOKUP(TEXT($A27,0),[6]BankRecData!$B$1:$O$5542,13,0)</f>
        <v>No</v>
      </c>
      <c r="L27" s="128" t="str">
        <f>VLOOKUP(TEXT($A27,0),[7]BankRecData!$B$1:$O$5542,13,0)</f>
        <v>No</v>
      </c>
      <c r="M27" s="128" t="str">
        <f>VLOOKUP(TEXT($A27,0),[8]BankRecData!$B$1:$O$5542,13,0)</f>
        <v>Yes</v>
      </c>
      <c r="N27" s="128" t="str">
        <f>VLOOKUP(TEXT($A27,0),[9]BankRecData!$B$1:$O$5542,13,0)</f>
        <v>No</v>
      </c>
      <c r="O27" s="128" t="str">
        <f>VLOOKUP(TEXT($A27,0),[10]BankRecData!$B$1:$O$5542,13,0)</f>
        <v>No</v>
      </c>
    </row>
    <row r="28" spans="1:15" ht="15" x14ac:dyDescent="0.25">
      <c r="A28" s="81">
        <v>8305</v>
      </c>
      <c r="B28" s="82">
        <v>30</v>
      </c>
      <c r="C28" s="11" t="s">
        <v>29</v>
      </c>
      <c r="D28" s="10">
        <f>VLOOKUP(A28,'Detail Variance Report'!B:F,5,0)</f>
        <v>0</v>
      </c>
      <c r="E28" s="10">
        <f>VLOOKUP($A28,'Detail Variance Report'!B:E,4,0)-1</f>
        <v>-1</v>
      </c>
      <c r="F28" s="128" t="str">
        <f>VLOOKUP(TEXT($A28,0),[1]BankRecData!$B$1:$O$5542,13,0)</f>
        <v>No</v>
      </c>
      <c r="G28" s="128" t="str">
        <f>VLOOKUP(TEXT($A28,0),[2]BankRecData!$B$1:$O$5542,13,0)</f>
        <v>No</v>
      </c>
      <c r="H28" s="128" t="str">
        <f>VLOOKUP(TEXT($A28,0),[3]BankRecData!$B$1:$O$5542,13,0)</f>
        <v>No</v>
      </c>
      <c r="I28" s="128" t="str">
        <f>VLOOKUP(TEXT($A28,0),[4]BankRecData!$B$1:$O$5542,13,0)</f>
        <v>No</v>
      </c>
      <c r="J28" s="128" t="str">
        <f>VLOOKUP(TEXT($A28,0),[5]BankRecData!$B$1:$O$5542,13,0)</f>
        <v>No</v>
      </c>
      <c r="K28" s="128" t="str">
        <f>VLOOKUP(TEXT($A28,0),[6]BankRecData!$B$1:$O$5542,13,0)</f>
        <v>No</v>
      </c>
      <c r="L28" s="128" t="str">
        <f>VLOOKUP(TEXT($A28,0),[7]BankRecData!$B$1:$O$5542,13,0)</f>
        <v>No</v>
      </c>
      <c r="M28" s="128" t="str">
        <f>VLOOKUP(TEXT($A28,0),[8]BankRecData!$B$1:$O$5542,13,0)</f>
        <v>No</v>
      </c>
      <c r="N28" s="128" t="str">
        <f>VLOOKUP(TEXT($A28,0),[9]BankRecData!$B$1:$O$5542,13,0)</f>
        <v>No</v>
      </c>
      <c r="O28" s="128" t="str">
        <f>VLOOKUP(TEXT($A28,0),[10]BankRecData!$B$1:$O$5542,13,0)</f>
        <v>No</v>
      </c>
    </row>
    <row r="29" spans="1:15" ht="15" x14ac:dyDescent="0.25">
      <c r="A29" s="81">
        <v>8188</v>
      </c>
      <c r="B29" s="82">
        <v>188</v>
      </c>
      <c r="C29" s="159" t="s">
        <v>19</v>
      </c>
      <c r="D29" s="10">
        <f>VLOOKUP(A29,'Detail Variance Report'!B:F,5,0)</f>
        <v>0</v>
      </c>
      <c r="E29" s="10">
        <f>VLOOKUP($A29,'Detail Variance Report'!B:E,4,0)-1</f>
        <v>-1</v>
      </c>
      <c r="F29" s="128" t="str">
        <f>VLOOKUP(TEXT($A29,0),[1]BankRecData!$B$1:$O$5542,13,0)</f>
        <v>No</v>
      </c>
      <c r="G29" s="128" t="str">
        <f>VLOOKUP(TEXT($A29,0),[2]BankRecData!$B$1:$O$5542,13,0)</f>
        <v>No</v>
      </c>
      <c r="H29" s="128" t="str">
        <f>VLOOKUP(TEXT($A29,0),[3]BankRecData!$B$1:$O$5542,13,0)</f>
        <v>No</v>
      </c>
      <c r="I29" s="128" t="str">
        <f>VLOOKUP(TEXT($A29,0),[4]BankRecData!$B$1:$O$5542,13,0)</f>
        <v>No</v>
      </c>
      <c r="J29" s="128" t="str">
        <f>VLOOKUP(TEXT($A29,0),[5]BankRecData!$B$1:$O$5542,13,0)</f>
        <v>No</v>
      </c>
      <c r="K29" s="128" t="str">
        <f>VLOOKUP(TEXT($A29,0),[6]BankRecData!$B$1:$O$5542,13,0)</f>
        <v>No</v>
      </c>
      <c r="L29" s="128" t="str">
        <f>VLOOKUP(TEXT($A29,0),[7]BankRecData!$B$1:$O$5542,13,0)</f>
        <v>No</v>
      </c>
      <c r="M29" s="128" t="str">
        <f>VLOOKUP(TEXT($A29,0),[8]BankRecData!$B$1:$O$5542,13,0)</f>
        <v>No</v>
      </c>
      <c r="N29" s="128" t="str">
        <f>VLOOKUP(TEXT($A29,0),[9]BankRecData!$B$1:$O$5542,13,0)</f>
        <v>No</v>
      </c>
      <c r="O29" s="128" t="str">
        <f>VLOOKUP(TEXT($A29,0),[10]BankRecData!$B$1:$O$5542,13,0)</f>
        <v>No</v>
      </c>
    </row>
    <row r="60" spans="3:3" x14ac:dyDescent="0.2">
      <c r="C60" s="12"/>
    </row>
    <row r="61" spans="3:3" x14ac:dyDescent="0.2">
      <c r="C61" s="11"/>
    </row>
  </sheetData>
  <conditionalFormatting sqref="D2:D29">
    <cfRule type="cellIs" dxfId="360" priority="1213" operator="greaterThan">
      <formula>0</formula>
    </cfRule>
  </conditionalFormatting>
  <conditionalFormatting sqref="F2:F29">
    <cfRule type="containsText" dxfId="359" priority="96" operator="containsText" text="No">
      <formula>NOT(ISERROR(SEARCH("No",F2)))</formula>
    </cfRule>
  </conditionalFormatting>
  <conditionalFormatting sqref="G2:G29">
    <cfRule type="containsText" dxfId="358" priority="9" operator="containsText" text="No">
      <formula>NOT(ISERROR(SEARCH("No",G2)))</formula>
    </cfRule>
  </conditionalFormatting>
  <conditionalFormatting sqref="H2:H29">
    <cfRule type="containsText" dxfId="357" priority="8" operator="containsText" text="No">
      <formula>NOT(ISERROR(SEARCH("No",H2)))</formula>
    </cfRule>
  </conditionalFormatting>
  <conditionalFormatting sqref="I2:I29">
    <cfRule type="containsText" dxfId="356" priority="7" operator="containsText" text="No">
      <formula>NOT(ISERROR(SEARCH("No",I2)))</formula>
    </cfRule>
  </conditionalFormatting>
  <conditionalFormatting sqref="J2:J29">
    <cfRule type="containsText" dxfId="355" priority="6" operator="containsText" text="No">
      <formula>NOT(ISERROR(SEARCH("No",J2)))</formula>
    </cfRule>
  </conditionalFormatting>
  <conditionalFormatting sqref="K2:K29">
    <cfRule type="containsText" dxfId="354" priority="5" operator="containsText" text="No">
      <formula>NOT(ISERROR(SEARCH("No",K2)))</formula>
    </cfRule>
  </conditionalFormatting>
  <conditionalFormatting sqref="L2:L29">
    <cfRule type="containsText" dxfId="353" priority="4" operator="containsText" text="No">
      <formula>NOT(ISERROR(SEARCH("No",L2)))</formula>
    </cfRule>
  </conditionalFormatting>
  <conditionalFormatting sqref="M2:M29">
    <cfRule type="containsText" dxfId="352" priority="3" operator="containsText" text="No">
      <formula>NOT(ISERROR(SEARCH("No",M2)))</formula>
    </cfRule>
  </conditionalFormatting>
  <conditionalFormatting sqref="N2:N29">
    <cfRule type="containsText" dxfId="351" priority="2" operator="containsText" text="No">
      <formula>NOT(ISERROR(SEARCH("No",N2)))</formula>
    </cfRule>
  </conditionalFormatting>
  <conditionalFormatting sqref="O2:O29">
    <cfRule type="containsText" dxfId="350" priority="1" operator="containsText" text="No">
      <formula>NOT(ISERROR(SEARCH("No",O2)))</formula>
    </cfRule>
  </conditionalFormatting>
  <pageMargins left="0.74803149606299213" right="0.74803149606299213" top="0.98425196850393704" bottom="0.98425196850393704" header="0.51181102362204722" footer="0.51181102362204722"/>
  <pageSetup paperSize="8" scale="9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8" tint="0.39997558519241921"/>
  </sheetPr>
  <dimension ref="A1:P4"/>
  <sheetViews>
    <sheetView zoomScaleNormal="100" workbookViewId="0">
      <pane xSplit="1" ySplit="1" topLeftCell="B2" activePane="bottomRight" state="frozen"/>
      <selection activeCell="K26" sqref="K26"/>
      <selection pane="topRight" activeCell="K26" sqref="K26"/>
      <selection pane="bottomLeft" activeCell="K26" sqref="K26"/>
      <selection pane="bottomRight" activeCell="O23" sqref="O23"/>
    </sheetView>
  </sheetViews>
  <sheetFormatPr defaultColWidth="9.140625" defaultRowHeight="12.75" x14ac:dyDescent="0.2"/>
  <cols>
    <col min="1" max="1" width="6.7109375" style="100" customWidth="1"/>
    <col min="2" max="2" width="15.7109375" style="100" customWidth="1"/>
    <col min="3" max="3" width="10.140625" style="110" bestFit="1" customWidth="1"/>
    <col min="4" max="4" width="17.7109375" style="100" customWidth="1"/>
    <col min="5" max="5" width="10.140625" style="100" bestFit="1" customWidth="1"/>
    <col min="6" max="6" width="10.7109375" style="100" customWidth="1"/>
    <col min="7" max="7" width="11.28515625" style="100" bestFit="1" customWidth="1"/>
    <col min="8" max="8" width="10.140625" style="100" bestFit="1" customWidth="1"/>
    <col min="9" max="9" width="12" style="68" bestFit="1" customWidth="1"/>
    <col min="10" max="10" width="10.140625" style="215" bestFit="1" customWidth="1"/>
    <col min="11" max="11" width="10.7109375" style="100" customWidth="1"/>
    <col min="12" max="12" width="9.85546875" style="100" bestFit="1" customWidth="1"/>
    <col min="13" max="13" width="9.42578125" style="100" bestFit="1" customWidth="1"/>
    <col min="14" max="14" width="11.28515625" style="100" bestFit="1" customWidth="1"/>
    <col min="15" max="15" width="7.28515625" style="100" bestFit="1" customWidth="1"/>
    <col min="16" max="16" width="11.28515625" style="100" bestFit="1" customWidth="1"/>
    <col min="17" max="18" width="9.140625" style="100"/>
    <col min="19" max="19" width="15.85546875" style="100" customWidth="1"/>
    <col min="20" max="16384" width="9.140625" style="100"/>
  </cols>
  <sheetData>
    <row r="1" spans="1:16" ht="33.75" customHeight="1" x14ac:dyDescent="0.2">
      <c r="A1" s="230" t="s">
        <v>78</v>
      </c>
      <c r="B1" s="231" t="s">
        <v>91</v>
      </c>
      <c r="C1" s="230" t="s">
        <v>92</v>
      </c>
      <c r="D1" s="230" t="s">
        <v>93</v>
      </c>
      <c r="E1" s="231" t="s">
        <v>94</v>
      </c>
      <c r="F1" s="231" t="s">
        <v>95</v>
      </c>
      <c r="G1" s="231" t="s">
        <v>96</v>
      </c>
      <c r="H1" s="232" t="s">
        <v>97</v>
      </c>
      <c r="I1" s="233" t="s">
        <v>727</v>
      </c>
      <c r="J1" s="311" t="s">
        <v>31</v>
      </c>
      <c r="K1" s="233" t="s">
        <v>728</v>
      </c>
      <c r="L1" s="233" t="str">
        <f t="shared" ref="L1" si="0">E1</f>
        <v>cash_deposit_amount</v>
      </c>
      <c r="M1" s="164" t="s">
        <v>148</v>
      </c>
      <c r="N1" s="234">
        <f>'Cash Drawer Variances'!M1</f>
        <v>44329</v>
      </c>
      <c r="O1" s="164" t="s">
        <v>147</v>
      </c>
      <c r="P1" s="234">
        <f ca="1">'Cash Drawer Variances'!O1</f>
        <v>44329.464303819441</v>
      </c>
    </row>
    <row r="2" spans="1:16" x14ac:dyDescent="0.2">
      <c r="A2" s="100" t="s">
        <v>228</v>
      </c>
      <c r="B2" s="100" t="s">
        <v>528</v>
      </c>
      <c r="C2" s="110" t="s">
        <v>723</v>
      </c>
      <c r="D2" s="100" t="s">
        <v>724</v>
      </c>
      <c r="E2" s="100">
        <v>6086.85</v>
      </c>
      <c r="F2" s="100">
        <v>0</v>
      </c>
      <c r="G2" s="100">
        <v>0</v>
      </c>
      <c r="H2" s="100">
        <v>6086.85</v>
      </c>
      <c r="I2" s="68" t="str">
        <f t="shared" ref="I2:I4" si="1">A2&amp;-H2</f>
        <v>7078-6086.85</v>
      </c>
      <c r="J2" s="221">
        <v>44326</v>
      </c>
      <c r="K2" s="100" t="str">
        <f t="shared" ref="K2:K4" si="2">A2&amp;-J2</f>
        <v>7078-44326</v>
      </c>
      <c r="L2" s="100">
        <f t="shared" ref="L2:L4" si="3">E2</f>
        <v>6086.85</v>
      </c>
    </row>
    <row r="3" spans="1:16" x14ac:dyDescent="0.2">
      <c r="A3" s="100" t="s">
        <v>231</v>
      </c>
      <c r="B3" s="100" t="s">
        <v>536</v>
      </c>
      <c r="C3" s="110" t="s">
        <v>723</v>
      </c>
      <c r="D3" s="100" t="s">
        <v>725</v>
      </c>
      <c r="E3" s="100">
        <v>2083.6999999999998</v>
      </c>
      <c r="F3" s="100">
        <v>0</v>
      </c>
      <c r="G3" s="100">
        <v>0</v>
      </c>
      <c r="H3" s="100">
        <v>2083.6999999999998</v>
      </c>
      <c r="I3" s="68" t="str">
        <f t="shared" si="1"/>
        <v>7079-2083.7</v>
      </c>
      <c r="J3" s="221">
        <v>44326</v>
      </c>
      <c r="K3" s="100" t="str">
        <f t="shared" si="2"/>
        <v>7079-44326</v>
      </c>
      <c r="L3" s="100">
        <f t="shared" si="3"/>
        <v>2083.6999999999998</v>
      </c>
    </row>
    <row r="4" spans="1:16" x14ac:dyDescent="0.2">
      <c r="A4" s="100" t="s">
        <v>233</v>
      </c>
      <c r="B4" s="100" t="s">
        <v>545</v>
      </c>
      <c r="C4" s="110" t="s">
        <v>723</v>
      </c>
      <c r="D4" s="100" t="s">
        <v>726</v>
      </c>
      <c r="E4" s="100">
        <v>1161.75</v>
      </c>
      <c r="F4" s="100">
        <v>0</v>
      </c>
      <c r="G4" s="100">
        <v>0</v>
      </c>
      <c r="H4" s="100">
        <v>1161.75</v>
      </c>
      <c r="I4" s="68" t="str">
        <f t="shared" si="1"/>
        <v>7641-1161.75</v>
      </c>
      <c r="J4" s="221">
        <v>44326</v>
      </c>
      <c r="K4" s="100" t="str">
        <f t="shared" si="2"/>
        <v>7641-44326</v>
      </c>
      <c r="L4" s="100">
        <f t="shared" si="3"/>
        <v>1161.75</v>
      </c>
    </row>
  </sheetData>
  <conditionalFormatting sqref="I1:I1048576">
    <cfRule type="duplicateValues" dxfId="349" priority="4"/>
  </conditionalFormatting>
  <conditionalFormatting sqref="K1:K1048576">
    <cfRule type="duplicateValues" dxfId="348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FetchBankDepositEntries">
                <anchor moveWithCells="1" sizeWithCells="1">
                  <from>
                    <xdr:col>16</xdr:col>
                    <xdr:colOff>28575</xdr:colOff>
                    <xdr:row>0</xdr:row>
                    <xdr:rowOff>114300</xdr:rowOff>
                  </from>
                  <to>
                    <xdr:col>16</xdr:col>
                    <xdr:colOff>571500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92D050"/>
    <pageSetUpPr fitToPage="1"/>
  </sheetPr>
  <dimension ref="A1:R758"/>
  <sheetViews>
    <sheetView zoomScaleNormal="100" workbookViewId="0">
      <pane ySplit="1" topLeftCell="A2" activePane="bottomLeft" state="frozen"/>
      <selection activeCell="D5" sqref="D5"/>
      <selection pane="bottomLeft" activeCell="D16" sqref="D16"/>
    </sheetView>
  </sheetViews>
  <sheetFormatPr defaultColWidth="9.140625" defaultRowHeight="12.75" x14ac:dyDescent="0.2"/>
  <cols>
    <col min="1" max="1" width="18.28515625" style="99" customWidth="1"/>
    <col min="2" max="2" width="16.140625" style="32" customWidth="1"/>
    <col min="3" max="3" width="34.7109375" style="99" customWidth="1"/>
    <col min="4" max="4" width="15.140625" style="99" bestFit="1" customWidth="1"/>
    <col min="5" max="6" width="9.140625" style="99"/>
    <col min="7" max="7" width="16.85546875" style="117" bestFit="1" customWidth="1"/>
    <col min="8" max="8" width="11.7109375" style="99" bestFit="1" customWidth="1"/>
    <col min="9" max="9" width="9.140625" style="99"/>
    <col min="10" max="10" width="16.85546875" style="28" hidden="1" customWidth="1"/>
    <col min="11" max="11" width="15.140625" style="28" hidden="1" customWidth="1"/>
    <col min="12" max="12" width="16.7109375" style="28" customWidth="1"/>
    <col min="13" max="13" width="10.28515625" style="99" customWidth="1"/>
    <col min="14" max="17" width="9.140625" style="28"/>
    <col min="18" max="18" width="14" style="99" bestFit="1" customWidth="1"/>
    <col min="19" max="16384" width="9.140625" style="28"/>
  </cols>
  <sheetData>
    <row r="1" spans="1:13" x14ac:dyDescent="0.2">
      <c r="A1" s="224" t="s">
        <v>43</v>
      </c>
      <c r="B1" s="225" t="s">
        <v>30</v>
      </c>
      <c r="C1" s="224" t="s">
        <v>44</v>
      </c>
      <c r="D1" s="224" t="s">
        <v>45</v>
      </c>
      <c r="E1" s="224" t="s">
        <v>46</v>
      </c>
      <c r="F1" s="224" t="s">
        <v>47</v>
      </c>
      <c r="G1" s="226" t="s">
        <v>48</v>
      </c>
      <c r="H1" s="224"/>
      <c r="I1" s="137" t="s">
        <v>25</v>
      </c>
      <c r="J1" s="30" t="s">
        <v>30</v>
      </c>
      <c r="K1" s="30" t="s">
        <v>41</v>
      </c>
      <c r="L1" s="30" t="s">
        <v>50</v>
      </c>
      <c r="M1" s="102" t="s">
        <v>42</v>
      </c>
    </row>
    <row r="2" spans="1:13" x14ac:dyDescent="0.2">
      <c r="A2" s="227" t="s">
        <v>116</v>
      </c>
      <c r="B2" s="228">
        <v>42949</v>
      </c>
      <c r="C2" s="227" t="s">
        <v>117</v>
      </c>
      <c r="D2" s="227">
        <v>175</v>
      </c>
      <c r="E2" s="227" t="s">
        <v>100</v>
      </c>
      <c r="F2" s="227"/>
      <c r="G2" s="229">
        <v>3277.85</v>
      </c>
      <c r="H2" s="227"/>
      <c r="I2" s="101">
        <f>VLOOKUP(D2,'RMS codes'!$A:$B,2,0)</f>
        <v>3175</v>
      </c>
      <c r="J2" s="25"/>
      <c r="K2" s="25"/>
      <c r="L2" s="28" t="str">
        <f t="shared" ref="L2" si="0">I2&amp;-G2</f>
        <v>3175-3277.85</v>
      </c>
      <c r="M2" s="99">
        <f t="shared" ref="M2" si="1">G2</f>
        <v>3277.85</v>
      </c>
    </row>
    <row r="3" spans="1:13" x14ac:dyDescent="0.2">
      <c r="I3" s="101"/>
      <c r="J3" s="25"/>
      <c r="K3" s="25"/>
    </row>
    <row r="4" spans="1:13" x14ac:dyDescent="0.2">
      <c r="I4" s="101"/>
      <c r="J4" s="25"/>
      <c r="K4" s="25"/>
    </row>
    <row r="5" spans="1:13" x14ac:dyDescent="0.2">
      <c r="I5" s="101"/>
      <c r="J5" s="25"/>
      <c r="K5" s="25"/>
    </row>
    <row r="6" spans="1:13" x14ac:dyDescent="0.2">
      <c r="I6" s="101"/>
      <c r="J6" s="25"/>
      <c r="K6" s="25"/>
    </row>
    <row r="7" spans="1:13" x14ac:dyDescent="0.2">
      <c r="I7" s="101"/>
      <c r="J7" s="25"/>
      <c r="K7" s="25"/>
    </row>
    <row r="8" spans="1:13" x14ac:dyDescent="0.2">
      <c r="I8" s="101"/>
      <c r="J8" s="25"/>
      <c r="K8" s="25"/>
    </row>
    <row r="9" spans="1:13" x14ac:dyDescent="0.2">
      <c r="I9" s="101"/>
      <c r="J9" s="25"/>
      <c r="K9" s="25"/>
    </row>
    <row r="10" spans="1:13" x14ac:dyDescent="0.2">
      <c r="I10" s="101"/>
      <c r="J10" s="25"/>
      <c r="K10" s="25"/>
    </row>
    <row r="11" spans="1:13" x14ac:dyDescent="0.2">
      <c r="I11" s="101"/>
      <c r="J11" s="25"/>
      <c r="K11" s="25"/>
    </row>
    <row r="12" spans="1:13" x14ac:dyDescent="0.2">
      <c r="I12" s="101"/>
      <c r="J12" s="25"/>
      <c r="K12" s="25"/>
    </row>
    <row r="13" spans="1:13" x14ac:dyDescent="0.2">
      <c r="I13" s="101"/>
      <c r="J13" s="25"/>
      <c r="K13" s="25"/>
    </row>
    <row r="14" spans="1:13" x14ac:dyDescent="0.2">
      <c r="I14" s="101"/>
      <c r="J14" s="25"/>
      <c r="K14" s="25"/>
    </row>
    <row r="15" spans="1:13" x14ac:dyDescent="0.2">
      <c r="I15" s="101"/>
      <c r="J15" s="25"/>
      <c r="K15" s="25"/>
    </row>
    <row r="16" spans="1:13" x14ac:dyDescent="0.2">
      <c r="I16" s="101"/>
      <c r="J16" s="25"/>
      <c r="K16" s="25"/>
    </row>
    <row r="17" spans="9:11" x14ac:dyDescent="0.2">
      <c r="I17" s="101"/>
      <c r="J17" s="25"/>
      <c r="K17" s="25"/>
    </row>
    <row r="18" spans="9:11" x14ac:dyDescent="0.2">
      <c r="I18" s="101"/>
      <c r="J18" s="25"/>
      <c r="K18" s="25"/>
    </row>
    <row r="19" spans="9:11" x14ac:dyDescent="0.2">
      <c r="I19" s="101"/>
      <c r="J19" s="25"/>
      <c r="K19" s="25"/>
    </row>
    <row r="20" spans="9:11" x14ac:dyDescent="0.2">
      <c r="I20" s="101"/>
      <c r="J20" s="25"/>
      <c r="K20" s="25"/>
    </row>
    <row r="21" spans="9:11" x14ac:dyDescent="0.2">
      <c r="I21" s="101"/>
      <c r="J21" s="25"/>
      <c r="K21" s="25"/>
    </row>
    <row r="22" spans="9:11" x14ac:dyDescent="0.2">
      <c r="I22" s="101"/>
      <c r="J22" s="25"/>
      <c r="K22" s="25"/>
    </row>
    <row r="23" spans="9:11" x14ac:dyDescent="0.2">
      <c r="I23" s="101"/>
      <c r="J23" s="25"/>
      <c r="K23" s="25"/>
    </row>
    <row r="24" spans="9:11" x14ac:dyDescent="0.2">
      <c r="I24" s="101"/>
      <c r="J24" s="25"/>
      <c r="K24" s="25"/>
    </row>
    <row r="25" spans="9:11" x14ac:dyDescent="0.2">
      <c r="I25" s="101"/>
      <c r="J25" s="25"/>
      <c r="K25" s="25"/>
    </row>
    <row r="26" spans="9:11" x14ac:dyDescent="0.2">
      <c r="I26" s="101"/>
      <c r="J26" s="25"/>
      <c r="K26" s="25"/>
    </row>
    <row r="27" spans="9:11" x14ac:dyDescent="0.2">
      <c r="I27" s="101"/>
      <c r="J27" s="25"/>
      <c r="K27" s="25"/>
    </row>
    <row r="28" spans="9:11" x14ac:dyDescent="0.2">
      <c r="I28" s="101"/>
      <c r="J28" s="25"/>
      <c r="K28" s="25"/>
    </row>
    <row r="29" spans="9:11" x14ac:dyDescent="0.2">
      <c r="I29" s="101"/>
      <c r="J29" s="25"/>
      <c r="K29" s="25"/>
    </row>
    <row r="30" spans="9:11" x14ac:dyDescent="0.2">
      <c r="I30" s="101"/>
      <c r="J30" s="25"/>
      <c r="K30" s="25"/>
    </row>
    <row r="31" spans="9:11" x14ac:dyDescent="0.2">
      <c r="I31" s="101"/>
      <c r="J31" s="25"/>
      <c r="K31" s="25"/>
    </row>
    <row r="32" spans="9:11" x14ac:dyDescent="0.2">
      <c r="I32" s="101"/>
      <c r="J32" s="25"/>
      <c r="K32" s="25"/>
    </row>
    <row r="33" spans="9:11" x14ac:dyDescent="0.2">
      <c r="I33" s="101"/>
      <c r="J33" s="25"/>
      <c r="K33" s="25"/>
    </row>
    <row r="34" spans="9:11" x14ac:dyDescent="0.2">
      <c r="I34" s="101"/>
      <c r="J34" s="25"/>
      <c r="K34" s="25"/>
    </row>
    <row r="35" spans="9:11" x14ac:dyDescent="0.2">
      <c r="I35" s="101"/>
      <c r="J35" s="25"/>
      <c r="K35" s="25"/>
    </row>
    <row r="36" spans="9:11" x14ac:dyDescent="0.2">
      <c r="I36" s="101"/>
      <c r="J36" s="25"/>
      <c r="K36" s="25"/>
    </row>
    <row r="37" spans="9:11" x14ac:dyDescent="0.2">
      <c r="I37" s="101"/>
      <c r="J37" s="25"/>
      <c r="K37" s="25"/>
    </row>
    <row r="38" spans="9:11" x14ac:dyDescent="0.2">
      <c r="I38" s="101"/>
      <c r="J38" s="25"/>
      <c r="K38" s="25"/>
    </row>
    <row r="39" spans="9:11" x14ac:dyDescent="0.2">
      <c r="I39" s="101"/>
      <c r="J39" s="25"/>
      <c r="K39" s="25"/>
    </row>
    <row r="40" spans="9:11" x14ac:dyDescent="0.2">
      <c r="I40" s="101"/>
      <c r="J40" s="25"/>
      <c r="K40" s="25"/>
    </row>
    <row r="41" spans="9:11" x14ac:dyDescent="0.2">
      <c r="I41" s="101"/>
      <c r="J41" s="25"/>
      <c r="K41" s="25"/>
    </row>
    <row r="42" spans="9:11" x14ac:dyDescent="0.2">
      <c r="I42" s="101"/>
      <c r="J42" s="25"/>
      <c r="K42" s="25"/>
    </row>
    <row r="43" spans="9:11" x14ac:dyDescent="0.2">
      <c r="I43" s="101"/>
      <c r="J43" s="25"/>
      <c r="K43" s="25"/>
    </row>
    <row r="44" spans="9:11" x14ac:dyDescent="0.2">
      <c r="I44" s="101"/>
      <c r="J44" s="25"/>
      <c r="K44" s="25"/>
    </row>
    <row r="45" spans="9:11" x14ac:dyDescent="0.2">
      <c r="I45" s="101"/>
      <c r="J45" s="25"/>
      <c r="K45" s="25"/>
    </row>
    <row r="46" spans="9:11" x14ac:dyDescent="0.2">
      <c r="I46" s="101"/>
      <c r="J46" s="25"/>
      <c r="K46" s="25"/>
    </row>
    <row r="47" spans="9:11" x14ac:dyDescent="0.2">
      <c r="I47" s="101"/>
      <c r="J47" s="25"/>
      <c r="K47" s="25"/>
    </row>
    <row r="48" spans="9:11" x14ac:dyDescent="0.2">
      <c r="I48" s="101"/>
      <c r="J48" s="25"/>
      <c r="K48" s="25"/>
    </row>
    <row r="49" spans="9:11" x14ac:dyDescent="0.2">
      <c r="I49" s="101"/>
      <c r="J49" s="25"/>
      <c r="K49" s="25"/>
    </row>
    <row r="50" spans="9:11" x14ac:dyDescent="0.2">
      <c r="I50" s="101"/>
      <c r="J50" s="25"/>
      <c r="K50" s="25"/>
    </row>
    <row r="51" spans="9:11" x14ac:dyDescent="0.2">
      <c r="I51" s="101"/>
      <c r="J51" s="25"/>
      <c r="K51" s="25"/>
    </row>
    <row r="52" spans="9:11" x14ac:dyDescent="0.2">
      <c r="I52" s="101"/>
      <c r="J52" s="25"/>
      <c r="K52" s="25"/>
    </row>
    <row r="53" spans="9:11" x14ac:dyDescent="0.2">
      <c r="I53" s="101"/>
      <c r="J53" s="25"/>
      <c r="K53" s="25"/>
    </row>
    <row r="54" spans="9:11" x14ac:dyDescent="0.2">
      <c r="I54" s="101"/>
      <c r="J54" s="25"/>
      <c r="K54" s="25"/>
    </row>
    <row r="55" spans="9:11" x14ac:dyDescent="0.2">
      <c r="I55" s="101"/>
      <c r="J55" s="25"/>
      <c r="K55" s="25"/>
    </row>
    <row r="56" spans="9:11" x14ac:dyDescent="0.2">
      <c r="I56" s="101"/>
      <c r="J56" s="25"/>
      <c r="K56" s="25"/>
    </row>
    <row r="57" spans="9:11" x14ac:dyDescent="0.2">
      <c r="I57" s="101"/>
      <c r="J57" s="25"/>
      <c r="K57" s="25"/>
    </row>
    <row r="58" spans="9:11" x14ac:dyDescent="0.2">
      <c r="I58" s="101"/>
      <c r="J58" s="25"/>
      <c r="K58" s="25"/>
    </row>
    <row r="59" spans="9:11" x14ac:dyDescent="0.2">
      <c r="I59" s="101"/>
      <c r="J59" s="25"/>
      <c r="K59" s="25"/>
    </row>
    <row r="60" spans="9:11" x14ac:dyDescent="0.2">
      <c r="I60" s="101"/>
      <c r="J60" s="25"/>
      <c r="K60" s="25"/>
    </row>
    <row r="61" spans="9:11" x14ac:dyDescent="0.2">
      <c r="I61" s="101"/>
      <c r="J61" s="25"/>
      <c r="K61" s="25"/>
    </row>
    <row r="62" spans="9:11" x14ac:dyDescent="0.2">
      <c r="I62" s="101"/>
      <c r="J62" s="25"/>
      <c r="K62" s="25"/>
    </row>
    <row r="63" spans="9:11" x14ac:dyDescent="0.2">
      <c r="I63" s="101"/>
      <c r="J63" s="25"/>
      <c r="K63" s="25"/>
    </row>
    <row r="64" spans="9:11" x14ac:dyDescent="0.2">
      <c r="I64" s="101"/>
      <c r="J64" s="25"/>
      <c r="K64" s="25"/>
    </row>
    <row r="65" spans="9:11" x14ac:dyDescent="0.2">
      <c r="I65" s="101"/>
      <c r="J65" s="25"/>
      <c r="K65" s="25"/>
    </row>
    <row r="66" spans="9:11" x14ac:dyDescent="0.2">
      <c r="I66" s="101"/>
      <c r="J66" s="25"/>
      <c r="K66" s="25"/>
    </row>
    <row r="67" spans="9:11" x14ac:dyDescent="0.2">
      <c r="I67" s="101"/>
      <c r="J67" s="25"/>
      <c r="K67" s="25"/>
    </row>
    <row r="68" spans="9:11" x14ac:dyDescent="0.2">
      <c r="I68" s="101"/>
      <c r="J68" s="25"/>
      <c r="K68" s="25"/>
    </row>
    <row r="69" spans="9:11" x14ac:dyDescent="0.2">
      <c r="I69" s="101"/>
      <c r="J69" s="25"/>
      <c r="K69" s="25"/>
    </row>
    <row r="70" spans="9:11" x14ac:dyDescent="0.2">
      <c r="I70" s="101"/>
      <c r="J70" s="25"/>
      <c r="K70" s="25"/>
    </row>
    <row r="71" spans="9:11" x14ac:dyDescent="0.2">
      <c r="I71" s="101"/>
      <c r="J71" s="25"/>
      <c r="K71" s="25"/>
    </row>
    <row r="72" spans="9:11" x14ac:dyDescent="0.2">
      <c r="I72" s="101"/>
      <c r="J72" s="25"/>
      <c r="K72" s="25"/>
    </row>
    <row r="73" spans="9:11" x14ac:dyDescent="0.2">
      <c r="I73" s="101"/>
      <c r="J73" s="25"/>
      <c r="K73" s="25"/>
    </row>
    <row r="74" spans="9:11" x14ac:dyDescent="0.2">
      <c r="I74" s="101"/>
      <c r="J74" s="25"/>
      <c r="K74" s="25"/>
    </row>
    <row r="75" spans="9:11" x14ac:dyDescent="0.2">
      <c r="I75" s="101"/>
      <c r="J75" s="25"/>
      <c r="K75" s="25"/>
    </row>
    <row r="76" spans="9:11" x14ac:dyDescent="0.2">
      <c r="I76" s="101"/>
      <c r="J76" s="25"/>
      <c r="K76" s="25"/>
    </row>
    <row r="77" spans="9:11" x14ac:dyDescent="0.2">
      <c r="I77" s="101"/>
      <c r="J77" s="25"/>
      <c r="K77" s="25"/>
    </row>
    <row r="78" spans="9:11" x14ac:dyDescent="0.2">
      <c r="I78" s="101"/>
      <c r="J78" s="25"/>
      <c r="K78" s="25"/>
    </row>
    <row r="79" spans="9:11" x14ac:dyDescent="0.2">
      <c r="I79" s="101"/>
      <c r="J79" s="25"/>
      <c r="K79" s="25"/>
    </row>
    <row r="80" spans="9:11" x14ac:dyDescent="0.2">
      <c r="I80" s="101"/>
      <c r="J80" s="25"/>
      <c r="K80" s="25"/>
    </row>
    <row r="81" spans="9:11" x14ac:dyDescent="0.2">
      <c r="I81" s="101"/>
      <c r="J81" s="25"/>
      <c r="K81" s="25"/>
    </row>
    <row r="82" spans="9:11" x14ac:dyDescent="0.2">
      <c r="I82" s="101"/>
      <c r="J82" s="25"/>
      <c r="K82" s="25"/>
    </row>
    <row r="83" spans="9:11" x14ac:dyDescent="0.2">
      <c r="I83" s="101"/>
      <c r="J83" s="25"/>
      <c r="K83" s="25"/>
    </row>
    <row r="84" spans="9:11" x14ac:dyDescent="0.2">
      <c r="I84" s="101"/>
      <c r="J84" s="25"/>
      <c r="K84" s="25"/>
    </row>
    <row r="85" spans="9:11" x14ac:dyDescent="0.2">
      <c r="I85" s="101"/>
      <c r="J85" s="25"/>
      <c r="K85" s="25"/>
    </row>
    <row r="86" spans="9:11" x14ac:dyDescent="0.2">
      <c r="I86" s="101"/>
      <c r="J86" s="25"/>
      <c r="K86" s="25"/>
    </row>
    <row r="87" spans="9:11" x14ac:dyDescent="0.2">
      <c r="I87" s="101"/>
      <c r="J87" s="25"/>
      <c r="K87" s="25"/>
    </row>
    <row r="88" spans="9:11" x14ac:dyDescent="0.2">
      <c r="I88" s="101"/>
      <c r="J88" s="25"/>
      <c r="K88" s="25"/>
    </row>
    <row r="89" spans="9:11" x14ac:dyDescent="0.2">
      <c r="I89" s="101"/>
      <c r="J89" s="25"/>
      <c r="K89" s="25"/>
    </row>
    <row r="90" spans="9:11" x14ac:dyDescent="0.2">
      <c r="I90" s="101"/>
      <c r="J90" s="25"/>
      <c r="K90" s="25"/>
    </row>
    <row r="91" spans="9:11" x14ac:dyDescent="0.2">
      <c r="I91" s="101"/>
      <c r="J91" s="25"/>
      <c r="K91" s="25"/>
    </row>
    <row r="92" spans="9:11" x14ac:dyDescent="0.2">
      <c r="I92" s="101"/>
      <c r="J92" s="25"/>
      <c r="K92" s="25"/>
    </row>
    <row r="93" spans="9:11" x14ac:dyDescent="0.2">
      <c r="I93" s="101"/>
      <c r="J93" s="25"/>
      <c r="K93" s="25"/>
    </row>
    <row r="94" spans="9:11" x14ac:dyDescent="0.2">
      <c r="I94" s="101"/>
      <c r="J94" s="25"/>
      <c r="K94" s="25"/>
    </row>
    <row r="95" spans="9:11" x14ac:dyDescent="0.2">
      <c r="I95" s="101"/>
      <c r="J95" s="25"/>
      <c r="K95" s="25"/>
    </row>
    <row r="96" spans="9:11" x14ac:dyDescent="0.2">
      <c r="I96" s="101"/>
      <c r="J96" s="25"/>
      <c r="K96" s="25"/>
    </row>
    <row r="97" spans="9:11" x14ac:dyDescent="0.2">
      <c r="I97" s="101"/>
      <c r="J97" s="25"/>
      <c r="K97" s="25"/>
    </row>
    <row r="98" spans="9:11" x14ac:dyDescent="0.2">
      <c r="I98" s="101"/>
      <c r="J98" s="25"/>
      <c r="K98" s="25"/>
    </row>
    <row r="99" spans="9:11" x14ac:dyDescent="0.2">
      <c r="I99" s="101"/>
      <c r="J99" s="25"/>
      <c r="K99" s="25"/>
    </row>
    <row r="100" spans="9:11" x14ac:dyDescent="0.2">
      <c r="I100" s="101"/>
      <c r="J100" s="25"/>
      <c r="K100" s="25"/>
    </row>
    <row r="101" spans="9:11" x14ac:dyDescent="0.2">
      <c r="I101" s="101"/>
      <c r="J101" s="25"/>
      <c r="K101" s="25"/>
    </row>
    <row r="102" spans="9:11" x14ac:dyDescent="0.2">
      <c r="I102" s="101"/>
      <c r="J102" s="25"/>
      <c r="K102" s="25"/>
    </row>
    <row r="103" spans="9:11" x14ac:dyDescent="0.2">
      <c r="I103" s="101"/>
      <c r="J103" s="25"/>
      <c r="K103" s="25"/>
    </row>
    <row r="104" spans="9:11" x14ac:dyDescent="0.2">
      <c r="I104" s="101"/>
      <c r="J104" s="25"/>
      <c r="K104" s="25"/>
    </row>
    <row r="105" spans="9:11" x14ac:dyDescent="0.2">
      <c r="I105" s="101"/>
      <c r="J105" s="25"/>
      <c r="K105" s="25"/>
    </row>
    <row r="106" spans="9:11" x14ac:dyDescent="0.2">
      <c r="I106" s="101"/>
      <c r="J106" s="25"/>
      <c r="K106" s="25"/>
    </row>
    <row r="107" spans="9:11" x14ac:dyDescent="0.2">
      <c r="I107" s="101"/>
      <c r="J107" s="25"/>
      <c r="K107" s="25"/>
    </row>
    <row r="108" spans="9:11" x14ac:dyDescent="0.2">
      <c r="I108" s="101"/>
      <c r="J108" s="25"/>
      <c r="K108" s="25"/>
    </row>
    <row r="109" spans="9:11" x14ac:dyDescent="0.2">
      <c r="I109" s="101"/>
      <c r="J109" s="25"/>
      <c r="K109" s="25"/>
    </row>
    <row r="110" spans="9:11" x14ac:dyDescent="0.2">
      <c r="I110" s="101"/>
      <c r="J110" s="25"/>
      <c r="K110" s="25"/>
    </row>
    <row r="111" spans="9:11" x14ac:dyDescent="0.2">
      <c r="I111" s="101"/>
      <c r="J111" s="25"/>
      <c r="K111" s="25"/>
    </row>
    <row r="112" spans="9:11" x14ac:dyDescent="0.2">
      <c r="I112" s="101"/>
      <c r="J112" s="25"/>
      <c r="K112" s="25"/>
    </row>
    <row r="113" spans="9:11" x14ac:dyDescent="0.2">
      <c r="I113" s="101"/>
      <c r="J113" s="25"/>
      <c r="K113" s="25"/>
    </row>
    <row r="114" spans="9:11" x14ac:dyDescent="0.2">
      <c r="I114" s="101"/>
      <c r="J114" s="25"/>
      <c r="K114" s="25"/>
    </row>
    <row r="115" spans="9:11" x14ac:dyDescent="0.2">
      <c r="I115" s="101"/>
      <c r="J115" s="25"/>
      <c r="K115" s="25"/>
    </row>
    <row r="116" spans="9:11" x14ac:dyDescent="0.2">
      <c r="I116" s="101"/>
      <c r="J116" s="25"/>
      <c r="K116" s="25"/>
    </row>
    <row r="117" spans="9:11" x14ac:dyDescent="0.2">
      <c r="I117" s="101"/>
      <c r="J117" s="25"/>
      <c r="K117" s="25"/>
    </row>
    <row r="118" spans="9:11" x14ac:dyDescent="0.2">
      <c r="I118" s="101"/>
      <c r="J118" s="25"/>
      <c r="K118" s="25"/>
    </row>
    <row r="119" spans="9:11" x14ac:dyDescent="0.2">
      <c r="I119" s="101"/>
      <c r="J119" s="25"/>
      <c r="K119" s="25"/>
    </row>
    <row r="120" spans="9:11" x14ac:dyDescent="0.2">
      <c r="I120" s="101"/>
      <c r="J120" s="25"/>
      <c r="K120" s="25"/>
    </row>
    <row r="121" spans="9:11" x14ac:dyDescent="0.2">
      <c r="I121" s="101"/>
      <c r="J121" s="25"/>
      <c r="K121" s="25"/>
    </row>
    <row r="122" spans="9:11" x14ac:dyDescent="0.2">
      <c r="I122" s="101"/>
      <c r="J122" s="25"/>
      <c r="K122" s="25"/>
    </row>
    <row r="123" spans="9:11" x14ac:dyDescent="0.2">
      <c r="I123" s="101"/>
      <c r="J123" s="25"/>
      <c r="K123" s="25"/>
    </row>
    <row r="124" spans="9:11" x14ac:dyDescent="0.2">
      <c r="I124" s="101"/>
      <c r="J124" s="25"/>
      <c r="K124" s="25"/>
    </row>
    <row r="125" spans="9:11" x14ac:dyDescent="0.2">
      <c r="I125" s="101"/>
      <c r="J125" s="25"/>
      <c r="K125" s="25"/>
    </row>
    <row r="126" spans="9:11" x14ac:dyDescent="0.2">
      <c r="I126" s="101"/>
      <c r="J126" s="25"/>
      <c r="K126" s="25"/>
    </row>
    <row r="127" spans="9:11" x14ac:dyDescent="0.2">
      <c r="I127" s="101"/>
      <c r="J127" s="25"/>
      <c r="K127" s="25"/>
    </row>
    <row r="128" spans="9:11" x14ac:dyDescent="0.2">
      <c r="I128" s="101"/>
      <c r="J128" s="25"/>
      <c r="K128" s="25"/>
    </row>
    <row r="129" spans="9:11" x14ac:dyDescent="0.2">
      <c r="I129" s="101"/>
      <c r="J129" s="25"/>
      <c r="K129" s="25"/>
    </row>
    <row r="130" spans="9:11" x14ac:dyDescent="0.2">
      <c r="I130" s="101"/>
      <c r="J130" s="25"/>
      <c r="K130" s="25"/>
    </row>
    <row r="131" spans="9:11" x14ac:dyDescent="0.2">
      <c r="I131" s="101"/>
      <c r="J131" s="25"/>
      <c r="K131" s="25"/>
    </row>
    <row r="132" spans="9:11" x14ac:dyDescent="0.2">
      <c r="I132" s="101"/>
      <c r="J132" s="25"/>
      <c r="K132" s="25"/>
    </row>
    <row r="133" spans="9:11" x14ac:dyDescent="0.2">
      <c r="I133" s="101"/>
      <c r="J133" s="25"/>
      <c r="K133" s="25"/>
    </row>
    <row r="134" spans="9:11" x14ac:dyDescent="0.2">
      <c r="I134" s="101"/>
      <c r="J134" s="25"/>
      <c r="K134" s="25"/>
    </row>
    <row r="135" spans="9:11" x14ac:dyDescent="0.2">
      <c r="I135" s="101"/>
      <c r="J135" s="25"/>
      <c r="K135" s="25"/>
    </row>
    <row r="136" spans="9:11" x14ac:dyDescent="0.2">
      <c r="I136" s="101"/>
      <c r="J136" s="25"/>
      <c r="K136" s="25"/>
    </row>
    <row r="137" spans="9:11" x14ac:dyDescent="0.2">
      <c r="I137" s="101"/>
      <c r="J137" s="25"/>
      <c r="K137" s="25"/>
    </row>
    <row r="138" spans="9:11" x14ac:dyDescent="0.2">
      <c r="I138" s="101"/>
      <c r="J138" s="25"/>
      <c r="K138" s="25"/>
    </row>
    <row r="139" spans="9:11" x14ac:dyDescent="0.2">
      <c r="I139" s="101"/>
      <c r="J139" s="25"/>
      <c r="K139" s="25"/>
    </row>
    <row r="140" spans="9:11" x14ac:dyDescent="0.2">
      <c r="I140" s="101"/>
      <c r="J140" s="25"/>
      <c r="K140" s="25"/>
    </row>
    <row r="141" spans="9:11" x14ac:dyDescent="0.2">
      <c r="I141" s="101"/>
      <c r="J141" s="25"/>
      <c r="K141" s="25"/>
    </row>
    <row r="142" spans="9:11" x14ac:dyDescent="0.2">
      <c r="I142" s="101"/>
      <c r="J142" s="25"/>
      <c r="K142" s="25"/>
    </row>
    <row r="143" spans="9:11" x14ac:dyDescent="0.2">
      <c r="I143" s="101"/>
      <c r="J143" s="25"/>
      <c r="K143" s="25"/>
    </row>
    <row r="144" spans="9:11" x14ac:dyDescent="0.2">
      <c r="I144" s="101"/>
      <c r="J144" s="25"/>
      <c r="K144" s="25"/>
    </row>
    <row r="145" spans="9:11" x14ac:dyDescent="0.2">
      <c r="I145" s="101"/>
      <c r="J145" s="25"/>
      <c r="K145" s="25"/>
    </row>
    <row r="146" spans="9:11" x14ac:dyDescent="0.2">
      <c r="I146" s="101"/>
      <c r="J146" s="25"/>
      <c r="K146" s="25"/>
    </row>
    <row r="147" spans="9:11" x14ac:dyDescent="0.2">
      <c r="I147" s="101"/>
      <c r="J147" s="25"/>
      <c r="K147" s="25"/>
    </row>
    <row r="148" spans="9:11" x14ac:dyDescent="0.2">
      <c r="I148" s="101"/>
      <c r="J148" s="25"/>
      <c r="K148" s="25"/>
    </row>
    <row r="149" spans="9:11" x14ac:dyDescent="0.2">
      <c r="I149" s="101"/>
      <c r="J149" s="25"/>
      <c r="K149" s="25"/>
    </row>
    <row r="150" spans="9:11" x14ac:dyDescent="0.2">
      <c r="I150" s="101"/>
      <c r="J150" s="25"/>
      <c r="K150" s="25"/>
    </row>
    <row r="151" spans="9:11" x14ac:dyDescent="0.2">
      <c r="I151" s="101"/>
      <c r="J151" s="25"/>
      <c r="K151" s="25"/>
    </row>
    <row r="152" spans="9:11" x14ac:dyDescent="0.2">
      <c r="I152" s="101"/>
      <c r="J152" s="25"/>
      <c r="K152" s="25"/>
    </row>
    <row r="153" spans="9:11" x14ac:dyDescent="0.2">
      <c r="I153" s="101"/>
      <c r="J153" s="25"/>
      <c r="K153" s="25"/>
    </row>
    <row r="154" spans="9:11" x14ac:dyDescent="0.2">
      <c r="I154" s="101"/>
      <c r="J154" s="25"/>
      <c r="K154" s="25"/>
    </row>
    <row r="155" spans="9:11" x14ac:dyDescent="0.2">
      <c r="I155" s="101"/>
      <c r="J155" s="25"/>
      <c r="K155" s="25"/>
    </row>
    <row r="156" spans="9:11" x14ac:dyDescent="0.2">
      <c r="I156" s="101"/>
      <c r="J156" s="25"/>
      <c r="K156" s="25"/>
    </row>
    <row r="157" spans="9:11" x14ac:dyDescent="0.2">
      <c r="I157" s="101"/>
      <c r="J157" s="25"/>
      <c r="K157" s="25"/>
    </row>
    <row r="158" spans="9:11" x14ac:dyDescent="0.2">
      <c r="I158" s="101"/>
      <c r="J158" s="25"/>
      <c r="K158" s="25"/>
    </row>
    <row r="159" spans="9:11" x14ac:dyDescent="0.2">
      <c r="I159" s="101"/>
      <c r="J159" s="25"/>
      <c r="K159" s="25"/>
    </row>
    <row r="160" spans="9:11" x14ac:dyDescent="0.2">
      <c r="I160" s="101"/>
      <c r="J160" s="25"/>
      <c r="K160" s="25"/>
    </row>
    <row r="161" spans="9:11" x14ac:dyDescent="0.2">
      <c r="I161" s="101"/>
      <c r="J161" s="25"/>
      <c r="K161" s="25"/>
    </row>
    <row r="162" spans="9:11" x14ac:dyDescent="0.2">
      <c r="I162" s="101"/>
      <c r="J162" s="25"/>
      <c r="K162" s="25"/>
    </row>
    <row r="163" spans="9:11" x14ac:dyDescent="0.2">
      <c r="I163" s="101"/>
      <c r="J163" s="25"/>
      <c r="K163" s="25"/>
    </row>
    <row r="164" spans="9:11" x14ac:dyDescent="0.2">
      <c r="I164" s="101"/>
      <c r="J164" s="25"/>
      <c r="K164" s="25"/>
    </row>
    <row r="165" spans="9:11" x14ac:dyDescent="0.2">
      <c r="I165" s="101"/>
      <c r="J165" s="25"/>
      <c r="K165" s="25"/>
    </row>
    <row r="166" spans="9:11" x14ac:dyDescent="0.2">
      <c r="I166" s="101"/>
      <c r="J166" s="25"/>
      <c r="K166" s="25"/>
    </row>
    <row r="167" spans="9:11" x14ac:dyDescent="0.2">
      <c r="I167" s="101"/>
      <c r="J167" s="25"/>
      <c r="K167" s="25"/>
    </row>
    <row r="168" spans="9:11" x14ac:dyDescent="0.2">
      <c r="I168" s="101"/>
      <c r="J168" s="25"/>
      <c r="K168" s="25"/>
    </row>
    <row r="169" spans="9:11" x14ac:dyDescent="0.2">
      <c r="I169" s="101"/>
      <c r="J169" s="25"/>
      <c r="K169" s="25"/>
    </row>
    <row r="170" spans="9:11" x14ac:dyDescent="0.2">
      <c r="I170" s="101"/>
      <c r="J170" s="25"/>
      <c r="K170" s="25"/>
    </row>
    <row r="171" spans="9:11" x14ac:dyDescent="0.2">
      <c r="I171" s="101"/>
      <c r="J171" s="25"/>
      <c r="K171" s="25"/>
    </row>
    <row r="172" spans="9:11" x14ac:dyDescent="0.2">
      <c r="I172" s="101"/>
      <c r="J172" s="25"/>
      <c r="K172" s="25"/>
    </row>
    <row r="173" spans="9:11" x14ac:dyDescent="0.2">
      <c r="I173" s="101"/>
      <c r="J173" s="25"/>
      <c r="K173" s="25"/>
    </row>
    <row r="174" spans="9:11" x14ac:dyDescent="0.2">
      <c r="I174" s="101"/>
      <c r="J174" s="25"/>
      <c r="K174" s="25"/>
    </row>
    <row r="175" spans="9:11" x14ac:dyDescent="0.2">
      <c r="I175" s="101"/>
      <c r="J175" s="25"/>
      <c r="K175" s="25"/>
    </row>
    <row r="176" spans="9:11" x14ac:dyDescent="0.2">
      <c r="I176" s="101"/>
      <c r="J176" s="25"/>
      <c r="K176" s="25"/>
    </row>
    <row r="177" spans="9:11" x14ac:dyDescent="0.2">
      <c r="I177" s="101"/>
      <c r="J177" s="25"/>
      <c r="K177" s="25"/>
    </row>
    <row r="178" spans="9:11" x14ac:dyDescent="0.2">
      <c r="I178" s="101"/>
      <c r="J178" s="25"/>
      <c r="K178" s="25"/>
    </row>
    <row r="179" spans="9:11" x14ac:dyDescent="0.2">
      <c r="I179" s="101"/>
      <c r="J179" s="25"/>
      <c r="K179" s="25"/>
    </row>
    <row r="180" spans="9:11" x14ac:dyDescent="0.2">
      <c r="I180" s="101"/>
      <c r="J180" s="25"/>
      <c r="K180" s="25"/>
    </row>
    <row r="181" spans="9:11" x14ac:dyDescent="0.2">
      <c r="I181" s="101"/>
      <c r="J181" s="25"/>
      <c r="K181" s="25"/>
    </row>
    <row r="182" spans="9:11" x14ac:dyDescent="0.2">
      <c r="I182" s="101"/>
      <c r="J182" s="25"/>
      <c r="K182" s="25"/>
    </row>
    <row r="183" spans="9:11" x14ac:dyDescent="0.2">
      <c r="I183" s="101"/>
      <c r="J183" s="25"/>
      <c r="K183" s="25"/>
    </row>
    <row r="184" spans="9:11" x14ac:dyDescent="0.2">
      <c r="I184" s="101"/>
      <c r="J184" s="25"/>
      <c r="K184" s="25"/>
    </row>
    <row r="185" spans="9:11" x14ac:dyDescent="0.2">
      <c r="I185" s="101"/>
      <c r="J185" s="25"/>
      <c r="K185" s="25"/>
    </row>
    <row r="186" spans="9:11" x14ac:dyDescent="0.2">
      <c r="I186" s="101"/>
      <c r="J186" s="25"/>
      <c r="K186" s="25"/>
    </row>
    <row r="187" spans="9:11" x14ac:dyDescent="0.2">
      <c r="I187" s="101"/>
      <c r="J187" s="25"/>
      <c r="K187" s="25"/>
    </row>
    <row r="188" spans="9:11" x14ac:dyDescent="0.2">
      <c r="I188" s="101"/>
      <c r="J188" s="25"/>
      <c r="K188" s="25"/>
    </row>
    <row r="189" spans="9:11" x14ac:dyDescent="0.2">
      <c r="I189" s="101"/>
      <c r="J189" s="25"/>
      <c r="K189" s="25"/>
    </row>
    <row r="190" spans="9:11" x14ac:dyDescent="0.2">
      <c r="I190" s="101"/>
      <c r="J190" s="25"/>
      <c r="K190" s="25"/>
    </row>
    <row r="191" spans="9:11" x14ac:dyDescent="0.2">
      <c r="I191" s="101"/>
      <c r="J191" s="25"/>
      <c r="K191" s="25"/>
    </row>
    <row r="192" spans="9:11" x14ac:dyDescent="0.2">
      <c r="I192" s="101"/>
      <c r="J192" s="25"/>
      <c r="K192" s="25"/>
    </row>
    <row r="193" spans="9:11" x14ac:dyDescent="0.2">
      <c r="I193" s="101"/>
      <c r="J193" s="25"/>
      <c r="K193" s="25"/>
    </row>
    <row r="194" spans="9:11" x14ac:dyDescent="0.2">
      <c r="I194" s="101"/>
      <c r="J194" s="25"/>
      <c r="K194" s="25"/>
    </row>
    <row r="195" spans="9:11" x14ac:dyDescent="0.2">
      <c r="I195" s="101"/>
      <c r="J195" s="25"/>
      <c r="K195" s="25"/>
    </row>
    <row r="196" spans="9:11" x14ac:dyDescent="0.2">
      <c r="I196" s="101"/>
      <c r="J196" s="25"/>
      <c r="K196" s="25"/>
    </row>
    <row r="197" spans="9:11" x14ac:dyDescent="0.2">
      <c r="I197" s="101"/>
      <c r="J197" s="25"/>
      <c r="K197" s="25"/>
    </row>
    <row r="198" spans="9:11" x14ac:dyDescent="0.2">
      <c r="I198" s="101"/>
      <c r="J198" s="25"/>
      <c r="K198" s="25"/>
    </row>
    <row r="199" spans="9:11" x14ac:dyDescent="0.2">
      <c r="I199" s="101"/>
      <c r="J199" s="25"/>
      <c r="K199" s="25"/>
    </row>
    <row r="200" spans="9:11" x14ac:dyDescent="0.2">
      <c r="I200" s="101"/>
      <c r="J200" s="25"/>
      <c r="K200" s="25"/>
    </row>
    <row r="201" spans="9:11" x14ac:dyDescent="0.2">
      <c r="I201" s="101"/>
      <c r="J201" s="25"/>
      <c r="K201" s="25"/>
    </row>
    <row r="202" spans="9:11" x14ac:dyDescent="0.2">
      <c r="I202" s="101"/>
      <c r="J202" s="25"/>
      <c r="K202" s="25"/>
    </row>
    <row r="203" spans="9:11" x14ac:dyDescent="0.2">
      <c r="I203" s="101"/>
      <c r="J203" s="25"/>
      <c r="K203" s="25"/>
    </row>
    <row r="204" spans="9:11" x14ac:dyDescent="0.2">
      <c r="I204" s="101"/>
      <c r="J204" s="25"/>
      <c r="K204" s="25"/>
    </row>
    <row r="205" spans="9:11" x14ac:dyDescent="0.2">
      <c r="I205" s="101"/>
      <c r="J205" s="25"/>
      <c r="K205" s="25"/>
    </row>
    <row r="206" spans="9:11" x14ac:dyDescent="0.2">
      <c r="I206" s="101"/>
      <c r="J206" s="25"/>
      <c r="K206" s="25"/>
    </row>
    <row r="207" spans="9:11" x14ac:dyDescent="0.2">
      <c r="I207" s="101"/>
      <c r="J207" s="25"/>
      <c r="K207" s="25"/>
    </row>
    <row r="208" spans="9:11" x14ac:dyDescent="0.2">
      <c r="I208" s="101"/>
      <c r="J208" s="25"/>
      <c r="K208" s="25"/>
    </row>
    <row r="209" spans="9:11" x14ac:dyDescent="0.2">
      <c r="I209" s="101"/>
      <c r="J209" s="25"/>
      <c r="K209" s="25"/>
    </row>
    <row r="210" spans="9:11" x14ac:dyDescent="0.2">
      <c r="I210" s="101"/>
      <c r="J210" s="25"/>
      <c r="K210" s="25"/>
    </row>
    <row r="211" spans="9:11" x14ac:dyDescent="0.2">
      <c r="I211" s="101"/>
      <c r="J211" s="25"/>
      <c r="K211" s="25"/>
    </row>
    <row r="212" spans="9:11" x14ac:dyDescent="0.2">
      <c r="I212" s="101"/>
      <c r="J212" s="25"/>
      <c r="K212" s="25"/>
    </row>
    <row r="213" spans="9:11" x14ac:dyDescent="0.2">
      <c r="I213" s="101"/>
      <c r="J213" s="25"/>
      <c r="K213" s="25"/>
    </row>
    <row r="214" spans="9:11" x14ac:dyDescent="0.2">
      <c r="I214" s="101"/>
      <c r="J214" s="25"/>
      <c r="K214" s="25"/>
    </row>
    <row r="215" spans="9:11" x14ac:dyDescent="0.2">
      <c r="I215" s="101"/>
      <c r="J215" s="25"/>
      <c r="K215" s="25"/>
    </row>
    <row r="216" spans="9:11" x14ac:dyDescent="0.2">
      <c r="I216" s="101"/>
      <c r="J216" s="25"/>
      <c r="K216" s="25"/>
    </row>
    <row r="217" spans="9:11" x14ac:dyDescent="0.2">
      <c r="I217" s="101"/>
      <c r="J217" s="25"/>
      <c r="K217" s="25"/>
    </row>
    <row r="218" spans="9:11" x14ac:dyDescent="0.2">
      <c r="I218" s="101"/>
      <c r="J218" s="25"/>
      <c r="K218" s="25"/>
    </row>
    <row r="219" spans="9:11" x14ac:dyDescent="0.2">
      <c r="I219" s="101"/>
      <c r="J219" s="25"/>
      <c r="K219" s="25"/>
    </row>
    <row r="220" spans="9:11" x14ac:dyDescent="0.2">
      <c r="I220" s="101"/>
      <c r="J220" s="25"/>
      <c r="K220" s="25"/>
    </row>
    <row r="221" spans="9:11" x14ac:dyDescent="0.2">
      <c r="I221" s="101"/>
      <c r="J221" s="25"/>
      <c r="K221" s="25"/>
    </row>
    <row r="222" spans="9:11" x14ac:dyDescent="0.2">
      <c r="I222" s="101"/>
      <c r="J222" s="25"/>
      <c r="K222" s="25"/>
    </row>
    <row r="223" spans="9:11" x14ac:dyDescent="0.2">
      <c r="I223" s="101"/>
      <c r="J223" s="25"/>
      <c r="K223" s="25"/>
    </row>
    <row r="224" spans="9:11" x14ac:dyDescent="0.2">
      <c r="I224" s="101"/>
      <c r="J224" s="25"/>
      <c r="K224" s="25"/>
    </row>
    <row r="225" spans="9:11" x14ac:dyDescent="0.2">
      <c r="I225" s="101"/>
      <c r="J225" s="25"/>
      <c r="K225" s="25"/>
    </row>
    <row r="226" spans="9:11" x14ac:dyDescent="0.2">
      <c r="I226" s="101"/>
      <c r="J226" s="25"/>
      <c r="K226" s="25"/>
    </row>
    <row r="227" spans="9:11" x14ac:dyDescent="0.2">
      <c r="I227" s="101"/>
      <c r="J227" s="25"/>
      <c r="K227" s="25"/>
    </row>
    <row r="228" spans="9:11" x14ac:dyDescent="0.2">
      <c r="I228" s="101"/>
      <c r="J228" s="25"/>
      <c r="K228" s="25"/>
    </row>
    <row r="229" spans="9:11" x14ac:dyDescent="0.2">
      <c r="I229" s="101"/>
      <c r="J229" s="25"/>
      <c r="K229" s="25"/>
    </row>
    <row r="230" spans="9:11" x14ac:dyDescent="0.2">
      <c r="I230" s="101"/>
      <c r="J230" s="25"/>
      <c r="K230" s="25"/>
    </row>
    <row r="231" spans="9:11" x14ac:dyDescent="0.2">
      <c r="I231" s="101"/>
      <c r="J231" s="25"/>
      <c r="K231" s="25"/>
    </row>
    <row r="232" spans="9:11" x14ac:dyDescent="0.2">
      <c r="I232" s="101"/>
      <c r="J232" s="25"/>
      <c r="K232" s="25"/>
    </row>
    <row r="233" spans="9:11" x14ac:dyDescent="0.2">
      <c r="I233" s="101"/>
      <c r="J233" s="25"/>
      <c r="K233" s="25"/>
    </row>
    <row r="234" spans="9:11" x14ac:dyDescent="0.2">
      <c r="I234" s="101"/>
      <c r="J234" s="25"/>
      <c r="K234" s="25"/>
    </row>
    <row r="235" spans="9:11" x14ac:dyDescent="0.2">
      <c r="I235" s="101"/>
      <c r="J235" s="25"/>
      <c r="K235" s="25"/>
    </row>
    <row r="236" spans="9:11" x14ac:dyDescent="0.2">
      <c r="I236" s="101"/>
      <c r="J236" s="25"/>
      <c r="K236" s="25"/>
    </row>
    <row r="237" spans="9:11" x14ac:dyDescent="0.2">
      <c r="I237" s="101"/>
      <c r="J237" s="25"/>
      <c r="K237" s="25"/>
    </row>
    <row r="238" spans="9:11" x14ac:dyDescent="0.2">
      <c r="I238" s="101"/>
      <c r="J238" s="25"/>
      <c r="K238" s="25"/>
    </row>
    <row r="239" spans="9:11" x14ac:dyDescent="0.2">
      <c r="I239" s="101"/>
      <c r="J239" s="25"/>
      <c r="K239" s="25"/>
    </row>
    <row r="240" spans="9:11" x14ac:dyDescent="0.2">
      <c r="I240" s="101"/>
      <c r="J240" s="25"/>
      <c r="K240" s="25"/>
    </row>
    <row r="241" spans="9:11" x14ac:dyDescent="0.2">
      <c r="I241" s="101"/>
      <c r="J241" s="25"/>
      <c r="K241" s="25"/>
    </row>
    <row r="242" spans="9:11" x14ac:dyDescent="0.2">
      <c r="I242" s="101"/>
      <c r="J242" s="25"/>
      <c r="K242" s="25"/>
    </row>
    <row r="243" spans="9:11" x14ac:dyDescent="0.2">
      <c r="I243" s="101"/>
      <c r="J243" s="25"/>
      <c r="K243" s="25"/>
    </row>
    <row r="244" spans="9:11" x14ac:dyDescent="0.2">
      <c r="I244" s="101"/>
      <c r="J244" s="25"/>
      <c r="K244" s="25"/>
    </row>
    <row r="245" spans="9:11" x14ac:dyDescent="0.2">
      <c r="I245" s="101"/>
      <c r="J245" s="25"/>
      <c r="K245" s="25"/>
    </row>
    <row r="246" spans="9:11" x14ac:dyDescent="0.2">
      <c r="I246" s="101"/>
      <c r="J246" s="25"/>
      <c r="K246" s="25"/>
    </row>
    <row r="247" spans="9:11" x14ac:dyDescent="0.2">
      <c r="I247" s="101"/>
      <c r="J247" s="25"/>
      <c r="K247" s="25"/>
    </row>
    <row r="248" spans="9:11" x14ac:dyDescent="0.2">
      <c r="I248" s="101"/>
      <c r="J248" s="25"/>
      <c r="K248" s="25"/>
    </row>
    <row r="249" spans="9:11" x14ac:dyDescent="0.2">
      <c r="I249" s="101"/>
      <c r="J249" s="25"/>
      <c r="K249" s="25"/>
    </row>
    <row r="250" spans="9:11" x14ac:dyDescent="0.2">
      <c r="I250" s="101"/>
      <c r="J250" s="25"/>
      <c r="K250" s="25"/>
    </row>
    <row r="251" spans="9:11" x14ac:dyDescent="0.2">
      <c r="I251" s="101"/>
      <c r="J251" s="25"/>
      <c r="K251" s="25"/>
    </row>
    <row r="252" spans="9:11" x14ac:dyDescent="0.2">
      <c r="I252" s="101"/>
      <c r="J252" s="25"/>
      <c r="K252" s="25"/>
    </row>
    <row r="253" spans="9:11" x14ac:dyDescent="0.2">
      <c r="I253" s="101"/>
      <c r="J253" s="25"/>
      <c r="K253" s="25"/>
    </row>
    <row r="254" spans="9:11" x14ac:dyDescent="0.2">
      <c r="I254" s="101"/>
      <c r="J254" s="25"/>
      <c r="K254" s="25"/>
    </row>
    <row r="255" spans="9:11" x14ac:dyDescent="0.2">
      <c r="I255" s="101"/>
      <c r="J255" s="25"/>
      <c r="K255" s="25"/>
    </row>
    <row r="256" spans="9:11" x14ac:dyDescent="0.2">
      <c r="I256" s="101"/>
      <c r="J256" s="25"/>
      <c r="K256" s="25"/>
    </row>
    <row r="257" spans="9:11" x14ac:dyDescent="0.2">
      <c r="I257" s="101"/>
      <c r="J257" s="25"/>
      <c r="K257" s="25"/>
    </row>
    <row r="258" spans="9:11" x14ac:dyDescent="0.2">
      <c r="I258" s="101"/>
      <c r="J258" s="25"/>
      <c r="K258" s="25"/>
    </row>
    <row r="259" spans="9:11" x14ac:dyDescent="0.2">
      <c r="I259" s="101"/>
      <c r="J259" s="25"/>
      <c r="K259" s="25"/>
    </row>
    <row r="260" spans="9:11" x14ac:dyDescent="0.2">
      <c r="I260" s="101"/>
      <c r="J260" s="25"/>
      <c r="K260" s="25"/>
    </row>
    <row r="261" spans="9:11" x14ac:dyDescent="0.2">
      <c r="I261" s="101"/>
      <c r="J261" s="25"/>
      <c r="K261" s="25"/>
    </row>
    <row r="262" spans="9:11" x14ac:dyDescent="0.2">
      <c r="I262" s="101"/>
      <c r="J262" s="25"/>
      <c r="K262" s="25"/>
    </row>
    <row r="263" spans="9:11" x14ac:dyDescent="0.2">
      <c r="I263" s="101"/>
      <c r="J263" s="25"/>
      <c r="K263" s="25"/>
    </row>
    <row r="264" spans="9:11" x14ac:dyDescent="0.2">
      <c r="I264" s="101"/>
      <c r="J264" s="25"/>
      <c r="K264" s="25"/>
    </row>
    <row r="265" spans="9:11" x14ac:dyDescent="0.2">
      <c r="I265" s="101"/>
      <c r="J265" s="25"/>
      <c r="K265" s="25"/>
    </row>
    <row r="266" spans="9:11" x14ac:dyDescent="0.2">
      <c r="I266" s="101"/>
      <c r="J266" s="25"/>
      <c r="K266" s="25"/>
    </row>
    <row r="267" spans="9:11" x14ac:dyDescent="0.2">
      <c r="I267" s="101"/>
      <c r="J267" s="25"/>
      <c r="K267" s="25"/>
    </row>
    <row r="268" spans="9:11" x14ac:dyDescent="0.2">
      <c r="I268" s="101"/>
      <c r="J268" s="25"/>
      <c r="K268" s="25"/>
    </row>
    <row r="269" spans="9:11" x14ac:dyDescent="0.2">
      <c r="I269" s="101"/>
      <c r="J269" s="25"/>
      <c r="K269" s="25"/>
    </row>
    <row r="270" spans="9:11" x14ac:dyDescent="0.2">
      <c r="I270" s="101"/>
      <c r="J270" s="25"/>
      <c r="K270" s="25"/>
    </row>
    <row r="271" spans="9:11" x14ac:dyDescent="0.2">
      <c r="I271" s="101"/>
      <c r="J271" s="25"/>
      <c r="K271" s="25"/>
    </row>
    <row r="272" spans="9:11" x14ac:dyDescent="0.2">
      <c r="I272" s="101"/>
      <c r="J272" s="25"/>
      <c r="K272" s="25"/>
    </row>
    <row r="273" spans="9:11" x14ac:dyDescent="0.2">
      <c r="I273" s="101"/>
      <c r="J273" s="25"/>
      <c r="K273" s="25"/>
    </row>
    <row r="274" spans="9:11" x14ac:dyDescent="0.2">
      <c r="I274" s="101"/>
      <c r="J274" s="25"/>
      <c r="K274" s="25"/>
    </row>
    <row r="275" spans="9:11" x14ac:dyDescent="0.2">
      <c r="I275" s="101"/>
      <c r="J275" s="25"/>
      <c r="K275" s="25"/>
    </row>
    <row r="276" spans="9:11" x14ac:dyDescent="0.2">
      <c r="I276" s="101"/>
      <c r="J276" s="25"/>
      <c r="K276" s="25"/>
    </row>
    <row r="277" spans="9:11" x14ac:dyDescent="0.2">
      <c r="I277" s="101"/>
      <c r="J277" s="25"/>
      <c r="K277" s="25"/>
    </row>
    <row r="278" spans="9:11" x14ac:dyDescent="0.2">
      <c r="I278" s="101"/>
      <c r="J278" s="25"/>
      <c r="K278" s="25"/>
    </row>
    <row r="279" spans="9:11" x14ac:dyDescent="0.2">
      <c r="I279" s="101"/>
      <c r="J279" s="25"/>
      <c r="K279" s="25"/>
    </row>
    <row r="280" spans="9:11" x14ac:dyDescent="0.2">
      <c r="I280" s="101"/>
      <c r="J280" s="25"/>
      <c r="K280" s="25"/>
    </row>
    <row r="281" spans="9:11" x14ac:dyDescent="0.2">
      <c r="I281" s="101"/>
      <c r="J281" s="25"/>
      <c r="K281" s="25"/>
    </row>
    <row r="282" spans="9:11" x14ac:dyDescent="0.2">
      <c r="I282" s="101"/>
      <c r="J282" s="25"/>
      <c r="K282" s="25"/>
    </row>
    <row r="283" spans="9:11" x14ac:dyDescent="0.2">
      <c r="I283" s="101"/>
      <c r="J283" s="25"/>
      <c r="K283" s="25"/>
    </row>
    <row r="284" spans="9:11" x14ac:dyDescent="0.2">
      <c r="I284" s="101"/>
      <c r="J284" s="25"/>
      <c r="K284" s="25"/>
    </row>
    <row r="285" spans="9:11" x14ac:dyDescent="0.2">
      <c r="I285" s="101"/>
      <c r="J285" s="25"/>
      <c r="K285" s="25"/>
    </row>
    <row r="286" spans="9:11" x14ac:dyDescent="0.2">
      <c r="I286" s="101"/>
      <c r="J286" s="25"/>
      <c r="K286" s="25"/>
    </row>
    <row r="287" spans="9:11" x14ac:dyDescent="0.2">
      <c r="I287" s="101"/>
      <c r="J287" s="25"/>
      <c r="K287" s="25"/>
    </row>
    <row r="288" spans="9:11" x14ac:dyDescent="0.2">
      <c r="I288" s="101"/>
      <c r="J288" s="25"/>
      <c r="K288" s="25"/>
    </row>
    <row r="289" spans="9:11" x14ac:dyDescent="0.2">
      <c r="I289" s="101"/>
      <c r="J289" s="25"/>
      <c r="K289" s="25"/>
    </row>
    <row r="290" spans="9:11" x14ac:dyDescent="0.2">
      <c r="I290" s="101"/>
      <c r="J290" s="25"/>
      <c r="K290" s="25"/>
    </row>
    <row r="291" spans="9:11" x14ac:dyDescent="0.2">
      <c r="I291" s="101"/>
      <c r="J291" s="25"/>
      <c r="K291" s="25"/>
    </row>
    <row r="292" spans="9:11" x14ac:dyDescent="0.2">
      <c r="I292" s="101"/>
      <c r="J292" s="25"/>
      <c r="K292" s="25"/>
    </row>
    <row r="293" spans="9:11" x14ac:dyDescent="0.2">
      <c r="I293" s="101"/>
      <c r="J293" s="25"/>
      <c r="K293" s="25"/>
    </row>
    <row r="294" spans="9:11" x14ac:dyDescent="0.2">
      <c r="I294" s="101"/>
      <c r="J294" s="25"/>
      <c r="K294" s="25"/>
    </row>
    <row r="295" spans="9:11" x14ac:dyDescent="0.2">
      <c r="I295" s="101"/>
      <c r="J295" s="25"/>
      <c r="K295" s="25"/>
    </row>
    <row r="296" spans="9:11" x14ac:dyDescent="0.2">
      <c r="I296" s="101"/>
      <c r="J296" s="25"/>
      <c r="K296" s="25"/>
    </row>
    <row r="297" spans="9:11" x14ac:dyDescent="0.2">
      <c r="I297" s="101"/>
      <c r="J297" s="25"/>
      <c r="K297" s="25"/>
    </row>
    <row r="298" spans="9:11" x14ac:dyDescent="0.2">
      <c r="I298" s="101"/>
      <c r="J298" s="25"/>
      <c r="K298" s="25"/>
    </row>
    <row r="299" spans="9:11" x14ac:dyDescent="0.2">
      <c r="I299" s="101"/>
      <c r="J299" s="25"/>
      <c r="K299" s="25"/>
    </row>
    <row r="300" spans="9:11" x14ac:dyDescent="0.2">
      <c r="I300" s="101"/>
      <c r="J300" s="25"/>
      <c r="K300" s="25"/>
    </row>
    <row r="301" spans="9:11" x14ac:dyDescent="0.2">
      <c r="I301" s="101"/>
      <c r="J301" s="25"/>
      <c r="K301" s="25"/>
    </row>
    <row r="302" spans="9:11" x14ac:dyDescent="0.2">
      <c r="I302" s="101"/>
      <c r="J302" s="25"/>
      <c r="K302" s="25"/>
    </row>
    <row r="303" spans="9:11" x14ac:dyDescent="0.2">
      <c r="I303" s="101"/>
      <c r="J303" s="25"/>
      <c r="K303" s="25"/>
    </row>
    <row r="304" spans="9:11" x14ac:dyDescent="0.2">
      <c r="I304" s="101"/>
      <c r="J304" s="25"/>
      <c r="K304" s="25"/>
    </row>
    <row r="305" spans="9:11" x14ac:dyDescent="0.2">
      <c r="I305" s="101"/>
      <c r="J305" s="25"/>
      <c r="K305" s="25"/>
    </row>
    <row r="306" spans="9:11" x14ac:dyDescent="0.2">
      <c r="I306" s="101"/>
      <c r="J306" s="25"/>
      <c r="K306" s="25"/>
    </row>
    <row r="307" spans="9:11" x14ac:dyDescent="0.2">
      <c r="I307" s="101"/>
      <c r="J307" s="25"/>
      <c r="K307" s="25"/>
    </row>
    <row r="308" spans="9:11" x14ac:dyDescent="0.2">
      <c r="I308" s="101"/>
      <c r="J308" s="25"/>
      <c r="K308" s="25"/>
    </row>
    <row r="309" spans="9:11" x14ac:dyDescent="0.2">
      <c r="I309" s="101"/>
      <c r="J309" s="25"/>
      <c r="K309" s="25"/>
    </row>
    <row r="310" spans="9:11" x14ac:dyDescent="0.2">
      <c r="I310" s="101"/>
      <c r="J310" s="25"/>
      <c r="K310" s="25"/>
    </row>
    <row r="311" spans="9:11" x14ac:dyDescent="0.2">
      <c r="I311" s="101"/>
      <c r="J311" s="25"/>
      <c r="K311" s="25"/>
    </row>
    <row r="312" spans="9:11" x14ac:dyDescent="0.2">
      <c r="I312" s="101"/>
      <c r="J312" s="25"/>
      <c r="K312" s="25"/>
    </row>
    <row r="313" spans="9:11" x14ac:dyDescent="0.2">
      <c r="I313" s="101"/>
      <c r="J313" s="25"/>
      <c r="K313" s="25"/>
    </row>
    <row r="314" spans="9:11" x14ac:dyDescent="0.2">
      <c r="I314" s="101"/>
      <c r="J314" s="25"/>
      <c r="K314" s="25"/>
    </row>
    <row r="315" spans="9:11" x14ac:dyDescent="0.2">
      <c r="I315" s="101"/>
      <c r="J315" s="25"/>
      <c r="K315" s="25"/>
    </row>
    <row r="316" spans="9:11" x14ac:dyDescent="0.2">
      <c r="I316" s="101"/>
      <c r="J316" s="25"/>
      <c r="K316" s="25"/>
    </row>
    <row r="317" spans="9:11" x14ac:dyDescent="0.2">
      <c r="I317" s="101"/>
      <c r="J317" s="25"/>
      <c r="K317" s="25"/>
    </row>
    <row r="318" spans="9:11" x14ac:dyDescent="0.2">
      <c r="I318" s="101"/>
      <c r="J318" s="25"/>
      <c r="K318" s="25"/>
    </row>
    <row r="319" spans="9:11" x14ac:dyDescent="0.2">
      <c r="I319" s="101"/>
      <c r="J319" s="25"/>
      <c r="K319" s="25"/>
    </row>
    <row r="320" spans="9:11" x14ac:dyDescent="0.2">
      <c r="I320" s="101"/>
      <c r="J320" s="25"/>
      <c r="K320" s="25"/>
    </row>
    <row r="321" spans="9:11" x14ac:dyDescent="0.2">
      <c r="I321" s="101"/>
      <c r="J321" s="25"/>
      <c r="K321" s="25"/>
    </row>
    <row r="322" spans="9:11" x14ac:dyDescent="0.2">
      <c r="I322" s="101"/>
      <c r="J322" s="25"/>
      <c r="K322" s="25"/>
    </row>
    <row r="323" spans="9:11" x14ac:dyDescent="0.2">
      <c r="I323" s="101"/>
      <c r="J323" s="25"/>
      <c r="K323" s="25"/>
    </row>
    <row r="324" spans="9:11" x14ac:dyDescent="0.2">
      <c r="I324" s="101"/>
      <c r="J324" s="25"/>
      <c r="K324" s="25"/>
    </row>
    <row r="325" spans="9:11" x14ac:dyDescent="0.2">
      <c r="I325" s="101"/>
      <c r="J325" s="25"/>
      <c r="K325" s="25"/>
    </row>
    <row r="326" spans="9:11" x14ac:dyDescent="0.2">
      <c r="I326" s="101"/>
      <c r="J326" s="25"/>
      <c r="K326" s="25"/>
    </row>
    <row r="327" spans="9:11" x14ac:dyDescent="0.2">
      <c r="I327" s="101"/>
      <c r="J327" s="25"/>
      <c r="K327" s="25"/>
    </row>
    <row r="328" spans="9:11" x14ac:dyDescent="0.2">
      <c r="I328" s="101"/>
      <c r="J328" s="25"/>
      <c r="K328" s="25"/>
    </row>
    <row r="329" spans="9:11" x14ac:dyDescent="0.2">
      <c r="I329" s="101"/>
      <c r="J329" s="25"/>
      <c r="K329" s="25"/>
    </row>
    <row r="330" spans="9:11" x14ac:dyDescent="0.2">
      <c r="I330" s="101"/>
      <c r="J330" s="25"/>
      <c r="K330" s="25"/>
    </row>
    <row r="331" spans="9:11" x14ac:dyDescent="0.2">
      <c r="I331" s="101"/>
      <c r="J331" s="25"/>
      <c r="K331" s="25"/>
    </row>
    <row r="332" spans="9:11" x14ac:dyDescent="0.2">
      <c r="I332" s="101"/>
      <c r="J332" s="25"/>
      <c r="K332" s="25"/>
    </row>
    <row r="333" spans="9:11" x14ac:dyDescent="0.2">
      <c r="I333" s="101"/>
      <c r="J333" s="25"/>
      <c r="K333" s="25"/>
    </row>
    <row r="334" spans="9:11" x14ac:dyDescent="0.2">
      <c r="I334" s="101"/>
      <c r="J334" s="25"/>
      <c r="K334" s="25"/>
    </row>
    <row r="335" spans="9:11" x14ac:dyDescent="0.2">
      <c r="I335" s="101"/>
      <c r="J335" s="25"/>
      <c r="K335" s="25"/>
    </row>
    <row r="336" spans="9:11" x14ac:dyDescent="0.2">
      <c r="I336" s="101"/>
      <c r="J336" s="25"/>
      <c r="K336" s="25"/>
    </row>
    <row r="337" spans="9:11" x14ac:dyDescent="0.2">
      <c r="I337" s="101"/>
      <c r="J337" s="25"/>
      <c r="K337" s="25"/>
    </row>
    <row r="338" spans="9:11" x14ac:dyDescent="0.2">
      <c r="I338" s="101"/>
      <c r="J338" s="25"/>
      <c r="K338" s="25"/>
    </row>
    <row r="339" spans="9:11" x14ac:dyDescent="0.2">
      <c r="I339" s="101"/>
      <c r="J339" s="25"/>
      <c r="K339" s="25"/>
    </row>
    <row r="340" spans="9:11" x14ac:dyDescent="0.2">
      <c r="I340" s="101"/>
      <c r="J340" s="25"/>
      <c r="K340" s="25"/>
    </row>
    <row r="341" spans="9:11" x14ac:dyDescent="0.2">
      <c r="I341" s="101"/>
      <c r="J341" s="25"/>
      <c r="K341" s="25"/>
    </row>
    <row r="342" spans="9:11" x14ac:dyDescent="0.2">
      <c r="I342" s="101"/>
      <c r="J342" s="25"/>
      <c r="K342" s="25"/>
    </row>
    <row r="343" spans="9:11" x14ac:dyDescent="0.2">
      <c r="I343" s="101"/>
      <c r="J343" s="25"/>
      <c r="K343" s="25"/>
    </row>
    <row r="344" spans="9:11" x14ac:dyDescent="0.2">
      <c r="I344" s="101"/>
      <c r="J344" s="25"/>
      <c r="K344" s="25"/>
    </row>
    <row r="345" spans="9:11" x14ac:dyDescent="0.2">
      <c r="I345" s="101"/>
      <c r="J345" s="25"/>
      <c r="K345" s="25"/>
    </row>
    <row r="346" spans="9:11" x14ac:dyDescent="0.2">
      <c r="I346" s="101"/>
      <c r="J346" s="25"/>
      <c r="K346" s="25"/>
    </row>
    <row r="347" spans="9:11" x14ac:dyDescent="0.2">
      <c r="I347" s="101"/>
      <c r="J347" s="25"/>
      <c r="K347" s="25"/>
    </row>
    <row r="348" spans="9:11" x14ac:dyDescent="0.2">
      <c r="I348" s="101"/>
      <c r="J348" s="25"/>
      <c r="K348" s="25"/>
    </row>
    <row r="349" spans="9:11" x14ac:dyDescent="0.2">
      <c r="I349" s="101"/>
      <c r="J349" s="25"/>
      <c r="K349" s="25"/>
    </row>
    <row r="350" spans="9:11" x14ac:dyDescent="0.2">
      <c r="I350" s="101"/>
      <c r="J350" s="25"/>
      <c r="K350" s="25"/>
    </row>
    <row r="351" spans="9:11" x14ac:dyDescent="0.2">
      <c r="I351" s="101"/>
      <c r="J351" s="25"/>
      <c r="K351" s="25"/>
    </row>
    <row r="352" spans="9:11" x14ac:dyDescent="0.2">
      <c r="I352" s="101"/>
      <c r="J352" s="25"/>
      <c r="K352" s="25"/>
    </row>
    <row r="353" spans="9:11" x14ac:dyDescent="0.2">
      <c r="I353" s="101"/>
      <c r="J353" s="25"/>
      <c r="K353" s="25"/>
    </row>
    <row r="354" spans="9:11" x14ac:dyDescent="0.2">
      <c r="I354" s="101"/>
      <c r="J354" s="25"/>
      <c r="K354" s="25"/>
    </row>
    <row r="355" spans="9:11" x14ac:dyDescent="0.2">
      <c r="I355" s="101"/>
      <c r="J355" s="25"/>
      <c r="K355" s="25"/>
    </row>
    <row r="356" spans="9:11" x14ac:dyDescent="0.2">
      <c r="I356" s="101"/>
      <c r="J356" s="25"/>
      <c r="K356" s="25"/>
    </row>
    <row r="357" spans="9:11" x14ac:dyDescent="0.2">
      <c r="I357" s="101"/>
      <c r="J357" s="25"/>
      <c r="K357" s="25"/>
    </row>
    <row r="358" spans="9:11" x14ac:dyDescent="0.2">
      <c r="I358" s="101"/>
      <c r="J358" s="25"/>
      <c r="K358" s="25"/>
    </row>
    <row r="359" spans="9:11" x14ac:dyDescent="0.2">
      <c r="I359" s="101"/>
      <c r="J359" s="25"/>
      <c r="K359" s="25"/>
    </row>
    <row r="360" spans="9:11" x14ac:dyDescent="0.2">
      <c r="I360" s="101"/>
      <c r="J360" s="25"/>
      <c r="K360" s="25"/>
    </row>
    <row r="361" spans="9:11" x14ac:dyDescent="0.2">
      <c r="I361" s="101"/>
      <c r="J361" s="25"/>
      <c r="K361" s="25"/>
    </row>
    <row r="362" spans="9:11" x14ac:dyDescent="0.2">
      <c r="I362" s="101"/>
      <c r="J362" s="25"/>
      <c r="K362" s="25"/>
    </row>
    <row r="363" spans="9:11" x14ac:dyDescent="0.2">
      <c r="I363" s="101"/>
      <c r="J363" s="25"/>
      <c r="K363" s="25"/>
    </row>
    <row r="364" spans="9:11" x14ac:dyDescent="0.2">
      <c r="I364" s="101"/>
      <c r="J364" s="25"/>
      <c r="K364" s="25"/>
    </row>
    <row r="365" spans="9:11" x14ac:dyDescent="0.2">
      <c r="I365" s="101"/>
      <c r="J365" s="25"/>
      <c r="K365" s="25"/>
    </row>
    <row r="366" spans="9:11" x14ac:dyDescent="0.2">
      <c r="I366" s="101"/>
      <c r="J366" s="25"/>
      <c r="K366" s="25"/>
    </row>
    <row r="367" spans="9:11" x14ac:dyDescent="0.2">
      <c r="I367" s="101"/>
      <c r="J367" s="25"/>
      <c r="K367" s="25"/>
    </row>
    <row r="368" spans="9:11" x14ac:dyDescent="0.2">
      <c r="I368" s="101"/>
      <c r="J368" s="25"/>
      <c r="K368" s="25"/>
    </row>
    <row r="369" spans="9:11" x14ac:dyDescent="0.2">
      <c r="I369" s="101"/>
      <c r="J369" s="25"/>
      <c r="K369" s="25"/>
    </row>
    <row r="370" spans="9:11" x14ac:dyDescent="0.2">
      <c r="I370" s="101"/>
      <c r="J370" s="25"/>
      <c r="K370" s="25"/>
    </row>
    <row r="371" spans="9:11" x14ac:dyDescent="0.2">
      <c r="I371" s="101"/>
      <c r="J371" s="25"/>
      <c r="K371" s="25"/>
    </row>
    <row r="372" spans="9:11" x14ac:dyDescent="0.2">
      <c r="I372" s="101"/>
      <c r="J372" s="25"/>
      <c r="K372" s="25"/>
    </row>
    <row r="373" spans="9:11" x14ac:dyDescent="0.2">
      <c r="I373" s="101"/>
      <c r="J373" s="25"/>
      <c r="K373" s="25"/>
    </row>
    <row r="374" spans="9:11" x14ac:dyDescent="0.2">
      <c r="I374" s="101"/>
      <c r="J374" s="25"/>
      <c r="K374" s="25"/>
    </row>
    <row r="375" spans="9:11" x14ac:dyDescent="0.2">
      <c r="I375" s="101"/>
      <c r="J375" s="25"/>
      <c r="K375" s="25"/>
    </row>
    <row r="376" spans="9:11" x14ac:dyDescent="0.2">
      <c r="I376" s="101"/>
      <c r="J376" s="25"/>
      <c r="K376" s="25"/>
    </row>
    <row r="377" spans="9:11" x14ac:dyDescent="0.2">
      <c r="I377" s="101"/>
      <c r="J377" s="25"/>
      <c r="K377" s="25"/>
    </row>
    <row r="378" spans="9:11" x14ac:dyDescent="0.2">
      <c r="I378" s="101"/>
      <c r="J378" s="25"/>
      <c r="K378" s="25"/>
    </row>
    <row r="379" spans="9:11" x14ac:dyDescent="0.2">
      <c r="I379" s="101"/>
      <c r="J379" s="25"/>
      <c r="K379" s="25"/>
    </row>
    <row r="380" spans="9:11" x14ac:dyDescent="0.2">
      <c r="I380" s="101"/>
      <c r="J380" s="25"/>
      <c r="K380" s="25"/>
    </row>
    <row r="381" spans="9:11" x14ac:dyDescent="0.2">
      <c r="I381" s="101"/>
      <c r="J381" s="25"/>
      <c r="K381" s="25"/>
    </row>
    <row r="382" spans="9:11" x14ac:dyDescent="0.2">
      <c r="I382" s="101"/>
      <c r="J382" s="25"/>
      <c r="K382" s="25"/>
    </row>
    <row r="383" spans="9:11" x14ac:dyDescent="0.2">
      <c r="I383" s="101"/>
      <c r="J383" s="25"/>
      <c r="K383" s="25"/>
    </row>
    <row r="384" spans="9:11" x14ac:dyDescent="0.2">
      <c r="I384" s="101"/>
      <c r="J384" s="25"/>
      <c r="K384" s="25"/>
    </row>
    <row r="385" spans="9:11" x14ac:dyDescent="0.2">
      <c r="I385" s="101"/>
      <c r="J385" s="25"/>
      <c r="K385" s="25"/>
    </row>
    <row r="386" spans="9:11" x14ac:dyDescent="0.2">
      <c r="I386" s="101"/>
      <c r="J386" s="25"/>
      <c r="K386" s="25"/>
    </row>
    <row r="387" spans="9:11" x14ac:dyDescent="0.2">
      <c r="I387" s="101"/>
      <c r="J387" s="25"/>
      <c r="K387" s="25"/>
    </row>
    <row r="388" spans="9:11" x14ac:dyDescent="0.2">
      <c r="I388" s="101"/>
      <c r="J388" s="25"/>
      <c r="K388" s="25"/>
    </row>
    <row r="389" spans="9:11" x14ac:dyDescent="0.2">
      <c r="I389" s="101"/>
      <c r="J389" s="25"/>
      <c r="K389" s="25"/>
    </row>
    <row r="390" spans="9:11" x14ac:dyDescent="0.2">
      <c r="I390" s="101"/>
      <c r="J390" s="25"/>
      <c r="K390" s="25"/>
    </row>
    <row r="391" spans="9:11" x14ac:dyDescent="0.2">
      <c r="I391" s="101"/>
      <c r="J391" s="25"/>
      <c r="K391" s="25"/>
    </row>
    <row r="392" spans="9:11" x14ac:dyDescent="0.2">
      <c r="I392" s="101"/>
      <c r="J392" s="25"/>
      <c r="K392" s="25"/>
    </row>
    <row r="393" spans="9:11" x14ac:dyDescent="0.2">
      <c r="I393" s="101"/>
      <c r="J393" s="25"/>
      <c r="K393" s="25"/>
    </row>
    <row r="394" spans="9:11" x14ac:dyDescent="0.2">
      <c r="I394" s="101"/>
      <c r="J394" s="25"/>
      <c r="K394" s="25"/>
    </row>
    <row r="395" spans="9:11" x14ac:dyDescent="0.2">
      <c r="I395" s="101"/>
      <c r="J395" s="25"/>
      <c r="K395" s="25"/>
    </row>
    <row r="396" spans="9:11" x14ac:dyDescent="0.2">
      <c r="I396" s="101"/>
      <c r="J396" s="25"/>
      <c r="K396" s="25"/>
    </row>
    <row r="397" spans="9:11" x14ac:dyDescent="0.2">
      <c r="I397" s="101"/>
      <c r="J397" s="25"/>
      <c r="K397" s="25"/>
    </row>
    <row r="398" spans="9:11" x14ac:dyDescent="0.2">
      <c r="I398" s="101"/>
      <c r="J398" s="25"/>
      <c r="K398" s="25"/>
    </row>
    <row r="399" spans="9:11" x14ac:dyDescent="0.2">
      <c r="I399" s="101"/>
      <c r="J399" s="25"/>
      <c r="K399" s="25"/>
    </row>
    <row r="400" spans="9:11" x14ac:dyDescent="0.2">
      <c r="I400" s="101"/>
      <c r="J400" s="25"/>
      <c r="K400" s="25"/>
    </row>
    <row r="401" spans="9:11" x14ac:dyDescent="0.2">
      <c r="I401" s="101"/>
      <c r="J401" s="25"/>
      <c r="K401" s="25"/>
    </row>
    <row r="402" spans="9:11" x14ac:dyDescent="0.2">
      <c r="I402" s="101"/>
      <c r="J402" s="25"/>
      <c r="K402" s="25"/>
    </row>
    <row r="403" spans="9:11" x14ac:dyDescent="0.2">
      <c r="I403" s="101"/>
      <c r="J403" s="25"/>
      <c r="K403" s="25"/>
    </row>
    <row r="404" spans="9:11" x14ac:dyDescent="0.2">
      <c r="I404" s="101"/>
      <c r="J404" s="25"/>
      <c r="K404" s="25"/>
    </row>
    <row r="405" spans="9:11" x14ac:dyDescent="0.2">
      <c r="I405" s="101"/>
      <c r="J405" s="25"/>
      <c r="K405" s="25"/>
    </row>
    <row r="406" spans="9:11" x14ac:dyDescent="0.2">
      <c r="I406" s="101"/>
      <c r="J406" s="25"/>
      <c r="K406" s="25"/>
    </row>
    <row r="407" spans="9:11" x14ac:dyDescent="0.2">
      <c r="I407" s="101"/>
      <c r="J407" s="25"/>
      <c r="K407" s="25"/>
    </row>
    <row r="408" spans="9:11" x14ac:dyDescent="0.2">
      <c r="I408" s="101"/>
      <c r="J408" s="25"/>
      <c r="K408" s="25"/>
    </row>
    <row r="409" spans="9:11" x14ac:dyDescent="0.2">
      <c r="I409" s="101"/>
      <c r="J409" s="25"/>
      <c r="K409" s="25"/>
    </row>
    <row r="410" spans="9:11" x14ac:dyDescent="0.2">
      <c r="I410" s="101"/>
      <c r="J410" s="25"/>
      <c r="K410" s="25"/>
    </row>
    <row r="411" spans="9:11" x14ac:dyDescent="0.2">
      <c r="I411" s="101"/>
      <c r="J411" s="25"/>
      <c r="K411" s="25"/>
    </row>
    <row r="412" spans="9:11" x14ac:dyDescent="0.2">
      <c r="I412" s="101"/>
      <c r="J412" s="25"/>
      <c r="K412" s="25"/>
    </row>
    <row r="413" spans="9:11" x14ac:dyDescent="0.2">
      <c r="I413" s="101"/>
      <c r="J413" s="25"/>
      <c r="K413" s="25"/>
    </row>
    <row r="414" spans="9:11" x14ac:dyDescent="0.2">
      <c r="I414" s="101"/>
      <c r="J414" s="25"/>
      <c r="K414" s="25"/>
    </row>
    <row r="415" spans="9:11" x14ac:dyDescent="0.2">
      <c r="I415" s="101"/>
      <c r="J415" s="25"/>
      <c r="K415" s="25"/>
    </row>
    <row r="416" spans="9:11" x14ac:dyDescent="0.2">
      <c r="I416" s="101"/>
      <c r="J416" s="25"/>
      <c r="K416" s="25"/>
    </row>
    <row r="417" spans="9:11" x14ac:dyDescent="0.2">
      <c r="I417" s="101"/>
      <c r="J417" s="25"/>
      <c r="K417" s="25"/>
    </row>
    <row r="418" spans="9:11" x14ac:dyDescent="0.2">
      <c r="I418" s="101"/>
      <c r="J418" s="25"/>
      <c r="K418" s="25"/>
    </row>
    <row r="419" spans="9:11" x14ac:dyDescent="0.2">
      <c r="I419" s="101"/>
      <c r="J419" s="25"/>
      <c r="K419" s="25"/>
    </row>
    <row r="420" spans="9:11" x14ac:dyDescent="0.2">
      <c r="I420" s="101"/>
      <c r="J420" s="25"/>
      <c r="K420" s="25"/>
    </row>
    <row r="421" spans="9:11" x14ac:dyDescent="0.2">
      <c r="I421" s="101"/>
      <c r="J421" s="25"/>
      <c r="K421" s="25"/>
    </row>
    <row r="422" spans="9:11" x14ac:dyDescent="0.2">
      <c r="I422" s="101"/>
      <c r="J422" s="25"/>
      <c r="K422" s="25"/>
    </row>
    <row r="423" spans="9:11" x14ac:dyDescent="0.2">
      <c r="I423" s="101"/>
      <c r="J423" s="25"/>
      <c r="K423" s="25"/>
    </row>
    <row r="424" spans="9:11" x14ac:dyDescent="0.2">
      <c r="I424" s="101"/>
      <c r="J424" s="25"/>
      <c r="K424" s="25"/>
    </row>
    <row r="425" spans="9:11" x14ac:dyDescent="0.2">
      <c r="I425" s="101"/>
      <c r="J425" s="25"/>
      <c r="K425" s="25"/>
    </row>
    <row r="426" spans="9:11" x14ac:dyDescent="0.2">
      <c r="I426" s="101"/>
      <c r="J426" s="25"/>
      <c r="K426" s="25"/>
    </row>
    <row r="427" spans="9:11" x14ac:dyDescent="0.2">
      <c r="I427" s="101"/>
      <c r="J427" s="25"/>
      <c r="K427" s="25"/>
    </row>
    <row r="428" spans="9:11" x14ac:dyDescent="0.2">
      <c r="I428" s="101"/>
      <c r="J428" s="25"/>
      <c r="K428" s="25"/>
    </row>
    <row r="429" spans="9:11" x14ac:dyDescent="0.2">
      <c r="I429" s="101"/>
      <c r="J429" s="25"/>
      <c r="K429" s="25"/>
    </row>
    <row r="430" spans="9:11" x14ac:dyDescent="0.2">
      <c r="I430" s="101"/>
      <c r="J430" s="25"/>
      <c r="K430" s="25"/>
    </row>
    <row r="431" spans="9:11" x14ac:dyDescent="0.2">
      <c r="I431" s="101"/>
      <c r="J431" s="25"/>
      <c r="K431" s="25"/>
    </row>
    <row r="432" spans="9:11" x14ac:dyDescent="0.2">
      <c r="I432" s="101"/>
      <c r="J432" s="25"/>
      <c r="K432" s="25"/>
    </row>
    <row r="433" spans="9:11" x14ac:dyDescent="0.2">
      <c r="I433" s="101"/>
      <c r="J433" s="25"/>
      <c r="K433" s="25"/>
    </row>
    <row r="434" spans="9:11" x14ac:dyDescent="0.2">
      <c r="I434" s="101"/>
      <c r="J434" s="25"/>
      <c r="K434" s="25"/>
    </row>
    <row r="435" spans="9:11" x14ac:dyDescent="0.2">
      <c r="I435" s="101"/>
      <c r="J435" s="25"/>
      <c r="K435" s="25"/>
    </row>
    <row r="436" spans="9:11" x14ac:dyDescent="0.2">
      <c r="I436" s="101"/>
      <c r="J436" s="25"/>
      <c r="K436" s="25"/>
    </row>
    <row r="437" spans="9:11" x14ac:dyDescent="0.2">
      <c r="I437" s="101"/>
      <c r="J437" s="25"/>
      <c r="K437" s="25"/>
    </row>
    <row r="438" spans="9:11" x14ac:dyDescent="0.2">
      <c r="I438" s="101"/>
      <c r="J438" s="25"/>
      <c r="K438" s="25"/>
    </row>
    <row r="439" spans="9:11" x14ac:dyDescent="0.2">
      <c r="I439" s="101"/>
      <c r="J439" s="25"/>
      <c r="K439" s="25"/>
    </row>
    <row r="440" spans="9:11" x14ac:dyDescent="0.2">
      <c r="I440" s="101"/>
      <c r="J440" s="25"/>
      <c r="K440" s="25"/>
    </row>
    <row r="441" spans="9:11" x14ac:dyDescent="0.2">
      <c r="I441" s="101"/>
      <c r="J441" s="25"/>
      <c r="K441" s="25"/>
    </row>
    <row r="442" spans="9:11" x14ac:dyDescent="0.2">
      <c r="I442" s="101"/>
      <c r="J442" s="25"/>
      <c r="K442" s="25"/>
    </row>
    <row r="443" spans="9:11" x14ac:dyDescent="0.2">
      <c r="I443" s="101"/>
      <c r="J443" s="25"/>
      <c r="K443" s="25"/>
    </row>
    <row r="444" spans="9:11" x14ac:dyDescent="0.2">
      <c r="I444" s="101"/>
      <c r="J444" s="25"/>
      <c r="K444" s="25"/>
    </row>
    <row r="445" spans="9:11" x14ac:dyDescent="0.2">
      <c r="I445" s="101"/>
      <c r="J445" s="25"/>
      <c r="K445" s="25"/>
    </row>
    <row r="446" spans="9:11" x14ac:dyDescent="0.2">
      <c r="I446" s="101"/>
      <c r="J446" s="25"/>
      <c r="K446" s="25"/>
    </row>
    <row r="447" spans="9:11" x14ac:dyDescent="0.2">
      <c r="I447" s="101"/>
      <c r="J447" s="25"/>
      <c r="K447" s="25"/>
    </row>
    <row r="448" spans="9:11" x14ac:dyDescent="0.2">
      <c r="I448" s="101"/>
      <c r="J448" s="25"/>
      <c r="K448" s="25"/>
    </row>
    <row r="449" spans="9:11" x14ac:dyDescent="0.2">
      <c r="I449" s="101"/>
      <c r="J449" s="25"/>
      <c r="K449" s="25"/>
    </row>
    <row r="450" spans="9:11" x14ac:dyDescent="0.2">
      <c r="I450" s="101"/>
      <c r="J450" s="25"/>
      <c r="K450" s="25"/>
    </row>
    <row r="451" spans="9:11" x14ac:dyDescent="0.2">
      <c r="I451" s="101"/>
      <c r="J451" s="25"/>
      <c r="K451" s="25"/>
    </row>
    <row r="452" spans="9:11" x14ac:dyDescent="0.2">
      <c r="I452" s="101"/>
      <c r="J452" s="25"/>
      <c r="K452" s="25"/>
    </row>
    <row r="453" spans="9:11" x14ac:dyDescent="0.2">
      <c r="I453" s="101"/>
      <c r="J453" s="25"/>
      <c r="K453" s="25"/>
    </row>
    <row r="454" spans="9:11" x14ac:dyDescent="0.2">
      <c r="I454" s="101"/>
      <c r="J454" s="25"/>
      <c r="K454" s="25"/>
    </row>
    <row r="455" spans="9:11" x14ac:dyDescent="0.2">
      <c r="I455" s="101"/>
      <c r="J455" s="25"/>
      <c r="K455" s="25"/>
    </row>
    <row r="456" spans="9:11" x14ac:dyDescent="0.2">
      <c r="I456" s="101"/>
      <c r="J456" s="25"/>
      <c r="K456" s="25"/>
    </row>
    <row r="457" spans="9:11" x14ac:dyDescent="0.2">
      <c r="I457" s="101"/>
      <c r="J457" s="25"/>
      <c r="K457" s="25"/>
    </row>
    <row r="458" spans="9:11" x14ac:dyDescent="0.2">
      <c r="I458" s="101"/>
      <c r="J458" s="25"/>
      <c r="K458" s="25"/>
    </row>
    <row r="459" spans="9:11" x14ac:dyDescent="0.2">
      <c r="I459" s="101"/>
      <c r="J459" s="25"/>
      <c r="K459" s="25"/>
    </row>
    <row r="460" spans="9:11" x14ac:dyDescent="0.2">
      <c r="I460" s="101"/>
      <c r="J460" s="25"/>
      <c r="K460" s="25"/>
    </row>
    <row r="461" spans="9:11" x14ac:dyDescent="0.2">
      <c r="I461" s="101"/>
      <c r="J461" s="25"/>
      <c r="K461" s="25"/>
    </row>
    <row r="462" spans="9:11" x14ac:dyDescent="0.2">
      <c r="I462" s="101"/>
      <c r="J462" s="25"/>
      <c r="K462" s="25"/>
    </row>
    <row r="463" spans="9:11" x14ac:dyDescent="0.2">
      <c r="I463" s="101"/>
      <c r="J463" s="25"/>
      <c r="K463" s="25"/>
    </row>
    <row r="464" spans="9:11" x14ac:dyDescent="0.2">
      <c r="I464" s="101"/>
      <c r="J464" s="25"/>
      <c r="K464" s="25"/>
    </row>
    <row r="465" spans="9:11" x14ac:dyDescent="0.2">
      <c r="I465" s="101"/>
      <c r="J465" s="25"/>
      <c r="K465" s="25"/>
    </row>
    <row r="466" spans="9:11" x14ac:dyDescent="0.2">
      <c r="I466" s="101"/>
      <c r="J466" s="25"/>
      <c r="K466" s="25"/>
    </row>
    <row r="467" spans="9:11" x14ac:dyDescent="0.2">
      <c r="I467" s="101"/>
      <c r="J467" s="25"/>
      <c r="K467" s="25"/>
    </row>
    <row r="468" spans="9:11" x14ac:dyDescent="0.2">
      <c r="I468" s="101"/>
      <c r="J468" s="25"/>
      <c r="K468" s="25"/>
    </row>
    <row r="469" spans="9:11" x14ac:dyDescent="0.2">
      <c r="I469" s="101"/>
      <c r="J469" s="25"/>
      <c r="K469" s="25"/>
    </row>
    <row r="470" spans="9:11" x14ac:dyDescent="0.2">
      <c r="I470" s="101"/>
      <c r="J470" s="25"/>
      <c r="K470" s="25"/>
    </row>
    <row r="471" spans="9:11" x14ac:dyDescent="0.2">
      <c r="I471" s="101"/>
      <c r="J471" s="25"/>
      <c r="K471" s="25"/>
    </row>
    <row r="472" spans="9:11" x14ac:dyDescent="0.2">
      <c r="I472" s="101"/>
      <c r="J472" s="25"/>
      <c r="K472" s="25"/>
    </row>
    <row r="473" spans="9:11" x14ac:dyDescent="0.2">
      <c r="I473" s="101"/>
      <c r="J473" s="25"/>
      <c r="K473" s="25"/>
    </row>
    <row r="474" spans="9:11" x14ac:dyDescent="0.2">
      <c r="I474" s="101"/>
      <c r="J474" s="25"/>
      <c r="K474" s="25"/>
    </row>
    <row r="475" spans="9:11" x14ac:dyDescent="0.2">
      <c r="I475" s="101"/>
      <c r="J475" s="25"/>
      <c r="K475" s="25"/>
    </row>
    <row r="476" spans="9:11" x14ac:dyDescent="0.2">
      <c r="I476" s="101"/>
      <c r="J476" s="25"/>
      <c r="K476" s="25"/>
    </row>
    <row r="477" spans="9:11" x14ac:dyDescent="0.2">
      <c r="I477" s="101"/>
      <c r="J477" s="25"/>
      <c r="K477" s="25"/>
    </row>
    <row r="478" spans="9:11" x14ac:dyDescent="0.2">
      <c r="I478" s="101"/>
      <c r="J478" s="25"/>
      <c r="K478" s="25"/>
    </row>
    <row r="479" spans="9:11" x14ac:dyDescent="0.2">
      <c r="I479" s="101"/>
      <c r="J479" s="25"/>
      <c r="K479" s="25"/>
    </row>
    <row r="480" spans="9:11" x14ac:dyDescent="0.2">
      <c r="I480" s="101"/>
      <c r="J480" s="25"/>
      <c r="K480" s="25"/>
    </row>
    <row r="481" spans="9:11" x14ac:dyDescent="0.2">
      <c r="I481" s="101"/>
      <c r="J481" s="25"/>
      <c r="K481" s="25"/>
    </row>
    <row r="482" spans="9:11" x14ac:dyDescent="0.2">
      <c r="I482" s="101"/>
      <c r="J482" s="25"/>
      <c r="K482" s="25"/>
    </row>
    <row r="483" spans="9:11" x14ac:dyDescent="0.2">
      <c r="I483" s="101"/>
      <c r="J483" s="25"/>
      <c r="K483" s="25"/>
    </row>
    <row r="484" spans="9:11" x14ac:dyDescent="0.2">
      <c r="I484" s="101"/>
      <c r="J484" s="25"/>
      <c r="K484" s="25"/>
    </row>
    <row r="485" spans="9:11" x14ac:dyDescent="0.2">
      <c r="I485" s="101"/>
      <c r="J485" s="25"/>
      <c r="K485" s="25"/>
    </row>
    <row r="486" spans="9:11" x14ac:dyDescent="0.2">
      <c r="I486" s="101"/>
      <c r="J486" s="25"/>
      <c r="K486" s="25"/>
    </row>
    <row r="487" spans="9:11" x14ac:dyDescent="0.2">
      <c r="I487" s="101"/>
      <c r="J487" s="25"/>
      <c r="K487" s="25"/>
    </row>
    <row r="488" spans="9:11" x14ac:dyDescent="0.2">
      <c r="I488" s="101"/>
      <c r="J488" s="25"/>
      <c r="K488" s="25"/>
    </row>
    <row r="489" spans="9:11" x14ac:dyDescent="0.2">
      <c r="I489" s="101"/>
      <c r="J489" s="25"/>
      <c r="K489" s="25"/>
    </row>
    <row r="490" spans="9:11" x14ac:dyDescent="0.2">
      <c r="I490" s="101"/>
      <c r="J490" s="25"/>
      <c r="K490" s="25"/>
    </row>
    <row r="491" spans="9:11" x14ac:dyDescent="0.2">
      <c r="I491" s="101"/>
      <c r="J491" s="25"/>
      <c r="K491" s="25"/>
    </row>
    <row r="492" spans="9:11" x14ac:dyDescent="0.2">
      <c r="I492" s="101"/>
      <c r="J492" s="25"/>
      <c r="K492" s="25"/>
    </row>
    <row r="493" spans="9:11" x14ac:dyDescent="0.2">
      <c r="I493" s="101"/>
      <c r="J493" s="25"/>
      <c r="K493" s="25"/>
    </row>
    <row r="494" spans="9:11" x14ac:dyDescent="0.2">
      <c r="I494" s="101"/>
      <c r="J494" s="25"/>
      <c r="K494" s="25"/>
    </row>
    <row r="495" spans="9:11" x14ac:dyDescent="0.2">
      <c r="I495" s="101"/>
      <c r="J495" s="25"/>
      <c r="K495" s="25"/>
    </row>
    <row r="496" spans="9:11" x14ac:dyDescent="0.2">
      <c r="I496" s="101"/>
      <c r="J496" s="25"/>
      <c r="K496" s="25"/>
    </row>
    <row r="497" spans="9:11" x14ac:dyDescent="0.2">
      <c r="I497" s="101"/>
      <c r="J497" s="25"/>
      <c r="K497" s="25"/>
    </row>
    <row r="498" spans="9:11" x14ac:dyDescent="0.2">
      <c r="I498" s="101"/>
      <c r="J498" s="25"/>
      <c r="K498" s="25"/>
    </row>
    <row r="499" spans="9:11" x14ac:dyDescent="0.2">
      <c r="I499" s="101"/>
      <c r="J499" s="25"/>
      <c r="K499" s="25"/>
    </row>
    <row r="500" spans="9:11" x14ac:dyDescent="0.2">
      <c r="I500" s="101"/>
      <c r="J500" s="25"/>
      <c r="K500" s="25"/>
    </row>
    <row r="501" spans="9:11" x14ac:dyDescent="0.2">
      <c r="I501" s="101"/>
      <c r="J501" s="25"/>
      <c r="K501" s="25"/>
    </row>
    <row r="502" spans="9:11" x14ac:dyDescent="0.2">
      <c r="I502" s="101"/>
      <c r="J502" s="25"/>
      <c r="K502" s="25"/>
    </row>
    <row r="503" spans="9:11" x14ac:dyDescent="0.2">
      <c r="I503" s="101"/>
      <c r="J503" s="25"/>
      <c r="K503" s="25"/>
    </row>
    <row r="504" spans="9:11" x14ac:dyDescent="0.2">
      <c r="I504" s="101"/>
      <c r="J504" s="25"/>
      <c r="K504" s="25"/>
    </row>
    <row r="505" spans="9:11" x14ac:dyDescent="0.2">
      <c r="I505" s="101"/>
      <c r="J505" s="25"/>
      <c r="K505" s="25"/>
    </row>
    <row r="506" spans="9:11" x14ac:dyDescent="0.2">
      <c r="I506" s="101"/>
      <c r="J506" s="25"/>
      <c r="K506" s="25"/>
    </row>
    <row r="507" spans="9:11" x14ac:dyDescent="0.2">
      <c r="I507" s="101"/>
      <c r="J507" s="25"/>
      <c r="K507" s="25"/>
    </row>
    <row r="508" spans="9:11" x14ac:dyDescent="0.2">
      <c r="I508" s="101"/>
      <c r="J508" s="25"/>
      <c r="K508" s="25"/>
    </row>
    <row r="509" spans="9:11" x14ac:dyDescent="0.2">
      <c r="I509" s="101"/>
      <c r="J509" s="25"/>
      <c r="K509" s="25"/>
    </row>
    <row r="510" spans="9:11" x14ac:dyDescent="0.2">
      <c r="I510" s="101"/>
      <c r="J510" s="25"/>
      <c r="K510" s="25"/>
    </row>
    <row r="511" spans="9:11" x14ac:dyDescent="0.2">
      <c r="I511" s="101"/>
      <c r="J511" s="25"/>
      <c r="K511" s="25"/>
    </row>
    <row r="512" spans="9:11" x14ac:dyDescent="0.2">
      <c r="I512" s="101"/>
      <c r="J512" s="25"/>
      <c r="K512" s="25"/>
    </row>
    <row r="513" spans="9:11" x14ac:dyDescent="0.2">
      <c r="I513" s="101"/>
      <c r="J513" s="25"/>
      <c r="K513" s="25"/>
    </row>
    <row r="514" spans="9:11" x14ac:dyDescent="0.2">
      <c r="I514" s="101"/>
      <c r="J514" s="25"/>
      <c r="K514" s="25"/>
    </row>
    <row r="515" spans="9:11" x14ac:dyDescent="0.2">
      <c r="I515" s="101"/>
      <c r="J515" s="25"/>
      <c r="K515" s="25"/>
    </row>
    <row r="516" spans="9:11" x14ac:dyDescent="0.2">
      <c r="I516" s="101"/>
      <c r="J516" s="25"/>
      <c r="K516" s="25"/>
    </row>
    <row r="517" spans="9:11" x14ac:dyDescent="0.2">
      <c r="I517" s="101"/>
      <c r="J517" s="25"/>
      <c r="K517" s="25"/>
    </row>
    <row r="518" spans="9:11" x14ac:dyDescent="0.2">
      <c r="I518" s="101"/>
      <c r="J518" s="25"/>
      <c r="K518" s="25"/>
    </row>
    <row r="519" spans="9:11" x14ac:dyDescent="0.2">
      <c r="I519" s="101"/>
      <c r="J519" s="25"/>
      <c r="K519" s="25"/>
    </row>
    <row r="520" spans="9:11" x14ac:dyDescent="0.2">
      <c r="I520" s="101"/>
      <c r="J520" s="25"/>
      <c r="K520" s="25"/>
    </row>
    <row r="521" spans="9:11" x14ac:dyDescent="0.2">
      <c r="I521" s="101"/>
      <c r="J521" s="25"/>
      <c r="K521" s="25"/>
    </row>
    <row r="522" spans="9:11" x14ac:dyDescent="0.2">
      <c r="I522" s="101"/>
      <c r="J522" s="25"/>
      <c r="K522" s="25"/>
    </row>
    <row r="523" spans="9:11" x14ac:dyDescent="0.2">
      <c r="I523" s="101"/>
      <c r="J523" s="25"/>
      <c r="K523" s="25"/>
    </row>
    <row r="524" spans="9:11" x14ac:dyDescent="0.2">
      <c r="I524" s="101"/>
      <c r="J524" s="25"/>
      <c r="K524" s="25"/>
    </row>
    <row r="525" spans="9:11" x14ac:dyDescent="0.2">
      <c r="I525" s="101"/>
      <c r="J525" s="25"/>
      <c r="K525" s="25"/>
    </row>
    <row r="526" spans="9:11" x14ac:dyDescent="0.2">
      <c r="I526" s="101"/>
      <c r="J526" s="25"/>
      <c r="K526" s="25"/>
    </row>
    <row r="527" spans="9:11" x14ac:dyDescent="0.2">
      <c r="I527" s="101"/>
      <c r="J527" s="25"/>
      <c r="K527" s="25"/>
    </row>
    <row r="528" spans="9:11" x14ac:dyDescent="0.2">
      <c r="I528" s="101"/>
      <c r="J528" s="25"/>
      <c r="K528" s="25"/>
    </row>
    <row r="529" spans="9:11" x14ac:dyDescent="0.2">
      <c r="I529" s="101"/>
      <c r="J529" s="25"/>
      <c r="K529" s="25"/>
    </row>
    <row r="530" spans="9:11" x14ac:dyDescent="0.2">
      <c r="I530" s="101"/>
      <c r="J530" s="25"/>
      <c r="K530" s="25"/>
    </row>
    <row r="531" spans="9:11" x14ac:dyDescent="0.2">
      <c r="I531" s="101"/>
      <c r="J531" s="25"/>
      <c r="K531" s="25"/>
    </row>
    <row r="532" spans="9:11" x14ac:dyDescent="0.2">
      <c r="I532" s="101"/>
      <c r="J532" s="25"/>
      <c r="K532" s="25"/>
    </row>
    <row r="533" spans="9:11" x14ac:dyDescent="0.2">
      <c r="I533" s="101"/>
      <c r="J533" s="25"/>
      <c r="K533" s="25"/>
    </row>
    <row r="534" spans="9:11" x14ac:dyDescent="0.2">
      <c r="I534" s="101"/>
      <c r="J534" s="25"/>
      <c r="K534" s="25"/>
    </row>
    <row r="535" spans="9:11" x14ac:dyDescent="0.2">
      <c r="I535" s="101"/>
      <c r="J535" s="25"/>
      <c r="K535" s="25"/>
    </row>
    <row r="536" spans="9:11" x14ac:dyDescent="0.2">
      <c r="I536" s="101"/>
      <c r="J536" s="25"/>
      <c r="K536" s="25"/>
    </row>
    <row r="537" spans="9:11" x14ac:dyDescent="0.2">
      <c r="I537" s="101"/>
      <c r="J537" s="25"/>
      <c r="K537" s="25"/>
    </row>
    <row r="538" spans="9:11" x14ac:dyDescent="0.2">
      <c r="I538" s="101"/>
      <c r="J538" s="25"/>
      <c r="K538" s="25"/>
    </row>
    <row r="539" spans="9:11" x14ac:dyDescent="0.2">
      <c r="I539" s="101"/>
      <c r="J539" s="25"/>
      <c r="K539" s="25"/>
    </row>
    <row r="540" spans="9:11" x14ac:dyDescent="0.2">
      <c r="I540" s="101"/>
      <c r="J540" s="25"/>
      <c r="K540" s="25"/>
    </row>
    <row r="541" spans="9:11" x14ac:dyDescent="0.2">
      <c r="I541" s="101"/>
      <c r="J541" s="25"/>
      <c r="K541" s="25"/>
    </row>
    <row r="542" spans="9:11" x14ac:dyDescent="0.2">
      <c r="I542" s="101"/>
      <c r="J542" s="25"/>
      <c r="K542" s="25"/>
    </row>
    <row r="543" spans="9:11" x14ac:dyDescent="0.2">
      <c r="I543" s="101"/>
      <c r="J543" s="25"/>
      <c r="K543" s="25"/>
    </row>
    <row r="544" spans="9:11" x14ac:dyDescent="0.2">
      <c r="I544" s="101"/>
      <c r="J544" s="25"/>
      <c r="K544" s="25"/>
    </row>
    <row r="545" spans="9:11" x14ac:dyDescent="0.2">
      <c r="I545" s="101"/>
      <c r="J545" s="25"/>
      <c r="K545" s="25"/>
    </row>
    <row r="546" spans="9:11" x14ac:dyDescent="0.2">
      <c r="I546" s="101"/>
      <c r="J546" s="25"/>
      <c r="K546" s="25"/>
    </row>
    <row r="547" spans="9:11" x14ac:dyDescent="0.2">
      <c r="I547" s="101"/>
      <c r="J547" s="25"/>
      <c r="K547" s="25"/>
    </row>
    <row r="548" spans="9:11" x14ac:dyDescent="0.2">
      <c r="I548" s="101"/>
      <c r="J548" s="25"/>
      <c r="K548" s="25"/>
    </row>
    <row r="549" spans="9:11" x14ac:dyDescent="0.2">
      <c r="I549" s="101"/>
      <c r="J549" s="25"/>
      <c r="K549" s="25"/>
    </row>
    <row r="550" spans="9:11" x14ac:dyDescent="0.2">
      <c r="I550" s="101"/>
      <c r="J550" s="25"/>
      <c r="K550" s="25"/>
    </row>
    <row r="551" spans="9:11" x14ac:dyDescent="0.2">
      <c r="I551" s="101"/>
      <c r="J551" s="25"/>
      <c r="K551" s="25"/>
    </row>
    <row r="552" spans="9:11" x14ac:dyDescent="0.2">
      <c r="I552" s="101"/>
      <c r="J552" s="25"/>
      <c r="K552" s="25"/>
    </row>
    <row r="553" spans="9:11" x14ac:dyDescent="0.2">
      <c r="I553" s="101"/>
      <c r="J553" s="25"/>
      <c r="K553" s="25"/>
    </row>
    <row r="554" spans="9:11" x14ac:dyDescent="0.2">
      <c r="I554" s="101"/>
      <c r="J554" s="25"/>
      <c r="K554" s="25"/>
    </row>
    <row r="555" spans="9:11" x14ac:dyDescent="0.2">
      <c r="I555" s="101"/>
      <c r="J555" s="25"/>
      <c r="K555" s="25"/>
    </row>
    <row r="556" spans="9:11" x14ac:dyDescent="0.2">
      <c r="I556" s="101"/>
      <c r="J556" s="25"/>
      <c r="K556" s="25"/>
    </row>
    <row r="557" spans="9:11" x14ac:dyDescent="0.2">
      <c r="I557" s="101"/>
      <c r="J557" s="25"/>
      <c r="K557" s="25"/>
    </row>
    <row r="558" spans="9:11" x14ac:dyDescent="0.2">
      <c r="I558" s="101"/>
      <c r="J558" s="25"/>
      <c r="K558" s="25"/>
    </row>
    <row r="559" spans="9:11" x14ac:dyDescent="0.2">
      <c r="I559" s="101"/>
      <c r="J559" s="25"/>
      <c r="K559" s="25"/>
    </row>
    <row r="560" spans="9:11" x14ac:dyDescent="0.2">
      <c r="I560" s="101"/>
      <c r="J560" s="25"/>
      <c r="K560" s="25"/>
    </row>
    <row r="561" spans="9:11" x14ac:dyDescent="0.2">
      <c r="I561" s="101"/>
      <c r="J561" s="25"/>
      <c r="K561" s="25"/>
    </row>
    <row r="562" spans="9:11" x14ac:dyDescent="0.2">
      <c r="I562" s="101"/>
      <c r="J562" s="25"/>
      <c r="K562" s="25"/>
    </row>
    <row r="563" spans="9:11" x14ac:dyDescent="0.2">
      <c r="I563" s="101"/>
      <c r="J563" s="25"/>
      <c r="K563" s="25"/>
    </row>
    <row r="564" spans="9:11" x14ac:dyDescent="0.2">
      <c r="I564" s="101"/>
      <c r="J564" s="25"/>
      <c r="K564" s="25"/>
    </row>
    <row r="565" spans="9:11" x14ac:dyDescent="0.2">
      <c r="I565" s="101"/>
      <c r="J565" s="25"/>
      <c r="K565" s="25"/>
    </row>
    <row r="566" spans="9:11" x14ac:dyDescent="0.2">
      <c r="I566" s="101"/>
      <c r="J566" s="25"/>
      <c r="K566" s="25"/>
    </row>
    <row r="567" spans="9:11" x14ac:dyDescent="0.2">
      <c r="I567" s="101"/>
      <c r="J567" s="25"/>
      <c r="K567" s="25"/>
    </row>
    <row r="568" spans="9:11" x14ac:dyDescent="0.2">
      <c r="I568" s="101"/>
      <c r="J568" s="25"/>
      <c r="K568" s="25"/>
    </row>
    <row r="569" spans="9:11" x14ac:dyDescent="0.2">
      <c r="I569" s="101"/>
      <c r="J569" s="25"/>
      <c r="K569" s="25"/>
    </row>
    <row r="570" spans="9:11" x14ac:dyDescent="0.2">
      <c r="I570" s="101"/>
      <c r="J570" s="25"/>
      <c r="K570" s="25"/>
    </row>
    <row r="571" spans="9:11" x14ac:dyDescent="0.2">
      <c r="I571" s="101"/>
      <c r="J571" s="25"/>
      <c r="K571" s="25"/>
    </row>
    <row r="572" spans="9:11" x14ac:dyDescent="0.2">
      <c r="I572" s="101"/>
      <c r="J572" s="25"/>
      <c r="K572" s="25"/>
    </row>
    <row r="573" spans="9:11" x14ac:dyDescent="0.2">
      <c r="I573" s="101"/>
      <c r="J573" s="25"/>
      <c r="K573" s="25"/>
    </row>
    <row r="574" spans="9:11" x14ac:dyDescent="0.2">
      <c r="I574" s="101"/>
      <c r="J574" s="25"/>
      <c r="K574" s="25"/>
    </row>
    <row r="575" spans="9:11" x14ac:dyDescent="0.2">
      <c r="I575" s="101"/>
      <c r="J575" s="25"/>
      <c r="K575" s="25"/>
    </row>
    <row r="576" spans="9:11" x14ac:dyDescent="0.2">
      <c r="I576" s="101"/>
      <c r="J576" s="25"/>
      <c r="K576" s="25"/>
    </row>
    <row r="577" spans="9:11" x14ac:dyDescent="0.2">
      <c r="I577" s="101"/>
      <c r="J577" s="25"/>
      <c r="K577" s="25"/>
    </row>
    <row r="578" spans="9:11" x14ac:dyDescent="0.2">
      <c r="I578" s="101"/>
      <c r="J578" s="25"/>
      <c r="K578" s="25"/>
    </row>
    <row r="579" spans="9:11" x14ac:dyDescent="0.2">
      <c r="I579" s="101"/>
      <c r="J579" s="25"/>
      <c r="K579" s="25"/>
    </row>
    <row r="580" spans="9:11" x14ac:dyDescent="0.2">
      <c r="I580" s="101"/>
      <c r="J580" s="25"/>
      <c r="K580" s="25"/>
    </row>
    <row r="581" spans="9:11" x14ac:dyDescent="0.2">
      <c r="I581" s="101"/>
      <c r="J581" s="25"/>
      <c r="K581" s="25"/>
    </row>
    <row r="582" spans="9:11" x14ac:dyDescent="0.2">
      <c r="I582" s="101"/>
      <c r="J582" s="25"/>
      <c r="K582" s="25"/>
    </row>
    <row r="583" spans="9:11" x14ac:dyDescent="0.2">
      <c r="I583" s="101"/>
      <c r="J583" s="25"/>
      <c r="K583" s="25"/>
    </row>
    <row r="584" spans="9:11" x14ac:dyDescent="0.2">
      <c r="I584" s="101"/>
      <c r="J584" s="25"/>
      <c r="K584" s="25"/>
    </row>
    <row r="585" spans="9:11" x14ac:dyDescent="0.2">
      <c r="I585" s="101"/>
      <c r="J585" s="25"/>
      <c r="K585" s="25"/>
    </row>
    <row r="586" spans="9:11" x14ac:dyDescent="0.2">
      <c r="I586" s="101"/>
      <c r="J586" s="25"/>
      <c r="K586" s="25"/>
    </row>
    <row r="587" spans="9:11" x14ac:dyDescent="0.2">
      <c r="I587" s="101"/>
      <c r="J587" s="25"/>
      <c r="K587" s="25"/>
    </row>
    <row r="588" spans="9:11" x14ac:dyDescent="0.2">
      <c r="I588" s="101"/>
      <c r="J588" s="25"/>
      <c r="K588" s="25"/>
    </row>
    <row r="589" spans="9:11" x14ac:dyDescent="0.2">
      <c r="I589" s="101"/>
      <c r="J589" s="25"/>
      <c r="K589" s="25"/>
    </row>
    <row r="590" spans="9:11" x14ac:dyDescent="0.2">
      <c r="I590" s="101"/>
      <c r="J590" s="25"/>
      <c r="K590" s="25"/>
    </row>
    <row r="591" spans="9:11" x14ac:dyDescent="0.2">
      <c r="I591" s="101"/>
      <c r="J591" s="25"/>
      <c r="K591" s="25"/>
    </row>
    <row r="592" spans="9:11" x14ac:dyDescent="0.2">
      <c r="I592" s="101"/>
      <c r="J592" s="25"/>
      <c r="K592" s="25"/>
    </row>
    <row r="593" spans="9:11" x14ac:dyDescent="0.2">
      <c r="I593" s="101"/>
      <c r="J593" s="25"/>
      <c r="K593" s="25"/>
    </row>
    <row r="594" spans="9:11" x14ac:dyDescent="0.2">
      <c r="I594" s="101"/>
      <c r="J594" s="25"/>
      <c r="K594" s="25"/>
    </row>
    <row r="595" spans="9:11" x14ac:dyDescent="0.2">
      <c r="I595" s="101"/>
      <c r="J595" s="25"/>
      <c r="K595" s="25"/>
    </row>
    <row r="596" spans="9:11" x14ac:dyDescent="0.2">
      <c r="I596" s="101"/>
      <c r="J596" s="25"/>
      <c r="K596" s="25"/>
    </row>
    <row r="597" spans="9:11" x14ac:dyDescent="0.2">
      <c r="I597" s="101"/>
      <c r="J597" s="25"/>
      <c r="K597" s="25"/>
    </row>
    <row r="598" spans="9:11" x14ac:dyDescent="0.2">
      <c r="I598" s="101"/>
      <c r="J598" s="25"/>
      <c r="K598" s="25"/>
    </row>
    <row r="599" spans="9:11" x14ac:dyDescent="0.2">
      <c r="I599" s="101"/>
      <c r="J599" s="25"/>
      <c r="K599" s="25"/>
    </row>
    <row r="600" spans="9:11" x14ac:dyDescent="0.2">
      <c r="I600" s="101"/>
      <c r="J600" s="25"/>
      <c r="K600" s="25"/>
    </row>
    <row r="601" spans="9:11" x14ac:dyDescent="0.2">
      <c r="I601" s="101"/>
      <c r="J601" s="25"/>
      <c r="K601" s="25"/>
    </row>
    <row r="602" spans="9:11" x14ac:dyDescent="0.2">
      <c r="I602" s="101"/>
      <c r="J602" s="25"/>
      <c r="K602" s="25"/>
    </row>
    <row r="603" spans="9:11" x14ac:dyDescent="0.2">
      <c r="I603" s="101"/>
      <c r="J603" s="25"/>
      <c r="K603" s="25"/>
    </row>
    <row r="604" spans="9:11" x14ac:dyDescent="0.2">
      <c r="I604" s="101"/>
      <c r="J604" s="25"/>
      <c r="K604" s="25"/>
    </row>
    <row r="605" spans="9:11" x14ac:dyDescent="0.2">
      <c r="I605" s="101"/>
      <c r="J605" s="25"/>
      <c r="K605" s="25"/>
    </row>
    <row r="606" spans="9:11" x14ac:dyDescent="0.2">
      <c r="I606" s="101"/>
      <c r="J606" s="25"/>
      <c r="K606" s="25"/>
    </row>
    <row r="607" spans="9:11" x14ac:dyDescent="0.2">
      <c r="I607" s="101"/>
      <c r="J607" s="25"/>
      <c r="K607" s="25"/>
    </row>
    <row r="608" spans="9:11" x14ac:dyDescent="0.2">
      <c r="I608" s="101"/>
      <c r="J608" s="25"/>
      <c r="K608" s="25"/>
    </row>
    <row r="609" spans="9:11" x14ac:dyDescent="0.2">
      <c r="I609" s="101"/>
      <c r="J609" s="25"/>
      <c r="K609" s="25"/>
    </row>
    <row r="610" spans="9:11" x14ac:dyDescent="0.2">
      <c r="I610" s="101"/>
      <c r="J610" s="25"/>
      <c r="K610" s="25"/>
    </row>
    <row r="611" spans="9:11" x14ac:dyDescent="0.2">
      <c r="I611" s="101"/>
      <c r="J611" s="25"/>
      <c r="K611" s="25"/>
    </row>
    <row r="612" spans="9:11" x14ac:dyDescent="0.2">
      <c r="I612" s="101"/>
      <c r="J612" s="25"/>
      <c r="K612" s="25"/>
    </row>
    <row r="613" spans="9:11" x14ac:dyDescent="0.2">
      <c r="I613" s="101"/>
      <c r="J613" s="25"/>
      <c r="K613" s="25"/>
    </row>
    <row r="614" spans="9:11" x14ac:dyDescent="0.2">
      <c r="I614" s="101"/>
      <c r="J614" s="25"/>
      <c r="K614" s="25"/>
    </row>
    <row r="615" spans="9:11" x14ac:dyDescent="0.2">
      <c r="I615" s="101"/>
      <c r="J615" s="25"/>
      <c r="K615" s="25"/>
    </row>
    <row r="616" spans="9:11" x14ac:dyDescent="0.2">
      <c r="I616" s="101"/>
      <c r="J616" s="25"/>
      <c r="K616" s="25"/>
    </row>
    <row r="617" spans="9:11" x14ac:dyDescent="0.2">
      <c r="I617" s="101"/>
      <c r="J617" s="25"/>
      <c r="K617" s="25"/>
    </row>
    <row r="618" spans="9:11" x14ac:dyDescent="0.2">
      <c r="I618" s="101"/>
      <c r="J618" s="25"/>
      <c r="K618" s="25"/>
    </row>
    <row r="619" spans="9:11" x14ac:dyDescent="0.2">
      <c r="I619" s="101"/>
      <c r="J619" s="25"/>
      <c r="K619" s="25"/>
    </row>
    <row r="620" spans="9:11" x14ac:dyDescent="0.2">
      <c r="I620" s="101"/>
      <c r="J620" s="25"/>
      <c r="K620" s="25"/>
    </row>
    <row r="621" spans="9:11" x14ac:dyDescent="0.2">
      <c r="I621" s="101"/>
      <c r="J621" s="25"/>
      <c r="K621" s="25"/>
    </row>
    <row r="622" spans="9:11" x14ac:dyDescent="0.2">
      <c r="I622" s="101"/>
      <c r="J622" s="25"/>
      <c r="K622" s="25"/>
    </row>
    <row r="623" spans="9:11" x14ac:dyDescent="0.2">
      <c r="I623" s="101"/>
      <c r="J623" s="25"/>
      <c r="K623" s="25"/>
    </row>
    <row r="624" spans="9:11" x14ac:dyDescent="0.2">
      <c r="I624" s="101"/>
      <c r="J624" s="25"/>
      <c r="K624" s="25"/>
    </row>
    <row r="625" spans="9:11" x14ac:dyDescent="0.2">
      <c r="I625" s="101"/>
      <c r="J625" s="25"/>
      <c r="K625" s="25"/>
    </row>
    <row r="626" spans="9:11" x14ac:dyDescent="0.2">
      <c r="I626" s="101"/>
      <c r="J626" s="25"/>
      <c r="K626" s="25"/>
    </row>
    <row r="627" spans="9:11" x14ac:dyDescent="0.2">
      <c r="I627" s="101"/>
      <c r="J627" s="25"/>
      <c r="K627" s="25"/>
    </row>
    <row r="628" spans="9:11" x14ac:dyDescent="0.2">
      <c r="I628" s="101"/>
      <c r="J628" s="25"/>
      <c r="K628" s="25"/>
    </row>
    <row r="629" spans="9:11" x14ac:dyDescent="0.2">
      <c r="I629" s="101"/>
      <c r="J629" s="25"/>
      <c r="K629" s="25"/>
    </row>
    <row r="630" spans="9:11" x14ac:dyDescent="0.2">
      <c r="I630" s="101"/>
      <c r="J630" s="25"/>
      <c r="K630" s="25"/>
    </row>
    <row r="631" spans="9:11" x14ac:dyDescent="0.2">
      <c r="I631" s="101"/>
      <c r="J631" s="25"/>
      <c r="K631" s="25"/>
    </row>
    <row r="632" spans="9:11" x14ac:dyDescent="0.2">
      <c r="I632" s="101"/>
      <c r="J632" s="25"/>
      <c r="K632" s="25"/>
    </row>
    <row r="633" spans="9:11" x14ac:dyDescent="0.2">
      <c r="I633" s="101"/>
      <c r="J633" s="25"/>
      <c r="K633" s="25"/>
    </row>
    <row r="634" spans="9:11" x14ac:dyDescent="0.2">
      <c r="I634" s="101"/>
      <c r="J634" s="25"/>
      <c r="K634" s="25"/>
    </row>
    <row r="635" spans="9:11" x14ac:dyDescent="0.2">
      <c r="I635" s="101"/>
      <c r="J635" s="25"/>
      <c r="K635" s="25"/>
    </row>
    <row r="636" spans="9:11" x14ac:dyDescent="0.2">
      <c r="I636" s="101"/>
      <c r="J636" s="25"/>
      <c r="K636" s="25"/>
    </row>
    <row r="637" spans="9:11" x14ac:dyDescent="0.2">
      <c r="I637" s="101"/>
      <c r="J637" s="25"/>
      <c r="K637" s="25"/>
    </row>
    <row r="638" spans="9:11" x14ac:dyDescent="0.2">
      <c r="I638" s="101"/>
      <c r="J638" s="25"/>
      <c r="K638" s="25"/>
    </row>
    <row r="639" spans="9:11" x14ac:dyDescent="0.2">
      <c r="I639" s="101"/>
      <c r="J639" s="25"/>
      <c r="K639" s="25"/>
    </row>
    <row r="640" spans="9:11" x14ac:dyDescent="0.2">
      <c r="I640" s="101"/>
      <c r="J640" s="25"/>
      <c r="K640" s="25"/>
    </row>
    <row r="641" spans="9:11" x14ac:dyDescent="0.2">
      <c r="I641" s="101"/>
      <c r="J641" s="25"/>
      <c r="K641" s="25"/>
    </row>
    <row r="642" spans="9:11" x14ac:dyDescent="0.2">
      <c r="I642" s="101"/>
      <c r="J642" s="25"/>
      <c r="K642" s="25"/>
    </row>
    <row r="643" spans="9:11" x14ac:dyDescent="0.2">
      <c r="I643" s="101"/>
      <c r="J643" s="25"/>
      <c r="K643" s="25"/>
    </row>
    <row r="644" spans="9:11" x14ac:dyDescent="0.2">
      <c r="I644" s="101"/>
      <c r="J644" s="25"/>
      <c r="K644" s="25"/>
    </row>
    <row r="645" spans="9:11" x14ac:dyDescent="0.2">
      <c r="I645" s="101"/>
      <c r="J645" s="25"/>
      <c r="K645" s="25"/>
    </row>
    <row r="646" spans="9:11" x14ac:dyDescent="0.2">
      <c r="I646" s="101"/>
      <c r="J646" s="25"/>
      <c r="K646" s="25"/>
    </row>
    <row r="647" spans="9:11" x14ac:dyDescent="0.2">
      <c r="I647" s="101"/>
      <c r="J647" s="25"/>
      <c r="K647" s="25"/>
    </row>
    <row r="648" spans="9:11" x14ac:dyDescent="0.2">
      <c r="I648" s="101"/>
      <c r="J648" s="25"/>
      <c r="K648" s="25"/>
    </row>
    <row r="649" spans="9:11" x14ac:dyDescent="0.2">
      <c r="I649" s="101"/>
      <c r="J649" s="25"/>
      <c r="K649" s="25"/>
    </row>
    <row r="650" spans="9:11" x14ac:dyDescent="0.2">
      <c r="I650" s="101"/>
      <c r="J650" s="25"/>
      <c r="K650" s="25"/>
    </row>
    <row r="651" spans="9:11" x14ac:dyDescent="0.2">
      <c r="I651" s="101"/>
      <c r="J651" s="25"/>
      <c r="K651" s="25"/>
    </row>
    <row r="652" spans="9:11" x14ac:dyDescent="0.2">
      <c r="I652" s="101"/>
      <c r="J652" s="25"/>
      <c r="K652" s="25"/>
    </row>
    <row r="653" spans="9:11" x14ac:dyDescent="0.2">
      <c r="I653" s="101"/>
      <c r="J653" s="25"/>
      <c r="K653" s="25"/>
    </row>
    <row r="654" spans="9:11" x14ac:dyDescent="0.2">
      <c r="I654" s="101"/>
      <c r="J654" s="25"/>
      <c r="K654" s="25"/>
    </row>
    <row r="655" spans="9:11" x14ac:dyDescent="0.2">
      <c r="I655" s="101"/>
      <c r="J655" s="25"/>
      <c r="K655" s="25"/>
    </row>
    <row r="656" spans="9:11" x14ac:dyDescent="0.2">
      <c r="I656" s="101"/>
      <c r="J656" s="25"/>
      <c r="K656" s="25"/>
    </row>
    <row r="657" spans="9:11" x14ac:dyDescent="0.2">
      <c r="I657" s="101"/>
      <c r="J657" s="25"/>
      <c r="K657" s="25"/>
    </row>
    <row r="658" spans="9:11" x14ac:dyDescent="0.2">
      <c r="I658" s="101"/>
      <c r="J658" s="25"/>
      <c r="K658" s="25"/>
    </row>
    <row r="659" spans="9:11" x14ac:dyDescent="0.2">
      <c r="I659" s="101"/>
      <c r="J659" s="25"/>
      <c r="K659" s="25"/>
    </row>
    <row r="660" spans="9:11" x14ac:dyDescent="0.2">
      <c r="I660" s="101"/>
      <c r="J660" s="25"/>
      <c r="K660" s="25"/>
    </row>
    <row r="661" spans="9:11" x14ac:dyDescent="0.2">
      <c r="I661" s="101"/>
      <c r="J661" s="25"/>
      <c r="K661" s="25"/>
    </row>
    <row r="662" spans="9:11" x14ac:dyDescent="0.2">
      <c r="I662" s="101"/>
      <c r="J662" s="25"/>
      <c r="K662" s="25"/>
    </row>
    <row r="663" spans="9:11" x14ac:dyDescent="0.2">
      <c r="I663" s="101"/>
      <c r="J663" s="25"/>
      <c r="K663" s="25"/>
    </row>
    <row r="664" spans="9:11" x14ac:dyDescent="0.2">
      <c r="I664" s="101"/>
      <c r="J664" s="25"/>
      <c r="K664" s="25"/>
    </row>
    <row r="665" spans="9:11" x14ac:dyDescent="0.2">
      <c r="I665" s="101"/>
      <c r="J665" s="25"/>
      <c r="K665" s="25"/>
    </row>
    <row r="666" spans="9:11" x14ac:dyDescent="0.2">
      <c r="I666" s="101"/>
      <c r="J666" s="25"/>
      <c r="K666" s="25"/>
    </row>
    <row r="667" spans="9:11" x14ac:dyDescent="0.2">
      <c r="I667" s="101"/>
      <c r="J667" s="25"/>
      <c r="K667" s="25"/>
    </row>
    <row r="668" spans="9:11" x14ac:dyDescent="0.2">
      <c r="I668" s="101"/>
      <c r="J668" s="25"/>
      <c r="K668" s="25"/>
    </row>
    <row r="669" spans="9:11" x14ac:dyDescent="0.2">
      <c r="I669" s="101"/>
      <c r="J669" s="25"/>
      <c r="K669" s="25"/>
    </row>
    <row r="670" spans="9:11" x14ac:dyDescent="0.2">
      <c r="I670" s="101"/>
      <c r="J670" s="25"/>
      <c r="K670" s="25"/>
    </row>
    <row r="671" spans="9:11" x14ac:dyDescent="0.2">
      <c r="I671" s="101"/>
      <c r="J671" s="25"/>
      <c r="K671" s="25"/>
    </row>
    <row r="672" spans="9:11" x14ac:dyDescent="0.2">
      <c r="I672" s="101"/>
      <c r="J672" s="25"/>
      <c r="K672" s="25"/>
    </row>
    <row r="673" spans="9:11" x14ac:dyDescent="0.2">
      <c r="I673" s="101"/>
      <c r="J673" s="25"/>
      <c r="K673" s="25"/>
    </row>
    <row r="674" spans="9:11" x14ac:dyDescent="0.2">
      <c r="I674" s="101"/>
      <c r="J674" s="25"/>
      <c r="K674" s="25"/>
    </row>
    <row r="675" spans="9:11" x14ac:dyDescent="0.2">
      <c r="I675" s="101"/>
      <c r="J675" s="25"/>
      <c r="K675" s="25"/>
    </row>
    <row r="676" spans="9:11" x14ac:dyDescent="0.2">
      <c r="I676" s="101"/>
      <c r="J676" s="25"/>
      <c r="K676" s="25"/>
    </row>
    <row r="677" spans="9:11" x14ac:dyDescent="0.2">
      <c r="I677" s="101"/>
      <c r="J677" s="25"/>
      <c r="K677" s="25"/>
    </row>
    <row r="678" spans="9:11" x14ac:dyDescent="0.2">
      <c r="I678" s="101"/>
      <c r="J678" s="25"/>
      <c r="K678" s="25"/>
    </row>
    <row r="679" spans="9:11" x14ac:dyDescent="0.2">
      <c r="I679" s="101"/>
      <c r="J679" s="25"/>
      <c r="K679" s="25"/>
    </row>
    <row r="680" spans="9:11" x14ac:dyDescent="0.2">
      <c r="I680" s="101"/>
      <c r="J680" s="25"/>
      <c r="K680" s="25"/>
    </row>
    <row r="681" spans="9:11" x14ac:dyDescent="0.2">
      <c r="I681" s="101"/>
      <c r="J681" s="25"/>
      <c r="K681" s="25"/>
    </row>
    <row r="682" spans="9:11" x14ac:dyDescent="0.2">
      <c r="I682" s="101"/>
      <c r="J682" s="25"/>
      <c r="K682" s="25"/>
    </row>
    <row r="683" spans="9:11" x14ac:dyDescent="0.2">
      <c r="I683" s="101"/>
      <c r="J683" s="25"/>
      <c r="K683" s="25"/>
    </row>
    <row r="684" spans="9:11" x14ac:dyDescent="0.2">
      <c r="I684" s="101"/>
      <c r="J684" s="25"/>
      <c r="K684" s="25"/>
    </row>
    <row r="685" spans="9:11" x14ac:dyDescent="0.2">
      <c r="I685" s="101"/>
      <c r="J685" s="25"/>
      <c r="K685" s="25"/>
    </row>
    <row r="686" spans="9:11" x14ac:dyDescent="0.2">
      <c r="I686" s="101"/>
      <c r="J686" s="25"/>
      <c r="K686" s="25"/>
    </row>
    <row r="687" spans="9:11" x14ac:dyDescent="0.2">
      <c r="I687" s="101"/>
      <c r="J687" s="25"/>
      <c r="K687" s="25"/>
    </row>
    <row r="688" spans="9:11" x14ac:dyDescent="0.2">
      <c r="I688" s="101"/>
      <c r="J688" s="25"/>
      <c r="K688" s="25"/>
    </row>
    <row r="689" spans="9:11" x14ac:dyDescent="0.2">
      <c r="I689" s="101"/>
      <c r="J689" s="25"/>
      <c r="K689" s="25"/>
    </row>
    <row r="690" spans="9:11" x14ac:dyDescent="0.2">
      <c r="I690" s="101"/>
      <c r="J690" s="25"/>
      <c r="K690" s="25"/>
    </row>
    <row r="691" spans="9:11" x14ac:dyDescent="0.2">
      <c r="I691" s="101"/>
      <c r="J691" s="25"/>
      <c r="K691" s="25"/>
    </row>
    <row r="692" spans="9:11" x14ac:dyDescent="0.2">
      <c r="I692" s="101"/>
      <c r="J692" s="25"/>
      <c r="K692" s="25"/>
    </row>
    <row r="693" spans="9:11" x14ac:dyDescent="0.2">
      <c r="I693" s="101"/>
      <c r="J693" s="25"/>
      <c r="K693" s="25"/>
    </row>
    <row r="694" spans="9:11" x14ac:dyDescent="0.2">
      <c r="I694" s="101"/>
      <c r="J694" s="25"/>
      <c r="K694" s="25"/>
    </row>
    <row r="695" spans="9:11" x14ac:dyDescent="0.2">
      <c r="I695" s="101"/>
      <c r="J695" s="25"/>
      <c r="K695" s="25"/>
    </row>
    <row r="696" spans="9:11" x14ac:dyDescent="0.2">
      <c r="I696" s="101"/>
      <c r="J696" s="25"/>
      <c r="K696" s="25"/>
    </row>
    <row r="697" spans="9:11" x14ac:dyDescent="0.2">
      <c r="I697" s="101"/>
      <c r="J697" s="25"/>
      <c r="K697" s="25"/>
    </row>
    <row r="698" spans="9:11" x14ac:dyDescent="0.2">
      <c r="I698" s="101"/>
      <c r="J698" s="25"/>
      <c r="K698" s="25"/>
    </row>
    <row r="699" spans="9:11" x14ac:dyDescent="0.2">
      <c r="I699" s="101"/>
      <c r="J699" s="25"/>
      <c r="K699" s="25"/>
    </row>
    <row r="700" spans="9:11" x14ac:dyDescent="0.2">
      <c r="I700" s="101"/>
      <c r="J700" s="25"/>
      <c r="K700" s="25"/>
    </row>
    <row r="701" spans="9:11" x14ac:dyDescent="0.2">
      <c r="I701" s="101"/>
      <c r="J701" s="25"/>
      <c r="K701" s="25"/>
    </row>
    <row r="702" spans="9:11" x14ac:dyDescent="0.2">
      <c r="I702" s="101"/>
      <c r="J702" s="25"/>
      <c r="K702" s="25"/>
    </row>
    <row r="703" spans="9:11" x14ac:dyDescent="0.2">
      <c r="I703" s="101"/>
      <c r="J703" s="25"/>
      <c r="K703" s="25"/>
    </row>
    <row r="704" spans="9:11" x14ac:dyDescent="0.2">
      <c r="I704" s="101"/>
      <c r="J704" s="25"/>
      <c r="K704" s="25"/>
    </row>
    <row r="705" spans="9:11" x14ac:dyDescent="0.2">
      <c r="I705" s="101"/>
      <c r="J705" s="25"/>
      <c r="K705" s="25"/>
    </row>
    <row r="706" spans="9:11" x14ac:dyDescent="0.2">
      <c r="I706" s="101"/>
      <c r="J706" s="25"/>
      <c r="K706" s="25"/>
    </row>
    <row r="707" spans="9:11" x14ac:dyDescent="0.2">
      <c r="I707" s="101"/>
      <c r="J707" s="25"/>
      <c r="K707" s="25"/>
    </row>
    <row r="708" spans="9:11" x14ac:dyDescent="0.2">
      <c r="I708" s="101"/>
      <c r="J708" s="25"/>
      <c r="K708" s="25"/>
    </row>
    <row r="709" spans="9:11" x14ac:dyDescent="0.2">
      <c r="I709" s="101"/>
      <c r="J709" s="25"/>
      <c r="K709" s="25"/>
    </row>
    <row r="710" spans="9:11" x14ac:dyDescent="0.2">
      <c r="I710" s="101"/>
      <c r="J710" s="25"/>
      <c r="K710" s="25"/>
    </row>
    <row r="711" spans="9:11" x14ac:dyDescent="0.2">
      <c r="I711" s="101"/>
      <c r="J711" s="25"/>
      <c r="K711" s="25"/>
    </row>
    <row r="712" spans="9:11" x14ac:dyDescent="0.2">
      <c r="I712" s="101"/>
      <c r="J712" s="25"/>
      <c r="K712" s="25"/>
    </row>
    <row r="713" spans="9:11" x14ac:dyDescent="0.2">
      <c r="I713" s="101"/>
      <c r="J713" s="25"/>
      <c r="K713" s="25"/>
    </row>
    <row r="714" spans="9:11" x14ac:dyDescent="0.2">
      <c r="I714" s="101"/>
      <c r="J714" s="25"/>
      <c r="K714" s="25"/>
    </row>
    <row r="715" spans="9:11" x14ac:dyDescent="0.2">
      <c r="I715" s="101"/>
      <c r="J715" s="25"/>
      <c r="K715" s="25"/>
    </row>
    <row r="716" spans="9:11" x14ac:dyDescent="0.2">
      <c r="I716" s="101"/>
      <c r="J716" s="25"/>
      <c r="K716" s="25"/>
    </row>
    <row r="717" spans="9:11" x14ac:dyDescent="0.2">
      <c r="I717" s="101"/>
      <c r="J717" s="25"/>
      <c r="K717" s="25"/>
    </row>
    <row r="718" spans="9:11" x14ac:dyDescent="0.2">
      <c r="I718" s="101"/>
      <c r="J718" s="25"/>
      <c r="K718" s="25"/>
    </row>
    <row r="719" spans="9:11" x14ac:dyDescent="0.2">
      <c r="I719" s="101"/>
      <c r="J719" s="25"/>
      <c r="K719" s="25"/>
    </row>
    <row r="720" spans="9:11" x14ac:dyDescent="0.2">
      <c r="I720" s="101"/>
      <c r="J720" s="25"/>
      <c r="K720" s="25"/>
    </row>
    <row r="721" spans="9:11" x14ac:dyDescent="0.2">
      <c r="I721" s="101"/>
      <c r="J721" s="25"/>
      <c r="K721" s="25"/>
    </row>
    <row r="722" spans="9:11" x14ac:dyDescent="0.2">
      <c r="I722" s="101"/>
      <c r="J722" s="25"/>
      <c r="K722" s="25"/>
    </row>
    <row r="723" spans="9:11" x14ac:dyDescent="0.2">
      <c r="I723" s="101"/>
      <c r="J723" s="25"/>
      <c r="K723" s="25"/>
    </row>
    <row r="724" spans="9:11" x14ac:dyDescent="0.2">
      <c r="I724" s="101"/>
      <c r="J724" s="25"/>
      <c r="K724" s="25"/>
    </row>
    <row r="725" spans="9:11" x14ac:dyDescent="0.2">
      <c r="I725" s="101"/>
      <c r="J725" s="25"/>
      <c r="K725" s="25"/>
    </row>
    <row r="726" spans="9:11" x14ac:dyDescent="0.2">
      <c r="I726" s="101"/>
      <c r="J726" s="25"/>
      <c r="K726" s="25"/>
    </row>
    <row r="727" spans="9:11" x14ac:dyDescent="0.2">
      <c r="I727" s="101"/>
      <c r="J727" s="25"/>
      <c r="K727" s="25"/>
    </row>
    <row r="728" spans="9:11" x14ac:dyDescent="0.2">
      <c r="I728" s="101"/>
      <c r="J728" s="25"/>
      <c r="K728" s="25"/>
    </row>
    <row r="729" spans="9:11" x14ac:dyDescent="0.2">
      <c r="I729" s="101"/>
      <c r="J729" s="25"/>
      <c r="K729" s="25"/>
    </row>
    <row r="730" spans="9:11" x14ac:dyDescent="0.2">
      <c r="I730" s="101"/>
      <c r="J730" s="25"/>
      <c r="K730" s="25"/>
    </row>
    <row r="731" spans="9:11" x14ac:dyDescent="0.2">
      <c r="I731" s="101"/>
      <c r="J731" s="25"/>
      <c r="K731" s="25"/>
    </row>
    <row r="732" spans="9:11" x14ac:dyDescent="0.2">
      <c r="I732" s="101"/>
      <c r="J732" s="25"/>
      <c r="K732" s="25"/>
    </row>
    <row r="733" spans="9:11" x14ac:dyDescent="0.2">
      <c r="I733" s="101"/>
      <c r="J733" s="25"/>
      <c r="K733" s="25"/>
    </row>
    <row r="734" spans="9:11" x14ac:dyDescent="0.2">
      <c r="I734" s="101"/>
      <c r="J734" s="25"/>
      <c r="K734" s="25"/>
    </row>
    <row r="735" spans="9:11" x14ac:dyDescent="0.2">
      <c r="I735" s="101"/>
      <c r="J735" s="25"/>
      <c r="K735" s="25"/>
    </row>
    <row r="736" spans="9:11" x14ac:dyDescent="0.2">
      <c r="I736" s="101"/>
      <c r="J736" s="25"/>
      <c r="K736" s="25"/>
    </row>
    <row r="737" spans="9:11" x14ac:dyDescent="0.2">
      <c r="I737" s="101"/>
      <c r="J737" s="25"/>
      <c r="K737" s="25"/>
    </row>
    <row r="738" spans="9:11" x14ac:dyDescent="0.2">
      <c r="I738" s="101"/>
      <c r="J738" s="25"/>
      <c r="K738" s="25"/>
    </row>
    <row r="739" spans="9:11" x14ac:dyDescent="0.2">
      <c r="I739" s="101"/>
      <c r="J739" s="25"/>
      <c r="K739" s="25"/>
    </row>
    <row r="740" spans="9:11" x14ac:dyDescent="0.2">
      <c r="I740" s="101"/>
      <c r="J740" s="25"/>
      <c r="K740" s="25"/>
    </row>
    <row r="741" spans="9:11" x14ac:dyDescent="0.2">
      <c r="I741" s="101"/>
      <c r="J741" s="25"/>
      <c r="K741" s="25"/>
    </row>
    <row r="742" spans="9:11" x14ac:dyDescent="0.2">
      <c r="I742" s="101"/>
      <c r="J742" s="25"/>
      <c r="K742" s="25"/>
    </row>
    <row r="743" spans="9:11" x14ac:dyDescent="0.2">
      <c r="I743" s="101"/>
      <c r="J743" s="25"/>
      <c r="K743" s="25"/>
    </row>
    <row r="744" spans="9:11" x14ac:dyDescent="0.2">
      <c r="I744" s="101"/>
      <c r="J744" s="25"/>
      <c r="K744" s="25"/>
    </row>
    <row r="745" spans="9:11" x14ac:dyDescent="0.2">
      <c r="I745" s="101"/>
      <c r="J745" s="25"/>
      <c r="K745" s="25"/>
    </row>
    <row r="746" spans="9:11" x14ac:dyDescent="0.2">
      <c r="I746" s="101"/>
      <c r="J746" s="25"/>
      <c r="K746" s="25"/>
    </row>
    <row r="747" spans="9:11" x14ac:dyDescent="0.2">
      <c r="I747" s="101"/>
      <c r="J747" s="25"/>
      <c r="K747" s="25"/>
    </row>
    <row r="748" spans="9:11" x14ac:dyDescent="0.2">
      <c r="I748" s="101"/>
      <c r="J748" s="25"/>
      <c r="K748" s="25"/>
    </row>
    <row r="749" spans="9:11" x14ac:dyDescent="0.2">
      <c r="I749" s="101"/>
      <c r="J749" s="25"/>
      <c r="K749" s="25"/>
    </row>
    <row r="750" spans="9:11" x14ac:dyDescent="0.2">
      <c r="I750" s="101"/>
      <c r="J750" s="25"/>
      <c r="K750" s="25"/>
    </row>
    <row r="751" spans="9:11" x14ac:dyDescent="0.2">
      <c r="I751" s="101"/>
      <c r="J751" s="25"/>
      <c r="K751" s="25"/>
    </row>
    <row r="752" spans="9:11" x14ac:dyDescent="0.2">
      <c r="I752" s="101"/>
      <c r="J752" s="25"/>
      <c r="K752" s="25"/>
    </row>
    <row r="753" spans="9:11" x14ac:dyDescent="0.2">
      <c r="I753" s="101"/>
      <c r="J753" s="25"/>
      <c r="K753" s="25"/>
    </row>
    <row r="754" spans="9:11" x14ac:dyDescent="0.2">
      <c r="I754" s="101"/>
      <c r="J754" s="25"/>
      <c r="K754" s="25"/>
    </row>
    <row r="755" spans="9:11" x14ac:dyDescent="0.2">
      <c r="I755" s="101"/>
      <c r="J755" s="25"/>
      <c r="K755" s="25"/>
    </row>
    <row r="756" spans="9:11" x14ac:dyDescent="0.2">
      <c r="I756" s="101"/>
      <c r="J756" s="25"/>
      <c r="K756" s="25"/>
    </row>
    <row r="757" spans="9:11" x14ac:dyDescent="0.2">
      <c r="I757" s="101"/>
      <c r="J757" s="25"/>
      <c r="K757" s="25"/>
    </row>
    <row r="758" spans="9:11" x14ac:dyDescent="0.2">
      <c r="I758" s="101"/>
      <c r="J758" s="25"/>
      <c r="K758" s="25"/>
    </row>
  </sheetData>
  <autoFilter ref="A1:M640" xr:uid="{00000000-0009-0000-0000-00000D000000}"/>
  <phoneticPr fontId="10" type="noConversion"/>
  <pageMargins left="0.7" right="0.7" top="0.75" bottom="0.75" header="0.3" footer="0.3"/>
  <pageSetup scale="56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>
    <tabColor rgb="FF92D050"/>
  </sheetPr>
  <dimension ref="A1:P39"/>
  <sheetViews>
    <sheetView zoomScaleNormal="100" workbookViewId="0">
      <pane xSplit="6" ySplit="1" topLeftCell="G2" activePane="bottomRight" state="frozen"/>
      <selection activeCell="I29" sqref="I29"/>
      <selection pane="topRight" activeCell="I29" sqref="I29"/>
      <selection pane="bottomLeft" activeCell="I29" sqref="I29"/>
      <selection pane="bottomRight" activeCell="N14" sqref="N14"/>
    </sheetView>
  </sheetViews>
  <sheetFormatPr defaultColWidth="9.140625" defaultRowHeight="12.75" x14ac:dyDescent="0.2"/>
  <cols>
    <col min="1" max="1" width="8.28515625" style="2" customWidth="1"/>
    <col min="2" max="2" width="7.85546875" style="2" customWidth="1"/>
    <col min="3" max="3" width="10" style="2" customWidth="1"/>
    <col min="4" max="4" width="11.85546875" style="2" bestFit="1" customWidth="1"/>
    <col min="5" max="5" width="13.28515625" style="2" customWidth="1"/>
    <col min="6" max="6" width="11.85546875" style="2" customWidth="1"/>
    <col min="7" max="16384" width="9.140625" style="2"/>
  </cols>
  <sheetData>
    <row r="1" spans="1:16" s="1" customFormat="1" ht="43.9" customHeight="1" x14ac:dyDescent="0.2">
      <c r="A1" s="202" t="s">
        <v>25</v>
      </c>
      <c r="B1" s="121" t="s">
        <v>153</v>
      </c>
      <c r="C1" s="203" t="s">
        <v>14</v>
      </c>
      <c r="D1" s="121" t="s">
        <v>107</v>
      </c>
      <c r="E1" s="122" t="s">
        <v>156</v>
      </c>
      <c r="F1" s="60" t="s">
        <v>157</v>
      </c>
      <c r="G1" s="112">
        <f>'Detail Variance Report'!H1</f>
        <v>44320</v>
      </c>
      <c r="H1" s="112">
        <f>'Detail Variance Report'!I1</f>
        <v>44321</v>
      </c>
      <c r="I1" s="112">
        <f>'Detail Variance Report'!J1</f>
        <v>44322</v>
      </c>
      <c r="J1" s="112">
        <f>'Detail Variance Report'!K1</f>
        <v>44323</v>
      </c>
      <c r="K1" s="112">
        <f>'Detail Variance Report'!L1</f>
        <v>44324</v>
      </c>
      <c r="L1" s="112">
        <f>'Detail Variance Report'!M1</f>
        <v>44325</v>
      </c>
      <c r="M1" s="112">
        <f>'Detail Variance Report'!N1</f>
        <v>44326</v>
      </c>
      <c r="N1" s="112">
        <f>'Detail Variance Report'!O1</f>
        <v>44327</v>
      </c>
      <c r="O1" s="112">
        <f>'Detail Variance Report'!P1</f>
        <v>44328</v>
      </c>
      <c r="P1" s="112">
        <f>'Detail Variance Report'!Q1</f>
        <v>44329</v>
      </c>
    </row>
    <row r="2" spans="1:16" s="1" customFormat="1" x14ac:dyDescent="0.2">
      <c r="A2" s="91">
        <v>2117</v>
      </c>
      <c r="B2" s="92">
        <v>2117</v>
      </c>
      <c r="C2" s="93" t="s">
        <v>131</v>
      </c>
      <c r="D2" s="3">
        <f>('SecureCash Collection'!G3)-E2</f>
        <v>358.4</v>
      </c>
      <c r="E2" s="13">
        <f t="shared" ref="E2" si="0">SUM(G2:I2)</f>
        <v>0</v>
      </c>
      <c r="F2" s="338" cm="1">
        <f t="array" ref="F2">COUNT(IF(G2:AC2&lt;&gt;0, G2:AC2))</f>
        <v>0</v>
      </c>
      <c r="G2" s="340">
        <v>0</v>
      </c>
      <c r="H2" s="340">
        <v>0</v>
      </c>
      <c r="I2" s="340">
        <v>0</v>
      </c>
      <c r="J2" s="340">
        <v>0</v>
      </c>
      <c r="K2" s="340">
        <v>0</v>
      </c>
      <c r="L2" s="339">
        <v>0</v>
      </c>
      <c r="M2" s="339">
        <v>0</v>
      </c>
      <c r="N2" s="339">
        <v>0</v>
      </c>
      <c r="O2" s="339">
        <v>0</v>
      </c>
      <c r="P2" s="339">
        <v>0</v>
      </c>
    </row>
    <row r="3" spans="1:16" s="94" customFormat="1" ht="13.5" customHeight="1" x14ac:dyDescent="0.2">
      <c r="A3" s="91">
        <v>2118</v>
      </c>
      <c r="B3" s="92">
        <v>2118</v>
      </c>
      <c r="C3" s="93" t="s">
        <v>127</v>
      </c>
      <c r="D3" s="3">
        <f>('SecureCash Collection'!G4)-E3</f>
        <v>795.6</v>
      </c>
      <c r="E3" s="13">
        <f t="shared" ref="E3:E29" si="1">SUM(G3:I3)</f>
        <v>0</v>
      </c>
      <c r="F3" s="338" cm="1">
        <f t="array" ref="F3">COUNT(IF(G3:AC3&lt;&gt;0, G3:AC3))</f>
        <v>0</v>
      </c>
      <c r="G3" s="339">
        <v>0</v>
      </c>
      <c r="H3" s="339">
        <v>0</v>
      </c>
      <c r="I3" s="339">
        <v>0</v>
      </c>
      <c r="J3" s="339">
        <v>0</v>
      </c>
      <c r="K3" s="339">
        <v>0</v>
      </c>
      <c r="L3" s="339">
        <v>0</v>
      </c>
      <c r="M3" s="339">
        <v>0</v>
      </c>
      <c r="N3" s="339">
        <v>0</v>
      </c>
      <c r="O3" s="339">
        <v>0</v>
      </c>
      <c r="P3" s="339">
        <v>0</v>
      </c>
    </row>
    <row r="4" spans="1:16" s="94" customFormat="1" ht="13.5" customHeight="1" x14ac:dyDescent="0.2">
      <c r="A4" s="91">
        <v>2119</v>
      </c>
      <c r="B4" s="92">
        <v>2119</v>
      </c>
      <c r="C4" s="93" t="s">
        <v>130</v>
      </c>
      <c r="D4" s="3">
        <f>('SecureCash Collection'!G5)-E4</f>
        <v>1197.25</v>
      </c>
      <c r="E4" s="13">
        <f t="shared" si="1"/>
        <v>0</v>
      </c>
      <c r="F4" s="338" cm="1">
        <f t="array" ref="F4">COUNT(IF(G4:AC4&lt;&gt;0, G4:AC4))</f>
        <v>0</v>
      </c>
      <c r="G4" s="339">
        <v>0</v>
      </c>
      <c r="H4" s="339">
        <v>0</v>
      </c>
      <c r="I4" s="339">
        <v>0</v>
      </c>
      <c r="J4" s="339">
        <v>0</v>
      </c>
      <c r="K4" s="339">
        <v>0</v>
      </c>
      <c r="L4" s="339">
        <v>0</v>
      </c>
      <c r="M4" s="339">
        <v>0</v>
      </c>
      <c r="N4" s="339">
        <v>0</v>
      </c>
      <c r="O4" s="339">
        <v>0</v>
      </c>
      <c r="P4" s="339">
        <v>0</v>
      </c>
    </row>
    <row r="5" spans="1:16" s="94" customFormat="1" ht="12.75" customHeight="1" x14ac:dyDescent="0.2">
      <c r="A5" s="256">
        <v>2137</v>
      </c>
      <c r="B5" s="257">
        <v>2137</v>
      </c>
      <c r="C5" s="258" t="s">
        <v>77</v>
      </c>
      <c r="D5" s="3">
        <f>('SecureCash Collection'!G6)-E5</f>
        <v>0</v>
      </c>
      <c r="E5" s="13">
        <f t="shared" si="1"/>
        <v>0</v>
      </c>
      <c r="F5" s="338" cm="1">
        <f t="array" ref="F5">COUNT(IF(G5:AC5&lt;&gt;0, G5:AC5))</f>
        <v>0</v>
      </c>
      <c r="G5" s="339">
        <v>0</v>
      </c>
      <c r="H5" s="339">
        <v>0</v>
      </c>
      <c r="I5" s="339">
        <v>0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</row>
    <row r="6" spans="1:16" s="94" customFormat="1" ht="14.25" customHeight="1" x14ac:dyDescent="0.2">
      <c r="A6" s="256">
        <v>2230</v>
      </c>
      <c r="B6" s="257">
        <v>2230</v>
      </c>
      <c r="C6" s="258" t="s">
        <v>111</v>
      </c>
      <c r="D6" s="3">
        <f>('SecureCash Collection'!G7)-E6</f>
        <v>0</v>
      </c>
      <c r="E6" s="13">
        <f t="shared" si="1"/>
        <v>0</v>
      </c>
      <c r="F6" s="338" cm="1">
        <f t="array" ref="F6">COUNT(IF(G6:AC6&lt;&gt;0, G6:AC6))</f>
        <v>0</v>
      </c>
      <c r="G6" s="339">
        <v>0</v>
      </c>
      <c r="H6" s="339">
        <v>0</v>
      </c>
      <c r="I6" s="339">
        <v>0</v>
      </c>
      <c r="J6" s="339">
        <v>0</v>
      </c>
      <c r="K6" s="339">
        <v>0</v>
      </c>
      <c r="L6" s="339">
        <v>0</v>
      </c>
      <c r="M6" s="339">
        <v>0</v>
      </c>
      <c r="N6" s="339">
        <v>0</v>
      </c>
      <c r="O6" s="339">
        <v>0</v>
      </c>
      <c r="P6" s="339">
        <v>0</v>
      </c>
    </row>
    <row r="7" spans="1:16" s="94" customFormat="1" ht="13.5" customHeight="1" x14ac:dyDescent="0.2">
      <c r="A7" s="256">
        <v>2231</v>
      </c>
      <c r="B7" s="257">
        <v>2231</v>
      </c>
      <c r="C7" s="258" t="s">
        <v>101</v>
      </c>
      <c r="D7" s="3">
        <f>('SecureCash Collection'!G8)-E7</f>
        <v>666.15</v>
      </c>
      <c r="E7" s="13">
        <f t="shared" si="1"/>
        <v>0</v>
      </c>
      <c r="F7" s="338" cm="1">
        <f t="array" ref="F7">COUNT(IF(G7:AC7&lt;&gt;0, G7:AC7))</f>
        <v>0</v>
      </c>
      <c r="G7" s="339">
        <v>0</v>
      </c>
      <c r="H7" s="339">
        <v>0</v>
      </c>
      <c r="I7" s="339">
        <v>0</v>
      </c>
      <c r="J7" s="339">
        <v>0</v>
      </c>
      <c r="K7" s="339">
        <v>0</v>
      </c>
      <c r="L7" s="339">
        <v>0</v>
      </c>
      <c r="M7" s="339">
        <v>0</v>
      </c>
      <c r="N7" s="339">
        <v>0</v>
      </c>
      <c r="O7" s="339">
        <v>0</v>
      </c>
      <c r="P7" s="339">
        <v>0</v>
      </c>
    </row>
    <row r="8" spans="1:16" s="94" customFormat="1" x14ac:dyDescent="0.2">
      <c r="A8" s="91">
        <v>2450</v>
      </c>
      <c r="B8" s="95">
        <v>450</v>
      </c>
      <c r="C8" s="93" t="s">
        <v>68</v>
      </c>
      <c r="D8" s="3">
        <f>('SecureCash Collection'!G10)-E8</f>
        <v>3810.3499999999995</v>
      </c>
      <c r="E8" s="13">
        <f t="shared" si="1"/>
        <v>0</v>
      </c>
      <c r="F8" s="338" cm="1">
        <f t="array" ref="F8">COUNT(IF(G8:AC8&lt;&gt;0, G8:AC8))</f>
        <v>0</v>
      </c>
      <c r="G8" s="339">
        <v>0</v>
      </c>
      <c r="H8" s="339">
        <v>0</v>
      </c>
      <c r="I8" s="339">
        <v>0</v>
      </c>
      <c r="J8" s="339">
        <v>0</v>
      </c>
      <c r="K8" s="339">
        <v>0</v>
      </c>
      <c r="L8" s="339">
        <v>0</v>
      </c>
      <c r="M8" s="339">
        <v>0</v>
      </c>
      <c r="N8" s="339">
        <v>0</v>
      </c>
      <c r="O8" s="339">
        <v>0</v>
      </c>
      <c r="P8" s="339">
        <v>0</v>
      </c>
    </row>
    <row r="9" spans="1:16" s="94" customFormat="1" x14ac:dyDescent="0.2">
      <c r="A9" s="91">
        <v>2225</v>
      </c>
      <c r="B9" s="95">
        <v>2225</v>
      </c>
      <c r="C9" s="93" t="s">
        <v>142</v>
      </c>
      <c r="D9" s="3">
        <f>('SecureCash Collection'!G11)-E9</f>
        <v>4951.6499999999996</v>
      </c>
      <c r="E9" s="13">
        <f t="shared" si="1"/>
        <v>0</v>
      </c>
      <c r="F9" s="338" cm="1">
        <f t="array" ref="F9">COUNT(IF(G9:AC9&lt;&gt;0, G9:AC9))</f>
        <v>0</v>
      </c>
      <c r="G9" s="339">
        <v>0</v>
      </c>
      <c r="H9" s="339">
        <v>0</v>
      </c>
      <c r="I9" s="339">
        <v>0</v>
      </c>
      <c r="J9" s="339">
        <v>0</v>
      </c>
      <c r="K9" s="339">
        <v>0</v>
      </c>
      <c r="L9" s="339">
        <v>0</v>
      </c>
      <c r="M9" s="339">
        <v>0</v>
      </c>
      <c r="N9" s="339">
        <v>0</v>
      </c>
      <c r="O9" s="339">
        <v>0</v>
      </c>
      <c r="P9" s="339">
        <v>0</v>
      </c>
    </row>
    <row r="10" spans="1:16" s="94" customFormat="1" x14ac:dyDescent="0.2">
      <c r="A10" s="91">
        <v>3191</v>
      </c>
      <c r="B10" s="95">
        <v>19</v>
      </c>
      <c r="C10" s="93" t="s">
        <v>15</v>
      </c>
      <c r="D10" s="3">
        <f>('SecureCash Collection'!G12)-E10</f>
        <v>2852.65</v>
      </c>
      <c r="E10" s="13">
        <f t="shared" si="1"/>
        <v>0</v>
      </c>
      <c r="F10" s="338" cm="1">
        <f t="array" ref="F10">COUNT(IF(G10:AC10&lt;&gt;0, G10:AC10))</f>
        <v>0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0</v>
      </c>
      <c r="M10" s="339">
        <v>0</v>
      </c>
      <c r="N10" s="339">
        <v>0</v>
      </c>
      <c r="O10" s="339">
        <v>0</v>
      </c>
      <c r="P10" s="339">
        <v>0</v>
      </c>
    </row>
    <row r="11" spans="1:16" s="94" customFormat="1" x14ac:dyDescent="0.2">
      <c r="A11" s="91">
        <v>3175</v>
      </c>
      <c r="B11" s="95">
        <v>175</v>
      </c>
      <c r="C11" s="93" t="s">
        <v>65</v>
      </c>
      <c r="D11" s="3">
        <f>('SecureCash Collection'!G13)-E11</f>
        <v>53.050000000000011</v>
      </c>
      <c r="E11" s="13">
        <f t="shared" si="1"/>
        <v>0</v>
      </c>
      <c r="F11" s="338" cm="1">
        <f t="array" ref="F11">COUNT(IF(G11:AC11&lt;&gt;0, G11:AC11))</f>
        <v>0</v>
      </c>
      <c r="G11" s="339">
        <v>0</v>
      </c>
      <c r="H11" s="339">
        <v>0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39">
        <v>0</v>
      </c>
    </row>
    <row r="12" spans="1:16" s="94" customFormat="1" x14ac:dyDescent="0.2">
      <c r="A12" s="91">
        <v>4100</v>
      </c>
      <c r="B12" s="95">
        <v>100</v>
      </c>
      <c r="C12" s="93" t="s">
        <v>21</v>
      </c>
      <c r="D12" s="3">
        <f>('SecureCash Collection'!G14)-E12</f>
        <v>8425.9</v>
      </c>
      <c r="E12" s="13">
        <f t="shared" si="1"/>
        <v>0</v>
      </c>
      <c r="F12" s="338" cm="1">
        <f t="array" ref="F12">COUNT(IF(G12:AC12&lt;&gt;0, G12:AC12))</f>
        <v>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39">
        <v>0</v>
      </c>
    </row>
    <row r="13" spans="1:16" s="94" customFormat="1" x14ac:dyDescent="0.2">
      <c r="A13" s="91">
        <v>4101</v>
      </c>
      <c r="B13" s="95">
        <v>4101</v>
      </c>
      <c r="C13" s="93" t="s">
        <v>128</v>
      </c>
      <c r="D13" s="3">
        <f>('SecureCash Collection'!G15)-E13</f>
        <v>9947.7000000000007</v>
      </c>
      <c r="E13" s="13">
        <f t="shared" si="1"/>
        <v>0</v>
      </c>
      <c r="F13" s="338" cm="1">
        <f t="array" ref="F13">COUNT(IF(G13:AC13&lt;&gt;0, G13:AC13))</f>
        <v>0</v>
      </c>
      <c r="G13" s="339">
        <v>0</v>
      </c>
      <c r="H13" s="339">
        <v>0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39">
        <v>0</v>
      </c>
    </row>
    <row r="14" spans="1:16" s="94" customFormat="1" x14ac:dyDescent="0.2">
      <c r="A14" s="91">
        <v>4102</v>
      </c>
      <c r="B14" s="95">
        <v>4102</v>
      </c>
      <c r="C14" s="93" t="s">
        <v>129</v>
      </c>
      <c r="D14" s="3">
        <f>('SecureCash Collection'!G16)-E14</f>
        <v>2615.8000000000002</v>
      </c>
      <c r="E14" s="13">
        <f t="shared" si="1"/>
        <v>0</v>
      </c>
      <c r="F14" s="338" cm="1">
        <f t="array" ref="F14">COUNT(IF(G14:AC14&lt;&gt;0, G14:AC14))</f>
        <v>0</v>
      </c>
      <c r="G14" s="339">
        <v>0</v>
      </c>
      <c r="H14" s="339">
        <v>0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</row>
    <row r="15" spans="1:16" s="94" customFormat="1" x14ac:dyDescent="0.2">
      <c r="A15" s="91">
        <v>4104</v>
      </c>
      <c r="B15" s="95">
        <v>4104</v>
      </c>
      <c r="C15" s="93" t="s">
        <v>134</v>
      </c>
      <c r="D15" s="3">
        <f>('SecureCash Collection'!G17)-E15</f>
        <v>1805.6499999999999</v>
      </c>
      <c r="E15" s="13">
        <f t="shared" si="1"/>
        <v>0</v>
      </c>
      <c r="F15" s="338" cm="1">
        <f t="array" ref="F15">COUNT(IF(G15:AC15&lt;&gt;0, G15:AC15))</f>
        <v>0</v>
      </c>
      <c r="G15" s="339">
        <v>0</v>
      </c>
      <c r="H15" s="339">
        <v>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</row>
    <row r="16" spans="1:16" s="94" customFormat="1" x14ac:dyDescent="0.2">
      <c r="A16" s="91">
        <v>4106</v>
      </c>
      <c r="B16" s="95">
        <v>4106</v>
      </c>
      <c r="C16" s="93" t="s">
        <v>135</v>
      </c>
      <c r="D16" s="3">
        <f>('SecureCash Collection'!G18)-E16</f>
        <v>8650.9499999999989</v>
      </c>
      <c r="E16" s="13">
        <f t="shared" si="1"/>
        <v>0</v>
      </c>
      <c r="F16" s="338" cm="1">
        <f t="array" ref="F16">COUNT(IF(G16:AC16&lt;&gt;0, G16:AC16))</f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</row>
    <row r="17" spans="1:16" s="94" customFormat="1" x14ac:dyDescent="0.2">
      <c r="A17" s="91">
        <v>4107</v>
      </c>
      <c r="B17" s="95">
        <v>4107</v>
      </c>
      <c r="C17" s="93" t="s">
        <v>139</v>
      </c>
      <c r="D17" s="3">
        <f>('SecureCash Collection'!G19)-E17</f>
        <v>12133.249999999998</v>
      </c>
      <c r="E17" s="13">
        <f t="shared" si="1"/>
        <v>0</v>
      </c>
      <c r="F17" s="338" cm="1">
        <f t="array" ref="F17">COUNT(IF(G17:AC17&lt;&gt;0, G17:AC17))</f>
        <v>0</v>
      </c>
      <c r="G17" s="339">
        <v>0</v>
      </c>
      <c r="H17" s="339">
        <v>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</row>
    <row r="18" spans="1:16" s="94" customFormat="1" x14ac:dyDescent="0.2">
      <c r="A18" s="91">
        <v>4108</v>
      </c>
      <c r="B18" s="95">
        <v>4108</v>
      </c>
      <c r="C18" s="93" t="s">
        <v>140</v>
      </c>
      <c r="D18" s="3">
        <f>('SecureCash Collection'!G20)-E18</f>
        <v>3394.3</v>
      </c>
      <c r="E18" s="13">
        <f t="shared" si="1"/>
        <v>0</v>
      </c>
      <c r="F18" s="338" cm="1">
        <f t="array" ref="F18">COUNT(IF(G18:AC18&lt;&gt;0, G18:AC18))</f>
        <v>0</v>
      </c>
      <c r="G18" s="339">
        <v>0</v>
      </c>
      <c r="H18" s="339">
        <v>0</v>
      </c>
      <c r="I18" s="339">
        <v>0</v>
      </c>
      <c r="J18" s="339">
        <v>0</v>
      </c>
      <c r="K18" s="339">
        <v>0</v>
      </c>
      <c r="L18" s="339">
        <v>0</v>
      </c>
      <c r="M18" s="339">
        <v>0</v>
      </c>
      <c r="N18" s="339">
        <v>0</v>
      </c>
      <c r="O18" s="339">
        <v>0</v>
      </c>
      <c r="P18" s="339">
        <v>0</v>
      </c>
    </row>
    <row r="19" spans="1:16" s="94" customFormat="1" x14ac:dyDescent="0.2">
      <c r="A19" s="91">
        <v>4109</v>
      </c>
      <c r="B19" s="95">
        <v>4109</v>
      </c>
      <c r="C19" s="93" t="s">
        <v>136</v>
      </c>
      <c r="D19" s="3">
        <f>('SecureCash Collection'!G21)-E19</f>
        <v>3593.95</v>
      </c>
      <c r="E19" s="13">
        <f t="shared" si="1"/>
        <v>0</v>
      </c>
      <c r="F19" s="338" cm="1">
        <f t="array" ref="F19">COUNT(IF(G19:AC19&lt;&gt;0, G19:AC19))</f>
        <v>0</v>
      </c>
      <c r="G19" s="339">
        <v>0</v>
      </c>
      <c r="H19" s="339">
        <v>0</v>
      </c>
      <c r="I19" s="339">
        <v>0</v>
      </c>
      <c r="J19" s="339">
        <v>0</v>
      </c>
      <c r="K19" s="339">
        <v>0</v>
      </c>
      <c r="L19" s="339">
        <v>0</v>
      </c>
      <c r="M19" s="339">
        <v>0</v>
      </c>
      <c r="N19" s="339">
        <v>0</v>
      </c>
      <c r="O19" s="339">
        <v>0</v>
      </c>
      <c r="P19" s="339">
        <v>0</v>
      </c>
    </row>
    <row r="20" spans="1:16" s="94" customFormat="1" x14ac:dyDescent="0.2">
      <c r="A20" s="91">
        <v>4110</v>
      </c>
      <c r="B20" s="95">
        <v>4110</v>
      </c>
      <c r="C20" s="93" t="s">
        <v>137</v>
      </c>
      <c r="D20" s="3">
        <f>('SecureCash Collection'!G22)-E20</f>
        <v>4481.1499999999996</v>
      </c>
      <c r="E20" s="13">
        <f t="shared" si="1"/>
        <v>0</v>
      </c>
      <c r="F20" s="338" cm="1">
        <f t="array" ref="F20">COUNT(IF(G20:AC20&lt;&gt;0, G20:AC20))</f>
        <v>0</v>
      </c>
      <c r="G20" s="339">
        <v>0</v>
      </c>
      <c r="H20" s="339">
        <v>0</v>
      </c>
      <c r="I20" s="339">
        <v>0</v>
      </c>
      <c r="J20" s="339">
        <v>0</v>
      </c>
      <c r="K20" s="339">
        <v>0</v>
      </c>
      <c r="L20" s="339">
        <v>0</v>
      </c>
      <c r="M20" s="339">
        <v>0</v>
      </c>
      <c r="N20" s="339">
        <v>0</v>
      </c>
      <c r="O20" s="339">
        <v>0</v>
      </c>
      <c r="P20" s="339">
        <v>0</v>
      </c>
    </row>
    <row r="21" spans="1:16" s="94" customFormat="1" x14ac:dyDescent="0.2">
      <c r="A21" s="91">
        <v>4170</v>
      </c>
      <c r="B21" s="95">
        <v>170</v>
      </c>
      <c r="C21" s="93" t="s">
        <v>64</v>
      </c>
      <c r="D21" s="3">
        <f>('SecureCash Collection'!G23)-E21</f>
        <v>0</v>
      </c>
      <c r="E21" s="13">
        <f t="shared" si="1"/>
        <v>0</v>
      </c>
      <c r="F21" s="338" cm="1">
        <f t="array" ref="F21">COUNT(IF(G21:AC21&lt;&gt;0, G21:AC21))</f>
        <v>0</v>
      </c>
      <c r="G21" s="339">
        <v>0</v>
      </c>
      <c r="H21" s="339">
        <v>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</row>
    <row r="22" spans="1:16" s="94" customFormat="1" x14ac:dyDescent="0.2">
      <c r="A22" s="91">
        <v>4770</v>
      </c>
      <c r="B22" s="95">
        <v>770</v>
      </c>
      <c r="C22" s="93" t="s">
        <v>2</v>
      </c>
      <c r="D22" s="3">
        <f>('SecureCash Collection'!G24)-E22</f>
        <v>5695.8</v>
      </c>
      <c r="E22" s="13">
        <f t="shared" si="1"/>
        <v>0</v>
      </c>
      <c r="F22" s="338" cm="1">
        <f t="array" ref="F22">COUNT(IF(G22:AC22&lt;&gt;0, G22:AC22))</f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39">
        <v>0</v>
      </c>
      <c r="M22" s="339">
        <v>0</v>
      </c>
      <c r="N22" s="339">
        <v>0</v>
      </c>
      <c r="O22" s="339">
        <v>0</v>
      </c>
      <c r="P22" s="339">
        <v>0</v>
      </c>
    </row>
    <row r="23" spans="1:16" s="93" customFormat="1" x14ac:dyDescent="0.2">
      <c r="A23" s="91">
        <v>6087</v>
      </c>
      <c r="B23" s="95">
        <v>87</v>
      </c>
      <c r="C23" s="93" t="s">
        <v>67</v>
      </c>
      <c r="D23" s="3">
        <f>('SecureCash Collection'!G25)-E23</f>
        <v>2110</v>
      </c>
      <c r="E23" s="13">
        <f t="shared" si="1"/>
        <v>0</v>
      </c>
      <c r="F23" s="338" cm="1">
        <f t="array" ref="F23">COUNT(IF(G23:AC23&lt;&gt;0, G23:AC23))</f>
        <v>0</v>
      </c>
      <c r="G23" s="339">
        <v>0</v>
      </c>
      <c r="H23" s="339">
        <v>0</v>
      </c>
      <c r="I23" s="339">
        <v>0</v>
      </c>
      <c r="J23" s="339">
        <v>0</v>
      </c>
      <c r="K23" s="339">
        <v>0</v>
      </c>
      <c r="L23" s="339">
        <v>0</v>
      </c>
      <c r="M23" s="339">
        <v>0</v>
      </c>
      <c r="N23" s="339">
        <v>0</v>
      </c>
      <c r="O23" s="339">
        <v>0</v>
      </c>
      <c r="P23" s="339">
        <v>0</v>
      </c>
    </row>
    <row r="24" spans="1:16" s="94" customFormat="1" x14ac:dyDescent="0.2">
      <c r="A24" s="91">
        <v>6176</v>
      </c>
      <c r="B24" s="95">
        <v>6176</v>
      </c>
      <c r="C24" s="93" t="s">
        <v>24</v>
      </c>
      <c r="D24" s="3">
        <f>('SecureCash Collection'!G26)-E24</f>
        <v>4209.2500000000009</v>
      </c>
      <c r="E24" s="13">
        <f t="shared" si="1"/>
        <v>0</v>
      </c>
      <c r="F24" s="338" cm="1">
        <f t="array" ref="F24">COUNT(IF(G24:AC24&lt;&gt;0, G24:AC24))</f>
        <v>0</v>
      </c>
      <c r="G24" s="339">
        <v>0</v>
      </c>
      <c r="H24" s="339">
        <v>0</v>
      </c>
      <c r="I24" s="339">
        <v>0</v>
      </c>
      <c r="J24" s="339">
        <v>0</v>
      </c>
      <c r="K24" s="339">
        <v>0</v>
      </c>
      <c r="L24" s="339">
        <v>0</v>
      </c>
      <c r="M24" s="339">
        <v>0</v>
      </c>
      <c r="N24" s="339">
        <v>0</v>
      </c>
      <c r="O24" s="339">
        <v>0</v>
      </c>
      <c r="P24" s="339">
        <v>0</v>
      </c>
    </row>
    <row r="25" spans="1:16" s="94" customFormat="1" ht="13.5" customHeight="1" x14ac:dyDescent="0.2">
      <c r="A25" s="91">
        <v>7641</v>
      </c>
      <c r="B25" s="95">
        <v>64</v>
      </c>
      <c r="C25" s="93" t="s">
        <v>7</v>
      </c>
      <c r="D25" s="3">
        <f>('SecureCash Collection'!G27)-E25</f>
        <v>1597.9999999999998</v>
      </c>
      <c r="E25" s="13">
        <f t="shared" si="1"/>
        <v>0</v>
      </c>
      <c r="F25" s="338" cm="1">
        <f t="array" ref="F25">COUNT(IF(G25:AC25&lt;&gt;0, G25:AC25))</f>
        <v>0</v>
      </c>
      <c r="G25" s="339">
        <v>0</v>
      </c>
      <c r="H25" s="339">
        <v>0</v>
      </c>
      <c r="I25" s="339">
        <v>0</v>
      </c>
      <c r="J25" s="339">
        <v>0</v>
      </c>
      <c r="K25" s="339">
        <v>0</v>
      </c>
      <c r="L25" s="339">
        <v>0</v>
      </c>
      <c r="M25" s="339">
        <v>0</v>
      </c>
      <c r="N25" s="339">
        <v>0</v>
      </c>
      <c r="O25" s="339">
        <v>0</v>
      </c>
      <c r="P25" s="339">
        <v>0</v>
      </c>
    </row>
    <row r="26" spans="1:16" s="94" customFormat="1" x14ac:dyDescent="0.2">
      <c r="A26" s="91">
        <v>7078</v>
      </c>
      <c r="B26" s="95">
        <v>78</v>
      </c>
      <c r="C26" s="93" t="s">
        <v>10</v>
      </c>
      <c r="D26" s="3">
        <f>('SecureCash Collection'!G28)-E26</f>
        <v>8153.4000000000005</v>
      </c>
      <c r="E26" s="13">
        <f t="shared" si="1"/>
        <v>0</v>
      </c>
      <c r="F26" s="338" cm="1">
        <f t="array" ref="F26">COUNT(IF(G26:AC26&lt;&gt;0, G26:AC26))</f>
        <v>0</v>
      </c>
      <c r="G26" s="339">
        <v>0</v>
      </c>
      <c r="H26" s="339">
        <v>0</v>
      </c>
      <c r="I26" s="339">
        <v>0</v>
      </c>
      <c r="J26" s="339">
        <v>0</v>
      </c>
      <c r="K26" s="339">
        <v>0</v>
      </c>
      <c r="L26" s="339">
        <v>0</v>
      </c>
      <c r="M26" s="339">
        <v>0</v>
      </c>
      <c r="N26" s="339">
        <v>0</v>
      </c>
      <c r="O26" s="339">
        <v>0</v>
      </c>
      <c r="P26" s="339">
        <v>0</v>
      </c>
    </row>
    <row r="27" spans="1:16" s="94" customFormat="1" x14ac:dyDescent="0.2">
      <c r="A27" s="91">
        <v>7079</v>
      </c>
      <c r="B27" s="95">
        <v>79</v>
      </c>
      <c r="C27" s="93" t="s">
        <v>11</v>
      </c>
      <c r="D27" s="3">
        <f>('SecureCash Collection'!G29)-E27</f>
        <v>3222.2499999999995</v>
      </c>
      <c r="E27" s="13">
        <f t="shared" si="1"/>
        <v>0</v>
      </c>
      <c r="F27" s="338" cm="1">
        <f t="array" ref="F27">COUNT(IF(G27:AC27&lt;&gt;0, G27:AC27))</f>
        <v>0</v>
      </c>
      <c r="G27" s="339">
        <v>0</v>
      </c>
      <c r="H27" s="339">
        <v>0</v>
      </c>
      <c r="I27" s="339">
        <v>0</v>
      </c>
      <c r="J27" s="339">
        <v>0</v>
      </c>
      <c r="K27" s="339">
        <v>0</v>
      </c>
      <c r="L27" s="339">
        <v>0</v>
      </c>
      <c r="M27" s="339">
        <v>0</v>
      </c>
      <c r="N27" s="339">
        <v>0</v>
      </c>
      <c r="O27" s="339">
        <v>0</v>
      </c>
      <c r="P27" s="339">
        <v>0</v>
      </c>
    </row>
    <row r="28" spans="1:16" s="94" customFormat="1" x14ac:dyDescent="0.2">
      <c r="A28" s="91">
        <v>8305</v>
      </c>
      <c r="B28" s="95">
        <v>30</v>
      </c>
      <c r="C28" s="93" t="s">
        <v>29</v>
      </c>
      <c r="D28" s="3">
        <f>('SecureCash Collection'!G30)-E28</f>
        <v>1892.15</v>
      </c>
      <c r="E28" s="13">
        <f t="shared" si="1"/>
        <v>0</v>
      </c>
      <c r="F28" s="338" cm="1">
        <f t="array" ref="F28">COUNT(IF(G28:AC28&lt;&gt;0, G28:AC28))</f>
        <v>0</v>
      </c>
      <c r="G28" s="339">
        <v>0</v>
      </c>
      <c r="H28" s="339">
        <v>0</v>
      </c>
      <c r="I28" s="339">
        <v>0</v>
      </c>
      <c r="J28" s="339">
        <v>0</v>
      </c>
      <c r="K28" s="339">
        <v>0</v>
      </c>
      <c r="L28" s="339">
        <v>0</v>
      </c>
      <c r="M28" s="339">
        <v>0</v>
      </c>
      <c r="N28" s="339">
        <v>0</v>
      </c>
      <c r="O28" s="339">
        <v>0</v>
      </c>
      <c r="P28" s="339">
        <v>0</v>
      </c>
    </row>
    <row r="29" spans="1:16" s="94" customFormat="1" x14ac:dyDescent="0.2">
      <c r="A29" s="91">
        <v>8188</v>
      </c>
      <c r="B29" s="95">
        <v>8188</v>
      </c>
      <c r="C29" s="93" t="s">
        <v>16</v>
      </c>
      <c r="D29" s="3">
        <f>('SecureCash Collection'!G31)-E29</f>
        <v>17353.150000000001</v>
      </c>
      <c r="E29" s="13">
        <f t="shared" si="1"/>
        <v>0</v>
      </c>
      <c r="F29" s="338" cm="1">
        <f t="array" ref="F29">COUNT(IF(G29:AC29&lt;&gt;0, G29:AC29))</f>
        <v>0</v>
      </c>
      <c r="G29" s="341">
        <v>0</v>
      </c>
      <c r="H29" s="341">
        <v>0</v>
      </c>
      <c r="I29" s="341">
        <v>0</v>
      </c>
      <c r="J29" s="341">
        <v>0</v>
      </c>
      <c r="K29" s="341">
        <v>0</v>
      </c>
      <c r="L29" s="339">
        <v>0</v>
      </c>
      <c r="M29" s="339">
        <v>0</v>
      </c>
      <c r="N29" s="339">
        <v>0</v>
      </c>
      <c r="O29" s="339">
        <v>0</v>
      </c>
      <c r="P29" s="339">
        <v>0</v>
      </c>
    </row>
    <row r="30" spans="1:16" s="94" customFormat="1" ht="15.75" thickBot="1" x14ac:dyDescent="0.3">
      <c r="A30" s="96"/>
      <c r="B30" s="96"/>
      <c r="C30" s="97" t="s">
        <v>13</v>
      </c>
      <c r="D30" s="211">
        <f>SUM(D3:D29)</f>
        <v>113609.34999999998</v>
      </c>
      <c r="E30" s="211">
        <f>SUM(E3:E29)</f>
        <v>0</v>
      </c>
      <c r="F30" s="211"/>
      <c r="G30" s="211">
        <f t="shared" ref="G30:L30" si="2">SUM(G3:G29)</f>
        <v>0</v>
      </c>
      <c r="H30" s="211">
        <f t="shared" si="2"/>
        <v>0</v>
      </c>
      <c r="I30" s="211">
        <f t="shared" si="2"/>
        <v>0</v>
      </c>
      <c r="J30" s="211">
        <f t="shared" si="2"/>
        <v>0</v>
      </c>
      <c r="K30" s="211">
        <f t="shared" si="2"/>
        <v>0</v>
      </c>
      <c r="L30" s="211">
        <f t="shared" si="2"/>
        <v>0</v>
      </c>
      <c r="M30" s="211">
        <f t="shared" ref="M30:N30" si="3">SUM(M3:M29)</f>
        <v>0</v>
      </c>
      <c r="N30" s="211">
        <f t="shared" si="3"/>
        <v>0</v>
      </c>
      <c r="O30" s="211">
        <f t="shared" ref="O30:P30" si="4">SUM(O3:O29)</f>
        <v>0</v>
      </c>
      <c r="P30" s="211">
        <f t="shared" si="4"/>
        <v>0</v>
      </c>
    </row>
    <row r="31" spans="1:16" s="94" customFormat="1" ht="13.5" hidden="1" thickTop="1" x14ac:dyDescent="0.2">
      <c r="A31" s="91">
        <v>1085</v>
      </c>
      <c r="B31" s="95">
        <v>185</v>
      </c>
      <c r="C31" s="93" t="s">
        <v>99</v>
      </c>
      <c r="D31" s="3" t="e">
        <f>'SecureCash Collection'!#REF!-E31</f>
        <v>#REF!</v>
      </c>
      <c r="E31" s="13">
        <f>SUM(G31:BE31)</f>
        <v>0</v>
      </c>
      <c r="F31" s="92">
        <f>COUNT(G31:AC31)</f>
        <v>0</v>
      </c>
      <c r="G31" s="222"/>
      <c r="H31" s="222"/>
      <c r="I31" s="222"/>
      <c r="J31" s="222"/>
      <c r="K31" s="222"/>
      <c r="L31" s="222"/>
      <c r="M31" s="222"/>
      <c r="N31" s="222"/>
      <c r="O31" s="222"/>
      <c r="P31" s="222"/>
    </row>
    <row r="32" spans="1:16" ht="13.5" hidden="1" thickTop="1" x14ac:dyDescent="0.2">
      <c r="A32" s="91">
        <v>1151</v>
      </c>
      <c r="B32" s="95">
        <v>151</v>
      </c>
      <c r="C32" s="93" t="s">
        <v>126</v>
      </c>
      <c r="D32" s="3" t="e">
        <f>'SecureCash Collection'!#REF!-E32</f>
        <v>#REF!</v>
      </c>
      <c r="E32" s="13">
        <f>SUM(G32:BE32)</f>
        <v>0</v>
      </c>
      <c r="F32" s="92">
        <f>COUNT(G32:AC32)</f>
        <v>0</v>
      </c>
      <c r="G32" s="223"/>
      <c r="H32" s="223"/>
      <c r="I32" s="223"/>
      <c r="J32" s="223"/>
      <c r="K32" s="223"/>
      <c r="L32" s="223"/>
      <c r="M32" s="223"/>
      <c r="N32" s="223"/>
      <c r="O32" s="223"/>
      <c r="P32" s="223"/>
    </row>
    <row r="33" spans="1:16" ht="13.5" hidden="1" thickTop="1" x14ac:dyDescent="0.2">
      <c r="A33" s="91">
        <v>1161</v>
      </c>
      <c r="B33" s="95">
        <v>161</v>
      </c>
      <c r="C33" s="93" t="s">
        <v>123</v>
      </c>
      <c r="D33" s="3" t="e">
        <f>'SecureCash Collection'!#REF!-E33</f>
        <v>#REF!</v>
      </c>
      <c r="E33" s="13">
        <f>SUM(G33:BE33)</f>
        <v>0</v>
      </c>
      <c r="F33" s="92">
        <f>COUNT(G33:AC33)</f>
        <v>0</v>
      </c>
      <c r="G33" s="223"/>
      <c r="H33" s="223"/>
      <c r="I33" s="223"/>
      <c r="J33" s="223"/>
      <c r="K33" s="223"/>
      <c r="L33" s="223"/>
      <c r="M33" s="223"/>
      <c r="N33" s="223"/>
      <c r="O33" s="223"/>
      <c r="P33" s="223"/>
    </row>
    <row r="34" spans="1:16" ht="13.5" hidden="1" thickTop="1" x14ac:dyDescent="0.2">
      <c r="A34" s="91">
        <v>1171</v>
      </c>
      <c r="B34" s="95">
        <v>171</v>
      </c>
      <c r="C34" s="93" t="s">
        <v>124</v>
      </c>
      <c r="D34" s="3" t="e">
        <f>'SecureCash Collection'!#REF!-E34</f>
        <v>#REF!</v>
      </c>
      <c r="E34" s="13">
        <f>SUM(G34:BE34)</f>
        <v>0</v>
      </c>
      <c r="F34" s="92">
        <f>COUNT(G34:AC34)</f>
        <v>0</v>
      </c>
      <c r="G34" s="223"/>
      <c r="H34" s="223"/>
      <c r="I34" s="223"/>
      <c r="J34" s="223"/>
      <c r="K34" s="223"/>
      <c r="L34" s="223"/>
      <c r="M34" s="223"/>
      <c r="N34" s="223"/>
      <c r="O34" s="223"/>
      <c r="P34" s="223"/>
    </row>
    <row r="35" spans="1:16" ht="13.5" hidden="1" thickTop="1" x14ac:dyDescent="0.2">
      <c r="A35" s="91">
        <v>1181</v>
      </c>
      <c r="B35" s="95">
        <v>181</v>
      </c>
      <c r="C35" s="92" t="s">
        <v>125</v>
      </c>
      <c r="D35" s="3" t="e">
        <f>'SecureCash Collection'!#REF!-E35</f>
        <v>#REF!</v>
      </c>
      <c r="E35" s="13">
        <f>SUM(G35:BE35)</f>
        <v>0</v>
      </c>
      <c r="F35" s="92">
        <f>COUNT(G35:AC35)</f>
        <v>0</v>
      </c>
      <c r="G35" s="223"/>
      <c r="H35" s="223"/>
      <c r="I35" s="223"/>
      <c r="J35" s="223"/>
      <c r="K35" s="223"/>
      <c r="L35" s="223"/>
      <c r="M35" s="223"/>
      <c r="N35" s="223"/>
      <c r="O35" s="223"/>
      <c r="P35" s="223"/>
    </row>
    <row r="36" spans="1:16" ht="16.5" hidden="1" thickTop="1" thickBot="1" x14ac:dyDescent="0.3">
      <c r="A36" s="132"/>
      <c r="B36" s="109"/>
      <c r="C36" s="156" t="s">
        <v>13</v>
      </c>
      <c r="D36" s="211" t="e">
        <f>SUM(D31:D32)</f>
        <v>#REF!</v>
      </c>
      <c r="E36" s="211">
        <f t="shared" ref="E36" si="5">SUM(E31:E35)</f>
        <v>0</v>
      </c>
      <c r="F36" s="211"/>
      <c r="G36" s="211">
        <f t="shared" ref="G36:H36" si="6">SUM(G31:G35)</f>
        <v>0</v>
      </c>
      <c r="H36" s="211">
        <f t="shared" si="6"/>
        <v>0</v>
      </c>
      <c r="I36" s="211">
        <f t="shared" ref="I36:J36" si="7">SUM(I31:I35)</f>
        <v>0</v>
      </c>
      <c r="J36" s="211">
        <f t="shared" si="7"/>
        <v>0</v>
      </c>
      <c r="K36" s="211">
        <f t="shared" ref="K36:L36" si="8">SUM(K31:K35)</f>
        <v>0</v>
      </c>
      <c r="L36" s="211">
        <f t="shared" si="8"/>
        <v>0</v>
      </c>
      <c r="M36" s="211">
        <f t="shared" ref="M36:N36" si="9">SUM(M31:M35)</f>
        <v>0</v>
      </c>
      <c r="N36" s="211">
        <f t="shared" si="9"/>
        <v>0</v>
      </c>
      <c r="O36" s="211">
        <f t="shared" ref="O36:P36" si="10">SUM(O31:O35)</f>
        <v>0</v>
      </c>
      <c r="P36" s="211">
        <f t="shared" si="10"/>
        <v>0</v>
      </c>
    </row>
    <row r="37" spans="1:16" ht="13.5" thickTop="1" x14ac:dyDescent="0.2"/>
    <row r="38" spans="1:16" ht="15" x14ac:dyDescent="0.25">
      <c r="A38" s="145" t="e">
        <v>#VALUE!</v>
      </c>
      <c r="B38" s="2" t="s">
        <v>27</v>
      </c>
    </row>
    <row r="39" spans="1:16" x14ac:dyDescent="0.2">
      <c r="A39" s="144" t="e">
        <v>#VALUE!</v>
      </c>
      <c r="B39" s="2" t="s">
        <v>28</v>
      </c>
    </row>
  </sheetData>
  <phoneticPr fontId="0" type="noConversion"/>
  <printOptions gridLines="1"/>
  <pageMargins left="0.15748031496062992" right="0.15748031496062992" top="0.19685039370078741" bottom="0.19685039370078741" header="0.51181102362204722" footer="0.51181102362204722"/>
  <pageSetup paperSize="9" scale="84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tabColor rgb="FF92D050"/>
    <pageSetUpPr fitToPage="1"/>
  </sheetPr>
  <dimension ref="A1:R35"/>
  <sheetViews>
    <sheetView showGridLine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T18" sqref="T18"/>
    </sheetView>
  </sheetViews>
  <sheetFormatPr defaultRowHeight="12.75" x14ac:dyDescent="0.2"/>
  <cols>
    <col min="1" max="1" width="5.7109375" customWidth="1"/>
    <col min="2" max="2" width="6.28515625" customWidth="1"/>
    <col min="3" max="3" width="6.7109375" customWidth="1"/>
    <col min="4" max="4" width="11.28515625" bestFit="1" customWidth="1"/>
    <col min="5" max="5" width="14.42578125" hidden="1" customWidth="1"/>
    <col min="6" max="6" width="13.7109375" hidden="1" customWidth="1"/>
    <col min="7" max="7" width="13.85546875" hidden="1" customWidth="1"/>
    <col min="8" max="8" width="9.7109375" hidden="1" customWidth="1"/>
    <col min="9" max="18" width="10.85546875" bestFit="1" customWidth="1"/>
  </cols>
  <sheetData>
    <row r="1" spans="1:18" ht="13.5" thickBot="1" x14ac:dyDescent="0.25">
      <c r="A1" s="68"/>
      <c r="B1" s="90"/>
      <c r="C1" s="51" t="s">
        <v>26</v>
      </c>
      <c r="D1" s="52"/>
      <c r="E1" s="52"/>
      <c r="F1" s="52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78.75" customHeight="1" thickBot="1" x14ac:dyDescent="0.25">
      <c r="A2" s="259" t="s">
        <v>154</v>
      </c>
      <c r="B2" s="260" t="s">
        <v>155</v>
      </c>
      <c r="C2" s="251" t="s">
        <v>14</v>
      </c>
      <c r="D2" s="252" t="s">
        <v>4</v>
      </c>
      <c r="E2" s="252" t="s">
        <v>5</v>
      </c>
      <c r="F2" s="252" t="s">
        <v>108</v>
      </c>
      <c r="G2" s="252" t="s">
        <v>76</v>
      </c>
      <c r="H2" s="253" t="s">
        <v>60</v>
      </c>
      <c r="I2" s="112">
        <f>'Detail Variance Report'!H1</f>
        <v>44320</v>
      </c>
      <c r="J2" s="112">
        <f>'Detail Variance Report'!I1</f>
        <v>44321</v>
      </c>
      <c r="K2" s="112">
        <f>'Detail Variance Report'!J1</f>
        <v>44322</v>
      </c>
      <c r="L2" s="112">
        <f>'Detail Variance Report'!K1</f>
        <v>44323</v>
      </c>
      <c r="M2" s="112">
        <f>'Detail Variance Report'!L1</f>
        <v>44324</v>
      </c>
      <c r="N2" s="112">
        <f>'Detail Variance Report'!M1</f>
        <v>44325</v>
      </c>
      <c r="O2" s="112">
        <f>'Detail Variance Report'!N1</f>
        <v>44326</v>
      </c>
      <c r="P2" s="112">
        <f>'Detail Variance Report'!O1</f>
        <v>44327</v>
      </c>
      <c r="Q2" s="112">
        <f>'Detail Variance Report'!P1</f>
        <v>44328</v>
      </c>
      <c r="R2" s="112">
        <f>'Detail Variance Report'!Q1</f>
        <v>44329</v>
      </c>
    </row>
    <row r="3" spans="1:18" x14ac:dyDescent="0.2">
      <c r="A3" s="83">
        <v>2117</v>
      </c>
      <c r="B3" s="88">
        <v>2117</v>
      </c>
      <c r="C3" s="88" t="s">
        <v>131</v>
      </c>
      <c r="D3" s="53">
        <f>'Master Sheet'!D2</f>
        <v>358.4</v>
      </c>
      <c r="E3" s="53">
        <f>colorfunction($B$1,I3:AA3,TRUE)</f>
        <v>358.4</v>
      </c>
      <c r="F3" s="53">
        <f t="shared" ref="F3" si="0">D3-E3</f>
        <v>0</v>
      </c>
      <c r="G3" s="62">
        <f t="shared" ref="G3:G8" si="1">SUM(I3:BY3)</f>
        <v>358.4</v>
      </c>
      <c r="H3" s="61">
        <f>VLOOKUP($A3,'Detail Variance Report'!B:F,5,0)</f>
        <v>0</v>
      </c>
      <c r="I3" s="204">
        <f>VLOOKUP(TEXT($A3,0),[1]BankRecData!$B$1:$O$5542,7,0)-VLOOKUP(TEXT($A3,0),[1]BankRecData!$B$1:$O$5542,8,0)</f>
        <v>299</v>
      </c>
      <c r="J3" s="204">
        <f>VLOOKUP(TEXT($A3,0),[2]BankRecData!$B$1:$O$5542,7,0)-VLOOKUP(TEXT($A3,0),[2]BankRecData!$B$1:$O$5542,8,0)</f>
        <v>0</v>
      </c>
      <c r="K3" s="204">
        <f>VLOOKUP(TEXT($A3,0),[3]BankRecData!$B$1:$O$5542,7,0)-VLOOKUP(TEXT($A3,0),[3]BankRecData!$B$1:$O$5542,8,0)</f>
        <v>0</v>
      </c>
      <c r="L3" s="204">
        <f>VLOOKUP(TEXT($A3,0),[4]BankRecData!$B$1:$O$5542,7,0)-VLOOKUP(TEXT($A3,0),[4]BankRecData!$B$1:$O$5542,8,0)</f>
        <v>0</v>
      </c>
      <c r="M3" s="204">
        <f>VLOOKUP(TEXT($A3,0),[5]BankRecData!$B$1:$O$5542,7,0)-VLOOKUP(TEXT($A3,0),[5]BankRecData!$B$1:$O$5542,8,0)</f>
        <v>0</v>
      </c>
      <c r="N3" s="204">
        <f>VLOOKUP(TEXT($A3,0),[6]BankRecData!$B$1:$O$5542,7,0)-VLOOKUP(TEXT($A3,0),[6]BankRecData!$B$1:$O$5542,8,0)</f>
        <v>0</v>
      </c>
      <c r="O3" s="204">
        <f>VLOOKUP(TEXT($A3,0),[7]BankRecData!$B$1:$O$5542,7,0)-VLOOKUP(TEXT($A3,0),[7]BankRecData!$B$1:$O$5542,8,0)</f>
        <v>0</v>
      </c>
      <c r="P3" s="204">
        <f>VLOOKUP(TEXT($A3,0),[8]BankRecData!$B$1:$O$5542,7,0)-VLOOKUP(TEXT($A3,0),[8]BankRecData!$B$1:$O$5542,8,0)</f>
        <v>0</v>
      </c>
      <c r="Q3" s="204">
        <f>VLOOKUP(TEXT($A3,0),[9]BankRecData!$B$1:$O$5542,7,0)-VLOOKUP(TEXT($A3,0),[9]BankRecData!$B$1:$O$5542,8,0)</f>
        <v>0</v>
      </c>
      <c r="R3" s="204">
        <f>VLOOKUP(TEXT($A3,0),[10]BankRecData!$B$1:$O$5542,7,0)-VLOOKUP(TEXT($A3,0),[10]BankRecData!$B$1:$O$5542,8,0)</f>
        <v>59.399999999999977</v>
      </c>
    </row>
    <row r="4" spans="1:18" x14ac:dyDescent="0.2">
      <c r="A4" s="83">
        <v>2118</v>
      </c>
      <c r="B4" s="88">
        <v>2118</v>
      </c>
      <c r="C4" s="55" t="s">
        <v>127</v>
      </c>
      <c r="D4" s="53">
        <f>'Master Sheet'!D3</f>
        <v>795.6</v>
      </c>
      <c r="E4" s="53">
        <f t="shared" ref="E4:E8" si="2">colorfunction($B$1,I4:AA4,TRUE)</f>
        <v>795.6</v>
      </c>
      <c r="F4" s="53">
        <f t="shared" ref="F4:F31" si="3">D4-E4</f>
        <v>0</v>
      </c>
      <c r="G4" s="62">
        <f t="shared" si="1"/>
        <v>795.6</v>
      </c>
      <c r="H4" s="61">
        <f>VLOOKUP($A4,'Detail Variance Report'!B:F,5,0)</f>
        <v>0</v>
      </c>
      <c r="I4" s="204">
        <f>VLOOKUP(TEXT($A4,0),[1]BankRecData!$B$1:$O$5542,7,0)-VLOOKUP(TEXT($A4,0),[1]BankRecData!$B$1:$O$5542,8,0)</f>
        <v>0</v>
      </c>
      <c r="J4" s="204">
        <f>VLOOKUP(TEXT($A4,0),[2]BankRecData!$B$1:$O$5542,7,0)-VLOOKUP(TEXT($A4,0),[2]BankRecData!$B$1:$O$5542,8,0)</f>
        <v>72.949999999999989</v>
      </c>
      <c r="K4" s="204">
        <f>VLOOKUP(TEXT($A4,0),[3]BankRecData!$B$1:$O$5542,7,0)-VLOOKUP(TEXT($A4,0),[3]BankRecData!$B$1:$O$5542,8,0)</f>
        <v>49.949999999999989</v>
      </c>
      <c r="L4" s="204">
        <f>VLOOKUP(TEXT($A4,0),[4]BankRecData!$B$1:$O$5542,7,0)-VLOOKUP(TEXT($A4,0),[4]BankRecData!$B$1:$O$5542,8,0)</f>
        <v>47</v>
      </c>
      <c r="M4" s="204">
        <f>VLOOKUP(TEXT($A4,0),[5]BankRecData!$B$1:$O$5542,7,0)-VLOOKUP(TEXT($A4,0),[5]BankRecData!$B$1:$O$5542,8,0)</f>
        <v>26</v>
      </c>
      <c r="N4" s="204">
        <f>VLOOKUP(TEXT($A4,0),[6]BankRecData!$B$1:$O$5542,7,0)-VLOOKUP(TEXT($A4,0),[6]BankRecData!$B$1:$O$5542,8,0)</f>
        <v>241.85000000000002</v>
      </c>
      <c r="O4" s="204">
        <f>VLOOKUP(TEXT($A4,0),[7]BankRecData!$B$1:$O$5542,7,0)-VLOOKUP(TEXT($A4,0),[7]BankRecData!$B$1:$O$5542,8,0)</f>
        <v>143.45000000000005</v>
      </c>
      <c r="P4" s="204">
        <f>VLOOKUP(TEXT($A4,0),[8]BankRecData!$B$1:$O$5542,7,0)-VLOOKUP(TEXT($A4,0),[8]BankRecData!$B$1:$O$5542,8,0)</f>
        <v>0</v>
      </c>
      <c r="Q4" s="204">
        <f>VLOOKUP(TEXT($A4,0),[9]BankRecData!$B$1:$O$5542,7,0)-VLOOKUP(TEXT($A4,0),[9]BankRecData!$B$1:$O$5542,8,0)</f>
        <v>57</v>
      </c>
      <c r="R4" s="204">
        <f>VLOOKUP(TEXT($A4,0),[10]BankRecData!$B$1:$O$5542,7,0)-VLOOKUP(TEXT($A4,0),[10]BankRecData!$B$1:$O$5542,8,0)</f>
        <v>157.39999999999998</v>
      </c>
    </row>
    <row r="5" spans="1:18" ht="13.5" thickBot="1" x14ac:dyDescent="0.25">
      <c r="A5" s="261">
        <v>2119</v>
      </c>
      <c r="B5" s="262">
        <v>2119</v>
      </c>
      <c r="C5" s="263" t="s">
        <v>130</v>
      </c>
      <c r="D5" s="264">
        <f>'Master Sheet'!D4</f>
        <v>1197.25</v>
      </c>
      <c r="E5" s="264">
        <f t="shared" si="2"/>
        <v>1197.25</v>
      </c>
      <c r="F5" s="264">
        <f t="shared" si="3"/>
        <v>0</v>
      </c>
      <c r="G5" s="265">
        <f t="shared" si="1"/>
        <v>1197.25</v>
      </c>
      <c r="H5" s="266">
        <f>VLOOKUP($A5,'Detail Variance Report'!B:F,5,0)</f>
        <v>0</v>
      </c>
      <c r="I5" s="267">
        <f>VLOOKUP(TEXT($A5,0),[1]BankRecData!$B$1:$O$5542,7,0)-VLOOKUP(TEXT($A5,0),[1]BankRecData!$B$1:$O$5542,8,0)</f>
        <v>0</v>
      </c>
      <c r="J5" s="267">
        <f>VLOOKUP(TEXT($A5,0),[2]BankRecData!$B$1:$O$5542,7,0)-VLOOKUP(TEXT($A5,0),[2]BankRecData!$B$1:$O$5542,8,0)</f>
        <v>43</v>
      </c>
      <c r="K5" s="267">
        <f>VLOOKUP(TEXT($A5,0),[3]BankRecData!$B$1:$O$5542,7,0)-VLOOKUP(TEXT($A5,0),[3]BankRecData!$B$1:$O$5542,8,0)</f>
        <v>23.949999999999989</v>
      </c>
      <c r="L5" s="267">
        <f>VLOOKUP(TEXT($A5,0),[4]BankRecData!$B$1:$O$5542,7,0)-VLOOKUP(TEXT($A5,0),[4]BankRecData!$B$1:$O$5542,8,0)</f>
        <v>338.5</v>
      </c>
      <c r="M5" s="267">
        <f>VLOOKUP(TEXT($A5,0),[5]BankRecData!$B$1:$O$5542,7,0)-VLOOKUP(TEXT($A5,0),[5]BankRecData!$B$1:$O$5542,8,0)</f>
        <v>45.399999999999977</v>
      </c>
      <c r="N5" s="267">
        <f>VLOOKUP(TEXT($A5,0),[6]BankRecData!$B$1:$O$5542,7,0)-VLOOKUP(TEXT($A5,0),[6]BankRecData!$B$1:$O$5542,8,0)</f>
        <v>164.35000000000002</v>
      </c>
      <c r="O5" s="267">
        <f>VLOOKUP(TEXT($A5,0),[7]BankRecData!$B$1:$O$5542,7,0)-VLOOKUP(TEXT($A5,0),[7]BankRecData!$B$1:$O$5542,8,0)</f>
        <v>142.64999999999998</v>
      </c>
      <c r="P5" s="267">
        <f>VLOOKUP(TEXT($A5,0),[8]BankRecData!$B$1:$O$5542,7,0)-VLOOKUP(TEXT($A5,0),[8]BankRecData!$B$1:$O$5542,8,0)</f>
        <v>0</v>
      </c>
      <c r="Q5" s="267">
        <f>VLOOKUP(TEXT($A5,0),[9]BankRecData!$B$1:$O$5542,7,0)-VLOOKUP(TEXT($A5,0),[9]BankRecData!$B$1:$O$5542,8,0)</f>
        <v>275.5</v>
      </c>
      <c r="R5" s="267">
        <f>VLOOKUP(TEXT($A5,0),[10]BankRecData!$B$1:$O$5542,7,0)-VLOOKUP(TEXT($A5,0),[10]BankRecData!$B$1:$O$5542,8,0)</f>
        <v>163.89999999999998</v>
      </c>
    </row>
    <row r="6" spans="1:18" ht="13.5" thickTop="1" x14ac:dyDescent="0.2">
      <c r="A6" s="304">
        <v>2137</v>
      </c>
      <c r="B6" s="305">
        <v>137</v>
      </c>
      <c r="C6" s="306" t="s">
        <v>77</v>
      </c>
      <c r="D6" s="275">
        <f>'Master Sheet'!D5</f>
        <v>0</v>
      </c>
      <c r="E6" s="275">
        <f t="shared" si="2"/>
        <v>0</v>
      </c>
      <c r="F6" s="275">
        <f t="shared" si="3"/>
        <v>0</v>
      </c>
      <c r="G6" s="276">
        <f t="shared" si="1"/>
        <v>0</v>
      </c>
      <c r="H6" s="277">
        <f>VLOOKUP($A6,'Detail Variance Report'!B:F,5,0)</f>
        <v>0</v>
      </c>
      <c r="I6" s="278">
        <f>VLOOKUP(TEXT($A6,0),[1]BankRecData!$B$1:$O$5542,7,0)-VLOOKUP(TEXT($A6,0),[1]BankRecData!$B$1:$O$5542,8,0)</f>
        <v>0</v>
      </c>
      <c r="J6" s="278">
        <f>VLOOKUP(TEXT($A6,0),[2]BankRecData!$B$1:$O$5542,7,0)-VLOOKUP(TEXT($A6,0),[2]BankRecData!$B$1:$O$5542,8,0)</f>
        <v>0</v>
      </c>
      <c r="K6" s="278">
        <f>VLOOKUP(TEXT($A6,0),[3]BankRecData!$B$1:$O$5542,7,0)-VLOOKUP(TEXT($A6,0),[3]BankRecData!$B$1:$O$5542,8,0)</f>
        <v>0</v>
      </c>
      <c r="L6" s="278">
        <f>VLOOKUP(TEXT($A6,0),[4]BankRecData!$B$1:$O$5542,7,0)-VLOOKUP(TEXT($A6,0),[4]BankRecData!$B$1:$O$5542,8,0)</f>
        <v>0</v>
      </c>
      <c r="M6" s="278">
        <f>VLOOKUP(TEXT($A6,0),[5]BankRecData!$B$1:$O$5542,7,0)-VLOOKUP(TEXT($A6,0),[5]BankRecData!$B$1:$O$5542,8,0)</f>
        <v>0</v>
      </c>
      <c r="N6" s="278">
        <f>VLOOKUP(TEXT($A6,0),[6]BankRecData!$B$1:$O$5542,7,0)-VLOOKUP(TEXT($A6,0),[6]BankRecData!$B$1:$O$5542,8,0)</f>
        <v>0</v>
      </c>
      <c r="O6" s="278">
        <f>VLOOKUP(TEXT($A6,0),[7]BankRecData!$B$1:$O$5542,7,0)-VLOOKUP(TEXT($A6,0),[7]BankRecData!$B$1:$O$5542,8,0)</f>
        <v>0</v>
      </c>
      <c r="P6" s="278">
        <f>VLOOKUP(TEXT($A6,0),[8]BankRecData!$B$1:$O$5542,7,0)-VLOOKUP(TEXT($A6,0),[8]BankRecData!$B$1:$O$5542,8,0)</f>
        <v>0</v>
      </c>
      <c r="Q6" s="278">
        <f>VLOOKUP(TEXT($A6,0),[9]BankRecData!$B$1:$O$5542,7,0)-VLOOKUP(TEXT($A6,0),[9]BankRecData!$B$1:$O$5542,8,0)</f>
        <v>0</v>
      </c>
      <c r="R6" s="278">
        <f>VLOOKUP(TEXT($A6,0),[10]BankRecData!$B$1:$O$5542,7,0)-VLOOKUP(TEXT($A6,0),[10]BankRecData!$B$1:$O$5542,8,0)</f>
        <v>0</v>
      </c>
    </row>
    <row r="7" spans="1:18" x14ac:dyDescent="0.2">
      <c r="A7" s="254">
        <v>2230</v>
      </c>
      <c r="B7" s="89">
        <v>2230</v>
      </c>
      <c r="C7" s="77" t="s">
        <v>109</v>
      </c>
      <c r="D7" s="53">
        <f>'Master Sheet'!D6</f>
        <v>0</v>
      </c>
      <c r="E7" s="53">
        <f t="shared" si="2"/>
        <v>0</v>
      </c>
      <c r="F7" s="53">
        <f t="shared" si="3"/>
        <v>0</v>
      </c>
      <c r="G7" s="62">
        <f t="shared" si="1"/>
        <v>0</v>
      </c>
      <c r="H7" s="61">
        <f>VLOOKUP($A7,'Detail Variance Report'!B:F,5,0)</f>
        <v>0</v>
      </c>
      <c r="I7" s="204">
        <f>VLOOKUP(TEXT($A7,0),[1]BankRecData!$B$1:$O$5542,7,0)-VLOOKUP(TEXT($A7,0),[1]BankRecData!$B$1:$O$5542,8,0)</f>
        <v>0</v>
      </c>
      <c r="J7" s="204">
        <f>VLOOKUP(TEXT($A7,0),[2]BankRecData!$B$1:$O$5542,7,0)-VLOOKUP(TEXT($A7,0),[2]BankRecData!$B$1:$O$5542,8,0)</f>
        <v>0</v>
      </c>
      <c r="K7" s="204">
        <f>VLOOKUP(TEXT($A7,0),[3]BankRecData!$B$1:$O$5542,7,0)-VLOOKUP(TEXT($A7,0),[3]BankRecData!$B$1:$O$5542,8,0)</f>
        <v>0</v>
      </c>
      <c r="L7" s="204">
        <f>VLOOKUP(TEXT($A7,0),[4]BankRecData!$B$1:$O$5542,7,0)-VLOOKUP(TEXT($A7,0),[4]BankRecData!$B$1:$O$5542,8,0)</f>
        <v>0</v>
      </c>
      <c r="M7" s="204">
        <f>VLOOKUP(TEXT($A7,0),[5]BankRecData!$B$1:$O$5542,7,0)-VLOOKUP(TEXT($A7,0),[5]BankRecData!$B$1:$O$5542,8,0)</f>
        <v>0</v>
      </c>
      <c r="N7" s="204">
        <f>VLOOKUP(TEXT($A7,0),[6]BankRecData!$B$1:$O$5542,7,0)-VLOOKUP(TEXT($A7,0),[6]BankRecData!$B$1:$O$5542,8,0)</f>
        <v>0</v>
      </c>
      <c r="O7" s="204">
        <f>VLOOKUP(TEXT($A7,0),[7]BankRecData!$B$1:$O$5542,7,0)-VLOOKUP(TEXT($A7,0),[7]BankRecData!$B$1:$O$5542,8,0)</f>
        <v>0</v>
      </c>
      <c r="P7" s="204">
        <f>VLOOKUP(TEXT($A7,0),[8]BankRecData!$B$1:$O$5542,7,0)-VLOOKUP(TEXT($A7,0),[8]BankRecData!$B$1:$O$5542,8,0)</f>
        <v>0</v>
      </c>
      <c r="Q7" s="204">
        <f>VLOOKUP(TEXT($A7,0),[9]BankRecData!$B$1:$O$5542,7,0)-VLOOKUP(TEXT($A7,0),[9]BankRecData!$B$1:$O$5542,8,0)</f>
        <v>0</v>
      </c>
      <c r="R7" s="204">
        <f>VLOOKUP(TEXT($A7,0),[10]BankRecData!$B$1:$O$5542,7,0)-VLOOKUP(TEXT($A7,0),[10]BankRecData!$B$1:$O$5542,8,0)</f>
        <v>0</v>
      </c>
    </row>
    <row r="8" spans="1:18" x14ac:dyDescent="0.2">
      <c r="A8" s="254">
        <v>2231</v>
      </c>
      <c r="B8" s="89">
        <v>2231</v>
      </c>
      <c r="C8" s="87" t="s">
        <v>101</v>
      </c>
      <c r="D8" s="53">
        <f>'Master Sheet'!D7</f>
        <v>666.15</v>
      </c>
      <c r="E8" s="53">
        <f t="shared" si="2"/>
        <v>666.15</v>
      </c>
      <c r="F8" s="53">
        <f t="shared" si="3"/>
        <v>0</v>
      </c>
      <c r="G8" s="62">
        <f t="shared" si="1"/>
        <v>666.15</v>
      </c>
      <c r="H8" s="61">
        <f>VLOOKUP($A8,'Detail Variance Report'!B:F,5,0)</f>
        <v>0</v>
      </c>
      <c r="I8" s="204">
        <f>VLOOKUP(TEXT($A8,0),[1]BankRecData!$B$1:$O$5542,7,0)-VLOOKUP(TEXT($A8,0),[1]BankRecData!$B$1:$O$5542,8,0)</f>
        <v>29.100000000000023</v>
      </c>
      <c r="J8" s="204">
        <f>VLOOKUP(TEXT($A8,0),[2]BankRecData!$B$1:$O$5542,7,0)-VLOOKUP(TEXT($A8,0),[2]BankRecData!$B$1:$O$5542,8,0)</f>
        <v>128.54999999999995</v>
      </c>
      <c r="K8" s="204">
        <f>VLOOKUP(TEXT($A8,0),[3]BankRecData!$B$1:$O$5542,7,0)-VLOOKUP(TEXT($A8,0),[3]BankRecData!$B$1:$O$5542,8,0)</f>
        <v>130.95000000000005</v>
      </c>
      <c r="L8" s="204">
        <f>VLOOKUP(TEXT($A8,0),[4]BankRecData!$B$1:$O$5542,7,0)-VLOOKUP(TEXT($A8,0),[4]BankRecData!$B$1:$O$5542,8,0)</f>
        <v>16.350000000000023</v>
      </c>
      <c r="M8" s="204">
        <f>VLOOKUP(TEXT($A8,0),[5]BankRecData!$B$1:$O$5542,7,0)-VLOOKUP(TEXT($A8,0),[5]BankRecData!$B$1:$O$5542,8,0)</f>
        <v>0</v>
      </c>
      <c r="N8" s="204">
        <f>VLOOKUP(TEXT($A8,0),[6]BankRecData!$B$1:$O$5542,7,0)-VLOOKUP(TEXT($A8,0),[6]BankRecData!$B$1:$O$5542,8,0)</f>
        <v>0</v>
      </c>
      <c r="O8" s="204">
        <f>VLOOKUP(TEXT($A8,0),[7]BankRecData!$B$1:$O$5542,7,0)-VLOOKUP(TEXT($A8,0),[7]BankRecData!$B$1:$O$5542,8,0)</f>
        <v>50.75</v>
      </c>
      <c r="P8" s="204">
        <f>VLOOKUP(TEXT($A8,0),[8]BankRecData!$B$1:$O$5542,7,0)-VLOOKUP(TEXT($A8,0),[8]BankRecData!$B$1:$O$5542,8,0)</f>
        <v>191.39999999999998</v>
      </c>
      <c r="Q8" s="204">
        <f>VLOOKUP(TEXT($A8,0),[9]BankRecData!$B$1:$O$5542,7,0)-VLOOKUP(TEXT($A8,0),[9]BankRecData!$B$1:$O$5542,8,0)</f>
        <v>119.04999999999995</v>
      </c>
      <c r="R8" s="204">
        <f>VLOOKUP(TEXT($A8,0),[10]BankRecData!$B$1:$O$5542,7,0)-VLOOKUP(TEXT($A8,0),[10]BankRecData!$B$1:$O$5542,8,0)</f>
        <v>0</v>
      </c>
    </row>
    <row r="9" spans="1:18" ht="13.5" thickBot="1" x14ac:dyDescent="0.25">
      <c r="A9" s="307">
        <v>2234</v>
      </c>
      <c r="B9" s="308">
        <v>2234</v>
      </c>
      <c r="C9" s="309"/>
      <c r="D9" s="282"/>
      <c r="E9" s="282"/>
      <c r="F9" s="282"/>
      <c r="G9" s="283"/>
      <c r="H9" s="284">
        <f>IFERROR(VLOOKUP($A9,'Detail Variance Report'!B:F,5,0),0)</f>
        <v>0</v>
      </c>
      <c r="I9" s="310"/>
      <c r="J9" s="310"/>
      <c r="K9" s="310"/>
      <c r="L9" s="310"/>
      <c r="M9" s="310"/>
      <c r="N9" s="310"/>
      <c r="O9" s="310"/>
      <c r="P9" s="310"/>
      <c r="Q9" s="310"/>
      <c r="R9" s="310"/>
    </row>
    <row r="10" spans="1:18" ht="14.25" thickTop="1" thickBot="1" x14ac:dyDescent="0.25">
      <c r="A10" s="295">
        <v>2450</v>
      </c>
      <c r="B10" s="296">
        <v>450</v>
      </c>
      <c r="C10" s="297" t="s">
        <v>68</v>
      </c>
      <c r="D10" s="298">
        <f>'Master Sheet'!D8</f>
        <v>3810.3499999999995</v>
      </c>
      <c r="E10" s="298">
        <f t="shared" ref="E10:E31" si="4">colorfunction($B$1,I10:AA10,TRUE)</f>
        <v>3810.3499999999995</v>
      </c>
      <c r="F10" s="298">
        <f t="shared" ref="F10" si="5">D10-E10</f>
        <v>0</v>
      </c>
      <c r="G10" s="299">
        <f t="shared" ref="G10:G22" si="6">SUM(I10:BY10)</f>
        <v>3810.3499999999995</v>
      </c>
      <c r="H10" s="300">
        <f>VLOOKUP($A10,'Detail Variance Report'!B:F,5,0)</f>
        <v>0</v>
      </c>
      <c r="I10" s="301">
        <f>VLOOKUP(TEXT($A10,0),[1]BankRecData!$B$1:$O$5542,7,0)-VLOOKUP(TEXT($A10,0),[1]BankRecData!$B$1:$O$5542,8,0)</f>
        <v>318.75</v>
      </c>
      <c r="J10" s="301">
        <f>VLOOKUP(TEXT($A10,0),[2]BankRecData!$B$1:$O$5542,7,0)-VLOOKUP(TEXT($A10,0),[2]BankRecData!$B$1:$O$5542,8,0)</f>
        <v>362.85</v>
      </c>
      <c r="K10" s="301">
        <f>VLOOKUP(TEXT($A10,0),[3]BankRecData!$B$1:$O$5542,7,0)-VLOOKUP(TEXT($A10,0),[3]BankRecData!$B$1:$O$5542,8,0)</f>
        <v>431.65</v>
      </c>
      <c r="L10" s="301">
        <f>VLOOKUP(TEXT($A10,0),[4]BankRecData!$B$1:$O$5542,7,0)-VLOOKUP(TEXT($A10,0),[4]BankRecData!$B$1:$O$5542,8,0)</f>
        <v>741.75</v>
      </c>
      <c r="M10" s="301">
        <f>VLOOKUP(TEXT($A10,0),[5]BankRecData!$B$1:$O$5542,7,0)-VLOOKUP(TEXT($A10,0),[5]BankRecData!$B$1:$O$5542,8,0)</f>
        <v>162.64999999999998</v>
      </c>
      <c r="N10" s="301">
        <f>VLOOKUP(TEXT($A10,0),[6]BankRecData!$B$1:$O$5542,7,0)-VLOOKUP(TEXT($A10,0),[6]BankRecData!$B$1:$O$5542,8,0)</f>
        <v>279.29999999999995</v>
      </c>
      <c r="O10" s="301">
        <f>VLOOKUP(TEXT($A10,0),[7]BankRecData!$B$1:$O$5542,7,0)-VLOOKUP(TEXT($A10,0),[7]BankRecData!$B$1:$O$5542,8,0)</f>
        <v>538.35</v>
      </c>
      <c r="P10" s="301">
        <f>VLOOKUP(TEXT($A10,0),[8]BankRecData!$B$1:$O$5542,7,0)-VLOOKUP(TEXT($A10,0),[8]BankRecData!$B$1:$O$5542,8,0)</f>
        <v>211.5</v>
      </c>
      <c r="Q10" s="301">
        <f>VLOOKUP(TEXT($A10,0),[9]BankRecData!$B$1:$O$5542,7,0)-VLOOKUP(TEXT($A10,0),[9]BankRecData!$B$1:$O$5542,8,0)</f>
        <v>340.04999999999995</v>
      </c>
      <c r="R10" s="301">
        <f>VLOOKUP(TEXT($A10,0),[10]BankRecData!$B$1:$O$5542,7,0)-VLOOKUP(TEXT($A10,0),[10]BankRecData!$B$1:$O$5542,8,0)</f>
        <v>423.5</v>
      </c>
    </row>
    <row r="11" spans="1:18" ht="14.25" thickTop="1" thickBot="1" x14ac:dyDescent="0.25">
      <c r="A11" s="287">
        <v>2225</v>
      </c>
      <c r="B11" s="288">
        <v>2225</v>
      </c>
      <c r="C11" s="18" t="s">
        <v>142</v>
      </c>
      <c r="D11" s="264">
        <f>'Master Sheet'!D9</f>
        <v>4951.6499999999996</v>
      </c>
      <c r="E11" s="264">
        <f t="shared" si="4"/>
        <v>4951.6499999999996</v>
      </c>
      <c r="F11" s="264">
        <f t="shared" ref="F11" si="7">D11-E11</f>
        <v>0</v>
      </c>
      <c r="G11" s="265">
        <f t="shared" si="6"/>
        <v>4951.6499999999996</v>
      </c>
      <c r="H11" s="266">
        <f>VLOOKUP($A11,'Detail Variance Report'!B:F,5,0)</f>
        <v>0</v>
      </c>
      <c r="I11" s="289">
        <f>VLOOKUP(TEXT($A11,0),[1]BankRecData!$B$1:$O$5542,7,0)-VLOOKUP(TEXT($A11,0),[1]BankRecData!$B$1:$O$5542,8,0)</f>
        <v>355.4</v>
      </c>
      <c r="J11" s="289">
        <f>VLOOKUP(TEXT($A11,0),[2]BankRecData!$B$1:$O$5542,7,0)-VLOOKUP(TEXT($A11,0),[2]BankRecData!$B$1:$O$5542,8,0)</f>
        <v>440.65</v>
      </c>
      <c r="K11" s="289">
        <f>VLOOKUP(TEXT($A11,0),[3]BankRecData!$B$1:$O$5542,7,0)-VLOOKUP(TEXT($A11,0),[3]BankRecData!$B$1:$O$5542,8,0)</f>
        <v>327.70000000000005</v>
      </c>
      <c r="L11" s="289">
        <f>VLOOKUP(TEXT($A11,0),[4]BankRecData!$B$1:$O$5542,7,0)-VLOOKUP(TEXT($A11,0),[4]BankRecData!$B$1:$O$5542,8,0)</f>
        <v>667.55</v>
      </c>
      <c r="M11" s="289">
        <f>VLOOKUP(TEXT($A11,0),[5]BankRecData!$B$1:$O$5542,7,0)-VLOOKUP(TEXT($A11,0),[5]BankRecData!$B$1:$O$5542,8,0)</f>
        <v>445.25</v>
      </c>
      <c r="N11" s="289">
        <f>VLOOKUP(TEXT($A11,0),[6]BankRecData!$B$1:$O$5542,7,0)-VLOOKUP(TEXT($A11,0),[6]BankRecData!$B$1:$O$5542,8,0)</f>
        <v>803.59999999999991</v>
      </c>
      <c r="O11" s="289">
        <f>VLOOKUP(TEXT($A11,0),[7]BankRecData!$B$1:$O$5542,7,0)-VLOOKUP(TEXT($A11,0),[7]BankRecData!$B$1:$O$5542,8,0)</f>
        <v>548.75</v>
      </c>
      <c r="P11" s="289">
        <f>VLOOKUP(TEXT($A11,0),[8]BankRecData!$B$1:$O$5542,7,0)-VLOOKUP(TEXT($A11,0),[8]BankRecData!$B$1:$O$5542,8,0)</f>
        <v>452.1</v>
      </c>
      <c r="Q11" s="289">
        <f>VLOOKUP(TEXT($A11,0),[9]BankRecData!$B$1:$O$5542,7,0)-VLOOKUP(TEXT($A11,0),[9]BankRecData!$B$1:$O$5542,8,0)</f>
        <v>350.95000000000005</v>
      </c>
      <c r="R11" s="289">
        <f>VLOOKUP(TEXT($A11,0),[10]BankRecData!$B$1:$O$5542,7,0)-VLOOKUP(TEXT($A11,0),[10]BankRecData!$B$1:$O$5542,8,0)</f>
        <v>559.70000000000005</v>
      </c>
    </row>
    <row r="12" spans="1:18" ht="13.5" thickTop="1" x14ac:dyDescent="0.2">
      <c r="A12" s="286">
        <v>3191</v>
      </c>
      <c r="B12" s="273">
        <v>19</v>
      </c>
      <c r="C12" s="274" t="s">
        <v>15</v>
      </c>
      <c r="D12" s="275">
        <f>'Master Sheet'!D10</f>
        <v>2852.65</v>
      </c>
      <c r="E12" s="275">
        <f>colorfunction($B$1,I12:AA12,TRUE)</f>
        <v>2852.65</v>
      </c>
      <c r="F12" s="275">
        <f t="shared" si="3"/>
        <v>0</v>
      </c>
      <c r="G12" s="276">
        <f t="shared" si="6"/>
        <v>2852.65</v>
      </c>
      <c r="H12" s="277">
        <f>VLOOKUP($A12,'Detail Variance Report'!B:F,5,0)</f>
        <v>0</v>
      </c>
      <c r="I12" s="278">
        <f>VLOOKUP(TEXT($A12,0),[1]BankRecData!$B$1:$O$5542,7,0)-VLOOKUP(TEXT($A12,0),[1]BankRecData!$B$1:$O$5542,8,0)</f>
        <v>439.6</v>
      </c>
      <c r="J12" s="278">
        <f>VLOOKUP(TEXT($A12,0),[2]BankRecData!$B$1:$O$5542,7,0)-VLOOKUP(TEXT($A12,0),[2]BankRecData!$B$1:$O$5542,8,0)</f>
        <v>334.25</v>
      </c>
      <c r="K12" s="278">
        <f>VLOOKUP(TEXT($A12,0),[3]BankRecData!$B$1:$O$5542,7,0)-VLOOKUP(TEXT($A12,0),[3]BankRecData!$B$1:$O$5542,8,0)</f>
        <v>122.10000000000002</v>
      </c>
      <c r="L12" s="278">
        <f>VLOOKUP(TEXT($A12,0),[4]BankRecData!$B$1:$O$5542,7,0)-VLOOKUP(TEXT($A12,0),[4]BankRecData!$B$1:$O$5542,8,0)</f>
        <v>84.100000000000023</v>
      </c>
      <c r="M12" s="278">
        <f>VLOOKUP(TEXT($A12,0),[5]BankRecData!$B$1:$O$5542,7,0)-VLOOKUP(TEXT($A12,0),[5]BankRecData!$B$1:$O$5542,8,0)</f>
        <v>324.10000000000002</v>
      </c>
      <c r="N12" s="278">
        <f>VLOOKUP(TEXT($A12,0),[6]BankRecData!$B$1:$O$5542,7,0)-VLOOKUP(TEXT($A12,0),[6]BankRecData!$B$1:$O$5542,8,0)</f>
        <v>362.35</v>
      </c>
      <c r="O12" s="278">
        <f>VLOOKUP(TEXT($A12,0),[7]BankRecData!$B$1:$O$5542,7,0)-VLOOKUP(TEXT($A12,0),[7]BankRecData!$B$1:$O$5542,8,0)</f>
        <v>467.35</v>
      </c>
      <c r="P12" s="278">
        <f>VLOOKUP(TEXT($A12,0),[8]BankRecData!$B$1:$O$5542,7,0)-VLOOKUP(TEXT($A12,0),[8]BankRecData!$B$1:$O$5542,8,0)</f>
        <v>177.39999999999998</v>
      </c>
      <c r="Q12" s="278">
        <f>VLOOKUP(TEXT($A12,0),[9]BankRecData!$B$1:$O$5542,7,0)-VLOOKUP(TEXT($A12,0),[9]BankRecData!$B$1:$O$5542,8,0)</f>
        <v>323.5</v>
      </c>
      <c r="R12" s="278">
        <f>VLOOKUP(TEXT($A12,0),[10]BankRecData!$B$1:$O$5542,7,0)-VLOOKUP(TEXT($A12,0),[10]BankRecData!$B$1:$O$5542,8,0)</f>
        <v>217.89999999999998</v>
      </c>
    </row>
    <row r="13" spans="1:18" ht="13.5" thickBot="1" x14ac:dyDescent="0.25">
      <c r="A13" s="302">
        <v>3175</v>
      </c>
      <c r="B13" s="280">
        <v>175</v>
      </c>
      <c r="C13" s="303" t="s">
        <v>65</v>
      </c>
      <c r="D13" s="282">
        <f>'Master Sheet'!D11</f>
        <v>53.050000000000011</v>
      </c>
      <c r="E13" s="282">
        <f>colorfunction($B$1,I13:AA13,TRUE)</f>
        <v>53.050000000000011</v>
      </c>
      <c r="F13" s="282">
        <f t="shared" si="3"/>
        <v>0</v>
      </c>
      <c r="G13" s="283">
        <f t="shared" si="6"/>
        <v>53.050000000000011</v>
      </c>
      <c r="H13" s="284">
        <f>VLOOKUP($A13,'Detail Variance Report'!B:F,5,0)</f>
        <v>0</v>
      </c>
      <c r="I13" s="285">
        <f>VLOOKUP(TEXT($A13,0),[1]BankRecData!$B$1:$O$5542,7,0)-VLOOKUP(TEXT($A13,0),[1]BankRecData!$B$1:$O$5542,8,0)</f>
        <v>0</v>
      </c>
      <c r="J13" s="285">
        <f>VLOOKUP(TEXT($A13,0),[2]BankRecData!$B$1:$O$5542,7,0)-VLOOKUP(TEXT($A13,0),[2]BankRecData!$B$1:$O$5542,8,0)</f>
        <v>0</v>
      </c>
      <c r="K13" s="285">
        <f>VLOOKUP(TEXT($A13,0),[3]BankRecData!$B$1:$O$5542,7,0)-VLOOKUP(TEXT($A13,0),[3]BankRecData!$B$1:$O$5542,8,0)</f>
        <v>0</v>
      </c>
      <c r="L13" s="285">
        <f>VLOOKUP(TEXT($A13,0),[4]BankRecData!$B$1:$O$5542,7,0)-VLOOKUP(TEXT($A13,0),[4]BankRecData!$B$1:$O$5542,8,0)</f>
        <v>13</v>
      </c>
      <c r="M13" s="285">
        <f>VLOOKUP(TEXT($A13,0),[5]BankRecData!$B$1:$O$5542,7,0)-VLOOKUP(TEXT($A13,0),[5]BankRecData!$B$1:$O$5542,8,0)</f>
        <v>0</v>
      </c>
      <c r="N13" s="285">
        <f>VLOOKUP(TEXT($A13,0),[6]BankRecData!$B$1:$O$5542,7,0)-VLOOKUP(TEXT($A13,0),[6]BankRecData!$B$1:$O$5542,8,0)</f>
        <v>0</v>
      </c>
      <c r="O13" s="285">
        <f>VLOOKUP(TEXT($A13,0),[7]BankRecData!$B$1:$O$5542,7,0)-VLOOKUP(TEXT($A13,0),[7]BankRecData!$B$1:$O$5542,8,0)</f>
        <v>0</v>
      </c>
      <c r="P13" s="285">
        <f>VLOOKUP(TEXT($A13,0),[8]BankRecData!$B$1:$O$5542,7,0)-VLOOKUP(TEXT($A13,0),[8]BankRecData!$B$1:$O$5542,8,0)</f>
        <v>0</v>
      </c>
      <c r="Q13" s="285">
        <f>VLOOKUP(TEXT($A13,0),[9]BankRecData!$B$1:$O$5542,7,0)-VLOOKUP(TEXT($A13,0),[9]BankRecData!$B$1:$O$5542,8,0)</f>
        <v>30</v>
      </c>
      <c r="R13" s="285">
        <f>VLOOKUP(TEXT($A13,0),[10]BankRecData!$B$1:$O$5542,7,0)-VLOOKUP(TEXT($A13,0),[10]BankRecData!$B$1:$O$5542,8,0)</f>
        <v>10.050000000000011</v>
      </c>
    </row>
    <row r="14" spans="1:18" ht="14.25" thickTop="1" thickBot="1" x14ac:dyDescent="0.25">
      <c r="A14" s="287">
        <v>4100</v>
      </c>
      <c r="B14" s="288">
        <v>100</v>
      </c>
      <c r="C14" s="18" t="s">
        <v>21</v>
      </c>
      <c r="D14" s="264">
        <f>'Master Sheet'!D12</f>
        <v>8425.9</v>
      </c>
      <c r="E14" s="264">
        <f t="shared" si="4"/>
        <v>8425.9</v>
      </c>
      <c r="F14" s="264">
        <f t="shared" si="3"/>
        <v>0</v>
      </c>
      <c r="G14" s="265">
        <f t="shared" si="6"/>
        <v>8425.9</v>
      </c>
      <c r="H14" s="266">
        <f>VLOOKUP($A14,'Detail Variance Report'!B:F,5,0)</f>
        <v>0</v>
      </c>
      <c r="I14" s="289">
        <f>VLOOKUP(TEXT($A14,0),[1]BankRecData!$B$1:$O$5542,7,0)-VLOOKUP(TEXT($A14,0),[1]BankRecData!$B$1:$O$5542,8,0)</f>
        <v>664</v>
      </c>
      <c r="J14" s="289">
        <f>VLOOKUP(TEXT($A14,0),[2]BankRecData!$B$1:$O$5542,7,0)-VLOOKUP(TEXT($A14,0),[2]BankRecData!$B$1:$O$5542,8,0)</f>
        <v>834.75</v>
      </c>
      <c r="K14" s="289">
        <f>VLOOKUP(TEXT($A14,0),[3]BankRecData!$B$1:$O$5542,7,0)-VLOOKUP(TEXT($A14,0),[3]BankRecData!$B$1:$O$5542,8,0)</f>
        <v>1123.8499999999999</v>
      </c>
      <c r="L14" s="289">
        <f>VLOOKUP(TEXT($A14,0),[4]BankRecData!$B$1:$O$5542,7,0)-VLOOKUP(TEXT($A14,0),[4]BankRecData!$B$1:$O$5542,8,0)</f>
        <v>689.3</v>
      </c>
      <c r="M14" s="289">
        <f>VLOOKUP(TEXT($A14,0),[5]BankRecData!$B$1:$O$5542,7,0)-VLOOKUP(TEXT($A14,0),[5]BankRecData!$B$1:$O$5542,8,0)</f>
        <v>1005.0999999999999</v>
      </c>
      <c r="N14" s="289">
        <f>VLOOKUP(TEXT($A14,0),[6]BankRecData!$B$1:$O$5542,7,0)-VLOOKUP(TEXT($A14,0),[6]BankRecData!$B$1:$O$5542,8,0)</f>
        <v>811.90000000000009</v>
      </c>
      <c r="O14" s="289">
        <f>VLOOKUP(TEXT($A14,0),[7]BankRecData!$B$1:$O$5542,7,0)-VLOOKUP(TEXT($A14,0),[7]BankRecData!$B$1:$O$5542,8,0)</f>
        <v>736.59999999999991</v>
      </c>
      <c r="P14" s="289">
        <f>VLOOKUP(TEXT($A14,0),[8]BankRecData!$B$1:$O$5542,7,0)-VLOOKUP(TEXT($A14,0),[8]BankRecData!$B$1:$O$5542,8,0)</f>
        <v>993.34999999999991</v>
      </c>
      <c r="Q14" s="289">
        <f>VLOOKUP(TEXT($A14,0),[9]BankRecData!$B$1:$O$5542,7,0)-VLOOKUP(TEXT($A14,0),[9]BankRecData!$B$1:$O$5542,8,0)</f>
        <v>759.65000000000009</v>
      </c>
      <c r="R14" s="289">
        <f>VLOOKUP(TEXT($A14,0),[10]BankRecData!$B$1:$O$5542,7,0)-VLOOKUP(TEXT($A14,0),[10]BankRecData!$B$1:$O$5542,8,0)</f>
        <v>807.40000000000009</v>
      </c>
    </row>
    <row r="15" spans="1:18" ht="13.5" thickTop="1" x14ac:dyDescent="0.2">
      <c r="A15" s="272">
        <v>4101</v>
      </c>
      <c r="B15" s="273">
        <v>4101</v>
      </c>
      <c r="C15" s="274" t="s">
        <v>128</v>
      </c>
      <c r="D15" s="275">
        <f>'Master Sheet'!D13</f>
        <v>9947.7000000000007</v>
      </c>
      <c r="E15" s="275">
        <f t="shared" si="4"/>
        <v>9947.7000000000007</v>
      </c>
      <c r="F15" s="275">
        <f t="shared" si="3"/>
        <v>0</v>
      </c>
      <c r="G15" s="276">
        <f t="shared" si="6"/>
        <v>9947.7000000000007</v>
      </c>
      <c r="H15" s="277">
        <f>VLOOKUP($A15,'Detail Variance Report'!B:F,5,0)</f>
        <v>0</v>
      </c>
      <c r="I15" s="278">
        <f>VLOOKUP(TEXT($A15,0),[1]BankRecData!$B$1:$O$5542,7,0)-VLOOKUP(TEXT($A15,0),[1]BankRecData!$B$1:$O$5542,8,0)</f>
        <v>1159.3499999999999</v>
      </c>
      <c r="J15" s="278">
        <f>VLOOKUP(TEXT($A15,0),[2]BankRecData!$B$1:$O$5542,7,0)-VLOOKUP(TEXT($A15,0),[2]BankRecData!$B$1:$O$5542,8,0)</f>
        <v>1077.25</v>
      </c>
      <c r="K15" s="278">
        <f>VLOOKUP(TEXT($A15,0),[3]BankRecData!$B$1:$O$5542,7,0)-VLOOKUP(TEXT($A15,0),[3]BankRecData!$B$1:$O$5542,8,0)</f>
        <v>1204.55</v>
      </c>
      <c r="L15" s="278">
        <f>VLOOKUP(TEXT($A15,0),[4]BankRecData!$B$1:$O$5542,7,0)-VLOOKUP(TEXT($A15,0),[4]BankRecData!$B$1:$O$5542,8,0)</f>
        <v>826.05</v>
      </c>
      <c r="M15" s="278">
        <f>VLOOKUP(TEXT($A15,0),[5]BankRecData!$B$1:$O$5542,7,0)-VLOOKUP(TEXT($A15,0),[5]BankRecData!$B$1:$O$5542,8,0)</f>
        <v>730.2</v>
      </c>
      <c r="N15" s="278">
        <f>VLOOKUP(TEXT($A15,0),[6]BankRecData!$B$1:$O$5542,7,0)-VLOOKUP(TEXT($A15,0),[6]BankRecData!$B$1:$O$5542,8,0)</f>
        <v>902.59999999999991</v>
      </c>
      <c r="O15" s="278">
        <f>VLOOKUP(TEXT($A15,0),[7]BankRecData!$B$1:$O$5542,7,0)-VLOOKUP(TEXT($A15,0),[7]BankRecData!$B$1:$O$5542,8,0)</f>
        <v>1074.2</v>
      </c>
      <c r="P15" s="278">
        <f>VLOOKUP(TEXT($A15,0),[8]BankRecData!$B$1:$O$5542,7,0)-VLOOKUP(TEXT($A15,0),[8]BankRecData!$B$1:$O$5542,8,0)</f>
        <v>1104.95</v>
      </c>
      <c r="Q15" s="278">
        <f>VLOOKUP(TEXT($A15,0),[9]BankRecData!$B$1:$O$5542,7,0)-VLOOKUP(TEXT($A15,0),[9]BankRecData!$B$1:$O$5542,8,0)</f>
        <v>834.34999999999991</v>
      </c>
      <c r="R15" s="278">
        <f>VLOOKUP(TEXT($A15,0),[10]BankRecData!$B$1:$O$5542,7,0)-VLOOKUP(TEXT($A15,0),[10]BankRecData!$B$1:$O$5542,8,0)</f>
        <v>1034.2</v>
      </c>
    </row>
    <row r="16" spans="1:18" x14ac:dyDescent="0.2">
      <c r="A16" s="83">
        <v>4102</v>
      </c>
      <c r="B16" s="88">
        <v>4102</v>
      </c>
      <c r="C16" s="55" t="s">
        <v>129</v>
      </c>
      <c r="D16" s="53">
        <f>'Master Sheet'!D14</f>
        <v>2615.8000000000002</v>
      </c>
      <c r="E16" s="53">
        <f>colorfunction($B$1,I16:AA16,TRUE)</f>
        <v>2615.8000000000002</v>
      </c>
      <c r="F16" s="53">
        <f t="shared" si="3"/>
        <v>0</v>
      </c>
      <c r="G16" s="62">
        <f t="shared" si="6"/>
        <v>2615.8000000000002</v>
      </c>
      <c r="H16" s="61">
        <f>VLOOKUP($A16,'Detail Variance Report'!B:F,5,0)</f>
        <v>0</v>
      </c>
      <c r="I16" s="204">
        <f>VLOOKUP(TEXT($A16,0),[1]BankRecData!$B$1:$O$5542,7,0)-VLOOKUP(TEXT($A16,0),[1]BankRecData!$B$1:$O$5542,8,0)</f>
        <v>173.70000000000005</v>
      </c>
      <c r="J16" s="204">
        <f>VLOOKUP(TEXT($A16,0),[2]BankRecData!$B$1:$O$5542,7,0)-VLOOKUP(TEXT($A16,0),[2]BankRecData!$B$1:$O$5542,8,0)</f>
        <v>323.79999999999995</v>
      </c>
      <c r="K16" s="204">
        <f>VLOOKUP(TEXT($A16,0),[3]BankRecData!$B$1:$O$5542,7,0)-VLOOKUP(TEXT($A16,0),[3]BankRecData!$B$1:$O$5542,8,0)</f>
        <v>234.79999999999995</v>
      </c>
      <c r="L16" s="204">
        <f>VLOOKUP(TEXT($A16,0),[4]BankRecData!$B$1:$O$5542,7,0)-VLOOKUP(TEXT($A16,0),[4]BankRecData!$B$1:$O$5542,8,0)</f>
        <v>227.45000000000005</v>
      </c>
      <c r="M16" s="204">
        <f>VLOOKUP(TEXT($A16,0),[5]BankRecData!$B$1:$O$5542,7,0)-VLOOKUP(TEXT($A16,0),[5]BankRecData!$B$1:$O$5542,8,0)</f>
        <v>159.39999999999998</v>
      </c>
      <c r="N16" s="204">
        <f>VLOOKUP(TEXT($A16,0),[6]BankRecData!$B$1:$O$5542,7,0)-VLOOKUP(TEXT($A16,0),[6]BankRecData!$B$1:$O$5542,8,0)</f>
        <v>253.25</v>
      </c>
      <c r="O16" s="204">
        <f>VLOOKUP(TEXT($A16,0),[7]BankRecData!$B$1:$O$5542,7,0)-VLOOKUP(TEXT($A16,0),[7]BankRecData!$B$1:$O$5542,8,0)</f>
        <v>316.64999999999998</v>
      </c>
      <c r="P16" s="204">
        <f>VLOOKUP(TEXT($A16,0),[8]BankRecData!$B$1:$O$5542,7,0)-VLOOKUP(TEXT($A16,0),[8]BankRecData!$B$1:$O$5542,8,0)</f>
        <v>406.04999999999995</v>
      </c>
      <c r="Q16" s="204">
        <f>VLOOKUP(TEXT($A16,0),[9]BankRecData!$B$1:$O$5542,7,0)-VLOOKUP(TEXT($A16,0),[9]BankRecData!$B$1:$O$5542,8,0)</f>
        <v>278.39999999999998</v>
      </c>
      <c r="R16" s="204">
        <f>VLOOKUP(TEXT($A16,0),[10]BankRecData!$B$1:$O$5542,7,0)-VLOOKUP(TEXT($A16,0),[10]BankRecData!$B$1:$O$5542,8,0)</f>
        <v>242.29999999999995</v>
      </c>
    </row>
    <row r="17" spans="1:18" x14ac:dyDescent="0.2">
      <c r="A17" s="83">
        <v>4104</v>
      </c>
      <c r="B17" s="88">
        <v>4104</v>
      </c>
      <c r="C17" s="55" t="s">
        <v>134</v>
      </c>
      <c r="D17" s="53">
        <f>'Master Sheet'!D15</f>
        <v>1805.6499999999999</v>
      </c>
      <c r="E17" s="53">
        <f>colorfunction($B$1,I17:AA17,TRUE)</f>
        <v>1805.6499999999999</v>
      </c>
      <c r="F17" s="53">
        <f t="shared" ref="F17:F18" si="8">D17-E17</f>
        <v>0</v>
      </c>
      <c r="G17" s="62">
        <f t="shared" si="6"/>
        <v>1805.6499999999999</v>
      </c>
      <c r="H17" s="61">
        <f>VLOOKUP($A17,'Detail Variance Report'!B:F,5,0)</f>
        <v>0</v>
      </c>
      <c r="I17" s="204">
        <f>VLOOKUP(TEXT($A17,0),[1]BankRecData!$B$1:$O$5542,7,0)-VLOOKUP(TEXT($A17,0),[1]BankRecData!$B$1:$O$5542,8,0)</f>
        <v>170.60000000000002</v>
      </c>
      <c r="J17" s="204">
        <f>VLOOKUP(TEXT($A17,0),[2]BankRecData!$B$1:$O$5542,7,0)-VLOOKUP(TEXT($A17,0),[2]BankRecData!$B$1:$O$5542,8,0)</f>
        <v>138.75</v>
      </c>
      <c r="K17" s="204">
        <f>VLOOKUP(TEXT($A17,0),[3]BankRecData!$B$1:$O$5542,7,0)-VLOOKUP(TEXT($A17,0),[3]BankRecData!$B$1:$O$5542,8,0)</f>
        <v>300.29999999999995</v>
      </c>
      <c r="L17" s="204">
        <f>VLOOKUP(TEXT($A17,0),[4]BankRecData!$B$1:$O$5542,7,0)-VLOOKUP(TEXT($A17,0),[4]BankRecData!$B$1:$O$5542,8,0)</f>
        <v>174.79999999999995</v>
      </c>
      <c r="M17" s="204">
        <f>VLOOKUP(TEXT($A17,0),[5]BankRecData!$B$1:$O$5542,7,0)-VLOOKUP(TEXT($A17,0),[5]BankRecData!$B$1:$O$5542,8,0)</f>
        <v>0</v>
      </c>
      <c r="N17" s="204">
        <f>VLOOKUP(TEXT($A17,0),[6]BankRecData!$B$1:$O$5542,7,0)-VLOOKUP(TEXT($A17,0),[6]BankRecData!$B$1:$O$5542,8,0)</f>
        <v>0</v>
      </c>
      <c r="O17" s="204">
        <f>VLOOKUP(TEXT($A17,0),[7]BankRecData!$B$1:$O$5542,7,0)-VLOOKUP(TEXT($A17,0),[7]BankRecData!$B$1:$O$5542,8,0)</f>
        <v>245.5</v>
      </c>
      <c r="P17" s="204">
        <f>VLOOKUP(TEXT($A17,0),[8]BankRecData!$B$1:$O$5542,7,0)-VLOOKUP(TEXT($A17,0),[8]BankRecData!$B$1:$O$5542,8,0)</f>
        <v>270.14999999999998</v>
      </c>
      <c r="Q17" s="204">
        <f>VLOOKUP(TEXT($A17,0),[9]BankRecData!$B$1:$O$5542,7,0)-VLOOKUP(TEXT($A17,0),[9]BankRecData!$B$1:$O$5542,8,0)</f>
        <v>228.60000000000002</v>
      </c>
      <c r="R17" s="204">
        <f>VLOOKUP(TEXT($A17,0),[10]BankRecData!$B$1:$O$5542,7,0)-VLOOKUP(TEXT($A17,0),[10]BankRecData!$B$1:$O$5542,8,0)</f>
        <v>276.95000000000005</v>
      </c>
    </row>
    <row r="18" spans="1:18" x14ac:dyDescent="0.2">
      <c r="A18" s="83">
        <v>4106</v>
      </c>
      <c r="B18" s="88">
        <v>4106</v>
      </c>
      <c r="C18" s="55" t="s">
        <v>135</v>
      </c>
      <c r="D18" s="53">
        <f>'Master Sheet'!D16</f>
        <v>8650.9499999999989</v>
      </c>
      <c r="E18" s="53">
        <f t="shared" si="4"/>
        <v>8650.9499999999989</v>
      </c>
      <c r="F18" s="53">
        <f t="shared" si="8"/>
        <v>0</v>
      </c>
      <c r="G18" s="62">
        <f t="shared" si="6"/>
        <v>8650.9499999999989</v>
      </c>
      <c r="H18" s="61">
        <f>VLOOKUP($A18,'Detail Variance Report'!B:F,5,0)</f>
        <v>0</v>
      </c>
      <c r="I18" s="204">
        <f>VLOOKUP(TEXT($A18,0),[1]BankRecData!$B$1:$O$5542,7,0)-VLOOKUP(TEXT($A18,0),[1]BankRecData!$B$1:$O$5542,8,0)</f>
        <v>914.15000000000009</v>
      </c>
      <c r="J18" s="204">
        <f>VLOOKUP(TEXT($A18,0),[2]BankRecData!$B$1:$O$5542,7,0)-VLOOKUP(TEXT($A18,0),[2]BankRecData!$B$1:$O$5542,8,0)</f>
        <v>786.34999999999991</v>
      </c>
      <c r="K18" s="204">
        <f>VLOOKUP(TEXT($A18,0),[3]BankRecData!$B$1:$O$5542,7,0)-VLOOKUP(TEXT($A18,0),[3]BankRecData!$B$1:$O$5542,8,0)</f>
        <v>1004.4000000000001</v>
      </c>
      <c r="L18" s="204">
        <f>VLOOKUP(TEXT($A18,0),[4]BankRecData!$B$1:$O$5542,7,0)-VLOOKUP(TEXT($A18,0),[4]BankRecData!$B$1:$O$5542,8,0)</f>
        <v>825.05</v>
      </c>
      <c r="M18" s="204">
        <f>VLOOKUP(TEXT($A18,0),[5]BankRecData!$B$1:$O$5542,7,0)-VLOOKUP(TEXT($A18,0),[5]BankRecData!$B$1:$O$5542,8,0)</f>
        <v>1096</v>
      </c>
      <c r="N18" s="204">
        <f>VLOOKUP(TEXT($A18,0),[6]BankRecData!$B$1:$O$5542,7,0)-VLOOKUP(TEXT($A18,0),[6]BankRecData!$B$1:$O$5542,8,0)</f>
        <v>683.09999999999991</v>
      </c>
      <c r="O18" s="204">
        <f>VLOOKUP(TEXT($A18,0),[7]BankRecData!$B$1:$O$5542,7,0)-VLOOKUP(TEXT($A18,0),[7]BankRecData!$B$1:$O$5542,8,0)</f>
        <v>792.05</v>
      </c>
      <c r="P18" s="204">
        <f>VLOOKUP(TEXT($A18,0),[8]BankRecData!$B$1:$O$5542,7,0)-VLOOKUP(TEXT($A18,0),[8]BankRecData!$B$1:$O$5542,8,0)</f>
        <v>720.5</v>
      </c>
      <c r="Q18" s="204">
        <f>VLOOKUP(TEXT($A18,0),[9]BankRecData!$B$1:$O$5542,7,0)-VLOOKUP(TEXT($A18,0),[9]BankRecData!$B$1:$O$5542,8,0)</f>
        <v>1160.05</v>
      </c>
      <c r="R18" s="204">
        <f>VLOOKUP(TEXT($A18,0),[10]BankRecData!$B$1:$O$5542,7,0)-VLOOKUP(TEXT($A18,0),[10]BankRecData!$B$1:$O$5542,8,0)</f>
        <v>669.3</v>
      </c>
    </row>
    <row r="19" spans="1:18" x14ac:dyDescent="0.2">
      <c r="A19" s="83">
        <v>4107</v>
      </c>
      <c r="B19" s="88">
        <v>4107</v>
      </c>
      <c r="C19" s="55" t="s">
        <v>139</v>
      </c>
      <c r="D19" s="53">
        <f>'Master Sheet'!D17</f>
        <v>12133.249999999998</v>
      </c>
      <c r="E19" s="53">
        <f t="shared" si="4"/>
        <v>12133.249999999998</v>
      </c>
      <c r="F19" s="53">
        <f t="shared" ref="F19" si="9">D19-E19</f>
        <v>0</v>
      </c>
      <c r="G19" s="62">
        <f t="shared" si="6"/>
        <v>12133.249999999998</v>
      </c>
      <c r="H19" s="61">
        <f>VLOOKUP($A19,'Detail Variance Report'!B:F,5,0)</f>
        <v>0</v>
      </c>
      <c r="I19" s="204">
        <f>VLOOKUP(TEXT($A19,0),[1]BankRecData!$B$1:$O$5542,7,0)-VLOOKUP(TEXT($A19,0),[1]BankRecData!$B$1:$O$5542,8,0)</f>
        <v>1118.9000000000001</v>
      </c>
      <c r="J19" s="342">
        <f>VLOOKUP(TEXT($A19,0),[2]BankRecData!$B$1:$O$5542,7,0)-VLOOKUP(TEXT($A19,0),[2]BankRecData!$B$1:$O$5542,8,0)+400</f>
        <v>1253.95</v>
      </c>
      <c r="K19" s="204">
        <f>VLOOKUP(TEXT($A19,0),[3]BankRecData!$B$1:$O$5542,7,0)-VLOOKUP(TEXT($A19,0),[3]BankRecData!$B$1:$O$5542,8,0)</f>
        <v>1191.55</v>
      </c>
      <c r="L19" s="204">
        <f>VLOOKUP(TEXT($A19,0),[4]BankRecData!$B$1:$O$5542,7,0)-VLOOKUP(TEXT($A19,0),[4]BankRecData!$B$1:$O$5542,8,0)</f>
        <v>1468.65</v>
      </c>
      <c r="M19" s="204">
        <f>VLOOKUP(TEXT($A19,0),[5]BankRecData!$B$1:$O$5542,7,0)-VLOOKUP(TEXT($A19,0),[5]BankRecData!$B$1:$O$5542,8,0)</f>
        <v>1012.6500000000001</v>
      </c>
      <c r="N19" s="204">
        <f>VLOOKUP(TEXT($A19,0),[6]BankRecData!$B$1:$O$5542,7,0)-VLOOKUP(TEXT($A19,0),[6]BankRecData!$B$1:$O$5542,8,0)</f>
        <v>1585.05</v>
      </c>
      <c r="O19" s="204">
        <f>VLOOKUP(TEXT($A19,0),[7]BankRecData!$B$1:$O$5542,7,0)-VLOOKUP(TEXT($A19,0),[7]BankRecData!$B$1:$O$5542,8,0)</f>
        <v>1438.5</v>
      </c>
      <c r="P19" s="204">
        <f>VLOOKUP(TEXT($A19,0),[8]BankRecData!$B$1:$O$5542,7,0)-VLOOKUP(TEXT($A19,0),[8]BankRecData!$B$1:$O$5542,8,0)</f>
        <v>1233.9000000000001</v>
      </c>
      <c r="Q19" s="204">
        <f>VLOOKUP(TEXT($A19,0),[9]BankRecData!$B$1:$O$5542,7,0)-VLOOKUP(TEXT($A19,0),[9]BankRecData!$B$1:$O$5542,8,0)</f>
        <v>754.3</v>
      </c>
      <c r="R19" s="204">
        <f>VLOOKUP(TEXT($A19,0),[10]BankRecData!$B$1:$O$5542,7,0)-VLOOKUP(TEXT($A19,0),[10]BankRecData!$B$1:$O$5542,8,0)</f>
        <v>1075.8</v>
      </c>
    </row>
    <row r="20" spans="1:18" x14ac:dyDescent="0.2">
      <c r="A20" s="83">
        <v>4108</v>
      </c>
      <c r="B20" s="88">
        <v>4108</v>
      </c>
      <c r="C20" s="55" t="s">
        <v>140</v>
      </c>
      <c r="D20" s="53">
        <f>'Master Sheet'!D18</f>
        <v>3394.3</v>
      </c>
      <c r="E20" s="53">
        <f t="shared" si="4"/>
        <v>3394.3</v>
      </c>
      <c r="F20" s="53">
        <f t="shared" ref="F20" si="10">D20-E20</f>
        <v>0</v>
      </c>
      <c r="G20" s="62">
        <f t="shared" si="6"/>
        <v>3394.3</v>
      </c>
      <c r="H20" s="61">
        <f>VLOOKUP($A20,'Detail Variance Report'!B:F,5,0)</f>
        <v>0</v>
      </c>
      <c r="I20" s="204">
        <f>VLOOKUP(TEXT($A20,0),[1]BankRecData!$B$1:$O$5542,7,0)-VLOOKUP(TEXT($A20,0),[1]BankRecData!$B$1:$O$5542,8,0)</f>
        <v>484.29999999999995</v>
      </c>
      <c r="J20" s="204">
        <f>VLOOKUP(TEXT($A20,0),[2]BankRecData!$B$1:$O$5542,7,0)-VLOOKUP(TEXT($A20,0),[2]BankRecData!$B$1:$O$5542,8,0)</f>
        <v>274.39999999999998</v>
      </c>
      <c r="K20" s="204">
        <f>VLOOKUP(TEXT($A20,0),[3]BankRecData!$B$1:$O$5542,7,0)-VLOOKUP(TEXT($A20,0),[3]BankRecData!$B$1:$O$5542,8,0)</f>
        <v>389.90000000000009</v>
      </c>
      <c r="L20" s="204">
        <f>VLOOKUP(TEXT($A20,0),[4]BankRecData!$B$1:$O$5542,7,0)-VLOOKUP(TEXT($A20,0),[4]BankRecData!$B$1:$O$5542,8,0)</f>
        <v>365.04999999999995</v>
      </c>
      <c r="M20" s="204">
        <f>VLOOKUP(TEXT($A20,0),[5]BankRecData!$B$1:$O$5542,7,0)-VLOOKUP(TEXT($A20,0),[5]BankRecData!$B$1:$O$5542,8,0)</f>
        <v>187.79999999999995</v>
      </c>
      <c r="N20" s="204">
        <f>VLOOKUP(TEXT($A20,0),[6]BankRecData!$B$1:$O$5542,7,0)-VLOOKUP(TEXT($A20,0),[6]BankRecData!$B$1:$O$5542,8,0)</f>
        <v>247.60000000000002</v>
      </c>
      <c r="O20" s="204">
        <f>VLOOKUP(TEXT($A20,0),[7]BankRecData!$B$1:$O$5542,7,0)-VLOOKUP(TEXT($A20,0),[7]BankRecData!$B$1:$O$5542,8,0)</f>
        <v>376.35</v>
      </c>
      <c r="P20" s="204">
        <f>VLOOKUP(TEXT($A20,0),[8]BankRecData!$B$1:$O$5542,7,0)-VLOOKUP(TEXT($A20,0),[8]BankRecData!$B$1:$O$5542,8,0)</f>
        <v>337.79999999999995</v>
      </c>
      <c r="Q20" s="204">
        <f>VLOOKUP(TEXT($A20,0),[9]BankRecData!$B$1:$O$5542,7,0)-VLOOKUP(TEXT($A20,0),[9]BankRecData!$B$1:$O$5542,8,0)</f>
        <v>312.79999999999995</v>
      </c>
      <c r="R20" s="204">
        <f>VLOOKUP(TEXT($A20,0),[10]BankRecData!$B$1:$O$5542,7,0)-VLOOKUP(TEXT($A20,0),[10]BankRecData!$B$1:$O$5542,8,0)</f>
        <v>418.29999999999995</v>
      </c>
    </row>
    <row r="21" spans="1:18" x14ac:dyDescent="0.2">
      <c r="A21" s="83">
        <v>4109</v>
      </c>
      <c r="B21" s="88">
        <v>4109</v>
      </c>
      <c r="C21" s="55" t="s">
        <v>138</v>
      </c>
      <c r="D21" s="53">
        <f>'Master Sheet'!D19</f>
        <v>3593.95</v>
      </c>
      <c r="E21" s="53">
        <f t="shared" si="4"/>
        <v>3593.95</v>
      </c>
      <c r="F21" s="53">
        <f t="shared" ref="F21" si="11">D21-E21</f>
        <v>0</v>
      </c>
      <c r="G21" s="62">
        <f t="shared" si="6"/>
        <v>3593.95</v>
      </c>
      <c r="H21" s="61">
        <f>VLOOKUP($A21,'Detail Variance Report'!B:F,5,0)</f>
        <v>0</v>
      </c>
      <c r="I21" s="204">
        <f>VLOOKUP(TEXT($A21,0),[1]BankRecData!$B$1:$O$5542,7,0)-VLOOKUP(TEXT($A21,0),[1]BankRecData!$B$1:$O$5542,8,0)</f>
        <v>486.9</v>
      </c>
      <c r="J21" s="204">
        <f>VLOOKUP(TEXT($A21,0),[2]BankRecData!$B$1:$O$5542,7,0)-VLOOKUP(TEXT($A21,0),[2]BankRecData!$B$1:$O$5542,8,0)</f>
        <v>401.35</v>
      </c>
      <c r="K21" s="204">
        <f>VLOOKUP(TEXT($A21,0),[3]BankRecData!$B$1:$O$5542,7,0)-VLOOKUP(TEXT($A21,0),[3]BankRecData!$B$1:$O$5542,8,0)</f>
        <v>254.45000000000005</v>
      </c>
      <c r="L21" s="204">
        <f>VLOOKUP(TEXT($A21,0),[4]BankRecData!$B$1:$O$5542,7,0)-VLOOKUP(TEXT($A21,0),[4]BankRecData!$B$1:$O$5542,8,0)</f>
        <v>413.20000000000005</v>
      </c>
      <c r="M21" s="204">
        <f>VLOOKUP(TEXT($A21,0),[5]BankRecData!$B$1:$O$5542,7,0)-VLOOKUP(TEXT($A21,0),[5]BankRecData!$B$1:$O$5542,8,0)</f>
        <v>202.14999999999998</v>
      </c>
      <c r="N21" s="204">
        <f>VLOOKUP(TEXT($A21,0),[6]BankRecData!$B$1:$O$5542,7,0)-VLOOKUP(TEXT($A21,0),[6]BankRecData!$B$1:$O$5542,8,0)</f>
        <v>403.70000000000005</v>
      </c>
      <c r="O21" s="204">
        <f>VLOOKUP(TEXT($A21,0),[7]BankRecData!$B$1:$O$5542,7,0)-VLOOKUP(TEXT($A21,0),[7]BankRecData!$B$1:$O$5542,8,0)</f>
        <v>304.20000000000005</v>
      </c>
      <c r="P21" s="204">
        <f>VLOOKUP(TEXT($A21,0),[8]BankRecData!$B$1:$O$5542,7,0)-VLOOKUP(TEXT($A21,0),[8]BankRecData!$B$1:$O$5542,8,0)</f>
        <v>283.20000000000005</v>
      </c>
      <c r="Q21" s="204">
        <f>VLOOKUP(TEXT($A21,0),[9]BankRecData!$B$1:$O$5542,7,0)-VLOOKUP(TEXT($A21,0),[9]BankRecData!$B$1:$O$5542,8,0)</f>
        <v>543.29999999999995</v>
      </c>
      <c r="R21" s="204">
        <f>VLOOKUP(TEXT($A21,0),[10]BankRecData!$B$1:$O$5542,7,0)-VLOOKUP(TEXT($A21,0),[10]BankRecData!$B$1:$O$5542,8,0)</f>
        <v>301.5</v>
      </c>
    </row>
    <row r="22" spans="1:18" ht="14.25" customHeight="1" x14ac:dyDescent="0.2">
      <c r="A22" s="83">
        <v>4110</v>
      </c>
      <c r="B22" s="88">
        <v>4110</v>
      </c>
      <c r="C22" s="55" t="s">
        <v>137</v>
      </c>
      <c r="D22" s="53">
        <f>'Master Sheet'!D20</f>
        <v>4481.1499999999996</v>
      </c>
      <c r="E22" s="53">
        <f t="shared" si="4"/>
        <v>4481.1499999999996</v>
      </c>
      <c r="F22" s="53">
        <f t="shared" ref="F22" si="12">D22-E22</f>
        <v>0</v>
      </c>
      <c r="G22" s="62">
        <f t="shared" si="6"/>
        <v>4481.1499999999996</v>
      </c>
      <c r="H22" s="61">
        <f>VLOOKUP($A22,'Detail Variance Report'!B:F,5,0)</f>
        <v>0</v>
      </c>
      <c r="I22" s="204">
        <f>VLOOKUP(TEXT($A22,0),[1]BankRecData!$B$1:$O$5542,7,0)-VLOOKUP(TEXT($A22,0),[1]BankRecData!$B$1:$O$5542,8,0)</f>
        <v>321.04999999999995</v>
      </c>
      <c r="J22" s="204">
        <f>VLOOKUP(TEXT($A22,0),[2]BankRecData!$B$1:$O$5542,7,0)-VLOOKUP(TEXT($A22,0),[2]BankRecData!$B$1:$O$5542,8,0)</f>
        <v>439</v>
      </c>
      <c r="K22" s="204">
        <f>VLOOKUP(TEXT($A22,0),[3]BankRecData!$B$1:$O$5542,7,0)-VLOOKUP(TEXT($A22,0),[3]BankRecData!$B$1:$O$5542,8,0)</f>
        <v>423.4</v>
      </c>
      <c r="L22" s="204">
        <f>VLOOKUP(TEXT($A22,0),[4]BankRecData!$B$1:$O$5542,7,0)-VLOOKUP(TEXT($A22,0),[4]BankRecData!$B$1:$O$5542,8,0)</f>
        <v>421.15</v>
      </c>
      <c r="M22" s="204">
        <f>VLOOKUP(TEXT($A22,0),[5]BankRecData!$B$1:$O$5542,7,0)-VLOOKUP(TEXT($A22,0),[5]BankRecData!$B$1:$O$5542,8,0)</f>
        <v>334.20000000000005</v>
      </c>
      <c r="N22" s="204">
        <f>VLOOKUP(TEXT($A22,0),[6]BankRecData!$B$1:$O$5542,7,0)-VLOOKUP(TEXT($A22,0),[6]BankRecData!$B$1:$O$5542,8,0)</f>
        <v>613.6</v>
      </c>
      <c r="O22" s="204">
        <f>VLOOKUP(TEXT($A22,0),[7]BankRecData!$B$1:$O$5542,7,0)-VLOOKUP(TEXT($A22,0),[7]BankRecData!$B$1:$O$5542,8,0)</f>
        <v>379.29999999999995</v>
      </c>
      <c r="P22" s="204">
        <f>VLOOKUP(TEXT($A22,0),[8]BankRecData!$B$1:$O$5542,7,0)-VLOOKUP(TEXT($A22,0),[8]BankRecData!$B$1:$O$5542,8,0)</f>
        <v>212.64999999999998</v>
      </c>
      <c r="Q22" s="204">
        <f>VLOOKUP(TEXT($A22,0),[9]BankRecData!$B$1:$O$5542,7,0)-VLOOKUP(TEXT($A22,0),[9]BankRecData!$B$1:$O$5542,8,0)</f>
        <v>704.95</v>
      </c>
      <c r="R22" s="204">
        <f>VLOOKUP(TEXT($A22,0),[10]BankRecData!$B$1:$O$5542,7,0)-VLOOKUP(TEXT($A22,0),[10]BankRecData!$B$1:$O$5542,8,0)</f>
        <v>631.84999999999991</v>
      </c>
    </row>
    <row r="23" spans="1:18" ht="13.5" customHeight="1" x14ac:dyDescent="0.2">
      <c r="A23" s="75">
        <v>4170</v>
      </c>
      <c r="B23" s="88">
        <v>170</v>
      </c>
      <c r="C23" s="59" t="s">
        <v>64</v>
      </c>
      <c r="D23" s="53">
        <f>'Master Sheet'!D21</f>
        <v>0</v>
      </c>
      <c r="E23" s="53">
        <f t="shared" si="4"/>
        <v>0</v>
      </c>
      <c r="F23" s="53">
        <f t="shared" ref="F23" si="13">D23-E23</f>
        <v>0</v>
      </c>
      <c r="G23" s="62">
        <f t="shared" ref="G23:G31" si="14">SUM(I23:BY23)</f>
        <v>0</v>
      </c>
      <c r="H23" s="61">
        <f>VLOOKUP($A23,'Detail Variance Report'!B:F,5,0)</f>
        <v>0</v>
      </c>
      <c r="I23" s="350"/>
      <c r="J23" s="351"/>
      <c r="K23" s="351"/>
      <c r="L23" s="351"/>
      <c r="M23" s="351"/>
      <c r="N23" s="351"/>
      <c r="O23" s="351"/>
      <c r="P23" s="351"/>
      <c r="Q23" s="351"/>
      <c r="R23" s="351"/>
    </row>
    <row r="24" spans="1:18" ht="13.5" thickBot="1" x14ac:dyDescent="0.25">
      <c r="A24" s="279">
        <v>4770</v>
      </c>
      <c r="B24" s="280">
        <v>770</v>
      </c>
      <c r="C24" s="281" t="s">
        <v>1</v>
      </c>
      <c r="D24" s="282">
        <f>'Master Sheet'!D22</f>
        <v>5695.8</v>
      </c>
      <c r="E24" s="282">
        <f t="shared" si="4"/>
        <v>5695.8</v>
      </c>
      <c r="F24" s="282">
        <f t="shared" si="3"/>
        <v>0</v>
      </c>
      <c r="G24" s="283">
        <f t="shared" si="14"/>
        <v>5695.8</v>
      </c>
      <c r="H24" s="284">
        <f>VLOOKUP($A24,'Detail Variance Report'!B:F,5,0)</f>
        <v>0</v>
      </c>
      <c r="I24" s="285">
        <f>VLOOKUP(TEXT($A24,0),[1]BankRecData!$B$1:$O$5542,7,0)-VLOOKUP(TEXT($A24,0),[1]BankRecData!$B$1:$O$5542,8,0)</f>
        <v>593.85</v>
      </c>
      <c r="J24" s="285">
        <f>VLOOKUP(TEXT($A24,0),[2]BankRecData!$B$1:$O$5542,7,0)-VLOOKUP(TEXT($A24,0),[2]BankRecData!$B$1:$O$5542,8,0)</f>
        <v>410.65000000000009</v>
      </c>
      <c r="K24" s="285">
        <f>VLOOKUP(TEXT($A24,0),[3]BankRecData!$B$1:$O$5542,7,0)-VLOOKUP(TEXT($A24,0),[3]BankRecData!$B$1:$O$5542,8,0)</f>
        <v>750.3</v>
      </c>
      <c r="L24" s="285">
        <f>VLOOKUP(TEXT($A24,0),[4]BankRecData!$B$1:$O$5542,7,0)-VLOOKUP(TEXT($A24,0),[4]BankRecData!$B$1:$O$5542,8,0)</f>
        <v>544.29999999999995</v>
      </c>
      <c r="M24" s="285">
        <f>VLOOKUP(TEXT($A24,0),[5]BankRecData!$B$1:$O$5542,7,0)-VLOOKUP(TEXT($A24,0),[5]BankRecData!$B$1:$O$5542,8,0)</f>
        <v>337.95000000000005</v>
      </c>
      <c r="N24" s="285">
        <f>VLOOKUP(TEXT($A24,0),[6]BankRecData!$B$1:$O$5542,7,0)-VLOOKUP(TEXT($A24,0),[6]BankRecData!$B$1:$O$5542,8,0)</f>
        <v>776.59999999999991</v>
      </c>
      <c r="O24" s="285">
        <f>VLOOKUP(TEXT($A24,0),[7]BankRecData!$B$1:$O$5542,7,0)-VLOOKUP(TEXT($A24,0),[7]BankRecData!$B$1:$O$5542,8,0)</f>
        <v>486.6</v>
      </c>
      <c r="P24" s="285">
        <f>VLOOKUP(TEXT($A24,0),[8]BankRecData!$B$1:$O$5542,7,0)-VLOOKUP(TEXT($A24,0),[8]BankRecData!$B$1:$O$5542,8,0)</f>
        <v>742.45</v>
      </c>
      <c r="Q24" s="285">
        <f>VLOOKUP(TEXT($A24,0),[9]BankRecData!$B$1:$O$5542,7,0)-VLOOKUP(TEXT($A24,0),[9]BankRecData!$B$1:$O$5542,8,0)</f>
        <v>567.5</v>
      </c>
      <c r="R24" s="285">
        <f>VLOOKUP(TEXT($A24,0),[10]BankRecData!$B$1:$O$5542,7,0)-VLOOKUP(TEXT($A24,0),[10]BankRecData!$B$1:$O$5542,8,0)</f>
        <v>485.6</v>
      </c>
    </row>
    <row r="25" spans="1:18" ht="13.5" customHeight="1" thickTop="1" thickBot="1" x14ac:dyDescent="0.25">
      <c r="A25" s="268">
        <v>6087</v>
      </c>
      <c r="B25" s="269">
        <v>87</v>
      </c>
      <c r="C25" s="270" t="s">
        <v>67</v>
      </c>
      <c r="D25" s="53">
        <f>'Master Sheet'!D23</f>
        <v>2110</v>
      </c>
      <c r="E25" s="53">
        <f t="shared" si="4"/>
        <v>2110</v>
      </c>
      <c r="F25" s="53">
        <f t="shared" si="3"/>
        <v>0</v>
      </c>
      <c r="G25" s="62">
        <f t="shared" si="14"/>
        <v>2110</v>
      </c>
      <c r="H25" s="61">
        <f>VLOOKUP($A25,'Detail Variance Report'!B:F,5,0)</f>
        <v>0</v>
      </c>
      <c r="I25" s="271">
        <f>VLOOKUP(TEXT($A25,0),[1]BankRecData!$B$1:$O$5542,7,0)-VLOOKUP(TEXT($A25,0),[1]BankRecData!$B$1:$O$5542,8,0)</f>
        <v>0</v>
      </c>
      <c r="J25" s="271">
        <f>VLOOKUP(TEXT($A25,0),[2]BankRecData!$B$1:$O$5542,7,0)-VLOOKUP(TEXT($A25,0),[2]BankRecData!$B$1:$O$5542,8,0)</f>
        <v>83.699999999999989</v>
      </c>
      <c r="K25" s="271">
        <f>VLOOKUP(TEXT($A25,0),[3]BankRecData!$B$1:$O$5542,7,0)-VLOOKUP(TEXT($A25,0),[3]BankRecData!$B$1:$O$5542,8,0)</f>
        <v>481.95000000000005</v>
      </c>
      <c r="L25" s="271">
        <f>VLOOKUP(TEXT($A25,0),[4]BankRecData!$B$1:$O$5542,7,0)-VLOOKUP(TEXT($A25,0),[4]BankRecData!$B$1:$O$5542,8,0)</f>
        <v>413.85</v>
      </c>
      <c r="M25" s="271">
        <f>VLOOKUP(TEXT($A25,0),[5]BankRecData!$B$1:$O$5542,7,0)-VLOOKUP(TEXT($A25,0),[5]BankRecData!$B$1:$O$5542,8,0)</f>
        <v>48.949999999999989</v>
      </c>
      <c r="N25" s="271">
        <f>VLOOKUP(TEXT($A25,0),[6]BankRecData!$B$1:$O$5542,7,0)-VLOOKUP(TEXT($A25,0),[6]BankRecData!$B$1:$O$5542,8,0)</f>
        <v>0</v>
      </c>
      <c r="O25" s="271">
        <f>VLOOKUP(TEXT($A25,0),[7]BankRecData!$B$1:$O$5542,7,0)-VLOOKUP(TEXT($A25,0),[7]BankRecData!$B$1:$O$5542,8,0)</f>
        <v>117.85000000000002</v>
      </c>
      <c r="P25" s="271">
        <f>VLOOKUP(TEXT($A25,0),[8]BankRecData!$B$1:$O$5542,7,0)-VLOOKUP(TEXT($A25,0),[8]BankRecData!$B$1:$O$5542,8,0)</f>
        <v>0</v>
      </c>
      <c r="Q25" s="285">
        <v>855.7</v>
      </c>
      <c r="R25" s="285">
        <f>VLOOKUP(TEXT($A25,0),[10]BankRecData!$B$1:$O$5542,7,0)-VLOOKUP(TEXT($A25,0),[10]BankRecData!$B$1:$O$5542,8,0)</f>
        <v>108</v>
      </c>
    </row>
    <row r="26" spans="1:18" ht="14.25" thickTop="1" thickBot="1" x14ac:dyDescent="0.25">
      <c r="A26" s="261">
        <v>6176</v>
      </c>
      <c r="B26" s="262">
        <v>6176</v>
      </c>
      <c r="C26" s="263" t="s">
        <v>24</v>
      </c>
      <c r="D26" s="264">
        <f>'Master Sheet'!D24</f>
        <v>4209.2500000000009</v>
      </c>
      <c r="E26" s="264">
        <f t="shared" si="4"/>
        <v>4209.2500000000009</v>
      </c>
      <c r="F26" s="264">
        <f t="shared" si="3"/>
        <v>0</v>
      </c>
      <c r="G26" s="265">
        <f t="shared" si="14"/>
        <v>4209.2500000000009</v>
      </c>
      <c r="H26" s="266">
        <f>VLOOKUP($A26,'Detail Variance Report'!B:F,5,0)</f>
        <v>0</v>
      </c>
      <c r="I26" s="267">
        <f>VLOOKUP(TEXT($A26,0),[1]BankRecData!$B$1:$O$5542,7,0)-VLOOKUP(TEXT($A26,0),[1]BankRecData!$B$1:$O$5542,8,0)</f>
        <v>373.9</v>
      </c>
      <c r="J26" s="267">
        <f>VLOOKUP(TEXT($A26,0),[2]BankRecData!$B$1:$O$5542,7,0)-VLOOKUP(TEXT($A26,0),[2]BankRecData!$B$1:$O$5542,8,0)</f>
        <v>841.09999999999991</v>
      </c>
      <c r="K26" s="267">
        <f>VLOOKUP(TEXT($A26,0),[3]BankRecData!$B$1:$O$5542,7,0)-VLOOKUP(TEXT($A26,0),[3]BankRecData!$B$1:$O$5542,8,0)</f>
        <v>542.20000000000005</v>
      </c>
      <c r="L26" s="352">
        <v>336.85</v>
      </c>
      <c r="M26" s="267">
        <f>VLOOKUP(TEXT($A26,0),[5]BankRecData!$B$1:$O$5542,7,0)-VLOOKUP(TEXT($A26,0),[5]BankRecData!$B$1:$O$5542,8,0)</f>
        <v>36.399999999999977</v>
      </c>
      <c r="N26" s="267">
        <f>VLOOKUP(TEXT($A26,0),[6]BankRecData!$B$1:$O$5542,7,0)-VLOOKUP(TEXT($A26,0),[6]BankRecData!$B$1:$O$5542,8,0)</f>
        <v>564.65</v>
      </c>
      <c r="O26" s="267">
        <f>VLOOKUP(TEXT($A26,0),[7]BankRecData!$B$1:$O$5542,7,0)-VLOOKUP(TEXT($A26,0),[7]BankRecData!$B$1:$O$5542,8,0)</f>
        <v>391.54999999999995</v>
      </c>
      <c r="P26" s="267">
        <f>VLOOKUP(TEXT($A26,0),[8]BankRecData!$B$1:$O$5542,7,0)-VLOOKUP(TEXT($A26,0),[8]BankRecData!$B$1:$O$5542,8,0)</f>
        <v>389.9</v>
      </c>
      <c r="Q26" s="267">
        <f>VLOOKUP(TEXT($A26,0),[9]BankRecData!$B$1:$O$5542,7,0)-VLOOKUP(TEXT($A26,0),[9]BankRecData!$B$1:$O$5542,8,0)</f>
        <v>268.85000000000002</v>
      </c>
      <c r="R26" s="267">
        <f>VLOOKUP(TEXT($A26,0),[10]BankRecData!$B$1:$O$5542,7,0)-VLOOKUP(TEXT($A26,0),[10]BankRecData!$B$1:$O$5542,8,0)</f>
        <v>463.85</v>
      </c>
    </row>
    <row r="27" spans="1:18" ht="13.5" thickTop="1" x14ac:dyDescent="0.2">
      <c r="A27" s="286">
        <v>7641</v>
      </c>
      <c r="B27" s="273">
        <v>64</v>
      </c>
      <c r="C27" s="274" t="s">
        <v>7</v>
      </c>
      <c r="D27" s="275">
        <f>'Master Sheet'!D25</f>
        <v>1597.9999999999998</v>
      </c>
      <c r="E27" s="275">
        <f t="shared" si="4"/>
        <v>1597.9999999999998</v>
      </c>
      <c r="F27" s="275">
        <f t="shared" si="3"/>
        <v>0</v>
      </c>
      <c r="G27" s="276">
        <f t="shared" si="14"/>
        <v>1597.9999999999998</v>
      </c>
      <c r="H27" s="277">
        <f>VLOOKUP($A27,'Detail Variance Report'!B:F,5,0)</f>
        <v>0</v>
      </c>
      <c r="I27" s="278">
        <f>VLOOKUP(TEXT($A27,0),[1]BankRecData!$B$1:$O$5542,7,0)-VLOOKUP(TEXT($A27,0),[1]BankRecData!$B$1:$O$5542,8,0)</f>
        <v>264.64999999999998</v>
      </c>
      <c r="J27" s="348">
        <f>VLOOKUP(TEXT($A27,0),[2]BankRecData!$B$1:$O$5542,7,0)-VLOOKUP(TEXT($A27,0),[2]BankRecData!$B$1:$O$5542,8,0)+600</f>
        <v>6</v>
      </c>
      <c r="K27" s="278">
        <f>VLOOKUP(TEXT($A27,0),[3]BankRecData!$B$1:$O$5542,7,0)-VLOOKUP(TEXT($A27,0),[3]BankRecData!$B$1:$O$5542,8,0)</f>
        <v>190</v>
      </c>
      <c r="L27" s="278">
        <f>VLOOKUP(TEXT($A27,0),[4]BankRecData!$B$1:$O$5542,7,0)-VLOOKUP(TEXT($A27,0),[4]BankRecData!$B$1:$O$5542,8,0)</f>
        <v>187.35000000000002</v>
      </c>
      <c r="M27" s="278">
        <f>VLOOKUP(TEXT($A27,0),[5]BankRecData!$B$1:$O$5542,7,0)-VLOOKUP(TEXT($A27,0),[5]BankRecData!$B$1:$O$5542,8,0)</f>
        <v>180.14999999999998</v>
      </c>
      <c r="N27" s="278">
        <f>VLOOKUP(TEXT($A27,0),[6]BankRecData!$B$1:$O$5542,7,0)-VLOOKUP(TEXT($A27,0),[6]BankRecData!$B$1:$O$5542,8,0)</f>
        <v>233.75</v>
      </c>
      <c r="O27" s="278">
        <f>VLOOKUP(TEXT($A27,0),[7]BankRecData!$B$1:$O$5542,7,0)-VLOOKUP(TEXT($A27,0),[7]BankRecData!$B$1:$O$5542,8,0)</f>
        <v>99.850000000000023</v>
      </c>
      <c r="P27" s="278">
        <f>VLOOKUP(TEXT($A27,0),[8]BankRecData!$B$1:$O$5542,7,0)-VLOOKUP(TEXT($A27,0),[8]BankRecData!$B$1:$O$5542,8,0)</f>
        <v>87.350000000000023</v>
      </c>
      <c r="Q27" s="278">
        <f>VLOOKUP(TEXT($A27,0),[9]BankRecData!$B$1:$O$5542,7,0)-VLOOKUP(TEXT($A27,0),[9]BankRecData!$B$1:$O$5542,8,0)</f>
        <v>205.85000000000002</v>
      </c>
      <c r="R27" s="278">
        <f>VLOOKUP(TEXT($A27,0),[10]BankRecData!$B$1:$O$5542,7,0)-VLOOKUP(TEXT($A27,0),[10]BankRecData!$B$1:$O$5542,8,0)</f>
        <v>143.04999999999995</v>
      </c>
    </row>
    <row r="28" spans="1:18" x14ac:dyDescent="0.2">
      <c r="A28" s="255">
        <v>7078</v>
      </c>
      <c r="B28" s="88">
        <v>78</v>
      </c>
      <c r="C28" s="55" t="s">
        <v>10</v>
      </c>
      <c r="D28" s="53">
        <f>'Master Sheet'!D26</f>
        <v>8153.4000000000005</v>
      </c>
      <c r="E28" s="53">
        <f t="shared" si="4"/>
        <v>8153.4000000000005</v>
      </c>
      <c r="F28" s="53">
        <f t="shared" si="3"/>
        <v>0</v>
      </c>
      <c r="G28" s="62">
        <f t="shared" si="14"/>
        <v>8153.4000000000005</v>
      </c>
      <c r="H28" s="61">
        <f>VLOOKUP($A28,'Detail Variance Report'!B:F,5,0)</f>
        <v>0</v>
      </c>
      <c r="I28" s="204">
        <f>VLOOKUP(TEXT($A28,0),[1]BankRecData!$B$1:$O$5542,7,0)-VLOOKUP(TEXT($A28,0),[1]BankRecData!$B$1:$O$5542,8,0)</f>
        <v>769.6</v>
      </c>
      <c r="J28" s="204">
        <f>VLOOKUP(TEXT($A28,0),[2]BankRecData!$B$1:$O$5542,7,0)-VLOOKUP(TEXT($A28,0),[2]BankRecData!$B$1:$O$5542,8,0)</f>
        <v>754.2</v>
      </c>
      <c r="K28" s="204">
        <f>VLOOKUP(TEXT($A28,0),[3]BankRecData!$B$1:$O$5542,7,0)-VLOOKUP(TEXT($A28,0),[3]BankRecData!$B$1:$O$5542,8,0)</f>
        <v>877.09999999999991</v>
      </c>
      <c r="L28" s="204">
        <f>VLOOKUP(TEXT($A28,0),[4]BankRecData!$B$1:$O$5542,7,0)-VLOOKUP(TEXT($A28,0),[4]BankRecData!$B$1:$O$5542,8,0)</f>
        <v>982.59999999999991</v>
      </c>
      <c r="M28" s="204">
        <f>VLOOKUP(TEXT($A28,0),[5]BankRecData!$B$1:$O$5542,7,0)-VLOOKUP(TEXT($A28,0),[5]BankRecData!$B$1:$O$5542,8,0)</f>
        <v>641.20000000000005</v>
      </c>
      <c r="N28" s="204">
        <f>VLOOKUP(TEXT($A28,0),[6]BankRecData!$B$1:$O$5542,7,0)-VLOOKUP(TEXT($A28,0),[6]BankRecData!$B$1:$O$5542,8,0)</f>
        <v>1126.5</v>
      </c>
      <c r="O28" s="342">
        <f>VLOOKUP(TEXT($A28,0),[7]BankRecData!$B$1:$O$5542,7,0)-VLOOKUP(TEXT($A28,0),[7]BankRecData!$B$1:$O$5542,8,0)+400</f>
        <v>935.65000000000009</v>
      </c>
      <c r="P28" s="349">
        <f>VLOOKUP(TEXT($A28,0),[8]BankRecData!$B$1:$O$5542,7,0)-VLOOKUP(TEXT($A28,0),[8]BankRecData!$B$1:$O$5542,8,0)</f>
        <v>757.75</v>
      </c>
      <c r="Q28" s="349">
        <f>VLOOKUP(TEXT($A28,0),[9]BankRecData!$B$1:$O$5542,7,0)-VLOOKUP(TEXT($A28,0),[9]BankRecData!$B$1:$O$5542,8,0)</f>
        <v>483.85</v>
      </c>
      <c r="R28" s="349">
        <f>VLOOKUP(TEXT($A28,0),[10]BankRecData!$B$1:$O$5542,7,0)-VLOOKUP(TEXT($A28,0),[10]BankRecData!$B$1:$O$5542,8,0)</f>
        <v>824.95</v>
      </c>
    </row>
    <row r="29" spans="1:18" ht="13.5" thickBot="1" x14ac:dyDescent="0.25">
      <c r="A29" s="279">
        <v>7079</v>
      </c>
      <c r="B29" s="280">
        <v>79</v>
      </c>
      <c r="C29" s="281" t="s">
        <v>11</v>
      </c>
      <c r="D29" s="282">
        <f>'Master Sheet'!D27</f>
        <v>3222.2499999999995</v>
      </c>
      <c r="E29" s="282">
        <f t="shared" si="4"/>
        <v>3222.2499999999995</v>
      </c>
      <c r="F29" s="282">
        <f t="shared" si="3"/>
        <v>0</v>
      </c>
      <c r="G29" s="283">
        <f t="shared" si="14"/>
        <v>3222.2499999999995</v>
      </c>
      <c r="H29" s="284">
        <f>VLOOKUP($A29,'Detail Variance Report'!B:F,5,0)</f>
        <v>0</v>
      </c>
      <c r="I29" s="285">
        <f>VLOOKUP(TEXT($A29,0),[1]BankRecData!$B$1:$O$5542,7,0)-VLOOKUP(TEXT($A29,0),[1]BankRecData!$B$1:$O$5542,8,0)</f>
        <v>137</v>
      </c>
      <c r="J29" s="285">
        <f>VLOOKUP(TEXT($A29,0),[2]BankRecData!$B$1:$O$5542,7,0)-VLOOKUP(TEXT($A29,0),[2]BankRecData!$B$1:$O$5542,8,0)</f>
        <v>97.25</v>
      </c>
      <c r="K29" s="285">
        <f>VLOOKUP(TEXT($A29,0),[3]BankRecData!$B$1:$O$5542,7,0)-VLOOKUP(TEXT($A29,0),[3]BankRecData!$B$1:$O$5542,8,0)</f>
        <v>316.25</v>
      </c>
      <c r="L29" s="285">
        <f>VLOOKUP(TEXT($A29,0),[4]BankRecData!$B$1:$O$5542,7,0)-VLOOKUP(TEXT($A29,0),[4]BankRecData!$B$1:$O$5542,8,0)</f>
        <v>489.6</v>
      </c>
      <c r="M29" s="285">
        <f>VLOOKUP(TEXT($A29,0),[5]BankRecData!$B$1:$O$5542,7,0)-VLOOKUP(TEXT($A29,0),[5]BankRecData!$B$1:$O$5542,8,0)</f>
        <v>241.70000000000005</v>
      </c>
      <c r="N29" s="285">
        <f>VLOOKUP(TEXT($A29,0),[6]BankRecData!$B$1:$O$5542,7,0)-VLOOKUP(TEXT($A29,0),[6]BankRecData!$B$1:$O$5542,8,0)</f>
        <v>518.25</v>
      </c>
      <c r="O29" s="285">
        <f>VLOOKUP(TEXT($A29,0),[7]BankRecData!$B$1:$O$5542,7,0)-VLOOKUP(TEXT($A29,0),[7]BankRecData!$B$1:$O$5542,8,0)</f>
        <v>283.64999999999998</v>
      </c>
      <c r="P29" s="285">
        <f>VLOOKUP(TEXT($A29,0),[8]BankRecData!$B$1:$O$5542,7,0)-VLOOKUP(TEXT($A29,0),[8]BankRecData!$B$1:$O$5542,8,0)</f>
        <v>542.25</v>
      </c>
      <c r="Q29" s="285">
        <f>VLOOKUP(TEXT($A29,0),[9]BankRecData!$B$1:$O$5542,7,0)-VLOOKUP(TEXT($A29,0),[9]BankRecData!$B$1:$O$5542,8,0)</f>
        <v>207.95000000000005</v>
      </c>
      <c r="R29" s="285">
        <f>VLOOKUP(TEXT($A29,0),[10]BankRecData!$B$1:$O$5542,7,0)-VLOOKUP(TEXT($A29,0),[10]BankRecData!$B$1:$O$5542,8,0)</f>
        <v>388.35</v>
      </c>
    </row>
    <row r="30" spans="1:18" ht="14.25" thickTop="1" thickBot="1" x14ac:dyDescent="0.25">
      <c r="A30" s="287">
        <v>8305</v>
      </c>
      <c r="B30" s="288">
        <v>30</v>
      </c>
      <c r="C30" s="18" t="s">
        <v>29</v>
      </c>
      <c r="D30" s="264">
        <f>'Master Sheet'!D28</f>
        <v>1892.15</v>
      </c>
      <c r="E30" s="264">
        <f t="shared" si="4"/>
        <v>1892.15</v>
      </c>
      <c r="F30" s="264">
        <f t="shared" si="3"/>
        <v>0</v>
      </c>
      <c r="G30" s="265">
        <f t="shared" si="14"/>
        <v>1892.15</v>
      </c>
      <c r="H30" s="266">
        <f>VLOOKUP($A30,'Detail Variance Report'!B:F,5,0)</f>
        <v>0</v>
      </c>
      <c r="I30" s="289">
        <f>VLOOKUP(TEXT($A30,0),[1]BankRecData!$B$1:$O$5542,7,0)-VLOOKUP(TEXT($A30,0),[1]BankRecData!$B$1:$O$5542,8,0)</f>
        <v>539.25</v>
      </c>
      <c r="J30" s="289">
        <f>VLOOKUP(TEXT($A30,0),[2]BankRecData!$B$1:$O$5542,7,0)-VLOOKUP(TEXT($A30,0),[2]BankRecData!$B$1:$O$5542,8,0)</f>
        <v>28.5</v>
      </c>
      <c r="K30" s="289">
        <f>VLOOKUP(TEXT($A30,0),[3]BankRecData!$B$1:$O$5542,7,0)-VLOOKUP(TEXT($A30,0),[3]BankRecData!$B$1:$O$5542,8,0)</f>
        <v>108.89999999999998</v>
      </c>
      <c r="L30" s="289">
        <f>VLOOKUP(TEXT($A30,0),[4]BankRecData!$B$1:$O$5542,7,0)-VLOOKUP(TEXT($A30,0),[4]BankRecData!$B$1:$O$5542,8,0)</f>
        <v>189.10000000000002</v>
      </c>
      <c r="M30" s="289">
        <f>VLOOKUP(TEXT($A30,0),[5]BankRecData!$B$1:$O$5542,7,0)-VLOOKUP(TEXT($A30,0),[5]BankRecData!$B$1:$O$5542,8,0)</f>
        <v>27.699999999999989</v>
      </c>
      <c r="N30" s="289">
        <f>VLOOKUP(TEXT($A30,0),[6]BankRecData!$B$1:$O$5542,7,0)-VLOOKUP(TEXT($A30,0),[6]BankRecData!$B$1:$O$5542,8,0)</f>
        <v>217.35000000000002</v>
      </c>
      <c r="O30" s="289">
        <f>VLOOKUP(TEXT($A30,0),[7]BankRecData!$B$1:$O$5542,7,0)-VLOOKUP(TEXT($A30,0),[7]BankRecData!$B$1:$O$5542,8,0)</f>
        <v>261.75</v>
      </c>
      <c r="P30" s="289">
        <f>VLOOKUP(TEXT($A30,0),[8]BankRecData!$B$1:$O$5542,7,0)-VLOOKUP(TEXT($A30,0),[8]BankRecData!$B$1:$O$5542,8,0)</f>
        <v>171.04999999999995</v>
      </c>
      <c r="Q30" s="289">
        <f>VLOOKUP(TEXT($A30,0),[9]BankRecData!$B$1:$O$5542,7,0)-VLOOKUP(TEXT($A30,0),[9]BankRecData!$B$1:$O$5542,8,0)</f>
        <v>193.89999999999998</v>
      </c>
      <c r="R30" s="289">
        <f>VLOOKUP(TEXT($A30,0),[10]BankRecData!$B$1:$O$5542,7,0)-VLOOKUP(TEXT($A30,0),[10]BankRecData!$B$1:$O$5542,8,0)</f>
        <v>154.64999999999998</v>
      </c>
    </row>
    <row r="31" spans="1:18" ht="14.25" thickTop="1" thickBot="1" x14ac:dyDescent="0.25">
      <c r="A31" s="295">
        <v>8188</v>
      </c>
      <c r="B31" s="296">
        <v>8188</v>
      </c>
      <c r="C31" s="297" t="s">
        <v>19</v>
      </c>
      <c r="D31" s="298">
        <f>'Master Sheet'!D29</f>
        <v>17353.150000000001</v>
      </c>
      <c r="E31" s="298">
        <f t="shared" si="4"/>
        <v>17353.150000000001</v>
      </c>
      <c r="F31" s="298">
        <f t="shared" si="3"/>
        <v>0</v>
      </c>
      <c r="G31" s="299">
        <f t="shared" si="14"/>
        <v>17353.150000000001</v>
      </c>
      <c r="H31" s="300">
        <f>VLOOKUP($A31,'Detail Variance Report'!B:F,5,0)</f>
        <v>0</v>
      </c>
      <c r="I31" s="301">
        <f>VLOOKUP(TEXT($A31,0),[1]BankRecData!$B$1:$O$5542,7,0)-VLOOKUP(TEXT($A31,0),[1]BankRecData!$B$1:$O$5542,8,0)</f>
        <v>1643.65</v>
      </c>
      <c r="J31" s="347">
        <f>VLOOKUP(TEXT($A31,0),[2]BankRecData!$B$1:$O$5542,7,0)-VLOOKUP(TEXT($A31,0),[2]BankRecData!$B$1:$O$5542,8,0)-200</f>
        <v>1683.25</v>
      </c>
      <c r="K31" s="301">
        <f>VLOOKUP(TEXT($A31,0),[3]BankRecData!$B$1:$O$5542,7,0)-VLOOKUP(TEXT($A31,0),[3]BankRecData!$B$1:$O$5542,8,0)-200</f>
        <v>1705.1</v>
      </c>
      <c r="L31" s="347">
        <f>VLOOKUP(TEXT($A31,0),[4]BankRecData!$B$1:$O$5542,7,0)-VLOOKUP(TEXT($A31,0),[4]BankRecData!$B$1:$O$5542,8,0)-400</f>
        <v>1771.75</v>
      </c>
      <c r="M31" s="301">
        <f>VLOOKUP(TEXT($A31,0),[5]BankRecData!$B$1:$O$5542,7,0)-VLOOKUP(TEXT($A31,0),[5]BankRecData!$B$1:$O$5542,8,0)</f>
        <v>1645.1</v>
      </c>
      <c r="N31" s="343">
        <f>VLOOKUP(TEXT($A31,0),[6]BankRecData!$B$1:$O$5542,7,0)-VLOOKUP(TEXT($A31,0),[6]BankRecData!$B$1:$O$5542,8,0)-400</f>
        <v>1861.75</v>
      </c>
      <c r="O31" s="347">
        <f>VLOOKUP(TEXT($A31,0),[7]BankRecData!$B$1:$O$5542,7,0)-VLOOKUP(TEXT($A31,0),[7]BankRecData!$B$1:$O$5542,8,0)-400</f>
        <v>1895.85</v>
      </c>
      <c r="P31" s="347">
        <f>VLOOKUP(TEXT($A31,0),[8]BankRecData!$B$1:$O$5542,7,0)-VLOOKUP(TEXT($A31,0),[8]BankRecData!$B$1:$O$5542,8,0)-400</f>
        <v>1460.35</v>
      </c>
      <c r="Q31" s="347">
        <f>VLOOKUP(TEXT($A31,0),[9]BankRecData!$B$1:$O$5542,7,0)-VLOOKUP(TEXT($A31,0),[9]BankRecData!$B$1:$O$5542,8,0)-400</f>
        <v>1592.6</v>
      </c>
      <c r="R31" s="347">
        <f>VLOOKUP(TEXT($A31,0),[10]BankRecData!$B$1:$O$5542,7,0)-VLOOKUP(TEXT($A31,0),[10]BankRecData!$B$1:$O$5542,8,0)-400</f>
        <v>2093.75</v>
      </c>
    </row>
    <row r="32" spans="1:18" ht="14.25" thickTop="1" thickBot="1" x14ac:dyDescent="0.25">
      <c r="A32" s="290"/>
      <c r="B32" s="291"/>
      <c r="C32" s="292" t="s">
        <v>13</v>
      </c>
      <c r="D32" s="293">
        <f>SUM(D4:D31)</f>
        <v>113609.34999999998</v>
      </c>
      <c r="E32" s="293">
        <f>SUM(E4:E31)</f>
        <v>113609.34999999998</v>
      </c>
      <c r="F32" s="293">
        <f>SUM(F4:F31)</f>
        <v>0</v>
      </c>
      <c r="G32" s="293">
        <f>SUM(G4:G31)</f>
        <v>113609.34999999998</v>
      </c>
      <c r="H32" s="294"/>
      <c r="I32" s="293">
        <f t="shared" ref="I32:N32" si="15">SUM(I4:I31)</f>
        <v>10957.699999999999</v>
      </c>
      <c r="J32" s="293">
        <f t="shared" si="15"/>
        <v>10816.5</v>
      </c>
      <c r="K32" s="293">
        <f t="shared" si="15"/>
        <v>12185.300000000003</v>
      </c>
      <c r="L32" s="293">
        <f t="shared" si="15"/>
        <v>12234.350000000002</v>
      </c>
      <c r="M32" s="293">
        <f t="shared" si="15"/>
        <v>8890.0499999999975</v>
      </c>
      <c r="N32" s="293">
        <f t="shared" si="15"/>
        <v>12651.1</v>
      </c>
      <c r="O32" s="293">
        <f t="shared" ref="O32:P32" si="16">SUM(O4:O31)</f>
        <v>12027.400000000001</v>
      </c>
      <c r="P32" s="293">
        <f t="shared" si="16"/>
        <v>10746.049999999997</v>
      </c>
      <c r="Q32" s="293">
        <f t="shared" ref="Q32:R32" si="17">SUM(Q4:Q31)</f>
        <v>11448.650000000001</v>
      </c>
      <c r="R32" s="293">
        <f t="shared" si="17"/>
        <v>11652.250000000002</v>
      </c>
    </row>
    <row r="33" spans="1:18" x14ac:dyDescent="0.2">
      <c r="A33" s="68"/>
      <c r="B33" s="73" t="s">
        <v>0</v>
      </c>
      <c r="C33" s="17"/>
      <c r="D33" s="17"/>
      <c r="E33" s="17"/>
      <c r="F33" s="54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2">
      <c r="A34" s="68"/>
      <c r="B34" s="7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</row>
    <row r="35" spans="1:18" x14ac:dyDescent="0.2">
      <c r="A35" s="68"/>
      <c r="B35" s="7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</row>
  </sheetData>
  <autoFilter ref="A2:H32" xr:uid="{00000000-0009-0000-0000-000012000000}"/>
  <phoneticPr fontId="0" type="noConversion"/>
  <conditionalFormatting sqref="H3:I31">
    <cfRule type="containsText" dxfId="347" priority="3861" operator="containsText" text="No">
      <formula>NOT(ISERROR(SEARCH("No",H3)))</formula>
    </cfRule>
  </conditionalFormatting>
  <conditionalFormatting sqref="J3:J31">
    <cfRule type="containsText" dxfId="346" priority="30" operator="containsText" text="No">
      <formula>NOT(ISERROR(SEARCH("No",J3)))</formula>
    </cfRule>
  </conditionalFormatting>
  <conditionalFormatting sqref="K3:K18 K28:K31 K20:K26">
    <cfRule type="containsText" dxfId="345" priority="29" operator="containsText" text="No">
      <formula>NOT(ISERROR(SEARCH("No",K3)))</formula>
    </cfRule>
  </conditionalFormatting>
  <conditionalFormatting sqref="K27">
    <cfRule type="containsText" dxfId="344" priority="28" operator="containsText" text="No">
      <formula>NOT(ISERROR(SEARCH("No",K27)))</formula>
    </cfRule>
  </conditionalFormatting>
  <conditionalFormatting sqref="K19">
    <cfRule type="containsText" dxfId="343" priority="27" operator="containsText" text="No">
      <formula>NOT(ISERROR(SEARCH("No",K19)))</formula>
    </cfRule>
  </conditionalFormatting>
  <conditionalFormatting sqref="L3:L18 L28:L31 L20:L26">
    <cfRule type="containsText" dxfId="342" priority="26" operator="containsText" text="No">
      <formula>NOT(ISERROR(SEARCH("No",L3)))</formula>
    </cfRule>
  </conditionalFormatting>
  <conditionalFormatting sqref="L27">
    <cfRule type="containsText" dxfId="341" priority="25" operator="containsText" text="No">
      <formula>NOT(ISERROR(SEARCH("No",L27)))</formula>
    </cfRule>
  </conditionalFormatting>
  <conditionalFormatting sqref="L19">
    <cfRule type="containsText" dxfId="340" priority="24" operator="containsText" text="No">
      <formula>NOT(ISERROR(SEARCH("No",L19)))</formula>
    </cfRule>
  </conditionalFormatting>
  <conditionalFormatting sqref="M3:M18 M28:M31 M20:M26">
    <cfRule type="containsText" dxfId="339" priority="23" operator="containsText" text="No">
      <formula>NOT(ISERROR(SEARCH("No",M3)))</formula>
    </cfRule>
  </conditionalFormatting>
  <conditionalFormatting sqref="M27">
    <cfRule type="containsText" dxfId="338" priority="22" operator="containsText" text="No">
      <formula>NOT(ISERROR(SEARCH("No",M27)))</formula>
    </cfRule>
  </conditionalFormatting>
  <conditionalFormatting sqref="M19">
    <cfRule type="containsText" dxfId="337" priority="21" operator="containsText" text="No">
      <formula>NOT(ISERROR(SEARCH("No",M19)))</formula>
    </cfRule>
  </conditionalFormatting>
  <conditionalFormatting sqref="N3:N18 N28:N31 N20:N26">
    <cfRule type="containsText" dxfId="336" priority="20" operator="containsText" text="No">
      <formula>NOT(ISERROR(SEARCH("No",N3)))</formula>
    </cfRule>
  </conditionalFormatting>
  <conditionalFormatting sqref="N27">
    <cfRule type="containsText" dxfId="335" priority="19" operator="containsText" text="No">
      <formula>NOT(ISERROR(SEARCH("No",N27)))</formula>
    </cfRule>
  </conditionalFormatting>
  <conditionalFormatting sqref="N19">
    <cfRule type="containsText" dxfId="334" priority="18" operator="containsText" text="No">
      <formula>NOT(ISERROR(SEARCH("No",N19)))</formula>
    </cfRule>
  </conditionalFormatting>
  <conditionalFormatting sqref="N1:N1048576">
    <cfRule type="expression" dxfId="333" priority="17">
      <formula>N1&lt;0</formula>
    </cfRule>
  </conditionalFormatting>
  <conditionalFormatting sqref="O3:O18 O28:O31 O20:O26">
    <cfRule type="containsText" dxfId="332" priority="16" operator="containsText" text="No">
      <formula>NOT(ISERROR(SEARCH("No",O3)))</formula>
    </cfRule>
  </conditionalFormatting>
  <conditionalFormatting sqref="O27">
    <cfRule type="containsText" dxfId="331" priority="15" operator="containsText" text="No">
      <formula>NOT(ISERROR(SEARCH("No",O27)))</formula>
    </cfRule>
  </conditionalFormatting>
  <conditionalFormatting sqref="O19">
    <cfRule type="containsText" dxfId="330" priority="14" operator="containsText" text="No">
      <formula>NOT(ISERROR(SEARCH("No",O19)))</formula>
    </cfRule>
  </conditionalFormatting>
  <conditionalFormatting sqref="O1:O1048576">
    <cfRule type="expression" dxfId="329" priority="13">
      <formula>O1&lt;0</formula>
    </cfRule>
  </conditionalFormatting>
  <conditionalFormatting sqref="P3:P18 P28:P31 P20:P26">
    <cfRule type="containsText" dxfId="328" priority="12" operator="containsText" text="No">
      <formula>NOT(ISERROR(SEARCH("No",P3)))</formula>
    </cfRule>
  </conditionalFormatting>
  <conditionalFormatting sqref="P27">
    <cfRule type="containsText" dxfId="327" priority="11" operator="containsText" text="No">
      <formula>NOT(ISERROR(SEARCH("No",P27)))</formula>
    </cfRule>
  </conditionalFormatting>
  <conditionalFormatting sqref="P19">
    <cfRule type="containsText" dxfId="326" priority="10" operator="containsText" text="No">
      <formula>NOT(ISERROR(SEARCH("No",P19)))</formula>
    </cfRule>
  </conditionalFormatting>
  <conditionalFormatting sqref="P1:P1048576">
    <cfRule type="expression" dxfId="325" priority="9">
      <formula>P1&lt;0</formula>
    </cfRule>
  </conditionalFormatting>
  <conditionalFormatting sqref="Q3:Q18 Q28:Q31 Q20:Q26">
    <cfRule type="containsText" dxfId="324" priority="8" operator="containsText" text="No">
      <formula>NOT(ISERROR(SEARCH("No",Q3)))</formula>
    </cfRule>
  </conditionalFormatting>
  <conditionalFormatting sqref="Q27">
    <cfRule type="containsText" dxfId="323" priority="7" operator="containsText" text="No">
      <formula>NOT(ISERROR(SEARCH("No",Q27)))</formula>
    </cfRule>
  </conditionalFormatting>
  <conditionalFormatting sqref="Q19">
    <cfRule type="containsText" dxfId="322" priority="6" operator="containsText" text="No">
      <formula>NOT(ISERROR(SEARCH("No",Q19)))</formula>
    </cfRule>
  </conditionalFormatting>
  <conditionalFormatting sqref="Q1:Q1048576">
    <cfRule type="expression" dxfId="321" priority="5">
      <formula>Q1&lt;0</formula>
    </cfRule>
  </conditionalFormatting>
  <conditionalFormatting sqref="R3:R18 R28:R31 R20:R26">
    <cfRule type="containsText" dxfId="320" priority="4" operator="containsText" text="No">
      <formula>NOT(ISERROR(SEARCH("No",R3)))</formula>
    </cfRule>
  </conditionalFormatting>
  <conditionalFormatting sqref="R27">
    <cfRule type="containsText" dxfId="319" priority="3" operator="containsText" text="No">
      <formula>NOT(ISERROR(SEARCH("No",R27)))</formula>
    </cfRule>
  </conditionalFormatting>
  <conditionalFormatting sqref="R19">
    <cfRule type="containsText" dxfId="318" priority="2" operator="containsText" text="No">
      <formula>NOT(ISERROR(SEARCH("No",R19)))</formula>
    </cfRule>
  </conditionalFormatting>
  <conditionalFormatting sqref="R1:R1048576">
    <cfRule type="expression" dxfId="317" priority="1">
      <formula>R1&lt;0</formula>
    </cfRule>
  </conditionalFormatting>
  <pageMargins left="0.15748031496062992" right="0.15748031496062992" top="0.39370078740157483" bottom="0.39370078740157483" header="0.51181102362204722" footer="0.51181102362204722"/>
  <pageSetup paperSize="8" scale="86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B978-AC0C-427C-A5F0-B90E6647C2FC}">
  <sheetPr codeName="Sheet8">
    <tabColor rgb="FF92D050"/>
    <pageSetUpPr fitToPage="1"/>
  </sheetPr>
  <dimension ref="A1:M34"/>
  <sheetViews>
    <sheetView showGridLines="0" zoomScaleNormal="100" workbookViewId="0">
      <pane xSplit="3" ySplit="1" topLeftCell="D11" activePane="bottomRight" state="frozen"/>
      <selection pane="topRight" activeCell="I1" sqref="I1"/>
      <selection pane="bottomLeft" activeCell="A3" sqref="A3"/>
      <selection pane="bottomRight" activeCell="F17" sqref="F17"/>
    </sheetView>
  </sheetViews>
  <sheetFormatPr defaultRowHeight="12.75" x14ac:dyDescent="0.2"/>
  <cols>
    <col min="1" max="1" width="5.7109375" customWidth="1"/>
    <col min="2" max="2" width="10.5703125" bestFit="1" customWidth="1"/>
    <col min="3" max="3" width="28.5703125" bestFit="1" customWidth="1"/>
    <col min="4" max="13" width="10.85546875" style="220" bestFit="1" customWidth="1"/>
  </cols>
  <sheetData>
    <row r="1" spans="1:13" ht="33.75" customHeight="1" thickBot="1" x14ac:dyDescent="0.25">
      <c r="A1" s="259" t="s">
        <v>154</v>
      </c>
      <c r="B1" s="260" t="s">
        <v>155</v>
      </c>
      <c r="C1" s="251" t="s">
        <v>14</v>
      </c>
      <c r="D1" s="320">
        <f>'Detail Variance Report'!H1</f>
        <v>44320</v>
      </c>
      <c r="E1" s="320">
        <f>'Detail Variance Report'!I1</f>
        <v>44321</v>
      </c>
      <c r="F1" s="320">
        <f>'Detail Variance Report'!J1</f>
        <v>44322</v>
      </c>
      <c r="G1" s="320">
        <f>'Detail Variance Report'!K1</f>
        <v>44323</v>
      </c>
      <c r="H1" s="320">
        <f>'Detail Variance Report'!L1</f>
        <v>44324</v>
      </c>
      <c r="I1" s="320">
        <f>'Detail Variance Report'!M1</f>
        <v>44325</v>
      </c>
      <c r="J1" s="320">
        <f>'Detail Variance Report'!N1</f>
        <v>44326</v>
      </c>
      <c r="K1" s="320">
        <f>'Detail Variance Report'!O1</f>
        <v>44327</v>
      </c>
      <c r="L1" s="320">
        <f>'Detail Variance Report'!P1</f>
        <v>44328</v>
      </c>
      <c r="M1" s="320">
        <f>'Detail Variance Report'!Q1</f>
        <v>44329</v>
      </c>
    </row>
    <row r="2" spans="1:13" x14ac:dyDescent="0.2">
      <c r="A2" s="83">
        <v>2117</v>
      </c>
      <c r="B2" s="88">
        <v>2117</v>
      </c>
      <c r="C2" s="88" t="s">
        <v>131</v>
      </c>
      <c r="D2" s="321">
        <f>VLOOKUP(TEXT($A2,0),[1]BankRecData!$B$1:$O$5542,8,0)</f>
        <v>400</v>
      </c>
      <c r="E2" s="321">
        <f>VLOOKUP(TEXT($A2,0),[2]BankRecData!$B$1:$O$5542,8,0)</f>
        <v>400</v>
      </c>
      <c r="F2" s="321">
        <f>VLOOKUP(TEXT($A2,0),[3]BankRecData!$B$1:$O$5542,8,0)</f>
        <v>400</v>
      </c>
      <c r="G2" s="321">
        <f>VLOOKUP(TEXT($A2,0),[4]BankRecData!$B$1:$O$5542,8,0)</f>
        <v>400</v>
      </c>
      <c r="H2" s="321">
        <f>VLOOKUP(TEXT($A2,0),[5]BankRecData!$B$1:$O$5542,8,0)</f>
        <v>0</v>
      </c>
      <c r="I2" s="321">
        <f>VLOOKUP(TEXT($A2,0),[6]BankRecData!$B$1:$O$5542,8,0)</f>
        <v>0</v>
      </c>
      <c r="J2" s="321">
        <f>VLOOKUP(TEXT($A2,0),[7]BankRecData!$B$1:$O$5542,8,0)</f>
        <v>400</v>
      </c>
      <c r="K2" s="321">
        <f>VLOOKUP(TEXT($A2,0),[8]BankRecData!$B$1:$O$5542,8,0)</f>
        <v>400</v>
      </c>
      <c r="L2" s="321">
        <f>VLOOKUP(TEXT($A2,0),[9]BankRecData!$B$1:$O$5542,8,0)</f>
        <v>400</v>
      </c>
      <c r="M2" s="321">
        <f>VLOOKUP(TEXT($A2,0),[10]BankRecData!$B$1:$O$5542,8,0)</f>
        <v>400</v>
      </c>
    </row>
    <row r="3" spans="1:13" x14ac:dyDescent="0.2">
      <c r="A3" s="83">
        <v>2118</v>
      </c>
      <c r="B3" s="88">
        <v>2118</v>
      </c>
      <c r="C3" s="55" t="s">
        <v>127</v>
      </c>
      <c r="D3" s="321">
        <f>VLOOKUP(TEXT($A3,0),[1]BankRecData!$B$1:$O$5542,8,0)</f>
        <v>400</v>
      </c>
      <c r="E3" s="321">
        <f>VLOOKUP(TEXT($A3,0),[2]BankRecData!$B$1:$O$5542,8,0)</f>
        <v>400</v>
      </c>
      <c r="F3" s="321">
        <f>VLOOKUP(TEXT($A3,0),[3]BankRecData!$B$1:$O$5542,8,0)</f>
        <v>400</v>
      </c>
      <c r="G3" s="321">
        <f>VLOOKUP(TEXT($A3,0),[4]BankRecData!$B$1:$O$5542,8,0)</f>
        <v>400</v>
      </c>
      <c r="H3" s="321">
        <f>VLOOKUP(TEXT($A3,0),[5]BankRecData!$B$1:$O$5542,8,0)</f>
        <v>400</v>
      </c>
      <c r="I3" s="321">
        <f>VLOOKUP(TEXT($A3,0),[6]BankRecData!$B$1:$O$5542,8,0)</f>
        <v>400</v>
      </c>
      <c r="J3" s="321">
        <f>VLOOKUP(TEXT($A3,0),[7]BankRecData!$B$1:$O$5542,8,0)</f>
        <v>400</v>
      </c>
      <c r="K3" s="321">
        <f>VLOOKUP(TEXT($A3,0),[8]BankRecData!$B$1:$O$5542,8,0)</f>
        <v>400</v>
      </c>
      <c r="L3" s="321">
        <f>VLOOKUP(TEXT($A3,0),[9]BankRecData!$B$1:$O$5542,8,0)</f>
        <v>400</v>
      </c>
      <c r="M3" s="321">
        <f>VLOOKUP(TEXT($A3,0),[10]BankRecData!$B$1:$O$5542,8,0)</f>
        <v>400</v>
      </c>
    </row>
    <row r="4" spans="1:13" ht="13.5" thickBot="1" x14ac:dyDescent="0.25">
      <c r="A4" s="261">
        <v>2119</v>
      </c>
      <c r="B4" s="262">
        <v>2119</v>
      </c>
      <c r="C4" s="263" t="s">
        <v>130</v>
      </c>
      <c r="D4" s="322">
        <f>VLOOKUP(TEXT($A4,0),[1]BankRecData!$B$1:$O$5542,8,0)</f>
        <v>0</v>
      </c>
      <c r="E4" s="322">
        <f>VLOOKUP(TEXT($A4,0),[2]BankRecData!$B$1:$O$5542,8,0)</f>
        <v>400</v>
      </c>
      <c r="F4" s="322">
        <f>VLOOKUP(TEXT($A4,0),[3]BankRecData!$B$1:$O$5542,8,0)</f>
        <v>400</v>
      </c>
      <c r="G4" s="322">
        <f>VLOOKUP(TEXT($A4,0),[4]BankRecData!$B$1:$O$5542,8,0)</f>
        <v>400</v>
      </c>
      <c r="H4" s="322">
        <f>VLOOKUP(TEXT($A4,0),[5]BankRecData!$B$1:$O$5542,8,0)</f>
        <v>400</v>
      </c>
      <c r="I4" s="322">
        <f>VLOOKUP(TEXT($A4,0),[6]BankRecData!$B$1:$O$5542,8,0)</f>
        <v>400</v>
      </c>
      <c r="J4" s="322">
        <f>VLOOKUP(TEXT($A4,0),[7]BankRecData!$B$1:$O$5542,8,0)</f>
        <v>400</v>
      </c>
      <c r="K4" s="322">
        <f>VLOOKUP(TEXT($A4,0),[8]BankRecData!$B$1:$O$5542,8,0)</f>
        <v>400</v>
      </c>
      <c r="L4" s="322">
        <f>VLOOKUP(TEXT($A4,0),[9]BankRecData!$B$1:$O$5542,8,0)</f>
        <v>400</v>
      </c>
      <c r="M4" s="322">
        <f>VLOOKUP(TEXT($A4,0),[10]BankRecData!$B$1:$O$5542,8,0)</f>
        <v>400</v>
      </c>
    </row>
    <row r="5" spans="1:13" ht="13.5" thickTop="1" x14ac:dyDescent="0.2">
      <c r="A5" s="304">
        <v>2137</v>
      </c>
      <c r="B5" s="305">
        <v>137</v>
      </c>
      <c r="C5" s="306" t="s">
        <v>77</v>
      </c>
      <c r="D5" s="323">
        <f>VLOOKUP(TEXT($A5,0),[1]BankRecData!$B$1:$O$5542,8,0)</f>
        <v>0</v>
      </c>
      <c r="E5" s="323">
        <f>VLOOKUP(TEXT($A5,0),[2]BankRecData!$B$1:$O$5542,8,0)</f>
        <v>0</v>
      </c>
      <c r="F5" s="323">
        <f>VLOOKUP(TEXT($A5,0),[3]BankRecData!$B$1:$O$5542,8,0)</f>
        <v>0</v>
      </c>
      <c r="G5" s="323">
        <f>VLOOKUP(TEXT($A5,0),[4]BankRecData!$B$1:$O$5542,8,0)</f>
        <v>0</v>
      </c>
      <c r="H5" s="323">
        <f>VLOOKUP(TEXT($A5,0),[5]BankRecData!$B$1:$O$5542,8,0)</f>
        <v>0</v>
      </c>
      <c r="I5" s="323">
        <f>VLOOKUP(TEXT($A5,0),[6]BankRecData!$B$1:$O$5542,8,0)</f>
        <v>0</v>
      </c>
      <c r="J5" s="323">
        <f>VLOOKUP(TEXT($A5,0),[7]BankRecData!$B$1:$O$5542,8,0)</f>
        <v>0</v>
      </c>
      <c r="K5" s="323">
        <f>VLOOKUP(TEXT($A5,0),[8]BankRecData!$B$1:$O$5542,8,0)</f>
        <v>0</v>
      </c>
      <c r="L5" s="323">
        <f>VLOOKUP(TEXT($A5,0),[9]BankRecData!$B$1:$O$5542,8,0)</f>
        <v>0</v>
      </c>
      <c r="M5" s="323">
        <f>VLOOKUP(TEXT($A5,0),[10]BankRecData!$B$1:$O$5542,8,0)</f>
        <v>0</v>
      </c>
    </row>
    <row r="6" spans="1:13" x14ac:dyDescent="0.2">
      <c r="A6" s="254">
        <v>2230</v>
      </c>
      <c r="B6" s="89">
        <v>2230</v>
      </c>
      <c r="C6" s="77" t="s">
        <v>109</v>
      </c>
      <c r="D6" s="321">
        <f>VLOOKUP(TEXT($A6,0),[1]BankRecData!$B$1:$O$5542,8,0)</f>
        <v>0</v>
      </c>
      <c r="E6" s="321">
        <f>VLOOKUP(TEXT($A6,0),[2]BankRecData!$B$1:$O$5542,8,0)</f>
        <v>0</v>
      </c>
      <c r="F6" s="321">
        <f>VLOOKUP(TEXT($A6,0),[3]BankRecData!$B$1:$O$5542,8,0)</f>
        <v>0</v>
      </c>
      <c r="G6" s="321">
        <f>VLOOKUP(TEXT($A6,0),[4]BankRecData!$B$1:$O$5542,8,0)</f>
        <v>0</v>
      </c>
      <c r="H6" s="321">
        <f>VLOOKUP(TEXT($A6,0),[5]BankRecData!$B$1:$O$5542,8,0)</f>
        <v>0</v>
      </c>
      <c r="I6" s="321">
        <f>VLOOKUP(TEXT($A6,0),[6]BankRecData!$B$1:$O$5542,8,0)</f>
        <v>0</v>
      </c>
      <c r="J6" s="321">
        <f>VLOOKUP(TEXT($A6,0),[7]BankRecData!$B$1:$O$5542,8,0)</f>
        <v>400</v>
      </c>
      <c r="K6" s="321">
        <f>VLOOKUP(TEXT($A6,0),[8]BankRecData!$B$1:$O$5542,8,0)</f>
        <v>0</v>
      </c>
      <c r="L6" s="321">
        <f>VLOOKUP(TEXT($A6,0),[9]BankRecData!$B$1:$O$5542,8,0)</f>
        <v>0</v>
      </c>
      <c r="M6" s="321">
        <f>VLOOKUP(TEXT($A6,0),[10]BankRecData!$B$1:$O$5542,8,0)</f>
        <v>0</v>
      </c>
    </row>
    <row r="7" spans="1:13" x14ac:dyDescent="0.2">
      <c r="A7" s="254">
        <v>2231</v>
      </c>
      <c r="B7" s="89">
        <v>2231</v>
      </c>
      <c r="C7" s="87" t="s">
        <v>101</v>
      </c>
      <c r="D7" s="321">
        <f>VLOOKUP(TEXT($A7,0),[1]BankRecData!$B$1:$O$5542,8,0)</f>
        <v>400</v>
      </c>
      <c r="E7" s="321">
        <f>VLOOKUP(TEXT($A7,0),[2]BankRecData!$B$1:$O$5542,8,0)</f>
        <v>400</v>
      </c>
      <c r="F7" s="321">
        <f>VLOOKUP(TEXT($A7,0),[3]BankRecData!$B$1:$O$5542,8,0)</f>
        <v>400</v>
      </c>
      <c r="G7" s="321">
        <f>VLOOKUP(TEXT($A7,0),[4]BankRecData!$B$1:$O$5542,8,0)</f>
        <v>400</v>
      </c>
      <c r="H7" s="321">
        <f>VLOOKUP(TEXT($A7,0),[5]BankRecData!$B$1:$O$5542,8,0)</f>
        <v>0</v>
      </c>
      <c r="I7" s="321">
        <f>VLOOKUP(TEXT($A7,0),[6]BankRecData!$B$1:$O$5542,8,0)</f>
        <v>0</v>
      </c>
      <c r="J7" s="321">
        <f>VLOOKUP(TEXT($A7,0),[7]BankRecData!$B$1:$O$5542,8,0)</f>
        <v>400</v>
      </c>
      <c r="K7" s="321">
        <f>VLOOKUP(TEXT($A7,0),[8]BankRecData!$B$1:$O$5542,8,0)</f>
        <v>400</v>
      </c>
      <c r="L7" s="321">
        <f>VLOOKUP(TEXT($A7,0),[9]BankRecData!$B$1:$O$5542,8,0)</f>
        <v>400</v>
      </c>
      <c r="M7" s="321">
        <f>VLOOKUP(TEXT($A7,0),[10]BankRecData!$B$1:$O$5542,8,0)</f>
        <v>400</v>
      </c>
    </row>
    <row r="8" spans="1:13" ht="13.5" thickBot="1" x14ac:dyDescent="0.25">
      <c r="A8" s="307">
        <v>2234</v>
      </c>
      <c r="B8" s="308">
        <v>2234</v>
      </c>
      <c r="C8" s="309"/>
      <c r="D8" s="324"/>
      <c r="E8" s="324"/>
      <c r="F8" s="324"/>
      <c r="G8" s="324"/>
      <c r="H8" s="324"/>
      <c r="I8" s="324"/>
      <c r="J8" s="324"/>
      <c r="K8" s="324"/>
      <c r="L8" s="324"/>
      <c r="M8" s="324"/>
    </row>
    <row r="9" spans="1:13" ht="14.25" thickTop="1" thickBot="1" x14ac:dyDescent="0.25">
      <c r="A9" s="295">
        <v>2450</v>
      </c>
      <c r="B9" s="296">
        <v>450</v>
      </c>
      <c r="C9" s="297" t="s">
        <v>68</v>
      </c>
      <c r="D9" s="325">
        <f>VLOOKUP(TEXT($A9,0),[1]BankRecData!$B$1:$O$5542,8,0)</f>
        <v>400</v>
      </c>
      <c r="E9" s="325">
        <f>VLOOKUP(TEXT($A9,0),[2]BankRecData!$B$1:$O$5542,8,0)</f>
        <v>400</v>
      </c>
      <c r="F9" s="325">
        <f>VLOOKUP(TEXT($A9,0),[3]BankRecData!$B$1:$O$5542,8,0)</f>
        <v>400</v>
      </c>
      <c r="G9" s="325">
        <f>VLOOKUP(TEXT($A9,0),[4]BankRecData!$B$1:$O$5542,8,0)</f>
        <v>400</v>
      </c>
      <c r="H9" s="325">
        <f>VLOOKUP(TEXT($A9,0),[5]BankRecData!$B$1:$O$5542,8,0)</f>
        <v>400</v>
      </c>
      <c r="I9" s="325">
        <f>VLOOKUP(TEXT($A9,0),[6]BankRecData!$B$1:$O$5542,8,0)</f>
        <v>400</v>
      </c>
      <c r="J9" s="325">
        <f>VLOOKUP(TEXT($A9,0),[7]BankRecData!$B$1:$O$5542,8,0)</f>
        <v>400</v>
      </c>
      <c r="K9" s="325">
        <f>VLOOKUP(TEXT($A9,0),[8]BankRecData!$B$1:$O$5542,8,0)</f>
        <v>400</v>
      </c>
      <c r="L9" s="325">
        <f>VLOOKUP(TEXT($A9,0),[9]BankRecData!$B$1:$O$5542,8,0)</f>
        <v>400</v>
      </c>
      <c r="M9" s="325">
        <f>VLOOKUP(TEXT($A9,0),[10]BankRecData!$B$1:$O$5542,8,0)</f>
        <v>400</v>
      </c>
    </row>
    <row r="10" spans="1:13" ht="14.25" thickTop="1" thickBot="1" x14ac:dyDescent="0.25">
      <c r="A10" s="287">
        <v>2225</v>
      </c>
      <c r="B10" s="288">
        <v>2225</v>
      </c>
      <c r="C10" s="18" t="s">
        <v>142</v>
      </c>
      <c r="D10" s="326">
        <f>VLOOKUP(TEXT($A10,0),[1]BankRecData!$B$1:$O$5542,8,0)</f>
        <v>400</v>
      </c>
      <c r="E10" s="326">
        <f>VLOOKUP(TEXT($A10,0),[2]BankRecData!$B$1:$O$5542,8,0)</f>
        <v>400</v>
      </c>
      <c r="F10" s="326">
        <f>VLOOKUP(TEXT($A10,0),[3]BankRecData!$B$1:$O$5542,8,0)</f>
        <v>400</v>
      </c>
      <c r="G10" s="326">
        <f>VLOOKUP(TEXT($A10,0),[4]BankRecData!$B$1:$O$5542,8,0)</f>
        <v>400</v>
      </c>
      <c r="H10" s="326">
        <f>VLOOKUP(TEXT($A10,0),[5]BankRecData!$B$1:$O$5542,8,0)</f>
        <v>400</v>
      </c>
      <c r="I10" s="326">
        <f>VLOOKUP(TEXT($A10,0),[6]BankRecData!$B$1:$O$5542,8,0)</f>
        <v>400</v>
      </c>
      <c r="J10" s="326">
        <f>VLOOKUP(TEXT($A10,0),[7]BankRecData!$B$1:$O$5542,8,0)</f>
        <v>400</v>
      </c>
      <c r="K10" s="326">
        <f>VLOOKUP(TEXT($A10,0),[8]BankRecData!$B$1:$O$5542,8,0)</f>
        <v>400</v>
      </c>
      <c r="L10" s="326">
        <f>VLOOKUP(TEXT($A10,0),[9]BankRecData!$B$1:$O$5542,8,0)</f>
        <v>400</v>
      </c>
      <c r="M10" s="326">
        <f>VLOOKUP(TEXT($A10,0),[10]BankRecData!$B$1:$O$5542,8,0)</f>
        <v>400</v>
      </c>
    </row>
    <row r="11" spans="1:13" ht="13.5" thickTop="1" x14ac:dyDescent="0.2">
      <c r="A11" s="286">
        <v>3191</v>
      </c>
      <c r="B11" s="273">
        <v>19</v>
      </c>
      <c r="C11" s="274" t="s">
        <v>15</v>
      </c>
      <c r="D11" s="323">
        <f>VLOOKUP(TEXT($A11,0),[1]BankRecData!$B$1:$O$5542,8,0)</f>
        <v>400</v>
      </c>
      <c r="E11" s="323">
        <f>VLOOKUP(TEXT($A11,0),[2]BankRecData!$B$1:$O$5542,8,0)</f>
        <v>400</v>
      </c>
      <c r="F11" s="323">
        <f>VLOOKUP(TEXT($A11,0),[3]BankRecData!$B$1:$O$5542,8,0)</f>
        <v>400</v>
      </c>
      <c r="G11" s="323">
        <f>VLOOKUP(TEXT($A11,0),[4]BankRecData!$B$1:$O$5542,8,0)</f>
        <v>400</v>
      </c>
      <c r="H11" s="323">
        <f>VLOOKUP(TEXT($A11,0),[5]BankRecData!$B$1:$O$5542,8,0)</f>
        <v>400</v>
      </c>
      <c r="I11" s="323">
        <f>VLOOKUP(TEXT($A11,0),[6]BankRecData!$B$1:$O$5542,8,0)</f>
        <v>400</v>
      </c>
      <c r="J11" s="323">
        <f>VLOOKUP(TEXT($A11,0),[7]BankRecData!$B$1:$O$5542,8,0)</f>
        <v>400</v>
      </c>
      <c r="K11" s="323">
        <f>VLOOKUP(TEXT($A11,0),[8]BankRecData!$B$1:$O$5542,8,0)</f>
        <v>400</v>
      </c>
      <c r="L11" s="323">
        <f>VLOOKUP(TEXT($A11,0),[9]BankRecData!$B$1:$O$5542,8,0)</f>
        <v>400</v>
      </c>
      <c r="M11" s="323">
        <f>VLOOKUP(TEXT($A11,0),[10]BankRecData!$B$1:$O$5542,8,0)</f>
        <v>400</v>
      </c>
    </row>
    <row r="12" spans="1:13" ht="13.5" thickBot="1" x14ac:dyDescent="0.25">
      <c r="A12" s="302">
        <v>3175</v>
      </c>
      <c r="B12" s="280">
        <v>175</v>
      </c>
      <c r="C12" s="303" t="s">
        <v>65</v>
      </c>
      <c r="D12" s="327">
        <f>VLOOKUP(TEXT($A12,0),[1]BankRecData!$B$1:$O$5542,8,0)</f>
        <v>0</v>
      </c>
      <c r="E12" s="327">
        <f>VLOOKUP(TEXT($A12,0),[2]BankRecData!$B$1:$O$5542,8,0)</f>
        <v>400</v>
      </c>
      <c r="F12" s="327">
        <f>VLOOKUP(TEXT($A12,0),[3]BankRecData!$B$1:$O$5542,8,0)</f>
        <v>0</v>
      </c>
      <c r="G12" s="327">
        <f>VLOOKUP(TEXT($A12,0),[4]BankRecData!$B$1:$O$5542,8,0)</f>
        <v>400</v>
      </c>
      <c r="H12" s="327">
        <f>VLOOKUP(TEXT($A12,0),[5]BankRecData!$B$1:$O$5542,8,0)</f>
        <v>0</v>
      </c>
      <c r="I12" s="327">
        <f>VLOOKUP(TEXT($A12,0),[6]BankRecData!$B$1:$O$5542,8,0)</f>
        <v>0</v>
      </c>
      <c r="J12" s="327">
        <f>VLOOKUP(TEXT($A12,0),[7]BankRecData!$B$1:$O$5542,8,0)</f>
        <v>0</v>
      </c>
      <c r="K12" s="327">
        <f>VLOOKUP(TEXT($A12,0),[8]BankRecData!$B$1:$O$5542,8,0)</f>
        <v>0</v>
      </c>
      <c r="L12" s="327">
        <f>VLOOKUP(TEXT($A12,0),[9]BankRecData!$B$1:$O$5542,8,0)</f>
        <v>400</v>
      </c>
      <c r="M12" s="327">
        <f>VLOOKUP(TEXT($A12,0),[10]BankRecData!$B$1:$O$5542,8,0)</f>
        <v>400</v>
      </c>
    </row>
    <row r="13" spans="1:13" ht="14.25" thickTop="1" thickBot="1" x14ac:dyDescent="0.25">
      <c r="A13" s="287">
        <v>4100</v>
      </c>
      <c r="B13" s="288">
        <v>100</v>
      </c>
      <c r="C13" s="18" t="s">
        <v>21</v>
      </c>
      <c r="D13" s="326">
        <f>VLOOKUP(TEXT($A13,0),[1]BankRecData!$B$1:$O$5542,8,0)</f>
        <v>400</v>
      </c>
      <c r="E13" s="326">
        <f>VLOOKUP(TEXT($A13,0),[2]BankRecData!$B$1:$O$5542,8,0)</f>
        <v>400</v>
      </c>
      <c r="F13" s="326">
        <f>VLOOKUP(TEXT($A13,0),[3]BankRecData!$B$1:$O$5542,8,0)</f>
        <v>400</v>
      </c>
      <c r="G13" s="326">
        <f>VLOOKUP(TEXT($A13,0),[4]BankRecData!$B$1:$O$5542,8,0)</f>
        <v>400</v>
      </c>
      <c r="H13" s="326">
        <f>VLOOKUP(TEXT($A13,0),[5]BankRecData!$B$1:$O$5542,8,0)</f>
        <v>400</v>
      </c>
      <c r="I13" s="326">
        <f>VLOOKUP(TEXT($A13,0),[6]BankRecData!$B$1:$O$5542,8,0)</f>
        <v>400</v>
      </c>
      <c r="J13" s="326">
        <f>VLOOKUP(TEXT($A13,0),[7]BankRecData!$B$1:$O$5542,8,0)</f>
        <v>400</v>
      </c>
      <c r="K13" s="326">
        <f>VLOOKUP(TEXT($A13,0),[8]BankRecData!$B$1:$O$5542,8,0)</f>
        <v>400</v>
      </c>
      <c r="L13" s="326">
        <f>VLOOKUP(TEXT($A13,0),[9]BankRecData!$B$1:$O$5542,8,0)</f>
        <v>400</v>
      </c>
      <c r="M13" s="326">
        <f>VLOOKUP(TEXT($A13,0),[10]BankRecData!$B$1:$O$5542,8,0)</f>
        <v>400</v>
      </c>
    </row>
    <row r="14" spans="1:13" ht="13.5" thickTop="1" x14ac:dyDescent="0.2">
      <c r="A14" s="272">
        <v>4101</v>
      </c>
      <c r="B14" s="273">
        <v>4101</v>
      </c>
      <c r="C14" s="274" t="s">
        <v>128</v>
      </c>
      <c r="D14" s="323">
        <f>VLOOKUP(TEXT($A14,0),[1]BankRecData!$B$1:$O$5542,8,0)</f>
        <v>400</v>
      </c>
      <c r="E14" s="323">
        <f>VLOOKUP(TEXT($A14,0),[2]BankRecData!$B$1:$O$5542,8,0)</f>
        <v>400</v>
      </c>
      <c r="F14" s="323">
        <f>VLOOKUP(TEXT($A14,0),[3]BankRecData!$B$1:$O$5542,8,0)</f>
        <v>400</v>
      </c>
      <c r="G14" s="323">
        <f>VLOOKUP(TEXT($A14,0),[4]BankRecData!$B$1:$O$5542,8,0)</f>
        <v>400</v>
      </c>
      <c r="H14" s="323">
        <f>VLOOKUP(TEXT($A14,0),[5]BankRecData!$B$1:$O$5542,8,0)</f>
        <v>400</v>
      </c>
      <c r="I14" s="323">
        <f>VLOOKUP(TEXT($A14,0),[6]BankRecData!$B$1:$O$5542,8,0)</f>
        <v>400</v>
      </c>
      <c r="J14" s="323">
        <f>VLOOKUP(TEXT($A14,0),[7]BankRecData!$B$1:$O$5542,8,0)</f>
        <v>400</v>
      </c>
      <c r="K14" s="323">
        <f>VLOOKUP(TEXT($A14,0),[8]BankRecData!$B$1:$O$5542,8,0)</f>
        <v>400</v>
      </c>
      <c r="L14" s="323">
        <f>VLOOKUP(TEXT($A14,0),[9]BankRecData!$B$1:$O$5542,8,0)</f>
        <v>400</v>
      </c>
      <c r="M14" s="323">
        <f>VLOOKUP(TEXT($A14,0),[10]BankRecData!$B$1:$O$5542,8,0)</f>
        <v>400</v>
      </c>
    </row>
    <row r="15" spans="1:13" x14ac:dyDescent="0.2">
      <c r="A15" s="83">
        <v>4102</v>
      </c>
      <c r="B15" s="88">
        <v>4102</v>
      </c>
      <c r="C15" s="55" t="s">
        <v>129</v>
      </c>
      <c r="D15" s="321">
        <f>VLOOKUP(TEXT($A15,0),[1]BankRecData!$B$1:$O$5542,8,0)</f>
        <v>400</v>
      </c>
      <c r="E15" s="321">
        <f>VLOOKUP(TEXT($A15,0),[2]BankRecData!$B$1:$O$5542,8,0)</f>
        <v>400</v>
      </c>
      <c r="F15" s="321">
        <f>VLOOKUP(TEXT($A15,0),[3]BankRecData!$B$1:$O$5542,8,0)</f>
        <v>400</v>
      </c>
      <c r="G15" s="321">
        <f>VLOOKUP(TEXT($A15,0),[4]BankRecData!$B$1:$O$5542,8,0)</f>
        <v>800</v>
      </c>
      <c r="H15" s="321">
        <f>VLOOKUP(TEXT($A15,0),[5]BankRecData!$B$1:$O$5542,8,0)</f>
        <v>400</v>
      </c>
      <c r="I15" s="321">
        <f>VLOOKUP(TEXT($A15,0),[6]BankRecData!$B$1:$O$5542,8,0)</f>
        <v>400</v>
      </c>
      <c r="J15" s="321">
        <f>VLOOKUP(TEXT($A15,0),[7]BankRecData!$B$1:$O$5542,8,0)</f>
        <v>400</v>
      </c>
      <c r="K15" s="321">
        <f>VLOOKUP(TEXT($A15,0),[8]BankRecData!$B$1:$O$5542,8,0)</f>
        <v>400</v>
      </c>
      <c r="L15" s="321">
        <f>VLOOKUP(TEXT($A15,0),[9]BankRecData!$B$1:$O$5542,8,0)</f>
        <v>400</v>
      </c>
      <c r="M15" s="321">
        <f>VLOOKUP(TEXT($A15,0),[10]BankRecData!$B$1:$O$5542,8,0)</f>
        <v>400</v>
      </c>
    </row>
    <row r="16" spans="1:13" x14ac:dyDescent="0.2">
      <c r="A16" s="83">
        <v>4104</v>
      </c>
      <c r="B16" s="88">
        <v>4104</v>
      </c>
      <c r="C16" s="55" t="s">
        <v>134</v>
      </c>
      <c r="D16" s="321">
        <f>VLOOKUP(TEXT($A16,0),[1]BankRecData!$B$1:$O$5542,8,0)</f>
        <v>400</v>
      </c>
      <c r="E16" s="321">
        <f>VLOOKUP(TEXT($A16,0),[2]BankRecData!$B$1:$O$5542,8,0)</f>
        <v>400</v>
      </c>
      <c r="F16" s="321">
        <f>VLOOKUP(TEXT($A16,0),[3]BankRecData!$B$1:$O$5542,8,0)</f>
        <v>400</v>
      </c>
      <c r="G16" s="321">
        <f>VLOOKUP(TEXT($A16,0),[4]BankRecData!$B$1:$O$5542,8,0)</f>
        <v>400</v>
      </c>
      <c r="H16" s="321">
        <f>VLOOKUP(TEXT($A16,0),[5]BankRecData!$B$1:$O$5542,8,0)</f>
        <v>0</v>
      </c>
      <c r="I16" s="321">
        <f>VLOOKUP(TEXT($A16,0),[6]BankRecData!$B$1:$O$5542,8,0)</f>
        <v>0</v>
      </c>
      <c r="J16" s="321">
        <f>VLOOKUP(TEXT($A16,0),[7]BankRecData!$B$1:$O$5542,8,0)</f>
        <v>400</v>
      </c>
      <c r="K16" s="321">
        <f>VLOOKUP(TEXT($A16,0),[8]BankRecData!$B$1:$O$5542,8,0)</f>
        <v>400</v>
      </c>
      <c r="L16" s="321">
        <f>VLOOKUP(TEXT($A16,0),[9]BankRecData!$B$1:$O$5542,8,0)</f>
        <v>400</v>
      </c>
      <c r="M16" s="321">
        <f>VLOOKUP(TEXT($A16,0),[10]BankRecData!$B$1:$O$5542,8,0)</f>
        <v>400</v>
      </c>
    </row>
    <row r="17" spans="1:13" x14ac:dyDescent="0.2">
      <c r="A17" s="83">
        <v>4106</v>
      </c>
      <c r="B17" s="88">
        <v>4106</v>
      </c>
      <c r="C17" s="55" t="s">
        <v>135</v>
      </c>
      <c r="D17" s="321">
        <f>VLOOKUP(TEXT($A17,0),[1]BankRecData!$B$1:$O$5542,8,0)</f>
        <v>400</v>
      </c>
      <c r="E17" s="321">
        <f>VLOOKUP(TEXT($A17,0),[2]BankRecData!$B$1:$O$5542,8,0)</f>
        <v>400</v>
      </c>
      <c r="F17" s="321">
        <f>VLOOKUP(TEXT($A17,0),[3]BankRecData!$B$1:$O$5542,8,0)</f>
        <v>400</v>
      </c>
      <c r="G17" s="321">
        <f>VLOOKUP(TEXT($A17,0),[4]BankRecData!$B$1:$O$5542,8,0)</f>
        <v>400</v>
      </c>
      <c r="H17" s="321">
        <f>VLOOKUP(TEXT($A17,0),[5]BankRecData!$B$1:$O$5542,8,0)</f>
        <v>400</v>
      </c>
      <c r="I17" s="321">
        <f>VLOOKUP(TEXT($A17,0),[6]BankRecData!$B$1:$O$5542,8,0)</f>
        <v>400</v>
      </c>
      <c r="J17" s="321">
        <f>VLOOKUP(TEXT($A17,0),[7]BankRecData!$B$1:$O$5542,8,0)</f>
        <v>400</v>
      </c>
      <c r="K17" s="321">
        <f>VLOOKUP(TEXT($A17,0),[8]BankRecData!$B$1:$O$5542,8,0)</f>
        <v>400</v>
      </c>
      <c r="L17" s="321">
        <f>VLOOKUP(TEXT($A17,0),[9]BankRecData!$B$1:$O$5542,8,0)</f>
        <v>400</v>
      </c>
      <c r="M17" s="321">
        <f>VLOOKUP(TEXT($A17,0),[10]BankRecData!$B$1:$O$5542,8,0)</f>
        <v>400</v>
      </c>
    </row>
    <row r="18" spans="1:13" x14ac:dyDescent="0.2">
      <c r="A18" s="83">
        <v>4107</v>
      </c>
      <c r="B18" s="88">
        <v>4107</v>
      </c>
      <c r="C18" s="55" t="s">
        <v>139</v>
      </c>
      <c r="D18" s="321">
        <f>VLOOKUP(TEXT($A18,0),[1]BankRecData!$B$1:$O$5542,8,0)</f>
        <v>400</v>
      </c>
      <c r="E18" s="321">
        <f>VLOOKUP(TEXT($A18,0),[2]BankRecData!$B$1:$O$5542,8,0)</f>
        <v>800</v>
      </c>
      <c r="F18" s="321">
        <f>VLOOKUP(TEXT($A18,0),[3]BankRecData!$B$1:$O$5542,8,0)</f>
        <v>400</v>
      </c>
      <c r="G18" s="321">
        <f>VLOOKUP(TEXT($A18,0),[4]BankRecData!$B$1:$O$5542,8,0)</f>
        <v>400</v>
      </c>
      <c r="H18" s="321">
        <f>VLOOKUP(TEXT($A18,0),[5]BankRecData!$B$1:$O$5542,8,0)</f>
        <v>400</v>
      </c>
      <c r="I18" s="321">
        <f>VLOOKUP(TEXT($A18,0),[6]BankRecData!$B$1:$O$5542,8,0)</f>
        <v>400</v>
      </c>
      <c r="J18" s="321">
        <f>VLOOKUP(TEXT($A18,0),[7]BankRecData!$B$1:$O$5542,8,0)</f>
        <v>400</v>
      </c>
      <c r="K18" s="321">
        <f>VLOOKUP(TEXT($A18,0),[8]BankRecData!$B$1:$O$5542,8,0)</f>
        <v>400</v>
      </c>
      <c r="L18" s="321">
        <f>VLOOKUP(TEXT($A18,0),[9]BankRecData!$B$1:$O$5542,8,0)</f>
        <v>400</v>
      </c>
      <c r="M18" s="321">
        <f>VLOOKUP(TEXT($A18,0),[10]BankRecData!$B$1:$O$5542,8,0)</f>
        <v>400</v>
      </c>
    </row>
    <row r="19" spans="1:13" x14ac:dyDescent="0.2">
      <c r="A19" s="83">
        <v>4108</v>
      </c>
      <c r="B19" s="88">
        <v>4108</v>
      </c>
      <c r="C19" s="55" t="s">
        <v>140</v>
      </c>
      <c r="D19" s="321">
        <f>VLOOKUP(TEXT($A19,0),[1]BankRecData!$B$1:$O$5542,8,0)</f>
        <v>400</v>
      </c>
      <c r="E19" s="321">
        <f>VLOOKUP(TEXT($A19,0),[2]BankRecData!$B$1:$O$5542,8,0)</f>
        <v>400</v>
      </c>
      <c r="F19" s="321">
        <f>VLOOKUP(TEXT($A19,0),[3]BankRecData!$B$1:$O$5542,8,0)</f>
        <v>800</v>
      </c>
      <c r="G19" s="321">
        <f>VLOOKUP(TEXT($A19,0),[4]BankRecData!$B$1:$O$5542,8,0)</f>
        <v>400</v>
      </c>
      <c r="H19" s="321">
        <f>VLOOKUP(TEXT($A19,0),[5]BankRecData!$B$1:$O$5542,8,0)</f>
        <v>400</v>
      </c>
      <c r="I19" s="321">
        <f>VLOOKUP(TEXT($A19,0),[6]BankRecData!$B$1:$O$5542,8,0)</f>
        <v>400</v>
      </c>
      <c r="J19" s="321">
        <f>VLOOKUP(TEXT($A19,0),[7]BankRecData!$B$1:$O$5542,8,0)</f>
        <v>400</v>
      </c>
      <c r="K19" s="321">
        <f>VLOOKUP(TEXT($A19,0),[8]BankRecData!$B$1:$O$5542,8,0)</f>
        <v>400</v>
      </c>
      <c r="L19" s="321">
        <f>VLOOKUP(TEXT($A19,0),[9]BankRecData!$B$1:$O$5542,8,0)</f>
        <v>400</v>
      </c>
      <c r="M19" s="321">
        <f>VLOOKUP(TEXT($A19,0),[10]BankRecData!$B$1:$O$5542,8,0)</f>
        <v>400</v>
      </c>
    </row>
    <row r="20" spans="1:13" x14ac:dyDescent="0.2">
      <c r="A20" s="83">
        <v>4109</v>
      </c>
      <c r="B20" s="88">
        <v>4109</v>
      </c>
      <c r="C20" s="55" t="s">
        <v>138</v>
      </c>
      <c r="D20" s="321">
        <f>VLOOKUP(TEXT($A20,0),[1]BankRecData!$B$1:$O$5542,8,0)</f>
        <v>400</v>
      </c>
      <c r="E20" s="321">
        <f>VLOOKUP(TEXT($A20,0),[2]BankRecData!$B$1:$O$5542,8,0)</f>
        <v>400</v>
      </c>
      <c r="F20" s="321">
        <f>VLOOKUP(TEXT($A20,0),[3]BankRecData!$B$1:$O$5542,8,0)</f>
        <v>400</v>
      </c>
      <c r="G20" s="321">
        <f>VLOOKUP(TEXT($A20,0),[4]BankRecData!$B$1:$O$5542,8,0)</f>
        <v>400</v>
      </c>
      <c r="H20" s="321">
        <f>VLOOKUP(TEXT($A20,0),[5]BankRecData!$B$1:$O$5542,8,0)</f>
        <v>400</v>
      </c>
      <c r="I20" s="321">
        <f>VLOOKUP(TEXT($A20,0),[6]BankRecData!$B$1:$O$5542,8,0)</f>
        <v>400</v>
      </c>
      <c r="J20" s="321">
        <f>VLOOKUP(TEXT($A20,0),[7]BankRecData!$B$1:$O$5542,8,0)</f>
        <v>400</v>
      </c>
      <c r="K20" s="321">
        <f>VLOOKUP(TEXT($A20,0),[8]BankRecData!$B$1:$O$5542,8,0)</f>
        <v>400</v>
      </c>
      <c r="L20" s="321">
        <f>VLOOKUP(TEXT($A20,0),[9]BankRecData!$B$1:$O$5542,8,0)</f>
        <v>400</v>
      </c>
      <c r="M20" s="321">
        <f>VLOOKUP(TEXT($A20,0),[10]BankRecData!$B$1:$O$5542,8,0)</f>
        <v>400</v>
      </c>
    </row>
    <row r="21" spans="1:13" ht="14.25" customHeight="1" x14ac:dyDescent="0.2">
      <c r="A21" s="83">
        <v>4110</v>
      </c>
      <c r="B21" s="88">
        <v>4110</v>
      </c>
      <c r="C21" s="55" t="s">
        <v>137</v>
      </c>
      <c r="D21" s="321">
        <f>VLOOKUP(TEXT($A21,0),[1]BankRecData!$B$1:$O$5542,8,0)</f>
        <v>400</v>
      </c>
      <c r="E21" s="321">
        <f>VLOOKUP(TEXT($A21,0),[2]BankRecData!$B$1:$O$5542,8,0)</f>
        <v>400</v>
      </c>
      <c r="F21" s="321">
        <f>VLOOKUP(TEXT($A21,0),[3]BankRecData!$B$1:$O$5542,8,0)</f>
        <v>400</v>
      </c>
      <c r="G21" s="321">
        <f>VLOOKUP(TEXT($A21,0),[4]BankRecData!$B$1:$O$5542,8,0)</f>
        <v>400</v>
      </c>
      <c r="H21" s="321">
        <f>VLOOKUP(TEXT($A21,0),[5]BankRecData!$B$1:$O$5542,8,0)</f>
        <v>400</v>
      </c>
      <c r="I21" s="321">
        <f>VLOOKUP(TEXT($A21,0),[6]BankRecData!$B$1:$O$5542,8,0)</f>
        <v>400</v>
      </c>
      <c r="J21" s="321">
        <f>VLOOKUP(TEXT($A21,0),[7]BankRecData!$B$1:$O$5542,8,0)</f>
        <v>400</v>
      </c>
      <c r="K21" s="321">
        <f>VLOOKUP(TEXT($A21,0),[8]BankRecData!$B$1:$O$5542,8,0)</f>
        <v>400</v>
      </c>
      <c r="L21" s="321">
        <f>VLOOKUP(TEXT($A21,0),[9]BankRecData!$B$1:$O$5542,8,0)</f>
        <v>400</v>
      </c>
      <c r="M21" s="321">
        <f>VLOOKUP(TEXT($A21,0),[10]BankRecData!$B$1:$O$5542,8,0)</f>
        <v>400</v>
      </c>
    </row>
    <row r="22" spans="1:13" ht="13.5" customHeight="1" x14ac:dyDescent="0.2">
      <c r="A22" s="75">
        <v>4170</v>
      </c>
      <c r="B22" s="88">
        <v>170</v>
      </c>
      <c r="C22" s="59" t="s">
        <v>64</v>
      </c>
      <c r="D22" s="350"/>
      <c r="E22" s="351"/>
      <c r="F22" s="351"/>
      <c r="G22" s="351"/>
      <c r="H22" s="351"/>
      <c r="I22" s="351"/>
      <c r="J22" s="351"/>
      <c r="K22" s="351"/>
      <c r="L22" s="351"/>
      <c r="M22" s="351"/>
    </row>
    <row r="23" spans="1:13" ht="13.5" thickBot="1" x14ac:dyDescent="0.25">
      <c r="A23" s="279">
        <v>4770</v>
      </c>
      <c r="B23" s="280">
        <v>770</v>
      </c>
      <c r="C23" s="281" t="s">
        <v>1</v>
      </c>
      <c r="D23" s="327">
        <f>VLOOKUP(TEXT($A23,0),[1]BankRecData!$B$1:$O$5542,8,0)</f>
        <v>400</v>
      </c>
      <c r="E23" s="327">
        <f>VLOOKUP(TEXT($A23,0),[2]BankRecData!$B$1:$O$5542,8,0)</f>
        <v>800</v>
      </c>
      <c r="F23" s="327">
        <f>VLOOKUP(TEXT($A23,0),[3]BankRecData!$B$1:$O$5542,8,0)</f>
        <v>400</v>
      </c>
      <c r="G23" s="327">
        <f>VLOOKUP(TEXT($A23,0),[4]BankRecData!$B$1:$O$5542,8,0)</f>
        <v>400</v>
      </c>
      <c r="H23" s="327">
        <f>VLOOKUP(TEXT($A23,0),[5]BankRecData!$B$1:$O$5542,8,0)</f>
        <v>400</v>
      </c>
      <c r="I23" s="327">
        <f>VLOOKUP(TEXT($A23,0),[6]BankRecData!$B$1:$O$5542,8,0)</f>
        <v>400</v>
      </c>
      <c r="J23" s="327">
        <f>VLOOKUP(TEXT($A23,0),[7]BankRecData!$B$1:$O$5542,8,0)</f>
        <v>400</v>
      </c>
      <c r="K23" s="327">
        <f>VLOOKUP(TEXT($A23,0),[8]BankRecData!$B$1:$O$5542,8,0)</f>
        <v>400</v>
      </c>
      <c r="L23" s="327">
        <f>VLOOKUP(TEXT($A23,0),[9]BankRecData!$B$1:$O$5542,8,0)</f>
        <v>400</v>
      </c>
      <c r="M23" s="327">
        <f>VLOOKUP(TEXT($A23,0),[10]BankRecData!$B$1:$O$5542,8,0)</f>
        <v>400</v>
      </c>
    </row>
    <row r="24" spans="1:13" ht="13.5" customHeight="1" thickTop="1" x14ac:dyDescent="0.2">
      <c r="A24" s="268">
        <v>6087</v>
      </c>
      <c r="B24" s="269">
        <v>87</v>
      </c>
      <c r="C24" s="270" t="s">
        <v>67</v>
      </c>
      <c r="D24" s="328">
        <f>VLOOKUP(TEXT($A24,0),[1]BankRecData!$B$1:$O$5542,8,0)</f>
        <v>400</v>
      </c>
      <c r="E24" s="328">
        <f>VLOOKUP(TEXT($A24,0),[2]BankRecData!$B$1:$O$5542,8,0)</f>
        <v>400</v>
      </c>
      <c r="F24" s="328">
        <f>VLOOKUP(TEXT($A24,0),[3]BankRecData!$B$1:$O$5542,8,0)</f>
        <v>400</v>
      </c>
      <c r="G24" s="328">
        <f>VLOOKUP(TEXT($A24,0),[4]BankRecData!$B$1:$O$5542,8,0)</f>
        <v>400</v>
      </c>
      <c r="H24" s="328">
        <f>VLOOKUP(TEXT($A24,0),[5]BankRecData!$B$1:$O$5542,8,0)</f>
        <v>400</v>
      </c>
      <c r="I24" s="328">
        <f>VLOOKUP(TEXT($A24,0),[6]BankRecData!$B$1:$O$5542,8,0)</f>
        <v>0</v>
      </c>
      <c r="J24" s="328">
        <f>VLOOKUP(TEXT($A24,0),[7]BankRecData!$B$1:$O$5542,8,0)</f>
        <v>800</v>
      </c>
      <c r="K24" s="328">
        <f>VLOOKUP(TEXT($A24,0),[8]BankRecData!$B$1:$O$5542,8,0)</f>
        <v>0</v>
      </c>
      <c r="L24" s="328">
        <f>VLOOKUP(TEXT($A24,0),[9]BankRecData!$B$1:$O$5542,8,0)</f>
        <v>400</v>
      </c>
      <c r="M24" s="328">
        <f>VLOOKUP(TEXT($A24,0),[10]BankRecData!$B$1:$O$5542,8,0)</f>
        <v>400</v>
      </c>
    </row>
    <row r="25" spans="1:13" ht="13.5" thickBot="1" x14ac:dyDescent="0.25">
      <c r="A25" s="261">
        <v>6176</v>
      </c>
      <c r="B25" s="262">
        <v>6176</v>
      </c>
      <c r="C25" s="263" t="s">
        <v>24</v>
      </c>
      <c r="D25" s="322">
        <f>VLOOKUP(TEXT($A25,0),[1]BankRecData!$B$1:$O$5542,8,0)</f>
        <v>400</v>
      </c>
      <c r="E25" s="322">
        <f>VLOOKUP(TEXT($A25,0),[2]BankRecData!$B$1:$O$5542,8,0)</f>
        <v>400</v>
      </c>
      <c r="F25" s="322">
        <f>VLOOKUP(TEXT($A25,0),[3]BankRecData!$B$1:$O$5542,8,0)</f>
        <v>400</v>
      </c>
      <c r="G25" s="322">
        <f>VLOOKUP(TEXT($A25,0),[4]BankRecData!$B$1:$O$5542,8,0)</f>
        <v>400</v>
      </c>
      <c r="H25" s="322">
        <f>VLOOKUP(TEXT($A25,0),[5]BankRecData!$B$1:$O$5542,8,0)</f>
        <v>400</v>
      </c>
      <c r="I25" s="322">
        <f>VLOOKUP(TEXT($A25,0),[6]BankRecData!$B$1:$O$5542,8,0)</f>
        <v>400</v>
      </c>
      <c r="J25" s="322">
        <f>VLOOKUP(TEXT($A25,0),[7]BankRecData!$B$1:$O$5542,8,0)</f>
        <v>400</v>
      </c>
      <c r="K25" s="322">
        <f>VLOOKUP(TEXT($A25,0),[8]BankRecData!$B$1:$O$5542,8,0)</f>
        <v>400</v>
      </c>
      <c r="L25" s="322">
        <f>VLOOKUP(TEXT($A25,0),[9]BankRecData!$B$1:$O$5542,8,0)</f>
        <v>400</v>
      </c>
      <c r="M25" s="322">
        <f>VLOOKUP(TEXT($A25,0),[10]BankRecData!$B$1:$O$5542,8,0)</f>
        <v>400</v>
      </c>
    </row>
    <row r="26" spans="1:13" ht="13.5" thickTop="1" x14ac:dyDescent="0.2">
      <c r="A26" s="286">
        <v>7641</v>
      </c>
      <c r="B26" s="273">
        <v>64</v>
      </c>
      <c r="C26" s="274" t="s">
        <v>7</v>
      </c>
      <c r="D26" s="323">
        <f>VLOOKUP(TEXT($A26,0),[1]BankRecData!$B$1:$O$5542,8,0)</f>
        <v>200</v>
      </c>
      <c r="E26" s="323">
        <f>VLOOKUP(TEXT($A26,0),[2]BankRecData!$B$1:$O$5542,8,0)</f>
        <v>1000</v>
      </c>
      <c r="F26" s="323">
        <f>VLOOKUP(TEXT($A26,0),[3]BankRecData!$B$1:$O$5542,8,0)</f>
        <v>400</v>
      </c>
      <c r="G26" s="323">
        <f>VLOOKUP(TEXT($A26,0),[4]BankRecData!$B$1:$O$5542,8,0)</f>
        <v>400</v>
      </c>
      <c r="H26" s="323">
        <f>VLOOKUP(TEXT($A26,0),[5]BankRecData!$B$1:$O$5542,8,0)</f>
        <v>400</v>
      </c>
      <c r="I26" s="323">
        <f>VLOOKUP(TEXT($A26,0),[6]BankRecData!$B$1:$O$5542,8,0)</f>
        <v>400</v>
      </c>
      <c r="J26" s="323">
        <f>VLOOKUP(TEXT($A26,0),[7]BankRecData!$B$1:$O$5542,8,0)</f>
        <v>400</v>
      </c>
      <c r="K26" s="323">
        <f>VLOOKUP(TEXT($A26,0),[8]BankRecData!$B$1:$O$5542,8,0)</f>
        <v>400</v>
      </c>
      <c r="L26" s="323">
        <f>VLOOKUP(TEXT($A26,0),[9]BankRecData!$B$1:$O$5542,8,0)</f>
        <v>400</v>
      </c>
      <c r="M26" s="323">
        <f>VLOOKUP(TEXT($A26,0),[10]BankRecData!$B$1:$O$5542,8,0)</f>
        <v>400</v>
      </c>
    </row>
    <row r="27" spans="1:13" x14ac:dyDescent="0.2">
      <c r="A27" s="255">
        <v>7078</v>
      </c>
      <c r="B27" s="88">
        <v>78</v>
      </c>
      <c r="C27" s="55" t="s">
        <v>10</v>
      </c>
      <c r="D27" s="321">
        <f>VLOOKUP(TEXT($A27,0),[1]BankRecData!$B$1:$O$5542,8,0)</f>
        <v>200</v>
      </c>
      <c r="E27" s="321">
        <f>VLOOKUP(TEXT($A27,0),[2]BankRecData!$B$1:$O$5542,8,0)</f>
        <v>600</v>
      </c>
      <c r="F27" s="321">
        <f>VLOOKUP(TEXT($A27,0),[3]BankRecData!$B$1:$O$5542,8,0)</f>
        <v>400</v>
      </c>
      <c r="G27" s="321">
        <f>VLOOKUP(TEXT($A27,0),[4]BankRecData!$B$1:$O$5542,8,0)</f>
        <v>400</v>
      </c>
      <c r="H27" s="321">
        <f>VLOOKUP(TEXT($A27,0),[5]BankRecData!$B$1:$O$5542,8,0)</f>
        <v>400</v>
      </c>
      <c r="I27" s="321">
        <f>VLOOKUP(TEXT($A27,0),[6]BankRecData!$B$1:$O$5542,8,0)</f>
        <v>400</v>
      </c>
      <c r="J27" s="321">
        <f>VLOOKUP(TEXT($A27,0),[7]BankRecData!$B$1:$O$5542,8,0)</f>
        <v>800</v>
      </c>
      <c r="K27" s="321">
        <f>VLOOKUP(TEXT($A27,0),[8]BankRecData!$B$1:$O$5542,8,0)</f>
        <v>400</v>
      </c>
      <c r="L27" s="321">
        <f>VLOOKUP(TEXT($A27,0),[9]BankRecData!$B$1:$O$5542,8,0)</f>
        <v>400</v>
      </c>
      <c r="M27" s="321">
        <f>VLOOKUP(TEXT($A27,0),[10]BankRecData!$B$1:$O$5542,8,0)</f>
        <v>400</v>
      </c>
    </row>
    <row r="28" spans="1:13" ht="13.5" thickBot="1" x14ac:dyDescent="0.25">
      <c r="A28" s="279">
        <v>7079</v>
      </c>
      <c r="B28" s="280">
        <v>79</v>
      </c>
      <c r="C28" s="281" t="s">
        <v>11</v>
      </c>
      <c r="D28" s="327">
        <f>VLOOKUP(TEXT($A28,0),[1]BankRecData!$B$1:$O$5542,8,0)</f>
        <v>200</v>
      </c>
      <c r="E28" s="327">
        <f>VLOOKUP(TEXT($A28,0),[2]BankRecData!$B$1:$O$5542,8,0)</f>
        <v>200</v>
      </c>
      <c r="F28" s="327">
        <f>VLOOKUP(TEXT($A28,0),[3]BankRecData!$B$1:$O$5542,8,0)</f>
        <v>400</v>
      </c>
      <c r="G28" s="327">
        <f>VLOOKUP(TEXT($A28,0),[4]BankRecData!$B$1:$O$5542,8,0)</f>
        <v>400</v>
      </c>
      <c r="H28" s="327">
        <f>VLOOKUP(TEXT($A28,0),[5]BankRecData!$B$1:$O$5542,8,0)</f>
        <v>400</v>
      </c>
      <c r="I28" s="327">
        <f>VLOOKUP(TEXT($A28,0),[6]BankRecData!$B$1:$O$5542,8,0)</f>
        <v>400</v>
      </c>
      <c r="J28" s="327">
        <f>VLOOKUP(TEXT($A28,0),[7]BankRecData!$B$1:$O$5542,8,0)</f>
        <v>400</v>
      </c>
      <c r="K28" s="327">
        <f>VLOOKUP(TEXT($A28,0),[8]BankRecData!$B$1:$O$5542,8,0)</f>
        <v>400</v>
      </c>
      <c r="L28" s="327">
        <f>VLOOKUP(TEXT($A28,0),[9]BankRecData!$B$1:$O$5542,8,0)</f>
        <v>400</v>
      </c>
      <c r="M28" s="327">
        <f>VLOOKUP(TEXT($A28,0),[10]BankRecData!$B$1:$O$5542,8,0)</f>
        <v>400</v>
      </c>
    </row>
    <row r="29" spans="1:13" ht="14.25" thickTop="1" thickBot="1" x14ac:dyDescent="0.25">
      <c r="A29" s="287">
        <v>8305</v>
      </c>
      <c r="B29" s="288">
        <v>30</v>
      </c>
      <c r="C29" s="18" t="s">
        <v>29</v>
      </c>
      <c r="D29" s="326">
        <f>VLOOKUP(TEXT($A29,0),[1]BankRecData!$B$1:$O$5542,8,0)</f>
        <v>400</v>
      </c>
      <c r="E29" s="326">
        <f>VLOOKUP(TEXT($A29,0),[2]BankRecData!$B$1:$O$5542,8,0)</f>
        <v>400</v>
      </c>
      <c r="F29" s="326">
        <f>VLOOKUP(TEXT($A29,0),[3]BankRecData!$B$1:$O$5542,8,0)</f>
        <v>400</v>
      </c>
      <c r="G29" s="326">
        <f>VLOOKUP(TEXT($A29,0),[4]BankRecData!$B$1:$O$5542,8,0)</f>
        <v>400</v>
      </c>
      <c r="H29" s="326">
        <f>VLOOKUP(TEXT($A29,0),[5]BankRecData!$B$1:$O$5542,8,0)</f>
        <v>400</v>
      </c>
      <c r="I29" s="326">
        <f>VLOOKUP(TEXT($A29,0),[6]BankRecData!$B$1:$O$5542,8,0)</f>
        <v>400</v>
      </c>
      <c r="J29" s="326">
        <f>VLOOKUP(TEXT($A29,0),[7]BankRecData!$B$1:$O$5542,8,0)</f>
        <v>400</v>
      </c>
      <c r="K29" s="326">
        <f>VLOOKUP(TEXT($A29,0),[8]BankRecData!$B$1:$O$5542,8,0)</f>
        <v>400</v>
      </c>
      <c r="L29" s="326">
        <f>VLOOKUP(TEXT($A29,0),[9]BankRecData!$B$1:$O$5542,8,0)</f>
        <v>400</v>
      </c>
      <c r="M29" s="326">
        <f>VLOOKUP(TEXT($A29,0),[10]BankRecData!$B$1:$O$5542,8,0)</f>
        <v>400</v>
      </c>
    </row>
    <row r="30" spans="1:13" ht="14.25" thickTop="1" thickBot="1" x14ac:dyDescent="0.25">
      <c r="A30" s="295">
        <v>8188</v>
      </c>
      <c r="B30" s="296">
        <v>8188</v>
      </c>
      <c r="C30" s="297" t="s">
        <v>19</v>
      </c>
      <c r="D30" s="325">
        <f>VLOOKUP(TEXT($A30,0),[1]BankRecData!$B$1:$O$5542,8,0)</f>
        <v>200</v>
      </c>
      <c r="E30" s="325">
        <f>VLOOKUP(TEXT($A30,0),[2]BankRecData!$B$1:$O$5542,8,0)</f>
        <v>0</v>
      </c>
      <c r="F30" s="325">
        <f>VLOOKUP(TEXT($A30,0),[3]BankRecData!$B$1:$O$5542,8,0)</f>
        <v>0</v>
      </c>
      <c r="G30" s="325">
        <f>VLOOKUP(TEXT($A30,0),[4]BankRecData!$B$1:$O$5542,8,0)</f>
        <v>0</v>
      </c>
      <c r="H30" s="325">
        <f>VLOOKUP(TEXT($A30,0),[5]BankRecData!$B$1:$O$5542,8,0)</f>
        <v>400</v>
      </c>
      <c r="I30" s="325">
        <f>VLOOKUP(TEXT($A30,0),[6]BankRecData!$B$1:$O$5542,8,0)</f>
        <v>0</v>
      </c>
      <c r="J30" s="325">
        <f>VLOOKUP(TEXT($A30,0),[7]BankRecData!$B$1:$O$5542,8,0)</f>
        <v>0</v>
      </c>
      <c r="K30" s="325">
        <f>VLOOKUP(TEXT($A30,0),[8]BankRecData!$B$1:$O$5542,8,0)</f>
        <v>0</v>
      </c>
      <c r="L30" s="325">
        <f>VLOOKUP(TEXT($A30,0),[9]BankRecData!$B$1:$O$5542,8,0)</f>
        <v>0</v>
      </c>
      <c r="M30" s="325">
        <f>VLOOKUP(TEXT($A30,0),[10]BankRecData!$B$1:$O$5542,8,0)</f>
        <v>0</v>
      </c>
    </row>
    <row r="31" spans="1:13" ht="14.25" thickTop="1" thickBot="1" x14ac:dyDescent="0.25">
      <c r="A31" s="290"/>
      <c r="B31" s="291"/>
      <c r="C31" s="292" t="s">
        <v>13</v>
      </c>
      <c r="D31" s="329">
        <f t="shared" ref="D31:I31" si="0">SUM(D3:D30)</f>
        <v>8000</v>
      </c>
      <c r="E31" s="329">
        <f t="shared" si="0"/>
        <v>10600</v>
      </c>
      <c r="F31" s="329">
        <f t="shared" si="0"/>
        <v>9200</v>
      </c>
      <c r="G31" s="329">
        <f t="shared" si="0"/>
        <v>9600</v>
      </c>
      <c r="H31" s="329">
        <f t="shared" si="0"/>
        <v>8400</v>
      </c>
      <c r="I31" s="329">
        <f t="shared" si="0"/>
        <v>7600</v>
      </c>
      <c r="J31" s="329">
        <f t="shared" ref="J31:K31" si="1">SUM(J3:J30)</f>
        <v>10000</v>
      </c>
      <c r="K31" s="329">
        <f t="shared" si="1"/>
        <v>8400</v>
      </c>
      <c r="L31" s="329">
        <f t="shared" ref="L31:M31" si="2">SUM(L3:L30)</f>
        <v>9200</v>
      </c>
      <c r="M31" s="329">
        <f t="shared" si="2"/>
        <v>9200</v>
      </c>
    </row>
    <row r="32" spans="1:13" x14ac:dyDescent="0.2">
      <c r="A32" s="68"/>
      <c r="B32" s="73" t="s">
        <v>0</v>
      </c>
      <c r="C32" s="17"/>
      <c r="D32" s="330"/>
      <c r="E32" s="330"/>
      <c r="F32" s="330"/>
      <c r="G32" s="330"/>
      <c r="H32" s="330"/>
      <c r="I32" s="330"/>
      <c r="J32" s="330"/>
      <c r="K32" s="330"/>
      <c r="L32" s="330"/>
      <c r="M32" s="330"/>
    </row>
    <row r="33" spans="1:13" x14ac:dyDescent="0.2">
      <c r="A33" s="68"/>
      <c r="B33" s="73"/>
      <c r="C33" s="17"/>
      <c r="D33" s="330"/>
      <c r="E33" s="330"/>
      <c r="F33" s="330"/>
      <c r="G33" s="330"/>
      <c r="H33" s="330"/>
      <c r="I33" s="330"/>
      <c r="J33" s="330"/>
      <c r="K33" s="330"/>
      <c r="L33" s="330"/>
      <c r="M33" s="330"/>
    </row>
    <row r="34" spans="1:13" x14ac:dyDescent="0.2">
      <c r="A34" s="68"/>
      <c r="B34" s="73"/>
      <c r="C34" s="17"/>
      <c r="D34" s="330"/>
      <c r="E34" s="330"/>
      <c r="F34" s="330"/>
      <c r="G34" s="330"/>
      <c r="H34" s="330"/>
      <c r="I34" s="330"/>
      <c r="J34" s="330"/>
      <c r="K34" s="330"/>
      <c r="L34" s="330"/>
      <c r="M34" s="330"/>
    </row>
  </sheetData>
  <autoFilter ref="A1:C31" xr:uid="{00000000-0009-0000-0000-000012000000}"/>
  <conditionalFormatting sqref="D2:D30">
    <cfRule type="containsText" dxfId="316" priority="10" operator="containsText" text="No">
      <formula>NOT(ISERROR(SEARCH("No",D2)))</formula>
    </cfRule>
  </conditionalFormatting>
  <conditionalFormatting sqref="E2:E30">
    <cfRule type="containsText" dxfId="315" priority="9" operator="containsText" text="No">
      <formula>NOT(ISERROR(SEARCH("No",E2)))</formula>
    </cfRule>
  </conditionalFormatting>
  <conditionalFormatting sqref="F2:F30">
    <cfRule type="containsText" dxfId="314" priority="8" operator="containsText" text="No">
      <formula>NOT(ISERROR(SEARCH("No",F2)))</formula>
    </cfRule>
  </conditionalFormatting>
  <conditionalFormatting sqref="G2:G30">
    <cfRule type="containsText" dxfId="313" priority="7" operator="containsText" text="No">
      <formula>NOT(ISERROR(SEARCH("No",G2)))</formula>
    </cfRule>
  </conditionalFormatting>
  <conditionalFormatting sqref="H2:H30">
    <cfRule type="containsText" dxfId="312" priority="6" operator="containsText" text="No">
      <formula>NOT(ISERROR(SEARCH("No",H2)))</formula>
    </cfRule>
  </conditionalFormatting>
  <conditionalFormatting sqref="I2:I30">
    <cfRule type="containsText" dxfId="311" priority="5" operator="containsText" text="No">
      <formula>NOT(ISERROR(SEARCH("No",I2)))</formula>
    </cfRule>
  </conditionalFormatting>
  <conditionalFormatting sqref="J2:J30">
    <cfRule type="containsText" dxfId="310" priority="4" operator="containsText" text="No">
      <formula>NOT(ISERROR(SEARCH("No",J2)))</formula>
    </cfRule>
  </conditionalFormatting>
  <conditionalFormatting sqref="K2:K30">
    <cfRule type="containsText" dxfId="309" priority="3" operator="containsText" text="No">
      <formula>NOT(ISERROR(SEARCH("No",K2)))</formula>
    </cfRule>
  </conditionalFormatting>
  <conditionalFormatting sqref="L2:L30">
    <cfRule type="containsText" dxfId="308" priority="2" operator="containsText" text="No">
      <formula>NOT(ISERROR(SEARCH("No",L2)))</formula>
    </cfRule>
  </conditionalFormatting>
  <conditionalFormatting sqref="M2:M30">
    <cfRule type="containsText" dxfId="307" priority="1" operator="containsText" text="No">
      <formula>NOT(ISERROR(SEARCH("No",M2)))</formula>
    </cfRule>
  </conditionalFormatting>
  <pageMargins left="0.15748031496062992" right="0.15748031496062992" top="0.39370078740157483" bottom="0.39370078740157483" header="0.51181102362204722" footer="0.51181102362204722"/>
  <pageSetup paperSize="8" scale="86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07943-854E-4C6A-87F6-44EDA604F0F3}">
  <sheetPr codeName="Sheet12">
    <tabColor theme="5" tint="0.59999389629810485"/>
    <pageSetUpPr fitToPage="1"/>
  </sheetPr>
  <dimension ref="A1:Q273"/>
  <sheetViews>
    <sheetView showGridLines="0" zoomScale="110" zoomScaleNormal="110" workbookViewId="0">
      <pane xSplit="7" ySplit="1" topLeftCell="H2" activePane="bottomRight" state="frozen"/>
      <selection activeCell="AD218" sqref="AD218"/>
      <selection pane="topRight" activeCell="AD218" sqref="AD218"/>
      <selection pane="bottomLeft" activeCell="AD218" sqref="AD218"/>
      <selection pane="bottomRight" activeCell="L19" sqref="L19"/>
    </sheetView>
  </sheetViews>
  <sheetFormatPr defaultRowHeight="12.75" x14ac:dyDescent="0.2"/>
  <cols>
    <col min="1" max="1" width="12.28515625" customWidth="1"/>
    <col min="2" max="2" width="5.140625" customWidth="1"/>
    <col min="3" max="3" width="5.140625" style="250" customWidth="1"/>
    <col min="4" max="4" width="9.5703125" customWidth="1"/>
    <col min="5" max="5" width="3.85546875" customWidth="1"/>
    <col min="6" max="6" width="4.28515625" customWidth="1"/>
    <col min="7" max="7" width="7.28515625" customWidth="1"/>
    <col min="8" max="17" width="11" bestFit="1" customWidth="1"/>
  </cols>
  <sheetData>
    <row r="1" spans="1:17" ht="15.75" customHeight="1" x14ac:dyDescent="0.2">
      <c r="A1" s="19"/>
      <c r="B1" s="69"/>
      <c r="C1" s="244" t="s">
        <v>18</v>
      </c>
      <c r="D1" s="14" t="s">
        <v>14</v>
      </c>
      <c r="E1" s="33" t="s">
        <v>122</v>
      </c>
      <c r="F1" s="33" t="s">
        <v>61</v>
      </c>
      <c r="G1" s="335">
        <v>44319</v>
      </c>
      <c r="H1" s="112">
        <f t="shared" ref="H1:Q1" si="0">G1+1</f>
        <v>44320</v>
      </c>
      <c r="I1" s="112">
        <f t="shared" si="0"/>
        <v>44321</v>
      </c>
      <c r="J1" s="112">
        <f t="shared" si="0"/>
        <v>44322</v>
      </c>
      <c r="K1" s="112">
        <f t="shared" si="0"/>
        <v>44323</v>
      </c>
      <c r="L1" s="112">
        <f t="shared" si="0"/>
        <v>44324</v>
      </c>
      <c r="M1" s="112">
        <f t="shared" si="0"/>
        <v>44325</v>
      </c>
      <c r="N1" s="112">
        <f t="shared" si="0"/>
        <v>44326</v>
      </c>
      <c r="O1" s="112">
        <f t="shared" si="0"/>
        <v>44327</v>
      </c>
      <c r="P1" s="112">
        <f t="shared" si="0"/>
        <v>44328</v>
      </c>
      <c r="Q1" s="112">
        <f t="shared" si="0"/>
        <v>44329</v>
      </c>
    </row>
    <row r="2" spans="1:17" ht="12.75" customHeight="1" x14ac:dyDescent="0.2">
      <c r="A2" s="38"/>
      <c r="B2" s="70"/>
      <c r="C2" s="245"/>
      <c r="D2" s="40"/>
      <c r="E2" s="41"/>
      <c r="F2" s="41"/>
      <c r="G2" s="42"/>
      <c r="H2" s="115"/>
      <c r="I2" s="115"/>
      <c r="J2" s="115"/>
      <c r="K2" s="115"/>
      <c r="L2" s="115"/>
      <c r="M2" s="115"/>
      <c r="N2" s="115"/>
      <c r="O2" s="115"/>
      <c r="P2" s="115"/>
      <c r="Q2" s="115"/>
    </row>
    <row r="3" spans="1:17" ht="12.75" customHeight="1" x14ac:dyDescent="0.2">
      <c r="A3" s="38"/>
      <c r="B3" s="70"/>
      <c r="C3" s="245"/>
      <c r="D3" s="40"/>
      <c r="E3" s="41"/>
      <c r="F3" s="41"/>
      <c r="G3" s="42"/>
      <c r="H3" s="115"/>
      <c r="I3" s="115"/>
      <c r="J3" s="115"/>
      <c r="K3" s="115"/>
      <c r="L3" s="115"/>
      <c r="M3" s="115"/>
      <c r="N3" s="115"/>
      <c r="O3" s="115"/>
      <c r="P3" s="115"/>
      <c r="Q3" s="115"/>
    </row>
    <row r="4" spans="1:17" ht="12.75" customHeight="1" x14ac:dyDescent="0.2">
      <c r="A4" s="19" t="s">
        <v>38</v>
      </c>
      <c r="B4" s="123">
        <v>2117</v>
      </c>
      <c r="C4" s="246">
        <v>2117</v>
      </c>
      <c r="D4" s="18" t="s">
        <v>131</v>
      </c>
      <c r="E4" s="20"/>
      <c r="F4" s="20"/>
      <c r="G4" s="34"/>
      <c r="H4" s="114">
        <f>VLOOKUP(TEXT($B4,0),[1]BankRecData!$B$1:$O$5542,7,0)-VLOOKUP(TEXT($B4,0),[1]BankRecData!$B$1:$O$5542,8,0)</f>
        <v>299</v>
      </c>
      <c r="I4" s="114">
        <f>VLOOKUP(TEXT($B4,0),[2]BankRecData!$B$1:$O$5542,7,0)-VLOOKUP(TEXT($B4,0),[2]BankRecData!$B$1:$O$5542,8,0)</f>
        <v>0</v>
      </c>
      <c r="J4" s="114">
        <f>VLOOKUP(TEXT($B4,0),[3]BankRecData!$B$1:$O$5542,7,0)-VLOOKUP(TEXT($B4,0),[3]BankRecData!$B$1:$O$5542,8,0)</f>
        <v>0</v>
      </c>
      <c r="K4" s="114">
        <f>VLOOKUP(TEXT($B4,0),[4]BankRecData!$B$1:$O$5542,7,0)-VLOOKUP(TEXT($B4,0),[4]BankRecData!$B$1:$O$5542,8,0)</f>
        <v>0</v>
      </c>
      <c r="L4" s="114">
        <f>VLOOKUP(TEXT($B4,0),[5]BankRecData!$B$1:$O$5542,7,0)-VLOOKUP(TEXT($B4,0),[5]BankRecData!$B$1:$O$5542,8,0)</f>
        <v>0</v>
      </c>
      <c r="M4" s="114">
        <f>VLOOKUP(TEXT($B4,0),[6]BankRecData!$B$1:$O$5542,7,0)-VLOOKUP(TEXT($B4,0),[6]BankRecData!$B$1:$O$5542,8,0)</f>
        <v>0</v>
      </c>
      <c r="N4" s="114">
        <f>VLOOKUP(TEXT($B4,0),[7]BankRecData!$B$1:$O$5542,7,0)-VLOOKUP(TEXT($B4,0),[7]BankRecData!$B$1:$O$5542,8,0)</f>
        <v>0</v>
      </c>
      <c r="O4" s="114">
        <f>VLOOKUP(TEXT($B4,0),[8]BankRecData!$B$1:$O$5542,7,0)-VLOOKUP(TEXT($B4,0),[8]BankRecData!$B$1:$O$5542,8,0)</f>
        <v>0</v>
      </c>
      <c r="P4" s="114">
        <f>VLOOKUP(TEXT($B4,0),[9]BankRecData!$B$1:$O$5542,7,0)-VLOOKUP(TEXT($B4,0),[9]BankRecData!$B$1:$O$5542,8,0)</f>
        <v>0</v>
      </c>
      <c r="Q4" s="114">
        <f>VLOOKUP(TEXT($B4,0),[10]BankRecData!$B$1:$O$5542,7,0)-VLOOKUP(TEXT($B4,0),[10]BankRecData!$B$1:$O$5542,8,0)</f>
        <v>59.399999999999977</v>
      </c>
    </row>
    <row r="5" spans="1:17" ht="12.75" customHeight="1" x14ac:dyDescent="0.2">
      <c r="A5" s="19" t="s">
        <v>40</v>
      </c>
      <c r="B5" s="123">
        <v>2117</v>
      </c>
      <c r="C5" s="246">
        <v>2117</v>
      </c>
      <c r="D5" s="18" t="s">
        <v>131</v>
      </c>
      <c r="E5" s="20"/>
      <c r="F5" s="20"/>
      <c r="G5" s="34"/>
      <c r="H5" s="114">
        <f>VLOOKUP(TEXT($B5,0),[1]BankRecData!$B$1:$O$5542,6,0)</f>
        <v>0</v>
      </c>
      <c r="I5" s="114">
        <f>VLOOKUP(TEXT($B5,0),[2]BankRecData!$B$1:$O$5542,6,0)</f>
        <v>0</v>
      </c>
      <c r="J5" s="114">
        <f>VLOOKUP(TEXT($B5,0),[3]BankRecData!$B$1:$O$5542,6,0)</f>
        <v>0</v>
      </c>
      <c r="K5" s="114">
        <f>VLOOKUP(TEXT($B5,0),[4]BankRecData!$B$1:$O$5542,6,0)</f>
        <v>0</v>
      </c>
      <c r="L5" s="114">
        <f>VLOOKUP(TEXT($B5,0),[5]BankRecData!$B$1:$O$5542,6,0)</f>
        <v>0</v>
      </c>
      <c r="M5" s="114">
        <f>VLOOKUP(TEXT($B5,0),[6]BankRecData!$B$1:$O$5542,6,0)</f>
        <v>0</v>
      </c>
      <c r="N5" s="114">
        <f>VLOOKUP(TEXT($B5,0),[7]BankRecData!$B$1:$O$5542,6,0)</f>
        <v>0</v>
      </c>
      <c r="O5" s="114">
        <f>VLOOKUP(TEXT($B5,0),[8]BankRecData!$B$1:$O$5542,6,0)</f>
        <v>0</v>
      </c>
      <c r="P5" s="114">
        <f>VLOOKUP(TEXT($B5,0),[9]BankRecData!$B$1:$O$5542,6,0)</f>
        <v>0</v>
      </c>
      <c r="Q5" s="114">
        <f>VLOOKUP(TEXT($B5,0),[10]BankRecData!$B$1:$O$5542,6,0)</f>
        <v>0</v>
      </c>
    </row>
    <row r="6" spans="1:17" ht="12.75" customHeight="1" x14ac:dyDescent="0.2">
      <c r="A6" s="19" t="s">
        <v>39</v>
      </c>
      <c r="B6" s="123">
        <v>2117</v>
      </c>
      <c r="C6" s="246">
        <v>2117</v>
      </c>
      <c r="D6" s="18" t="s">
        <v>131</v>
      </c>
      <c r="E6" s="20"/>
      <c r="F6" s="20"/>
      <c r="G6" s="34"/>
      <c r="H6" s="114">
        <f>IFERROR(VLOOKUP($B6&amp;-H$1,FX!$U:$V,2,0),0)</f>
        <v>0</v>
      </c>
      <c r="I6" s="114">
        <f>IFERROR(VLOOKUP($B6&amp;-I$1,FX!$U:$V,2,0),0)</f>
        <v>0</v>
      </c>
      <c r="J6" s="114">
        <f>IFERROR(VLOOKUP($B6&amp;-J$1,FX!$U:$V,2,0),0)</f>
        <v>0</v>
      </c>
      <c r="K6" s="114">
        <f>IFERROR(VLOOKUP($B6&amp;-K$1,FX!$U:$V,2,0),0)</f>
        <v>0</v>
      </c>
      <c r="L6" s="114">
        <f>IFERROR(VLOOKUP($B6&amp;-L$1,FX!$U:$V,2,0),0)</f>
        <v>0</v>
      </c>
      <c r="M6" s="114">
        <f>IFERROR(VLOOKUP($B6&amp;-M$1,FX!$U:$V,2,0),0)</f>
        <v>0</v>
      </c>
      <c r="N6" s="114">
        <f>IFERROR(VLOOKUP($B6&amp;-N$1,FX!$U:$V,2,0),0)</f>
        <v>0</v>
      </c>
      <c r="O6" s="114">
        <f>IFERROR(VLOOKUP($B6&amp;-O$1,FX!$U:$V,2,0),0)</f>
        <v>0</v>
      </c>
      <c r="P6" s="114">
        <f>IFERROR(VLOOKUP($B6&amp;-P$1,FX!$U:$V,2,0),0)</f>
        <v>0</v>
      </c>
      <c r="Q6" s="114">
        <f>IFERROR(VLOOKUP($B6&amp;-Q$1,FX!$U:$V,2,0),0)</f>
        <v>0</v>
      </c>
    </row>
    <row r="7" spans="1:17" ht="12.75" customHeight="1" x14ac:dyDescent="0.2">
      <c r="A7" s="19" t="s">
        <v>34</v>
      </c>
      <c r="B7" s="123">
        <v>2117</v>
      </c>
      <c r="C7" s="246">
        <v>2117</v>
      </c>
      <c r="D7" s="18" t="s">
        <v>131</v>
      </c>
      <c r="E7" s="20"/>
      <c r="F7" s="20"/>
      <c r="G7" s="34"/>
      <c r="H7" s="114">
        <f t="shared" ref="H7:I7" si="1">H6-H5+H4</f>
        <v>299</v>
      </c>
      <c r="I7" s="114">
        <f t="shared" si="1"/>
        <v>0</v>
      </c>
      <c r="J7" s="114">
        <f t="shared" ref="J7:K7" si="2">J6-J5+J4</f>
        <v>0</v>
      </c>
      <c r="K7" s="114">
        <f t="shared" si="2"/>
        <v>0</v>
      </c>
      <c r="L7" s="114">
        <f t="shared" ref="L7:M7" si="3">L6-L5+L4</f>
        <v>0</v>
      </c>
      <c r="M7" s="114">
        <f t="shared" si="3"/>
        <v>0</v>
      </c>
      <c r="N7" s="114">
        <f t="shared" ref="N7:O7" si="4">N6-N5+N4</f>
        <v>0</v>
      </c>
      <c r="O7" s="114">
        <f t="shared" si="4"/>
        <v>0</v>
      </c>
      <c r="P7" s="114">
        <f t="shared" ref="P7:Q7" si="5">P6-P5+P4</f>
        <v>0</v>
      </c>
      <c r="Q7" s="114">
        <f t="shared" si="5"/>
        <v>59.399999999999977</v>
      </c>
    </row>
    <row r="8" spans="1:17" ht="12.75" customHeight="1" x14ac:dyDescent="0.2">
      <c r="A8" s="19" t="s">
        <v>35</v>
      </c>
      <c r="B8" s="123">
        <v>2117</v>
      </c>
      <c r="C8" s="246">
        <v>2117</v>
      </c>
      <c r="D8" s="18" t="s">
        <v>131</v>
      </c>
      <c r="E8" s="20"/>
      <c r="F8" s="35">
        <f>COUNTIF(H8:H8,"=0")</f>
        <v>1</v>
      </c>
      <c r="G8" s="34"/>
      <c r="H8" s="114">
        <f>SUMIF('Bank Deposit List'!$K:$K,$B8&amp;-H$1,'Bank Deposit List'!$L:$L)</f>
        <v>0</v>
      </c>
      <c r="I8" s="114">
        <f>SUMIF('Bank Deposit List'!$K:$K,$B8&amp;-I$1,'Bank Deposit List'!$L:$L)</f>
        <v>0</v>
      </c>
      <c r="J8" s="114">
        <f>SUMIF('Bank Deposit List'!$K:$K,$B8&amp;-J$1,'Bank Deposit List'!$L:$L)</f>
        <v>0</v>
      </c>
      <c r="K8" s="114">
        <f>SUMIF('Bank Deposit List'!$K:$K,$B8&amp;-K$1,'Bank Deposit List'!$L:$L)</f>
        <v>0</v>
      </c>
      <c r="L8" s="114">
        <f>SUMIF('Bank Deposit List'!$K:$K,$B8&amp;-L$1,'Bank Deposit List'!$L:$L)</f>
        <v>0</v>
      </c>
      <c r="M8" s="114">
        <f>SUMIF('Bank Deposit List'!$K:$K,$B8&amp;-M$1,'Bank Deposit List'!$L:$L)</f>
        <v>0</v>
      </c>
      <c r="N8" s="114">
        <f>SUMIF('Bank Deposit List'!$K:$K,$B8&amp;-N$1,'Bank Deposit List'!$L:$L)</f>
        <v>0</v>
      </c>
      <c r="O8" s="114">
        <f>SUMIF('Bank Deposit List'!$K:$K,$B8&amp;-O$1,'Bank Deposit List'!$L:$L)</f>
        <v>0</v>
      </c>
      <c r="P8" s="114">
        <f>SUMIF('Bank Deposit List'!$K:$K,$B8&amp;-P$1,'Bank Deposit List'!$L:$L)</f>
        <v>0</v>
      </c>
      <c r="Q8" s="114">
        <f>SUMIF('Bank Deposit List'!$K:$K,$B8&amp;-Q$1,'Bank Deposit List'!$L:$L)</f>
        <v>0</v>
      </c>
    </row>
    <row r="9" spans="1:17" ht="12.75" customHeight="1" x14ac:dyDescent="0.2">
      <c r="A9" s="19" t="s">
        <v>37</v>
      </c>
      <c r="B9" s="123">
        <v>2117</v>
      </c>
      <c r="C9" s="246">
        <v>2117</v>
      </c>
      <c r="D9" s="18" t="s">
        <v>131</v>
      </c>
      <c r="E9" s="36">
        <f>(COUNT(#REF!)-COUNT(#REF!))</f>
        <v>0</v>
      </c>
      <c r="F9" s="37"/>
      <c r="G9" s="34"/>
      <c r="H9" s="114" t="str">
        <f>IFERROR(VLOOKUP($B9&amp;-H8,'Deposits AU NAB'!$L:$M,2,0),"")</f>
        <v/>
      </c>
      <c r="I9" s="114" t="str">
        <f>IFERROR(VLOOKUP($B9&amp;-I8,'Deposits AU NAB'!$L:$M,2,0),"")</f>
        <v/>
      </c>
      <c r="J9" s="114" t="str">
        <f>IFERROR(VLOOKUP($B9&amp;-J8,'Deposits AU NAB'!$L:$M,2,0),"")</f>
        <v/>
      </c>
      <c r="K9" s="114" t="str">
        <f>IFERROR(VLOOKUP($B9&amp;-K8,'Deposits AU NAB'!$L:$M,2,0),"")</f>
        <v/>
      </c>
      <c r="L9" s="114" t="str">
        <f>IFERROR(VLOOKUP($B9&amp;-L8,'Deposits AU NAB'!$L:$M,2,0),"")</f>
        <v/>
      </c>
      <c r="M9" s="114" t="str">
        <f>IFERROR(VLOOKUP($B9&amp;-M8,'Deposits AU NAB'!$L:$M,2,0),"")</f>
        <v/>
      </c>
      <c r="N9" s="114" t="str">
        <f>IFERROR(VLOOKUP($B9&amp;-N8,'Deposits AU NAB'!$L:$M,2,0),"")</f>
        <v/>
      </c>
      <c r="O9" s="114" t="str">
        <f>IFERROR(VLOOKUP($B9&amp;-O8,'Deposits AU NAB'!$L:$M,2,0),"")</f>
        <v/>
      </c>
      <c r="P9" s="114" t="str">
        <f>IFERROR(VLOOKUP($B9&amp;-P8,'Deposits AU NAB'!$L:$M,2,0),"")</f>
        <v/>
      </c>
      <c r="Q9" s="114" t="str">
        <f>IFERROR(VLOOKUP($B9&amp;-Q8,'Deposits AU NAB'!$L:$M,2,0),"")</f>
        <v/>
      </c>
    </row>
    <row r="10" spans="1:17" ht="12.75" customHeight="1" x14ac:dyDescent="0.2">
      <c r="A10" s="124" t="s">
        <v>110</v>
      </c>
      <c r="B10" s="123">
        <v>2117</v>
      </c>
      <c r="C10" s="246">
        <v>2117</v>
      </c>
      <c r="D10" s="18" t="s">
        <v>131</v>
      </c>
      <c r="E10" s="36"/>
      <c r="F10" s="37"/>
      <c r="G10" s="34">
        <f>SUM(H10:BX10)</f>
        <v>0</v>
      </c>
      <c r="H10" s="114" t="str">
        <f t="shared" ref="H10:I10" si="6">IF(H8=0,"",H8-H7)</f>
        <v/>
      </c>
      <c r="I10" s="114" t="str">
        <f t="shared" si="6"/>
        <v/>
      </c>
      <c r="J10" s="114" t="str">
        <f t="shared" ref="J10:K10" si="7">IF(J8=0,"",J8-J7)</f>
        <v/>
      </c>
      <c r="K10" s="114" t="str">
        <f t="shared" si="7"/>
        <v/>
      </c>
      <c r="L10" s="114" t="str">
        <f t="shared" ref="L10:M10" si="8">IF(L8=0,"",L8-L7)</f>
        <v/>
      </c>
      <c r="M10" s="114" t="str">
        <f t="shared" si="8"/>
        <v/>
      </c>
      <c r="N10" s="114" t="str">
        <f t="shared" ref="N10:O10" si="9">IF(N8=0,"",N8-N7)</f>
        <v/>
      </c>
      <c r="O10" s="114" t="str">
        <f t="shared" si="9"/>
        <v/>
      </c>
      <c r="P10" s="114" t="str">
        <f t="shared" ref="P10:Q10" si="10">IF(P8=0,"",P8-P7)</f>
        <v/>
      </c>
      <c r="Q10" s="114" t="str">
        <f t="shared" si="10"/>
        <v/>
      </c>
    </row>
    <row r="11" spans="1:17" ht="12.75" customHeight="1" x14ac:dyDescent="0.2">
      <c r="A11" s="19" t="s">
        <v>52</v>
      </c>
      <c r="B11" s="123">
        <v>2117</v>
      </c>
      <c r="C11" s="246">
        <v>2117</v>
      </c>
      <c r="D11" s="18" t="s">
        <v>131</v>
      </c>
      <c r="E11" s="20"/>
      <c r="F11" s="20"/>
      <c r="G11" s="34">
        <f>SUM(H11:BX11)</f>
        <v>0</v>
      </c>
      <c r="H11" s="114" t="str">
        <f t="shared" ref="H11:I11" si="11">IFERROR(H9-H8,"")</f>
        <v/>
      </c>
      <c r="I11" s="114" t="str">
        <f t="shared" si="11"/>
        <v/>
      </c>
      <c r="J11" s="114" t="str">
        <f t="shared" ref="J11:K11" si="12">IFERROR(J9-J8,"")</f>
        <v/>
      </c>
      <c r="K11" s="114" t="str">
        <f t="shared" si="12"/>
        <v/>
      </c>
      <c r="L11" s="114" t="str">
        <f t="shared" ref="L11:M11" si="13">IFERROR(L9-L8,"")</f>
        <v/>
      </c>
      <c r="M11" s="114" t="str">
        <f t="shared" si="13"/>
        <v/>
      </c>
      <c r="N11" s="114" t="str">
        <f t="shared" ref="N11:O11" si="14">IFERROR(N9-N8,"")</f>
        <v/>
      </c>
      <c r="O11" s="114" t="str">
        <f t="shared" si="14"/>
        <v/>
      </c>
      <c r="P11" s="114" t="str">
        <f t="shared" ref="P11:Q11" si="15">IFERROR(P9-P8,"")</f>
        <v/>
      </c>
      <c r="Q11" s="114" t="str">
        <f t="shared" si="15"/>
        <v/>
      </c>
    </row>
    <row r="12" spans="1:17" ht="12.75" customHeight="1" x14ac:dyDescent="0.2">
      <c r="A12" s="38"/>
      <c r="B12" s="70"/>
      <c r="C12" s="245"/>
      <c r="D12" s="40"/>
      <c r="E12" s="41"/>
      <c r="F12" s="41"/>
      <c r="G12" s="42"/>
      <c r="H12" s="115"/>
      <c r="I12" s="115"/>
      <c r="J12" s="115"/>
      <c r="K12" s="115"/>
      <c r="L12" s="115"/>
      <c r="M12" s="115"/>
      <c r="N12" s="115"/>
      <c r="O12" s="115"/>
      <c r="P12" s="115"/>
      <c r="Q12" s="115"/>
    </row>
    <row r="13" spans="1:17" ht="12.75" customHeight="1" x14ac:dyDescent="0.2">
      <c r="A13" s="19" t="s">
        <v>38</v>
      </c>
      <c r="B13" s="123">
        <v>2118</v>
      </c>
      <c r="C13" s="246">
        <v>2118</v>
      </c>
      <c r="D13" s="18" t="s">
        <v>127</v>
      </c>
      <c r="E13" s="20"/>
      <c r="F13" s="20"/>
      <c r="G13" s="34"/>
      <c r="H13" s="114">
        <f>VLOOKUP(TEXT($B13,0),[1]BankRecData!$B$1:$O$5542,7,0)-VLOOKUP(TEXT($B13,0),[1]BankRecData!$B$1:$O$5542,8,0)</f>
        <v>0</v>
      </c>
      <c r="I13" s="114">
        <f>VLOOKUP(TEXT($B13,0),[2]BankRecData!$B$1:$O$5542,7,0)-VLOOKUP(TEXT($B13,0),[2]BankRecData!$B$1:$O$5542,8,0)</f>
        <v>72.949999999999989</v>
      </c>
      <c r="J13" s="114">
        <f>VLOOKUP(TEXT($B13,0),[3]BankRecData!$B$1:$O$5542,7,0)-VLOOKUP(TEXT($B13,0),[3]BankRecData!$B$1:$O$5542,8,0)</f>
        <v>49.949999999999989</v>
      </c>
      <c r="K13" s="114">
        <f>VLOOKUP(TEXT($B13,0),[4]BankRecData!$B$1:$O$5542,7,0)-VLOOKUP(TEXT($B13,0),[4]BankRecData!$B$1:$O$5542,8,0)</f>
        <v>47</v>
      </c>
      <c r="L13" s="114">
        <f>VLOOKUP(TEXT($B13,0),[5]BankRecData!$B$1:$O$5542,7,0)-VLOOKUP(TEXT($B13,0),[5]BankRecData!$B$1:$O$5542,8,0)</f>
        <v>26</v>
      </c>
      <c r="M13" s="114">
        <f>VLOOKUP(TEXT($B13,0),[6]BankRecData!$B$1:$O$5542,7,0)-VLOOKUP(TEXT($B13,0),[6]BankRecData!$B$1:$O$5542,8,0)</f>
        <v>241.85000000000002</v>
      </c>
      <c r="N13" s="114">
        <f>VLOOKUP(TEXT($B13,0),[7]BankRecData!$B$1:$O$5542,7,0)-VLOOKUP(TEXT($B13,0),[7]BankRecData!$B$1:$O$5542,8,0)</f>
        <v>143.45000000000005</v>
      </c>
      <c r="O13" s="114">
        <f>VLOOKUP(TEXT($B13,0),[8]BankRecData!$B$1:$O$5542,7,0)-VLOOKUP(TEXT($B13,0),[8]BankRecData!$B$1:$O$5542,8,0)</f>
        <v>0</v>
      </c>
      <c r="P13" s="114">
        <f>VLOOKUP(TEXT($B13,0),[9]BankRecData!$B$1:$O$5542,7,0)-VLOOKUP(TEXT($B13,0),[9]BankRecData!$B$1:$O$5542,8,0)</f>
        <v>57</v>
      </c>
      <c r="Q13" s="114">
        <f>VLOOKUP(TEXT($B13,0),[10]BankRecData!$B$1:$O$5542,7,0)-VLOOKUP(TEXT($B13,0),[10]BankRecData!$B$1:$O$5542,8,0)</f>
        <v>157.39999999999998</v>
      </c>
    </row>
    <row r="14" spans="1:17" ht="12.75" customHeight="1" x14ac:dyDescent="0.2">
      <c r="A14" s="19" t="s">
        <v>40</v>
      </c>
      <c r="B14" s="123">
        <v>2118</v>
      </c>
      <c r="C14" s="246">
        <v>2118</v>
      </c>
      <c r="D14" s="18" t="s">
        <v>127</v>
      </c>
      <c r="E14" s="20"/>
      <c r="F14" s="20"/>
      <c r="G14" s="34"/>
      <c r="H14" s="114">
        <f>VLOOKUP(TEXT($B14,0),[1]BankRecData!$B$1:$O$5542,6,0)</f>
        <v>0</v>
      </c>
      <c r="I14" s="114">
        <f>VLOOKUP(TEXT($B14,0),[2]BankRecData!$B$1:$O$5542,6,0)</f>
        <v>0</v>
      </c>
      <c r="J14" s="114">
        <f>VLOOKUP(TEXT($B14,0),[3]BankRecData!$B$1:$O$5542,6,0)</f>
        <v>0</v>
      </c>
      <c r="K14" s="114">
        <f>VLOOKUP(TEXT($B14,0),[4]BankRecData!$B$1:$O$5542,6,0)</f>
        <v>0</v>
      </c>
      <c r="L14" s="114">
        <f>VLOOKUP(TEXT($B14,0),[5]BankRecData!$B$1:$O$5542,6,0)</f>
        <v>0</v>
      </c>
      <c r="M14" s="114">
        <f>VLOOKUP(TEXT($B14,0),[6]BankRecData!$B$1:$O$5542,6,0)</f>
        <v>0</v>
      </c>
      <c r="N14" s="114">
        <f>VLOOKUP(TEXT($B14,0),[7]BankRecData!$B$1:$O$5542,6,0)</f>
        <v>0</v>
      </c>
      <c r="O14" s="114">
        <f>VLOOKUP(TEXT($B14,0),[8]BankRecData!$B$1:$O$5542,6,0)</f>
        <v>0</v>
      </c>
      <c r="P14" s="114">
        <f>VLOOKUP(TEXT($B14,0),[9]BankRecData!$B$1:$O$5542,6,0)</f>
        <v>0</v>
      </c>
      <c r="Q14" s="114">
        <f>VLOOKUP(TEXT($B14,0),[10]BankRecData!$B$1:$O$5542,6,0)</f>
        <v>0</v>
      </c>
    </row>
    <row r="15" spans="1:17" ht="12.75" customHeight="1" x14ac:dyDescent="0.2">
      <c r="A15" s="19" t="s">
        <v>39</v>
      </c>
      <c r="B15" s="123">
        <v>2118</v>
      </c>
      <c r="C15" s="246">
        <v>2118</v>
      </c>
      <c r="D15" s="18" t="s">
        <v>127</v>
      </c>
      <c r="E15" s="20"/>
      <c r="F15" s="20"/>
      <c r="G15" s="34"/>
      <c r="H15" s="114">
        <f>IFERROR(VLOOKUP($B15&amp;-H$1,FX!$U:$V,2,0),0)</f>
        <v>0</v>
      </c>
      <c r="I15" s="114">
        <f>IFERROR(VLOOKUP($B15&amp;-I$1,FX!$U:$V,2,0),0)</f>
        <v>0</v>
      </c>
      <c r="J15" s="114">
        <f>IFERROR(VLOOKUP($B15&amp;-J$1,FX!$U:$V,2,0),0)</f>
        <v>0</v>
      </c>
      <c r="K15" s="114">
        <f>IFERROR(VLOOKUP($B15&amp;-K$1,FX!$U:$V,2,0),0)</f>
        <v>0</v>
      </c>
      <c r="L15" s="114">
        <f>IFERROR(VLOOKUP($B15&amp;-L$1,FX!$U:$V,2,0),0)</f>
        <v>0</v>
      </c>
      <c r="M15" s="114">
        <f>IFERROR(VLOOKUP($B15&amp;-M$1,FX!$U:$V,2,0),0)</f>
        <v>0</v>
      </c>
      <c r="N15" s="114">
        <f>IFERROR(VLOOKUP($B15&amp;-N$1,FX!$U:$V,2,0),0)</f>
        <v>0</v>
      </c>
      <c r="O15" s="114">
        <f>IFERROR(VLOOKUP($B15&amp;-O$1,FX!$U:$V,2,0),0)</f>
        <v>0</v>
      </c>
      <c r="P15" s="114">
        <f>IFERROR(VLOOKUP($B15&amp;-P$1,FX!$U:$V,2,0),0)</f>
        <v>0</v>
      </c>
      <c r="Q15" s="114">
        <f>IFERROR(VLOOKUP($B15&amp;-Q$1,FX!$U:$V,2,0),0)</f>
        <v>0</v>
      </c>
    </row>
    <row r="16" spans="1:17" ht="12.75" customHeight="1" x14ac:dyDescent="0.2">
      <c r="A16" s="19" t="s">
        <v>34</v>
      </c>
      <c r="B16" s="123">
        <v>2118</v>
      </c>
      <c r="C16" s="246">
        <v>2118</v>
      </c>
      <c r="D16" s="18" t="s">
        <v>127</v>
      </c>
      <c r="E16" s="20"/>
      <c r="F16" s="20"/>
      <c r="G16" s="34"/>
      <c r="H16" s="114">
        <f t="shared" ref="H16:I16" si="16">H15-H14+H13</f>
        <v>0</v>
      </c>
      <c r="I16" s="114">
        <f t="shared" si="16"/>
        <v>72.949999999999989</v>
      </c>
      <c r="J16" s="114">
        <f t="shared" ref="J16:K16" si="17">J15-J14+J13</f>
        <v>49.949999999999989</v>
      </c>
      <c r="K16" s="114">
        <f t="shared" si="17"/>
        <v>47</v>
      </c>
      <c r="L16" s="114">
        <f t="shared" ref="L16:M16" si="18">L15-L14+L13</f>
        <v>26</v>
      </c>
      <c r="M16" s="114">
        <f t="shared" si="18"/>
        <v>241.85000000000002</v>
      </c>
      <c r="N16" s="114">
        <f t="shared" ref="N16:O16" si="19">N15-N14+N13</f>
        <v>143.45000000000005</v>
      </c>
      <c r="O16" s="114">
        <f t="shared" si="19"/>
        <v>0</v>
      </c>
      <c r="P16" s="114">
        <f t="shared" ref="P16:Q16" si="20">P15-P14+P13</f>
        <v>57</v>
      </c>
      <c r="Q16" s="114">
        <f t="shared" si="20"/>
        <v>157.39999999999998</v>
      </c>
    </row>
    <row r="17" spans="1:17" ht="12.75" customHeight="1" x14ac:dyDescent="0.2">
      <c r="A17" s="19" t="s">
        <v>35</v>
      </c>
      <c r="B17" s="123">
        <v>2118</v>
      </c>
      <c r="C17" s="246">
        <v>2118</v>
      </c>
      <c r="D17" s="18" t="s">
        <v>127</v>
      </c>
      <c r="E17" s="20"/>
      <c r="F17" s="35">
        <f>COUNTIF(H17:H17,"=0")</f>
        <v>1</v>
      </c>
      <c r="G17" s="34"/>
      <c r="H17" s="114">
        <f>SUMIF('Bank Deposit List'!$K:$K,$B17&amp;-H$1,'Bank Deposit List'!$L:$L)</f>
        <v>0</v>
      </c>
      <c r="I17" s="114">
        <f>SUMIF('Bank Deposit List'!$K:$K,$B17&amp;-I$1,'Bank Deposit List'!$L:$L)</f>
        <v>0</v>
      </c>
      <c r="J17" s="114">
        <f>SUMIF('Bank Deposit List'!$K:$K,$B17&amp;-J$1,'Bank Deposit List'!$L:$L)</f>
        <v>0</v>
      </c>
      <c r="K17" s="114">
        <f>SUMIF('Bank Deposit List'!$K:$K,$B17&amp;-K$1,'Bank Deposit List'!$L:$L)</f>
        <v>0</v>
      </c>
      <c r="L17" s="114">
        <f>SUMIF('Bank Deposit List'!$K:$K,$B17&amp;-L$1,'Bank Deposit List'!$L:$L)</f>
        <v>0</v>
      </c>
      <c r="M17" s="114">
        <f>SUMIF('Bank Deposit List'!$K:$K,$B17&amp;-M$1,'Bank Deposit List'!$L:$L)</f>
        <v>0</v>
      </c>
      <c r="N17" s="114">
        <f>SUMIF('Bank Deposit List'!$K:$K,$B17&amp;-N$1,'Bank Deposit List'!$L:$L)</f>
        <v>0</v>
      </c>
      <c r="O17" s="114">
        <f>SUMIF('Bank Deposit List'!$K:$K,$B17&amp;-O$1,'Bank Deposit List'!$L:$L)</f>
        <v>0</v>
      </c>
      <c r="P17" s="114">
        <f>SUMIF('Bank Deposit List'!$K:$K,$B17&amp;-P$1,'Bank Deposit List'!$L:$L)</f>
        <v>0</v>
      </c>
      <c r="Q17" s="114">
        <f>SUMIF('Bank Deposit List'!$K:$K,$B17&amp;-Q$1,'Bank Deposit List'!$L:$L)</f>
        <v>0</v>
      </c>
    </row>
    <row r="18" spans="1:17" ht="12.75" customHeight="1" x14ac:dyDescent="0.2">
      <c r="A18" s="19" t="s">
        <v>37</v>
      </c>
      <c r="B18" s="123">
        <v>2118</v>
      </c>
      <c r="C18" s="246">
        <v>2118</v>
      </c>
      <c r="D18" s="18" t="s">
        <v>127</v>
      </c>
      <c r="E18" s="36">
        <f>(COUNT(H6:CH6)-COUNT(H8:CH8))</f>
        <v>0</v>
      </c>
      <c r="F18" s="37"/>
      <c r="G18" s="34"/>
      <c r="H18" s="114" t="str">
        <f>IFERROR(VLOOKUP($B18&amp;-H17,'Deposits AU NAB'!$L:$M,2,0),"")</f>
        <v/>
      </c>
      <c r="I18" s="114" t="str">
        <f>IFERROR(VLOOKUP($B18&amp;-I17,'Deposits AU NAB'!$L:$M,2,0),"")</f>
        <v/>
      </c>
      <c r="J18" s="114" t="str">
        <f>IFERROR(VLOOKUP($B18&amp;-J17,'Deposits AU NAB'!$L:$M,2,0),"")</f>
        <v/>
      </c>
      <c r="K18" s="114" t="str">
        <f>IFERROR(VLOOKUP($B18&amp;-K17,'Deposits AU NAB'!$L:$M,2,0),"")</f>
        <v/>
      </c>
      <c r="L18" s="114" t="str">
        <f>IFERROR(VLOOKUP($B18&amp;-L17,'Deposits AU NAB'!$L:$M,2,0),"")</f>
        <v/>
      </c>
      <c r="M18" s="114" t="str">
        <f>IFERROR(VLOOKUP($B18&amp;-M17,'Deposits AU NAB'!$L:$M,2,0),"")</f>
        <v/>
      </c>
      <c r="N18" s="114" t="str">
        <f>IFERROR(VLOOKUP($B18&amp;-N17,'Deposits AU NAB'!$L:$M,2,0),"")</f>
        <v/>
      </c>
      <c r="O18" s="114" t="str">
        <f>IFERROR(VLOOKUP($B18&amp;-O17,'Deposits AU NAB'!$L:$M,2,0),"")</f>
        <v/>
      </c>
      <c r="P18" s="114" t="str">
        <f>IFERROR(VLOOKUP($B18&amp;-P17,'Deposits AU NAB'!$L:$M,2,0),"")</f>
        <v/>
      </c>
      <c r="Q18" s="114" t="str">
        <f>IFERROR(VLOOKUP($B18&amp;-Q17,'Deposits AU NAB'!$L:$M,2,0),"")</f>
        <v/>
      </c>
    </row>
    <row r="19" spans="1:17" ht="12.75" customHeight="1" x14ac:dyDescent="0.2">
      <c r="A19" s="124" t="s">
        <v>110</v>
      </c>
      <c r="B19" s="123">
        <v>2118</v>
      </c>
      <c r="C19" s="246">
        <v>2118</v>
      </c>
      <c r="D19" s="18" t="s">
        <v>127</v>
      </c>
      <c r="E19" s="36"/>
      <c r="F19" s="37"/>
      <c r="G19" s="34">
        <f t="shared" ref="G19:G20" si="21">SUM(H19:BX19)</f>
        <v>0</v>
      </c>
      <c r="H19" s="114" t="str">
        <f t="shared" ref="H19:I19" si="22">IF(H17=0,"",H17-H16)</f>
        <v/>
      </c>
      <c r="I19" s="114" t="str">
        <f t="shared" si="22"/>
        <v/>
      </c>
      <c r="J19" s="114" t="str">
        <f t="shared" ref="J19:K19" si="23">IF(J17=0,"",J17-J16)</f>
        <v/>
      </c>
      <c r="K19" s="114" t="str">
        <f t="shared" si="23"/>
        <v/>
      </c>
      <c r="L19" s="114" t="str">
        <f t="shared" ref="L19:M19" si="24">IF(L17=0,"",L17-L16)</f>
        <v/>
      </c>
      <c r="M19" s="114" t="str">
        <f t="shared" si="24"/>
        <v/>
      </c>
      <c r="N19" s="114" t="str">
        <f t="shared" ref="N19:O19" si="25">IF(N17=0,"",N17-N16)</f>
        <v/>
      </c>
      <c r="O19" s="114" t="str">
        <f t="shared" si="25"/>
        <v/>
      </c>
      <c r="P19" s="114" t="str">
        <f t="shared" ref="P19:Q19" si="26">IF(P17=0,"",P17-P16)</f>
        <v/>
      </c>
      <c r="Q19" s="114" t="str">
        <f t="shared" si="26"/>
        <v/>
      </c>
    </row>
    <row r="20" spans="1:17" ht="12.75" customHeight="1" x14ac:dyDescent="0.2">
      <c r="A20" s="19" t="s">
        <v>52</v>
      </c>
      <c r="B20" s="123">
        <v>2118</v>
      </c>
      <c r="C20" s="246">
        <v>2118</v>
      </c>
      <c r="D20" s="18" t="s">
        <v>127</v>
      </c>
      <c r="E20" s="20"/>
      <c r="F20" s="20"/>
      <c r="G20" s="34">
        <f t="shared" si="21"/>
        <v>0</v>
      </c>
      <c r="H20" s="114" t="str">
        <f t="shared" ref="H20:I20" si="27">IFERROR(H18-H17,"")</f>
        <v/>
      </c>
      <c r="I20" s="114" t="str">
        <f t="shared" si="27"/>
        <v/>
      </c>
      <c r="J20" s="114" t="str">
        <f t="shared" ref="J20:K20" si="28">IFERROR(J18-J17,"")</f>
        <v/>
      </c>
      <c r="K20" s="114" t="str">
        <f t="shared" si="28"/>
        <v/>
      </c>
      <c r="L20" s="114" t="str">
        <f t="shared" ref="L20:M20" si="29">IFERROR(L18-L17,"")</f>
        <v/>
      </c>
      <c r="M20" s="114" t="str">
        <f t="shared" si="29"/>
        <v/>
      </c>
      <c r="N20" s="114" t="str">
        <f t="shared" ref="N20:O20" si="30">IFERROR(N18-N17,"")</f>
        <v/>
      </c>
      <c r="O20" s="114" t="str">
        <f t="shared" si="30"/>
        <v/>
      </c>
      <c r="P20" s="114" t="str">
        <f t="shared" ref="P20:Q20" si="31">IFERROR(P18-P17,"")</f>
        <v/>
      </c>
      <c r="Q20" s="114" t="str">
        <f t="shared" si="31"/>
        <v/>
      </c>
    </row>
    <row r="21" spans="1:17" ht="12.75" customHeight="1" x14ac:dyDescent="0.2">
      <c r="A21" s="38"/>
      <c r="B21" s="70"/>
      <c r="C21" s="245"/>
      <c r="D21" s="40"/>
      <c r="E21" s="41"/>
      <c r="F21" s="41"/>
      <c r="G21" s="42"/>
      <c r="H21" s="115"/>
      <c r="I21" s="115"/>
      <c r="J21" s="115"/>
      <c r="K21" s="115"/>
      <c r="L21" s="115"/>
      <c r="M21" s="115"/>
      <c r="N21" s="115"/>
      <c r="O21" s="115"/>
      <c r="P21" s="115"/>
      <c r="Q21" s="115"/>
    </row>
    <row r="22" spans="1:17" ht="12.75" customHeight="1" x14ac:dyDescent="0.2">
      <c r="A22" s="19" t="s">
        <v>38</v>
      </c>
      <c r="B22" s="123">
        <v>2119</v>
      </c>
      <c r="C22" s="246">
        <v>2119</v>
      </c>
      <c r="D22" s="18" t="s">
        <v>130</v>
      </c>
      <c r="E22" s="20"/>
      <c r="F22" s="20"/>
      <c r="G22" s="34"/>
      <c r="H22" s="114">
        <f>VLOOKUP(TEXT($B22,0),[1]BankRecData!$B$1:$O$5542,7,0)-VLOOKUP(TEXT($B22,0),[1]BankRecData!$B$1:$O$5542,8,0)</f>
        <v>0</v>
      </c>
      <c r="I22" s="114">
        <f>VLOOKUP(TEXT($B22,0),[2]BankRecData!$B$1:$O$5542,7,0)-VLOOKUP(TEXT($B22,0),[2]BankRecData!$B$1:$O$5542,8,0)</f>
        <v>43</v>
      </c>
      <c r="J22" s="114">
        <f>VLOOKUP(TEXT($B22,0),[3]BankRecData!$B$1:$O$5542,7,0)-VLOOKUP(TEXT($B22,0),[3]BankRecData!$B$1:$O$5542,8,0)</f>
        <v>23.949999999999989</v>
      </c>
      <c r="K22" s="114">
        <f>VLOOKUP(TEXT($B22,0),[4]BankRecData!$B$1:$O$5542,7,0)-VLOOKUP(TEXT($B22,0),[4]BankRecData!$B$1:$O$5542,8,0)</f>
        <v>338.5</v>
      </c>
      <c r="L22" s="114">
        <f>VLOOKUP(TEXT($B22,0),[5]BankRecData!$B$1:$O$5542,7,0)-VLOOKUP(TEXT($B22,0),[5]BankRecData!$B$1:$O$5542,8,0)</f>
        <v>45.399999999999977</v>
      </c>
      <c r="M22" s="114">
        <f>VLOOKUP(TEXT($B22,0),[6]BankRecData!$B$1:$O$5542,7,0)-VLOOKUP(TEXT($B22,0),[6]BankRecData!$B$1:$O$5542,8,0)</f>
        <v>164.35000000000002</v>
      </c>
      <c r="N22" s="114">
        <f>VLOOKUP(TEXT($B22,0),[7]BankRecData!$B$1:$O$5542,7,0)-VLOOKUP(TEXT($B22,0),[7]BankRecData!$B$1:$O$5542,8,0)</f>
        <v>142.64999999999998</v>
      </c>
      <c r="O22" s="114">
        <f>VLOOKUP(TEXT($B22,0),[8]BankRecData!$B$1:$O$5542,7,0)-VLOOKUP(TEXT($B22,0),[8]BankRecData!$B$1:$O$5542,8,0)</f>
        <v>0</v>
      </c>
      <c r="P22" s="114">
        <f>VLOOKUP(TEXT($B22,0),[9]BankRecData!$B$1:$O$5542,7,0)-VLOOKUP(TEXT($B22,0),[9]BankRecData!$B$1:$O$5542,8,0)</f>
        <v>275.5</v>
      </c>
      <c r="Q22" s="114">
        <f>VLOOKUP(TEXT($B22,0),[10]BankRecData!$B$1:$O$5542,7,0)-VLOOKUP(TEXT($B22,0),[10]BankRecData!$B$1:$O$5542,8,0)</f>
        <v>163.89999999999998</v>
      </c>
    </row>
    <row r="23" spans="1:17" ht="12.75" customHeight="1" x14ac:dyDescent="0.2">
      <c r="A23" s="19" t="s">
        <v>40</v>
      </c>
      <c r="B23" s="123">
        <v>2119</v>
      </c>
      <c r="C23" s="246">
        <v>2119</v>
      </c>
      <c r="D23" s="18" t="s">
        <v>130</v>
      </c>
      <c r="E23" s="20"/>
      <c r="F23" s="20"/>
      <c r="G23" s="34"/>
      <c r="H23" s="114">
        <f>VLOOKUP(TEXT($B23,0),[1]BankRecData!$B$1:$O$5542,6,0)</f>
        <v>0</v>
      </c>
      <c r="I23" s="114">
        <f>VLOOKUP(TEXT($B23,0),[2]BankRecData!$B$1:$O$5542,6,0)</f>
        <v>0</v>
      </c>
      <c r="J23" s="114">
        <f>VLOOKUP(TEXT($B23,0),[3]BankRecData!$B$1:$O$5542,6,0)</f>
        <v>0</v>
      </c>
      <c r="K23" s="114">
        <f>VLOOKUP(TEXT($B23,0),[4]BankRecData!$B$1:$O$5542,6,0)</f>
        <v>0</v>
      </c>
      <c r="L23" s="114">
        <f>VLOOKUP(TEXT($B23,0),[5]BankRecData!$B$1:$O$5542,6,0)</f>
        <v>0</v>
      </c>
      <c r="M23" s="114">
        <f>VLOOKUP(TEXT($B23,0),[6]BankRecData!$B$1:$O$5542,6,0)</f>
        <v>0</v>
      </c>
      <c r="N23" s="114">
        <f>VLOOKUP(TEXT($B23,0),[7]BankRecData!$B$1:$O$5542,6,0)</f>
        <v>0</v>
      </c>
      <c r="O23" s="114">
        <f>VLOOKUP(TEXT($B23,0),[8]BankRecData!$B$1:$O$5542,6,0)</f>
        <v>0</v>
      </c>
      <c r="P23" s="114">
        <f>VLOOKUP(TEXT($B23,0),[9]BankRecData!$B$1:$O$5542,6,0)</f>
        <v>0</v>
      </c>
      <c r="Q23" s="114">
        <f>VLOOKUP(TEXT($B23,0),[10]BankRecData!$B$1:$O$5542,6,0)</f>
        <v>0</v>
      </c>
    </row>
    <row r="24" spans="1:17" ht="12.75" customHeight="1" x14ac:dyDescent="0.2">
      <c r="A24" s="19" t="s">
        <v>39</v>
      </c>
      <c r="B24" s="123">
        <v>2119</v>
      </c>
      <c r="C24" s="246">
        <v>2119</v>
      </c>
      <c r="D24" s="18" t="s">
        <v>130</v>
      </c>
      <c r="E24" s="20"/>
      <c r="F24" s="20"/>
      <c r="G24" s="34"/>
      <c r="H24" s="114">
        <f>IFERROR(VLOOKUP($B24&amp;-H$1,FX!$U:$V,2,0),0)</f>
        <v>0</v>
      </c>
      <c r="I24" s="114">
        <f>IFERROR(VLOOKUP($B24&amp;-I$1,FX!$U:$V,2,0),0)</f>
        <v>0</v>
      </c>
      <c r="J24" s="114">
        <f>IFERROR(VLOOKUP($B24&amp;-J$1,FX!$U:$V,2,0),0)</f>
        <v>0</v>
      </c>
      <c r="K24" s="114">
        <f>IFERROR(VLOOKUP($B24&amp;-K$1,FX!$U:$V,2,0),0)</f>
        <v>0</v>
      </c>
      <c r="L24" s="114">
        <f>IFERROR(VLOOKUP($B24&amp;-L$1,FX!$U:$V,2,0),0)</f>
        <v>0</v>
      </c>
      <c r="M24" s="114">
        <f>IFERROR(VLOOKUP($B24&amp;-M$1,FX!$U:$V,2,0),0)</f>
        <v>0</v>
      </c>
      <c r="N24" s="114">
        <f>IFERROR(VLOOKUP($B24&amp;-N$1,FX!$U:$V,2,0),0)</f>
        <v>0</v>
      </c>
      <c r="O24" s="114">
        <f>IFERROR(VLOOKUP($B24&amp;-O$1,FX!$U:$V,2,0),0)</f>
        <v>0</v>
      </c>
      <c r="P24" s="114">
        <f>IFERROR(VLOOKUP($B24&amp;-P$1,FX!$U:$V,2,0),0)</f>
        <v>0</v>
      </c>
      <c r="Q24" s="114">
        <f>IFERROR(VLOOKUP($B24&amp;-Q$1,FX!$U:$V,2,0),0)</f>
        <v>0</v>
      </c>
    </row>
    <row r="25" spans="1:17" ht="12.75" customHeight="1" x14ac:dyDescent="0.2">
      <c r="A25" s="19" t="s">
        <v>34</v>
      </c>
      <c r="B25" s="123">
        <v>2119</v>
      </c>
      <c r="C25" s="246">
        <v>2119</v>
      </c>
      <c r="D25" s="18" t="s">
        <v>130</v>
      </c>
      <c r="E25" s="20"/>
      <c r="F25" s="20"/>
      <c r="G25" s="34"/>
      <c r="H25" s="114">
        <f t="shared" ref="H25:I25" si="32">H24-H23+H22</f>
        <v>0</v>
      </c>
      <c r="I25" s="114">
        <f t="shared" si="32"/>
        <v>43</v>
      </c>
      <c r="J25" s="114">
        <f t="shared" ref="J25:K25" si="33">J24-J23+J22</f>
        <v>23.949999999999989</v>
      </c>
      <c r="K25" s="114">
        <f t="shared" si="33"/>
        <v>338.5</v>
      </c>
      <c r="L25" s="114">
        <f t="shared" ref="L25:M25" si="34">L24-L23+L22</f>
        <v>45.399999999999977</v>
      </c>
      <c r="M25" s="114">
        <f t="shared" si="34"/>
        <v>164.35000000000002</v>
      </c>
      <c r="N25" s="114">
        <f t="shared" ref="N25:O25" si="35">N24-N23+N22</f>
        <v>142.64999999999998</v>
      </c>
      <c r="O25" s="114">
        <f t="shared" si="35"/>
        <v>0</v>
      </c>
      <c r="P25" s="114">
        <f t="shared" ref="P25:Q25" si="36">P24-P23+P22</f>
        <v>275.5</v>
      </c>
      <c r="Q25" s="114">
        <f t="shared" si="36"/>
        <v>163.89999999999998</v>
      </c>
    </row>
    <row r="26" spans="1:17" ht="12.75" customHeight="1" x14ac:dyDescent="0.2">
      <c r="A26" s="19" t="s">
        <v>35</v>
      </c>
      <c r="B26" s="123">
        <v>2119</v>
      </c>
      <c r="C26" s="246">
        <v>2119</v>
      </c>
      <c r="D26" s="18" t="s">
        <v>130</v>
      </c>
      <c r="E26" s="20"/>
      <c r="F26" s="35">
        <f>COUNTIF(H26:H26,"=0")</f>
        <v>1</v>
      </c>
      <c r="G26" s="34"/>
      <c r="H26" s="114">
        <f>SUMIF('Bank Deposit List'!$K:$K,$B26&amp;-H$1,'Bank Deposit List'!$L:$L)</f>
        <v>0</v>
      </c>
      <c r="I26" s="114">
        <f>SUMIF('Bank Deposit List'!$K:$K,$B26&amp;-I$1,'Bank Deposit List'!$L:$L)</f>
        <v>0</v>
      </c>
      <c r="J26" s="114">
        <f>SUMIF('Bank Deposit List'!$K:$K,$B26&amp;-J$1,'Bank Deposit List'!$L:$L)</f>
        <v>0</v>
      </c>
      <c r="K26" s="114">
        <f>SUMIF('Bank Deposit List'!$K:$K,$B26&amp;-K$1,'Bank Deposit List'!$L:$L)</f>
        <v>0</v>
      </c>
      <c r="L26" s="114">
        <f>SUMIF('Bank Deposit List'!$K:$K,$B26&amp;-L$1,'Bank Deposit List'!$L:$L)</f>
        <v>0</v>
      </c>
      <c r="M26" s="114">
        <f>SUMIF('Bank Deposit List'!$K:$K,$B26&amp;-M$1,'Bank Deposit List'!$L:$L)</f>
        <v>0</v>
      </c>
      <c r="N26" s="114">
        <f>SUMIF('Bank Deposit List'!$K:$K,$B26&amp;-N$1,'Bank Deposit List'!$L:$L)</f>
        <v>0</v>
      </c>
      <c r="O26" s="114">
        <f>SUMIF('Bank Deposit List'!$K:$K,$B26&amp;-O$1,'Bank Deposit List'!$L:$L)</f>
        <v>0</v>
      </c>
      <c r="P26" s="114">
        <f>SUMIF('Bank Deposit List'!$K:$K,$B26&amp;-P$1,'Bank Deposit List'!$L:$L)</f>
        <v>0</v>
      </c>
      <c r="Q26" s="114">
        <f>SUMIF('Bank Deposit List'!$K:$K,$B26&amp;-Q$1,'Bank Deposit List'!$L:$L)</f>
        <v>0</v>
      </c>
    </row>
    <row r="27" spans="1:17" x14ac:dyDescent="0.2">
      <c r="A27" s="19" t="s">
        <v>37</v>
      </c>
      <c r="B27" s="123">
        <v>2119</v>
      </c>
      <c r="C27" s="246">
        <v>2119</v>
      </c>
      <c r="D27" s="18" t="s">
        <v>130</v>
      </c>
      <c r="E27" s="36">
        <f>(COUNT(H15:CH15)-COUNT(H17:CH17))</f>
        <v>0</v>
      </c>
      <c r="F27" s="37"/>
      <c r="G27" s="34"/>
      <c r="H27" s="114" t="str">
        <f>IFERROR(VLOOKUP($B27&amp;-H26,'Deposits AU NAB'!$L:$M,2,0),"")</f>
        <v/>
      </c>
      <c r="I27" s="114" t="str">
        <f>IFERROR(VLOOKUP($B27&amp;-I26,'Deposits AU NAB'!$L:$M,2,0),"")</f>
        <v/>
      </c>
      <c r="J27" s="114" t="str">
        <f>IFERROR(VLOOKUP($B27&amp;-J26,'Deposits AU NAB'!$L:$M,2,0),"")</f>
        <v/>
      </c>
      <c r="K27" s="114" t="str">
        <f>IFERROR(VLOOKUP($B27&amp;-K26,'Deposits AU NAB'!$L:$M,2,0),"")</f>
        <v/>
      </c>
      <c r="L27" s="114" t="str">
        <f>IFERROR(VLOOKUP($B27&amp;-L26,'Deposits AU NAB'!$L:$M,2,0),"")</f>
        <v/>
      </c>
      <c r="M27" s="114" t="str">
        <f>IFERROR(VLOOKUP($B27&amp;-M26,'Deposits AU NAB'!$L:$M,2,0),"")</f>
        <v/>
      </c>
      <c r="N27" s="114" t="str">
        <f>IFERROR(VLOOKUP($B27&amp;-N26,'Deposits AU NAB'!$L:$M,2,0),"")</f>
        <v/>
      </c>
      <c r="O27" s="114" t="str">
        <f>IFERROR(VLOOKUP($B27&amp;-O26,'Deposits AU NAB'!$L:$M,2,0),"")</f>
        <v/>
      </c>
      <c r="P27" s="114" t="str">
        <f>IFERROR(VLOOKUP($B27&amp;-P26,'Deposits AU NAB'!$L:$M,2,0),"")</f>
        <v/>
      </c>
      <c r="Q27" s="114" t="str">
        <f>IFERROR(VLOOKUP($B27&amp;-Q26,'Deposits AU NAB'!$L:$M,2,0),"")</f>
        <v/>
      </c>
    </row>
    <row r="28" spans="1:17" ht="12.75" customHeight="1" x14ac:dyDescent="0.2">
      <c r="A28" s="124" t="s">
        <v>110</v>
      </c>
      <c r="B28" s="123">
        <v>2119</v>
      </c>
      <c r="C28" s="246">
        <v>2119</v>
      </c>
      <c r="D28" s="18" t="s">
        <v>130</v>
      </c>
      <c r="E28" s="36"/>
      <c r="F28" s="37"/>
      <c r="G28" s="34">
        <f t="shared" ref="G28:G29" si="37">SUM(H28:BX28)</f>
        <v>0</v>
      </c>
      <c r="H28" s="114" t="str">
        <f t="shared" ref="H28:I28" si="38">IF(H26=0,"",H26-H25)</f>
        <v/>
      </c>
      <c r="I28" s="114" t="str">
        <f t="shared" si="38"/>
        <v/>
      </c>
      <c r="J28" s="114" t="str">
        <f t="shared" ref="J28:K28" si="39">IF(J26=0,"",J26-J25)</f>
        <v/>
      </c>
      <c r="K28" s="114" t="str">
        <f t="shared" si="39"/>
        <v/>
      </c>
      <c r="L28" s="114" t="str">
        <f t="shared" ref="L28:M28" si="40">IF(L26=0,"",L26-L25)</f>
        <v/>
      </c>
      <c r="M28" s="114" t="str">
        <f t="shared" si="40"/>
        <v/>
      </c>
      <c r="N28" s="114" t="str">
        <f t="shared" ref="N28:O28" si="41">IF(N26=0,"",N26-N25)</f>
        <v/>
      </c>
      <c r="O28" s="114" t="str">
        <f t="shared" si="41"/>
        <v/>
      </c>
      <c r="P28" s="114" t="str">
        <f t="shared" ref="P28:Q28" si="42">IF(P26=0,"",P26-P25)</f>
        <v/>
      </c>
      <c r="Q28" s="114" t="str">
        <f t="shared" si="42"/>
        <v/>
      </c>
    </row>
    <row r="29" spans="1:17" ht="12.75" customHeight="1" x14ac:dyDescent="0.2">
      <c r="A29" s="19" t="s">
        <v>52</v>
      </c>
      <c r="B29" s="123">
        <v>2119</v>
      </c>
      <c r="C29" s="246">
        <v>2119</v>
      </c>
      <c r="D29" s="18" t="s">
        <v>130</v>
      </c>
      <c r="E29" s="20"/>
      <c r="F29" s="20"/>
      <c r="G29" s="34">
        <f t="shared" si="37"/>
        <v>0</v>
      </c>
      <c r="H29" s="114" t="str">
        <f t="shared" ref="H29:I29" si="43">IFERROR(H27-H26,"")</f>
        <v/>
      </c>
      <c r="I29" s="114" t="str">
        <f t="shared" si="43"/>
        <v/>
      </c>
      <c r="J29" s="114" t="str">
        <f t="shared" ref="J29:K29" si="44">IFERROR(J27-J26,"")</f>
        <v/>
      </c>
      <c r="K29" s="114" t="str">
        <f t="shared" si="44"/>
        <v/>
      </c>
      <c r="L29" s="114" t="str">
        <f t="shared" ref="L29:M29" si="45">IFERROR(L27-L26,"")</f>
        <v/>
      </c>
      <c r="M29" s="114" t="str">
        <f t="shared" si="45"/>
        <v/>
      </c>
      <c r="N29" s="114" t="str">
        <f t="shared" ref="N29:O29" si="46">IFERROR(N27-N26,"")</f>
        <v/>
      </c>
      <c r="O29" s="114" t="str">
        <f t="shared" si="46"/>
        <v/>
      </c>
      <c r="P29" s="114" t="str">
        <f t="shared" ref="P29:Q29" si="47">IFERROR(P27-P26,"")</f>
        <v/>
      </c>
      <c r="Q29" s="114" t="str">
        <f t="shared" si="47"/>
        <v/>
      </c>
    </row>
    <row r="30" spans="1:17" ht="12.75" customHeight="1" x14ac:dyDescent="0.2">
      <c r="A30" s="38" t="s">
        <v>38</v>
      </c>
      <c r="B30" s="70"/>
      <c r="C30" s="245"/>
      <c r="D30" s="40"/>
      <c r="E30" s="41"/>
      <c r="F30" s="41"/>
      <c r="G30" s="42"/>
      <c r="H30" s="115"/>
      <c r="I30" s="115"/>
      <c r="J30" s="115"/>
      <c r="K30" s="115"/>
      <c r="L30" s="115"/>
      <c r="M30" s="115"/>
      <c r="N30" s="115"/>
      <c r="O30" s="115"/>
      <c r="P30" s="115"/>
      <c r="Q30" s="115"/>
    </row>
    <row r="31" spans="1:17" ht="12.75" customHeight="1" x14ac:dyDescent="0.2">
      <c r="A31" s="38"/>
      <c r="B31" s="70"/>
      <c r="C31" s="245"/>
      <c r="D31" s="40"/>
      <c r="E31" s="41"/>
      <c r="F31" s="41"/>
      <c r="G31" s="42"/>
      <c r="H31" s="115"/>
      <c r="I31" s="115"/>
      <c r="J31" s="115"/>
      <c r="K31" s="115"/>
      <c r="L31" s="115"/>
      <c r="M31" s="115"/>
      <c r="N31" s="115"/>
      <c r="O31" s="115"/>
      <c r="P31" s="115"/>
      <c r="Q31" s="115"/>
    </row>
    <row r="32" spans="1:17" ht="12.75" customHeight="1" x14ac:dyDescent="0.2">
      <c r="A32" s="19" t="s">
        <v>38</v>
      </c>
      <c r="B32" s="243">
        <v>2137</v>
      </c>
      <c r="C32" s="246">
        <v>2137</v>
      </c>
      <c r="D32" s="77" t="s">
        <v>77</v>
      </c>
      <c r="E32" s="20"/>
      <c r="F32" s="20"/>
      <c r="G32" s="34"/>
      <c r="H32" s="114">
        <f>VLOOKUP(TEXT($B32,0),[1]BankRecData!$B$1:$O$5542,7,0)-VLOOKUP(TEXT($B32,0),[1]BankRecData!$B$1:$O$5542,8,0)</f>
        <v>0</v>
      </c>
      <c r="I32" s="114">
        <f>VLOOKUP(TEXT($B32,0),[2]BankRecData!$B$1:$O$5542,7,0)-VLOOKUP(TEXT($B32,0),[2]BankRecData!$B$1:$O$5542,8,0)</f>
        <v>0</v>
      </c>
      <c r="J32" s="114">
        <f>VLOOKUP(TEXT($B32,0),[3]BankRecData!$B$1:$O$5542,7,0)-VLOOKUP(TEXT($B32,0),[3]BankRecData!$B$1:$O$5542,8,0)</f>
        <v>0</v>
      </c>
      <c r="K32" s="114">
        <f>VLOOKUP(TEXT($B32,0),[4]BankRecData!$B$1:$O$5542,7,0)-VLOOKUP(TEXT($B32,0),[4]BankRecData!$B$1:$O$5542,8,0)</f>
        <v>0</v>
      </c>
      <c r="L32" s="114">
        <f>VLOOKUP(TEXT($B32,0),[5]BankRecData!$B$1:$O$5542,7,0)-VLOOKUP(TEXT($B32,0),[5]BankRecData!$B$1:$O$5542,8,0)</f>
        <v>0</v>
      </c>
      <c r="M32" s="114">
        <f>VLOOKUP(TEXT($B32,0),[6]BankRecData!$B$1:$O$5542,7,0)-VLOOKUP(TEXT($B32,0),[6]BankRecData!$B$1:$O$5542,8,0)</f>
        <v>0</v>
      </c>
      <c r="N32" s="114">
        <f>VLOOKUP(TEXT($B32,0),[7]BankRecData!$B$1:$O$5542,7,0)-VLOOKUP(TEXT($B32,0),[7]BankRecData!$B$1:$O$5542,8,0)</f>
        <v>0</v>
      </c>
      <c r="O32" s="114">
        <f>VLOOKUP(TEXT($B32,0),[8]BankRecData!$B$1:$O$5542,7,0)-VLOOKUP(TEXT($B32,0),[8]BankRecData!$B$1:$O$5542,8,0)</f>
        <v>0</v>
      </c>
      <c r="P32" s="114">
        <f>VLOOKUP(TEXT($B32,0),[9]BankRecData!$B$1:$O$5542,7,0)-VLOOKUP(TEXT($B32,0),[9]BankRecData!$B$1:$O$5542,8,0)</f>
        <v>0</v>
      </c>
      <c r="Q32" s="114">
        <f>VLOOKUP(TEXT($B32,0),[10]BankRecData!$B$1:$O$5542,7,0)-VLOOKUP(TEXT($B32,0),[10]BankRecData!$B$1:$O$5542,8,0)</f>
        <v>0</v>
      </c>
    </row>
    <row r="33" spans="1:17" ht="12.75" customHeight="1" x14ac:dyDescent="0.2">
      <c r="A33" s="19" t="s">
        <v>40</v>
      </c>
      <c r="B33" s="243">
        <v>2137</v>
      </c>
      <c r="C33" s="246">
        <v>2137</v>
      </c>
      <c r="D33" s="77" t="s">
        <v>77</v>
      </c>
      <c r="E33" s="20"/>
      <c r="F33" s="20"/>
      <c r="G33" s="34"/>
      <c r="H33" s="114">
        <f>VLOOKUP(TEXT($B33,0),[1]BankRecData!$B$1:$O$5542,6,0)</f>
        <v>0</v>
      </c>
      <c r="I33" s="114">
        <f>VLOOKUP(TEXT($B33,0),[2]BankRecData!$B$1:$O$5542,6,0)</f>
        <v>0</v>
      </c>
      <c r="J33" s="114">
        <f>VLOOKUP(TEXT($B33,0),[3]BankRecData!$B$1:$O$5542,6,0)</f>
        <v>0</v>
      </c>
      <c r="K33" s="114">
        <f>VLOOKUP(TEXT($B33,0),[4]BankRecData!$B$1:$O$5542,6,0)</f>
        <v>0</v>
      </c>
      <c r="L33" s="114">
        <f>VLOOKUP(TEXT($B33,0),[5]BankRecData!$B$1:$O$5542,6,0)</f>
        <v>0</v>
      </c>
      <c r="M33" s="114">
        <f>VLOOKUP(TEXT($B33,0),[6]BankRecData!$B$1:$O$5542,6,0)</f>
        <v>0</v>
      </c>
      <c r="N33" s="114">
        <f>VLOOKUP(TEXT($B33,0),[7]BankRecData!$B$1:$O$5542,6,0)</f>
        <v>0</v>
      </c>
      <c r="O33" s="114">
        <f>VLOOKUP(TEXT($B33,0),[8]BankRecData!$B$1:$O$5542,6,0)</f>
        <v>0</v>
      </c>
      <c r="P33" s="114">
        <f>VLOOKUP(TEXT($B33,0),[9]BankRecData!$B$1:$O$5542,6,0)</f>
        <v>0</v>
      </c>
      <c r="Q33" s="114">
        <f>VLOOKUP(TEXT($B33,0),[10]BankRecData!$B$1:$O$5542,6,0)</f>
        <v>0</v>
      </c>
    </row>
    <row r="34" spans="1:17" ht="12.75" customHeight="1" x14ac:dyDescent="0.2">
      <c r="A34" s="19" t="s">
        <v>39</v>
      </c>
      <c r="B34" s="243">
        <v>2137</v>
      </c>
      <c r="C34" s="246">
        <v>2137</v>
      </c>
      <c r="D34" s="77" t="s">
        <v>77</v>
      </c>
      <c r="E34" s="20"/>
      <c r="F34" s="20"/>
      <c r="G34" s="34"/>
      <c r="H34" s="114">
        <f>IFERROR(VLOOKUP($B34&amp;-H$1,'ANZ FX'!$R:$S,2,0),0)</f>
        <v>0</v>
      </c>
      <c r="I34" s="114">
        <f>IFERROR(VLOOKUP($B34&amp;-I$1,'ANZ FX'!$R:$S,2,0),0)</f>
        <v>0</v>
      </c>
      <c r="J34" s="114">
        <f>IFERROR(VLOOKUP($B34&amp;-J$1,'ANZ FX'!$R:$S,2,0),0)</f>
        <v>0</v>
      </c>
      <c r="K34" s="114">
        <f>IFERROR(VLOOKUP($B34&amp;-K$1,'ANZ FX'!$R:$S,2,0),0)</f>
        <v>0</v>
      </c>
      <c r="L34" s="114">
        <f>IFERROR(VLOOKUP($B34&amp;-L$1,'ANZ FX'!$R:$S,2,0),0)</f>
        <v>0</v>
      </c>
      <c r="M34" s="114">
        <f>IFERROR(VLOOKUP($B34&amp;-M$1,'ANZ FX'!$R:$S,2,0),0)</f>
        <v>0</v>
      </c>
      <c r="N34" s="114">
        <f>IFERROR(VLOOKUP($B34&amp;-N$1,'ANZ FX'!$R:$S,2,0),0)</f>
        <v>0</v>
      </c>
      <c r="O34" s="114">
        <f>IFERROR(VLOOKUP($B34&amp;-O$1,'ANZ FX'!$R:$S,2,0),0)</f>
        <v>0</v>
      </c>
      <c r="P34" s="114">
        <f>IFERROR(VLOOKUP($B34&amp;-P$1,'ANZ FX'!$R:$S,2,0),0)</f>
        <v>0</v>
      </c>
      <c r="Q34" s="114">
        <f>IFERROR(VLOOKUP($B34&amp;-Q$1,'ANZ FX'!$R:$S,2,0),0)</f>
        <v>0</v>
      </c>
    </row>
    <row r="35" spans="1:17" ht="12.75" customHeight="1" x14ac:dyDescent="0.2">
      <c r="A35" s="19" t="s">
        <v>34</v>
      </c>
      <c r="B35" s="243">
        <v>2137</v>
      </c>
      <c r="C35" s="246">
        <v>2137</v>
      </c>
      <c r="D35" s="77" t="s">
        <v>77</v>
      </c>
      <c r="E35" s="20"/>
      <c r="F35" s="20"/>
      <c r="G35" s="130"/>
      <c r="H35" s="114">
        <f t="shared" ref="H35:I35" si="48">H34-H33+H32</f>
        <v>0</v>
      </c>
      <c r="I35" s="114">
        <f t="shared" si="48"/>
        <v>0</v>
      </c>
      <c r="J35" s="114">
        <f t="shared" ref="J35:K35" si="49">J34-J33+J32</f>
        <v>0</v>
      </c>
      <c r="K35" s="114">
        <f t="shared" si="49"/>
        <v>0</v>
      </c>
      <c r="L35" s="114">
        <f t="shared" ref="L35:M35" si="50">L34-L33+L32</f>
        <v>0</v>
      </c>
      <c r="M35" s="114">
        <f t="shared" si="50"/>
        <v>0</v>
      </c>
      <c r="N35" s="114">
        <f t="shared" ref="N35:O35" si="51">N34-N33+N32</f>
        <v>0</v>
      </c>
      <c r="O35" s="114">
        <f t="shared" si="51"/>
        <v>0</v>
      </c>
      <c r="P35" s="114">
        <f t="shared" ref="P35:Q35" si="52">P34-P33+P32</f>
        <v>0</v>
      </c>
      <c r="Q35" s="114">
        <f t="shared" si="52"/>
        <v>0</v>
      </c>
    </row>
    <row r="36" spans="1:17" ht="12.75" customHeight="1" x14ac:dyDescent="0.2">
      <c r="A36" s="19" t="s">
        <v>35</v>
      </c>
      <c r="B36" s="243">
        <v>2137</v>
      </c>
      <c r="C36" s="246">
        <v>2137</v>
      </c>
      <c r="D36" s="77" t="s">
        <v>77</v>
      </c>
      <c r="E36" s="20"/>
      <c r="F36" s="35">
        <f>COUNTIF(H36:H36,"=0")</f>
        <v>1</v>
      </c>
      <c r="G36" s="34"/>
      <c r="H36" s="114">
        <f>SUMIF('Bank Deposit List'!$K:$K,$B36&amp;-H$1,'Bank Deposit List'!$L:$L)</f>
        <v>0</v>
      </c>
      <c r="I36" s="114">
        <f>SUMIF('Bank Deposit List'!$K:$K,$B36&amp;-I$1,'Bank Deposit List'!$L:$L)</f>
        <v>0</v>
      </c>
      <c r="J36" s="114">
        <f>SUMIF('Bank Deposit List'!$K:$K,$B36&amp;-J$1,'Bank Deposit List'!$L:$L)</f>
        <v>0</v>
      </c>
      <c r="K36" s="114">
        <f>SUMIF('Bank Deposit List'!$K:$K,$B36&amp;-K$1,'Bank Deposit List'!$L:$L)</f>
        <v>0</v>
      </c>
      <c r="L36" s="114">
        <f>SUMIF('Bank Deposit List'!$K:$K,$B36&amp;-L$1,'Bank Deposit List'!$L:$L)</f>
        <v>0</v>
      </c>
      <c r="M36" s="114">
        <f>SUMIF('Bank Deposit List'!$K:$K,$B36&amp;-M$1,'Bank Deposit List'!$L:$L)</f>
        <v>0</v>
      </c>
      <c r="N36" s="114">
        <f>SUMIF('Bank Deposit List'!$K:$K,$B36&amp;-N$1,'Bank Deposit List'!$L:$L)</f>
        <v>0</v>
      </c>
      <c r="O36" s="114">
        <f>SUMIF('Bank Deposit List'!$K:$K,$B36&amp;-O$1,'Bank Deposit List'!$L:$L)</f>
        <v>0</v>
      </c>
      <c r="P36" s="114">
        <f>SUMIF('Bank Deposit List'!$K:$K,$B36&amp;-P$1,'Bank Deposit List'!$L:$L)</f>
        <v>0</v>
      </c>
      <c r="Q36" s="114">
        <f>SUMIF('Bank Deposit List'!$K:$K,$B36&amp;-Q$1,'Bank Deposit List'!$L:$L)</f>
        <v>0</v>
      </c>
    </row>
    <row r="37" spans="1:17" ht="12.75" customHeight="1" x14ac:dyDescent="0.2">
      <c r="A37" s="19" t="s">
        <v>37</v>
      </c>
      <c r="B37" s="243">
        <v>2137</v>
      </c>
      <c r="C37" s="246">
        <v>2137</v>
      </c>
      <c r="D37" s="77" t="s">
        <v>77</v>
      </c>
      <c r="E37" s="36">
        <f>(COUNT(H24:CH24)-COUNT(H26:CH26))</f>
        <v>0</v>
      </c>
      <c r="F37" s="37"/>
      <c r="G37" s="34"/>
      <c r="H37" s="114" t="str">
        <f>IFERROR(VLOOKUP($B37&amp;-H36,'Deposits AU NAB'!$L:$M,2,0),"")</f>
        <v/>
      </c>
      <c r="I37" s="114" t="str">
        <f>IFERROR(VLOOKUP($B37&amp;-I36,'Deposits AU NAB'!$L:$M,2,0),"")</f>
        <v/>
      </c>
      <c r="J37" s="114" t="str">
        <f>IFERROR(VLOOKUP($B37&amp;-J36,'Deposits AU NAB'!$L:$M,2,0),"")</f>
        <v/>
      </c>
      <c r="K37" s="114" t="str">
        <f>IFERROR(VLOOKUP($B37&amp;-K36,'Deposits AU NAB'!$L:$M,2,0),"")</f>
        <v/>
      </c>
      <c r="L37" s="114" t="str">
        <f>IFERROR(VLOOKUP($B37&amp;-L36,'Deposits AU NAB'!$L:$M,2,0),"")</f>
        <v/>
      </c>
      <c r="M37" s="114" t="str">
        <f>IFERROR(VLOOKUP($B37&amp;-M36,'Deposits AU NAB'!$L:$M,2,0),"")</f>
        <v/>
      </c>
      <c r="N37" s="114" t="str">
        <f>IFERROR(VLOOKUP($B37&amp;-N36,'Deposits AU NAB'!$L:$M,2,0),"")</f>
        <v/>
      </c>
      <c r="O37" s="114" t="str">
        <f>IFERROR(VLOOKUP($B37&amp;-O36,'Deposits AU NAB'!$L:$M,2,0),"")</f>
        <v/>
      </c>
      <c r="P37" s="114" t="str">
        <f>IFERROR(VLOOKUP($B37&amp;-P36,'Deposits AU NAB'!$L:$M,2,0),"")</f>
        <v/>
      </c>
      <c r="Q37" s="114" t="str">
        <f>IFERROR(VLOOKUP($B37&amp;-Q36,'Deposits AU NAB'!$L:$M,2,0),"")</f>
        <v/>
      </c>
    </row>
    <row r="38" spans="1:17" ht="12.75" customHeight="1" x14ac:dyDescent="0.2">
      <c r="A38" s="124" t="s">
        <v>110</v>
      </c>
      <c r="B38" s="243">
        <v>2137</v>
      </c>
      <c r="C38" s="246">
        <v>2137</v>
      </c>
      <c r="D38" s="77" t="s">
        <v>77</v>
      </c>
      <c r="E38" s="36"/>
      <c r="F38" s="37"/>
      <c r="G38" s="34">
        <f t="shared" ref="G38:G39" si="53">SUM(H38:BX38)</f>
        <v>0</v>
      </c>
      <c r="H38" s="114" t="str">
        <f t="shared" ref="H38:I38" si="54">IF(H36=0,"",H36+H34-H35)</f>
        <v/>
      </c>
      <c r="I38" s="114" t="str">
        <f t="shared" si="54"/>
        <v/>
      </c>
      <c r="J38" s="114" t="str">
        <f t="shared" ref="J38:K38" si="55">IF(J36=0,"",J36+J34-J35)</f>
        <v/>
      </c>
      <c r="K38" s="114" t="str">
        <f t="shared" si="55"/>
        <v/>
      </c>
      <c r="L38" s="114" t="str">
        <f t="shared" ref="L38:M38" si="56">IF(L36=0,"",L36+L34-L35)</f>
        <v/>
      </c>
      <c r="M38" s="114" t="str">
        <f t="shared" si="56"/>
        <v/>
      </c>
      <c r="N38" s="114" t="str">
        <f t="shared" ref="N38:O38" si="57">IF(N36=0,"",N36+N34-N35)</f>
        <v/>
      </c>
      <c r="O38" s="114" t="str">
        <f t="shared" si="57"/>
        <v/>
      </c>
      <c r="P38" s="114" t="str">
        <f t="shared" ref="P38:Q38" si="58">IF(P36=0,"",P36+P34-P35)</f>
        <v/>
      </c>
      <c r="Q38" s="114" t="str">
        <f t="shared" si="58"/>
        <v/>
      </c>
    </row>
    <row r="39" spans="1:17" ht="12.75" customHeight="1" x14ac:dyDescent="0.2">
      <c r="A39" s="19" t="s">
        <v>52</v>
      </c>
      <c r="B39" s="243">
        <v>2137</v>
      </c>
      <c r="C39" s="246">
        <v>2137</v>
      </c>
      <c r="D39" s="77" t="s">
        <v>77</v>
      </c>
      <c r="E39" s="20"/>
      <c r="F39" s="20"/>
      <c r="G39" s="34">
        <f t="shared" si="53"/>
        <v>0</v>
      </c>
      <c r="H39" s="114" t="str">
        <f t="shared" ref="H39:I39" si="59">IFERROR(H37-H36,"")</f>
        <v/>
      </c>
      <c r="I39" s="114" t="str">
        <f t="shared" si="59"/>
        <v/>
      </c>
      <c r="J39" s="114" t="str">
        <f t="shared" ref="J39:K39" si="60">IFERROR(J37-J36,"")</f>
        <v/>
      </c>
      <c r="K39" s="114" t="str">
        <f t="shared" si="60"/>
        <v/>
      </c>
      <c r="L39" s="114" t="str">
        <f t="shared" ref="L39:M39" si="61">IFERROR(L37-L36,"")</f>
        <v/>
      </c>
      <c r="M39" s="114" t="str">
        <f t="shared" si="61"/>
        <v/>
      </c>
      <c r="N39" s="114" t="str">
        <f t="shared" ref="N39:O39" si="62">IFERROR(N37-N36,"")</f>
        <v/>
      </c>
      <c r="O39" s="114" t="str">
        <f t="shared" si="62"/>
        <v/>
      </c>
      <c r="P39" s="114" t="str">
        <f t="shared" ref="P39:Q39" si="63">IFERROR(P37-P36,"")</f>
        <v/>
      </c>
      <c r="Q39" s="114" t="str">
        <f t="shared" si="63"/>
        <v/>
      </c>
    </row>
    <row r="40" spans="1:17" ht="12.75" customHeight="1" x14ac:dyDescent="0.2">
      <c r="A40" s="38"/>
      <c r="B40" s="38"/>
      <c r="C40" s="245"/>
      <c r="D40" s="40"/>
      <c r="E40" s="41"/>
      <c r="F40" s="41"/>
      <c r="G40" s="42"/>
      <c r="H40" s="115"/>
      <c r="I40" s="115"/>
      <c r="J40" s="115"/>
      <c r="K40" s="115"/>
      <c r="L40" s="115"/>
      <c r="M40" s="115"/>
      <c r="N40" s="115"/>
      <c r="O40" s="115"/>
      <c r="P40" s="115"/>
      <c r="Q40" s="115"/>
    </row>
    <row r="41" spans="1:17" ht="12.75" customHeight="1" x14ac:dyDescent="0.2">
      <c r="A41" s="19" t="s">
        <v>38</v>
      </c>
      <c r="B41" s="243">
        <v>2230</v>
      </c>
      <c r="C41" s="246">
        <v>2230</v>
      </c>
      <c r="D41" s="77" t="s">
        <v>104</v>
      </c>
      <c r="E41" s="20"/>
      <c r="F41" s="20"/>
      <c r="G41" s="34"/>
      <c r="H41" s="114">
        <f>VLOOKUP(TEXT($B41,0),[1]BankRecData!$B$1:$O$5542,7,0)-VLOOKUP(TEXT($B41,0),[1]BankRecData!$B$1:$O$5542,8,0)</f>
        <v>0</v>
      </c>
      <c r="I41" s="114">
        <f>VLOOKUP(TEXT($B41,0),[2]BankRecData!$B$1:$O$5542,7,0)-VLOOKUP(TEXT($B41,0),[2]BankRecData!$B$1:$O$5542,8,0)</f>
        <v>0</v>
      </c>
      <c r="J41" s="114">
        <f>VLOOKUP(TEXT($B41,0),[3]BankRecData!$B$1:$O$5542,7,0)-VLOOKUP(TEXT($B41,0),[3]BankRecData!$B$1:$O$5542,8,0)</f>
        <v>0</v>
      </c>
      <c r="K41" s="114">
        <f>VLOOKUP(TEXT($B41,0),[4]BankRecData!$B$1:$O$5542,7,0)-VLOOKUP(TEXT($B41,0),[4]BankRecData!$B$1:$O$5542,8,0)</f>
        <v>0</v>
      </c>
      <c r="L41" s="114">
        <f>VLOOKUP(TEXT($B41,0),[5]BankRecData!$B$1:$O$5542,7,0)-VLOOKUP(TEXT($B41,0),[5]BankRecData!$B$1:$O$5542,8,0)</f>
        <v>0</v>
      </c>
      <c r="M41" s="114">
        <f>VLOOKUP(TEXT($B41,0),[6]BankRecData!$B$1:$O$5542,7,0)-VLOOKUP(TEXT($B41,0),[6]BankRecData!$B$1:$O$5542,8,0)</f>
        <v>0</v>
      </c>
      <c r="N41" s="114">
        <f>VLOOKUP(TEXT($B41,0),[7]BankRecData!$B$1:$O$5542,7,0)-VLOOKUP(TEXT($B41,0),[7]BankRecData!$B$1:$O$5542,8,0)</f>
        <v>0</v>
      </c>
      <c r="O41" s="114">
        <f>VLOOKUP(TEXT($B41,0),[8]BankRecData!$B$1:$O$5542,7,0)-VLOOKUP(TEXT($B41,0),[8]BankRecData!$B$1:$O$5542,8,0)</f>
        <v>0</v>
      </c>
      <c r="P41" s="114">
        <f>VLOOKUP(TEXT($B41,0),[9]BankRecData!$B$1:$O$5542,7,0)-VLOOKUP(TEXT($B41,0),[9]BankRecData!$B$1:$O$5542,8,0)</f>
        <v>0</v>
      </c>
      <c r="Q41" s="114">
        <f>VLOOKUP(TEXT($B41,0),[10]BankRecData!$B$1:$O$5542,7,0)-VLOOKUP(TEXT($B41,0),[10]BankRecData!$B$1:$O$5542,8,0)</f>
        <v>0</v>
      </c>
    </row>
    <row r="42" spans="1:17" ht="12.75" customHeight="1" x14ac:dyDescent="0.2">
      <c r="A42" s="19" t="s">
        <v>40</v>
      </c>
      <c r="B42" s="243">
        <v>2230</v>
      </c>
      <c r="C42" s="246">
        <v>2230</v>
      </c>
      <c r="D42" s="77" t="s">
        <v>104</v>
      </c>
      <c r="E42" s="20"/>
      <c r="F42" s="20"/>
      <c r="G42" s="34"/>
      <c r="H42" s="114">
        <f>VLOOKUP(TEXT($B42,0),[1]BankRecData!$B$1:$O$5542,6,0)</f>
        <v>0</v>
      </c>
      <c r="I42" s="114">
        <f>VLOOKUP(TEXT($B42,0),[2]BankRecData!$B$1:$O$5542,6,0)</f>
        <v>0</v>
      </c>
      <c r="J42" s="114">
        <f>VLOOKUP(TEXT($B42,0),[3]BankRecData!$B$1:$O$5542,6,0)</f>
        <v>0</v>
      </c>
      <c r="K42" s="114">
        <f>VLOOKUP(TEXT($B42,0),[4]BankRecData!$B$1:$O$5542,6,0)</f>
        <v>0</v>
      </c>
      <c r="L42" s="114">
        <f>VLOOKUP(TEXT($B42,0),[5]BankRecData!$B$1:$O$5542,6,0)</f>
        <v>0</v>
      </c>
      <c r="M42" s="114">
        <f>VLOOKUP(TEXT($B42,0),[6]BankRecData!$B$1:$O$5542,6,0)</f>
        <v>0</v>
      </c>
      <c r="N42" s="114">
        <f>VLOOKUP(TEXT($B42,0),[7]BankRecData!$B$1:$O$5542,6,0)</f>
        <v>0</v>
      </c>
      <c r="O42" s="114">
        <f>VLOOKUP(TEXT($B42,0),[8]BankRecData!$B$1:$O$5542,6,0)</f>
        <v>0</v>
      </c>
      <c r="P42" s="114">
        <f>VLOOKUP(TEXT($B42,0),[9]BankRecData!$B$1:$O$5542,6,0)</f>
        <v>0</v>
      </c>
      <c r="Q42" s="114">
        <f>VLOOKUP(TEXT($B42,0),[10]BankRecData!$B$1:$O$5542,6,0)</f>
        <v>0</v>
      </c>
    </row>
    <row r="43" spans="1:17" ht="12.75" customHeight="1" x14ac:dyDescent="0.2">
      <c r="A43" s="19" t="s">
        <v>39</v>
      </c>
      <c r="B43" s="243">
        <v>2230</v>
      </c>
      <c r="C43" s="246">
        <v>2230</v>
      </c>
      <c r="D43" s="77" t="s">
        <v>104</v>
      </c>
      <c r="E43" s="20"/>
      <c r="F43" s="20"/>
      <c r="G43" s="34"/>
      <c r="H43" s="114">
        <f>IFERROR(VLOOKUP($B43&amp;-H$1,'ANZ FX'!$R:$S,2,0),0)</f>
        <v>0</v>
      </c>
      <c r="I43" s="114">
        <f>IFERROR(VLOOKUP($B43&amp;-I$1,'ANZ FX'!$R:$S,2,0),0)</f>
        <v>0</v>
      </c>
      <c r="J43" s="114">
        <f>IFERROR(VLOOKUP($B43&amp;-J$1,'ANZ FX'!$R:$S,2,0),0)</f>
        <v>0</v>
      </c>
      <c r="K43" s="114">
        <f>IFERROR(VLOOKUP($B43&amp;-K$1,'ANZ FX'!$R:$S,2,0),0)</f>
        <v>0</v>
      </c>
      <c r="L43" s="114">
        <f>IFERROR(VLOOKUP($B43&amp;-L$1,'ANZ FX'!$R:$S,2,0),0)</f>
        <v>0</v>
      </c>
      <c r="M43" s="114">
        <f>IFERROR(VLOOKUP($B43&amp;-M$1,'ANZ FX'!$R:$S,2,0),0)</f>
        <v>0</v>
      </c>
      <c r="N43" s="114">
        <f>IFERROR(VLOOKUP($B43&amp;-N$1,'ANZ FX'!$R:$S,2,0),0)</f>
        <v>0</v>
      </c>
      <c r="O43" s="114">
        <f>IFERROR(VLOOKUP($B43&amp;-O$1,'ANZ FX'!$R:$S,2,0),0)</f>
        <v>0</v>
      </c>
      <c r="P43" s="114">
        <f>IFERROR(VLOOKUP($B43&amp;-P$1,'ANZ FX'!$R:$S,2,0),0)</f>
        <v>0</v>
      </c>
      <c r="Q43" s="114">
        <f>IFERROR(VLOOKUP($B43&amp;-Q$1,'ANZ FX'!$R:$S,2,0),0)</f>
        <v>0</v>
      </c>
    </row>
    <row r="44" spans="1:17" ht="12.75" customHeight="1" x14ac:dyDescent="0.2">
      <c r="A44" s="19" t="s">
        <v>34</v>
      </c>
      <c r="B44" s="243">
        <v>2230</v>
      </c>
      <c r="C44" s="246">
        <v>2230</v>
      </c>
      <c r="D44" s="77" t="s">
        <v>104</v>
      </c>
      <c r="E44" s="20"/>
      <c r="F44" s="20"/>
      <c r="G44" s="34"/>
      <c r="H44" s="114">
        <f t="shared" ref="H44:I44" si="64">H43-H42+H41</f>
        <v>0</v>
      </c>
      <c r="I44" s="114">
        <f t="shared" si="64"/>
        <v>0</v>
      </c>
      <c r="J44" s="114">
        <f t="shared" ref="J44:K44" si="65">J43-J42+J41</f>
        <v>0</v>
      </c>
      <c r="K44" s="114">
        <f t="shared" si="65"/>
        <v>0</v>
      </c>
      <c r="L44" s="114">
        <f t="shared" ref="L44:M44" si="66">L43-L42+L41</f>
        <v>0</v>
      </c>
      <c r="M44" s="114">
        <f t="shared" si="66"/>
        <v>0</v>
      </c>
      <c r="N44" s="114">
        <f t="shared" ref="N44:O44" si="67">N43-N42+N41</f>
        <v>0</v>
      </c>
      <c r="O44" s="114">
        <f t="shared" si="67"/>
        <v>0</v>
      </c>
      <c r="P44" s="114">
        <f t="shared" ref="P44:Q44" si="68">P43-P42+P41</f>
        <v>0</v>
      </c>
      <c r="Q44" s="114">
        <f t="shared" si="68"/>
        <v>0</v>
      </c>
    </row>
    <row r="45" spans="1:17" x14ac:dyDescent="0.2">
      <c r="A45" s="19" t="s">
        <v>35</v>
      </c>
      <c r="B45" s="243">
        <v>2230</v>
      </c>
      <c r="C45" s="246">
        <v>2230</v>
      </c>
      <c r="D45" s="77" t="s">
        <v>104</v>
      </c>
      <c r="E45" s="20"/>
      <c r="F45" s="35">
        <f>COUNTIF(H45:H45,"=0")</f>
        <v>1</v>
      </c>
      <c r="G45" s="34"/>
      <c r="H45" s="114">
        <f>SUMIF('Bank Deposit List'!$K:$K,$B45&amp;-H$1,'Bank Deposit List'!$L:$L)</f>
        <v>0</v>
      </c>
      <c r="I45" s="114">
        <f>SUMIF('Bank Deposit List'!$K:$K,$B45&amp;-I$1,'Bank Deposit List'!$L:$L)</f>
        <v>0</v>
      </c>
      <c r="J45" s="114">
        <f>SUMIF('Bank Deposit List'!$K:$K,$B45&amp;-J$1,'Bank Deposit List'!$L:$L)</f>
        <v>0</v>
      </c>
      <c r="K45" s="114">
        <f>SUMIF('Bank Deposit List'!$K:$K,$B45&amp;-K$1,'Bank Deposit List'!$L:$L)</f>
        <v>0</v>
      </c>
      <c r="L45" s="114">
        <f>SUMIF('Bank Deposit List'!$K:$K,$B45&amp;-L$1,'Bank Deposit List'!$L:$L)</f>
        <v>0</v>
      </c>
      <c r="M45" s="114">
        <f>SUMIF('Bank Deposit List'!$K:$K,$B45&amp;-M$1,'Bank Deposit List'!$L:$L)</f>
        <v>0</v>
      </c>
      <c r="N45" s="114">
        <f>SUMIF('Bank Deposit List'!$K:$K,$B45&amp;-N$1,'Bank Deposit List'!$L:$L)</f>
        <v>0</v>
      </c>
      <c r="O45" s="114">
        <f>SUMIF('Bank Deposit List'!$K:$K,$B45&amp;-O$1,'Bank Deposit List'!$L:$L)</f>
        <v>0</v>
      </c>
      <c r="P45" s="114">
        <f>SUMIF('Bank Deposit List'!$K:$K,$B45&amp;-P$1,'Bank Deposit List'!$L:$L)</f>
        <v>0</v>
      </c>
      <c r="Q45" s="114">
        <f>SUMIF('Bank Deposit List'!$K:$K,$B45&amp;-Q$1,'Bank Deposit List'!$L:$L)</f>
        <v>0</v>
      </c>
    </row>
    <row r="46" spans="1:17" ht="12.75" customHeight="1" x14ac:dyDescent="0.2">
      <c r="A46" s="19" t="s">
        <v>37</v>
      </c>
      <c r="B46" s="243">
        <v>2230</v>
      </c>
      <c r="C46" s="246">
        <v>2230</v>
      </c>
      <c r="D46" s="77" t="s">
        <v>104</v>
      </c>
      <c r="E46" s="36">
        <f>(COUNT(H33:CH33)-COUNT(H35:CH35))</f>
        <v>0</v>
      </c>
      <c r="F46" s="20"/>
      <c r="G46" s="34"/>
      <c r="H46" s="114" t="str">
        <f>IFERROR(VLOOKUP($B46&amp;-H45,'Deposits AU NAB'!$L:$M,2,0),"")</f>
        <v/>
      </c>
      <c r="I46" s="114" t="str">
        <f>IFERROR(VLOOKUP($B46&amp;-I45,'Deposits AU NAB'!$L:$M,2,0),"")</f>
        <v/>
      </c>
      <c r="J46" s="114" t="str">
        <f>IFERROR(VLOOKUP($B46&amp;-J45,'Deposits AU NAB'!$L:$M,2,0),"")</f>
        <v/>
      </c>
      <c r="K46" s="114" t="str">
        <f>IFERROR(VLOOKUP($B46&amp;-K45,'Deposits AU NAB'!$L:$M,2,0),"")</f>
        <v/>
      </c>
      <c r="L46" s="114" t="str">
        <f>IFERROR(VLOOKUP($B46&amp;-L45,'Deposits AU NAB'!$L:$M,2,0),"")</f>
        <v/>
      </c>
      <c r="M46" s="114" t="str">
        <f>IFERROR(VLOOKUP($B46&amp;-M45,'Deposits AU NAB'!$L:$M,2,0),"")</f>
        <v/>
      </c>
      <c r="N46" s="114" t="str">
        <f>IFERROR(VLOOKUP($B46&amp;-N45,'Deposits AU NAB'!$L:$M,2,0),"")</f>
        <v/>
      </c>
      <c r="O46" s="114" t="str">
        <f>IFERROR(VLOOKUP($B46&amp;-O45,'Deposits AU NAB'!$L:$M,2,0),"")</f>
        <v/>
      </c>
      <c r="P46" s="114" t="str">
        <f>IFERROR(VLOOKUP($B46&amp;-P45,'Deposits AU NAB'!$L:$M,2,0),"")</f>
        <v/>
      </c>
      <c r="Q46" s="114" t="str">
        <f>IFERROR(VLOOKUP($B46&amp;-Q45,'Deposits AU NAB'!$L:$M,2,0),"")</f>
        <v/>
      </c>
    </row>
    <row r="47" spans="1:17" ht="12.75" customHeight="1" x14ac:dyDescent="0.2">
      <c r="A47" s="124" t="s">
        <v>110</v>
      </c>
      <c r="B47" s="243">
        <v>2230</v>
      </c>
      <c r="C47" s="246">
        <v>2230</v>
      </c>
      <c r="D47" s="77" t="s">
        <v>104</v>
      </c>
      <c r="E47" s="20"/>
      <c r="F47" s="20"/>
      <c r="G47" s="34">
        <f t="shared" ref="G47:G48" si="69">SUM(H47:BX47)</f>
        <v>0</v>
      </c>
      <c r="H47" s="114" t="str">
        <f t="shared" ref="H47:I47" si="70">IF(H45=0,"",H45+H43-H44)</f>
        <v/>
      </c>
      <c r="I47" s="114" t="str">
        <f t="shared" si="70"/>
        <v/>
      </c>
      <c r="J47" s="114" t="str">
        <f t="shared" ref="J47:K47" si="71">IF(J45=0,"",J45+J43-J44)</f>
        <v/>
      </c>
      <c r="K47" s="114" t="str">
        <f t="shared" si="71"/>
        <v/>
      </c>
      <c r="L47" s="114" t="str">
        <f t="shared" ref="L47:M47" si="72">IF(L45=0,"",L45+L43-L44)</f>
        <v/>
      </c>
      <c r="M47" s="114" t="str">
        <f t="shared" si="72"/>
        <v/>
      </c>
      <c r="N47" s="114" t="str">
        <f t="shared" ref="N47:O47" si="73">IF(N45=0,"",N45+N43-N44)</f>
        <v/>
      </c>
      <c r="O47" s="114" t="str">
        <f t="shared" si="73"/>
        <v/>
      </c>
      <c r="P47" s="114" t="str">
        <f t="shared" ref="P47:Q47" si="74">IF(P45=0,"",P45+P43-P44)</f>
        <v/>
      </c>
      <c r="Q47" s="114" t="str">
        <f t="shared" si="74"/>
        <v/>
      </c>
    </row>
    <row r="48" spans="1:17" ht="12.75" customHeight="1" x14ac:dyDescent="0.2">
      <c r="A48" s="19" t="s">
        <v>52</v>
      </c>
      <c r="B48" s="243">
        <v>2230</v>
      </c>
      <c r="C48" s="246">
        <v>2230</v>
      </c>
      <c r="D48" s="77" t="s">
        <v>104</v>
      </c>
      <c r="E48" s="20"/>
      <c r="F48" s="20"/>
      <c r="G48" s="34">
        <f t="shared" si="69"/>
        <v>0</v>
      </c>
      <c r="H48" s="114" t="str">
        <f t="shared" ref="H48:I48" si="75">IFERROR(H46-H45,"")</f>
        <v/>
      </c>
      <c r="I48" s="114" t="str">
        <f t="shared" si="75"/>
        <v/>
      </c>
      <c r="J48" s="114" t="str">
        <f t="shared" ref="J48:K48" si="76">IFERROR(J46-J45,"")</f>
        <v/>
      </c>
      <c r="K48" s="114" t="str">
        <f t="shared" si="76"/>
        <v/>
      </c>
      <c r="L48" s="114" t="str">
        <f t="shared" ref="L48:M48" si="77">IFERROR(L46-L45,"")</f>
        <v/>
      </c>
      <c r="M48" s="114" t="str">
        <f t="shared" si="77"/>
        <v/>
      </c>
      <c r="N48" s="114" t="str">
        <f t="shared" ref="N48:O48" si="78">IFERROR(N46-N45,"")</f>
        <v/>
      </c>
      <c r="O48" s="114" t="str">
        <f t="shared" si="78"/>
        <v/>
      </c>
      <c r="P48" s="114" t="str">
        <f t="shared" ref="P48:Q48" si="79">IFERROR(P46-P45,"")</f>
        <v/>
      </c>
      <c r="Q48" s="114" t="str">
        <f t="shared" si="79"/>
        <v/>
      </c>
    </row>
    <row r="49" spans="1:17" ht="12.75" customHeight="1" x14ac:dyDescent="0.2">
      <c r="A49" s="118"/>
      <c r="B49" s="38"/>
      <c r="C49" s="247"/>
      <c r="D49" s="118"/>
      <c r="E49" s="118"/>
      <c r="F49" s="118"/>
      <c r="G49" s="118"/>
      <c r="H49" s="119"/>
      <c r="I49" s="119"/>
      <c r="J49" s="119"/>
      <c r="K49" s="119"/>
      <c r="L49" s="119"/>
      <c r="M49" s="119"/>
      <c r="N49" s="119"/>
      <c r="O49" s="119"/>
      <c r="P49" s="119"/>
      <c r="Q49" s="119"/>
    </row>
    <row r="50" spans="1:17" ht="12.75" customHeight="1" x14ac:dyDescent="0.2">
      <c r="A50" s="19" t="s">
        <v>38</v>
      </c>
      <c r="B50" s="243">
        <v>2231</v>
      </c>
      <c r="C50" s="246">
        <v>2231</v>
      </c>
      <c r="D50" s="77" t="s">
        <v>101</v>
      </c>
      <c r="E50" s="20"/>
      <c r="F50" s="20"/>
      <c r="G50" s="34"/>
      <c r="H50" s="114">
        <f>VLOOKUP(TEXT($B50,0),[1]BankRecData!$B$1:$O$5542,7,0)-VLOOKUP(TEXT($B50,0),[1]BankRecData!$B$1:$O$5542,8,0)</f>
        <v>29.100000000000023</v>
      </c>
      <c r="I50" s="114">
        <f>VLOOKUP(TEXT($B50,0),[2]BankRecData!$B$1:$O$5542,7,0)-VLOOKUP(TEXT($B50,0),[2]BankRecData!$B$1:$O$5542,8,0)</f>
        <v>128.54999999999995</v>
      </c>
      <c r="J50" s="114">
        <f>VLOOKUP(TEXT($B50,0),[3]BankRecData!$B$1:$O$5542,7,0)-VLOOKUP(TEXT($B50,0),[3]BankRecData!$B$1:$O$5542,8,0)</f>
        <v>130.95000000000005</v>
      </c>
      <c r="K50" s="114">
        <f>VLOOKUP(TEXT($B50,0),[4]BankRecData!$B$1:$O$5542,7,0)-VLOOKUP(TEXT($B50,0),[4]BankRecData!$B$1:$O$5542,8,0)</f>
        <v>16.350000000000023</v>
      </c>
      <c r="L50" s="114">
        <f>VLOOKUP(TEXT($B50,0),[5]BankRecData!$B$1:$O$5542,7,0)-VLOOKUP(TEXT($B50,0),[5]BankRecData!$B$1:$O$5542,8,0)</f>
        <v>0</v>
      </c>
      <c r="M50" s="114">
        <f>VLOOKUP(TEXT($B50,0),[6]BankRecData!$B$1:$O$5542,7,0)-VLOOKUP(TEXT($B50,0),[6]BankRecData!$B$1:$O$5542,8,0)</f>
        <v>0</v>
      </c>
      <c r="N50" s="114">
        <f>VLOOKUP(TEXT($B50,0),[7]BankRecData!$B$1:$O$5542,7,0)-VLOOKUP(TEXT($B50,0),[7]BankRecData!$B$1:$O$5542,8,0)</f>
        <v>50.75</v>
      </c>
      <c r="O50" s="114">
        <f>VLOOKUP(TEXT($B50,0),[8]BankRecData!$B$1:$O$5542,7,0)-VLOOKUP(TEXT($B50,0),[8]BankRecData!$B$1:$O$5542,8,0)</f>
        <v>191.39999999999998</v>
      </c>
      <c r="P50" s="114">
        <f>VLOOKUP(TEXT($B50,0),[9]BankRecData!$B$1:$O$5542,7,0)-VLOOKUP(TEXT($B50,0),[9]BankRecData!$B$1:$O$5542,8,0)</f>
        <v>119.04999999999995</v>
      </c>
      <c r="Q50" s="114">
        <f>VLOOKUP(TEXT($B50,0),[10]BankRecData!$B$1:$O$5542,7,0)-VLOOKUP(TEXT($B50,0),[10]BankRecData!$B$1:$O$5542,8,0)</f>
        <v>0</v>
      </c>
    </row>
    <row r="51" spans="1:17" ht="12.75" customHeight="1" x14ac:dyDescent="0.2">
      <c r="A51" s="19" t="s">
        <v>40</v>
      </c>
      <c r="B51" s="243">
        <v>2231</v>
      </c>
      <c r="C51" s="246">
        <v>2231</v>
      </c>
      <c r="D51" s="77" t="s">
        <v>101</v>
      </c>
      <c r="E51" s="20"/>
      <c r="F51" s="20"/>
      <c r="G51" s="34"/>
      <c r="H51" s="114">
        <f>VLOOKUP(TEXT($B51,0),[1]BankRecData!$B$1:$O$5542,6,0)</f>
        <v>0</v>
      </c>
      <c r="I51" s="114">
        <f>VLOOKUP(TEXT($B51,0),[2]BankRecData!$B$1:$O$5542,6,0)</f>
        <v>0</v>
      </c>
      <c r="J51" s="114">
        <f>VLOOKUP(TEXT($B51,0),[3]BankRecData!$B$1:$O$5542,6,0)</f>
        <v>0</v>
      </c>
      <c r="K51" s="114">
        <f>VLOOKUP(TEXT($B51,0),[4]BankRecData!$B$1:$O$5542,6,0)</f>
        <v>0</v>
      </c>
      <c r="L51" s="114">
        <f>VLOOKUP(TEXT($B51,0),[5]BankRecData!$B$1:$O$5542,6,0)</f>
        <v>0</v>
      </c>
      <c r="M51" s="114">
        <f>VLOOKUP(TEXT($B51,0),[6]BankRecData!$B$1:$O$5542,6,0)</f>
        <v>0</v>
      </c>
      <c r="N51" s="114">
        <f>VLOOKUP(TEXT($B51,0),[7]BankRecData!$B$1:$O$5542,6,0)</f>
        <v>0</v>
      </c>
      <c r="O51" s="114">
        <f>VLOOKUP(TEXT($B51,0),[8]BankRecData!$B$1:$O$5542,6,0)</f>
        <v>0</v>
      </c>
      <c r="P51" s="114">
        <f>VLOOKUP(TEXT($B51,0),[9]BankRecData!$B$1:$O$5542,6,0)</f>
        <v>0</v>
      </c>
      <c r="Q51" s="114">
        <f>VLOOKUP(TEXT($B51,0),[10]BankRecData!$B$1:$O$5542,6,0)</f>
        <v>0</v>
      </c>
    </row>
    <row r="52" spans="1:17" ht="12.75" customHeight="1" x14ac:dyDescent="0.2">
      <c r="A52" s="19" t="s">
        <v>39</v>
      </c>
      <c r="B52" s="243">
        <v>2231</v>
      </c>
      <c r="C52" s="246">
        <v>2231</v>
      </c>
      <c r="D52" s="77" t="s">
        <v>101</v>
      </c>
      <c r="E52" s="20"/>
      <c r="F52" s="20"/>
      <c r="G52" s="34"/>
      <c r="H52" s="114">
        <f>IFERROR(VLOOKUP($B52&amp;-H$1,'ANZ FX'!$R:$S,2,0),0)</f>
        <v>0</v>
      </c>
      <c r="I52" s="114">
        <f>IFERROR(VLOOKUP($B52&amp;-I$1,'ANZ FX'!$R:$S,2,0),0)</f>
        <v>0</v>
      </c>
      <c r="J52" s="114">
        <f>IFERROR(VLOOKUP($B52&amp;-J$1,'ANZ FX'!$R:$S,2,0),0)</f>
        <v>0</v>
      </c>
      <c r="K52" s="114">
        <f>IFERROR(VLOOKUP($B52&amp;-K$1,'ANZ FX'!$R:$S,2,0),0)</f>
        <v>0</v>
      </c>
      <c r="L52" s="114">
        <f>IFERROR(VLOOKUP($B52&amp;-L$1,'ANZ FX'!$R:$S,2,0),0)</f>
        <v>0</v>
      </c>
      <c r="M52" s="114">
        <f>IFERROR(VLOOKUP($B52&amp;-M$1,'ANZ FX'!$R:$S,2,0),0)</f>
        <v>0</v>
      </c>
      <c r="N52" s="114">
        <f>IFERROR(VLOOKUP($B52&amp;-N$1,'ANZ FX'!$R:$S,2,0),0)</f>
        <v>0</v>
      </c>
      <c r="O52" s="114">
        <f>IFERROR(VLOOKUP($B52&amp;-O$1,'ANZ FX'!$R:$S,2,0),0)</f>
        <v>0</v>
      </c>
      <c r="P52" s="114">
        <f>IFERROR(VLOOKUP($B52&amp;-P$1,'ANZ FX'!$R:$S,2,0),0)</f>
        <v>0</v>
      </c>
      <c r="Q52" s="114">
        <f>IFERROR(VLOOKUP($B52&amp;-Q$1,'ANZ FX'!$R:$S,2,0),0)</f>
        <v>0</v>
      </c>
    </row>
    <row r="53" spans="1:17" ht="12.75" customHeight="1" x14ac:dyDescent="0.2">
      <c r="A53" s="19" t="s">
        <v>34</v>
      </c>
      <c r="B53" s="243">
        <v>2231</v>
      </c>
      <c r="C53" s="246">
        <v>2231</v>
      </c>
      <c r="D53" s="77" t="s">
        <v>101</v>
      </c>
      <c r="E53" s="20"/>
      <c r="F53" s="20"/>
      <c r="G53" s="130"/>
      <c r="H53" s="114">
        <f t="shared" ref="H53:I53" si="80">H52-H51+H50</f>
        <v>29.100000000000023</v>
      </c>
      <c r="I53" s="114">
        <f t="shared" si="80"/>
        <v>128.54999999999995</v>
      </c>
      <c r="J53" s="114">
        <f t="shared" ref="J53:K53" si="81">J52-J51+J50</f>
        <v>130.95000000000005</v>
      </c>
      <c r="K53" s="114">
        <f t="shared" si="81"/>
        <v>16.350000000000023</v>
      </c>
      <c r="L53" s="114">
        <f t="shared" ref="L53:M53" si="82">L52-L51+L50</f>
        <v>0</v>
      </c>
      <c r="M53" s="114">
        <f t="shared" si="82"/>
        <v>0</v>
      </c>
      <c r="N53" s="114">
        <f t="shared" ref="N53:O53" si="83">N52-N51+N50</f>
        <v>50.75</v>
      </c>
      <c r="O53" s="114">
        <f t="shared" si="83"/>
        <v>191.39999999999998</v>
      </c>
      <c r="P53" s="114">
        <f t="shared" ref="P53:Q53" si="84">P52-P51+P50</f>
        <v>119.04999999999995</v>
      </c>
      <c r="Q53" s="114">
        <f t="shared" si="84"/>
        <v>0</v>
      </c>
    </row>
    <row r="54" spans="1:17" x14ac:dyDescent="0.2">
      <c r="A54" s="19" t="s">
        <v>35</v>
      </c>
      <c r="B54" s="243">
        <v>2231</v>
      </c>
      <c r="C54" s="246">
        <v>2231</v>
      </c>
      <c r="D54" s="77" t="s">
        <v>101</v>
      </c>
      <c r="E54" s="20"/>
      <c r="F54" s="35">
        <f>COUNTIF(H54:H54,"=0")</f>
        <v>1</v>
      </c>
      <c r="G54" s="34"/>
      <c r="H54" s="114">
        <f>SUMIF('Bank Deposit List'!$K:$K,$B54&amp;-H$1,'Bank Deposit List'!$L:$L)</f>
        <v>0</v>
      </c>
      <c r="I54" s="114">
        <f>SUMIF('Bank Deposit List'!$K:$K,$B54&amp;-I$1,'Bank Deposit List'!$L:$L)</f>
        <v>0</v>
      </c>
      <c r="J54" s="114">
        <f>SUMIF('Bank Deposit List'!$K:$K,$B54&amp;-J$1,'Bank Deposit List'!$L:$L)</f>
        <v>0</v>
      </c>
      <c r="K54" s="114">
        <f>SUMIF('Bank Deposit List'!$K:$K,$B54&amp;-K$1,'Bank Deposit List'!$L:$L)</f>
        <v>0</v>
      </c>
      <c r="L54" s="114">
        <f>SUMIF('Bank Deposit List'!$K:$K,$B54&amp;-L$1,'Bank Deposit List'!$L:$L)</f>
        <v>0</v>
      </c>
      <c r="M54" s="114">
        <f>SUMIF('Bank Deposit List'!$K:$K,$B54&amp;-M$1,'Bank Deposit List'!$L:$L)</f>
        <v>0</v>
      </c>
      <c r="N54" s="114">
        <f>SUMIF('Bank Deposit List'!$K:$K,$B54&amp;-N$1,'Bank Deposit List'!$L:$L)</f>
        <v>0</v>
      </c>
      <c r="O54" s="114">
        <f>SUMIF('Bank Deposit List'!$K:$K,$B54&amp;-O$1,'Bank Deposit List'!$L:$L)</f>
        <v>0</v>
      </c>
      <c r="P54" s="114">
        <f>SUMIF('Bank Deposit List'!$K:$K,$B54&amp;-P$1,'Bank Deposit List'!$L:$L)</f>
        <v>0</v>
      </c>
      <c r="Q54" s="114">
        <f>SUMIF('Bank Deposit List'!$K:$K,$B54&amp;-Q$1,'Bank Deposit List'!$L:$L)</f>
        <v>0</v>
      </c>
    </row>
    <row r="55" spans="1:17" ht="12.75" customHeight="1" x14ac:dyDescent="0.2">
      <c r="A55" s="19" t="s">
        <v>37</v>
      </c>
      <c r="B55" s="243">
        <v>2231</v>
      </c>
      <c r="C55" s="246">
        <v>2231</v>
      </c>
      <c r="D55" s="77" t="s">
        <v>101</v>
      </c>
      <c r="E55" s="36">
        <f>(COUNT(H42:CH42)-COUNT(H44:CH44))</f>
        <v>0</v>
      </c>
      <c r="F55" s="20"/>
      <c r="G55" s="34"/>
      <c r="H55" s="114" t="str">
        <f>IFERROR(VLOOKUP($B55&amp;-H54,'Deposits AU NAB'!$L:$M,2,0),"")</f>
        <v/>
      </c>
      <c r="I55" s="114" t="str">
        <f>IFERROR(VLOOKUP($B55&amp;-I54,'Deposits AU NAB'!$L:$M,2,0),"")</f>
        <v/>
      </c>
      <c r="J55" s="114" t="str">
        <f>IFERROR(VLOOKUP($B55&amp;-J54,'Deposits AU NAB'!$L:$M,2,0),"")</f>
        <v/>
      </c>
      <c r="K55" s="114" t="str">
        <f>IFERROR(VLOOKUP($B55&amp;-K54,'Deposits AU NAB'!$L:$M,2,0),"")</f>
        <v/>
      </c>
      <c r="L55" s="114" t="str">
        <f>IFERROR(VLOOKUP($B55&amp;-L54,'Deposits AU NAB'!$L:$M,2,0),"")</f>
        <v/>
      </c>
      <c r="M55" s="114" t="str">
        <f>IFERROR(VLOOKUP($B55&amp;-M54,'Deposits AU NAB'!$L:$M,2,0),"")</f>
        <v/>
      </c>
      <c r="N55" s="114" t="str">
        <f>IFERROR(VLOOKUP($B55&amp;-N54,'Deposits AU NAB'!$L:$M,2,0),"")</f>
        <v/>
      </c>
      <c r="O55" s="114" t="str">
        <f>IFERROR(VLOOKUP($B55&amp;-O54,'Deposits AU NAB'!$L:$M,2,0),"")</f>
        <v/>
      </c>
      <c r="P55" s="114" t="str">
        <f>IFERROR(VLOOKUP($B55&amp;-P54,'Deposits AU NAB'!$L:$M,2,0),"")</f>
        <v/>
      </c>
      <c r="Q55" s="114" t="str">
        <f>IFERROR(VLOOKUP($B55&amp;-Q54,'Deposits AU NAB'!$L:$M,2,0),"")</f>
        <v/>
      </c>
    </row>
    <row r="56" spans="1:17" ht="12.75" customHeight="1" x14ac:dyDescent="0.2">
      <c r="A56" s="124" t="s">
        <v>110</v>
      </c>
      <c r="B56" s="243">
        <v>2231</v>
      </c>
      <c r="C56" s="246">
        <v>2231</v>
      </c>
      <c r="D56" s="77" t="s">
        <v>101</v>
      </c>
      <c r="E56" s="20"/>
      <c r="F56" s="20"/>
      <c r="G56" s="34">
        <f t="shared" ref="G56:G57" si="85">SUM(H56:BX56)</f>
        <v>0</v>
      </c>
      <c r="H56" s="114" t="str">
        <f t="shared" ref="H56:I56" si="86">IF(H54=0,"",H54+H52-H53)</f>
        <v/>
      </c>
      <c r="I56" s="114" t="str">
        <f t="shared" si="86"/>
        <v/>
      </c>
      <c r="J56" s="114" t="str">
        <f t="shared" ref="J56:K56" si="87">IF(J54=0,"",J54+J52-J53)</f>
        <v/>
      </c>
      <c r="K56" s="114" t="str">
        <f t="shared" si="87"/>
        <v/>
      </c>
      <c r="L56" s="114" t="str">
        <f t="shared" ref="L56:M56" si="88">IF(L54=0,"",L54+L52-L53)</f>
        <v/>
      </c>
      <c r="M56" s="114" t="str">
        <f t="shared" si="88"/>
        <v/>
      </c>
      <c r="N56" s="114" t="str">
        <f t="shared" ref="N56:O56" si="89">IF(N54=0,"",N54+N52-N53)</f>
        <v/>
      </c>
      <c r="O56" s="114" t="str">
        <f t="shared" si="89"/>
        <v/>
      </c>
      <c r="P56" s="114" t="str">
        <f t="shared" ref="P56:Q56" si="90">IF(P54=0,"",P54+P52-P53)</f>
        <v/>
      </c>
      <c r="Q56" s="114" t="str">
        <f t="shared" si="90"/>
        <v/>
      </c>
    </row>
    <row r="57" spans="1:17" ht="12.75" customHeight="1" x14ac:dyDescent="0.2">
      <c r="A57" s="19" t="s">
        <v>52</v>
      </c>
      <c r="B57" s="243">
        <v>2231</v>
      </c>
      <c r="C57" s="246">
        <v>2231</v>
      </c>
      <c r="D57" s="77" t="s">
        <v>101</v>
      </c>
      <c r="E57" s="20"/>
      <c r="F57" s="20"/>
      <c r="G57" s="34">
        <f t="shared" si="85"/>
        <v>0</v>
      </c>
      <c r="H57" s="114" t="str">
        <f t="shared" ref="H57:I57" si="91">IFERROR(H55-H54,"")</f>
        <v/>
      </c>
      <c r="I57" s="114" t="str">
        <f t="shared" si="91"/>
        <v/>
      </c>
      <c r="J57" s="114" t="str">
        <f t="shared" ref="J57:K57" si="92">IFERROR(J55-J54,"")</f>
        <v/>
      </c>
      <c r="K57" s="114" t="str">
        <f t="shared" si="92"/>
        <v/>
      </c>
      <c r="L57" s="114" t="str">
        <f t="shared" ref="L57:M57" si="93">IFERROR(L55-L54,"")</f>
        <v/>
      </c>
      <c r="M57" s="114" t="str">
        <f t="shared" si="93"/>
        <v/>
      </c>
      <c r="N57" s="114" t="str">
        <f t="shared" ref="N57:O57" si="94">IFERROR(N55-N54,"")</f>
        <v/>
      </c>
      <c r="O57" s="114" t="str">
        <f t="shared" si="94"/>
        <v/>
      </c>
      <c r="P57" s="114" t="str">
        <f t="shared" ref="P57:Q57" si="95">IFERROR(P55-P54,"")</f>
        <v/>
      </c>
      <c r="Q57" s="114" t="str">
        <f t="shared" si="95"/>
        <v/>
      </c>
    </row>
    <row r="58" spans="1:17" ht="12.75" customHeight="1" x14ac:dyDescent="0.2">
      <c r="A58" s="38" t="s">
        <v>38</v>
      </c>
      <c r="B58" s="70"/>
      <c r="C58" s="245"/>
      <c r="D58" s="40"/>
      <c r="E58" s="41"/>
      <c r="F58" s="41"/>
      <c r="G58" s="42"/>
      <c r="H58" s="115"/>
      <c r="I58" s="115"/>
      <c r="J58" s="115"/>
      <c r="K58" s="115"/>
      <c r="L58" s="115"/>
      <c r="M58" s="115"/>
      <c r="N58" s="115"/>
      <c r="O58" s="115"/>
      <c r="P58" s="115"/>
      <c r="Q58" s="115"/>
    </row>
    <row r="59" spans="1:17" ht="12.75" customHeight="1" x14ac:dyDescent="0.2">
      <c r="A59" s="38"/>
      <c r="B59" s="70"/>
      <c r="C59" s="245"/>
      <c r="D59" s="40"/>
      <c r="E59" s="41"/>
      <c r="F59" s="41"/>
      <c r="G59" s="42"/>
      <c r="H59" s="115"/>
      <c r="I59" s="115"/>
      <c r="J59" s="115"/>
      <c r="K59" s="115"/>
      <c r="L59" s="115"/>
      <c r="M59" s="115"/>
      <c r="N59" s="115"/>
      <c r="O59" s="115"/>
      <c r="P59" s="115"/>
      <c r="Q59" s="115"/>
    </row>
    <row r="60" spans="1:17" ht="12.75" customHeight="1" x14ac:dyDescent="0.2">
      <c r="A60" s="19" t="s">
        <v>38</v>
      </c>
      <c r="B60" s="71">
        <v>2450</v>
      </c>
      <c r="C60" s="246">
        <v>450</v>
      </c>
      <c r="D60" s="18" t="s">
        <v>68</v>
      </c>
      <c r="E60" s="20"/>
      <c r="F60" s="20"/>
      <c r="G60" s="34"/>
      <c r="H60" s="114">
        <f>VLOOKUP(TEXT($B60,0),[1]BankRecData!$B$1:$O$5542,7,0)-VLOOKUP(TEXT($B60,0),[1]BankRecData!$B$1:$O$5542,8,0)</f>
        <v>318.75</v>
      </c>
      <c r="I60" s="114">
        <f>VLOOKUP(TEXT($B60,0),[2]BankRecData!$B$1:$O$5542,7,0)-VLOOKUP(TEXT($B60,0),[2]BankRecData!$B$1:$O$5542,8,0)</f>
        <v>362.85</v>
      </c>
      <c r="J60" s="114">
        <f>VLOOKUP(TEXT($B60,0),[3]BankRecData!$B$1:$O$5542,7,0)-VLOOKUP(TEXT($B60,0),[3]BankRecData!$B$1:$O$5542,8,0)</f>
        <v>431.65</v>
      </c>
      <c r="K60" s="114">
        <f>VLOOKUP(TEXT($B60,0),[4]BankRecData!$B$1:$O$5542,7,0)-VLOOKUP(TEXT($B60,0),[4]BankRecData!$B$1:$O$5542,8,0)</f>
        <v>741.75</v>
      </c>
      <c r="L60" s="114">
        <f>VLOOKUP(TEXT($B60,0),[5]BankRecData!$B$1:$O$5542,7,0)-VLOOKUP(TEXT($B60,0),[5]BankRecData!$B$1:$O$5542,8,0)</f>
        <v>162.64999999999998</v>
      </c>
      <c r="M60" s="114">
        <f>VLOOKUP(TEXT($B60,0),[6]BankRecData!$B$1:$O$5542,7,0)-VLOOKUP(TEXT($B60,0),[6]BankRecData!$B$1:$O$5542,8,0)</f>
        <v>279.29999999999995</v>
      </c>
      <c r="N60" s="114">
        <f>VLOOKUP(TEXT($B60,0),[7]BankRecData!$B$1:$O$5542,7,0)-VLOOKUP(TEXT($B60,0),[7]BankRecData!$B$1:$O$5542,8,0)</f>
        <v>538.35</v>
      </c>
      <c r="O60" s="114">
        <f>VLOOKUP(TEXT($B60,0),[8]BankRecData!$B$1:$O$5542,7,0)-VLOOKUP(TEXT($B60,0),[8]BankRecData!$B$1:$O$5542,8,0)</f>
        <v>211.5</v>
      </c>
      <c r="P60" s="114">
        <f>VLOOKUP(TEXT($B60,0),[9]BankRecData!$B$1:$O$5542,7,0)-VLOOKUP(TEXT($B60,0),[9]BankRecData!$B$1:$O$5542,8,0)</f>
        <v>340.04999999999995</v>
      </c>
      <c r="Q60" s="114">
        <f>VLOOKUP(TEXT($B60,0),[10]BankRecData!$B$1:$O$5542,7,0)-VLOOKUP(TEXT($B60,0),[10]BankRecData!$B$1:$O$5542,8,0)</f>
        <v>423.5</v>
      </c>
    </row>
    <row r="61" spans="1:17" ht="12.75" customHeight="1" x14ac:dyDescent="0.2">
      <c r="A61" s="19" t="s">
        <v>40</v>
      </c>
      <c r="B61" s="71">
        <v>2450</v>
      </c>
      <c r="C61" s="246">
        <v>450</v>
      </c>
      <c r="D61" s="18" t="s">
        <v>68</v>
      </c>
      <c r="E61" s="20"/>
      <c r="F61" s="20"/>
      <c r="G61" s="34"/>
      <c r="H61" s="114">
        <f>VLOOKUP(TEXT($B61,0),[1]BankRecData!$B$1:$O$5542,6,0)</f>
        <v>0</v>
      </c>
      <c r="I61" s="114">
        <f>VLOOKUP(TEXT($B61,0),[2]BankRecData!$B$1:$O$5542,6,0)</f>
        <v>0</v>
      </c>
      <c r="J61" s="114">
        <f>VLOOKUP(TEXT($B61,0),[3]BankRecData!$B$1:$O$5542,6,0)</f>
        <v>0</v>
      </c>
      <c r="K61" s="114">
        <f>VLOOKUP(TEXT($B61,0),[4]BankRecData!$B$1:$O$5542,6,0)</f>
        <v>0</v>
      </c>
      <c r="L61" s="114">
        <f>VLOOKUP(TEXT($B61,0),[5]BankRecData!$B$1:$O$5542,6,0)</f>
        <v>0</v>
      </c>
      <c r="M61" s="114">
        <f>VLOOKUP(TEXT($B61,0),[6]BankRecData!$B$1:$O$5542,6,0)</f>
        <v>0</v>
      </c>
      <c r="N61" s="114">
        <f>VLOOKUP(TEXT($B61,0),[7]BankRecData!$B$1:$O$5542,6,0)</f>
        <v>0</v>
      </c>
      <c r="O61" s="114">
        <f>VLOOKUP(TEXT($B61,0),[8]BankRecData!$B$1:$O$5542,6,0)</f>
        <v>0</v>
      </c>
      <c r="P61" s="114">
        <f>VLOOKUP(TEXT($B61,0),[9]BankRecData!$B$1:$O$5542,6,0)</f>
        <v>0</v>
      </c>
      <c r="Q61" s="114">
        <f>VLOOKUP(TEXT($B61,0),[10]BankRecData!$B$1:$O$5542,6,0)</f>
        <v>0</v>
      </c>
    </row>
    <row r="62" spans="1:17" ht="12.75" customHeight="1" x14ac:dyDescent="0.2">
      <c r="A62" s="19" t="s">
        <v>39</v>
      </c>
      <c r="B62" s="71">
        <v>2450</v>
      </c>
      <c r="C62" s="246">
        <v>450</v>
      </c>
      <c r="D62" s="18" t="s">
        <v>68</v>
      </c>
      <c r="E62" s="20"/>
      <c r="F62" s="20"/>
      <c r="G62" s="34"/>
      <c r="H62" s="114">
        <f>IFERROR(VLOOKUP($B62&amp;-H$1,FX!$U:$V,2,0),0)</f>
        <v>0</v>
      </c>
      <c r="I62" s="114">
        <f>IFERROR(VLOOKUP($B62&amp;-I$1,FX!$U:$V,2,0),0)</f>
        <v>0</v>
      </c>
      <c r="J62" s="114">
        <f>IFERROR(VLOOKUP($B62&amp;-J$1,FX!$U:$V,2,0),0)</f>
        <v>0</v>
      </c>
      <c r="K62" s="114">
        <f>IFERROR(VLOOKUP($B62&amp;-K$1,FX!$U:$V,2,0),0)</f>
        <v>0</v>
      </c>
      <c r="L62" s="114">
        <f>IFERROR(VLOOKUP($B62&amp;-L$1,FX!$U:$V,2,0),0)</f>
        <v>0</v>
      </c>
      <c r="M62" s="114">
        <f>IFERROR(VLOOKUP($B62&amp;-M$1,FX!$U:$V,2,0),0)</f>
        <v>0</v>
      </c>
      <c r="N62" s="114">
        <f>IFERROR(VLOOKUP($B62&amp;-N$1,FX!$U:$V,2,0),0)</f>
        <v>0</v>
      </c>
      <c r="O62" s="114">
        <f>IFERROR(VLOOKUP($B62&amp;-O$1,FX!$U:$V,2,0),0)</f>
        <v>0</v>
      </c>
      <c r="P62" s="114">
        <f>IFERROR(VLOOKUP($B62&amp;-P$1,FX!$U:$V,2,0),0)</f>
        <v>0</v>
      </c>
      <c r="Q62" s="114">
        <f>IFERROR(VLOOKUP($B62&amp;-Q$1,FX!$U:$V,2,0),0)</f>
        <v>0</v>
      </c>
    </row>
    <row r="63" spans="1:17" x14ac:dyDescent="0.2">
      <c r="A63" s="19" t="s">
        <v>34</v>
      </c>
      <c r="B63" s="71">
        <v>2450</v>
      </c>
      <c r="C63" s="246">
        <v>450</v>
      </c>
      <c r="D63" s="18" t="s">
        <v>68</v>
      </c>
      <c r="E63" s="20"/>
      <c r="F63" s="20"/>
      <c r="G63" s="34"/>
      <c r="H63" s="114">
        <f t="shared" ref="H63:I63" si="96">H62-H61+H60</f>
        <v>318.75</v>
      </c>
      <c r="I63" s="114">
        <f t="shared" si="96"/>
        <v>362.85</v>
      </c>
      <c r="J63" s="114">
        <f t="shared" ref="J63:K63" si="97">J62-J61+J60</f>
        <v>431.65</v>
      </c>
      <c r="K63" s="114">
        <f t="shared" si="97"/>
        <v>741.75</v>
      </c>
      <c r="L63" s="114">
        <f t="shared" ref="L63:M63" si="98">L62-L61+L60</f>
        <v>162.64999999999998</v>
      </c>
      <c r="M63" s="114">
        <f t="shared" si="98"/>
        <v>279.29999999999995</v>
      </c>
      <c r="N63" s="114">
        <f t="shared" ref="N63:O63" si="99">N62-N61+N60</f>
        <v>538.35</v>
      </c>
      <c r="O63" s="114">
        <f t="shared" si="99"/>
        <v>211.5</v>
      </c>
      <c r="P63" s="114">
        <f t="shared" ref="P63:Q63" si="100">P62-P61+P60</f>
        <v>340.04999999999995</v>
      </c>
      <c r="Q63" s="114">
        <f t="shared" si="100"/>
        <v>423.5</v>
      </c>
    </row>
    <row r="64" spans="1:17" ht="12.75" customHeight="1" x14ac:dyDescent="0.2">
      <c r="A64" s="19" t="s">
        <v>35</v>
      </c>
      <c r="B64" s="71">
        <v>2450</v>
      </c>
      <c r="C64" s="246">
        <v>450</v>
      </c>
      <c r="D64" s="18" t="s">
        <v>68</v>
      </c>
      <c r="E64" s="20"/>
      <c r="F64" s="35">
        <f>COUNTIF(H64:H64,"=0")</f>
        <v>1</v>
      </c>
      <c r="G64" s="57"/>
      <c r="H64" s="114">
        <f>SUMIF('Bank Deposit List'!$K:$K,$B64&amp;-H$1,'Bank Deposit List'!$L:$L)</f>
        <v>0</v>
      </c>
      <c r="I64" s="114">
        <f>SUMIF('Bank Deposit List'!$K:$K,$B64&amp;-I$1,'Bank Deposit List'!$L:$L)</f>
        <v>0</v>
      </c>
      <c r="J64" s="114">
        <f>SUMIF('Bank Deposit List'!$K:$K,$B64&amp;-J$1,'Bank Deposit List'!$L:$L)</f>
        <v>0</v>
      </c>
      <c r="K64" s="114">
        <f>SUMIF('Bank Deposit List'!$K:$K,$B64&amp;-K$1,'Bank Deposit List'!$L:$L)</f>
        <v>0</v>
      </c>
      <c r="L64" s="114">
        <f>SUMIF('Bank Deposit List'!$K:$K,$B64&amp;-L$1,'Bank Deposit List'!$L:$L)</f>
        <v>0</v>
      </c>
      <c r="M64" s="114">
        <f>SUMIF('Bank Deposit List'!$K:$K,$B64&amp;-M$1,'Bank Deposit List'!$L:$L)</f>
        <v>0</v>
      </c>
      <c r="N64" s="114">
        <f>SUMIF('Bank Deposit List'!$K:$K,$B64&amp;-N$1,'Bank Deposit List'!$L:$L)</f>
        <v>0</v>
      </c>
      <c r="O64" s="114">
        <f>SUMIF('Bank Deposit List'!$K:$K,$B64&amp;-O$1,'Bank Deposit List'!$L:$L)</f>
        <v>0</v>
      </c>
      <c r="P64" s="114">
        <f>SUMIF('Bank Deposit List'!$K:$K,$B64&amp;-P$1,'Bank Deposit List'!$L:$L)</f>
        <v>0</v>
      </c>
      <c r="Q64" s="114">
        <f>SUMIF('Bank Deposit List'!$K:$K,$B64&amp;-Q$1,'Bank Deposit List'!$L:$L)</f>
        <v>0</v>
      </c>
    </row>
    <row r="65" spans="1:17" ht="12.75" customHeight="1" x14ac:dyDescent="0.2">
      <c r="A65" s="19" t="s">
        <v>37</v>
      </c>
      <c r="B65" s="71">
        <v>2450</v>
      </c>
      <c r="C65" s="246">
        <v>450</v>
      </c>
      <c r="D65" s="18" t="s">
        <v>68</v>
      </c>
      <c r="E65" s="36">
        <f>(COUNT(H51:CH51)-COUNT(H53:CH53))</f>
        <v>0</v>
      </c>
      <c r="F65" s="37"/>
      <c r="G65" s="34"/>
      <c r="H65" s="114" t="str">
        <f>IFERROR(VLOOKUP($B65&amp;-H64,'Deposits AU NAB'!$L:$M,2,0),"")</f>
        <v/>
      </c>
      <c r="I65" s="114" t="str">
        <f>IFERROR(VLOOKUP($B65&amp;-I64,'Deposits AU NAB'!$L:$M,2,0),"")</f>
        <v/>
      </c>
      <c r="J65" s="114" t="str">
        <f>IFERROR(VLOOKUP($B65&amp;-J64,'Deposits AU NAB'!$L:$M,2,0),"")</f>
        <v/>
      </c>
      <c r="K65" s="114" t="str">
        <f>IFERROR(VLOOKUP($B65&amp;-K64,'Deposits AU NAB'!$L:$M,2,0),"")</f>
        <v/>
      </c>
      <c r="L65" s="114" t="str">
        <f>IFERROR(VLOOKUP($B65&amp;-L64,'Deposits AU NAB'!$L:$M,2,0),"")</f>
        <v/>
      </c>
      <c r="M65" s="114" t="str">
        <f>IFERROR(VLOOKUP($B65&amp;-M64,'Deposits AU NAB'!$L:$M,2,0),"")</f>
        <v/>
      </c>
      <c r="N65" s="114" t="str">
        <f>IFERROR(VLOOKUP($B65&amp;-N64,'Deposits AU NAB'!$L:$M,2,0),"")</f>
        <v/>
      </c>
      <c r="O65" s="114" t="str">
        <f>IFERROR(VLOOKUP($B65&amp;-O64,'Deposits AU NAB'!$L:$M,2,0),"")</f>
        <v/>
      </c>
      <c r="P65" s="114" t="str">
        <f>IFERROR(VLOOKUP($B65&amp;-P64,'Deposits AU NAB'!$L:$M,2,0),"")</f>
        <v/>
      </c>
      <c r="Q65" s="114" t="str">
        <f>IFERROR(VLOOKUP($B65&amp;-Q64,'Deposits AU NAB'!$L:$M,2,0),"")</f>
        <v/>
      </c>
    </row>
    <row r="66" spans="1:17" ht="12.75" customHeight="1" x14ac:dyDescent="0.2">
      <c r="A66" s="19" t="s">
        <v>51</v>
      </c>
      <c r="B66" s="71">
        <v>2450</v>
      </c>
      <c r="C66" s="246">
        <v>450</v>
      </c>
      <c r="D66" s="18" t="s">
        <v>68</v>
      </c>
      <c r="E66" s="36"/>
      <c r="F66" s="37"/>
      <c r="G66" s="34">
        <f t="shared" ref="G66:G67" si="101">SUM(H66:BX66)</f>
        <v>0</v>
      </c>
      <c r="H66" s="114" t="str">
        <f t="shared" ref="H66:I66" si="102">IF(H64=0,"",H64-H63)</f>
        <v/>
      </c>
      <c r="I66" s="114" t="str">
        <f t="shared" si="102"/>
        <v/>
      </c>
      <c r="J66" s="114" t="str">
        <f t="shared" ref="J66:K66" si="103">IF(J64=0,"",J64-J63)</f>
        <v/>
      </c>
      <c r="K66" s="114" t="str">
        <f t="shared" si="103"/>
        <v/>
      </c>
      <c r="L66" s="114" t="str">
        <f t="shared" ref="L66:M66" si="104">IF(L64=0,"",L64-L63)</f>
        <v/>
      </c>
      <c r="M66" s="114" t="str">
        <f t="shared" si="104"/>
        <v/>
      </c>
      <c r="N66" s="114" t="str">
        <f t="shared" ref="N66:O66" si="105">IF(N64=0,"",N64-N63)</f>
        <v/>
      </c>
      <c r="O66" s="114" t="str">
        <f t="shared" si="105"/>
        <v/>
      </c>
      <c r="P66" s="114" t="str">
        <f t="shared" ref="P66:Q66" si="106">IF(P64=0,"",P64-P63)</f>
        <v/>
      </c>
      <c r="Q66" s="114" t="str">
        <f t="shared" si="106"/>
        <v/>
      </c>
    </row>
    <row r="67" spans="1:17" ht="12.75" customHeight="1" x14ac:dyDescent="0.2">
      <c r="A67" s="19" t="s">
        <v>52</v>
      </c>
      <c r="B67" s="71">
        <v>2450</v>
      </c>
      <c r="C67" s="246">
        <v>450</v>
      </c>
      <c r="D67" s="18" t="s">
        <v>68</v>
      </c>
      <c r="E67" s="20"/>
      <c r="F67" s="20"/>
      <c r="G67" s="34">
        <f t="shared" si="101"/>
        <v>0</v>
      </c>
      <c r="H67" s="114" t="str">
        <f t="shared" ref="H67:I67" si="107">IFERROR(H65-H64,"")</f>
        <v/>
      </c>
      <c r="I67" s="114" t="str">
        <f t="shared" si="107"/>
        <v/>
      </c>
      <c r="J67" s="114" t="str">
        <f t="shared" ref="J67:K67" si="108">IFERROR(J65-J64,"")</f>
        <v/>
      </c>
      <c r="K67" s="114" t="str">
        <f t="shared" si="108"/>
        <v/>
      </c>
      <c r="L67" s="114" t="str">
        <f t="shared" ref="L67:M67" si="109">IFERROR(L65-L64,"")</f>
        <v/>
      </c>
      <c r="M67" s="114" t="str">
        <f t="shared" si="109"/>
        <v/>
      </c>
      <c r="N67" s="114" t="str">
        <f t="shared" ref="N67:O67" si="110">IFERROR(N65-N64,"")</f>
        <v/>
      </c>
      <c r="O67" s="114" t="str">
        <f t="shared" si="110"/>
        <v/>
      </c>
      <c r="P67" s="114" t="str">
        <f t="shared" ref="P67:Q67" si="111">IFERROR(P65-P64,"")</f>
        <v/>
      </c>
      <c r="Q67" s="114" t="str">
        <f t="shared" si="111"/>
        <v/>
      </c>
    </row>
    <row r="68" spans="1:17" ht="12.75" customHeight="1" x14ac:dyDescent="0.2">
      <c r="A68" s="38" t="s">
        <v>38</v>
      </c>
      <c r="B68" s="70"/>
      <c r="C68" s="245"/>
      <c r="D68" s="41"/>
      <c r="E68" s="41"/>
      <c r="F68" s="41"/>
      <c r="G68" s="42"/>
      <c r="H68" s="115"/>
      <c r="I68" s="115"/>
      <c r="J68" s="115"/>
      <c r="K68" s="115"/>
      <c r="L68" s="115"/>
      <c r="M68" s="115"/>
      <c r="N68" s="115"/>
      <c r="O68" s="115"/>
      <c r="P68" s="115"/>
      <c r="Q68" s="115"/>
    </row>
    <row r="69" spans="1:17" ht="12.75" customHeight="1" x14ac:dyDescent="0.2">
      <c r="A69" s="38"/>
      <c r="B69" s="70"/>
      <c r="C69" s="245"/>
      <c r="D69" s="41"/>
      <c r="E69" s="41"/>
      <c r="F69" s="41"/>
      <c r="G69" s="42"/>
      <c r="H69" s="115"/>
      <c r="I69" s="115"/>
      <c r="J69" s="115"/>
      <c r="K69" s="115"/>
      <c r="L69" s="115"/>
      <c r="M69" s="115"/>
      <c r="N69" s="115"/>
      <c r="O69" s="115"/>
      <c r="P69" s="115"/>
      <c r="Q69" s="115"/>
    </row>
    <row r="70" spans="1:17" ht="12.75" customHeight="1" x14ac:dyDescent="0.2">
      <c r="A70" s="19" t="s">
        <v>38</v>
      </c>
      <c r="B70" s="71">
        <v>2225</v>
      </c>
      <c r="C70" s="246">
        <v>2225</v>
      </c>
      <c r="D70" s="18" t="s">
        <v>142</v>
      </c>
      <c r="E70" s="20"/>
      <c r="F70" s="20"/>
      <c r="G70" s="34"/>
      <c r="H70" s="114">
        <f>VLOOKUP(TEXT($B70,0),[1]BankRecData!$B$1:$O$5542,7,0)-VLOOKUP(TEXT($B70,0),[1]BankRecData!$B$1:$O$5542,8,0)</f>
        <v>355.4</v>
      </c>
      <c r="I70" s="114">
        <f>VLOOKUP(TEXT($B70,0),[2]BankRecData!$B$1:$O$5542,7,0)-VLOOKUP(TEXT($B70,0),[2]BankRecData!$B$1:$O$5542,8,0)</f>
        <v>440.65</v>
      </c>
      <c r="J70" s="114">
        <f>VLOOKUP(TEXT($B70,0),[3]BankRecData!$B$1:$O$5542,7,0)-VLOOKUP(TEXT($B70,0),[3]BankRecData!$B$1:$O$5542,8,0)</f>
        <v>327.70000000000005</v>
      </c>
      <c r="K70" s="114">
        <f>VLOOKUP(TEXT($B70,0),[4]BankRecData!$B$1:$O$5542,7,0)-VLOOKUP(TEXT($B70,0),[4]BankRecData!$B$1:$O$5542,8,0)</f>
        <v>667.55</v>
      </c>
      <c r="L70" s="114">
        <f>VLOOKUP(TEXT($B70,0),[5]BankRecData!$B$1:$O$5542,7,0)-VLOOKUP(TEXT($B70,0),[5]BankRecData!$B$1:$O$5542,8,0)</f>
        <v>445.25</v>
      </c>
      <c r="M70" s="114">
        <f>VLOOKUP(TEXT($B70,0),[6]BankRecData!$B$1:$O$5542,7,0)-VLOOKUP(TEXT($B70,0),[6]BankRecData!$B$1:$O$5542,8,0)</f>
        <v>803.59999999999991</v>
      </c>
      <c r="N70" s="114">
        <f>VLOOKUP(TEXT($B70,0),[7]BankRecData!$B$1:$O$5542,7,0)-VLOOKUP(TEXT($B70,0),[7]BankRecData!$B$1:$O$5542,8,0)</f>
        <v>548.75</v>
      </c>
      <c r="O70" s="114">
        <f>VLOOKUP(TEXT($B70,0),[8]BankRecData!$B$1:$O$5542,7,0)-VLOOKUP(TEXT($B70,0),[8]BankRecData!$B$1:$O$5542,8,0)</f>
        <v>452.1</v>
      </c>
      <c r="P70" s="114">
        <f>VLOOKUP(TEXT($B70,0),[9]BankRecData!$B$1:$O$5542,7,0)-VLOOKUP(TEXT($B70,0),[9]BankRecData!$B$1:$O$5542,8,0)</f>
        <v>350.95000000000005</v>
      </c>
      <c r="Q70" s="114">
        <f>VLOOKUP(TEXT($B70,0),[10]BankRecData!$B$1:$O$5542,7,0)-VLOOKUP(TEXT($B70,0),[10]BankRecData!$B$1:$O$5542,8,0)</f>
        <v>559.70000000000005</v>
      </c>
    </row>
    <row r="71" spans="1:17" ht="12.75" customHeight="1" x14ac:dyDescent="0.2">
      <c r="A71" s="19" t="s">
        <v>40</v>
      </c>
      <c r="B71" s="71">
        <v>2225</v>
      </c>
      <c r="C71" s="246">
        <v>2225</v>
      </c>
      <c r="D71" s="18" t="s">
        <v>142</v>
      </c>
      <c r="E71" s="20"/>
      <c r="F71" s="20"/>
      <c r="G71" s="34"/>
      <c r="H71" s="114">
        <f>VLOOKUP(TEXT($B71,0),[1]BankRecData!$B$1:$O$5542,6,0)</f>
        <v>0</v>
      </c>
      <c r="I71" s="114">
        <f>VLOOKUP(TEXT($B71,0),[2]BankRecData!$B$1:$O$5542,6,0)</f>
        <v>0</v>
      </c>
      <c r="J71" s="114">
        <f>VLOOKUP(TEXT($B71,0),[3]BankRecData!$B$1:$O$5542,6,0)</f>
        <v>0</v>
      </c>
      <c r="K71" s="114">
        <f>VLOOKUP(TEXT($B71,0),[4]BankRecData!$B$1:$O$5542,6,0)</f>
        <v>0</v>
      </c>
      <c r="L71" s="114">
        <f>VLOOKUP(TEXT($B71,0),[5]BankRecData!$B$1:$O$5542,6,0)</f>
        <v>0</v>
      </c>
      <c r="M71" s="114">
        <f>VLOOKUP(TEXT($B71,0),[6]BankRecData!$B$1:$O$5542,6,0)</f>
        <v>0</v>
      </c>
      <c r="N71" s="114">
        <f>VLOOKUP(TEXT($B71,0),[7]BankRecData!$B$1:$O$5542,6,0)</f>
        <v>0</v>
      </c>
      <c r="O71" s="114">
        <f>VLOOKUP(TEXT($B71,0),[8]BankRecData!$B$1:$O$5542,6,0)</f>
        <v>0</v>
      </c>
      <c r="P71" s="114">
        <f>VLOOKUP(TEXT($B71,0),[9]BankRecData!$B$1:$O$5542,6,0)</f>
        <v>0</v>
      </c>
      <c r="Q71" s="114">
        <f>VLOOKUP(TEXT($B71,0),[10]BankRecData!$B$1:$O$5542,6,0)</f>
        <v>0</v>
      </c>
    </row>
    <row r="72" spans="1:17" x14ac:dyDescent="0.2">
      <c r="A72" s="19" t="s">
        <v>39</v>
      </c>
      <c r="B72" s="71">
        <v>2225</v>
      </c>
      <c r="C72" s="246">
        <v>2225</v>
      </c>
      <c r="D72" s="18" t="s">
        <v>142</v>
      </c>
      <c r="E72" s="20"/>
      <c r="F72" s="20"/>
      <c r="G72" s="34"/>
      <c r="H72" s="114">
        <f>IFERROR(VLOOKUP($B72&amp;-H$1,FX!$U:$V,2,0),0)</f>
        <v>0</v>
      </c>
      <c r="I72" s="114">
        <f>IFERROR(VLOOKUP($B72&amp;-I$1,FX!$U:$V,2,0),0)</f>
        <v>0</v>
      </c>
      <c r="J72" s="114">
        <f>IFERROR(VLOOKUP($B72&amp;-J$1,FX!$U:$V,2,0),0)</f>
        <v>0</v>
      </c>
      <c r="K72" s="114">
        <f>IFERROR(VLOOKUP($B72&amp;-K$1,FX!$U:$V,2,0),0)</f>
        <v>0</v>
      </c>
      <c r="L72" s="114">
        <f>IFERROR(VLOOKUP($B72&amp;-L$1,FX!$U:$V,2,0),0)</f>
        <v>0</v>
      </c>
      <c r="M72" s="114">
        <f>IFERROR(VLOOKUP($B72&amp;-M$1,FX!$U:$V,2,0),0)</f>
        <v>0</v>
      </c>
      <c r="N72" s="114">
        <f>IFERROR(VLOOKUP($B72&amp;-N$1,FX!$U:$V,2,0),0)</f>
        <v>0</v>
      </c>
      <c r="O72" s="114">
        <f>IFERROR(VLOOKUP($B72&amp;-O$1,FX!$U:$V,2,0),0)</f>
        <v>0</v>
      </c>
      <c r="P72" s="114">
        <f>IFERROR(VLOOKUP($B72&amp;-P$1,FX!$U:$V,2,0),0)</f>
        <v>0</v>
      </c>
      <c r="Q72" s="114">
        <f>IFERROR(VLOOKUP($B72&amp;-Q$1,FX!$U:$V,2,0),0)</f>
        <v>0</v>
      </c>
    </row>
    <row r="73" spans="1:17" ht="12.75" customHeight="1" x14ac:dyDescent="0.2">
      <c r="A73" s="19" t="s">
        <v>34</v>
      </c>
      <c r="B73" s="71">
        <v>2225</v>
      </c>
      <c r="C73" s="246">
        <v>2225</v>
      </c>
      <c r="D73" s="18" t="s">
        <v>142</v>
      </c>
      <c r="E73" s="20"/>
      <c r="F73" s="20"/>
      <c r="G73" s="34"/>
      <c r="H73" s="114">
        <f t="shared" ref="H73:I73" si="112">H72-H71+H70</f>
        <v>355.4</v>
      </c>
      <c r="I73" s="114">
        <f t="shared" si="112"/>
        <v>440.65</v>
      </c>
      <c r="J73" s="114">
        <f t="shared" ref="J73:K73" si="113">J72-J71+J70</f>
        <v>327.70000000000005</v>
      </c>
      <c r="K73" s="114">
        <f t="shared" si="113"/>
        <v>667.55</v>
      </c>
      <c r="L73" s="114">
        <f t="shared" ref="L73:M73" si="114">L72-L71+L70</f>
        <v>445.25</v>
      </c>
      <c r="M73" s="114">
        <f t="shared" si="114"/>
        <v>803.59999999999991</v>
      </c>
      <c r="N73" s="114">
        <f t="shared" ref="N73:O73" si="115">N72-N71+N70</f>
        <v>548.75</v>
      </c>
      <c r="O73" s="114">
        <f t="shared" si="115"/>
        <v>452.1</v>
      </c>
      <c r="P73" s="114">
        <f t="shared" ref="P73:Q73" si="116">P72-P71+P70</f>
        <v>350.95000000000005</v>
      </c>
      <c r="Q73" s="114">
        <f t="shared" si="116"/>
        <v>559.70000000000005</v>
      </c>
    </row>
    <row r="74" spans="1:17" ht="12.75" customHeight="1" x14ac:dyDescent="0.2">
      <c r="A74" s="19" t="s">
        <v>35</v>
      </c>
      <c r="B74" s="71">
        <v>2225</v>
      </c>
      <c r="C74" s="246">
        <v>2225</v>
      </c>
      <c r="D74" s="18" t="s">
        <v>142</v>
      </c>
      <c r="E74" s="20"/>
      <c r="F74" s="35">
        <f>COUNTIF(H74:H74,"=0")</f>
        <v>1</v>
      </c>
      <c r="G74" s="57"/>
      <c r="H74" s="114">
        <f>SUMIF('Bank Deposit List'!$K:$K,$B74&amp;-H$1,'Bank Deposit List'!$L:$L)</f>
        <v>0</v>
      </c>
      <c r="I74" s="114">
        <f>SUMIF('Bank Deposit List'!$K:$K,$B74&amp;-I$1,'Bank Deposit List'!$L:$L)</f>
        <v>0</v>
      </c>
      <c r="J74" s="114">
        <f>SUMIF('Bank Deposit List'!$K:$K,$B74&amp;-J$1,'Bank Deposit List'!$L:$L)</f>
        <v>0</v>
      </c>
      <c r="K74" s="114">
        <f>SUMIF('Bank Deposit List'!$K:$K,$B74&amp;-K$1,'Bank Deposit List'!$L:$L)</f>
        <v>0</v>
      </c>
      <c r="L74" s="114">
        <f>SUMIF('Bank Deposit List'!$K:$K,$B74&amp;-L$1,'Bank Deposit List'!$L:$L)</f>
        <v>0</v>
      </c>
      <c r="M74" s="114">
        <f>SUMIF('Bank Deposit List'!$K:$K,$B74&amp;-M$1,'Bank Deposit List'!$L:$L)</f>
        <v>0</v>
      </c>
      <c r="N74" s="114">
        <f>SUMIF('Bank Deposit List'!$K:$K,$B74&amp;-N$1,'Bank Deposit List'!$L:$L)</f>
        <v>0</v>
      </c>
      <c r="O74" s="114">
        <f>SUMIF('Bank Deposit List'!$K:$K,$B74&amp;-O$1,'Bank Deposit List'!$L:$L)</f>
        <v>0</v>
      </c>
      <c r="P74" s="114">
        <f>SUMIF('Bank Deposit List'!$K:$K,$B74&amp;-P$1,'Bank Deposit List'!$L:$L)</f>
        <v>0</v>
      </c>
      <c r="Q74" s="114">
        <f>SUMIF('Bank Deposit List'!$K:$K,$B74&amp;-Q$1,'Bank Deposit List'!$L:$L)</f>
        <v>0</v>
      </c>
    </row>
    <row r="75" spans="1:17" ht="12.75" customHeight="1" x14ac:dyDescent="0.2">
      <c r="A75" s="19" t="s">
        <v>37</v>
      </c>
      <c r="B75" s="71">
        <v>2225</v>
      </c>
      <c r="C75" s="246">
        <v>2225</v>
      </c>
      <c r="D75" s="18" t="s">
        <v>142</v>
      </c>
      <c r="E75" s="36">
        <f>(COUNT(H60:CH60)-COUNT(H62:CH62))</f>
        <v>0</v>
      </c>
      <c r="F75" s="37"/>
      <c r="G75" s="34"/>
      <c r="H75" s="114" t="str">
        <f>IFERROR(VLOOKUP($B75&amp;-H74,'Deposits AU NAB'!$L:$M,2,0),"")</f>
        <v/>
      </c>
      <c r="I75" s="114" t="str">
        <f>IFERROR(VLOOKUP($B75&amp;-I74,'Deposits AU NAB'!$L:$M,2,0),"")</f>
        <v/>
      </c>
      <c r="J75" s="114" t="str">
        <f>IFERROR(VLOOKUP($B75&amp;-J74,'Deposits AU NAB'!$L:$M,2,0),"")</f>
        <v/>
      </c>
      <c r="K75" s="114" t="str">
        <f>IFERROR(VLOOKUP($B75&amp;-K74,'Deposits AU NAB'!$L:$M,2,0),"")</f>
        <v/>
      </c>
      <c r="L75" s="114" t="str">
        <f>IFERROR(VLOOKUP($B75&amp;-L74,'Deposits AU NAB'!$L:$M,2,0),"")</f>
        <v/>
      </c>
      <c r="M75" s="114" t="str">
        <f>IFERROR(VLOOKUP($B75&amp;-M74,'Deposits AU NAB'!$L:$M,2,0),"")</f>
        <v/>
      </c>
      <c r="N75" s="114" t="str">
        <f>IFERROR(VLOOKUP($B75&amp;-N74,'Deposits AU NAB'!$L:$M,2,0),"")</f>
        <v/>
      </c>
      <c r="O75" s="114" t="str">
        <f>IFERROR(VLOOKUP($B75&amp;-O74,'Deposits AU NAB'!$L:$M,2,0),"")</f>
        <v/>
      </c>
      <c r="P75" s="114" t="str">
        <f>IFERROR(VLOOKUP($B75&amp;-P74,'Deposits AU NAB'!$L:$M,2,0),"")</f>
        <v/>
      </c>
      <c r="Q75" s="114" t="str">
        <f>IFERROR(VLOOKUP($B75&amp;-Q74,'Deposits AU NAB'!$L:$M,2,0),"")</f>
        <v/>
      </c>
    </row>
    <row r="76" spans="1:17" ht="12.75" customHeight="1" x14ac:dyDescent="0.2">
      <c r="A76" s="19" t="s">
        <v>51</v>
      </c>
      <c r="B76" s="71">
        <v>2225</v>
      </c>
      <c r="C76" s="246">
        <v>2225</v>
      </c>
      <c r="D76" s="18" t="s">
        <v>142</v>
      </c>
      <c r="E76" s="36"/>
      <c r="F76" s="37"/>
      <c r="G76" s="34">
        <f t="shared" ref="G76:G77" si="117">SUM(H76:BX76)</f>
        <v>0</v>
      </c>
      <c r="H76" s="114" t="str">
        <f t="shared" ref="H76:I76" si="118">IF(H74=0,"",H74-H73)</f>
        <v/>
      </c>
      <c r="I76" s="114" t="str">
        <f t="shared" si="118"/>
        <v/>
      </c>
      <c r="J76" s="114" t="str">
        <f t="shared" ref="J76:K76" si="119">IF(J74=0,"",J74-J73)</f>
        <v/>
      </c>
      <c r="K76" s="114" t="str">
        <f t="shared" si="119"/>
        <v/>
      </c>
      <c r="L76" s="114" t="str">
        <f t="shared" ref="L76:M76" si="120">IF(L74=0,"",L74-L73)</f>
        <v/>
      </c>
      <c r="M76" s="114" t="str">
        <f t="shared" si="120"/>
        <v/>
      </c>
      <c r="N76" s="114" t="str">
        <f t="shared" ref="N76:O76" si="121">IF(N74=0,"",N74-N73)</f>
        <v/>
      </c>
      <c r="O76" s="114" t="str">
        <f t="shared" si="121"/>
        <v/>
      </c>
      <c r="P76" s="114" t="str">
        <f t="shared" ref="P76:Q76" si="122">IF(P74=0,"",P74-P73)</f>
        <v/>
      </c>
      <c r="Q76" s="114" t="str">
        <f t="shared" si="122"/>
        <v/>
      </c>
    </row>
    <row r="77" spans="1:17" ht="12.75" customHeight="1" x14ac:dyDescent="0.2">
      <c r="A77" s="19" t="s">
        <v>52</v>
      </c>
      <c r="B77" s="71">
        <v>2225</v>
      </c>
      <c r="C77" s="246">
        <v>2225</v>
      </c>
      <c r="D77" s="18" t="s">
        <v>142</v>
      </c>
      <c r="E77" s="20"/>
      <c r="F77" s="20"/>
      <c r="G77" s="34">
        <f t="shared" si="117"/>
        <v>0</v>
      </c>
      <c r="H77" s="114" t="str">
        <f t="shared" ref="H77:I77" si="123">IFERROR(H75-H74,"")</f>
        <v/>
      </c>
      <c r="I77" s="114" t="str">
        <f t="shared" si="123"/>
        <v/>
      </c>
      <c r="J77" s="114" t="str">
        <f t="shared" ref="J77:K77" si="124">IFERROR(J75-J74,"")</f>
        <v/>
      </c>
      <c r="K77" s="114" t="str">
        <f t="shared" si="124"/>
        <v/>
      </c>
      <c r="L77" s="114" t="str">
        <f t="shared" ref="L77:M77" si="125">IFERROR(L75-L74,"")</f>
        <v/>
      </c>
      <c r="M77" s="114" t="str">
        <f t="shared" si="125"/>
        <v/>
      </c>
      <c r="N77" s="114" t="str">
        <f t="shared" ref="N77:O77" si="126">IFERROR(N75-N74,"")</f>
        <v/>
      </c>
      <c r="O77" s="114" t="str">
        <f t="shared" si="126"/>
        <v/>
      </c>
      <c r="P77" s="114" t="str">
        <f t="shared" ref="P77:Q77" si="127">IFERROR(P75-P74,"")</f>
        <v/>
      </c>
      <c r="Q77" s="114" t="str">
        <f t="shared" si="127"/>
        <v/>
      </c>
    </row>
    <row r="78" spans="1:17" ht="12.75" customHeight="1" x14ac:dyDescent="0.2">
      <c r="A78" s="38" t="s">
        <v>38</v>
      </c>
      <c r="B78" s="70"/>
      <c r="C78" s="245"/>
      <c r="D78" s="41"/>
      <c r="E78" s="41"/>
      <c r="F78" s="41"/>
      <c r="G78" s="42"/>
      <c r="H78" s="115"/>
      <c r="I78" s="115"/>
      <c r="J78" s="115"/>
      <c r="K78" s="115"/>
      <c r="L78" s="115"/>
      <c r="M78" s="115"/>
      <c r="N78" s="115"/>
      <c r="O78" s="115"/>
      <c r="P78" s="115"/>
      <c r="Q78" s="115"/>
    </row>
    <row r="79" spans="1:17" ht="12.75" customHeight="1" x14ac:dyDescent="0.2">
      <c r="A79" s="38"/>
      <c r="B79" s="70"/>
      <c r="C79" s="245"/>
      <c r="D79" s="41"/>
      <c r="E79" s="41"/>
      <c r="F79" s="41"/>
      <c r="G79" s="42"/>
      <c r="H79" s="115"/>
      <c r="I79" s="115"/>
      <c r="J79" s="115"/>
      <c r="K79" s="115"/>
      <c r="L79" s="115"/>
      <c r="M79" s="115"/>
      <c r="N79" s="115"/>
      <c r="O79" s="115"/>
      <c r="P79" s="115"/>
      <c r="Q79" s="115"/>
    </row>
    <row r="80" spans="1:17" ht="12.75" customHeight="1" x14ac:dyDescent="0.2">
      <c r="A80" s="19" t="s">
        <v>38</v>
      </c>
      <c r="B80" s="71">
        <v>3191</v>
      </c>
      <c r="C80" s="246">
        <v>19</v>
      </c>
      <c r="D80" s="18" t="s">
        <v>15</v>
      </c>
      <c r="E80" s="20"/>
      <c r="F80" s="20"/>
      <c r="G80" s="34"/>
      <c r="H80" s="114">
        <f>VLOOKUP(TEXT($B80,0),[1]BankRecData!$B$1:$O$5542,7,0)-VLOOKUP(TEXT($B80,0),[1]BankRecData!$B$1:$O$5542,8,0)</f>
        <v>439.6</v>
      </c>
      <c r="I80" s="114">
        <f>VLOOKUP(TEXT($B80,0),[2]BankRecData!$B$1:$O$5542,7,0)-VLOOKUP(TEXT($B80,0),[2]BankRecData!$B$1:$O$5542,8,0)</f>
        <v>334.25</v>
      </c>
      <c r="J80" s="114">
        <f>VLOOKUP(TEXT($B80,0),[3]BankRecData!$B$1:$O$5542,7,0)-VLOOKUP(TEXT($B80,0),[3]BankRecData!$B$1:$O$5542,8,0)</f>
        <v>122.10000000000002</v>
      </c>
      <c r="K80" s="114">
        <f>VLOOKUP(TEXT($B80,0),[4]BankRecData!$B$1:$O$5542,7,0)-VLOOKUP(TEXT($B80,0),[4]BankRecData!$B$1:$O$5542,8,0)</f>
        <v>84.100000000000023</v>
      </c>
      <c r="L80" s="114">
        <f>VLOOKUP(TEXT($B80,0),[5]BankRecData!$B$1:$O$5542,7,0)-VLOOKUP(TEXT($B80,0),[5]BankRecData!$B$1:$O$5542,8,0)</f>
        <v>324.10000000000002</v>
      </c>
      <c r="M80" s="114">
        <f>VLOOKUP(TEXT($B80,0),[6]BankRecData!$B$1:$O$5542,7,0)-VLOOKUP(TEXT($B80,0),[6]BankRecData!$B$1:$O$5542,8,0)</f>
        <v>362.35</v>
      </c>
      <c r="N80" s="114">
        <f>VLOOKUP(TEXT($B80,0),[7]BankRecData!$B$1:$O$5542,7,0)-VLOOKUP(TEXT($B80,0),[7]BankRecData!$B$1:$O$5542,8,0)</f>
        <v>467.35</v>
      </c>
      <c r="O80" s="114">
        <f>VLOOKUP(TEXT($B80,0),[8]BankRecData!$B$1:$O$5542,7,0)-VLOOKUP(TEXT($B80,0),[8]BankRecData!$B$1:$O$5542,8,0)</f>
        <v>177.39999999999998</v>
      </c>
      <c r="P80" s="114">
        <f>VLOOKUP(TEXT($B80,0),[9]BankRecData!$B$1:$O$5542,7,0)-VLOOKUP(TEXT($B80,0),[9]BankRecData!$B$1:$O$5542,8,0)</f>
        <v>323.5</v>
      </c>
      <c r="Q80" s="114">
        <f>VLOOKUP(TEXT($B80,0),[10]BankRecData!$B$1:$O$5542,7,0)-VLOOKUP(TEXT($B80,0),[10]BankRecData!$B$1:$O$5542,8,0)</f>
        <v>217.89999999999998</v>
      </c>
    </row>
    <row r="81" spans="1:17" ht="12.75" customHeight="1" x14ac:dyDescent="0.2">
      <c r="A81" s="19" t="s">
        <v>40</v>
      </c>
      <c r="B81" s="71">
        <v>3191</v>
      </c>
      <c r="C81" s="246">
        <v>19</v>
      </c>
      <c r="D81" s="18" t="s">
        <v>15</v>
      </c>
      <c r="E81" s="20"/>
      <c r="F81" s="20"/>
      <c r="G81" s="34"/>
      <c r="H81" s="114">
        <f>VLOOKUP(TEXT($B81,0),[1]BankRecData!$B$1:$O$5542,6,0)</f>
        <v>0</v>
      </c>
      <c r="I81" s="114">
        <f>VLOOKUP(TEXT($B81,0),[2]BankRecData!$B$1:$O$5542,6,0)</f>
        <v>0</v>
      </c>
      <c r="J81" s="114">
        <f>VLOOKUP(TEXT($B81,0),[3]BankRecData!$B$1:$O$5542,6,0)</f>
        <v>0</v>
      </c>
      <c r="K81" s="114">
        <f>VLOOKUP(TEXT($B81,0),[4]BankRecData!$B$1:$O$5542,6,0)</f>
        <v>0</v>
      </c>
      <c r="L81" s="114">
        <f>VLOOKUP(TEXT($B81,0),[5]BankRecData!$B$1:$O$5542,6,0)</f>
        <v>0</v>
      </c>
      <c r="M81" s="114">
        <f>VLOOKUP(TEXT($B81,0),[6]BankRecData!$B$1:$O$5542,6,0)</f>
        <v>0</v>
      </c>
      <c r="N81" s="114">
        <f>VLOOKUP(TEXT($B81,0),[7]BankRecData!$B$1:$O$5542,6,0)</f>
        <v>0</v>
      </c>
      <c r="O81" s="114">
        <f>VLOOKUP(TEXT($B81,0),[8]BankRecData!$B$1:$O$5542,6,0)</f>
        <v>0</v>
      </c>
      <c r="P81" s="114">
        <f>VLOOKUP(TEXT($B81,0),[9]BankRecData!$B$1:$O$5542,6,0)</f>
        <v>0</v>
      </c>
      <c r="Q81" s="114">
        <f>VLOOKUP(TEXT($B81,0),[10]BankRecData!$B$1:$O$5542,6,0)</f>
        <v>0</v>
      </c>
    </row>
    <row r="82" spans="1:17" ht="12.75" customHeight="1" x14ac:dyDescent="0.2">
      <c r="A82" s="19" t="s">
        <v>39</v>
      </c>
      <c r="B82" s="71">
        <v>3191</v>
      </c>
      <c r="C82" s="246">
        <v>19</v>
      </c>
      <c r="D82" s="18" t="s">
        <v>15</v>
      </c>
      <c r="E82" s="20"/>
      <c r="F82" s="20"/>
      <c r="G82" s="34"/>
      <c r="H82" s="114">
        <f>IFERROR(VLOOKUP($B82&amp;-H$1,FX!$U:$V,2,0),0)</f>
        <v>0</v>
      </c>
      <c r="I82" s="114">
        <f>IFERROR(VLOOKUP($B82&amp;-I$1,FX!$U:$V,2,0),0)</f>
        <v>0</v>
      </c>
      <c r="J82" s="114">
        <f>IFERROR(VLOOKUP($B82&amp;-J$1,FX!$U:$V,2,0),0)</f>
        <v>0</v>
      </c>
      <c r="K82" s="114">
        <f>IFERROR(VLOOKUP($B82&amp;-K$1,FX!$U:$V,2,0),0)</f>
        <v>0</v>
      </c>
      <c r="L82" s="114">
        <f>IFERROR(VLOOKUP($B82&amp;-L$1,FX!$U:$V,2,0),0)</f>
        <v>0</v>
      </c>
      <c r="M82" s="114">
        <f>IFERROR(VLOOKUP($B82&amp;-M$1,FX!$U:$V,2,0),0)</f>
        <v>0</v>
      </c>
      <c r="N82" s="114">
        <f>IFERROR(VLOOKUP($B82&amp;-N$1,FX!$U:$V,2,0),0)</f>
        <v>0</v>
      </c>
      <c r="O82" s="114">
        <f>IFERROR(VLOOKUP($B82&amp;-O$1,FX!$U:$V,2,0),0)</f>
        <v>0</v>
      </c>
      <c r="P82" s="114">
        <f>IFERROR(VLOOKUP($B82&amp;-P$1,FX!$U:$V,2,0),0)</f>
        <v>0</v>
      </c>
      <c r="Q82" s="114">
        <f>IFERROR(VLOOKUP($B82&amp;-Q$1,FX!$U:$V,2,0),0)</f>
        <v>0</v>
      </c>
    </row>
    <row r="83" spans="1:17" ht="12.75" customHeight="1" x14ac:dyDescent="0.2">
      <c r="A83" s="19" t="s">
        <v>34</v>
      </c>
      <c r="B83" s="71">
        <v>3191</v>
      </c>
      <c r="C83" s="246">
        <v>19</v>
      </c>
      <c r="D83" s="18" t="s">
        <v>15</v>
      </c>
      <c r="E83" s="20"/>
      <c r="F83" s="20"/>
      <c r="G83" s="34"/>
      <c r="H83" s="114">
        <f t="shared" ref="H83:I83" si="128">H82-H81+H80</f>
        <v>439.6</v>
      </c>
      <c r="I83" s="114">
        <f t="shared" si="128"/>
        <v>334.25</v>
      </c>
      <c r="J83" s="114">
        <f t="shared" ref="J83:K83" si="129">J82-J81+J80</f>
        <v>122.10000000000002</v>
      </c>
      <c r="K83" s="114">
        <f t="shared" si="129"/>
        <v>84.100000000000023</v>
      </c>
      <c r="L83" s="114">
        <f t="shared" ref="L83:M83" si="130">L82-L81+L80</f>
        <v>324.10000000000002</v>
      </c>
      <c r="M83" s="114">
        <f t="shared" si="130"/>
        <v>362.35</v>
      </c>
      <c r="N83" s="114">
        <f t="shared" ref="N83:O83" si="131">N82-N81+N80</f>
        <v>467.35</v>
      </c>
      <c r="O83" s="114">
        <f t="shared" si="131"/>
        <v>177.39999999999998</v>
      </c>
      <c r="P83" s="114">
        <f t="shared" ref="P83:Q83" si="132">P82-P81+P80</f>
        <v>323.5</v>
      </c>
      <c r="Q83" s="114">
        <f t="shared" si="132"/>
        <v>217.89999999999998</v>
      </c>
    </row>
    <row r="84" spans="1:17" ht="12.75" customHeight="1" x14ac:dyDescent="0.2">
      <c r="A84" s="19" t="s">
        <v>35</v>
      </c>
      <c r="B84" s="71">
        <v>3191</v>
      </c>
      <c r="C84" s="246">
        <v>19</v>
      </c>
      <c r="D84" s="18" t="s">
        <v>15</v>
      </c>
      <c r="E84" s="20"/>
      <c r="F84" s="35">
        <f>COUNTIF(H84:H84,"=0")</f>
        <v>1</v>
      </c>
      <c r="G84" s="34"/>
      <c r="H84" s="114">
        <f>SUMIF('Bank Deposit List'!$K:$K,$B84&amp;-H$1,'Bank Deposit List'!$L:$L)</f>
        <v>0</v>
      </c>
      <c r="I84" s="114">
        <f>SUMIF('Bank Deposit List'!$K:$K,$B84&amp;-I$1,'Bank Deposit List'!$L:$L)</f>
        <v>0</v>
      </c>
      <c r="J84" s="114">
        <f>SUMIF('Bank Deposit List'!$K:$K,$B84&amp;-J$1,'Bank Deposit List'!$L:$L)</f>
        <v>0</v>
      </c>
      <c r="K84" s="114">
        <f>SUMIF('Bank Deposit List'!$K:$K,$B84&amp;-K$1,'Bank Deposit List'!$L:$L)</f>
        <v>0</v>
      </c>
      <c r="L84" s="114">
        <f>SUMIF('Bank Deposit List'!$K:$K,$B84&amp;-L$1,'Bank Deposit List'!$L:$L)</f>
        <v>0</v>
      </c>
      <c r="M84" s="114">
        <f>SUMIF('Bank Deposit List'!$K:$K,$B84&amp;-M$1,'Bank Deposit List'!$L:$L)</f>
        <v>0</v>
      </c>
      <c r="N84" s="114">
        <f>SUMIF('Bank Deposit List'!$K:$K,$B84&amp;-N$1,'Bank Deposit List'!$L:$L)</f>
        <v>0</v>
      </c>
      <c r="O84" s="114">
        <f>SUMIF('Bank Deposit List'!$K:$K,$B84&amp;-O$1,'Bank Deposit List'!$L:$L)</f>
        <v>0</v>
      </c>
      <c r="P84" s="114">
        <f>SUMIF('Bank Deposit List'!$K:$K,$B84&amp;-P$1,'Bank Deposit List'!$L:$L)</f>
        <v>0</v>
      </c>
      <c r="Q84" s="114">
        <f>SUMIF('Bank Deposit List'!$K:$K,$B84&amp;-Q$1,'Bank Deposit List'!$L:$L)</f>
        <v>0</v>
      </c>
    </row>
    <row r="85" spans="1:17" ht="12.75" customHeight="1" x14ac:dyDescent="0.2">
      <c r="A85" s="19" t="s">
        <v>37</v>
      </c>
      <c r="B85" s="71">
        <v>3191</v>
      </c>
      <c r="C85" s="246">
        <v>19</v>
      </c>
      <c r="D85" s="18" t="s">
        <v>15</v>
      </c>
      <c r="E85" s="36">
        <f>(COUNT(H69:CH69)-COUNT(H71:CH71))</f>
        <v>-10</v>
      </c>
      <c r="F85" s="37"/>
      <c r="G85" s="34"/>
      <c r="H85" s="114" t="str">
        <f>IFERROR(VLOOKUP($B85&amp;-H84,'Deposits AU NAB'!$L:$M,2,0),"")</f>
        <v/>
      </c>
      <c r="I85" s="114" t="str">
        <f>IFERROR(VLOOKUP($B85&amp;-I84,'Deposits AU NAB'!$L:$M,2,0),"")</f>
        <v/>
      </c>
      <c r="J85" s="114" t="str">
        <f>IFERROR(VLOOKUP($B85&amp;-J84,'Deposits AU NAB'!$L:$M,2,0),"")</f>
        <v/>
      </c>
      <c r="K85" s="114" t="str">
        <f>IFERROR(VLOOKUP($B85&amp;-K84,'Deposits AU NAB'!$L:$M,2,0),"")</f>
        <v/>
      </c>
      <c r="L85" s="114" t="str">
        <f>IFERROR(VLOOKUP($B85&amp;-L84,'Deposits AU NAB'!$L:$M,2,0),"")</f>
        <v/>
      </c>
      <c r="M85" s="114" t="str">
        <f>IFERROR(VLOOKUP($B85&amp;-M84,'Deposits AU NAB'!$L:$M,2,0),"")</f>
        <v/>
      </c>
      <c r="N85" s="114" t="str">
        <f>IFERROR(VLOOKUP($B85&amp;-N84,'Deposits AU NAB'!$L:$M,2,0),"")</f>
        <v/>
      </c>
      <c r="O85" s="114" t="str">
        <f>IFERROR(VLOOKUP($B85&amp;-O84,'Deposits AU NAB'!$L:$M,2,0),"")</f>
        <v/>
      </c>
      <c r="P85" s="114" t="str">
        <f>IFERROR(VLOOKUP($B85&amp;-P84,'Deposits AU NAB'!$L:$M,2,0),"")</f>
        <v/>
      </c>
      <c r="Q85" s="114" t="str">
        <f>IFERROR(VLOOKUP($B85&amp;-Q84,'Deposits AU NAB'!$L:$M,2,0),"")</f>
        <v/>
      </c>
    </row>
    <row r="86" spans="1:17" ht="12.75" customHeight="1" x14ac:dyDescent="0.2">
      <c r="A86" s="19" t="s">
        <v>51</v>
      </c>
      <c r="B86" s="71">
        <v>3191</v>
      </c>
      <c r="C86" s="246">
        <v>19</v>
      </c>
      <c r="D86" s="18" t="s">
        <v>15</v>
      </c>
      <c r="E86" s="36"/>
      <c r="F86" s="37"/>
      <c r="G86" s="34">
        <f t="shared" ref="G86:G87" si="133">SUM(H86:BX86)</f>
        <v>0</v>
      </c>
      <c r="H86" s="114" t="str">
        <f t="shared" ref="H86:I86" si="134">IF(H84=0,"",H84-H83)</f>
        <v/>
      </c>
      <c r="I86" s="114" t="str">
        <f t="shared" si="134"/>
        <v/>
      </c>
      <c r="J86" s="114" t="str">
        <f t="shared" ref="J86:K86" si="135">IF(J84=0,"",J84-J83)</f>
        <v/>
      </c>
      <c r="K86" s="114" t="str">
        <f t="shared" si="135"/>
        <v/>
      </c>
      <c r="L86" s="114" t="str">
        <f t="shared" ref="L86:M86" si="136">IF(L84=0,"",L84-L83)</f>
        <v/>
      </c>
      <c r="M86" s="114" t="str">
        <f t="shared" si="136"/>
        <v/>
      </c>
      <c r="N86" s="114" t="str">
        <f t="shared" ref="N86:O86" si="137">IF(N84=0,"",N84-N83)</f>
        <v/>
      </c>
      <c r="O86" s="114" t="str">
        <f t="shared" si="137"/>
        <v/>
      </c>
      <c r="P86" s="114" t="str">
        <f t="shared" ref="P86:Q86" si="138">IF(P84=0,"",P84-P83)</f>
        <v/>
      </c>
      <c r="Q86" s="114" t="str">
        <f t="shared" si="138"/>
        <v/>
      </c>
    </row>
    <row r="87" spans="1:17" ht="12.75" customHeight="1" x14ac:dyDescent="0.2">
      <c r="A87" s="19" t="s">
        <v>52</v>
      </c>
      <c r="B87" s="71">
        <v>3191</v>
      </c>
      <c r="C87" s="246">
        <v>19</v>
      </c>
      <c r="D87" s="18" t="s">
        <v>15</v>
      </c>
      <c r="E87" s="20"/>
      <c r="F87" s="20"/>
      <c r="G87" s="34">
        <f t="shared" si="133"/>
        <v>0</v>
      </c>
      <c r="H87" s="114" t="str">
        <f t="shared" ref="H87:I87" si="139">IFERROR(H85-H84,"")</f>
        <v/>
      </c>
      <c r="I87" s="114" t="str">
        <f t="shared" si="139"/>
        <v/>
      </c>
      <c r="J87" s="114" t="str">
        <f t="shared" ref="J87:K87" si="140">IFERROR(J85-J84,"")</f>
        <v/>
      </c>
      <c r="K87" s="114" t="str">
        <f t="shared" si="140"/>
        <v/>
      </c>
      <c r="L87" s="114" t="str">
        <f t="shared" ref="L87:M87" si="141">IFERROR(L85-L84,"")</f>
        <v/>
      </c>
      <c r="M87" s="114" t="str">
        <f t="shared" si="141"/>
        <v/>
      </c>
      <c r="N87" s="114" t="str">
        <f t="shared" ref="N87:O87" si="142">IFERROR(N85-N84,"")</f>
        <v/>
      </c>
      <c r="O87" s="114" t="str">
        <f t="shared" si="142"/>
        <v/>
      </c>
      <c r="P87" s="114" t="str">
        <f t="shared" ref="P87:Q87" si="143">IFERROR(P85-P84,"")</f>
        <v/>
      </c>
      <c r="Q87" s="114" t="str">
        <f t="shared" si="143"/>
        <v/>
      </c>
    </row>
    <row r="88" spans="1:17" ht="12.75" customHeight="1" x14ac:dyDescent="0.2">
      <c r="A88" s="38"/>
      <c r="B88" s="70"/>
      <c r="C88" s="245"/>
      <c r="D88" s="40"/>
      <c r="E88" s="41"/>
      <c r="F88" s="41"/>
      <c r="G88" s="42"/>
      <c r="H88" s="115"/>
      <c r="I88" s="115"/>
      <c r="J88" s="115"/>
      <c r="K88" s="115"/>
      <c r="L88" s="115"/>
      <c r="M88" s="115"/>
      <c r="N88" s="115"/>
      <c r="O88" s="115"/>
      <c r="P88" s="115"/>
      <c r="Q88" s="115"/>
    </row>
    <row r="89" spans="1:17" ht="12.75" customHeight="1" x14ac:dyDescent="0.2">
      <c r="A89" s="19" t="s">
        <v>38</v>
      </c>
      <c r="B89" s="71">
        <v>3175</v>
      </c>
      <c r="C89" s="246">
        <v>175</v>
      </c>
      <c r="D89" s="18" t="s">
        <v>66</v>
      </c>
      <c r="E89" s="20"/>
      <c r="F89" s="20"/>
      <c r="G89" s="34"/>
      <c r="H89" s="114">
        <f>VLOOKUP(TEXT($B89,0),[1]BankRecData!$B$1:$O$5542,7,0)-VLOOKUP(TEXT($B89,0),[1]BankRecData!$B$1:$O$5542,8,0)</f>
        <v>0</v>
      </c>
      <c r="I89" s="114">
        <f>VLOOKUP(TEXT($B89,0),[2]BankRecData!$B$1:$O$5542,7,0)-VLOOKUP(TEXT($B89,0),[2]BankRecData!$B$1:$O$5542,8,0)</f>
        <v>0</v>
      </c>
      <c r="J89" s="114">
        <f>VLOOKUP(TEXT($B89,0),[3]BankRecData!$B$1:$O$5542,7,0)-VLOOKUP(TEXT($B89,0),[3]BankRecData!$B$1:$O$5542,8,0)</f>
        <v>0</v>
      </c>
      <c r="K89" s="114">
        <f>VLOOKUP(TEXT($B89,0),[4]BankRecData!$B$1:$O$5542,7,0)-VLOOKUP(TEXT($B89,0),[4]BankRecData!$B$1:$O$5542,8,0)</f>
        <v>13</v>
      </c>
      <c r="L89" s="114">
        <f>VLOOKUP(TEXT($B89,0),[5]BankRecData!$B$1:$O$5542,7,0)-VLOOKUP(TEXT($B89,0),[5]BankRecData!$B$1:$O$5542,8,0)</f>
        <v>0</v>
      </c>
      <c r="M89" s="114">
        <f>VLOOKUP(TEXT($B89,0),[6]BankRecData!$B$1:$O$5542,7,0)-VLOOKUP(TEXT($B89,0),[6]BankRecData!$B$1:$O$5542,8,0)</f>
        <v>0</v>
      </c>
      <c r="N89" s="114">
        <f>VLOOKUP(TEXT($B89,0),[7]BankRecData!$B$1:$O$5542,7,0)-VLOOKUP(TEXT($B89,0),[7]BankRecData!$B$1:$O$5542,8,0)</f>
        <v>0</v>
      </c>
      <c r="O89" s="114">
        <f>VLOOKUP(TEXT($B89,0),[8]BankRecData!$B$1:$O$5542,7,0)-VLOOKUP(TEXT($B89,0),[8]BankRecData!$B$1:$O$5542,8,0)</f>
        <v>0</v>
      </c>
      <c r="P89" s="114">
        <f>VLOOKUP(TEXT($B89,0),[9]BankRecData!$B$1:$O$5542,7,0)-VLOOKUP(TEXT($B89,0),[9]BankRecData!$B$1:$O$5542,8,0)</f>
        <v>30</v>
      </c>
      <c r="Q89" s="114">
        <f>VLOOKUP(TEXT($B89,0),[10]BankRecData!$B$1:$O$5542,7,0)-VLOOKUP(TEXT($B89,0),[10]BankRecData!$B$1:$O$5542,8,0)</f>
        <v>10.050000000000011</v>
      </c>
    </row>
    <row r="90" spans="1:17" ht="12.75" customHeight="1" x14ac:dyDescent="0.2">
      <c r="A90" s="19" t="s">
        <v>40</v>
      </c>
      <c r="B90" s="71">
        <v>3175</v>
      </c>
      <c r="C90" s="246">
        <v>175</v>
      </c>
      <c r="D90" s="18" t="s">
        <v>66</v>
      </c>
      <c r="E90" s="20"/>
      <c r="F90" s="20"/>
      <c r="G90" s="34"/>
      <c r="H90" s="114">
        <f>VLOOKUP(TEXT($B90,0),[1]BankRecData!$B$1:$O$5542,6,0)</f>
        <v>0</v>
      </c>
      <c r="I90" s="114">
        <f>VLOOKUP(TEXT($B90,0),[2]BankRecData!$B$1:$O$5542,6,0)</f>
        <v>0</v>
      </c>
      <c r="J90" s="114">
        <f>VLOOKUP(TEXT($B90,0),[3]BankRecData!$B$1:$O$5542,6,0)</f>
        <v>0</v>
      </c>
      <c r="K90" s="114">
        <f>VLOOKUP(TEXT($B90,0),[4]BankRecData!$B$1:$O$5542,6,0)</f>
        <v>0</v>
      </c>
      <c r="L90" s="114">
        <f>VLOOKUP(TEXT($B90,0),[5]BankRecData!$B$1:$O$5542,6,0)</f>
        <v>0</v>
      </c>
      <c r="M90" s="114">
        <f>VLOOKUP(TEXT($B90,0),[6]BankRecData!$B$1:$O$5542,6,0)</f>
        <v>0</v>
      </c>
      <c r="N90" s="114">
        <f>VLOOKUP(TEXT($B90,0),[7]BankRecData!$B$1:$O$5542,6,0)</f>
        <v>0</v>
      </c>
      <c r="O90" s="114">
        <f>VLOOKUP(TEXT($B90,0),[8]BankRecData!$B$1:$O$5542,6,0)</f>
        <v>0</v>
      </c>
      <c r="P90" s="114">
        <f>VLOOKUP(TEXT($B90,0),[9]BankRecData!$B$1:$O$5542,6,0)</f>
        <v>0</v>
      </c>
      <c r="Q90" s="114">
        <f>VLOOKUP(TEXT($B90,0),[10]BankRecData!$B$1:$O$5542,6,0)</f>
        <v>0</v>
      </c>
    </row>
    <row r="91" spans="1:17" ht="12.75" customHeight="1" x14ac:dyDescent="0.2">
      <c r="A91" s="19" t="s">
        <v>39</v>
      </c>
      <c r="B91" s="71">
        <v>3175</v>
      </c>
      <c r="C91" s="246">
        <v>175</v>
      </c>
      <c r="D91" s="18" t="s">
        <v>66</v>
      </c>
      <c r="E91" s="20"/>
      <c r="F91" s="20"/>
      <c r="G91" s="34"/>
      <c r="H91" s="114">
        <f>IFERROR(VLOOKUP($B91&amp;-H$1,FX!$U:$V,2,0),0)</f>
        <v>0</v>
      </c>
      <c r="I91" s="114">
        <f>IFERROR(VLOOKUP($B91&amp;-I$1,FX!$U:$V,2,0),0)</f>
        <v>0</v>
      </c>
      <c r="J91" s="114">
        <f>IFERROR(VLOOKUP($B91&amp;-J$1,FX!$U:$V,2,0),0)</f>
        <v>0</v>
      </c>
      <c r="K91" s="114">
        <f>IFERROR(VLOOKUP($B91&amp;-K$1,FX!$U:$V,2,0),0)</f>
        <v>0</v>
      </c>
      <c r="L91" s="114">
        <f>IFERROR(VLOOKUP($B91&amp;-L$1,FX!$U:$V,2,0),0)</f>
        <v>0</v>
      </c>
      <c r="M91" s="114">
        <f>IFERROR(VLOOKUP($B91&amp;-M$1,FX!$U:$V,2,0),0)</f>
        <v>0</v>
      </c>
      <c r="N91" s="114">
        <f>IFERROR(VLOOKUP($B91&amp;-N$1,FX!$U:$V,2,0),0)</f>
        <v>0</v>
      </c>
      <c r="O91" s="114">
        <f>IFERROR(VLOOKUP($B91&amp;-O$1,FX!$U:$V,2,0),0)</f>
        <v>0</v>
      </c>
      <c r="P91" s="114">
        <f>IFERROR(VLOOKUP($B91&amp;-P$1,FX!$U:$V,2,0),0)</f>
        <v>0</v>
      </c>
      <c r="Q91" s="114">
        <f>IFERROR(VLOOKUP($B91&amp;-Q$1,FX!$U:$V,2,0),0)</f>
        <v>0</v>
      </c>
    </row>
    <row r="92" spans="1:17" ht="12.75" customHeight="1" x14ac:dyDescent="0.2">
      <c r="A92" s="19" t="s">
        <v>34</v>
      </c>
      <c r="B92" s="71">
        <v>3175</v>
      </c>
      <c r="C92" s="246">
        <v>175</v>
      </c>
      <c r="D92" s="18" t="s">
        <v>66</v>
      </c>
      <c r="E92" s="20"/>
      <c r="F92" s="20"/>
      <c r="G92" s="34"/>
      <c r="H92" s="114">
        <f t="shared" ref="H92:I92" si="144">H91-H90+H89</f>
        <v>0</v>
      </c>
      <c r="I92" s="114">
        <f t="shared" si="144"/>
        <v>0</v>
      </c>
      <c r="J92" s="114">
        <f t="shared" ref="J92:K92" si="145">J91-J90+J89</f>
        <v>0</v>
      </c>
      <c r="K92" s="114">
        <f t="shared" si="145"/>
        <v>13</v>
      </c>
      <c r="L92" s="114">
        <f t="shared" ref="L92:M92" si="146">L91-L90+L89</f>
        <v>0</v>
      </c>
      <c r="M92" s="114">
        <f t="shared" si="146"/>
        <v>0</v>
      </c>
      <c r="N92" s="114">
        <f t="shared" ref="N92:O92" si="147">N91-N90+N89</f>
        <v>0</v>
      </c>
      <c r="O92" s="114">
        <f t="shared" si="147"/>
        <v>0</v>
      </c>
      <c r="P92" s="114">
        <f t="shared" ref="P92:Q92" si="148">P91-P90+P89</f>
        <v>30</v>
      </c>
      <c r="Q92" s="114">
        <f t="shared" si="148"/>
        <v>10.050000000000011</v>
      </c>
    </row>
    <row r="93" spans="1:17" ht="12.75" customHeight="1" x14ac:dyDescent="0.2">
      <c r="A93" s="19" t="s">
        <v>35</v>
      </c>
      <c r="B93" s="71">
        <v>3175</v>
      </c>
      <c r="C93" s="246">
        <v>175</v>
      </c>
      <c r="D93" s="18" t="s">
        <v>66</v>
      </c>
      <c r="E93" s="20"/>
      <c r="F93" s="35">
        <f>COUNTIF(H93:H93,"=0")</f>
        <v>1</v>
      </c>
      <c r="G93" s="34"/>
      <c r="H93" s="114">
        <f>SUMIF('Bank Deposit List'!$K:$K,$B93&amp;-H$1,'Bank Deposit List'!$L:$L)</f>
        <v>0</v>
      </c>
      <c r="I93" s="114">
        <f>SUMIF('Bank Deposit List'!$K:$K,$B93&amp;-I$1,'Bank Deposit List'!$L:$L)</f>
        <v>0</v>
      </c>
      <c r="J93" s="114">
        <f>SUMIF('Bank Deposit List'!$K:$K,$B93&amp;-J$1,'Bank Deposit List'!$L:$L)</f>
        <v>0</v>
      </c>
      <c r="K93" s="114">
        <f>SUMIF('Bank Deposit List'!$K:$K,$B93&amp;-K$1,'Bank Deposit List'!$L:$L)</f>
        <v>0</v>
      </c>
      <c r="L93" s="114">
        <f>SUMIF('Bank Deposit List'!$K:$K,$B93&amp;-L$1,'Bank Deposit List'!$L:$L)</f>
        <v>0</v>
      </c>
      <c r="M93" s="114">
        <f>SUMIF('Bank Deposit List'!$K:$K,$B93&amp;-M$1,'Bank Deposit List'!$L:$L)</f>
        <v>0</v>
      </c>
      <c r="N93" s="114">
        <f>SUMIF('Bank Deposit List'!$K:$K,$B93&amp;-N$1,'Bank Deposit List'!$L:$L)</f>
        <v>0</v>
      </c>
      <c r="O93" s="114">
        <f>SUMIF('Bank Deposit List'!$K:$K,$B93&amp;-O$1,'Bank Deposit List'!$L:$L)</f>
        <v>0</v>
      </c>
      <c r="P93" s="114">
        <f>SUMIF('Bank Deposit List'!$K:$K,$B93&amp;-P$1,'Bank Deposit List'!$L:$L)</f>
        <v>0</v>
      </c>
      <c r="Q93" s="114">
        <f>SUMIF('Bank Deposit List'!$K:$K,$B93&amp;-Q$1,'Bank Deposit List'!$L:$L)</f>
        <v>0</v>
      </c>
    </row>
    <row r="94" spans="1:17" ht="12.75" customHeight="1" x14ac:dyDescent="0.2">
      <c r="A94" s="19" t="s">
        <v>37</v>
      </c>
      <c r="B94" s="71">
        <v>3175</v>
      </c>
      <c r="C94" s="246">
        <v>175</v>
      </c>
      <c r="D94" s="18" t="s">
        <v>66</v>
      </c>
      <c r="E94" s="36">
        <f>(COUNT(H78:CH78)-COUNT(H80:CH80))</f>
        <v>-10</v>
      </c>
      <c r="F94" s="37"/>
      <c r="G94" s="34"/>
      <c r="H94" s="114" t="str">
        <f>IFERROR(VLOOKUP($B94&amp;-H93,'Deposits AU NAB'!$L:$M,2,0),"")</f>
        <v/>
      </c>
      <c r="I94" s="114" t="str">
        <f>IFERROR(VLOOKUP($B94&amp;-I93,'Deposits AU NAB'!$L:$M,2,0),"")</f>
        <v/>
      </c>
      <c r="J94" s="114" t="str">
        <f>IFERROR(VLOOKUP($B94&amp;-J93,'Deposits AU NAB'!$L:$M,2,0),"")</f>
        <v/>
      </c>
      <c r="K94" s="114" t="str">
        <f>IFERROR(VLOOKUP($B94&amp;-K93,'Deposits AU NAB'!$L:$M,2,0),"")</f>
        <v/>
      </c>
      <c r="L94" s="114" t="str">
        <f>IFERROR(VLOOKUP($B94&amp;-L93,'Deposits AU NAB'!$L:$M,2,0),"")</f>
        <v/>
      </c>
      <c r="M94" s="114" t="str">
        <f>IFERROR(VLOOKUP($B94&amp;-M93,'Deposits AU NAB'!$L:$M,2,0),"")</f>
        <v/>
      </c>
      <c r="N94" s="114" t="str">
        <f>IFERROR(VLOOKUP($B94&amp;-N93,'Deposits AU NAB'!$L:$M,2,0),"")</f>
        <v/>
      </c>
      <c r="O94" s="114" t="str">
        <f>IFERROR(VLOOKUP($B94&amp;-O93,'Deposits AU NAB'!$L:$M,2,0),"")</f>
        <v/>
      </c>
      <c r="P94" s="114" t="str">
        <f>IFERROR(VLOOKUP($B94&amp;-P93,'Deposits AU NAB'!$L:$M,2,0),"")</f>
        <v/>
      </c>
      <c r="Q94" s="114" t="str">
        <f>IFERROR(VLOOKUP($B94&amp;-Q93,'Deposits AU NAB'!$L:$M,2,0),"")</f>
        <v/>
      </c>
    </row>
    <row r="95" spans="1:17" ht="12.75" customHeight="1" x14ac:dyDescent="0.2">
      <c r="A95" s="19" t="s">
        <v>51</v>
      </c>
      <c r="B95" s="71">
        <v>3175</v>
      </c>
      <c r="C95" s="246">
        <v>175</v>
      </c>
      <c r="D95" s="18" t="s">
        <v>66</v>
      </c>
      <c r="E95" s="36"/>
      <c r="F95" s="37"/>
      <c r="G95" s="34">
        <f t="shared" ref="G95:G96" si="149">SUM(H95:BX95)</f>
        <v>0</v>
      </c>
      <c r="H95" s="114" t="str">
        <f t="shared" ref="H95:I95" si="150">IF(H93=0,"",H93-H92)</f>
        <v/>
      </c>
      <c r="I95" s="114" t="str">
        <f t="shared" si="150"/>
        <v/>
      </c>
      <c r="J95" s="114" t="str">
        <f t="shared" ref="J95:K95" si="151">IF(J93=0,"",J93-J92)</f>
        <v/>
      </c>
      <c r="K95" s="114" t="str">
        <f t="shared" si="151"/>
        <v/>
      </c>
      <c r="L95" s="114" t="str">
        <f t="shared" ref="L95:M95" si="152">IF(L93=0,"",L93-L92)</f>
        <v/>
      </c>
      <c r="M95" s="114" t="str">
        <f t="shared" si="152"/>
        <v/>
      </c>
      <c r="N95" s="114" t="str">
        <f t="shared" ref="N95:O95" si="153">IF(N93=0,"",N93-N92)</f>
        <v/>
      </c>
      <c r="O95" s="114" t="str">
        <f t="shared" si="153"/>
        <v/>
      </c>
      <c r="P95" s="114" t="str">
        <f t="shared" ref="P95:Q95" si="154">IF(P93=0,"",P93-P92)</f>
        <v/>
      </c>
      <c r="Q95" s="114" t="str">
        <f t="shared" si="154"/>
        <v/>
      </c>
    </row>
    <row r="96" spans="1:17" ht="12.75" customHeight="1" x14ac:dyDescent="0.2">
      <c r="A96" s="19" t="s">
        <v>52</v>
      </c>
      <c r="B96" s="71">
        <v>3175</v>
      </c>
      <c r="C96" s="246">
        <v>175</v>
      </c>
      <c r="D96" s="18" t="s">
        <v>66</v>
      </c>
      <c r="E96" s="20"/>
      <c r="F96" s="20"/>
      <c r="G96" s="34">
        <f t="shared" si="149"/>
        <v>0</v>
      </c>
      <c r="H96" s="114" t="str">
        <f t="shared" ref="H96:I96" si="155">IFERROR(H94-H93,"")</f>
        <v/>
      </c>
      <c r="I96" s="114" t="str">
        <f t="shared" si="155"/>
        <v/>
      </c>
      <c r="J96" s="114" t="str">
        <f t="shared" ref="J96:K96" si="156">IFERROR(J94-J93,"")</f>
        <v/>
      </c>
      <c r="K96" s="114" t="str">
        <f t="shared" si="156"/>
        <v/>
      </c>
      <c r="L96" s="114" t="str">
        <f t="shared" ref="L96:M96" si="157">IFERROR(L94-L93,"")</f>
        <v/>
      </c>
      <c r="M96" s="114" t="str">
        <f t="shared" si="157"/>
        <v/>
      </c>
      <c r="N96" s="114" t="str">
        <f t="shared" ref="N96:O96" si="158">IFERROR(N94-N93,"")</f>
        <v/>
      </c>
      <c r="O96" s="114" t="str">
        <f t="shared" si="158"/>
        <v/>
      </c>
      <c r="P96" s="114" t="str">
        <f t="shared" ref="P96:Q96" si="159">IFERROR(P94-P93,"")</f>
        <v/>
      </c>
      <c r="Q96" s="114" t="str">
        <f t="shared" si="159"/>
        <v/>
      </c>
    </row>
    <row r="97" spans="1:17" ht="12.75" customHeight="1" x14ac:dyDescent="0.2">
      <c r="A97" s="38" t="s">
        <v>38</v>
      </c>
      <c r="B97" s="70"/>
      <c r="C97" s="245"/>
      <c r="D97" s="40"/>
      <c r="E97" s="41"/>
      <c r="F97" s="41"/>
      <c r="G97" s="42"/>
      <c r="H97" s="115"/>
      <c r="I97" s="115"/>
      <c r="J97" s="115"/>
      <c r="K97" s="115"/>
      <c r="L97" s="115"/>
      <c r="M97" s="115"/>
      <c r="N97" s="115"/>
      <c r="O97" s="115"/>
      <c r="P97" s="115"/>
      <c r="Q97" s="115"/>
    </row>
    <row r="98" spans="1:17" ht="12.75" customHeight="1" x14ac:dyDescent="0.2">
      <c r="A98" s="38"/>
      <c r="B98" s="70"/>
      <c r="C98" s="245"/>
      <c r="D98" s="40"/>
      <c r="E98" s="41"/>
      <c r="F98" s="41"/>
      <c r="G98" s="42"/>
      <c r="H98" s="115"/>
      <c r="I98" s="115"/>
      <c r="J98" s="115"/>
      <c r="K98" s="115"/>
      <c r="L98" s="115"/>
      <c r="M98" s="115"/>
      <c r="N98" s="115"/>
      <c r="O98" s="115"/>
      <c r="P98" s="115"/>
      <c r="Q98" s="115"/>
    </row>
    <row r="99" spans="1:17" x14ac:dyDescent="0.2">
      <c r="A99" s="19" t="s">
        <v>38</v>
      </c>
      <c r="B99" s="71">
        <v>4100</v>
      </c>
      <c r="C99" s="246">
        <v>4100</v>
      </c>
      <c r="D99" s="20" t="s">
        <v>150</v>
      </c>
      <c r="E99" s="20"/>
      <c r="F99" s="20"/>
      <c r="G99" s="34"/>
      <c r="H99" s="114">
        <f>VLOOKUP(TEXT($B99,0),[1]BankRecData!$B$1:$O$5542,7,0)-VLOOKUP(TEXT($B99,0),[1]BankRecData!$B$1:$O$5542,8,0)</f>
        <v>664</v>
      </c>
      <c r="I99" s="114">
        <f>VLOOKUP(TEXT($B99,0),[2]BankRecData!$B$1:$O$5542,7,0)-VLOOKUP(TEXT($B99,0),[2]BankRecData!$B$1:$O$5542,8,0)</f>
        <v>834.75</v>
      </c>
      <c r="J99" s="114">
        <f>VLOOKUP(TEXT($B99,0),[3]BankRecData!$B$1:$O$5542,7,0)-VLOOKUP(TEXT($B99,0),[3]BankRecData!$B$1:$O$5542,8,0)</f>
        <v>1123.8499999999999</v>
      </c>
      <c r="K99" s="114">
        <f>VLOOKUP(TEXT($B99,0),[4]BankRecData!$B$1:$O$5542,7,0)-VLOOKUP(TEXT($B99,0),[4]BankRecData!$B$1:$O$5542,8,0)</f>
        <v>689.3</v>
      </c>
      <c r="L99" s="114">
        <f>VLOOKUP(TEXT($B99,0),[5]BankRecData!$B$1:$O$5542,7,0)-VLOOKUP(TEXT($B99,0),[5]BankRecData!$B$1:$O$5542,8,0)</f>
        <v>1005.0999999999999</v>
      </c>
      <c r="M99" s="114">
        <f>VLOOKUP(TEXT($B99,0),[6]BankRecData!$B$1:$O$5542,7,0)-VLOOKUP(TEXT($B99,0),[6]BankRecData!$B$1:$O$5542,8,0)</f>
        <v>811.90000000000009</v>
      </c>
      <c r="N99" s="114">
        <f>VLOOKUP(TEXT($B99,0),[7]BankRecData!$B$1:$O$5542,7,0)-VLOOKUP(TEXT($B99,0),[7]BankRecData!$B$1:$O$5542,8,0)</f>
        <v>736.59999999999991</v>
      </c>
      <c r="O99" s="114">
        <f>VLOOKUP(TEXT($B99,0),[8]BankRecData!$B$1:$O$5542,7,0)-VLOOKUP(TEXT($B99,0),[8]BankRecData!$B$1:$O$5542,8,0)</f>
        <v>993.34999999999991</v>
      </c>
      <c r="P99" s="114">
        <f>VLOOKUP(TEXT($B99,0),[9]BankRecData!$B$1:$O$5542,7,0)-VLOOKUP(TEXT($B99,0),[9]BankRecData!$B$1:$O$5542,8,0)</f>
        <v>759.65000000000009</v>
      </c>
      <c r="Q99" s="114">
        <f>VLOOKUP(TEXT($B99,0),[10]BankRecData!$B$1:$O$5542,7,0)-VLOOKUP(TEXT($B99,0),[10]BankRecData!$B$1:$O$5542,8,0)</f>
        <v>807.40000000000009</v>
      </c>
    </row>
    <row r="100" spans="1:17" ht="12.75" customHeight="1" x14ac:dyDescent="0.2">
      <c r="A100" s="19" t="s">
        <v>40</v>
      </c>
      <c r="B100" s="71">
        <v>4100</v>
      </c>
      <c r="C100" s="246">
        <v>4100</v>
      </c>
      <c r="D100" s="20" t="s">
        <v>150</v>
      </c>
      <c r="E100" s="20"/>
      <c r="F100" s="20"/>
      <c r="G100" s="34"/>
      <c r="H100" s="114">
        <f>VLOOKUP(TEXT($B100,0),[1]BankRecData!$B$1:$O$5542,6,0)</f>
        <v>0</v>
      </c>
      <c r="I100" s="114">
        <f>VLOOKUP(TEXT($B100,0),[2]BankRecData!$B$1:$O$5542,6,0)</f>
        <v>0</v>
      </c>
      <c r="J100" s="114">
        <f>VLOOKUP(TEXT($B100,0),[3]BankRecData!$B$1:$O$5542,6,0)</f>
        <v>0</v>
      </c>
      <c r="K100" s="114">
        <f>VLOOKUP(TEXT($B100,0),[4]BankRecData!$B$1:$O$5542,6,0)</f>
        <v>0</v>
      </c>
      <c r="L100" s="114">
        <f>VLOOKUP(TEXT($B100,0),[5]BankRecData!$B$1:$O$5542,6,0)</f>
        <v>0</v>
      </c>
      <c r="M100" s="114">
        <f>VLOOKUP(TEXT($B100,0),[6]BankRecData!$B$1:$O$5542,6,0)</f>
        <v>0</v>
      </c>
      <c r="N100" s="114">
        <f>VLOOKUP(TEXT($B100,0),[7]BankRecData!$B$1:$O$5542,6,0)</f>
        <v>0</v>
      </c>
      <c r="O100" s="114">
        <f>VLOOKUP(TEXT($B100,0),[8]BankRecData!$B$1:$O$5542,6,0)</f>
        <v>0</v>
      </c>
      <c r="P100" s="114">
        <f>VLOOKUP(TEXT($B100,0),[9]BankRecData!$B$1:$O$5542,6,0)</f>
        <v>0</v>
      </c>
      <c r="Q100" s="114">
        <f>VLOOKUP(TEXT($B100,0),[10]BankRecData!$B$1:$O$5542,6,0)</f>
        <v>0</v>
      </c>
    </row>
    <row r="101" spans="1:17" ht="12.75" customHeight="1" x14ac:dyDescent="0.2">
      <c r="A101" s="19" t="s">
        <v>39</v>
      </c>
      <c r="B101" s="71">
        <v>4100</v>
      </c>
      <c r="C101" s="246">
        <v>4100</v>
      </c>
      <c r="D101" s="20" t="s">
        <v>150</v>
      </c>
      <c r="E101" s="20"/>
      <c r="F101" s="20"/>
      <c r="G101" s="34"/>
      <c r="H101" s="114">
        <f>IFERROR(VLOOKUP($B101&amp;-H$1,FX!$U:$V,2,0),0)</f>
        <v>0</v>
      </c>
      <c r="I101" s="114">
        <f>IFERROR(VLOOKUP($B101&amp;-I$1,FX!$U:$V,2,0),0)</f>
        <v>0</v>
      </c>
      <c r="J101" s="114">
        <f>IFERROR(VLOOKUP($B101&amp;-J$1,FX!$U:$V,2,0),0)</f>
        <v>0</v>
      </c>
      <c r="K101" s="114">
        <f>IFERROR(VLOOKUP($B101&amp;-K$1,FX!$U:$V,2,0),0)</f>
        <v>0</v>
      </c>
      <c r="L101" s="114">
        <f>IFERROR(VLOOKUP($B101&amp;-L$1,FX!$U:$V,2,0),0)</f>
        <v>0</v>
      </c>
      <c r="M101" s="114">
        <f>IFERROR(VLOOKUP($B101&amp;-M$1,FX!$U:$V,2,0),0)</f>
        <v>0</v>
      </c>
      <c r="N101" s="114">
        <f>IFERROR(VLOOKUP($B101&amp;-N$1,FX!$U:$V,2,0),0)</f>
        <v>0</v>
      </c>
      <c r="O101" s="114">
        <f>IFERROR(VLOOKUP($B101&amp;-O$1,FX!$U:$V,2,0),0)</f>
        <v>0</v>
      </c>
      <c r="P101" s="114">
        <f>IFERROR(VLOOKUP($B101&amp;-P$1,FX!$U:$V,2,0),0)</f>
        <v>0</v>
      </c>
      <c r="Q101" s="114">
        <f>IFERROR(VLOOKUP($B101&amp;-Q$1,FX!$U:$V,2,0),0)</f>
        <v>0</v>
      </c>
    </row>
    <row r="102" spans="1:17" ht="12.75" customHeight="1" x14ac:dyDescent="0.2">
      <c r="A102" s="19" t="s">
        <v>34</v>
      </c>
      <c r="B102" s="71">
        <v>4100</v>
      </c>
      <c r="C102" s="246">
        <v>4100</v>
      </c>
      <c r="D102" s="20" t="s">
        <v>150</v>
      </c>
      <c r="E102" s="20"/>
      <c r="F102" s="20"/>
      <c r="G102" s="34"/>
      <c r="H102" s="114">
        <f t="shared" ref="H102:I102" si="160">H101-H100+H99</f>
        <v>664</v>
      </c>
      <c r="I102" s="114">
        <f t="shared" si="160"/>
        <v>834.75</v>
      </c>
      <c r="J102" s="114">
        <f t="shared" ref="J102:K102" si="161">J101-J100+J99</f>
        <v>1123.8499999999999</v>
      </c>
      <c r="K102" s="114">
        <f t="shared" si="161"/>
        <v>689.3</v>
      </c>
      <c r="L102" s="114">
        <f t="shared" ref="L102:M102" si="162">L101-L100+L99</f>
        <v>1005.0999999999999</v>
      </c>
      <c r="M102" s="114">
        <f t="shared" si="162"/>
        <v>811.90000000000009</v>
      </c>
      <c r="N102" s="114">
        <f t="shared" ref="N102:O102" si="163">N101-N100+N99</f>
        <v>736.59999999999991</v>
      </c>
      <c r="O102" s="114">
        <f t="shared" si="163"/>
        <v>993.34999999999991</v>
      </c>
      <c r="P102" s="114">
        <f t="shared" ref="P102:Q102" si="164">P101-P100+P99</f>
        <v>759.65000000000009</v>
      </c>
      <c r="Q102" s="114">
        <f t="shared" si="164"/>
        <v>807.40000000000009</v>
      </c>
    </row>
    <row r="103" spans="1:17" ht="12.75" customHeight="1" x14ac:dyDescent="0.2">
      <c r="A103" s="19" t="s">
        <v>35</v>
      </c>
      <c r="B103" s="71">
        <v>4100</v>
      </c>
      <c r="C103" s="246">
        <v>4100</v>
      </c>
      <c r="D103" s="20" t="s">
        <v>150</v>
      </c>
      <c r="E103" s="20"/>
      <c r="F103" s="35">
        <f>COUNTIF(H103:H103,"=0")</f>
        <v>1</v>
      </c>
      <c r="G103" s="34"/>
      <c r="H103" s="114">
        <f>SUMIF('Bank Deposit List'!$K:$K,$B103&amp;-H$1,'Bank Deposit List'!$L:$L)</f>
        <v>0</v>
      </c>
      <c r="I103" s="114">
        <f>SUMIF('Bank Deposit List'!$K:$K,$B103&amp;-I$1,'Bank Deposit List'!$L:$L)</f>
        <v>0</v>
      </c>
      <c r="J103" s="114">
        <f>SUMIF('Bank Deposit List'!$K:$K,$B103&amp;-J$1,'Bank Deposit List'!$L:$L)</f>
        <v>0</v>
      </c>
      <c r="K103" s="114">
        <f>SUMIF('Bank Deposit List'!$K:$K,$B103&amp;-K$1,'Bank Deposit List'!$L:$L)</f>
        <v>0</v>
      </c>
      <c r="L103" s="114">
        <f>SUMIF('Bank Deposit List'!$K:$K,$B103&amp;-L$1,'Bank Deposit List'!$L:$L)</f>
        <v>0</v>
      </c>
      <c r="M103" s="114">
        <f>SUMIF('Bank Deposit List'!$K:$K,$B103&amp;-M$1,'Bank Deposit List'!$L:$L)</f>
        <v>0</v>
      </c>
      <c r="N103" s="114">
        <f>SUMIF('Bank Deposit List'!$K:$K,$B103&amp;-N$1,'Bank Deposit List'!$L:$L)</f>
        <v>0</v>
      </c>
      <c r="O103" s="114">
        <f>SUMIF('Bank Deposit List'!$K:$K,$B103&amp;-O$1,'Bank Deposit List'!$L:$L)</f>
        <v>0</v>
      </c>
      <c r="P103" s="114">
        <f>SUMIF('Bank Deposit List'!$K:$K,$B103&amp;-P$1,'Bank Deposit List'!$L:$L)</f>
        <v>0</v>
      </c>
      <c r="Q103" s="114">
        <f>SUMIF('Bank Deposit List'!$K:$K,$B103&amp;-Q$1,'Bank Deposit List'!$L:$L)</f>
        <v>0</v>
      </c>
    </row>
    <row r="104" spans="1:17" ht="12.75" customHeight="1" x14ac:dyDescent="0.2">
      <c r="A104" s="19" t="s">
        <v>37</v>
      </c>
      <c r="B104" s="71">
        <v>4100</v>
      </c>
      <c r="C104" s="246">
        <v>4100</v>
      </c>
      <c r="D104" s="20" t="s">
        <v>150</v>
      </c>
      <c r="E104" s="36">
        <f>(COUNT(H77:CH77)-COUNT(H79:CH79))</f>
        <v>0</v>
      </c>
      <c r="F104" s="37"/>
      <c r="G104" s="34"/>
      <c r="H104" s="114" t="str">
        <f>IFERROR(VLOOKUP($B104&amp;-H103,'Deposits AU NAB'!$L:$M,2,0),"")</f>
        <v/>
      </c>
      <c r="I104" s="114" t="str">
        <f>IFERROR(VLOOKUP($B104&amp;-I103,'Deposits AU NAB'!$L:$M,2,0),"")</f>
        <v/>
      </c>
      <c r="J104" s="114" t="str">
        <f>IFERROR(VLOOKUP($B104&amp;-J103,'Deposits AU NAB'!$L:$M,2,0),"")</f>
        <v/>
      </c>
      <c r="K104" s="114" t="str">
        <f>IFERROR(VLOOKUP($B104&amp;-K103,'Deposits AU NAB'!$L:$M,2,0),"")</f>
        <v/>
      </c>
      <c r="L104" s="114" t="str">
        <f>IFERROR(VLOOKUP($B104&amp;-L103,'Deposits AU NAB'!$L:$M,2,0),"")</f>
        <v/>
      </c>
      <c r="M104" s="114" t="str">
        <f>IFERROR(VLOOKUP($B104&amp;-M103,'Deposits AU NAB'!$L:$M,2,0),"")</f>
        <v/>
      </c>
      <c r="N104" s="114" t="str">
        <f>IFERROR(VLOOKUP($B104&amp;-N103,'Deposits AU NAB'!$L:$M,2,0),"")</f>
        <v/>
      </c>
      <c r="O104" s="114" t="str">
        <f>IFERROR(VLOOKUP($B104&amp;-O103,'Deposits AU NAB'!$L:$M,2,0),"")</f>
        <v/>
      </c>
      <c r="P104" s="114" t="str">
        <f>IFERROR(VLOOKUP($B104&amp;-P103,'Deposits AU NAB'!$L:$M,2,0),"")</f>
        <v/>
      </c>
      <c r="Q104" s="114" t="str">
        <f>IFERROR(VLOOKUP($B104&amp;-Q103,'Deposits AU NAB'!$L:$M,2,0),"")</f>
        <v/>
      </c>
    </row>
    <row r="105" spans="1:17" ht="12.75" customHeight="1" x14ac:dyDescent="0.2">
      <c r="A105" s="19" t="s">
        <v>51</v>
      </c>
      <c r="B105" s="71">
        <v>4100</v>
      </c>
      <c r="C105" s="246">
        <v>4100</v>
      </c>
      <c r="D105" s="20" t="s">
        <v>150</v>
      </c>
      <c r="E105" s="36"/>
      <c r="F105" s="37"/>
      <c r="G105" s="34">
        <f t="shared" ref="G105:G106" si="165">SUM(H105:BX105)</f>
        <v>0</v>
      </c>
      <c r="H105" s="114" t="str">
        <f t="shared" ref="H105:I105" si="166">IF(H103=0,"",H103-H102)</f>
        <v/>
      </c>
      <c r="I105" s="114" t="str">
        <f t="shared" si="166"/>
        <v/>
      </c>
      <c r="J105" s="114" t="str">
        <f t="shared" ref="J105:K105" si="167">IF(J103=0,"",J103-J102)</f>
        <v/>
      </c>
      <c r="K105" s="114" t="str">
        <f t="shared" si="167"/>
        <v/>
      </c>
      <c r="L105" s="114" t="str">
        <f t="shared" ref="L105:M105" si="168">IF(L103=0,"",L103-L102)</f>
        <v/>
      </c>
      <c r="M105" s="114" t="str">
        <f t="shared" si="168"/>
        <v/>
      </c>
      <c r="N105" s="114" t="str">
        <f t="shared" ref="N105:O105" si="169">IF(N103=0,"",N103-N102)</f>
        <v/>
      </c>
      <c r="O105" s="114" t="str">
        <f t="shared" si="169"/>
        <v/>
      </c>
      <c r="P105" s="114" t="str">
        <f t="shared" ref="P105:Q105" si="170">IF(P103=0,"",P103-P102)</f>
        <v/>
      </c>
      <c r="Q105" s="114" t="str">
        <f t="shared" si="170"/>
        <v/>
      </c>
    </row>
    <row r="106" spans="1:17" ht="12.75" customHeight="1" x14ac:dyDescent="0.2">
      <c r="A106" s="19" t="s">
        <v>52</v>
      </c>
      <c r="B106" s="71">
        <v>4100</v>
      </c>
      <c r="C106" s="246">
        <v>4100</v>
      </c>
      <c r="D106" s="20" t="s">
        <v>150</v>
      </c>
      <c r="E106" s="20"/>
      <c r="F106" s="20"/>
      <c r="G106" s="34">
        <f t="shared" si="165"/>
        <v>0</v>
      </c>
      <c r="H106" s="114" t="str">
        <f t="shared" ref="H106:I106" si="171">IFERROR(H104-H103,"")</f>
        <v/>
      </c>
      <c r="I106" s="114" t="str">
        <f t="shared" si="171"/>
        <v/>
      </c>
      <c r="J106" s="114" t="str">
        <f t="shared" ref="J106:K106" si="172">IFERROR(J104-J103,"")</f>
        <v/>
      </c>
      <c r="K106" s="114" t="str">
        <f t="shared" si="172"/>
        <v/>
      </c>
      <c r="L106" s="114" t="str">
        <f t="shared" ref="L106:M106" si="173">IFERROR(L104-L103,"")</f>
        <v/>
      </c>
      <c r="M106" s="114" t="str">
        <f t="shared" si="173"/>
        <v/>
      </c>
      <c r="N106" s="114" t="str">
        <f t="shared" ref="N106:O106" si="174">IFERROR(N104-N103,"")</f>
        <v/>
      </c>
      <c r="O106" s="114" t="str">
        <f t="shared" si="174"/>
        <v/>
      </c>
      <c r="P106" s="114" t="str">
        <f t="shared" ref="P106:Q106" si="175">IFERROR(P104-P103,"")</f>
        <v/>
      </c>
      <c r="Q106" s="114" t="str">
        <f t="shared" si="175"/>
        <v/>
      </c>
    </row>
    <row r="107" spans="1:17" ht="12.75" customHeight="1" x14ac:dyDescent="0.2">
      <c r="A107" s="38" t="s">
        <v>38</v>
      </c>
      <c r="B107" s="70"/>
      <c r="C107" s="245"/>
      <c r="D107" s="40"/>
      <c r="E107" s="41"/>
      <c r="F107" s="41"/>
      <c r="G107" s="42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</row>
    <row r="108" spans="1:17" x14ac:dyDescent="0.2">
      <c r="A108" s="38"/>
      <c r="B108" s="70"/>
      <c r="C108" s="245"/>
      <c r="D108" s="40"/>
      <c r="E108" s="41"/>
      <c r="F108" s="41"/>
      <c r="G108" s="42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</row>
    <row r="109" spans="1:17" ht="12.75" customHeight="1" x14ac:dyDescent="0.2">
      <c r="A109" s="19" t="s">
        <v>38</v>
      </c>
      <c r="B109" s="71">
        <v>4101</v>
      </c>
      <c r="C109" s="246">
        <v>4101</v>
      </c>
      <c r="D109" s="20" t="s">
        <v>128</v>
      </c>
      <c r="E109" s="20"/>
      <c r="F109" s="20"/>
      <c r="G109" s="34"/>
      <c r="H109" s="114">
        <f>VLOOKUP(TEXT($B109,0),[1]BankRecData!$B$1:$O$5542,7,0)-VLOOKUP(TEXT($B109,0),[1]BankRecData!$B$1:$O$5542,8,0)</f>
        <v>1159.3499999999999</v>
      </c>
      <c r="I109" s="114">
        <f>VLOOKUP(TEXT($B109,0),[2]BankRecData!$B$1:$O$5542,7,0)-VLOOKUP(TEXT($B109,0),[2]BankRecData!$B$1:$O$5542,8,0)</f>
        <v>1077.25</v>
      </c>
      <c r="J109" s="114">
        <f>VLOOKUP(TEXT($B109,0),[3]BankRecData!$B$1:$O$5542,7,0)-VLOOKUP(TEXT($B109,0),[3]BankRecData!$B$1:$O$5542,8,0)</f>
        <v>1204.55</v>
      </c>
      <c r="K109" s="114">
        <f>VLOOKUP(TEXT($B109,0),[4]BankRecData!$B$1:$O$5542,7,0)-VLOOKUP(TEXT($B109,0),[4]BankRecData!$B$1:$O$5542,8,0)</f>
        <v>826.05</v>
      </c>
      <c r="L109" s="114">
        <f>VLOOKUP(TEXT($B109,0),[5]BankRecData!$B$1:$O$5542,7,0)-VLOOKUP(TEXT($B109,0),[5]BankRecData!$B$1:$O$5542,8,0)</f>
        <v>730.2</v>
      </c>
      <c r="M109" s="114">
        <f>VLOOKUP(TEXT($B109,0),[6]BankRecData!$B$1:$O$5542,7,0)-VLOOKUP(TEXT($B109,0),[6]BankRecData!$B$1:$O$5542,8,0)</f>
        <v>902.59999999999991</v>
      </c>
      <c r="N109" s="114">
        <f>VLOOKUP(TEXT($B109,0),[7]BankRecData!$B$1:$O$5542,7,0)-VLOOKUP(TEXT($B109,0),[7]BankRecData!$B$1:$O$5542,8,0)</f>
        <v>1074.2</v>
      </c>
      <c r="O109" s="114">
        <f>VLOOKUP(TEXT($B109,0),[8]BankRecData!$B$1:$O$5542,7,0)-VLOOKUP(TEXT($B109,0),[8]BankRecData!$B$1:$O$5542,8,0)</f>
        <v>1104.95</v>
      </c>
      <c r="P109" s="114">
        <f>VLOOKUP(TEXT($B109,0),[9]BankRecData!$B$1:$O$5542,7,0)-VLOOKUP(TEXT($B109,0),[9]BankRecData!$B$1:$O$5542,8,0)</f>
        <v>834.34999999999991</v>
      </c>
      <c r="Q109" s="114">
        <f>VLOOKUP(TEXT($B109,0),[10]BankRecData!$B$1:$O$5542,7,0)-VLOOKUP(TEXT($B109,0),[10]BankRecData!$B$1:$O$5542,8,0)</f>
        <v>1034.2</v>
      </c>
    </row>
    <row r="110" spans="1:17" ht="12.75" customHeight="1" x14ac:dyDescent="0.2">
      <c r="A110" s="19" t="s">
        <v>40</v>
      </c>
      <c r="B110" s="71">
        <v>4101</v>
      </c>
      <c r="C110" s="246">
        <v>4101</v>
      </c>
      <c r="D110" s="20" t="s">
        <v>128</v>
      </c>
      <c r="E110" s="20"/>
      <c r="F110" s="20"/>
      <c r="G110" s="34"/>
      <c r="H110" s="114">
        <f>VLOOKUP(TEXT($B110,0),[1]BankRecData!$B$1:$O$5542,6,0)</f>
        <v>0</v>
      </c>
      <c r="I110" s="114">
        <f>VLOOKUP(TEXT($B110,0),[2]BankRecData!$B$1:$O$5542,6,0)</f>
        <v>0</v>
      </c>
      <c r="J110" s="114">
        <f>VLOOKUP(TEXT($B110,0),[3]BankRecData!$B$1:$O$5542,6,0)</f>
        <v>0</v>
      </c>
      <c r="K110" s="114">
        <f>VLOOKUP(TEXT($B110,0),[4]BankRecData!$B$1:$O$5542,6,0)</f>
        <v>0</v>
      </c>
      <c r="L110" s="114">
        <f>VLOOKUP(TEXT($B110,0),[5]BankRecData!$B$1:$O$5542,6,0)</f>
        <v>0</v>
      </c>
      <c r="M110" s="114">
        <f>VLOOKUP(TEXT($B110,0),[6]BankRecData!$B$1:$O$5542,6,0)</f>
        <v>0</v>
      </c>
      <c r="N110" s="114">
        <f>VLOOKUP(TEXT($B110,0),[7]BankRecData!$B$1:$O$5542,6,0)</f>
        <v>0</v>
      </c>
      <c r="O110" s="114">
        <f>VLOOKUP(TEXT($B110,0),[8]BankRecData!$B$1:$O$5542,6,0)</f>
        <v>0</v>
      </c>
      <c r="P110" s="114">
        <f>VLOOKUP(TEXT($B110,0),[9]BankRecData!$B$1:$O$5542,6,0)</f>
        <v>0</v>
      </c>
      <c r="Q110" s="114">
        <f>VLOOKUP(TEXT($B110,0),[10]BankRecData!$B$1:$O$5542,6,0)</f>
        <v>0</v>
      </c>
    </row>
    <row r="111" spans="1:17" ht="12.75" customHeight="1" x14ac:dyDescent="0.2">
      <c r="A111" s="19" t="s">
        <v>39</v>
      </c>
      <c r="B111" s="71">
        <v>4101</v>
      </c>
      <c r="C111" s="246">
        <v>4101</v>
      </c>
      <c r="D111" s="20" t="s">
        <v>128</v>
      </c>
      <c r="E111" s="20"/>
      <c r="F111" s="20"/>
      <c r="G111" s="34"/>
      <c r="H111" s="114">
        <f>IFERROR(VLOOKUP($B111&amp;-H$1,FX!$U:$V,2,0),0)</f>
        <v>0</v>
      </c>
      <c r="I111" s="114">
        <f>IFERROR(VLOOKUP($B111&amp;-I$1,FX!$U:$V,2,0),0)</f>
        <v>0</v>
      </c>
      <c r="J111" s="114">
        <f>IFERROR(VLOOKUP($B111&amp;-J$1,FX!$U:$V,2,0),0)</f>
        <v>0</v>
      </c>
      <c r="K111" s="114">
        <f>IFERROR(VLOOKUP($B111&amp;-K$1,FX!$U:$V,2,0),0)</f>
        <v>0</v>
      </c>
      <c r="L111" s="114">
        <f>IFERROR(VLOOKUP($B111&amp;-L$1,FX!$U:$V,2,0),0)</f>
        <v>0</v>
      </c>
      <c r="M111" s="114">
        <f>IFERROR(VLOOKUP($B111&amp;-M$1,FX!$U:$V,2,0),0)</f>
        <v>0</v>
      </c>
      <c r="N111" s="114">
        <f>IFERROR(VLOOKUP($B111&amp;-N$1,FX!$U:$V,2,0),0)</f>
        <v>0</v>
      </c>
      <c r="O111" s="114">
        <f>IFERROR(VLOOKUP($B111&amp;-O$1,FX!$U:$V,2,0),0)</f>
        <v>0</v>
      </c>
      <c r="P111" s="114">
        <f>IFERROR(VLOOKUP($B111&amp;-P$1,FX!$U:$V,2,0),0)</f>
        <v>0</v>
      </c>
      <c r="Q111" s="114">
        <f>IFERROR(VLOOKUP($B111&amp;-Q$1,FX!$U:$V,2,0),0)</f>
        <v>0</v>
      </c>
    </row>
    <row r="112" spans="1:17" ht="12.75" customHeight="1" x14ac:dyDescent="0.2">
      <c r="A112" s="19" t="s">
        <v>34</v>
      </c>
      <c r="B112" s="71">
        <v>4101</v>
      </c>
      <c r="C112" s="246">
        <v>4101</v>
      </c>
      <c r="D112" s="20" t="s">
        <v>128</v>
      </c>
      <c r="E112" s="20"/>
      <c r="F112" s="20"/>
      <c r="G112" s="34"/>
      <c r="H112" s="114">
        <f t="shared" ref="H112:I112" si="176">H111-H110+H109</f>
        <v>1159.3499999999999</v>
      </c>
      <c r="I112" s="114">
        <f t="shared" si="176"/>
        <v>1077.25</v>
      </c>
      <c r="J112" s="114">
        <f t="shared" ref="J112:K112" si="177">J111-J110+J109</f>
        <v>1204.55</v>
      </c>
      <c r="K112" s="114">
        <f t="shared" si="177"/>
        <v>826.05</v>
      </c>
      <c r="L112" s="114">
        <f t="shared" ref="L112:M112" si="178">L111-L110+L109</f>
        <v>730.2</v>
      </c>
      <c r="M112" s="114">
        <f t="shared" si="178"/>
        <v>902.59999999999991</v>
      </c>
      <c r="N112" s="114">
        <f t="shared" ref="N112:O112" si="179">N111-N110+N109</f>
        <v>1074.2</v>
      </c>
      <c r="O112" s="114">
        <f t="shared" si="179"/>
        <v>1104.95</v>
      </c>
      <c r="P112" s="114">
        <f t="shared" ref="P112:Q112" si="180">P111-P110+P109</f>
        <v>834.34999999999991</v>
      </c>
      <c r="Q112" s="114">
        <f t="shared" si="180"/>
        <v>1034.2</v>
      </c>
    </row>
    <row r="113" spans="1:17" ht="12.75" customHeight="1" x14ac:dyDescent="0.2">
      <c r="A113" s="19" t="s">
        <v>35</v>
      </c>
      <c r="B113" s="71">
        <v>4101</v>
      </c>
      <c r="C113" s="246">
        <v>4101</v>
      </c>
      <c r="D113" s="20" t="s">
        <v>128</v>
      </c>
      <c r="E113" s="20"/>
      <c r="F113" s="35">
        <f>COUNTIF(H113:H113,"=0")</f>
        <v>1</v>
      </c>
      <c r="G113" s="34"/>
      <c r="H113" s="114">
        <f>SUMIF('Bank Deposit List'!$K:$K,$B113&amp;-H$1,'Bank Deposit List'!$L:$L)</f>
        <v>0</v>
      </c>
      <c r="I113" s="114">
        <f>SUMIF('Bank Deposit List'!$K:$K,$B113&amp;-I$1,'Bank Deposit List'!$L:$L)</f>
        <v>0</v>
      </c>
      <c r="J113" s="114">
        <f>SUMIF('Bank Deposit List'!$K:$K,$B113&amp;-J$1,'Bank Deposit List'!$L:$L)</f>
        <v>0</v>
      </c>
      <c r="K113" s="114">
        <f>SUMIF('Bank Deposit List'!$K:$K,$B113&amp;-K$1,'Bank Deposit List'!$L:$L)</f>
        <v>0</v>
      </c>
      <c r="L113" s="114">
        <f>SUMIF('Bank Deposit List'!$K:$K,$B113&amp;-L$1,'Bank Deposit List'!$L:$L)</f>
        <v>0</v>
      </c>
      <c r="M113" s="114">
        <f>SUMIF('Bank Deposit List'!$K:$K,$B113&amp;-M$1,'Bank Deposit List'!$L:$L)</f>
        <v>0</v>
      </c>
      <c r="N113" s="114">
        <f>SUMIF('Bank Deposit List'!$K:$K,$B113&amp;-N$1,'Bank Deposit List'!$L:$L)</f>
        <v>0</v>
      </c>
      <c r="O113" s="114">
        <f>SUMIF('Bank Deposit List'!$K:$K,$B113&amp;-O$1,'Bank Deposit List'!$L:$L)</f>
        <v>0</v>
      </c>
      <c r="P113" s="114">
        <f>SUMIF('Bank Deposit List'!$K:$K,$B113&amp;-P$1,'Bank Deposit List'!$L:$L)</f>
        <v>0</v>
      </c>
      <c r="Q113" s="114">
        <f>SUMIF('Bank Deposit List'!$K:$K,$B113&amp;-Q$1,'Bank Deposit List'!$L:$L)</f>
        <v>0</v>
      </c>
    </row>
    <row r="114" spans="1:17" ht="12.75" customHeight="1" x14ac:dyDescent="0.2">
      <c r="A114" s="19" t="s">
        <v>37</v>
      </c>
      <c r="B114" s="71">
        <v>4101</v>
      </c>
      <c r="C114" s="246">
        <v>4101</v>
      </c>
      <c r="D114" s="20" t="s">
        <v>128</v>
      </c>
      <c r="E114" s="36">
        <f>(COUNT(H87:CH87)-COUNT(H89:CH89))</f>
        <v>-10</v>
      </c>
      <c r="F114" s="37"/>
      <c r="G114" s="34"/>
      <c r="H114" s="114" t="str">
        <f>IFERROR(VLOOKUP($B114&amp;-H113,'Deposits AU NAB'!$L:$M,2,0),"")</f>
        <v/>
      </c>
      <c r="I114" s="114" t="str">
        <f>IFERROR(VLOOKUP($B114&amp;-I113,'Deposits AU NAB'!$L:$M,2,0),"")</f>
        <v/>
      </c>
      <c r="J114" s="114" t="str">
        <f>IFERROR(VLOOKUP($B114&amp;-J113,'Deposits AU NAB'!$L:$M,2,0),"")</f>
        <v/>
      </c>
      <c r="K114" s="114" t="str">
        <f>IFERROR(VLOOKUP($B114&amp;-K113,'Deposits AU NAB'!$L:$M,2,0),"")</f>
        <v/>
      </c>
      <c r="L114" s="114" t="str">
        <f>IFERROR(VLOOKUP($B114&amp;-L113,'Deposits AU NAB'!$L:$M,2,0),"")</f>
        <v/>
      </c>
      <c r="M114" s="114" t="str">
        <f>IFERROR(VLOOKUP($B114&amp;-M113,'Deposits AU NAB'!$L:$M,2,0),"")</f>
        <v/>
      </c>
      <c r="N114" s="114" t="str">
        <f>IFERROR(VLOOKUP($B114&amp;-N113,'Deposits AU NAB'!$L:$M,2,0),"")</f>
        <v/>
      </c>
      <c r="O114" s="114" t="str">
        <f>IFERROR(VLOOKUP($B114&amp;-O113,'Deposits AU NAB'!$L:$M,2,0),"")</f>
        <v/>
      </c>
      <c r="P114" s="114" t="str">
        <f>IFERROR(VLOOKUP($B114&amp;-P113,'Deposits AU NAB'!$L:$M,2,0),"")</f>
        <v/>
      </c>
      <c r="Q114" s="114" t="str">
        <f>IFERROR(VLOOKUP($B114&amp;-Q113,'Deposits AU NAB'!$L:$M,2,0),"")</f>
        <v/>
      </c>
    </row>
    <row r="115" spans="1:17" ht="12.75" customHeight="1" x14ac:dyDescent="0.2">
      <c r="A115" s="19" t="s">
        <v>51</v>
      </c>
      <c r="B115" s="71">
        <v>4101</v>
      </c>
      <c r="C115" s="246">
        <v>4101</v>
      </c>
      <c r="D115" s="20" t="s">
        <v>128</v>
      </c>
      <c r="E115" s="36"/>
      <c r="F115" s="37"/>
      <c r="G115" s="34">
        <f t="shared" ref="G115:G116" si="181">SUM(H115:BX115)</f>
        <v>0</v>
      </c>
      <c r="H115" s="114" t="str">
        <f t="shared" ref="H115:I115" si="182">IF(H113=0,"",H113-H112)</f>
        <v/>
      </c>
      <c r="I115" s="114" t="str">
        <f t="shared" si="182"/>
        <v/>
      </c>
      <c r="J115" s="114" t="str">
        <f t="shared" ref="J115:K115" si="183">IF(J113=0,"",J113-J112)</f>
        <v/>
      </c>
      <c r="K115" s="114" t="str">
        <f t="shared" si="183"/>
        <v/>
      </c>
      <c r="L115" s="114" t="str">
        <f t="shared" ref="L115:M115" si="184">IF(L113=0,"",L113-L112)</f>
        <v/>
      </c>
      <c r="M115" s="114" t="str">
        <f t="shared" si="184"/>
        <v/>
      </c>
      <c r="N115" s="114" t="str">
        <f t="shared" ref="N115:O115" si="185">IF(N113=0,"",N113-N112)</f>
        <v/>
      </c>
      <c r="O115" s="114" t="str">
        <f t="shared" si="185"/>
        <v/>
      </c>
      <c r="P115" s="114" t="str">
        <f t="shared" ref="P115:Q115" si="186">IF(P113=0,"",P113-P112)</f>
        <v/>
      </c>
      <c r="Q115" s="114" t="str">
        <f t="shared" si="186"/>
        <v/>
      </c>
    </row>
    <row r="116" spans="1:17" ht="12.75" customHeight="1" x14ac:dyDescent="0.2">
      <c r="A116" s="19" t="s">
        <v>52</v>
      </c>
      <c r="B116" s="71">
        <v>4101</v>
      </c>
      <c r="C116" s="246">
        <v>4101</v>
      </c>
      <c r="D116" s="18" t="s">
        <v>128</v>
      </c>
      <c r="E116" s="20"/>
      <c r="F116" s="20"/>
      <c r="G116" s="34">
        <f t="shared" si="181"/>
        <v>0</v>
      </c>
      <c r="H116" s="114" t="str">
        <f t="shared" ref="H116:I116" si="187">IFERROR(H114-H113,"")</f>
        <v/>
      </c>
      <c r="I116" s="114" t="str">
        <f t="shared" si="187"/>
        <v/>
      </c>
      <c r="J116" s="114" t="str">
        <f t="shared" ref="J116:K116" si="188">IFERROR(J114-J113,"")</f>
        <v/>
      </c>
      <c r="K116" s="114" t="str">
        <f t="shared" si="188"/>
        <v/>
      </c>
      <c r="L116" s="114" t="str">
        <f t="shared" ref="L116:M116" si="189">IFERROR(L114-L113,"")</f>
        <v/>
      </c>
      <c r="M116" s="114" t="str">
        <f t="shared" si="189"/>
        <v/>
      </c>
      <c r="N116" s="114" t="str">
        <f t="shared" ref="N116:O116" si="190">IFERROR(N114-N113,"")</f>
        <v/>
      </c>
      <c r="O116" s="114" t="str">
        <f t="shared" si="190"/>
        <v/>
      </c>
      <c r="P116" s="114" t="str">
        <f t="shared" ref="P116:Q116" si="191">IFERROR(P114-P113,"")</f>
        <v/>
      </c>
      <c r="Q116" s="114" t="str">
        <f t="shared" si="191"/>
        <v/>
      </c>
    </row>
    <row r="117" spans="1:17" x14ac:dyDescent="0.2">
      <c r="A117" s="38"/>
      <c r="B117" s="70"/>
      <c r="C117" s="245"/>
      <c r="D117" s="40"/>
      <c r="E117" s="41"/>
      <c r="F117" s="41"/>
      <c r="G117" s="42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</row>
    <row r="118" spans="1:17" ht="12.75" customHeight="1" x14ac:dyDescent="0.2">
      <c r="A118" s="19" t="s">
        <v>38</v>
      </c>
      <c r="B118" s="71">
        <v>4102</v>
      </c>
      <c r="C118" s="246">
        <v>4102</v>
      </c>
      <c r="D118" s="20" t="s">
        <v>132</v>
      </c>
      <c r="E118" s="20"/>
      <c r="F118" s="20"/>
      <c r="G118" s="34"/>
      <c r="H118" s="114">
        <f>VLOOKUP(TEXT($B118,0),[1]BankRecData!$B$1:$O$5542,7,0)-VLOOKUP(TEXT($B118,0),[1]BankRecData!$B$1:$O$5542,8,0)</f>
        <v>173.70000000000005</v>
      </c>
      <c r="I118" s="114">
        <f>VLOOKUP(TEXT($B118,0),[2]BankRecData!$B$1:$O$5542,7,0)-VLOOKUP(TEXT($B118,0),[2]BankRecData!$B$1:$O$5542,8,0)</f>
        <v>323.79999999999995</v>
      </c>
      <c r="J118" s="114">
        <f>VLOOKUP(TEXT($B118,0),[3]BankRecData!$B$1:$O$5542,7,0)-VLOOKUP(TEXT($B118,0),[3]BankRecData!$B$1:$O$5542,8,0)</f>
        <v>234.79999999999995</v>
      </c>
      <c r="K118" s="114">
        <f>VLOOKUP(TEXT($B118,0),[4]BankRecData!$B$1:$O$5542,7,0)-VLOOKUP(TEXT($B118,0),[4]BankRecData!$B$1:$O$5542,8,0)</f>
        <v>227.45000000000005</v>
      </c>
      <c r="L118" s="114">
        <f>VLOOKUP(TEXT($B118,0),[5]BankRecData!$B$1:$O$5542,7,0)-VLOOKUP(TEXT($B118,0),[5]BankRecData!$B$1:$O$5542,8,0)</f>
        <v>159.39999999999998</v>
      </c>
      <c r="M118" s="114">
        <f>VLOOKUP(TEXT($B118,0),[6]BankRecData!$B$1:$O$5542,7,0)-VLOOKUP(TEXT($B118,0),[6]BankRecData!$B$1:$O$5542,8,0)</f>
        <v>253.25</v>
      </c>
      <c r="N118" s="114">
        <f>VLOOKUP(TEXT($B118,0),[7]BankRecData!$B$1:$O$5542,7,0)-VLOOKUP(TEXT($B118,0),[7]BankRecData!$B$1:$O$5542,8,0)</f>
        <v>316.64999999999998</v>
      </c>
      <c r="O118" s="114">
        <f>VLOOKUP(TEXT($B118,0),[8]BankRecData!$B$1:$O$5542,7,0)-VLOOKUP(TEXT($B118,0),[8]BankRecData!$B$1:$O$5542,8,0)</f>
        <v>406.04999999999995</v>
      </c>
      <c r="P118" s="114">
        <f>VLOOKUP(TEXT($B118,0),[9]BankRecData!$B$1:$O$5542,7,0)-VLOOKUP(TEXT($B118,0),[9]BankRecData!$B$1:$O$5542,8,0)</f>
        <v>278.39999999999998</v>
      </c>
      <c r="Q118" s="114">
        <f>VLOOKUP(TEXT($B118,0),[10]BankRecData!$B$1:$O$5542,7,0)-VLOOKUP(TEXT($B118,0),[10]BankRecData!$B$1:$O$5542,8,0)</f>
        <v>242.29999999999995</v>
      </c>
    </row>
    <row r="119" spans="1:17" ht="12.75" customHeight="1" x14ac:dyDescent="0.2">
      <c r="A119" s="19" t="s">
        <v>40</v>
      </c>
      <c r="B119" s="71">
        <v>4102</v>
      </c>
      <c r="C119" s="246">
        <v>4102</v>
      </c>
      <c r="D119" s="20" t="s">
        <v>132</v>
      </c>
      <c r="E119" s="20"/>
      <c r="F119" s="20"/>
      <c r="G119" s="34"/>
      <c r="H119" s="114">
        <f>VLOOKUP(TEXT($B119,0),[1]BankRecData!$B$1:$O$5542,6,0)</f>
        <v>0</v>
      </c>
      <c r="I119" s="114">
        <f>VLOOKUP(TEXT($B119,0),[2]BankRecData!$B$1:$O$5542,6,0)</f>
        <v>0</v>
      </c>
      <c r="J119" s="114">
        <f>VLOOKUP(TEXT($B119,0),[3]BankRecData!$B$1:$O$5542,6,0)</f>
        <v>0</v>
      </c>
      <c r="K119" s="114">
        <f>VLOOKUP(TEXT($B119,0),[4]BankRecData!$B$1:$O$5542,6,0)</f>
        <v>0</v>
      </c>
      <c r="L119" s="114">
        <f>VLOOKUP(TEXT($B119,0),[5]BankRecData!$B$1:$O$5542,6,0)</f>
        <v>0</v>
      </c>
      <c r="M119" s="114">
        <f>VLOOKUP(TEXT($B119,0),[6]BankRecData!$B$1:$O$5542,6,0)</f>
        <v>0</v>
      </c>
      <c r="N119" s="114">
        <f>VLOOKUP(TEXT($B119,0),[7]BankRecData!$B$1:$O$5542,6,0)</f>
        <v>0</v>
      </c>
      <c r="O119" s="114">
        <f>VLOOKUP(TEXT($B119,0),[8]BankRecData!$B$1:$O$5542,6,0)</f>
        <v>0</v>
      </c>
      <c r="P119" s="114">
        <f>VLOOKUP(TEXT($B119,0),[9]BankRecData!$B$1:$O$5542,6,0)</f>
        <v>0</v>
      </c>
      <c r="Q119" s="114">
        <f>VLOOKUP(TEXT($B119,0),[10]BankRecData!$B$1:$O$5542,6,0)</f>
        <v>0</v>
      </c>
    </row>
    <row r="120" spans="1:17" ht="12.75" customHeight="1" x14ac:dyDescent="0.2">
      <c r="A120" s="19" t="s">
        <v>39</v>
      </c>
      <c r="B120" s="71">
        <v>4102</v>
      </c>
      <c r="C120" s="246">
        <v>4102</v>
      </c>
      <c r="D120" s="20" t="s">
        <v>132</v>
      </c>
      <c r="E120" s="20"/>
      <c r="F120" s="20"/>
      <c r="G120" s="34"/>
      <c r="H120" s="114">
        <f>IFERROR(VLOOKUP($B120&amp;-H$1,FX!$U:$V,2,0),0)</f>
        <v>0</v>
      </c>
      <c r="I120" s="114">
        <f>IFERROR(VLOOKUP($B120&amp;-I$1,FX!$U:$V,2,0),0)</f>
        <v>0</v>
      </c>
      <c r="J120" s="114">
        <f>IFERROR(VLOOKUP($B120&amp;-J$1,FX!$U:$V,2,0),0)</f>
        <v>0</v>
      </c>
      <c r="K120" s="114">
        <f>IFERROR(VLOOKUP($B120&amp;-K$1,FX!$U:$V,2,0),0)</f>
        <v>0</v>
      </c>
      <c r="L120" s="114">
        <f>IFERROR(VLOOKUP($B120&amp;-L$1,FX!$U:$V,2,0),0)</f>
        <v>0</v>
      </c>
      <c r="M120" s="114">
        <f>IFERROR(VLOOKUP($B120&amp;-M$1,FX!$U:$V,2,0),0)</f>
        <v>0</v>
      </c>
      <c r="N120" s="114">
        <f>IFERROR(VLOOKUP($B120&amp;-N$1,FX!$U:$V,2,0),0)</f>
        <v>0</v>
      </c>
      <c r="O120" s="114">
        <f>IFERROR(VLOOKUP($B120&amp;-O$1,FX!$U:$V,2,0),0)</f>
        <v>0</v>
      </c>
      <c r="P120" s="114">
        <f>IFERROR(VLOOKUP($B120&amp;-P$1,FX!$U:$V,2,0),0)</f>
        <v>0</v>
      </c>
      <c r="Q120" s="114">
        <f>IFERROR(VLOOKUP($B120&amp;-Q$1,FX!$U:$V,2,0),0)</f>
        <v>0</v>
      </c>
    </row>
    <row r="121" spans="1:17" ht="12.75" customHeight="1" x14ac:dyDescent="0.2">
      <c r="A121" s="19" t="s">
        <v>34</v>
      </c>
      <c r="B121" s="71">
        <v>4102</v>
      </c>
      <c r="C121" s="246">
        <v>4102</v>
      </c>
      <c r="D121" s="20" t="s">
        <v>132</v>
      </c>
      <c r="E121" s="20"/>
      <c r="F121" s="20"/>
      <c r="G121" s="34"/>
      <c r="H121" s="114">
        <f t="shared" ref="H121:I121" si="192">H120-H119+H118</f>
        <v>173.70000000000005</v>
      </c>
      <c r="I121" s="114">
        <f t="shared" si="192"/>
        <v>323.79999999999995</v>
      </c>
      <c r="J121" s="114">
        <f t="shared" ref="J121:K121" si="193">J120-J119+J118</f>
        <v>234.79999999999995</v>
      </c>
      <c r="K121" s="114">
        <f t="shared" si="193"/>
        <v>227.45000000000005</v>
      </c>
      <c r="L121" s="114">
        <f t="shared" ref="L121:M121" si="194">L120-L119+L118</f>
        <v>159.39999999999998</v>
      </c>
      <c r="M121" s="114">
        <f t="shared" si="194"/>
        <v>253.25</v>
      </c>
      <c r="N121" s="114">
        <f t="shared" ref="N121:O121" si="195">N120-N119+N118</f>
        <v>316.64999999999998</v>
      </c>
      <c r="O121" s="114">
        <f t="shared" si="195"/>
        <v>406.04999999999995</v>
      </c>
      <c r="P121" s="114">
        <f t="shared" ref="P121:Q121" si="196">P120-P119+P118</f>
        <v>278.39999999999998</v>
      </c>
      <c r="Q121" s="114">
        <f t="shared" si="196"/>
        <v>242.29999999999995</v>
      </c>
    </row>
    <row r="122" spans="1:17" ht="12.75" customHeight="1" x14ac:dyDescent="0.2">
      <c r="A122" s="19" t="s">
        <v>35</v>
      </c>
      <c r="B122" s="71">
        <v>4102</v>
      </c>
      <c r="C122" s="246">
        <v>4102</v>
      </c>
      <c r="D122" s="20" t="s">
        <v>132</v>
      </c>
      <c r="E122" s="20"/>
      <c r="F122" s="35">
        <f>COUNTIF(H122:H122,"=0")</f>
        <v>1</v>
      </c>
      <c r="G122" s="34"/>
      <c r="H122" s="114">
        <f>SUMIF('Bank Deposit List'!$K:$K,$B122&amp;-H$1,'Bank Deposit List'!$L:$L)</f>
        <v>0</v>
      </c>
      <c r="I122" s="114">
        <f>SUMIF('Bank Deposit List'!$K:$K,$B122&amp;-I$1,'Bank Deposit List'!$L:$L)</f>
        <v>0</v>
      </c>
      <c r="J122" s="114">
        <f>SUMIF('Bank Deposit List'!$K:$K,$B122&amp;-J$1,'Bank Deposit List'!$L:$L)</f>
        <v>0</v>
      </c>
      <c r="K122" s="114">
        <f>SUMIF('Bank Deposit List'!$K:$K,$B122&amp;-K$1,'Bank Deposit List'!$L:$L)</f>
        <v>0</v>
      </c>
      <c r="L122" s="114">
        <f>SUMIF('Bank Deposit List'!$K:$K,$B122&amp;-L$1,'Bank Deposit List'!$L:$L)</f>
        <v>0</v>
      </c>
      <c r="M122" s="114">
        <f>SUMIF('Bank Deposit List'!$K:$K,$B122&amp;-M$1,'Bank Deposit List'!$L:$L)</f>
        <v>0</v>
      </c>
      <c r="N122" s="114">
        <f>SUMIF('Bank Deposit List'!$K:$K,$B122&amp;-N$1,'Bank Deposit List'!$L:$L)</f>
        <v>0</v>
      </c>
      <c r="O122" s="114">
        <f>SUMIF('Bank Deposit List'!$K:$K,$B122&amp;-O$1,'Bank Deposit List'!$L:$L)</f>
        <v>0</v>
      </c>
      <c r="P122" s="114">
        <f>SUMIF('Bank Deposit List'!$K:$K,$B122&amp;-P$1,'Bank Deposit List'!$L:$L)</f>
        <v>0</v>
      </c>
      <c r="Q122" s="114">
        <f>SUMIF('Bank Deposit List'!$K:$K,$B122&amp;-Q$1,'Bank Deposit List'!$L:$L)</f>
        <v>0</v>
      </c>
    </row>
    <row r="123" spans="1:17" ht="12.75" customHeight="1" x14ac:dyDescent="0.2">
      <c r="A123" s="19" t="s">
        <v>37</v>
      </c>
      <c r="B123" s="71">
        <v>4102</v>
      </c>
      <c r="C123" s="246">
        <v>4102</v>
      </c>
      <c r="D123" s="20" t="s">
        <v>132</v>
      </c>
      <c r="E123" s="36">
        <f>(COUNT(H96:CH96)-COUNT(H98:CH98))</f>
        <v>0</v>
      </c>
      <c r="F123" s="37"/>
      <c r="G123" s="34"/>
      <c r="H123" s="114" t="str">
        <f>IFERROR(VLOOKUP($B123&amp;-H122,'Deposits AU NAB'!$L:$M,2,0),"")</f>
        <v/>
      </c>
      <c r="I123" s="114" t="str">
        <f>IFERROR(VLOOKUP($B123&amp;-I122,'Deposits AU NAB'!$L:$M,2,0),"")</f>
        <v/>
      </c>
      <c r="J123" s="114" t="str">
        <f>IFERROR(VLOOKUP($B123&amp;-J122,'Deposits AU NAB'!$L:$M,2,0),"")</f>
        <v/>
      </c>
      <c r="K123" s="114" t="str">
        <f>IFERROR(VLOOKUP($B123&amp;-K122,'Deposits AU NAB'!$L:$M,2,0),"")</f>
        <v/>
      </c>
      <c r="L123" s="114" t="str">
        <f>IFERROR(VLOOKUP($B123&amp;-L122,'Deposits AU NAB'!$L:$M,2,0),"")</f>
        <v/>
      </c>
      <c r="M123" s="114" t="str">
        <f>IFERROR(VLOOKUP($B123&amp;-M122,'Deposits AU NAB'!$L:$M,2,0),"")</f>
        <v/>
      </c>
      <c r="N123" s="114" t="str">
        <f>IFERROR(VLOOKUP($B123&amp;-N122,'Deposits AU NAB'!$L:$M,2,0),"")</f>
        <v/>
      </c>
      <c r="O123" s="114" t="str">
        <f>IFERROR(VLOOKUP($B123&amp;-O122,'Deposits AU NAB'!$L:$M,2,0),"")</f>
        <v/>
      </c>
      <c r="P123" s="114" t="str">
        <f>IFERROR(VLOOKUP($B123&amp;-P122,'Deposits AU NAB'!$L:$M,2,0),"")</f>
        <v/>
      </c>
      <c r="Q123" s="114" t="str">
        <f>IFERROR(VLOOKUP($B123&amp;-Q122,'Deposits AU NAB'!$L:$M,2,0),"")</f>
        <v/>
      </c>
    </row>
    <row r="124" spans="1:17" ht="12.75" customHeight="1" x14ac:dyDescent="0.2">
      <c r="A124" s="19" t="s">
        <v>51</v>
      </c>
      <c r="B124" s="71">
        <v>4102</v>
      </c>
      <c r="C124" s="246">
        <v>4102</v>
      </c>
      <c r="D124" s="20" t="s">
        <v>132</v>
      </c>
      <c r="E124" s="36"/>
      <c r="F124" s="37"/>
      <c r="G124" s="34">
        <f t="shared" ref="G124:G125" si="197">SUM(H124:BX124)</f>
        <v>0</v>
      </c>
      <c r="H124" s="114" t="str">
        <f t="shared" ref="H124:I124" si="198">IF(H122=0,"",H122-H121)</f>
        <v/>
      </c>
      <c r="I124" s="114" t="str">
        <f t="shared" si="198"/>
        <v/>
      </c>
      <c r="J124" s="114" t="str">
        <f t="shared" ref="J124:K124" si="199">IF(J122=0,"",J122-J121)</f>
        <v/>
      </c>
      <c r="K124" s="114" t="str">
        <f t="shared" si="199"/>
        <v/>
      </c>
      <c r="L124" s="114" t="str">
        <f t="shared" ref="L124:M124" si="200">IF(L122=0,"",L122-L121)</f>
        <v/>
      </c>
      <c r="M124" s="114" t="str">
        <f t="shared" si="200"/>
        <v/>
      </c>
      <c r="N124" s="114" t="str">
        <f t="shared" ref="N124:O124" si="201">IF(N122=0,"",N122-N121)</f>
        <v/>
      </c>
      <c r="O124" s="114" t="str">
        <f t="shared" si="201"/>
        <v/>
      </c>
      <c r="P124" s="114" t="str">
        <f t="shared" ref="P124:Q124" si="202">IF(P122=0,"",P122-P121)</f>
        <v/>
      </c>
      <c r="Q124" s="114" t="str">
        <f t="shared" si="202"/>
        <v/>
      </c>
    </row>
    <row r="125" spans="1:17" ht="12.75" customHeight="1" x14ac:dyDescent="0.2">
      <c r="A125" s="19" t="s">
        <v>52</v>
      </c>
      <c r="B125" s="71">
        <v>4102</v>
      </c>
      <c r="C125" s="246">
        <v>4102</v>
      </c>
      <c r="D125" s="20" t="s">
        <v>132</v>
      </c>
      <c r="E125" s="20"/>
      <c r="F125" s="20"/>
      <c r="G125" s="34">
        <f t="shared" si="197"/>
        <v>0</v>
      </c>
      <c r="H125" s="114" t="str">
        <f t="shared" ref="H125:I125" si="203">IFERROR(H123-H122,"")</f>
        <v/>
      </c>
      <c r="I125" s="114" t="str">
        <f t="shared" si="203"/>
        <v/>
      </c>
      <c r="J125" s="114" t="str">
        <f t="shared" ref="J125:K125" si="204">IFERROR(J123-J122,"")</f>
        <v/>
      </c>
      <c r="K125" s="114" t="str">
        <f t="shared" si="204"/>
        <v/>
      </c>
      <c r="L125" s="114" t="str">
        <f t="shared" ref="L125:M125" si="205">IFERROR(L123-L122,"")</f>
        <v/>
      </c>
      <c r="M125" s="114" t="str">
        <f t="shared" si="205"/>
        <v/>
      </c>
      <c r="N125" s="114" t="str">
        <f t="shared" ref="N125:O125" si="206">IFERROR(N123-N122,"")</f>
        <v/>
      </c>
      <c r="O125" s="114" t="str">
        <f t="shared" si="206"/>
        <v/>
      </c>
      <c r="P125" s="114" t="str">
        <f t="shared" ref="P125:Q125" si="207">IFERROR(P123-P122,"")</f>
        <v/>
      </c>
      <c r="Q125" s="114" t="str">
        <f t="shared" si="207"/>
        <v/>
      </c>
    </row>
    <row r="126" spans="1:17" x14ac:dyDescent="0.2">
      <c r="A126" s="38"/>
      <c r="B126" s="70"/>
      <c r="C126" s="245"/>
      <c r="D126" s="40"/>
      <c r="E126" s="41"/>
      <c r="F126" s="41"/>
      <c r="G126" s="42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</row>
    <row r="127" spans="1:17" ht="12.75" customHeight="1" x14ac:dyDescent="0.2">
      <c r="A127" s="19" t="s">
        <v>38</v>
      </c>
      <c r="B127" s="71">
        <v>4104</v>
      </c>
      <c r="C127" s="246">
        <v>4104</v>
      </c>
      <c r="D127" s="18" t="s">
        <v>134</v>
      </c>
      <c r="E127" s="20"/>
      <c r="F127" s="20"/>
      <c r="G127" s="34"/>
      <c r="H127" s="114">
        <f>VLOOKUP(TEXT($B127,0),[1]BankRecData!$B$1:$O$5542,7,0)-VLOOKUP(TEXT($B127,0),[1]BankRecData!$B$1:$O$5542,8,0)</f>
        <v>170.60000000000002</v>
      </c>
      <c r="I127" s="114">
        <f>VLOOKUP(TEXT($B127,0),[2]BankRecData!$B$1:$O$5542,7,0)-VLOOKUP(TEXT($B127,0),[2]BankRecData!$B$1:$O$5542,8,0)</f>
        <v>138.75</v>
      </c>
      <c r="J127" s="114">
        <f>VLOOKUP(TEXT($B127,0),[3]BankRecData!$B$1:$O$5542,7,0)-VLOOKUP(TEXT($B127,0),[3]BankRecData!$B$1:$O$5542,8,0)</f>
        <v>300.29999999999995</v>
      </c>
      <c r="K127" s="114">
        <f>VLOOKUP(TEXT($B127,0),[4]BankRecData!$B$1:$O$5542,7,0)-VLOOKUP(TEXT($B127,0),[4]BankRecData!$B$1:$O$5542,8,0)</f>
        <v>174.79999999999995</v>
      </c>
      <c r="L127" s="114">
        <f>VLOOKUP(TEXT($B127,0),[5]BankRecData!$B$1:$O$5542,7,0)-VLOOKUP(TEXT($B127,0),[5]BankRecData!$B$1:$O$5542,8,0)</f>
        <v>0</v>
      </c>
      <c r="M127" s="114">
        <f>VLOOKUP(TEXT($B127,0),[6]BankRecData!$B$1:$O$5542,7,0)-VLOOKUP(TEXT($B127,0),[6]BankRecData!$B$1:$O$5542,8,0)</f>
        <v>0</v>
      </c>
      <c r="N127" s="114">
        <f>VLOOKUP(TEXT($B127,0),[7]BankRecData!$B$1:$O$5542,7,0)-VLOOKUP(TEXT($B127,0),[7]BankRecData!$B$1:$O$5542,8,0)</f>
        <v>245.5</v>
      </c>
      <c r="O127" s="114">
        <f>VLOOKUP(TEXT($B127,0),[8]BankRecData!$B$1:$O$5542,7,0)-VLOOKUP(TEXT($B127,0),[8]BankRecData!$B$1:$O$5542,8,0)</f>
        <v>270.14999999999998</v>
      </c>
      <c r="P127" s="114">
        <f>VLOOKUP(TEXT($B127,0),[9]BankRecData!$B$1:$O$5542,7,0)-VLOOKUP(TEXT($B127,0),[9]BankRecData!$B$1:$O$5542,8,0)</f>
        <v>228.60000000000002</v>
      </c>
      <c r="Q127" s="114">
        <f>VLOOKUP(TEXT($B127,0),[10]BankRecData!$B$1:$O$5542,7,0)-VLOOKUP(TEXT($B127,0),[10]BankRecData!$B$1:$O$5542,8,0)</f>
        <v>276.95000000000005</v>
      </c>
    </row>
    <row r="128" spans="1:17" ht="12.75" customHeight="1" x14ac:dyDescent="0.2">
      <c r="A128" s="19" t="s">
        <v>40</v>
      </c>
      <c r="B128" s="71">
        <v>4104</v>
      </c>
      <c r="C128" s="246">
        <v>4104</v>
      </c>
      <c r="D128" s="18" t="s">
        <v>134</v>
      </c>
      <c r="E128" s="20"/>
      <c r="F128" s="20"/>
      <c r="G128" s="34"/>
      <c r="H128" s="114">
        <f>VLOOKUP(TEXT($B128,0),[1]BankRecData!$B$1:$O$5542,6,0)</f>
        <v>0</v>
      </c>
      <c r="I128" s="114">
        <f>VLOOKUP(TEXT($B128,0),[2]BankRecData!$B$1:$O$5542,6,0)</f>
        <v>0</v>
      </c>
      <c r="J128" s="114">
        <f>VLOOKUP(TEXT($B128,0),[3]BankRecData!$B$1:$O$5542,6,0)</f>
        <v>0</v>
      </c>
      <c r="K128" s="114">
        <f>VLOOKUP(TEXT($B128,0),[4]BankRecData!$B$1:$O$5542,6,0)</f>
        <v>0</v>
      </c>
      <c r="L128" s="114">
        <f>VLOOKUP(TEXT($B128,0),[5]BankRecData!$B$1:$O$5542,6,0)</f>
        <v>0</v>
      </c>
      <c r="M128" s="114">
        <f>VLOOKUP(TEXT($B128,0),[6]BankRecData!$B$1:$O$5542,6,0)</f>
        <v>0</v>
      </c>
      <c r="N128" s="114">
        <f>VLOOKUP(TEXT($B128,0),[7]BankRecData!$B$1:$O$5542,6,0)</f>
        <v>0</v>
      </c>
      <c r="O128" s="114">
        <f>VLOOKUP(TEXT($B128,0),[8]BankRecData!$B$1:$O$5542,6,0)</f>
        <v>0</v>
      </c>
      <c r="P128" s="114">
        <f>VLOOKUP(TEXT($B128,0),[9]BankRecData!$B$1:$O$5542,6,0)</f>
        <v>0</v>
      </c>
      <c r="Q128" s="114">
        <f>VLOOKUP(TEXT($B128,0),[10]BankRecData!$B$1:$O$5542,6,0)</f>
        <v>0</v>
      </c>
    </row>
    <row r="129" spans="1:17" ht="12.75" customHeight="1" x14ac:dyDescent="0.2">
      <c r="A129" s="19" t="s">
        <v>39</v>
      </c>
      <c r="B129" s="71">
        <v>4104</v>
      </c>
      <c r="C129" s="246">
        <v>4104</v>
      </c>
      <c r="D129" s="18" t="s">
        <v>134</v>
      </c>
      <c r="E129" s="20"/>
      <c r="F129" s="20"/>
      <c r="G129" s="34"/>
      <c r="H129" s="114">
        <f>IFERROR(VLOOKUP($B129&amp;-H$1,FX!$U:$V,2,0),0)</f>
        <v>0</v>
      </c>
      <c r="I129" s="114">
        <f>IFERROR(VLOOKUP($B129&amp;-I$1,FX!$U:$V,2,0),0)</f>
        <v>0</v>
      </c>
      <c r="J129" s="114">
        <f>IFERROR(VLOOKUP($B129&amp;-J$1,FX!$U:$V,2,0),0)</f>
        <v>0</v>
      </c>
      <c r="K129" s="114">
        <f>IFERROR(VLOOKUP($B129&amp;-K$1,FX!$U:$V,2,0),0)</f>
        <v>0</v>
      </c>
      <c r="L129" s="114">
        <f>IFERROR(VLOOKUP($B129&amp;-L$1,FX!$U:$V,2,0),0)</f>
        <v>0</v>
      </c>
      <c r="M129" s="114">
        <f>IFERROR(VLOOKUP($B129&amp;-M$1,FX!$U:$V,2,0),0)</f>
        <v>0</v>
      </c>
      <c r="N129" s="114">
        <f>IFERROR(VLOOKUP($B129&amp;-N$1,FX!$U:$V,2,0),0)</f>
        <v>0</v>
      </c>
      <c r="O129" s="114">
        <f>IFERROR(VLOOKUP($B129&amp;-O$1,FX!$U:$V,2,0),0)</f>
        <v>0</v>
      </c>
      <c r="P129" s="114">
        <f>IFERROR(VLOOKUP($B129&amp;-P$1,FX!$U:$V,2,0),0)</f>
        <v>0</v>
      </c>
      <c r="Q129" s="114">
        <f>IFERROR(VLOOKUP($B129&amp;-Q$1,FX!$U:$V,2,0),0)</f>
        <v>0</v>
      </c>
    </row>
    <row r="130" spans="1:17" ht="12.75" customHeight="1" x14ac:dyDescent="0.2">
      <c r="A130" s="19" t="s">
        <v>34</v>
      </c>
      <c r="B130" s="71">
        <v>4104</v>
      </c>
      <c r="C130" s="246">
        <v>4104</v>
      </c>
      <c r="D130" s="18" t="s">
        <v>134</v>
      </c>
      <c r="E130" s="20"/>
      <c r="F130" s="20"/>
      <c r="G130" s="34"/>
      <c r="H130" s="114">
        <f t="shared" ref="H130:I130" si="208">H129-H128+H127</f>
        <v>170.60000000000002</v>
      </c>
      <c r="I130" s="114">
        <f t="shared" si="208"/>
        <v>138.75</v>
      </c>
      <c r="J130" s="114">
        <f t="shared" ref="J130:K130" si="209">J129-J128+J127</f>
        <v>300.29999999999995</v>
      </c>
      <c r="K130" s="114">
        <f t="shared" si="209"/>
        <v>174.79999999999995</v>
      </c>
      <c r="L130" s="114">
        <f t="shared" ref="L130:M130" si="210">L129-L128+L127</f>
        <v>0</v>
      </c>
      <c r="M130" s="114">
        <f t="shared" si="210"/>
        <v>0</v>
      </c>
      <c r="N130" s="114">
        <f t="shared" ref="N130:O130" si="211">N129-N128+N127</f>
        <v>245.5</v>
      </c>
      <c r="O130" s="114">
        <f t="shared" si="211"/>
        <v>270.14999999999998</v>
      </c>
      <c r="P130" s="114">
        <f t="shared" ref="P130:Q130" si="212">P129-P128+P127</f>
        <v>228.60000000000002</v>
      </c>
      <c r="Q130" s="114">
        <f t="shared" si="212"/>
        <v>276.95000000000005</v>
      </c>
    </row>
    <row r="131" spans="1:17" ht="12.75" customHeight="1" x14ac:dyDescent="0.2">
      <c r="A131" s="19" t="s">
        <v>35</v>
      </c>
      <c r="B131" s="71">
        <v>4104</v>
      </c>
      <c r="C131" s="246">
        <v>4104</v>
      </c>
      <c r="D131" s="18" t="s">
        <v>134</v>
      </c>
      <c r="E131" s="20"/>
      <c r="F131" s="35">
        <f>COUNTIF(H131:H131,"=0")</f>
        <v>1</v>
      </c>
      <c r="G131" s="34"/>
      <c r="H131" s="114">
        <f>SUMIF('Bank Deposit List'!$K:$K,$B131&amp;-H$1,'Bank Deposit List'!$L:$L)</f>
        <v>0</v>
      </c>
      <c r="I131" s="114">
        <f>SUMIF('Bank Deposit List'!$K:$K,$B131&amp;-I$1,'Bank Deposit List'!$L:$L)</f>
        <v>0</v>
      </c>
      <c r="J131" s="114">
        <f>SUMIF('Bank Deposit List'!$K:$K,$B131&amp;-J$1,'Bank Deposit List'!$L:$L)</f>
        <v>0</v>
      </c>
      <c r="K131" s="114">
        <f>SUMIF('Bank Deposit List'!$K:$K,$B131&amp;-K$1,'Bank Deposit List'!$L:$L)</f>
        <v>0</v>
      </c>
      <c r="L131" s="114">
        <f>SUMIF('Bank Deposit List'!$K:$K,$B131&amp;-L$1,'Bank Deposit List'!$L:$L)</f>
        <v>0</v>
      </c>
      <c r="M131" s="114">
        <f>SUMIF('Bank Deposit List'!$K:$K,$B131&amp;-M$1,'Bank Deposit List'!$L:$L)</f>
        <v>0</v>
      </c>
      <c r="N131" s="114">
        <f>SUMIF('Bank Deposit List'!$K:$K,$B131&amp;-N$1,'Bank Deposit List'!$L:$L)</f>
        <v>0</v>
      </c>
      <c r="O131" s="114">
        <f>SUMIF('Bank Deposit List'!$K:$K,$B131&amp;-O$1,'Bank Deposit List'!$L:$L)</f>
        <v>0</v>
      </c>
      <c r="P131" s="114">
        <f>SUMIF('Bank Deposit List'!$K:$K,$B131&amp;-P$1,'Bank Deposit List'!$L:$L)</f>
        <v>0</v>
      </c>
      <c r="Q131" s="114">
        <f>SUMIF('Bank Deposit List'!$K:$K,$B131&amp;-Q$1,'Bank Deposit List'!$L:$L)</f>
        <v>0</v>
      </c>
    </row>
    <row r="132" spans="1:17" ht="12.75" customHeight="1" x14ac:dyDescent="0.2">
      <c r="A132" s="19" t="s">
        <v>37</v>
      </c>
      <c r="B132" s="71">
        <v>4104</v>
      </c>
      <c r="C132" s="246">
        <v>4104</v>
      </c>
      <c r="D132" s="18" t="s">
        <v>134</v>
      </c>
      <c r="E132" s="36">
        <f>(COUNT(H105:CH105)-COUNT(H107:CH107))</f>
        <v>0</v>
      </c>
      <c r="F132" s="37"/>
      <c r="G132" s="34"/>
      <c r="H132" s="114" t="str">
        <f>IFERROR(VLOOKUP($B132&amp;-H131,'Deposits AU NAB'!$L:$M,2,0),"")</f>
        <v/>
      </c>
      <c r="I132" s="114" t="str">
        <f>IFERROR(VLOOKUP($B132&amp;-I131,'Deposits AU NAB'!$L:$M,2,0),"")</f>
        <v/>
      </c>
      <c r="J132" s="114" t="str">
        <f>IFERROR(VLOOKUP($B132&amp;-J131,'Deposits AU NAB'!$L:$M,2,0),"")</f>
        <v/>
      </c>
      <c r="K132" s="114" t="str">
        <f>IFERROR(VLOOKUP($B132&amp;-K131,'Deposits AU NAB'!$L:$M,2,0),"")</f>
        <v/>
      </c>
      <c r="L132" s="114" t="str">
        <f>IFERROR(VLOOKUP($B132&amp;-L131,'Deposits AU NAB'!$L:$M,2,0),"")</f>
        <v/>
      </c>
      <c r="M132" s="114" t="str">
        <f>IFERROR(VLOOKUP($B132&amp;-M131,'Deposits AU NAB'!$L:$M,2,0),"")</f>
        <v/>
      </c>
      <c r="N132" s="114" t="str">
        <f>IFERROR(VLOOKUP($B132&amp;-N131,'Deposits AU NAB'!$L:$M,2,0),"")</f>
        <v/>
      </c>
      <c r="O132" s="114" t="str">
        <f>IFERROR(VLOOKUP($B132&amp;-O131,'Deposits AU NAB'!$L:$M,2,0),"")</f>
        <v/>
      </c>
      <c r="P132" s="114" t="str">
        <f>IFERROR(VLOOKUP($B132&amp;-P131,'Deposits AU NAB'!$L:$M,2,0),"")</f>
        <v/>
      </c>
      <c r="Q132" s="114" t="str">
        <f>IFERROR(VLOOKUP($B132&amp;-Q131,'Deposits AU NAB'!$L:$M,2,0),"")</f>
        <v/>
      </c>
    </row>
    <row r="133" spans="1:17" ht="12.75" customHeight="1" x14ac:dyDescent="0.2">
      <c r="A133" s="19" t="s">
        <v>51</v>
      </c>
      <c r="B133" s="71">
        <v>4104</v>
      </c>
      <c r="C133" s="246">
        <v>4104</v>
      </c>
      <c r="D133" s="18" t="s">
        <v>134</v>
      </c>
      <c r="E133" s="36"/>
      <c r="F133" s="37"/>
      <c r="G133" s="34">
        <f t="shared" ref="G133:G134" si="213">SUM(H133:BX133)</f>
        <v>0</v>
      </c>
      <c r="H133" s="114" t="str">
        <f t="shared" ref="H133:I133" si="214">IF(H131=0,"",H131-H130)</f>
        <v/>
      </c>
      <c r="I133" s="114" t="str">
        <f t="shared" si="214"/>
        <v/>
      </c>
      <c r="J133" s="114" t="str">
        <f t="shared" ref="J133:K133" si="215">IF(J131=0,"",J131-J130)</f>
        <v/>
      </c>
      <c r="K133" s="114" t="str">
        <f t="shared" si="215"/>
        <v/>
      </c>
      <c r="L133" s="114" t="str">
        <f t="shared" ref="L133:M133" si="216">IF(L131=0,"",L131-L130)</f>
        <v/>
      </c>
      <c r="M133" s="114" t="str">
        <f t="shared" si="216"/>
        <v/>
      </c>
      <c r="N133" s="114" t="str">
        <f t="shared" ref="N133:O133" si="217">IF(N131=0,"",N131-N130)</f>
        <v/>
      </c>
      <c r="O133" s="114" t="str">
        <f t="shared" si="217"/>
        <v/>
      </c>
      <c r="P133" s="114" t="str">
        <f t="shared" ref="P133:Q133" si="218">IF(P131=0,"",P131-P130)</f>
        <v/>
      </c>
      <c r="Q133" s="114" t="str">
        <f t="shared" si="218"/>
        <v/>
      </c>
    </row>
    <row r="134" spans="1:17" ht="12.75" customHeight="1" x14ac:dyDescent="0.2">
      <c r="A134" s="19" t="s">
        <v>52</v>
      </c>
      <c r="B134" s="71">
        <v>4104</v>
      </c>
      <c r="C134" s="246">
        <v>4104</v>
      </c>
      <c r="D134" s="18" t="s">
        <v>134</v>
      </c>
      <c r="E134" s="20"/>
      <c r="F134" s="20"/>
      <c r="G134" s="34">
        <f t="shared" si="213"/>
        <v>0</v>
      </c>
      <c r="H134" s="114" t="str">
        <f t="shared" ref="H134:I134" si="219">IFERROR(H132-H131,"")</f>
        <v/>
      </c>
      <c r="I134" s="114" t="str">
        <f t="shared" si="219"/>
        <v/>
      </c>
      <c r="J134" s="114" t="str">
        <f t="shared" ref="J134:K134" si="220">IFERROR(J132-J131,"")</f>
        <v/>
      </c>
      <c r="K134" s="114" t="str">
        <f t="shared" si="220"/>
        <v/>
      </c>
      <c r="L134" s="114" t="str">
        <f t="shared" ref="L134:M134" si="221">IFERROR(L132-L131,"")</f>
        <v/>
      </c>
      <c r="M134" s="114" t="str">
        <f t="shared" si="221"/>
        <v/>
      </c>
      <c r="N134" s="114" t="str">
        <f t="shared" ref="N134:O134" si="222">IFERROR(N132-N131,"")</f>
        <v/>
      </c>
      <c r="O134" s="114" t="str">
        <f t="shared" si="222"/>
        <v/>
      </c>
      <c r="P134" s="114" t="str">
        <f t="shared" ref="P134:Q134" si="223">IFERROR(P132-P131,"")</f>
        <v/>
      </c>
      <c r="Q134" s="114" t="str">
        <f t="shared" si="223"/>
        <v/>
      </c>
    </row>
    <row r="135" spans="1:17" x14ac:dyDescent="0.2">
      <c r="A135" s="38"/>
      <c r="B135" s="70"/>
      <c r="C135" s="245"/>
      <c r="D135" s="40"/>
      <c r="E135" s="41"/>
      <c r="F135" s="41"/>
      <c r="G135" s="42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</row>
    <row r="136" spans="1:17" ht="12.75" customHeight="1" x14ac:dyDescent="0.2">
      <c r="A136" s="19" t="s">
        <v>38</v>
      </c>
      <c r="B136" s="71">
        <v>4106</v>
      </c>
      <c r="C136" s="246">
        <v>4106</v>
      </c>
      <c r="D136" s="18" t="s">
        <v>135</v>
      </c>
      <c r="E136" s="20"/>
      <c r="F136" s="20"/>
      <c r="G136" s="34"/>
      <c r="H136" s="114">
        <f>VLOOKUP(TEXT($B136,0),[1]BankRecData!$B$1:$O$5542,7,0)-VLOOKUP(TEXT($B136,0),[1]BankRecData!$B$1:$O$5542,8,0)</f>
        <v>914.15000000000009</v>
      </c>
      <c r="I136" s="114">
        <f>VLOOKUP(TEXT($B136,0),[2]BankRecData!$B$1:$O$5542,7,0)-VLOOKUP(TEXT($B136,0),[2]BankRecData!$B$1:$O$5542,8,0)</f>
        <v>786.34999999999991</v>
      </c>
      <c r="J136" s="114">
        <f>VLOOKUP(TEXT($B136,0),[3]BankRecData!$B$1:$O$5542,7,0)-VLOOKUP(TEXT($B136,0),[3]BankRecData!$B$1:$O$5542,8,0)</f>
        <v>1004.4000000000001</v>
      </c>
      <c r="K136" s="114">
        <f>VLOOKUP(TEXT($B136,0),[4]BankRecData!$B$1:$O$5542,7,0)-VLOOKUP(TEXT($B136,0),[4]BankRecData!$B$1:$O$5542,8,0)</f>
        <v>825.05</v>
      </c>
      <c r="L136" s="114">
        <f>VLOOKUP(TEXT($B136,0),[5]BankRecData!$B$1:$O$5542,7,0)-VLOOKUP(TEXT($B136,0),[5]BankRecData!$B$1:$O$5542,8,0)</f>
        <v>1096</v>
      </c>
      <c r="M136" s="114">
        <f>VLOOKUP(TEXT($B136,0),[6]BankRecData!$B$1:$O$5542,7,0)-VLOOKUP(TEXT($B136,0),[6]BankRecData!$B$1:$O$5542,8,0)</f>
        <v>683.09999999999991</v>
      </c>
      <c r="N136" s="114">
        <f>VLOOKUP(TEXT($B136,0),[7]BankRecData!$B$1:$O$5542,7,0)-VLOOKUP(TEXT($B136,0),[7]BankRecData!$B$1:$O$5542,8,0)</f>
        <v>792.05</v>
      </c>
      <c r="O136" s="114">
        <f>VLOOKUP(TEXT($B136,0),[8]BankRecData!$B$1:$O$5542,7,0)-VLOOKUP(TEXT($B136,0),[8]BankRecData!$B$1:$O$5542,8,0)</f>
        <v>720.5</v>
      </c>
      <c r="P136" s="114">
        <f>VLOOKUP(TEXT($B136,0),[9]BankRecData!$B$1:$O$5542,7,0)-VLOOKUP(TEXT($B136,0),[9]BankRecData!$B$1:$O$5542,8,0)</f>
        <v>1160.05</v>
      </c>
      <c r="Q136" s="114">
        <f>VLOOKUP(TEXT($B136,0),[10]BankRecData!$B$1:$O$5542,7,0)-VLOOKUP(TEXT($B136,0),[10]BankRecData!$B$1:$O$5542,8,0)</f>
        <v>669.3</v>
      </c>
    </row>
    <row r="137" spans="1:17" ht="12.75" customHeight="1" x14ac:dyDescent="0.2">
      <c r="A137" s="19" t="s">
        <v>40</v>
      </c>
      <c r="B137" s="71">
        <v>4106</v>
      </c>
      <c r="C137" s="246">
        <v>4106</v>
      </c>
      <c r="D137" s="18" t="s">
        <v>135</v>
      </c>
      <c r="E137" s="20"/>
      <c r="F137" s="20"/>
      <c r="G137" s="34"/>
      <c r="H137" s="114">
        <f>VLOOKUP(TEXT($B137,0),[1]BankRecData!$B$1:$O$5542,6,0)</f>
        <v>0</v>
      </c>
      <c r="I137" s="114">
        <f>VLOOKUP(TEXT($B137,0),[2]BankRecData!$B$1:$O$5542,6,0)</f>
        <v>0</v>
      </c>
      <c r="J137" s="114">
        <f>VLOOKUP(TEXT($B137,0),[3]BankRecData!$B$1:$O$5542,6,0)</f>
        <v>0</v>
      </c>
      <c r="K137" s="114">
        <f>VLOOKUP(TEXT($B137,0),[4]BankRecData!$B$1:$O$5542,6,0)</f>
        <v>0</v>
      </c>
      <c r="L137" s="114">
        <f>VLOOKUP(TEXT($B137,0),[5]BankRecData!$B$1:$O$5542,6,0)</f>
        <v>0</v>
      </c>
      <c r="M137" s="114">
        <f>VLOOKUP(TEXT($B137,0),[6]BankRecData!$B$1:$O$5542,6,0)</f>
        <v>0</v>
      </c>
      <c r="N137" s="114">
        <f>VLOOKUP(TEXT($B137,0),[7]BankRecData!$B$1:$O$5542,6,0)</f>
        <v>0</v>
      </c>
      <c r="O137" s="114">
        <f>VLOOKUP(TEXT($B137,0),[8]BankRecData!$B$1:$O$5542,6,0)</f>
        <v>0</v>
      </c>
      <c r="P137" s="114">
        <f>VLOOKUP(TEXT($B137,0),[9]BankRecData!$B$1:$O$5542,6,0)</f>
        <v>0</v>
      </c>
      <c r="Q137" s="114">
        <f>VLOOKUP(TEXT($B137,0),[10]BankRecData!$B$1:$O$5542,6,0)</f>
        <v>0</v>
      </c>
    </row>
    <row r="138" spans="1:17" ht="15" customHeight="1" x14ac:dyDescent="0.2">
      <c r="A138" s="19" t="s">
        <v>39</v>
      </c>
      <c r="B138" s="71">
        <v>4106</v>
      </c>
      <c r="C138" s="246">
        <v>4106</v>
      </c>
      <c r="D138" s="18" t="s">
        <v>135</v>
      </c>
      <c r="E138" s="20"/>
      <c r="F138" s="20"/>
      <c r="G138" s="34"/>
      <c r="H138" s="114">
        <f>IFERROR(VLOOKUP($B138&amp;-H$1,FX!$U:$V,2,0),0)</f>
        <v>0</v>
      </c>
      <c r="I138" s="114">
        <f>IFERROR(VLOOKUP($B138&amp;-I$1,FX!$U:$V,2,0),0)</f>
        <v>0</v>
      </c>
      <c r="J138" s="114">
        <f>IFERROR(VLOOKUP($B138&amp;-J$1,FX!$U:$V,2,0),0)</f>
        <v>0</v>
      </c>
      <c r="K138" s="114">
        <f>IFERROR(VLOOKUP($B138&amp;-K$1,FX!$U:$V,2,0),0)</f>
        <v>0</v>
      </c>
      <c r="L138" s="114">
        <f>IFERROR(VLOOKUP($B138&amp;-L$1,FX!$U:$V,2,0),0)</f>
        <v>0</v>
      </c>
      <c r="M138" s="114">
        <f>IFERROR(VLOOKUP($B138&amp;-M$1,FX!$U:$V,2,0),0)</f>
        <v>0</v>
      </c>
      <c r="N138" s="114">
        <f>IFERROR(VLOOKUP($B138&amp;-N$1,FX!$U:$V,2,0),0)</f>
        <v>0</v>
      </c>
      <c r="O138" s="114">
        <f>IFERROR(VLOOKUP($B138&amp;-O$1,FX!$U:$V,2,0),0)</f>
        <v>0</v>
      </c>
      <c r="P138" s="114">
        <f>IFERROR(VLOOKUP($B138&amp;-P$1,FX!$U:$V,2,0),0)</f>
        <v>0</v>
      </c>
      <c r="Q138" s="114">
        <f>IFERROR(VLOOKUP($B138&amp;-Q$1,FX!$U:$V,2,0),0)</f>
        <v>0</v>
      </c>
    </row>
    <row r="139" spans="1:17" ht="12.75" customHeight="1" x14ac:dyDescent="0.2">
      <c r="A139" s="19" t="s">
        <v>34</v>
      </c>
      <c r="B139" s="71">
        <v>4106</v>
      </c>
      <c r="C139" s="246">
        <v>4106</v>
      </c>
      <c r="D139" s="18" t="s">
        <v>135</v>
      </c>
      <c r="E139" s="20"/>
      <c r="F139" s="20"/>
      <c r="G139" s="34"/>
      <c r="H139" s="114">
        <f t="shared" ref="H139:I139" si="224">H138-H137+H136</f>
        <v>914.15000000000009</v>
      </c>
      <c r="I139" s="114">
        <f t="shared" si="224"/>
        <v>786.34999999999991</v>
      </c>
      <c r="J139" s="114">
        <f t="shared" ref="J139:K139" si="225">J138-J137+J136</f>
        <v>1004.4000000000001</v>
      </c>
      <c r="K139" s="114">
        <f t="shared" si="225"/>
        <v>825.05</v>
      </c>
      <c r="L139" s="114">
        <f t="shared" ref="L139:M139" si="226">L138-L137+L136</f>
        <v>1096</v>
      </c>
      <c r="M139" s="114">
        <f t="shared" si="226"/>
        <v>683.09999999999991</v>
      </c>
      <c r="N139" s="114">
        <f t="shared" ref="N139:O139" si="227">N138-N137+N136</f>
        <v>792.05</v>
      </c>
      <c r="O139" s="114">
        <f t="shared" si="227"/>
        <v>720.5</v>
      </c>
      <c r="P139" s="114">
        <f t="shared" ref="P139:Q139" si="228">P138-P137+P136</f>
        <v>1160.05</v>
      </c>
      <c r="Q139" s="114">
        <f t="shared" si="228"/>
        <v>669.3</v>
      </c>
    </row>
    <row r="140" spans="1:17" ht="12.75" customHeight="1" x14ac:dyDescent="0.2">
      <c r="A140" s="19" t="s">
        <v>35</v>
      </c>
      <c r="B140" s="71">
        <v>4106</v>
      </c>
      <c r="C140" s="246">
        <v>4106</v>
      </c>
      <c r="D140" s="18" t="s">
        <v>135</v>
      </c>
      <c r="E140" s="20"/>
      <c r="F140" s="35">
        <f>COUNTIF(H140:H140,"=0")</f>
        <v>1</v>
      </c>
      <c r="G140" s="34"/>
      <c r="H140" s="114">
        <f>SUMIF('Bank Deposit List'!$K:$K,$B140&amp;-H$1,'Bank Deposit List'!$L:$L)</f>
        <v>0</v>
      </c>
      <c r="I140" s="114">
        <f>SUMIF('Bank Deposit List'!$K:$K,$B140&amp;-I$1,'Bank Deposit List'!$L:$L)</f>
        <v>0</v>
      </c>
      <c r="J140" s="114">
        <f>SUMIF('Bank Deposit List'!$K:$K,$B140&amp;-J$1,'Bank Deposit List'!$L:$L)</f>
        <v>0</v>
      </c>
      <c r="K140" s="114">
        <f>SUMIF('Bank Deposit List'!$K:$K,$B140&amp;-K$1,'Bank Deposit List'!$L:$L)</f>
        <v>0</v>
      </c>
      <c r="L140" s="114">
        <f>SUMIF('Bank Deposit List'!$K:$K,$B140&amp;-L$1,'Bank Deposit List'!$L:$L)</f>
        <v>0</v>
      </c>
      <c r="M140" s="114">
        <f>SUMIF('Bank Deposit List'!$K:$K,$B140&amp;-M$1,'Bank Deposit List'!$L:$L)</f>
        <v>0</v>
      </c>
      <c r="N140" s="114">
        <f>SUMIF('Bank Deposit List'!$K:$K,$B140&amp;-N$1,'Bank Deposit List'!$L:$L)</f>
        <v>0</v>
      </c>
      <c r="O140" s="114">
        <f>SUMIF('Bank Deposit List'!$K:$K,$B140&amp;-O$1,'Bank Deposit List'!$L:$L)</f>
        <v>0</v>
      </c>
      <c r="P140" s="114">
        <f>SUMIF('Bank Deposit List'!$K:$K,$B140&amp;-P$1,'Bank Deposit List'!$L:$L)</f>
        <v>0</v>
      </c>
      <c r="Q140" s="114">
        <f>SUMIF('Bank Deposit List'!$K:$K,$B140&amp;-Q$1,'Bank Deposit List'!$L:$L)</f>
        <v>0</v>
      </c>
    </row>
    <row r="141" spans="1:17" ht="12.75" customHeight="1" x14ac:dyDescent="0.2">
      <c r="A141" s="19" t="s">
        <v>37</v>
      </c>
      <c r="B141" s="71">
        <v>4106</v>
      </c>
      <c r="C141" s="246">
        <v>4106</v>
      </c>
      <c r="D141" s="18" t="s">
        <v>135</v>
      </c>
      <c r="E141" s="36">
        <f>(COUNT(H114:CH114)-COUNT(H116:CH116))</f>
        <v>0</v>
      </c>
      <c r="F141" s="37"/>
      <c r="G141" s="34"/>
      <c r="H141" s="114" t="str">
        <f>IFERROR(VLOOKUP($B141&amp;-H140,'Deposits AU NAB'!$L:$M,2,0),"")</f>
        <v/>
      </c>
      <c r="I141" s="114" t="str">
        <f>IFERROR(VLOOKUP($B141&amp;-I140,'Deposits AU NAB'!$L:$M,2,0),"")</f>
        <v/>
      </c>
      <c r="J141" s="114" t="str">
        <f>IFERROR(VLOOKUP($B141&amp;-J140,'Deposits AU NAB'!$L:$M,2,0),"")</f>
        <v/>
      </c>
      <c r="K141" s="114" t="str">
        <f>IFERROR(VLOOKUP($B141&amp;-K140,'Deposits AU NAB'!$L:$M,2,0),"")</f>
        <v/>
      </c>
      <c r="L141" s="114" t="str">
        <f>IFERROR(VLOOKUP($B141&amp;-L140,'Deposits AU NAB'!$L:$M,2,0),"")</f>
        <v/>
      </c>
      <c r="M141" s="114" t="str">
        <f>IFERROR(VLOOKUP($B141&amp;-M140,'Deposits AU NAB'!$L:$M,2,0),"")</f>
        <v/>
      </c>
      <c r="N141" s="114" t="str">
        <f>IFERROR(VLOOKUP($B141&amp;-N140,'Deposits AU NAB'!$L:$M,2,0),"")</f>
        <v/>
      </c>
      <c r="O141" s="114" t="str">
        <f>IFERROR(VLOOKUP($B141&amp;-O140,'Deposits AU NAB'!$L:$M,2,0),"")</f>
        <v/>
      </c>
      <c r="P141" s="114" t="str">
        <f>IFERROR(VLOOKUP($B141&amp;-P140,'Deposits AU NAB'!$L:$M,2,0),"")</f>
        <v/>
      </c>
      <c r="Q141" s="114" t="str">
        <f>IFERROR(VLOOKUP($B141&amp;-Q140,'Deposits AU NAB'!$L:$M,2,0),"")</f>
        <v/>
      </c>
    </row>
    <row r="142" spans="1:17" ht="12.75" customHeight="1" x14ac:dyDescent="0.2">
      <c r="A142" s="19" t="s">
        <v>51</v>
      </c>
      <c r="B142" s="71">
        <v>4106</v>
      </c>
      <c r="C142" s="246">
        <v>4106</v>
      </c>
      <c r="D142" s="18" t="s">
        <v>135</v>
      </c>
      <c r="E142" s="36"/>
      <c r="F142" s="37"/>
      <c r="G142" s="34">
        <f t="shared" ref="G142:G143" si="229">SUM(H142:BX142)</f>
        <v>0</v>
      </c>
      <c r="H142" s="114" t="str">
        <f t="shared" ref="H142:I142" si="230">IF(H140=0,"",H140-H139)</f>
        <v/>
      </c>
      <c r="I142" s="114" t="str">
        <f t="shared" si="230"/>
        <v/>
      </c>
      <c r="J142" s="114" t="str">
        <f t="shared" ref="J142:K142" si="231">IF(J140=0,"",J140-J139)</f>
        <v/>
      </c>
      <c r="K142" s="114" t="str">
        <f t="shared" si="231"/>
        <v/>
      </c>
      <c r="L142" s="114" t="str">
        <f t="shared" ref="L142:M142" si="232">IF(L140=0,"",L140-L139)</f>
        <v/>
      </c>
      <c r="M142" s="114" t="str">
        <f t="shared" si="232"/>
        <v/>
      </c>
      <c r="N142" s="114" t="str">
        <f t="shared" ref="N142:O142" si="233">IF(N140=0,"",N140-N139)</f>
        <v/>
      </c>
      <c r="O142" s="114" t="str">
        <f t="shared" si="233"/>
        <v/>
      </c>
      <c r="P142" s="114" t="str">
        <f t="shared" ref="P142:Q142" si="234">IF(P140=0,"",P140-P139)</f>
        <v/>
      </c>
      <c r="Q142" s="114" t="str">
        <f t="shared" si="234"/>
        <v/>
      </c>
    </row>
    <row r="143" spans="1:17" ht="12.75" customHeight="1" x14ac:dyDescent="0.2">
      <c r="A143" s="19" t="s">
        <v>52</v>
      </c>
      <c r="B143" s="71">
        <v>4106</v>
      </c>
      <c r="C143" s="246">
        <v>4106</v>
      </c>
      <c r="D143" s="18" t="s">
        <v>135</v>
      </c>
      <c r="E143" s="20"/>
      <c r="F143" s="20"/>
      <c r="G143" s="34">
        <f t="shared" si="229"/>
        <v>0</v>
      </c>
      <c r="H143" s="114" t="str">
        <f t="shared" ref="H143:I143" si="235">IFERROR(H141-H140,"")</f>
        <v/>
      </c>
      <c r="I143" s="114" t="str">
        <f t="shared" si="235"/>
        <v/>
      </c>
      <c r="J143" s="114" t="str">
        <f t="shared" ref="J143:K143" si="236">IFERROR(J141-J140,"")</f>
        <v/>
      </c>
      <c r="K143" s="114" t="str">
        <f t="shared" si="236"/>
        <v/>
      </c>
      <c r="L143" s="114" t="str">
        <f t="shared" ref="L143:M143" si="237">IFERROR(L141-L140,"")</f>
        <v/>
      </c>
      <c r="M143" s="114" t="str">
        <f t="shared" si="237"/>
        <v/>
      </c>
      <c r="N143" s="114" t="str">
        <f t="shared" ref="N143:O143" si="238">IFERROR(N141-N140,"")</f>
        <v/>
      </c>
      <c r="O143" s="114" t="str">
        <f t="shared" si="238"/>
        <v/>
      </c>
      <c r="P143" s="114" t="str">
        <f t="shared" ref="P143:Q143" si="239">IFERROR(P141-P140,"")</f>
        <v/>
      </c>
      <c r="Q143" s="114" t="str">
        <f t="shared" si="239"/>
        <v/>
      </c>
    </row>
    <row r="144" spans="1:17" x14ac:dyDescent="0.2">
      <c r="A144" s="38"/>
      <c r="B144" s="70"/>
      <c r="C144" s="245"/>
      <c r="D144" s="40"/>
      <c r="E144" s="41"/>
      <c r="F144" s="41"/>
      <c r="G144" s="42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</row>
    <row r="145" spans="1:17" ht="12.75" customHeight="1" x14ac:dyDescent="0.2">
      <c r="A145" s="19" t="s">
        <v>38</v>
      </c>
      <c r="B145" s="71">
        <v>4107</v>
      </c>
      <c r="C145" s="246">
        <v>4107</v>
      </c>
      <c r="D145" s="18" t="s">
        <v>139</v>
      </c>
      <c r="E145" s="20"/>
      <c r="F145" s="20"/>
      <c r="G145" s="34"/>
      <c r="H145" s="114">
        <f>VLOOKUP(TEXT($B145,0),[1]BankRecData!$B$1:$O$5542,7,0)-VLOOKUP(TEXT($B145,0),[1]BankRecData!$B$1:$O$5542,8,0)</f>
        <v>1118.9000000000001</v>
      </c>
      <c r="I145" s="114">
        <v>1253.95</v>
      </c>
      <c r="J145" s="114">
        <v>1253.95</v>
      </c>
      <c r="K145" s="114">
        <v>1253.95</v>
      </c>
      <c r="L145" s="114">
        <v>1253.95</v>
      </c>
      <c r="M145" s="114">
        <v>1253.95</v>
      </c>
      <c r="N145" s="114">
        <v>1253.95</v>
      </c>
      <c r="O145" s="114">
        <v>1253.95</v>
      </c>
      <c r="P145" s="114">
        <v>1253.95</v>
      </c>
      <c r="Q145" s="114">
        <v>1253.95</v>
      </c>
    </row>
    <row r="146" spans="1:17" ht="12.75" customHeight="1" x14ac:dyDescent="0.2">
      <c r="A146" s="19" t="s">
        <v>40</v>
      </c>
      <c r="B146" s="71">
        <v>4107</v>
      </c>
      <c r="C146" s="246">
        <v>4107</v>
      </c>
      <c r="D146" s="18" t="s">
        <v>139</v>
      </c>
      <c r="E146" s="20"/>
      <c r="F146" s="20"/>
      <c r="G146" s="34"/>
      <c r="H146" s="114">
        <f>VLOOKUP(TEXT($B146,0),[1]BankRecData!$B$1:$O$5542,6,0)</f>
        <v>0</v>
      </c>
      <c r="I146" s="114">
        <f>VLOOKUP(TEXT($B146,0),[2]BankRecData!$B$1:$O$5542,6,0)</f>
        <v>0</v>
      </c>
      <c r="J146" s="114">
        <f>VLOOKUP(TEXT($B146,0),[3]BankRecData!$B$1:$O$5542,6,0)</f>
        <v>0</v>
      </c>
      <c r="K146" s="114">
        <f>VLOOKUP(TEXT($B146,0),[4]BankRecData!$B$1:$O$5542,6,0)</f>
        <v>0</v>
      </c>
      <c r="L146" s="114">
        <f>VLOOKUP(TEXT($B146,0),[5]BankRecData!$B$1:$O$5542,6,0)</f>
        <v>0</v>
      </c>
      <c r="M146" s="114">
        <f>VLOOKUP(TEXT($B146,0),[6]BankRecData!$B$1:$O$5542,6,0)</f>
        <v>0</v>
      </c>
      <c r="N146" s="114">
        <f>VLOOKUP(TEXT($B146,0),[7]BankRecData!$B$1:$O$5542,6,0)</f>
        <v>0</v>
      </c>
      <c r="O146" s="114">
        <f>VLOOKUP(TEXT($B146,0),[8]BankRecData!$B$1:$O$5542,6,0)</f>
        <v>0</v>
      </c>
      <c r="P146" s="114">
        <f>VLOOKUP(TEXT($B146,0),[9]BankRecData!$B$1:$O$5542,6,0)</f>
        <v>0</v>
      </c>
      <c r="Q146" s="114">
        <f>VLOOKUP(TEXT($B146,0),[10]BankRecData!$B$1:$O$5542,6,0)</f>
        <v>0</v>
      </c>
    </row>
    <row r="147" spans="1:17" ht="12.75" customHeight="1" x14ac:dyDescent="0.2">
      <c r="A147" s="19" t="s">
        <v>39</v>
      </c>
      <c r="B147" s="71">
        <v>4107</v>
      </c>
      <c r="C147" s="246">
        <v>4107</v>
      </c>
      <c r="D147" s="18" t="s">
        <v>139</v>
      </c>
      <c r="E147" s="20"/>
      <c r="F147" s="20"/>
      <c r="G147" s="34"/>
      <c r="H147" s="114">
        <f>IFERROR(VLOOKUP($B147&amp;-H$1,FX!$U:$V,2,0),0)</f>
        <v>0</v>
      </c>
      <c r="I147" s="114">
        <f>IFERROR(VLOOKUP($B147&amp;-I$1,FX!$U:$V,2,0),0)</f>
        <v>0</v>
      </c>
      <c r="J147" s="114">
        <f>IFERROR(VLOOKUP($B147&amp;-J$1,FX!$U:$V,2,0),0)</f>
        <v>0</v>
      </c>
      <c r="K147" s="114">
        <f>IFERROR(VLOOKUP($B147&amp;-K$1,FX!$U:$V,2,0),0)</f>
        <v>0</v>
      </c>
      <c r="L147" s="114">
        <f>IFERROR(VLOOKUP($B147&amp;-L$1,FX!$U:$V,2,0),0)</f>
        <v>0</v>
      </c>
      <c r="M147" s="114">
        <f>IFERROR(VLOOKUP($B147&amp;-M$1,FX!$U:$V,2,0),0)</f>
        <v>0</v>
      </c>
      <c r="N147" s="114">
        <f>IFERROR(VLOOKUP($B147&amp;-N$1,FX!$U:$V,2,0),0)</f>
        <v>0</v>
      </c>
      <c r="O147" s="114">
        <f>IFERROR(VLOOKUP($B147&amp;-O$1,FX!$U:$V,2,0),0)</f>
        <v>0</v>
      </c>
      <c r="P147" s="114">
        <f>IFERROR(VLOOKUP($B147&amp;-P$1,FX!$U:$V,2,0),0)</f>
        <v>0</v>
      </c>
      <c r="Q147" s="114">
        <f>IFERROR(VLOOKUP($B147&amp;-Q$1,FX!$U:$V,2,0),0)</f>
        <v>0</v>
      </c>
    </row>
    <row r="148" spans="1:17" ht="12.75" customHeight="1" x14ac:dyDescent="0.2">
      <c r="A148" s="19" t="s">
        <v>34</v>
      </c>
      <c r="B148" s="71">
        <v>4107</v>
      </c>
      <c r="C148" s="246">
        <v>4107</v>
      </c>
      <c r="D148" s="18" t="s">
        <v>139</v>
      </c>
      <c r="E148" s="20"/>
      <c r="F148" s="20"/>
      <c r="G148" s="34"/>
      <c r="H148" s="114">
        <f t="shared" ref="H148:I148" si="240">H147-H146+H145</f>
        <v>1118.9000000000001</v>
      </c>
      <c r="I148" s="114">
        <f t="shared" si="240"/>
        <v>1253.95</v>
      </c>
      <c r="J148" s="114">
        <f t="shared" ref="J148:K148" si="241">J147-J146+J145</f>
        <v>1253.95</v>
      </c>
      <c r="K148" s="114">
        <f t="shared" si="241"/>
        <v>1253.95</v>
      </c>
      <c r="L148" s="114">
        <f t="shared" ref="L148:M148" si="242">L147-L146+L145</f>
        <v>1253.95</v>
      </c>
      <c r="M148" s="114">
        <f t="shared" si="242"/>
        <v>1253.95</v>
      </c>
      <c r="N148" s="114">
        <f t="shared" ref="N148:O148" si="243">N147-N146+N145</f>
        <v>1253.95</v>
      </c>
      <c r="O148" s="114">
        <f t="shared" si="243"/>
        <v>1253.95</v>
      </c>
      <c r="P148" s="114">
        <f t="shared" ref="P148:Q148" si="244">P147-P146+P145</f>
        <v>1253.95</v>
      </c>
      <c r="Q148" s="114">
        <f t="shared" si="244"/>
        <v>1253.95</v>
      </c>
    </row>
    <row r="149" spans="1:17" ht="12.75" customHeight="1" x14ac:dyDescent="0.2">
      <c r="A149" s="19" t="s">
        <v>35</v>
      </c>
      <c r="B149" s="71">
        <v>4107</v>
      </c>
      <c r="C149" s="246">
        <v>4107</v>
      </c>
      <c r="D149" s="18" t="s">
        <v>139</v>
      </c>
      <c r="E149" s="20"/>
      <c r="F149" s="35">
        <f>COUNTIF(H149:H149,"=0")</f>
        <v>1</v>
      </c>
      <c r="G149" s="34"/>
      <c r="H149" s="114">
        <f>SUMIF('Bank Deposit List'!$K:$K,$B149&amp;-H$1,'Bank Deposit List'!$L:$L)</f>
        <v>0</v>
      </c>
      <c r="I149" s="114">
        <f>SUMIF('Bank Deposit List'!$K:$K,$B149&amp;-I$1,'Bank Deposit List'!$L:$L)</f>
        <v>0</v>
      </c>
      <c r="J149" s="114">
        <f>SUMIF('Bank Deposit List'!$K:$K,$B149&amp;-J$1,'Bank Deposit List'!$L:$L)</f>
        <v>0</v>
      </c>
      <c r="K149" s="114">
        <f>SUMIF('Bank Deposit List'!$K:$K,$B149&amp;-K$1,'Bank Deposit List'!$L:$L)</f>
        <v>0</v>
      </c>
      <c r="L149" s="114">
        <f>SUMIF('Bank Deposit List'!$K:$K,$B149&amp;-L$1,'Bank Deposit List'!$L:$L)</f>
        <v>0</v>
      </c>
      <c r="M149" s="114">
        <f>SUMIF('Bank Deposit List'!$K:$K,$B149&amp;-M$1,'Bank Deposit List'!$L:$L)</f>
        <v>0</v>
      </c>
      <c r="N149" s="114">
        <f>SUMIF('Bank Deposit List'!$K:$K,$B149&amp;-N$1,'Bank Deposit List'!$L:$L)</f>
        <v>0</v>
      </c>
      <c r="O149" s="114">
        <f>SUMIF('Bank Deposit List'!$K:$K,$B149&amp;-O$1,'Bank Deposit List'!$L:$L)</f>
        <v>0</v>
      </c>
      <c r="P149" s="114">
        <f>SUMIF('Bank Deposit List'!$K:$K,$B149&amp;-P$1,'Bank Deposit List'!$L:$L)</f>
        <v>0</v>
      </c>
      <c r="Q149" s="114">
        <f>SUMIF('Bank Deposit List'!$K:$K,$B149&amp;-Q$1,'Bank Deposit List'!$L:$L)</f>
        <v>0</v>
      </c>
    </row>
    <row r="150" spans="1:17" ht="12.75" customHeight="1" x14ac:dyDescent="0.2">
      <c r="A150" s="19" t="s">
        <v>37</v>
      </c>
      <c r="B150" s="71">
        <v>4107</v>
      </c>
      <c r="C150" s="246">
        <v>4107</v>
      </c>
      <c r="D150" s="18" t="s">
        <v>139</v>
      </c>
      <c r="E150" s="36">
        <f>(COUNT(H123:CH123)-COUNT(H125:CH125))</f>
        <v>0</v>
      </c>
      <c r="F150" s="37"/>
      <c r="G150" s="34"/>
      <c r="H150" s="114" t="str">
        <f>IFERROR(VLOOKUP($B150&amp;-H149,'Deposits AU NAB'!$L:$M,2,0),"")</f>
        <v/>
      </c>
      <c r="I150" s="114" t="str">
        <f>IFERROR(VLOOKUP($B150&amp;-I149,'Deposits AU NAB'!$L:$M,2,0),"")</f>
        <v/>
      </c>
      <c r="J150" s="114" t="str">
        <f>IFERROR(VLOOKUP($B150&amp;-J149,'Deposits AU NAB'!$L:$M,2,0),"")</f>
        <v/>
      </c>
      <c r="K150" s="114" t="str">
        <f>IFERROR(VLOOKUP($B150&amp;-K149,'Deposits AU NAB'!$L:$M,2,0),"")</f>
        <v/>
      </c>
      <c r="L150" s="114" t="str">
        <f>IFERROR(VLOOKUP($B150&amp;-L149,'Deposits AU NAB'!$L:$M,2,0),"")</f>
        <v/>
      </c>
      <c r="M150" s="114" t="str">
        <f>IFERROR(VLOOKUP($B150&amp;-M149,'Deposits AU NAB'!$L:$M,2,0),"")</f>
        <v/>
      </c>
      <c r="N150" s="114" t="str">
        <f>IFERROR(VLOOKUP($B150&amp;-N149,'Deposits AU NAB'!$L:$M,2,0),"")</f>
        <v/>
      </c>
      <c r="O150" s="114" t="str">
        <f>IFERROR(VLOOKUP($B150&amp;-O149,'Deposits AU NAB'!$L:$M,2,0),"")</f>
        <v/>
      </c>
      <c r="P150" s="114" t="str">
        <f>IFERROR(VLOOKUP($B150&amp;-P149,'Deposits AU NAB'!$L:$M,2,0),"")</f>
        <v/>
      </c>
      <c r="Q150" s="114" t="str">
        <f>IFERROR(VLOOKUP($B150&amp;-Q149,'Deposits AU NAB'!$L:$M,2,0),"")</f>
        <v/>
      </c>
    </row>
    <row r="151" spans="1:17" ht="12.75" customHeight="1" x14ac:dyDescent="0.2">
      <c r="A151" s="19" t="s">
        <v>51</v>
      </c>
      <c r="B151" s="71">
        <v>4107</v>
      </c>
      <c r="C151" s="246">
        <v>4107</v>
      </c>
      <c r="D151" s="18" t="s">
        <v>139</v>
      </c>
      <c r="E151" s="36"/>
      <c r="F151" s="37"/>
      <c r="G151" s="34">
        <f t="shared" ref="G151:G152" si="245">SUM(H151:BX151)</f>
        <v>0</v>
      </c>
      <c r="H151" s="114" t="str">
        <f t="shared" ref="H151:I151" si="246">IF(H149=0,"",H149-H148)</f>
        <v/>
      </c>
      <c r="I151" s="114" t="str">
        <f t="shared" si="246"/>
        <v/>
      </c>
      <c r="J151" s="114" t="str">
        <f t="shared" ref="J151:K151" si="247">IF(J149=0,"",J149-J148)</f>
        <v/>
      </c>
      <c r="K151" s="114" t="str">
        <f t="shared" si="247"/>
        <v/>
      </c>
      <c r="L151" s="114" t="str">
        <f t="shared" ref="L151:M151" si="248">IF(L149=0,"",L149-L148)</f>
        <v/>
      </c>
      <c r="M151" s="114" t="str">
        <f t="shared" si="248"/>
        <v/>
      </c>
      <c r="N151" s="114" t="str">
        <f t="shared" ref="N151:O151" si="249">IF(N149=0,"",N149-N148)</f>
        <v/>
      </c>
      <c r="O151" s="114" t="str">
        <f t="shared" si="249"/>
        <v/>
      </c>
      <c r="P151" s="114" t="str">
        <f t="shared" ref="P151:Q151" si="250">IF(P149=0,"",P149-P148)</f>
        <v/>
      </c>
      <c r="Q151" s="114" t="str">
        <f t="shared" si="250"/>
        <v/>
      </c>
    </row>
    <row r="152" spans="1:17" ht="12.75" customHeight="1" x14ac:dyDescent="0.2">
      <c r="A152" s="19" t="s">
        <v>52</v>
      </c>
      <c r="B152" s="71">
        <v>4107</v>
      </c>
      <c r="C152" s="246">
        <v>4107</v>
      </c>
      <c r="D152" s="18" t="s">
        <v>139</v>
      </c>
      <c r="E152" s="20"/>
      <c r="F152" s="20"/>
      <c r="G152" s="34">
        <f t="shared" si="245"/>
        <v>0</v>
      </c>
      <c r="H152" s="114" t="str">
        <f t="shared" ref="H152:I152" si="251">IFERROR(H150-H149,"")</f>
        <v/>
      </c>
      <c r="I152" s="114" t="str">
        <f t="shared" si="251"/>
        <v/>
      </c>
      <c r="J152" s="114" t="str">
        <f t="shared" ref="J152:K152" si="252">IFERROR(J150-J149,"")</f>
        <v/>
      </c>
      <c r="K152" s="114" t="str">
        <f t="shared" si="252"/>
        <v/>
      </c>
      <c r="L152" s="114" t="str">
        <f t="shared" ref="L152:M152" si="253">IFERROR(L150-L149,"")</f>
        <v/>
      </c>
      <c r="M152" s="114" t="str">
        <f t="shared" si="253"/>
        <v/>
      </c>
      <c r="N152" s="114" t="str">
        <f t="shared" ref="N152:O152" si="254">IFERROR(N150-N149,"")</f>
        <v/>
      </c>
      <c r="O152" s="114" t="str">
        <f t="shared" si="254"/>
        <v/>
      </c>
      <c r="P152" s="114" t="str">
        <f t="shared" ref="P152:Q152" si="255">IFERROR(P150-P149,"")</f>
        <v/>
      </c>
      <c r="Q152" s="114" t="str">
        <f t="shared" si="255"/>
        <v/>
      </c>
    </row>
    <row r="153" spans="1:17" x14ac:dyDescent="0.2">
      <c r="A153" s="38"/>
      <c r="B153" s="70"/>
      <c r="C153" s="245"/>
      <c r="D153" s="40"/>
      <c r="E153" s="41"/>
      <c r="F153" s="41"/>
      <c r="G153" s="42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</row>
    <row r="154" spans="1:17" ht="12.75" customHeight="1" x14ac:dyDescent="0.2">
      <c r="A154" s="19" t="s">
        <v>38</v>
      </c>
      <c r="B154" s="71">
        <v>4108</v>
      </c>
      <c r="C154" s="246">
        <v>4108</v>
      </c>
      <c r="D154" s="18" t="s">
        <v>141</v>
      </c>
      <c r="E154" s="20"/>
      <c r="F154" s="20"/>
      <c r="G154" s="34"/>
      <c r="H154" s="114">
        <f>VLOOKUP(TEXT($B154,0),[1]BankRecData!$B$1:$O$5542,7,0)-VLOOKUP(TEXT($B154,0),[1]BankRecData!$B$1:$O$5542,8,0)</f>
        <v>484.29999999999995</v>
      </c>
      <c r="I154" s="114">
        <f>VLOOKUP(TEXT($B154,0),[2]BankRecData!$B$1:$O$5542,7,0)-VLOOKUP(TEXT($B154,0),[2]BankRecData!$B$1:$O$5542,8,0)</f>
        <v>274.39999999999998</v>
      </c>
      <c r="J154" s="114">
        <f>VLOOKUP(TEXT($B154,0),[3]BankRecData!$B$1:$O$5542,7,0)-VLOOKUP(TEXT($B154,0),[3]BankRecData!$B$1:$O$5542,8,0)</f>
        <v>389.90000000000009</v>
      </c>
      <c r="K154" s="114">
        <f>VLOOKUP(TEXT($B154,0),[4]BankRecData!$B$1:$O$5542,7,0)-VLOOKUP(TEXT($B154,0),[4]BankRecData!$B$1:$O$5542,8,0)</f>
        <v>365.04999999999995</v>
      </c>
      <c r="L154" s="114">
        <f>VLOOKUP(TEXT($B154,0),[5]BankRecData!$B$1:$O$5542,7,0)-VLOOKUP(TEXT($B154,0),[5]BankRecData!$B$1:$O$5542,8,0)</f>
        <v>187.79999999999995</v>
      </c>
      <c r="M154" s="114">
        <f>VLOOKUP(TEXT($B154,0),[6]BankRecData!$B$1:$O$5542,7,0)-VLOOKUP(TEXT($B154,0),[6]BankRecData!$B$1:$O$5542,8,0)</f>
        <v>247.60000000000002</v>
      </c>
      <c r="N154" s="114">
        <f>VLOOKUP(TEXT($B154,0),[7]BankRecData!$B$1:$O$5542,7,0)-VLOOKUP(TEXT($B154,0),[7]BankRecData!$B$1:$O$5542,8,0)</f>
        <v>376.35</v>
      </c>
      <c r="O154" s="114">
        <f>VLOOKUP(TEXT($B154,0),[8]BankRecData!$B$1:$O$5542,7,0)-VLOOKUP(TEXT($B154,0),[8]BankRecData!$B$1:$O$5542,8,0)</f>
        <v>337.79999999999995</v>
      </c>
      <c r="P154" s="114">
        <f>VLOOKUP(TEXT($B154,0),[9]BankRecData!$B$1:$O$5542,7,0)-VLOOKUP(TEXT($B154,0),[9]BankRecData!$B$1:$O$5542,8,0)</f>
        <v>312.79999999999995</v>
      </c>
      <c r="Q154" s="114">
        <f>VLOOKUP(TEXT($B154,0),[10]BankRecData!$B$1:$O$5542,7,0)-VLOOKUP(TEXT($B154,0),[10]BankRecData!$B$1:$O$5542,8,0)</f>
        <v>418.29999999999995</v>
      </c>
    </row>
    <row r="155" spans="1:17" ht="12.75" customHeight="1" x14ac:dyDescent="0.2">
      <c r="A155" s="19" t="s">
        <v>40</v>
      </c>
      <c r="B155" s="71">
        <v>4108</v>
      </c>
      <c r="C155" s="246">
        <v>4108</v>
      </c>
      <c r="D155" s="18" t="s">
        <v>141</v>
      </c>
      <c r="E155" s="20"/>
      <c r="F155" s="20"/>
      <c r="G155" s="34"/>
      <c r="H155" s="114">
        <f>VLOOKUP(TEXT($B155,0),[1]BankRecData!$B$1:$O$5542,6,0)</f>
        <v>0</v>
      </c>
      <c r="I155" s="114">
        <f>VLOOKUP(TEXT($B155,0),[2]BankRecData!$B$1:$O$5542,6,0)</f>
        <v>0</v>
      </c>
      <c r="J155" s="114">
        <f>VLOOKUP(TEXT($B155,0),[3]BankRecData!$B$1:$O$5542,6,0)</f>
        <v>0</v>
      </c>
      <c r="K155" s="114">
        <f>VLOOKUP(TEXT($B155,0),[4]BankRecData!$B$1:$O$5542,6,0)</f>
        <v>0</v>
      </c>
      <c r="L155" s="114">
        <f>VLOOKUP(TEXT($B155,0),[5]BankRecData!$B$1:$O$5542,6,0)</f>
        <v>0</v>
      </c>
      <c r="M155" s="114">
        <f>VLOOKUP(TEXT($B155,0),[6]BankRecData!$B$1:$O$5542,6,0)</f>
        <v>0</v>
      </c>
      <c r="N155" s="114">
        <f>VLOOKUP(TEXT($B155,0),[7]BankRecData!$B$1:$O$5542,6,0)</f>
        <v>0</v>
      </c>
      <c r="O155" s="114">
        <f>VLOOKUP(TEXT($B155,0),[8]BankRecData!$B$1:$O$5542,6,0)</f>
        <v>0</v>
      </c>
      <c r="P155" s="114">
        <f>VLOOKUP(TEXT($B155,0),[9]BankRecData!$B$1:$O$5542,6,0)</f>
        <v>0</v>
      </c>
      <c r="Q155" s="114">
        <f>VLOOKUP(TEXT($B155,0),[10]BankRecData!$B$1:$O$5542,6,0)</f>
        <v>0</v>
      </c>
    </row>
    <row r="156" spans="1:17" x14ac:dyDescent="0.2">
      <c r="A156" s="19" t="s">
        <v>39</v>
      </c>
      <c r="B156" s="71">
        <v>4108</v>
      </c>
      <c r="C156" s="246">
        <v>4108</v>
      </c>
      <c r="D156" s="18" t="s">
        <v>141</v>
      </c>
      <c r="E156" s="20"/>
      <c r="F156" s="20"/>
      <c r="G156" s="34"/>
      <c r="H156" s="114">
        <f>IFERROR(VLOOKUP($B156&amp;-H$1,FX!$U:$V,2,0),0)</f>
        <v>0</v>
      </c>
      <c r="I156" s="114">
        <f>IFERROR(VLOOKUP($B156&amp;-I$1,FX!$U:$V,2,0),0)</f>
        <v>0</v>
      </c>
      <c r="J156" s="114">
        <f>IFERROR(VLOOKUP($B156&amp;-J$1,FX!$U:$V,2,0),0)</f>
        <v>0</v>
      </c>
      <c r="K156" s="114">
        <f>IFERROR(VLOOKUP($B156&amp;-K$1,FX!$U:$V,2,0),0)</f>
        <v>0</v>
      </c>
      <c r="L156" s="114">
        <f>IFERROR(VLOOKUP($B156&amp;-L$1,FX!$U:$V,2,0),0)</f>
        <v>0</v>
      </c>
      <c r="M156" s="114">
        <f>IFERROR(VLOOKUP($B156&amp;-M$1,FX!$U:$V,2,0),0)</f>
        <v>0</v>
      </c>
      <c r="N156" s="114">
        <f>IFERROR(VLOOKUP($B156&amp;-N$1,FX!$U:$V,2,0),0)</f>
        <v>0</v>
      </c>
      <c r="O156" s="114">
        <f>IFERROR(VLOOKUP($B156&amp;-O$1,FX!$U:$V,2,0),0)</f>
        <v>0</v>
      </c>
      <c r="P156" s="114">
        <f>IFERROR(VLOOKUP($B156&amp;-P$1,FX!$U:$V,2,0),0)</f>
        <v>0</v>
      </c>
      <c r="Q156" s="114">
        <f>IFERROR(VLOOKUP($B156&amp;-Q$1,FX!$U:$V,2,0),0)</f>
        <v>0</v>
      </c>
    </row>
    <row r="157" spans="1:17" x14ac:dyDescent="0.2">
      <c r="A157" s="19" t="s">
        <v>34</v>
      </c>
      <c r="B157" s="71">
        <v>4108</v>
      </c>
      <c r="C157" s="246">
        <v>4108</v>
      </c>
      <c r="D157" s="18" t="s">
        <v>141</v>
      </c>
      <c r="E157" s="20"/>
      <c r="F157" s="20"/>
      <c r="G157" s="34"/>
      <c r="H157" s="114">
        <f t="shared" ref="H157:I157" si="256">H156-H155+H154</f>
        <v>484.29999999999995</v>
      </c>
      <c r="I157" s="114">
        <f t="shared" si="256"/>
        <v>274.39999999999998</v>
      </c>
      <c r="J157" s="114">
        <f t="shared" ref="J157:K157" si="257">J156-J155+J154</f>
        <v>389.90000000000009</v>
      </c>
      <c r="K157" s="114">
        <f t="shared" si="257"/>
        <v>365.04999999999995</v>
      </c>
      <c r="L157" s="114">
        <f t="shared" ref="L157:M157" si="258">L156-L155+L154</f>
        <v>187.79999999999995</v>
      </c>
      <c r="M157" s="114">
        <f t="shared" si="258"/>
        <v>247.60000000000002</v>
      </c>
      <c r="N157" s="114">
        <f t="shared" ref="N157:O157" si="259">N156-N155+N154</f>
        <v>376.35</v>
      </c>
      <c r="O157" s="114">
        <f t="shared" si="259"/>
        <v>337.79999999999995</v>
      </c>
      <c r="P157" s="114">
        <f t="shared" ref="P157:Q157" si="260">P156-P155+P154</f>
        <v>312.79999999999995</v>
      </c>
      <c r="Q157" s="114">
        <f t="shared" si="260"/>
        <v>418.29999999999995</v>
      </c>
    </row>
    <row r="158" spans="1:17" x14ac:dyDescent="0.2">
      <c r="A158" s="19" t="s">
        <v>35</v>
      </c>
      <c r="B158" s="71">
        <v>4108</v>
      </c>
      <c r="C158" s="246">
        <v>4108</v>
      </c>
      <c r="D158" s="18" t="s">
        <v>141</v>
      </c>
      <c r="E158" s="20"/>
      <c r="F158" s="35">
        <f>COUNTIF(H158:H158,"=0")</f>
        <v>1</v>
      </c>
      <c r="G158" s="34"/>
      <c r="H158" s="114">
        <f>SUMIF('Bank Deposit List'!$K:$K,$B158&amp;-H$1,'Bank Deposit List'!$L:$L)</f>
        <v>0</v>
      </c>
      <c r="I158" s="114">
        <f>SUMIF('Bank Deposit List'!$K:$K,$B158&amp;-I$1,'Bank Deposit List'!$L:$L)</f>
        <v>0</v>
      </c>
      <c r="J158" s="114">
        <f>SUMIF('Bank Deposit List'!$K:$K,$B158&amp;-J$1,'Bank Deposit List'!$L:$L)</f>
        <v>0</v>
      </c>
      <c r="K158" s="114">
        <f>SUMIF('Bank Deposit List'!$K:$K,$B158&amp;-K$1,'Bank Deposit List'!$L:$L)</f>
        <v>0</v>
      </c>
      <c r="L158" s="114">
        <f>SUMIF('Bank Deposit List'!$K:$K,$B158&amp;-L$1,'Bank Deposit List'!$L:$L)</f>
        <v>0</v>
      </c>
      <c r="M158" s="114">
        <f>SUMIF('Bank Deposit List'!$K:$K,$B158&amp;-M$1,'Bank Deposit List'!$L:$L)</f>
        <v>0</v>
      </c>
      <c r="N158" s="114">
        <f>SUMIF('Bank Deposit List'!$K:$K,$B158&amp;-N$1,'Bank Deposit List'!$L:$L)</f>
        <v>0</v>
      </c>
      <c r="O158" s="114">
        <f>SUMIF('Bank Deposit List'!$K:$K,$B158&amp;-O$1,'Bank Deposit List'!$L:$L)</f>
        <v>0</v>
      </c>
      <c r="P158" s="114">
        <f>SUMIF('Bank Deposit List'!$K:$K,$B158&amp;-P$1,'Bank Deposit List'!$L:$L)</f>
        <v>0</v>
      </c>
      <c r="Q158" s="114">
        <f>SUMIF('Bank Deposit List'!$K:$K,$B158&amp;-Q$1,'Bank Deposit List'!$L:$L)</f>
        <v>0</v>
      </c>
    </row>
    <row r="159" spans="1:17" x14ac:dyDescent="0.2">
      <c r="A159" s="19" t="s">
        <v>37</v>
      </c>
      <c r="B159" s="71">
        <v>4108</v>
      </c>
      <c r="C159" s="246">
        <v>4108</v>
      </c>
      <c r="D159" s="18" t="s">
        <v>141</v>
      </c>
      <c r="E159" s="36">
        <f>(COUNT(H132:CH132)-COUNT(H134:CH134))</f>
        <v>0</v>
      </c>
      <c r="F159" s="37"/>
      <c r="G159" s="34"/>
      <c r="H159" s="114" t="str">
        <f>IFERROR(VLOOKUP($B159&amp;-H158,'Deposits AU NAB'!$L:$M,2,0),"")</f>
        <v/>
      </c>
      <c r="I159" s="114" t="str">
        <f>IFERROR(VLOOKUP($B159&amp;-I158,'Deposits AU NAB'!$L:$M,2,0),"")</f>
        <v/>
      </c>
      <c r="J159" s="114" t="str">
        <f>IFERROR(VLOOKUP($B159&amp;-J158,'Deposits AU NAB'!$L:$M,2,0),"")</f>
        <v/>
      </c>
      <c r="K159" s="114" t="str">
        <f>IFERROR(VLOOKUP($B159&amp;-K158,'Deposits AU NAB'!$L:$M,2,0),"")</f>
        <v/>
      </c>
      <c r="L159" s="114" t="str">
        <f>IFERROR(VLOOKUP($B159&amp;-L158,'Deposits AU NAB'!$L:$M,2,0),"")</f>
        <v/>
      </c>
      <c r="M159" s="114" t="str">
        <f>IFERROR(VLOOKUP($B159&amp;-M158,'Deposits AU NAB'!$L:$M,2,0),"")</f>
        <v/>
      </c>
      <c r="N159" s="114" t="str">
        <f>IFERROR(VLOOKUP($B159&amp;-N158,'Deposits AU NAB'!$L:$M,2,0),"")</f>
        <v/>
      </c>
      <c r="O159" s="114" t="str">
        <f>IFERROR(VLOOKUP($B159&amp;-O158,'Deposits AU NAB'!$L:$M,2,0),"")</f>
        <v/>
      </c>
      <c r="P159" s="114" t="str">
        <f>IFERROR(VLOOKUP($B159&amp;-P158,'Deposits AU NAB'!$L:$M,2,0),"")</f>
        <v/>
      </c>
      <c r="Q159" s="114" t="str">
        <f>IFERROR(VLOOKUP($B159&amp;-Q158,'Deposits AU NAB'!$L:$M,2,0),"")</f>
        <v/>
      </c>
    </row>
    <row r="160" spans="1:17" x14ac:dyDescent="0.2">
      <c r="A160" s="19" t="s">
        <v>51</v>
      </c>
      <c r="B160" s="71">
        <v>4108</v>
      </c>
      <c r="C160" s="246">
        <v>4108</v>
      </c>
      <c r="D160" s="18" t="s">
        <v>141</v>
      </c>
      <c r="E160" s="36"/>
      <c r="F160" s="37"/>
      <c r="G160" s="34">
        <f t="shared" ref="G160:G161" si="261">SUM(H160:BX160)</f>
        <v>0</v>
      </c>
      <c r="H160" s="114" t="str">
        <f t="shared" ref="H160:I160" si="262">IF(H158=0,"",H158-H157)</f>
        <v/>
      </c>
      <c r="I160" s="114" t="str">
        <f t="shared" si="262"/>
        <v/>
      </c>
      <c r="J160" s="114" t="str">
        <f t="shared" ref="J160:K160" si="263">IF(J158=0,"",J158-J157)</f>
        <v/>
      </c>
      <c r="K160" s="114" t="str">
        <f t="shared" si="263"/>
        <v/>
      </c>
      <c r="L160" s="114" t="str">
        <f t="shared" ref="L160:M160" si="264">IF(L158=0,"",L158-L157)</f>
        <v/>
      </c>
      <c r="M160" s="114" t="str">
        <f t="shared" si="264"/>
        <v/>
      </c>
      <c r="N160" s="114" t="str">
        <f t="shared" ref="N160:O160" si="265">IF(N158=0,"",N158-N157)</f>
        <v/>
      </c>
      <c r="O160" s="114" t="str">
        <f t="shared" si="265"/>
        <v/>
      </c>
      <c r="P160" s="114" t="str">
        <f t="shared" ref="P160:Q160" si="266">IF(P158=0,"",P158-P157)</f>
        <v/>
      </c>
      <c r="Q160" s="114" t="str">
        <f t="shared" si="266"/>
        <v/>
      </c>
    </row>
    <row r="161" spans="1:17" x14ac:dyDescent="0.2">
      <c r="A161" s="19" t="s">
        <v>52</v>
      </c>
      <c r="B161" s="71">
        <v>4108</v>
      </c>
      <c r="C161" s="246">
        <v>4108</v>
      </c>
      <c r="D161" s="18" t="s">
        <v>141</v>
      </c>
      <c r="E161" s="20"/>
      <c r="F161" s="20"/>
      <c r="G161" s="34">
        <f t="shared" si="261"/>
        <v>0</v>
      </c>
      <c r="H161" s="114" t="str">
        <f t="shared" ref="H161:I161" si="267">IFERROR(H159-H158,"")</f>
        <v/>
      </c>
      <c r="I161" s="114" t="str">
        <f t="shared" si="267"/>
        <v/>
      </c>
      <c r="J161" s="114" t="str">
        <f t="shared" ref="J161:K161" si="268">IFERROR(J159-J158,"")</f>
        <v/>
      </c>
      <c r="K161" s="114" t="str">
        <f t="shared" si="268"/>
        <v/>
      </c>
      <c r="L161" s="114" t="str">
        <f t="shared" ref="L161:M161" si="269">IFERROR(L159-L158,"")</f>
        <v/>
      </c>
      <c r="M161" s="114" t="str">
        <f t="shared" si="269"/>
        <v/>
      </c>
      <c r="N161" s="114" t="str">
        <f t="shared" ref="N161:O161" si="270">IFERROR(N159-N158,"")</f>
        <v/>
      </c>
      <c r="O161" s="114" t="str">
        <f t="shared" si="270"/>
        <v/>
      </c>
      <c r="P161" s="114" t="str">
        <f t="shared" ref="P161:Q161" si="271">IFERROR(P159-P158,"")</f>
        <v/>
      </c>
      <c r="Q161" s="114" t="str">
        <f t="shared" si="271"/>
        <v/>
      </c>
    </row>
    <row r="162" spans="1:17" x14ac:dyDescent="0.2">
      <c r="A162" s="38"/>
      <c r="B162" s="70"/>
      <c r="C162" s="245"/>
      <c r="D162" s="40"/>
      <c r="E162" s="41"/>
      <c r="F162" s="41"/>
      <c r="G162" s="42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</row>
    <row r="163" spans="1:17" x14ac:dyDescent="0.2">
      <c r="A163" s="19" t="s">
        <v>38</v>
      </c>
      <c r="B163" s="71">
        <v>4109</v>
      </c>
      <c r="C163" s="246">
        <v>4109</v>
      </c>
      <c r="D163" s="18" t="s">
        <v>136</v>
      </c>
      <c r="E163" s="20"/>
      <c r="F163" s="20"/>
      <c r="G163" s="34"/>
      <c r="H163" s="114">
        <f>VLOOKUP(TEXT($B163,0),[1]BankRecData!$B$1:$O$5542,7,0)-VLOOKUP(TEXT($B163,0),[1]BankRecData!$B$1:$O$5542,8,0)</f>
        <v>486.9</v>
      </c>
      <c r="I163" s="114">
        <f>VLOOKUP(TEXT($B163,0),[2]BankRecData!$B$1:$O$5542,7,0)-VLOOKUP(TEXT($B163,0),[2]BankRecData!$B$1:$O$5542,8,0)</f>
        <v>401.35</v>
      </c>
      <c r="J163" s="114">
        <f>VLOOKUP(TEXT($B163,0),[3]BankRecData!$B$1:$O$5542,7,0)-VLOOKUP(TEXT($B163,0),[3]BankRecData!$B$1:$O$5542,8,0)</f>
        <v>254.45000000000005</v>
      </c>
      <c r="K163" s="114">
        <f>VLOOKUP(TEXT($B163,0),[4]BankRecData!$B$1:$O$5542,7,0)-VLOOKUP(TEXT($B163,0),[4]BankRecData!$B$1:$O$5542,8,0)</f>
        <v>413.20000000000005</v>
      </c>
      <c r="L163" s="114">
        <f>VLOOKUP(TEXT($B163,0),[5]BankRecData!$B$1:$O$5542,7,0)-VLOOKUP(TEXT($B163,0),[5]BankRecData!$B$1:$O$5542,8,0)</f>
        <v>202.14999999999998</v>
      </c>
      <c r="M163" s="114">
        <f>VLOOKUP(TEXT($B163,0),[6]BankRecData!$B$1:$O$5542,7,0)-VLOOKUP(TEXT($B163,0),[6]BankRecData!$B$1:$O$5542,8,0)</f>
        <v>403.70000000000005</v>
      </c>
      <c r="N163" s="114">
        <f>VLOOKUP(TEXT($B163,0),[7]BankRecData!$B$1:$O$5542,7,0)-VLOOKUP(TEXT($B163,0),[7]BankRecData!$B$1:$O$5542,8,0)</f>
        <v>304.20000000000005</v>
      </c>
      <c r="O163" s="114">
        <f>VLOOKUP(TEXT($B163,0),[8]BankRecData!$B$1:$O$5542,7,0)-VLOOKUP(TEXT($B163,0),[8]BankRecData!$B$1:$O$5542,8,0)</f>
        <v>283.20000000000005</v>
      </c>
      <c r="P163" s="114">
        <f>VLOOKUP(TEXT($B163,0),[9]BankRecData!$B$1:$O$5542,7,0)-VLOOKUP(TEXT($B163,0),[9]BankRecData!$B$1:$O$5542,8,0)</f>
        <v>543.29999999999995</v>
      </c>
      <c r="Q163" s="114">
        <f>VLOOKUP(TEXT($B163,0),[10]BankRecData!$B$1:$O$5542,7,0)-VLOOKUP(TEXT($B163,0),[10]BankRecData!$B$1:$O$5542,8,0)</f>
        <v>301.5</v>
      </c>
    </row>
    <row r="164" spans="1:17" x14ac:dyDescent="0.2">
      <c r="A164" s="19" t="s">
        <v>40</v>
      </c>
      <c r="B164" s="71">
        <v>4109</v>
      </c>
      <c r="C164" s="246">
        <v>4109</v>
      </c>
      <c r="D164" s="18" t="s">
        <v>136</v>
      </c>
      <c r="E164" s="20"/>
      <c r="F164" s="20"/>
      <c r="G164" s="34"/>
      <c r="H164" s="114">
        <f>VLOOKUP(TEXT($B164,0),[1]BankRecData!$B$1:$O$5542,6,0)</f>
        <v>0</v>
      </c>
      <c r="I164" s="114">
        <f>VLOOKUP(TEXT($B164,0),[2]BankRecData!$B$1:$O$5542,6,0)</f>
        <v>0</v>
      </c>
      <c r="J164" s="114">
        <f>VLOOKUP(TEXT($B164,0),[3]BankRecData!$B$1:$O$5542,6,0)</f>
        <v>0</v>
      </c>
      <c r="K164" s="114">
        <f>VLOOKUP(TEXT($B164,0),[4]BankRecData!$B$1:$O$5542,6,0)</f>
        <v>0</v>
      </c>
      <c r="L164" s="114">
        <f>VLOOKUP(TEXT($B164,0),[5]BankRecData!$B$1:$O$5542,6,0)</f>
        <v>0</v>
      </c>
      <c r="M164" s="114">
        <f>VLOOKUP(TEXT($B164,0),[6]BankRecData!$B$1:$O$5542,6,0)</f>
        <v>0</v>
      </c>
      <c r="N164" s="114">
        <f>VLOOKUP(TEXT($B164,0),[7]BankRecData!$B$1:$O$5542,6,0)</f>
        <v>0</v>
      </c>
      <c r="O164" s="114">
        <f>VLOOKUP(TEXT($B164,0),[8]BankRecData!$B$1:$O$5542,6,0)</f>
        <v>0</v>
      </c>
      <c r="P164" s="114">
        <f>VLOOKUP(TEXT($B164,0),[9]BankRecData!$B$1:$O$5542,6,0)</f>
        <v>0</v>
      </c>
      <c r="Q164" s="114">
        <f>VLOOKUP(TEXT($B164,0),[10]BankRecData!$B$1:$O$5542,6,0)</f>
        <v>0</v>
      </c>
    </row>
    <row r="165" spans="1:17" x14ac:dyDescent="0.2">
      <c r="A165" s="19" t="s">
        <v>39</v>
      </c>
      <c r="B165" s="71">
        <v>4109</v>
      </c>
      <c r="C165" s="246">
        <v>4109</v>
      </c>
      <c r="D165" s="18" t="s">
        <v>136</v>
      </c>
      <c r="E165" s="20"/>
      <c r="F165" s="20"/>
      <c r="G165" s="34"/>
      <c r="H165" s="114">
        <f>IFERROR(VLOOKUP($B165&amp;-H$1,FX!$U:$V,2,0),0)</f>
        <v>0</v>
      </c>
      <c r="I165" s="114">
        <f>IFERROR(VLOOKUP($B165&amp;-I$1,FX!$U:$V,2,0),0)</f>
        <v>0</v>
      </c>
      <c r="J165" s="114">
        <f>IFERROR(VLOOKUP($B165&amp;-J$1,FX!$U:$V,2,0),0)</f>
        <v>0</v>
      </c>
      <c r="K165" s="114">
        <f>IFERROR(VLOOKUP($B165&amp;-K$1,FX!$U:$V,2,0),0)</f>
        <v>0</v>
      </c>
      <c r="L165" s="114">
        <f>IFERROR(VLOOKUP($B165&amp;-L$1,FX!$U:$V,2,0),0)</f>
        <v>0</v>
      </c>
      <c r="M165" s="114">
        <f>IFERROR(VLOOKUP($B165&amp;-M$1,FX!$U:$V,2,0),0)</f>
        <v>0</v>
      </c>
      <c r="N165" s="114">
        <f>IFERROR(VLOOKUP($B165&amp;-N$1,FX!$U:$V,2,0),0)</f>
        <v>0</v>
      </c>
      <c r="O165" s="114">
        <f>IFERROR(VLOOKUP($B165&amp;-O$1,FX!$U:$V,2,0),0)</f>
        <v>0</v>
      </c>
      <c r="P165" s="114">
        <f>IFERROR(VLOOKUP($B165&amp;-P$1,FX!$U:$V,2,0),0)</f>
        <v>0</v>
      </c>
      <c r="Q165" s="114">
        <f>IFERROR(VLOOKUP($B165&amp;-Q$1,FX!$U:$V,2,0),0)</f>
        <v>0</v>
      </c>
    </row>
    <row r="166" spans="1:17" x14ac:dyDescent="0.2">
      <c r="A166" s="19" t="s">
        <v>34</v>
      </c>
      <c r="B166" s="71">
        <v>4109</v>
      </c>
      <c r="C166" s="246">
        <v>4109</v>
      </c>
      <c r="D166" s="18" t="s">
        <v>136</v>
      </c>
      <c r="E166" s="20"/>
      <c r="F166" s="20"/>
      <c r="G166" s="34"/>
      <c r="H166" s="114">
        <f t="shared" ref="H166:I166" si="272">H165-H164+H163</f>
        <v>486.9</v>
      </c>
      <c r="I166" s="114">
        <f t="shared" si="272"/>
        <v>401.35</v>
      </c>
      <c r="J166" s="114">
        <f t="shared" ref="J166:K166" si="273">J165-J164+J163</f>
        <v>254.45000000000005</v>
      </c>
      <c r="K166" s="114">
        <f t="shared" si="273"/>
        <v>413.20000000000005</v>
      </c>
      <c r="L166" s="114">
        <f t="shared" ref="L166:M166" si="274">L165-L164+L163</f>
        <v>202.14999999999998</v>
      </c>
      <c r="M166" s="114">
        <f t="shared" si="274"/>
        <v>403.70000000000005</v>
      </c>
      <c r="N166" s="114">
        <f t="shared" ref="N166:O166" si="275">N165-N164+N163</f>
        <v>304.20000000000005</v>
      </c>
      <c r="O166" s="114">
        <f t="shared" si="275"/>
        <v>283.20000000000005</v>
      </c>
      <c r="P166" s="114">
        <f t="shared" ref="P166:Q166" si="276">P165-P164+P163</f>
        <v>543.29999999999995</v>
      </c>
      <c r="Q166" s="114">
        <f t="shared" si="276"/>
        <v>301.5</v>
      </c>
    </row>
    <row r="167" spans="1:17" x14ac:dyDescent="0.2">
      <c r="A167" s="19" t="s">
        <v>35</v>
      </c>
      <c r="B167" s="71">
        <v>4109</v>
      </c>
      <c r="C167" s="246">
        <v>4109</v>
      </c>
      <c r="D167" s="18" t="s">
        <v>136</v>
      </c>
      <c r="E167" s="20"/>
      <c r="F167" s="35">
        <f>COUNTIF(H167:H167,"=0")</f>
        <v>1</v>
      </c>
      <c r="G167" s="34"/>
      <c r="H167" s="114">
        <f>SUMIF('Bank Deposit List'!$K:$K,$B167&amp;-H$1,'Bank Deposit List'!$L:$L)</f>
        <v>0</v>
      </c>
      <c r="I167" s="114">
        <f>SUMIF('Bank Deposit List'!$K:$K,$B167&amp;-I$1,'Bank Deposit List'!$L:$L)</f>
        <v>0</v>
      </c>
      <c r="J167" s="114">
        <f>SUMIF('Bank Deposit List'!$K:$K,$B167&amp;-J$1,'Bank Deposit List'!$L:$L)</f>
        <v>0</v>
      </c>
      <c r="K167" s="114">
        <f>SUMIF('Bank Deposit List'!$K:$K,$B167&amp;-K$1,'Bank Deposit List'!$L:$L)</f>
        <v>0</v>
      </c>
      <c r="L167" s="114">
        <f>SUMIF('Bank Deposit List'!$K:$K,$B167&amp;-L$1,'Bank Deposit List'!$L:$L)</f>
        <v>0</v>
      </c>
      <c r="M167" s="114">
        <f>SUMIF('Bank Deposit List'!$K:$K,$B167&amp;-M$1,'Bank Deposit List'!$L:$L)</f>
        <v>0</v>
      </c>
      <c r="N167" s="114">
        <f>SUMIF('Bank Deposit List'!$K:$K,$B167&amp;-N$1,'Bank Deposit List'!$L:$L)</f>
        <v>0</v>
      </c>
      <c r="O167" s="114">
        <f>SUMIF('Bank Deposit List'!$K:$K,$B167&amp;-O$1,'Bank Deposit List'!$L:$L)</f>
        <v>0</v>
      </c>
      <c r="P167" s="114">
        <f>SUMIF('Bank Deposit List'!$K:$K,$B167&amp;-P$1,'Bank Deposit List'!$L:$L)</f>
        <v>0</v>
      </c>
      <c r="Q167" s="114">
        <f>SUMIF('Bank Deposit List'!$K:$K,$B167&amp;-Q$1,'Bank Deposit List'!$L:$L)</f>
        <v>0</v>
      </c>
    </row>
    <row r="168" spans="1:17" x14ac:dyDescent="0.2">
      <c r="A168" s="19" t="s">
        <v>37</v>
      </c>
      <c r="B168" s="71">
        <v>4109</v>
      </c>
      <c r="C168" s="246">
        <v>4109</v>
      </c>
      <c r="D168" s="18" t="s">
        <v>136</v>
      </c>
      <c r="E168" s="36">
        <f>(COUNT(H141:CH141)-COUNT(H143:CH143))</f>
        <v>0</v>
      </c>
      <c r="F168" s="37"/>
      <c r="G168" s="34"/>
      <c r="H168" s="114" t="str">
        <f>IFERROR(VLOOKUP($B168&amp;-H167,'Deposits AU NAB'!$L:$M,2,0),"")</f>
        <v/>
      </c>
      <c r="I168" s="114" t="str">
        <f>IFERROR(VLOOKUP($B168&amp;-I167,'Deposits AU NAB'!$L:$M,2,0),"")</f>
        <v/>
      </c>
      <c r="J168" s="114" t="str">
        <f>IFERROR(VLOOKUP($B168&amp;-J167,'Deposits AU NAB'!$L:$M,2,0),"")</f>
        <v/>
      </c>
      <c r="K168" s="114" t="str">
        <f>IFERROR(VLOOKUP($B168&amp;-K167,'Deposits AU NAB'!$L:$M,2,0),"")</f>
        <v/>
      </c>
      <c r="L168" s="114" t="str">
        <f>IFERROR(VLOOKUP($B168&amp;-L167,'Deposits AU NAB'!$L:$M,2,0),"")</f>
        <v/>
      </c>
      <c r="M168" s="114" t="str">
        <f>IFERROR(VLOOKUP($B168&amp;-M167,'Deposits AU NAB'!$L:$M,2,0),"")</f>
        <v/>
      </c>
      <c r="N168" s="114" t="str">
        <f>IFERROR(VLOOKUP($B168&amp;-N167,'Deposits AU NAB'!$L:$M,2,0),"")</f>
        <v/>
      </c>
      <c r="O168" s="114" t="str">
        <f>IFERROR(VLOOKUP($B168&amp;-O167,'Deposits AU NAB'!$L:$M,2,0),"")</f>
        <v/>
      </c>
      <c r="P168" s="114" t="str">
        <f>IFERROR(VLOOKUP($B168&amp;-P167,'Deposits AU NAB'!$L:$M,2,0),"")</f>
        <v/>
      </c>
      <c r="Q168" s="114" t="str">
        <f>IFERROR(VLOOKUP($B168&amp;-Q167,'Deposits AU NAB'!$L:$M,2,0),"")</f>
        <v/>
      </c>
    </row>
    <row r="169" spans="1:17" x14ac:dyDescent="0.2">
      <c r="A169" s="19" t="s">
        <v>51</v>
      </c>
      <c r="B169" s="71">
        <v>4109</v>
      </c>
      <c r="C169" s="246">
        <v>4109</v>
      </c>
      <c r="D169" s="18" t="s">
        <v>136</v>
      </c>
      <c r="E169" s="36"/>
      <c r="F169" s="37"/>
      <c r="G169" s="34">
        <f t="shared" ref="G169:G170" si="277">SUM(H169:BX169)</f>
        <v>0</v>
      </c>
      <c r="H169" s="114" t="str">
        <f t="shared" ref="H169:I169" si="278">IF(H167=0,"",H167-H166)</f>
        <v/>
      </c>
      <c r="I169" s="114" t="str">
        <f t="shared" si="278"/>
        <v/>
      </c>
      <c r="J169" s="114" t="str">
        <f t="shared" ref="J169:K169" si="279">IF(J167=0,"",J167-J166)</f>
        <v/>
      </c>
      <c r="K169" s="114" t="str">
        <f t="shared" si="279"/>
        <v/>
      </c>
      <c r="L169" s="114" t="str">
        <f t="shared" ref="L169:M169" si="280">IF(L167=0,"",L167-L166)</f>
        <v/>
      </c>
      <c r="M169" s="114" t="str">
        <f t="shared" si="280"/>
        <v/>
      </c>
      <c r="N169" s="114" t="str">
        <f t="shared" ref="N169:O169" si="281">IF(N167=0,"",N167-N166)</f>
        <v/>
      </c>
      <c r="O169" s="114" t="str">
        <f t="shared" si="281"/>
        <v/>
      </c>
      <c r="P169" s="114" t="str">
        <f t="shared" ref="P169:Q169" si="282">IF(P167=0,"",P167-P166)</f>
        <v/>
      </c>
      <c r="Q169" s="114" t="str">
        <f t="shared" si="282"/>
        <v/>
      </c>
    </row>
    <row r="170" spans="1:17" x14ac:dyDescent="0.2">
      <c r="A170" s="19" t="s">
        <v>52</v>
      </c>
      <c r="B170" s="71">
        <v>4109</v>
      </c>
      <c r="C170" s="246">
        <v>4109</v>
      </c>
      <c r="D170" s="18" t="s">
        <v>136</v>
      </c>
      <c r="E170" s="20"/>
      <c r="F170" s="20"/>
      <c r="G170" s="34">
        <f t="shared" si="277"/>
        <v>0</v>
      </c>
      <c r="H170" s="114" t="str">
        <f t="shared" ref="H170:I170" si="283">IFERROR(H168-H167,"")</f>
        <v/>
      </c>
      <c r="I170" s="114" t="str">
        <f t="shared" si="283"/>
        <v/>
      </c>
      <c r="J170" s="114" t="str">
        <f t="shared" ref="J170:K170" si="284">IFERROR(J168-J167,"")</f>
        <v/>
      </c>
      <c r="K170" s="114" t="str">
        <f t="shared" si="284"/>
        <v/>
      </c>
      <c r="L170" s="114" t="str">
        <f t="shared" ref="L170:M170" si="285">IFERROR(L168-L167,"")</f>
        <v/>
      </c>
      <c r="M170" s="114" t="str">
        <f t="shared" si="285"/>
        <v/>
      </c>
      <c r="N170" s="114" t="str">
        <f t="shared" ref="N170:O170" si="286">IFERROR(N168-N167,"")</f>
        <v/>
      </c>
      <c r="O170" s="114" t="str">
        <f t="shared" si="286"/>
        <v/>
      </c>
      <c r="P170" s="114" t="str">
        <f t="shared" ref="P170:Q170" si="287">IFERROR(P168-P167,"")</f>
        <v/>
      </c>
      <c r="Q170" s="114" t="str">
        <f t="shared" si="287"/>
        <v/>
      </c>
    </row>
    <row r="171" spans="1:17" x14ac:dyDescent="0.2">
      <c r="A171" s="38"/>
      <c r="B171" s="70"/>
      <c r="C171" s="245"/>
      <c r="D171" s="40"/>
      <c r="E171" s="41"/>
      <c r="F171" s="41"/>
      <c r="G171" s="42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</row>
    <row r="172" spans="1:17" x14ac:dyDescent="0.2">
      <c r="A172" s="19" t="s">
        <v>38</v>
      </c>
      <c r="B172" s="71">
        <v>4110</v>
      </c>
      <c r="C172" s="246">
        <v>4110</v>
      </c>
      <c r="D172" s="18" t="s">
        <v>137</v>
      </c>
      <c r="E172" s="20"/>
      <c r="F172" s="20"/>
      <c r="G172" s="34"/>
      <c r="H172" s="114">
        <f>VLOOKUP(TEXT($B172,0),[1]BankRecData!$B$1:$O$5542,7,0)-VLOOKUP(TEXT($B172,0),[1]BankRecData!$B$1:$O$5542,8,0)</f>
        <v>321.04999999999995</v>
      </c>
      <c r="I172" s="114">
        <f>VLOOKUP(TEXT($B172,0),[2]BankRecData!$B$1:$O$5542,7,0)-VLOOKUP(TEXT($B172,0),[2]BankRecData!$B$1:$O$5542,8,0)</f>
        <v>439</v>
      </c>
      <c r="J172" s="114">
        <f>VLOOKUP(TEXT($B172,0),[3]BankRecData!$B$1:$O$5542,7,0)-VLOOKUP(TEXT($B172,0),[3]BankRecData!$B$1:$O$5542,8,0)</f>
        <v>423.4</v>
      </c>
      <c r="K172" s="114">
        <f>VLOOKUP(TEXT($B172,0),[4]BankRecData!$B$1:$O$5542,7,0)-VLOOKUP(TEXT($B172,0),[4]BankRecData!$B$1:$O$5542,8,0)</f>
        <v>421.15</v>
      </c>
      <c r="L172" s="114">
        <f>VLOOKUP(TEXT($B172,0),[5]BankRecData!$B$1:$O$5542,7,0)-VLOOKUP(TEXT($B172,0),[5]BankRecData!$B$1:$O$5542,8,0)</f>
        <v>334.20000000000005</v>
      </c>
      <c r="M172" s="114">
        <f>VLOOKUP(TEXT($B172,0),[6]BankRecData!$B$1:$O$5542,7,0)-VLOOKUP(TEXT($B172,0),[6]BankRecData!$B$1:$O$5542,8,0)</f>
        <v>613.6</v>
      </c>
      <c r="N172" s="114">
        <f>VLOOKUP(TEXT($B172,0),[7]BankRecData!$B$1:$O$5542,7,0)-VLOOKUP(TEXT($B172,0),[7]BankRecData!$B$1:$O$5542,8,0)</f>
        <v>379.29999999999995</v>
      </c>
      <c r="O172" s="114">
        <f>VLOOKUP(TEXT($B172,0),[8]BankRecData!$B$1:$O$5542,7,0)-VLOOKUP(TEXT($B172,0),[8]BankRecData!$B$1:$O$5542,8,0)</f>
        <v>212.64999999999998</v>
      </c>
      <c r="P172" s="114">
        <f>VLOOKUP(TEXT($B172,0),[9]BankRecData!$B$1:$O$5542,7,0)-VLOOKUP(TEXT($B172,0),[9]BankRecData!$B$1:$O$5542,8,0)</f>
        <v>704.95</v>
      </c>
      <c r="Q172" s="114">
        <f>VLOOKUP(TEXT($B172,0),[10]BankRecData!$B$1:$O$5542,7,0)-VLOOKUP(TEXT($B172,0),[10]BankRecData!$B$1:$O$5542,8,0)</f>
        <v>631.84999999999991</v>
      </c>
    </row>
    <row r="173" spans="1:17" x14ac:dyDescent="0.2">
      <c r="A173" s="19" t="s">
        <v>40</v>
      </c>
      <c r="B173" s="71">
        <v>4110</v>
      </c>
      <c r="C173" s="246">
        <v>4110</v>
      </c>
      <c r="D173" s="18" t="s">
        <v>137</v>
      </c>
      <c r="E173" s="20"/>
      <c r="F173" s="20"/>
      <c r="G173" s="34"/>
      <c r="H173" s="114">
        <f>VLOOKUP(TEXT($B173,0),[1]BankRecData!$B$1:$O$5542,6,0)</f>
        <v>0</v>
      </c>
      <c r="I173" s="114">
        <f>VLOOKUP(TEXT($B173,0),[2]BankRecData!$B$1:$O$5542,6,0)</f>
        <v>0</v>
      </c>
      <c r="J173" s="114">
        <f>VLOOKUP(TEXT($B173,0),[3]BankRecData!$B$1:$O$5542,6,0)</f>
        <v>0</v>
      </c>
      <c r="K173" s="114">
        <f>VLOOKUP(TEXT($B173,0),[4]BankRecData!$B$1:$O$5542,6,0)</f>
        <v>0</v>
      </c>
      <c r="L173" s="114">
        <f>VLOOKUP(TEXT($B173,0),[5]BankRecData!$B$1:$O$5542,6,0)</f>
        <v>0</v>
      </c>
      <c r="M173" s="114">
        <f>VLOOKUP(TEXT($B173,0),[6]BankRecData!$B$1:$O$5542,6,0)</f>
        <v>0</v>
      </c>
      <c r="N173" s="114">
        <f>VLOOKUP(TEXT($B173,0),[7]BankRecData!$B$1:$O$5542,6,0)</f>
        <v>0</v>
      </c>
      <c r="O173" s="114">
        <f>VLOOKUP(TEXT($B173,0),[8]BankRecData!$B$1:$O$5542,6,0)</f>
        <v>0</v>
      </c>
      <c r="P173" s="114">
        <f>VLOOKUP(TEXT($B173,0),[9]BankRecData!$B$1:$O$5542,6,0)</f>
        <v>0</v>
      </c>
      <c r="Q173" s="114">
        <f>VLOOKUP(TEXT($B173,0),[10]BankRecData!$B$1:$O$5542,6,0)</f>
        <v>0</v>
      </c>
    </row>
    <row r="174" spans="1:17" x14ac:dyDescent="0.2">
      <c r="A174" s="19" t="s">
        <v>39</v>
      </c>
      <c r="B174" s="71">
        <v>4110</v>
      </c>
      <c r="C174" s="246">
        <v>4110</v>
      </c>
      <c r="D174" s="18" t="s">
        <v>137</v>
      </c>
      <c r="E174" s="20"/>
      <c r="F174" s="20"/>
      <c r="G174" s="34"/>
      <c r="H174" s="114">
        <f>IFERROR(VLOOKUP($B174&amp;-H$1,FX!$U:$V,2,0),0)</f>
        <v>0</v>
      </c>
      <c r="I174" s="114">
        <f>IFERROR(VLOOKUP($B174&amp;-I$1,FX!$U:$V,2,0),0)</f>
        <v>0</v>
      </c>
      <c r="J174" s="114">
        <f>IFERROR(VLOOKUP($B174&amp;-J$1,FX!$U:$V,2,0),0)</f>
        <v>0</v>
      </c>
      <c r="K174" s="114">
        <f>IFERROR(VLOOKUP($B174&amp;-K$1,FX!$U:$V,2,0),0)</f>
        <v>0</v>
      </c>
      <c r="L174" s="114">
        <f>IFERROR(VLOOKUP($B174&amp;-L$1,FX!$U:$V,2,0),0)</f>
        <v>0</v>
      </c>
      <c r="M174" s="114">
        <f>IFERROR(VLOOKUP($B174&amp;-M$1,FX!$U:$V,2,0),0)</f>
        <v>0</v>
      </c>
      <c r="N174" s="114">
        <f>IFERROR(VLOOKUP($B174&amp;-N$1,FX!$U:$V,2,0),0)</f>
        <v>0</v>
      </c>
      <c r="O174" s="114">
        <f>IFERROR(VLOOKUP($B174&amp;-O$1,FX!$U:$V,2,0),0)</f>
        <v>0</v>
      </c>
      <c r="P174" s="114">
        <f>IFERROR(VLOOKUP($B174&amp;-P$1,FX!$U:$V,2,0),0)</f>
        <v>0</v>
      </c>
      <c r="Q174" s="114">
        <f>IFERROR(VLOOKUP($B174&amp;-Q$1,FX!$U:$V,2,0),0)</f>
        <v>0</v>
      </c>
    </row>
    <row r="175" spans="1:17" x14ac:dyDescent="0.2">
      <c r="A175" s="19" t="s">
        <v>34</v>
      </c>
      <c r="B175" s="71">
        <v>4110</v>
      </c>
      <c r="C175" s="246">
        <v>4110</v>
      </c>
      <c r="D175" s="18" t="s">
        <v>137</v>
      </c>
      <c r="E175" s="20"/>
      <c r="F175" s="20"/>
      <c r="G175" s="34"/>
      <c r="H175" s="114">
        <f t="shared" ref="H175:I175" si="288">H174-H173+H172</f>
        <v>321.04999999999995</v>
      </c>
      <c r="I175" s="114">
        <f t="shared" si="288"/>
        <v>439</v>
      </c>
      <c r="J175" s="114">
        <f t="shared" ref="J175:K175" si="289">J174-J173+J172</f>
        <v>423.4</v>
      </c>
      <c r="K175" s="114">
        <f t="shared" si="289"/>
        <v>421.15</v>
      </c>
      <c r="L175" s="114">
        <f t="shared" ref="L175:M175" si="290">L174-L173+L172</f>
        <v>334.20000000000005</v>
      </c>
      <c r="M175" s="114">
        <f t="shared" si="290"/>
        <v>613.6</v>
      </c>
      <c r="N175" s="114">
        <f t="shared" ref="N175:O175" si="291">N174-N173+N172</f>
        <v>379.29999999999995</v>
      </c>
      <c r="O175" s="114">
        <f t="shared" si="291"/>
        <v>212.64999999999998</v>
      </c>
      <c r="P175" s="114">
        <f t="shared" ref="P175:Q175" si="292">P174-P173+P172</f>
        <v>704.95</v>
      </c>
      <c r="Q175" s="114">
        <f t="shared" si="292"/>
        <v>631.84999999999991</v>
      </c>
    </row>
    <row r="176" spans="1:17" x14ac:dyDescent="0.2">
      <c r="A176" s="19" t="s">
        <v>35</v>
      </c>
      <c r="B176" s="71">
        <v>4110</v>
      </c>
      <c r="C176" s="246">
        <v>4110</v>
      </c>
      <c r="D176" s="18" t="s">
        <v>137</v>
      </c>
      <c r="E176" s="20"/>
      <c r="F176" s="35">
        <f>COUNTIF(H176:H176,"=0")</f>
        <v>1</v>
      </c>
      <c r="G176" s="34"/>
      <c r="H176" s="114">
        <f>SUMIF('Bank Deposit List'!$K:$K,$B176&amp;-H$1,'Bank Deposit List'!$L:$L)</f>
        <v>0</v>
      </c>
      <c r="I176" s="114">
        <f>SUMIF('Bank Deposit List'!$K:$K,$B176&amp;-I$1,'Bank Deposit List'!$L:$L)</f>
        <v>0</v>
      </c>
      <c r="J176" s="114">
        <f>SUMIF('Bank Deposit List'!$K:$K,$B176&amp;-J$1,'Bank Deposit List'!$L:$L)</f>
        <v>0</v>
      </c>
      <c r="K176" s="114">
        <f>SUMIF('Bank Deposit List'!$K:$K,$B176&amp;-K$1,'Bank Deposit List'!$L:$L)</f>
        <v>0</v>
      </c>
      <c r="L176" s="114">
        <f>SUMIF('Bank Deposit List'!$K:$K,$B176&amp;-L$1,'Bank Deposit List'!$L:$L)</f>
        <v>0</v>
      </c>
      <c r="M176" s="114">
        <f>SUMIF('Bank Deposit List'!$K:$K,$B176&amp;-M$1,'Bank Deposit List'!$L:$L)</f>
        <v>0</v>
      </c>
      <c r="N176" s="114">
        <f>SUMIF('Bank Deposit List'!$K:$K,$B176&amp;-N$1,'Bank Deposit List'!$L:$L)</f>
        <v>0</v>
      </c>
      <c r="O176" s="114">
        <f>SUMIF('Bank Deposit List'!$K:$K,$B176&amp;-O$1,'Bank Deposit List'!$L:$L)</f>
        <v>0</v>
      </c>
      <c r="P176" s="114">
        <f>SUMIF('Bank Deposit List'!$K:$K,$B176&amp;-P$1,'Bank Deposit List'!$L:$L)</f>
        <v>0</v>
      </c>
      <c r="Q176" s="114">
        <f>SUMIF('Bank Deposit List'!$K:$K,$B176&amp;-Q$1,'Bank Deposit List'!$L:$L)</f>
        <v>0</v>
      </c>
    </row>
    <row r="177" spans="1:17" x14ac:dyDescent="0.2">
      <c r="A177" s="19" t="s">
        <v>37</v>
      </c>
      <c r="B177" s="71">
        <v>4110</v>
      </c>
      <c r="C177" s="246">
        <v>4110</v>
      </c>
      <c r="D177" s="18" t="s">
        <v>137</v>
      </c>
      <c r="E177" s="36">
        <f>(COUNT(H150:CH150)-COUNT(H152:CH152))</f>
        <v>0</v>
      </c>
      <c r="F177" s="37"/>
      <c r="G177" s="34"/>
      <c r="H177" s="114" t="str">
        <f>IFERROR(VLOOKUP($B177&amp;-H176,'Deposits AU NAB'!$L:$M,2,0),"")</f>
        <v/>
      </c>
      <c r="I177" s="114" t="str">
        <f>IFERROR(VLOOKUP($B177&amp;-I176,'Deposits AU NAB'!$L:$M,2,0),"")</f>
        <v/>
      </c>
      <c r="J177" s="114" t="str">
        <f>IFERROR(VLOOKUP($B177&amp;-J176,'Deposits AU NAB'!$L:$M,2,0),"")</f>
        <v/>
      </c>
      <c r="K177" s="114" t="str">
        <f>IFERROR(VLOOKUP($B177&amp;-K176,'Deposits AU NAB'!$L:$M,2,0),"")</f>
        <v/>
      </c>
      <c r="L177" s="114" t="str">
        <f>IFERROR(VLOOKUP($B177&amp;-L176,'Deposits AU NAB'!$L:$M,2,0),"")</f>
        <v/>
      </c>
      <c r="M177" s="114" t="str">
        <f>IFERROR(VLOOKUP($B177&amp;-M176,'Deposits AU NAB'!$L:$M,2,0),"")</f>
        <v/>
      </c>
      <c r="N177" s="114" t="str">
        <f>IFERROR(VLOOKUP($B177&amp;-N176,'Deposits AU NAB'!$L:$M,2,0),"")</f>
        <v/>
      </c>
      <c r="O177" s="114" t="str">
        <f>IFERROR(VLOOKUP($B177&amp;-O176,'Deposits AU NAB'!$L:$M,2,0),"")</f>
        <v/>
      </c>
      <c r="P177" s="114" t="str">
        <f>IFERROR(VLOOKUP($B177&amp;-P176,'Deposits AU NAB'!$L:$M,2,0),"")</f>
        <v/>
      </c>
      <c r="Q177" s="114" t="str">
        <f>IFERROR(VLOOKUP($B177&amp;-Q176,'Deposits AU NAB'!$L:$M,2,0),"")</f>
        <v/>
      </c>
    </row>
    <row r="178" spans="1:17" x14ac:dyDescent="0.2">
      <c r="A178" s="19" t="s">
        <v>51</v>
      </c>
      <c r="B178" s="71">
        <v>4110</v>
      </c>
      <c r="C178" s="246">
        <v>4110</v>
      </c>
      <c r="D178" s="18" t="s">
        <v>137</v>
      </c>
      <c r="E178" s="36"/>
      <c r="F178" s="37"/>
      <c r="G178" s="34">
        <f t="shared" ref="G178:G179" si="293">SUM(H178:BX178)</f>
        <v>0</v>
      </c>
      <c r="H178" s="114" t="str">
        <f t="shared" ref="H178:I178" si="294">IF(H176=0,"",H176-H175)</f>
        <v/>
      </c>
      <c r="I178" s="114" t="str">
        <f t="shared" si="294"/>
        <v/>
      </c>
      <c r="J178" s="114" t="str">
        <f t="shared" ref="J178:K178" si="295">IF(J176=0,"",J176-J175)</f>
        <v/>
      </c>
      <c r="K178" s="114" t="str">
        <f t="shared" si="295"/>
        <v/>
      </c>
      <c r="L178" s="114" t="str">
        <f t="shared" ref="L178:M178" si="296">IF(L176=0,"",L176-L175)</f>
        <v/>
      </c>
      <c r="M178" s="114" t="str">
        <f t="shared" si="296"/>
        <v/>
      </c>
      <c r="N178" s="114" t="str">
        <f t="shared" ref="N178:O178" si="297">IF(N176=0,"",N176-N175)</f>
        <v/>
      </c>
      <c r="O178" s="114" t="str">
        <f t="shared" si="297"/>
        <v/>
      </c>
      <c r="P178" s="114" t="str">
        <f t="shared" ref="P178:Q178" si="298">IF(P176=0,"",P176-P175)</f>
        <v/>
      </c>
      <c r="Q178" s="114" t="str">
        <f t="shared" si="298"/>
        <v/>
      </c>
    </row>
    <row r="179" spans="1:17" x14ac:dyDescent="0.2">
      <c r="A179" s="19" t="s">
        <v>52</v>
      </c>
      <c r="B179" s="71">
        <v>4110</v>
      </c>
      <c r="C179" s="246">
        <v>4110</v>
      </c>
      <c r="D179" s="18" t="s">
        <v>137</v>
      </c>
      <c r="E179" s="20"/>
      <c r="F179" s="20"/>
      <c r="G179" s="34">
        <f t="shared" si="293"/>
        <v>0</v>
      </c>
      <c r="H179" s="114" t="str">
        <f t="shared" ref="H179:I179" si="299">IFERROR(H177-H176,"")</f>
        <v/>
      </c>
      <c r="I179" s="114" t="str">
        <f t="shared" si="299"/>
        <v/>
      </c>
      <c r="J179" s="114" t="str">
        <f t="shared" ref="J179:K179" si="300">IFERROR(J177-J176,"")</f>
        <v/>
      </c>
      <c r="K179" s="114" t="str">
        <f t="shared" si="300"/>
        <v/>
      </c>
      <c r="L179" s="114" t="str">
        <f t="shared" ref="L179:M179" si="301">IFERROR(L177-L176,"")</f>
        <v/>
      </c>
      <c r="M179" s="114" t="str">
        <f t="shared" si="301"/>
        <v/>
      </c>
      <c r="N179" s="114" t="str">
        <f t="shared" ref="N179:O179" si="302">IFERROR(N177-N176,"")</f>
        <v/>
      </c>
      <c r="O179" s="114" t="str">
        <f t="shared" si="302"/>
        <v/>
      </c>
      <c r="P179" s="114" t="str">
        <f t="shared" ref="P179:Q179" si="303">IFERROR(P177-P176,"")</f>
        <v/>
      </c>
      <c r="Q179" s="114" t="str">
        <f t="shared" si="303"/>
        <v/>
      </c>
    </row>
    <row r="180" spans="1:17" x14ac:dyDescent="0.2">
      <c r="A180" s="38"/>
      <c r="B180" s="70"/>
      <c r="C180" s="245"/>
      <c r="D180" s="40"/>
      <c r="E180" s="41"/>
      <c r="F180" s="41"/>
      <c r="G180" s="42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</row>
    <row r="181" spans="1:17" x14ac:dyDescent="0.2">
      <c r="A181" s="19" t="s">
        <v>38</v>
      </c>
      <c r="B181" s="71">
        <v>4170</v>
      </c>
      <c r="C181" s="246">
        <v>4170</v>
      </c>
      <c r="D181" s="18" t="s">
        <v>152</v>
      </c>
      <c r="E181" s="20"/>
      <c r="F181" s="20"/>
      <c r="G181" s="34"/>
      <c r="H181" s="114">
        <f>VLOOKUP(TEXT($B181,0),[1]BankRecData!$B$1:$O$5542,7,0)-VLOOKUP(TEXT($B181,0),[1]BankRecData!$B$1:$O$5542,8,0)</f>
        <v>0</v>
      </c>
      <c r="I181" s="114">
        <f>VLOOKUP(TEXT($B181,0),[2]BankRecData!$B$1:$O$5542,7,0)-VLOOKUP(TEXT($B181,0),[2]BankRecData!$B$1:$O$5542,8,0)</f>
        <v>0</v>
      </c>
      <c r="J181" s="114">
        <f>VLOOKUP(TEXT($B181,0),[3]BankRecData!$B$1:$O$5542,7,0)-VLOOKUP(TEXT($B181,0),[3]BankRecData!$B$1:$O$5542,8,0)</f>
        <v>0</v>
      </c>
      <c r="K181" s="114">
        <f>VLOOKUP(TEXT($B181,0),[4]BankRecData!$B$1:$O$5542,7,0)-VLOOKUP(TEXT($B181,0),[4]BankRecData!$B$1:$O$5542,8,0)</f>
        <v>0</v>
      </c>
      <c r="L181" s="114">
        <f>VLOOKUP(TEXT($B181,0),[5]BankRecData!$B$1:$O$5542,7,0)-VLOOKUP(TEXT($B181,0),[5]BankRecData!$B$1:$O$5542,8,0)</f>
        <v>0</v>
      </c>
      <c r="M181" s="114">
        <f>VLOOKUP(TEXT($B181,0),[6]BankRecData!$B$1:$O$5542,7,0)-VLOOKUP(TEXT($B181,0),[6]BankRecData!$B$1:$O$5542,8,0)</f>
        <v>0</v>
      </c>
      <c r="N181" s="114">
        <f>VLOOKUP(TEXT($B181,0),[7]BankRecData!$B$1:$O$5542,7,0)-VLOOKUP(TEXT($B181,0),[7]BankRecData!$B$1:$O$5542,8,0)</f>
        <v>0</v>
      </c>
      <c r="O181" s="114">
        <f>VLOOKUP(TEXT($B181,0),[8]BankRecData!$B$1:$O$5542,7,0)-VLOOKUP(TEXT($B181,0),[8]BankRecData!$B$1:$O$5542,8,0)</f>
        <v>0</v>
      </c>
      <c r="P181" s="114">
        <f>VLOOKUP(TEXT($B181,0),[9]BankRecData!$B$1:$O$5542,7,0)-VLOOKUP(TEXT($B181,0),[9]BankRecData!$B$1:$O$5542,8,0)</f>
        <v>0</v>
      </c>
      <c r="Q181" s="114">
        <f>VLOOKUP(TEXT($B181,0),[10]BankRecData!$B$1:$O$5542,7,0)-VLOOKUP(TEXT($B181,0),[10]BankRecData!$B$1:$O$5542,8,0)</f>
        <v>0</v>
      </c>
    </row>
    <row r="182" spans="1:17" x14ac:dyDescent="0.2">
      <c r="A182" s="19" t="s">
        <v>40</v>
      </c>
      <c r="B182" s="71">
        <v>4170</v>
      </c>
      <c r="C182" s="246">
        <v>4170</v>
      </c>
      <c r="D182" s="18" t="s">
        <v>152</v>
      </c>
      <c r="E182" s="20"/>
      <c r="F182" s="20"/>
      <c r="G182" s="34"/>
      <c r="H182" s="114">
        <f>VLOOKUP(TEXT($B182,0),[1]BankRecData!$B$1:$O$5542,6,0)</f>
        <v>0</v>
      </c>
      <c r="I182" s="114">
        <f>VLOOKUP(TEXT($B182,0),[2]BankRecData!$B$1:$O$5542,6,0)</f>
        <v>0</v>
      </c>
      <c r="J182" s="114">
        <f>VLOOKUP(TEXT($B182,0),[3]BankRecData!$B$1:$O$5542,6,0)</f>
        <v>0</v>
      </c>
      <c r="K182" s="114">
        <f>VLOOKUP(TEXT($B182,0),[4]BankRecData!$B$1:$O$5542,6,0)</f>
        <v>0</v>
      </c>
      <c r="L182" s="114">
        <f>VLOOKUP(TEXT($B182,0),[5]BankRecData!$B$1:$O$5542,6,0)</f>
        <v>0</v>
      </c>
      <c r="M182" s="114">
        <f>VLOOKUP(TEXT($B182,0),[6]BankRecData!$B$1:$O$5542,6,0)</f>
        <v>0</v>
      </c>
      <c r="N182" s="114">
        <f>VLOOKUP(TEXT($B182,0),[7]BankRecData!$B$1:$O$5542,6,0)</f>
        <v>0</v>
      </c>
      <c r="O182" s="114">
        <f>VLOOKUP(TEXT($B182,0),[8]BankRecData!$B$1:$O$5542,6,0)</f>
        <v>0</v>
      </c>
      <c r="P182" s="114">
        <f>VLOOKUP(TEXT($B182,0),[9]BankRecData!$B$1:$O$5542,6,0)</f>
        <v>0</v>
      </c>
      <c r="Q182" s="114">
        <f>VLOOKUP(TEXT($B182,0),[10]BankRecData!$B$1:$O$5542,6,0)</f>
        <v>0</v>
      </c>
    </row>
    <row r="183" spans="1:17" x14ac:dyDescent="0.2">
      <c r="A183" s="19" t="s">
        <v>39</v>
      </c>
      <c r="B183" s="71">
        <v>4170</v>
      </c>
      <c r="C183" s="246">
        <v>4170</v>
      </c>
      <c r="D183" s="18" t="s">
        <v>152</v>
      </c>
      <c r="E183" s="20"/>
      <c r="F183" s="20"/>
      <c r="G183" s="34"/>
      <c r="H183" s="114">
        <f>IFERROR(VLOOKUP($B183&amp;-H$1,FX!$U:$V,2,0),0)</f>
        <v>0</v>
      </c>
      <c r="I183" s="114">
        <f>IFERROR(VLOOKUP($B183&amp;-I$1,FX!$U:$V,2,0),0)</f>
        <v>0</v>
      </c>
      <c r="J183" s="114">
        <f>IFERROR(VLOOKUP($B183&amp;-J$1,FX!$U:$V,2,0),0)</f>
        <v>0</v>
      </c>
      <c r="K183" s="114">
        <f>IFERROR(VLOOKUP($B183&amp;-K$1,FX!$U:$V,2,0),0)</f>
        <v>0</v>
      </c>
      <c r="L183" s="114">
        <f>IFERROR(VLOOKUP($B183&amp;-L$1,FX!$U:$V,2,0),0)</f>
        <v>0</v>
      </c>
      <c r="M183" s="114">
        <f>IFERROR(VLOOKUP($B183&amp;-M$1,FX!$U:$V,2,0),0)</f>
        <v>0</v>
      </c>
      <c r="N183" s="114">
        <f>IFERROR(VLOOKUP($B183&amp;-N$1,FX!$U:$V,2,0),0)</f>
        <v>0</v>
      </c>
      <c r="O183" s="114">
        <f>IFERROR(VLOOKUP($B183&amp;-O$1,FX!$U:$V,2,0),0)</f>
        <v>0</v>
      </c>
      <c r="P183" s="114">
        <f>IFERROR(VLOOKUP($B183&amp;-P$1,FX!$U:$V,2,0),0)</f>
        <v>0</v>
      </c>
      <c r="Q183" s="114">
        <f>IFERROR(VLOOKUP($B183&amp;-Q$1,FX!$U:$V,2,0),0)</f>
        <v>0</v>
      </c>
    </row>
    <row r="184" spans="1:17" x14ac:dyDescent="0.2">
      <c r="A184" s="19" t="s">
        <v>34</v>
      </c>
      <c r="B184" s="71">
        <v>4170</v>
      </c>
      <c r="C184" s="246">
        <v>4170</v>
      </c>
      <c r="D184" s="18" t="s">
        <v>152</v>
      </c>
      <c r="E184" s="20"/>
      <c r="F184" s="20"/>
      <c r="G184" s="34"/>
      <c r="H184" s="114">
        <f t="shared" ref="H184:I184" si="304">H183-H182+H181</f>
        <v>0</v>
      </c>
      <c r="I184" s="114">
        <f t="shared" si="304"/>
        <v>0</v>
      </c>
      <c r="J184" s="114">
        <f t="shared" ref="J184:K184" si="305">J183-J182+J181</f>
        <v>0</v>
      </c>
      <c r="K184" s="114">
        <f t="shared" si="305"/>
        <v>0</v>
      </c>
      <c r="L184" s="114">
        <f t="shared" ref="L184:M184" si="306">L183-L182+L181</f>
        <v>0</v>
      </c>
      <c r="M184" s="114">
        <f t="shared" si="306"/>
        <v>0</v>
      </c>
      <c r="N184" s="114">
        <f t="shared" ref="N184:O184" si="307">N183-N182+N181</f>
        <v>0</v>
      </c>
      <c r="O184" s="114">
        <f t="shared" si="307"/>
        <v>0</v>
      </c>
      <c r="P184" s="114">
        <f t="shared" ref="P184:Q184" si="308">P183-P182+P181</f>
        <v>0</v>
      </c>
      <c r="Q184" s="114">
        <f t="shared" si="308"/>
        <v>0</v>
      </c>
    </row>
    <row r="185" spans="1:17" x14ac:dyDescent="0.2">
      <c r="A185" s="19" t="s">
        <v>35</v>
      </c>
      <c r="B185" s="71">
        <v>4170</v>
      </c>
      <c r="C185" s="246">
        <v>4170</v>
      </c>
      <c r="D185" s="18" t="s">
        <v>152</v>
      </c>
      <c r="E185" s="20"/>
      <c r="F185" s="35">
        <f>COUNTIF(H185:H185,"=0")</f>
        <v>1</v>
      </c>
      <c r="G185" s="34"/>
      <c r="H185" s="114">
        <f>SUMIF('Bank Deposit List'!$K:$K,$B185&amp;-H$1,'Bank Deposit List'!$L:$L)</f>
        <v>0</v>
      </c>
      <c r="I185" s="114">
        <f>SUMIF('Bank Deposit List'!$K:$K,$B185&amp;-I$1,'Bank Deposit List'!$L:$L)</f>
        <v>0</v>
      </c>
      <c r="J185" s="114">
        <f>SUMIF('Bank Deposit List'!$K:$K,$B185&amp;-J$1,'Bank Deposit List'!$L:$L)</f>
        <v>0</v>
      </c>
      <c r="K185" s="114">
        <f>SUMIF('Bank Deposit List'!$K:$K,$B185&amp;-K$1,'Bank Deposit List'!$L:$L)</f>
        <v>0</v>
      </c>
      <c r="L185" s="114">
        <f>SUMIF('Bank Deposit List'!$K:$K,$B185&amp;-L$1,'Bank Deposit List'!$L:$L)</f>
        <v>0</v>
      </c>
      <c r="M185" s="114">
        <f>SUMIF('Bank Deposit List'!$K:$K,$B185&amp;-M$1,'Bank Deposit List'!$L:$L)</f>
        <v>0</v>
      </c>
      <c r="N185" s="114">
        <f>SUMIF('Bank Deposit List'!$K:$K,$B185&amp;-N$1,'Bank Deposit List'!$L:$L)</f>
        <v>0</v>
      </c>
      <c r="O185" s="114">
        <f>SUMIF('Bank Deposit List'!$K:$K,$B185&amp;-O$1,'Bank Deposit List'!$L:$L)</f>
        <v>0</v>
      </c>
      <c r="P185" s="114">
        <f>SUMIF('Bank Deposit List'!$K:$K,$B185&amp;-P$1,'Bank Deposit List'!$L:$L)</f>
        <v>0</v>
      </c>
      <c r="Q185" s="114">
        <f>SUMIF('Bank Deposit List'!$K:$K,$B185&amp;-Q$1,'Bank Deposit List'!$L:$L)</f>
        <v>0</v>
      </c>
    </row>
    <row r="186" spans="1:17" x14ac:dyDescent="0.2">
      <c r="A186" s="19" t="s">
        <v>37</v>
      </c>
      <c r="B186" s="71">
        <v>4170</v>
      </c>
      <c r="C186" s="246">
        <v>4170</v>
      </c>
      <c r="D186" s="18" t="s">
        <v>152</v>
      </c>
      <c r="E186" s="36">
        <f>(COUNT(H159:CH159)-COUNT(H161:CH161))</f>
        <v>0</v>
      </c>
      <c r="F186" s="37"/>
      <c r="G186" s="34"/>
      <c r="H186" s="114" t="str">
        <f>IFERROR(VLOOKUP($B186&amp;-H185,'Deposits AU NAB'!$L:$M,2,0),"")</f>
        <v/>
      </c>
      <c r="I186" s="114" t="str">
        <f>IFERROR(VLOOKUP($B186&amp;-I185,'Deposits AU NAB'!$L:$M,2,0),"")</f>
        <v/>
      </c>
      <c r="J186" s="114" t="str">
        <f>IFERROR(VLOOKUP($B186&amp;-J185,'Deposits AU NAB'!$L:$M,2,0),"")</f>
        <v/>
      </c>
      <c r="K186" s="114" t="str">
        <f>IFERROR(VLOOKUP($B186&amp;-K185,'Deposits AU NAB'!$L:$M,2,0),"")</f>
        <v/>
      </c>
      <c r="L186" s="114" t="str">
        <f>IFERROR(VLOOKUP($B186&amp;-L185,'Deposits AU NAB'!$L:$M,2,0),"")</f>
        <v/>
      </c>
      <c r="M186" s="114" t="str">
        <f>IFERROR(VLOOKUP($B186&amp;-M185,'Deposits AU NAB'!$L:$M,2,0),"")</f>
        <v/>
      </c>
      <c r="N186" s="114" t="str">
        <f>IFERROR(VLOOKUP($B186&amp;-N185,'Deposits AU NAB'!$L:$M,2,0),"")</f>
        <v/>
      </c>
      <c r="O186" s="114" t="str">
        <f>IFERROR(VLOOKUP($B186&amp;-O185,'Deposits AU NAB'!$L:$M,2,0),"")</f>
        <v/>
      </c>
      <c r="P186" s="114" t="str">
        <f>IFERROR(VLOOKUP($B186&amp;-P185,'Deposits AU NAB'!$L:$M,2,0),"")</f>
        <v/>
      </c>
      <c r="Q186" s="114" t="str">
        <f>IFERROR(VLOOKUP($B186&amp;-Q185,'Deposits AU NAB'!$L:$M,2,0),"")</f>
        <v/>
      </c>
    </row>
    <row r="187" spans="1:17" x14ac:dyDescent="0.2">
      <c r="A187" s="19" t="s">
        <v>51</v>
      </c>
      <c r="B187" s="71">
        <v>4170</v>
      </c>
      <c r="C187" s="246">
        <v>4170</v>
      </c>
      <c r="D187" s="18" t="s">
        <v>152</v>
      </c>
      <c r="E187" s="36"/>
      <c r="F187" s="37"/>
      <c r="G187" s="34">
        <f t="shared" ref="G187:G188" si="309">SUM(H187:BX187)</f>
        <v>0</v>
      </c>
      <c r="H187" s="114" t="str">
        <f t="shared" ref="H187:I187" si="310">IF(H185=0,"",H185-H184)</f>
        <v/>
      </c>
      <c r="I187" s="114" t="str">
        <f t="shared" si="310"/>
        <v/>
      </c>
      <c r="J187" s="114" t="str">
        <f t="shared" ref="J187:K187" si="311">IF(J185=0,"",J185-J184)</f>
        <v/>
      </c>
      <c r="K187" s="114" t="str">
        <f t="shared" si="311"/>
        <v/>
      </c>
      <c r="L187" s="114" t="str">
        <f t="shared" ref="L187:M187" si="312">IF(L185=0,"",L185-L184)</f>
        <v/>
      </c>
      <c r="M187" s="114" t="str">
        <f t="shared" si="312"/>
        <v/>
      </c>
      <c r="N187" s="114" t="str">
        <f t="shared" ref="N187:O187" si="313">IF(N185=0,"",N185-N184)</f>
        <v/>
      </c>
      <c r="O187" s="114" t="str">
        <f t="shared" si="313"/>
        <v/>
      </c>
      <c r="P187" s="114" t="str">
        <f t="shared" ref="P187:Q187" si="314">IF(P185=0,"",P185-P184)</f>
        <v/>
      </c>
      <c r="Q187" s="114" t="str">
        <f t="shared" si="314"/>
        <v/>
      </c>
    </row>
    <row r="188" spans="1:17" x14ac:dyDescent="0.2">
      <c r="A188" s="19" t="s">
        <v>52</v>
      </c>
      <c r="B188" s="71">
        <v>4170</v>
      </c>
      <c r="C188" s="246">
        <v>4170</v>
      </c>
      <c r="D188" s="18" t="s">
        <v>152</v>
      </c>
      <c r="E188" s="20"/>
      <c r="F188" s="20"/>
      <c r="G188" s="34">
        <f t="shared" si="309"/>
        <v>0</v>
      </c>
      <c r="H188" s="114" t="str">
        <f t="shared" ref="H188:I188" si="315">IFERROR(H186-H185,"")</f>
        <v/>
      </c>
      <c r="I188" s="114" t="str">
        <f t="shared" si="315"/>
        <v/>
      </c>
      <c r="J188" s="114" t="str">
        <f t="shared" ref="J188:K188" si="316">IFERROR(J186-J185,"")</f>
        <v/>
      </c>
      <c r="K188" s="114" t="str">
        <f t="shared" si="316"/>
        <v/>
      </c>
      <c r="L188" s="114" t="str">
        <f t="shared" ref="L188:M188" si="317">IFERROR(L186-L185,"")</f>
        <v/>
      </c>
      <c r="M188" s="114" t="str">
        <f t="shared" si="317"/>
        <v/>
      </c>
      <c r="N188" s="114" t="str">
        <f t="shared" ref="N188:O188" si="318">IFERROR(N186-N185,"")</f>
        <v/>
      </c>
      <c r="O188" s="114" t="str">
        <f t="shared" si="318"/>
        <v/>
      </c>
      <c r="P188" s="114" t="str">
        <f t="shared" ref="P188:Q188" si="319">IFERROR(P186-P185,"")</f>
        <v/>
      </c>
      <c r="Q188" s="114" t="str">
        <f t="shared" si="319"/>
        <v/>
      </c>
    </row>
    <row r="189" spans="1:17" x14ac:dyDescent="0.2">
      <c r="A189" s="38"/>
      <c r="B189" s="70"/>
      <c r="C189" s="245"/>
      <c r="D189" s="40"/>
      <c r="E189" s="41"/>
      <c r="F189" s="41"/>
      <c r="G189" s="42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</row>
    <row r="190" spans="1:17" x14ac:dyDescent="0.2">
      <c r="A190" s="19" t="s">
        <v>38</v>
      </c>
      <c r="B190" s="71">
        <v>4770</v>
      </c>
      <c r="C190" s="246">
        <v>770</v>
      </c>
      <c r="D190" s="18" t="s">
        <v>1</v>
      </c>
      <c r="E190" s="20"/>
      <c r="F190" s="20"/>
      <c r="G190" s="34"/>
      <c r="H190" s="114">
        <f>VLOOKUP(TEXT($B190,0),[1]BankRecData!$B$1:$O$5542,7,0)-VLOOKUP(TEXT($B190,0),[1]BankRecData!$B$1:$O$5542,8,0)</f>
        <v>593.85</v>
      </c>
      <c r="I190" s="114">
        <f>VLOOKUP(TEXT($B190,0),[2]BankRecData!$B$1:$O$5542,7,0)-VLOOKUP(TEXT($B190,0),[2]BankRecData!$B$1:$O$5542,8,0)</f>
        <v>410.65000000000009</v>
      </c>
      <c r="J190" s="114">
        <f>VLOOKUP(TEXT($B190,0),[3]BankRecData!$B$1:$O$5542,7,0)-VLOOKUP(TEXT($B190,0),[3]BankRecData!$B$1:$O$5542,8,0)</f>
        <v>750.3</v>
      </c>
      <c r="K190" s="114">
        <f>VLOOKUP(TEXT($B190,0),[4]BankRecData!$B$1:$O$5542,7,0)-VLOOKUP(TEXT($B190,0),[4]BankRecData!$B$1:$O$5542,8,0)</f>
        <v>544.29999999999995</v>
      </c>
      <c r="L190" s="114">
        <f>VLOOKUP(TEXT($B190,0),[5]BankRecData!$B$1:$O$5542,7,0)-VLOOKUP(TEXT($B190,0),[5]BankRecData!$B$1:$O$5542,8,0)</f>
        <v>337.95000000000005</v>
      </c>
      <c r="M190" s="114">
        <f>VLOOKUP(TEXT($B190,0),[6]BankRecData!$B$1:$O$5542,7,0)-VLOOKUP(TEXT($B190,0),[6]BankRecData!$B$1:$O$5542,8,0)</f>
        <v>776.59999999999991</v>
      </c>
      <c r="N190" s="114">
        <f>VLOOKUP(TEXT($B190,0),[7]BankRecData!$B$1:$O$5542,7,0)-VLOOKUP(TEXT($B190,0),[7]BankRecData!$B$1:$O$5542,8,0)</f>
        <v>486.6</v>
      </c>
      <c r="O190" s="114">
        <f>VLOOKUP(TEXT($B190,0),[8]BankRecData!$B$1:$O$5542,7,0)-VLOOKUP(TEXT($B190,0),[8]BankRecData!$B$1:$O$5542,8,0)</f>
        <v>742.45</v>
      </c>
      <c r="P190" s="114">
        <f>VLOOKUP(TEXT($B190,0),[9]BankRecData!$B$1:$O$5542,7,0)-VLOOKUP(TEXT($B190,0),[9]BankRecData!$B$1:$O$5542,8,0)</f>
        <v>567.5</v>
      </c>
      <c r="Q190" s="114">
        <f>VLOOKUP(TEXT($B190,0),[10]BankRecData!$B$1:$O$5542,7,0)-VLOOKUP(TEXT($B190,0),[10]BankRecData!$B$1:$O$5542,8,0)</f>
        <v>485.6</v>
      </c>
    </row>
    <row r="191" spans="1:17" x14ac:dyDescent="0.2">
      <c r="A191" s="19" t="s">
        <v>40</v>
      </c>
      <c r="B191" s="71">
        <v>4770</v>
      </c>
      <c r="C191" s="246">
        <v>770</v>
      </c>
      <c r="D191" s="18" t="s">
        <v>1</v>
      </c>
      <c r="E191" s="20"/>
      <c r="F191" s="20"/>
      <c r="G191" s="34"/>
      <c r="H191" s="114">
        <f>VLOOKUP(TEXT($B191,0),[1]BankRecData!$B$1:$O$5542,6,0)</f>
        <v>0</v>
      </c>
      <c r="I191" s="114">
        <f>VLOOKUP(TEXT($B191,0),[2]BankRecData!$B$1:$O$5542,6,0)</f>
        <v>0</v>
      </c>
      <c r="J191" s="114">
        <f>VLOOKUP(TEXT($B191,0),[3]BankRecData!$B$1:$O$5542,6,0)</f>
        <v>0</v>
      </c>
      <c r="K191" s="114">
        <f>VLOOKUP(TEXT($B191,0),[4]BankRecData!$B$1:$O$5542,6,0)</f>
        <v>0</v>
      </c>
      <c r="L191" s="114">
        <f>VLOOKUP(TEXT($B191,0),[5]BankRecData!$B$1:$O$5542,6,0)</f>
        <v>0</v>
      </c>
      <c r="M191" s="114">
        <f>VLOOKUP(TEXT($B191,0),[6]BankRecData!$B$1:$O$5542,6,0)</f>
        <v>0</v>
      </c>
      <c r="N191" s="114">
        <f>VLOOKUP(TEXT($B191,0),[7]BankRecData!$B$1:$O$5542,6,0)</f>
        <v>0</v>
      </c>
      <c r="O191" s="114">
        <f>VLOOKUP(TEXT($B191,0),[8]BankRecData!$B$1:$O$5542,6,0)</f>
        <v>0</v>
      </c>
      <c r="P191" s="114">
        <f>VLOOKUP(TEXT($B191,0),[9]BankRecData!$B$1:$O$5542,6,0)</f>
        <v>0</v>
      </c>
      <c r="Q191" s="114">
        <f>VLOOKUP(TEXT($B191,0),[10]BankRecData!$B$1:$O$5542,6,0)</f>
        <v>0</v>
      </c>
    </row>
    <row r="192" spans="1:17" x14ac:dyDescent="0.2">
      <c r="A192" s="19" t="s">
        <v>39</v>
      </c>
      <c r="B192" s="71">
        <v>4770</v>
      </c>
      <c r="C192" s="246">
        <v>770</v>
      </c>
      <c r="D192" s="18" t="s">
        <v>1</v>
      </c>
      <c r="E192" s="20"/>
      <c r="F192" s="20"/>
      <c r="G192" s="34"/>
      <c r="H192" s="114">
        <f>IFERROR(VLOOKUP($B192&amp;-H$1,FX!$U:$V,2,0),0)</f>
        <v>0</v>
      </c>
      <c r="I192" s="114">
        <f>IFERROR(VLOOKUP($B192&amp;-I$1,FX!$U:$V,2,0),0)</f>
        <v>0</v>
      </c>
      <c r="J192" s="114">
        <f>IFERROR(VLOOKUP($B192&amp;-J$1,FX!$U:$V,2,0),0)</f>
        <v>0</v>
      </c>
      <c r="K192" s="114">
        <f>IFERROR(VLOOKUP($B192&amp;-K$1,FX!$U:$V,2,0),0)</f>
        <v>0</v>
      </c>
      <c r="L192" s="114">
        <f>IFERROR(VLOOKUP($B192&amp;-L$1,FX!$U:$V,2,0),0)</f>
        <v>0</v>
      </c>
      <c r="M192" s="114">
        <f>IFERROR(VLOOKUP($B192&amp;-M$1,FX!$U:$V,2,0),0)</f>
        <v>0</v>
      </c>
      <c r="N192" s="114">
        <f>IFERROR(VLOOKUP($B192&amp;-N$1,FX!$U:$V,2,0),0)</f>
        <v>0</v>
      </c>
      <c r="O192" s="114">
        <f>IFERROR(VLOOKUP($B192&amp;-O$1,FX!$U:$V,2,0),0)</f>
        <v>0</v>
      </c>
      <c r="P192" s="114">
        <f>IFERROR(VLOOKUP($B192&amp;-P$1,FX!$U:$V,2,0),0)</f>
        <v>0</v>
      </c>
      <c r="Q192" s="114">
        <f>IFERROR(VLOOKUP($B192&amp;-Q$1,FX!$U:$V,2,0),0)</f>
        <v>0</v>
      </c>
    </row>
    <row r="193" spans="1:17" x14ac:dyDescent="0.2">
      <c r="A193" s="19" t="s">
        <v>34</v>
      </c>
      <c r="B193" s="71">
        <v>4770</v>
      </c>
      <c r="C193" s="246">
        <v>770</v>
      </c>
      <c r="D193" s="18" t="s">
        <v>1</v>
      </c>
      <c r="E193" s="20"/>
      <c r="F193" s="20"/>
      <c r="G193" s="34"/>
      <c r="H193" s="114">
        <f t="shared" ref="H193:I193" si="320">H192-H191+H190</f>
        <v>593.85</v>
      </c>
      <c r="I193" s="114">
        <f t="shared" si="320"/>
        <v>410.65000000000009</v>
      </c>
      <c r="J193" s="114">
        <f t="shared" ref="J193:K193" si="321">J192-J191+J190</f>
        <v>750.3</v>
      </c>
      <c r="K193" s="114">
        <f t="shared" si="321"/>
        <v>544.29999999999995</v>
      </c>
      <c r="L193" s="114">
        <f t="shared" ref="L193:M193" si="322">L192-L191+L190</f>
        <v>337.95000000000005</v>
      </c>
      <c r="M193" s="114">
        <f t="shared" si="322"/>
        <v>776.59999999999991</v>
      </c>
      <c r="N193" s="114">
        <f t="shared" ref="N193:O193" si="323">N192-N191+N190</f>
        <v>486.6</v>
      </c>
      <c r="O193" s="114">
        <f t="shared" si="323"/>
        <v>742.45</v>
      </c>
      <c r="P193" s="114">
        <f t="shared" ref="P193:Q193" si="324">P192-P191+P190</f>
        <v>567.5</v>
      </c>
      <c r="Q193" s="114">
        <f t="shared" si="324"/>
        <v>485.6</v>
      </c>
    </row>
    <row r="194" spans="1:17" x14ac:dyDescent="0.2">
      <c r="A194" s="19" t="s">
        <v>35</v>
      </c>
      <c r="B194" s="71">
        <v>4770</v>
      </c>
      <c r="C194" s="246">
        <v>770</v>
      </c>
      <c r="D194" s="18" t="s">
        <v>1</v>
      </c>
      <c r="E194" s="20"/>
      <c r="F194" s="35">
        <f>COUNTIF(H194:H194,"=0")</f>
        <v>1</v>
      </c>
      <c r="G194" s="34"/>
      <c r="H194" s="114">
        <f>SUMIF('Bank Deposit List'!$K:$K,$B194&amp;-H$1,'Bank Deposit List'!$L:$L)</f>
        <v>0</v>
      </c>
      <c r="I194" s="114">
        <f>SUMIF('Bank Deposit List'!$K:$K,$B194&amp;-I$1,'Bank Deposit List'!$L:$L)</f>
        <v>0</v>
      </c>
      <c r="J194" s="114">
        <f>SUMIF('Bank Deposit List'!$K:$K,$B194&amp;-J$1,'Bank Deposit List'!$L:$L)</f>
        <v>0</v>
      </c>
      <c r="K194" s="114">
        <f>SUMIF('Bank Deposit List'!$K:$K,$B194&amp;-K$1,'Bank Deposit List'!$L:$L)</f>
        <v>0</v>
      </c>
      <c r="L194" s="114">
        <f>SUMIF('Bank Deposit List'!$K:$K,$B194&amp;-L$1,'Bank Deposit List'!$L:$L)</f>
        <v>0</v>
      </c>
      <c r="M194" s="114">
        <f>SUMIF('Bank Deposit List'!$K:$K,$B194&amp;-M$1,'Bank Deposit List'!$L:$L)</f>
        <v>0</v>
      </c>
      <c r="N194" s="114">
        <f>SUMIF('Bank Deposit List'!$K:$K,$B194&amp;-N$1,'Bank Deposit List'!$L:$L)</f>
        <v>0</v>
      </c>
      <c r="O194" s="114">
        <f>SUMIF('Bank Deposit List'!$K:$K,$B194&amp;-O$1,'Bank Deposit List'!$L:$L)</f>
        <v>0</v>
      </c>
      <c r="P194" s="114">
        <f>SUMIF('Bank Deposit List'!$K:$K,$B194&amp;-P$1,'Bank Deposit List'!$L:$L)</f>
        <v>0</v>
      </c>
      <c r="Q194" s="114">
        <f>SUMIF('Bank Deposit List'!$K:$K,$B194&amp;-Q$1,'Bank Deposit List'!$L:$L)</f>
        <v>0</v>
      </c>
    </row>
    <row r="195" spans="1:17" x14ac:dyDescent="0.2">
      <c r="A195" s="19" t="s">
        <v>37</v>
      </c>
      <c r="B195" s="71">
        <v>4770</v>
      </c>
      <c r="C195" s="246">
        <v>770</v>
      </c>
      <c r="D195" s="18" t="s">
        <v>1</v>
      </c>
      <c r="E195" s="36">
        <f>(COUNT(H159:CH159)-COUNT(H161:CH161))</f>
        <v>0</v>
      </c>
      <c r="F195" s="37"/>
      <c r="G195" s="34"/>
      <c r="H195" s="114" t="str">
        <f>IFERROR(VLOOKUP($B195&amp;-H194,'Deposits AU NAB'!$L:$M,2,0),"")</f>
        <v/>
      </c>
      <c r="I195" s="114" t="str">
        <f>IFERROR(VLOOKUP($B195&amp;-I194,'Deposits AU NAB'!$L:$M,2,0),"")</f>
        <v/>
      </c>
      <c r="J195" s="114" t="str">
        <f>IFERROR(VLOOKUP($B195&amp;-J194,'Deposits AU NAB'!$L:$M,2,0),"")</f>
        <v/>
      </c>
      <c r="K195" s="114" t="str">
        <f>IFERROR(VLOOKUP($B195&amp;-K194,'Deposits AU NAB'!$L:$M,2,0),"")</f>
        <v/>
      </c>
      <c r="L195" s="114" t="str">
        <f>IFERROR(VLOOKUP($B195&amp;-L194,'Deposits AU NAB'!$L:$M,2,0),"")</f>
        <v/>
      </c>
      <c r="M195" s="114" t="str">
        <f>IFERROR(VLOOKUP($B195&amp;-M194,'Deposits AU NAB'!$L:$M,2,0),"")</f>
        <v/>
      </c>
      <c r="N195" s="114" t="str">
        <f>IFERROR(VLOOKUP($B195&amp;-N194,'Deposits AU NAB'!$L:$M,2,0),"")</f>
        <v/>
      </c>
      <c r="O195" s="114" t="str">
        <f>IFERROR(VLOOKUP($B195&amp;-O194,'Deposits AU NAB'!$L:$M,2,0),"")</f>
        <v/>
      </c>
      <c r="P195" s="114" t="str">
        <f>IFERROR(VLOOKUP($B195&amp;-P194,'Deposits AU NAB'!$L:$M,2,0),"")</f>
        <v/>
      </c>
      <c r="Q195" s="114" t="str">
        <f>IFERROR(VLOOKUP($B195&amp;-Q194,'Deposits AU NAB'!$L:$M,2,0),"")</f>
        <v/>
      </c>
    </row>
    <row r="196" spans="1:17" x14ac:dyDescent="0.2">
      <c r="A196" s="19" t="s">
        <v>51</v>
      </c>
      <c r="B196" s="71">
        <v>4770</v>
      </c>
      <c r="C196" s="246">
        <v>770</v>
      </c>
      <c r="D196" s="18" t="s">
        <v>1</v>
      </c>
      <c r="E196" s="36"/>
      <c r="F196" s="37"/>
      <c r="G196" s="34">
        <f t="shared" ref="G196:G197" si="325">SUM(H196:BX196)</f>
        <v>0</v>
      </c>
      <c r="H196" s="114" t="str">
        <f t="shared" ref="H196:I196" si="326">IF(H194=0,"",H194-H193)</f>
        <v/>
      </c>
      <c r="I196" s="114" t="str">
        <f t="shared" si="326"/>
        <v/>
      </c>
      <c r="J196" s="114" t="str">
        <f t="shared" ref="J196:K196" si="327">IF(J194=0,"",J194-J193)</f>
        <v/>
      </c>
      <c r="K196" s="114" t="str">
        <f t="shared" si="327"/>
        <v/>
      </c>
      <c r="L196" s="114" t="str">
        <f t="shared" ref="L196:M196" si="328">IF(L194=0,"",L194-L193)</f>
        <v/>
      </c>
      <c r="M196" s="114" t="str">
        <f t="shared" si="328"/>
        <v/>
      </c>
      <c r="N196" s="114" t="str">
        <f t="shared" ref="N196:O196" si="329">IF(N194=0,"",N194-N193)</f>
        <v/>
      </c>
      <c r="O196" s="114" t="str">
        <f t="shared" si="329"/>
        <v/>
      </c>
      <c r="P196" s="114" t="str">
        <f t="shared" ref="P196:Q196" si="330">IF(P194=0,"",P194-P193)</f>
        <v/>
      </c>
      <c r="Q196" s="114" t="str">
        <f t="shared" si="330"/>
        <v/>
      </c>
    </row>
    <row r="197" spans="1:17" x14ac:dyDescent="0.2">
      <c r="A197" s="19" t="s">
        <v>52</v>
      </c>
      <c r="B197" s="71">
        <v>4770</v>
      </c>
      <c r="C197" s="246">
        <v>770</v>
      </c>
      <c r="D197" s="18" t="s">
        <v>1</v>
      </c>
      <c r="E197" s="20"/>
      <c r="F197" s="20"/>
      <c r="G197" s="34">
        <f t="shared" si="325"/>
        <v>0</v>
      </c>
      <c r="H197" s="114" t="str">
        <f t="shared" ref="H197:I197" si="331">IFERROR(H195-H194,"")</f>
        <v/>
      </c>
      <c r="I197" s="114" t="str">
        <f t="shared" si="331"/>
        <v/>
      </c>
      <c r="J197" s="114" t="str">
        <f t="shared" ref="J197:K197" si="332">IFERROR(J195-J194,"")</f>
        <v/>
      </c>
      <c r="K197" s="114" t="str">
        <f t="shared" si="332"/>
        <v/>
      </c>
      <c r="L197" s="114" t="str">
        <f t="shared" ref="L197:M197" si="333">IFERROR(L195-L194,"")</f>
        <v/>
      </c>
      <c r="M197" s="114" t="str">
        <f t="shared" si="333"/>
        <v/>
      </c>
      <c r="N197" s="114" t="str">
        <f t="shared" ref="N197:O197" si="334">IFERROR(N195-N194,"")</f>
        <v/>
      </c>
      <c r="O197" s="114" t="str">
        <f t="shared" si="334"/>
        <v/>
      </c>
      <c r="P197" s="114" t="str">
        <f t="shared" ref="P197:Q197" si="335">IFERROR(P195-P194,"")</f>
        <v/>
      </c>
      <c r="Q197" s="114" t="str">
        <f t="shared" si="335"/>
        <v/>
      </c>
    </row>
    <row r="198" spans="1:17" x14ac:dyDescent="0.2">
      <c r="A198" s="38" t="s">
        <v>38</v>
      </c>
      <c r="B198" s="70"/>
      <c r="C198" s="245"/>
      <c r="D198" s="40"/>
      <c r="E198" s="41"/>
      <c r="F198" s="41"/>
      <c r="G198" s="42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</row>
    <row r="199" spans="1:17" x14ac:dyDescent="0.2">
      <c r="A199" s="38"/>
      <c r="B199" s="70"/>
      <c r="C199" s="245"/>
      <c r="D199" s="40"/>
      <c r="E199" s="41"/>
      <c r="F199" s="41"/>
      <c r="G199" s="42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</row>
    <row r="200" spans="1:17" x14ac:dyDescent="0.2">
      <c r="A200" s="19" t="s">
        <v>38</v>
      </c>
      <c r="B200" s="71">
        <v>6087</v>
      </c>
      <c r="C200" s="246">
        <v>6087</v>
      </c>
      <c r="D200" s="18" t="s">
        <v>151</v>
      </c>
      <c r="E200" s="20"/>
      <c r="F200" s="20"/>
      <c r="G200" s="34"/>
      <c r="H200" s="114">
        <f>VLOOKUP(TEXT($B200,0),[1]BankRecData!$B$1:$O$5542,7,0)-VLOOKUP(TEXT($B200,0),[1]BankRecData!$B$1:$O$5542,8,0)</f>
        <v>0</v>
      </c>
      <c r="I200" s="114">
        <f>VLOOKUP(TEXT($B200,0),[2]BankRecData!$B$1:$O$5542,7,0)-VLOOKUP(TEXT($B200,0),[2]BankRecData!$B$1:$O$5542,8,0)</f>
        <v>83.699999999999989</v>
      </c>
      <c r="J200" s="114">
        <f>VLOOKUP(TEXT($B200,0),[3]BankRecData!$B$1:$O$5542,7,0)-VLOOKUP(TEXT($B200,0),[3]BankRecData!$B$1:$O$5542,8,0)</f>
        <v>481.95000000000005</v>
      </c>
      <c r="K200" s="114">
        <f>VLOOKUP(TEXT($B200,0),[4]BankRecData!$B$1:$O$5542,7,0)-VLOOKUP(TEXT($B200,0),[4]BankRecData!$B$1:$O$5542,8,0)</f>
        <v>413.85</v>
      </c>
      <c r="L200" s="114">
        <f>VLOOKUP(TEXT($B200,0),[5]BankRecData!$B$1:$O$5542,7,0)-VLOOKUP(TEXT($B200,0),[5]BankRecData!$B$1:$O$5542,8,0)</f>
        <v>48.949999999999989</v>
      </c>
      <c r="M200" s="114">
        <f>VLOOKUP(TEXT($B200,0),[6]BankRecData!$B$1:$O$5542,7,0)-VLOOKUP(TEXT($B200,0),[6]BankRecData!$B$1:$O$5542,8,0)</f>
        <v>0</v>
      </c>
      <c r="N200" s="114">
        <f>VLOOKUP(TEXT($B200,0),[7]BankRecData!$B$1:$O$5542,7,0)-VLOOKUP(TEXT($B200,0),[7]BankRecData!$B$1:$O$5542,8,0)</f>
        <v>117.85000000000002</v>
      </c>
      <c r="O200" s="114">
        <f>VLOOKUP(TEXT($B200,0),[8]BankRecData!$B$1:$O$5542,7,0)-VLOOKUP(TEXT($B200,0),[8]BankRecData!$B$1:$O$5542,8,0)</f>
        <v>0</v>
      </c>
      <c r="P200" s="114">
        <f>VLOOKUP(TEXT($B200,0),[9]BankRecData!$B$1:$O$5542,7,0)-VLOOKUP(TEXT($B200,0),[9]BankRecData!$B$1:$O$5542,8,0)</f>
        <v>-400</v>
      </c>
      <c r="Q200" s="114">
        <f>VLOOKUP(TEXT($B200,0),[10]BankRecData!$B$1:$O$5542,7,0)-VLOOKUP(TEXT($B200,0),[10]BankRecData!$B$1:$O$5542,8,0)</f>
        <v>108</v>
      </c>
    </row>
    <row r="201" spans="1:17" x14ac:dyDescent="0.2">
      <c r="A201" s="19" t="s">
        <v>40</v>
      </c>
      <c r="B201" s="71">
        <v>6087</v>
      </c>
      <c r="C201" s="246">
        <v>6087</v>
      </c>
      <c r="D201" s="18" t="s">
        <v>151</v>
      </c>
      <c r="E201" s="20"/>
      <c r="F201" s="20"/>
      <c r="G201" s="34"/>
      <c r="H201" s="114">
        <f>VLOOKUP(TEXT($B201,0),[1]BankRecData!$B$1:$O$5542,6,0)</f>
        <v>0</v>
      </c>
      <c r="I201" s="114">
        <f>VLOOKUP(TEXT($B201,0),[2]BankRecData!$B$1:$O$5542,6,0)</f>
        <v>0</v>
      </c>
      <c r="J201" s="114">
        <f>VLOOKUP(TEXT($B201,0),[3]BankRecData!$B$1:$O$5542,6,0)</f>
        <v>0</v>
      </c>
      <c r="K201" s="114">
        <f>VLOOKUP(TEXT($B201,0),[4]BankRecData!$B$1:$O$5542,6,0)</f>
        <v>0</v>
      </c>
      <c r="L201" s="114">
        <f>VLOOKUP(TEXT($B201,0),[5]BankRecData!$B$1:$O$5542,6,0)</f>
        <v>0</v>
      </c>
      <c r="M201" s="114">
        <f>VLOOKUP(TEXT($B201,0),[6]BankRecData!$B$1:$O$5542,6,0)</f>
        <v>0</v>
      </c>
      <c r="N201" s="114">
        <f>VLOOKUP(TEXT($B201,0),[7]BankRecData!$B$1:$O$5542,6,0)</f>
        <v>0</v>
      </c>
      <c r="O201" s="114">
        <f>VLOOKUP(TEXT($B201,0),[8]BankRecData!$B$1:$O$5542,6,0)</f>
        <v>0</v>
      </c>
      <c r="P201" s="114">
        <f>VLOOKUP(TEXT($B201,0),[9]BankRecData!$B$1:$O$5542,6,0)</f>
        <v>0</v>
      </c>
      <c r="Q201" s="114">
        <f>VLOOKUP(TEXT($B201,0),[10]BankRecData!$B$1:$O$5542,6,0)</f>
        <v>0</v>
      </c>
    </row>
    <row r="202" spans="1:17" x14ac:dyDescent="0.2">
      <c r="A202" s="19" t="s">
        <v>39</v>
      </c>
      <c r="B202" s="71">
        <v>6087</v>
      </c>
      <c r="C202" s="246">
        <v>6087</v>
      </c>
      <c r="D202" s="18" t="s">
        <v>151</v>
      </c>
      <c r="E202" s="20"/>
      <c r="F202" s="20"/>
      <c r="G202" s="34"/>
      <c r="H202" s="114">
        <f>IFERROR(VLOOKUP($B202&amp;-H$1,FX!$U:$V,2,0),0)</f>
        <v>0</v>
      </c>
      <c r="I202" s="114">
        <f>IFERROR(VLOOKUP($B202&amp;-I$1,FX!$U:$V,2,0),0)</f>
        <v>0</v>
      </c>
      <c r="J202" s="114">
        <f>IFERROR(VLOOKUP($B202&amp;-J$1,FX!$U:$V,2,0),0)</f>
        <v>0</v>
      </c>
      <c r="K202" s="114">
        <f>IFERROR(VLOOKUP($B202&amp;-K$1,FX!$U:$V,2,0),0)</f>
        <v>0</v>
      </c>
      <c r="L202" s="114">
        <f>IFERROR(VLOOKUP($B202&amp;-L$1,FX!$U:$V,2,0),0)</f>
        <v>0</v>
      </c>
      <c r="M202" s="114">
        <f>IFERROR(VLOOKUP($B202&amp;-M$1,FX!$U:$V,2,0),0)</f>
        <v>0</v>
      </c>
      <c r="N202" s="114">
        <f>IFERROR(VLOOKUP($B202&amp;-N$1,FX!$U:$V,2,0),0)</f>
        <v>0</v>
      </c>
      <c r="O202" s="114">
        <f>IFERROR(VLOOKUP($B202&amp;-O$1,FX!$U:$V,2,0),0)</f>
        <v>0</v>
      </c>
      <c r="P202" s="114">
        <f>IFERROR(VLOOKUP($B202&amp;-P$1,FX!$U:$V,2,0),0)</f>
        <v>0</v>
      </c>
      <c r="Q202" s="114">
        <f>IFERROR(VLOOKUP($B202&amp;-Q$1,FX!$U:$V,2,0),0)</f>
        <v>0</v>
      </c>
    </row>
    <row r="203" spans="1:17" x14ac:dyDescent="0.2">
      <c r="A203" s="19" t="s">
        <v>34</v>
      </c>
      <c r="B203" s="71">
        <v>6087</v>
      </c>
      <c r="C203" s="246">
        <v>6087</v>
      </c>
      <c r="D203" s="18" t="s">
        <v>151</v>
      </c>
      <c r="E203" s="20"/>
      <c r="F203" s="20"/>
      <c r="G203" s="34"/>
      <c r="H203" s="114">
        <f t="shared" ref="H203:I203" si="336">H202-H201+H200</f>
        <v>0</v>
      </c>
      <c r="I203" s="114">
        <f t="shared" si="336"/>
        <v>83.699999999999989</v>
      </c>
      <c r="J203" s="114">
        <f t="shared" ref="J203:K203" si="337">J202-J201+J200</f>
        <v>481.95000000000005</v>
      </c>
      <c r="K203" s="114">
        <f t="shared" si="337"/>
        <v>413.85</v>
      </c>
      <c r="L203" s="114">
        <f t="shared" ref="L203:M203" si="338">L202-L201+L200</f>
        <v>48.949999999999989</v>
      </c>
      <c r="M203" s="114">
        <f t="shared" si="338"/>
        <v>0</v>
      </c>
      <c r="N203" s="114">
        <f t="shared" ref="N203:O203" si="339">N202-N201+N200</f>
        <v>117.85000000000002</v>
      </c>
      <c r="O203" s="114">
        <f t="shared" si="339"/>
        <v>0</v>
      </c>
      <c r="P203" s="114">
        <f t="shared" ref="P203:Q203" si="340">P202-P201+P200</f>
        <v>-400</v>
      </c>
      <c r="Q203" s="114">
        <f t="shared" si="340"/>
        <v>108</v>
      </c>
    </row>
    <row r="204" spans="1:17" x14ac:dyDescent="0.2">
      <c r="A204" s="19" t="s">
        <v>35</v>
      </c>
      <c r="B204" s="71">
        <v>6087</v>
      </c>
      <c r="C204" s="246">
        <v>6087</v>
      </c>
      <c r="D204" s="18" t="s">
        <v>151</v>
      </c>
      <c r="E204" s="20"/>
      <c r="F204" s="35">
        <f>COUNTIF(H204:H204,"=0")</f>
        <v>1</v>
      </c>
      <c r="G204" s="34"/>
      <c r="H204" s="114">
        <f>SUMIF('Bank Deposit List'!$K:$K,$B204&amp;-H$1,'Bank Deposit List'!$L:$L)</f>
        <v>0</v>
      </c>
      <c r="I204" s="114">
        <f>SUMIF('Bank Deposit List'!$K:$K,$B204&amp;-I$1,'Bank Deposit List'!$L:$L)</f>
        <v>0</v>
      </c>
      <c r="J204" s="114">
        <f>SUMIF('Bank Deposit List'!$K:$K,$B204&amp;-J$1,'Bank Deposit List'!$L:$L)</f>
        <v>0</v>
      </c>
      <c r="K204" s="114">
        <f>SUMIF('Bank Deposit List'!$K:$K,$B204&amp;-K$1,'Bank Deposit List'!$L:$L)</f>
        <v>0</v>
      </c>
      <c r="L204" s="114">
        <f>SUMIF('Bank Deposit List'!$K:$K,$B204&amp;-L$1,'Bank Deposit List'!$L:$L)</f>
        <v>0</v>
      </c>
      <c r="M204" s="114">
        <f>SUMIF('Bank Deposit List'!$K:$K,$B204&amp;-M$1,'Bank Deposit List'!$L:$L)</f>
        <v>0</v>
      </c>
      <c r="N204" s="114">
        <f>SUMIF('Bank Deposit List'!$K:$K,$B204&amp;-N$1,'Bank Deposit List'!$L:$L)</f>
        <v>0</v>
      </c>
      <c r="O204" s="114">
        <f>SUMIF('Bank Deposit List'!$K:$K,$B204&amp;-O$1,'Bank Deposit List'!$L:$L)</f>
        <v>0</v>
      </c>
      <c r="P204" s="114">
        <f>SUMIF('Bank Deposit List'!$K:$K,$B204&amp;-P$1,'Bank Deposit List'!$L:$L)</f>
        <v>0</v>
      </c>
      <c r="Q204" s="114">
        <f>SUMIF('Bank Deposit List'!$K:$K,$B204&amp;-Q$1,'Bank Deposit List'!$L:$L)</f>
        <v>0</v>
      </c>
    </row>
    <row r="205" spans="1:17" x14ac:dyDescent="0.2">
      <c r="A205" s="19" t="s">
        <v>37</v>
      </c>
      <c r="B205" s="71">
        <v>6087</v>
      </c>
      <c r="C205" s="246">
        <v>6087</v>
      </c>
      <c r="D205" s="18" t="s">
        <v>151</v>
      </c>
      <c r="E205" s="36">
        <f>(COUNT(H158:CH158)-COUNT(H160:CH160))</f>
        <v>10</v>
      </c>
      <c r="F205" s="37"/>
      <c r="G205" s="34"/>
      <c r="H205" s="114" t="str">
        <f>IFERROR(VLOOKUP($B205&amp;-H204,'Deposits AU NAB'!$L:$M,2,0),"")</f>
        <v/>
      </c>
      <c r="I205" s="114" t="str">
        <f>IFERROR(VLOOKUP($B205&amp;-I204,'Deposits AU NAB'!$L:$M,2,0),"")</f>
        <v/>
      </c>
      <c r="J205" s="114" t="str">
        <f>IFERROR(VLOOKUP($B205&amp;-J204,'Deposits AU NAB'!$L:$M,2,0),"")</f>
        <v/>
      </c>
      <c r="K205" s="114" t="str">
        <f>IFERROR(VLOOKUP($B205&amp;-K204,'Deposits AU NAB'!$L:$M,2,0),"")</f>
        <v/>
      </c>
      <c r="L205" s="114" t="str">
        <f>IFERROR(VLOOKUP($B205&amp;-L204,'Deposits AU NAB'!$L:$M,2,0),"")</f>
        <v/>
      </c>
      <c r="M205" s="114" t="str">
        <f>IFERROR(VLOOKUP($B205&amp;-M204,'Deposits AU NAB'!$L:$M,2,0),"")</f>
        <v/>
      </c>
      <c r="N205" s="114" t="str">
        <f>IFERROR(VLOOKUP($B205&amp;-N204,'Deposits AU NAB'!$L:$M,2,0),"")</f>
        <v/>
      </c>
      <c r="O205" s="114" t="str">
        <f>IFERROR(VLOOKUP($B205&amp;-O204,'Deposits AU NAB'!$L:$M,2,0),"")</f>
        <v/>
      </c>
      <c r="P205" s="114" t="str">
        <f>IFERROR(VLOOKUP($B205&amp;-P204,'Deposits AU NAB'!$L:$M,2,0),"")</f>
        <v/>
      </c>
      <c r="Q205" s="114" t="str">
        <f>IFERROR(VLOOKUP($B205&amp;-Q204,'Deposits AU NAB'!$L:$M,2,0),"")</f>
        <v/>
      </c>
    </row>
    <row r="206" spans="1:17" x14ac:dyDescent="0.2">
      <c r="A206" s="19" t="s">
        <v>51</v>
      </c>
      <c r="B206" s="71">
        <v>6087</v>
      </c>
      <c r="C206" s="246">
        <v>6087</v>
      </c>
      <c r="D206" s="18" t="s">
        <v>151</v>
      </c>
      <c r="E206" s="36"/>
      <c r="F206" s="37"/>
      <c r="G206" s="34">
        <f t="shared" ref="G206:G207" si="341">SUM(H206:BX206)</f>
        <v>0</v>
      </c>
      <c r="H206" s="114" t="str">
        <f t="shared" ref="H206:I206" si="342">IF(H204=0,"",H204-H203)</f>
        <v/>
      </c>
      <c r="I206" s="114" t="str">
        <f t="shared" si="342"/>
        <v/>
      </c>
      <c r="J206" s="114" t="str">
        <f t="shared" ref="J206:K206" si="343">IF(J204=0,"",J204-J203)</f>
        <v/>
      </c>
      <c r="K206" s="114" t="str">
        <f t="shared" si="343"/>
        <v/>
      </c>
      <c r="L206" s="114" t="str">
        <f t="shared" ref="L206:M206" si="344">IF(L204=0,"",L204-L203)</f>
        <v/>
      </c>
      <c r="M206" s="114" t="str">
        <f t="shared" si="344"/>
        <v/>
      </c>
      <c r="N206" s="114" t="str">
        <f t="shared" ref="N206:O206" si="345">IF(N204=0,"",N204-N203)</f>
        <v/>
      </c>
      <c r="O206" s="114" t="str">
        <f t="shared" si="345"/>
        <v/>
      </c>
      <c r="P206" s="114" t="str">
        <f t="shared" ref="P206:Q206" si="346">IF(P204=0,"",P204-P203)</f>
        <v/>
      </c>
      <c r="Q206" s="114" t="str">
        <f t="shared" si="346"/>
        <v/>
      </c>
    </row>
    <row r="207" spans="1:17" x14ac:dyDescent="0.2">
      <c r="A207" s="19" t="s">
        <v>52</v>
      </c>
      <c r="B207" s="71">
        <v>6087</v>
      </c>
      <c r="C207" s="246">
        <v>6087</v>
      </c>
      <c r="D207" s="18" t="s">
        <v>151</v>
      </c>
      <c r="E207" s="20"/>
      <c r="F207" s="20"/>
      <c r="G207" s="34">
        <f t="shared" si="341"/>
        <v>0</v>
      </c>
      <c r="H207" s="114" t="str">
        <f t="shared" ref="H207:I207" si="347">IFERROR(H205-H204,"")</f>
        <v/>
      </c>
      <c r="I207" s="114" t="str">
        <f t="shared" si="347"/>
        <v/>
      </c>
      <c r="J207" s="114" t="str">
        <f t="shared" ref="J207:K207" si="348">IFERROR(J205-J204,"")</f>
        <v/>
      </c>
      <c r="K207" s="114" t="str">
        <f t="shared" si="348"/>
        <v/>
      </c>
      <c r="L207" s="114" t="str">
        <f t="shared" ref="L207:M207" si="349">IFERROR(L205-L204,"")</f>
        <v/>
      </c>
      <c r="M207" s="114" t="str">
        <f t="shared" si="349"/>
        <v/>
      </c>
      <c r="N207" s="114" t="str">
        <f t="shared" ref="N207:O207" si="350">IFERROR(N205-N204,"")</f>
        <v/>
      </c>
      <c r="O207" s="114" t="str">
        <f t="shared" si="350"/>
        <v/>
      </c>
      <c r="P207" s="114" t="str">
        <f t="shared" ref="P207:Q207" si="351">IFERROR(P205-P204,"")</f>
        <v/>
      </c>
      <c r="Q207" s="114" t="str">
        <f t="shared" si="351"/>
        <v/>
      </c>
    </row>
    <row r="208" spans="1:17" x14ac:dyDescent="0.2">
      <c r="A208" s="38"/>
      <c r="B208" s="70"/>
      <c r="C208" s="245"/>
      <c r="D208" s="40"/>
      <c r="E208" s="41"/>
      <c r="F208" s="41"/>
      <c r="G208" s="42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</row>
    <row r="209" spans="1:17" x14ac:dyDescent="0.2">
      <c r="A209" s="19" t="s">
        <v>38</v>
      </c>
      <c r="B209" s="71">
        <v>6176</v>
      </c>
      <c r="C209" s="246">
        <v>6176</v>
      </c>
      <c r="D209" s="18" t="s">
        <v>24</v>
      </c>
      <c r="E209" s="20"/>
      <c r="F209" s="20"/>
      <c r="G209" s="34"/>
      <c r="H209" s="114">
        <f>VLOOKUP(TEXT($B209,0),[1]BankRecData!$B$1:$O$5542,7,0)-VLOOKUP(TEXT($B209,0),[1]BankRecData!$B$1:$O$5542,8,0)</f>
        <v>373.9</v>
      </c>
      <c r="I209" s="114">
        <f>VLOOKUP(TEXT($B209,0),[2]BankRecData!$B$1:$O$5542,7,0)-VLOOKUP(TEXT($B209,0),[2]BankRecData!$B$1:$O$5542,8,0)</f>
        <v>841.09999999999991</v>
      </c>
      <c r="J209" s="114">
        <f>VLOOKUP(TEXT($B209,0),[3]BankRecData!$B$1:$O$5542,7,0)-VLOOKUP(TEXT($B209,0),[3]BankRecData!$B$1:$O$5542,8,0)</f>
        <v>542.20000000000005</v>
      </c>
      <c r="K209" s="114">
        <v>336.85</v>
      </c>
      <c r="L209" s="114">
        <f>VLOOKUP(TEXT($B209,0),[5]BankRecData!$B$1:$O$5542,7,0)-VLOOKUP(TEXT($B209,0),[5]BankRecData!$B$1:$O$5542,8,0)</f>
        <v>36.399999999999977</v>
      </c>
      <c r="M209" s="114">
        <f>VLOOKUP(TEXT($B209,0),[6]BankRecData!$B$1:$O$5542,7,0)-VLOOKUP(TEXT($B209,0),[6]BankRecData!$B$1:$O$5542,8,0)</f>
        <v>564.65</v>
      </c>
      <c r="N209" s="114">
        <f>VLOOKUP(TEXT($B209,0),[7]BankRecData!$B$1:$O$5542,7,0)-VLOOKUP(TEXT($B209,0),[7]BankRecData!$B$1:$O$5542,8,0)</f>
        <v>391.54999999999995</v>
      </c>
      <c r="O209" s="114">
        <f>VLOOKUP(TEXT($B209,0),[8]BankRecData!$B$1:$O$5542,7,0)-VLOOKUP(TEXT($B209,0),[8]BankRecData!$B$1:$O$5542,8,0)</f>
        <v>389.9</v>
      </c>
      <c r="P209" s="114">
        <f>VLOOKUP(TEXT($B209,0),[9]BankRecData!$B$1:$O$5542,7,0)-VLOOKUP(TEXT($B209,0),[9]BankRecData!$B$1:$O$5542,8,0)</f>
        <v>268.85000000000002</v>
      </c>
      <c r="Q209" s="114">
        <f>VLOOKUP(TEXT($B209,0),[10]BankRecData!$B$1:$O$5542,7,0)-VLOOKUP(TEXT($B209,0),[10]BankRecData!$B$1:$O$5542,8,0)</f>
        <v>463.85</v>
      </c>
    </row>
    <row r="210" spans="1:17" x14ac:dyDescent="0.2">
      <c r="A210" s="19" t="s">
        <v>40</v>
      </c>
      <c r="B210" s="71">
        <v>6176</v>
      </c>
      <c r="C210" s="246">
        <v>6176</v>
      </c>
      <c r="D210" s="18" t="s">
        <v>24</v>
      </c>
      <c r="E210" s="20"/>
      <c r="F210" s="20"/>
      <c r="G210" s="34"/>
      <c r="H210" s="114">
        <f>VLOOKUP(TEXT($B210,0),[1]BankRecData!$B$1:$O$5542,6,0)</f>
        <v>0</v>
      </c>
      <c r="I210" s="114">
        <f>VLOOKUP(TEXT($B210,0),[2]BankRecData!$B$1:$O$5542,6,0)</f>
        <v>0</v>
      </c>
      <c r="J210" s="114">
        <f>VLOOKUP(TEXT($B210,0),[3]BankRecData!$B$1:$O$5542,6,0)</f>
        <v>0</v>
      </c>
      <c r="K210" s="114">
        <f>VLOOKUP(TEXT($B210,0),[4]BankRecData!$B$1:$O$5542,6,0)</f>
        <v>0</v>
      </c>
      <c r="L210" s="114">
        <f>VLOOKUP(TEXT($B210,0),[5]BankRecData!$B$1:$O$5542,6,0)</f>
        <v>0</v>
      </c>
      <c r="M210" s="114">
        <f>VLOOKUP(TEXT($B210,0),[6]BankRecData!$B$1:$O$5542,6,0)</f>
        <v>0</v>
      </c>
      <c r="N210" s="114">
        <f>VLOOKUP(TEXT($B210,0),[7]BankRecData!$B$1:$O$5542,6,0)</f>
        <v>0</v>
      </c>
      <c r="O210" s="114">
        <f>VLOOKUP(TEXT($B210,0),[8]BankRecData!$B$1:$O$5542,6,0)</f>
        <v>0</v>
      </c>
      <c r="P210" s="114">
        <f>VLOOKUP(TEXT($B210,0),[9]BankRecData!$B$1:$O$5542,6,0)</f>
        <v>0</v>
      </c>
      <c r="Q210" s="114">
        <f>VLOOKUP(TEXT($B210,0),[10]BankRecData!$B$1:$O$5542,6,0)</f>
        <v>0</v>
      </c>
    </row>
    <row r="211" spans="1:17" x14ac:dyDescent="0.2">
      <c r="A211" s="19" t="s">
        <v>39</v>
      </c>
      <c r="B211" s="71">
        <v>6176</v>
      </c>
      <c r="C211" s="246">
        <v>6176</v>
      </c>
      <c r="D211" s="18" t="s">
        <v>24</v>
      </c>
      <c r="E211" s="20"/>
      <c r="F211" s="20"/>
      <c r="G211" s="34"/>
      <c r="H211" s="114">
        <f>IFERROR(VLOOKUP($B211&amp;-H$1,FX!$U:$V,2,0),0)</f>
        <v>0</v>
      </c>
      <c r="I211" s="114">
        <f>IFERROR(VLOOKUP($B211&amp;-I$1,FX!$U:$V,2,0),0)</f>
        <v>0</v>
      </c>
      <c r="J211" s="114">
        <f>IFERROR(VLOOKUP($B211&amp;-J$1,FX!$U:$V,2,0),0)</f>
        <v>0</v>
      </c>
      <c r="K211" s="114">
        <f>IFERROR(VLOOKUP($B211&amp;-K$1,FX!$U:$V,2,0),0)</f>
        <v>0</v>
      </c>
      <c r="L211" s="114">
        <f>IFERROR(VLOOKUP($B211&amp;-L$1,FX!$U:$V,2,0),0)</f>
        <v>0</v>
      </c>
      <c r="M211" s="114">
        <f>IFERROR(VLOOKUP($B211&amp;-M$1,FX!$U:$V,2,0),0)</f>
        <v>0</v>
      </c>
      <c r="N211" s="114">
        <f>IFERROR(VLOOKUP($B211&amp;-N$1,FX!$U:$V,2,0),0)</f>
        <v>0</v>
      </c>
      <c r="O211" s="114">
        <f>IFERROR(VLOOKUP($B211&amp;-O$1,FX!$U:$V,2,0),0)</f>
        <v>0</v>
      </c>
      <c r="P211" s="114">
        <f>IFERROR(VLOOKUP($B211&amp;-P$1,FX!$U:$V,2,0),0)</f>
        <v>0</v>
      </c>
      <c r="Q211" s="114">
        <f>IFERROR(VLOOKUP($B211&amp;-Q$1,FX!$U:$V,2,0),0)</f>
        <v>0</v>
      </c>
    </row>
    <row r="212" spans="1:17" x14ac:dyDescent="0.2">
      <c r="A212" s="19" t="s">
        <v>34</v>
      </c>
      <c r="B212" s="71">
        <v>6176</v>
      </c>
      <c r="C212" s="246">
        <v>6176</v>
      </c>
      <c r="D212" s="18" t="s">
        <v>24</v>
      </c>
      <c r="E212" s="20"/>
      <c r="F212" s="20"/>
      <c r="G212" s="34"/>
      <c r="H212" s="114">
        <f t="shared" ref="H212:I212" si="352">H211-H210+H209</f>
        <v>373.9</v>
      </c>
      <c r="I212" s="114">
        <f t="shared" si="352"/>
        <v>841.09999999999991</v>
      </c>
      <c r="J212" s="114">
        <f t="shared" ref="J212:K212" si="353">J211-J210+J209</f>
        <v>542.20000000000005</v>
      </c>
      <c r="K212" s="114">
        <f t="shared" si="353"/>
        <v>336.85</v>
      </c>
      <c r="L212" s="114">
        <f t="shared" ref="L212:M212" si="354">L211-L210+L209</f>
        <v>36.399999999999977</v>
      </c>
      <c r="M212" s="114">
        <f t="shared" si="354"/>
        <v>564.65</v>
      </c>
      <c r="N212" s="114">
        <f t="shared" ref="N212:O212" si="355">N211-N210+N209</f>
        <v>391.54999999999995</v>
      </c>
      <c r="O212" s="114">
        <f t="shared" si="355"/>
        <v>389.9</v>
      </c>
      <c r="P212" s="114">
        <f t="shared" ref="P212:Q212" si="356">P211-P210+P209</f>
        <v>268.85000000000002</v>
      </c>
      <c r="Q212" s="114">
        <f t="shared" si="356"/>
        <v>463.85</v>
      </c>
    </row>
    <row r="213" spans="1:17" x14ac:dyDescent="0.2">
      <c r="A213" s="19" t="s">
        <v>35</v>
      </c>
      <c r="B213" s="71">
        <v>6176</v>
      </c>
      <c r="C213" s="246">
        <v>6176</v>
      </c>
      <c r="D213" s="18" t="s">
        <v>24</v>
      </c>
      <c r="E213" s="20"/>
      <c r="F213" s="35">
        <f>COUNTIF(H213:H213,"=0")</f>
        <v>1</v>
      </c>
      <c r="G213" s="34"/>
      <c r="H213" s="114">
        <f>SUMIF('Bank Deposit List'!$K:$K,$B213&amp;-H$1,'Bank Deposit List'!$L:$L)</f>
        <v>0</v>
      </c>
      <c r="I213" s="114">
        <f>SUMIF('Bank Deposit List'!$K:$K,$B213&amp;-I$1,'Bank Deposit List'!$L:$L)</f>
        <v>0</v>
      </c>
      <c r="J213" s="114">
        <f>SUMIF('Bank Deposit List'!$K:$K,$B213&amp;-J$1,'Bank Deposit List'!$L:$L)</f>
        <v>0</v>
      </c>
      <c r="K213" s="114">
        <f>SUMIF('Bank Deposit List'!$K:$K,$B213&amp;-K$1,'Bank Deposit List'!$L:$L)</f>
        <v>0</v>
      </c>
      <c r="L213" s="114">
        <f>SUMIF('Bank Deposit List'!$K:$K,$B213&amp;-L$1,'Bank Deposit List'!$L:$L)</f>
        <v>0</v>
      </c>
      <c r="M213" s="114">
        <f>SUMIF('Bank Deposit List'!$K:$K,$B213&amp;-M$1,'Bank Deposit List'!$L:$L)</f>
        <v>0</v>
      </c>
      <c r="N213" s="114">
        <f>SUMIF('Bank Deposit List'!$K:$K,$B213&amp;-N$1,'Bank Deposit List'!$L:$L)</f>
        <v>0</v>
      </c>
      <c r="O213" s="114">
        <f>SUMIF('Bank Deposit List'!$K:$K,$B213&amp;-O$1,'Bank Deposit List'!$L:$L)</f>
        <v>0</v>
      </c>
      <c r="P213" s="114">
        <f>SUMIF('Bank Deposit List'!$K:$K,$B213&amp;-P$1,'Bank Deposit List'!$L:$L)</f>
        <v>0</v>
      </c>
      <c r="Q213" s="114">
        <f>SUMIF('Bank Deposit List'!$K:$K,$B213&amp;-Q$1,'Bank Deposit List'!$L:$L)</f>
        <v>0</v>
      </c>
    </row>
    <row r="214" spans="1:17" x14ac:dyDescent="0.2">
      <c r="A214" s="19" t="s">
        <v>37</v>
      </c>
      <c r="B214" s="71">
        <v>6176</v>
      </c>
      <c r="C214" s="246">
        <v>6176</v>
      </c>
      <c r="D214" s="18" t="s">
        <v>24</v>
      </c>
      <c r="E214" s="36">
        <f>(COUNT(H168:CH168)-COUNT(H170:CH170))</f>
        <v>0</v>
      </c>
      <c r="F214" s="37"/>
      <c r="G214" s="34"/>
      <c r="H214" s="114" t="str">
        <f>IFERROR(VLOOKUP($B214&amp;-H213,'Deposits AU NAB'!$L:$M,2,0),"")</f>
        <v/>
      </c>
      <c r="I214" s="114" t="str">
        <f>IFERROR(VLOOKUP($B214&amp;-I213,'Deposits AU NAB'!$L:$M,2,0),"")</f>
        <v/>
      </c>
      <c r="J214" s="114" t="str">
        <f>IFERROR(VLOOKUP($B214&amp;-J213,'Deposits AU NAB'!$L:$M,2,0),"")</f>
        <v/>
      </c>
      <c r="K214" s="114" t="str">
        <f>IFERROR(VLOOKUP($B214&amp;-K213,'Deposits AU NAB'!$L:$M,2,0),"")</f>
        <v/>
      </c>
      <c r="L214" s="114" t="str">
        <f>IFERROR(VLOOKUP($B214&amp;-L213,'Deposits AU NAB'!$L:$M,2,0),"")</f>
        <v/>
      </c>
      <c r="M214" s="114" t="str">
        <f>IFERROR(VLOOKUP($B214&amp;-M213,'Deposits AU NAB'!$L:$M,2,0),"")</f>
        <v/>
      </c>
      <c r="N214" s="114" t="str">
        <f>IFERROR(VLOOKUP($B214&amp;-N213,'Deposits AU NAB'!$L:$M,2,0),"")</f>
        <v/>
      </c>
      <c r="O214" s="114" t="str">
        <f>IFERROR(VLOOKUP($B214&amp;-O213,'Deposits AU NAB'!$L:$M,2,0),"")</f>
        <v/>
      </c>
      <c r="P214" s="114" t="str">
        <f>IFERROR(VLOOKUP($B214&amp;-P213,'Deposits AU NAB'!$L:$M,2,0),"")</f>
        <v/>
      </c>
      <c r="Q214" s="114" t="str">
        <f>IFERROR(VLOOKUP($B214&amp;-Q213,'Deposits AU NAB'!$L:$M,2,0),"")</f>
        <v/>
      </c>
    </row>
    <row r="215" spans="1:17" x14ac:dyDescent="0.2">
      <c r="A215" s="19" t="s">
        <v>51</v>
      </c>
      <c r="B215" s="71">
        <v>6176</v>
      </c>
      <c r="C215" s="246">
        <v>6176</v>
      </c>
      <c r="D215" s="18" t="s">
        <v>24</v>
      </c>
      <c r="E215" s="36"/>
      <c r="F215" s="37"/>
      <c r="G215" s="34">
        <f t="shared" ref="G215:G216" si="357">SUM(H215:BX215)</f>
        <v>0</v>
      </c>
      <c r="H215" s="114" t="str">
        <f t="shared" ref="H215:I215" si="358">IF(H213=0,"",H213-H212)</f>
        <v/>
      </c>
      <c r="I215" s="114" t="str">
        <f t="shared" si="358"/>
        <v/>
      </c>
      <c r="J215" s="114" t="str">
        <f t="shared" ref="J215:K215" si="359">IF(J213=0,"",J213-J212)</f>
        <v/>
      </c>
      <c r="K215" s="114" t="str">
        <f t="shared" si="359"/>
        <v/>
      </c>
      <c r="L215" s="114" t="str">
        <f t="shared" ref="L215:M215" si="360">IF(L213=0,"",L213-L212)</f>
        <v/>
      </c>
      <c r="M215" s="114" t="str">
        <f t="shared" si="360"/>
        <v/>
      </c>
      <c r="N215" s="114" t="str">
        <f t="shared" ref="N215:O215" si="361">IF(N213=0,"",N213-N212)</f>
        <v/>
      </c>
      <c r="O215" s="114" t="str">
        <f t="shared" si="361"/>
        <v/>
      </c>
      <c r="P215" s="114" t="str">
        <f t="shared" ref="P215:Q215" si="362">IF(P213=0,"",P213-P212)</f>
        <v/>
      </c>
      <c r="Q215" s="114" t="str">
        <f t="shared" si="362"/>
        <v/>
      </c>
    </row>
    <row r="216" spans="1:17" x14ac:dyDescent="0.2">
      <c r="A216" s="19" t="s">
        <v>52</v>
      </c>
      <c r="B216" s="71">
        <v>6176</v>
      </c>
      <c r="C216" s="246">
        <v>6176</v>
      </c>
      <c r="D216" s="18" t="s">
        <v>24</v>
      </c>
      <c r="E216" s="20"/>
      <c r="F216" s="20"/>
      <c r="G216" s="34">
        <f t="shared" si="357"/>
        <v>0</v>
      </c>
      <c r="H216" s="114" t="str">
        <f t="shared" ref="H216:I216" si="363">IFERROR(H214-H213,"")</f>
        <v/>
      </c>
      <c r="I216" s="114" t="str">
        <f t="shared" si="363"/>
        <v/>
      </c>
      <c r="J216" s="114" t="str">
        <f t="shared" ref="J216:K216" si="364">IFERROR(J214-J213,"")</f>
        <v/>
      </c>
      <c r="K216" s="114" t="str">
        <f t="shared" si="364"/>
        <v/>
      </c>
      <c r="L216" s="114" t="str">
        <f t="shared" ref="L216:M216" si="365">IFERROR(L214-L213,"")</f>
        <v/>
      </c>
      <c r="M216" s="114" t="str">
        <f t="shared" si="365"/>
        <v/>
      </c>
      <c r="N216" s="114" t="str">
        <f t="shared" ref="N216:O216" si="366">IFERROR(N214-N213,"")</f>
        <v/>
      </c>
      <c r="O216" s="114" t="str">
        <f t="shared" si="366"/>
        <v/>
      </c>
      <c r="P216" s="114" t="str">
        <f t="shared" ref="P216:Q216" si="367">IFERROR(P214-P213,"")</f>
        <v/>
      </c>
      <c r="Q216" s="114" t="str">
        <f t="shared" si="367"/>
        <v/>
      </c>
    </row>
    <row r="217" spans="1:17" x14ac:dyDescent="0.2">
      <c r="A217" s="38" t="s">
        <v>38</v>
      </c>
      <c r="B217" s="70"/>
      <c r="C217" s="245"/>
      <c r="D217" s="40"/>
      <c r="E217" s="41"/>
      <c r="F217" s="41"/>
      <c r="G217" s="42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</row>
    <row r="218" spans="1:17" x14ac:dyDescent="0.2">
      <c r="A218" s="38"/>
      <c r="B218" s="70"/>
      <c r="C218" s="245"/>
      <c r="D218" s="40"/>
      <c r="E218" s="41"/>
      <c r="F218" s="41"/>
      <c r="G218" s="42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</row>
    <row r="219" spans="1:17" x14ac:dyDescent="0.2">
      <c r="A219" s="19" t="s">
        <v>38</v>
      </c>
      <c r="B219" s="71">
        <v>7641</v>
      </c>
      <c r="C219" s="246">
        <v>64</v>
      </c>
      <c r="D219" s="18" t="s">
        <v>7</v>
      </c>
      <c r="E219" s="20"/>
      <c r="F219" s="20"/>
      <c r="G219" s="34"/>
      <c r="H219" s="114">
        <f>VLOOKUP(TEXT($B219,0),[1]BankRecData!$B$1:$O$5542,7,0)-VLOOKUP(TEXT($B219,0),[1]BankRecData!$B$1:$O$5542,8,0)</f>
        <v>264.64999999999998</v>
      </c>
      <c r="I219" s="114">
        <v>6</v>
      </c>
      <c r="J219" s="114">
        <f>VLOOKUP(TEXT($B219,0),[3]BankRecData!$B$1:$O$5542,7,0)-VLOOKUP(TEXT($B219,0),[3]BankRecData!$B$1:$O$5542,8,0)</f>
        <v>190</v>
      </c>
      <c r="K219" s="114">
        <f>VLOOKUP(TEXT($B219,0),[4]BankRecData!$B$1:$O$5542,7,0)-VLOOKUP(TEXT($B219,0),[4]BankRecData!$B$1:$O$5542,8,0)</f>
        <v>187.35000000000002</v>
      </c>
      <c r="L219" s="114">
        <f>VLOOKUP(TEXT($B219,0),[5]BankRecData!$B$1:$O$5542,7,0)-VLOOKUP(TEXT($B219,0),[5]BankRecData!$B$1:$O$5542,8,0)</f>
        <v>180.14999999999998</v>
      </c>
      <c r="M219" s="114">
        <f>VLOOKUP(TEXT($B219,0),[6]BankRecData!$B$1:$O$5542,7,0)-VLOOKUP(TEXT($B219,0),[6]BankRecData!$B$1:$O$5542,8,0)</f>
        <v>233.75</v>
      </c>
      <c r="N219" s="114">
        <f>VLOOKUP(TEXT($B219,0),[7]BankRecData!$B$1:$O$5542,7,0)-VLOOKUP(TEXT($B219,0),[7]BankRecData!$B$1:$O$5542,8,0)</f>
        <v>99.850000000000023</v>
      </c>
      <c r="O219" s="114">
        <v>6</v>
      </c>
      <c r="P219" s="114">
        <v>6</v>
      </c>
      <c r="Q219" s="114">
        <v>6</v>
      </c>
    </row>
    <row r="220" spans="1:17" x14ac:dyDescent="0.2">
      <c r="A220" s="19" t="s">
        <v>40</v>
      </c>
      <c r="B220" s="71">
        <v>7641</v>
      </c>
      <c r="C220" s="246">
        <v>64</v>
      </c>
      <c r="D220" s="18" t="s">
        <v>7</v>
      </c>
      <c r="E220" s="20"/>
      <c r="F220" s="20"/>
      <c r="G220" s="34"/>
      <c r="H220" s="114">
        <f>VLOOKUP(TEXT($B220,0),[1]BankRecData!$B$1:$O$5542,6,0)</f>
        <v>0</v>
      </c>
      <c r="I220" s="114">
        <f>VLOOKUP(TEXT($B220,0),[2]BankRecData!$B$1:$O$5542,6,0)</f>
        <v>0</v>
      </c>
      <c r="J220" s="114">
        <f>VLOOKUP(TEXT($B220,0),[3]BankRecData!$B$1:$O$5542,6,0)</f>
        <v>0</v>
      </c>
      <c r="K220" s="114">
        <f>VLOOKUP(TEXT($B220,0),[4]BankRecData!$B$1:$O$5542,6,0)</f>
        <v>0</v>
      </c>
      <c r="L220" s="114">
        <f>VLOOKUP(TEXT($B220,0),[5]BankRecData!$B$1:$O$5542,6,0)</f>
        <v>0</v>
      </c>
      <c r="M220" s="114">
        <f>VLOOKUP(TEXT($B220,0),[6]BankRecData!$B$1:$O$5542,6,0)</f>
        <v>0</v>
      </c>
      <c r="N220" s="114">
        <f>VLOOKUP(TEXT($B220,0),[7]BankRecData!$B$1:$O$5542,6,0)</f>
        <v>0</v>
      </c>
      <c r="O220" s="114">
        <f>VLOOKUP(TEXT($B220,0),[8]BankRecData!$B$1:$O$5542,6,0)</f>
        <v>0</v>
      </c>
      <c r="P220" s="114">
        <f>VLOOKUP(TEXT($B220,0),[9]BankRecData!$B$1:$O$5542,6,0)</f>
        <v>0</v>
      </c>
      <c r="Q220" s="114">
        <f>VLOOKUP(TEXT($B220,0),[10]BankRecData!$B$1:$O$5542,6,0)</f>
        <v>0</v>
      </c>
    </row>
    <row r="221" spans="1:17" x14ac:dyDescent="0.2">
      <c r="A221" s="19" t="s">
        <v>39</v>
      </c>
      <c r="B221" s="71">
        <v>7641</v>
      </c>
      <c r="C221" s="246">
        <v>64</v>
      </c>
      <c r="D221" s="18" t="s">
        <v>7</v>
      </c>
      <c r="E221" s="20"/>
      <c r="F221" s="20"/>
      <c r="G221" s="34"/>
      <c r="H221" s="114">
        <f>IFERROR(VLOOKUP($B221&amp;-H$1,FX!$U:$V,2,0),0)</f>
        <v>0</v>
      </c>
      <c r="I221" s="114">
        <f>IFERROR(VLOOKUP($B221&amp;-I$1,FX!$U:$V,2,0),0)</f>
        <v>0</v>
      </c>
      <c r="J221" s="114">
        <f>IFERROR(VLOOKUP($B221&amp;-J$1,FX!$U:$V,2,0),0)</f>
        <v>0</v>
      </c>
      <c r="K221" s="114">
        <f>IFERROR(VLOOKUP($B221&amp;-K$1,FX!$U:$V,2,0),0)</f>
        <v>0</v>
      </c>
      <c r="L221" s="114">
        <f>IFERROR(VLOOKUP($B221&amp;-L$1,FX!$U:$V,2,0),0)</f>
        <v>0</v>
      </c>
      <c r="M221" s="114">
        <f>IFERROR(VLOOKUP($B221&amp;-M$1,FX!$U:$V,2,0),0)</f>
        <v>0</v>
      </c>
      <c r="N221" s="114">
        <f>IFERROR(VLOOKUP($B221&amp;-N$1,FX!$U:$V,2,0),0)</f>
        <v>0</v>
      </c>
      <c r="O221" s="114">
        <f>IFERROR(VLOOKUP($B221&amp;-O$1,FX!$U:$V,2,0),0)</f>
        <v>0</v>
      </c>
      <c r="P221" s="114">
        <f>IFERROR(VLOOKUP($B221&amp;-P$1,FX!$U:$V,2,0),0)</f>
        <v>0</v>
      </c>
      <c r="Q221" s="114">
        <f>IFERROR(VLOOKUP($B221&amp;-Q$1,FX!$U:$V,2,0),0)</f>
        <v>0</v>
      </c>
    </row>
    <row r="222" spans="1:17" x14ac:dyDescent="0.2">
      <c r="A222" s="19" t="s">
        <v>34</v>
      </c>
      <c r="B222" s="71">
        <v>7641</v>
      </c>
      <c r="C222" s="246">
        <v>64</v>
      </c>
      <c r="D222" s="18" t="s">
        <v>7</v>
      </c>
      <c r="E222" s="20"/>
      <c r="F222" s="20"/>
      <c r="G222" s="34"/>
      <c r="H222" s="114">
        <f t="shared" ref="H222:I222" si="368">H221-H220+H219</f>
        <v>264.64999999999998</v>
      </c>
      <c r="I222" s="114">
        <f t="shared" si="368"/>
        <v>6</v>
      </c>
      <c r="J222" s="114">
        <f t="shared" ref="J222:K222" si="369">J221-J220+J219</f>
        <v>190</v>
      </c>
      <c r="K222" s="114">
        <f t="shared" si="369"/>
        <v>187.35000000000002</v>
      </c>
      <c r="L222" s="114">
        <f t="shared" ref="L222:M222" si="370">L221-L220+L219</f>
        <v>180.14999999999998</v>
      </c>
      <c r="M222" s="114">
        <f t="shared" si="370"/>
        <v>233.75</v>
      </c>
      <c r="N222" s="114">
        <f t="shared" ref="N222:O222" si="371">N221-N220+N219</f>
        <v>99.850000000000023</v>
      </c>
      <c r="O222" s="114">
        <f t="shared" si="371"/>
        <v>6</v>
      </c>
      <c r="P222" s="114">
        <f t="shared" ref="P222:Q222" si="372">P221-P220+P219</f>
        <v>6</v>
      </c>
      <c r="Q222" s="114">
        <f t="shared" si="372"/>
        <v>6</v>
      </c>
    </row>
    <row r="223" spans="1:17" x14ac:dyDescent="0.2">
      <c r="A223" s="19" t="s">
        <v>35</v>
      </c>
      <c r="B223" s="71">
        <v>7641</v>
      </c>
      <c r="C223" s="246">
        <v>64</v>
      </c>
      <c r="D223" s="18" t="s">
        <v>7</v>
      </c>
      <c r="E223" s="20"/>
      <c r="F223" s="35">
        <f>COUNTIF(H223:H223,"=0")</f>
        <v>1</v>
      </c>
      <c r="G223" s="34"/>
      <c r="H223" s="114">
        <f>SUMIF('Bank Deposit List'!$K:$K,$B223&amp;-H$1,'Bank Deposit List'!$L:$L)</f>
        <v>0</v>
      </c>
      <c r="I223" s="114">
        <f>SUMIF('Bank Deposit List'!$K:$K,$B223&amp;-I$1,'Bank Deposit List'!$L:$L)</f>
        <v>0</v>
      </c>
      <c r="J223" s="114">
        <f>SUMIF('Bank Deposit List'!$K:$K,$B223&amp;-J$1,'Bank Deposit List'!$L:$L)</f>
        <v>0</v>
      </c>
      <c r="K223" s="114">
        <f>SUMIF('Bank Deposit List'!$K:$K,$B223&amp;-K$1,'Bank Deposit List'!$L:$L)</f>
        <v>0</v>
      </c>
      <c r="L223" s="114">
        <f>SUMIF('Bank Deposit List'!$K:$K,$B223&amp;-L$1,'Bank Deposit List'!$L:$L)</f>
        <v>0</v>
      </c>
      <c r="M223" s="114">
        <f>SUMIF('Bank Deposit List'!$K:$K,$B223&amp;-M$1,'Bank Deposit List'!$L:$L)</f>
        <v>0</v>
      </c>
      <c r="N223" s="114">
        <f>SUMIF('Bank Deposit List'!$K:$K,$B223&amp;-N$1,'Bank Deposit List'!$L:$L)</f>
        <v>1161.75</v>
      </c>
      <c r="O223" s="114">
        <f>SUMIF('Bank Deposit List'!$K:$K,$B223&amp;-O$1,'Bank Deposit List'!$L:$L)</f>
        <v>0</v>
      </c>
      <c r="P223" s="114">
        <f>SUMIF('Bank Deposit List'!$K:$K,$B223&amp;-P$1,'Bank Deposit List'!$L:$L)</f>
        <v>0</v>
      </c>
      <c r="Q223" s="114">
        <f>SUMIF('Bank Deposit List'!$K:$K,$B223&amp;-Q$1,'Bank Deposit List'!$L:$L)</f>
        <v>0</v>
      </c>
    </row>
    <row r="224" spans="1:17" x14ac:dyDescent="0.2">
      <c r="A224" s="19" t="s">
        <v>37</v>
      </c>
      <c r="B224" s="71">
        <v>7641</v>
      </c>
      <c r="C224" s="246">
        <v>64</v>
      </c>
      <c r="D224" s="18" t="s">
        <v>7</v>
      </c>
      <c r="E224" s="36">
        <f>(COUNT(H177:CH177)-COUNT(H179:CH179))</f>
        <v>0</v>
      </c>
      <c r="F224" s="37"/>
      <c r="G224" s="34"/>
      <c r="H224" s="114" t="str">
        <f>IFERROR(VLOOKUP($B224&amp;-H223,'Deposits AU NAB'!$L:$M,2,0),"")</f>
        <v/>
      </c>
      <c r="I224" s="114" t="str">
        <f>IFERROR(VLOOKUP($B224&amp;-I223,'Deposits AU NAB'!$L:$M,2,0),"")</f>
        <v/>
      </c>
      <c r="J224" s="114" t="str">
        <f>IFERROR(VLOOKUP($B224&amp;-J223,'Deposits AU NAB'!$L:$M,2,0),"")</f>
        <v/>
      </c>
      <c r="K224" s="114" t="str">
        <f>IFERROR(VLOOKUP($B224&amp;-K223,'Deposits AU NAB'!$L:$M,2,0),"")</f>
        <v/>
      </c>
      <c r="L224" s="114" t="str">
        <f>IFERROR(VLOOKUP($B224&amp;-L223,'Deposits AU NAB'!$L:$M,2,0),"")</f>
        <v/>
      </c>
      <c r="M224" s="114" t="str">
        <f>IFERROR(VLOOKUP($B224&amp;-M223,'Deposits AU NAB'!$L:$M,2,0),"")</f>
        <v/>
      </c>
      <c r="N224" s="114" t="str">
        <f>IFERROR(VLOOKUP($B224&amp;-N223,'Deposits AU NAB'!$L:$M,2,0),"")</f>
        <v/>
      </c>
      <c r="O224" s="114" t="str">
        <f>IFERROR(VLOOKUP($B224&amp;-O223,'Deposits AU NAB'!$L:$M,2,0),"")</f>
        <v/>
      </c>
      <c r="P224" s="114" t="str">
        <f>IFERROR(VLOOKUP($B224&amp;-P223,'Deposits AU NAB'!$L:$M,2,0),"")</f>
        <v/>
      </c>
      <c r="Q224" s="114" t="str">
        <f>IFERROR(VLOOKUP($B224&amp;-Q223,'Deposits AU NAB'!$L:$M,2,0),"")</f>
        <v/>
      </c>
    </row>
    <row r="225" spans="1:17" x14ac:dyDescent="0.2">
      <c r="A225" s="19" t="s">
        <v>51</v>
      </c>
      <c r="B225" s="71">
        <v>7641</v>
      </c>
      <c r="C225" s="246">
        <v>64</v>
      </c>
      <c r="D225" s="18" t="s">
        <v>7</v>
      </c>
      <c r="E225" s="36"/>
      <c r="F225" s="37"/>
      <c r="G225" s="34">
        <f t="shared" ref="G225:G226" si="373">SUM(H225:BX225)</f>
        <v>0</v>
      </c>
      <c r="H225" s="114">
        <f>H223-H222</f>
        <v>-264.64999999999998</v>
      </c>
      <c r="I225" s="114">
        <f t="shared" ref="I225:M225" si="374">I223-I222</f>
        <v>-6</v>
      </c>
      <c r="J225" s="114">
        <f t="shared" si="374"/>
        <v>-190</v>
      </c>
      <c r="K225" s="114">
        <f t="shared" si="374"/>
        <v>-187.35000000000002</v>
      </c>
      <c r="L225" s="114">
        <f t="shared" si="374"/>
        <v>-180.14999999999998</v>
      </c>
      <c r="M225" s="114">
        <f t="shared" si="374"/>
        <v>-233.75</v>
      </c>
      <c r="N225" s="114">
        <f t="shared" ref="N225:O225" si="375">IF(N223=0,"",N223-N222)</f>
        <v>1061.9000000000001</v>
      </c>
      <c r="O225" s="114" t="str">
        <f t="shared" si="375"/>
        <v/>
      </c>
      <c r="P225" s="114" t="str">
        <f t="shared" ref="P225:Q225" si="376">IF(P223=0,"",P223-P222)</f>
        <v/>
      </c>
      <c r="Q225" s="114" t="str">
        <f t="shared" si="376"/>
        <v/>
      </c>
    </row>
    <row r="226" spans="1:17" x14ac:dyDescent="0.2">
      <c r="A226" s="19" t="s">
        <v>52</v>
      </c>
      <c r="B226" s="71">
        <v>7641</v>
      </c>
      <c r="C226" s="246">
        <v>64</v>
      </c>
      <c r="D226" s="18" t="s">
        <v>7</v>
      </c>
      <c r="E226" s="20"/>
      <c r="F226" s="20"/>
      <c r="G226" s="34">
        <f t="shared" si="373"/>
        <v>0</v>
      </c>
      <c r="H226" s="114" t="str">
        <f t="shared" ref="H226:I226" si="377">IFERROR(H224-H223,"")</f>
        <v/>
      </c>
      <c r="I226" s="114" t="str">
        <f t="shared" si="377"/>
        <v/>
      </c>
      <c r="J226" s="114" t="str">
        <f t="shared" ref="J226:K226" si="378">IFERROR(J224-J223,"")</f>
        <v/>
      </c>
      <c r="K226" s="114" t="str">
        <f t="shared" si="378"/>
        <v/>
      </c>
      <c r="L226" s="114" t="str">
        <f t="shared" ref="L226:M226" si="379">IFERROR(L224-L223,"")</f>
        <v/>
      </c>
      <c r="M226" s="114" t="str">
        <f t="shared" si="379"/>
        <v/>
      </c>
      <c r="N226" s="114" t="str">
        <f t="shared" ref="N226:O226" si="380">IFERROR(N224-N223,"")</f>
        <v/>
      </c>
      <c r="O226" s="114" t="str">
        <f t="shared" si="380"/>
        <v/>
      </c>
      <c r="P226" s="114" t="str">
        <f t="shared" ref="P226:Q226" si="381">IFERROR(P224-P223,"")</f>
        <v/>
      </c>
      <c r="Q226" s="114" t="str">
        <f t="shared" si="381"/>
        <v/>
      </c>
    </row>
    <row r="227" spans="1:17" x14ac:dyDescent="0.2">
      <c r="A227" s="38"/>
      <c r="B227" s="70"/>
      <c r="C227" s="245"/>
      <c r="D227" s="40"/>
      <c r="E227" s="41"/>
      <c r="F227" s="41"/>
      <c r="G227" s="42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</row>
    <row r="228" spans="1:17" x14ac:dyDescent="0.2">
      <c r="A228" s="19" t="s">
        <v>38</v>
      </c>
      <c r="B228" s="71">
        <v>7078</v>
      </c>
      <c r="C228" s="246">
        <v>78</v>
      </c>
      <c r="D228" s="18" t="s">
        <v>10</v>
      </c>
      <c r="E228" s="20"/>
      <c r="F228" s="20"/>
      <c r="G228" s="34"/>
      <c r="H228" s="114">
        <f>VLOOKUP(TEXT($B228,0),[1]BankRecData!$B$1:$O$5542,7,0)-VLOOKUP(TEXT($B228,0),[1]BankRecData!$B$1:$O$5542,8,0)</f>
        <v>769.6</v>
      </c>
      <c r="I228" s="114">
        <f>VLOOKUP(TEXT($B228,0),[2]BankRecData!$B$1:$O$5542,7,0)-VLOOKUP(TEXT($B228,0),[2]BankRecData!$B$1:$O$5542,8,0)</f>
        <v>754.2</v>
      </c>
      <c r="J228" s="114">
        <f>VLOOKUP(TEXT($B228,0),[3]BankRecData!$B$1:$O$5542,7,0)-VLOOKUP(TEXT($B228,0),[3]BankRecData!$B$1:$O$5542,8,0)</f>
        <v>877.09999999999991</v>
      </c>
      <c r="K228" s="114">
        <f>VLOOKUP(TEXT($B228,0),[4]BankRecData!$B$1:$O$5542,7,0)-VLOOKUP(TEXT($B228,0),[4]BankRecData!$B$1:$O$5542,8,0)</f>
        <v>982.59999999999991</v>
      </c>
      <c r="L228" s="114">
        <f>VLOOKUP(TEXT($B228,0),[5]BankRecData!$B$1:$O$5542,7,0)-VLOOKUP(TEXT($B228,0),[5]BankRecData!$B$1:$O$5542,8,0)</f>
        <v>641.20000000000005</v>
      </c>
      <c r="M228" s="114">
        <f>VLOOKUP(TEXT($B228,0),[6]BankRecData!$B$1:$O$5542,7,0)-VLOOKUP(TEXT($B228,0),[6]BankRecData!$B$1:$O$5542,8,0)</f>
        <v>1126.5</v>
      </c>
      <c r="N228" s="114">
        <f>VLOOKUP(TEXT($B228,0),[7]BankRecData!$B$1:$O$5542,7,0)-VLOOKUP(TEXT($B228,0),[7]BankRecData!$B$1:$O$5542,8,0)+400</f>
        <v>935.65000000000009</v>
      </c>
      <c r="O228" s="114">
        <f>VLOOKUP(TEXT($B228,0),[8]BankRecData!$B$1:$O$5542,7,0)-VLOOKUP(TEXT($B228,0),[8]BankRecData!$B$1:$O$5542,8,0)</f>
        <v>757.75</v>
      </c>
      <c r="P228" s="114">
        <f>VLOOKUP(TEXT($B228,0),[9]BankRecData!$B$1:$O$5542,7,0)-VLOOKUP(TEXT($B228,0),[9]BankRecData!$B$1:$O$5542,8,0)</f>
        <v>483.85</v>
      </c>
      <c r="Q228" s="114">
        <f>VLOOKUP(TEXT($B228,0),[10]BankRecData!$B$1:$O$5542,7,0)-VLOOKUP(TEXT($B228,0),[10]BankRecData!$B$1:$O$5542,8,0)</f>
        <v>824.95</v>
      </c>
    </row>
    <row r="229" spans="1:17" x14ac:dyDescent="0.2">
      <c r="A229" s="19" t="s">
        <v>40</v>
      </c>
      <c r="B229" s="71">
        <v>7078</v>
      </c>
      <c r="C229" s="246">
        <v>78</v>
      </c>
      <c r="D229" s="18" t="s">
        <v>10</v>
      </c>
      <c r="E229" s="20"/>
      <c r="F229" s="20"/>
      <c r="G229" s="34"/>
      <c r="H229" s="114">
        <f>VLOOKUP(TEXT($B229,0),[1]BankRecData!$B$1:$O$5542,6,0)</f>
        <v>0</v>
      </c>
      <c r="I229" s="114">
        <f>VLOOKUP(TEXT($B229,0),[2]BankRecData!$B$1:$O$5542,6,0)</f>
        <v>0</v>
      </c>
      <c r="J229" s="114">
        <f>VLOOKUP(TEXT($B229,0),[3]BankRecData!$B$1:$O$5542,6,0)</f>
        <v>0</v>
      </c>
      <c r="K229" s="114">
        <f>VLOOKUP(TEXT($B229,0),[4]BankRecData!$B$1:$O$5542,6,0)</f>
        <v>0</v>
      </c>
      <c r="L229" s="114">
        <f>VLOOKUP(TEXT($B229,0),[5]BankRecData!$B$1:$O$5542,6,0)</f>
        <v>0</v>
      </c>
      <c r="M229" s="114">
        <f>VLOOKUP(TEXT($B229,0),[6]BankRecData!$B$1:$O$5542,6,0)</f>
        <v>0</v>
      </c>
      <c r="N229" s="114">
        <f>VLOOKUP(TEXT($B229,0),[7]BankRecData!$B$1:$O$5542,6,0)</f>
        <v>0</v>
      </c>
      <c r="O229" s="114">
        <f>VLOOKUP(TEXT($B229,0),[8]BankRecData!$B$1:$O$5542,6,0)</f>
        <v>0</v>
      </c>
      <c r="P229" s="114">
        <f>VLOOKUP(TEXT($B229,0),[9]BankRecData!$B$1:$O$5542,6,0)</f>
        <v>0</v>
      </c>
      <c r="Q229" s="114">
        <f>VLOOKUP(TEXT($B229,0),[10]BankRecData!$B$1:$O$5542,6,0)</f>
        <v>0</v>
      </c>
    </row>
    <row r="230" spans="1:17" x14ac:dyDescent="0.2">
      <c r="A230" s="19" t="s">
        <v>39</v>
      </c>
      <c r="B230" s="71">
        <v>7078</v>
      </c>
      <c r="C230" s="246">
        <v>78</v>
      </c>
      <c r="D230" s="18" t="s">
        <v>10</v>
      </c>
      <c r="E230" s="20"/>
      <c r="F230" s="20"/>
      <c r="G230" s="34"/>
      <c r="H230" s="114">
        <f>IFERROR(VLOOKUP($B230&amp;-H$1,FX!$U:$V,2,0),0)</f>
        <v>0</v>
      </c>
      <c r="I230" s="114">
        <f>IFERROR(VLOOKUP($B230&amp;-I$1,FX!$U:$V,2,0),0)</f>
        <v>0</v>
      </c>
      <c r="J230" s="114">
        <f>IFERROR(VLOOKUP($B230&amp;-J$1,FX!$U:$V,2,0),0)</f>
        <v>0</v>
      </c>
      <c r="K230" s="114">
        <f>IFERROR(VLOOKUP($B230&amp;-K$1,FX!$U:$V,2,0),0)</f>
        <v>0</v>
      </c>
      <c r="L230" s="114">
        <f>IFERROR(VLOOKUP($B230&amp;-L$1,FX!$U:$V,2,0),0)</f>
        <v>0</v>
      </c>
      <c r="M230" s="114">
        <f>IFERROR(VLOOKUP($B230&amp;-M$1,FX!$U:$V,2,0),0)</f>
        <v>0</v>
      </c>
      <c r="N230" s="114">
        <f>IFERROR(VLOOKUP($B230&amp;-N$1,FX!$U:$V,2,0),0)</f>
        <v>0</v>
      </c>
      <c r="O230" s="114">
        <f>IFERROR(VLOOKUP($B230&amp;-O$1,FX!$U:$V,2,0),0)</f>
        <v>0</v>
      </c>
      <c r="P230" s="114">
        <f>IFERROR(VLOOKUP($B230&amp;-P$1,FX!$U:$V,2,0),0)</f>
        <v>0</v>
      </c>
      <c r="Q230" s="114">
        <f>IFERROR(VLOOKUP($B230&amp;-Q$1,FX!$U:$V,2,0),0)</f>
        <v>0</v>
      </c>
    </row>
    <row r="231" spans="1:17" x14ac:dyDescent="0.2">
      <c r="A231" s="19" t="s">
        <v>34</v>
      </c>
      <c r="B231" s="71">
        <v>7078</v>
      </c>
      <c r="C231" s="246">
        <v>78</v>
      </c>
      <c r="D231" s="18" t="s">
        <v>10</v>
      </c>
      <c r="E231" s="20"/>
      <c r="F231" s="20"/>
      <c r="G231" s="34"/>
      <c r="H231" s="114">
        <f t="shared" ref="H231:I231" si="382">H230-H229+H228</f>
        <v>769.6</v>
      </c>
      <c r="I231" s="114">
        <f t="shared" si="382"/>
        <v>754.2</v>
      </c>
      <c r="J231" s="114">
        <f t="shared" ref="J231:K231" si="383">J230-J229+J228</f>
        <v>877.09999999999991</v>
      </c>
      <c r="K231" s="114">
        <f t="shared" si="383"/>
        <v>982.59999999999991</v>
      </c>
      <c r="L231" s="114">
        <f t="shared" ref="L231:M231" si="384">L230-L229+L228</f>
        <v>641.20000000000005</v>
      </c>
      <c r="M231" s="114">
        <f t="shared" si="384"/>
        <v>1126.5</v>
      </c>
      <c r="N231" s="114">
        <f t="shared" ref="N231:O231" si="385">N230-N229+N228</f>
        <v>935.65000000000009</v>
      </c>
      <c r="O231" s="114">
        <f t="shared" si="385"/>
        <v>757.75</v>
      </c>
      <c r="P231" s="114">
        <f t="shared" ref="P231:Q231" si="386">P230-P229+P228</f>
        <v>483.85</v>
      </c>
      <c r="Q231" s="114">
        <f t="shared" si="386"/>
        <v>824.95</v>
      </c>
    </row>
    <row r="232" spans="1:17" x14ac:dyDescent="0.2">
      <c r="A232" s="19" t="s">
        <v>35</v>
      </c>
      <c r="B232" s="71">
        <v>7078</v>
      </c>
      <c r="C232" s="246">
        <v>78</v>
      </c>
      <c r="D232" s="18" t="s">
        <v>10</v>
      </c>
      <c r="E232" s="20"/>
      <c r="F232" s="35">
        <f>COUNTIF(H232:H232,"=0")</f>
        <v>1</v>
      </c>
      <c r="G232" s="34"/>
      <c r="H232" s="114">
        <f>SUMIF('Bank Deposit List'!$K:$K,$B232&amp;-H$1,'Bank Deposit List'!$L:$L)</f>
        <v>0</v>
      </c>
      <c r="I232" s="114">
        <f>SUMIF('Bank Deposit List'!$K:$K,$B232&amp;-I$1,'Bank Deposit List'!$L:$L)</f>
        <v>0</v>
      </c>
      <c r="J232" s="114">
        <f>SUMIF('Bank Deposit List'!$K:$K,$B232&amp;-J$1,'Bank Deposit List'!$L:$L)</f>
        <v>0</v>
      </c>
      <c r="K232" s="114">
        <f>SUMIF('Bank Deposit List'!$K:$K,$B232&amp;-K$1,'Bank Deposit List'!$L:$L)</f>
        <v>0</v>
      </c>
      <c r="L232" s="114">
        <f>SUMIF('Bank Deposit List'!$K:$K,$B232&amp;-L$1,'Bank Deposit List'!$L:$L)</f>
        <v>0</v>
      </c>
      <c r="M232" s="114">
        <f>SUMIF('Bank Deposit List'!$K:$K,$B232&amp;-M$1,'Bank Deposit List'!$L:$L)</f>
        <v>0</v>
      </c>
      <c r="N232" s="114">
        <f>SUMIF('Bank Deposit List'!$K:$K,$B232&amp;-N$1,'Bank Deposit List'!$L:$L)</f>
        <v>6086.85</v>
      </c>
      <c r="O232" s="114">
        <f>SUMIF('Bank Deposit List'!$K:$K,$B232&amp;-O$1,'Bank Deposit List'!$L:$L)</f>
        <v>0</v>
      </c>
      <c r="P232" s="114">
        <f>SUMIF('Bank Deposit List'!$K:$K,$B232&amp;-P$1,'Bank Deposit List'!$L:$L)</f>
        <v>0</v>
      </c>
      <c r="Q232" s="114">
        <f>SUMIF('Bank Deposit List'!$K:$K,$B232&amp;-Q$1,'Bank Deposit List'!$L:$L)</f>
        <v>0</v>
      </c>
    </row>
    <row r="233" spans="1:17" x14ac:dyDescent="0.2">
      <c r="A233" s="19" t="s">
        <v>37</v>
      </c>
      <c r="B233" s="71">
        <v>7078</v>
      </c>
      <c r="C233" s="246">
        <v>78</v>
      </c>
      <c r="D233" s="18" t="s">
        <v>10</v>
      </c>
      <c r="E233" s="36">
        <f>(COUNT(H186:CH186)-COUNT(H188:CH188))</f>
        <v>0</v>
      </c>
      <c r="F233" s="37"/>
      <c r="G233" s="34"/>
      <c r="H233" s="114" t="str">
        <f>IFERROR(VLOOKUP($B233&amp;-H232,'Deposits AU NAB'!$L:$M,2,0),"")</f>
        <v/>
      </c>
      <c r="I233" s="114" t="str">
        <f>IFERROR(VLOOKUP($B233&amp;-I232,'Deposits AU NAB'!$L:$M,2,0),"")</f>
        <v/>
      </c>
      <c r="J233" s="114" t="str">
        <f>IFERROR(VLOOKUP($B233&amp;-J232,'Deposits AU NAB'!$L:$M,2,0),"")</f>
        <v/>
      </c>
      <c r="K233" s="114" t="str">
        <f>IFERROR(VLOOKUP($B233&amp;-K232,'Deposits AU NAB'!$L:$M,2,0),"")</f>
        <v/>
      </c>
      <c r="L233" s="114" t="str">
        <f>IFERROR(VLOOKUP($B233&amp;-L232,'Deposits AU NAB'!$L:$M,2,0),"")</f>
        <v/>
      </c>
      <c r="M233" s="114" t="str">
        <f>IFERROR(VLOOKUP($B233&amp;-M232,'Deposits AU NAB'!$L:$M,2,0),"")</f>
        <v/>
      </c>
      <c r="N233" s="114" t="str">
        <f>IFERROR(VLOOKUP($B233&amp;-N232,'Deposits AU NAB'!$L:$M,2,0),"")</f>
        <v/>
      </c>
      <c r="O233" s="114" t="str">
        <f>IFERROR(VLOOKUP($B233&amp;-O232,'Deposits AU NAB'!$L:$M,2,0),"")</f>
        <v/>
      </c>
      <c r="P233" s="114" t="str">
        <f>IFERROR(VLOOKUP($B233&amp;-P232,'Deposits AU NAB'!$L:$M,2,0),"")</f>
        <v/>
      </c>
      <c r="Q233" s="114" t="str">
        <f>IFERROR(VLOOKUP($B233&amp;-Q232,'Deposits AU NAB'!$L:$M,2,0),"")</f>
        <v/>
      </c>
    </row>
    <row r="234" spans="1:17" x14ac:dyDescent="0.2">
      <c r="A234" s="19" t="s">
        <v>51</v>
      </c>
      <c r="B234" s="71">
        <v>7078</v>
      </c>
      <c r="C234" s="246">
        <v>78</v>
      </c>
      <c r="D234" s="18" t="s">
        <v>10</v>
      </c>
      <c r="E234" s="36"/>
      <c r="F234" s="37"/>
      <c r="G234" s="34">
        <f t="shared" ref="G234:G235" si="387">SUM(H234:BX234)</f>
        <v>0</v>
      </c>
      <c r="H234" s="114">
        <f>H232-H231</f>
        <v>-769.6</v>
      </c>
      <c r="I234" s="114">
        <f t="shared" ref="I234:M234" si="388">I232-I231</f>
        <v>-754.2</v>
      </c>
      <c r="J234" s="114">
        <f t="shared" si="388"/>
        <v>-877.09999999999991</v>
      </c>
      <c r="K234" s="114">
        <f t="shared" si="388"/>
        <v>-982.59999999999991</v>
      </c>
      <c r="L234" s="114">
        <f t="shared" si="388"/>
        <v>-641.20000000000005</v>
      </c>
      <c r="M234" s="114">
        <f t="shared" si="388"/>
        <v>-1126.5</v>
      </c>
      <c r="N234" s="114">
        <f t="shared" ref="N234:O234" si="389">IF(N232=0,"",N232-N231)</f>
        <v>5151.2000000000007</v>
      </c>
      <c r="O234" s="114" t="str">
        <f t="shared" si="389"/>
        <v/>
      </c>
      <c r="P234" s="114" t="str">
        <f t="shared" ref="P234:Q234" si="390">IF(P232=0,"",P232-P231)</f>
        <v/>
      </c>
      <c r="Q234" s="114" t="str">
        <f t="shared" si="390"/>
        <v/>
      </c>
    </row>
    <row r="235" spans="1:17" x14ac:dyDescent="0.2">
      <c r="A235" s="19" t="s">
        <v>52</v>
      </c>
      <c r="B235" s="71">
        <v>7078</v>
      </c>
      <c r="C235" s="246">
        <v>78</v>
      </c>
      <c r="D235" s="18" t="s">
        <v>10</v>
      </c>
      <c r="E235" s="20"/>
      <c r="F235" s="20"/>
      <c r="G235" s="34">
        <f t="shared" si="387"/>
        <v>0</v>
      </c>
      <c r="H235" s="114" t="str">
        <f t="shared" ref="H235:I235" si="391">IFERROR(H233-H232,"")</f>
        <v/>
      </c>
      <c r="I235" s="114" t="str">
        <f t="shared" si="391"/>
        <v/>
      </c>
      <c r="J235" s="114" t="str">
        <f t="shared" ref="J235:K235" si="392">IFERROR(J233-J232,"")</f>
        <v/>
      </c>
      <c r="K235" s="114" t="str">
        <f t="shared" si="392"/>
        <v/>
      </c>
      <c r="L235" s="114" t="str">
        <f t="shared" ref="L235:M235" si="393">IFERROR(L233-L232,"")</f>
        <v/>
      </c>
      <c r="M235" s="114" t="str">
        <f t="shared" si="393"/>
        <v/>
      </c>
      <c r="N235" s="114" t="str">
        <f t="shared" ref="N235:O235" si="394">IFERROR(N233-N232,"")</f>
        <v/>
      </c>
      <c r="O235" s="114" t="str">
        <f t="shared" si="394"/>
        <v/>
      </c>
      <c r="P235" s="114" t="str">
        <f t="shared" ref="P235:Q235" si="395">IFERROR(P233-P232,"")</f>
        <v/>
      </c>
      <c r="Q235" s="114" t="str">
        <f t="shared" si="395"/>
        <v/>
      </c>
    </row>
    <row r="236" spans="1:17" x14ac:dyDescent="0.2">
      <c r="A236" s="38"/>
      <c r="B236" s="70"/>
      <c r="C236" s="245"/>
      <c r="D236" s="40"/>
      <c r="E236" s="41"/>
      <c r="F236" s="41"/>
      <c r="G236" s="42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</row>
    <row r="237" spans="1:17" x14ac:dyDescent="0.2">
      <c r="A237" s="19" t="s">
        <v>38</v>
      </c>
      <c r="B237" s="71">
        <v>7079</v>
      </c>
      <c r="C237" s="246">
        <v>79</v>
      </c>
      <c r="D237" s="18" t="s">
        <v>11</v>
      </c>
      <c r="E237" s="20"/>
      <c r="F237" s="20"/>
      <c r="G237" s="34"/>
      <c r="H237" s="114">
        <f>VLOOKUP(TEXT($B237,0),[1]BankRecData!$B$1:$O$5542,7,0)-VLOOKUP(TEXT($B237,0),[1]BankRecData!$B$1:$O$5542,8,0)</f>
        <v>137</v>
      </c>
      <c r="I237" s="114">
        <f>VLOOKUP(TEXT($B237,0),[2]BankRecData!$B$1:$O$5542,7,0)-VLOOKUP(TEXT($B237,0),[2]BankRecData!$B$1:$O$5542,8,0)</f>
        <v>97.25</v>
      </c>
      <c r="J237" s="114">
        <f>VLOOKUP(TEXT($B237,0),[3]BankRecData!$B$1:$O$5542,7,0)-VLOOKUP(TEXT($B237,0),[3]BankRecData!$B$1:$O$5542,8,0)</f>
        <v>316.25</v>
      </c>
      <c r="K237" s="114">
        <f>VLOOKUP(TEXT($B237,0),[4]BankRecData!$B$1:$O$5542,7,0)-VLOOKUP(TEXT($B237,0),[4]BankRecData!$B$1:$O$5542,8,0)</f>
        <v>489.6</v>
      </c>
      <c r="L237" s="114">
        <f>VLOOKUP(TEXT($B237,0),[5]BankRecData!$B$1:$O$5542,7,0)-VLOOKUP(TEXT($B237,0),[5]BankRecData!$B$1:$O$5542,8,0)</f>
        <v>241.70000000000005</v>
      </c>
      <c r="M237" s="114">
        <f>VLOOKUP(TEXT($B237,0),[6]BankRecData!$B$1:$O$5542,7,0)-VLOOKUP(TEXT($B237,0),[6]BankRecData!$B$1:$O$5542,8,0)</f>
        <v>518.25</v>
      </c>
      <c r="N237" s="114">
        <f>VLOOKUP(TEXT($B237,0),[7]BankRecData!$B$1:$O$5542,7,0)-VLOOKUP(TEXT($B237,0),[7]BankRecData!$B$1:$O$5542,8,0)</f>
        <v>283.64999999999998</v>
      </c>
      <c r="O237" s="114">
        <f>VLOOKUP(TEXT($B237,0),[8]BankRecData!$B$1:$O$5542,7,0)-VLOOKUP(TEXT($B237,0),[8]BankRecData!$B$1:$O$5542,8,0)</f>
        <v>542.25</v>
      </c>
      <c r="P237" s="114">
        <f>VLOOKUP(TEXT($B237,0),[9]BankRecData!$B$1:$O$5542,7,0)-VLOOKUP(TEXT($B237,0),[9]BankRecData!$B$1:$O$5542,8,0)</f>
        <v>207.95000000000005</v>
      </c>
      <c r="Q237" s="114">
        <f>VLOOKUP(TEXT($B237,0),[10]BankRecData!$B$1:$O$5542,7,0)-VLOOKUP(TEXT($B237,0),[10]BankRecData!$B$1:$O$5542,8,0)</f>
        <v>388.35</v>
      </c>
    </row>
    <row r="238" spans="1:17" x14ac:dyDescent="0.2">
      <c r="A238" s="19" t="s">
        <v>40</v>
      </c>
      <c r="B238" s="71">
        <v>7079</v>
      </c>
      <c r="C238" s="246">
        <v>79</v>
      </c>
      <c r="D238" s="18" t="s">
        <v>11</v>
      </c>
      <c r="E238" s="20"/>
      <c r="F238" s="20"/>
      <c r="G238" s="34"/>
      <c r="H238" s="114">
        <f>VLOOKUP(TEXT($B238,0),[1]BankRecData!$B$1:$O$5542,6,0)</f>
        <v>0</v>
      </c>
      <c r="I238" s="114">
        <f>VLOOKUP(TEXT($B238,0),[2]BankRecData!$B$1:$O$5542,6,0)</f>
        <v>0</v>
      </c>
      <c r="J238" s="114">
        <f>VLOOKUP(TEXT($B238,0),[3]BankRecData!$B$1:$O$5542,6,0)</f>
        <v>0</v>
      </c>
      <c r="K238" s="114">
        <f>VLOOKUP(TEXT($B238,0),[4]BankRecData!$B$1:$O$5542,6,0)</f>
        <v>0</v>
      </c>
      <c r="L238" s="114">
        <f>VLOOKUP(TEXT($B238,0),[5]BankRecData!$B$1:$O$5542,6,0)</f>
        <v>0</v>
      </c>
      <c r="M238" s="114">
        <f>VLOOKUP(TEXT($B238,0),[6]BankRecData!$B$1:$O$5542,6,0)</f>
        <v>0</v>
      </c>
      <c r="N238" s="114">
        <f>VLOOKUP(TEXT($B238,0),[7]BankRecData!$B$1:$O$5542,6,0)</f>
        <v>0</v>
      </c>
      <c r="O238" s="114">
        <f>VLOOKUP(TEXT($B238,0),[8]BankRecData!$B$1:$O$5542,6,0)</f>
        <v>0</v>
      </c>
      <c r="P238" s="114">
        <f>VLOOKUP(TEXT($B238,0),[9]BankRecData!$B$1:$O$5542,6,0)</f>
        <v>0</v>
      </c>
      <c r="Q238" s="114">
        <f>VLOOKUP(TEXT($B238,0),[10]BankRecData!$B$1:$O$5542,6,0)</f>
        <v>0</v>
      </c>
    </row>
    <row r="239" spans="1:17" x14ac:dyDescent="0.2">
      <c r="A239" s="19" t="s">
        <v>39</v>
      </c>
      <c r="B239" s="71">
        <v>7079</v>
      </c>
      <c r="C239" s="246">
        <v>79</v>
      </c>
      <c r="D239" s="18" t="s">
        <v>11</v>
      </c>
      <c r="E239" s="20"/>
      <c r="F239" s="20"/>
      <c r="G239" s="34"/>
      <c r="H239" s="114">
        <f>IFERROR(VLOOKUP($B239&amp;-H$1,FX!$U:$V,2,0),0)</f>
        <v>0</v>
      </c>
      <c r="I239" s="114">
        <f>IFERROR(VLOOKUP($B239&amp;-I$1,FX!$U:$V,2,0),0)</f>
        <v>0</v>
      </c>
      <c r="J239" s="114">
        <f>IFERROR(VLOOKUP($B239&amp;-J$1,FX!$U:$V,2,0),0)</f>
        <v>0</v>
      </c>
      <c r="K239" s="114">
        <f>IFERROR(VLOOKUP($B239&amp;-K$1,FX!$U:$V,2,0),0)</f>
        <v>0</v>
      </c>
      <c r="L239" s="114">
        <f>IFERROR(VLOOKUP($B239&amp;-L$1,FX!$U:$V,2,0),0)</f>
        <v>0</v>
      </c>
      <c r="M239" s="114">
        <f>IFERROR(VLOOKUP($B239&amp;-M$1,FX!$U:$V,2,0),0)</f>
        <v>0</v>
      </c>
      <c r="N239" s="114">
        <f>IFERROR(VLOOKUP($B239&amp;-N$1,FX!$U:$V,2,0),0)</f>
        <v>0</v>
      </c>
      <c r="O239" s="114">
        <f>IFERROR(VLOOKUP($B239&amp;-O$1,FX!$U:$V,2,0),0)</f>
        <v>0</v>
      </c>
      <c r="P239" s="114">
        <f>IFERROR(VLOOKUP($B239&amp;-P$1,FX!$U:$V,2,0),0)</f>
        <v>0</v>
      </c>
      <c r="Q239" s="114">
        <f>IFERROR(VLOOKUP($B239&amp;-Q$1,FX!$U:$V,2,0),0)</f>
        <v>0</v>
      </c>
    </row>
    <row r="240" spans="1:17" x14ac:dyDescent="0.2">
      <c r="A240" s="19" t="s">
        <v>34</v>
      </c>
      <c r="B240" s="71">
        <v>7079</v>
      </c>
      <c r="C240" s="246">
        <v>79</v>
      </c>
      <c r="D240" s="18" t="s">
        <v>11</v>
      </c>
      <c r="E240" s="20"/>
      <c r="F240" s="20"/>
      <c r="G240" s="34"/>
      <c r="H240" s="114">
        <f t="shared" ref="H240:I240" si="396">H239-H238+H237</f>
        <v>137</v>
      </c>
      <c r="I240" s="114">
        <f t="shared" si="396"/>
        <v>97.25</v>
      </c>
      <c r="J240" s="114">
        <f t="shared" ref="J240:K240" si="397">J239-J238+J237</f>
        <v>316.25</v>
      </c>
      <c r="K240" s="114">
        <f t="shared" si="397"/>
        <v>489.6</v>
      </c>
      <c r="L240" s="114">
        <f t="shared" ref="L240:M240" si="398">L239-L238+L237</f>
        <v>241.70000000000005</v>
      </c>
      <c r="M240" s="114">
        <f t="shared" si="398"/>
        <v>518.25</v>
      </c>
      <c r="N240" s="114">
        <f t="shared" ref="N240:O240" si="399">N239-N238+N237</f>
        <v>283.64999999999998</v>
      </c>
      <c r="O240" s="114">
        <f t="shared" si="399"/>
        <v>542.25</v>
      </c>
      <c r="P240" s="114">
        <f t="shared" ref="P240:Q240" si="400">P239-P238+P237</f>
        <v>207.95000000000005</v>
      </c>
      <c r="Q240" s="114">
        <f t="shared" si="400"/>
        <v>388.35</v>
      </c>
    </row>
    <row r="241" spans="1:17" x14ac:dyDescent="0.2">
      <c r="A241" s="19" t="s">
        <v>35</v>
      </c>
      <c r="B241" s="71">
        <v>7079</v>
      </c>
      <c r="C241" s="246">
        <v>79</v>
      </c>
      <c r="D241" s="18" t="s">
        <v>11</v>
      </c>
      <c r="E241" s="20"/>
      <c r="F241" s="35">
        <f>COUNTIF(H241:H241,"=0")</f>
        <v>1</v>
      </c>
      <c r="G241" s="34"/>
      <c r="H241" s="114">
        <f>SUMIF('Bank Deposit List'!$K:$K,$B241&amp;-H$1,'Bank Deposit List'!$L:$L)</f>
        <v>0</v>
      </c>
      <c r="I241" s="114">
        <f>SUMIF('Bank Deposit List'!$K:$K,$B241&amp;-I$1,'Bank Deposit List'!$L:$L)</f>
        <v>0</v>
      </c>
      <c r="J241" s="114">
        <f>SUMIF('Bank Deposit List'!$K:$K,$B241&amp;-J$1,'Bank Deposit List'!$L:$L)</f>
        <v>0</v>
      </c>
      <c r="K241" s="114">
        <f>SUMIF('Bank Deposit List'!$K:$K,$B241&amp;-K$1,'Bank Deposit List'!$L:$L)</f>
        <v>0</v>
      </c>
      <c r="L241" s="114">
        <f>SUMIF('Bank Deposit List'!$K:$K,$B241&amp;-L$1,'Bank Deposit List'!$L:$L)</f>
        <v>0</v>
      </c>
      <c r="M241" s="114">
        <f>SUMIF('Bank Deposit List'!$K:$K,$B241&amp;-M$1,'Bank Deposit List'!$L:$L)</f>
        <v>0</v>
      </c>
      <c r="N241" s="114">
        <f>SUMIF('Bank Deposit List'!$K:$K,$B241&amp;-N$1,'Bank Deposit List'!$L:$L)</f>
        <v>2083.6999999999998</v>
      </c>
      <c r="O241" s="114">
        <f>SUMIF('Bank Deposit List'!$K:$K,$B241&amp;-O$1,'Bank Deposit List'!$L:$L)</f>
        <v>0</v>
      </c>
      <c r="P241" s="114">
        <f>SUMIF('Bank Deposit List'!$K:$K,$B241&amp;-P$1,'Bank Deposit List'!$L:$L)</f>
        <v>0</v>
      </c>
      <c r="Q241" s="114">
        <f>SUMIF('Bank Deposit List'!$K:$K,$B241&amp;-Q$1,'Bank Deposit List'!$L:$L)</f>
        <v>0</v>
      </c>
    </row>
    <row r="242" spans="1:17" x14ac:dyDescent="0.2">
      <c r="A242" s="19" t="s">
        <v>37</v>
      </c>
      <c r="B242" s="71">
        <v>7079</v>
      </c>
      <c r="C242" s="246">
        <v>79</v>
      </c>
      <c r="D242" s="18" t="s">
        <v>11</v>
      </c>
      <c r="E242" s="36">
        <f>(COUNT(H195:CH195)-COUNT(H197:CH197))</f>
        <v>0</v>
      </c>
      <c r="F242" s="37"/>
      <c r="G242" s="34"/>
      <c r="H242" s="114" t="str">
        <f>IFERROR(VLOOKUP($B242&amp;-H241,'Deposits AU NAB'!$L:$M,2,0),"")</f>
        <v/>
      </c>
      <c r="I242" s="114" t="str">
        <f>IFERROR(VLOOKUP($B242&amp;-I241,'Deposits AU NAB'!$L:$M,2,0),"")</f>
        <v/>
      </c>
      <c r="J242" s="114" t="str">
        <f>IFERROR(VLOOKUP($B242&amp;-J241,'Deposits AU NAB'!$L:$M,2,0),"")</f>
        <v/>
      </c>
      <c r="K242" s="114" t="str">
        <f>IFERROR(VLOOKUP($B242&amp;-K241,'Deposits AU NAB'!$L:$M,2,0),"")</f>
        <v/>
      </c>
      <c r="L242" s="114" t="str">
        <f>IFERROR(VLOOKUP($B242&amp;-L241,'Deposits AU NAB'!$L:$M,2,0),"")</f>
        <v/>
      </c>
      <c r="M242" s="114" t="str">
        <f>IFERROR(VLOOKUP($B242&amp;-M241,'Deposits AU NAB'!$L:$M,2,0),"")</f>
        <v/>
      </c>
      <c r="N242" s="114" t="str">
        <f>IFERROR(VLOOKUP($B242&amp;-N241,'Deposits AU NAB'!$L:$M,2,0),"")</f>
        <v/>
      </c>
      <c r="O242" s="114" t="str">
        <f>IFERROR(VLOOKUP($B242&amp;-O241,'Deposits AU NAB'!$L:$M,2,0),"")</f>
        <v/>
      </c>
      <c r="P242" s="114" t="str">
        <f>IFERROR(VLOOKUP($B242&amp;-P241,'Deposits AU NAB'!$L:$M,2,0),"")</f>
        <v/>
      </c>
      <c r="Q242" s="114" t="str">
        <f>IFERROR(VLOOKUP($B242&amp;-Q241,'Deposits AU NAB'!$L:$M,2,0),"")</f>
        <v/>
      </c>
    </row>
    <row r="243" spans="1:17" x14ac:dyDescent="0.2">
      <c r="A243" s="19" t="s">
        <v>51</v>
      </c>
      <c r="B243" s="71">
        <v>7079</v>
      </c>
      <c r="C243" s="246">
        <v>79</v>
      </c>
      <c r="D243" s="18" t="s">
        <v>11</v>
      </c>
      <c r="E243" s="36"/>
      <c r="F243" s="37"/>
      <c r="G243" s="34">
        <f t="shared" ref="G243:G244" si="401">SUM(H243:BX243)</f>
        <v>0</v>
      </c>
      <c r="H243" s="114">
        <f>H241-H240</f>
        <v>-137</v>
      </c>
      <c r="I243" s="114">
        <f t="shared" ref="I243:M243" si="402">I241-I240</f>
        <v>-97.25</v>
      </c>
      <c r="J243" s="114">
        <f t="shared" si="402"/>
        <v>-316.25</v>
      </c>
      <c r="K243" s="114">
        <f t="shared" si="402"/>
        <v>-489.6</v>
      </c>
      <c r="L243" s="114">
        <f t="shared" si="402"/>
        <v>-241.70000000000005</v>
      </c>
      <c r="M243" s="114">
        <f t="shared" si="402"/>
        <v>-518.25</v>
      </c>
      <c r="N243" s="114">
        <f t="shared" ref="N243:O243" si="403">IF(N241=0,"",N241-N240)</f>
        <v>1800.0499999999997</v>
      </c>
      <c r="O243" s="114" t="str">
        <f t="shared" si="403"/>
        <v/>
      </c>
      <c r="P243" s="114" t="str">
        <f t="shared" ref="P243:Q243" si="404">IF(P241=0,"",P241-P240)</f>
        <v/>
      </c>
      <c r="Q243" s="114" t="str">
        <f t="shared" si="404"/>
        <v/>
      </c>
    </row>
    <row r="244" spans="1:17" x14ac:dyDescent="0.2">
      <c r="A244" s="19" t="s">
        <v>52</v>
      </c>
      <c r="B244" s="71">
        <v>7079</v>
      </c>
      <c r="C244" s="246">
        <v>79</v>
      </c>
      <c r="D244" s="18" t="s">
        <v>11</v>
      </c>
      <c r="E244" s="20"/>
      <c r="F244" s="20"/>
      <c r="G244" s="34">
        <f t="shared" si="401"/>
        <v>0</v>
      </c>
      <c r="H244" s="114" t="str">
        <f t="shared" ref="H244:I244" si="405">IFERROR(H242-H241,"")</f>
        <v/>
      </c>
      <c r="I244" s="114" t="str">
        <f t="shared" si="405"/>
        <v/>
      </c>
      <c r="J244" s="114" t="str">
        <f t="shared" ref="J244:K244" si="406">IFERROR(J242-J241,"")</f>
        <v/>
      </c>
      <c r="K244" s="114" t="str">
        <f t="shared" si="406"/>
        <v/>
      </c>
      <c r="L244" s="114" t="str">
        <f t="shared" ref="L244:M244" si="407">IFERROR(L242-L241,"")</f>
        <v/>
      </c>
      <c r="M244" s="114" t="str">
        <f t="shared" si="407"/>
        <v/>
      </c>
      <c r="N244" s="114" t="str">
        <f t="shared" ref="N244:O244" si="408">IFERROR(N242-N241,"")</f>
        <v/>
      </c>
      <c r="O244" s="114" t="str">
        <f t="shared" si="408"/>
        <v/>
      </c>
      <c r="P244" s="114" t="str">
        <f t="shared" ref="P244:Q244" si="409">IFERROR(P242-P241,"")</f>
        <v/>
      </c>
      <c r="Q244" s="114" t="str">
        <f t="shared" si="409"/>
        <v/>
      </c>
    </row>
    <row r="245" spans="1:17" x14ac:dyDescent="0.2">
      <c r="A245" s="38" t="s">
        <v>38</v>
      </c>
      <c r="B245" s="70"/>
      <c r="C245" s="245"/>
      <c r="D245" s="40"/>
      <c r="E245" s="41"/>
      <c r="F245" s="41"/>
      <c r="G245" s="42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</row>
    <row r="246" spans="1:17" x14ac:dyDescent="0.2">
      <c r="A246" s="38"/>
      <c r="B246" s="70"/>
      <c r="C246" s="245"/>
      <c r="D246" s="40"/>
      <c r="E246" s="41"/>
      <c r="F246" s="41"/>
      <c r="G246" s="42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</row>
    <row r="247" spans="1:17" x14ac:dyDescent="0.2">
      <c r="A247" s="19" t="s">
        <v>38</v>
      </c>
      <c r="B247" s="71">
        <v>8305</v>
      </c>
      <c r="C247" s="246">
        <v>30</v>
      </c>
      <c r="D247" s="18" t="s">
        <v>29</v>
      </c>
      <c r="E247" s="20"/>
      <c r="F247" s="20"/>
      <c r="G247" s="34"/>
      <c r="H247" s="114">
        <f>VLOOKUP(TEXT($B247,0),[1]BankRecData!$B$1:$O$5542,7,0)-VLOOKUP(TEXT($B247,0),[1]BankRecData!$B$1:$O$5542,8,0)</f>
        <v>539.25</v>
      </c>
      <c r="I247" s="114">
        <f>VLOOKUP(TEXT($B247,0),[2]BankRecData!$B$1:$O$5542,7,0)-VLOOKUP(TEXT($B247,0),[2]BankRecData!$B$1:$O$5542,8,0)</f>
        <v>28.5</v>
      </c>
      <c r="J247" s="114">
        <f>VLOOKUP(TEXT($B247,0),[3]BankRecData!$B$1:$O$5542,7,0)-VLOOKUP(TEXT($B247,0),[3]BankRecData!$B$1:$O$5542,8,0)</f>
        <v>108.89999999999998</v>
      </c>
      <c r="K247" s="114">
        <f>VLOOKUP(TEXT($B247,0),[4]BankRecData!$B$1:$O$5542,7,0)-VLOOKUP(TEXT($B247,0),[4]BankRecData!$B$1:$O$5542,8,0)</f>
        <v>189.10000000000002</v>
      </c>
      <c r="L247" s="114">
        <f>VLOOKUP(TEXT($B247,0),[5]BankRecData!$B$1:$O$5542,7,0)-VLOOKUP(TEXT($B247,0),[5]BankRecData!$B$1:$O$5542,8,0)</f>
        <v>27.699999999999989</v>
      </c>
      <c r="M247" s="114">
        <f>VLOOKUP(TEXT($B247,0),[6]BankRecData!$B$1:$O$5542,7,0)-VLOOKUP(TEXT($B247,0),[6]BankRecData!$B$1:$O$5542,8,0)</f>
        <v>217.35000000000002</v>
      </c>
      <c r="N247" s="114">
        <f>VLOOKUP(TEXT($B247,0),[7]BankRecData!$B$1:$O$5542,7,0)-VLOOKUP(TEXT($B247,0),[7]BankRecData!$B$1:$O$5542,8,0)</f>
        <v>261.75</v>
      </c>
      <c r="O247" s="114">
        <f>VLOOKUP(TEXT($B247,0),[8]BankRecData!$B$1:$O$5542,7,0)-VLOOKUP(TEXT($B247,0),[8]BankRecData!$B$1:$O$5542,8,0)</f>
        <v>171.04999999999995</v>
      </c>
      <c r="P247" s="114">
        <f>VLOOKUP(TEXT($B247,0),[9]BankRecData!$B$1:$O$5542,7,0)-VLOOKUP(TEXT($B247,0),[9]BankRecData!$B$1:$O$5542,8,0)</f>
        <v>193.89999999999998</v>
      </c>
      <c r="Q247" s="114">
        <f>VLOOKUP(TEXT($B247,0),[10]BankRecData!$B$1:$O$5542,7,0)-VLOOKUP(TEXT($B247,0),[10]BankRecData!$B$1:$O$5542,8,0)</f>
        <v>154.64999999999998</v>
      </c>
    </row>
    <row r="248" spans="1:17" x14ac:dyDescent="0.2">
      <c r="A248" s="19" t="s">
        <v>40</v>
      </c>
      <c r="B248" s="71">
        <v>8305</v>
      </c>
      <c r="C248" s="246">
        <v>30</v>
      </c>
      <c r="D248" s="18" t="s">
        <v>29</v>
      </c>
      <c r="E248" s="20"/>
      <c r="F248" s="20"/>
      <c r="G248" s="34"/>
      <c r="H248" s="114">
        <f>VLOOKUP(TEXT($B248,0),[1]BankRecData!$B$1:$O$5542,6,0)</f>
        <v>0</v>
      </c>
      <c r="I248" s="114">
        <f>VLOOKUP(TEXT($B248,0),[2]BankRecData!$B$1:$O$5542,6,0)</f>
        <v>0</v>
      </c>
      <c r="J248" s="114">
        <f>VLOOKUP(TEXT($B248,0),[3]BankRecData!$B$1:$O$5542,6,0)</f>
        <v>0</v>
      </c>
      <c r="K248" s="114">
        <f>VLOOKUP(TEXT($B248,0),[4]BankRecData!$B$1:$O$5542,6,0)</f>
        <v>0</v>
      </c>
      <c r="L248" s="114">
        <f>VLOOKUP(TEXT($B248,0),[5]BankRecData!$B$1:$O$5542,6,0)</f>
        <v>0</v>
      </c>
      <c r="M248" s="114">
        <f>VLOOKUP(TEXT($B248,0),[6]BankRecData!$B$1:$O$5542,6,0)</f>
        <v>0</v>
      </c>
      <c r="N248" s="114">
        <f>VLOOKUP(TEXT($B248,0),[7]BankRecData!$B$1:$O$5542,6,0)</f>
        <v>0</v>
      </c>
      <c r="O248" s="114">
        <f>VLOOKUP(TEXT($B248,0),[8]BankRecData!$B$1:$O$5542,6,0)</f>
        <v>0</v>
      </c>
      <c r="P248" s="114">
        <f>VLOOKUP(TEXT($B248,0),[9]BankRecData!$B$1:$O$5542,6,0)</f>
        <v>0</v>
      </c>
      <c r="Q248" s="114">
        <f>VLOOKUP(TEXT($B248,0),[10]BankRecData!$B$1:$O$5542,6,0)</f>
        <v>0</v>
      </c>
    </row>
    <row r="249" spans="1:17" x14ac:dyDescent="0.2">
      <c r="A249" s="19" t="s">
        <v>39</v>
      </c>
      <c r="B249" s="71">
        <v>8305</v>
      </c>
      <c r="C249" s="246">
        <v>30</v>
      </c>
      <c r="D249" s="18" t="s">
        <v>29</v>
      </c>
      <c r="E249" s="20"/>
      <c r="F249" s="20"/>
      <c r="G249" s="34"/>
      <c r="H249" s="114">
        <f>IFERROR(VLOOKUP($B249&amp;-H$1,FX!$U:$V,2,0),0)</f>
        <v>0</v>
      </c>
      <c r="I249" s="114">
        <f>IFERROR(VLOOKUP($B249&amp;-I$1,FX!$U:$V,2,0),0)</f>
        <v>0</v>
      </c>
      <c r="J249" s="114">
        <f>IFERROR(VLOOKUP($B249&amp;-J$1,FX!$U:$V,2,0),0)</f>
        <v>0</v>
      </c>
      <c r="K249" s="114">
        <f>IFERROR(VLOOKUP($B249&amp;-K$1,FX!$U:$V,2,0),0)</f>
        <v>0</v>
      </c>
      <c r="L249" s="114">
        <f>IFERROR(VLOOKUP($B249&amp;-L$1,FX!$U:$V,2,0),0)</f>
        <v>0</v>
      </c>
      <c r="M249" s="114">
        <f>IFERROR(VLOOKUP($B249&amp;-M$1,FX!$U:$V,2,0),0)</f>
        <v>0</v>
      </c>
      <c r="N249" s="114">
        <f>IFERROR(VLOOKUP($B249&amp;-N$1,FX!$U:$V,2,0),0)</f>
        <v>0</v>
      </c>
      <c r="O249" s="114">
        <f>IFERROR(VLOOKUP($B249&amp;-O$1,FX!$U:$V,2,0),0)</f>
        <v>0</v>
      </c>
      <c r="P249" s="114">
        <f>IFERROR(VLOOKUP($B249&amp;-P$1,FX!$U:$V,2,0),0)</f>
        <v>0</v>
      </c>
      <c r="Q249" s="114">
        <f>IFERROR(VLOOKUP($B249&amp;-Q$1,FX!$U:$V,2,0),0)</f>
        <v>0</v>
      </c>
    </row>
    <row r="250" spans="1:17" x14ac:dyDescent="0.2">
      <c r="A250" s="19" t="s">
        <v>34</v>
      </c>
      <c r="B250" s="71">
        <v>8305</v>
      </c>
      <c r="C250" s="246">
        <v>30</v>
      </c>
      <c r="D250" s="18" t="s">
        <v>29</v>
      </c>
      <c r="E250" s="20"/>
      <c r="F250" s="20"/>
      <c r="G250" s="34"/>
      <c r="H250" s="114">
        <f t="shared" ref="H250:I250" si="410">H249-H248+H247</f>
        <v>539.25</v>
      </c>
      <c r="I250" s="114">
        <f t="shared" si="410"/>
        <v>28.5</v>
      </c>
      <c r="J250" s="114">
        <f t="shared" ref="J250:K250" si="411">J249-J248+J247</f>
        <v>108.89999999999998</v>
      </c>
      <c r="K250" s="114">
        <f t="shared" si="411"/>
        <v>189.10000000000002</v>
      </c>
      <c r="L250" s="114">
        <f t="shared" ref="L250:M250" si="412">L249-L248+L247</f>
        <v>27.699999999999989</v>
      </c>
      <c r="M250" s="114">
        <f t="shared" si="412"/>
        <v>217.35000000000002</v>
      </c>
      <c r="N250" s="114">
        <f t="shared" ref="N250:O250" si="413">N249-N248+N247</f>
        <v>261.75</v>
      </c>
      <c r="O250" s="114">
        <f t="shared" si="413"/>
        <v>171.04999999999995</v>
      </c>
      <c r="P250" s="114">
        <f t="shared" ref="P250:Q250" si="414">P249-P248+P247</f>
        <v>193.89999999999998</v>
      </c>
      <c r="Q250" s="114">
        <f t="shared" si="414"/>
        <v>154.64999999999998</v>
      </c>
    </row>
    <row r="251" spans="1:17" x14ac:dyDescent="0.2">
      <c r="A251" s="19" t="s">
        <v>35</v>
      </c>
      <c r="B251" s="71">
        <v>8305</v>
      </c>
      <c r="C251" s="246">
        <v>30</v>
      </c>
      <c r="D251" s="18" t="s">
        <v>29</v>
      </c>
      <c r="E251" s="20"/>
      <c r="F251" s="35">
        <f>COUNTIF(H251:H251,"=0")</f>
        <v>1</v>
      </c>
      <c r="G251" s="34"/>
      <c r="H251" s="114">
        <f>SUMIF('Bank Deposit List'!$K:$K,$B251&amp;-H$1,'Bank Deposit List'!$L:$L)</f>
        <v>0</v>
      </c>
      <c r="I251" s="114">
        <f>SUMIF('Bank Deposit List'!$K:$K,$B251&amp;-I$1,'Bank Deposit List'!$L:$L)</f>
        <v>0</v>
      </c>
      <c r="J251" s="114">
        <f>SUMIF('Bank Deposit List'!$K:$K,$B251&amp;-J$1,'Bank Deposit List'!$L:$L)</f>
        <v>0</v>
      </c>
      <c r="K251" s="114">
        <f>SUMIF('Bank Deposit List'!$K:$K,$B251&amp;-K$1,'Bank Deposit List'!$L:$L)</f>
        <v>0</v>
      </c>
      <c r="L251" s="114">
        <f>SUMIF('Bank Deposit List'!$K:$K,$B251&amp;-L$1,'Bank Deposit List'!$L:$L)</f>
        <v>0</v>
      </c>
      <c r="M251" s="114">
        <f>SUMIF('Bank Deposit List'!$K:$K,$B251&amp;-M$1,'Bank Deposit List'!$L:$L)</f>
        <v>0</v>
      </c>
      <c r="N251" s="114">
        <f>SUMIF('Bank Deposit List'!$K:$K,$B251&amp;-N$1,'Bank Deposit List'!$L:$L)</f>
        <v>0</v>
      </c>
      <c r="O251" s="114">
        <f>SUMIF('Bank Deposit List'!$K:$K,$B251&amp;-O$1,'Bank Deposit List'!$L:$L)</f>
        <v>0</v>
      </c>
      <c r="P251" s="114">
        <f>SUMIF('Bank Deposit List'!$K:$K,$B251&amp;-P$1,'Bank Deposit List'!$L:$L)</f>
        <v>0</v>
      </c>
      <c r="Q251" s="114">
        <f>SUMIF('Bank Deposit List'!$K:$K,$B251&amp;-Q$1,'Bank Deposit List'!$L:$L)</f>
        <v>0</v>
      </c>
    </row>
    <row r="252" spans="1:17" x14ac:dyDescent="0.2">
      <c r="A252" s="19" t="s">
        <v>37</v>
      </c>
      <c r="B252" s="71">
        <v>8305</v>
      </c>
      <c r="C252" s="246">
        <v>30</v>
      </c>
      <c r="D252" s="18" t="s">
        <v>29</v>
      </c>
      <c r="E252" s="36">
        <f>(COUNT(H203:CH203)-COUNT(H205:CH205))</f>
        <v>10</v>
      </c>
      <c r="F252" s="37"/>
      <c r="G252" s="34"/>
      <c r="H252" s="114" t="str">
        <f>IFERROR(VLOOKUP($B252&amp;-H251,'Deposits AU NAB'!$L:$M,2,0),"")</f>
        <v/>
      </c>
      <c r="I252" s="114" t="str">
        <f>IFERROR(VLOOKUP($B252&amp;-I251,'Deposits AU NAB'!$L:$M,2,0),"")</f>
        <v/>
      </c>
      <c r="J252" s="114" t="str">
        <f>IFERROR(VLOOKUP($B252&amp;-J251,'Deposits AU NAB'!$L:$M,2,0),"")</f>
        <v/>
      </c>
      <c r="K252" s="114" t="str">
        <f>IFERROR(VLOOKUP($B252&amp;-K251,'Deposits AU NAB'!$L:$M,2,0),"")</f>
        <v/>
      </c>
      <c r="L252" s="114" t="str">
        <f>IFERROR(VLOOKUP($B252&amp;-L251,'Deposits AU NAB'!$L:$M,2,0),"")</f>
        <v/>
      </c>
      <c r="M252" s="114" t="str">
        <f>IFERROR(VLOOKUP($B252&amp;-M251,'Deposits AU NAB'!$L:$M,2,0),"")</f>
        <v/>
      </c>
      <c r="N252" s="114" t="str">
        <f>IFERROR(VLOOKUP($B252&amp;-N251,'Deposits AU NAB'!$L:$M,2,0),"")</f>
        <v/>
      </c>
      <c r="O252" s="114" t="str">
        <f>IFERROR(VLOOKUP($B252&amp;-O251,'Deposits AU NAB'!$L:$M,2,0),"")</f>
        <v/>
      </c>
      <c r="P252" s="114" t="str">
        <f>IFERROR(VLOOKUP($B252&amp;-P251,'Deposits AU NAB'!$L:$M,2,0),"")</f>
        <v/>
      </c>
      <c r="Q252" s="114" t="str">
        <f>IFERROR(VLOOKUP($B252&amp;-Q251,'Deposits AU NAB'!$L:$M,2,0),"")</f>
        <v/>
      </c>
    </row>
    <row r="253" spans="1:17" x14ac:dyDescent="0.2">
      <c r="A253" s="19" t="s">
        <v>51</v>
      </c>
      <c r="B253" s="71">
        <v>8305</v>
      </c>
      <c r="C253" s="246">
        <v>30</v>
      </c>
      <c r="D253" s="18" t="s">
        <v>29</v>
      </c>
      <c r="E253" s="36"/>
      <c r="F253" s="37"/>
      <c r="G253" s="34">
        <f t="shared" ref="G253:G254" si="415">SUM(H253:BX253)</f>
        <v>0</v>
      </c>
      <c r="H253" s="114" t="str">
        <f t="shared" ref="H253:I253" si="416">IF(H251=0,"",H251-H250)</f>
        <v/>
      </c>
      <c r="I253" s="114" t="str">
        <f t="shared" si="416"/>
        <v/>
      </c>
      <c r="J253" s="114" t="str">
        <f t="shared" ref="J253:K253" si="417">IF(J251=0,"",J251-J250)</f>
        <v/>
      </c>
      <c r="K253" s="114" t="str">
        <f t="shared" si="417"/>
        <v/>
      </c>
      <c r="L253" s="114" t="str">
        <f t="shared" ref="L253:M253" si="418">IF(L251=0,"",L251-L250)</f>
        <v/>
      </c>
      <c r="M253" s="114" t="str">
        <f t="shared" si="418"/>
        <v/>
      </c>
      <c r="N253" s="114" t="str">
        <f t="shared" ref="N253:O253" si="419">IF(N251=0,"",N251-N250)</f>
        <v/>
      </c>
      <c r="O253" s="114" t="str">
        <f t="shared" si="419"/>
        <v/>
      </c>
      <c r="P253" s="114" t="str">
        <f t="shared" ref="P253:Q253" si="420">IF(P251=0,"",P251-P250)</f>
        <v/>
      </c>
      <c r="Q253" s="114" t="str">
        <f t="shared" si="420"/>
        <v/>
      </c>
    </row>
    <row r="254" spans="1:17" x14ac:dyDescent="0.2">
      <c r="A254" s="19" t="s">
        <v>52</v>
      </c>
      <c r="B254" s="71">
        <v>8305</v>
      </c>
      <c r="C254" s="246">
        <v>30</v>
      </c>
      <c r="D254" s="18" t="s">
        <v>29</v>
      </c>
      <c r="E254" s="20"/>
      <c r="F254" s="20"/>
      <c r="G254" s="34">
        <f t="shared" si="415"/>
        <v>0</v>
      </c>
      <c r="H254" s="114" t="str">
        <f t="shared" ref="H254:I254" si="421">IFERROR(H252-H251,"")</f>
        <v/>
      </c>
      <c r="I254" s="114" t="str">
        <f t="shared" si="421"/>
        <v/>
      </c>
      <c r="J254" s="114" t="str">
        <f t="shared" ref="J254:K254" si="422">IFERROR(J252-J251,"")</f>
        <v/>
      </c>
      <c r="K254" s="114" t="str">
        <f t="shared" si="422"/>
        <v/>
      </c>
      <c r="L254" s="114" t="str">
        <f t="shared" ref="L254:M254" si="423">IFERROR(L252-L251,"")</f>
        <v/>
      </c>
      <c r="M254" s="114" t="str">
        <f t="shared" si="423"/>
        <v/>
      </c>
      <c r="N254" s="114" t="str">
        <f t="shared" ref="N254:O254" si="424">IFERROR(N252-N251,"")</f>
        <v/>
      </c>
      <c r="O254" s="114" t="str">
        <f t="shared" si="424"/>
        <v/>
      </c>
      <c r="P254" s="114" t="str">
        <f t="shared" ref="P254:Q254" si="425">IFERROR(P252-P251,"")</f>
        <v/>
      </c>
      <c r="Q254" s="114" t="str">
        <f t="shared" si="425"/>
        <v/>
      </c>
    </row>
    <row r="255" spans="1:17" x14ac:dyDescent="0.2">
      <c r="A255" s="38" t="s">
        <v>38</v>
      </c>
      <c r="B255" s="70"/>
      <c r="C255" s="245"/>
      <c r="D255" s="40"/>
      <c r="E255" s="41"/>
      <c r="F255" s="41"/>
      <c r="G255" s="42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</row>
    <row r="256" spans="1:17" x14ac:dyDescent="0.2">
      <c r="A256" s="38"/>
      <c r="B256" s="70"/>
      <c r="C256" s="245"/>
      <c r="D256" s="40"/>
      <c r="E256" s="41"/>
      <c r="F256" s="41"/>
      <c r="G256" s="42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</row>
    <row r="257" spans="1:17" x14ac:dyDescent="0.2">
      <c r="A257" s="19" t="s">
        <v>38</v>
      </c>
      <c r="B257" s="71">
        <v>8188</v>
      </c>
      <c r="C257" s="246">
        <v>188</v>
      </c>
      <c r="D257" s="18" t="s">
        <v>63</v>
      </c>
      <c r="E257" s="20"/>
      <c r="F257" s="20"/>
      <c r="G257" s="34"/>
      <c r="H257" s="114">
        <f>VLOOKUP(TEXT($B257,0),[1]BankRecData!$B$1:$O$5542,7,0)-VLOOKUP(TEXT($B257,0),[1]BankRecData!$B$1:$O$5542,8,0)</f>
        <v>1643.65</v>
      </c>
      <c r="I257" s="114">
        <f>VLOOKUP(TEXT($B257,0),[2]BankRecData!$B$1:$O$5542,7,0)-VLOOKUP(TEXT($B257,0),[2]BankRecData!$B$1:$O$5542,8,0)</f>
        <v>1883.25</v>
      </c>
      <c r="J257" s="114">
        <f>VLOOKUP(TEXT($B257,0),[3]BankRecData!$B$1:$O$5542,7,0)-VLOOKUP(TEXT($B257,0),[3]BankRecData!$B$1:$O$5542,8,0)</f>
        <v>1905.1</v>
      </c>
      <c r="K257" s="114">
        <f>VLOOKUP(TEXT($B257,0),[4]BankRecData!$B$1:$O$5542,7,0)-VLOOKUP(TEXT($B257,0),[4]BankRecData!$B$1:$O$5542,8,0)</f>
        <v>2171.75</v>
      </c>
      <c r="L257" s="114">
        <f>VLOOKUP(TEXT($B257,0),[5]BankRecData!$B$1:$O$5542,7,0)-VLOOKUP(TEXT($B257,0),[5]BankRecData!$B$1:$O$5542,8,0)</f>
        <v>1645.1</v>
      </c>
      <c r="M257" s="114">
        <f>VLOOKUP(TEXT($B257,0),[6]BankRecData!$B$1:$O$5542,7,0)-VLOOKUP(TEXT($B257,0),[6]BankRecData!$B$1:$O$5542,8,0)</f>
        <v>2261.75</v>
      </c>
      <c r="N257" s="114">
        <f>VLOOKUP(TEXT($B257,0),[7]BankRecData!$B$1:$O$5542,7,0)-VLOOKUP(TEXT($B257,0),[7]BankRecData!$B$1:$O$5542,8,0)</f>
        <v>2295.85</v>
      </c>
      <c r="O257" s="114">
        <f>VLOOKUP(TEXT($B257,0),[8]BankRecData!$B$1:$O$5542,7,0)-VLOOKUP(TEXT($B257,0),[8]BankRecData!$B$1:$O$5542,8,0)</f>
        <v>1860.35</v>
      </c>
      <c r="P257" s="114">
        <f>VLOOKUP(TEXT($B257,0),[9]BankRecData!$B$1:$O$5542,7,0)-VLOOKUP(TEXT($B257,0),[9]BankRecData!$B$1:$O$5542,8,0)</f>
        <v>1992.6</v>
      </c>
      <c r="Q257" s="114">
        <f>VLOOKUP(TEXT($B257,0),[10]BankRecData!$B$1:$O$5542,7,0)-VLOOKUP(TEXT($B257,0),[10]BankRecData!$B$1:$O$5542,8,0)</f>
        <v>2493.75</v>
      </c>
    </row>
    <row r="258" spans="1:17" x14ac:dyDescent="0.2">
      <c r="A258" s="19" t="s">
        <v>40</v>
      </c>
      <c r="B258" s="71">
        <v>8188</v>
      </c>
      <c r="C258" s="246">
        <v>188</v>
      </c>
      <c r="D258" s="18" t="s">
        <v>63</v>
      </c>
      <c r="E258" s="20"/>
      <c r="F258" s="20"/>
      <c r="G258" s="34"/>
      <c r="H258" s="114">
        <f>VLOOKUP(TEXT($B258,0),[1]BankRecData!$B$1:$O$5542,6,0)</f>
        <v>0</v>
      </c>
      <c r="I258" s="114">
        <f>VLOOKUP(TEXT($B258,0),[2]BankRecData!$B$1:$O$5542,6,0)</f>
        <v>0</v>
      </c>
      <c r="J258" s="114">
        <f>VLOOKUP(TEXT($B258,0),[3]BankRecData!$B$1:$O$5542,6,0)</f>
        <v>0</v>
      </c>
      <c r="K258" s="114">
        <f>VLOOKUP(TEXT($B258,0),[4]BankRecData!$B$1:$O$5542,6,0)</f>
        <v>0</v>
      </c>
      <c r="L258" s="114">
        <f>VLOOKUP(TEXT($B258,0),[5]BankRecData!$B$1:$O$5542,6,0)</f>
        <v>0</v>
      </c>
      <c r="M258" s="114">
        <f>VLOOKUP(TEXT($B258,0),[6]BankRecData!$B$1:$O$5542,6,0)</f>
        <v>0</v>
      </c>
      <c r="N258" s="114">
        <f>VLOOKUP(TEXT($B258,0),[7]BankRecData!$B$1:$O$5542,6,0)</f>
        <v>0</v>
      </c>
      <c r="O258" s="114">
        <f>VLOOKUP(TEXT($B258,0),[8]BankRecData!$B$1:$O$5542,6,0)</f>
        <v>0</v>
      </c>
      <c r="P258" s="114">
        <f>VLOOKUP(TEXT($B258,0),[9]BankRecData!$B$1:$O$5542,6,0)</f>
        <v>0</v>
      </c>
      <c r="Q258" s="114">
        <f>VLOOKUP(TEXT($B258,0),[10]BankRecData!$B$1:$O$5542,6,0)</f>
        <v>0</v>
      </c>
    </row>
    <row r="259" spans="1:17" x14ac:dyDescent="0.2">
      <c r="A259" s="19" t="s">
        <v>39</v>
      </c>
      <c r="B259" s="71">
        <v>8188</v>
      </c>
      <c r="C259" s="246">
        <v>188</v>
      </c>
      <c r="D259" s="18" t="s">
        <v>63</v>
      </c>
      <c r="E259" s="20"/>
      <c r="F259" s="20"/>
      <c r="G259" s="34"/>
      <c r="H259" s="114">
        <f>IFERROR(VLOOKUP($B259&amp;-H$1,FX!$U:$V,2,0),0)</f>
        <v>0</v>
      </c>
      <c r="I259" s="114">
        <f>IFERROR(VLOOKUP($B259&amp;-I$1,FX!$U:$V,2,0),0)</f>
        <v>0</v>
      </c>
      <c r="J259" s="114">
        <f>IFERROR(VLOOKUP($B259&amp;-J$1,FX!$U:$V,2,0),0)</f>
        <v>0</v>
      </c>
      <c r="K259" s="114">
        <f>IFERROR(VLOOKUP($B259&amp;-K$1,FX!$U:$V,2,0),0)</f>
        <v>0</v>
      </c>
      <c r="L259" s="114">
        <f>IFERROR(VLOOKUP($B259&amp;-L$1,FX!$U:$V,2,0),0)</f>
        <v>0</v>
      </c>
      <c r="M259" s="114">
        <f>IFERROR(VLOOKUP($B259&amp;-M$1,FX!$U:$V,2,0),0)</f>
        <v>0</v>
      </c>
      <c r="N259" s="114">
        <f>IFERROR(VLOOKUP($B259&amp;-N$1,FX!$U:$V,2,0),0)</f>
        <v>0</v>
      </c>
      <c r="O259" s="114">
        <f>IFERROR(VLOOKUP($B259&amp;-O$1,FX!$U:$V,2,0),0)</f>
        <v>0</v>
      </c>
      <c r="P259" s="114">
        <f>IFERROR(VLOOKUP($B259&amp;-P$1,FX!$U:$V,2,0),0)</f>
        <v>0</v>
      </c>
      <c r="Q259" s="114">
        <f>IFERROR(VLOOKUP($B259&amp;-Q$1,FX!$U:$V,2,0),0)</f>
        <v>0</v>
      </c>
    </row>
    <row r="260" spans="1:17" x14ac:dyDescent="0.2">
      <c r="A260" s="19" t="s">
        <v>34</v>
      </c>
      <c r="B260" s="71">
        <v>8188</v>
      </c>
      <c r="C260" s="246">
        <v>188</v>
      </c>
      <c r="D260" s="18" t="s">
        <v>63</v>
      </c>
      <c r="E260" s="20"/>
      <c r="F260" s="20"/>
      <c r="G260" s="34"/>
      <c r="H260" s="114">
        <f t="shared" ref="H260:I260" si="426">-H258+H257</f>
        <v>1643.65</v>
      </c>
      <c r="I260" s="114">
        <f t="shared" si="426"/>
        <v>1883.25</v>
      </c>
      <c r="J260" s="114">
        <f t="shared" ref="J260:K260" si="427">-J258+J257</f>
        <v>1905.1</v>
      </c>
      <c r="K260" s="114">
        <f t="shared" si="427"/>
        <v>2171.75</v>
      </c>
      <c r="L260" s="114">
        <f t="shared" ref="L260:M260" si="428">-L258+L257</f>
        <v>1645.1</v>
      </c>
      <c r="M260" s="114">
        <f t="shared" si="428"/>
        <v>2261.75</v>
      </c>
      <c r="N260" s="114">
        <f t="shared" ref="N260:O260" si="429">-N258+N257</f>
        <v>2295.85</v>
      </c>
      <c r="O260" s="114">
        <f t="shared" si="429"/>
        <v>1860.35</v>
      </c>
      <c r="P260" s="114">
        <f t="shared" ref="P260:Q260" si="430">-P258+P257</f>
        <v>1992.6</v>
      </c>
      <c r="Q260" s="114">
        <f t="shared" si="430"/>
        <v>2493.75</v>
      </c>
    </row>
    <row r="261" spans="1:17" x14ac:dyDescent="0.2">
      <c r="A261" s="19" t="s">
        <v>35</v>
      </c>
      <c r="B261" s="71">
        <v>8188</v>
      </c>
      <c r="C261" s="246">
        <v>188</v>
      </c>
      <c r="D261" s="18" t="s">
        <v>63</v>
      </c>
      <c r="E261" s="20"/>
      <c r="F261" s="35">
        <f>COUNTIF(H261:H261,"=0")</f>
        <v>1</v>
      </c>
      <c r="G261" s="34"/>
      <c r="H261" s="114">
        <f>SUMIF('Bank Deposit List'!$K:$K,$B261&amp;-H$1,'Bank Deposit List'!$L:$L)</f>
        <v>0</v>
      </c>
      <c r="I261" s="114">
        <f>SUMIF('Bank Deposit List'!$K:$K,$B261&amp;-I$1,'Bank Deposit List'!$L:$L)</f>
        <v>0</v>
      </c>
      <c r="J261" s="114">
        <f>SUMIF('Bank Deposit List'!$K:$K,$B261&amp;-J$1,'Bank Deposit List'!$L:$L)</f>
        <v>0</v>
      </c>
      <c r="K261" s="114">
        <f>SUMIF('Bank Deposit List'!$K:$K,$B261&amp;-K$1,'Bank Deposit List'!$L:$L)</f>
        <v>0</v>
      </c>
      <c r="L261" s="114">
        <f>SUMIF('Bank Deposit List'!$K:$K,$B261&amp;-L$1,'Bank Deposit List'!$L:$L)</f>
        <v>0</v>
      </c>
      <c r="M261" s="114">
        <f>SUMIF('Bank Deposit List'!$K:$K,$B261&amp;-M$1,'Bank Deposit List'!$L:$L)</f>
        <v>0</v>
      </c>
      <c r="N261" s="114">
        <f>SUMIF('Bank Deposit List'!$K:$K,$B261&amp;-N$1,'Bank Deposit List'!$L:$L)</f>
        <v>0</v>
      </c>
      <c r="O261" s="114">
        <f>SUMIF('Bank Deposit List'!$K:$K,$B261&amp;-O$1,'Bank Deposit List'!$L:$L)</f>
        <v>0</v>
      </c>
      <c r="P261" s="114">
        <f>SUMIF('Bank Deposit List'!$K:$K,$B261&amp;-P$1,'Bank Deposit List'!$L:$L)</f>
        <v>0</v>
      </c>
      <c r="Q261" s="114">
        <f>SUMIF('Bank Deposit List'!$K:$K,$B261&amp;-Q$1,'Bank Deposit List'!$L:$L)</f>
        <v>0</v>
      </c>
    </row>
    <row r="262" spans="1:17" x14ac:dyDescent="0.2">
      <c r="A262" s="19" t="s">
        <v>37</v>
      </c>
      <c r="B262" s="71">
        <v>8188</v>
      </c>
      <c r="C262" s="246">
        <v>188</v>
      </c>
      <c r="D262" s="18" t="s">
        <v>63</v>
      </c>
      <c r="E262" s="36">
        <f>(COUNT(H212:CH212)-COUNT(H214:CH214))</f>
        <v>10</v>
      </c>
      <c r="F262" s="37"/>
      <c r="G262" s="34"/>
      <c r="H262" s="114" t="str">
        <f>IFERROR(VLOOKUP($B262&amp;-H261,'Deposits AU NAB'!$L:$M,2,0),"")</f>
        <v/>
      </c>
      <c r="I262" s="114" t="str">
        <f>IFERROR(VLOOKUP($B262&amp;-I261,'Deposits AU NAB'!$L:$M,2,0),"")</f>
        <v/>
      </c>
      <c r="J262" s="114" t="str">
        <f>IFERROR(VLOOKUP($B262&amp;-J261,'Deposits AU NAB'!$L:$M,2,0),"")</f>
        <v/>
      </c>
      <c r="K262" s="114" t="str">
        <f>IFERROR(VLOOKUP($B262&amp;-K261,'Deposits AU NAB'!$L:$M,2,0),"")</f>
        <v/>
      </c>
      <c r="L262" s="114" t="str">
        <f>IFERROR(VLOOKUP($B262&amp;-L261,'Deposits AU NAB'!$L:$M,2,0),"")</f>
        <v/>
      </c>
      <c r="M262" s="114" t="str">
        <f>IFERROR(VLOOKUP($B262&amp;-M261,'Deposits AU NAB'!$L:$M,2,0),"")</f>
        <v/>
      </c>
      <c r="N262" s="114" t="str">
        <f>IFERROR(VLOOKUP($B262&amp;-N261,'Deposits AU NAB'!$L:$M,2,0),"")</f>
        <v/>
      </c>
      <c r="O262" s="114" t="str">
        <f>IFERROR(VLOOKUP($B262&amp;-O261,'Deposits AU NAB'!$L:$M,2,0),"")</f>
        <v/>
      </c>
      <c r="P262" s="114" t="str">
        <f>IFERROR(VLOOKUP($B262&amp;-P261,'Deposits AU NAB'!$L:$M,2,0),"")</f>
        <v/>
      </c>
      <c r="Q262" s="114" t="str">
        <f>IFERROR(VLOOKUP($B262&amp;-Q261,'Deposits AU NAB'!$L:$M,2,0),"")</f>
        <v/>
      </c>
    </row>
    <row r="263" spans="1:17" x14ac:dyDescent="0.2">
      <c r="A263" s="19" t="s">
        <v>51</v>
      </c>
      <c r="B263" s="71">
        <v>8188</v>
      </c>
      <c r="C263" s="246">
        <v>188</v>
      </c>
      <c r="D263" s="18" t="s">
        <v>63</v>
      </c>
      <c r="E263" s="36"/>
      <c r="F263" s="37"/>
      <c r="G263" s="34">
        <f t="shared" ref="G263:G264" si="431">SUM(H263:BX263)</f>
        <v>0</v>
      </c>
      <c r="H263" s="114" t="str">
        <f t="shared" ref="H263:I263" si="432">IF(H261=0,"",H261-H260)</f>
        <v/>
      </c>
      <c r="I263" s="114" t="str">
        <f t="shared" si="432"/>
        <v/>
      </c>
      <c r="J263" s="114" t="str">
        <f t="shared" ref="J263:K263" si="433">IF(J261=0,"",J261-J260)</f>
        <v/>
      </c>
      <c r="K263" s="114" t="str">
        <f t="shared" si="433"/>
        <v/>
      </c>
      <c r="L263" s="114" t="str">
        <f t="shared" ref="L263:M263" si="434">IF(L261=0,"",L261-L260)</f>
        <v/>
      </c>
      <c r="M263" s="114" t="str">
        <f t="shared" si="434"/>
        <v/>
      </c>
      <c r="N263" s="114" t="str">
        <f t="shared" ref="N263:O263" si="435">IF(N261=0,"",N261-N260)</f>
        <v/>
      </c>
      <c r="O263" s="114" t="str">
        <f t="shared" si="435"/>
        <v/>
      </c>
      <c r="P263" s="114" t="str">
        <f t="shared" ref="P263:Q263" si="436">IF(P261=0,"",P261-P260)</f>
        <v/>
      </c>
      <c r="Q263" s="114" t="str">
        <f t="shared" si="436"/>
        <v/>
      </c>
    </row>
    <row r="264" spans="1:17" x14ac:dyDescent="0.2">
      <c r="A264" s="19" t="s">
        <v>52</v>
      </c>
      <c r="B264" s="71">
        <v>8188</v>
      </c>
      <c r="C264" s="246">
        <v>188</v>
      </c>
      <c r="D264" s="18" t="s">
        <v>63</v>
      </c>
      <c r="E264" s="20"/>
      <c r="F264" s="20"/>
      <c r="G264" s="34">
        <f t="shared" si="431"/>
        <v>0</v>
      </c>
      <c r="H264" s="114" t="str">
        <f t="shared" ref="H264:I264" si="437">IFERROR(H262-H261,"")</f>
        <v/>
      </c>
      <c r="I264" s="114" t="str">
        <f t="shared" si="437"/>
        <v/>
      </c>
      <c r="J264" s="114" t="str">
        <f t="shared" ref="J264:K264" si="438">IFERROR(J262-J261,"")</f>
        <v/>
      </c>
      <c r="K264" s="114" t="str">
        <f t="shared" si="438"/>
        <v/>
      </c>
      <c r="L264" s="114" t="str">
        <f t="shared" ref="L264:M264" si="439">IFERROR(L262-L261,"")</f>
        <v/>
      </c>
      <c r="M264" s="114" t="str">
        <f t="shared" si="439"/>
        <v/>
      </c>
      <c r="N264" s="114" t="str">
        <f t="shared" ref="N264:O264" si="440">IFERROR(N262-N261,"")</f>
        <v/>
      </c>
      <c r="O264" s="114" t="str">
        <f t="shared" si="440"/>
        <v/>
      </c>
      <c r="P264" s="114" t="str">
        <f t="shared" ref="P264:Q264" si="441">IFERROR(P262-P261,"")</f>
        <v/>
      </c>
      <c r="Q264" s="114" t="str">
        <f t="shared" si="441"/>
        <v/>
      </c>
    </row>
    <row r="265" spans="1:17" x14ac:dyDescent="0.2">
      <c r="A265" s="38" t="s">
        <v>38</v>
      </c>
      <c r="B265" s="70"/>
      <c r="C265" s="248"/>
      <c r="D265" s="49"/>
      <c r="E265" s="48"/>
      <c r="F265" s="48"/>
      <c r="G265" s="42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</row>
    <row r="266" spans="1:17" x14ac:dyDescent="0.2">
      <c r="A266" s="38"/>
      <c r="B266" s="70"/>
      <c r="C266" s="248"/>
      <c r="D266" s="49"/>
      <c r="E266" s="48"/>
      <c r="F266" s="48"/>
      <c r="G266" s="42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</row>
    <row r="267" spans="1:17" x14ac:dyDescent="0.2">
      <c r="A267" s="43" t="s">
        <v>38</v>
      </c>
      <c r="B267" s="72"/>
      <c r="C267" s="249"/>
      <c r="D267" s="44" t="s">
        <v>59</v>
      </c>
      <c r="E267" s="45"/>
      <c r="F267" s="45"/>
      <c r="G267" s="46"/>
      <c r="H267" s="116">
        <f t="shared" ref="H267:Q272" si="442">SUMIF($A$1:$A$264,$A267,H$1:H$264)</f>
        <v>11256.699999999999</v>
      </c>
      <c r="I267" s="116">
        <f t="shared" si="442"/>
        <v>11016.5</v>
      </c>
      <c r="J267" s="116">
        <f t="shared" si="442"/>
        <v>12447.700000000003</v>
      </c>
      <c r="K267" s="116">
        <f t="shared" si="442"/>
        <v>12419.650000000001</v>
      </c>
      <c r="L267" s="116">
        <f t="shared" si="442"/>
        <v>9131.3499999999985</v>
      </c>
      <c r="M267" s="116">
        <f t="shared" si="442"/>
        <v>12720</v>
      </c>
      <c r="N267" s="116">
        <f t="shared" si="442"/>
        <v>12242.85</v>
      </c>
      <c r="O267" s="116">
        <f t="shared" si="442"/>
        <v>11084.749999999998</v>
      </c>
      <c r="P267" s="116">
        <f t="shared" si="442"/>
        <v>10892.75</v>
      </c>
      <c r="Q267" s="116">
        <f t="shared" si="442"/>
        <v>12152.750000000002</v>
      </c>
    </row>
    <row r="268" spans="1:17" x14ac:dyDescent="0.2">
      <c r="A268" s="43" t="s">
        <v>40</v>
      </c>
      <c r="B268" s="72"/>
      <c r="C268" s="249"/>
      <c r="D268" s="44" t="s">
        <v>59</v>
      </c>
      <c r="E268" s="45"/>
      <c r="F268" s="45"/>
      <c r="G268" s="46"/>
      <c r="H268" s="116">
        <f t="shared" si="442"/>
        <v>0</v>
      </c>
      <c r="I268" s="116">
        <f t="shared" si="442"/>
        <v>0</v>
      </c>
      <c r="J268" s="116">
        <f t="shared" si="442"/>
        <v>0</v>
      </c>
      <c r="K268" s="116">
        <f t="shared" si="442"/>
        <v>0</v>
      </c>
      <c r="L268" s="116">
        <f t="shared" si="442"/>
        <v>0</v>
      </c>
      <c r="M268" s="116">
        <f t="shared" si="442"/>
        <v>0</v>
      </c>
      <c r="N268" s="116">
        <f t="shared" si="442"/>
        <v>0</v>
      </c>
      <c r="O268" s="116">
        <f t="shared" si="442"/>
        <v>0</v>
      </c>
      <c r="P268" s="116">
        <f t="shared" si="442"/>
        <v>0</v>
      </c>
      <c r="Q268" s="116">
        <f t="shared" si="442"/>
        <v>0</v>
      </c>
    </row>
    <row r="269" spans="1:17" x14ac:dyDescent="0.2">
      <c r="A269" s="43" t="s">
        <v>39</v>
      </c>
      <c r="B269" s="72"/>
      <c r="C269" s="249"/>
      <c r="D269" s="44" t="s">
        <v>59</v>
      </c>
      <c r="E269" s="45"/>
      <c r="F269" s="45"/>
      <c r="G269" s="46"/>
      <c r="H269" s="116">
        <f t="shared" si="442"/>
        <v>0</v>
      </c>
      <c r="I269" s="116">
        <f t="shared" si="442"/>
        <v>0</v>
      </c>
      <c r="J269" s="116">
        <f t="shared" si="442"/>
        <v>0</v>
      </c>
      <c r="K269" s="116">
        <f t="shared" si="442"/>
        <v>0</v>
      </c>
      <c r="L269" s="116">
        <f t="shared" si="442"/>
        <v>0</v>
      </c>
      <c r="M269" s="116">
        <f t="shared" si="442"/>
        <v>0</v>
      </c>
      <c r="N269" s="116">
        <f t="shared" si="442"/>
        <v>0</v>
      </c>
      <c r="O269" s="116">
        <f t="shared" si="442"/>
        <v>0</v>
      </c>
      <c r="P269" s="116">
        <f t="shared" si="442"/>
        <v>0</v>
      </c>
      <c r="Q269" s="116">
        <f t="shared" si="442"/>
        <v>0</v>
      </c>
    </row>
    <row r="270" spans="1:17" x14ac:dyDescent="0.2">
      <c r="A270" s="43" t="s">
        <v>34</v>
      </c>
      <c r="B270" s="72"/>
      <c r="C270" s="249"/>
      <c r="D270" s="44" t="s">
        <v>59</v>
      </c>
      <c r="E270" s="45"/>
      <c r="F270" s="45"/>
      <c r="G270" s="46"/>
      <c r="H270" s="116">
        <f t="shared" si="442"/>
        <v>11256.699999999999</v>
      </c>
      <c r="I270" s="116">
        <f t="shared" si="442"/>
        <v>11016.5</v>
      </c>
      <c r="J270" s="116">
        <f t="shared" si="442"/>
        <v>12447.700000000003</v>
      </c>
      <c r="K270" s="116">
        <f t="shared" si="442"/>
        <v>12419.650000000001</v>
      </c>
      <c r="L270" s="116">
        <f t="shared" si="442"/>
        <v>9131.3499999999985</v>
      </c>
      <c r="M270" s="116">
        <f t="shared" si="442"/>
        <v>12720</v>
      </c>
      <c r="N270" s="116">
        <f t="shared" si="442"/>
        <v>12242.85</v>
      </c>
      <c r="O270" s="116">
        <f t="shared" si="442"/>
        <v>11084.749999999998</v>
      </c>
      <c r="P270" s="116">
        <f t="shared" si="442"/>
        <v>10892.75</v>
      </c>
      <c r="Q270" s="116">
        <f t="shared" si="442"/>
        <v>12152.750000000002</v>
      </c>
    </row>
    <row r="271" spans="1:17" x14ac:dyDescent="0.2">
      <c r="A271" s="43" t="s">
        <v>35</v>
      </c>
      <c r="B271" s="72"/>
      <c r="C271" s="249"/>
      <c r="D271" s="44" t="s">
        <v>59</v>
      </c>
      <c r="E271" s="45"/>
      <c r="F271" s="45"/>
      <c r="G271" s="46"/>
      <c r="H271" s="116">
        <f t="shared" si="442"/>
        <v>0</v>
      </c>
      <c r="I271" s="116">
        <f t="shared" si="442"/>
        <v>0</v>
      </c>
      <c r="J271" s="116">
        <f t="shared" si="442"/>
        <v>0</v>
      </c>
      <c r="K271" s="116">
        <f t="shared" si="442"/>
        <v>0</v>
      </c>
      <c r="L271" s="116">
        <f t="shared" si="442"/>
        <v>0</v>
      </c>
      <c r="M271" s="116">
        <f t="shared" si="442"/>
        <v>0</v>
      </c>
      <c r="N271" s="116">
        <f t="shared" si="442"/>
        <v>9332.2999999999993</v>
      </c>
      <c r="O271" s="116">
        <f t="shared" si="442"/>
        <v>0</v>
      </c>
      <c r="P271" s="116">
        <f t="shared" si="442"/>
        <v>0</v>
      </c>
      <c r="Q271" s="116">
        <f t="shared" si="442"/>
        <v>0</v>
      </c>
    </row>
    <row r="272" spans="1:17" x14ac:dyDescent="0.2">
      <c r="A272" s="43" t="s">
        <v>37</v>
      </c>
      <c r="B272" s="72"/>
      <c r="C272" s="249"/>
      <c r="D272" s="44" t="s">
        <v>59</v>
      </c>
      <c r="E272" s="45"/>
      <c r="F272" s="45"/>
      <c r="G272" s="46"/>
      <c r="H272" s="116">
        <f t="shared" si="442"/>
        <v>0</v>
      </c>
      <c r="I272" s="116">
        <f t="shared" si="442"/>
        <v>0</v>
      </c>
      <c r="J272" s="116">
        <f t="shared" si="442"/>
        <v>0</v>
      </c>
      <c r="K272" s="116">
        <f t="shared" si="442"/>
        <v>0</v>
      </c>
      <c r="L272" s="116">
        <f t="shared" si="442"/>
        <v>0</v>
      </c>
      <c r="M272" s="116">
        <f t="shared" si="442"/>
        <v>0</v>
      </c>
      <c r="N272" s="116">
        <f t="shared" si="442"/>
        <v>0</v>
      </c>
      <c r="O272" s="116">
        <f t="shared" si="442"/>
        <v>0</v>
      </c>
      <c r="P272" s="116">
        <f t="shared" si="442"/>
        <v>0</v>
      </c>
      <c r="Q272" s="116">
        <f t="shared" si="442"/>
        <v>0</v>
      </c>
    </row>
    <row r="273" spans="1:17" x14ac:dyDescent="0.2">
      <c r="A273" s="38"/>
      <c r="B273" s="70"/>
      <c r="C273" s="248"/>
      <c r="D273" s="47"/>
      <c r="E273" s="48"/>
      <c r="F273" s="48"/>
      <c r="G273" s="39"/>
      <c r="H273" s="115">
        <f t="shared" ref="H273:I273" si="443">H269-H268</f>
        <v>0</v>
      </c>
      <c r="I273" s="115">
        <f t="shared" si="443"/>
        <v>0</v>
      </c>
      <c r="J273" s="115">
        <f t="shared" ref="J273:K273" si="444">J269-J268</f>
        <v>0</v>
      </c>
      <c r="K273" s="115">
        <f t="shared" si="444"/>
        <v>0</v>
      </c>
      <c r="L273" s="115">
        <f t="shared" ref="L273:M273" si="445">L269-L268</f>
        <v>0</v>
      </c>
      <c r="M273" s="115">
        <f t="shared" si="445"/>
        <v>0</v>
      </c>
      <c r="N273" s="115">
        <f t="shared" ref="N273:O273" si="446">N269-N268</f>
        <v>0</v>
      </c>
      <c r="O273" s="115">
        <f t="shared" si="446"/>
        <v>0</v>
      </c>
      <c r="P273" s="115">
        <f t="shared" ref="P273:Q273" si="447">P269-P268</f>
        <v>0</v>
      </c>
      <c r="Q273" s="115">
        <f t="shared" si="447"/>
        <v>0</v>
      </c>
    </row>
  </sheetData>
  <autoFilter ref="A1:G273" xr:uid="{00000000-0009-0000-0000-000004000000}"/>
  <conditionalFormatting sqref="H2 H267:H273 H60:H67 H70:H77 H80:H96 H185 H190:H197 H204 H209:H216 H247:H254 H257:H264 H32:H48 H50:H57 H99:H180 H13:H29 I225:M225 H219:H244 I234:M234 I243:M243">
    <cfRule type="containsText" dxfId="306" priority="484" operator="containsText" text="No">
      <formula>NOT(ISERROR(SEARCH("No",H2)))</formula>
    </cfRule>
  </conditionalFormatting>
  <conditionalFormatting sqref="H252 H224 H195 H242 H262 H94 H65 H132 H85 H233 H27 H18 H177 H141 H214 H114 H168 H150 H159 H75 H123 H37 H46 H55">
    <cfRule type="containsBlanks" dxfId="305" priority="482">
      <formula>LEN(TRIM(H18))=0</formula>
    </cfRule>
  </conditionalFormatting>
  <conditionalFormatting sqref="H133 H196 H253 H263 H95 H86 H66 H38 H47 H56 H28 H19 H124 H178 H142 H169 H215 H115 H151 H160 H76 H225:M225 H234:M234 H243:M243">
    <cfRule type="cellIs" dxfId="304" priority="481" operator="notBetween">
      <formula>-0.01</formula>
      <formula>0.01</formula>
    </cfRule>
  </conditionalFormatting>
  <conditionalFormatting sqref="H134 H197 H244 H235 H254 H264 H226 H57 H87 H67 H39 H48 H116 H29 H20 H125 H179 H143 H170 H216 H152 H161 H77 H96">
    <cfRule type="cellIs" dxfId="303" priority="479" operator="notEqual">
      <formula>0</formula>
    </cfRule>
  </conditionalFormatting>
  <conditionalFormatting sqref="H104">
    <cfRule type="containsBlanks" dxfId="302" priority="464">
      <formula>LEN(TRIM(H104))=0</formula>
    </cfRule>
  </conditionalFormatting>
  <conditionalFormatting sqref="H105">
    <cfRule type="cellIs" dxfId="301" priority="463" operator="notBetween">
      <formula>-0.01</formula>
      <formula>0.01</formula>
    </cfRule>
  </conditionalFormatting>
  <conditionalFormatting sqref="H106">
    <cfRule type="cellIs" dxfId="300" priority="462" operator="notEqual">
      <formula>0</formula>
    </cfRule>
  </conditionalFormatting>
  <conditionalFormatting sqref="H30:H31">
    <cfRule type="containsText" dxfId="299" priority="461" operator="containsText" text="No">
      <formula>NOT(ISERROR(SEARCH("No",H30)))</formula>
    </cfRule>
  </conditionalFormatting>
  <conditionalFormatting sqref="H58:H59">
    <cfRule type="containsText" dxfId="298" priority="460" operator="containsText" text="No">
      <formula>NOT(ISERROR(SEARCH("No",H58)))</formula>
    </cfRule>
  </conditionalFormatting>
  <conditionalFormatting sqref="H68:H69">
    <cfRule type="containsText" dxfId="297" priority="459" operator="containsText" text="No">
      <formula>NOT(ISERROR(SEARCH("No",H68)))</formula>
    </cfRule>
  </conditionalFormatting>
  <conditionalFormatting sqref="H78:H79">
    <cfRule type="containsText" dxfId="296" priority="458" operator="containsText" text="No">
      <formula>NOT(ISERROR(SEARCH("No",H78)))</formula>
    </cfRule>
  </conditionalFormatting>
  <conditionalFormatting sqref="H97:H98">
    <cfRule type="containsText" dxfId="295" priority="457" operator="containsText" text="No">
      <formula>NOT(ISERROR(SEARCH("No",H97)))</formula>
    </cfRule>
  </conditionalFormatting>
  <conditionalFormatting sqref="H217:H218">
    <cfRule type="containsText" dxfId="294" priority="455" operator="containsText" text="No">
      <formula>NOT(ISERROR(SEARCH("No",H217)))</formula>
    </cfRule>
  </conditionalFormatting>
  <conditionalFormatting sqref="H245:H246">
    <cfRule type="containsText" dxfId="293" priority="454" operator="containsText" text="No">
      <formula>NOT(ISERROR(SEARCH("No",H245)))</formula>
    </cfRule>
  </conditionalFormatting>
  <conditionalFormatting sqref="H255:H256">
    <cfRule type="containsText" dxfId="292" priority="453" operator="containsText" text="No">
      <formula>NOT(ISERROR(SEARCH("No",H255)))</formula>
    </cfRule>
  </conditionalFormatting>
  <conditionalFormatting sqref="H3">
    <cfRule type="containsText" dxfId="291" priority="452" operator="containsText" text="No">
      <formula>NOT(ISERROR(SEARCH("No",H3)))</formula>
    </cfRule>
  </conditionalFormatting>
  <conditionalFormatting sqref="H265:H266">
    <cfRule type="containsText" dxfId="290" priority="451" operator="containsText" text="No">
      <formula>NOT(ISERROR(SEARCH("No",H265)))</formula>
    </cfRule>
  </conditionalFormatting>
  <conditionalFormatting sqref="H200:H203 H205:H208">
    <cfRule type="containsText" dxfId="289" priority="450" operator="containsText" text="No">
      <formula>NOT(ISERROR(SEARCH("No",H200)))</formula>
    </cfRule>
  </conditionalFormatting>
  <conditionalFormatting sqref="H205">
    <cfRule type="containsBlanks" dxfId="288" priority="449">
      <formula>LEN(TRIM(H205))=0</formula>
    </cfRule>
  </conditionalFormatting>
  <conditionalFormatting sqref="H206">
    <cfRule type="cellIs" dxfId="287" priority="448" operator="notBetween">
      <formula>-0.01</formula>
      <formula>0.01</formula>
    </cfRule>
  </conditionalFormatting>
  <conditionalFormatting sqref="H207">
    <cfRule type="cellIs" dxfId="286" priority="447" operator="notEqual">
      <formula>0</formula>
    </cfRule>
  </conditionalFormatting>
  <conditionalFormatting sqref="H198:H199">
    <cfRule type="containsText" dxfId="285" priority="446" operator="containsText" text="No">
      <formula>NOT(ISERROR(SEARCH("No",H198)))</formula>
    </cfRule>
  </conditionalFormatting>
  <conditionalFormatting sqref="H181:H184 H186:H189">
    <cfRule type="containsText" dxfId="284" priority="445" operator="containsText" text="No">
      <formula>NOT(ISERROR(SEARCH("No",H181)))</formula>
    </cfRule>
  </conditionalFormatting>
  <conditionalFormatting sqref="H186">
    <cfRule type="containsBlanks" dxfId="283" priority="444">
      <formula>LEN(TRIM(H186))=0</formula>
    </cfRule>
  </conditionalFormatting>
  <conditionalFormatting sqref="H187">
    <cfRule type="cellIs" dxfId="282" priority="443" operator="notBetween">
      <formula>-0.01</formula>
      <formula>0.01</formula>
    </cfRule>
  </conditionalFormatting>
  <conditionalFormatting sqref="H188">
    <cfRule type="cellIs" dxfId="281" priority="442" operator="notEqual">
      <formula>0</formula>
    </cfRule>
  </conditionalFormatting>
  <conditionalFormatting sqref="H4:H12">
    <cfRule type="containsText" dxfId="280" priority="278" operator="containsText" text="No">
      <formula>NOT(ISERROR(SEARCH("No",H4)))</formula>
    </cfRule>
  </conditionalFormatting>
  <conditionalFormatting sqref="H9">
    <cfRule type="containsBlanks" dxfId="279" priority="277">
      <formula>LEN(TRIM(H9))=0</formula>
    </cfRule>
  </conditionalFormatting>
  <conditionalFormatting sqref="H10">
    <cfRule type="cellIs" dxfId="278" priority="276" operator="notBetween">
      <formula>-0.01</formula>
      <formula>0.01</formula>
    </cfRule>
  </conditionalFormatting>
  <conditionalFormatting sqref="H11">
    <cfRule type="cellIs" dxfId="277" priority="275" operator="notEqual">
      <formula>0</formula>
    </cfRule>
  </conditionalFormatting>
  <conditionalFormatting sqref="I2 I267:I273 I60:I67 I70:I77 I80:I96 I185 I190:I197 I204 I209:I216 I219:I224 I247:I254 I257:I264 I32:I48 I50:I57 I99:I180 I13:I29 I226:I233 I235:I242 I244">
    <cfRule type="containsText" dxfId="276" priority="274" operator="containsText" text="No">
      <formula>NOT(ISERROR(SEARCH("No",I2)))</formula>
    </cfRule>
  </conditionalFormatting>
  <conditionalFormatting sqref="I252 I224 I195 I242 I262 I94 I65 I132 I85 I233 I27 I18 I177 I141 I214 I114 I168 I150 I159 I75 I123 I37 I46 I55">
    <cfRule type="containsBlanks" dxfId="275" priority="273">
      <formula>LEN(TRIM(I18))=0</formula>
    </cfRule>
  </conditionalFormatting>
  <conditionalFormatting sqref="I133 I196 I253 I263 I95 I86 I66 I38 I47 I56 I28 I19 I124 I178 I142 I169 I215 I115 I151 I160 I76">
    <cfRule type="cellIs" dxfId="274" priority="272" operator="notBetween">
      <formula>-0.01</formula>
      <formula>0.01</formula>
    </cfRule>
  </conditionalFormatting>
  <conditionalFormatting sqref="I134 I197 I244 I235 I254 I264 I226 I57 I87 I67 I39 I48 I116 I29 I20 I125 I179 I143 I170 I216 I152 I161 I77 I96">
    <cfRule type="cellIs" dxfId="273" priority="271" operator="notEqual">
      <formula>0</formula>
    </cfRule>
  </conditionalFormatting>
  <conditionalFormatting sqref="I104">
    <cfRule type="containsBlanks" dxfId="272" priority="270">
      <formula>LEN(TRIM(I104))=0</formula>
    </cfRule>
  </conditionalFormatting>
  <conditionalFormatting sqref="I105">
    <cfRule type="cellIs" dxfId="271" priority="269" operator="notBetween">
      <formula>-0.01</formula>
      <formula>0.01</formula>
    </cfRule>
  </conditionalFormatting>
  <conditionalFormatting sqref="I106">
    <cfRule type="cellIs" dxfId="270" priority="268" operator="notEqual">
      <formula>0</formula>
    </cfRule>
  </conditionalFormatting>
  <conditionalFormatting sqref="I30:I31">
    <cfRule type="containsText" dxfId="269" priority="267" operator="containsText" text="No">
      <formula>NOT(ISERROR(SEARCH("No",I30)))</formula>
    </cfRule>
  </conditionalFormatting>
  <conditionalFormatting sqref="I58:I59">
    <cfRule type="containsText" dxfId="268" priority="266" operator="containsText" text="No">
      <formula>NOT(ISERROR(SEARCH("No",I58)))</formula>
    </cfRule>
  </conditionalFormatting>
  <conditionalFormatting sqref="I68:I69">
    <cfRule type="containsText" dxfId="267" priority="265" operator="containsText" text="No">
      <formula>NOT(ISERROR(SEARCH("No",I68)))</formula>
    </cfRule>
  </conditionalFormatting>
  <conditionalFormatting sqref="I78:I79">
    <cfRule type="containsText" dxfId="266" priority="264" operator="containsText" text="No">
      <formula>NOT(ISERROR(SEARCH("No",I78)))</formula>
    </cfRule>
  </conditionalFormatting>
  <conditionalFormatting sqref="I97:I98">
    <cfRule type="containsText" dxfId="265" priority="263" operator="containsText" text="No">
      <formula>NOT(ISERROR(SEARCH("No",I97)))</formula>
    </cfRule>
  </conditionalFormatting>
  <conditionalFormatting sqref="I217:I218">
    <cfRule type="containsText" dxfId="264" priority="262" operator="containsText" text="No">
      <formula>NOT(ISERROR(SEARCH("No",I217)))</formula>
    </cfRule>
  </conditionalFormatting>
  <conditionalFormatting sqref="I245:I246">
    <cfRule type="containsText" dxfId="263" priority="261" operator="containsText" text="No">
      <formula>NOT(ISERROR(SEARCH("No",I245)))</formula>
    </cfRule>
  </conditionalFormatting>
  <conditionalFormatting sqref="I255:I256">
    <cfRule type="containsText" dxfId="262" priority="260" operator="containsText" text="No">
      <formula>NOT(ISERROR(SEARCH("No",I255)))</formula>
    </cfRule>
  </conditionalFormatting>
  <conditionalFormatting sqref="I3">
    <cfRule type="containsText" dxfId="261" priority="259" operator="containsText" text="No">
      <formula>NOT(ISERROR(SEARCH("No",I3)))</formula>
    </cfRule>
  </conditionalFormatting>
  <conditionalFormatting sqref="I265:I266">
    <cfRule type="containsText" dxfId="260" priority="258" operator="containsText" text="No">
      <formula>NOT(ISERROR(SEARCH("No",I265)))</formula>
    </cfRule>
  </conditionalFormatting>
  <conditionalFormatting sqref="I200:I203 I205:I208">
    <cfRule type="containsText" dxfId="259" priority="257" operator="containsText" text="No">
      <formula>NOT(ISERROR(SEARCH("No",I200)))</formula>
    </cfRule>
  </conditionalFormatting>
  <conditionalFormatting sqref="I205">
    <cfRule type="containsBlanks" dxfId="258" priority="256">
      <formula>LEN(TRIM(I205))=0</formula>
    </cfRule>
  </conditionalFormatting>
  <conditionalFormatting sqref="I206">
    <cfRule type="cellIs" dxfId="257" priority="255" operator="notBetween">
      <formula>-0.01</formula>
      <formula>0.01</formula>
    </cfRule>
  </conditionalFormatting>
  <conditionalFormatting sqref="I207">
    <cfRule type="cellIs" dxfId="256" priority="254" operator="notEqual">
      <formula>0</formula>
    </cfRule>
  </conditionalFormatting>
  <conditionalFormatting sqref="I198:I199">
    <cfRule type="containsText" dxfId="255" priority="253" operator="containsText" text="No">
      <formula>NOT(ISERROR(SEARCH("No",I198)))</formula>
    </cfRule>
  </conditionalFormatting>
  <conditionalFormatting sqref="I181:I184 I186:I189">
    <cfRule type="containsText" dxfId="254" priority="252" operator="containsText" text="No">
      <formula>NOT(ISERROR(SEARCH("No",I181)))</formula>
    </cfRule>
  </conditionalFormatting>
  <conditionalFormatting sqref="I186">
    <cfRule type="containsBlanks" dxfId="253" priority="251">
      <formula>LEN(TRIM(I186))=0</formula>
    </cfRule>
  </conditionalFormatting>
  <conditionalFormatting sqref="I187">
    <cfRule type="cellIs" dxfId="252" priority="250" operator="notBetween">
      <formula>-0.01</formula>
      <formula>0.01</formula>
    </cfRule>
  </conditionalFormatting>
  <conditionalFormatting sqref="I188">
    <cfRule type="cellIs" dxfId="251" priority="249" operator="notEqual">
      <formula>0</formula>
    </cfRule>
  </conditionalFormatting>
  <conditionalFormatting sqref="I4:I12">
    <cfRule type="containsText" dxfId="250" priority="248" operator="containsText" text="No">
      <formula>NOT(ISERROR(SEARCH("No",I4)))</formula>
    </cfRule>
  </conditionalFormatting>
  <conditionalFormatting sqref="I9">
    <cfRule type="containsBlanks" dxfId="249" priority="247">
      <formula>LEN(TRIM(I9))=0</formula>
    </cfRule>
  </conditionalFormatting>
  <conditionalFormatting sqref="I10">
    <cfRule type="cellIs" dxfId="248" priority="246" operator="notBetween">
      <formula>-0.01</formula>
      <formula>0.01</formula>
    </cfRule>
  </conditionalFormatting>
  <conditionalFormatting sqref="I11">
    <cfRule type="cellIs" dxfId="247" priority="245" operator="notEqual">
      <formula>0</formula>
    </cfRule>
  </conditionalFormatting>
  <conditionalFormatting sqref="J2 J267:J273 J60:J67 J70:J77 J80:J96 J185 J190:J197 J204 J209:J216 J247:J254 J257:J264 J32:J48 J50:J57 J99:J180 J13:J29 J219:J224 J226:J233 J235:J242 J244">
    <cfRule type="containsText" dxfId="246" priority="244" operator="containsText" text="No">
      <formula>NOT(ISERROR(SEARCH("No",J2)))</formula>
    </cfRule>
  </conditionalFormatting>
  <conditionalFormatting sqref="J252 J224 J195 J242 J262 J94 J65 J132 J85 J233 J27 J18 J177 J141 J214 J114 J168 J150 J159 J75 J123 J37 J46 J55">
    <cfRule type="containsBlanks" dxfId="245" priority="243">
      <formula>LEN(TRIM(J18))=0</formula>
    </cfRule>
  </conditionalFormatting>
  <conditionalFormatting sqref="J133 J196 J253 J263 J95 J86 J66 J38 J47 J56 J28 J19 J124 J178 J142 J169 J215 J115 J151 J160 J76">
    <cfRule type="cellIs" dxfId="244" priority="242" operator="notBetween">
      <formula>-0.01</formula>
      <formula>0.01</formula>
    </cfRule>
  </conditionalFormatting>
  <conditionalFormatting sqref="J134 J197 J244 J235 J254 J264 J226 J57 J87 J67 J39 J48 J116 J29 J20 J125 J179 J143 J170 J216 J152 J161 J77 J96">
    <cfRule type="cellIs" dxfId="243" priority="241" operator="notEqual">
      <formula>0</formula>
    </cfRule>
  </conditionalFormatting>
  <conditionalFormatting sqref="J104">
    <cfRule type="containsBlanks" dxfId="242" priority="240">
      <formula>LEN(TRIM(J104))=0</formula>
    </cfRule>
  </conditionalFormatting>
  <conditionalFormatting sqref="J105">
    <cfRule type="cellIs" dxfId="241" priority="239" operator="notBetween">
      <formula>-0.01</formula>
      <formula>0.01</formula>
    </cfRule>
  </conditionalFormatting>
  <conditionalFormatting sqref="J106">
    <cfRule type="cellIs" dxfId="240" priority="238" operator="notEqual">
      <formula>0</formula>
    </cfRule>
  </conditionalFormatting>
  <conditionalFormatting sqref="J30:J31">
    <cfRule type="containsText" dxfId="239" priority="237" operator="containsText" text="No">
      <formula>NOT(ISERROR(SEARCH("No",J30)))</formula>
    </cfRule>
  </conditionalFormatting>
  <conditionalFormatting sqref="J58:J59">
    <cfRule type="containsText" dxfId="238" priority="236" operator="containsText" text="No">
      <formula>NOT(ISERROR(SEARCH("No",J58)))</formula>
    </cfRule>
  </conditionalFormatting>
  <conditionalFormatting sqref="J68:J69">
    <cfRule type="containsText" dxfId="237" priority="235" operator="containsText" text="No">
      <formula>NOT(ISERROR(SEARCH("No",J68)))</formula>
    </cfRule>
  </conditionalFormatting>
  <conditionalFormatting sqref="J78:J79">
    <cfRule type="containsText" dxfId="236" priority="234" operator="containsText" text="No">
      <formula>NOT(ISERROR(SEARCH("No",J78)))</formula>
    </cfRule>
  </conditionalFormatting>
  <conditionalFormatting sqref="J97:J98">
    <cfRule type="containsText" dxfId="235" priority="233" operator="containsText" text="No">
      <formula>NOT(ISERROR(SEARCH("No",J97)))</formula>
    </cfRule>
  </conditionalFormatting>
  <conditionalFormatting sqref="J217:J218">
    <cfRule type="containsText" dxfId="234" priority="232" operator="containsText" text="No">
      <formula>NOT(ISERROR(SEARCH("No",J217)))</formula>
    </cfRule>
  </conditionalFormatting>
  <conditionalFormatting sqref="J245:J246">
    <cfRule type="containsText" dxfId="233" priority="231" operator="containsText" text="No">
      <formula>NOT(ISERROR(SEARCH("No",J245)))</formula>
    </cfRule>
  </conditionalFormatting>
  <conditionalFormatting sqref="J255:J256">
    <cfRule type="containsText" dxfId="232" priority="230" operator="containsText" text="No">
      <formula>NOT(ISERROR(SEARCH("No",J255)))</formula>
    </cfRule>
  </conditionalFormatting>
  <conditionalFormatting sqref="J3">
    <cfRule type="containsText" dxfId="231" priority="229" operator="containsText" text="No">
      <formula>NOT(ISERROR(SEARCH("No",J3)))</formula>
    </cfRule>
  </conditionalFormatting>
  <conditionalFormatting sqref="J265:J266">
    <cfRule type="containsText" dxfId="230" priority="228" operator="containsText" text="No">
      <formula>NOT(ISERROR(SEARCH("No",J265)))</formula>
    </cfRule>
  </conditionalFormatting>
  <conditionalFormatting sqref="J200:J203 J205:J208">
    <cfRule type="containsText" dxfId="229" priority="227" operator="containsText" text="No">
      <formula>NOT(ISERROR(SEARCH("No",J200)))</formula>
    </cfRule>
  </conditionalFormatting>
  <conditionalFormatting sqref="J205">
    <cfRule type="containsBlanks" dxfId="228" priority="226">
      <formula>LEN(TRIM(J205))=0</formula>
    </cfRule>
  </conditionalFormatting>
  <conditionalFormatting sqref="J206">
    <cfRule type="cellIs" dxfId="227" priority="225" operator="notBetween">
      <formula>-0.01</formula>
      <formula>0.01</formula>
    </cfRule>
  </conditionalFormatting>
  <conditionalFormatting sqref="J207">
    <cfRule type="cellIs" dxfId="226" priority="224" operator="notEqual">
      <formula>0</formula>
    </cfRule>
  </conditionalFormatting>
  <conditionalFormatting sqref="J198:J199">
    <cfRule type="containsText" dxfId="225" priority="223" operator="containsText" text="No">
      <formula>NOT(ISERROR(SEARCH("No",J198)))</formula>
    </cfRule>
  </conditionalFormatting>
  <conditionalFormatting sqref="J181:J184 J186:J189">
    <cfRule type="containsText" dxfId="224" priority="222" operator="containsText" text="No">
      <formula>NOT(ISERROR(SEARCH("No",J181)))</formula>
    </cfRule>
  </conditionalFormatting>
  <conditionalFormatting sqref="J186">
    <cfRule type="containsBlanks" dxfId="223" priority="221">
      <formula>LEN(TRIM(J186))=0</formula>
    </cfRule>
  </conditionalFormatting>
  <conditionalFormatting sqref="J187">
    <cfRule type="cellIs" dxfId="222" priority="220" operator="notBetween">
      <formula>-0.01</formula>
      <formula>0.01</formula>
    </cfRule>
  </conditionalFormatting>
  <conditionalFormatting sqref="J188">
    <cfRule type="cellIs" dxfId="221" priority="219" operator="notEqual">
      <formula>0</formula>
    </cfRule>
  </conditionalFormatting>
  <conditionalFormatting sqref="J4:J12">
    <cfRule type="containsText" dxfId="220" priority="218" operator="containsText" text="No">
      <formula>NOT(ISERROR(SEARCH("No",J4)))</formula>
    </cfRule>
  </conditionalFormatting>
  <conditionalFormatting sqref="J9">
    <cfRule type="containsBlanks" dxfId="219" priority="217">
      <formula>LEN(TRIM(J9))=0</formula>
    </cfRule>
  </conditionalFormatting>
  <conditionalFormatting sqref="J10">
    <cfRule type="cellIs" dxfId="218" priority="216" operator="notBetween">
      <formula>-0.01</formula>
      <formula>0.01</formula>
    </cfRule>
  </conditionalFormatting>
  <conditionalFormatting sqref="J11">
    <cfRule type="cellIs" dxfId="217" priority="215" operator="notEqual">
      <formula>0</formula>
    </cfRule>
  </conditionalFormatting>
  <conditionalFormatting sqref="K2 K267:K273 K60:K67 K70:K77 K80:K96 K185 K190:K197 K204 K209:K216 K220:K224 K247:K254 K257:K264 K32:K48 K50:K57 K99:K180 K13:K29 K226:K233 K235:K242 K244">
    <cfRule type="containsText" dxfId="216" priority="214" operator="containsText" text="No">
      <formula>NOT(ISERROR(SEARCH("No",K2)))</formula>
    </cfRule>
  </conditionalFormatting>
  <conditionalFormatting sqref="K252 K224 K195 K242 K262 K94 K65 K132 K85 K233 K27 K18 K177 K141 K214 K114 K168 K150 K159 K75 K123 K37 K46 K55">
    <cfRule type="containsBlanks" dxfId="215" priority="213">
      <formula>LEN(TRIM(K18))=0</formula>
    </cfRule>
  </conditionalFormatting>
  <conditionalFormatting sqref="K133 K196 K253 K263 K95 K86 K66 K38 K47 K56 K28 K19 K124 K178 K142 K169 K215 K115 K151 K160 K76">
    <cfRule type="cellIs" dxfId="214" priority="212" operator="notBetween">
      <formula>-0.01</formula>
      <formula>0.01</formula>
    </cfRule>
  </conditionalFormatting>
  <conditionalFormatting sqref="K134 K197 K244 K235 K254 K264 K226 K57 K87 K67 K39 K48 K116 K29 K20 K125 K179 K143 K170 K216 K152 K161 K77 K96">
    <cfRule type="cellIs" dxfId="213" priority="211" operator="notEqual">
      <formula>0</formula>
    </cfRule>
  </conditionalFormatting>
  <conditionalFormatting sqref="K104">
    <cfRule type="containsBlanks" dxfId="212" priority="210">
      <formula>LEN(TRIM(K104))=0</formula>
    </cfRule>
  </conditionalFormatting>
  <conditionalFormatting sqref="K105">
    <cfRule type="cellIs" dxfId="211" priority="209" operator="notBetween">
      <formula>-0.01</formula>
      <formula>0.01</formula>
    </cfRule>
  </conditionalFormatting>
  <conditionalFormatting sqref="K106">
    <cfRule type="cellIs" dxfId="210" priority="208" operator="notEqual">
      <formula>0</formula>
    </cfRule>
  </conditionalFormatting>
  <conditionalFormatting sqref="K30:K31">
    <cfRule type="containsText" dxfId="209" priority="207" operator="containsText" text="No">
      <formula>NOT(ISERROR(SEARCH("No",K30)))</formula>
    </cfRule>
  </conditionalFormatting>
  <conditionalFormatting sqref="K58:K59">
    <cfRule type="containsText" dxfId="208" priority="206" operator="containsText" text="No">
      <formula>NOT(ISERROR(SEARCH("No",K58)))</formula>
    </cfRule>
  </conditionalFormatting>
  <conditionalFormatting sqref="K68:K69">
    <cfRule type="containsText" dxfId="207" priority="205" operator="containsText" text="No">
      <formula>NOT(ISERROR(SEARCH("No",K68)))</formula>
    </cfRule>
  </conditionalFormatting>
  <conditionalFormatting sqref="K78:K79">
    <cfRule type="containsText" dxfId="206" priority="204" operator="containsText" text="No">
      <formula>NOT(ISERROR(SEARCH("No",K78)))</formula>
    </cfRule>
  </conditionalFormatting>
  <conditionalFormatting sqref="K97:K98">
    <cfRule type="containsText" dxfId="205" priority="203" operator="containsText" text="No">
      <formula>NOT(ISERROR(SEARCH("No",K97)))</formula>
    </cfRule>
  </conditionalFormatting>
  <conditionalFormatting sqref="K217:K218">
    <cfRule type="containsText" dxfId="204" priority="202" operator="containsText" text="No">
      <formula>NOT(ISERROR(SEARCH("No",K217)))</formula>
    </cfRule>
  </conditionalFormatting>
  <conditionalFormatting sqref="K245:K246">
    <cfRule type="containsText" dxfId="203" priority="201" operator="containsText" text="No">
      <formula>NOT(ISERROR(SEARCH("No",K245)))</formula>
    </cfRule>
  </conditionalFormatting>
  <conditionalFormatting sqref="K255:K256">
    <cfRule type="containsText" dxfId="202" priority="200" operator="containsText" text="No">
      <formula>NOT(ISERROR(SEARCH("No",K255)))</formula>
    </cfRule>
  </conditionalFormatting>
  <conditionalFormatting sqref="K3">
    <cfRule type="containsText" dxfId="201" priority="199" operator="containsText" text="No">
      <formula>NOT(ISERROR(SEARCH("No",K3)))</formula>
    </cfRule>
  </conditionalFormatting>
  <conditionalFormatting sqref="K265:K266">
    <cfRule type="containsText" dxfId="200" priority="198" operator="containsText" text="No">
      <formula>NOT(ISERROR(SEARCH("No",K265)))</formula>
    </cfRule>
  </conditionalFormatting>
  <conditionalFormatting sqref="K200:K203 K205:K208">
    <cfRule type="containsText" dxfId="199" priority="197" operator="containsText" text="No">
      <formula>NOT(ISERROR(SEARCH("No",K200)))</formula>
    </cfRule>
  </conditionalFormatting>
  <conditionalFormatting sqref="K205">
    <cfRule type="containsBlanks" dxfId="198" priority="196">
      <formula>LEN(TRIM(K205))=0</formula>
    </cfRule>
  </conditionalFormatting>
  <conditionalFormatting sqref="K206">
    <cfRule type="cellIs" dxfId="197" priority="195" operator="notBetween">
      <formula>-0.01</formula>
      <formula>0.01</formula>
    </cfRule>
  </conditionalFormatting>
  <conditionalFormatting sqref="K207">
    <cfRule type="cellIs" dxfId="196" priority="194" operator="notEqual">
      <formula>0</formula>
    </cfRule>
  </conditionalFormatting>
  <conditionalFormatting sqref="K198:K199">
    <cfRule type="containsText" dxfId="195" priority="193" operator="containsText" text="No">
      <formula>NOT(ISERROR(SEARCH("No",K198)))</formula>
    </cfRule>
  </conditionalFormatting>
  <conditionalFormatting sqref="K181:K184 K186:K189">
    <cfRule type="containsText" dxfId="194" priority="192" operator="containsText" text="No">
      <formula>NOT(ISERROR(SEARCH("No",K181)))</formula>
    </cfRule>
  </conditionalFormatting>
  <conditionalFormatting sqref="K186">
    <cfRule type="containsBlanks" dxfId="193" priority="191">
      <formula>LEN(TRIM(K186))=0</formula>
    </cfRule>
  </conditionalFormatting>
  <conditionalFormatting sqref="K187">
    <cfRule type="cellIs" dxfId="192" priority="190" operator="notBetween">
      <formula>-0.01</formula>
      <formula>0.01</formula>
    </cfRule>
  </conditionalFormatting>
  <conditionalFormatting sqref="K188">
    <cfRule type="cellIs" dxfId="191" priority="189" operator="notEqual">
      <formula>0</formula>
    </cfRule>
  </conditionalFormatting>
  <conditionalFormatting sqref="K4:K12">
    <cfRule type="containsText" dxfId="190" priority="188" operator="containsText" text="No">
      <formula>NOT(ISERROR(SEARCH("No",K4)))</formula>
    </cfRule>
  </conditionalFormatting>
  <conditionalFormatting sqref="K9">
    <cfRule type="containsBlanks" dxfId="189" priority="187">
      <formula>LEN(TRIM(K9))=0</formula>
    </cfRule>
  </conditionalFormatting>
  <conditionalFormatting sqref="K10">
    <cfRule type="cellIs" dxfId="188" priority="186" operator="notBetween">
      <formula>-0.01</formula>
      <formula>0.01</formula>
    </cfRule>
  </conditionalFormatting>
  <conditionalFormatting sqref="K11">
    <cfRule type="cellIs" dxfId="187" priority="185" operator="notEqual">
      <formula>0</formula>
    </cfRule>
  </conditionalFormatting>
  <conditionalFormatting sqref="L2 L267:L273 L60:L67 L70:L77 L80:L96 L185 L190:L197 L204 L209:L216 L220:L224 L247:L254 L257:L264 L32:L48 L50:L57 L99:L180 L13:L29 L226:L233 L235:L242 L244">
    <cfRule type="containsText" dxfId="186" priority="184" operator="containsText" text="No">
      <formula>NOT(ISERROR(SEARCH("No",L2)))</formula>
    </cfRule>
  </conditionalFormatting>
  <conditionalFormatting sqref="L252 L224 L195 L242 L262 L94 L65 L132 L85 L233 L27 L18 L177 L141 L214 L114 L168 L150 L159 L75 L123 L37 L46 L55">
    <cfRule type="containsBlanks" dxfId="185" priority="183">
      <formula>LEN(TRIM(L18))=0</formula>
    </cfRule>
  </conditionalFormatting>
  <conditionalFormatting sqref="L133 L196 L253 L263 L95 L86 L66 L38 L47 L56 L28 L19 L124 L178 L142 L169 L215 L115 L151 L160 L76">
    <cfRule type="cellIs" dxfId="184" priority="182" operator="notBetween">
      <formula>-0.01</formula>
      <formula>0.01</formula>
    </cfRule>
  </conditionalFormatting>
  <conditionalFormatting sqref="L134 L197 L244 L235 L254 L264 L226 L57 L87 L67 L39 L48 L116 L29 L20 L125 L179 L143 L170 L216 L152 L161 L77 L96">
    <cfRule type="cellIs" dxfId="183" priority="181" operator="notEqual">
      <formula>0</formula>
    </cfRule>
  </conditionalFormatting>
  <conditionalFormatting sqref="L104">
    <cfRule type="containsBlanks" dxfId="182" priority="180">
      <formula>LEN(TRIM(L104))=0</formula>
    </cfRule>
  </conditionalFormatting>
  <conditionalFormatting sqref="L105">
    <cfRule type="cellIs" dxfId="181" priority="179" operator="notBetween">
      <formula>-0.01</formula>
      <formula>0.01</formula>
    </cfRule>
  </conditionalFormatting>
  <conditionalFormatting sqref="L106">
    <cfRule type="cellIs" dxfId="180" priority="178" operator="notEqual">
      <formula>0</formula>
    </cfRule>
  </conditionalFormatting>
  <conditionalFormatting sqref="L30:L31">
    <cfRule type="containsText" dxfId="179" priority="177" operator="containsText" text="No">
      <formula>NOT(ISERROR(SEARCH("No",L30)))</formula>
    </cfRule>
  </conditionalFormatting>
  <conditionalFormatting sqref="L58:L59">
    <cfRule type="containsText" dxfId="178" priority="176" operator="containsText" text="No">
      <formula>NOT(ISERROR(SEARCH("No",L58)))</formula>
    </cfRule>
  </conditionalFormatting>
  <conditionalFormatting sqref="L68:L69">
    <cfRule type="containsText" dxfId="177" priority="175" operator="containsText" text="No">
      <formula>NOT(ISERROR(SEARCH("No",L68)))</formula>
    </cfRule>
  </conditionalFormatting>
  <conditionalFormatting sqref="L78:L79">
    <cfRule type="containsText" dxfId="176" priority="174" operator="containsText" text="No">
      <formula>NOT(ISERROR(SEARCH("No",L78)))</formula>
    </cfRule>
  </conditionalFormatting>
  <conditionalFormatting sqref="L97:L98">
    <cfRule type="containsText" dxfId="175" priority="173" operator="containsText" text="No">
      <formula>NOT(ISERROR(SEARCH("No",L97)))</formula>
    </cfRule>
  </conditionalFormatting>
  <conditionalFormatting sqref="L217:L218">
    <cfRule type="containsText" dxfId="174" priority="172" operator="containsText" text="No">
      <formula>NOT(ISERROR(SEARCH("No",L217)))</formula>
    </cfRule>
  </conditionalFormatting>
  <conditionalFormatting sqref="L245:L246">
    <cfRule type="containsText" dxfId="173" priority="171" operator="containsText" text="No">
      <formula>NOT(ISERROR(SEARCH("No",L245)))</formula>
    </cfRule>
  </conditionalFormatting>
  <conditionalFormatting sqref="L255:L256">
    <cfRule type="containsText" dxfId="172" priority="170" operator="containsText" text="No">
      <formula>NOT(ISERROR(SEARCH("No",L255)))</formula>
    </cfRule>
  </conditionalFormatting>
  <conditionalFormatting sqref="L3">
    <cfRule type="containsText" dxfId="171" priority="169" operator="containsText" text="No">
      <formula>NOT(ISERROR(SEARCH("No",L3)))</formula>
    </cfRule>
  </conditionalFormatting>
  <conditionalFormatting sqref="L265:L266">
    <cfRule type="containsText" dxfId="170" priority="168" operator="containsText" text="No">
      <formula>NOT(ISERROR(SEARCH("No",L265)))</formula>
    </cfRule>
  </conditionalFormatting>
  <conditionalFormatting sqref="L200:L203 L205:L208">
    <cfRule type="containsText" dxfId="169" priority="167" operator="containsText" text="No">
      <formula>NOT(ISERROR(SEARCH("No",L200)))</formula>
    </cfRule>
  </conditionalFormatting>
  <conditionalFormatting sqref="L205">
    <cfRule type="containsBlanks" dxfId="168" priority="166">
      <formula>LEN(TRIM(L205))=0</formula>
    </cfRule>
  </conditionalFormatting>
  <conditionalFormatting sqref="L206">
    <cfRule type="cellIs" dxfId="167" priority="165" operator="notBetween">
      <formula>-0.01</formula>
      <formula>0.01</formula>
    </cfRule>
  </conditionalFormatting>
  <conditionalFormatting sqref="L207">
    <cfRule type="cellIs" dxfId="166" priority="164" operator="notEqual">
      <formula>0</formula>
    </cfRule>
  </conditionalFormatting>
  <conditionalFormatting sqref="L198:L199">
    <cfRule type="containsText" dxfId="165" priority="163" operator="containsText" text="No">
      <formula>NOT(ISERROR(SEARCH("No",L198)))</formula>
    </cfRule>
  </conditionalFormatting>
  <conditionalFormatting sqref="L181:L184 L186:L189">
    <cfRule type="containsText" dxfId="164" priority="162" operator="containsText" text="No">
      <formula>NOT(ISERROR(SEARCH("No",L181)))</formula>
    </cfRule>
  </conditionalFormatting>
  <conditionalFormatting sqref="L186">
    <cfRule type="containsBlanks" dxfId="163" priority="161">
      <formula>LEN(TRIM(L186))=0</formula>
    </cfRule>
  </conditionalFormatting>
  <conditionalFormatting sqref="L187">
    <cfRule type="cellIs" dxfId="162" priority="160" operator="notBetween">
      <formula>-0.01</formula>
      <formula>0.01</formula>
    </cfRule>
  </conditionalFormatting>
  <conditionalFormatting sqref="L188">
    <cfRule type="cellIs" dxfId="161" priority="159" operator="notEqual">
      <formula>0</formula>
    </cfRule>
  </conditionalFormatting>
  <conditionalFormatting sqref="L4:L12">
    <cfRule type="containsText" dxfId="160" priority="158" operator="containsText" text="No">
      <formula>NOT(ISERROR(SEARCH("No",L4)))</formula>
    </cfRule>
  </conditionalFormatting>
  <conditionalFormatting sqref="L9">
    <cfRule type="containsBlanks" dxfId="159" priority="157">
      <formula>LEN(TRIM(L9))=0</formula>
    </cfRule>
  </conditionalFormatting>
  <conditionalFormatting sqref="L10">
    <cfRule type="cellIs" dxfId="158" priority="156" operator="notBetween">
      <formula>-0.01</formula>
      <formula>0.01</formula>
    </cfRule>
  </conditionalFormatting>
  <conditionalFormatting sqref="L11">
    <cfRule type="cellIs" dxfId="157" priority="155" operator="notEqual">
      <formula>0</formula>
    </cfRule>
  </conditionalFormatting>
  <conditionalFormatting sqref="M2 M267:M273 M60:M67 M70:M77 M80:M96 M185 M190:M197 M204 M209:M216 M220:M224 M247:M254 M257:M264 M32:M48 M50:M57 M99:M180 M13:M29 M226:M233 M235:M242 M244">
    <cfRule type="containsText" dxfId="156" priority="154" operator="containsText" text="No">
      <formula>NOT(ISERROR(SEARCH("No",M2)))</formula>
    </cfRule>
  </conditionalFormatting>
  <conditionalFormatting sqref="M252 M224 M195 M242 M262 M94 M65 M132 M85 M233 M27 M18 M177 M141 M214 M114 M168 M150 M159 M75 M123 M37 M46 M55">
    <cfRule type="containsBlanks" dxfId="155" priority="153">
      <formula>LEN(TRIM(M18))=0</formula>
    </cfRule>
  </conditionalFormatting>
  <conditionalFormatting sqref="M133 M196 M253 M263 M95 M86 M66 M38 M47 M56 M28 M19 M124 M178 M142 M169 M215 M115 M151 M160 M76">
    <cfRule type="cellIs" dxfId="154" priority="152" operator="notBetween">
      <formula>-0.01</formula>
      <formula>0.01</formula>
    </cfRule>
  </conditionalFormatting>
  <conditionalFormatting sqref="M134 M197 M244 M235 M254 M264 M226 M57 M87 M67 M39 M48 M116 M29 M20 M125 M179 M143 M170 M216 M152 M161 M77 M96">
    <cfRule type="cellIs" dxfId="153" priority="151" operator="notEqual">
      <formula>0</formula>
    </cfRule>
  </conditionalFormatting>
  <conditionalFormatting sqref="M104">
    <cfRule type="containsBlanks" dxfId="152" priority="150">
      <formula>LEN(TRIM(M104))=0</formula>
    </cfRule>
  </conditionalFormatting>
  <conditionalFormatting sqref="M105">
    <cfRule type="cellIs" dxfId="151" priority="149" operator="notBetween">
      <formula>-0.01</formula>
      <formula>0.01</formula>
    </cfRule>
  </conditionalFormatting>
  <conditionalFormatting sqref="M106">
    <cfRule type="cellIs" dxfId="150" priority="148" operator="notEqual">
      <formula>0</formula>
    </cfRule>
  </conditionalFormatting>
  <conditionalFormatting sqref="M30:M31">
    <cfRule type="containsText" dxfId="149" priority="147" operator="containsText" text="No">
      <formula>NOT(ISERROR(SEARCH("No",M30)))</formula>
    </cfRule>
  </conditionalFormatting>
  <conditionalFormatting sqref="M58:M59">
    <cfRule type="containsText" dxfId="148" priority="146" operator="containsText" text="No">
      <formula>NOT(ISERROR(SEARCH("No",M58)))</formula>
    </cfRule>
  </conditionalFormatting>
  <conditionalFormatting sqref="M68:M69">
    <cfRule type="containsText" dxfId="147" priority="145" operator="containsText" text="No">
      <formula>NOT(ISERROR(SEARCH("No",M68)))</formula>
    </cfRule>
  </conditionalFormatting>
  <conditionalFormatting sqref="M78:M79">
    <cfRule type="containsText" dxfId="146" priority="144" operator="containsText" text="No">
      <formula>NOT(ISERROR(SEARCH("No",M78)))</formula>
    </cfRule>
  </conditionalFormatting>
  <conditionalFormatting sqref="M97:M98">
    <cfRule type="containsText" dxfId="145" priority="143" operator="containsText" text="No">
      <formula>NOT(ISERROR(SEARCH("No",M97)))</formula>
    </cfRule>
  </conditionalFormatting>
  <conditionalFormatting sqref="M217:M218">
    <cfRule type="containsText" dxfId="144" priority="142" operator="containsText" text="No">
      <formula>NOT(ISERROR(SEARCH("No",M217)))</formula>
    </cfRule>
  </conditionalFormatting>
  <conditionalFormatting sqref="M245:M246">
    <cfRule type="containsText" dxfId="143" priority="141" operator="containsText" text="No">
      <formula>NOT(ISERROR(SEARCH("No",M245)))</formula>
    </cfRule>
  </conditionalFormatting>
  <conditionalFormatting sqref="M255:M256">
    <cfRule type="containsText" dxfId="142" priority="140" operator="containsText" text="No">
      <formula>NOT(ISERROR(SEARCH("No",M255)))</formula>
    </cfRule>
  </conditionalFormatting>
  <conditionalFormatting sqref="M3">
    <cfRule type="containsText" dxfId="141" priority="139" operator="containsText" text="No">
      <formula>NOT(ISERROR(SEARCH("No",M3)))</formula>
    </cfRule>
  </conditionalFormatting>
  <conditionalFormatting sqref="M265:M266">
    <cfRule type="containsText" dxfId="140" priority="138" operator="containsText" text="No">
      <formula>NOT(ISERROR(SEARCH("No",M265)))</formula>
    </cfRule>
  </conditionalFormatting>
  <conditionalFormatting sqref="M200:M203 M205:M208">
    <cfRule type="containsText" dxfId="139" priority="137" operator="containsText" text="No">
      <formula>NOT(ISERROR(SEARCH("No",M200)))</formula>
    </cfRule>
  </conditionalFormatting>
  <conditionalFormatting sqref="M205">
    <cfRule type="containsBlanks" dxfId="138" priority="136">
      <formula>LEN(TRIM(M205))=0</formula>
    </cfRule>
  </conditionalFormatting>
  <conditionalFormatting sqref="M206">
    <cfRule type="cellIs" dxfId="137" priority="135" operator="notBetween">
      <formula>-0.01</formula>
      <formula>0.01</formula>
    </cfRule>
  </conditionalFormatting>
  <conditionalFormatting sqref="M207">
    <cfRule type="cellIs" dxfId="136" priority="134" operator="notEqual">
      <formula>0</formula>
    </cfRule>
  </conditionalFormatting>
  <conditionalFormatting sqref="M198:M199">
    <cfRule type="containsText" dxfId="135" priority="133" operator="containsText" text="No">
      <formula>NOT(ISERROR(SEARCH("No",M198)))</formula>
    </cfRule>
  </conditionalFormatting>
  <conditionalFormatting sqref="M181:M184 M186:M189">
    <cfRule type="containsText" dxfId="134" priority="132" operator="containsText" text="No">
      <formula>NOT(ISERROR(SEARCH("No",M181)))</formula>
    </cfRule>
  </conditionalFormatting>
  <conditionalFormatting sqref="M186">
    <cfRule type="containsBlanks" dxfId="133" priority="131">
      <formula>LEN(TRIM(M186))=0</formula>
    </cfRule>
  </conditionalFormatting>
  <conditionalFormatting sqref="M187">
    <cfRule type="cellIs" dxfId="132" priority="130" operator="notBetween">
      <formula>-0.01</formula>
      <formula>0.01</formula>
    </cfRule>
  </conditionalFormatting>
  <conditionalFormatting sqref="M188">
    <cfRule type="cellIs" dxfId="131" priority="129" operator="notEqual">
      <formula>0</formula>
    </cfRule>
  </conditionalFormatting>
  <conditionalFormatting sqref="M4:M12">
    <cfRule type="containsText" dxfId="130" priority="128" operator="containsText" text="No">
      <formula>NOT(ISERROR(SEARCH("No",M4)))</formula>
    </cfRule>
  </conditionalFormatting>
  <conditionalFormatting sqref="M9">
    <cfRule type="containsBlanks" dxfId="129" priority="127">
      <formula>LEN(TRIM(M9))=0</formula>
    </cfRule>
  </conditionalFormatting>
  <conditionalFormatting sqref="M10">
    <cfRule type="cellIs" dxfId="128" priority="126" operator="notBetween">
      <formula>-0.01</formula>
      <formula>0.01</formula>
    </cfRule>
  </conditionalFormatting>
  <conditionalFormatting sqref="M11">
    <cfRule type="cellIs" dxfId="127" priority="125" operator="notEqual">
      <formula>0</formula>
    </cfRule>
  </conditionalFormatting>
  <conditionalFormatting sqref="N2 N267:N273 N60:N67 N70:N77 N80:N96 N185 N190:N197 N204 N209:N216 N220:N244 N247:N254 N257:N264 N32:N48 N50:N57 N99:N180 N13:N29">
    <cfRule type="containsText" dxfId="126" priority="124" operator="containsText" text="No">
      <formula>NOT(ISERROR(SEARCH("No",N2)))</formula>
    </cfRule>
  </conditionalFormatting>
  <conditionalFormatting sqref="N252 N224 N195 N242 N262 N94 N65 N132 N85 N233 N27 N18 N177 N141 N214 N114 N168 N150 N159 N75 N123 N37 N46 N55">
    <cfRule type="containsBlanks" dxfId="125" priority="123">
      <formula>LEN(TRIM(N18))=0</formula>
    </cfRule>
  </conditionalFormatting>
  <conditionalFormatting sqref="N133 N196 N243 N234 N253 N263 N225 N95 N86 N66 N38 N47 N56 N28 N19 N124 N178 N142 N169 N215 N115 N151 N160 N76">
    <cfRule type="cellIs" dxfId="124" priority="122" operator="notBetween">
      <formula>-0.01</formula>
      <formula>0.01</formula>
    </cfRule>
  </conditionalFormatting>
  <conditionalFormatting sqref="N134 N197 N244 N235 N254 N264 N226 N57 N87 N67 N39 N48 N116 N29 N20 N125 N179 N143 N170 N216 N152 N161 N77 N96">
    <cfRule type="cellIs" dxfId="123" priority="121" operator="notEqual">
      <formula>0</formula>
    </cfRule>
  </conditionalFormatting>
  <conditionalFormatting sqref="N104">
    <cfRule type="containsBlanks" dxfId="122" priority="120">
      <formula>LEN(TRIM(N104))=0</formula>
    </cfRule>
  </conditionalFormatting>
  <conditionalFormatting sqref="N105">
    <cfRule type="cellIs" dxfId="121" priority="119" operator="notBetween">
      <formula>-0.01</formula>
      <formula>0.01</formula>
    </cfRule>
  </conditionalFormatting>
  <conditionalFormatting sqref="N106">
    <cfRule type="cellIs" dxfId="120" priority="118" operator="notEqual">
      <formula>0</formula>
    </cfRule>
  </conditionalFormatting>
  <conditionalFormatting sqref="N30:N31">
    <cfRule type="containsText" dxfId="119" priority="117" operator="containsText" text="No">
      <formula>NOT(ISERROR(SEARCH("No",N30)))</formula>
    </cfRule>
  </conditionalFormatting>
  <conditionalFormatting sqref="N58:N59">
    <cfRule type="containsText" dxfId="118" priority="116" operator="containsText" text="No">
      <formula>NOT(ISERROR(SEARCH("No",N58)))</formula>
    </cfRule>
  </conditionalFormatting>
  <conditionalFormatting sqref="N68:N69">
    <cfRule type="containsText" dxfId="117" priority="115" operator="containsText" text="No">
      <formula>NOT(ISERROR(SEARCH("No",N68)))</formula>
    </cfRule>
  </conditionalFormatting>
  <conditionalFormatting sqref="N78:N79">
    <cfRule type="containsText" dxfId="116" priority="114" operator="containsText" text="No">
      <formula>NOT(ISERROR(SEARCH("No",N78)))</formula>
    </cfRule>
  </conditionalFormatting>
  <conditionalFormatting sqref="N97:N98">
    <cfRule type="containsText" dxfId="115" priority="113" operator="containsText" text="No">
      <formula>NOT(ISERROR(SEARCH("No",N97)))</formula>
    </cfRule>
  </conditionalFormatting>
  <conditionalFormatting sqref="N217:N218">
    <cfRule type="containsText" dxfId="114" priority="112" operator="containsText" text="No">
      <formula>NOT(ISERROR(SEARCH("No",N217)))</formula>
    </cfRule>
  </conditionalFormatting>
  <conditionalFormatting sqref="N245:N246">
    <cfRule type="containsText" dxfId="113" priority="111" operator="containsText" text="No">
      <formula>NOT(ISERROR(SEARCH("No",N245)))</formula>
    </cfRule>
  </conditionalFormatting>
  <conditionalFormatting sqref="N255:N256">
    <cfRule type="containsText" dxfId="112" priority="110" operator="containsText" text="No">
      <formula>NOT(ISERROR(SEARCH("No",N255)))</formula>
    </cfRule>
  </conditionalFormatting>
  <conditionalFormatting sqref="N3">
    <cfRule type="containsText" dxfId="111" priority="109" operator="containsText" text="No">
      <formula>NOT(ISERROR(SEARCH("No",N3)))</formula>
    </cfRule>
  </conditionalFormatting>
  <conditionalFormatting sqref="N265:N266">
    <cfRule type="containsText" dxfId="110" priority="108" operator="containsText" text="No">
      <formula>NOT(ISERROR(SEARCH("No",N265)))</formula>
    </cfRule>
  </conditionalFormatting>
  <conditionalFormatting sqref="N200:N203 N205:N208">
    <cfRule type="containsText" dxfId="109" priority="107" operator="containsText" text="No">
      <formula>NOT(ISERROR(SEARCH("No",N200)))</formula>
    </cfRule>
  </conditionalFormatting>
  <conditionalFormatting sqref="N205">
    <cfRule type="containsBlanks" dxfId="108" priority="106">
      <formula>LEN(TRIM(N205))=0</formula>
    </cfRule>
  </conditionalFormatting>
  <conditionalFormatting sqref="N206">
    <cfRule type="cellIs" dxfId="107" priority="105" operator="notBetween">
      <formula>-0.01</formula>
      <formula>0.01</formula>
    </cfRule>
  </conditionalFormatting>
  <conditionalFormatting sqref="N207">
    <cfRule type="cellIs" dxfId="106" priority="104" operator="notEqual">
      <formula>0</formula>
    </cfRule>
  </conditionalFormatting>
  <conditionalFormatting sqref="N198:N199">
    <cfRule type="containsText" dxfId="105" priority="103" operator="containsText" text="No">
      <formula>NOT(ISERROR(SEARCH("No",N198)))</formula>
    </cfRule>
  </conditionalFormatting>
  <conditionalFormatting sqref="N181:N184 N186:N189">
    <cfRule type="containsText" dxfId="104" priority="102" operator="containsText" text="No">
      <formula>NOT(ISERROR(SEARCH("No",N181)))</formula>
    </cfRule>
  </conditionalFormatting>
  <conditionalFormatting sqref="N186">
    <cfRule type="containsBlanks" dxfId="103" priority="101">
      <formula>LEN(TRIM(N186))=0</formula>
    </cfRule>
  </conditionalFormatting>
  <conditionalFormatting sqref="N187">
    <cfRule type="cellIs" dxfId="102" priority="100" operator="notBetween">
      <formula>-0.01</formula>
      <formula>0.01</formula>
    </cfRule>
  </conditionalFormatting>
  <conditionalFormatting sqref="N188">
    <cfRule type="cellIs" dxfId="101" priority="99" operator="notEqual">
      <formula>0</formula>
    </cfRule>
  </conditionalFormatting>
  <conditionalFormatting sqref="N4:N12">
    <cfRule type="containsText" dxfId="100" priority="98" operator="containsText" text="No">
      <formula>NOT(ISERROR(SEARCH("No",N4)))</formula>
    </cfRule>
  </conditionalFormatting>
  <conditionalFormatting sqref="N9">
    <cfRule type="containsBlanks" dxfId="99" priority="97">
      <formula>LEN(TRIM(N9))=0</formula>
    </cfRule>
  </conditionalFormatting>
  <conditionalFormatting sqref="N10">
    <cfRule type="cellIs" dxfId="98" priority="96" operator="notBetween">
      <formula>-0.01</formula>
      <formula>0.01</formula>
    </cfRule>
  </conditionalFormatting>
  <conditionalFormatting sqref="N11">
    <cfRule type="cellIs" dxfId="97" priority="95" operator="notEqual">
      <formula>0</formula>
    </cfRule>
  </conditionalFormatting>
  <conditionalFormatting sqref="O2 O267:O273 O60:O67 O70:O77 O80:O96 O185 O190:O197 O204 O209:O216 O219:O244 O247:O254 O257:O264 O32:O48 O50:O57 O99:O180 O13:O29">
    <cfRule type="containsText" dxfId="96" priority="94" operator="containsText" text="No">
      <formula>NOT(ISERROR(SEARCH("No",O2)))</formula>
    </cfRule>
  </conditionalFormatting>
  <conditionalFormatting sqref="O252 O224 O195 O242 O262 O94 O65 O132 O85 O233 O27 O18 O177 O141 O214 O114 O168 O150 O159 O75 O123 O37 O46 O55">
    <cfRule type="containsBlanks" dxfId="95" priority="93">
      <formula>LEN(TRIM(O18))=0</formula>
    </cfRule>
  </conditionalFormatting>
  <conditionalFormatting sqref="O133 O196 O243 O234 O253 O263 O225 O95 O86 O66 O38 O47 O56 O28 O19 O124 O178 O142 O169 O215 O115 O151 O160 O76">
    <cfRule type="cellIs" dxfId="94" priority="92" operator="notBetween">
      <formula>-0.01</formula>
      <formula>0.01</formula>
    </cfRule>
  </conditionalFormatting>
  <conditionalFormatting sqref="O134 O197 O244 O235 O254 O264 O226 O57 O87 O67 O39 O48 O116 O29 O20 O125 O179 O143 O170 O216 O152 O161 O77 O96">
    <cfRule type="cellIs" dxfId="93" priority="91" operator="notEqual">
      <formula>0</formula>
    </cfRule>
  </conditionalFormatting>
  <conditionalFormatting sqref="O104">
    <cfRule type="containsBlanks" dxfId="92" priority="90">
      <formula>LEN(TRIM(O104))=0</formula>
    </cfRule>
  </conditionalFormatting>
  <conditionalFormatting sqref="O105">
    <cfRule type="cellIs" dxfId="91" priority="89" operator="notBetween">
      <formula>-0.01</formula>
      <formula>0.01</formula>
    </cfRule>
  </conditionalFormatting>
  <conditionalFormatting sqref="O106">
    <cfRule type="cellIs" dxfId="90" priority="88" operator="notEqual">
      <formula>0</formula>
    </cfRule>
  </conditionalFormatting>
  <conditionalFormatting sqref="O30:O31">
    <cfRule type="containsText" dxfId="89" priority="87" operator="containsText" text="No">
      <formula>NOT(ISERROR(SEARCH("No",O30)))</formula>
    </cfRule>
  </conditionalFormatting>
  <conditionalFormatting sqref="O58:O59">
    <cfRule type="containsText" dxfId="88" priority="86" operator="containsText" text="No">
      <formula>NOT(ISERROR(SEARCH("No",O58)))</formula>
    </cfRule>
  </conditionalFormatting>
  <conditionalFormatting sqref="O68:O69">
    <cfRule type="containsText" dxfId="87" priority="85" operator="containsText" text="No">
      <formula>NOT(ISERROR(SEARCH("No",O68)))</formula>
    </cfRule>
  </conditionalFormatting>
  <conditionalFormatting sqref="O78:O79">
    <cfRule type="containsText" dxfId="86" priority="84" operator="containsText" text="No">
      <formula>NOT(ISERROR(SEARCH("No",O78)))</formula>
    </cfRule>
  </conditionalFormatting>
  <conditionalFormatting sqref="O97:O98">
    <cfRule type="containsText" dxfId="85" priority="83" operator="containsText" text="No">
      <formula>NOT(ISERROR(SEARCH("No",O97)))</formula>
    </cfRule>
  </conditionalFormatting>
  <conditionalFormatting sqref="O217:O218">
    <cfRule type="containsText" dxfId="84" priority="82" operator="containsText" text="No">
      <formula>NOT(ISERROR(SEARCH("No",O217)))</formula>
    </cfRule>
  </conditionalFormatting>
  <conditionalFormatting sqref="O245:O246">
    <cfRule type="containsText" dxfId="83" priority="81" operator="containsText" text="No">
      <formula>NOT(ISERROR(SEARCH("No",O245)))</formula>
    </cfRule>
  </conditionalFormatting>
  <conditionalFormatting sqref="O255:O256">
    <cfRule type="containsText" dxfId="82" priority="80" operator="containsText" text="No">
      <formula>NOT(ISERROR(SEARCH("No",O255)))</formula>
    </cfRule>
  </conditionalFormatting>
  <conditionalFormatting sqref="O3">
    <cfRule type="containsText" dxfId="81" priority="79" operator="containsText" text="No">
      <formula>NOT(ISERROR(SEARCH("No",O3)))</formula>
    </cfRule>
  </conditionalFormatting>
  <conditionalFormatting sqref="O265:O266">
    <cfRule type="containsText" dxfId="80" priority="78" operator="containsText" text="No">
      <formula>NOT(ISERROR(SEARCH("No",O265)))</formula>
    </cfRule>
  </conditionalFormatting>
  <conditionalFormatting sqref="O200:O203 O205:O208">
    <cfRule type="containsText" dxfId="79" priority="77" operator="containsText" text="No">
      <formula>NOT(ISERROR(SEARCH("No",O200)))</formula>
    </cfRule>
  </conditionalFormatting>
  <conditionalFormatting sqref="O205">
    <cfRule type="containsBlanks" dxfId="78" priority="76">
      <formula>LEN(TRIM(O205))=0</formula>
    </cfRule>
  </conditionalFormatting>
  <conditionalFormatting sqref="O206">
    <cfRule type="cellIs" dxfId="77" priority="75" operator="notBetween">
      <formula>-0.01</formula>
      <formula>0.01</formula>
    </cfRule>
  </conditionalFormatting>
  <conditionalFormatting sqref="O207">
    <cfRule type="cellIs" dxfId="76" priority="74" operator="notEqual">
      <formula>0</formula>
    </cfRule>
  </conditionalFormatting>
  <conditionalFormatting sqref="O198:O199">
    <cfRule type="containsText" dxfId="75" priority="73" operator="containsText" text="No">
      <formula>NOT(ISERROR(SEARCH("No",O198)))</formula>
    </cfRule>
  </conditionalFormatting>
  <conditionalFormatting sqref="O181:O184 O186:O189">
    <cfRule type="containsText" dxfId="74" priority="72" operator="containsText" text="No">
      <formula>NOT(ISERROR(SEARCH("No",O181)))</formula>
    </cfRule>
  </conditionalFormatting>
  <conditionalFormatting sqref="O186">
    <cfRule type="containsBlanks" dxfId="73" priority="71">
      <formula>LEN(TRIM(O186))=0</formula>
    </cfRule>
  </conditionalFormatting>
  <conditionalFormatting sqref="O187">
    <cfRule type="cellIs" dxfId="72" priority="70" operator="notBetween">
      <formula>-0.01</formula>
      <formula>0.01</formula>
    </cfRule>
  </conditionalFormatting>
  <conditionalFormatting sqref="O188">
    <cfRule type="cellIs" dxfId="71" priority="69" operator="notEqual">
      <formula>0</formula>
    </cfRule>
  </conditionalFormatting>
  <conditionalFormatting sqref="O4:O12">
    <cfRule type="containsText" dxfId="70" priority="68" operator="containsText" text="No">
      <formula>NOT(ISERROR(SEARCH("No",O4)))</formula>
    </cfRule>
  </conditionalFormatting>
  <conditionalFormatting sqref="O9">
    <cfRule type="containsBlanks" dxfId="69" priority="67">
      <formula>LEN(TRIM(O9))=0</formula>
    </cfRule>
  </conditionalFormatting>
  <conditionalFormatting sqref="O10">
    <cfRule type="cellIs" dxfId="68" priority="66" operator="notBetween">
      <formula>-0.01</formula>
      <formula>0.01</formula>
    </cfRule>
  </conditionalFormatting>
  <conditionalFormatting sqref="O11">
    <cfRule type="cellIs" dxfId="67" priority="65" operator="notEqual">
      <formula>0</formula>
    </cfRule>
  </conditionalFormatting>
  <conditionalFormatting sqref="K219">
    <cfRule type="containsText" dxfId="66" priority="64" operator="containsText" text="No">
      <formula>NOT(ISERROR(SEARCH("No",K219)))</formula>
    </cfRule>
  </conditionalFormatting>
  <conditionalFormatting sqref="L219">
    <cfRule type="containsText" dxfId="65" priority="63" operator="containsText" text="No">
      <formula>NOT(ISERROR(SEARCH("No",L219)))</formula>
    </cfRule>
  </conditionalFormatting>
  <conditionalFormatting sqref="M219">
    <cfRule type="containsText" dxfId="64" priority="62" operator="containsText" text="No">
      <formula>NOT(ISERROR(SEARCH("No",M219)))</formula>
    </cfRule>
  </conditionalFormatting>
  <conditionalFormatting sqref="N219">
    <cfRule type="containsText" dxfId="63" priority="61" operator="containsText" text="No">
      <formula>NOT(ISERROR(SEARCH("No",N219)))</formula>
    </cfRule>
  </conditionalFormatting>
  <conditionalFormatting sqref="P2 P267:P273 P60:P67 P70:P77 P80:P96 P185 P190:P197 P204 P209:P216 P219:P244 P247:P254 P257:P264 P32:P48 P50:P57 P99:P180 P13:P29">
    <cfRule type="containsText" dxfId="62" priority="60" operator="containsText" text="No">
      <formula>NOT(ISERROR(SEARCH("No",P2)))</formula>
    </cfRule>
  </conditionalFormatting>
  <conditionalFormatting sqref="P252 P224 P195 P242 P262 P94 P65 P132 P85 P233 P27 P18 P177 P141 P214 P114 P168 P150 P159 P75 P123 P37 P46 P55">
    <cfRule type="containsBlanks" dxfId="61" priority="59">
      <formula>LEN(TRIM(P18))=0</formula>
    </cfRule>
  </conditionalFormatting>
  <conditionalFormatting sqref="P133 P196 P243 P234 P253 P263 P225 P95 P86 P66 P38 P47 P56 P28 P19 P124 P178 P142 P169 P215 P115 P151 P160 P76">
    <cfRule type="cellIs" dxfId="60" priority="58" operator="notBetween">
      <formula>-0.01</formula>
      <formula>0.01</formula>
    </cfRule>
  </conditionalFormatting>
  <conditionalFormatting sqref="P134 P197 P244 P235 P254 P264 P226 P57 P87 P67 P39 P48 P116 P29 P20 P125 P179 P143 P170 P216 P152 P161 P77 P96">
    <cfRule type="cellIs" dxfId="59" priority="57" operator="notEqual">
      <formula>0</formula>
    </cfRule>
  </conditionalFormatting>
  <conditionalFormatting sqref="P104">
    <cfRule type="containsBlanks" dxfId="58" priority="56">
      <formula>LEN(TRIM(P104))=0</formula>
    </cfRule>
  </conditionalFormatting>
  <conditionalFormatting sqref="P105">
    <cfRule type="cellIs" dxfId="57" priority="55" operator="notBetween">
      <formula>-0.01</formula>
      <formula>0.01</formula>
    </cfRule>
  </conditionalFormatting>
  <conditionalFormatting sqref="P106">
    <cfRule type="cellIs" dxfId="56" priority="54" operator="notEqual">
      <formula>0</formula>
    </cfRule>
  </conditionalFormatting>
  <conditionalFormatting sqref="P30:P31">
    <cfRule type="containsText" dxfId="55" priority="53" operator="containsText" text="No">
      <formula>NOT(ISERROR(SEARCH("No",P30)))</formula>
    </cfRule>
  </conditionalFormatting>
  <conditionalFormatting sqref="P58:P59">
    <cfRule type="containsText" dxfId="54" priority="52" operator="containsText" text="No">
      <formula>NOT(ISERROR(SEARCH("No",P58)))</formula>
    </cfRule>
  </conditionalFormatting>
  <conditionalFormatting sqref="P68:P69">
    <cfRule type="containsText" dxfId="53" priority="51" operator="containsText" text="No">
      <formula>NOT(ISERROR(SEARCH("No",P68)))</formula>
    </cfRule>
  </conditionalFormatting>
  <conditionalFormatting sqref="P78:P79">
    <cfRule type="containsText" dxfId="52" priority="50" operator="containsText" text="No">
      <formula>NOT(ISERROR(SEARCH("No",P78)))</formula>
    </cfRule>
  </conditionalFormatting>
  <conditionalFormatting sqref="P97:P98">
    <cfRule type="containsText" dxfId="51" priority="49" operator="containsText" text="No">
      <formula>NOT(ISERROR(SEARCH("No",P97)))</formula>
    </cfRule>
  </conditionalFormatting>
  <conditionalFormatting sqref="P217:P218">
    <cfRule type="containsText" dxfId="50" priority="48" operator="containsText" text="No">
      <formula>NOT(ISERROR(SEARCH("No",P217)))</formula>
    </cfRule>
  </conditionalFormatting>
  <conditionalFormatting sqref="P245:P246">
    <cfRule type="containsText" dxfId="49" priority="47" operator="containsText" text="No">
      <formula>NOT(ISERROR(SEARCH("No",P245)))</formula>
    </cfRule>
  </conditionalFormatting>
  <conditionalFormatting sqref="P255:P256">
    <cfRule type="containsText" dxfId="48" priority="46" operator="containsText" text="No">
      <formula>NOT(ISERROR(SEARCH("No",P255)))</formula>
    </cfRule>
  </conditionalFormatting>
  <conditionalFormatting sqref="P3">
    <cfRule type="containsText" dxfId="47" priority="45" operator="containsText" text="No">
      <formula>NOT(ISERROR(SEARCH("No",P3)))</formula>
    </cfRule>
  </conditionalFormatting>
  <conditionalFormatting sqref="P265:P266">
    <cfRule type="containsText" dxfId="46" priority="44" operator="containsText" text="No">
      <formula>NOT(ISERROR(SEARCH("No",P265)))</formula>
    </cfRule>
  </conditionalFormatting>
  <conditionalFormatting sqref="P200:P203 P205:P208">
    <cfRule type="containsText" dxfId="45" priority="43" operator="containsText" text="No">
      <formula>NOT(ISERROR(SEARCH("No",P200)))</formula>
    </cfRule>
  </conditionalFormatting>
  <conditionalFormatting sqref="P205">
    <cfRule type="containsBlanks" dxfId="44" priority="42">
      <formula>LEN(TRIM(P205))=0</formula>
    </cfRule>
  </conditionalFormatting>
  <conditionalFormatting sqref="P206">
    <cfRule type="cellIs" dxfId="43" priority="41" operator="notBetween">
      <formula>-0.01</formula>
      <formula>0.01</formula>
    </cfRule>
  </conditionalFormatting>
  <conditionalFormatting sqref="P207">
    <cfRule type="cellIs" dxfId="42" priority="40" operator="notEqual">
      <formula>0</formula>
    </cfRule>
  </conditionalFormatting>
  <conditionalFormatting sqref="P198:P199">
    <cfRule type="containsText" dxfId="41" priority="39" operator="containsText" text="No">
      <formula>NOT(ISERROR(SEARCH("No",P198)))</formula>
    </cfRule>
  </conditionalFormatting>
  <conditionalFormatting sqref="P181:P184 P186:P189">
    <cfRule type="containsText" dxfId="40" priority="38" operator="containsText" text="No">
      <formula>NOT(ISERROR(SEARCH("No",P181)))</formula>
    </cfRule>
  </conditionalFormatting>
  <conditionalFormatting sqref="P186">
    <cfRule type="containsBlanks" dxfId="39" priority="37">
      <formula>LEN(TRIM(P186))=0</formula>
    </cfRule>
  </conditionalFormatting>
  <conditionalFormatting sqref="P187">
    <cfRule type="cellIs" dxfId="38" priority="36" operator="notBetween">
      <formula>-0.01</formula>
      <formula>0.01</formula>
    </cfRule>
  </conditionalFormatting>
  <conditionalFormatting sqref="P188">
    <cfRule type="cellIs" dxfId="37" priority="35" operator="notEqual">
      <formula>0</formula>
    </cfRule>
  </conditionalFormatting>
  <conditionalFormatting sqref="P4:P12">
    <cfRule type="containsText" dxfId="36" priority="34" operator="containsText" text="No">
      <formula>NOT(ISERROR(SEARCH("No",P4)))</formula>
    </cfRule>
  </conditionalFormatting>
  <conditionalFormatting sqref="P9">
    <cfRule type="containsBlanks" dxfId="35" priority="33">
      <formula>LEN(TRIM(P9))=0</formula>
    </cfRule>
  </conditionalFormatting>
  <conditionalFormatting sqref="P10">
    <cfRule type="cellIs" dxfId="34" priority="32" operator="notBetween">
      <formula>-0.01</formula>
      <formula>0.01</formula>
    </cfRule>
  </conditionalFormatting>
  <conditionalFormatting sqref="P11">
    <cfRule type="cellIs" dxfId="33" priority="31" operator="notEqual">
      <formula>0</formula>
    </cfRule>
  </conditionalFormatting>
  <conditionalFormatting sqref="Q2 Q267:Q273 Q60:Q67 Q70:Q77 Q80:Q96 Q185 Q190:Q197 Q204 Q209:Q216 Q219:Q244 Q247:Q254 Q257:Q264 Q32:Q48 Q50:Q57 Q99:Q180 Q13:Q29">
    <cfRule type="containsText" dxfId="32" priority="30" operator="containsText" text="No">
      <formula>NOT(ISERROR(SEARCH("No",Q2)))</formula>
    </cfRule>
  </conditionalFormatting>
  <conditionalFormatting sqref="Q252 Q224 Q195 Q242 Q262 Q94 Q65 Q132 Q85 Q233 Q27 Q18 Q177 Q141 Q214 Q114 Q168 Q150 Q159 Q75 Q123 Q37 Q46 Q55">
    <cfRule type="containsBlanks" dxfId="31" priority="29">
      <formula>LEN(TRIM(Q18))=0</formula>
    </cfRule>
  </conditionalFormatting>
  <conditionalFormatting sqref="Q133 Q196 Q243 Q234 Q253 Q263 Q225 Q95 Q86 Q66 Q38 Q47 Q56 Q28 Q19 Q124 Q178 Q142 Q169 Q215 Q115 Q151 Q160 Q76">
    <cfRule type="cellIs" dxfId="30" priority="28" operator="notBetween">
      <formula>-0.01</formula>
      <formula>0.01</formula>
    </cfRule>
  </conditionalFormatting>
  <conditionalFormatting sqref="Q134 Q197 Q244 Q235 Q254 Q264 Q226 Q57 Q87 Q67 Q39 Q48 Q116 Q29 Q20 Q125 Q179 Q143 Q170 Q216 Q152 Q161 Q77 Q96">
    <cfRule type="cellIs" dxfId="29" priority="27" operator="notEqual">
      <formula>0</formula>
    </cfRule>
  </conditionalFormatting>
  <conditionalFormatting sqref="Q104">
    <cfRule type="containsBlanks" dxfId="28" priority="26">
      <formula>LEN(TRIM(Q104))=0</formula>
    </cfRule>
  </conditionalFormatting>
  <conditionalFormatting sqref="Q105">
    <cfRule type="cellIs" dxfId="27" priority="25" operator="notBetween">
      <formula>-0.01</formula>
      <formula>0.01</formula>
    </cfRule>
  </conditionalFormatting>
  <conditionalFormatting sqref="Q106">
    <cfRule type="cellIs" dxfId="26" priority="24" operator="notEqual">
      <formula>0</formula>
    </cfRule>
  </conditionalFormatting>
  <conditionalFormatting sqref="Q30:Q31">
    <cfRule type="containsText" dxfId="25" priority="23" operator="containsText" text="No">
      <formula>NOT(ISERROR(SEARCH("No",Q30)))</formula>
    </cfRule>
  </conditionalFormatting>
  <conditionalFormatting sqref="Q58:Q59">
    <cfRule type="containsText" dxfId="24" priority="22" operator="containsText" text="No">
      <formula>NOT(ISERROR(SEARCH("No",Q58)))</formula>
    </cfRule>
  </conditionalFormatting>
  <conditionalFormatting sqref="Q68:Q69">
    <cfRule type="containsText" dxfId="23" priority="21" operator="containsText" text="No">
      <formula>NOT(ISERROR(SEARCH("No",Q68)))</formula>
    </cfRule>
  </conditionalFormatting>
  <conditionalFormatting sqref="Q78:Q79">
    <cfRule type="containsText" dxfId="22" priority="20" operator="containsText" text="No">
      <formula>NOT(ISERROR(SEARCH("No",Q78)))</formula>
    </cfRule>
  </conditionalFormatting>
  <conditionalFormatting sqref="Q97:Q98">
    <cfRule type="containsText" dxfId="21" priority="19" operator="containsText" text="No">
      <formula>NOT(ISERROR(SEARCH("No",Q97)))</formula>
    </cfRule>
  </conditionalFormatting>
  <conditionalFormatting sqref="Q217:Q218">
    <cfRule type="containsText" dxfId="20" priority="18" operator="containsText" text="No">
      <formula>NOT(ISERROR(SEARCH("No",Q217)))</formula>
    </cfRule>
  </conditionalFormatting>
  <conditionalFormatting sqref="Q245:Q246">
    <cfRule type="containsText" dxfId="19" priority="17" operator="containsText" text="No">
      <formula>NOT(ISERROR(SEARCH("No",Q245)))</formula>
    </cfRule>
  </conditionalFormatting>
  <conditionalFormatting sqref="Q255:Q256">
    <cfRule type="containsText" dxfId="18" priority="16" operator="containsText" text="No">
      <formula>NOT(ISERROR(SEARCH("No",Q255)))</formula>
    </cfRule>
  </conditionalFormatting>
  <conditionalFormatting sqref="Q3">
    <cfRule type="containsText" dxfId="17" priority="15" operator="containsText" text="No">
      <formula>NOT(ISERROR(SEARCH("No",Q3)))</formula>
    </cfRule>
  </conditionalFormatting>
  <conditionalFormatting sqref="Q265:Q266">
    <cfRule type="containsText" dxfId="16" priority="14" operator="containsText" text="No">
      <formula>NOT(ISERROR(SEARCH("No",Q265)))</formula>
    </cfRule>
  </conditionalFormatting>
  <conditionalFormatting sqref="Q200:Q203 Q205:Q208">
    <cfRule type="containsText" dxfId="15" priority="13" operator="containsText" text="No">
      <formula>NOT(ISERROR(SEARCH("No",Q200)))</formula>
    </cfRule>
  </conditionalFormatting>
  <conditionalFormatting sqref="Q205">
    <cfRule type="containsBlanks" dxfId="14" priority="12">
      <formula>LEN(TRIM(Q205))=0</formula>
    </cfRule>
  </conditionalFormatting>
  <conditionalFormatting sqref="Q206">
    <cfRule type="cellIs" dxfId="13" priority="11" operator="notBetween">
      <formula>-0.01</formula>
      <formula>0.01</formula>
    </cfRule>
  </conditionalFormatting>
  <conditionalFormatting sqref="Q207">
    <cfRule type="cellIs" dxfId="12" priority="10" operator="notEqual">
      <formula>0</formula>
    </cfRule>
  </conditionalFormatting>
  <conditionalFormatting sqref="Q198:Q199">
    <cfRule type="containsText" dxfId="11" priority="9" operator="containsText" text="No">
      <formula>NOT(ISERROR(SEARCH("No",Q198)))</formula>
    </cfRule>
  </conditionalFormatting>
  <conditionalFormatting sqref="Q181:Q184 Q186:Q189">
    <cfRule type="containsText" dxfId="10" priority="8" operator="containsText" text="No">
      <formula>NOT(ISERROR(SEARCH("No",Q181)))</formula>
    </cfRule>
  </conditionalFormatting>
  <conditionalFormatting sqref="Q186">
    <cfRule type="containsBlanks" dxfId="9" priority="7">
      <formula>LEN(TRIM(Q186))=0</formula>
    </cfRule>
  </conditionalFormatting>
  <conditionalFormatting sqref="Q187">
    <cfRule type="cellIs" dxfId="8" priority="6" operator="notBetween">
      <formula>-0.01</formula>
      <formula>0.01</formula>
    </cfRule>
  </conditionalFormatting>
  <conditionalFormatting sqref="Q188">
    <cfRule type="cellIs" dxfId="7" priority="5" operator="notEqual">
      <formula>0</formula>
    </cfRule>
  </conditionalFormatting>
  <conditionalFormatting sqref="Q4:Q12">
    <cfRule type="containsText" dxfId="6" priority="4" operator="containsText" text="No">
      <formula>NOT(ISERROR(SEARCH("No",Q4)))</formula>
    </cfRule>
  </conditionalFormatting>
  <conditionalFormatting sqref="Q9">
    <cfRule type="containsBlanks" dxfId="5" priority="3">
      <formula>LEN(TRIM(Q9))=0</formula>
    </cfRule>
  </conditionalFormatting>
  <conditionalFormatting sqref="Q10">
    <cfRule type="cellIs" dxfId="4" priority="2" operator="notBetween">
      <formula>-0.01</formula>
      <formula>0.01</formula>
    </cfRule>
  </conditionalFormatting>
  <conditionalFormatting sqref="Q11">
    <cfRule type="cellIs" dxfId="3" priority="1" operator="notEqual">
      <formula>0</formula>
    </cfRule>
  </conditionalFormatting>
  <pageMargins left="0.15748031496062992" right="0.15748031496062992" top="0.39370078740157483" bottom="0.39370078740157483" header="0.51181102362204722" footer="0.51181102362204722"/>
  <pageSetup paperSize="9" scale="79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FABB0-1C28-43A1-A055-847C9DADC494}">
  <sheetPr codeName="Sheet14">
    <tabColor theme="5" tint="0.59999389629810485"/>
  </sheetPr>
  <dimension ref="C1:O23"/>
  <sheetViews>
    <sheetView showGridLines="0" tabSelected="1" zoomScaleNormal="100" workbookViewId="0">
      <pane xSplit="1" ySplit="1" topLeftCell="B2" activePane="bottomRight" state="frozen"/>
      <selection activeCell="H19" sqref="H19"/>
      <selection pane="topRight" activeCell="H19" sqref="H19"/>
      <selection pane="bottomLeft" activeCell="H19" sqref="H19"/>
      <selection pane="bottomRight" activeCell="O15" sqref="O15"/>
    </sheetView>
  </sheetViews>
  <sheetFormatPr defaultColWidth="9.140625" defaultRowHeight="12.75" x14ac:dyDescent="0.2"/>
  <cols>
    <col min="1" max="1" width="0.85546875" style="216" customWidth="1"/>
    <col min="2" max="2" width="2.140625" style="216" customWidth="1"/>
    <col min="3" max="3" width="10.42578125" style="217" bestFit="1" customWidth="1"/>
    <col min="4" max="4" width="13.140625" style="217" bestFit="1" customWidth="1"/>
    <col min="5" max="5" width="12" style="218" bestFit="1" customWidth="1"/>
    <col min="6" max="6" width="13.5703125" style="218" bestFit="1" customWidth="1"/>
    <col min="7" max="7" width="16.5703125" style="218" bestFit="1" customWidth="1"/>
    <col min="8" max="8" width="10.140625" style="216" bestFit="1" customWidth="1"/>
    <col min="9" max="9" width="32.5703125" style="219" customWidth="1"/>
    <col min="10" max="10" width="13.7109375" style="216" bestFit="1" customWidth="1"/>
    <col min="11" max="11" width="4.42578125" style="216" customWidth="1"/>
    <col min="12" max="12" width="9.140625" style="216"/>
    <col min="13" max="13" width="13.140625" style="216" bestFit="1" customWidth="1"/>
    <col min="14" max="14" width="9.140625" style="216"/>
    <col min="15" max="15" width="13.140625" style="216" bestFit="1" customWidth="1"/>
    <col min="16" max="16384" width="9.140625" style="216"/>
  </cols>
  <sheetData>
    <row r="1" spans="3:15" s="164" customFormat="1" ht="25.5" x14ac:dyDescent="0.2">
      <c r="C1" s="152" t="s">
        <v>30</v>
      </c>
      <c r="D1" s="153" t="s">
        <v>31</v>
      </c>
      <c r="E1" s="154" t="s">
        <v>105</v>
      </c>
      <c r="F1" s="154" t="s">
        <v>143</v>
      </c>
      <c r="G1" s="154" t="s">
        <v>144</v>
      </c>
      <c r="H1" s="155" t="s">
        <v>146</v>
      </c>
      <c r="I1" s="155" t="s">
        <v>145</v>
      </c>
      <c r="J1" s="155" t="s">
        <v>33</v>
      </c>
      <c r="L1" s="164" t="s">
        <v>148</v>
      </c>
      <c r="M1" s="234">
        <f>'Drawer Rec'!D1</f>
        <v>44329</v>
      </c>
      <c r="N1" s="164" t="s">
        <v>147</v>
      </c>
      <c r="O1" s="234">
        <f ca="1">'Drawer Rec'!D2</f>
        <v>44329.464303819441</v>
      </c>
    </row>
    <row r="2" spans="3:15" x14ac:dyDescent="0.2">
      <c r="C2" s="316" t="s">
        <v>158</v>
      </c>
      <c r="D2" s="316" t="s">
        <v>159</v>
      </c>
      <c r="E2" s="317" t="s">
        <v>160</v>
      </c>
      <c r="F2" s="317" t="s">
        <v>161</v>
      </c>
      <c r="G2" s="317">
        <v>38.1</v>
      </c>
      <c r="H2" s="318" t="s">
        <v>162</v>
      </c>
      <c r="I2" s="319" t="s">
        <v>166</v>
      </c>
      <c r="J2" s="318"/>
    </row>
    <row r="3" spans="3:15" x14ac:dyDescent="0.2">
      <c r="C3" s="312" t="s">
        <v>158</v>
      </c>
      <c r="D3" s="312" t="s">
        <v>159</v>
      </c>
      <c r="E3" s="313" t="s">
        <v>163</v>
      </c>
      <c r="F3" s="313" t="s">
        <v>164</v>
      </c>
      <c r="G3" s="313">
        <v>13.2</v>
      </c>
      <c r="H3" s="314" t="s">
        <v>165</v>
      </c>
      <c r="I3" s="315" t="s">
        <v>167</v>
      </c>
      <c r="J3" s="314"/>
    </row>
    <row r="4" spans="3:15" x14ac:dyDescent="0.2">
      <c r="C4" s="331" t="s">
        <v>181</v>
      </c>
      <c r="D4" s="331" t="s">
        <v>158</v>
      </c>
      <c r="E4" s="332" t="s">
        <v>182</v>
      </c>
      <c r="F4" s="332" t="s">
        <v>183</v>
      </c>
      <c r="G4" s="332">
        <v>723.8</v>
      </c>
      <c r="H4" s="333" t="s">
        <v>184</v>
      </c>
      <c r="I4" s="334" t="s">
        <v>185</v>
      </c>
      <c r="J4" s="333"/>
    </row>
    <row r="5" spans="3:15" x14ac:dyDescent="0.2">
      <c r="C5" s="312" t="s">
        <v>181</v>
      </c>
      <c r="D5" s="312" t="s">
        <v>158</v>
      </c>
      <c r="E5" s="313" t="s">
        <v>186</v>
      </c>
      <c r="F5" s="313" t="s">
        <v>187</v>
      </c>
      <c r="G5" s="313">
        <v>-100</v>
      </c>
      <c r="H5" s="314" t="s">
        <v>188</v>
      </c>
      <c r="I5" s="315" t="s">
        <v>189</v>
      </c>
      <c r="J5" s="314"/>
    </row>
    <row r="6" spans="3:15" x14ac:dyDescent="0.2">
      <c r="C6" s="331" t="s">
        <v>327</v>
      </c>
      <c r="D6" s="331" t="s">
        <v>328</v>
      </c>
      <c r="E6" s="332" t="s">
        <v>193</v>
      </c>
      <c r="F6" s="332" t="s">
        <v>329</v>
      </c>
      <c r="G6" s="332">
        <v>5</v>
      </c>
      <c r="H6" s="333" t="s">
        <v>330</v>
      </c>
      <c r="I6" s="334"/>
      <c r="J6" s="333"/>
    </row>
    <row r="7" spans="3:15" x14ac:dyDescent="0.2">
      <c r="C7" s="312" t="s">
        <v>327</v>
      </c>
      <c r="D7" s="312" t="s">
        <v>328</v>
      </c>
      <c r="E7" s="313" t="s">
        <v>182</v>
      </c>
      <c r="F7" s="313" t="s">
        <v>331</v>
      </c>
      <c r="G7" s="313">
        <v>400</v>
      </c>
      <c r="H7" s="314" t="s">
        <v>184</v>
      </c>
      <c r="I7" s="315" t="s">
        <v>332</v>
      </c>
      <c r="J7" s="314"/>
    </row>
    <row r="8" spans="3:15" x14ac:dyDescent="0.2">
      <c r="C8" s="331" t="s">
        <v>327</v>
      </c>
      <c r="D8" s="331" t="s">
        <v>328</v>
      </c>
      <c r="E8" s="332" t="s">
        <v>231</v>
      </c>
      <c r="F8" s="332" t="s">
        <v>333</v>
      </c>
      <c r="G8" s="332">
        <v>10.050000000000001</v>
      </c>
      <c r="H8" s="333" t="s">
        <v>334</v>
      </c>
      <c r="I8" s="334" t="s">
        <v>335</v>
      </c>
      <c r="J8" s="333"/>
    </row>
    <row r="9" spans="3:15" x14ac:dyDescent="0.2">
      <c r="C9" s="312" t="s">
        <v>327</v>
      </c>
      <c r="D9" s="312" t="s">
        <v>336</v>
      </c>
      <c r="E9" s="313" t="s">
        <v>197</v>
      </c>
      <c r="F9" s="313" t="s">
        <v>337</v>
      </c>
      <c r="G9" s="313">
        <v>-14.5</v>
      </c>
      <c r="H9" s="314" t="s">
        <v>338</v>
      </c>
      <c r="I9" s="315" t="s">
        <v>339</v>
      </c>
      <c r="J9" s="314"/>
    </row>
    <row r="10" spans="3:15" x14ac:dyDescent="0.2">
      <c r="C10" s="331" t="s">
        <v>327</v>
      </c>
      <c r="D10" s="331" t="s">
        <v>336</v>
      </c>
      <c r="E10" s="332" t="s">
        <v>214</v>
      </c>
      <c r="F10" s="332" t="s">
        <v>340</v>
      </c>
      <c r="G10" s="332">
        <v>6.5</v>
      </c>
      <c r="H10" s="333" t="s">
        <v>341</v>
      </c>
      <c r="I10" s="334"/>
      <c r="J10" s="333"/>
    </row>
    <row r="11" spans="3:15" x14ac:dyDescent="0.2">
      <c r="C11" s="312" t="s">
        <v>327</v>
      </c>
      <c r="D11" s="312" t="s">
        <v>342</v>
      </c>
      <c r="E11" s="313" t="s">
        <v>197</v>
      </c>
      <c r="F11" s="313" t="s">
        <v>343</v>
      </c>
      <c r="G11" s="313">
        <v>417.35</v>
      </c>
      <c r="H11" s="314" t="s">
        <v>344</v>
      </c>
      <c r="I11" s="315" t="s">
        <v>345</v>
      </c>
      <c r="J11" s="314"/>
    </row>
    <row r="12" spans="3:15" x14ac:dyDescent="0.2">
      <c r="C12" s="331" t="s">
        <v>327</v>
      </c>
      <c r="D12" s="331" t="s">
        <v>342</v>
      </c>
      <c r="E12" s="332" t="s">
        <v>205</v>
      </c>
      <c r="F12" s="332" t="s">
        <v>346</v>
      </c>
      <c r="G12" s="332">
        <v>10</v>
      </c>
      <c r="H12" s="333" t="s">
        <v>347</v>
      </c>
      <c r="I12" s="334"/>
      <c r="J12" s="333"/>
    </row>
    <row r="13" spans="3:15" x14ac:dyDescent="0.2">
      <c r="C13" s="312" t="s">
        <v>327</v>
      </c>
      <c r="D13" s="312" t="s">
        <v>342</v>
      </c>
      <c r="E13" s="313" t="s">
        <v>207</v>
      </c>
      <c r="F13" s="313" t="s">
        <v>348</v>
      </c>
      <c r="G13" s="313">
        <v>20.6</v>
      </c>
      <c r="H13" s="314" t="s">
        <v>349</v>
      </c>
      <c r="I13" s="315" t="s">
        <v>350</v>
      </c>
      <c r="J13" s="314"/>
    </row>
    <row r="14" spans="3:15" x14ac:dyDescent="0.2">
      <c r="C14" s="331" t="s">
        <v>327</v>
      </c>
      <c r="D14" s="331" t="s">
        <v>342</v>
      </c>
      <c r="E14" s="332" t="s">
        <v>214</v>
      </c>
      <c r="F14" s="332" t="s">
        <v>348</v>
      </c>
      <c r="G14" s="332">
        <v>-11.1</v>
      </c>
      <c r="H14" s="333" t="s">
        <v>341</v>
      </c>
      <c r="I14" s="334" t="s">
        <v>351</v>
      </c>
      <c r="J14" s="333"/>
    </row>
    <row r="15" spans="3:15" ht="63.75" x14ac:dyDescent="0.2">
      <c r="C15" s="312" t="s">
        <v>674</v>
      </c>
      <c r="D15" s="312" t="s">
        <v>327</v>
      </c>
      <c r="E15" s="313" t="s">
        <v>197</v>
      </c>
      <c r="F15" s="313" t="s">
        <v>632</v>
      </c>
      <c r="G15" s="313">
        <v>-39.950000000000003</v>
      </c>
      <c r="H15" s="314" t="s">
        <v>384</v>
      </c>
      <c r="I15" s="315" t="s">
        <v>675</v>
      </c>
      <c r="J15" s="315" t="s">
        <v>776</v>
      </c>
    </row>
    <row r="16" spans="3:15" x14ac:dyDescent="0.2">
      <c r="C16" s="331" t="s">
        <v>674</v>
      </c>
      <c r="D16" s="331" t="s">
        <v>327</v>
      </c>
      <c r="E16" s="332" t="s">
        <v>160</v>
      </c>
      <c r="F16" s="332" t="s">
        <v>643</v>
      </c>
      <c r="G16" s="332">
        <v>400</v>
      </c>
      <c r="H16" s="333" t="s">
        <v>463</v>
      </c>
      <c r="I16" s="334" t="s">
        <v>676</v>
      </c>
      <c r="J16" s="333"/>
    </row>
    <row r="17" spans="3:10" x14ac:dyDescent="0.2">
      <c r="C17" s="312" t="s">
        <v>674</v>
      </c>
      <c r="D17" s="312" t="s">
        <v>327</v>
      </c>
      <c r="E17" s="313" t="s">
        <v>160</v>
      </c>
      <c r="F17" s="313" t="s">
        <v>183</v>
      </c>
      <c r="G17" s="313">
        <v>-6.6</v>
      </c>
      <c r="H17" s="314" t="s">
        <v>653</v>
      </c>
      <c r="I17" s="315"/>
      <c r="J17" s="314"/>
    </row>
    <row r="18" spans="3:10" x14ac:dyDescent="0.2">
      <c r="C18" s="331" t="s">
        <v>674</v>
      </c>
      <c r="D18" s="331" t="s">
        <v>327</v>
      </c>
      <c r="E18" s="332" t="s">
        <v>231</v>
      </c>
      <c r="F18" s="332" t="s">
        <v>670</v>
      </c>
      <c r="G18" s="332">
        <v>-49.95</v>
      </c>
      <c r="H18" s="333" t="s">
        <v>334</v>
      </c>
      <c r="I18" s="334" t="s">
        <v>677</v>
      </c>
      <c r="J18" s="333"/>
    </row>
    <row r="19" spans="3:10" x14ac:dyDescent="0.2">
      <c r="C19" s="312" t="s">
        <v>771</v>
      </c>
      <c r="D19" s="312" t="s">
        <v>757</v>
      </c>
      <c r="E19" s="313" t="s">
        <v>214</v>
      </c>
      <c r="F19" s="313" t="s">
        <v>767</v>
      </c>
      <c r="G19" s="313">
        <v>-6.5</v>
      </c>
      <c r="H19" s="314" t="s">
        <v>451</v>
      </c>
      <c r="I19" s="315"/>
      <c r="J19" s="314"/>
    </row>
    <row r="20" spans="3:10" x14ac:dyDescent="0.2">
      <c r="C20" s="331" t="s">
        <v>771</v>
      </c>
      <c r="D20" s="331" t="s">
        <v>757</v>
      </c>
      <c r="E20" s="332" t="s">
        <v>228</v>
      </c>
      <c r="F20" s="332" t="s">
        <v>767</v>
      </c>
      <c r="G20" s="332">
        <v>6</v>
      </c>
      <c r="H20" s="333" t="s">
        <v>529</v>
      </c>
      <c r="I20" s="334"/>
      <c r="J20" s="333"/>
    </row>
    <row r="21" spans="3:10" x14ac:dyDescent="0.2">
      <c r="C21" s="312" t="s">
        <v>820</v>
      </c>
      <c r="D21" s="312" t="s">
        <v>771</v>
      </c>
      <c r="E21" s="313" t="s">
        <v>214</v>
      </c>
      <c r="F21" s="313" t="s">
        <v>809</v>
      </c>
      <c r="G21" s="313">
        <v>8</v>
      </c>
      <c r="H21" s="314" t="s">
        <v>451</v>
      </c>
      <c r="I21" s="315"/>
      <c r="J21" s="314"/>
    </row>
    <row r="22" spans="3:10" x14ac:dyDescent="0.2">
      <c r="C22" s="331" t="s">
        <v>820</v>
      </c>
      <c r="D22" s="331" t="s">
        <v>771</v>
      </c>
      <c r="E22" s="332" t="s">
        <v>220</v>
      </c>
      <c r="F22" s="332" t="s">
        <v>803</v>
      </c>
      <c r="G22" s="332">
        <v>14.9</v>
      </c>
      <c r="H22" s="333" t="s">
        <v>491</v>
      </c>
      <c r="I22" s="334" t="s">
        <v>821</v>
      </c>
      <c r="J22" s="333"/>
    </row>
    <row r="23" spans="3:10" x14ac:dyDescent="0.2">
      <c r="C23" s="312" t="s">
        <v>820</v>
      </c>
      <c r="D23" s="312" t="s">
        <v>771</v>
      </c>
      <c r="E23" s="313" t="s">
        <v>163</v>
      </c>
      <c r="F23" s="313" t="s">
        <v>816</v>
      </c>
      <c r="G23" s="313">
        <v>5.2</v>
      </c>
      <c r="H23" s="314" t="s">
        <v>817</v>
      </c>
      <c r="I23" s="315"/>
      <c r="J23" s="314"/>
    </row>
  </sheetData>
  <autoFilter ref="C1:J23" xr:uid="{00000000-0009-0000-0000-000007000000}"/>
  <conditionalFormatting sqref="G1:H1048576">
    <cfRule type="expression" dxfId="2" priority="1">
      <formula>G1&lt;0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tchCashDiscrepancy">
                <anchor moveWithCells="1">
                  <from>
                    <xdr:col>15</xdr:col>
                    <xdr:colOff>133350</xdr:colOff>
                    <xdr:row>0</xdr:row>
                    <xdr:rowOff>0</xdr:rowOff>
                  </from>
                  <to>
                    <xdr:col>19</xdr:col>
                    <xdr:colOff>276225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86DB7-2044-4D52-A1E4-212F07A5EC01}">
  <sheetPr codeName="Sheet16">
    <tabColor theme="5" tint="0.59999389629810485"/>
  </sheetPr>
  <dimension ref="A1:H21"/>
  <sheetViews>
    <sheetView showGridLines="0" workbookViewId="0">
      <selection activeCell="M11" sqref="M11"/>
    </sheetView>
  </sheetViews>
  <sheetFormatPr defaultRowHeight="12.75" x14ac:dyDescent="0.2"/>
  <cols>
    <col min="1" max="1" width="10.42578125" bestFit="1" customWidth="1"/>
    <col min="2" max="2" width="10.85546875" bestFit="1" customWidth="1"/>
    <col min="3" max="3" width="8.42578125" bestFit="1" customWidth="1"/>
    <col min="4" max="4" width="10.42578125" bestFit="1" customWidth="1"/>
    <col min="5" max="5" width="8.7109375" bestFit="1" customWidth="1"/>
    <col min="6" max="6" width="21.140625" bestFit="1" customWidth="1"/>
    <col min="7" max="7" width="7.7109375" bestFit="1" customWidth="1"/>
    <col min="8" max="8" width="12.140625" bestFit="1" customWidth="1"/>
  </cols>
  <sheetData>
    <row r="1" spans="1:8" ht="13.5" thickBot="1" x14ac:dyDescent="0.25">
      <c r="A1" s="157" t="s">
        <v>30</v>
      </c>
      <c r="B1" s="353" t="s">
        <v>31</v>
      </c>
      <c r="C1" s="353" t="s">
        <v>823</v>
      </c>
      <c r="D1" s="353" t="s">
        <v>34</v>
      </c>
      <c r="E1" s="353" t="s">
        <v>35</v>
      </c>
      <c r="F1" s="353" t="s">
        <v>822</v>
      </c>
      <c r="G1" s="353" t="s">
        <v>32</v>
      </c>
      <c r="H1" s="157" t="s">
        <v>824</v>
      </c>
    </row>
    <row r="2" spans="1:8" ht="25.5" x14ac:dyDescent="0.2">
      <c r="A2" s="171">
        <v>44330</v>
      </c>
      <c r="B2" s="172">
        <v>44321</v>
      </c>
      <c r="C2" s="173">
        <v>2117</v>
      </c>
      <c r="D2" s="173"/>
      <c r="E2" s="173"/>
      <c r="F2" s="173"/>
      <c r="G2" s="174"/>
      <c r="H2" s="175" t="s">
        <v>825</v>
      </c>
    </row>
    <row r="3" spans="1:8" ht="25.5" x14ac:dyDescent="0.2">
      <c r="A3" s="176">
        <v>44330</v>
      </c>
      <c r="B3" s="168">
        <v>44327</v>
      </c>
      <c r="C3" s="169">
        <v>2119</v>
      </c>
      <c r="D3" s="169">
        <v>0</v>
      </c>
      <c r="E3" s="169">
        <v>0</v>
      </c>
      <c r="F3" s="169"/>
      <c r="G3" s="201"/>
      <c r="H3" s="177" t="s">
        <v>826</v>
      </c>
    </row>
    <row r="4" spans="1:8" x14ac:dyDescent="0.2">
      <c r="A4" s="171"/>
      <c r="B4" s="166"/>
      <c r="C4" s="167"/>
      <c r="D4" s="167"/>
      <c r="E4" s="167"/>
      <c r="F4" s="167"/>
      <c r="G4" s="174"/>
      <c r="H4" s="179"/>
    </row>
    <row r="5" spans="1:8" x14ac:dyDescent="0.2">
      <c r="A5" s="176"/>
      <c r="B5" s="168"/>
      <c r="C5" s="169"/>
      <c r="D5" s="169"/>
      <c r="E5" s="169"/>
      <c r="F5" s="169"/>
      <c r="G5" s="169"/>
      <c r="H5" s="177"/>
    </row>
    <row r="6" spans="1:8" x14ac:dyDescent="0.2">
      <c r="A6" s="171"/>
      <c r="B6" s="166"/>
      <c r="C6" s="167"/>
      <c r="D6" s="167"/>
      <c r="E6" s="167"/>
      <c r="F6" s="167"/>
      <c r="G6" s="205"/>
      <c r="H6" s="179"/>
    </row>
    <row r="7" spans="1:8" x14ac:dyDescent="0.2">
      <c r="A7" s="176"/>
      <c r="B7" s="168"/>
      <c r="C7" s="169"/>
      <c r="D7" s="169"/>
      <c r="E7" s="169"/>
      <c r="F7" s="169"/>
      <c r="G7" s="169"/>
      <c r="H7" s="177"/>
    </row>
    <row r="8" spans="1:8" x14ac:dyDescent="0.2">
      <c r="A8" s="165"/>
      <c r="B8" s="166"/>
      <c r="C8" s="167"/>
      <c r="D8" s="167"/>
      <c r="E8" s="167"/>
      <c r="F8" s="167"/>
      <c r="G8" s="167"/>
      <c r="H8" s="179"/>
    </row>
    <row r="9" spans="1:8" x14ac:dyDescent="0.2">
      <c r="A9" s="180"/>
      <c r="B9" s="181"/>
      <c r="C9" s="182"/>
      <c r="D9" s="182"/>
      <c r="E9" s="182"/>
      <c r="F9" s="182"/>
      <c r="G9" s="182"/>
      <c r="H9" s="183"/>
    </row>
    <row r="10" spans="1:8" x14ac:dyDescent="0.2">
      <c r="A10" s="184"/>
      <c r="B10" s="185"/>
      <c r="C10" s="186"/>
      <c r="D10" s="187"/>
      <c r="E10" s="187"/>
      <c r="F10" s="187"/>
      <c r="G10" s="187"/>
      <c r="H10" s="188"/>
    </row>
    <row r="11" spans="1:8" x14ac:dyDescent="0.2">
      <c r="A11" s="180"/>
      <c r="B11" s="181"/>
      <c r="C11" s="182"/>
      <c r="D11" s="182"/>
      <c r="E11" s="182"/>
      <c r="F11" s="182"/>
      <c r="G11" s="182"/>
      <c r="H11" s="189"/>
    </row>
    <row r="12" spans="1:8" x14ac:dyDescent="0.2">
      <c r="A12" s="190"/>
      <c r="B12" s="191"/>
      <c r="C12" s="192"/>
      <c r="D12" s="192"/>
      <c r="E12" s="192"/>
      <c r="F12" s="192"/>
      <c r="G12" s="192"/>
      <c r="H12" s="193"/>
    </row>
    <row r="13" spans="1:8" x14ac:dyDescent="0.2">
      <c r="A13" s="194"/>
      <c r="B13" s="195"/>
      <c r="C13" s="196"/>
      <c r="D13" s="196"/>
      <c r="E13" s="196"/>
      <c r="F13" s="196"/>
      <c r="G13" s="196"/>
      <c r="H13" s="197"/>
    </row>
    <row r="14" spans="1:8" x14ac:dyDescent="0.2">
      <c r="A14" s="190"/>
      <c r="B14" s="191"/>
      <c r="C14" s="192"/>
      <c r="D14" s="192"/>
      <c r="E14" s="192"/>
      <c r="F14" s="192"/>
      <c r="G14" s="192"/>
      <c r="H14" s="193"/>
    </row>
    <row r="15" spans="1:8" x14ac:dyDescent="0.2">
      <c r="A15" s="194"/>
      <c r="B15" s="195"/>
      <c r="C15" s="196"/>
      <c r="D15" s="196"/>
      <c r="E15" s="196"/>
      <c r="F15" s="196"/>
      <c r="G15" s="196"/>
      <c r="H15" s="197"/>
    </row>
    <row r="16" spans="1:8" x14ac:dyDescent="0.2">
      <c r="A16" s="190"/>
      <c r="B16" s="191"/>
      <c r="C16" s="192"/>
      <c r="D16" s="192"/>
      <c r="E16" s="192"/>
      <c r="F16" s="192"/>
      <c r="G16" s="192"/>
      <c r="H16" s="193"/>
    </row>
    <row r="17" spans="1:8" x14ac:dyDescent="0.2">
      <c r="A17" s="194"/>
      <c r="B17" s="195"/>
      <c r="C17" s="196"/>
      <c r="D17" s="196"/>
      <c r="E17" s="196"/>
      <c r="F17" s="196"/>
      <c r="G17" s="196"/>
      <c r="H17" s="197"/>
    </row>
    <row r="18" spans="1:8" x14ac:dyDescent="0.2">
      <c r="A18" s="190"/>
      <c r="B18" s="191"/>
      <c r="C18" s="192"/>
      <c r="D18" s="192"/>
      <c r="E18" s="192"/>
      <c r="F18" s="192"/>
      <c r="G18" s="192"/>
      <c r="H18" s="193"/>
    </row>
    <row r="19" spans="1:8" x14ac:dyDescent="0.2">
      <c r="A19" s="194"/>
      <c r="B19" s="195"/>
      <c r="C19" s="196"/>
      <c r="D19" s="196"/>
      <c r="E19" s="196"/>
      <c r="F19" s="196"/>
      <c r="G19" s="196"/>
      <c r="H19" s="197"/>
    </row>
    <row r="20" spans="1:8" x14ac:dyDescent="0.2">
      <c r="A20" s="207"/>
      <c r="B20" s="208"/>
      <c r="C20" s="209"/>
      <c r="D20" s="209"/>
      <c r="E20" s="209"/>
      <c r="F20" s="209"/>
      <c r="G20" s="209"/>
      <c r="H20" s="210"/>
    </row>
    <row r="21" spans="1:8" x14ac:dyDescent="0.2">
      <c r="A21" s="194"/>
      <c r="B21" s="195"/>
      <c r="C21" s="196"/>
      <c r="D21" s="196"/>
      <c r="E21" s="196"/>
      <c r="F21" s="196"/>
      <c r="G21" s="196"/>
      <c r="H21" s="19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ankingErrorCommentsReport">
                <anchor moveWithCells="1" sizeWithCells="1">
                  <from>
                    <xdr:col>10</xdr:col>
                    <xdr:colOff>104775</xdr:colOff>
                    <xdr:row>1</xdr:row>
                    <xdr:rowOff>76200</xdr:rowOff>
                  </from>
                  <to>
                    <xdr:col>12</xdr:col>
                    <xdr:colOff>219075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theme="5" tint="0.59999389629810485"/>
  </sheetPr>
  <dimension ref="A1:K15"/>
  <sheetViews>
    <sheetView showGridLines="0" workbookViewId="0">
      <selection activeCell="F11" sqref="F11"/>
    </sheetView>
  </sheetViews>
  <sheetFormatPr defaultColWidth="9.140625" defaultRowHeight="12.75" x14ac:dyDescent="0.2"/>
  <cols>
    <col min="1" max="1" width="10.140625" style="160" bestFit="1" customWidth="1"/>
    <col min="2" max="2" width="10.85546875" style="160" bestFit="1" customWidth="1"/>
    <col min="3" max="3" width="6.5703125" style="199" bestFit="1" customWidth="1"/>
    <col min="4" max="4" width="15.7109375" style="354" bestFit="1" customWidth="1"/>
    <col min="5" max="5" width="9" style="200" bestFit="1" customWidth="1"/>
    <col min="6" max="6" width="92.140625" style="178" customWidth="1"/>
    <col min="7" max="7" width="2.42578125" style="160" customWidth="1"/>
    <col min="8" max="8" width="9.140625" style="160"/>
    <col min="9" max="9" width="15.85546875" style="160" customWidth="1"/>
    <col min="10" max="10" width="9.140625" style="160"/>
    <col min="11" max="11" width="11.28515625" style="160" bestFit="1" customWidth="1"/>
    <col min="12" max="14" width="9.140625" style="160"/>
    <col min="15" max="15" width="13.140625" style="160" bestFit="1" customWidth="1"/>
    <col min="16" max="16" width="9.140625" style="160"/>
    <col min="17" max="17" width="13.140625" style="160" bestFit="1" customWidth="1"/>
    <col min="18" max="16384" width="9.140625" style="160"/>
  </cols>
  <sheetData>
    <row r="1" spans="1:11" x14ac:dyDescent="0.2">
      <c r="A1" s="359" t="s">
        <v>30</v>
      </c>
      <c r="B1" s="360" t="s">
        <v>31</v>
      </c>
      <c r="C1" s="361" t="s">
        <v>18</v>
      </c>
      <c r="D1" s="362" t="s">
        <v>773</v>
      </c>
      <c r="E1" s="363" t="s">
        <v>772</v>
      </c>
      <c r="F1" s="364" t="s">
        <v>75</v>
      </c>
      <c r="H1" s="164" t="s">
        <v>148</v>
      </c>
      <c r="I1" s="234">
        <f>'Drawer Overview'!B1</f>
        <v>44329</v>
      </c>
      <c r="J1" s="164" t="s">
        <v>147</v>
      </c>
      <c r="K1" s="234">
        <f ca="1">'Drawer Rec'!D2</f>
        <v>44329.464303819441</v>
      </c>
    </row>
    <row r="2" spans="1:11" ht="63.75" x14ac:dyDescent="0.2">
      <c r="A2" s="365" t="s">
        <v>771</v>
      </c>
      <c r="B2" s="365" t="s">
        <v>342</v>
      </c>
      <c r="C2" s="366" t="s">
        <v>212</v>
      </c>
      <c r="D2" s="367">
        <v>13123.1</v>
      </c>
      <c r="E2" s="366" t="s">
        <v>774</v>
      </c>
      <c r="F2" s="368" t="s">
        <v>775</v>
      </c>
    </row>
    <row r="3" spans="1:11" x14ac:dyDescent="0.2">
      <c r="A3" s="355" t="s">
        <v>771</v>
      </c>
      <c r="B3" s="355" t="s">
        <v>342</v>
      </c>
      <c r="C3" s="356" t="s">
        <v>212</v>
      </c>
      <c r="D3" s="357">
        <v>-1600</v>
      </c>
      <c r="E3" s="356" t="s">
        <v>774</v>
      </c>
      <c r="F3" s="358"/>
    </row>
    <row r="15" spans="1:11" x14ac:dyDescent="0.2">
      <c r="A15" s="198"/>
      <c r="B15" s="170"/>
      <c r="C15" s="170"/>
      <c r="E15" s="16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odule1.SaveCopy">
                <anchor>
                  <from>
                    <xdr:col>8</xdr:col>
                    <xdr:colOff>485775</xdr:colOff>
                    <xdr:row>1</xdr:row>
                    <xdr:rowOff>514350</xdr:rowOff>
                  </from>
                  <to>
                    <xdr:col>9</xdr:col>
                    <xdr:colOff>600075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FetchStoreRecDiscrepancy">
                <anchor>
                  <from>
                    <xdr:col>11</xdr:col>
                    <xdr:colOff>200025</xdr:colOff>
                    <xdr:row>0</xdr:row>
                    <xdr:rowOff>9525</xdr:rowOff>
                  </from>
                  <to>
                    <xdr:col>13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FF0000"/>
  </sheetPr>
  <dimension ref="A1:W154"/>
  <sheetViews>
    <sheetView zoomScale="110" zoomScaleNormal="110" workbookViewId="0">
      <pane xSplit="1" ySplit="2" topLeftCell="B3" activePane="bottomRight" state="frozen"/>
      <selection activeCell="G17" sqref="G17"/>
      <selection pane="topRight" activeCell="G17" sqref="G17"/>
      <selection pane="bottomLeft" activeCell="G17" sqref="G17"/>
      <selection pane="bottomRight" activeCell="G17" sqref="G17"/>
    </sheetView>
  </sheetViews>
  <sheetFormatPr defaultRowHeight="12.75" x14ac:dyDescent="0.2"/>
  <cols>
    <col min="1" max="1" width="11.85546875" style="100" bestFit="1" customWidth="1"/>
    <col min="2" max="2" width="23.28515625" customWidth="1"/>
    <col min="3" max="3" width="17.28515625" bestFit="1" customWidth="1"/>
    <col min="4" max="4" width="2.5703125" customWidth="1"/>
    <col min="5" max="5" width="5.28515625" customWidth="1"/>
    <col min="6" max="6" width="10.28515625" customWidth="1"/>
    <col min="7" max="7" width="20.85546875" bestFit="1" customWidth="1"/>
    <col min="8" max="8" width="16.5703125" style="100" bestFit="1" customWidth="1"/>
    <col min="9" max="9" width="12.85546875" customWidth="1"/>
    <col min="10" max="10" width="10.5703125" customWidth="1"/>
    <col min="11" max="11" width="18.140625" style="100" bestFit="1" customWidth="1"/>
    <col min="12" max="12" width="5.28515625" style="100" customWidth="1"/>
    <col min="13" max="13" width="3.28515625" customWidth="1"/>
    <col min="14" max="14" width="13.28515625" hidden="1" customWidth="1"/>
    <col min="15" max="19" width="10.140625" hidden="1" customWidth="1"/>
    <col min="20" max="20" width="10.28515625" style="110" customWidth="1"/>
    <col min="21" max="21" width="17.5703125" customWidth="1"/>
    <col min="22" max="22" width="9.7109375" customWidth="1"/>
    <col min="23" max="23" width="10.140625" bestFit="1" customWidth="1"/>
  </cols>
  <sheetData>
    <row r="1" spans="1:23" x14ac:dyDescent="0.2">
      <c r="A1" s="68"/>
      <c r="B1" s="17"/>
      <c r="C1" s="17"/>
      <c r="D1" s="17"/>
      <c r="E1" s="17"/>
      <c r="F1" s="17"/>
      <c r="G1" s="17"/>
      <c r="H1" s="68"/>
      <c r="I1" s="17"/>
      <c r="J1" s="17"/>
      <c r="K1" s="68"/>
      <c r="L1" s="68"/>
      <c r="M1" s="17"/>
      <c r="N1" s="17"/>
      <c r="O1" s="17"/>
      <c r="P1" s="17"/>
      <c r="Q1" s="17"/>
      <c r="R1" s="17"/>
      <c r="S1" s="17"/>
      <c r="T1" s="25">
        <f>C1-1</f>
        <v>-1</v>
      </c>
      <c r="U1" s="17" t="str">
        <f>A1&amp;-T1</f>
        <v>1</v>
      </c>
      <c r="V1" s="68">
        <f>H1</f>
        <v>0</v>
      </c>
      <c r="W1" s="17"/>
    </row>
    <row r="2" spans="1:23" x14ac:dyDescent="0.2">
      <c r="A2" s="98" t="s">
        <v>78</v>
      </c>
      <c r="B2" s="26" t="s">
        <v>79</v>
      </c>
      <c r="C2" s="26" t="s">
        <v>80</v>
      </c>
      <c r="D2" s="26" t="s">
        <v>81</v>
      </c>
      <c r="E2" s="26" t="s">
        <v>79</v>
      </c>
      <c r="F2" s="26" t="s">
        <v>82</v>
      </c>
      <c r="G2" s="26" t="s">
        <v>83</v>
      </c>
      <c r="H2" s="98" t="s">
        <v>84</v>
      </c>
      <c r="I2" s="26" t="s">
        <v>85</v>
      </c>
      <c r="J2" s="26" t="s">
        <v>86</v>
      </c>
      <c r="K2" s="98" t="s">
        <v>87</v>
      </c>
      <c r="L2" s="98" t="s">
        <v>88</v>
      </c>
      <c r="M2" s="17"/>
      <c r="N2" s="26"/>
      <c r="O2" s="26"/>
      <c r="P2" s="26"/>
      <c r="Q2" s="26"/>
      <c r="R2" s="26"/>
      <c r="S2" s="26"/>
      <c r="T2" s="141" t="s">
        <v>89</v>
      </c>
      <c r="U2" s="135" t="s">
        <v>90</v>
      </c>
      <c r="V2" s="136" t="s">
        <v>39</v>
      </c>
      <c r="W2" s="17"/>
    </row>
    <row r="3" spans="1:23" x14ac:dyDescent="0.2">
      <c r="A3" s="100">
        <v>1075</v>
      </c>
      <c r="B3" s="150" t="s">
        <v>112</v>
      </c>
      <c r="C3" s="150">
        <v>42948</v>
      </c>
      <c r="D3" s="150">
        <v>42948.999305555553</v>
      </c>
      <c r="E3" s="150" t="s">
        <v>114</v>
      </c>
      <c r="F3" s="150" t="s">
        <v>115</v>
      </c>
      <c r="G3" s="150">
        <v>42948.414629629631</v>
      </c>
      <c r="H3" s="148">
        <v>74.599999999999994</v>
      </c>
      <c r="I3" s="150" t="s">
        <v>115</v>
      </c>
      <c r="J3" s="150"/>
      <c r="K3" s="148">
        <v>107500</v>
      </c>
      <c r="L3" s="148">
        <v>1</v>
      </c>
      <c r="T3" s="110">
        <f t="shared" ref="T3" si="0">C3-1</f>
        <v>42947</v>
      </c>
      <c r="U3" s="100" t="str">
        <f t="shared" ref="U3" si="1">A3&amp;-T3</f>
        <v>1075-42947</v>
      </c>
      <c r="V3" s="100">
        <f>IF(J3&lt;&gt;"", -H3,H3)</f>
        <v>74.599999999999994</v>
      </c>
    </row>
    <row r="4" spans="1:23" s="220" customFormat="1" x14ac:dyDescent="0.2">
      <c r="A4" s="215"/>
      <c r="H4" s="215"/>
      <c r="K4" s="215"/>
      <c r="L4" s="215"/>
      <c r="T4" s="221"/>
      <c r="U4" s="215"/>
      <c r="V4" s="215"/>
    </row>
    <row r="5" spans="1:23" s="220" customFormat="1" x14ac:dyDescent="0.2">
      <c r="A5" s="215"/>
      <c r="H5" s="215"/>
      <c r="K5" s="215"/>
      <c r="L5" s="215"/>
      <c r="T5" s="221"/>
      <c r="U5" s="215"/>
      <c r="V5" s="215"/>
    </row>
    <row r="6" spans="1:23" s="220" customFormat="1" x14ac:dyDescent="0.2">
      <c r="A6" s="215"/>
      <c r="H6" s="215"/>
      <c r="K6" s="215"/>
      <c r="L6" s="215"/>
      <c r="T6" s="221"/>
      <c r="U6" s="215"/>
      <c r="V6" s="215"/>
    </row>
    <row r="7" spans="1:23" s="220" customFormat="1" x14ac:dyDescent="0.2">
      <c r="A7" s="215"/>
      <c r="H7" s="215"/>
      <c r="K7" s="215"/>
      <c r="L7" s="215"/>
      <c r="T7" s="221"/>
      <c r="U7" s="215"/>
      <c r="V7" s="215"/>
    </row>
    <row r="8" spans="1:23" s="220" customFormat="1" x14ac:dyDescent="0.2">
      <c r="A8" s="215"/>
      <c r="H8" s="215"/>
      <c r="K8" s="215"/>
      <c r="L8" s="215"/>
      <c r="T8" s="221"/>
      <c r="U8" s="215"/>
      <c r="V8" s="215"/>
    </row>
    <row r="9" spans="1:23" s="220" customFormat="1" x14ac:dyDescent="0.2">
      <c r="A9" s="215"/>
      <c r="H9" s="215"/>
      <c r="K9" s="215"/>
      <c r="L9" s="215"/>
      <c r="T9" s="221"/>
      <c r="U9" s="215"/>
      <c r="V9" s="215"/>
    </row>
    <row r="10" spans="1:23" s="220" customFormat="1" x14ac:dyDescent="0.2">
      <c r="A10" s="215"/>
      <c r="H10" s="215"/>
      <c r="K10" s="215"/>
      <c r="L10" s="215"/>
      <c r="T10" s="221"/>
      <c r="U10" s="215"/>
      <c r="V10" s="215"/>
    </row>
    <row r="11" spans="1:23" s="220" customFormat="1" x14ac:dyDescent="0.2">
      <c r="A11" s="215"/>
      <c r="H11" s="215"/>
      <c r="K11" s="215"/>
      <c r="L11" s="215"/>
      <c r="T11" s="221"/>
      <c r="U11" s="215"/>
      <c r="V11" s="215"/>
    </row>
    <row r="12" spans="1:23" s="220" customFormat="1" x14ac:dyDescent="0.2">
      <c r="A12" s="215"/>
      <c r="H12" s="215"/>
      <c r="K12" s="215"/>
      <c r="L12" s="215"/>
      <c r="T12" s="221"/>
      <c r="U12" s="215"/>
      <c r="V12" s="215"/>
    </row>
    <row r="13" spans="1:23" s="220" customFormat="1" x14ac:dyDescent="0.2">
      <c r="A13" s="215"/>
      <c r="H13" s="215"/>
      <c r="K13" s="215"/>
      <c r="L13" s="215"/>
      <c r="T13" s="221"/>
      <c r="U13" s="215"/>
      <c r="V13" s="215"/>
    </row>
    <row r="14" spans="1:23" s="220" customFormat="1" x14ac:dyDescent="0.2">
      <c r="A14" s="215"/>
      <c r="H14" s="215"/>
      <c r="K14" s="215"/>
      <c r="L14" s="215"/>
      <c r="T14" s="221"/>
      <c r="U14" s="215"/>
      <c r="V14" s="215"/>
    </row>
    <row r="15" spans="1:23" s="220" customFormat="1" x14ac:dyDescent="0.2">
      <c r="A15" s="215"/>
      <c r="H15" s="215"/>
      <c r="K15" s="215"/>
      <c r="L15" s="215"/>
      <c r="T15" s="221"/>
      <c r="U15" s="215"/>
      <c r="V15" s="215"/>
    </row>
    <row r="16" spans="1:23" s="220" customFormat="1" x14ac:dyDescent="0.2">
      <c r="A16" s="215"/>
      <c r="H16" s="215"/>
      <c r="K16" s="215"/>
      <c r="L16" s="215"/>
      <c r="T16" s="221"/>
      <c r="U16" s="215"/>
      <c r="V16" s="215"/>
    </row>
    <row r="17" spans="1:22" s="220" customFormat="1" x14ac:dyDescent="0.2">
      <c r="A17" s="215"/>
      <c r="H17" s="215"/>
      <c r="K17" s="215"/>
      <c r="L17" s="215"/>
      <c r="T17" s="221"/>
      <c r="U17" s="215"/>
      <c r="V17" s="215"/>
    </row>
    <row r="18" spans="1:22" s="220" customFormat="1" x14ac:dyDescent="0.2">
      <c r="A18" s="215"/>
      <c r="H18" s="215"/>
      <c r="K18" s="215"/>
      <c r="L18" s="215"/>
      <c r="T18" s="221"/>
      <c r="U18" s="215"/>
      <c r="V18" s="215"/>
    </row>
    <row r="19" spans="1:22" s="220" customFormat="1" x14ac:dyDescent="0.2">
      <c r="A19" s="215"/>
      <c r="H19" s="215"/>
      <c r="K19" s="215"/>
      <c r="L19" s="215"/>
      <c r="T19" s="221"/>
      <c r="U19" s="215"/>
      <c r="V19" s="215"/>
    </row>
    <row r="20" spans="1:22" s="220" customFormat="1" x14ac:dyDescent="0.2">
      <c r="A20" s="215"/>
      <c r="H20" s="215"/>
      <c r="K20" s="215"/>
      <c r="L20" s="215"/>
      <c r="T20" s="221"/>
      <c r="U20" s="215"/>
      <c r="V20" s="215"/>
    </row>
    <row r="21" spans="1:22" s="220" customFormat="1" x14ac:dyDescent="0.2">
      <c r="A21" s="215"/>
      <c r="H21" s="215"/>
      <c r="K21" s="215"/>
      <c r="L21" s="215"/>
      <c r="T21" s="221"/>
      <c r="U21" s="215"/>
      <c r="V21" s="215"/>
    </row>
    <row r="22" spans="1:22" s="220" customFormat="1" x14ac:dyDescent="0.2">
      <c r="A22" s="215"/>
      <c r="H22" s="215"/>
      <c r="K22" s="215"/>
      <c r="L22" s="215"/>
      <c r="T22" s="221"/>
      <c r="U22" s="215"/>
      <c r="V22" s="215"/>
    </row>
    <row r="23" spans="1:22" s="220" customFormat="1" x14ac:dyDescent="0.2">
      <c r="A23" s="215"/>
      <c r="H23" s="215"/>
      <c r="K23" s="215"/>
      <c r="L23" s="215"/>
      <c r="T23" s="221"/>
      <c r="U23" s="215"/>
      <c r="V23" s="215"/>
    </row>
    <row r="24" spans="1:22" s="220" customFormat="1" x14ac:dyDescent="0.2">
      <c r="A24" s="215"/>
      <c r="H24" s="215"/>
      <c r="K24" s="215"/>
      <c r="L24" s="215"/>
      <c r="T24" s="221"/>
      <c r="U24" s="215"/>
      <c r="V24" s="215"/>
    </row>
    <row r="25" spans="1:22" s="220" customFormat="1" x14ac:dyDescent="0.2">
      <c r="A25" s="215"/>
      <c r="H25" s="215"/>
      <c r="K25" s="215"/>
      <c r="L25" s="215"/>
      <c r="T25" s="221"/>
      <c r="U25" s="215"/>
      <c r="V25" s="215"/>
    </row>
    <row r="26" spans="1:22" s="220" customFormat="1" x14ac:dyDescent="0.2">
      <c r="A26" s="215"/>
      <c r="H26" s="215"/>
      <c r="K26" s="215"/>
      <c r="L26" s="215"/>
      <c r="T26" s="221"/>
      <c r="U26" s="215"/>
      <c r="V26" s="215"/>
    </row>
    <row r="27" spans="1:22" s="220" customFormat="1" x14ac:dyDescent="0.2">
      <c r="A27" s="215"/>
      <c r="H27" s="215"/>
      <c r="K27" s="215"/>
      <c r="L27" s="215"/>
      <c r="T27" s="221"/>
      <c r="U27" s="215"/>
      <c r="V27" s="215"/>
    </row>
    <row r="28" spans="1:22" s="220" customFormat="1" x14ac:dyDescent="0.2">
      <c r="A28" s="215"/>
      <c r="H28" s="215"/>
      <c r="K28" s="215"/>
      <c r="L28" s="215"/>
      <c r="T28" s="221"/>
      <c r="U28" s="215"/>
      <c r="V28" s="215"/>
    </row>
    <row r="29" spans="1:22" s="220" customFormat="1" x14ac:dyDescent="0.2">
      <c r="A29" s="215"/>
      <c r="H29" s="215"/>
      <c r="K29" s="215"/>
      <c r="L29" s="215"/>
      <c r="T29" s="221"/>
      <c r="U29" s="215"/>
      <c r="V29" s="215"/>
    </row>
    <row r="30" spans="1:22" s="220" customFormat="1" x14ac:dyDescent="0.2">
      <c r="A30" s="215"/>
      <c r="H30" s="215"/>
      <c r="K30" s="215"/>
      <c r="L30" s="215"/>
      <c r="T30" s="221"/>
      <c r="U30" s="215"/>
      <c r="V30" s="215"/>
    </row>
    <row r="31" spans="1:22" s="220" customFormat="1" x14ac:dyDescent="0.2">
      <c r="A31" s="215"/>
      <c r="H31" s="215"/>
      <c r="K31" s="215"/>
      <c r="L31" s="215"/>
      <c r="T31" s="221"/>
      <c r="U31" s="215"/>
      <c r="V31" s="215"/>
    </row>
    <row r="32" spans="1:22" s="220" customFormat="1" x14ac:dyDescent="0.2">
      <c r="A32" s="215"/>
      <c r="H32" s="215"/>
      <c r="K32" s="215"/>
      <c r="L32" s="215"/>
      <c r="T32" s="221"/>
      <c r="U32" s="215"/>
      <c r="V32" s="215"/>
    </row>
    <row r="33" spans="1:22" s="220" customFormat="1" x14ac:dyDescent="0.2">
      <c r="A33" s="215"/>
      <c r="H33" s="215"/>
      <c r="K33" s="215"/>
      <c r="L33" s="215"/>
      <c r="T33" s="221"/>
      <c r="U33" s="215"/>
      <c r="V33" s="215"/>
    </row>
    <row r="34" spans="1:22" s="220" customFormat="1" x14ac:dyDescent="0.2">
      <c r="A34" s="215"/>
      <c r="H34" s="215"/>
      <c r="K34" s="215"/>
      <c r="L34" s="215"/>
      <c r="T34" s="221"/>
      <c r="U34" s="215"/>
      <c r="V34" s="215"/>
    </row>
    <row r="35" spans="1:22" s="220" customFormat="1" x14ac:dyDescent="0.2">
      <c r="A35" s="215"/>
      <c r="H35" s="215"/>
      <c r="K35" s="215"/>
      <c r="L35" s="215"/>
      <c r="T35" s="221"/>
      <c r="U35" s="215"/>
      <c r="V35" s="215"/>
    </row>
    <row r="36" spans="1:22" s="220" customFormat="1" x14ac:dyDescent="0.2">
      <c r="A36" s="215"/>
      <c r="H36" s="215"/>
      <c r="K36" s="215"/>
      <c r="L36" s="215"/>
      <c r="T36" s="221"/>
      <c r="U36" s="215"/>
      <c r="V36" s="215"/>
    </row>
    <row r="37" spans="1:22" s="220" customFormat="1" x14ac:dyDescent="0.2">
      <c r="A37" s="215"/>
      <c r="C37" s="221"/>
      <c r="H37" s="215"/>
      <c r="K37" s="215"/>
      <c r="L37" s="215"/>
      <c r="T37" s="221"/>
      <c r="U37" s="215"/>
      <c r="V37" s="215"/>
    </row>
    <row r="38" spans="1:22" s="220" customFormat="1" x14ac:dyDescent="0.2">
      <c r="A38" s="215"/>
      <c r="C38" s="221"/>
      <c r="H38" s="215"/>
      <c r="K38" s="215"/>
      <c r="L38" s="215"/>
      <c r="T38" s="221"/>
      <c r="U38" s="215"/>
      <c r="V38" s="215"/>
    </row>
    <row r="39" spans="1:22" s="220" customFormat="1" x14ac:dyDescent="0.2">
      <c r="A39" s="215"/>
      <c r="C39" s="221"/>
      <c r="H39" s="215"/>
      <c r="K39" s="215"/>
      <c r="L39" s="215"/>
      <c r="T39" s="221"/>
      <c r="U39" s="215"/>
      <c r="V39" s="215"/>
    </row>
    <row r="40" spans="1:22" s="220" customFormat="1" x14ac:dyDescent="0.2">
      <c r="A40" s="215"/>
      <c r="C40" s="221"/>
      <c r="H40" s="215"/>
      <c r="K40" s="215"/>
      <c r="L40" s="215"/>
      <c r="T40" s="221"/>
      <c r="U40" s="215"/>
      <c r="V40" s="215"/>
    </row>
    <row r="41" spans="1:22" s="220" customFormat="1" x14ac:dyDescent="0.2">
      <c r="A41" s="215"/>
      <c r="C41" s="221"/>
      <c r="H41" s="215"/>
      <c r="K41" s="215"/>
      <c r="L41" s="215"/>
      <c r="T41" s="221"/>
      <c r="U41" s="215"/>
      <c r="V41" s="215"/>
    </row>
    <row r="42" spans="1:22" s="220" customFormat="1" x14ac:dyDescent="0.2">
      <c r="A42" s="215"/>
      <c r="C42" s="221"/>
      <c r="H42" s="215"/>
      <c r="K42" s="215"/>
      <c r="L42" s="215"/>
      <c r="T42" s="221"/>
      <c r="U42" s="215"/>
      <c r="V42" s="215"/>
    </row>
    <row r="43" spans="1:22" s="220" customFormat="1" x14ac:dyDescent="0.2">
      <c r="A43" s="215"/>
      <c r="C43" s="221"/>
      <c r="H43" s="215"/>
      <c r="K43" s="215"/>
      <c r="L43" s="215"/>
      <c r="T43" s="221"/>
      <c r="U43" s="215"/>
      <c r="V43" s="215"/>
    </row>
    <row r="44" spans="1:22" s="220" customFormat="1" x14ac:dyDescent="0.2">
      <c r="A44" s="215"/>
      <c r="C44" s="221"/>
      <c r="H44" s="215"/>
      <c r="K44" s="215"/>
      <c r="L44" s="215"/>
      <c r="T44" s="221"/>
      <c r="U44" s="215"/>
      <c r="V44" s="215"/>
    </row>
    <row r="45" spans="1:22" s="220" customFormat="1" x14ac:dyDescent="0.2">
      <c r="A45" s="215"/>
      <c r="C45" s="221"/>
      <c r="H45" s="215"/>
      <c r="K45" s="215"/>
      <c r="L45" s="215"/>
      <c r="T45" s="221"/>
      <c r="U45" s="215"/>
      <c r="V45" s="215"/>
    </row>
    <row r="46" spans="1:22" s="220" customFormat="1" x14ac:dyDescent="0.2">
      <c r="A46" s="215"/>
      <c r="C46" s="221"/>
      <c r="H46" s="215"/>
      <c r="K46" s="215"/>
      <c r="L46" s="215"/>
      <c r="T46" s="221"/>
      <c r="U46" s="215"/>
      <c r="V46" s="215"/>
    </row>
    <row r="47" spans="1:22" s="220" customFormat="1" x14ac:dyDescent="0.2">
      <c r="A47" s="215"/>
      <c r="C47" s="221"/>
      <c r="H47" s="215"/>
      <c r="K47" s="215"/>
      <c r="L47" s="215"/>
      <c r="T47" s="221"/>
      <c r="U47" s="215"/>
      <c r="V47" s="215"/>
    </row>
    <row r="48" spans="1:22" s="220" customFormat="1" x14ac:dyDescent="0.2">
      <c r="A48" s="215"/>
      <c r="C48" s="221"/>
      <c r="H48" s="215"/>
      <c r="K48" s="215"/>
      <c r="L48" s="215"/>
      <c r="T48" s="221"/>
      <c r="U48" s="215"/>
      <c r="V48" s="215"/>
    </row>
    <row r="49" spans="1:22" s="220" customFormat="1" x14ac:dyDescent="0.2">
      <c r="A49" s="215"/>
      <c r="C49" s="221"/>
      <c r="H49" s="215"/>
      <c r="K49" s="215"/>
      <c r="L49" s="215"/>
      <c r="T49" s="221"/>
      <c r="U49" s="215"/>
      <c r="V49" s="215"/>
    </row>
    <row r="50" spans="1:22" s="220" customFormat="1" x14ac:dyDescent="0.2">
      <c r="A50" s="215"/>
      <c r="C50" s="221"/>
      <c r="H50" s="215"/>
      <c r="K50" s="215"/>
      <c r="L50" s="215"/>
      <c r="T50" s="221"/>
      <c r="U50" s="215"/>
      <c r="V50" s="215"/>
    </row>
    <row r="51" spans="1:22" s="220" customFormat="1" x14ac:dyDescent="0.2">
      <c r="A51" s="215"/>
      <c r="C51" s="221"/>
      <c r="H51" s="215"/>
      <c r="K51" s="215"/>
      <c r="L51" s="215"/>
      <c r="T51" s="221"/>
      <c r="U51" s="215"/>
      <c r="V51" s="215"/>
    </row>
    <row r="52" spans="1:22" s="220" customFormat="1" x14ac:dyDescent="0.2">
      <c r="A52" s="215"/>
      <c r="C52" s="221"/>
      <c r="H52" s="215"/>
      <c r="K52" s="215"/>
      <c r="L52" s="215"/>
      <c r="T52" s="221"/>
      <c r="U52" s="215"/>
      <c r="V52" s="215"/>
    </row>
    <row r="53" spans="1:22" s="220" customFormat="1" x14ac:dyDescent="0.2">
      <c r="A53" s="215"/>
      <c r="C53" s="221"/>
      <c r="H53" s="215"/>
      <c r="K53" s="215"/>
      <c r="L53" s="215"/>
      <c r="T53" s="221"/>
      <c r="U53" s="215"/>
      <c r="V53" s="215"/>
    </row>
    <row r="54" spans="1:22" s="220" customFormat="1" x14ac:dyDescent="0.2">
      <c r="A54" s="215"/>
      <c r="C54" s="221"/>
      <c r="H54" s="215"/>
      <c r="K54" s="215"/>
      <c r="L54" s="215"/>
      <c r="T54" s="221"/>
      <c r="U54" s="215"/>
      <c r="V54" s="215"/>
    </row>
    <row r="55" spans="1:22" s="220" customFormat="1" x14ac:dyDescent="0.2">
      <c r="A55" s="215"/>
      <c r="C55" s="221"/>
      <c r="H55" s="215"/>
      <c r="K55" s="215"/>
      <c r="L55" s="215"/>
      <c r="T55" s="221"/>
      <c r="U55" s="215"/>
      <c r="V55" s="215"/>
    </row>
    <row r="56" spans="1:22" s="220" customFormat="1" x14ac:dyDescent="0.2">
      <c r="A56" s="215"/>
      <c r="C56" s="221"/>
      <c r="H56" s="215"/>
      <c r="K56" s="215"/>
      <c r="L56" s="215"/>
      <c r="T56" s="221"/>
      <c r="U56" s="215"/>
      <c r="V56" s="215"/>
    </row>
    <row r="57" spans="1:22" s="220" customFormat="1" x14ac:dyDescent="0.2">
      <c r="A57" s="215"/>
      <c r="C57" s="221"/>
      <c r="H57" s="215"/>
      <c r="K57" s="215"/>
      <c r="L57" s="215"/>
      <c r="T57" s="221"/>
      <c r="U57" s="215"/>
      <c r="V57" s="215"/>
    </row>
    <row r="58" spans="1:22" s="220" customFormat="1" x14ac:dyDescent="0.2">
      <c r="A58" s="215"/>
      <c r="C58" s="221"/>
      <c r="H58" s="215"/>
      <c r="K58" s="215"/>
      <c r="L58" s="215"/>
      <c r="T58" s="221"/>
      <c r="U58" s="215"/>
      <c r="V58" s="215"/>
    </row>
    <row r="59" spans="1:22" s="220" customFormat="1" x14ac:dyDescent="0.2">
      <c r="A59" s="215"/>
      <c r="C59" s="221"/>
      <c r="H59" s="215"/>
      <c r="K59" s="215"/>
      <c r="L59" s="215"/>
      <c r="T59" s="221"/>
      <c r="U59" s="215"/>
      <c r="V59" s="215"/>
    </row>
    <row r="60" spans="1:22" s="220" customFormat="1" x14ac:dyDescent="0.2">
      <c r="A60" s="215"/>
      <c r="C60" s="221"/>
      <c r="H60" s="215"/>
      <c r="K60" s="215"/>
      <c r="L60" s="215"/>
      <c r="T60" s="221"/>
      <c r="U60" s="215"/>
      <c r="V60" s="215"/>
    </row>
    <row r="61" spans="1:22" s="220" customFormat="1" x14ac:dyDescent="0.2">
      <c r="A61" s="215"/>
      <c r="C61" s="221"/>
      <c r="H61" s="215"/>
      <c r="K61" s="215"/>
      <c r="L61" s="215"/>
      <c r="T61" s="221"/>
      <c r="U61" s="215"/>
      <c r="V61" s="215"/>
    </row>
    <row r="62" spans="1:22" s="220" customFormat="1" x14ac:dyDescent="0.2">
      <c r="A62" s="215"/>
      <c r="C62" s="221"/>
      <c r="H62" s="215"/>
      <c r="K62" s="215"/>
      <c r="L62" s="215"/>
      <c r="T62" s="221"/>
      <c r="U62" s="215"/>
      <c r="V62" s="215"/>
    </row>
    <row r="63" spans="1:22" s="220" customFormat="1" x14ac:dyDescent="0.2">
      <c r="A63" s="215"/>
      <c r="C63" s="221"/>
      <c r="H63" s="215"/>
      <c r="K63" s="215"/>
      <c r="L63" s="215"/>
      <c r="T63" s="221"/>
      <c r="U63" s="215"/>
      <c r="V63" s="215"/>
    </row>
    <row r="64" spans="1:22" s="220" customFormat="1" x14ac:dyDescent="0.2">
      <c r="A64" s="215"/>
      <c r="C64" s="221"/>
      <c r="H64" s="215"/>
      <c r="K64" s="215"/>
      <c r="L64" s="215"/>
      <c r="T64" s="221"/>
      <c r="U64" s="215"/>
      <c r="V64" s="215"/>
    </row>
    <row r="65" spans="1:22" s="220" customFormat="1" x14ac:dyDescent="0.2">
      <c r="A65" s="215"/>
      <c r="C65" s="221"/>
      <c r="H65" s="215"/>
      <c r="K65" s="215"/>
      <c r="L65" s="215"/>
      <c r="T65" s="221"/>
      <c r="U65" s="215"/>
      <c r="V65" s="215"/>
    </row>
    <row r="66" spans="1:22" s="220" customFormat="1" x14ac:dyDescent="0.2">
      <c r="A66" s="215"/>
      <c r="C66" s="221"/>
      <c r="H66" s="215"/>
      <c r="K66" s="215"/>
      <c r="L66" s="215"/>
      <c r="T66" s="221"/>
      <c r="U66" s="215"/>
      <c r="V66" s="215"/>
    </row>
    <row r="67" spans="1:22" s="220" customFormat="1" x14ac:dyDescent="0.2">
      <c r="A67" s="215"/>
      <c r="C67" s="221"/>
      <c r="H67" s="215"/>
      <c r="K67" s="215"/>
      <c r="L67" s="215"/>
      <c r="T67" s="221"/>
      <c r="U67" s="215"/>
      <c r="V67" s="215"/>
    </row>
    <row r="68" spans="1:22" s="220" customFormat="1" x14ac:dyDescent="0.2">
      <c r="A68" s="215"/>
      <c r="C68" s="221"/>
      <c r="H68" s="215"/>
      <c r="K68" s="215"/>
      <c r="L68" s="215"/>
      <c r="T68" s="221"/>
      <c r="U68" s="215"/>
      <c r="V68" s="215"/>
    </row>
    <row r="69" spans="1:22" s="220" customFormat="1" x14ac:dyDescent="0.2">
      <c r="A69" s="215"/>
      <c r="C69" s="221"/>
      <c r="H69" s="215"/>
      <c r="K69" s="215"/>
      <c r="L69" s="215"/>
      <c r="T69" s="221"/>
      <c r="U69" s="215"/>
      <c r="V69" s="215"/>
    </row>
    <row r="70" spans="1:22" s="220" customFormat="1" x14ac:dyDescent="0.2">
      <c r="A70" s="215"/>
      <c r="C70" s="221"/>
      <c r="H70" s="215"/>
      <c r="K70" s="215"/>
      <c r="L70" s="215"/>
      <c r="T70" s="221"/>
      <c r="U70" s="215"/>
      <c r="V70" s="215"/>
    </row>
    <row r="71" spans="1:22" s="220" customFormat="1" x14ac:dyDescent="0.2">
      <c r="A71" s="215"/>
      <c r="C71" s="221"/>
      <c r="H71" s="215"/>
      <c r="K71" s="215"/>
      <c r="L71" s="215"/>
      <c r="T71" s="221"/>
      <c r="U71" s="215"/>
      <c r="V71" s="215"/>
    </row>
    <row r="72" spans="1:22" s="220" customFormat="1" x14ac:dyDescent="0.2">
      <c r="A72" s="215"/>
      <c r="C72" s="221"/>
      <c r="H72" s="215"/>
      <c r="K72" s="215"/>
      <c r="L72" s="215"/>
      <c r="T72" s="221"/>
      <c r="U72" s="215"/>
      <c r="V72" s="215"/>
    </row>
    <row r="73" spans="1:22" s="220" customFormat="1" x14ac:dyDescent="0.2">
      <c r="A73" s="215"/>
      <c r="C73" s="221"/>
      <c r="H73" s="215"/>
      <c r="K73" s="215"/>
      <c r="L73" s="215"/>
      <c r="T73" s="221"/>
      <c r="U73" s="215"/>
      <c r="V73" s="215"/>
    </row>
    <row r="74" spans="1:22" s="220" customFormat="1" x14ac:dyDescent="0.2">
      <c r="A74" s="215"/>
      <c r="H74" s="215"/>
      <c r="K74" s="215"/>
      <c r="L74" s="215"/>
      <c r="T74" s="221"/>
      <c r="U74" s="215"/>
      <c r="V74" s="215"/>
    </row>
    <row r="75" spans="1:22" s="220" customFormat="1" x14ac:dyDescent="0.2">
      <c r="A75" s="215"/>
      <c r="H75" s="215"/>
      <c r="K75" s="215"/>
      <c r="L75" s="215"/>
      <c r="T75" s="221"/>
      <c r="U75" s="215"/>
      <c r="V75" s="215"/>
    </row>
    <row r="76" spans="1:22" s="220" customFormat="1" x14ac:dyDescent="0.2">
      <c r="A76" s="215"/>
      <c r="H76" s="215"/>
      <c r="K76" s="215"/>
      <c r="L76" s="215"/>
      <c r="T76" s="221"/>
      <c r="U76" s="215"/>
      <c r="V76" s="215"/>
    </row>
    <row r="77" spans="1:22" s="220" customFormat="1" x14ac:dyDescent="0.2">
      <c r="A77" s="215"/>
      <c r="H77" s="215"/>
      <c r="K77" s="215"/>
      <c r="L77" s="215"/>
      <c r="T77" s="221"/>
      <c r="U77" s="215"/>
      <c r="V77" s="215"/>
    </row>
    <row r="78" spans="1:22" s="220" customFormat="1" x14ac:dyDescent="0.2">
      <c r="A78" s="215"/>
      <c r="H78" s="215"/>
      <c r="K78" s="215"/>
      <c r="L78" s="215"/>
      <c r="T78" s="221"/>
      <c r="U78" s="215"/>
      <c r="V78" s="215"/>
    </row>
    <row r="79" spans="1:22" s="220" customFormat="1" x14ac:dyDescent="0.2">
      <c r="A79" s="215"/>
      <c r="H79" s="215"/>
      <c r="K79" s="215"/>
      <c r="L79" s="215"/>
      <c r="T79" s="221"/>
      <c r="U79" s="215"/>
      <c r="V79" s="215"/>
    </row>
    <row r="80" spans="1:22" s="220" customFormat="1" x14ac:dyDescent="0.2">
      <c r="A80" s="215"/>
      <c r="H80" s="215"/>
      <c r="K80" s="215"/>
      <c r="L80" s="215"/>
      <c r="T80" s="221"/>
      <c r="U80" s="215"/>
      <c r="V80" s="215"/>
    </row>
    <row r="81" spans="1:22" s="220" customFormat="1" x14ac:dyDescent="0.2">
      <c r="A81" s="215"/>
      <c r="H81" s="215"/>
      <c r="K81" s="215"/>
      <c r="L81" s="215"/>
      <c r="T81" s="221"/>
      <c r="U81" s="215"/>
      <c r="V81" s="215"/>
    </row>
    <row r="82" spans="1:22" s="220" customFormat="1" x14ac:dyDescent="0.2">
      <c r="A82" s="215"/>
      <c r="H82" s="215"/>
      <c r="K82" s="215"/>
      <c r="L82" s="215"/>
      <c r="T82" s="221"/>
      <c r="U82" s="215"/>
      <c r="V82" s="215"/>
    </row>
    <row r="83" spans="1:22" s="220" customFormat="1" x14ac:dyDescent="0.2">
      <c r="A83" s="215"/>
      <c r="H83" s="215"/>
      <c r="K83" s="215"/>
      <c r="L83" s="215"/>
      <c r="T83" s="221"/>
      <c r="U83" s="215"/>
      <c r="V83" s="215"/>
    </row>
    <row r="84" spans="1:22" s="220" customFormat="1" x14ac:dyDescent="0.2">
      <c r="A84" s="215"/>
      <c r="H84" s="215"/>
      <c r="K84" s="215"/>
      <c r="L84" s="215"/>
      <c r="T84" s="221"/>
      <c r="U84" s="215"/>
      <c r="V84" s="215"/>
    </row>
    <row r="85" spans="1:22" s="220" customFormat="1" x14ac:dyDescent="0.2">
      <c r="A85" s="215"/>
      <c r="H85" s="215"/>
      <c r="K85" s="215"/>
      <c r="L85" s="215"/>
      <c r="T85" s="221"/>
      <c r="U85" s="215"/>
      <c r="V85" s="215"/>
    </row>
    <row r="86" spans="1:22" s="220" customFormat="1" x14ac:dyDescent="0.2">
      <c r="A86" s="215"/>
      <c r="H86" s="215"/>
      <c r="K86" s="215"/>
      <c r="L86" s="215"/>
      <c r="T86" s="221"/>
      <c r="U86" s="215"/>
      <c r="V86" s="215"/>
    </row>
    <row r="87" spans="1:22" s="220" customFormat="1" x14ac:dyDescent="0.2">
      <c r="A87" s="215"/>
      <c r="H87" s="215"/>
      <c r="K87" s="215"/>
      <c r="L87" s="215"/>
      <c r="T87" s="221"/>
      <c r="U87" s="215"/>
      <c r="V87" s="215"/>
    </row>
    <row r="88" spans="1:22" s="220" customFormat="1" x14ac:dyDescent="0.2">
      <c r="A88" s="215"/>
      <c r="H88" s="215"/>
      <c r="K88" s="215"/>
      <c r="L88" s="215"/>
      <c r="T88" s="221"/>
      <c r="U88" s="215"/>
      <c r="V88" s="215"/>
    </row>
    <row r="89" spans="1:22" s="220" customFormat="1" x14ac:dyDescent="0.2">
      <c r="A89" s="215"/>
      <c r="H89" s="215"/>
      <c r="K89" s="215"/>
      <c r="L89" s="215"/>
      <c r="T89" s="221"/>
      <c r="U89" s="215"/>
      <c r="V89" s="215"/>
    </row>
    <row r="90" spans="1:22" s="220" customFormat="1" x14ac:dyDescent="0.2">
      <c r="A90" s="215"/>
      <c r="H90" s="215"/>
      <c r="K90" s="215"/>
      <c r="L90" s="215"/>
      <c r="T90" s="221"/>
      <c r="U90" s="215"/>
      <c r="V90" s="215"/>
    </row>
    <row r="91" spans="1:22" s="220" customFormat="1" x14ac:dyDescent="0.2">
      <c r="A91" s="215"/>
      <c r="H91" s="215"/>
      <c r="K91" s="215"/>
      <c r="L91" s="215"/>
      <c r="T91" s="221"/>
      <c r="U91" s="215"/>
      <c r="V91" s="215"/>
    </row>
    <row r="92" spans="1:22" s="220" customFormat="1" x14ac:dyDescent="0.2">
      <c r="A92" s="215"/>
      <c r="H92" s="215"/>
      <c r="K92" s="215"/>
      <c r="L92" s="215"/>
      <c r="T92" s="221"/>
      <c r="U92" s="215"/>
      <c r="V92" s="215"/>
    </row>
    <row r="93" spans="1:22" s="220" customFormat="1" x14ac:dyDescent="0.2">
      <c r="A93" s="215"/>
      <c r="H93" s="215"/>
      <c r="K93" s="215"/>
      <c r="L93" s="215"/>
      <c r="T93" s="221"/>
      <c r="U93" s="215"/>
      <c r="V93" s="215"/>
    </row>
    <row r="94" spans="1:22" s="220" customFormat="1" x14ac:dyDescent="0.2">
      <c r="A94" s="215"/>
      <c r="H94" s="215"/>
      <c r="K94" s="215"/>
      <c r="L94" s="215"/>
      <c r="T94" s="221"/>
      <c r="U94" s="215"/>
      <c r="V94" s="215"/>
    </row>
    <row r="95" spans="1:22" s="220" customFormat="1" x14ac:dyDescent="0.2">
      <c r="A95" s="215"/>
      <c r="H95" s="215"/>
      <c r="K95" s="215"/>
      <c r="L95" s="215"/>
      <c r="T95" s="221"/>
      <c r="U95" s="215"/>
      <c r="V95" s="215"/>
    </row>
    <row r="96" spans="1:22" s="220" customFormat="1" x14ac:dyDescent="0.2">
      <c r="A96" s="215"/>
      <c r="H96" s="215"/>
      <c r="K96" s="215"/>
      <c r="L96" s="215"/>
      <c r="T96" s="221"/>
      <c r="U96" s="215"/>
      <c r="V96" s="215"/>
    </row>
    <row r="97" spans="1:22" s="220" customFormat="1" x14ac:dyDescent="0.2">
      <c r="A97" s="215"/>
      <c r="H97" s="215"/>
      <c r="K97" s="215"/>
      <c r="L97" s="215"/>
      <c r="T97" s="221"/>
      <c r="U97" s="215"/>
      <c r="V97" s="215"/>
    </row>
    <row r="98" spans="1:22" s="220" customFormat="1" x14ac:dyDescent="0.2">
      <c r="A98" s="215"/>
      <c r="H98" s="215"/>
      <c r="K98" s="215"/>
      <c r="L98" s="215"/>
      <c r="T98" s="221"/>
      <c r="U98" s="215"/>
      <c r="V98" s="215"/>
    </row>
    <row r="99" spans="1:22" s="220" customFormat="1" x14ac:dyDescent="0.2">
      <c r="A99" s="215"/>
      <c r="C99" s="221"/>
      <c r="H99" s="215"/>
      <c r="K99" s="215"/>
      <c r="L99" s="215"/>
      <c r="T99" s="221"/>
      <c r="U99" s="215"/>
      <c r="V99" s="215"/>
    </row>
    <row r="100" spans="1:22" s="220" customFormat="1" x14ac:dyDescent="0.2">
      <c r="A100" s="215"/>
      <c r="C100" s="221"/>
      <c r="H100" s="215"/>
      <c r="K100" s="215"/>
      <c r="L100" s="215"/>
      <c r="T100" s="221"/>
      <c r="U100" s="215"/>
      <c r="V100" s="215"/>
    </row>
    <row r="101" spans="1:22" s="220" customFormat="1" x14ac:dyDescent="0.2">
      <c r="A101" s="215"/>
      <c r="C101" s="221"/>
      <c r="H101" s="215"/>
      <c r="K101" s="215"/>
      <c r="L101" s="215"/>
      <c r="T101" s="221"/>
      <c r="U101" s="215"/>
      <c r="V101" s="215"/>
    </row>
    <row r="102" spans="1:22" s="220" customFormat="1" x14ac:dyDescent="0.2">
      <c r="A102" s="215"/>
      <c r="C102" s="221"/>
      <c r="H102" s="215"/>
      <c r="K102" s="215"/>
      <c r="L102" s="215"/>
      <c r="T102" s="221"/>
      <c r="U102" s="215"/>
      <c r="V102" s="215"/>
    </row>
    <row r="103" spans="1:22" s="220" customFormat="1" x14ac:dyDescent="0.2">
      <c r="A103" s="215"/>
      <c r="C103" s="221"/>
      <c r="H103" s="215"/>
      <c r="K103" s="215"/>
      <c r="L103" s="215"/>
      <c r="T103" s="221"/>
      <c r="U103" s="215"/>
      <c r="V103" s="215"/>
    </row>
    <row r="104" spans="1:22" s="220" customFormat="1" x14ac:dyDescent="0.2">
      <c r="A104" s="215"/>
      <c r="C104" s="221"/>
      <c r="H104" s="215"/>
      <c r="K104" s="215"/>
      <c r="L104" s="215"/>
      <c r="T104" s="221"/>
      <c r="U104" s="215"/>
      <c r="V104" s="215"/>
    </row>
    <row r="105" spans="1:22" s="220" customFormat="1" x14ac:dyDescent="0.2">
      <c r="A105" s="215"/>
      <c r="C105" s="221"/>
      <c r="H105" s="215"/>
      <c r="K105" s="215"/>
      <c r="L105" s="215"/>
      <c r="T105" s="221"/>
      <c r="U105" s="215"/>
      <c r="V105" s="215"/>
    </row>
    <row r="106" spans="1:22" s="220" customFormat="1" x14ac:dyDescent="0.2">
      <c r="A106" s="215"/>
      <c r="C106" s="221"/>
      <c r="H106" s="215"/>
      <c r="K106" s="215"/>
      <c r="L106" s="215"/>
      <c r="T106" s="221"/>
      <c r="U106" s="215"/>
      <c r="V106" s="215"/>
    </row>
    <row r="107" spans="1:22" s="220" customFormat="1" x14ac:dyDescent="0.2">
      <c r="A107" s="215"/>
      <c r="C107" s="221"/>
      <c r="H107" s="215"/>
      <c r="K107" s="215"/>
      <c r="L107" s="215"/>
      <c r="T107" s="221"/>
      <c r="U107" s="215"/>
      <c r="V107" s="215"/>
    </row>
    <row r="108" spans="1:22" s="220" customFormat="1" x14ac:dyDescent="0.2">
      <c r="A108" s="215"/>
      <c r="C108" s="221"/>
      <c r="H108" s="215"/>
      <c r="K108" s="215"/>
      <c r="L108" s="215"/>
      <c r="T108" s="221"/>
      <c r="U108" s="215"/>
      <c r="V108" s="215"/>
    </row>
    <row r="109" spans="1:22" s="220" customFormat="1" x14ac:dyDescent="0.2">
      <c r="A109" s="215"/>
      <c r="C109" s="221"/>
      <c r="H109" s="215"/>
      <c r="K109" s="215"/>
      <c r="L109" s="215"/>
      <c r="T109" s="221"/>
      <c r="U109" s="215"/>
      <c r="V109" s="215"/>
    </row>
    <row r="110" spans="1:22" s="220" customFormat="1" x14ac:dyDescent="0.2">
      <c r="A110" s="215"/>
      <c r="C110" s="221"/>
      <c r="H110" s="215"/>
      <c r="K110" s="215"/>
      <c r="L110" s="215"/>
      <c r="T110" s="221"/>
      <c r="U110" s="215"/>
      <c r="V110" s="215"/>
    </row>
    <row r="111" spans="1:22" s="220" customFormat="1" x14ac:dyDescent="0.2">
      <c r="A111" s="215"/>
      <c r="C111" s="221"/>
      <c r="H111" s="215"/>
      <c r="K111" s="215"/>
      <c r="L111" s="215"/>
      <c r="T111" s="221"/>
      <c r="U111" s="215"/>
      <c r="V111" s="215"/>
    </row>
    <row r="112" spans="1:22" s="220" customFormat="1" x14ac:dyDescent="0.2">
      <c r="A112" s="215"/>
      <c r="C112" s="221"/>
      <c r="H112" s="215"/>
      <c r="K112" s="215"/>
      <c r="L112" s="215"/>
      <c r="T112" s="221"/>
      <c r="U112" s="215"/>
      <c r="V112" s="215"/>
    </row>
    <row r="113" spans="1:22" s="220" customFormat="1" x14ac:dyDescent="0.2">
      <c r="A113" s="215"/>
      <c r="C113" s="221"/>
      <c r="H113" s="215"/>
      <c r="K113" s="215"/>
      <c r="L113" s="215"/>
      <c r="T113" s="221"/>
      <c r="U113" s="215"/>
      <c r="V113" s="215"/>
    </row>
    <row r="114" spans="1:22" s="220" customFormat="1" x14ac:dyDescent="0.2">
      <c r="A114" s="215"/>
      <c r="C114" s="221"/>
      <c r="H114" s="215"/>
      <c r="K114" s="215"/>
      <c r="L114" s="215"/>
      <c r="T114" s="221"/>
      <c r="U114" s="215"/>
      <c r="V114" s="215"/>
    </row>
    <row r="115" spans="1:22" s="220" customFormat="1" x14ac:dyDescent="0.2">
      <c r="A115" s="215"/>
      <c r="C115" s="221"/>
      <c r="H115" s="215"/>
      <c r="K115" s="215"/>
      <c r="L115" s="215"/>
      <c r="T115" s="221"/>
      <c r="U115" s="215"/>
      <c r="V115" s="215"/>
    </row>
    <row r="116" spans="1:22" s="220" customFormat="1" x14ac:dyDescent="0.2">
      <c r="A116" s="215"/>
      <c r="C116" s="221"/>
      <c r="H116" s="215"/>
      <c r="K116" s="215"/>
      <c r="L116" s="215"/>
      <c r="T116" s="221"/>
      <c r="U116" s="215"/>
      <c r="V116" s="215"/>
    </row>
    <row r="117" spans="1:22" s="220" customFormat="1" x14ac:dyDescent="0.2">
      <c r="A117" s="215"/>
      <c r="C117" s="221"/>
      <c r="H117" s="215"/>
      <c r="K117" s="215"/>
      <c r="L117" s="215"/>
      <c r="T117" s="221"/>
      <c r="U117" s="215"/>
      <c r="V117" s="215"/>
    </row>
    <row r="118" spans="1:22" s="220" customFormat="1" x14ac:dyDescent="0.2">
      <c r="A118" s="215"/>
      <c r="C118" s="221"/>
      <c r="H118" s="215"/>
      <c r="K118" s="215"/>
      <c r="L118" s="215"/>
      <c r="T118" s="221"/>
      <c r="U118" s="215"/>
      <c r="V118" s="215"/>
    </row>
    <row r="119" spans="1:22" s="220" customFormat="1" x14ac:dyDescent="0.2">
      <c r="A119" s="215"/>
      <c r="C119" s="221"/>
      <c r="H119" s="215"/>
      <c r="K119" s="215"/>
      <c r="L119" s="215"/>
      <c r="T119" s="221"/>
      <c r="U119" s="215"/>
      <c r="V119" s="215"/>
    </row>
    <row r="120" spans="1:22" s="220" customFormat="1" x14ac:dyDescent="0.2">
      <c r="A120" s="215"/>
      <c r="C120" s="221"/>
      <c r="H120" s="215"/>
      <c r="K120" s="215"/>
      <c r="L120" s="215"/>
      <c r="T120" s="221"/>
      <c r="U120" s="215"/>
      <c r="V120" s="215"/>
    </row>
    <row r="121" spans="1:22" s="220" customFormat="1" x14ac:dyDescent="0.2">
      <c r="A121" s="215"/>
      <c r="C121" s="221"/>
      <c r="H121" s="215"/>
      <c r="K121" s="215"/>
      <c r="L121" s="215"/>
      <c r="T121" s="221"/>
      <c r="U121" s="215"/>
      <c r="V121" s="215"/>
    </row>
    <row r="122" spans="1:22" s="220" customFormat="1" x14ac:dyDescent="0.2">
      <c r="A122" s="215"/>
      <c r="C122" s="221"/>
      <c r="H122" s="215"/>
      <c r="K122" s="215"/>
      <c r="L122" s="215"/>
      <c r="T122" s="221"/>
      <c r="U122" s="215"/>
      <c r="V122" s="215"/>
    </row>
    <row r="123" spans="1:22" s="220" customFormat="1" x14ac:dyDescent="0.2">
      <c r="A123" s="215"/>
      <c r="C123" s="221"/>
      <c r="H123" s="215"/>
      <c r="K123" s="215"/>
      <c r="L123" s="215"/>
      <c r="T123" s="221"/>
      <c r="U123" s="215"/>
      <c r="V123" s="215"/>
    </row>
    <row r="124" spans="1:22" s="220" customFormat="1" x14ac:dyDescent="0.2">
      <c r="A124" s="215"/>
      <c r="C124" s="221"/>
      <c r="H124" s="215"/>
      <c r="K124" s="215"/>
      <c r="L124" s="215"/>
      <c r="T124" s="221"/>
      <c r="U124" s="215"/>
      <c r="V124" s="215"/>
    </row>
    <row r="125" spans="1:22" s="220" customFormat="1" x14ac:dyDescent="0.2">
      <c r="A125" s="215"/>
      <c r="C125" s="221"/>
      <c r="H125" s="215"/>
      <c r="K125" s="215"/>
      <c r="L125" s="215"/>
      <c r="T125" s="221"/>
      <c r="U125" s="215"/>
      <c r="V125" s="215"/>
    </row>
    <row r="126" spans="1:22" s="220" customFormat="1" x14ac:dyDescent="0.2">
      <c r="A126" s="215"/>
      <c r="C126" s="221"/>
      <c r="H126" s="215"/>
      <c r="K126" s="215"/>
      <c r="L126" s="215"/>
      <c r="T126" s="221"/>
      <c r="U126" s="215"/>
      <c r="V126" s="215"/>
    </row>
    <row r="127" spans="1:22" s="220" customFormat="1" x14ac:dyDescent="0.2">
      <c r="A127" s="215"/>
      <c r="C127" s="221"/>
      <c r="H127" s="215"/>
      <c r="K127" s="215"/>
      <c r="L127" s="215"/>
      <c r="T127" s="221"/>
      <c r="U127" s="215"/>
      <c r="V127" s="215"/>
    </row>
    <row r="128" spans="1:22" s="220" customFormat="1" x14ac:dyDescent="0.2">
      <c r="A128" s="215"/>
      <c r="C128" s="221"/>
      <c r="H128" s="215"/>
      <c r="K128" s="215"/>
      <c r="L128" s="215"/>
      <c r="T128" s="221"/>
      <c r="U128" s="215"/>
      <c r="V128" s="215"/>
    </row>
    <row r="129" spans="1:22" s="220" customFormat="1" x14ac:dyDescent="0.2">
      <c r="A129" s="215"/>
      <c r="C129" s="221"/>
      <c r="H129" s="215"/>
      <c r="K129" s="215"/>
      <c r="L129" s="215"/>
      <c r="T129" s="221"/>
      <c r="U129" s="215"/>
      <c r="V129" s="215"/>
    </row>
    <row r="130" spans="1:22" s="220" customFormat="1" x14ac:dyDescent="0.2">
      <c r="A130" s="215"/>
      <c r="C130" s="221"/>
      <c r="H130" s="215"/>
      <c r="K130" s="215"/>
      <c r="L130" s="215"/>
      <c r="T130" s="221"/>
      <c r="U130" s="215"/>
      <c r="V130" s="215"/>
    </row>
    <row r="131" spans="1:22" s="220" customFormat="1" x14ac:dyDescent="0.2">
      <c r="A131" s="215"/>
      <c r="C131" s="221"/>
      <c r="H131" s="215"/>
      <c r="K131" s="215"/>
      <c r="L131" s="215"/>
      <c r="T131" s="221"/>
      <c r="U131" s="215"/>
      <c r="V131" s="215"/>
    </row>
    <row r="132" spans="1:22" s="220" customFormat="1" x14ac:dyDescent="0.2">
      <c r="A132" s="215"/>
      <c r="C132" s="221"/>
      <c r="H132" s="215"/>
      <c r="K132" s="215"/>
      <c r="L132" s="215"/>
      <c r="T132" s="221"/>
      <c r="U132" s="215"/>
      <c r="V132" s="215"/>
    </row>
    <row r="133" spans="1:22" s="220" customFormat="1" x14ac:dyDescent="0.2">
      <c r="A133" s="215"/>
      <c r="C133" s="221"/>
      <c r="H133" s="215"/>
      <c r="K133" s="215"/>
      <c r="L133" s="215"/>
      <c r="T133" s="221"/>
      <c r="U133" s="215"/>
      <c r="V133" s="215"/>
    </row>
    <row r="134" spans="1:22" s="220" customFormat="1" x14ac:dyDescent="0.2">
      <c r="A134" s="215"/>
      <c r="C134" s="221"/>
      <c r="H134" s="215"/>
      <c r="K134" s="215"/>
      <c r="L134" s="215"/>
      <c r="T134" s="221"/>
      <c r="U134" s="215"/>
      <c r="V134" s="215"/>
    </row>
    <row r="135" spans="1:22" s="220" customFormat="1" x14ac:dyDescent="0.2">
      <c r="A135" s="215"/>
      <c r="C135" s="221"/>
      <c r="H135" s="215"/>
      <c r="K135" s="215"/>
      <c r="L135" s="215"/>
      <c r="T135" s="221"/>
      <c r="U135" s="215"/>
      <c r="V135" s="215"/>
    </row>
    <row r="136" spans="1:22" s="220" customFormat="1" x14ac:dyDescent="0.2">
      <c r="A136" s="215"/>
      <c r="C136" s="221"/>
      <c r="H136" s="215"/>
      <c r="K136" s="215"/>
      <c r="L136" s="215"/>
      <c r="T136" s="221"/>
      <c r="U136" s="215"/>
      <c r="V136" s="215"/>
    </row>
    <row r="137" spans="1:22" s="220" customFormat="1" x14ac:dyDescent="0.2">
      <c r="A137" s="215"/>
      <c r="C137" s="221"/>
      <c r="H137" s="215"/>
      <c r="K137" s="215"/>
      <c r="L137" s="215"/>
      <c r="T137" s="221"/>
      <c r="U137" s="215"/>
      <c r="V137" s="215"/>
    </row>
    <row r="138" spans="1:22" s="220" customFormat="1" x14ac:dyDescent="0.2">
      <c r="A138" s="215"/>
      <c r="C138" s="221"/>
      <c r="H138" s="215"/>
      <c r="K138" s="215"/>
      <c r="L138" s="215"/>
      <c r="T138" s="221"/>
      <c r="U138" s="215"/>
      <c r="V138" s="215"/>
    </row>
    <row r="139" spans="1:22" s="220" customFormat="1" x14ac:dyDescent="0.2">
      <c r="A139" s="215"/>
      <c r="C139" s="221"/>
      <c r="H139" s="215"/>
      <c r="K139" s="215"/>
      <c r="L139" s="215"/>
      <c r="T139" s="221"/>
      <c r="U139" s="215"/>
      <c r="V139" s="215"/>
    </row>
    <row r="140" spans="1:22" s="220" customFormat="1" x14ac:dyDescent="0.2">
      <c r="A140" s="215"/>
      <c r="C140" s="221"/>
      <c r="H140" s="215"/>
      <c r="K140" s="215"/>
      <c r="L140" s="215"/>
      <c r="T140" s="221"/>
      <c r="U140" s="215"/>
      <c r="V140" s="215"/>
    </row>
    <row r="141" spans="1:22" s="220" customFormat="1" x14ac:dyDescent="0.2">
      <c r="A141" s="215"/>
      <c r="C141" s="221"/>
      <c r="H141" s="215"/>
      <c r="K141" s="215"/>
      <c r="L141" s="215"/>
      <c r="T141" s="221"/>
      <c r="U141" s="215"/>
      <c r="V141" s="215"/>
    </row>
    <row r="142" spans="1:22" s="220" customFormat="1" x14ac:dyDescent="0.2">
      <c r="A142" s="215"/>
      <c r="C142" s="221"/>
      <c r="H142" s="215"/>
      <c r="K142" s="215"/>
      <c r="L142" s="215"/>
      <c r="T142" s="221"/>
      <c r="U142" s="215"/>
      <c r="V142" s="215"/>
    </row>
    <row r="143" spans="1:22" s="220" customFormat="1" x14ac:dyDescent="0.2">
      <c r="A143" s="215"/>
      <c r="C143" s="221"/>
      <c r="H143" s="215"/>
      <c r="K143" s="215"/>
      <c r="L143" s="215"/>
      <c r="T143" s="221"/>
      <c r="U143" s="215"/>
      <c r="V143" s="215"/>
    </row>
    <row r="144" spans="1:22" s="220" customFormat="1" x14ac:dyDescent="0.2">
      <c r="A144" s="215"/>
      <c r="C144" s="221"/>
      <c r="H144" s="215"/>
      <c r="K144" s="215"/>
      <c r="L144" s="215"/>
      <c r="T144" s="221"/>
      <c r="U144" s="215"/>
      <c r="V144" s="215"/>
    </row>
    <row r="145" spans="1:22" s="220" customFormat="1" x14ac:dyDescent="0.2">
      <c r="A145" s="215"/>
      <c r="C145" s="221"/>
      <c r="H145" s="215"/>
      <c r="K145" s="215"/>
      <c r="L145" s="215"/>
      <c r="T145" s="221"/>
      <c r="U145" s="215"/>
      <c r="V145" s="215"/>
    </row>
    <row r="146" spans="1:22" s="220" customFormat="1" x14ac:dyDescent="0.2">
      <c r="A146" s="215"/>
      <c r="C146" s="221"/>
      <c r="H146" s="215"/>
      <c r="K146" s="215"/>
      <c r="L146" s="215"/>
      <c r="T146" s="221"/>
      <c r="U146" s="215"/>
      <c r="V146" s="215"/>
    </row>
    <row r="147" spans="1:22" s="220" customFormat="1" x14ac:dyDescent="0.2">
      <c r="A147" s="215"/>
      <c r="C147" s="221"/>
      <c r="H147" s="215"/>
      <c r="K147" s="215"/>
      <c r="L147" s="215"/>
      <c r="T147" s="221"/>
      <c r="U147" s="215"/>
      <c r="V147" s="215"/>
    </row>
    <row r="148" spans="1:22" s="220" customFormat="1" x14ac:dyDescent="0.2">
      <c r="A148" s="215"/>
      <c r="C148" s="221"/>
      <c r="H148" s="215"/>
      <c r="K148" s="215"/>
      <c r="L148" s="215"/>
      <c r="T148" s="221"/>
      <c r="U148" s="215"/>
      <c r="V148" s="215"/>
    </row>
    <row r="149" spans="1:22" s="220" customFormat="1" x14ac:dyDescent="0.2">
      <c r="A149" s="215"/>
      <c r="C149" s="221"/>
      <c r="H149" s="215"/>
      <c r="K149" s="215"/>
      <c r="L149" s="215"/>
      <c r="T149" s="221"/>
      <c r="U149" s="215"/>
      <c r="V149" s="215"/>
    </row>
    <row r="150" spans="1:22" s="220" customFormat="1" x14ac:dyDescent="0.2">
      <c r="A150" s="215"/>
      <c r="H150" s="215"/>
      <c r="K150" s="215"/>
      <c r="L150" s="215"/>
      <c r="T150" s="221"/>
      <c r="U150" s="215"/>
      <c r="V150" s="215"/>
    </row>
    <row r="151" spans="1:22" s="220" customFormat="1" x14ac:dyDescent="0.2">
      <c r="A151" s="215"/>
      <c r="H151" s="215"/>
      <c r="K151" s="215"/>
      <c r="L151" s="215"/>
      <c r="T151" s="221"/>
      <c r="U151" s="215"/>
      <c r="V151" s="215"/>
    </row>
    <row r="152" spans="1:22" s="220" customFormat="1" x14ac:dyDescent="0.2">
      <c r="A152" s="215"/>
      <c r="C152" s="221"/>
      <c r="H152" s="215"/>
      <c r="K152" s="215"/>
      <c r="L152" s="215"/>
      <c r="T152" s="221"/>
      <c r="U152" s="215"/>
      <c r="V152" s="215"/>
    </row>
    <row r="153" spans="1:22" s="220" customFormat="1" x14ac:dyDescent="0.2">
      <c r="A153" s="215"/>
      <c r="C153" s="221"/>
      <c r="H153" s="215"/>
      <c r="K153" s="215"/>
      <c r="L153" s="215"/>
      <c r="T153" s="221"/>
      <c r="U153" s="215"/>
      <c r="V153" s="215"/>
    </row>
    <row r="154" spans="1:22" s="220" customFormat="1" x14ac:dyDescent="0.2">
      <c r="A154" s="215"/>
      <c r="C154" s="221"/>
      <c r="H154" s="215"/>
      <c r="K154" s="215"/>
      <c r="L154" s="215"/>
      <c r="T154" s="221"/>
      <c r="U154" s="215"/>
      <c r="V154" s="215"/>
    </row>
  </sheetData>
  <autoFilter ref="A2:W154" xr:uid="{00000000-0009-0000-0000-000009000000}"/>
  <conditionalFormatting sqref="U1:U1048576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rgb="FF00B050"/>
  </sheetPr>
  <dimension ref="A1:K104"/>
  <sheetViews>
    <sheetView zoomScale="115" zoomScaleNormal="115" workbookViewId="0">
      <pane ySplit="2" topLeftCell="A3" activePane="bottomLeft" state="frozen"/>
      <selection activeCell="G17" sqref="G17"/>
      <selection pane="bottomLeft" activeCell="G17" sqref="G17"/>
    </sheetView>
  </sheetViews>
  <sheetFormatPr defaultColWidth="9.140625" defaultRowHeight="12.75" x14ac:dyDescent="0.2"/>
  <cols>
    <col min="1" max="1" width="14.28515625" style="25" customWidth="1"/>
    <col min="2" max="3" width="14.28515625" style="68" customWidth="1"/>
    <col min="4" max="4" width="11.28515625" style="68" customWidth="1"/>
    <col min="5" max="7" width="14.28515625" style="68" customWidth="1"/>
    <col min="8" max="8" width="7.28515625" style="68" bestFit="1" customWidth="1"/>
    <col min="9" max="9" width="14.85546875" style="17" customWidth="1"/>
    <col min="10" max="10" width="9.140625" style="27"/>
    <col min="11" max="16384" width="9.140625" style="17"/>
  </cols>
  <sheetData>
    <row r="1" spans="1:11" x14ac:dyDescent="0.2">
      <c r="A1" s="25">
        <v>41822</v>
      </c>
      <c r="B1" s="68">
        <v>34.6</v>
      </c>
      <c r="C1" s="68" t="s">
        <v>58</v>
      </c>
      <c r="D1" s="68">
        <v>213011527</v>
      </c>
      <c r="F1" s="68">
        <v>2</v>
      </c>
      <c r="G1" s="68" t="s">
        <v>36</v>
      </c>
      <c r="H1" s="101" t="e">
        <f>VLOOKUP(F1,'RMS codes'!$D$2:$E$2,2,0)</f>
        <v>#N/A</v>
      </c>
      <c r="I1" s="28" t="e">
        <f>H1&amp;-B1</f>
        <v>#N/A</v>
      </c>
      <c r="J1" s="29">
        <f>B1</f>
        <v>34.6</v>
      </c>
    </row>
    <row r="2" spans="1:11" ht="14.25" customHeight="1" x14ac:dyDescent="0.2">
      <c r="A2" s="25" t="s">
        <v>30</v>
      </c>
      <c r="B2" s="68" t="s">
        <v>53</v>
      </c>
      <c r="C2" s="68" t="s">
        <v>54</v>
      </c>
      <c r="D2" s="68" t="s">
        <v>55</v>
      </c>
      <c r="E2" s="68" t="s">
        <v>56</v>
      </c>
      <c r="F2" s="68" t="s">
        <v>45</v>
      </c>
      <c r="G2" s="68" t="s">
        <v>57</v>
      </c>
      <c r="H2" s="137" t="s">
        <v>25</v>
      </c>
      <c r="I2" s="30" t="s">
        <v>50</v>
      </c>
      <c r="J2" s="31" t="s">
        <v>42</v>
      </c>
      <c r="K2" s="28"/>
    </row>
    <row r="3" spans="1:11" x14ac:dyDescent="0.2">
      <c r="A3" s="147">
        <v>42949</v>
      </c>
      <c r="B3" s="148">
        <v>2860.3</v>
      </c>
      <c r="C3" s="148">
        <v>400799000000</v>
      </c>
      <c r="D3" s="148">
        <v>213328446</v>
      </c>
      <c r="E3" s="148"/>
      <c r="F3" s="148">
        <v>75</v>
      </c>
      <c r="G3" s="148" t="s">
        <v>118</v>
      </c>
      <c r="H3" s="101">
        <f>VLOOKUP(F3,'RMS codes'!$D:$E,2,0)</f>
        <v>1075</v>
      </c>
      <c r="I3" s="28" t="str">
        <f>H3&amp;-B3</f>
        <v>1075-2860.3</v>
      </c>
      <c r="J3" s="29">
        <f>B3</f>
        <v>2860.3</v>
      </c>
    </row>
    <row r="4" spans="1:11" x14ac:dyDescent="0.2">
      <c r="H4" s="101"/>
      <c r="I4" s="28"/>
      <c r="J4" s="29"/>
    </row>
    <row r="5" spans="1:11" x14ac:dyDescent="0.2">
      <c r="H5" s="101"/>
      <c r="I5" s="28"/>
      <c r="J5" s="29"/>
    </row>
    <row r="6" spans="1:11" x14ac:dyDescent="0.2">
      <c r="H6" s="101"/>
      <c r="I6" s="28"/>
      <c r="J6" s="29"/>
    </row>
    <row r="7" spans="1:11" x14ac:dyDescent="0.2">
      <c r="H7" s="101"/>
      <c r="I7" s="28"/>
      <c r="J7" s="29"/>
    </row>
    <row r="8" spans="1:11" x14ac:dyDescent="0.2">
      <c r="H8" s="101"/>
      <c r="I8" s="28"/>
      <c r="J8" s="29"/>
    </row>
    <row r="9" spans="1:11" x14ac:dyDescent="0.2">
      <c r="H9" s="101"/>
      <c r="I9" s="28"/>
      <c r="J9" s="29"/>
    </row>
    <row r="10" spans="1:11" x14ac:dyDescent="0.2">
      <c r="H10" s="101"/>
      <c r="I10" s="28"/>
      <c r="J10" s="29"/>
    </row>
    <row r="11" spans="1:11" x14ac:dyDescent="0.2">
      <c r="H11" s="101"/>
      <c r="I11" s="28"/>
      <c r="J11" s="29"/>
    </row>
    <row r="12" spans="1:11" x14ac:dyDescent="0.2">
      <c r="H12" s="101"/>
      <c r="I12" s="28"/>
      <c r="J12" s="29"/>
    </row>
    <row r="13" spans="1:11" x14ac:dyDescent="0.2">
      <c r="H13" s="101"/>
      <c r="I13" s="28"/>
      <c r="J13" s="29"/>
    </row>
    <row r="14" spans="1:11" x14ac:dyDescent="0.2">
      <c r="H14" s="101"/>
      <c r="I14" s="28"/>
      <c r="J14" s="29"/>
    </row>
    <row r="15" spans="1:11" x14ac:dyDescent="0.2">
      <c r="H15" s="101"/>
      <c r="I15" s="28"/>
      <c r="J15" s="29"/>
    </row>
    <row r="16" spans="1:11" x14ac:dyDescent="0.2">
      <c r="H16" s="101"/>
      <c r="I16" s="28"/>
      <c r="J16" s="29"/>
    </row>
    <row r="17" spans="8:10" x14ac:dyDescent="0.2">
      <c r="H17" s="101"/>
      <c r="I17" s="28"/>
      <c r="J17" s="29"/>
    </row>
    <row r="18" spans="8:10" x14ac:dyDescent="0.2">
      <c r="H18" s="101"/>
      <c r="I18" s="28"/>
      <c r="J18" s="29"/>
    </row>
    <row r="19" spans="8:10" x14ac:dyDescent="0.2">
      <c r="H19" s="101"/>
      <c r="I19" s="28"/>
      <c r="J19" s="29"/>
    </row>
    <row r="20" spans="8:10" x14ac:dyDescent="0.2">
      <c r="H20" s="101"/>
      <c r="I20" s="28"/>
      <c r="J20" s="29"/>
    </row>
    <row r="21" spans="8:10" x14ac:dyDescent="0.2">
      <c r="H21" s="101"/>
      <c r="I21" s="28"/>
      <c r="J21" s="29"/>
    </row>
    <row r="22" spans="8:10" x14ac:dyDescent="0.2">
      <c r="H22" s="101"/>
      <c r="I22" s="28"/>
      <c r="J22" s="29"/>
    </row>
    <row r="23" spans="8:10" x14ac:dyDescent="0.2">
      <c r="H23" s="101"/>
      <c r="I23" s="28"/>
      <c r="J23" s="29"/>
    </row>
    <row r="24" spans="8:10" x14ac:dyDescent="0.2">
      <c r="H24" s="101"/>
      <c r="I24" s="28"/>
      <c r="J24" s="29"/>
    </row>
    <row r="25" spans="8:10" x14ac:dyDescent="0.2">
      <c r="H25" s="101"/>
      <c r="I25" s="28"/>
      <c r="J25" s="29"/>
    </row>
    <row r="26" spans="8:10" x14ac:dyDescent="0.2">
      <c r="H26" s="101"/>
      <c r="I26" s="28"/>
      <c r="J26" s="29"/>
    </row>
    <row r="27" spans="8:10" x14ac:dyDescent="0.2">
      <c r="H27" s="101"/>
      <c r="I27" s="28"/>
      <c r="J27" s="29"/>
    </row>
    <row r="28" spans="8:10" x14ac:dyDescent="0.2">
      <c r="H28" s="101"/>
      <c r="I28" s="28"/>
      <c r="J28" s="29"/>
    </row>
    <row r="29" spans="8:10" x14ac:dyDescent="0.2">
      <c r="H29" s="101"/>
      <c r="I29" s="28"/>
      <c r="J29" s="29"/>
    </row>
    <row r="30" spans="8:10" x14ac:dyDescent="0.2">
      <c r="H30" s="101"/>
      <c r="I30" s="28"/>
      <c r="J30" s="29"/>
    </row>
    <row r="31" spans="8:10" x14ac:dyDescent="0.2">
      <c r="H31" s="101"/>
      <c r="I31" s="28"/>
      <c r="J31" s="29"/>
    </row>
    <row r="32" spans="8:10" x14ac:dyDescent="0.2">
      <c r="H32" s="101"/>
      <c r="I32" s="28"/>
      <c r="J32" s="29"/>
    </row>
    <row r="33" spans="8:10" x14ac:dyDescent="0.2">
      <c r="H33" s="101"/>
      <c r="I33" s="28"/>
      <c r="J33" s="29"/>
    </row>
    <row r="34" spans="8:10" x14ac:dyDescent="0.2">
      <c r="H34" s="101"/>
      <c r="I34" s="28"/>
      <c r="J34" s="29"/>
    </row>
    <row r="35" spans="8:10" x14ac:dyDescent="0.2">
      <c r="H35" s="101"/>
      <c r="I35" s="28"/>
      <c r="J35" s="29"/>
    </row>
    <row r="36" spans="8:10" x14ac:dyDescent="0.2">
      <c r="H36" s="101"/>
      <c r="I36" s="28"/>
      <c r="J36" s="29"/>
    </row>
    <row r="37" spans="8:10" x14ac:dyDescent="0.2">
      <c r="H37" s="101"/>
      <c r="I37" s="28"/>
      <c r="J37" s="29"/>
    </row>
    <row r="38" spans="8:10" x14ac:dyDescent="0.2">
      <c r="H38" s="101"/>
      <c r="I38" s="28"/>
      <c r="J38" s="29"/>
    </row>
    <row r="39" spans="8:10" x14ac:dyDescent="0.2">
      <c r="H39" s="101"/>
      <c r="I39" s="28"/>
      <c r="J39" s="29"/>
    </row>
    <row r="40" spans="8:10" x14ac:dyDescent="0.2">
      <c r="H40" s="101"/>
      <c r="I40" s="28"/>
      <c r="J40" s="29"/>
    </row>
    <row r="41" spans="8:10" x14ac:dyDescent="0.2">
      <c r="H41" s="101"/>
      <c r="I41" s="28"/>
      <c r="J41" s="29"/>
    </row>
    <row r="42" spans="8:10" x14ac:dyDescent="0.2">
      <c r="H42" s="101"/>
      <c r="I42" s="28"/>
      <c r="J42" s="29"/>
    </row>
    <row r="43" spans="8:10" x14ac:dyDescent="0.2">
      <c r="H43" s="101"/>
      <c r="I43" s="28"/>
      <c r="J43" s="29"/>
    </row>
    <row r="44" spans="8:10" x14ac:dyDescent="0.2">
      <c r="H44" s="101"/>
      <c r="I44" s="28"/>
      <c r="J44" s="29"/>
    </row>
    <row r="45" spans="8:10" x14ac:dyDescent="0.2">
      <c r="H45" s="101"/>
      <c r="I45" s="28"/>
      <c r="J45" s="29"/>
    </row>
    <row r="46" spans="8:10" x14ac:dyDescent="0.2">
      <c r="H46" s="101"/>
      <c r="I46" s="28"/>
      <c r="J46" s="29"/>
    </row>
    <row r="47" spans="8:10" x14ac:dyDescent="0.2">
      <c r="H47" s="101"/>
      <c r="I47" s="28"/>
      <c r="J47" s="29"/>
    </row>
    <row r="48" spans="8:10" x14ac:dyDescent="0.2">
      <c r="H48" s="101"/>
      <c r="I48" s="28"/>
      <c r="J48" s="29"/>
    </row>
    <row r="49" spans="8:10" x14ac:dyDescent="0.2">
      <c r="H49" s="101"/>
      <c r="I49" s="28"/>
      <c r="J49" s="29"/>
    </row>
    <row r="50" spans="8:10" x14ac:dyDescent="0.2">
      <c r="H50" s="101"/>
      <c r="I50" s="28"/>
      <c r="J50" s="29"/>
    </row>
    <row r="51" spans="8:10" x14ac:dyDescent="0.2">
      <c r="H51" s="101"/>
      <c r="I51" s="28"/>
      <c r="J51" s="29"/>
    </row>
    <row r="52" spans="8:10" x14ac:dyDescent="0.2">
      <c r="H52" s="101"/>
      <c r="I52" s="28"/>
      <c r="J52" s="29"/>
    </row>
    <row r="53" spans="8:10" x14ac:dyDescent="0.2">
      <c r="H53" s="101"/>
      <c r="I53" s="28"/>
      <c r="J53" s="29"/>
    </row>
    <row r="54" spans="8:10" x14ac:dyDescent="0.2">
      <c r="H54" s="101"/>
      <c r="I54" s="28"/>
      <c r="J54" s="29"/>
    </row>
    <row r="55" spans="8:10" x14ac:dyDescent="0.2">
      <c r="H55" s="101"/>
      <c r="I55" s="28"/>
      <c r="J55" s="29"/>
    </row>
    <row r="56" spans="8:10" x14ac:dyDescent="0.2">
      <c r="H56" s="101"/>
      <c r="I56" s="28"/>
      <c r="J56" s="29"/>
    </row>
    <row r="57" spans="8:10" x14ac:dyDescent="0.2">
      <c r="H57" s="101"/>
      <c r="I57" s="28"/>
      <c r="J57" s="29"/>
    </row>
    <row r="58" spans="8:10" x14ac:dyDescent="0.2">
      <c r="H58" s="101"/>
      <c r="I58" s="28"/>
      <c r="J58" s="29"/>
    </row>
    <row r="59" spans="8:10" x14ac:dyDescent="0.2">
      <c r="H59" s="101"/>
      <c r="I59" s="28"/>
      <c r="J59" s="29"/>
    </row>
    <row r="60" spans="8:10" x14ac:dyDescent="0.2">
      <c r="H60" s="101"/>
      <c r="I60" s="28"/>
      <c r="J60" s="29"/>
    </row>
    <row r="61" spans="8:10" x14ac:dyDescent="0.2">
      <c r="H61" s="101"/>
      <c r="I61" s="28"/>
      <c r="J61" s="29"/>
    </row>
    <row r="62" spans="8:10" x14ac:dyDescent="0.2">
      <c r="H62" s="101"/>
      <c r="I62" s="28"/>
      <c r="J62" s="29"/>
    </row>
    <row r="63" spans="8:10" x14ac:dyDescent="0.2">
      <c r="H63" s="101"/>
      <c r="I63" s="28"/>
      <c r="J63" s="29"/>
    </row>
    <row r="64" spans="8:10" x14ac:dyDescent="0.2">
      <c r="H64" s="101"/>
      <c r="I64" s="28"/>
      <c r="J64" s="29"/>
    </row>
    <row r="65" spans="8:10" x14ac:dyDescent="0.2">
      <c r="H65" s="101"/>
      <c r="I65" s="28"/>
      <c r="J65" s="29"/>
    </row>
    <row r="66" spans="8:10" x14ac:dyDescent="0.2">
      <c r="H66" s="101"/>
      <c r="I66" s="28"/>
      <c r="J66" s="29"/>
    </row>
    <row r="67" spans="8:10" x14ac:dyDescent="0.2">
      <c r="H67" s="101"/>
      <c r="I67" s="28"/>
      <c r="J67" s="29"/>
    </row>
    <row r="68" spans="8:10" x14ac:dyDescent="0.2">
      <c r="H68" s="101"/>
      <c r="I68" s="28"/>
      <c r="J68" s="29"/>
    </row>
    <row r="69" spans="8:10" x14ac:dyDescent="0.2">
      <c r="H69" s="101"/>
      <c r="I69" s="28"/>
      <c r="J69" s="29"/>
    </row>
    <row r="70" spans="8:10" x14ac:dyDescent="0.2">
      <c r="H70" s="101"/>
      <c r="I70" s="28"/>
      <c r="J70" s="29"/>
    </row>
    <row r="71" spans="8:10" x14ac:dyDescent="0.2">
      <c r="H71" s="101"/>
      <c r="I71" s="28"/>
      <c r="J71" s="29"/>
    </row>
    <row r="72" spans="8:10" x14ac:dyDescent="0.2">
      <c r="H72" s="101"/>
      <c r="I72" s="28"/>
      <c r="J72" s="29"/>
    </row>
    <row r="73" spans="8:10" x14ac:dyDescent="0.2">
      <c r="H73" s="101"/>
      <c r="I73" s="28"/>
      <c r="J73" s="29"/>
    </row>
    <row r="74" spans="8:10" x14ac:dyDescent="0.2">
      <c r="H74" s="101"/>
      <c r="I74" s="28"/>
      <c r="J74" s="29"/>
    </row>
    <row r="75" spans="8:10" x14ac:dyDescent="0.2">
      <c r="H75" s="101"/>
      <c r="I75" s="28"/>
      <c r="J75" s="29"/>
    </row>
    <row r="76" spans="8:10" x14ac:dyDescent="0.2">
      <c r="H76" s="101"/>
      <c r="I76" s="28"/>
      <c r="J76" s="29"/>
    </row>
    <row r="77" spans="8:10" x14ac:dyDescent="0.2">
      <c r="H77" s="101"/>
      <c r="I77" s="28"/>
      <c r="J77" s="29"/>
    </row>
    <row r="78" spans="8:10" x14ac:dyDescent="0.2">
      <c r="H78" s="101"/>
      <c r="I78" s="28"/>
      <c r="J78" s="29"/>
    </row>
    <row r="79" spans="8:10" x14ac:dyDescent="0.2">
      <c r="H79" s="101"/>
      <c r="I79" s="28"/>
      <c r="J79" s="29"/>
    </row>
    <row r="80" spans="8:10" x14ac:dyDescent="0.2">
      <c r="H80" s="101"/>
      <c r="I80" s="28"/>
      <c r="J80" s="29"/>
    </row>
    <row r="81" spans="8:10" x14ac:dyDescent="0.2">
      <c r="H81" s="101"/>
      <c r="I81" s="28"/>
      <c r="J81" s="29"/>
    </row>
    <row r="82" spans="8:10" x14ac:dyDescent="0.2">
      <c r="H82" s="101"/>
      <c r="I82" s="28"/>
      <c r="J82" s="29"/>
    </row>
    <row r="83" spans="8:10" x14ac:dyDescent="0.2">
      <c r="H83" s="101"/>
      <c r="I83" s="28"/>
      <c r="J83" s="29"/>
    </row>
    <row r="84" spans="8:10" x14ac:dyDescent="0.2">
      <c r="H84" s="101"/>
      <c r="I84" s="28"/>
      <c r="J84" s="29"/>
    </row>
    <row r="85" spans="8:10" x14ac:dyDescent="0.2">
      <c r="H85" s="101"/>
      <c r="I85" s="28"/>
      <c r="J85" s="29"/>
    </row>
    <row r="86" spans="8:10" x14ac:dyDescent="0.2">
      <c r="H86" s="101"/>
      <c r="I86" s="28"/>
      <c r="J86" s="29"/>
    </row>
    <row r="87" spans="8:10" x14ac:dyDescent="0.2">
      <c r="H87" s="101"/>
      <c r="I87" s="28"/>
      <c r="J87" s="29"/>
    </row>
    <row r="88" spans="8:10" x14ac:dyDescent="0.2">
      <c r="H88" s="101"/>
      <c r="I88" s="28"/>
      <c r="J88" s="29"/>
    </row>
    <row r="89" spans="8:10" x14ac:dyDescent="0.2">
      <c r="H89" s="101"/>
      <c r="I89" s="28"/>
      <c r="J89" s="29"/>
    </row>
    <row r="90" spans="8:10" x14ac:dyDescent="0.2">
      <c r="H90" s="101"/>
      <c r="I90" s="28"/>
      <c r="J90" s="29"/>
    </row>
    <row r="91" spans="8:10" x14ac:dyDescent="0.2">
      <c r="H91" s="101"/>
      <c r="I91" s="28"/>
      <c r="J91" s="29"/>
    </row>
    <row r="92" spans="8:10" x14ac:dyDescent="0.2">
      <c r="H92" s="101"/>
      <c r="I92" s="28"/>
      <c r="J92" s="29"/>
    </row>
    <row r="93" spans="8:10" x14ac:dyDescent="0.2">
      <c r="H93" s="101"/>
      <c r="I93" s="28"/>
      <c r="J93" s="29"/>
    </row>
    <row r="94" spans="8:10" x14ac:dyDescent="0.2">
      <c r="H94" s="101"/>
      <c r="I94" s="28"/>
      <c r="J94" s="29"/>
    </row>
    <row r="95" spans="8:10" x14ac:dyDescent="0.2">
      <c r="H95" s="101"/>
      <c r="I95" s="28"/>
      <c r="J95" s="29"/>
    </row>
    <row r="96" spans="8:10" x14ac:dyDescent="0.2">
      <c r="H96" s="101"/>
      <c r="I96" s="28"/>
      <c r="J96" s="29"/>
    </row>
    <row r="97" spans="8:10" x14ac:dyDescent="0.2">
      <c r="H97" s="101"/>
      <c r="I97" s="28"/>
      <c r="J97" s="29"/>
    </row>
    <row r="98" spans="8:10" x14ac:dyDescent="0.2">
      <c r="H98" s="101"/>
      <c r="I98" s="28"/>
      <c r="J98" s="29"/>
    </row>
    <row r="99" spans="8:10" x14ac:dyDescent="0.2">
      <c r="H99" s="101"/>
      <c r="I99" s="28"/>
      <c r="J99" s="29"/>
    </row>
    <row r="100" spans="8:10" x14ac:dyDescent="0.2">
      <c r="H100" s="101"/>
      <c r="I100" s="28"/>
      <c r="J100" s="29"/>
    </row>
    <row r="101" spans="8:10" x14ac:dyDescent="0.2">
      <c r="H101" s="101"/>
      <c r="I101" s="28"/>
      <c r="J101" s="29"/>
    </row>
    <row r="102" spans="8:10" x14ac:dyDescent="0.2">
      <c r="H102" s="101"/>
      <c r="I102" s="28"/>
      <c r="J102" s="29"/>
    </row>
    <row r="103" spans="8:10" x14ac:dyDescent="0.2">
      <c r="H103" s="101"/>
      <c r="I103" s="28"/>
      <c r="J103" s="29"/>
    </row>
    <row r="104" spans="8:10" x14ac:dyDescent="0.2">
      <c r="H104" s="101"/>
      <c r="I104" s="28"/>
      <c r="J104" s="29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00B050"/>
    <pageSetUpPr fitToPage="1"/>
  </sheetPr>
  <dimension ref="A1:R149"/>
  <sheetViews>
    <sheetView zoomScale="90" zoomScaleNormal="90" workbookViewId="0">
      <pane ySplit="2" topLeftCell="A3" activePane="bottomLeft" state="frozen"/>
      <selection activeCell="G17" sqref="G17"/>
      <selection pane="bottomLeft" activeCell="G17" sqref="G17"/>
    </sheetView>
  </sheetViews>
  <sheetFormatPr defaultColWidth="9.140625" defaultRowHeight="12.75" x14ac:dyDescent="0.2"/>
  <cols>
    <col min="1" max="1" width="18.28515625" style="28" customWidth="1"/>
    <col min="2" max="2" width="16.140625" style="32" customWidth="1"/>
    <col min="3" max="3" width="43.85546875" style="28" customWidth="1"/>
    <col min="4" max="4" width="15.28515625" style="99" bestFit="1" customWidth="1"/>
    <col min="5" max="6" width="9.140625" style="99"/>
    <col min="7" max="7" width="16.85546875" style="126" bestFit="1" customWidth="1"/>
    <col min="8" max="8" width="11.7109375" style="99" bestFit="1" customWidth="1"/>
    <col min="9" max="9" width="9.140625" style="99"/>
    <col min="10" max="10" width="16.85546875" style="28" customWidth="1"/>
    <col min="11" max="11" width="15.140625" style="28" bestFit="1" customWidth="1"/>
    <col min="12" max="12" width="16.7109375" style="28" customWidth="1"/>
    <col min="13" max="13" width="10.28515625" style="99" customWidth="1"/>
    <col min="14" max="17" width="9.140625" style="28"/>
    <col min="18" max="18" width="14" style="99" bestFit="1" customWidth="1"/>
    <col min="19" max="16384" width="9.140625" style="28"/>
  </cols>
  <sheetData>
    <row r="1" spans="1:13" x14ac:dyDescent="0.2">
      <c r="B1" s="32">
        <v>41822</v>
      </c>
      <c r="C1" s="28" t="s">
        <v>49</v>
      </c>
      <c r="D1" s="99">
        <v>6000</v>
      </c>
      <c r="G1" s="126">
        <v>285.8</v>
      </c>
      <c r="I1" s="101" t="e">
        <f>VLOOKUP(D1,'RMS codes'!$A:$B,2,0)</f>
        <v>#N/A</v>
      </c>
      <c r="J1" s="25"/>
      <c r="K1" s="25"/>
      <c r="L1" s="28" t="e">
        <f>I1&amp;-G1</f>
        <v>#N/A</v>
      </c>
      <c r="M1" s="99">
        <f>G1</f>
        <v>285.8</v>
      </c>
    </row>
    <row r="2" spans="1:13" x14ac:dyDescent="0.2">
      <c r="A2" s="17" t="s">
        <v>43</v>
      </c>
      <c r="B2" s="25" t="s">
        <v>30</v>
      </c>
      <c r="C2" s="17" t="s">
        <v>44</v>
      </c>
      <c r="D2" s="68" t="s">
        <v>45</v>
      </c>
      <c r="E2" s="68" t="s">
        <v>46</v>
      </c>
      <c r="F2" s="68" t="s">
        <v>47</v>
      </c>
      <c r="G2" s="126" t="s">
        <v>48</v>
      </c>
      <c r="H2" s="68"/>
      <c r="I2" s="137" t="s">
        <v>25</v>
      </c>
      <c r="J2" s="30" t="s">
        <v>30</v>
      </c>
      <c r="K2" s="30" t="s">
        <v>41</v>
      </c>
      <c r="L2" s="30" t="s">
        <v>50</v>
      </c>
      <c r="M2" s="102" t="s">
        <v>42</v>
      </c>
    </row>
    <row r="3" spans="1:13" x14ac:dyDescent="0.2">
      <c r="A3" s="151" t="s">
        <v>119</v>
      </c>
      <c r="B3" s="147">
        <v>42888</v>
      </c>
      <c r="C3" s="150" t="s">
        <v>117</v>
      </c>
      <c r="D3" s="148">
        <v>2231</v>
      </c>
      <c r="E3" s="150" t="s">
        <v>100</v>
      </c>
      <c r="F3" s="150"/>
      <c r="G3" s="149">
        <v>9893.75</v>
      </c>
      <c r="I3" s="101">
        <f>VLOOKUP(D3,'RMS codes'!$A:$B,2,0)</f>
        <v>2231</v>
      </c>
      <c r="J3" s="25"/>
      <c r="K3" s="25"/>
      <c r="L3" s="28" t="str">
        <f>I3&amp;-G3</f>
        <v>2231-9893.75</v>
      </c>
      <c r="M3" s="99">
        <f t="shared" ref="M3" si="0">G3</f>
        <v>9893.75</v>
      </c>
    </row>
    <row r="4" spans="1:13" x14ac:dyDescent="0.2">
      <c r="I4" s="101"/>
      <c r="J4" s="25"/>
      <c r="K4" s="25"/>
    </row>
    <row r="5" spans="1:13" x14ac:dyDescent="0.2">
      <c r="I5" s="101"/>
      <c r="J5" s="25"/>
      <c r="K5" s="25"/>
    </row>
    <row r="6" spans="1:13" x14ac:dyDescent="0.2">
      <c r="I6" s="101"/>
      <c r="J6" s="25"/>
      <c r="K6" s="25"/>
    </row>
    <row r="7" spans="1:13" x14ac:dyDescent="0.2">
      <c r="I7" s="101"/>
      <c r="J7" s="25"/>
      <c r="K7" s="25"/>
    </row>
    <row r="8" spans="1:13" x14ac:dyDescent="0.2">
      <c r="I8" s="101"/>
      <c r="J8" s="25"/>
      <c r="K8" s="25"/>
    </row>
    <row r="9" spans="1:13" x14ac:dyDescent="0.2">
      <c r="I9" s="101"/>
      <c r="J9" s="25"/>
      <c r="K9" s="25"/>
    </row>
    <row r="10" spans="1:13" x14ac:dyDescent="0.2">
      <c r="I10" s="101"/>
      <c r="J10" s="25"/>
      <c r="K10" s="25"/>
    </row>
    <row r="11" spans="1:13" x14ac:dyDescent="0.2">
      <c r="I11" s="101"/>
      <c r="J11" s="25"/>
      <c r="K11" s="25"/>
    </row>
    <row r="12" spans="1:13" x14ac:dyDescent="0.2">
      <c r="I12" s="101"/>
      <c r="J12" s="25"/>
      <c r="K12" s="25"/>
    </row>
    <row r="13" spans="1:13" x14ac:dyDescent="0.2">
      <c r="I13" s="101"/>
      <c r="J13" s="25"/>
      <c r="K13" s="25"/>
    </row>
    <row r="14" spans="1:13" x14ac:dyDescent="0.2">
      <c r="I14" s="101"/>
      <c r="J14" s="25"/>
      <c r="K14" s="25"/>
    </row>
    <row r="15" spans="1:13" x14ac:dyDescent="0.2">
      <c r="I15" s="101"/>
      <c r="J15" s="25"/>
      <c r="K15" s="25"/>
    </row>
    <row r="16" spans="1:13" x14ac:dyDescent="0.2">
      <c r="I16" s="101"/>
      <c r="J16" s="25"/>
      <c r="K16" s="25"/>
    </row>
    <row r="17" spans="9:11" x14ac:dyDescent="0.2">
      <c r="I17" s="101"/>
      <c r="J17" s="25"/>
      <c r="K17" s="25"/>
    </row>
    <row r="18" spans="9:11" x14ac:dyDescent="0.2">
      <c r="I18" s="101"/>
      <c r="J18" s="25"/>
      <c r="K18" s="25"/>
    </row>
    <row r="19" spans="9:11" x14ac:dyDescent="0.2">
      <c r="I19" s="101"/>
      <c r="J19" s="25"/>
      <c r="K19" s="25"/>
    </row>
    <row r="20" spans="9:11" x14ac:dyDescent="0.2">
      <c r="I20" s="101"/>
      <c r="J20" s="25"/>
      <c r="K20" s="25"/>
    </row>
    <row r="21" spans="9:11" x14ac:dyDescent="0.2">
      <c r="I21" s="101"/>
      <c r="J21" s="25"/>
      <c r="K21" s="25"/>
    </row>
    <row r="22" spans="9:11" x14ac:dyDescent="0.2">
      <c r="I22" s="101"/>
      <c r="J22" s="25"/>
      <c r="K22" s="25"/>
    </row>
    <row r="23" spans="9:11" x14ac:dyDescent="0.2">
      <c r="I23" s="101"/>
      <c r="J23" s="25"/>
      <c r="K23" s="25"/>
    </row>
    <row r="24" spans="9:11" x14ac:dyDescent="0.2">
      <c r="I24" s="101"/>
      <c r="J24" s="25"/>
      <c r="K24" s="25"/>
    </row>
    <row r="25" spans="9:11" x14ac:dyDescent="0.2">
      <c r="I25" s="101"/>
      <c r="J25" s="25"/>
      <c r="K25" s="25"/>
    </row>
    <row r="26" spans="9:11" x14ac:dyDescent="0.2">
      <c r="I26" s="101"/>
      <c r="J26" s="25"/>
      <c r="K26" s="25"/>
    </row>
    <row r="27" spans="9:11" x14ac:dyDescent="0.2">
      <c r="I27" s="101"/>
      <c r="J27" s="25"/>
      <c r="K27" s="25"/>
    </row>
    <row r="28" spans="9:11" x14ac:dyDescent="0.2">
      <c r="I28" s="101"/>
      <c r="J28" s="25"/>
      <c r="K28" s="25"/>
    </row>
    <row r="29" spans="9:11" x14ac:dyDescent="0.2">
      <c r="I29" s="101"/>
      <c r="J29" s="25"/>
      <c r="K29" s="25"/>
    </row>
    <row r="30" spans="9:11" x14ac:dyDescent="0.2">
      <c r="I30" s="101"/>
      <c r="J30" s="25"/>
      <c r="K30" s="25"/>
    </row>
    <row r="31" spans="9:11" x14ac:dyDescent="0.2">
      <c r="I31" s="101"/>
      <c r="J31" s="25"/>
      <c r="K31" s="25"/>
    </row>
    <row r="32" spans="9:11" x14ac:dyDescent="0.2">
      <c r="I32" s="101"/>
      <c r="J32" s="25"/>
      <c r="K32" s="25"/>
    </row>
    <row r="33" spans="9:11" x14ac:dyDescent="0.2">
      <c r="I33" s="101"/>
      <c r="J33" s="25"/>
      <c r="K33" s="25"/>
    </row>
    <row r="34" spans="9:11" x14ac:dyDescent="0.2">
      <c r="I34" s="101"/>
      <c r="J34" s="25"/>
      <c r="K34" s="25"/>
    </row>
    <row r="35" spans="9:11" x14ac:dyDescent="0.2">
      <c r="I35" s="101"/>
      <c r="J35" s="25"/>
      <c r="K35" s="25"/>
    </row>
    <row r="36" spans="9:11" x14ac:dyDescent="0.2">
      <c r="I36" s="101"/>
      <c r="J36" s="25"/>
      <c r="K36" s="25"/>
    </row>
    <row r="37" spans="9:11" x14ac:dyDescent="0.2">
      <c r="I37" s="101"/>
      <c r="J37" s="25"/>
      <c r="K37" s="25"/>
    </row>
    <row r="38" spans="9:11" x14ac:dyDescent="0.2">
      <c r="I38" s="101"/>
      <c r="J38" s="25"/>
      <c r="K38" s="25"/>
    </row>
    <row r="39" spans="9:11" x14ac:dyDescent="0.2">
      <c r="I39" s="101"/>
      <c r="J39" s="25"/>
      <c r="K39" s="25"/>
    </row>
    <row r="40" spans="9:11" x14ac:dyDescent="0.2">
      <c r="I40" s="101"/>
      <c r="J40" s="25"/>
      <c r="K40" s="25"/>
    </row>
    <row r="41" spans="9:11" x14ac:dyDescent="0.2">
      <c r="I41" s="101"/>
      <c r="J41" s="25"/>
      <c r="K41" s="25"/>
    </row>
    <row r="42" spans="9:11" x14ac:dyDescent="0.2">
      <c r="I42" s="101"/>
      <c r="J42" s="25"/>
      <c r="K42" s="25"/>
    </row>
    <row r="43" spans="9:11" x14ac:dyDescent="0.2">
      <c r="I43" s="101"/>
      <c r="J43" s="25"/>
      <c r="K43" s="25"/>
    </row>
    <row r="44" spans="9:11" x14ac:dyDescent="0.2">
      <c r="I44" s="101"/>
      <c r="J44" s="25"/>
      <c r="K44" s="25"/>
    </row>
    <row r="45" spans="9:11" x14ac:dyDescent="0.2">
      <c r="I45" s="101"/>
      <c r="J45" s="25"/>
      <c r="K45" s="25"/>
    </row>
    <row r="46" spans="9:11" x14ac:dyDescent="0.2">
      <c r="I46" s="101"/>
      <c r="J46" s="25"/>
      <c r="K46" s="25"/>
    </row>
    <row r="47" spans="9:11" x14ac:dyDescent="0.2">
      <c r="I47" s="101"/>
      <c r="J47" s="25"/>
      <c r="K47" s="25"/>
    </row>
    <row r="48" spans="9:11" x14ac:dyDescent="0.2">
      <c r="I48" s="101"/>
      <c r="J48" s="25"/>
      <c r="K48" s="25"/>
    </row>
    <row r="49" spans="9:11" x14ac:dyDescent="0.2">
      <c r="I49" s="101"/>
      <c r="J49" s="25"/>
      <c r="K49" s="25"/>
    </row>
    <row r="50" spans="9:11" x14ac:dyDescent="0.2">
      <c r="I50" s="101"/>
      <c r="J50" s="25"/>
      <c r="K50" s="25"/>
    </row>
    <row r="51" spans="9:11" x14ac:dyDescent="0.2">
      <c r="I51" s="101"/>
      <c r="J51" s="25"/>
      <c r="K51" s="25"/>
    </row>
    <row r="52" spans="9:11" x14ac:dyDescent="0.2">
      <c r="I52" s="101"/>
      <c r="J52" s="25"/>
      <c r="K52" s="25"/>
    </row>
    <row r="53" spans="9:11" x14ac:dyDescent="0.2">
      <c r="I53" s="101"/>
      <c r="J53" s="25"/>
      <c r="K53" s="25"/>
    </row>
    <row r="54" spans="9:11" x14ac:dyDescent="0.2">
      <c r="I54" s="101"/>
      <c r="J54" s="25"/>
      <c r="K54" s="25"/>
    </row>
    <row r="55" spans="9:11" x14ac:dyDescent="0.2">
      <c r="I55" s="101"/>
      <c r="J55" s="25"/>
      <c r="K55" s="25"/>
    </row>
    <row r="56" spans="9:11" x14ac:dyDescent="0.2">
      <c r="I56" s="101"/>
      <c r="J56" s="25"/>
      <c r="K56" s="25"/>
    </row>
    <row r="57" spans="9:11" x14ac:dyDescent="0.2">
      <c r="I57" s="101"/>
      <c r="J57" s="25"/>
      <c r="K57" s="25"/>
    </row>
    <row r="58" spans="9:11" x14ac:dyDescent="0.2">
      <c r="I58" s="101"/>
      <c r="J58" s="25"/>
      <c r="K58" s="25"/>
    </row>
    <row r="59" spans="9:11" x14ac:dyDescent="0.2">
      <c r="I59" s="101"/>
      <c r="J59" s="25"/>
      <c r="K59" s="25"/>
    </row>
    <row r="60" spans="9:11" x14ac:dyDescent="0.2">
      <c r="I60" s="101"/>
      <c r="J60" s="25"/>
      <c r="K60" s="25"/>
    </row>
    <row r="61" spans="9:11" x14ac:dyDescent="0.2">
      <c r="I61" s="101"/>
      <c r="J61" s="25"/>
      <c r="K61" s="25"/>
    </row>
    <row r="62" spans="9:11" x14ac:dyDescent="0.2">
      <c r="I62" s="101"/>
      <c r="J62" s="25"/>
      <c r="K62" s="25"/>
    </row>
    <row r="63" spans="9:11" x14ac:dyDescent="0.2">
      <c r="I63" s="101"/>
      <c r="J63" s="25"/>
      <c r="K63" s="25"/>
    </row>
    <row r="64" spans="9:11" x14ac:dyDescent="0.2">
      <c r="I64" s="101"/>
      <c r="J64" s="25"/>
      <c r="K64" s="25"/>
    </row>
    <row r="65" spans="9:11" x14ac:dyDescent="0.2">
      <c r="I65" s="101"/>
      <c r="J65" s="25"/>
      <c r="K65" s="25"/>
    </row>
    <row r="66" spans="9:11" x14ac:dyDescent="0.2">
      <c r="I66" s="101"/>
      <c r="J66" s="25"/>
      <c r="K66" s="25"/>
    </row>
    <row r="67" spans="9:11" x14ac:dyDescent="0.2">
      <c r="I67" s="101"/>
      <c r="J67" s="25"/>
      <c r="K67" s="25"/>
    </row>
    <row r="68" spans="9:11" x14ac:dyDescent="0.2">
      <c r="I68" s="101"/>
      <c r="J68" s="25"/>
      <c r="K68" s="25"/>
    </row>
    <row r="69" spans="9:11" x14ac:dyDescent="0.2">
      <c r="I69" s="101"/>
      <c r="J69" s="25"/>
      <c r="K69" s="25"/>
    </row>
    <row r="70" spans="9:11" x14ac:dyDescent="0.2">
      <c r="I70" s="101"/>
      <c r="J70" s="25"/>
      <c r="K70" s="25"/>
    </row>
    <row r="71" spans="9:11" x14ac:dyDescent="0.2">
      <c r="I71" s="101"/>
      <c r="J71" s="25"/>
      <c r="K71" s="25"/>
    </row>
    <row r="72" spans="9:11" x14ac:dyDescent="0.2">
      <c r="I72" s="101"/>
      <c r="J72" s="25"/>
      <c r="K72" s="25"/>
    </row>
    <row r="73" spans="9:11" x14ac:dyDescent="0.2">
      <c r="I73" s="101"/>
      <c r="J73" s="25"/>
      <c r="K73" s="25"/>
    </row>
    <row r="74" spans="9:11" x14ac:dyDescent="0.2">
      <c r="I74" s="101"/>
      <c r="J74" s="25"/>
      <c r="K74" s="25"/>
    </row>
    <row r="75" spans="9:11" x14ac:dyDescent="0.2">
      <c r="I75" s="101"/>
      <c r="J75" s="25"/>
      <c r="K75" s="25"/>
    </row>
    <row r="76" spans="9:11" x14ac:dyDescent="0.2">
      <c r="I76" s="101"/>
      <c r="J76" s="25"/>
      <c r="K76" s="25"/>
    </row>
    <row r="77" spans="9:11" x14ac:dyDescent="0.2">
      <c r="I77" s="101"/>
      <c r="J77" s="25"/>
      <c r="K77" s="25"/>
    </row>
    <row r="78" spans="9:11" x14ac:dyDescent="0.2">
      <c r="I78" s="101"/>
      <c r="J78" s="25"/>
      <c r="K78" s="25"/>
    </row>
    <row r="79" spans="9:11" x14ac:dyDescent="0.2">
      <c r="I79" s="101"/>
      <c r="J79" s="25"/>
      <c r="K79" s="25"/>
    </row>
    <row r="80" spans="9:11" x14ac:dyDescent="0.2">
      <c r="I80" s="101"/>
      <c r="J80" s="25"/>
      <c r="K80" s="25"/>
    </row>
    <row r="81" spans="9:11" x14ac:dyDescent="0.2">
      <c r="I81" s="101"/>
      <c r="J81" s="25"/>
      <c r="K81" s="25"/>
    </row>
    <row r="82" spans="9:11" x14ac:dyDescent="0.2">
      <c r="I82" s="101"/>
      <c r="J82" s="25"/>
      <c r="K82" s="25"/>
    </row>
    <row r="83" spans="9:11" x14ac:dyDescent="0.2">
      <c r="I83" s="101"/>
      <c r="J83" s="25"/>
      <c r="K83" s="25"/>
    </row>
    <row r="84" spans="9:11" x14ac:dyDescent="0.2">
      <c r="I84" s="101"/>
      <c r="J84" s="25"/>
      <c r="K84" s="25"/>
    </row>
    <row r="85" spans="9:11" x14ac:dyDescent="0.2">
      <c r="I85" s="101"/>
      <c r="J85" s="25"/>
      <c r="K85" s="25"/>
    </row>
    <row r="86" spans="9:11" x14ac:dyDescent="0.2">
      <c r="I86" s="101"/>
      <c r="J86" s="25"/>
      <c r="K86" s="25"/>
    </row>
    <row r="87" spans="9:11" x14ac:dyDescent="0.2">
      <c r="I87" s="101"/>
      <c r="J87" s="25"/>
      <c r="K87" s="25"/>
    </row>
    <row r="88" spans="9:11" x14ac:dyDescent="0.2">
      <c r="I88" s="101"/>
      <c r="J88" s="25"/>
      <c r="K88" s="25"/>
    </row>
    <row r="89" spans="9:11" x14ac:dyDescent="0.2">
      <c r="I89" s="101"/>
      <c r="J89" s="25"/>
      <c r="K89" s="25"/>
    </row>
    <row r="90" spans="9:11" x14ac:dyDescent="0.2">
      <c r="I90" s="101"/>
      <c r="J90" s="25"/>
      <c r="K90" s="25"/>
    </row>
    <row r="91" spans="9:11" x14ac:dyDescent="0.2">
      <c r="I91" s="101"/>
      <c r="J91" s="25"/>
      <c r="K91" s="25"/>
    </row>
    <row r="92" spans="9:11" x14ac:dyDescent="0.2">
      <c r="I92" s="101"/>
      <c r="J92" s="25"/>
      <c r="K92" s="25"/>
    </row>
    <row r="93" spans="9:11" x14ac:dyDescent="0.2">
      <c r="I93" s="101"/>
      <c r="J93" s="25"/>
      <c r="K93" s="25"/>
    </row>
    <row r="94" spans="9:11" x14ac:dyDescent="0.2">
      <c r="I94" s="101"/>
      <c r="J94" s="25"/>
      <c r="K94" s="25"/>
    </row>
    <row r="95" spans="9:11" x14ac:dyDescent="0.2">
      <c r="I95" s="101"/>
      <c r="J95" s="25"/>
      <c r="K95" s="25"/>
    </row>
    <row r="96" spans="9:11" x14ac:dyDescent="0.2">
      <c r="I96" s="101"/>
      <c r="J96" s="25"/>
      <c r="K96" s="25"/>
    </row>
    <row r="97" spans="9:11" x14ac:dyDescent="0.2">
      <c r="I97" s="101"/>
      <c r="J97" s="25"/>
      <c r="K97" s="25"/>
    </row>
    <row r="98" spans="9:11" x14ac:dyDescent="0.2">
      <c r="I98" s="101"/>
      <c r="J98" s="25"/>
      <c r="K98" s="25"/>
    </row>
    <row r="99" spans="9:11" x14ac:dyDescent="0.2">
      <c r="I99" s="101"/>
      <c r="J99" s="25"/>
      <c r="K99" s="25"/>
    </row>
    <row r="100" spans="9:11" x14ac:dyDescent="0.2">
      <c r="I100" s="101"/>
      <c r="J100" s="25"/>
      <c r="K100" s="25"/>
    </row>
    <row r="101" spans="9:11" x14ac:dyDescent="0.2">
      <c r="I101" s="101"/>
      <c r="J101" s="25"/>
      <c r="K101" s="25"/>
    </row>
    <row r="102" spans="9:11" x14ac:dyDescent="0.2">
      <c r="I102" s="101"/>
      <c r="J102" s="25"/>
      <c r="K102" s="25"/>
    </row>
    <row r="103" spans="9:11" x14ac:dyDescent="0.2">
      <c r="I103" s="101"/>
      <c r="J103" s="25"/>
      <c r="K103" s="25"/>
    </row>
    <row r="104" spans="9:11" x14ac:dyDescent="0.2">
      <c r="I104" s="101"/>
      <c r="J104" s="25"/>
      <c r="K104" s="25"/>
    </row>
    <row r="105" spans="9:11" x14ac:dyDescent="0.2">
      <c r="I105" s="101"/>
      <c r="J105" s="25"/>
      <c r="K105" s="25"/>
    </row>
    <row r="106" spans="9:11" x14ac:dyDescent="0.2">
      <c r="I106" s="101"/>
      <c r="J106" s="25"/>
      <c r="K106" s="25"/>
    </row>
    <row r="107" spans="9:11" x14ac:dyDescent="0.2">
      <c r="I107" s="101"/>
      <c r="J107" s="25"/>
      <c r="K107" s="25"/>
    </row>
    <row r="108" spans="9:11" x14ac:dyDescent="0.2">
      <c r="I108" s="101"/>
      <c r="J108" s="25"/>
      <c r="K108" s="25"/>
    </row>
    <row r="109" spans="9:11" x14ac:dyDescent="0.2">
      <c r="I109" s="101"/>
      <c r="J109" s="25"/>
      <c r="K109" s="25"/>
    </row>
    <row r="110" spans="9:11" x14ac:dyDescent="0.2">
      <c r="I110" s="101"/>
      <c r="J110" s="25"/>
      <c r="K110" s="25"/>
    </row>
    <row r="111" spans="9:11" x14ac:dyDescent="0.2">
      <c r="I111" s="101"/>
      <c r="J111" s="25"/>
      <c r="K111" s="25"/>
    </row>
    <row r="112" spans="9:11" x14ac:dyDescent="0.2">
      <c r="I112" s="101"/>
      <c r="J112" s="25"/>
      <c r="K112" s="25"/>
    </row>
    <row r="113" spans="9:11" x14ac:dyDescent="0.2">
      <c r="I113" s="101"/>
      <c r="J113" s="25"/>
      <c r="K113" s="25"/>
    </row>
    <row r="114" spans="9:11" x14ac:dyDescent="0.2">
      <c r="I114" s="101"/>
      <c r="J114" s="25"/>
      <c r="K114" s="25"/>
    </row>
    <row r="115" spans="9:11" x14ac:dyDescent="0.2">
      <c r="I115" s="101"/>
      <c r="J115" s="25"/>
      <c r="K115" s="25"/>
    </row>
    <row r="116" spans="9:11" x14ac:dyDescent="0.2">
      <c r="I116" s="101"/>
      <c r="J116" s="25"/>
      <c r="K116" s="25"/>
    </row>
    <row r="117" spans="9:11" x14ac:dyDescent="0.2">
      <c r="I117" s="101"/>
      <c r="J117" s="25"/>
      <c r="K117" s="25"/>
    </row>
    <row r="118" spans="9:11" x14ac:dyDescent="0.2">
      <c r="I118" s="101"/>
      <c r="J118" s="25"/>
      <c r="K118" s="25"/>
    </row>
    <row r="119" spans="9:11" x14ac:dyDescent="0.2">
      <c r="I119" s="101"/>
      <c r="J119" s="25"/>
      <c r="K119" s="25"/>
    </row>
    <row r="120" spans="9:11" x14ac:dyDescent="0.2">
      <c r="I120" s="101"/>
      <c r="J120" s="25"/>
      <c r="K120" s="25"/>
    </row>
    <row r="121" spans="9:11" x14ac:dyDescent="0.2">
      <c r="I121" s="101"/>
      <c r="J121" s="25"/>
      <c r="K121" s="25"/>
    </row>
    <row r="122" spans="9:11" x14ac:dyDescent="0.2">
      <c r="I122" s="101"/>
      <c r="J122" s="25"/>
      <c r="K122" s="25"/>
    </row>
    <row r="123" spans="9:11" x14ac:dyDescent="0.2">
      <c r="I123" s="101"/>
      <c r="J123" s="25"/>
      <c r="K123" s="25"/>
    </row>
    <row r="124" spans="9:11" x14ac:dyDescent="0.2">
      <c r="I124" s="101"/>
      <c r="J124" s="25"/>
      <c r="K124" s="25"/>
    </row>
    <row r="125" spans="9:11" x14ac:dyDescent="0.2">
      <c r="I125" s="101"/>
      <c r="J125" s="25"/>
      <c r="K125" s="25"/>
    </row>
    <row r="126" spans="9:11" x14ac:dyDescent="0.2">
      <c r="I126" s="101"/>
      <c r="J126" s="25"/>
      <c r="K126" s="25"/>
    </row>
    <row r="127" spans="9:11" x14ac:dyDescent="0.2">
      <c r="I127" s="101"/>
      <c r="J127" s="25"/>
      <c r="K127" s="25"/>
    </row>
    <row r="128" spans="9:11" x14ac:dyDescent="0.2">
      <c r="I128" s="101"/>
      <c r="J128" s="25"/>
      <c r="K128" s="25"/>
    </row>
    <row r="129" spans="9:11" x14ac:dyDescent="0.2">
      <c r="I129" s="101"/>
      <c r="J129" s="25"/>
      <c r="K129" s="25"/>
    </row>
    <row r="130" spans="9:11" x14ac:dyDescent="0.2">
      <c r="I130" s="101"/>
      <c r="J130" s="25"/>
      <c r="K130" s="25"/>
    </row>
    <row r="131" spans="9:11" x14ac:dyDescent="0.2">
      <c r="I131" s="101"/>
      <c r="J131" s="25"/>
      <c r="K131" s="25"/>
    </row>
    <row r="132" spans="9:11" x14ac:dyDescent="0.2">
      <c r="I132" s="101"/>
      <c r="J132" s="25"/>
      <c r="K132" s="25"/>
    </row>
    <row r="133" spans="9:11" x14ac:dyDescent="0.2">
      <c r="I133" s="101"/>
      <c r="J133" s="25"/>
      <c r="K133" s="25"/>
    </row>
    <row r="134" spans="9:11" x14ac:dyDescent="0.2">
      <c r="I134" s="101"/>
      <c r="J134" s="25"/>
      <c r="K134" s="25"/>
    </row>
    <row r="135" spans="9:11" x14ac:dyDescent="0.2">
      <c r="I135" s="101"/>
      <c r="J135" s="25"/>
      <c r="K135" s="25"/>
    </row>
    <row r="136" spans="9:11" x14ac:dyDescent="0.2">
      <c r="I136" s="101"/>
      <c r="J136" s="25"/>
      <c r="K136" s="25"/>
    </row>
    <row r="137" spans="9:11" x14ac:dyDescent="0.2">
      <c r="I137" s="101"/>
      <c r="J137" s="25"/>
      <c r="K137" s="25"/>
    </row>
    <row r="138" spans="9:11" x14ac:dyDescent="0.2">
      <c r="I138" s="101"/>
      <c r="J138" s="25"/>
      <c r="K138" s="25"/>
    </row>
    <row r="139" spans="9:11" x14ac:dyDescent="0.2">
      <c r="I139" s="101"/>
      <c r="J139" s="25"/>
      <c r="K139" s="25"/>
    </row>
    <row r="140" spans="9:11" x14ac:dyDescent="0.2">
      <c r="I140" s="101"/>
      <c r="J140" s="25"/>
      <c r="K140" s="25"/>
    </row>
    <row r="141" spans="9:11" x14ac:dyDescent="0.2">
      <c r="I141" s="101"/>
      <c r="J141" s="25"/>
      <c r="K141" s="25"/>
    </row>
    <row r="142" spans="9:11" x14ac:dyDescent="0.2">
      <c r="I142" s="101"/>
      <c r="J142" s="25"/>
      <c r="K142" s="25"/>
    </row>
    <row r="143" spans="9:11" x14ac:dyDescent="0.2">
      <c r="I143" s="101"/>
      <c r="J143" s="25"/>
      <c r="K143" s="25"/>
    </row>
    <row r="144" spans="9:11" x14ac:dyDescent="0.2">
      <c r="I144" s="101"/>
      <c r="J144" s="25"/>
      <c r="K144" s="25"/>
    </row>
    <row r="145" spans="9:11" x14ac:dyDescent="0.2">
      <c r="I145" s="101"/>
      <c r="J145" s="25"/>
      <c r="K145" s="25"/>
    </row>
    <row r="146" spans="9:11" x14ac:dyDescent="0.2">
      <c r="I146" s="101"/>
      <c r="J146" s="25"/>
      <c r="K146" s="25"/>
    </row>
    <row r="147" spans="9:11" x14ac:dyDescent="0.2">
      <c r="I147" s="101"/>
      <c r="J147" s="25"/>
      <c r="K147" s="25"/>
    </row>
    <row r="148" spans="9:11" x14ac:dyDescent="0.2">
      <c r="I148" s="101"/>
      <c r="J148" s="25"/>
      <c r="K148" s="25"/>
    </row>
    <row r="149" spans="9:11" x14ac:dyDescent="0.2">
      <c r="I149" s="101"/>
      <c r="J149" s="25"/>
      <c r="K149" s="25"/>
    </row>
  </sheetData>
  <autoFilter ref="A2:M138" xr:uid="{00000000-0009-0000-0000-00000F000000}"/>
  <pageMargins left="0.7" right="0.7" top="0.75" bottom="0.75" header="0.3" footer="0.3"/>
  <pageSetup scale="56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00B050"/>
    <pageSetUpPr fitToPage="1"/>
  </sheetPr>
  <dimension ref="A1:S3"/>
  <sheetViews>
    <sheetView zoomScale="115" zoomScaleNormal="115" workbookViewId="0">
      <pane ySplit="2" topLeftCell="A3" activePane="bottomLeft" state="frozen"/>
      <selection activeCell="G17" sqref="G17"/>
      <selection pane="bottomLeft" activeCell="G17" sqref="G17"/>
    </sheetView>
  </sheetViews>
  <sheetFormatPr defaultColWidth="9.140625" defaultRowHeight="12.75" x14ac:dyDescent="0.2"/>
  <cols>
    <col min="1" max="1" width="19.5703125" style="68" customWidth="1"/>
    <col min="2" max="2" width="10.7109375" style="25" customWidth="1"/>
    <col min="3" max="3" width="18.7109375" style="68" bestFit="1" customWidth="1"/>
    <col min="4" max="4" width="17.7109375" style="68" bestFit="1" customWidth="1"/>
    <col min="5" max="5" width="9.7109375" style="68" bestFit="1" customWidth="1"/>
    <col min="6" max="6" width="13.28515625" style="68" bestFit="1" customWidth="1"/>
    <col min="7" max="7" width="26.7109375" style="68" bestFit="1" customWidth="1"/>
    <col min="8" max="8" width="10.5703125" style="68" bestFit="1" customWidth="1"/>
    <col min="9" max="15" width="10.140625" style="68" hidden="1" customWidth="1"/>
    <col min="16" max="16" width="9.140625" style="68" hidden="1" customWidth="1"/>
    <col min="17" max="17" width="12.140625" style="25" customWidth="1"/>
    <col min="18" max="18" width="10" style="68" bestFit="1" customWidth="1"/>
    <col min="19" max="19" width="9.28515625" style="68" bestFit="1" customWidth="1"/>
    <col min="20" max="20" width="9.140625" style="68"/>
    <col min="21" max="21" width="10.140625" style="68" bestFit="1" customWidth="1"/>
    <col min="22" max="25" width="9.140625" style="68"/>
    <col min="26" max="26" width="15.85546875" style="68" customWidth="1"/>
    <col min="27" max="16384" width="9.140625" style="68"/>
  </cols>
  <sheetData>
    <row r="1" spans="1:19" x14ac:dyDescent="0.2">
      <c r="H1" s="68">
        <f>B1</f>
        <v>0</v>
      </c>
      <c r="R1" s="68" t="str">
        <f>D1&amp;-Q1</f>
        <v>0</v>
      </c>
      <c r="S1" s="68">
        <f>G1</f>
        <v>0</v>
      </c>
    </row>
    <row r="2" spans="1:19" ht="13.5" customHeight="1" x14ac:dyDescent="0.2">
      <c r="A2" s="120" t="s">
        <v>43</v>
      </c>
      <c r="B2" s="143" t="s">
        <v>30</v>
      </c>
      <c r="C2" s="98"/>
      <c r="D2" s="120" t="s">
        <v>105</v>
      </c>
      <c r="E2" s="98"/>
      <c r="F2" s="98"/>
      <c r="G2" s="120" t="s">
        <v>37</v>
      </c>
      <c r="H2" s="137" t="s">
        <v>106</v>
      </c>
      <c r="I2" s="137"/>
      <c r="J2" s="137"/>
      <c r="K2" s="137"/>
      <c r="L2" s="137"/>
      <c r="M2" s="137"/>
      <c r="N2" s="137"/>
      <c r="O2" s="137"/>
      <c r="P2" s="137"/>
      <c r="Q2" s="22" t="s">
        <v>89</v>
      </c>
      <c r="R2" s="137" t="s">
        <v>98</v>
      </c>
      <c r="S2" s="137" t="s">
        <v>42</v>
      </c>
    </row>
    <row r="3" spans="1:19" x14ac:dyDescent="0.2">
      <c r="A3" s="146" t="s">
        <v>121</v>
      </c>
      <c r="B3" s="147">
        <v>42919</v>
      </c>
      <c r="C3" s="148" t="s">
        <v>117</v>
      </c>
      <c r="D3" s="148">
        <v>2137</v>
      </c>
      <c r="E3" s="148" t="s">
        <v>100</v>
      </c>
      <c r="F3" s="148"/>
      <c r="G3" s="149">
        <v>798.85</v>
      </c>
      <c r="H3" s="68">
        <f t="shared" ref="H3" si="0">B3</f>
        <v>42919</v>
      </c>
      <c r="Q3" s="25">
        <f t="shared" ref="Q3" si="1">H3-1</f>
        <v>42918</v>
      </c>
      <c r="R3" s="68" t="str">
        <f t="shared" ref="R3" si="2">D3&amp;-Q3</f>
        <v>2137-42918</v>
      </c>
      <c r="S3" s="68">
        <f t="shared" ref="S3" si="3">G3</f>
        <v>798.85</v>
      </c>
    </row>
  </sheetData>
  <autoFilter ref="A2:S86" xr:uid="{00000000-0009-0000-0000-000010000000}">
    <sortState xmlns:xlrd2="http://schemas.microsoft.com/office/spreadsheetml/2017/richdata2" ref="A3:S3">
      <sortCondition ref="Q2:Q3"/>
    </sortState>
  </autoFilter>
  <conditionalFormatting sqref="R1:R1048576">
    <cfRule type="duplicateValues" dxfId="0" priority="1"/>
  </conditionalFormatting>
  <pageMargins left="0.7" right="0.7" top="0.75" bottom="0.75" header="0.3" footer="0.3"/>
  <pageSetup paperSize="9" scale="5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E84"/>
  <sheetViews>
    <sheetView topLeftCell="A31" workbookViewId="0">
      <selection activeCell="E10" sqref="E10"/>
    </sheetView>
  </sheetViews>
  <sheetFormatPr defaultRowHeight="12.75" x14ac:dyDescent="0.2"/>
  <cols>
    <col min="1" max="1" width="7" style="103" customWidth="1"/>
    <col min="2" max="2" width="9.140625" style="93"/>
  </cols>
  <sheetData>
    <row r="1" spans="1:5" ht="13.5" thickBot="1" x14ac:dyDescent="0.25">
      <c r="A1" s="107" t="s">
        <v>18</v>
      </c>
      <c r="B1" s="108"/>
    </row>
    <row r="2" spans="1:5" x14ac:dyDescent="0.2">
      <c r="A2" s="104">
        <v>105</v>
      </c>
      <c r="B2" s="109">
        <v>2105</v>
      </c>
      <c r="D2" s="105">
        <v>75</v>
      </c>
      <c r="E2" s="109">
        <v>1075</v>
      </c>
    </row>
    <row r="3" spans="1:5" x14ac:dyDescent="0.2">
      <c r="A3" s="105">
        <v>12</v>
      </c>
      <c r="B3" s="109">
        <v>2121</v>
      </c>
      <c r="D3" s="131">
        <v>171</v>
      </c>
      <c r="E3" s="92">
        <v>1171</v>
      </c>
    </row>
    <row r="4" spans="1:5" x14ac:dyDescent="0.2">
      <c r="A4" s="105">
        <v>13</v>
      </c>
      <c r="B4" s="109">
        <v>2133</v>
      </c>
      <c r="D4" s="131">
        <v>181</v>
      </c>
      <c r="E4" s="92">
        <v>1181</v>
      </c>
    </row>
    <row r="5" spans="1:5" x14ac:dyDescent="0.2">
      <c r="A5" s="105">
        <v>19</v>
      </c>
      <c r="B5" s="109">
        <v>3191</v>
      </c>
      <c r="D5" s="131">
        <v>161</v>
      </c>
      <c r="E5" s="92">
        <v>1161</v>
      </c>
    </row>
    <row r="6" spans="1:5" x14ac:dyDescent="0.2">
      <c r="A6" s="105">
        <v>28</v>
      </c>
      <c r="B6" s="109">
        <v>3284</v>
      </c>
      <c r="D6" s="131">
        <v>151</v>
      </c>
      <c r="E6" s="92">
        <v>1151</v>
      </c>
    </row>
    <row r="7" spans="1:5" x14ac:dyDescent="0.2">
      <c r="A7" s="105">
        <v>34</v>
      </c>
      <c r="B7" s="109">
        <v>3343</v>
      </c>
      <c r="D7" s="213">
        <v>85</v>
      </c>
      <c r="E7" s="214">
        <v>1085</v>
      </c>
    </row>
    <row r="8" spans="1:5" x14ac:dyDescent="0.2">
      <c r="A8" s="105">
        <v>24</v>
      </c>
      <c r="B8" s="109">
        <v>4024</v>
      </c>
      <c r="D8" s="213">
        <v>185</v>
      </c>
      <c r="E8" s="214">
        <v>1085</v>
      </c>
    </row>
    <row r="9" spans="1:5" x14ac:dyDescent="0.2">
      <c r="A9" s="105">
        <v>71</v>
      </c>
      <c r="B9" s="109">
        <v>4715</v>
      </c>
      <c r="D9" s="213">
        <v>1181</v>
      </c>
      <c r="E9" s="214">
        <v>1181</v>
      </c>
    </row>
    <row r="10" spans="1:5" x14ac:dyDescent="0.2">
      <c r="A10" s="105">
        <v>85</v>
      </c>
      <c r="B10" s="109">
        <v>4085</v>
      </c>
    </row>
    <row r="11" spans="1:5" x14ac:dyDescent="0.2">
      <c r="A11" s="105">
        <v>100</v>
      </c>
      <c r="B11" s="109">
        <v>4100</v>
      </c>
    </row>
    <row r="12" spans="1:5" x14ac:dyDescent="0.2">
      <c r="A12" s="105">
        <v>114</v>
      </c>
      <c r="B12" s="109">
        <v>4114</v>
      </c>
    </row>
    <row r="13" spans="1:5" ht="14.25" x14ac:dyDescent="0.2">
      <c r="A13" s="106">
        <v>115</v>
      </c>
      <c r="B13" s="109">
        <v>4115</v>
      </c>
    </row>
    <row r="14" spans="1:5" x14ac:dyDescent="0.2">
      <c r="A14" s="104">
        <v>145</v>
      </c>
      <c r="B14" s="109">
        <v>4145</v>
      </c>
    </row>
    <row r="15" spans="1:5" x14ac:dyDescent="0.2">
      <c r="A15" s="104">
        <v>146</v>
      </c>
      <c r="B15" s="109">
        <v>4146</v>
      </c>
    </row>
    <row r="16" spans="1:5" x14ac:dyDescent="0.2">
      <c r="A16" s="104">
        <v>147</v>
      </c>
      <c r="B16" s="109">
        <v>4147</v>
      </c>
    </row>
    <row r="17" spans="1:2" x14ac:dyDescent="0.2">
      <c r="A17" s="104">
        <v>149</v>
      </c>
      <c r="B17" s="109">
        <v>4149</v>
      </c>
    </row>
    <row r="18" spans="1:2" x14ac:dyDescent="0.2">
      <c r="A18" s="104">
        <v>170</v>
      </c>
      <c r="B18" s="109">
        <v>4170</v>
      </c>
    </row>
    <row r="19" spans="1:2" x14ac:dyDescent="0.2">
      <c r="A19" s="104">
        <v>239</v>
      </c>
      <c r="B19" s="109">
        <v>4239</v>
      </c>
    </row>
    <row r="20" spans="1:2" x14ac:dyDescent="0.2">
      <c r="A20" s="105">
        <v>53</v>
      </c>
      <c r="B20" s="109">
        <v>5531</v>
      </c>
    </row>
    <row r="21" spans="1:2" x14ac:dyDescent="0.2">
      <c r="A21" s="105">
        <v>192</v>
      </c>
      <c r="B21" s="109">
        <v>5192</v>
      </c>
    </row>
    <row r="22" spans="1:2" x14ac:dyDescent="0.2">
      <c r="A22" s="105">
        <v>26</v>
      </c>
      <c r="B22" s="109">
        <v>6261</v>
      </c>
    </row>
    <row r="23" spans="1:2" x14ac:dyDescent="0.2">
      <c r="A23" s="105">
        <v>75</v>
      </c>
      <c r="B23" s="109">
        <v>6756</v>
      </c>
    </row>
    <row r="24" spans="1:2" x14ac:dyDescent="0.2">
      <c r="A24" s="105">
        <v>165</v>
      </c>
      <c r="B24" s="109">
        <v>6165</v>
      </c>
    </row>
    <row r="25" spans="1:2" x14ac:dyDescent="0.2">
      <c r="A25" s="105">
        <v>64</v>
      </c>
      <c r="B25" s="109">
        <v>7641</v>
      </c>
    </row>
    <row r="26" spans="1:2" x14ac:dyDescent="0.2">
      <c r="A26" s="105">
        <v>78</v>
      </c>
      <c r="B26" s="109">
        <v>7078</v>
      </c>
    </row>
    <row r="27" spans="1:2" x14ac:dyDescent="0.2">
      <c r="A27" s="105">
        <v>79</v>
      </c>
      <c r="B27" s="109">
        <v>7079</v>
      </c>
    </row>
    <row r="28" spans="1:2" x14ac:dyDescent="0.2">
      <c r="A28" s="105">
        <v>84</v>
      </c>
      <c r="B28" s="109">
        <v>7084</v>
      </c>
    </row>
    <row r="29" spans="1:2" x14ac:dyDescent="0.2">
      <c r="A29" s="105">
        <v>6</v>
      </c>
      <c r="B29" s="109">
        <v>8061</v>
      </c>
    </row>
    <row r="30" spans="1:2" x14ac:dyDescent="0.2">
      <c r="A30" s="105">
        <v>30</v>
      </c>
      <c r="B30" s="109">
        <v>8305</v>
      </c>
    </row>
    <row r="31" spans="1:2" x14ac:dyDescent="0.2">
      <c r="A31" s="104">
        <v>8015</v>
      </c>
      <c r="B31" s="109">
        <v>8015</v>
      </c>
    </row>
    <row r="32" spans="1:2" x14ac:dyDescent="0.2">
      <c r="A32" s="104">
        <v>8188</v>
      </c>
      <c r="B32" s="109">
        <v>8188</v>
      </c>
    </row>
    <row r="33" spans="1:2" x14ac:dyDescent="0.2">
      <c r="A33" s="104">
        <v>8190</v>
      </c>
      <c r="B33" s="109">
        <v>8190</v>
      </c>
    </row>
    <row r="34" spans="1:2" x14ac:dyDescent="0.2">
      <c r="A34" s="104">
        <v>169</v>
      </c>
      <c r="B34" s="109">
        <v>3169</v>
      </c>
    </row>
    <row r="35" spans="1:2" x14ac:dyDescent="0.2">
      <c r="A35" s="104">
        <v>175</v>
      </c>
      <c r="B35" s="109">
        <v>3175</v>
      </c>
    </row>
    <row r="36" spans="1:2" x14ac:dyDescent="0.2">
      <c r="A36" s="104">
        <v>770</v>
      </c>
      <c r="B36" s="109">
        <v>4770</v>
      </c>
    </row>
    <row r="37" spans="1:2" x14ac:dyDescent="0.2">
      <c r="A37" s="105">
        <v>235</v>
      </c>
      <c r="B37" s="109">
        <v>4235</v>
      </c>
    </row>
    <row r="38" spans="1:2" x14ac:dyDescent="0.2">
      <c r="A38" s="105">
        <v>244</v>
      </c>
      <c r="B38" s="109">
        <v>4244</v>
      </c>
    </row>
    <row r="39" spans="1:2" x14ac:dyDescent="0.2">
      <c r="A39" s="105">
        <v>87</v>
      </c>
      <c r="B39" s="109">
        <v>6087</v>
      </c>
    </row>
    <row r="40" spans="1:2" x14ac:dyDescent="0.2">
      <c r="A40" s="105">
        <v>540</v>
      </c>
      <c r="B40" s="109">
        <v>4540</v>
      </c>
    </row>
    <row r="41" spans="1:2" x14ac:dyDescent="0.2">
      <c r="A41" s="105">
        <v>775</v>
      </c>
      <c r="B41" s="109">
        <v>4775</v>
      </c>
    </row>
    <row r="42" spans="1:2" x14ac:dyDescent="0.2">
      <c r="A42" s="105">
        <v>450</v>
      </c>
      <c r="B42" s="109">
        <v>2450</v>
      </c>
    </row>
    <row r="43" spans="1:2" x14ac:dyDescent="0.2">
      <c r="A43" s="105">
        <v>157</v>
      </c>
      <c r="B43" s="109">
        <v>4157</v>
      </c>
    </row>
    <row r="44" spans="1:2" x14ac:dyDescent="0.2">
      <c r="A44" s="105">
        <v>3213</v>
      </c>
      <c r="B44" s="109">
        <v>3213</v>
      </c>
    </row>
    <row r="45" spans="1:2" x14ac:dyDescent="0.2">
      <c r="A45" s="105">
        <v>126</v>
      </c>
      <c r="B45" s="109">
        <v>2126</v>
      </c>
    </row>
    <row r="46" spans="1:2" x14ac:dyDescent="0.2">
      <c r="A46" s="105">
        <v>2128</v>
      </c>
      <c r="B46" s="109">
        <v>2128</v>
      </c>
    </row>
    <row r="47" spans="1:2" x14ac:dyDescent="0.2">
      <c r="A47" s="105">
        <v>129</v>
      </c>
      <c r="B47" s="109">
        <v>2129</v>
      </c>
    </row>
    <row r="48" spans="1:2" x14ac:dyDescent="0.2">
      <c r="A48" s="105">
        <v>2131</v>
      </c>
      <c r="B48" s="109">
        <v>2131</v>
      </c>
    </row>
    <row r="49" spans="1:2" x14ac:dyDescent="0.2">
      <c r="A49" s="105">
        <v>2132</v>
      </c>
      <c r="B49" s="109">
        <v>2132</v>
      </c>
    </row>
    <row r="50" spans="1:2" x14ac:dyDescent="0.2">
      <c r="A50" s="105">
        <v>2137</v>
      </c>
      <c r="B50" s="109">
        <v>2137</v>
      </c>
    </row>
    <row r="51" spans="1:2" x14ac:dyDescent="0.2">
      <c r="A51" s="111">
        <v>530</v>
      </c>
      <c r="B51" s="109">
        <v>4530</v>
      </c>
    </row>
    <row r="52" spans="1:2" x14ac:dyDescent="0.2">
      <c r="A52" s="103">
        <v>2232</v>
      </c>
      <c r="B52" s="92">
        <v>2232</v>
      </c>
    </row>
    <row r="53" spans="1:2" x14ac:dyDescent="0.2">
      <c r="A53" s="103">
        <v>2136</v>
      </c>
      <c r="B53" s="92">
        <v>2136</v>
      </c>
    </row>
    <row r="54" spans="1:2" x14ac:dyDescent="0.2">
      <c r="A54" s="103">
        <v>2231</v>
      </c>
      <c r="B54" s="92">
        <v>2231</v>
      </c>
    </row>
    <row r="55" spans="1:2" x14ac:dyDescent="0.2">
      <c r="A55" s="103">
        <v>4155</v>
      </c>
      <c r="B55" s="92">
        <v>4155</v>
      </c>
    </row>
    <row r="56" spans="1:2" x14ac:dyDescent="0.2">
      <c r="A56" s="103">
        <v>8196</v>
      </c>
      <c r="B56" s="92">
        <v>8196</v>
      </c>
    </row>
    <row r="57" spans="1:2" x14ac:dyDescent="0.2">
      <c r="A57" s="103">
        <v>2230</v>
      </c>
      <c r="B57" s="92">
        <v>2230</v>
      </c>
    </row>
    <row r="58" spans="1:2" x14ac:dyDescent="0.2">
      <c r="A58" s="103">
        <v>2120</v>
      </c>
      <c r="B58" s="92">
        <v>2120</v>
      </c>
    </row>
    <row r="59" spans="1:2" x14ac:dyDescent="0.2">
      <c r="A59" s="103">
        <v>2233</v>
      </c>
      <c r="B59" s="92">
        <v>2233</v>
      </c>
    </row>
    <row r="60" spans="1:2" x14ac:dyDescent="0.2">
      <c r="A60" s="103">
        <v>2234</v>
      </c>
      <c r="B60" s="92">
        <v>2234</v>
      </c>
    </row>
    <row r="61" spans="1:2" x14ac:dyDescent="0.2">
      <c r="A61" s="103">
        <v>89</v>
      </c>
      <c r="B61" s="92">
        <v>6089</v>
      </c>
    </row>
    <row r="62" spans="1:2" x14ac:dyDescent="0.2">
      <c r="A62" s="103">
        <v>200</v>
      </c>
      <c r="B62" s="92">
        <v>4200</v>
      </c>
    </row>
    <row r="63" spans="1:2" x14ac:dyDescent="0.2">
      <c r="A63" s="103">
        <v>201</v>
      </c>
      <c r="B63" s="92">
        <v>4201</v>
      </c>
    </row>
    <row r="64" spans="1:2" x14ac:dyDescent="0.2">
      <c r="A64" s="103">
        <v>203</v>
      </c>
      <c r="B64" s="92">
        <v>4203</v>
      </c>
    </row>
    <row r="65" spans="1:2" x14ac:dyDescent="0.2">
      <c r="A65" s="103">
        <v>2106</v>
      </c>
      <c r="B65" s="92">
        <v>2106</v>
      </c>
    </row>
    <row r="66" spans="1:2" x14ac:dyDescent="0.2">
      <c r="A66" s="103">
        <v>2118</v>
      </c>
      <c r="B66" s="92">
        <v>2118</v>
      </c>
    </row>
    <row r="67" spans="1:2" x14ac:dyDescent="0.2">
      <c r="A67" s="103">
        <v>4122</v>
      </c>
      <c r="B67" s="92">
        <v>4122</v>
      </c>
    </row>
    <row r="68" spans="1:2" x14ac:dyDescent="0.2">
      <c r="A68" s="103">
        <v>4101</v>
      </c>
      <c r="B68" s="92">
        <v>4101</v>
      </c>
    </row>
    <row r="69" spans="1:2" x14ac:dyDescent="0.2">
      <c r="A69" s="103">
        <v>4102</v>
      </c>
      <c r="B69" s="103">
        <v>4102</v>
      </c>
    </row>
    <row r="70" spans="1:2" x14ac:dyDescent="0.2">
      <c r="A70" s="103">
        <v>4103</v>
      </c>
      <c r="B70" s="103">
        <v>4103</v>
      </c>
    </row>
    <row r="71" spans="1:2" x14ac:dyDescent="0.2">
      <c r="A71" s="103">
        <v>2119</v>
      </c>
      <c r="B71" s="93">
        <v>2119</v>
      </c>
    </row>
    <row r="72" spans="1:2" x14ac:dyDescent="0.2">
      <c r="A72" s="103">
        <v>2117</v>
      </c>
      <c r="B72" s="93">
        <v>2117</v>
      </c>
    </row>
    <row r="73" spans="1:2" x14ac:dyDescent="0.2">
      <c r="A73" s="103">
        <v>4104</v>
      </c>
      <c r="B73" s="103">
        <v>4104</v>
      </c>
    </row>
    <row r="74" spans="1:2" x14ac:dyDescent="0.2">
      <c r="A74" s="103">
        <v>4106</v>
      </c>
      <c r="B74" s="103">
        <v>4106</v>
      </c>
    </row>
    <row r="75" spans="1:2" x14ac:dyDescent="0.2">
      <c r="A75" s="103">
        <v>4109</v>
      </c>
      <c r="B75" s="206">
        <v>4109</v>
      </c>
    </row>
    <row r="76" spans="1:2" x14ac:dyDescent="0.2">
      <c r="A76" s="103">
        <v>4110</v>
      </c>
      <c r="B76" s="206">
        <v>4110</v>
      </c>
    </row>
    <row r="77" spans="1:2" x14ac:dyDescent="0.2">
      <c r="A77" s="103">
        <v>4111</v>
      </c>
      <c r="B77" s="206">
        <v>4111</v>
      </c>
    </row>
    <row r="78" spans="1:2" x14ac:dyDescent="0.2">
      <c r="A78" s="103">
        <v>3228</v>
      </c>
      <c r="B78" s="206">
        <v>3228</v>
      </c>
    </row>
    <row r="79" spans="1:2" x14ac:dyDescent="0.2">
      <c r="A79" s="103">
        <v>6176</v>
      </c>
      <c r="B79" s="206">
        <v>6176</v>
      </c>
    </row>
    <row r="80" spans="1:2" x14ac:dyDescent="0.2">
      <c r="A80" s="103">
        <v>4107</v>
      </c>
      <c r="B80" s="206">
        <v>4107</v>
      </c>
    </row>
    <row r="81" spans="1:2" x14ac:dyDescent="0.2">
      <c r="A81" s="103">
        <v>4250</v>
      </c>
      <c r="B81" s="206">
        <v>4250</v>
      </c>
    </row>
    <row r="82" spans="1:2" x14ac:dyDescent="0.2">
      <c r="A82" s="103">
        <v>4108</v>
      </c>
      <c r="B82" s="206">
        <v>4108</v>
      </c>
    </row>
    <row r="83" spans="1:2" x14ac:dyDescent="0.2">
      <c r="A83" s="103">
        <v>2225</v>
      </c>
      <c r="B83" s="206">
        <v>2225</v>
      </c>
    </row>
    <row r="84" spans="1:2" x14ac:dyDescent="0.2">
      <c r="A84" s="103">
        <v>2226</v>
      </c>
      <c r="B84" s="206">
        <v>2226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24</vt:i4>
      </vt:variant>
    </vt:vector>
  </HeadingPairs>
  <TitlesOfParts>
    <vt:vector size="43" baseType="lpstr">
      <vt:lpstr>Drawer</vt:lpstr>
      <vt:lpstr>Drawer Overview</vt:lpstr>
      <vt:lpstr>Drawer Rec</vt:lpstr>
      <vt:lpstr>Petty Cash</vt:lpstr>
      <vt:lpstr>POS Banking</vt:lpstr>
      <vt:lpstr>Bank Deposit List</vt:lpstr>
      <vt:lpstr>Deposits AU NAB</vt:lpstr>
      <vt:lpstr>Master Sheet</vt:lpstr>
      <vt:lpstr>SecureCash Collection</vt:lpstr>
      <vt:lpstr>Float</vt:lpstr>
      <vt:lpstr>Detail Variance Report</vt:lpstr>
      <vt:lpstr>Cash Drawer Variances</vt:lpstr>
      <vt:lpstr>Banking Errors</vt:lpstr>
      <vt:lpstr>Store Rec</vt:lpstr>
      <vt:lpstr>FX</vt:lpstr>
      <vt:lpstr>Deposits NZ</vt:lpstr>
      <vt:lpstr>Deposits AU ANZ</vt:lpstr>
      <vt:lpstr>ANZ FX</vt:lpstr>
      <vt:lpstr>RMS codes</vt:lpstr>
      <vt:lpstr>'Drawer Overview'!Drawer_Overview</vt:lpstr>
      <vt:lpstr>'Drawer Overview'!Drawer_Overview_4</vt:lpstr>
      <vt:lpstr>'Drawer Overview'!Drawer_Overview_5</vt:lpstr>
      <vt:lpstr>'Drawer Overview'!Drawer_Overview_6</vt:lpstr>
      <vt:lpstr>'Drawer Overview'!Drawer_Overview_7</vt:lpstr>
      <vt:lpstr>'Drawer Overview'!Drawer_Overview_8</vt:lpstr>
      <vt:lpstr>'Bank Deposit List'!Fetch_Bank_Deposit_List_3</vt:lpstr>
      <vt:lpstr>'Cash Drawer Variances'!Fetch_Cash_Variance_Over__5</vt:lpstr>
      <vt:lpstr>'Cash Drawer Variances'!Fetch_Cash_Variance_Over__5_10</vt:lpstr>
      <vt:lpstr>'Cash Drawer Variances'!Fetch_Cash_Variance_Over__5_12</vt:lpstr>
      <vt:lpstr>'Cash Drawer Variances'!Fetch_Cash_Variance_Over__5_13</vt:lpstr>
      <vt:lpstr>'Cash Drawer Variances'!Fetch_Cash_Variance_Over__5_8</vt:lpstr>
      <vt:lpstr>'Cash Drawer Variances'!Fetch_Cash_Variance_Over__5_9</vt:lpstr>
      <vt:lpstr>Drawer!Fetch_POS_Drawer_History</vt:lpstr>
      <vt:lpstr>Drawer!Fetch_POS_Drawer_History_2</vt:lpstr>
      <vt:lpstr>Drawer!Fetch_POS_Drawer_History_3</vt:lpstr>
      <vt:lpstr>Drawer!Fetch_POS_Drawer_History_4</vt:lpstr>
      <vt:lpstr>Drawer!Fetch_POS_Drawer_History_5</vt:lpstr>
      <vt:lpstr>'Store Rec'!Fetch_Store_Rec_5</vt:lpstr>
      <vt:lpstr>'Cash Drawer Variances'!Print_Area</vt:lpstr>
      <vt:lpstr>'Detail Variance Report'!Print_Area</vt:lpstr>
      <vt:lpstr>Float!Print_Area</vt:lpstr>
      <vt:lpstr>'Master Sheet'!Print_Area</vt:lpstr>
      <vt:lpstr>'SecureCash Collection'!Print_Area</vt:lpstr>
    </vt:vector>
  </TitlesOfParts>
  <Company>Australian Way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Vickers</dc:creator>
  <cp:lastModifiedBy>M</cp:lastModifiedBy>
  <cp:lastPrinted>2019-09-03T01:02:31Z</cp:lastPrinted>
  <dcterms:created xsi:type="dcterms:W3CDTF">2006-12-05T22:36:24Z</dcterms:created>
  <dcterms:modified xsi:type="dcterms:W3CDTF">2021-05-14T01:08:53Z</dcterms:modified>
</cp:coreProperties>
</file>