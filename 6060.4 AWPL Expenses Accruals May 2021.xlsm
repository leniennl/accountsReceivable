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inance Team\Month End Working Files\FY 2021\11 May 2021\AU\"/>
    </mc:Choice>
  </mc:AlternateContent>
  <xr:revisionPtr revIDLastSave="0" documentId="13_ncr:1_{AB453114-F31A-4E93-82CF-05AB9DD98916}" xr6:coauthVersionLast="45" xr6:coauthVersionMax="46" xr10:uidLastSave="{00000000-0000-0000-0000-000000000000}"/>
  <bookViews>
    <workbookView xWindow="-120" yWindow="-120" windowWidth="24240" windowHeight="13140" tabRatio="933" activeTab="1" xr2:uid="{00000000-000D-0000-FFFF-FFFF00000000}"/>
  </bookViews>
  <sheets>
    <sheet name="GL Dump" sheetId="146" r:id="rId1"/>
    <sheet name="Master" sheetId="145" r:id="rId2"/>
    <sheet name="Journals" sheetId="147" r:id="rId3"/>
    <sheet name="Promo %" sheetId="135" r:id="rId4"/>
    <sheet name="Promo Workings" sheetId="61" state="hidden" r:id="rId5"/>
    <sheet name="COGS-PROMO PERIOD" sheetId="32" state="hidden" r:id="rId6"/>
    <sheet name="Name" sheetId="36" state="hidden" r:id="rId7"/>
    <sheet name="Type of Journal" sheetId="35" state="hidden" r:id="rId8"/>
    <sheet name="Date of Journals " sheetId="37" state="hidden" r:id="rId9"/>
    <sheet name="Posted By" sheetId="38" state="hidden" r:id="rId10"/>
    <sheet name="Approved by" sheetId="39" state="hidden" r:id="rId11"/>
    <sheet name="Stores" sheetId="40" state="hidden" r:id="rId12"/>
    <sheet name="All Accounts" sheetId="46" state="hidden" r:id="rId13"/>
    <sheet name="Sales" sheetId="42" state="hidden" r:id="rId14"/>
    <sheet name="COGS" sheetId="44" state="hidden" r:id="rId15"/>
    <sheet name="Expenses" sheetId="41" state="hidden" r:id="rId16"/>
    <sheet name="Balance Sheet Account" sheetId="43" state="hidden" r:id="rId17"/>
  </sheets>
  <functionGroups builtInGroupCount="19"/>
  <definedNames>
    <definedName name="_xlnm._FilterDatabase" localSheetId="16" hidden="1">'Balance Sheet Account'!$A$1:$B$167</definedName>
    <definedName name="_xlnm._FilterDatabase" localSheetId="14" hidden="1">COGS!$A$5:$B$19</definedName>
    <definedName name="_xlnm._FilterDatabase" localSheetId="15" hidden="1">Expenses!$A$5:$B$171</definedName>
    <definedName name="_xlnm._FilterDatabase" localSheetId="0" hidden="1">'GL Dump'!$A$1:$N$5808</definedName>
    <definedName name="_xlnm._FilterDatabase" localSheetId="2" hidden="1">Journals!$B$16:$H$274</definedName>
    <definedName name="_xlnm._FilterDatabase" localSheetId="13" hidden="1">Sales!$A$6:$B$16</definedName>
    <definedName name="_xlnm._FilterDatabase" localSheetId="11" hidden="1">Stores!$A$6:$B$198</definedName>
    <definedName name="_xlnm.Print_Area" localSheetId="2">Journals!$A$1:$H$201</definedName>
    <definedName name="_xlnm.Print_Titles" localSheetId="2">Journals!$1:$13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7" i="147" l="1"/>
  <c r="E135" i="145"/>
  <c r="F274" i="147" l="1"/>
  <c r="D273" i="147"/>
  <c r="D271" i="147"/>
  <c r="D269" i="147"/>
  <c r="D267" i="147"/>
  <c r="D266" i="147"/>
  <c r="D265" i="147"/>
  <c r="D264" i="147"/>
  <c r="D263" i="147"/>
  <c r="D262" i="147"/>
  <c r="D261" i="147"/>
  <c r="D260" i="147"/>
  <c r="D259" i="147"/>
  <c r="D258" i="147"/>
  <c r="D257" i="147"/>
  <c r="D256" i="147"/>
  <c r="D255" i="147"/>
  <c r="D254" i="147"/>
  <c r="D253" i="147"/>
  <c r="D252" i="147"/>
  <c r="D251" i="147"/>
  <c r="D250" i="147"/>
  <c r="D248" i="147"/>
  <c r="D247" i="147"/>
  <c r="D246" i="147"/>
  <c r="D245" i="147"/>
  <c r="D244" i="147"/>
  <c r="D242" i="147"/>
  <c r="D241" i="147"/>
  <c r="D240" i="147"/>
  <c r="D239" i="147"/>
  <c r="D238" i="147"/>
  <c r="D237" i="147"/>
  <c r="D236" i="147"/>
  <c r="D235" i="147"/>
  <c r="D234" i="147"/>
  <c r="D232" i="147"/>
  <c r="D230" i="147"/>
  <c r="D229" i="147"/>
  <c r="D227" i="147"/>
  <c r="D226" i="147"/>
  <c r="D225" i="147"/>
  <c r="D224" i="147"/>
  <c r="D223" i="147"/>
  <c r="D222" i="147"/>
  <c r="D221" i="147"/>
  <c r="D220" i="147"/>
  <c r="D219" i="147"/>
  <c r="D217" i="147"/>
  <c r="D218" i="147" s="1"/>
  <c r="D215" i="147"/>
  <c r="D216" i="147" s="1"/>
  <c r="D213" i="147"/>
  <c r="D214" i="147" s="1"/>
  <c r="D211" i="147"/>
  <c r="D212" i="147" s="1"/>
  <c r="D209" i="147"/>
  <c r="D208" i="147"/>
  <c r="D206" i="147"/>
  <c r="D207" i="147" s="1"/>
  <c r="D204" i="147"/>
  <c r="D205" i="147" s="1"/>
  <c r="D202" i="147"/>
  <c r="D200" i="147"/>
  <c r="D199" i="147"/>
  <c r="D198" i="147"/>
  <c r="D197" i="147"/>
  <c r="D196" i="147"/>
  <c r="D195" i="147"/>
  <c r="D194" i="147"/>
  <c r="D193" i="147"/>
  <c r="D192" i="147"/>
  <c r="D191" i="147"/>
  <c r="D190" i="147"/>
  <c r="D189" i="147"/>
  <c r="D188" i="147"/>
  <c r="D187" i="147"/>
  <c r="D186" i="147"/>
  <c r="D185" i="147"/>
  <c r="D184" i="147"/>
  <c r="D183" i="147"/>
  <c r="D182" i="147"/>
  <c r="D181" i="147"/>
  <c r="D180" i="147"/>
  <c r="D179" i="147"/>
  <c r="D178" i="147"/>
  <c r="D177" i="147"/>
  <c r="D176" i="147"/>
  <c r="D175" i="147"/>
  <c r="D174" i="147"/>
  <c r="D173" i="147"/>
  <c r="D172" i="147"/>
  <c r="D171" i="147"/>
  <c r="D170" i="147"/>
  <c r="D169" i="147"/>
  <c r="D168" i="147"/>
  <c r="D167" i="147"/>
  <c r="D166" i="147"/>
  <c r="D165" i="147"/>
  <c r="D164" i="147"/>
  <c r="D163" i="147"/>
  <c r="D162" i="147"/>
  <c r="D161" i="147"/>
  <c r="D160" i="147"/>
  <c r="D159" i="147"/>
  <c r="D158" i="147"/>
  <c r="D157" i="147"/>
  <c r="D156" i="147"/>
  <c r="D155" i="147"/>
  <c r="D154" i="147"/>
  <c r="D153" i="147"/>
  <c r="D152" i="147"/>
  <c r="D151" i="147"/>
  <c r="D150" i="147"/>
  <c r="D149" i="147"/>
  <c r="D148" i="147"/>
  <c r="D147" i="147"/>
  <c r="D146" i="147"/>
  <c r="D145" i="147"/>
  <c r="D144" i="147"/>
  <c r="D143" i="147"/>
  <c r="D142" i="147"/>
  <c r="D141" i="147"/>
  <c r="D140" i="147"/>
  <c r="D139" i="147"/>
  <c r="D138" i="147"/>
  <c r="D137" i="147"/>
  <c r="D136" i="147"/>
  <c r="D134" i="147"/>
  <c r="D133" i="147"/>
  <c r="D132" i="147"/>
  <c r="D131" i="147"/>
  <c r="D130" i="147"/>
  <c r="D129" i="147"/>
  <c r="D128" i="147"/>
  <c r="D127" i="147"/>
  <c r="D126" i="147"/>
  <c r="D125" i="147"/>
  <c r="D124" i="147"/>
  <c r="D123" i="147"/>
  <c r="D122" i="147"/>
  <c r="D121" i="147"/>
  <c r="D120" i="147"/>
  <c r="D119" i="147"/>
  <c r="D118" i="147"/>
  <c r="D117" i="147"/>
  <c r="D116" i="147"/>
  <c r="D115" i="147"/>
  <c r="D114" i="147"/>
  <c r="D113" i="147"/>
  <c r="D112" i="147"/>
  <c r="D111" i="147"/>
  <c r="D110" i="147"/>
  <c r="D109" i="147"/>
  <c r="D108" i="147"/>
  <c r="D107" i="147"/>
  <c r="D106" i="147"/>
  <c r="D105" i="147"/>
  <c r="D104" i="147"/>
  <c r="D103" i="147"/>
  <c r="D102" i="147"/>
  <c r="D101" i="147"/>
  <c r="D99" i="147"/>
  <c r="D98" i="147"/>
  <c r="D97" i="147"/>
  <c r="D96" i="147"/>
  <c r="D95" i="147"/>
  <c r="D94" i="147"/>
  <c r="D93" i="147"/>
  <c r="D92" i="147"/>
  <c r="D91" i="147"/>
  <c r="D90" i="147"/>
  <c r="D89" i="147"/>
  <c r="D88" i="147"/>
  <c r="D87" i="147"/>
  <c r="D86" i="147"/>
  <c r="D85" i="147"/>
  <c r="D83" i="147"/>
  <c r="D82" i="147"/>
  <c r="D81" i="147"/>
  <c r="D80" i="147"/>
  <c r="D79" i="147"/>
  <c r="D78" i="147"/>
  <c r="D77" i="147"/>
  <c r="D76" i="147"/>
  <c r="D75" i="147"/>
  <c r="D74" i="147"/>
  <c r="D73" i="147"/>
  <c r="D72" i="147"/>
  <c r="D71" i="147"/>
  <c r="D70" i="147"/>
  <c r="D69" i="147"/>
  <c r="D68" i="147"/>
  <c r="D67" i="147"/>
  <c r="D66" i="147"/>
  <c r="D65" i="147"/>
  <c r="D64" i="147"/>
  <c r="D63" i="147"/>
  <c r="D62" i="147"/>
  <c r="D61" i="147"/>
  <c r="D60" i="147"/>
  <c r="D59" i="147"/>
  <c r="D58" i="147"/>
  <c r="D57" i="147"/>
  <c r="D56" i="147"/>
  <c r="D55" i="147"/>
  <c r="D54" i="147"/>
  <c r="D53" i="147"/>
  <c r="D52" i="147"/>
  <c r="D51" i="147"/>
  <c r="D50" i="147"/>
  <c r="D49" i="147"/>
  <c r="D48" i="147"/>
  <c r="D47" i="147"/>
  <c r="D46" i="147"/>
  <c r="D45" i="147"/>
  <c r="D44" i="147"/>
  <c r="D43" i="147"/>
  <c r="D42" i="147"/>
  <c r="D41" i="147"/>
  <c r="D40" i="147"/>
  <c r="D39" i="147"/>
  <c r="D38" i="147"/>
  <c r="D37" i="147"/>
  <c r="D36" i="147"/>
  <c r="D35" i="147"/>
  <c r="D34" i="147"/>
  <c r="D33" i="147"/>
  <c r="D32" i="147"/>
  <c r="D31" i="147"/>
  <c r="D30" i="147"/>
  <c r="D29" i="147"/>
  <c r="D28" i="147"/>
  <c r="D27" i="147"/>
  <c r="D26" i="147"/>
  <c r="D25" i="147"/>
  <c r="D24" i="147"/>
  <c r="D23" i="147"/>
  <c r="D22" i="147"/>
  <c r="D21" i="147"/>
  <c r="D20" i="147"/>
  <c r="D19" i="147"/>
  <c r="D18" i="147"/>
  <c r="F18" i="147"/>
  <c r="F19" i="147"/>
  <c r="F20" i="147"/>
  <c r="F21" i="147"/>
  <c r="F22" i="147"/>
  <c r="F23" i="147"/>
  <c r="F24" i="147"/>
  <c r="F25" i="147"/>
  <c r="F26" i="147"/>
  <c r="F27" i="147"/>
  <c r="F28" i="147"/>
  <c r="F29" i="147"/>
  <c r="F30" i="147"/>
  <c r="F31" i="147"/>
  <c r="F32" i="147"/>
  <c r="F33" i="147"/>
  <c r="F34" i="147"/>
  <c r="F35" i="147"/>
  <c r="F36" i="147"/>
  <c r="F37" i="147"/>
  <c r="F38" i="147"/>
  <c r="F39" i="147"/>
  <c r="F40" i="147"/>
  <c r="F41" i="147"/>
  <c r="F42" i="147"/>
  <c r="F43" i="147"/>
  <c r="F44" i="147"/>
  <c r="F45" i="147"/>
  <c r="F46" i="147"/>
  <c r="F47" i="147"/>
  <c r="F48" i="147"/>
  <c r="F49" i="147"/>
  <c r="F50" i="147"/>
  <c r="F51" i="147"/>
  <c r="F52" i="147"/>
  <c r="F53" i="147"/>
  <c r="F54" i="147"/>
  <c r="F55" i="147"/>
  <c r="F56" i="147"/>
  <c r="F57" i="147"/>
  <c r="F58" i="147"/>
  <c r="F59" i="147"/>
  <c r="F60" i="147"/>
  <c r="F61" i="147"/>
  <c r="F62" i="147"/>
  <c r="F63" i="147"/>
  <c r="F64" i="147"/>
  <c r="F65" i="147"/>
  <c r="F66" i="147"/>
  <c r="F67" i="147"/>
  <c r="F68" i="147"/>
  <c r="F69" i="147"/>
  <c r="F70" i="147"/>
  <c r="F71" i="147"/>
  <c r="F72" i="147"/>
  <c r="F73" i="147"/>
  <c r="F74" i="147"/>
  <c r="F75" i="147"/>
  <c r="F76" i="147"/>
  <c r="F77" i="147"/>
  <c r="F78" i="147"/>
  <c r="F79" i="147"/>
  <c r="F80" i="147"/>
  <c r="F81" i="147"/>
  <c r="F82" i="147"/>
  <c r="F83" i="147"/>
  <c r="F84" i="147"/>
  <c r="F85" i="147"/>
  <c r="F86" i="147"/>
  <c r="F87" i="147"/>
  <c r="F88" i="147"/>
  <c r="F89" i="147"/>
  <c r="F90" i="147"/>
  <c r="F91" i="147"/>
  <c r="F92" i="147"/>
  <c r="F93" i="147"/>
  <c r="F94" i="147"/>
  <c r="F95" i="147"/>
  <c r="F96" i="147"/>
  <c r="F97" i="147"/>
  <c r="F98" i="147"/>
  <c r="F99" i="147"/>
  <c r="F100" i="147"/>
  <c r="F101" i="147"/>
  <c r="F102" i="147"/>
  <c r="F103" i="147"/>
  <c r="F104" i="147"/>
  <c r="F105" i="147"/>
  <c r="F106" i="147"/>
  <c r="F107" i="147"/>
  <c r="F108" i="147"/>
  <c r="F109" i="147"/>
  <c r="F110" i="147"/>
  <c r="F111" i="147"/>
  <c r="F112" i="147"/>
  <c r="F113" i="147"/>
  <c r="F114" i="147"/>
  <c r="F115" i="147"/>
  <c r="F116" i="147"/>
  <c r="F117" i="147"/>
  <c r="F118" i="147"/>
  <c r="F119" i="147"/>
  <c r="F120" i="147"/>
  <c r="F121" i="147"/>
  <c r="F122" i="147"/>
  <c r="F123" i="147"/>
  <c r="F124" i="147"/>
  <c r="F125" i="147"/>
  <c r="F126" i="147"/>
  <c r="F127" i="147"/>
  <c r="F128" i="147"/>
  <c r="F129" i="147"/>
  <c r="F130" i="147"/>
  <c r="F131" i="147"/>
  <c r="F132" i="147"/>
  <c r="F133" i="147"/>
  <c r="F134" i="147"/>
  <c r="F135" i="147"/>
  <c r="F136" i="147"/>
  <c r="F137" i="147"/>
  <c r="F138" i="147"/>
  <c r="F139" i="147"/>
  <c r="F140" i="147"/>
  <c r="F141" i="147"/>
  <c r="F142" i="147"/>
  <c r="F143" i="147"/>
  <c r="F144" i="147"/>
  <c r="F145" i="147"/>
  <c r="F146" i="147"/>
  <c r="F147" i="147"/>
  <c r="F148" i="147"/>
  <c r="F149" i="147"/>
  <c r="F150" i="147"/>
  <c r="F151" i="147"/>
  <c r="F152" i="147"/>
  <c r="F153" i="147"/>
  <c r="F154" i="147"/>
  <c r="F155" i="147"/>
  <c r="F156" i="147"/>
  <c r="F157" i="147"/>
  <c r="F158" i="147"/>
  <c r="F159" i="147"/>
  <c r="F160" i="147"/>
  <c r="F161" i="147"/>
  <c r="F162" i="147"/>
  <c r="F163" i="147"/>
  <c r="F164" i="147"/>
  <c r="F165" i="147"/>
  <c r="F166" i="147"/>
  <c r="F167" i="147"/>
  <c r="F168" i="147"/>
  <c r="F169" i="147"/>
  <c r="F170" i="147"/>
  <c r="F171" i="147"/>
  <c r="F172" i="147"/>
  <c r="F173" i="147"/>
  <c r="F174" i="147"/>
  <c r="F175" i="147"/>
  <c r="F176" i="147"/>
  <c r="F177" i="147"/>
  <c r="F178" i="147"/>
  <c r="F179" i="147"/>
  <c r="F180" i="147"/>
  <c r="F181" i="147"/>
  <c r="F182" i="147"/>
  <c r="F183" i="147"/>
  <c r="F184" i="147"/>
  <c r="F185" i="147"/>
  <c r="F186" i="147"/>
  <c r="F187" i="147"/>
  <c r="F188" i="147"/>
  <c r="F189" i="147"/>
  <c r="F190" i="147"/>
  <c r="F191" i="147"/>
  <c r="F192" i="147"/>
  <c r="F193" i="147"/>
  <c r="F194" i="147"/>
  <c r="F195" i="147"/>
  <c r="F196" i="147"/>
  <c r="F197" i="147"/>
  <c r="F198" i="147"/>
  <c r="F199" i="147"/>
  <c r="F200" i="147"/>
  <c r="F201" i="147"/>
  <c r="F202" i="147"/>
  <c r="F203" i="147"/>
  <c r="F204" i="147"/>
  <c r="F205" i="147"/>
  <c r="F206" i="147"/>
  <c r="F207" i="147"/>
  <c r="F208" i="147"/>
  <c r="F209" i="147"/>
  <c r="F210" i="147"/>
  <c r="F211" i="147"/>
  <c r="F212" i="147"/>
  <c r="F213" i="147"/>
  <c r="F214" i="147"/>
  <c r="F215" i="147"/>
  <c r="F216" i="147"/>
  <c r="F217" i="147"/>
  <c r="F218" i="147"/>
  <c r="F219" i="147"/>
  <c r="F220" i="147"/>
  <c r="F221" i="147"/>
  <c r="F222" i="147"/>
  <c r="F223" i="147"/>
  <c r="F224" i="147"/>
  <c r="F225" i="147"/>
  <c r="F226" i="147"/>
  <c r="F227" i="147"/>
  <c r="F228" i="147"/>
  <c r="F229" i="147"/>
  <c r="F230" i="147"/>
  <c r="F231" i="147"/>
  <c r="F232" i="147"/>
  <c r="F233" i="147"/>
  <c r="F234" i="147"/>
  <c r="F235" i="147"/>
  <c r="F236" i="147"/>
  <c r="F237" i="147"/>
  <c r="F238" i="147"/>
  <c r="F239" i="147"/>
  <c r="F240" i="147"/>
  <c r="F241" i="147"/>
  <c r="F242" i="147"/>
  <c r="F243" i="147"/>
  <c r="F244" i="147"/>
  <c r="F245" i="147"/>
  <c r="F246" i="147"/>
  <c r="F247" i="147"/>
  <c r="F248" i="147"/>
  <c r="F249" i="147"/>
  <c r="F250" i="147"/>
  <c r="F251" i="147"/>
  <c r="F252" i="147"/>
  <c r="F253" i="147"/>
  <c r="F254" i="147"/>
  <c r="F255" i="147"/>
  <c r="F256" i="147"/>
  <c r="F257" i="147"/>
  <c r="F258" i="147"/>
  <c r="F259" i="147"/>
  <c r="F260" i="147"/>
  <c r="F261" i="147"/>
  <c r="F262" i="147"/>
  <c r="F263" i="147"/>
  <c r="F264" i="147"/>
  <c r="F265" i="147"/>
  <c r="F266" i="147"/>
  <c r="F267" i="147"/>
  <c r="F268" i="147"/>
  <c r="F269" i="147"/>
  <c r="F270" i="147"/>
  <c r="F271" i="147"/>
  <c r="F272" i="147"/>
  <c r="F273" i="147"/>
  <c r="F17" i="147"/>
  <c r="D274" i="147"/>
  <c r="E273" i="147"/>
  <c r="E272" i="147"/>
  <c r="D272" i="147"/>
  <c r="E270" i="147"/>
  <c r="D270" i="147"/>
  <c r="E250" i="147"/>
  <c r="E251" i="147" s="1"/>
  <c r="E252" i="147" s="1"/>
  <c r="E253" i="147" s="1"/>
  <c r="E254" i="147" s="1"/>
  <c r="E255" i="147" s="1"/>
  <c r="E256" i="147" s="1"/>
  <c r="E257" i="147" s="1"/>
  <c r="E258" i="147" s="1"/>
  <c r="E259" i="147" s="1"/>
  <c r="E260" i="147" s="1"/>
  <c r="E261" i="147" s="1"/>
  <c r="E262" i="147" s="1"/>
  <c r="E263" i="147" s="1"/>
  <c r="E264" i="147" s="1"/>
  <c r="E265" i="147" s="1"/>
  <c r="E266" i="147" s="1"/>
  <c r="E267" i="147" s="1"/>
  <c r="D268" i="147"/>
  <c r="D249" i="147"/>
  <c r="E244" i="147"/>
  <c r="E245" i="147" s="1"/>
  <c r="E246" i="147" s="1"/>
  <c r="E247" i="147" s="1"/>
  <c r="E248" i="147" s="1"/>
  <c r="E235" i="147"/>
  <c r="E236" i="147" s="1"/>
  <c r="E237" i="147" s="1"/>
  <c r="E238" i="147" s="1"/>
  <c r="E239" i="147" s="1"/>
  <c r="E240" i="147" s="1"/>
  <c r="E241" i="147" s="1"/>
  <c r="D243" i="147"/>
  <c r="E233" i="147"/>
  <c r="D233" i="147"/>
  <c r="D231" i="147"/>
  <c r="E230" i="147"/>
  <c r="E220" i="147"/>
  <c r="E221" i="147" s="1"/>
  <c r="E222" i="147" s="1"/>
  <c r="E223" i="147" s="1"/>
  <c r="E224" i="147" s="1"/>
  <c r="E225" i="147" s="1"/>
  <c r="E226" i="147" s="1"/>
  <c r="E227" i="147" s="1"/>
  <c r="E228" i="147" s="1"/>
  <c r="D228" i="147"/>
  <c r="D203" i="147"/>
  <c r="E201" i="147"/>
  <c r="E200" i="147"/>
  <c r="E199" i="147"/>
  <c r="E198" i="147"/>
  <c r="E197" i="147"/>
  <c r="E196" i="147"/>
  <c r="E195" i="147"/>
  <c r="E194" i="147"/>
  <c r="E193" i="147"/>
  <c r="E192" i="147"/>
  <c r="E191" i="147"/>
  <c r="E190" i="147"/>
  <c r="E189" i="147"/>
  <c r="E188" i="147"/>
  <c r="E187" i="147"/>
  <c r="E186" i="147"/>
  <c r="E185" i="147"/>
  <c r="E184" i="147"/>
  <c r="E183" i="147"/>
  <c r="E182" i="147"/>
  <c r="E181" i="147"/>
  <c r="E180" i="147"/>
  <c r="E179" i="147"/>
  <c r="E178" i="147"/>
  <c r="E177" i="147"/>
  <c r="E176" i="147"/>
  <c r="E175" i="147"/>
  <c r="E174" i="147"/>
  <c r="E173" i="147"/>
  <c r="E172" i="147"/>
  <c r="E171" i="147"/>
  <c r="E170" i="147"/>
  <c r="E169" i="147"/>
  <c r="E168" i="147"/>
  <c r="E167" i="147"/>
  <c r="E166" i="147"/>
  <c r="E165" i="147"/>
  <c r="E164" i="147"/>
  <c r="E163" i="147"/>
  <c r="E162" i="147"/>
  <c r="E161" i="147"/>
  <c r="E160" i="147"/>
  <c r="E159" i="147"/>
  <c r="E158" i="147"/>
  <c r="E157" i="147"/>
  <c r="E156" i="147"/>
  <c r="E155" i="147"/>
  <c r="E154" i="147"/>
  <c r="E153" i="147"/>
  <c r="E152" i="147"/>
  <c r="E151" i="147"/>
  <c r="E150" i="147"/>
  <c r="E149" i="147"/>
  <c r="E148" i="147"/>
  <c r="E147" i="147"/>
  <c r="E146" i="147"/>
  <c r="E145" i="147"/>
  <c r="E144" i="147"/>
  <c r="E143" i="147"/>
  <c r="E142" i="147"/>
  <c r="E141" i="147"/>
  <c r="E140" i="147"/>
  <c r="E139" i="147"/>
  <c r="E138" i="147"/>
  <c r="E137" i="147"/>
  <c r="E86" i="147"/>
  <c r="E124" i="147" s="1"/>
  <c r="E18" i="147"/>
  <c r="E19" i="147" s="1"/>
  <c r="E20" i="147" s="1"/>
  <c r="E21" i="147" s="1"/>
  <c r="E22" i="147" s="1"/>
  <c r="E23" i="147" s="1"/>
  <c r="E24" i="147" s="1"/>
  <c r="E25" i="147" s="1"/>
  <c r="E26" i="147" s="1"/>
  <c r="E27" i="147" s="1"/>
  <c r="E28" i="147" s="1"/>
  <c r="E29" i="147" s="1"/>
  <c r="E30" i="147" s="1"/>
  <c r="E31" i="147" s="1"/>
  <c r="E32" i="147" s="1"/>
  <c r="E33" i="147" s="1"/>
  <c r="E34" i="147" s="1"/>
  <c r="E35" i="147" s="1"/>
  <c r="E36" i="147" s="1"/>
  <c r="E37" i="147" s="1"/>
  <c r="E38" i="147" s="1"/>
  <c r="E39" i="147" s="1"/>
  <c r="E40" i="147" s="1"/>
  <c r="E41" i="147" s="1"/>
  <c r="E42" i="147" s="1"/>
  <c r="E43" i="147" s="1"/>
  <c r="E44" i="147" s="1"/>
  <c r="E45" i="147" s="1"/>
  <c r="E46" i="147" s="1"/>
  <c r="E47" i="147" s="1"/>
  <c r="E48" i="147" s="1"/>
  <c r="E49" i="147" s="1"/>
  <c r="E50" i="147" s="1"/>
  <c r="E51" i="147" s="1"/>
  <c r="E52" i="147" s="1"/>
  <c r="E53" i="147" s="1"/>
  <c r="E54" i="147" s="1"/>
  <c r="E55" i="147" s="1"/>
  <c r="E56" i="147" s="1"/>
  <c r="E57" i="147" s="1"/>
  <c r="E58" i="147" s="1"/>
  <c r="E59" i="147" s="1"/>
  <c r="E60" i="147" s="1"/>
  <c r="E61" i="147" s="1"/>
  <c r="E62" i="147" s="1"/>
  <c r="E63" i="147" s="1"/>
  <c r="E64" i="147" s="1"/>
  <c r="E65" i="147" s="1"/>
  <c r="E66" i="147" s="1"/>
  <c r="E67" i="147" s="1"/>
  <c r="E68" i="147" s="1"/>
  <c r="E69" i="147" s="1"/>
  <c r="E70" i="147" s="1"/>
  <c r="E71" i="147" s="1"/>
  <c r="E72" i="147" s="1"/>
  <c r="E73" i="147" s="1"/>
  <c r="E74" i="147" s="1"/>
  <c r="E75" i="147" s="1"/>
  <c r="E76" i="147" s="1"/>
  <c r="E77" i="147" s="1"/>
  <c r="E78" i="147" s="1"/>
  <c r="E79" i="147" s="1"/>
  <c r="E80" i="147" s="1"/>
  <c r="E81" i="147" s="1"/>
  <c r="E82" i="147" s="1"/>
  <c r="E83" i="147" s="1"/>
  <c r="E84" i="147" s="1"/>
  <c r="C9" i="147"/>
  <c r="T1" i="145"/>
  <c r="E7" i="145"/>
  <c r="E62" i="145"/>
  <c r="I96" i="145"/>
  <c r="J96" i="145"/>
  <c r="K96" i="145"/>
  <c r="L96" i="145"/>
  <c r="M96" i="145"/>
  <c r="N96" i="145"/>
  <c r="O96" i="145"/>
  <c r="P96" i="145"/>
  <c r="Q96" i="145"/>
  <c r="R96" i="145"/>
  <c r="S96" i="145"/>
  <c r="H82" i="145"/>
  <c r="H79" i="145"/>
  <c r="I114" i="145"/>
  <c r="D19" i="135"/>
  <c r="D20" i="135"/>
  <c r="D21" i="135"/>
  <c r="D22" i="135"/>
  <c r="D23" i="135"/>
  <c r="D24" i="135"/>
  <c r="D25" i="135"/>
  <c r="D26" i="135"/>
  <c r="D27" i="135"/>
  <c r="D28" i="135"/>
  <c r="D29" i="135"/>
  <c r="D18" i="135"/>
  <c r="D17" i="135"/>
  <c r="D14" i="135"/>
  <c r="D15" i="135"/>
  <c r="D13" i="135"/>
  <c r="D11" i="135"/>
  <c r="D10" i="135"/>
  <c r="D9" i="135"/>
  <c r="D5" i="135"/>
  <c r="D6" i="135"/>
  <c r="D7" i="135"/>
  <c r="D4" i="135"/>
  <c r="AI29" i="135"/>
  <c r="AI28" i="135"/>
  <c r="AI27" i="135"/>
  <c r="AI26" i="135"/>
  <c r="AI25" i="135"/>
  <c r="AI24" i="135"/>
  <c r="AI23" i="135"/>
  <c r="AI22" i="135"/>
  <c r="AI21" i="135"/>
  <c r="AI20" i="135"/>
  <c r="AI19" i="135"/>
  <c r="AI18" i="135"/>
  <c r="AI17" i="135"/>
  <c r="AI15" i="135"/>
  <c r="AI14" i="135"/>
  <c r="AI13" i="135"/>
  <c r="AI12" i="135"/>
  <c r="AI11" i="135"/>
  <c r="AI10" i="135"/>
  <c r="AI9" i="135"/>
  <c r="AI5" i="135"/>
  <c r="AI6" i="135"/>
  <c r="AI7" i="135"/>
  <c r="AI4" i="135"/>
  <c r="A4" i="135"/>
  <c r="A5" i="135"/>
  <c r="A6" i="135"/>
  <c r="A7" i="135"/>
  <c r="A8" i="135"/>
  <c r="A9" i="135"/>
  <c r="A10" i="135"/>
  <c r="A11" i="135"/>
  <c r="A12" i="135"/>
  <c r="A13" i="135"/>
  <c r="A14" i="135"/>
  <c r="A15" i="135"/>
  <c r="A16" i="135"/>
  <c r="A17" i="135"/>
  <c r="A18" i="135"/>
  <c r="A19" i="135"/>
  <c r="A20" i="135"/>
  <c r="A21" i="135"/>
  <c r="A22" i="135"/>
  <c r="A23" i="135"/>
  <c r="A24" i="135"/>
  <c r="A25" i="135"/>
  <c r="A26" i="135"/>
  <c r="A27" i="135"/>
  <c r="A28" i="135"/>
  <c r="A29" i="135"/>
  <c r="A30" i="135"/>
  <c r="A31" i="135"/>
  <c r="A32" i="135"/>
  <c r="A33" i="135"/>
  <c r="A34" i="135"/>
  <c r="A35" i="135"/>
  <c r="A36" i="135"/>
  <c r="A37" i="135"/>
  <c r="D210" i="147" l="1"/>
  <c r="D201" i="147"/>
  <c r="E243" i="147"/>
  <c r="E242" i="147"/>
  <c r="E135" i="147"/>
  <c r="E114" i="147"/>
  <c r="E115" i="147"/>
  <c r="E116" i="147"/>
  <c r="E117" i="147"/>
  <c r="E118" i="147"/>
  <c r="E119" i="147"/>
  <c r="E120" i="147"/>
  <c r="E121" i="147"/>
  <c r="E123" i="147"/>
  <c r="E125" i="147"/>
  <c r="E126" i="147"/>
  <c r="E127" i="147"/>
  <c r="E128" i="147"/>
  <c r="E129" i="147"/>
  <c r="E130" i="147"/>
  <c r="E131" i="147"/>
  <c r="E132" i="147"/>
  <c r="E133" i="147"/>
  <c r="E134" i="147"/>
  <c r="E87" i="147"/>
  <c r="E88" i="147"/>
  <c r="E89" i="147"/>
  <c r="E90" i="147"/>
  <c r="E91" i="147"/>
  <c r="E92" i="147"/>
  <c r="E93" i="147"/>
  <c r="E94" i="147"/>
  <c r="E95" i="147"/>
  <c r="E96" i="147"/>
  <c r="E97" i="147"/>
  <c r="E98" i="147"/>
  <c r="E99" i="147"/>
  <c r="E100" i="147"/>
  <c r="E101" i="147"/>
  <c r="E102" i="147"/>
  <c r="E103" i="147"/>
  <c r="E104" i="147"/>
  <c r="E105" i="147"/>
  <c r="E106" i="147"/>
  <c r="E107" i="147"/>
  <c r="E108" i="147"/>
  <c r="E109" i="147"/>
  <c r="E110" i="147"/>
  <c r="E111" i="147"/>
  <c r="E112" i="147"/>
  <c r="E113" i="147"/>
  <c r="E122" i="147"/>
  <c r="D177" i="145"/>
  <c r="D174" i="145"/>
  <c r="I220" i="145" l="1"/>
  <c r="I219" i="145"/>
  <c r="I218" i="145"/>
  <c r="I217" i="145"/>
  <c r="I216" i="145"/>
  <c r="I215" i="145"/>
  <c r="I214" i="145"/>
  <c r="I213" i="145"/>
  <c r="I212" i="145"/>
  <c r="I211" i="145"/>
  <c r="I210" i="145"/>
  <c r="I209" i="145"/>
  <c r="I208" i="145"/>
  <c r="I207" i="145"/>
  <c r="I206" i="145"/>
  <c r="I205" i="145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223" i="145"/>
  <c r="I227" i="145"/>
  <c r="I231" i="145"/>
  <c r="E232" i="145" l="1"/>
  <c r="E233" i="145"/>
  <c r="E234" i="145"/>
  <c r="E235" i="145"/>
  <c r="E236" i="145"/>
  <c r="E237" i="145"/>
  <c r="E238" i="145"/>
  <c r="E239" i="145"/>
  <c r="E240" i="145"/>
  <c r="E241" i="145"/>
  <c r="E231" i="145"/>
  <c r="E227" i="145"/>
  <c r="H227" i="145" s="1"/>
  <c r="E223" i="145"/>
  <c r="H223" i="145" s="1"/>
  <c r="E175" i="145"/>
  <c r="H175" i="145" s="1"/>
  <c r="E176" i="145"/>
  <c r="H176" i="145" s="1"/>
  <c r="E177" i="145"/>
  <c r="H177" i="145" s="1"/>
  <c r="E178" i="145"/>
  <c r="H178" i="145" s="1"/>
  <c r="E179" i="145"/>
  <c r="H179" i="145" s="1"/>
  <c r="E180" i="145"/>
  <c r="H180" i="145" s="1"/>
  <c r="E181" i="145"/>
  <c r="H181" i="145" s="1"/>
  <c r="E182" i="145"/>
  <c r="H182" i="145" s="1"/>
  <c r="E183" i="145"/>
  <c r="H183" i="145" s="1"/>
  <c r="E184" i="145"/>
  <c r="H184" i="145" s="1"/>
  <c r="E185" i="145"/>
  <c r="H185" i="145" s="1"/>
  <c r="E186" i="145"/>
  <c r="H186" i="145" s="1"/>
  <c r="E187" i="145"/>
  <c r="H187" i="145" s="1"/>
  <c r="E188" i="145"/>
  <c r="H188" i="145" s="1"/>
  <c r="E189" i="145"/>
  <c r="H189" i="145" s="1"/>
  <c r="E190" i="145"/>
  <c r="H190" i="145" s="1"/>
  <c r="E191" i="145"/>
  <c r="H191" i="145" s="1"/>
  <c r="E192" i="145"/>
  <c r="H192" i="145" s="1"/>
  <c r="E193" i="145"/>
  <c r="H193" i="145" s="1"/>
  <c r="E194" i="145"/>
  <c r="H194" i="145" s="1"/>
  <c r="E195" i="145"/>
  <c r="H195" i="145" s="1"/>
  <c r="E196" i="145"/>
  <c r="H196" i="145" s="1"/>
  <c r="E197" i="145"/>
  <c r="H197" i="145" s="1"/>
  <c r="E198" i="145"/>
  <c r="H198" i="145" s="1"/>
  <c r="E199" i="145"/>
  <c r="H199" i="145" s="1"/>
  <c r="E200" i="145"/>
  <c r="H200" i="145" s="1"/>
  <c r="E201" i="145"/>
  <c r="H201" i="145" s="1"/>
  <c r="E202" i="145"/>
  <c r="H202" i="145" s="1"/>
  <c r="E203" i="145"/>
  <c r="H203" i="145" s="1"/>
  <c r="E204" i="145"/>
  <c r="H204" i="145" s="1"/>
  <c r="E205" i="145"/>
  <c r="H205" i="145" s="1"/>
  <c r="E206" i="145"/>
  <c r="H206" i="145" s="1"/>
  <c r="E207" i="145"/>
  <c r="H207" i="145" s="1"/>
  <c r="E208" i="145"/>
  <c r="H208" i="145" s="1"/>
  <c r="E209" i="145"/>
  <c r="H209" i="145" s="1"/>
  <c r="E210" i="145"/>
  <c r="H210" i="145" s="1"/>
  <c r="E211" i="145"/>
  <c r="H211" i="145" s="1"/>
  <c r="E212" i="145"/>
  <c r="H212" i="145" s="1"/>
  <c r="E213" i="145"/>
  <c r="H213" i="145" s="1"/>
  <c r="E214" i="145"/>
  <c r="H214" i="145" s="1"/>
  <c r="E215" i="145"/>
  <c r="H215" i="145" s="1"/>
  <c r="E216" i="145"/>
  <c r="H216" i="145" s="1"/>
  <c r="E217" i="145"/>
  <c r="H217" i="145" s="1"/>
  <c r="E218" i="145"/>
  <c r="H218" i="145" s="1"/>
  <c r="E219" i="145"/>
  <c r="H219" i="145" s="1"/>
  <c r="E220" i="145"/>
  <c r="H220" i="145" s="1"/>
  <c r="E174" i="145"/>
  <c r="H174" i="145" s="1"/>
  <c r="E221" i="145" l="1"/>
  <c r="E225" i="145" s="1"/>
  <c r="E229" i="145"/>
  <c r="E243" i="145"/>
  <c r="H231" i="145" s="1"/>
  <c r="J1" i="145"/>
  <c r="K1" i="145" l="1"/>
  <c r="J174" i="145"/>
  <c r="J176" i="145"/>
  <c r="J178" i="145"/>
  <c r="J180" i="145"/>
  <c r="J182" i="145"/>
  <c r="J184" i="145"/>
  <c r="J186" i="145"/>
  <c r="J188" i="145"/>
  <c r="J190" i="145"/>
  <c r="J192" i="145"/>
  <c r="J194" i="145"/>
  <c r="J196" i="145"/>
  <c r="J198" i="145"/>
  <c r="J200" i="145"/>
  <c r="J202" i="145"/>
  <c r="J204" i="145"/>
  <c r="J177" i="145"/>
  <c r="J185" i="145"/>
  <c r="J193" i="145"/>
  <c r="J201" i="145"/>
  <c r="J205" i="145"/>
  <c r="J207" i="145"/>
  <c r="J209" i="145"/>
  <c r="J211" i="145"/>
  <c r="J213" i="145"/>
  <c r="J215" i="145"/>
  <c r="J217" i="145"/>
  <c r="J219" i="145"/>
  <c r="J179" i="145"/>
  <c r="J187" i="145"/>
  <c r="J195" i="145"/>
  <c r="J181" i="145"/>
  <c r="J189" i="145"/>
  <c r="J197" i="145"/>
  <c r="J203" i="145"/>
  <c r="J206" i="145"/>
  <c r="J208" i="145"/>
  <c r="J210" i="145"/>
  <c r="J212" i="145"/>
  <c r="J214" i="145"/>
  <c r="J216" i="145"/>
  <c r="J218" i="145"/>
  <c r="J220" i="145"/>
  <c r="J227" i="145"/>
  <c r="J175" i="145"/>
  <c r="J183" i="145"/>
  <c r="J191" i="145"/>
  <c r="J199" i="145"/>
  <c r="J223" i="145"/>
  <c r="J231" i="145"/>
  <c r="J61" i="145"/>
  <c r="I61" i="145"/>
  <c r="H166" i="145"/>
  <c r="H171" i="145"/>
  <c r="H36" i="145"/>
  <c r="H35" i="145"/>
  <c r="H34" i="145"/>
  <c r="H33" i="145"/>
  <c r="H32" i="145"/>
  <c r="H31" i="145"/>
  <c r="H30" i="145"/>
  <c r="H29" i="145"/>
  <c r="H28" i="145"/>
  <c r="H27" i="145"/>
  <c r="H26" i="145"/>
  <c r="H25" i="145"/>
  <c r="H24" i="145"/>
  <c r="H23" i="145"/>
  <c r="H22" i="145"/>
  <c r="H21" i="145"/>
  <c r="H20" i="145"/>
  <c r="H19" i="145"/>
  <c r="H18" i="145"/>
  <c r="H17" i="145"/>
  <c r="H16" i="145"/>
  <c r="H15" i="145"/>
  <c r="H14" i="145"/>
  <c r="I124" i="145"/>
  <c r="I125" i="145"/>
  <c r="I128" i="145"/>
  <c r="I129" i="145"/>
  <c r="I130" i="145"/>
  <c r="I131" i="145"/>
  <c r="I132" i="145"/>
  <c r="I133" i="145"/>
  <c r="I134" i="145"/>
  <c r="I135" i="145"/>
  <c r="I136" i="145"/>
  <c r="I137" i="145"/>
  <c r="I138" i="145"/>
  <c r="I140" i="145"/>
  <c r="I141" i="145"/>
  <c r="I142" i="145"/>
  <c r="I143" i="145"/>
  <c r="I144" i="145"/>
  <c r="I145" i="145"/>
  <c r="I147" i="145"/>
  <c r="I148" i="145"/>
  <c r="I149" i="145"/>
  <c r="I150" i="145"/>
  <c r="I151" i="145"/>
  <c r="I152" i="145"/>
  <c r="I153" i="145"/>
  <c r="I154" i="145"/>
  <c r="I155" i="145"/>
  <c r="I156" i="145"/>
  <c r="I157" i="145"/>
  <c r="I158" i="145"/>
  <c r="I159" i="145"/>
  <c r="I160" i="145"/>
  <c r="I161" i="145"/>
  <c r="I162" i="145"/>
  <c r="I163" i="145"/>
  <c r="I164" i="145"/>
  <c r="I165" i="145"/>
  <c r="I166" i="145"/>
  <c r="I167" i="145"/>
  <c r="I168" i="145"/>
  <c r="I169" i="145"/>
  <c r="I170" i="145"/>
  <c r="I171" i="145"/>
  <c r="I123" i="145"/>
  <c r="I120" i="145"/>
  <c r="I119" i="145"/>
  <c r="I118" i="145"/>
  <c r="I117" i="145"/>
  <c r="I116" i="145"/>
  <c r="I115" i="145"/>
  <c r="I113" i="145"/>
  <c r="I112" i="145"/>
  <c r="I111" i="145"/>
  <c r="I110" i="145"/>
  <c r="I109" i="145"/>
  <c r="I108" i="145"/>
  <c r="I107" i="145"/>
  <c r="I106" i="145"/>
  <c r="I105" i="145"/>
  <c r="I104" i="145"/>
  <c r="I103" i="145"/>
  <c r="I102" i="145"/>
  <c r="I101" i="145"/>
  <c r="I100" i="145"/>
  <c r="I90" i="145"/>
  <c r="I89" i="145"/>
  <c r="I85" i="145"/>
  <c r="I82" i="145"/>
  <c r="I79" i="145"/>
  <c r="I78" i="145"/>
  <c r="I77" i="145"/>
  <c r="I76" i="145"/>
  <c r="I75" i="145"/>
  <c r="I74" i="145"/>
  <c r="I71" i="145"/>
  <c r="I70" i="145"/>
  <c r="I67" i="145"/>
  <c r="I66" i="145"/>
  <c r="I65" i="145"/>
  <c r="I64" i="145"/>
  <c r="I54" i="145"/>
  <c r="I51" i="145"/>
  <c r="I50" i="145"/>
  <c r="I49" i="145"/>
  <c r="I48" i="145"/>
  <c r="I47" i="145"/>
  <c r="I46" i="145"/>
  <c r="I45" i="145"/>
  <c r="I40" i="145"/>
  <c r="I15" i="145"/>
  <c r="I16" i="145"/>
  <c r="I17" i="145"/>
  <c r="I18" i="145"/>
  <c r="I19" i="145"/>
  <c r="I20" i="145"/>
  <c r="I21" i="145"/>
  <c r="I22" i="145"/>
  <c r="I23" i="145"/>
  <c r="I24" i="145"/>
  <c r="I25" i="145"/>
  <c r="I26" i="145"/>
  <c r="I27" i="145"/>
  <c r="I28" i="145"/>
  <c r="I29" i="145"/>
  <c r="I30" i="145"/>
  <c r="I31" i="145"/>
  <c r="I32" i="145"/>
  <c r="I33" i="145"/>
  <c r="I34" i="145"/>
  <c r="I35" i="145"/>
  <c r="I36" i="145"/>
  <c r="I14" i="145"/>
  <c r="I4" i="145"/>
  <c r="I5" i="145"/>
  <c r="I6" i="145"/>
  <c r="I3" i="145"/>
  <c r="I11" i="145"/>
  <c r="J62" i="145" a="1"/>
  <c r="L1" i="145" l="1"/>
  <c r="K175" i="145"/>
  <c r="K177" i="145"/>
  <c r="K179" i="145"/>
  <c r="K181" i="145"/>
  <c r="K183" i="145"/>
  <c r="K185" i="145"/>
  <c r="K187" i="145"/>
  <c r="K189" i="145"/>
  <c r="K191" i="145"/>
  <c r="K193" i="145"/>
  <c r="K195" i="145"/>
  <c r="K197" i="145"/>
  <c r="K199" i="145"/>
  <c r="K201" i="145"/>
  <c r="K174" i="145"/>
  <c r="K176" i="145"/>
  <c r="K178" i="145"/>
  <c r="K180" i="145"/>
  <c r="K182" i="145"/>
  <c r="K184" i="145"/>
  <c r="K186" i="145"/>
  <c r="K188" i="145"/>
  <c r="K190" i="145"/>
  <c r="K192" i="145"/>
  <c r="K194" i="145"/>
  <c r="K196" i="145"/>
  <c r="K198" i="145"/>
  <c r="K200" i="145"/>
  <c r="K202" i="145"/>
  <c r="K204" i="145"/>
  <c r="K205" i="145"/>
  <c r="K207" i="145"/>
  <c r="K209" i="145"/>
  <c r="K211" i="145"/>
  <c r="K213" i="145"/>
  <c r="K215" i="145"/>
  <c r="K217" i="145"/>
  <c r="K219" i="145"/>
  <c r="K231" i="145"/>
  <c r="K203" i="145"/>
  <c r="K206" i="145"/>
  <c r="K208" i="145"/>
  <c r="K210" i="145"/>
  <c r="K212" i="145"/>
  <c r="K214" i="145"/>
  <c r="K216" i="145"/>
  <c r="K218" i="145"/>
  <c r="K220" i="145"/>
  <c r="K227" i="145"/>
  <c r="K223" i="145"/>
  <c r="J62" i="145"/>
  <c r="K61" i="145"/>
  <c r="J129" i="145"/>
  <c r="J130" i="145"/>
  <c r="J137" i="145"/>
  <c r="J138" i="145"/>
  <c r="J145" i="145"/>
  <c r="J153" i="145"/>
  <c r="J154" i="145"/>
  <c r="J125" i="145"/>
  <c r="J132" i="145"/>
  <c r="J135" i="145"/>
  <c r="J142" i="145"/>
  <c r="J147" i="145"/>
  <c r="J152" i="145"/>
  <c r="J156" i="145"/>
  <c r="J157" i="145"/>
  <c r="J164" i="145"/>
  <c r="J123" i="145"/>
  <c r="J128" i="145"/>
  <c r="J133" i="145"/>
  <c r="J140" i="145"/>
  <c r="J143" i="145"/>
  <c r="J150" i="145"/>
  <c r="J155" i="145"/>
  <c r="J162" i="145"/>
  <c r="J163" i="145"/>
  <c r="J165" i="145"/>
  <c r="J167" i="145"/>
  <c r="J169" i="145"/>
  <c r="J171" i="145"/>
  <c r="J131" i="145"/>
  <c r="J136" i="145"/>
  <c r="J141" i="145"/>
  <c r="J148" i="145"/>
  <c r="J151" i="145"/>
  <c r="J160" i="145"/>
  <c r="J161" i="145"/>
  <c r="J100" i="145"/>
  <c r="J124" i="145"/>
  <c r="J134" i="145"/>
  <c r="J144" i="145"/>
  <c r="J149" i="145"/>
  <c r="J158" i="145"/>
  <c r="J159" i="145"/>
  <c r="J166" i="145"/>
  <c r="J168" i="145"/>
  <c r="J170" i="145"/>
  <c r="J101" i="145"/>
  <c r="J102" i="145"/>
  <c r="J109" i="145"/>
  <c r="J110" i="145"/>
  <c r="J117" i="145"/>
  <c r="J118" i="145"/>
  <c r="J64" i="145"/>
  <c r="J66" i="145"/>
  <c r="J71" i="145"/>
  <c r="J75" i="145"/>
  <c r="J77" i="145"/>
  <c r="J79" i="145"/>
  <c r="J107" i="145"/>
  <c r="J108" i="145"/>
  <c r="J115" i="145"/>
  <c r="J116" i="145"/>
  <c r="J40" i="145"/>
  <c r="J15" i="145"/>
  <c r="J105" i="145"/>
  <c r="J106" i="145"/>
  <c r="J113" i="145"/>
  <c r="J114" i="145"/>
  <c r="J65" i="145"/>
  <c r="J67" i="145"/>
  <c r="J70" i="145"/>
  <c r="J74" i="145"/>
  <c r="J76" i="145"/>
  <c r="J78" i="145"/>
  <c r="J82" i="145"/>
  <c r="J90" i="145"/>
  <c r="J104" i="145"/>
  <c r="J119" i="145"/>
  <c r="J85" i="145"/>
  <c r="J89" i="145"/>
  <c r="J46" i="145"/>
  <c r="J47" i="145"/>
  <c r="J111" i="145"/>
  <c r="J45" i="145"/>
  <c r="J103" i="145"/>
  <c r="J120" i="145"/>
  <c r="J54" i="145"/>
  <c r="J50" i="145"/>
  <c r="J51" i="145"/>
  <c r="J18" i="145"/>
  <c r="J22" i="145"/>
  <c r="J26" i="145"/>
  <c r="J30" i="145"/>
  <c r="J34" i="145"/>
  <c r="J4" i="145"/>
  <c r="J6" i="145"/>
  <c r="J25" i="145"/>
  <c r="J33" i="145"/>
  <c r="J112" i="145"/>
  <c r="J48" i="145"/>
  <c r="J49" i="145"/>
  <c r="J21" i="145"/>
  <c r="J29" i="145"/>
  <c r="J14" i="145"/>
  <c r="J36" i="145"/>
  <c r="J28" i="145"/>
  <c r="J20" i="145"/>
  <c r="J17" i="145"/>
  <c r="J5" i="145"/>
  <c r="J32" i="145"/>
  <c r="J11" i="145"/>
  <c r="J24" i="145"/>
  <c r="J3" i="145"/>
  <c r="J35" i="145"/>
  <c r="J31" i="145"/>
  <c r="J27" i="145"/>
  <c r="J23" i="145"/>
  <c r="J19" i="145"/>
  <c r="J16" i="145"/>
  <c r="E67" i="145"/>
  <c r="H67" i="145" s="1"/>
  <c r="E66" i="145"/>
  <c r="H66" i="145" s="1"/>
  <c r="E65" i="145"/>
  <c r="H65" i="145" s="1"/>
  <c r="E64" i="145"/>
  <c r="E92" i="145"/>
  <c r="E170" i="145"/>
  <c r="H170" i="145" s="1"/>
  <c r="G169" i="145"/>
  <c r="E169" i="145"/>
  <c r="H169" i="145" s="1"/>
  <c r="G168" i="145"/>
  <c r="E168" i="145"/>
  <c r="H168" i="145" s="1"/>
  <c r="G167" i="145"/>
  <c r="E167" i="145"/>
  <c r="H167" i="145" s="1"/>
  <c r="G166" i="145"/>
  <c r="G163" i="145"/>
  <c r="E163" i="145" s="1"/>
  <c r="H163" i="145" s="1"/>
  <c r="G161" i="145"/>
  <c r="E161" i="145"/>
  <c r="H161" i="145" s="1"/>
  <c r="G160" i="145"/>
  <c r="E160" i="145" s="1"/>
  <c r="H160" i="145" s="1"/>
  <c r="G159" i="145"/>
  <c r="E159" i="145" s="1"/>
  <c r="H159" i="145" s="1"/>
  <c r="G158" i="145"/>
  <c r="E158" i="145"/>
  <c r="H158" i="145" s="1"/>
  <c r="G157" i="145"/>
  <c r="E157" i="145"/>
  <c r="H157" i="145" s="1"/>
  <c r="G156" i="145"/>
  <c r="E156" i="145" s="1"/>
  <c r="H156" i="145" s="1"/>
  <c r="E146" i="145"/>
  <c r="G144" i="145"/>
  <c r="E144" i="145" s="1"/>
  <c r="H144" i="145" s="1"/>
  <c r="G143" i="145"/>
  <c r="E143" i="145" s="1"/>
  <c r="H143" i="145" s="1"/>
  <c r="E142" i="145"/>
  <c r="H142" i="145" s="1"/>
  <c r="G141" i="145"/>
  <c r="E139" i="145"/>
  <c r="G137" i="145"/>
  <c r="E137" i="145" s="1"/>
  <c r="H137" i="145" s="1"/>
  <c r="G134" i="145"/>
  <c r="E134" i="145"/>
  <c r="H134" i="145" s="1"/>
  <c r="G132" i="145"/>
  <c r="E132" i="145"/>
  <c r="H132" i="145" s="1"/>
  <c r="G131" i="145"/>
  <c r="E131" i="145"/>
  <c r="H131" i="145" s="1"/>
  <c r="E127" i="145"/>
  <c r="E126" i="145"/>
  <c r="E120" i="145"/>
  <c r="H120" i="145" s="1"/>
  <c r="E119" i="145"/>
  <c r="H119" i="145" s="1"/>
  <c r="E118" i="145"/>
  <c r="H118" i="145" s="1"/>
  <c r="E117" i="145"/>
  <c r="H117" i="145" s="1"/>
  <c r="E116" i="145"/>
  <c r="H116" i="145" s="1"/>
  <c r="E115" i="145"/>
  <c r="H115" i="145" s="1"/>
  <c r="E114" i="145"/>
  <c r="H114" i="145" s="1"/>
  <c r="E113" i="145"/>
  <c r="H113" i="145" s="1"/>
  <c r="E112" i="145"/>
  <c r="H112" i="145" s="1"/>
  <c r="E111" i="145"/>
  <c r="H111" i="145" s="1"/>
  <c r="E110" i="145"/>
  <c r="H110" i="145" s="1"/>
  <c r="E109" i="145"/>
  <c r="H109" i="145" s="1"/>
  <c r="E108" i="145"/>
  <c r="H108" i="145" s="1"/>
  <c r="E107" i="145"/>
  <c r="H107" i="145" s="1"/>
  <c r="E106" i="145"/>
  <c r="H106" i="145" s="1"/>
  <c r="E105" i="145"/>
  <c r="H105" i="145" s="1"/>
  <c r="E104" i="145"/>
  <c r="H104" i="145" s="1"/>
  <c r="E103" i="145"/>
  <c r="H103" i="145" s="1"/>
  <c r="E102" i="145"/>
  <c r="H102" i="145" s="1"/>
  <c r="E101" i="145"/>
  <c r="H101" i="145" s="1"/>
  <c r="E100" i="145"/>
  <c r="H100" i="145" s="1"/>
  <c r="E99" i="145"/>
  <c r="E96" i="145"/>
  <c r="E95" i="145"/>
  <c r="E94" i="145"/>
  <c r="E93" i="145"/>
  <c r="E91" i="145"/>
  <c r="E90" i="145"/>
  <c r="H90" i="145" s="1"/>
  <c r="E89" i="145"/>
  <c r="H89" i="145" s="1"/>
  <c r="E88" i="145"/>
  <c r="E87" i="145"/>
  <c r="E86" i="145"/>
  <c r="E85" i="145"/>
  <c r="E84" i="145"/>
  <c r="E83" i="145"/>
  <c r="E82" i="145"/>
  <c r="E81" i="145"/>
  <c r="E80" i="145"/>
  <c r="E79" i="145"/>
  <c r="E78" i="145"/>
  <c r="H78" i="145" s="1"/>
  <c r="E77" i="145"/>
  <c r="H77" i="145" s="1"/>
  <c r="E76" i="145"/>
  <c r="H76" i="145" s="1"/>
  <c r="E75" i="145"/>
  <c r="H75" i="145" s="1"/>
  <c r="E74" i="145"/>
  <c r="H74" i="145" s="1"/>
  <c r="E73" i="145"/>
  <c r="E72" i="145"/>
  <c r="E71" i="145"/>
  <c r="H71" i="145" s="1"/>
  <c r="E70" i="145"/>
  <c r="E69" i="145"/>
  <c r="E60" i="145"/>
  <c r="E59" i="145"/>
  <c r="E58" i="145"/>
  <c r="E57" i="145"/>
  <c r="E54" i="145"/>
  <c r="E51" i="145"/>
  <c r="H51" i="145" s="1"/>
  <c r="E50" i="145"/>
  <c r="H50" i="145" s="1"/>
  <c r="E49" i="145"/>
  <c r="H49" i="145" s="1"/>
  <c r="E48" i="145"/>
  <c r="H48" i="145" s="1"/>
  <c r="E47" i="145"/>
  <c r="H47" i="145" s="1"/>
  <c r="E46" i="145"/>
  <c r="H46" i="145" s="1"/>
  <c r="E45" i="145"/>
  <c r="H45" i="145" s="1"/>
  <c r="E42" i="145"/>
  <c r="E40" i="145"/>
  <c r="H40" i="145" s="1"/>
  <c r="E38" i="145"/>
  <c r="B15" i="145"/>
  <c r="B16" i="145" s="1"/>
  <c r="B17" i="145" s="1"/>
  <c r="B18" i="145" s="1"/>
  <c r="B19" i="145" s="1"/>
  <c r="B20" i="145" s="1"/>
  <c r="B21" i="145" s="1"/>
  <c r="B22" i="145" s="1"/>
  <c r="B23" i="145" s="1"/>
  <c r="B24" i="145" s="1"/>
  <c r="B25" i="145" s="1"/>
  <c r="B26" i="145" s="1"/>
  <c r="B27" i="145" s="1"/>
  <c r="B28" i="145" s="1"/>
  <c r="B29" i="145" s="1"/>
  <c r="B30" i="145" s="1"/>
  <c r="B31" i="145" s="1"/>
  <c r="B32" i="145" s="1"/>
  <c r="B33" i="145" s="1"/>
  <c r="E11" i="145"/>
  <c r="E10" i="145"/>
  <c r="E9" i="145"/>
  <c r="E6" i="145"/>
  <c r="H6" i="145" s="1"/>
  <c r="E5" i="145"/>
  <c r="H5" i="145" s="1"/>
  <c r="E4" i="145"/>
  <c r="H4" i="145" s="1"/>
  <c r="E3" i="145"/>
  <c r="H3" i="145" s="1"/>
  <c r="H64" i="145" l="1"/>
  <c r="D17" i="147"/>
  <c r="D84" i="147" s="1"/>
  <c r="D276" i="147" s="1"/>
  <c r="H135" i="145"/>
  <c r="D100" i="147"/>
  <c r="D135" i="147" s="1"/>
  <c r="H11" i="145"/>
  <c r="H61" i="145"/>
  <c r="H96" i="145"/>
  <c r="H85" i="145"/>
  <c r="H70" i="145"/>
  <c r="M1" i="145"/>
  <c r="L175" i="145"/>
  <c r="L177" i="145"/>
  <c r="L179" i="145"/>
  <c r="L181" i="145"/>
  <c r="L183" i="145"/>
  <c r="L185" i="145"/>
  <c r="L187" i="145"/>
  <c r="L189" i="145"/>
  <c r="L191" i="145"/>
  <c r="L193" i="145"/>
  <c r="L195" i="145"/>
  <c r="L197" i="145"/>
  <c r="L199" i="145"/>
  <c r="L201" i="145"/>
  <c r="L203" i="145"/>
  <c r="L180" i="145"/>
  <c r="L188" i="145"/>
  <c r="L196" i="145"/>
  <c r="L204" i="145"/>
  <c r="L206" i="145"/>
  <c r="L208" i="145"/>
  <c r="L210" i="145"/>
  <c r="L212" i="145"/>
  <c r="L214" i="145"/>
  <c r="L216" i="145"/>
  <c r="L218" i="145"/>
  <c r="L220" i="145"/>
  <c r="L174" i="145"/>
  <c r="L182" i="145"/>
  <c r="L190" i="145"/>
  <c r="L198" i="145"/>
  <c r="L223" i="145"/>
  <c r="L176" i="145"/>
  <c r="L184" i="145"/>
  <c r="L192" i="145"/>
  <c r="L200" i="145"/>
  <c r="L205" i="145"/>
  <c r="L207" i="145"/>
  <c r="L209" i="145"/>
  <c r="L211" i="145"/>
  <c r="L213" i="145"/>
  <c r="L215" i="145"/>
  <c r="L217" i="145"/>
  <c r="L219" i="145"/>
  <c r="L178" i="145"/>
  <c r="L186" i="145"/>
  <c r="L194" i="145"/>
  <c r="L202" i="145"/>
  <c r="L231" i="145"/>
  <c r="L227" i="145"/>
  <c r="E55" i="145"/>
  <c r="H54" i="145"/>
  <c r="L61" i="145"/>
  <c r="K124" i="145"/>
  <c r="K128" i="145"/>
  <c r="K130" i="145"/>
  <c r="K132" i="145"/>
  <c r="K134" i="145"/>
  <c r="K136" i="145"/>
  <c r="K138" i="145"/>
  <c r="K140" i="145"/>
  <c r="K142" i="145"/>
  <c r="K144" i="145"/>
  <c r="K148" i="145"/>
  <c r="K150" i="145"/>
  <c r="K152" i="145"/>
  <c r="K154" i="145"/>
  <c r="K123" i="145"/>
  <c r="K131" i="145"/>
  <c r="K147" i="145"/>
  <c r="K155" i="145"/>
  <c r="K157" i="145"/>
  <c r="K159" i="145"/>
  <c r="K161" i="145"/>
  <c r="K163" i="145"/>
  <c r="K137" i="145"/>
  <c r="K149" i="145"/>
  <c r="K158" i="145"/>
  <c r="K166" i="145"/>
  <c r="K168" i="145"/>
  <c r="K170" i="145"/>
  <c r="K125" i="145"/>
  <c r="K135" i="145"/>
  <c r="K145" i="145"/>
  <c r="K156" i="145"/>
  <c r="K164" i="145"/>
  <c r="K133" i="145"/>
  <c r="K143" i="145"/>
  <c r="K153" i="145"/>
  <c r="K162" i="145"/>
  <c r="K165" i="145"/>
  <c r="K167" i="145"/>
  <c r="K169" i="145"/>
  <c r="K171" i="145"/>
  <c r="K129" i="145"/>
  <c r="K141" i="145"/>
  <c r="K151" i="145"/>
  <c r="K160" i="145"/>
  <c r="K100" i="145"/>
  <c r="K102" i="145"/>
  <c r="K104" i="145"/>
  <c r="K106" i="145"/>
  <c r="K108" i="145"/>
  <c r="K110" i="145"/>
  <c r="K112" i="145"/>
  <c r="K114" i="145"/>
  <c r="K116" i="145"/>
  <c r="K118" i="145"/>
  <c r="K120" i="145"/>
  <c r="K103" i="145"/>
  <c r="K111" i="145"/>
  <c r="K119" i="145"/>
  <c r="K101" i="145"/>
  <c r="K109" i="145"/>
  <c r="K117" i="145"/>
  <c r="K64" i="145"/>
  <c r="K66" i="145"/>
  <c r="K71" i="145"/>
  <c r="K75" i="145"/>
  <c r="K77" i="145"/>
  <c r="K79" i="145"/>
  <c r="K85" i="145"/>
  <c r="K89" i="145"/>
  <c r="K45" i="145"/>
  <c r="K47" i="145"/>
  <c r="K49" i="145"/>
  <c r="K51" i="145"/>
  <c r="K16" i="145"/>
  <c r="K107" i="145"/>
  <c r="K115" i="145"/>
  <c r="K65" i="145"/>
  <c r="K76" i="145"/>
  <c r="K48" i="145"/>
  <c r="K40" i="145"/>
  <c r="K113" i="145"/>
  <c r="K67" i="145"/>
  <c r="K78" i="145"/>
  <c r="K90" i="145"/>
  <c r="K46" i="145"/>
  <c r="K105" i="145"/>
  <c r="K70" i="145"/>
  <c r="K17" i="145"/>
  <c r="K19" i="145"/>
  <c r="K23" i="145"/>
  <c r="K27" i="145"/>
  <c r="K31" i="145"/>
  <c r="K35" i="145"/>
  <c r="K14" i="145"/>
  <c r="K18" i="145"/>
  <c r="K26" i="145"/>
  <c r="K34" i="145"/>
  <c r="K4" i="145"/>
  <c r="K74" i="145"/>
  <c r="K82" i="145"/>
  <c r="K54" i="145"/>
  <c r="K50" i="145"/>
  <c r="K22" i="145"/>
  <c r="K30" i="145"/>
  <c r="K20" i="145"/>
  <c r="K24" i="145"/>
  <c r="K32" i="145"/>
  <c r="K15" i="145"/>
  <c r="K5" i="145"/>
  <c r="K21" i="145"/>
  <c r="K25" i="145"/>
  <c r="K29" i="145"/>
  <c r="K33" i="145"/>
  <c r="K3" i="145"/>
  <c r="K28" i="145"/>
  <c r="K36" i="145"/>
  <c r="K6" i="145"/>
  <c r="K11" i="145"/>
  <c r="B34" i="145"/>
  <c r="B35" i="145" s="1"/>
  <c r="B36" i="145" s="1"/>
  <c r="E52" i="145"/>
  <c r="E12" i="145"/>
  <c r="E141" i="145"/>
  <c r="H141" i="145" s="1"/>
  <c r="E43" i="145"/>
  <c r="E121" i="145"/>
  <c r="E97" i="145"/>
  <c r="N1" i="145" l="1"/>
  <c r="M174" i="145"/>
  <c r="M176" i="145"/>
  <c r="M178" i="145"/>
  <c r="M180" i="145"/>
  <c r="M182" i="145"/>
  <c r="M184" i="145"/>
  <c r="M186" i="145"/>
  <c r="M188" i="145"/>
  <c r="M190" i="145"/>
  <c r="M192" i="145"/>
  <c r="M194" i="145"/>
  <c r="M196" i="145"/>
  <c r="M198" i="145"/>
  <c r="M200" i="145"/>
  <c r="M202" i="145"/>
  <c r="M175" i="145"/>
  <c r="M177" i="145"/>
  <c r="M179" i="145"/>
  <c r="M181" i="145"/>
  <c r="M183" i="145"/>
  <c r="M185" i="145"/>
  <c r="M187" i="145"/>
  <c r="M189" i="145"/>
  <c r="M191" i="145"/>
  <c r="M193" i="145"/>
  <c r="M195" i="145"/>
  <c r="M197" i="145"/>
  <c r="M199" i="145"/>
  <c r="M201" i="145"/>
  <c r="M203" i="145"/>
  <c r="M204" i="145"/>
  <c r="M206" i="145"/>
  <c r="M208" i="145"/>
  <c r="M210" i="145"/>
  <c r="M212" i="145"/>
  <c r="M214" i="145"/>
  <c r="M216" i="145"/>
  <c r="M218" i="145"/>
  <c r="M220" i="145"/>
  <c r="M223" i="145"/>
  <c r="M205" i="145"/>
  <c r="M207" i="145"/>
  <c r="M209" i="145"/>
  <c r="M211" i="145"/>
  <c r="M213" i="145"/>
  <c r="M215" i="145"/>
  <c r="M217" i="145"/>
  <c r="M219" i="145"/>
  <c r="M231" i="145"/>
  <c r="M227" i="145"/>
  <c r="M61" i="145"/>
  <c r="L124" i="145"/>
  <c r="L125" i="145"/>
  <c r="L132" i="145"/>
  <c r="L133" i="145"/>
  <c r="L140" i="145"/>
  <c r="L141" i="145"/>
  <c r="L148" i="145"/>
  <c r="L149" i="145"/>
  <c r="L129" i="145"/>
  <c r="L134" i="145"/>
  <c r="L144" i="145"/>
  <c r="L151" i="145"/>
  <c r="L154" i="145"/>
  <c r="L159" i="145"/>
  <c r="L160" i="145"/>
  <c r="L130" i="145"/>
  <c r="L137" i="145"/>
  <c r="L142" i="145"/>
  <c r="L147" i="145"/>
  <c r="L152" i="145"/>
  <c r="L157" i="145"/>
  <c r="L158" i="145"/>
  <c r="L166" i="145"/>
  <c r="L168" i="145"/>
  <c r="L170" i="145"/>
  <c r="L123" i="145"/>
  <c r="L128" i="145"/>
  <c r="L135" i="145"/>
  <c r="L138" i="145"/>
  <c r="L145" i="145"/>
  <c r="L150" i="145"/>
  <c r="L155" i="145"/>
  <c r="L156" i="145"/>
  <c r="L163" i="145"/>
  <c r="L164" i="145"/>
  <c r="L131" i="145"/>
  <c r="L136" i="145"/>
  <c r="L143" i="145"/>
  <c r="L153" i="145"/>
  <c r="L161" i="145"/>
  <c r="L162" i="145"/>
  <c r="L165" i="145"/>
  <c r="L167" i="145"/>
  <c r="L169" i="145"/>
  <c r="L171" i="145"/>
  <c r="L104" i="145"/>
  <c r="L105" i="145"/>
  <c r="L112" i="145"/>
  <c r="L113" i="145"/>
  <c r="L120" i="145"/>
  <c r="L65" i="145"/>
  <c r="L67" i="145"/>
  <c r="L70" i="145"/>
  <c r="L74" i="145"/>
  <c r="L76" i="145"/>
  <c r="L78" i="145"/>
  <c r="L82" i="145"/>
  <c r="L102" i="145"/>
  <c r="L103" i="145"/>
  <c r="L110" i="145"/>
  <c r="L111" i="145"/>
  <c r="L118" i="145"/>
  <c r="L119" i="145"/>
  <c r="L17" i="145"/>
  <c r="L100" i="145"/>
  <c r="L101" i="145"/>
  <c r="L108" i="145"/>
  <c r="L109" i="145"/>
  <c r="L116" i="145"/>
  <c r="L117" i="145"/>
  <c r="L64" i="145"/>
  <c r="L66" i="145"/>
  <c r="L71" i="145"/>
  <c r="L75" i="145"/>
  <c r="L77" i="145"/>
  <c r="L79" i="145"/>
  <c r="L85" i="145"/>
  <c r="L89" i="145"/>
  <c r="L106" i="145"/>
  <c r="L54" i="145"/>
  <c r="L49" i="145"/>
  <c r="L50" i="145"/>
  <c r="L18" i="145"/>
  <c r="L115" i="145"/>
  <c r="L47" i="145"/>
  <c r="L48" i="145"/>
  <c r="L107" i="145"/>
  <c r="L90" i="145"/>
  <c r="L45" i="145"/>
  <c r="L46" i="145"/>
  <c r="L15" i="145"/>
  <c r="L16" i="145"/>
  <c r="L20" i="145"/>
  <c r="L24" i="145"/>
  <c r="L28" i="145"/>
  <c r="L32" i="145"/>
  <c r="L36" i="145"/>
  <c r="L3" i="145"/>
  <c r="L5" i="145"/>
  <c r="L11" i="145"/>
  <c r="L19" i="145"/>
  <c r="L27" i="145"/>
  <c r="L35" i="145"/>
  <c r="L114" i="145"/>
  <c r="L51" i="145"/>
  <c r="L23" i="145"/>
  <c r="L31" i="145"/>
  <c r="L14" i="145"/>
  <c r="L22" i="145"/>
  <c r="L26" i="145"/>
  <c r="L34" i="145"/>
  <c r="L40" i="145"/>
  <c r="L6" i="145"/>
  <c r="L25" i="145"/>
  <c r="L30" i="145"/>
  <c r="L33" i="145"/>
  <c r="L21" i="145"/>
  <c r="L29" i="145"/>
  <c r="L4" i="145"/>
  <c r="O1" i="145" l="1"/>
  <c r="N174" i="145"/>
  <c r="N176" i="145"/>
  <c r="N178" i="145"/>
  <c r="N180" i="145"/>
  <c r="N182" i="145"/>
  <c r="N184" i="145"/>
  <c r="N186" i="145"/>
  <c r="N188" i="145"/>
  <c r="N190" i="145"/>
  <c r="N192" i="145"/>
  <c r="N194" i="145"/>
  <c r="N196" i="145"/>
  <c r="N198" i="145"/>
  <c r="N200" i="145"/>
  <c r="N202" i="145"/>
  <c r="N175" i="145"/>
  <c r="N183" i="145"/>
  <c r="N191" i="145"/>
  <c r="N199" i="145"/>
  <c r="N203" i="145"/>
  <c r="N205" i="145"/>
  <c r="N207" i="145"/>
  <c r="N209" i="145"/>
  <c r="N211" i="145"/>
  <c r="N213" i="145"/>
  <c r="N215" i="145"/>
  <c r="N217" i="145"/>
  <c r="N219" i="145"/>
  <c r="N177" i="145"/>
  <c r="N185" i="145"/>
  <c r="N193" i="145"/>
  <c r="N201" i="145"/>
  <c r="N179" i="145"/>
  <c r="N187" i="145"/>
  <c r="N195" i="145"/>
  <c r="N204" i="145"/>
  <c r="N206" i="145"/>
  <c r="N208" i="145"/>
  <c r="N210" i="145"/>
  <c r="N212" i="145"/>
  <c r="N214" i="145"/>
  <c r="N216" i="145"/>
  <c r="N218" i="145"/>
  <c r="N220" i="145"/>
  <c r="N227" i="145"/>
  <c r="N181" i="145"/>
  <c r="N189" i="145"/>
  <c r="N197" i="145"/>
  <c r="N223" i="145"/>
  <c r="N231" i="145"/>
  <c r="N61" i="145"/>
  <c r="M123" i="145"/>
  <c r="M125" i="145"/>
  <c r="M129" i="145"/>
  <c r="M131" i="145"/>
  <c r="M133" i="145"/>
  <c r="M135" i="145"/>
  <c r="M137" i="145"/>
  <c r="M141" i="145"/>
  <c r="M143" i="145"/>
  <c r="M145" i="145"/>
  <c r="M147" i="145"/>
  <c r="M149" i="145"/>
  <c r="M151" i="145"/>
  <c r="M153" i="145"/>
  <c r="M134" i="145"/>
  <c r="M142" i="145"/>
  <c r="M150" i="145"/>
  <c r="M156" i="145"/>
  <c r="M158" i="145"/>
  <c r="M160" i="145"/>
  <c r="M162" i="145"/>
  <c r="M164" i="145"/>
  <c r="M124" i="145"/>
  <c r="M136" i="145"/>
  <c r="M161" i="145"/>
  <c r="M165" i="145"/>
  <c r="M167" i="145"/>
  <c r="M169" i="145"/>
  <c r="M171" i="145"/>
  <c r="M132" i="145"/>
  <c r="M144" i="145"/>
  <c r="M154" i="145"/>
  <c r="M159" i="145"/>
  <c r="M130" i="145"/>
  <c r="M140" i="145"/>
  <c r="M152" i="145"/>
  <c r="M157" i="145"/>
  <c r="M166" i="145"/>
  <c r="M168" i="145"/>
  <c r="M170" i="145"/>
  <c r="M128" i="145"/>
  <c r="M138" i="145"/>
  <c r="M148" i="145"/>
  <c r="M155" i="145"/>
  <c r="M163" i="145"/>
  <c r="M101" i="145"/>
  <c r="M103" i="145"/>
  <c r="M105" i="145"/>
  <c r="M107" i="145"/>
  <c r="M109" i="145"/>
  <c r="M111" i="145"/>
  <c r="M113" i="145"/>
  <c r="M115" i="145"/>
  <c r="M117" i="145"/>
  <c r="M119" i="145"/>
  <c r="M106" i="145"/>
  <c r="M114" i="145"/>
  <c r="M104" i="145"/>
  <c r="M112" i="145"/>
  <c r="M120" i="145"/>
  <c r="M65" i="145"/>
  <c r="M67" i="145"/>
  <c r="M70" i="145"/>
  <c r="M74" i="145"/>
  <c r="M76" i="145"/>
  <c r="M78" i="145"/>
  <c r="M82" i="145"/>
  <c r="M90" i="145"/>
  <c r="M54" i="145"/>
  <c r="M46" i="145"/>
  <c r="M48" i="145"/>
  <c r="M50" i="145"/>
  <c r="M102" i="145"/>
  <c r="M110" i="145"/>
  <c r="M118" i="145"/>
  <c r="M108" i="145"/>
  <c r="M79" i="145"/>
  <c r="M51" i="145"/>
  <c r="M100" i="145"/>
  <c r="M71" i="145"/>
  <c r="M85" i="145"/>
  <c r="M89" i="145"/>
  <c r="M49" i="145"/>
  <c r="M64" i="145"/>
  <c r="M75" i="145"/>
  <c r="M47" i="145"/>
  <c r="M40" i="145"/>
  <c r="M21" i="145"/>
  <c r="M25" i="145"/>
  <c r="M29" i="145"/>
  <c r="M33" i="145"/>
  <c r="M15" i="145"/>
  <c r="M16" i="145"/>
  <c r="M17" i="145"/>
  <c r="M24" i="145"/>
  <c r="M32" i="145"/>
  <c r="M3" i="145"/>
  <c r="M116" i="145"/>
  <c r="M66" i="145"/>
  <c r="M77" i="145"/>
  <c r="M45" i="145"/>
  <c r="M20" i="145"/>
  <c r="M28" i="145"/>
  <c r="M36" i="145"/>
  <c r="M22" i="145"/>
  <c r="M26" i="145"/>
  <c r="M30" i="145"/>
  <c r="M34" i="145"/>
  <c r="M11" i="145"/>
  <c r="M18" i="145"/>
  <c r="M19" i="145"/>
  <c r="M23" i="145"/>
  <c r="M27" i="145"/>
  <c r="M31" i="145"/>
  <c r="M35" i="145"/>
  <c r="M5" i="145"/>
  <c r="M6" i="145"/>
  <c r="M14" i="145"/>
  <c r="M4" i="145"/>
  <c r="AE17" i="135"/>
  <c r="AD17" i="135"/>
  <c r="AH20" i="135"/>
  <c r="P1" i="145" l="1"/>
  <c r="O175" i="145"/>
  <c r="O177" i="145"/>
  <c r="O179" i="145"/>
  <c r="O181" i="145"/>
  <c r="O183" i="145"/>
  <c r="O185" i="145"/>
  <c r="O187" i="145"/>
  <c r="O189" i="145"/>
  <c r="O191" i="145"/>
  <c r="O193" i="145"/>
  <c r="O195" i="145"/>
  <c r="O197" i="145"/>
  <c r="O199" i="145"/>
  <c r="O201" i="145"/>
  <c r="O174" i="145"/>
  <c r="O176" i="145"/>
  <c r="O178" i="145"/>
  <c r="O180" i="145"/>
  <c r="O182" i="145"/>
  <c r="O184" i="145"/>
  <c r="O186" i="145"/>
  <c r="O188" i="145"/>
  <c r="O190" i="145"/>
  <c r="O192" i="145"/>
  <c r="O194" i="145"/>
  <c r="O196" i="145"/>
  <c r="O198" i="145"/>
  <c r="O200" i="145"/>
  <c r="O202" i="145"/>
  <c r="O203" i="145"/>
  <c r="O205" i="145"/>
  <c r="O207" i="145"/>
  <c r="O209" i="145"/>
  <c r="O211" i="145"/>
  <c r="O213" i="145"/>
  <c r="O215" i="145"/>
  <c r="O217" i="145"/>
  <c r="O219" i="145"/>
  <c r="O231" i="145"/>
  <c r="O204" i="145"/>
  <c r="O206" i="145"/>
  <c r="O208" i="145"/>
  <c r="O210" i="145"/>
  <c r="O212" i="145"/>
  <c r="O214" i="145"/>
  <c r="O216" i="145"/>
  <c r="O218" i="145"/>
  <c r="O220" i="145"/>
  <c r="O227" i="145"/>
  <c r="O223" i="145"/>
  <c r="O61" i="145"/>
  <c r="N128" i="145"/>
  <c r="N135" i="145"/>
  <c r="N136" i="145"/>
  <c r="N143" i="145"/>
  <c r="N144" i="145"/>
  <c r="N151" i="145"/>
  <c r="N152" i="145"/>
  <c r="N131" i="145"/>
  <c r="N138" i="145"/>
  <c r="N141" i="145"/>
  <c r="N148" i="145"/>
  <c r="N153" i="145"/>
  <c r="N155" i="145"/>
  <c r="N162" i="145"/>
  <c r="N163" i="145"/>
  <c r="N124" i="145"/>
  <c r="N129" i="145"/>
  <c r="N134" i="145"/>
  <c r="N149" i="145"/>
  <c r="N160" i="145"/>
  <c r="N161" i="145"/>
  <c r="N165" i="145"/>
  <c r="N167" i="145"/>
  <c r="N169" i="145"/>
  <c r="N171" i="145"/>
  <c r="N125" i="145"/>
  <c r="N132" i="145"/>
  <c r="N137" i="145"/>
  <c r="N142" i="145"/>
  <c r="N147" i="145"/>
  <c r="N154" i="145"/>
  <c r="N158" i="145"/>
  <c r="N159" i="145"/>
  <c r="N123" i="145"/>
  <c r="N130" i="145"/>
  <c r="N133" i="145"/>
  <c r="N140" i="145"/>
  <c r="N145" i="145"/>
  <c r="N150" i="145"/>
  <c r="N156" i="145"/>
  <c r="N157" i="145"/>
  <c r="N164" i="145"/>
  <c r="N166" i="145"/>
  <c r="N168" i="145"/>
  <c r="N170" i="145"/>
  <c r="N100" i="145"/>
  <c r="N107" i="145"/>
  <c r="N108" i="145"/>
  <c r="N115" i="145"/>
  <c r="N116" i="145"/>
  <c r="N64" i="145"/>
  <c r="N66" i="145"/>
  <c r="N71" i="145"/>
  <c r="N75" i="145"/>
  <c r="N77" i="145"/>
  <c r="N79" i="145"/>
  <c r="N105" i="145"/>
  <c r="N106" i="145"/>
  <c r="N113" i="145"/>
  <c r="N114" i="145"/>
  <c r="N40" i="145"/>
  <c r="N15" i="145"/>
  <c r="N103" i="145"/>
  <c r="N104" i="145"/>
  <c r="N111" i="145"/>
  <c r="N112" i="145"/>
  <c r="N119" i="145"/>
  <c r="N120" i="145"/>
  <c r="N65" i="145"/>
  <c r="N67" i="145"/>
  <c r="N70" i="145"/>
  <c r="N74" i="145"/>
  <c r="N76" i="145"/>
  <c r="N78" i="145"/>
  <c r="N82" i="145"/>
  <c r="N90" i="145"/>
  <c r="N110" i="145"/>
  <c r="N45" i="145"/>
  <c r="N16" i="145"/>
  <c r="N17" i="145"/>
  <c r="N102" i="145"/>
  <c r="N117" i="145"/>
  <c r="N54" i="145"/>
  <c r="N50" i="145"/>
  <c r="N51" i="145"/>
  <c r="N109" i="145"/>
  <c r="N85" i="145"/>
  <c r="N89" i="145"/>
  <c r="N48" i="145"/>
  <c r="N49" i="145"/>
  <c r="N18" i="145"/>
  <c r="N22" i="145"/>
  <c r="N26" i="145"/>
  <c r="N30" i="145"/>
  <c r="N34" i="145"/>
  <c r="N4" i="145"/>
  <c r="N6" i="145"/>
  <c r="N25" i="145"/>
  <c r="N33" i="145"/>
  <c r="N101" i="145"/>
  <c r="N118" i="145"/>
  <c r="N46" i="145"/>
  <c r="N47" i="145"/>
  <c r="N21" i="145"/>
  <c r="N29" i="145"/>
  <c r="N20" i="145"/>
  <c r="N24" i="145"/>
  <c r="N28" i="145"/>
  <c r="N32" i="145"/>
  <c r="N36" i="145"/>
  <c r="N14" i="145"/>
  <c r="N11" i="145"/>
  <c r="N23" i="145"/>
  <c r="N31" i="145"/>
  <c r="N19" i="145"/>
  <c r="N27" i="145"/>
  <c r="N35" i="145"/>
  <c r="N3" i="145"/>
  <c r="N5" i="145"/>
  <c r="BD37" i="135"/>
  <c r="BC37" i="135"/>
  <c r="BB37" i="135"/>
  <c r="BA37" i="135"/>
  <c r="AZ37" i="135"/>
  <c r="AY37" i="135"/>
  <c r="AX37" i="135"/>
  <c r="AW37" i="135"/>
  <c r="AV37" i="135"/>
  <c r="AU37" i="135"/>
  <c r="AT37" i="135"/>
  <c r="AS37" i="135"/>
  <c r="AR37" i="135"/>
  <c r="AQ37" i="135"/>
  <c r="Q1" i="145" l="1"/>
  <c r="P175" i="145"/>
  <c r="P177" i="145"/>
  <c r="P179" i="145"/>
  <c r="P181" i="145"/>
  <c r="P183" i="145"/>
  <c r="P185" i="145"/>
  <c r="P187" i="145"/>
  <c r="P189" i="145"/>
  <c r="P191" i="145"/>
  <c r="P193" i="145"/>
  <c r="P195" i="145"/>
  <c r="P197" i="145"/>
  <c r="P199" i="145"/>
  <c r="P201" i="145"/>
  <c r="P203" i="145"/>
  <c r="P178" i="145"/>
  <c r="P186" i="145"/>
  <c r="P194" i="145"/>
  <c r="P202" i="145"/>
  <c r="P204" i="145"/>
  <c r="P206" i="145"/>
  <c r="P208" i="145"/>
  <c r="P210" i="145"/>
  <c r="P212" i="145"/>
  <c r="P214" i="145"/>
  <c r="P216" i="145"/>
  <c r="P218" i="145"/>
  <c r="P220" i="145"/>
  <c r="P180" i="145"/>
  <c r="P188" i="145"/>
  <c r="P196" i="145"/>
  <c r="P223" i="145"/>
  <c r="P174" i="145"/>
  <c r="P182" i="145"/>
  <c r="P190" i="145"/>
  <c r="P198" i="145"/>
  <c r="P205" i="145"/>
  <c r="P207" i="145"/>
  <c r="P209" i="145"/>
  <c r="P211" i="145"/>
  <c r="P213" i="145"/>
  <c r="P215" i="145"/>
  <c r="P217" i="145"/>
  <c r="P219" i="145"/>
  <c r="P176" i="145"/>
  <c r="P184" i="145"/>
  <c r="P192" i="145"/>
  <c r="P200" i="145"/>
  <c r="P231" i="145"/>
  <c r="P227" i="145"/>
  <c r="P61" i="145"/>
  <c r="O124" i="145"/>
  <c r="O128" i="145"/>
  <c r="O130" i="145"/>
  <c r="O132" i="145"/>
  <c r="O134" i="145"/>
  <c r="O136" i="145"/>
  <c r="O138" i="145"/>
  <c r="O140" i="145"/>
  <c r="O142" i="145"/>
  <c r="O144" i="145"/>
  <c r="O148" i="145"/>
  <c r="O150" i="145"/>
  <c r="O152" i="145"/>
  <c r="O154" i="145"/>
  <c r="O129" i="145"/>
  <c r="O137" i="145"/>
  <c r="O145" i="145"/>
  <c r="O153" i="145"/>
  <c r="O155" i="145"/>
  <c r="O157" i="145"/>
  <c r="O159" i="145"/>
  <c r="O161" i="145"/>
  <c r="O163" i="145"/>
  <c r="O123" i="145"/>
  <c r="O133" i="145"/>
  <c r="O143" i="145"/>
  <c r="O156" i="145"/>
  <c r="O164" i="145"/>
  <c r="O166" i="145"/>
  <c r="O168" i="145"/>
  <c r="O170" i="145"/>
  <c r="O131" i="145"/>
  <c r="O141" i="145"/>
  <c r="O151" i="145"/>
  <c r="O162" i="145"/>
  <c r="O149" i="145"/>
  <c r="O160" i="145"/>
  <c r="O165" i="145"/>
  <c r="O167" i="145"/>
  <c r="O169" i="145"/>
  <c r="O171" i="145"/>
  <c r="O125" i="145"/>
  <c r="O135" i="145"/>
  <c r="O147" i="145"/>
  <c r="O158" i="145"/>
  <c r="O100" i="145"/>
  <c r="O102" i="145"/>
  <c r="O104" i="145"/>
  <c r="O106" i="145"/>
  <c r="O108" i="145"/>
  <c r="O110" i="145"/>
  <c r="O112" i="145"/>
  <c r="O114" i="145"/>
  <c r="O116" i="145"/>
  <c r="O118" i="145"/>
  <c r="O120" i="145"/>
  <c r="O101" i="145"/>
  <c r="O109" i="145"/>
  <c r="O117" i="145"/>
  <c r="O107" i="145"/>
  <c r="O115" i="145"/>
  <c r="O64" i="145"/>
  <c r="O66" i="145"/>
  <c r="O71" i="145"/>
  <c r="O75" i="145"/>
  <c r="O77" i="145"/>
  <c r="O79" i="145"/>
  <c r="O85" i="145"/>
  <c r="O89" i="145"/>
  <c r="O45" i="145"/>
  <c r="O47" i="145"/>
  <c r="O49" i="145"/>
  <c r="O51" i="145"/>
  <c r="O16" i="145"/>
  <c r="O105" i="145"/>
  <c r="O113" i="145"/>
  <c r="O74" i="145"/>
  <c r="O82" i="145"/>
  <c r="O46" i="145"/>
  <c r="O15" i="145"/>
  <c r="O119" i="145"/>
  <c r="O65" i="145"/>
  <c r="O76" i="145"/>
  <c r="O111" i="145"/>
  <c r="O67" i="145"/>
  <c r="O78" i="145"/>
  <c r="O54" i="145"/>
  <c r="O50" i="145"/>
  <c r="O19" i="145"/>
  <c r="O23" i="145"/>
  <c r="O27" i="145"/>
  <c r="O31" i="145"/>
  <c r="O35" i="145"/>
  <c r="O14" i="145"/>
  <c r="O18" i="145"/>
  <c r="O26" i="145"/>
  <c r="O34" i="145"/>
  <c r="O4" i="145"/>
  <c r="O103" i="145"/>
  <c r="O70" i="145"/>
  <c r="O90" i="145"/>
  <c r="O48" i="145"/>
  <c r="O40" i="145"/>
  <c r="O22" i="145"/>
  <c r="O30" i="145"/>
  <c r="O17" i="145"/>
  <c r="O21" i="145"/>
  <c r="O25" i="145"/>
  <c r="O33" i="145"/>
  <c r="O20" i="145"/>
  <c r="O24" i="145"/>
  <c r="O28" i="145"/>
  <c r="O32" i="145"/>
  <c r="O36" i="145"/>
  <c r="O11" i="145"/>
  <c r="O29" i="145"/>
  <c r="O3" i="145"/>
  <c r="O5" i="145"/>
  <c r="O6" i="145"/>
  <c r="R1" i="145" l="1"/>
  <c r="Q174" i="145"/>
  <c r="Q176" i="145"/>
  <c r="Q178" i="145"/>
  <c r="Q180" i="145"/>
  <c r="Q182" i="145"/>
  <c r="Q184" i="145"/>
  <c r="Q186" i="145"/>
  <c r="Q188" i="145"/>
  <c r="Q190" i="145"/>
  <c r="Q192" i="145"/>
  <c r="Q194" i="145"/>
  <c r="Q196" i="145"/>
  <c r="Q198" i="145"/>
  <c r="Q200" i="145"/>
  <c r="Q175" i="145"/>
  <c r="Q177" i="145"/>
  <c r="Q179" i="145"/>
  <c r="Q181" i="145"/>
  <c r="Q183" i="145"/>
  <c r="Q185" i="145"/>
  <c r="Q187" i="145"/>
  <c r="Q189" i="145"/>
  <c r="Q191" i="145"/>
  <c r="Q193" i="145"/>
  <c r="Q195" i="145"/>
  <c r="Q197" i="145"/>
  <c r="Q199" i="145"/>
  <c r="Q201" i="145"/>
  <c r="Q203" i="145"/>
  <c r="Q202" i="145"/>
  <c r="Q204" i="145"/>
  <c r="Q206" i="145"/>
  <c r="Q208" i="145"/>
  <c r="Q210" i="145"/>
  <c r="Q212" i="145"/>
  <c r="Q214" i="145"/>
  <c r="Q216" i="145"/>
  <c r="Q218" i="145"/>
  <c r="Q220" i="145"/>
  <c r="Q223" i="145"/>
  <c r="Q205" i="145"/>
  <c r="Q207" i="145"/>
  <c r="Q209" i="145"/>
  <c r="Q211" i="145"/>
  <c r="Q213" i="145"/>
  <c r="Q215" i="145"/>
  <c r="Q217" i="145"/>
  <c r="Q219" i="145"/>
  <c r="Q231" i="145"/>
  <c r="Q227" i="145"/>
  <c r="Q61" i="145"/>
  <c r="P123" i="145"/>
  <c r="P130" i="145"/>
  <c r="P131" i="145"/>
  <c r="P138" i="145"/>
  <c r="P147" i="145"/>
  <c r="P154" i="145"/>
  <c r="P125" i="145"/>
  <c r="P128" i="145"/>
  <c r="P135" i="145"/>
  <c r="P140" i="145"/>
  <c r="P145" i="145"/>
  <c r="P150" i="145"/>
  <c r="P157" i="145"/>
  <c r="P158" i="145"/>
  <c r="P133" i="145"/>
  <c r="P136" i="145"/>
  <c r="P143" i="145"/>
  <c r="P148" i="145"/>
  <c r="P153" i="145"/>
  <c r="P155" i="145"/>
  <c r="P156" i="145"/>
  <c r="P163" i="145"/>
  <c r="P164" i="145"/>
  <c r="P166" i="145"/>
  <c r="P168" i="145"/>
  <c r="P170" i="145"/>
  <c r="P124" i="145"/>
  <c r="P129" i="145"/>
  <c r="P134" i="145"/>
  <c r="P141" i="145"/>
  <c r="P144" i="145"/>
  <c r="P151" i="145"/>
  <c r="P161" i="145"/>
  <c r="P162" i="145"/>
  <c r="P132" i="145"/>
  <c r="P137" i="145"/>
  <c r="P142" i="145"/>
  <c r="P149" i="145"/>
  <c r="P152" i="145"/>
  <c r="P159" i="145"/>
  <c r="P160" i="145"/>
  <c r="P165" i="145"/>
  <c r="P167" i="145"/>
  <c r="P169" i="145"/>
  <c r="P171" i="145"/>
  <c r="P102" i="145"/>
  <c r="P103" i="145"/>
  <c r="P110" i="145"/>
  <c r="P111" i="145"/>
  <c r="P118" i="145"/>
  <c r="P119" i="145"/>
  <c r="P65" i="145"/>
  <c r="P67" i="145"/>
  <c r="P70" i="145"/>
  <c r="P74" i="145"/>
  <c r="P76" i="145"/>
  <c r="P78" i="145"/>
  <c r="P82" i="145"/>
  <c r="P100" i="145"/>
  <c r="P101" i="145"/>
  <c r="P108" i="145"/>
  <c r="P109" i="145"/>
  <c r="P116" i="145"/>
  <c r="P117" i="145"/>
  <c r="P17" i="145"/>
  <c r="P106" i="145"/>
  <c r="P107" i="145"/>
  <c r="P114" i="145"/>
  <c r="P115" i="145"/>
  <c r="P64" i="145"/>
  <c r="P66" i="145"/>
  <c r="P71" i="145"/>
  <c r="P75" i="145"/>
  <c r="P77" i="145"/>
  <c r="P79" i="145"/>
  <c r="P85" i="145"/>
  <c r="P89" i="145"/>
  <c r="P112" i="145"/>
  <c r="P90" i="145"/>
  <c r="P47" i="145"/>
  <c r="P48" i="145"/>
  <c r="P40" i="145"/>
  <c r="P18" i="145"/>
  <c r="P104" i="145"/>
  <c r="P45" i="145"/>
  <c r="P46" i="145"/>
  <c r="P113" i="145"/>
  <c r="P51" i="145"/>
  <c r="P20" i="145"/>
  <c r="P24" i="145"/>
  <c r="P28" i="145"/>
  <c r="P32" i="145"/>
  <c r="P36" i="145"/>
  <c r="P3" i="145"/>
  <c r="P5" i="145"/>
  <c r="P11" i="145"/>
  <c r="P19" i="145"/>
  <c r="P27" i="145"/>
  <c r="P35" i="145"/>
  <c r="P105" i="145"/>
  <c r="P120" i="145"/>
  <c r="P54" i="145"/>
  <c r="P49" i="145"/>
  <c r="P50" i="145"/>
  <c r="P23" i="145"/>
  <c r="P31" i="145"/>
  <c r="P14" i="145"/>
  <c r="P16" i="145"/>
  <c r="P21" i="145"/>
  <c r="P25" i="145"/>
  <c r="P29" i="145"/>
  <c r="P33" i="145"/>
  <c r="P4" i="145"/>
  <c r="P15" i="145"/>
  <c r="P22" i="145"/>
  <c r="P26" i="145"/>
  <c r="P30" i="145"/>
  <c r="P34" i="145"/>
  <c r="P6" i="145"/>
  <c r="S1" i="145" l="1"/>
  <c r="R174" i="145"/>
  <c r="R176" i="145"/>
  <c r="R178" i="145"/>
  <c r="R180" i="145"/>
  <c r="R182" i="145"/>
  <c r="R184" i="145"/>
  <c r="R186" i="145"/>
  <c r="R188" i="145"/>
  <c r="R190" i="145"/>
  <c r="R192" i="145"/>
  <c r="R194" i="145"/>
  <c r="R196" i="145"/>
  <c r="R198" i="145"/>
  <c r="R200" i="145"/>
  <c r="R202" i="145"/>
  <c r="R181" i="145"/>
  <c r="R189" i="145"/>
  <c r="R197" i="145"/>
  <c r="R205" i="145"/>
  <c r="R207" i="145"/>
  <c r="R209" i="145"/>
  <c r="R211" i="145"/>
  <c r="R213" i="145"/>
  <c r="R215" i="145"/>
  <c r="R217" i="145"/>
  <c r="R219" i="145"/>
  <c r="R175" i="145"/>
  <c r="R183" i="145"/>
  <c r="R191" i="145"/>
  <c r="R199" i="145"/>
  <c r="R177" i="145"/>
  <c r="R185" i="145"/>
  <c r="R193" i="145"/>
  <c r="R201" i="145"/>
  <c r="R203" i="145"/>
  <c r="R204" i="145"/>
  <c r="R206" i="145"/>
  <c r="R208" i="145"/>
  <c r="R210" i="145"/>
  <c r="R212" i="145"/>
  <c r="R214" i="145"/>
  <c r="R216" i="145"/>
  <c r="R218" i="145"/>
  <c r="R220" i="145"/>
  <c r="R227" i="145"/>
  <c r="R179" i="145"/>
  <c r="R187" i="145"/>
  <c r="R195" i="145"/>
  <c r="R223" i="145"/>
  <c r="R231" i="145"/>
  <c r="R61" i="145"/>
  <c r="Q123" i="145"/>
  <c r="Q125" i="145"/>
  <c r="Q129" i="145"/>
  <c r="Q131" i="145"/>
  <c r="Q133" i="145"/>
  <c r="Q135" i="145"/>
  <c r="Q137" i="145"/>
  <c r="Q141" i="145"/>
  <c r="Q143" i="145"/>
  <c r="Q145" i="145"/>
  <c r="Q147" i="145"/>
  <c r="Q149" i="145"/>
  <c r="Q151" i="145"/>
  <c r="Q153" i="145"/>
  <c r="Q124" i="145"/>
  <c r="Q132" i="145"/>
  <c r="Q140" i="145"/>
  <c r="Q148" i="145"/>
  <c r="Q156" i="145"/>
  <c r="Q158" i="145"/>
  <c r="Q160" i="145"/>
  <c r="Q162" i="145"/>
  <c r="Q130" i="145"/>
  <c r="Q142" i="145"/>
  <c r="Q152" i="145"/>
  <c r="Q159" i="145"/>
  <c r="Q165" i="145"/>
  <c r="Q167" i="145"/>
  <c r="Q169" i="145"/>
  <c r="Q171" i="145"/>
  <c r="Q128" i="145"/>
  <c r="Q138" i="145"/>
  <c r="Q150" i="145"/>
  <c r="Q157" i="145"/>
  <c r="Q136" i="145"/>
  <c r="Q155" i="145"/>
  <c r="Q163" i="145"/>
  <c r="Q164" i="145"/>
  <c r="Q166" i="145"/>
  <c r="Q168" i="145"/>
  <c r="Q170" i="145"/>
  <c r="Q134" i="145"/>
  <c r="Q144" i="145"/>
  <c r="Q154" i="145"/>
  <c r="Q161" i="145"/>
  <c r="Q101" i="145"/>
  <c r="Q103" i="145"/>
  <c r="Q105" i="145"/>
  <c r="Q107" i="145"/>
  <c r="Q109" i="145"/>
  <c r="Q111" i="145"/>
  <c r="Q113" i="145"/>
  <c r="Q115" i="145"/>
  <c r="Q117" i="145"/>
  <c r="Q119" i="145"/>
  <c r="Q104" i="145"/>
  <c r="Q112" i="145"/>
  <c r="Q120" i="145"/>
  <c r="Q102" i="145"/>
  <c r="Q110" i="145"/>
  <c r="Q118" i="145"/>
  <c r="Q65" i="145"/>
  <c r="Q67" i="145"/>
  <c r="Q70" i="145"/>
  <c r="Q74" i="145"/>
  <c r="Q76" i="145"/>
  <c r="Q78" i="145"/>
  <c r="Q82" i="145"/>
  <c r="Q90" i="145"/>
  <c r="Q54" i="145"/>
  <c r="Q46" i="145"/>
  <c r="Q48" i="145"/>
  <c r="Q50" i="145"/>
  <c r="Q100" i="145"/>
  <c r="Q108" i="145"/>
  <c r="Q116" i="145"/>
  <c r="Q114" i="145"/>
  <c r="Q66" i="145"/>
  <c r="Q77" i="145"/>
  <c r="Q49" i="145"/>
  <c r="Q106" i="145"/>
  <c r="Q79" i="145"/>
  <c r="Q47" i="145"/>
  <c r="Q71" i="145"/>
  <c r="Q45" i="145"/>
  <c r="Q15" i="145"/>
  <c r="Q16" i="145"/>
  <c r="Q17" i="145"/>
  <c r="Q21" i="145"/>
  <c r="Q25" i="145"/>
  <c r="Q29" i="145"/>
  <c r="Q33" i="145"/>
  <c r="Q24" i="145"/>
  <c r="Q32" i="145"/>
  <c r="Q3" i="145"/>
  <c r="Q64" i="145"/>
  <c r="Q75" i="145"/>
  <c r="Q85" i="145"/>
  <c r="Q89" i="145"/>
  <c r="Q51" i="145"/>
  <c r="Q20" i="145"/>
  <c r="Q28" i="145"/>
  <c r="Q36" i="145"/>
  <c r="Q19" i="145"/>
  <c r="Q23" i="145"/>
  <c r="Q31" i="145"/>
  <c r="Q5" i="145"/>
  <c r="Q6" i="145"/>
  <c r="Q40" i="145"/>
  <c r="Q14" i="145"/>
  <c r="Q4" i="145"/>
  <c r="Q22" i="145"/>
  <c r="Q27" i="145"/>
  <c r="Q30" i="145"/>
  <c r="Q35" i="145"/>
  <c r="Q18" i="145"/>
  <c r="Q26" i="145"/>
  <c r="Q34" i="145"/>
  <c r="Q11" i="145"/>
  <c r="S175" i="145" l="1"/>
  <c r="S177" i="145"/>
  <c r="S179" i="145"/>
  <c r="S181" i="145"/>
  <c r="S183" i="145"/>
  <c r="S185" i="145"/>
  <c r="S187" i="145"/>
  <c r="S189" i="145"/>
  <c r="S191" i="145"/>
  <c r="S193" i="145"/>
  <c r="S195" i="145"/>
  <c r="S197" i="145"/>
  <c r="S199" i="145"/>
  <c r="S201" i="145"/>
  <c r="S174" i="145"/>
  <c r="S176" i="145"/>
  <c r="S178" i="145"/>
  <c r="S180" i="145"/>
  <c r="S182" i="145"/>
  <c r="S184" i="145"/>
  <c r="S186" i="145"/>
  <c r="S188" i="145"/>
  <c r="S190" i="145"/>
  <c r="S192" i="145"/>
  <c r="S194" i="145"/>
  <c r="S196" i="145"/>
  <c r="S198" i="145"/>
  <c r="S200" i="145"/>
  <c r="S202" i="145"/>
  <c r="S205" i="145"/>
  <c r="S207" i="145"/>
  <c r="S209" i="145"/>
  <c r="S211" i="145"/>
  <c r="S213" i="145"/>
  <c r="S215" i="145"/>
  <c r="S217" i="145"/>
  <c r="S219" i="145"/>
  <c r="S231" i="145"/>
  <c r="S203" i="145"/>
  <c r="S204" i="145"/>
  <c r="S206" i="145"/>
  <c r="S208" i="145"/>
  <c r="S210" i="145"/>
  <c r="S212" i="145"/>
  <c r="S214" i="145"/>
  <c r="S216" i="145"/>
  <c r="S218" i="145"/>
  <c r="S220" i="145"/>
  <c r="S227" i="145"/>
  <c r="S223" i="145"/>
  <c r="S61" i="145"/>
  <c r="R125" i="145"/>
  <c r="R133" i="145"/>
  <c r="R134" i="145"/>
  <c r="R141" i="145"/>
  <c r="R142" i="145"/>
  <c r="R149" i="145"/>
  <c r="R150" i="145"/>
  <c r="R132" i="145"/>
  <c r="R137" i="145"/>
  <c r="R144" i="145"/>
  <c r="R147" i="145"/>
  <c r="R154" i="145"/>
  <c r="R160" i="145"/>
  <c r="R161" i="145"/>
  <c r="R123" i="145"/>
  <c r="R130" i="145"/>
  <c r="R135" i="145"/>
  <c r="R140" i="145"/>
  <c r="R145" i="145"/>
  <c r="R152" i="145"/>
  <c r="R158" i="145"/>
  <c r="R159" i="145"/>
  <c r="R165" i="145"/>
  <c r="R167" i="145"/>
  <c r="R169" i="145"/>
  <c r="R171" i="145"/>
  <c r="R128" i="145"/>
  <c r="R131" i="145"/>
  <c r="R138" i="145"/>
  <c r="R143" i="145"/>
  <c r="R148" i="145"/>
  <c r="R153" i="145"/>
  <c r="R156" i="145"/>
  <c r="R157" i="145"/>
  <c r="R124" i="145"/>
  <c r="R129" i="145"/>
  <c r="R136" i="145"/>
  <c r="R151" i="145"/>
  <c r="R155" i="145"/>
  <c r="R162" i="145"/>
  <c r="R163" i="145"/>
  <c r="R164" i="145"/>
  <c r="R166" i="145"/>
  <c r="R168" i="145"/>
  <c r="R170" i="145"/>
  <c r="R105" i="145"/>
  <c r="R106" i="145"/>
  <c r="R113" i="145"/>
  <c r="R114" i="145"/>
  <c r="R64" i="145"/>
  <c r="R66" i="145"/>
  <c r="R71" i="145"/>
  <c r="R75" i="145"/>
  <c r="R77" i="145"/>
  <c r="R79" i="145"/>
  <c r="R103" i="145"/>
  <c r="R104" i="145"/>
  <c r="R111" i="145"/>
  <c r="R112" i="145"/>
  <c r="R119" i="145"/>
  <c r="R120" i="145"/>
  <c r="R40" i="145"/>
  <c r="R15" i="145"/>
  <c r="R101" i="145"/>
  <c r="R102" i="145"/>
  <c r="R109" i="145"/>
  <c r="R110" i="145"/>
  <c r="R117" i="145"/>
  <c r="R118" i="145"/>
  <c r="R65" i="145"/>
  <c r="R67" i="145"/>
  <c r="R70" i="145"/>
  <c r="R74" i="145"/>
  <c r="R76" i="145"/>
  <c r="R78" i="145"/>
  <c r="R82" i="145"/>
  <c r="R90" i="145"/>
  <c r="R116" i="145"/>
  <c r="R85" i="145"/>
  <c r="R89" i="145"/>
  <c r="R54" i="145"/>
  <c r="R50" i="145"/>
  <c r="R51" i="145"/>
  <c r="R108" i="145"/>
  <c r="R48" i="145"/>
  <c r="R49" i="145"/>
  <c r="R100" i="145"/>
  <c r="R115" i="145"/>
  <c r="R46" i="145"/>
  <c r="R47" i="145"/>
  <c r="R18" i="145"/>
  <c r="R22" i="145"/>
  <c r="R26" i="145"/>
  <c r="R30" i="145"/>
  <c r="R34" i="145"/>
  <c r="R4" i="145"/>
  <c r="R6" i="145"/>
  <c r="R16" i="145"/>
  <c r="R17" i="145"/>
  <c r="R25" i="145"/>
  <c r="R33" i="145"/>
  <c r="R107" i="145"/>
  <c r="R45" i="145"/>
  <c r="R21" i="145"/>
  <c r="R29" i="145"/>
  <c r="R19" i="145"/>
  <c r="R23" i="145"/>
  <c r="R27" i="145"/>
  <c r="R31" i="145"/>
  <c r="R35" i="145"/>
  <c r="R3" i="145"/>
  <c r="R11" i="145"/>
  <c r="R5" i="145"/>
  <c r="R24" i="145"/>
  <c r="R32" i="145"/>
  <c r="R20" i="145"/>
  <c r="R28" i="145"/>
  <c r="R36" i="145"/>
  <c r="R14" i="145"/>
  <c r="S124" i="145" l="1"/>
  <c r="S128" i="145"/>
  <c r="S130" i="145"/>
  <c r="S132" i="145"/>
  <c r="S134" i="145"/>
  <c r="S136" i="145"/>
  <c r="S138" i="145"/>
  <c r="S140" i="145"/>
  <c r="S142" i="145"/>
  <c r="S144" i="145"/>
  <c r="S148" i="145"/>
  <c r="S150" i="145"/>
  <c r="S152" i="145"/>
  <c r="S154" i="145"/>
  <c r="S135" i="145"/>
  <c r="S143" i="145"/>
  <c r="S151" i="145"/>
  <c r="S155" i="145"/>
  <c r="S157" i="145"/>
  <c r="S159" i="145"/>
  <c r="S161" i="145"/>
  <c r="S163" i="145"/>
  <c r="S129" i="145"/>
  <c r="S149" i="145"/>
  <c r="S162" i="145"/>
  <c r="S164" i="145"/>
  <c r="S166" i="145"/>
  <c r="S168" i="145"/>
  <c r="S170" i="145"/>
  <c r="S125" i="145"/>
  <c r="S137" i="145"/>
  <c r="S147" i="145"/>
  <c r="S160" i="145"/>
  <c r="S123" i="145"/>
  <c r="S133" i="145"/>
  <c r="S145" i="145"/>
  <c r="S158" i="145"/>
  <c r="S165" i="145"/>
  <c r="S167" i="145"/>
  <c r="S169" i="145"/>
  <c r="S171" i="145"/>
  <c r="S131" i="145"/>
  <c r="S141" i="145"/>
  <c r="S153" i="145"/>
  <c r="S156" i="145"/>
  <c r="S100" i="145"/>
  <c r="S102" i="145"/>
  <c r="S104" i="145"/>
  <c r="S106" i="145"/>
  <c r="S108" i="145"/>
  <c r="S110" i="145"/>
  <c r="S112" i="145"/>
  <c r="S114" i="145"/>
  <c r="S116" i="145"/>
  <c r="S118" i="145"/>
  <c r="S120" i="145"/>
  <c r="S107" i="145"/>
  <c r="S115" i="145"/>
  <c r="S105" i="145"/>
  <c r="S113" i="145"/>
  <c r="S64" i="145"/>
  <c r="S66" i="145"/>
  <c r="S71" i="145"/>
  <c r="S75" i="145"/>
  <c r="S77" i="145"/>
  <c r="S79" i="145"/>
  <c r="S85" i="145"/>
  <c r="S89" i="145"/>
  <c r="S45" i="145"/>
  <c r="S47" i="145"/>
  <c r="S49" i="145"/>
  <c r="S51" i="145"/>
  <c r="S16" i="145"/>
  <c r="S103" i="145"/>
  <c r="S111" i="145"/>
  <c r="S119" i="145"/>
  <c r="S101" i="145"/>
  <c r="S70" i="145"/>
  <c r="S17" i="145"/>
  <c r="S74" i="145"/>
  <c r="S82" i="145"/>
  <c r="S90" i="145"/>
  <c r="S54" i="145"/>
  <c r="S50" i="145"/>
  <c r="S117" i="145"/>
  <c r="S65" i="145"/>
  <c r="S76" i="145"/>
  <c r="S48" i="145"/>
  <c r="S40" i="145"/>
  <c r="S19" i="145"/>
  <c r="S23" i="145"/>
  <c r="S27" i="145"/>
  <c r="S31" i="145"/>
  <c r="S35" i="145"/>
  <c r="S14" i="145"/>
  <c r="S15" i="145"/>
  <c r="S18" i="145"/>
  <c r="S26" i="145"/>
  <c r="S34" i="145"/>
  <c r="S109" i="145"/>
  <c r="S67" i="145"/>
  <c r="S78" i="145"/>
  <c r="S46" i="145"/>
  <c r="S22" i="145"/>
  <c r="S30" i="145"/>
  <c r="S20" i="145"/>
  <c r="S24" i="145"/>
  <c r="S32" i="145"/>
  <c r="S21" i="145"/>
  <c r="S25" i="145"/>
  <c r="S29" i="145"/>
  <c r="S33" i="145"/>
  <c r="S3" i="145"/>
  <c r="S6" i="145"/>
  <c r="S11" i="145"/>
  <c r="S28" i="145"/>
  <c r="S36" i="145"/>
  <c r="S4" i="145"/>
  <c r="S5" i="145"/>
  <c r="AE5" i="135" l="1"/>
  <c r="AG20" i="135" l="1"/>
  <c r="AF20" i="135" l="1"/>
  <c r="AZ38" i="135"/>
  <c r="W5" i="135" l="1"/>
  <c r="X5" i="135"/>
  <c r="Y5" i="135"/>
  <c r="Z5" i="135"/>
  <c r="W6" i="135"/>
  <c r="X6" i="135"/>
  <c r="Y6" i="135"/>
  <c r="Z6" i="135"/>
  <c r="AE6" i="135"/>
  <c r="W7" i="135"/>
  <c r="X7" i="135"/>
  <c r="Y7" i="135"/>
  <c r="Z7" i="135"/>
  <c r="AE7" i="135"/>
  <c r="W8" i="135"/>
  <c r="X8" i="135"/>
  <c r="Y8" i="135"/>
  <c r="Z8" i="135"/>
  <c r="AA8" i="135"/>
  <c r="AB8" i="135"/>
  <c r="AC8" i="135"/>
  <c r="AD8" i="135"/>
  <c r="AE8" i="135"/>
  <c r="W9" i="135"/>
  <c r="X9" i="135"/>
  <c r="Y9" i="135"/>
  <c r="Z9" i="135"/>
  <c r="AE9" i="135"/>
  <c r="W10" i="135"/>
  <c r="X10" i="135"/>
  <c r="Y10" i="135"/>
  <c r="Z10" i="135"/>
  <c r="AE10" i="135"/>
  <c r="W11" i="135"/>
  <c r="X11" i="135"/>
  <c r="Y11" i="135"/>
  <c r="Z11" i="135"/>
  <c r="AA11" i="135"/>
  <c r="AB11" i="135"/>
  <c r="AE11" i="135"/>
  <c r="W12" i="135"/>
  <c r="X12" i="135"/>
  <c r="Y12" i="135"/>
  <c r="Z12" i="135"/>
  <c r="AA12" i="135"/>
  <c r="AB12" i="135"/>
  <c r="AC12" i="135"/>
  <c r="AD12" i="135"/>
  <c r="AE12" i="135"/>
  <c r="W13" i="135"/>
  <c r="X13" i="135"/>
  <c r="Y13" i="135"/>
  <c r="Z13" i="135"/>
  <c r="AA13" i="135"/>
  <c r="AB13" i="135"/>
  <c r="AC13" i="135"/>
  <c r="AD13" i="135"/>
  <c r="AE13" i="135"/>
  <c r="W14" i="135"/>
  <c r="X14" i="135"/>
  <c r="Y14" i="135"/>
  <c r="Z14" i="135"/>
  <c r="AA14" i="135"/>
  <c r="AB14" i="135"/>
  <c r="AC14" i="135"/>
  <c r="AD14" i="135"/>
  <c r="AE14" i="135"/>
  <c r="W15" i="135"/>
  <c r="X15" i="135"/>
  <c r="Y15" i="135"/>
  <c r="Z15" i="135"/>
  <c r="AA15" i="135"/>
  <c r="AB15" i="135"/>
  <c r="AC15" i="135"/>
  <c r="AD15" i="135"/>
  <c r="AE15" i="135"/>
  <c r="W16" i="135"/>
  <c r="X16" i="135"/>
  <c r="Y16" i="135"/>
  <c r="Z16" i="135"/>
  <c r="AA16" i="135"/>
  <c r="AB16" i="135"/>
  <c r="AC16" i="135"/>
  <c r="AD16" i="135"/>
  <c r="AE16" i="135"/>
  <c r="W17" i="135"/>
  <c r="X17" i="135"/>
  <c r="Y17" i="135"/>
  <c r="Z17" i="135"/>
  <c r="AA17" i="135"/>
  <c r="AB17" i="135"/>
  <c r="AC17" i="135"/>
  <c r="W18" i="135"/>
  <c r="X18" i="135"/>
  <c r="Y18" i="135"/>
  <c r="Z18" i="135"/>
  <c r="AA18" i="135"/>
  <c r="AB18" i="135"/>
  <c r="AC18" i="135"/>
  <c r="AD18" i="135"/>
  <c r="AE18" i="135"/>
  <c r="W19" i="135"/>
  <c r="X19" i="135"/>
  <c r="Y19" i="135"/>
  <c r="Z19" i="135"/>
  <c r="AA19" i="135"/>
  <c r="AB19" i="135"/>
  <c r="AC19" i="135"/>
  <c r="AD19" i="135"/>
  <c r="AE19" i="135"/>
  <c r="W20" i="135"/>
  <c r="X20" i="135"/>
  <c r="Y20" i="135"/>
  <c r="Z20" i="135"/>
  <c r="AA20" i="135"/>
  <c r="AB20" i="135"/>
  <c r="AC20" i="135"/>
  <c r="AD20" i="135"/>
  <c r="AE20" i="135"/>
  <c r="W21" i="135"/>
  <c r="X21" i="135"/>
  <c r="Y21" i="135"/>
  <c r="Z21" i="135"/>
  <c r="AA21" i="135"/>
  <c r="AB21" i="135"/>
  <c r="AC21" i="135"/>
  <c r="AD21" i="135"/>
  <c r="AE21" i="135"/>
  <c r="W22" i="135"/>
  <c r="X22" i="135"/>
  <c r="Y22" i="135"/>
  <c r="Z22" i="135"/>
  <c r="AA22" i="135"/>
  <c r="AB22" i="135"/>
  <c r="AC22" i="135"/>
  <c r="AD22" i="135"/>
  <c r="AE22" i="135"/>
  <c r="W23" i="135"/>
  <c r="X23" i="135"/>
  <c r="Y23" i="135"/>
  <c r="Z23" i="135"/>
  <c r="AA23" i="135"/>
  <c r="AB23" i="135"/>
  <c r="AC23" i="135"/>
  <c r="AD23" i="135"/>
  <c r="AE23" i="135"/>
  <c r="W24" i="135"/>
  <c r="X24" i="135"/>
  <c r="Y24" i="135"/>
  <c r="Z24" i="135"/>
  <c r="AA24" i="135"/>
  <c r="AB24" i="135"/>
  <c r="AC24" i="135"/>
  <c r="AD24" i="135"/>
  <c r="AE24" i="135"/>
  <c r="W25" i="135"/>
  <c r="X25" i="135"/>
  <c r="Y25" i="135"/>
  <c r="Z25" i="135"/>
  <c r="AA25" i="135"/>
  <c r="AB25" i="135"/>
  <c r="AC25" i="135"/>
  <c r="AD25" i="135"/>
  <c r="AE25" i="135"/>
  <c r="W26" i="135"/>
  <c r="X26" i="135"/>
  <c r="Y26" i="135"/>
  <c r="Z26" i="135"/>
  <c r="AA26" i="135"/>
  <c r="AB26" i="135"/>
  <c r="AC26" i="135"/>
  <c r="AD26" i="135"/>
  <c r="AE26" i="135"/>
  <c r="W27" i="135"/>
  <c r="X27" i="135"/>
  <c r="Y27" i="135"/>
  <c r="Z27" i="135"/>
  <c r="AA27" i="135"/>
  <c r="AB27" i="135"/>
  <c r="AC27" i="135"/>
  <c r="AD27" i="135"/>
  <c r="AE27" i="135"/>
  <c r="W28" i="135"/>
  <c r="X28" i="135"/>
  <c r="Y28" i="135"/>
  <c r="Z28" i="135"/>
  <c r="AA28" i="135"/>
  <c r="AB28" i="135"/>
  <c r="AC28" i="135"/>
  <c r="AD28" i="135"/>
  <c r="AE28" i="135"/>
  <c r="W29" i="135"/>
  <c r="X29" i="135"/>
  <c r="Y29" i="135"/>
  <c r="Z29" i="135"/>
  <c r="AA29" i="135"/>
  <c r="AB29" i="135"/>
  <c r="AC29" i="135"/>
  <c r="AD29" i="135"/>
  <c r="AE29" i="135"/>
  <c r="W30" i="135"/>
  <c r="X30" i="135"/>
  <c r="Y30" i="135"/>
  <c r="Z30" i="135"/>
  <c r="AA30" i="135"/>
  <c r="AB30" i="135"/>
  <c r="AC30" i="135"/>
  <c r="AD30" i="135"/>
  <c r="AE30" i="135"/>
  <c r="W31" i="135"/>
  <c r="X31" i="135"/>
  <c r="Y31" i="135"/>
  <c r="Z31" i="135"/>
  <c r="AA31" i="135"/>
  <c r="AB31" i="135"/>
  <c r="AC31" i="135"/>
  <c r="AD31" i="135"/>
  <c r="AE31" i="135"/>
  <c r="W32" i="135"/>
  <c r="X32" i="135"/>
  <c r="Y32" i="135"/>
  <c r="Z32" i="135"/>
  <c r="AA32" i="135"/>
  <c r="AB32" i="135"/>
  <c r="AC32" i="135"/>
  <c r="AD32" i="135"/>
  <c r="AE32" i="135"/>
  <c r="W33" i="135"/>
  <c r="X33" i="135"/>
  <c r="Y33" i="135"/>
  <c r="Z33" i="135"/>
  <c r="AA33" i="135"/>
  <c r="AB33" i="135"/>
  <c r="AC33" i="135"/>
  <c r="AD33" i="135"/>
  <c r="AE33" i="135"/>
  <c r="W34" i="135"/>
  <c r="X34" i="135"/>
  <c r="Y34" i="135"/>
  <c r="Z34" i="135"/>
  <c r="AA34" i="135"/>
  <c r="AB34" i="135"/>
  <c r="AC34" i="135"/>
  <c r="AD34" i="135"/>
  <c r="AE34" i="135"/>
  <c r="W35" i="135"/>
  <c r="X35" i="135"/>
  <c r="Y35" i="135"/>
  <c r="Z35" i="135"/>
  <c r="AA35" i="135"/>
  <c r="AB35" i="135"/>
  <c r="AC35" i="135"/>
  <c r="AD35" i="135"/>
  <c r="AE35" i="135"/>
  <c r="W36" i="135"/>
  <c r="X36" i="135"/>
  <c r="Y36" i="135"/>
  <c r="Z36" i="135"/>
  <c r="AA36" i="135"/>
  <c r="AB36" i="135"/>
  <c r="AC36" i="135"/>
  <c r="AD36" i="135"/>
  <c r="AE36" i="135"/>
  <c r="W37" i="135"/>
  <c r="X37" i="135"/>
  <c r="Y37" i="135"/>
  <c r="Z37" i="135"/>
  <c r="AA37" i="135"/>
  <c r="AB37" i="135"/>
  <c r="AC37" i="135"/>
  <c r="AD37" i="135"/>
  <c r="AE37" i="135"/>
  <c r="G5" i="135"/>
  <c r="G6" i="135"/>
  <c r="G7" i="135"/>
  <c r="G8" i="135"/>
  <c r="G9" i="135"/>
  <c r="G10" i="135"/>
  <c r="G11" i="135"/>
  <c r="G12" i="135"/>
  <c r="G13" i="135"/>
  <c r="G14" i="135"/>
  <c r="G15" i="135"/>
  <c r="G16" i="135"/>
  <c r="G17" i="135"/>
  <c r="G18" i="135"/>
  <c r="G19" i="135"/>
  <c r="G20" i="135"/>
  <c r="G21" i="135"/>
  <c r="G22" i="135"/>
  <c r="G23" i="135"/>
  <c r="G24" i="135"/>
  <c r="G25" i="135"/>
  <c r="G26" i="135"/>
  <c r="G27" i="135"/>
  <c r="G28" i="135"/>
  <c r="G29" i="135"/>
  <c r="G30" i="135"/>
  <c r="G31" i="135"/>
  <c r="G32" i="135"/>
  <c r="G33" i="135"/>
  <c r="G34" i="135"/>
  <c r="G35" i="135"/>
  <c r="G36" i="135"/>
  <c r="G37" i="135"/>
  <c r="G4" i="135"/>
  <c r="P39" i="135"/>
  <c r="Q30" i="135" l="1"/>
  <c r="AF30" i="135" s="1"/>
  <c r="S30" i="135"/>
  <c r="AH30" i="135" s="1"/>
  <c r="R30" i="135"/>
  <c r="AG30" i="135" s="1"/>
  <c r="Q37" i="135"/>
  <c r="AF37" i="135" s="1"/>
  <c r="D37" i="135" s="1"/>
  <c r="S37" i="135"/>
  <c r="AH37" i="135" s="1"/>
  <c r="R37" i="135"/>
  <c r="AG37" i="135" s="1"/>
  <c r="Q33" i="135"/>
  <c r="AF33" i="135" s="1"/>
  <c r="S33" i="135"/>
  <c r="AH33" i="135" s="1"/>
  <c r="R33" i="135"/>
  <c r="AG33" i="135" s="1"/>
  <c r="Q29" i="135"/>
  <c r="AF29" i="135" s="1"/>
  <c r="S29" i="135"/>
  <c r="AH29" i="135" s="1"/>
  <c r="R29" i="135"/>
  <c r="AG29" i="135" s="1"/>
  <c r="Q25" i="135"/>
  <c r="AF25" i="135" s="1"/>
  <c r="S25" i="135"/>
  <c r="AH25" i="135" s="1"/>
  <c r="R25" i="135"/>
  <c r="AG25" i="135" s="1"/>
  <c r="Q21" i="135"/>
  <c r="AF21" i="135" s="1"/>
  <c r="S21" i="135"/>
  <c r="AH21" i="135" s="1"/>
  <c r="R21" i="135"/>
  <c r="AG21" i="135" s="1"/>
  <c r="Q17" i="135"/>
  <c r="AF17" i="135" s="1"/>
  <c r="S17" i="135"/>
  <c r="AH17" i="135" s="1"/>
  <c r="R17" i="135"/>
  <c r="AG17" i="135" s="1"/>
  <c r="Q13" i="135"/>
  <c r="AF13" i="135" s="1"/>
  <c r="S13" i="135"/>
  <c r="AH13" i="135" s="1"/>
  <c r="R13" i="135"/>
  <c r="AG13" i="135" s="1"/>
  <c r="Q9" i="135"/>
  <c r="AF9" i="135" s="1"/>
  <c r="S9" i="135"/>
  <c r="AH9" i="135" s="1"/>
  <c r="R9" i="135"/>
  <c r="AG9" i="135" s="1"/>
  <c r="Q5" i="135"/>
  <c r="AF5" i="135" s="1"/>
  <c r="S5" i="135"/>
  <c r="AH5" i="135" s="1"/>
  <c r="R5" i="135"/>
  <c r="AG5" i="135" s="1"/>
  <c r="Q36" i="135"/>
  <c r="AF36" i="135" s="1"/>
  <c r="D36" i="135" s="1"/>
  <c r="S36" i="135"/>
  <c r="AH36" i="135" s="1"/>
  <c r="R36" i="135"/>
  <c r="AG36" i="135" s="1"/>
  <c r="Q32" i="135"/>
  <c r="AF32" i="135" s="1"/>
  <c r="D32" i="135" s="1"/>
  <c r="S32" i="135"/>
  <c r="AH32" i="135" s="1"/>
  <c r="R32" i="135"/>
  <c r="AG32" i="135" s="1"/>
  <c r="Q28" i="135"/>
  <c r="AF28" i="135" s="1"/>
  <c r="S28" i="135"/>
  <c r="AH28" i="135" s="1"/>
  <c r="R28" i="135"/>
  <c r="AG28" i="135" s="1"/>
  <c r="Q24" i="135"/>
  <c r="AF24" i="135" s="1"/>
  <c r="S24" i="135"/>
  <c r="AH24" i="135" s="1"/>
  <c r="R24" i="135"/>
  <c r="AG24" i="135" s="1"/>
  <c r="Q16" i="135"/>
  <c r="AF16" i="135" s="1"/>
  <c r="D16" i="135" s="1"/>
  <c r="S16" i="135"/>
  <c r="AH16" i="135" s="1"/>
  <c r="R16" i="135"/>
  <c r="AG16" i="135" s="1"/>
  <c r="Q12" i="135"/>
  <c r="AF12" i="135" s="1"/>
  <c r="S12" i="135"/>
  <c r="R12" i="135"/>
  <c r="Q8" i="135"/>
  <c r="AF8" i="135" s="1"/>
  <c r="S8" i="135"/>
  <c r="AH8" i="135" s="1"/>
  <c r="R8" i="135"/>
  <c r="AG8" i="135" s="1"/>
  <c r="Q4" i="135"/>
  <c r="AF4" i="135" s="1"/>
  <c r="S4" i="135"/>
  <c r="AH4" i="135" s="1"/>
  <c r="R4" i="135"/>
  <c r="AG4" i="135" s="1"/>
  <c r="Q34" i="135"/>
  <c r="AF34" i="135" s="1"/>
  <c r="S34" i="135"/>
  <c r="AH34" i="135" s="1"/>
  <c r="R34" i="135"/>
  <c r="AG34" i="135" s="1"/>
  <c r="Q26" i="135"/>
  <c r="AF26" i="135" s="1"/>
  <c r="S26" i="135"/>
  <c r="AH26" i="135" s="1"/>
  <c r="R26" i="135"/>
  <c r="AG26" i="135" s="1"/>
  <c r="Q22" i="135"/>
  <c r="AF22" i="135" s="1"/>
  <c r="S22" i="135"/>
  <c r="AH22" i="135" s="1"/>
  <c r="R22" i="135"/>
  <c r="AG22" i="135" s="1"/>
  <c r="Q18" i="135"/>
  <c r="AF18" i="135" s="1"/>
  <c r="S18" i="135"/>
  <c r="AH18" i="135" s="1"/>
  <c r="R18" i="135"/>
  <c r="AG18" i="135" s="1"/>
  <c r="Q14" i="135"/>
  <c r="AF14" i="135" s="1"/>
  <c r="S14" i="135"/>
  <c r="AH14" i="135" s="1"/>
  <c r="R14" i="135"/>
  <c r="AG14" i="135" s="1"/>
  <c r="Q10" i="135"/>
  <c r="AF10" i="135" s="1"/>
  <c r="S10" i="135"/>
  <c r="AH10" i="135" s="1"/>
  <c r="R10" i="135"/>
  <c r="AG10" i="135" s="1"/>
  <c r="Q6" i="135"/>
  <c r="AF6" i="135" s="1"/>
  <c r="S6" i="135"/>
  <c r="AH6" i="135" s="1"/>
  <c r="R6" i="135"/>
  <c r="AG6" i="135" s="1"/>
  <c r="Q35" i="135"/>
  <c r="AF35" i="135" s="1"/>
  <c r="D35" i="135" s="1"/>
  <c r="S35" i="135"/>
  <c r="AH35" i="135" s="1"/>
  <c r="R35" i="135"/>
  <c r="AG35" i="135" s="1"/>
  <c r="Q31" i="135"/>
  <c r="AF31" i="135" s="1"/>
  <c r="D31" i="135" s="1"/>
  <c r="S31" i="135"/>
  <c r="AH31" i="135" s="1"/>
  <c r="R31" i="135"/>
  <c r="AG31" i="135" s="1"/>
  <c r="Q27" i="135"/>
  <c r="AF27" i="135" s="1"/>
  <c r="S27" i="135"/>
  <c r="AH27" i="135" s="1"/>
  <c r="R27" i="135"/>
  <c r="AG27" i="135" s="1"/>
  <c r="Q23" i="135"/>
  <c r="AF23" i="135" s="1"/>
  <c r="S23" i="135"/>
  <c r="AH23" i="135" s="1"/>
  <c r="R23" i="135"/>
  <c r="AG23" i="135" s="1"/>
  <c r="Q19" i="135"/>
  <c r="AF19" i="135" s="1"/>
  <c r="S19" i="135"/>
  <c r="AH19" i="135" s="1"/>
  <c r="R19" i="135"/>
  <c r="AG19" i="135" s="1"/>
  <c r="Q15" i="135"/>
  <c r="AF15" i="135" s="1"/>
  <c r="S15" i="135"/>
  <c r="AH15" i="135" s="1"/>
  <c r="R15" i="135"/>
  <c r="AG15" i="135" s="1"/>
  <c r="Q11" i="135"/>
  <c r="AF11" i="135" s="1"/>
  <c r="S11" i="135"/>
  <c r="AH11" i="135" s="1"/>
  <c r="R11" i="135"/>
  <c r="AG11" i="135" s="1"/>
  <c r="Q7" i="135"/>
  <c r="AF7" i="135" s="1"/>
  <c r="S7" i="135"/>
  <c r="AH7" i="135" s="1"/>
  <c r="R7" i="135"/>
  <c r="AG7" i="135" s="1"/>
  <c r="G149" i="145"/>
  <c r="E149" i="145" s="1"/>
  <c r="H149" i="145" s="1"/>
  <c r="D34" i="135"/>
  <c r="D30" i="135"/>
  <c r="D33" i="135"/>
  <c r="Q39" i="135" l="1"/>
  <c r="G154" i="145"/>
  <c r="E154" i="145" s="1"/>
  <c r="H154" i="145" s="1"/>
  <c r="G152" i="145"/>
  <c r="E152" i="145" s="1"/>
  <c r="H152" i="145" s="1"/>
  <c r="G162" i="145"/>
  <c r="E162" i="145" s="1"/>
  <c r="H162" i="145" s="1"/>
  <c r="G155" i="145"/>
  <c r="E155" i="145" s="1"/>
  <c r="H155" i="145" s="1"/>
  <c r="G164" i="145"/>
  <c r="E164" i="145" s="1"/>
  <c r="H164" i="145" s="1"/>
  <c r="G124" i="145"/>
  <c r="E124" i="145" s="1"/>
  <c r="H124" i="145" s="1"/>
  <c r="G151" i="145"/>
  <c r="E151" i="145" s="1"/>
  <c r="H151" i="145" s="1"/>
  <c r="G125" i="145"/>
  <c r="E125" i="145" s="1"/>
  <c r="H125" i="145" s="1"/>
  <c r="G138" i="145"/>
  <c r="E138" i="145" s="1"/>
  <c r="H138" i="145" s="1"/>
  <c r="G150" i="145"/>
  <c r="E150" i="145" s="1"/>
  <c r="H150" i="145" s="1"/>
  <c r="G136" i="145"/>
  <c r="E136" i="145" s="1"/>
  <c r="H136" i="145" s="1"/>
  <c r="G165" i="145"/>
  <c r="E165" i="145" s="1"/>
  <c r="H165" i="145" s="1"/>
  <c r="G133" i="145"/>
  <c r="E133" i="145" s="1"/>
  <c r="H133" i="145" s="1"/>
  <c r="G140" i="145"/>
  <c r="E140" i="145" s="1"/>
  <c r="H140" i="145" s="1"/>
  <c r="G148" i="145"/>
  <c r="E148" i="145" s="1"/>
  <c r="H148" i="145" s="1"/>
  <c r="G147" i="145"/>
  <c r="E147" i="145" s="1"/>
  <c r="H147" i="145" s="1"/>
  <c r="G153" i="145"/>
  <c r="E153" i="145" s="1"/>
  <c r="H153" i="145" s="1"/>
  <c r="G171" i="145"/>
  <c r="S39" i="135"/>
  <c r="D8" i="135"/>
  <c r="G135" i="145" s="1"/>
  <c r="G130" i="145"/>
  <c r="E130" i="145" s="1"/>
  <c r="H130" i="145" s="1"/>
  <c r="G123" i="145"/>
  <c r="E123" i="145" s="1"/>
  <c r="G129" i="145"/>
  <c r="E129" i="145" s="1"/>
  <c r="H129" i="145" s="1"/>
  <c r="G170" i="145"/>
  <c r="G142" i="145"/>
  <c r="G128" i="145"/>
  <c r="E128" i="145" s="1"/>
  <c r="H128" i="145" s="1"/>
  <c r="G145" i="145"/>
  <c r="E145" i="145" s="1"/>
  <c r="H145" i="145" s="1"/>
  <c r="D39" i="135" l="1"/>
  <c r="H123" i="145"/>
  <c r="E172" i="145"/>
  <c r="AH2" i="61" l="1"/>
  <c r="AY32" i="61" s="1"/>
  <c r="AZ32" i="61" s="1"/>
  <c r="AP32" i="61"/>
  <c r="AT19" i="61"/>
  <c r="AK17" i="61"/>
  <c r="AQ16" i="61"/>
  <c r="AI16" i="61"/>
  <c r="AL12" i="61"/>
  <c r="AO11" i="61"/>
  <c r="AM10" i="61"/>
  <c r="AT9" i="61"/>
  <c r="AI9" i="61"/>
  <c r="P7" i="61"/>
  <c r="AT6" i="61"/>
  <c r="AL5" i="61"/>
  <c r="P5" i="61"/>
  <c r="AS4" i="61"/>
  <c r="AS3" i="61"/>
  <c r="AK3" i="61"/>
  <c r="AL9" i="61"/>
  <c r="AN10" i="61"/>
  <c r="AS11" i="61"/>
  <c r="AN17" i="61"/>
  <c r="AU19" i="61"/>
  <c r="AO3" i="61"/>
  <c r="AK7" i="61"/>
  <c r="AM9" i="61"/>
  <c r="AI15" i="61"/>
  <c r="AM16" i="61"/>
  <c r="AI32" i="61"/>
  <c r="AN45" i="61"/>
  <c r="AR3" i="61"/>
  <c r="AQ9" i="61"/>
  <c r="AU10" i="61"/>
  <c r="AL15" i="61"/>
  <c r="AN16" i="61"/>
  <c r="AR17" i="61"/>
  <c r="AK4" i="61"/>
  <c r="AP5" i="61"/>
  <c r="AU9" i="61"/>
  <c r="AJ11" i="61"/>
  <c r="AO12" i="61"/>
  <c r="AS18" i="61"/>
  <c r="AX32" i="61"/>
  <c r="AY18" i="61"/>
  <c r="AZ18" i="61"/>
  <c r="AY19" i="61"/>
  <c r="AZ19" i="61" s="1"/>
  <c r="AY12" i="61"/>
  <c r="AZ12" i="61"/>
  <c r="AY13" i="61"/>
  <c r="AZ13" i="61" s="1"/>
  <c r="BB13" i="61" s="1"/>
  <c r="AY6" i="61"/>
  <c r="AZ6" i="61"/>
  <c r="BB6" i="61" s="1"/>
  <c r="AY17" i="61"/>
  <c r="AZ17" i="61" s="1"/>
  <c r="AY15" i="61"/>
  <c r="AZ15" i="61"/>
  <c r="AY16" i="61"/>
  <c r="AZ16" i="61" s="1"/>
  <c r="BB16" i="61" s="1"/>
  <c r="AO4" i="61"/>
  <c r="AS5" i="61"/>
  <c r="AK11" i="61"/>
  <c r="AP12" i="61"/>
  <c r="AV16" i="61"/>
  <c r="AT18" i="61"/>
  <c r="AT32" i="61"/>
  <c r="AT5" i="61"/>
  <c r="AT8" i="61"/>
  <c r="AN11" i="61"/>
  <c r="AS12" i="61"/>
  <c r="AU15" i="61"/>
  <c r="AU32" i="61"/>
  <c r="AR46" i="61"/>
  <c r="AX17" i="61"/>
  <c r="AX9" i="61"/>
  <c r="AX13" i="61"/>
  <c r="AY45" i="61"/>
  <c r="AZ45" i="61" s="1"/>
  <c r="AX15" i="61"/>
  <c r="AX7" i="61"/>
  <c r="AX46" i="61"/>
  <c r="AX45" i="61"/>
  <c r="AX5" i="61"/>
  <c r="AX4" i="61"/>
  <c r="AX19" i="61"/>
  <c r="AX11" i="61"/>
  <c r="AX10" i="61"/>
  <c r="AW32" i="61"/>
  <c r="AW19" i="61"/>
  <c r="AW4" i="61"/>
  <c r="AW12" i="61"/>
  <c r="AW7" i="61"/>
  <c r="AW15" i="61"/>
  <c r="AW17" i="61"/>
  <c r="AW18" i="61"/>
  <c r="AW5" i="61"/>
  <c r="AW8" i="61"/>
  <c r="AW16" i="61"/>
  <c r="AV3" i="61"/>
  <c r="AL4" i="61"/>
  <c r="AO5" i="61"/>
  <c r="AQ10" i="61"/>
  <c r="AR11" i="61"/>
  <c r="AT15" i="61"/>
  <c r="AU16" i="61"/>
  <c r="AV17" i="61"/>
  <c r="AU4" i="61"/>
  <c r="AU8" i="61"/>
  <c r="AI3" i="61"/>
  <c r="AV4" i="61"/>
  <c r="AJ5" i="61"/>
  <c r="AR5" i="61"/>
  <c r="AV8" i="61"/>
  <c r="AK9" i="61"/>
  <c r="AP10" i="61"/>
  <c r="AM11" i="61"/>
  <c r="AU11" i="61"/>
  <c r="AO15" i="61"/>
  <c r="AL16" i="61"/>
  <c r="AI17" i="61"/>
  <c r="AQ17" i="61"/>
  <c r="AV18" i="61"/>
  <c r="AM45" i="61"/>
  <c r="AU45" i="61"/>
  <c r="AS46" i="61"/>
  <c r="AV45" i="61"/>
  <c r="AL46" i="61"/>
  <c r="AM46" i="61"/>
  <c r="AU46" i="61"/>
  <c r="AI4" i="61"/>
  <c r="AU5" i="61"/>
  <c r="AI7" i="61"/>
  <c r="AP11" i="61"/>
  <c r="AM12" i="61"/>
  <c r="AU13" i="61"/>
  <c r="AU14" i="61"/>
  <c r="AJ15" i="61"/>
  <c r="AL17" i="61"/>
  <c r="AT17" i="61"/>
  <c r="AV19" i="61"/>
  <c r="AJ32" i="61"/>
  <c r="AR32" i="61"/>
  <c r="AV46" i="61"/>
  <c r="AT3" i="61"/>
  <c r="AM5" i="61"/>
  <c r="AU6" i="61"/>
  <c r="AQ7" i="61"/>
  <c r="AU3" i="61"/>
  <c r="AJ4" i="61"/>
  <c r="AN5" i="61"/>
  <c r="AV5" i="61"/>
  <c r="AV6" i="61"/>
  <c r="AO9" i="61"/>
  <c r="AL10" i="61"/>
  <c r="AI11" i="61"/>
  <c r="AQ11" i="61"/>
  <c r="AN12" i="61"/>
  <c r="AV14" i="61"/>
  <c r="AK15" i="61"/>
  <c r="AP16" i="61"/>
  <c r="AM17" i="61"/>
  <c r="AU17" i="61"/>
  <c r="AS32" i="61"/>
  <c r="AI45" i="61"/>
  <c r="AO46" i="61"/>
  <c r="AW46" i="61"/>
  <c r="AP46" i="61"/>
  <c r="AY46" i="61"/>
  <c r="AZ46" i="61"/>
  <c r="AM4" i="61"/>
  <c r="AQ5" i="61"/>
  <c r="AU7" i="61"/>
  <c r="AO10" i="61"/>
  <c r="AL11" i="61"/>
  <c r="AI12" i="61"/>
  <c r="AQ12" i="61"/>
  <c r="AN15" i="61"/>
  <c r="AS16" i="61"/>
  <c r="AP17" i="61"/>
  <c r="AR19" i="61"/>
  <c r="AN32" i="61"/>
  <c r="AV32" i="61"/>
  <c r="AJ46" i="61"/>
  <c r="AU18" i="61"/>
  <c r="AT11" i="61"/>
  <c r="AP3" i="61"/>
  <c r="AQ45" i="61"/>
  <c r="AS15" i="61"/>
  <c r="AT10" i="61"/>
  <c r="AR4" i="61"/>
  <c r="AQ4" i="61"/>
  <c r="AQ18" i="61"/>
  <c r="AU12" i="61"/>
  <c r="AL3" i="61"/>
  <c r="AK46" i="61"/>
  <c r="AT16" i="61"/>
  <c r="AS9" i="61"/>
  <c r="AQ3" i="61"/>
  <c r="AT12" i="61"/>
  <c r="AW10" i="61"/>
  <c r="AW9" i="61"/>
  <c r="AW11" i="61"/>
  <c r="AX12" i="61"/>
  <c r="AJ10" i="61"/>
  <c r="AQ15" i="61"/>
  <c r="AY9" i="61"/>
  <c r="AZ9" i="61"/>
  <c r="BB9" i="61"/>
  <c r="AY7" i="61"/>
  <c r="AZ7" i="61" s="1"/>
  <c r="AY3" i="61"/>
  <c r="AZ3" i="61"/>
  <c r="AY4" i="61"/>
  <c r="AZ4" i="61" s="1"/>
  <c r="BB4" i="61" s="1"/>
  <c r="AY10" i="61"/>
  <c r="AZ10" i="61" s="1"/>
  <c r="BB10" i="61" s="1"/>
  <c r="AS7" i="61"/>
  <c r="AK12" i="61"/>
  <c r="AO17" i="61"/>
  <c r="AK45" i="61"/>
  <c r="AT4" i="61"/>
  <c r="AV10" i="61"/>
  <c r="AS17" i="61"/>
  <c r="AT45" i="61"/>
  <c r="AK16" i="61"/>
  <c r="AR9" i="61"/>
  <c r="AQ46" i="61"/>
  <c r="AK32" i="61"/>
  <c r="AV13" i="61"/>
  <c r="AR7" i="61"/>
  <c r="AM3" i="61"/>
  <c r="AN46" i="61"/>
  <c r="AO16" i="61"/>
  <c r="AK10" i="61"/>
  <c r="AW45" i="61"/>
  <c r="AO32" i="61"/>
  <c r="AR12" i="61"/>
  <c r="AV7" i="61"/>
  <c r="AM7" i="61"/>
  <c r="AO45" i="61"/>
  <c r="AP9" i="61"/>
  <c r="AW6" i="61"/>
  <c r="AW14" i="61"/>
  <c r="AX18" i="61"/>
  <c r="AX6" i="61"/>
  <c r="AX8" i="61"/>
  <c r="AQ19" i="61"/>
  <c r="AP4" i="61"/>
  <c r="AI10" i="61"/>
  <c r="AR16" i="61"/>
  <c r="AR45" i="61"/>
  <c r="AL7" i="61"/>
  <c r="AV11" i="61"/>
  <c r="AJ16" i="61"/>
  <c r="AT13" i="61"/>
  <c r="AJ45" i="61"/>
  <c r="AN9" i="61"/>
  <c r="AL45" i="61"/>
  <c r="AV15" i="61"/>
  <c r="AJ9" i="61"/>
  <c r="AI46" i="61"/>
  <c r="AR18" i="61"/>
  <c r="AV12" i="61"/>
  <c r="AJ7" i="61"/>
  <c r="AS10" i="61"/>
  <c r="AP45" i="61"/>
  <c r="AR15" i="61"/>
  <c r="AV9" i="61"/>
  <c r="AT46" i="61"/>
  <c r="AS19" i="61"/>
  <c r="AJ12" i="61"/>
  <c r="AN7" i="61"/>
  <c r="AI5" i="61"/>
  <c r="AM32" i="61"/>
  <c r="AO7" i="61"/>
  <c r="AW13" i="61"/>
  <c r="AW3" i="61"/>
  <c r="AX3" i="61"/>
  <c r="AX14" i="61"/>
  <c r="AX16" i="61"/>
  <c r="AJ17" i="61"/>
  <c r="AJ3" i="61"/>
  <c r="AT7" i="61"/>
  <c r="AY8" i="61"/>
  <c r="AZ8" i="61"/>
  <c r="BB8" i="61" s="1"/>
  <c r="AY14" i="61"/>
  <c r="AZ14" i="61"/>
  <c r="BB14" i="61"/>
  <c r="AY5" i="61"/>
  <c r="AZ5" i="61" s="1"/>
  <c r="AY11" i="61"/>
  <c r="AZ11" i="61"/>
  <c r="BB11" i="61"/>
  <c r="AP15" i="61"/>
  <c r="AL32" i="61"/>
  <c r="AK5" i="61"/>
  <c r="AR10" i="61"/>
  <c r="AT14" i="61"/>
  <c r="AQ32" i="61"/>
  <c r="AP7" i="61"/>
  <c r="AM15" i="61"/>
  <c r="AS45" i="61"/>
  <c r="BB15" i="61" l="1"/>
  <c r="BB12" i="61"/>
  <c r="AZ20" i="61"/>
  <c r="BB5" i="61"/>
  <c r="BB7" i="61"/>
  <c r="BB17" i="61"/>
  <c r="BB3" i="61"/>
  <c r="BB18" i="61" l="1"/>
  <c r="BB19" i="6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</author>
  </authors>
  <commentList>
    <comment ref="B1" authorId="0" shapeId="0" xr:uid="{19016BAD-5FD6-4E94-A206-DE9088C6D911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3362,3600,3005,3201,3020,3363,3576,3000,3065,3040,3076,3351,3030,3034</t>
        </r>
      </text>
    </comment>
    <comment ref="E1" authorId="0" shapeId="0" xr:uid="{3EB13AE1-9DB7-4C4A-90CF-C5265A57E208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Delete Lines from Same Periods Last FY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Naheed Khericha</author>
    <author>M</author>
  </authors>
  <commentList>
    <comment ref="D45" authorId="0" shapeId="0" xr:uid="{316B8311-EAF4-4125-A850-38710F7177B7}">
      <text>
        <r>
          <rPr>
            <b/>
            <sz val="9"/>
            <color indexed="81"/>
            <rFont val="Tahoma"/>
            <family val="2"/>
          </rPr>
          <t>Naheed Khericha:</t>
        </r>
        <r>
          <rPr>
            <sz val="9"/>
            <color indexed="81"/>
            <rFont val="Tahoma"/>
            <family val="2"/>
          </rPr>
          <t xml:space="preserve">
Average of July and Aug 2019 invoices
</t>
        </r>
      </text>
    </comment>
    <comment ref="D47" authorId="0" shapeId="0" xr:uid="{432DC319-2E21-498B-BF07-FDB4833B289E}">
      <text>
        <r>
          <rPr>
            <b/>
            <sz val="9"/>
            <color indexed="81"/>
            <rFont val="Tahoma"/>
            <family val="2"/>
          </rPr>
          <t>Naheed Khericha:</t>
        </r>
        <r>
          <rPr>
            <sz val="9"/>
            <color indexed="81"/>
            <rFont val="Tahoma"/>
            <family val="2"/>
          </rPr>
          <t xml:space="preserve">
Based on Nov invoice</t>
        </r>
      </text>
    </comment>
    <comment ref="D49" authorId="0" shapeId="0" xr:uid="{B87B2A76-55F4-408A-B63B-C66E53029F2B}">
      <text>
        <r>
          <rPr>
            <b/>
            <sz val="9"/>
            <color indexed="81"/>
            <rFont val="Tahoma"/>
            <family val="2"/>
          </rPr>
          <t>Naheed Khericha:</t>
        </r>
        <r>
          <rPr>
            <sz val="9"/>
            <color indexed="81"/>
            <rFont val="Tahoma"/>
            <family val="2"/>
          </rPr>
          <t xml:space="preserve">
Avg of recent invoices for
 Jan to March 2020</t>
        </r>
      </text>
    </comment>
    <comment ref="D65" authorId="1" shapeId="0" xr:uid="{155CBB7C-DB2F-48ED-BD29-ACF48453570E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Jul 2020- Feb 2021
</t>
        </r>
      </text>
    </comment>
    <comment ref="D66" authorId="1" shapeId="0" xr:uid="{1C815647-E473-45A8-BCD1-7F51B8176E03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Jul 2020- Feb 2021</t>
        </r>
      </text>
    </comment>
    <comment ref="D67" authorId="1" shapeId="0" xr:uid="{07993DDD-1E43-4E97-B322-69B858D91150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Jul 2020- Feb 2021</t>
        </r>
      </text>
    </comment>
    <comment ref="D70" authorId="1" shapeId="0" xr:uid="{5C24F2C7-B4E0-405A-81A8-4E71ABC6D037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current invoice Jul 2020-Feb 2021
</t>
        </r>
      </text>
    </comment>
    <comment ref="D71" authorId="1" shapeId="0" xr:uid="{DC40EE2E-05DF-4508-9CD9-7C98798E5F16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Average per month Jul 2020-Feb 2021</t>
        </r>
      </text>
    </comment>
    <comment ref="D84" authorId="1" shapeId="0" xr:uid="{A58DC66E-8804-4983-8BC3-90E71F8A31C0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Based on recent invoice for Sept 2020 Qtr</t>
        </r>
      </text>
    </comment>
    <comment ref="D136" authorId="1" shapeId="0" xr:uid="{2772EEEE-2C4C-4462-89C9-21EA4292475C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based on budget FY19-20</t>
        </r>
      </text>
    </comment>
    <comment ref="F136" authorId="1" shapeId="0" xr:uid="{7EE3074F-784D-44F6-836B-AAC568F44444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D137" authorId="1" shapeId="0" xr:uid="{1BAFCD88-D62D-46C5-BFFA-289745B40544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based on budget FY19-20</t>
        </r>
      </text>
    </comment>
    <comment ref="F137" authorId="1" shapeId="0" xr:uid="{5DFECF40-0EEB-408B-876C-50272106E633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D138" authorId="1" shapeId="0" xr:uid="{325AF286-4F1D-4ADF-9E32-40D9546B977A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based on budget FY19-20</t>
        </r>
      </text>
    </comment>
    <comment ref="F138" authorId="1" shapeId="0" xr:uid="{C3385D0F-D328-4478-957E-C4371EB78225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40" authorId="1" shapeId="0" xr:uid="{A519864C-4442-4EDC-A10D-163C66009CF4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D141" authorId="1" shapeId="0" xr:uid="{23B286A3-DB14-48EC-88A4-79A4AE3F38D9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Based on Budget 19-20</t>
        </r>
      </text>
    </comment>
    <comment ref="F141" authorId="1" shapeId="0" xr:uid="{FCAC941E-010B-41A4-AE2D-C14EF7ADD876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D142" authorId="1" shapeId="0" xr:uid="{18A48683-5ED9-4880-8213-4EFED2B0A100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Based on Budget 19-20
</t>
        </r>
      </text>
    </comment>
    <comment ref="F142" authorId="1" shapeId="0" xr:uid="{FC86275C-7C62-4CC2-B8AF-CB7FD778F14F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43" authorId="1" shapeId="0" xr:uid="{87817D22-2F9C-4BD6-81D6-FDD234995217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44" authorId="1" shapeId="0" xr:uid="{9A236E93-54C5-4E4B-B793-0230183FC1A8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47" authorId="1" shapeId="0" xr:uid="{60242064-6F5E-45CE-8B51-489E637B5803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48" authorId="1" shapeId="0" xr:uid="{DEFC6E0A-E701-4662-A44D-60301D1B02E8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49" authorId="1" shapeId="0" xr:uid="{C31C594F-5CEB-4943-B060-FC9E6CC7B769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50" authorId="1" shapeId="0" xr:uid="{CFD65E33-3A85-4400-BF2C-96D72D46D7D1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51" authorId="1" shapeId="0" xr:uid="{1CA1E705-22D3-410F-81B5-1E6A76F1AA02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52" authorId="1" shapeId="0" xr:uid="{EE26EB19-36AB-4A51-95A4-72EF282063DE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53" authorId="1" shapeId="0" xr:uid="{86D876B8-A7E0-494A-8F81-76E34CC132FE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54" authorId="1" shapeId="0" xr:uid="{2BBF4615-BAF8-4B39-AEE2-EE1B90A401D7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55" authorId="1" shapeId="0" xr:uid="{126C8D15-84F3-47CA-B583-4BFCB86A1317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59" authorId="1" shapeId="0" xr:uid="{7645DE04-7192-4A22-B7E1-5FB320067357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60" authorId="1" shapeId="0" xr:uid="{2B0AFDF1-6B30-4798-880C-F856E4F4E29B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62" authorId="1" shapeId="0" xr:uid="{5EEFC2E5-8534-4083-A3BC-13722D262BAA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63" authorId="1" shapeId="0" xr:uid="{B1CA1B2B-5FF3-416C-8AFF-10A2EF465561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64" authorId="1" shapeId="0" xr:uid="{33D88688-2909-4A91-B767-DB15A53C0D1D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65" authorId="1" shapeId="0" xr:uid="{0078AA1D-3BD9-4201-B7CE-B5DF9A423FA0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69" authorId="1" shapeId="0" xr:uid="{C88DAB57-B81C-4005-AB04-775EF97269DA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  <comment ref="F170" authorId="1" shapeId="0" xr:uid="{633B1A5C-1DE7-40C0-951B-DA42BE7CA578}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(Assuming there will be no Levy for April 20, May 20, June 20, July 20 &amp; Aug 20 due to store closure)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<sst xmlns="http://schemas.openxmlformats.org/spreadsheetml/2006/main" count="43277" uniqueCount="3285">
  <si>
    <t>Store</t>
  </si>
  <si>
    <t>itemcolour_ref</t>
  </si>
  <si>
    <t>fob_cost</t>
  </si>
  <si>
    <t>News Travels Newcastle</t>
  </si>
  <si>
    <t>Name:</t>
  </si>
  <si>
    <t>Journal Number:</t>
  </si>
  <si>
    <t>Date of Journal:</t>
  </si>
  <si>
    <t>Date of Posting:</t>
  </si>
  <si>
    <t>Posted by:</t>
  </si>
  <si>
    <t>Approved by:</t>
  </si>
  <si>
    <t>Journal Type:</t>
  </si>
  <si>
    <t>Reversing Journal</t>
  </si>
  <si>
    <t>Narration:</t>
  </si>
  <si>
    <t>General Journal</t>
  </si>
  <si>
    <t>Esther Joseph</t>
  </si>
  <si>
    <t>Matt Li</t>
  </si>
  <si>
    <t>Marg Luxford</t>
  </si>
  <si>
    <t xml:space="preserve">Tara </t>
  </si>
  <si>
    <t>2004 - Carry On T2 Syd</t>
  </si>
  <si>
    <t>2009 - AW T2 Syd Dom</t>
  </si>
  <si>
    <t>2012 - AW Sydney Domes</t>
  </si>
  <si>
    <t>2013 - Carri On Sydney</t>
  </si>
  <si>
    <t>2131 - Produce Landsid</t>
  </si>
  <si>
    <t>2230 - Australian Way</t>
  </si>
  <si>
    <t>2233 - Aust Way Syd LS</t>
  </si>
  <si>
    <t>3019 - AW Melbourne Do</t>
  </si>
  <si>
    <t>3034 - Carri On Melbou</t>
  </si>
  <si>
    <t>4005 - AW Brisbane Dom</t>
  </si>
  <si>
    <t>4085 - Carri On Brisb</t>
  </si>
  <si>
    <t>4145 - NT Common User</t>
  </si>
  <si>
    <t>4157 - Aero Sat Virgin</t>
  </si>
  <si>
    <t>4239 - NT CU Satellite</t>
  </si>
  <si>
    <t>4770 - NT Bris Airside</t>
  </si>
  <si>
    <t>5192 - Carry On Ade</t>
  </si>
  <si>
    <t>6165 - AW Perth Domest</t>
  </si>
  <si>
    <t>7079 - Tasmania &amp; Beyo</t>
  </si>
  <si>
    <t>8188 - NT Darwin Dom</t>
  </si>
  <si>
    <t>9990 - Head Office</t>
  </si>
  <si>
    <t>1000</t>
  </si>
  <si>
    <t>1001</t>
  </si>
  <si>
    <t>1005</t>
  </si>
  <si>
    <t>1200</t>
  </si>
  <si>
    <t>1205</t>
  </si>
  <si>
    <t>1210</t>
  </si>
  <si>
    <t>1215</t>
  </si>
  <si>
    <t>1220</t>
  </si>
  <si>
    <t>1225</t>
  </si>
  <si>
    <t>1227</t>
  </si>
  <si>
    <t>1315</t>
  </si>
  <si>
    <t>Sales</t>
  </si>
  <si>
    <t>Tendor Rounding</t>
  </si>
  <si>
    <t>Discount Expense</t>
  </si>
  <si>
    <t>Commision Travelex</t>
  </si>
  <si>
    <t>Discounts Received</t>
  </si>
  <si>
    <t>Insurance Claims</t>
  </si>
  <si>
    <t>Rebates Received</t>
  </si>
  <si>
    <t>Sundry Income</t>
  </si>
  <si>
    <t>Workcover Refund</t>
  </si>
  <si>
    <t>Tender Surcharge</t>
  </si>
  <si>
    <t>Rent Received</t>
  </si>
  <si>
    <t>Opening Stock</t>
  </si>
  <si>
    <t>Purchases</t>
  </si>
  <si>
    <t>Freight</t>
  </si>
  <si>
    <t>Freight Offset - COGS</t>
  </si>
  <si>
    <t>Invoice matching - loss</t>
  </si>
  <si>
    <t>Invoice Matching - Gain</t>
  </si>
  <si>
    <t>Customs &amp; Duty Charges</t>
  </si>
  <si>
    <t>Transfers In</t>
  </si>
  <si>
    <t>Transfers Out</t>
  </si>
  <si>
    <t>Closing Stock</t>
  </si>
  <si>
    <t>Cost of Sales</t>
  </si>
  <si>
    <t>Stock Shrinkage Actual</t>
  </si>
  <si>
    <t>Stock Shrinkage Provision</t>
  </si>
  <si>
    <t>Over Receipting Error</t>
  </si>
  <si>
    <t>2000</t>
  </si>
  <si>
    <t>2010</t>
  </si>
  <si>
    <t>2011</t>
  </si>
  <si>
    <t>2012</t>
  </si>
  <si>
    <t>2013</t>
  </si>
  <si>
    <t>2014</t>
  </si>
  <si>
    <t>2015</t>
  </si>
  <si>
    <t>2016</t>
  </si>
  <si>
    <t>2020</t>
  </si>
  <si>
    <t>2025</t>
  </si>
  <si>
    <t>2030</t>
  </si>
  <si>
    <t>2035</t>
  </si>
  <si>
    <t>2040</t>
  </si>
  <si>
    <t>2045</t>
  </si>
  <si>
    <t>2047</t>
  </si>
  <si>
    <t>Accountancy Fees</t>
  </si>
  <si>
    <t>Advertising &amp; Promotional</t>
  </si>
  <si>
    <t>Branding Expenses</t>
  </si>
  <si>
    <t>Bid Expenses</t>
  </si>
  <si>
    <t>Design Fees</t>
  </si>
  <si>
    <t>London 2010 Bid</t>
  </si>
  <si>
    <t>Bank Charges</t>
  </si>
  <si>
    <t>Borrowing Expenses</t>
  </si>
  <si>
    <t>Cleaning</t>
  </si>
  <si>
    <t>Customs Fees</t>
  </si>
  <si>
    <t>Data Lines</t>
  </si>
  <si>
    <t>Mobile Phones</t>
  </si>
  <si>
    <t>Staff Phones</t>
  </si>
  <si>
    <t>Telephones</t>
  </si>
  <si>
    <t>Hosting Service</t>
  </si>
  <si>
    <t>IT Support Fees</t>
  </si>
  <si>
    <t>Hardware Maintenance</t>
  </si>
  <si>
    <t>Repairs</t>
  </si>
  <si>
    <t>Software Maintenance</t>
  </si>
  <si>
    <t>Software</t>
  </si>
  <si>
    <t>Sundry</t>
  </si>
  <si>
    <t>Consultants</t>
  </si>
  <si>
    <t>Carry Bags</t>
  </si>
  <si>
    <t>Hangers</t>
  </si>
  <si>
    <t>Labels</t>
  </si>
  <si>
    <t>Miscellaneous</t>
  </si>
  <si>
    <t>Printer Rolls</t>
  </si>
  <si>
    <t>Ticketing</t>
  </si>
  <si>
    <t>Toners</t>
  </si>
  <si>
    <t>Wrapping &amp; Packaging</t>
  </si>
  <si>
    <t>Samples</t>
  </si>
  <si>
    <t>Depreciation</t>
  </si>
  <si>
    <t>Temporary Store Depreciation</t>
  </si>
  <si>
    <t>Impairment Expense</t>
  </si>
  <si>
    <t>Duty Free Expenses</t>
  </si>
  <si>
    <t>Duty Paid</t>
  </si>
  <si>
    <t>American Express</t>
  </si>
  <si>
    <t>China Union Pay</t>
  </si>
  <si>
    <t>Diners Club</t>
  </si>
  <si>
    <t>Domestic Debit</t>
  </si>
  <si>
    <t>Equipment Rental</t>
  </si>
  <si>
    <t>Mastercard</t>
  </si>
  <si>
    <t>Cash Handling Fees</t>
  </si>
  <si>
    <t>Visa</t>
  </si>
  <si>
    <t>Merchant Service Fees</t>
  </si>
  <si>
    <t>Lottery Fees</t>
  </si>
  <si>
    <t>Electricity</t>
  </si>
  <si>
    <t>Associates</t>
  </si>
  <si>
    <t>Customers</t>
  </si>
  <si>
    <t>Employees</t>
  </si>
  <si>
    <t>Employees Non Meal</t>
  </si>
  <si>
    <t>In House</t>
  </si>
  <si>
    <t>In House(Not Social Function)</t>
  </si>
  <si>
    <t>Spouse</t>
  </si>
  <si>
    <t>Equipment Hire</t>
  </si>
  <si>
    <t>Ezipay Costs</t>
  </si>
  <si>
    <t>Freight on-line sales</t>
  </si>
  <si>
    <t>Foreign Exchange Gain or Loss</t>
  </si>
  <si>
    <t>Insurance</t>
  </si>
  <si>
    <t>Legal Fees - Decuctable</t>
  </si>
  <si>
    <t>Legal Fees - Non Deductible</t>
  </si>
  <si>
    <t>Start Up Costs: Travel</t>
  </si>
  <si>
    <t>Start Up Costs: Labour</t>
  </si>
  <si>
    <t>Start Up Costs: Training</t>
  </si>
  <si>
    <t>Start Up Costs: Misc</t>
  </si>
  <si>
    <t>Management Fee</t>
  </si>
  <si>
    <t>Merchandise Fee</t>
  </si>
  <si>
    <t>Accident Ins Excess</t>
  </si>
  <si>
    <t>Allowances/Parking</t>
  </si>
  <si>
    <t>Fuel &amp; Oil</t>
  </si>
  <si>
    <t>Novated Lease</t>
  </si>
  <si>
    <t>Registration</t>
  </si>
  <si>
    <t>Repairs &amp; Maint.</t>
  </si>
  <si>
    <t>National O/H Allocation</t>
  </si>
  <si>
    <t>Office Equipment Maintenance</t>
  </si>
  <si>
    <t>Office Equipment Rental</t>
  </si>
  <si>
    <t>Misc Equipment Purchases under $500</t>
  </si>
  <si>
    <t>Postage</t>
  </si>
  <si>
    <t>Printing &amp; Stationery</t>
  </si>
  <si>
    <t>Property Outgoings - Council Rates &amp; Taxes</t>
  </si>
  <si>
    <t>Property Outgoings - Land Tax</t>
  </si>
  <si>
    <t>Property Outgoings - Other</t>
  </si>
  <si>
    <t>Property Outgoings - Security</t>
  </si>
  <si>
    <t>Property Outgoings - Water Rates</t>
  </si>
  <si>
    <t>Recruitment Costs</t>
  </si>
  <si>
    <t>Rent - Base</t>
  </si>
  <si>
    <t>Rent - Storage</t>
  </si>
  <si>
    <t>Rent - Turnover</t>
  </si>
  <si>
    <t>Rent - Apartment</t>
  </si>
  <si>
    <t>Repairs &amp; Maintenance - General</t>
  </si>
  <si>
    <t>Repairs &amp; Maintenance - Lighting</t>
  </si>
  <si>
    <t>Royalties</t>
  </si>
  <si>
    <t>Salaries Mgt - Normal</t>
  </si>
  <si>
    <t>Allowances</t>
  </si>
  <si>
    <t>Bonuses</t>
  </si>
  <si>
    <t>FBT</t>
  </si>
  <si>
    <t>Holiday Pay</t>
  </si>
  <si>
    <t>Long Service Leave</t>
  </si>
  <si>
    <t>Payroll Tax</t>
  </si>
  <si>
    <t>Sick Leave</t>
  </si>
  <si>
    <t>Superannuation</t>
  </si>
  <si>
    <t>Termination Pay</t>
  </si>
  <si>
    <t>Workers Comp</t>
  </si>
  <si>
    <t>Workers Comp Excess</t>
  </si>
  <si>
    <t>Accrual Annual Leave</t>
  </si>
  <si>
    <t>Accrual Bonuses</t>
  </si>
  <si>
    <t>Wages Normal</t>
  </si>
  <si>
    <t>Wages Overtime</t>
  </si>
  <si>
    <t>Wages Casual Normal</t>
  </si>
  <si>
    <t>Wages Casual Overtime</t>
  </si>
  <si>
    <t>R.D.O</t>
  </si>
  <si>
    <t>Medical Expenses</t>
  </si>
  <si>
    <t>Staff Amenities</t>
  </si>
  <si>
    <t>Staff Uniforms</t>
  </si>
  <si>
    <t>Staff Incentive</t>
  </si>
  <si>
    <t>Stamp Duty</t>
  </si>
  <si>
    <t>Stocktake Fee</t>
  </si>
  <si>
    <t>Donations</t>
  </si>
  <si>
    <t>Plans and Permits</t>
  </si>
  <si>
    <t>Registrations</t>
  </si>
  <si>
    <t>Subscriptions</t>
  </si>
  <si>
    <t>Sponsorships</t>
  </si>
  <si>
    <t>Superannuation Directors</t>
  </si>
  <si>
    <t>Sundry Expenses</t>
  </si>
  <si>
    <t>Sourcing Agent Fees</t>
  </si>
  <si>
    <t>Training</t>
  </si>
  <si>
    <t>Accom Subsistence</t>
  </si>
  <si>
    <t>Airline Travel</t>
  </si>
  <si>
    <t>Hire Cars</t>
  </si>
  <si>
    <t>Taxis</t>
  </si>
  <si>
    <t>Waste Disposal</t>
  </si>
  <si>
    <t>Gain or Loss on Invoice Matching</t>
  </si>
  <si>
    <t>Void Claims</t>
  </si>
  <si>
    <t>Doubtful debt expense</t>
  </si>
  <si>
    <t>POS Drawer Errors</t>
  </si>
  <si>
    <t>Potential loss on Asset Write-Offs</t>
  </si>
  <si>
    <t>Asset Impairment</t>
  </si>
  <si>
    <t>Amortisation</t>
  </si>
  <si>
    <t>Goodwill Impairment</t>
  </si>
  <si>
    <t>Dividend Received Franked</t>
  </si>
  <si>
    <t>F/A Sale Proceeds</t>
  </si>
  <si>
    <t>Lease Term Intangible</t>
  </si>
  <si>
    <t>Interest Expense</t>
  </si>
  <si>
    <t>Interest HP</t>
  </si>
  <si>
    <t>Interest Received</t>
  </si>
  <si>
    <t>Dividend Received Unfranked</t>
  </si>
  <si>
    <t>Distributions Received</t>
  </si>
  <si>
    <t>Distribution to Beneficiaries</t>
  </si>
  <si>
    <t>Profit or Loss on Sale</t>
  </si>
  <si>
    <t>Dividends Paid</t>
  </si>
  <si>
    <t>Income Tax Expense</t>
  </si>
  <si>
    <t>Transfer from Reserve</t>
  </si>
  <si>
    <t>Assets</t>
  </si>
  <si>
    <t>5&amp;&amp;&amp;</t>
  </si>
  <si>
    <t>Cash on Hand</t>
  </si>
  <si>
    <t>5001</t>
  </si>
  <si>
    <t>N.A.B</t>
  </si>
  <si>
    <t>5051</t>
  </si>
  <si>
    <t>Term Deposit</t>
  </si>
  <si>
    <t>5052</t>
  </si>
  <si>
    <t>NAB Commercial Bill</t>
  </si>
  <si>
    <t>5053</t>
  </si>
  <si>
    <t>Around Australia</t>
  </si>
  <si>
    <t>5054</t>
  </si>
  <si>
    <t>Body Map</t>
  </si>
  <si>
    <t>5055</t>
  </si>
  <si>
    <t>Goodwill</t>
  </si>
  <si>
    <t>5056</t>
  </si>
  <si>
    <t>Intangibles - Design Fees</t>
  </si>
  <si>
    <t>5057</t>
  </si>
  <si>
    <t>CBA</t>
  </si>
  <si>
    <t>5058</t>
  </si>
  <si>
    <t>ANZ</t>
  </si>
  <si>
    <t>5059</t>
  </si>
  <si>
    <t>Trade Debtors</t>
  </si>
  <si>
    <t>5100</t>
  </si>
  <si>
    <t>Bank Clearing</t>
  </si>
  <si>
    <t>5101</t>
  </si>
  <si>
    <t>Bank Tendors Clearing</t>
  </si>
  <si>
    <t>5102</t>
  </si>
  <si>
    <t>Debtor - Amex</t>
  </si>
  <si>
    <t>5103</t>
  </si>
  <si>
    <t>Debtor - Online Sales</t>
  </si>
  <si>
    <t>5104</t>
  </si>
  <si>
    <t>Debtor - EFT</t>
  </si>
  <si>
    <t>5105</t>
  </si>
  <si>
    <t>Debtor - Alipay</t>
  </si>
  <si>
    <t>5106</t>
  </si>
  <si>
    <t>Debtor - Vouchers</t>
  </si>
  <si>
    <t>5107</t>
  </si>
  <si>
    <t>Foreign Cash</t>
  </si>
  <si>
    <t>5108</t>
  </si>
  <si>
    <t>Foreign Travellers Cheques</t>
  </si>
  <si>
    <t>5109</t>
  </si>
  <si>
    <t>Accrued Rebates</t>
  </si>
  <si>
    <t>5110</t>
  </si>
  <si>
    <t>Staff Purchases</t>
  </si>
  <si>
    <t>5111</t>
  </si>
  <si>
    <t>5112</t>
  </si>
  <si>
    <t>Debtors Clearing</t>
  </si>
  <si>
    <t>5113</t>
  </si>
  <si>
    <t>ASIC Deposits Refundable</t>
  </si>
  <si>
    <t>5114</t>
  </si>
  <si>
    <t>Debtor - WeChatPay</t>
  </si>
  <si>
    <t>5115</t>
  </si>
  <si>
    <t>Provision for doubtful debts</t>
  </si>
  <si>
    <t>5116</t>
  </si>
  <si>
    <t>Paid Parental Leave</t>
  </si>
  <si>
    <t>5117</t>
  </si>
  <si>
    <t>Debtors - (Creditors in debit balance)</t>
  </si>
  <si>
    <t>5118</t>
  </si>
  <si>
    <t>Bonds - Rental</t>
  </si>
  <si>
    <t>5119</t>
  </si>
  <si>
    <t>Stock on Hand</t>
  </si>
  <si>
    <t>5201</t>
  </si>
  <si>
    <t>Stock in Transit</t>
  </si>
  <si>
    <t>5202</t>
  </si>
  <si>
    <t>Prepaid Stock</t>
  </si>
  <si>
    <t>5203</t>
  </si>
  <si>
    <t>Stock: Labels, Tags etc</t>
  </si>
  <si>
    <t>5204</t>
  </si>
  <si>
    <t>Stock Clearing Account</t>
  </si>
  <si>
    <t>5205</t>
  </si>
  <si>
    <t>Stock Provision</t>
  </si>
  <si>
    <t>5206</t>
  </si>
  <si>
    <t>Stock: Valuation</t>
  </si>
  <si>
    <t>5207</t>
  </si>
  <si>
    <t>General</t>
  </si>
  <si>
    <t>5250</t>
  </si>
  <si>
    <t>HP Charges F &amp; F</t>
  </si>
  <si>
    <t>5251</t>
  </si>
  <si>
    <t>HP Charges M.V.</t>
  </si>
  <si>
    <t>5252</t>
  </si>
  <si>
    <t>HP Charges P&amp;E</t>
  </si>
  <si>
    <t>5253</t>
  </si>
  <si>
    <t>Prepayments</t>
  </si>
  <si>
    <t>5254</t>
  </si>
  <si>
    <t>Interest - NAB</t>
  </si>
  <si>
    <t>5255</t>
  </si>
  <si>
    <t>NAB Facility Fee</t>
  </si>
  <si>
    <t>5256</t>
  </si>
  <si>
    <t>Rates &amp; Taxes</t>
  </si>
  <si>
    <t>5257</t>
  </si>
  <si>
    <t>5258</t>
  </si>
  <si>
    <t>Rent</t>
  </si>
  <si>
    <t>5259</t>
  </si>
  <si>
    <t>C.M. Kouros FT Pre 04.12.97</t>
  </si>
  <si>
    <t>5300</t>
  </si>
  <si>
    <t>C.M. Kouros FT Post 04.12.97</t>
  </si>
  <si>
    <t>5301</t>
  </si>
  <si>
    <t>C.M. Kouros Family Trust</t>
  </si>
  <si>
    <t>5302</t>
  </si>
  <si>
    <t>C.M. Kouros</t>
  </si>
  <si>
    <t>5303</t>
  </si>
  <si>
    <t>Units in Unlisted Unit Trust</t>
  </si>
  <si>
    <t>5304</t>
  </si>
  <si>
    <t>Loan - NZ</t>
  </si>
  <si>
    <t>5330</t>
  </si>
  <si>
    <t>Loan - CATB Investments</t>
  </si>
  <si>
    <t>5331</t>
  </si>
  <si>
    <t>Loan - RC Airports Pty Ltd</t>
  </si>
  <si>
    <t>5332</t>
  </si>
  <si>
    <t>Loan - to Argyle Road</t>
  </si>
  <si>
    <t>5333</t>
  </si>
  <si>
    <t>Loan - Prince Patrick Trust</t>
  </si>
  <si>
    <t>5334</t>
  </si>
  <si>
    <t>Intercompany Stock Loan Account</t>
  </si>
  <si>
    <t>5335</t>
  </si>
  <si>
    <t>Loan AUST - NZ Borrowings</t>
  </si>
  <si>
    <t>5336</t>
  </si>
  <si>
    <t>Loan: Australian Way Pty Ltd</t>
  </si>
  <si>
    <t>5337</t>
  </si>
  <si>
    <t>Loan: Anna Kouros</t>
  </si>
  <si>
    <t>5338</t>
  </si>
  <si>
    <t>Input Tax Credits (Creditors)</t>
  </si>
  <si>
    <t>5350</t>
  </si>
  <si>
    <t>GST Zero Transactions</t>
  </si>
  <si>
    <t>5351</t>
  </si>
  <si>
    <t>Land</t>
  </si>
  <si>
    <t>5400</t>
  </si>
  <si>
    <t>Buildings at Cost</t>
  </si>
  <si>
    <t>5410</t>
  </si>
  <si>
    <t>Accumulated Depreciation Buildings</t>
  </si>
  <si>
    <t>5411</t>
  </si>
  <si>
    <t>Accumulated Impairment Buildings</t>
  </si>
  <si>
    <t>5412</t>
  </si>
  <si>
    <t>Vehicles at Cost</t>
  </si>
  <si>
    <t>5415</t>
  </si>
  <si>
    <t>Accumulated Depreciation Vehicles</t>
  </si>
  <si>
    <t>5416</t>
  </si>
  <si>
    <t>Accumulated Impairment MV</t>
  </si>
  <si>
    <t>5417</t>
  </si>
  <si>
    <t>Plant at Cost</t>
  </si>
  <si>
    <t>5420</t>
  </si>
  <si>
    <t>Accumulated Depreciation Plant</t>
  </si>
  <si>
    <t>5421</t>
  </si>
  <si>
    <t>Accumulated Impairment Plant</t>
  </si>
  <si>
    <t>5422</t>
  </si>
  <si>
    <t>Fixture &amp; Fittings at Cost</t>
  </si>
  <si>
    <t>5425</t>
  </si>
  <si>
    <t>Accumulated Depreciation F &amp; F</t>
  </si>
  <si>
    <t>5426</t>
  </si>
  <si>
    <t>Accumulated Impairment F &amp; F</t>
  </si>
  <si>
    <t>5427</t>
  </si>
  <si>
    <t>Computers at Cost</t>
  </si>
  <si>
    <t>5430</t>
  </si>
  <si>
    <t>Accumulated Depreciation Computers</t>
  </si>
  <si>
    <t>5431</t>
  </si>
  <si>
    <t>Accumulated Impairment Computers</t>
  </si>
  <si>
    <t>5432</t>
  </si>
  <si>
    <t>Low Pooled Assets</t>
  </si>
  <si>
    <t>5435</t>
  </si>
  <si>
    <t>Accumulated Depreciation Low Pooled Assets</t>
  </si>
  <si>
    <t>5436</t>
  </si>
  <si>
    <t>Accumulated Impairment Low Pooled Assets</t>
  </si>
  <si>
    <t>5437</t>
  </si>
  <si>
    <t>Work in Progress</t>
  </si>
  <si>
    <t>5440</t>
  </si>
  <si>
    <t>Capital Exp. Clearing</t>
  </si>
  <si>
    <t>5445</t>
  </si>
  <si>
    <t>Sale Proceeds</t>
  </si>
  <si>
    <t>5550</t>
  </si>
  <si>
    <t>Shares - ANCOL (SA) Ltd</t>
  </si>
  <si>
    <t>5559</t>
  </si>
  <si>
    <t>Settled Sum</t>
  </si>
  <si>
    <t>5560</t>
  </si>
  <si>
    <t>Shares in Listed Companies</t>
  </si>
  <si>
    <t>5561</t>
  </si>
  <si>
    <t>100 to 102 Dover Street Richmond</t>
  </si>
  <si>
    <t>5562</t>
  </si>
  <si>
    <t>124 Fairbank Road Clayton</t>
  </si>
  <si>
    <t>5563</t>
  </si>
  <si>
    <t>3 Prince Patrick St Richmond</t>
  </si>
  <si>
    <t>5564</t>
  </si>
  <si>
    <t>249-251 Ingles St Port Melbourne</t>
  </si>
  <si>
    <t>5565</t>
  </si>
  <si>
    <t>33 Toronga Road</t>
  </si>
  <si>
    <t>5566</t>
  </si>
  <si>
    <t>Preliminary Expenses</t>
  </si>
  <si>
    <t>5570</t>
  </si>
  <si>
    <t>Leashold Expenses</t>
  </si>
  <si>
    <t>5571</t>
  </si>
  <si>
    <t>Formation Expenses</t>
  </si>
  <si>
    <t>5572</t>
  </si>
  <si>
    <t>Borrowing Costs Stamp duty</t>
  </si>
  <si>
    <t>5573</t>
  </si>
  <si>
    <t>FITB</t>
  </si>
  <si>
    <t>5580</t>
  </si>
  <si>
    <t>Liabilities</t>
  </si>
  <si>
    <t>6&amp;&amp;&amp;</t>
  </si>
  <si>
    <t>Trade Creditors</t>
  </si>
  <si>
    <t>6001</t>
  </si>
  <si>
    <t>Invoice Clearing Account</t>
  </si>
  <si>
    <t>6002</t>
  </si>
  <si>
    <t>Visa - C Kouros</t>
  </si>
  <si>
    <t>6003</t>
  </si>
  <si>
    <t>Amex - C Kouros</t>
  </si>
  <si>
    <t>6004</t>
  </si>
  <si>
    <t>Shipment Cost Clearing</t>
  </si>
  <si>
    <t>6005</t>
  </si>
  <si>
    <t>Consignment Stock Invoice Clearing Account</t>
  </si>
  <si>
    <t>6006</t>
  </si>
  <si>
    <t>Faulity Items</t>
  </si>
  <si>
    <t>6010</t>
  </si>
  <si>
    <t>Supplier Sale or Return</t>
  </si>
  <si>
    <t>6011</t>
  </si>
  <si>
    <t>Supplier Incorrect Supply</t>
  </si>
  <si>
    <t>6012</t>
  </si>
  <si>
    <t>Provision for SOR account</t>
  </si>
  <si>
    <t>6013</t>
  </si>
  <si>
    <t>Service Item Clearing</t>
  </si>
  <si>
    <t>6014</t>
  </si>
  <si>
    <t>AMEX Clearing account</t>
  </si>
  <si>
    <t>6015</t>
  </si>
  <si>
    <t>GST Output Tax (Debtors)</t>
  </si>
  <si>
    <t>6050</t>
  </si>
  <si>
    <t>Accrued Expenses</t>
  </si>
  <si>
    <t>6060</t>
  </si>
  <si>
    <t>6061</t>
  </si>
  <si>
    <t>Provsn Bonuses</t>
  </si>
  <si>
    <t>6062</t>
  </si>
  <si>
    <t>Turnover Rent</t>
  </si>
  <si>
    <t>6063</t>
  </si>
  <si>
    <t>Child Support</t>
  </si>
  <si>
    <t>6100</t>
  </si>
  <si>
    <t>Garnishee Clear.</t>
  </si>
  <si>
    <t>6101</t>
  </si>
  <si>
    <t>6102</t>
  </si>
  <si>
    <t>Group Tax Clearing</t>
  </si>
  <si>
    <t>6103</t>
  </si>
  <si>
    <t>Wage Deduction Clearing</t>
  </si>
  <si>
    <t>6104</t>
  </si>
  <si>
    <t>Payroll Tax Clearing</t>
  </si>
  <si>
    <t>6105</t>
  </si>
  <si>
    <t>Super Clearing</t>
  </si>
  <si>
    <t>6106</t>
  </si>
  <si>
    <t>Loan - Argyle Road</t>
  </si>
  <si>
    <t>6108</t>
  </si>
  <si>
    <t>Beneficiary Trust Account</t>
  </si>
  <si>
    <t>6109</t>
  </si>
  <si>
    <t>Loan C.M. Kouros</t>
  </si>
  <si>
    <t>6110</t>
  </si>
  <si>
    <t>Loan C.M. Kouros Family Trust</t>
  </si>
  <si>
    <t>6111</t>
  </si>
  <si>
    <t>NAB Bank Bills</t>
  </si>
  <si>
    <t>6112</t>
  </si>
  <si>
    <t>Margin Lending</t>
  </si>
  <si>
    <t>6113</t>
  </si>
  <si>
    <t>NAB Mortgage</t>
  </si>
  <si>
    <t>6114</t>
  </si>
  <si>
    <t>Loan M Kouros</t>
  </si>
  <si>
    <t>6115</t>
  </si>
  <si>
    <t>Loan Australian Way</t>
  </si>
  <si>
    <t>6116</t>
  </si>
  <si>
    <t>Prince Patrick Trust</t>
  </si>
  <si>
    <t>6117</t>
  </si>
  <si>
    <t>Loan CATB Nominees Unit Trust</t>
  </si>
  <si>
    <t>6118</t>
  </si>
  <si>
    <t>Loan - Rip Curl Airports</t>
  </si>
  <si>
    <t>6119</t>
  </si>
  <si>
    <t>Tax Payable</t>
  </si>
  <si>
    <t>6120</t>
  </si>
  <si>
    <t>Loan - YSE Pty Ltd</t>
  </si>
  <si>
    <t>6121</t>
  </si>
  <si>
    <t>Loan - Aust-NZ Borrowings</t>
  </si>
  <si>
    <t>6122</t>
  </si>
  <si>
    <t>Annual Leave</t>
  </si>
  <si>
    <t>6130</t>
  </si>
  <si>
    <t>L.S.L. Current</t>
  </si>
  <si>
    <t>6131</t>
  </si>
  <si>
    <t>Sick Pay</t>
  </si>
  <si>
    <t>6132</t>
  </si>
  <si>
    <t>Alternate Leave</t>
  </si>
  <si>
    <t>6133</t>
  </si>
  <si>
    <t>HP Liabilities</t>
  </si>
  <si>
    <t>6200</t>
  </si>
  <si>
    <t>6500</t>
  </si>
  <si>
    <t>L.S.L. Deferred</t>
  </si>
  <si>
    <t>6550</t>
  </si>
  <si>
    <t>PDIT</t>
  </si>
  <si>
    <t>6600</t>
  </si>
  <si>
    <t>Equity</t>
  </si>
  <si>
    <t>7&amp;&amp;&amp;</t>
  </si>
  <si>
    <t>99 "A" Class Shares $1.00 Each</t>
  </si>
  <si>
    <t>7001</t>
  </si>
  <si>
    <t>99 "B" Class Shares $1.00 Each</t>
  </si>
  <si>
    <t>7002</t>
  </si>
  <si>
    <t>2 "C" Class Shares $1.00 Each</t>
  </si>
  <si>
    <t>7003</t>
  </si>
  <si>
    <t>Unissued Share Capital</t>
  </si>
  <si>
    <t>7004</t>
  </si>
  <si>
    <t>Authorised Capital</t>
  </si>
  <si>
    <t>7005</t>
  </si>
  <si>
    <t>7006</t>
  </si>
  <si>
    <t>Units in Trust</t>
  </si>
  <si>
    <t>7007</t>
  </si>
  <si>
    <t>Settlement Sum</t>
  </si>
  <si>
    <t>7008</t>
  </si>
  <si>
    <t>Unappropriated Profit</t>
  </si>
  <si>
    <t>7150</t>
  </si>
  <si>
    <t>Cap. Loss Goodwill W/O post</t>
  </si>
  <si>
    <t>7151</t>
  </si>
  <si>
    <t>Cap Loss Post CGT Shares</t>
  </si>
  <si>
    <t>7152</t>
  </si>
  <si>
    <t>Share Premium</t>
  </si>
  <si>
    <t>7200</t>
  </si>
  <si>
    <t>Revaluation</t>
  </si>
  <si>
    <t>7201</t>
  </si>
  <si>
    <t>Current Year Profit</t>
  </si>
  <si>
    <t>7250</t>
  </si>
  <si>
    <t>Suspense</t>
  </si>
  <si>
    <t>9&amp;&amp;&amp;</t>
  </si>
  <si>
    <t>Retail Directions Import Suspense</t>
  </si>
  <si>
    <t>9997</t>
  </si>
  <si>
    <t>Asset Suspense</t>
  </si>
  <si>
    <t>9998</t>
  </si>
  <si>
    <t>9999</t>
  </si>
  <si>
    <t>NZ &amp; Beyond</t>
  </si>
  <si>
    <t>Carri On Auckland</t>
  </si>
  <si>
    <t>News Travels Auckland Domestic</t>
  </si>
  <si>
    <t>Think NZ</t>
  </si>
  <si>
    <t>Around NZ Domestic</t>
  </si>
  <si>
    <t>News Travels Auckland Int Pier B</t>
  </si>
  <si>
    <t>Carri On Essentials Auckland International</t>
  </si>
  <si>
    <t>Around NZ Airside ITB</t>
  </si>
  <si>
    <t>Around Airside Pier A</t>
  </si>
  <si>
    <t>Around NZ Int Airside</t>
  </si>
  <si>
    <t>Saben Auckland Airside Kiosk</t>
  </si>
  <si>
    <t>Lions Pop Up NZ Landside</t>
  </si>
  <si>
    <t>Around NZ Int Landside</t>
  </si>
  <si>
    <t>Merino Auckland Landside</t>
  </si>
  <si>
    <t>Carry On AKL Int'l Checkin</t>
  </si>
  <si>
    <t>Merino Airside Auckland</t>
  </si>
  <si>
    <t>Koha Auckland Airside</t>
  </si>
  <si>
    <t>RWC Airside</t>
  </si>
  <si>
    <t>Rugby World Cup Int Landside</t>
  </si>
  <si>
    <t>NSW State OH</t>
  </si>
  <si>
    <t>Carry On T2 Sydney Domestic</t>
  </si>
  <si>
    <t>News Travels Newcastle Airside</t>
  </si>
  <si>
    <t>Australian Way T2 Sydney Domestic</t>
  </si>
  <si>
    <t>AW Sydney Domestic Qantas</t>
  </si>
  <si>
    <t>Carri On Sydney</t>
  </si>
  <si>
    <t>RMW Sydney International Landiside</t>
  </si>
  <si>
    <t>RMW Sydney International Airside C</t>
  </si>
  <si>
    <t>RMW Sydney International Airside B</t>
  </si>
  <si>
    <t>Runway News Newcastle</t>
  </si>
  <si>
    <t>AA T2 Sydney Domestic</t>
  </si>
  <si>
    <t>&amp; Beyond T2 Sydney Domestic</t>
  </si>
  <si>
    <t>Carri On T2 Sydney Domectic</t>
  </si>
  <si>
    <t>Between the Flags</t>
  </si>
  <si>
    <t>Bonds T2 Sydney Domestic</t>
  </si>
  <si>
    <t>IceBreaker Sydney Landside</t>
  </si>
  <si>
    <t>Sydney DC</t>
  </si>
  <si>
    <t>Crumpler Sydney International Airside</t>
  </si>
  <si>
    <t>Around Aust Forum Airside Sydney T1- Temp</t>
  </si>
  <si>
    <t>Around Aust Pier C Sydney T1- Temp</t>
  </si>
  <si>
    <t>Around Aust Landside Sydney T1 - Temp</t>
  </si>
  <si>
    <t>Produce Pier C Sydney T1 - Temp</t>
  </si>
  <si>
    <t>Produce Landside Sydney T1 - Temp</t>
  </si>
  <si>
    <t>Produce Pier B Sydney T1 - Temp</t>
  </si>
  <si>
    <t>Think Aust Made Pier A</t>
  </si>
  <si>
    <t>Think Syd Pier C</t>
  </si>
  <si>
    <t>Around Australia Syd Temp (old Purely site)</t>
  </si>
  <si>
    <t>Merino Temp Sydney Int</t>
  </si>
  <si>
    <t>Urban Trail Sydney International Landside</t>
  </si>
  <si>
    <t>AW T2 Syd Dom</t>
  </si>
  <si>
    <t>Australian Way</t>
  </si>
  <si>
    <t>Think Sydney Pier B (Marketplace)</t>
  </si>
  <si>
    <t>Merino Collection Syd Airside Pier B</t>
  </si>
  <si>
    <t>Australian Way Syd Landside</t>
  </si>
  <si>
    <t>Think Syd Landside</t>
  </si>
  <si>
    <t>Havaianas Pop Up</t>
  </si>
  <si>
    <t>Havainas C2-T08</t>
  </si>
  <si>
    <t>SYD T1 International Warehouse</t>
  </si>
  <si>
    <t>VIC State OH</t>
  </si>
  <si>
    <t>RMW Melbourne International Landside</t>
  </si>
  <si>
    <t>AW Melbourne Domestic Qantas</t>
  </si>
  <si>
    <t>AW Melbourne Link</t>
  </si>
  <si>
    <t>AW Melbourne &amp; Beyond</t>
  </si>
  <si>
    <t>AW Melbourne &amp; Beyond (Virgin)</t>
  </si>
  <si>
    <t>Carri On Melbourne</t>
  </si>
  <si>
    <t>&amp; Melbourne Sport</t>
  </si>
  <si>
    <t>RMW Melbourne International Airside</t>
  </si>
  <si>
    <t>Commonwealth Games</t>
  </si>
  <si>
    <t>AW Melbourne International Landside</t>
  </si>
  <si>
    <t>News Travels Melbourne</t>
  </si>
  <si>
    <t>News Travels Avalon</t>
  </si>
  <si>
    <t>The Development Space</t>
  </si>
  <si>
    <t>On-line Store</t>
  </si>
  <si>
    <t>AWPL Refit Replenish Location</t>
  </si>
  <si>
    <t>Gem Concepts Melbourne Int Airside</t>
  </si>
  <si>
    <t>Urban Trail Melbourne Int Landside</t>
  </si>
  <si>
    <t>AW Melb Int Land Temp</t>
  </si>
  <si>
    <t>NT Melbourne Virgin Temp</t>
  </si>
  <si>
    <t>AW Melbourne Landside (Newsite) T2</t>
  </si>
  <si>
    <t>Melbourne DC</t>
  </si>
  <si>
    <t>Carry On Melb Qantas II</t>
  </si>
  <si>
    <t>Dreamtime Journey Melb Landside</t>
  </si>
  <si>
    <t>Think Aus Melbourne Int Landside</t>
  </si>
  <si>
    <t>Think Sport/DJ</t>
  </si>
  <si>
    <t>QLD State OH</t>
  </si>
  <si>
    <t>AW Brisbane Domestic Airport</t>
  </si>
  <si>
    <t>AW Brisbane International Airside</t>
  </si>
  <si>
    <t>AW Brisbane International Landside</t>
  </si>
  <si>
    <t>RMW Brisbane International Airside</t>
  </si>
  <si>
    <t>Brisbane &amp; Beyond</t>
  </si>
  <si>
    <t>AW Brisbane Landside Temp</t>
  </si>
  <si>
    <t>News Travels Express - Brisbane Arrivals</t>
  </si>
  <si>
    <t>AW Brisbane Domestic II Shop 30</t>
  </si>
  <si>
    <t>Carri On Cairns</t>
  </si>
  <si>
    <t>&amp; Beyond Brisbane Virgin</t>
  </si>
  <si>
    <t>Carri On (Common User)</t>
  </si>
  <si>
    <t>AA Cairns International</t>
  </si>
  <si>
    <t>AA Cairns Domestic</t>
  </si>
  <si>
    <t>AA Gold Coast International</t>
  </si>
  <si>
    <t>Carri On Brisbane Virgin</t>
  </si>
  <si>
    <t>Beteen the FLags Bris International</t>
  </si>
  <si>
    <t>Around Australia Kids Brisbane</t>
  </si>
  <si>
    <t>News Travels Brisbane Arrivals</t>
  </si>
  <si>
    <t>NewsTravels Brisbane Airside 1</t>
  </si>
  <si>
    <t>NewsTravels Brisbane Airside 2</t>
  </si>
  <si>
    <t>News Travels Brisbane Landside 1</t>
  </si>
  <si>
    <t>News Travels Brisbane Landside 2</t>
  </si>
  <si>
    <t>Around Australia Brisbane Airside</t>
  </si>
  <si>
    <t>Brisbane Donga Location</t>
  </si>
  <si>
    <t>Carri On Brisbane International 2</t>
  </si>
  <si>
    <t>Carri On Brisbane International 1</t>
  </si>
  <si>
    <t>News Travels Sunshine Coast</t>
  </si>
  <si>
    <t>AW NT Brisbane Int Landside</t>
  </si>
  <si>
    <t>NT Kiosk Brisbane Airside</t>
  </si>
  <si>
    <t>News Travels Brisbane Common User</t>
  </si>
  <si>
    <t>News Travels Virgin Brisbane Domestic</t>
  </si>
  <si>
    <t>News Travels Virgin Domestic Satellite</t>
  </si>
  <si>
    <t>Brisbane Dom Warehouse</t>
  </si>
  <si>
    <t>Aero Brisbane Virgin</t>
  </si>
  <si>
    <t>Carry On Brisbane Virgin</t>
  </si>
  <si>
    <t>Aero Satellite Virgin Brisbane</t>
  </si>
  <si>
    <t>NT Brisbane Landside 1</t>
  </si>
  <si>
    <t>AW Brisbane Int'l L/S</t>
  </si>
  <si>
    <t>NT Common User Satellite</t>
  </si>
  <si>
    <t>Merino Collections Bne International</t>
  </si>
  <si>
    <t>Dreamtime Journey Brisbane Airside</t>
  </si>
  <si>
    <t>Brisbane &amp; Beyond International Airside</t>
  </si>
  <si>
    <t>NT Brisbane Airside</t>
  </si>
  <si>
    <t>AW Brisbane Airside</t>
  </si>
  <si>
    <t>SA State OH</t>
  </si>
  <si>
    <t>AW Adelaide Domestic Qantas</t>
  </si>
  <si>
    <t>AW Adelaide International</t>
  </si>
  <si>
    <t>Carry On Adelaide</t>
  </si>
  <si>
    <t>WA State OH</t>
  </si>
  <si>
    <t>AW Perth Domestic Qantas</t>
  </si>
  <si>
    <t>AW Perth Int Airside</t>
  </si>
  <si>
    <t>AW Perth Int Landside</t>
  </si>
  <si>
    <t>Outback Perth Int Landside</t>
  </si>
  <si>
    <t>Think WA Airside</t>
  </si>
  <si>
    <t>AW Perth Virgin T3</t>
  </si>
  <si>
    <t>AW Perth Landside</t>
  </si>
  <si>
    <t>AW Perth International Landside</t>
  </si>
  <si>
    <t>TAS State OH</t>
  </si>
  <si>
    <t>Runway News Hobart</t>
  </si>
  <si>
    <t>Australian Way Hobart</t>
  </si>
  <si>
    <t>Tasmania &amp; Beyond Hobart</t>
  </si>
  <si>
    <t>News Travels Launceston</t>
  </si>
  <si>
    <t>NT State OH</t>
  </si>
  <si>
    <t>AW Alice Springs Airport</t>
  </si>
  <si>
    <t>News Travels Darwin Airside</t>
  </si>
  <si>
    <t>Runway News Alice</t>
  </si>
  <si>
    <t>Runway News Darwin</t>
  </si>
  <si>
    <t>The Territory Store</t>
  </si>
  <si>
    <t>Darwin DC</t>
  </si>
  <si>
    <t>NT Darwin Dom</t>
  </si>
  <si>
    <t>Darwin NT Airside</t>
  </si>
  <si>
    <t>Rip Curl Darwin Airport</t>
  </si>
  <si>
    <t>POC New Zealand 1</t>
  </si>
  <si>
    <t>POC NZ 2</t>
  </si>
  <si>
    <t>POC Australia 1</t>
  </si>
  <si>
    <t>POC Australia 2</t>
  </si>
  <si>
    <t>Head Office</t>
  </si>
  <si>
    <t>124 Fairbank Road</t>
  </si>
  <si>
    <t>100-102 Dover Street</t>
  </si>
  <si>
    <t>3 Prince Patrick Street</t>
  </si>
  <si>
    <t>Mint Training</t>
  </si>
  <si>
    <t>Finance</t>
  </si>
  <si>
    <t>IT</t>
  </si>
  <si>
    <t>Retail</t>
  </si>
  <si>
    <t>Corporate</t>
  </si>
  <si>
    <t>Buying</t>
  </si>
  <si>
    <t>Supply Chain</t>
  </si>
  <si>
    <t>Procurement</t>
  </si>
  <si>
    <t>Stores</t>
  </si>
  <si>
    <t>Dates</t>
  </si>
  <si>
    <t>Document Number:</t>
  </si>
  <si>
    <t>GL</t>
  </si>
  <si>
    <t>Account Number</t>
  </si>
  <si>
    <t>Amount</t>
  </si>
  <si>
    <t>Narrative</t>
  </si>
  <si>
    <t>Employee ID</t>
  </si>
  <si>
    <t>AU Sales Reallocation Journal</t>
  </si>
  <si>
    <t>AU Expense Accrual Journal</t>
  </si>
  <si>
    <t>AU Expense Reallocation Journal</t>
  </si>
  <si>
    <t>NZ Sales Reallocation Journal</t>
  </si>
  <si>
    <t>NZ Expense Accrual Journal</t>
  </si>
  <si>
    <t>NZ Expense Reallocation Journal</t>
  </si>
  <si>
    <t>Country:</t>
  </si>
  <si>
    <t>Country</t>
  </si>
  <si>
    <t>Australia</t>
  </si>
  <si>
    <t>New Zealand</t>
  </si>
  <si>
    <t>Notes</t>
  </si>
  <si>
    <t/>
  </si>
  <si>
    <t>Total</t>
  </si>
  <si>
    <t>Date</t>
  </si>
  <si>
    <t>Reference</t>
  </si>
  <si>
    <t>Type</t>
  </si>
  <si>
    <t>Period</t>
  </si>
  <si>
    <t>Balance Amt</t>
  </si>
  <si>
    <t>Description</t>
  </si>
  <si>
    <t>Attachment Ind</t>
  </si>
  <si>
    <t>Source</t>
  </si>
  <si>
    <t>Tax Date</t>
  </si>
  <si>
    <t>Units1</t>
  </si>
  <si>
    <t>APINV</t>
  </si>
  <si>
    <t>AP</t>
  </si>
  <si>
    <t>Accrual Month</t>
  </si>
  <si>
    <t>Total Accrual Amount</t>
  </si>
  <si>
    <t>3362 Property Outgoings</t>
  </si>
  <si>
    <t>8190 - Darwin NT Airsi</t>
  </si>
  <si>
    <t>3005 Advertisement &amp; Promo</t>
  </si>
  <si>
    <t>2136 - Think Aust Mad</t>
  </si>
  <si>
    <t>2137 - Think Syd PierC</t>
  </si>
  <si>
    <t>2231 - Think Syd B</t>
  </si>
  <si>
    <t>2232 - MC Pier B</t>
  </si>
  <si>
    <t>3000 Accountancy Fees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</si>
  <si>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</si>
  <si>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</si>
  <si>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</si>
  <si>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</si>
  <si>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</si>
  <si>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</si>
  <si>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</si>
  <si>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</si>
  <si>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</si>
  <si>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</si>
  <si>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</si>
  <si>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</si>
  <si>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Total Prds</t>
  </si>
  <si>
    <t>Period 0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</si>
  <si>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</si>
  <si>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</si>
  <si>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</si>
  <si>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</si>
  <si>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</si>
  <si>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</si>
  <si>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</si>
  <si>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</si>
  <si>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</si>
  <si>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</si>
  <si>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Period 11</t>
  </si>
  <si>
    <t>Period 12</t>
  </si>
  <si>
    <t>Total Accrual</t>
  </si>
  <si>
    <t>2120 - IB Syd Landside</t>
  </si>
  <si>
    <t>2126 - AA Forum SYD</t>
  </si>
  <si>
    <t>2128 - AA Lansdise SYD</t>
  </si>
  <si>
    <t>2139 - AA Syd Temp</t>
  </si>
  <si>
    <t>2140 - Merino Temp Syd</t>
  </si>
  <si>
    <t>2232 - Merino Pier B</t>
  </si>
  <si>
    <t>2234 - Think Syd Lands</t>
  </si>
  <si>
    <t>2450 - NT Newcastle</t>
  </si>
  <si>
    <t>2242 - Havaianas</t>
  </si>
  <si>
    <t>2245 - Havainas C2-T08</t>
  </si>
  <si>
    <t>3025 - AW Melbourne Li</t>
  </si>
  <si>
    <t>3028 - AW Melbourne &amp;</t>
  </si>
  <si>
    <t>3175 - AW Melb Land</t>
  </si>
  <si>
    <t>3213 - CarryOn Melb II</t>
  </si>
  <si>
    <t>3135 - Urban Trail Mel</t>
  </si>
  <si>
    <t>4024 - NT Express Bris</t>
  </si>
  <si>
    <t>4036 - AW Brisbane Dom</t>
  </si>
  <si>
    <t>4100 - NT Sunshine</t>
  </si>
  <si>
    <t>4115 - NT Kiosk Bris</t>
  </si>
  <si>
    <t>4149 - Aero Brisbane V</t>
  </si>
  <si>
    <t>4155 - CO Bris Virgin</t>
  </si>
  <si>
    <t>4170 - NT Brisbane Lan</t>
  </si>
  <si>
    <t>4235 - AW Brisbane Int</t>
  </si>
  <si>
    <t>4244 - Merino Collecti</t>
  </si>
  <si>
    <t>4530 - DJ Bris Air</t>
  </si>
  <si>
    <t>4775 - AW Brisbane Air</t>
  </si>
  <si>
    <t>5053 - AW Adelaide Int</t>
  </si>
  <si>
    <t>6026 - AW Perth Int Ai</t>
  </si>
  <si>
    <t>6087 - AW Perth Intern</t>
  </si>
  <si>
    <t>7064 - AW Hobart</t>
  </si>
  <si>
    <t>7078 - Runway News Hob</t>
  </si>
  <si>
    <t>8006 - AW Alice Spring</t>
  </si>
  <si>
    <t>8030 - Runway News Ali</t>
  </si>
  <si>
    <t>8196 - Rip Curl Darwin</t>
  </si>
  <si>
    <t>Copy &amp; Paste Sales from TechOne</t>
  </si>
  <si>
    <t>2105 - Carry On T2Temp</t>
  </si>
  <si>
    <t>9990.3034</t>
  </si>
  <si>
    <t>Microsoft  American Expres</t>
  </si>
  <si>
    <t>Microsoft Azure  American Expres</t>
  </si>
  <si>
    <t>Zoom  American Expres</t>
  </si>
  <si>
    <t>Spotify  American Expres</t>
  </si>
  <si>
    <t>Zapier - US$99.00  American Expres</t>
  </si>
  <si>
    <t>Corporate ( Executives )</t>
  </si>
  <si>
    <t>Retail ( HR Officers )</t>
  </si>
  <si>
    <t>sales</t>
  </si>
  <si>
    <t>Adam Fiorenza</t>
  </si>
  <si>
    <t>Reversing Journal EOFY General Journal</t>
  </si>
  <si>
    <t>3576 Airline Travel Expenses  ( Flat Rate Monthly )</t>
  </si>
  <si>
    <t xml:space="preserve"> </t>
  </si>
  <si>
    <t>Sydney Airport</t>
  </si>
  <si>
    <t>News Travels Northern Satellite Qantas</t>
  </si>
  <si>
    <t>Merino Collection Perth International Landisde</t>
  </si>
  <si>
    <t>6089 - Merino Perth L</t>
  </si>
  <si>
    <r>
      <t>Advertising promo invoices paid up to June 2016</t>
    </r>
    <r>
      <rPr>
        <sz val="10"/>
        <color rgb="FFFF0000"/>
        <rFont val="Century Gothic"/>
        <family val="2"/>
      </rPr>
      <t xml:space="preserve"> ( Received actual invoices assuming it's for Dec 2016 + Jan 2017+ Feb 2017 to May + Jun 2017 + Jul 2017+ AUG)</t>
    </r>
  </si>
  <si>
    <t>2117 - Carry On T2 Syd</t>
  </si>
  <si>
    <t>2118 - Merchant T2 Syd</t>
  </si>
  <si>
    <t>2119 - Merchant T3 Syd</t>
  </si>
  <si>
    <t>4101 - News@BNE NC</t>
  </si>
  <si>
    <t>8030 - News Travels AS</t>
  </si>
  <si>
    <t>Naheed Khericha</t>
  </si>
  <si>
    <t>Carry On T2 Syd</t>
  </si>
  <si>
    <t>Merchant T2 Syd</t>
  </si>
  <si>
    <t>Merchant T3 Syd</t>
  </si>
  <si>
    <t>Rate</t>
  </si>
  <si>
    <t>3600</t>
  </si>
  <si>
    <t>3600 Waste Disposal</t>
  </si>
  <si>
    <t>3076 Cash Handling</t>
  </si>
  <si>
    <t>3351 Printing and Stationery</t>
  </si>
  <si>
    <t xml:space="preserve">3030 IT Support </t>
  </si>
  <si>
    <t>3040 Consultants</t>
  </si>
  <si>
    <t>Textilis Syd T2</t>
  </si>
  <si>
    <t>News@BNE</t>
  </si>
  <si>
    <t>Merino Perth Landside</t>
  </si>
  <si>
    <t>Brisbanse DC</t>
  </si>
  <si>
    <t>3065 Duty Free Expenses</t>
  </si>
  <si>
    <t>Advertising promo (Invoices not yet received - July 18 + Oct 18 + March 19 + May 19 + June 19 + July 19)</t>
  </si>
  <si>
    <t>Advertising Promo</t>
  </si>
  <si>
    <t>Advertising promo invoices CAP 15000</t>
  </si>
  <si>
    <t>Outgoings Received to Sep 2019</t>
  </si>
  <si>
    <r>
      <t xml:space="preserve">Rates paid up to Jun 2020 (Prepayment) </t>
    </r>
    <r>
      <rPr>
        <b/>
        <sz val="10"/>
        <rFont val="Century Gothic"/>
        <family val="2"/>
      </rPr>
      <t>Darwin</t>
    </r>
  </si>
  <si>
    <t>Last invoice received for June 2016</t>
  </si>
  <si>
    <t>Accrue for 6 months (July 18 + Oct 18 + March 19 + May 19 + June 19 + July 19)</t>
  </si>
  <si>
    <t>Cap 15,000.00 ( Closed Accruing Sept 2019 )</t>
  </si>
  <si>
    <t>Merchant Perth</t>
  </si>
  <si>
    <t>Advertising promo invoices not received since Dec 2018 (OLD RATE)</t>
  </si>
  <si>
    <t>Advertising promo invoices not received since Dec 2018 (NEW RATE)</t>
  </si>
  <si>
    <t>Accruing FY19.20 ( July to November 2019 )</t>
  </si>
  <si>
    <t>Cash Handling</t>
  </si>
  <si>
    <t>Advertising promo invoices paid up Jan 2020</t>
  </si>
  <si>
    <t>Aug 19 + Sep 19 + Oct 19 + Nov 19 + Dec 19 + Jan 20 + Feb 20 + March 20</t>
  </si>
  <si>
    <t>Advertising promo invoices paid up to March 2020</t>
  </si>
  <si>
    <t>Advertising Promo (no marketing levy at this moment)</t>
  </si>
  <si>
    <t>At old rate</t>
  </si>
  <si>
    <t xml:space="preserve">Nov 18 +Dec 18 </t>
  </si>
  <si>
    <t>Advertising promo invoices paid up Feb 2020 (Store now Closed)</t>
  </si>
  <si>
    <t>Changed to 53K FY 16.17 , Hume FY2017 Not yet received, FY18 received at 42.5K, FY19 received at 43k,FY20 Rates received at 49K</t>
  </si>
  <si>
    <t>Body Corporate paid up to October 2018</t>
  </si>
  <si>
    <t>Accruing FY20.21 (July 2020 onwards)</t>
  </si>
  <si>
    <t>Accruing FY19.20 (December 2019 to June 2020)</t>
  </si>
  <si>
    <t>Rates paid Up to Jun 2020 ( FY2017 Not yet Received )</t>
  </si>
  <si>
    <t>Prepaid FY 2020.2021</t>
  </si>
  <si>
    <r>
      <t xml:space="preserve">Land Tax - HO </t>
    </r>
    <r>
      <rPr>
        <b/>
        <sz val="10"/>
        <rFont val="Century Gothic"/>
        <family val="2"/>
      </rPr>
      <t>Ryder Commercial</t>
    </r>
    <r>
      <rPr>
        <sz val="10"/>
        <rFont val="Century Gothic"/>
        <family val="2"/>
      </rPr>
      <t xml:space="preserve"> ( prepayments - paid upto Dec 2020 )</t>
    </r>
  </si>
  <si>
    <t>Advertising Promo - paid upto Sept 2020</t>
  </si>
  <si>
    <t>Dec 18 + Jan 19 + Feb 19 + March 19 + April 19 + May 19 + June 19 + July 19 + Aug 19 + Sep 2019 + Oct 2019. Received $49K invoices for October 2018 to November 2019.</t>
  </si>
  <si>
    <t>Rates paid up to Mar 2015 (CLOSING MAR2017) KEEP AT 24 MONTHS as the store is closed. Write off the balance in FY19-20 as advised by the auditors.</t>
  </si>
  <si>
    <t>Recharge - Council Rates, ESL, Land Tax, &amp; Waste Recovery - Sept 2020</t>
  </si>
  <si>
    <r>
      <t xml:space="preserve">Water Rates - Quarterly </t>
    </r>
    <r>
      <rPr>
        <b/>
        <sz val="10"/>
        <rFont val="Century Gothic"/>
        <family val="2"/>
      </rPr>
      <t>(South East Water)</t>
    </r>
    <r>
      <rPr>
        <sz val="10"/>
        <rFont val="Century Gothic"/>
        <family val="2"/>
      </rPr>
      <t xml:space="preserve"> - paid upto Sept 20</t>
    </r>
  </si>
  <si>
    <t>Rod Kitchin</t>
  </si>
  <si>
    <t xml:space="preserve">August 2020 Outgoings </t>
  </si>
  <si>
    <t>NO CASH TRANSACTIONS SINCE COVID 19</t>
  </si>
  <si>
    <r>
      <t xml:space="preserve">SmartCare Proactive </t>
    </r>
    <r>
      <rPr>
        <b/>
        <sz val="10"/>
        <rFont val="Century Gothic"/>
        <family val="2"/>
      </rPr>
      <t>ITTelligent</t>
    </r>
    <r>
      <rPr>
        <sz val="10"/>
        <rFont val="Century Gothic"/>
        <family val="2"/>
      </rPr>
      <t xml:space="preserve"> Support Spam Filt Paid up to Nov 2020</t>
    </r>
  </si>
  <si>
    <t>2225 - News@CBR</t>
  </si>
  <si>
    <t>3228 - NC CollinsPlace</t>
  </si>
  <si>
    <t>4102 - NE@BNE ANorth</t>
  </si>
  <si>
    <t>4103 - NE@ BNE ASouth</t>
  </si>
  <si>
    <t>4104 - Xpress@BNE</t>
  </si>
  <si>
    <t>4106 - News@BNE CC</t>
  </si>
  <si>
    <t>4107 - News@BNE Qantas</t>
  </si>
  <si>
    <t>4110 - News@BNE CS</t>
  </si>
  <si>
    <t>6176 - Merchant Perth</t>
  </si>
  <si>
    <t>1% of Sales ( Negotiation in progress - this is from Covid/Reopening the stores)</t>
  </si>
  <si>
    <t>Recharge - Council Rates, ESL, Land Tax, &amp; Waste Recovery - Dec 2020</t>
  </si>
  <si>
    <t>Rates paid up to Dec 2020 ( 60% * 5641.58) Quarterly Invoice</t>
  </si>
  <si>
    <t>Rates paid up to Dec 2020 ( 25% * 5641.58) Quarterly Invoice</t>
  </si>
  <si>
    <t>Store Code</t>
  </si>
  <si>
    <t>Promo levy @ % of Sales</t>
  </si>
  <si>
    <t>Airport agreed to waive off marketing levy from March 2020</t>
  </si>
  <si>
    <t>STATEMENT 251220</t>
  </si>
  <si>
    <t>APCNOTE</t>
  </si>
  <si>
    <t xml:space="preserve">RD - SMS Maintainence &amp; License Fee - Retail Management </t>
  </si>
  <si>
    <t>Accrued January 2021 (Agreed at $1350 monthly for six month starting December 2020)</t>
  </si>
  <si>
    <t xml:space="preserve">RD - EHOI Maintainence Fees - Retail Management </t>
  </si>
  <si>
    <r>
      <t xml:space="preserve">Rates paid up to Jun 2020  </t>
    </r>
    <r>
      <rPr>
        <b/>
        <sz val="10"/>
        <rFont val="Century Gothic"/>
        <family val="2"/>
      </rPr>
      <t>Darwin</t>
    </r>
  </si>
  <si>
    <r>
      <t xml:space="preserve">Council Rates - HO  </t>
    </r>
    <r>
      <rPr>
        <b/>
        <sz val="10"/>
        <rFont val="Century Gothic"/>
        <family val="2"/>
      </rPr>
      <t>Ryder Commercial</t>
    </r>
    <r>
      <rPr>
        <sz val="10"/>
        <rFont val="Century Gothic"/>
        <family val="2"/>
      </rPr>
      <t xml:space="preserve"> ( Prepayment FY21)</t>
    </r>
  </si>
  <si>
    <t>No charges from July 2020 to January 2021</t>
  </si>
  <si>
    <t>Promo Levy % of Sales</t>
  </si>
  <si>
    <t>4108 - News@BNE SS</t>
  </si>
  <si>
    <t>4109 - News@BNE NS</t>
  </si>
  <si>
    <t xml:space="preserve">May </t>
  </si>
  <si>
    <t>Comment</t>
  </si>
  <si>
    <r>
      <t xml:space="preserve">Virtual DBA Bronze Support - </t>
    </r>
    <r>
      <rPr>
        <b/>
        <sz val="10"/>
        <rFont val="Century Gothic"/>
        <family val="2"/>
      </rPr>
      <t>MOQ  Digital</t>
    </r>
  </si>
  <si>
    <t>Received invoice for Dec &amp; Jan</t>
  </si>
  <si>
    <t>( 0.005 times Sales of the month)</t>
  </si>
  <si>
    <t>14726</t>
  </si>
  <si>
    <t>Data download fee - 21/12/20 to 20/01/21  STEX Investor S</t>
  </si>
  <si>
    <t>21059</t>
  </si>
  <si>
    <t>June 2020 Office365 Licenses - Microsoft Licenses: Exchange on line Licence ITtelligent Con</t>
  </si>
  <si>
    <t>21304</t>
  </si>
  <si>
    <t>Licences - July 2020 - Microsoft: Office 365: Visio Plan: Exchange ITtelligent Con</t>
  </si>
  <si>
    <t>21801</t>
  </si>
  <si>
    <t>Office365: Vision Plan 2: Power BI Exchange Line - monthly licences ITtelligent Con</t>
  </si>
  <si>
    <t>22054</t>
  </si>
  <si>
    <t>October 2020 Licenses - Microsoft: Office365: Power BI etc ITtelligent Con</t>
  </si>
  <si>
    <t>22310-</t>
  </si>
  <si>
    <t>November 2020 software packages Office365: Power BI Pro: Exchange etc ITtelligent Con</t>
  </si>
  <si>
    <t>22791</t>
  </si>
  <si>
    <t>Office 365: Power BI:  Exchange: Microsoft 365:  Vision Plan 2 ITtelligent Con</t>
  </si>
  <si>
    <t>ADOBE 050920</t>
  </si>
  <si>
    <t>Adobe Acrobat  American Expres</t>
  </si>
  <si>
    <t>ADOBE 220720</t>
  </si>
  <si>
    <t>Adobe Creative Cloud  American Expres</t>
  </si>
  <si>
    <t>ADOBE050720</t>
  </si>
  <si>
    <t>ADOBE220920</t>
  </si>
  <si>
    <t>Adobe Acropro  American Expres</t>
  </si>
  <si>
    <t>BLS*MONDAY 290620</t>
  </si>
  <si>
    <t>BLS*Monday  American Expres</t>
  </si>
  <si>
    <t>BLS*MONDAY 290820</t>
  </si>
  <si>
    <t>CANVAS 150720</t>
  </si>
  <si>
    <t>Canvas - Credit for June charge US$1299 American Expres</t>
  </si>
  <si>
    <t>CANVAS 250620</t>
  </si>
  <si>
    <t>Canvas - US$1299 - credited  American Expres</t>
  </si>
  <si>
    <t>DASHLANE190720</t>
  </si>
  <si>
    <t>Dashlane - US$39.99 - Yearly  American Expres</t>
  </si>
  <si>
    <t>E0200BCSY6</t>
  </si>
  <si>
    <t>Microsoft - Power BI Pro  American Expres</t>
  </si>
  <si>
    <t>E0200BM1RQ</t>
  </si>
  <si>
    <t>Microsoft Power Bi Pro - August 2020  American Expres</t>
  </si>
  <si>
    <t>E0200BW4JO</t>
  </si>
  <si>
    <t>Microsoft - Power BI Pro - Sept 20  American Expres</t>
  </si>
  <si>
    <t>INV-0935</t>
  </si>
  <si>
    <t>Monthly Software licensing: Data Centre Hosting;  Hosting past 12 months FMCTV Pty Limit</t>
  </si>
  <si>
    <t>INV-21321</t>
  </si>
  <si>
    <t>1 Yr subscription - Anti virus - Stav's Surface Pro ITtelligent Con</t>
  </si>
  <si>
    <t>MICROSOFT 010720</t>
  </si>
  <si>
    <t>MICROSOFT 010920</t>
  </si>
  <si>
    <t>MICROSOFT140720</t>
  </si>
  <si>
    <t>Microsoft - Programs for Costa's new computer American Expres</t>
  </si>
  <si>
    <t>STATEMENT 18/11/2020</t>
  </si>
  <si>
    <t>Dropbox - US$13.19  NAB Visa Accoun</t>
  </si>
  <si>
    <t>STATEMENT 180120 28DEGREES</t>
  </si>
  <si>
    <t>STATEMENT 180121 VISA</t>
  </si>
  <si>
    <t>Myfonts - fonts Library  NAB Visa Accoun</t>
  </si>
  <si>
    <t>STATEMENT 18082020</t>
  </si>
  <si>
    <t>STATEMENT 181020</t>
  </si>
  <si>
    <t>Dropbox - US$13.19 - CK  NAB Visa Accoun</t>
  </si>
  <si>
    <t>STATEMENT 18122020 MCARD</t>
  </si>
  <si>
    <t>STATEMENT 250121</t>
  </si>
  <si>
    <t>Sweetprocess - US$99  American Expres</t>
  </si>
  <si>
    <t>Zapier - US$99  American Expres</t>
  </si>
  <si>
    <t>Zendesk - US$177.00  American Expres</t>
  </si>
  <si>
    <t>STATEMENT 250820</t>
  </si>
  <si>
    <t>BLS*Monday.com  American Expres</t>
  </si>
  <si>
    <t>Zendesk = US$177  American Expres</t>
  </si>
  <si>
    <t>STATEMENT 251020</t>
  </si>
  <si>
    <t>Wufoo.com - US$2199  American Expres</t>
  </si>
  <si>
    <t>Zendesk - US$177  American Expres</t>
  </si>
  <si>
    <t>STATEMENT 251120 CK</t>
  </si>
  <si>
    <t>BLS*Monday com  American Expres</t>
  </si>
  <si>
    <t>Wufoo - US$2199  American Expres</t>
  </si>
  <si>
    <t>STATEMENT180720</t>
  </si>
  <si>
    <t>STATEMENT180920</t>
  </si>
  <si>
    <t>SWEETPROCESS 150720</t>
  </si>
  <si>
    <t>Sweet Process - US$99  American Expres</t>
  </si>
  <si>
    <t>SWEETPROCESS 150920</t>
  </si>
  <si>
    <t>ZAPIER 130920</t>
  </si>
  <si>
    <t>ZAPIER 150720</t>
  </si>
  <si>
    <t>ZENDESK 100720</t>
  </si>
  <si>
    <t>ZENDESK100920</t>
  </si>
  <si>
    <t>ZOOM 200720</t>
  </si>
  <si>
    <t>ZOOM 200920</t>
  </si>
  <si>
    <t>ZOOM080920</t>
  </si>
  <si>
    <t>RJ4668</t>
  </si>
  <si>
    <t>Rates paid up to Sep 2020</t>
  </si>
  <si>
    <t>No if it is definitely for Kouros Nominees there should be no accruals.    That probably was due to AWPL being the sole tenant for the Darwin Apartment for some time.</t>
  </si>
  <si>
    <t>One quarter invoice not yet hit the account ( Oct to Dec 2020 )</t>
  </si>
  <si>
    <t>Sue Hunt</t>
  </si>
  <si>
    <t>INV-0929</t>
  </si>
  <si>
    <t>Software Licensing: Data centre hosting Hosting past 12 months/monthly FMCTV Pty Limit</t>
  </si>
  <si>
    <t>9992.3034</t>
  </si>
  <si>
    <t>22555</t>
  </si>
  <si>
    <t>December 2020 Office365: Power BI Microsoft: Visio Plans ITtelligent Con</t>
  </si>
  <si>
    <t>INV-0949</t>
  </si>
  <si>
    <t>Monthly Software Licensing: Hosting Darwin configuration FMCTV Pty Limit</t>
  </si>
  <si>
    <t>8188.3034</t>
  </si>
  <si>
    <t>20270</t>
  </si>
  <si>
    <t>Software licenses - March 2020  ITtelligent Con</t>
  </si>
  <si>
    <t>24560</t>
  </si>
  <si>
    <t>Microsoft: Office 365: Visio Plan 2 August 2020 ITtelligent Con</t>
  </si>
  <si>
    <t>INV327761</t>
  </si>
  <si>
    <t>Subscription - Team Plan - 1 user- Dylan US$99.12 FX 0.76618 Smartsheet Inc</t>
  </si>
  <si>
    <t>INV328508</t>
  </si>
  <si>
    <t>Subscription - Team Plan - 18 users US$2,088.00 FX 0.76618 Smartsheet Inc</t>
  </si>
  <si>
    <t>STATEMENT 180221</t>
  </si>
  <si>
    <t>STATEMENT 25022021</t>
  </si>
  <si>
    <t>BLS*Monday Com  American Expres</t>
  </si>
  <si>
    <t>Sweetprocess - US$99.00  American Expres</t>
  </si>
  <si>
    <t>23075</t>
  </si>
  <si>
    <t>February 2021 - Office 365 E3: Power BI Exchange Online: Visio Plan 2 ITtelligent Con</t>
  </si>
  <si>
    <t>STATEMENT 18032021 %</t>
  </si>
  <si>
    <t>Dropbox - US$13.19 28 Degrees NAB Visa Accoun</t>
  </si>
  <si>
    <t>STATEMENT 250321</t>
  </si>
  <si>
    <t>GENJNL</t>
  </si>
  <si>
    <t>REVJNL</t>
  </si>
  <si>
    <t>GL00016020</t>
  </si>
  <si>
    <t>Reallocation of Ittelligent License Fees from IT support to Software</t>
  </si>
  <si>
    <t>RJ4424</t>
  </si>
  <si>
    <t>Software License Fees Accrual for July 2 ITtelligent Con</t>
  </si>
  <si>
    <t>Itteligent License Fees</t>
  </si>
  <si>
    <t>ITTeligent Support Fees Accrual August invoice #24560</t>
  </si>
  <si>
    <t>RJ4447</t>
  </si>
  <si>
    <t>Software Ittelligent inv 23075 Feb 2021</t>
  </si>
  <si>
    <t>Software Ittelligent inv 24560 Aug 2021</t>
  </si>
  <si>
    <t>RJ4500</t>
  </si>
  <si>
    <t>RJ4497</t>
  </si>
  <si>
    <t>RJ4540</t>
  </si>
  <si>
    <t>RJ4600</t>
  </si>
  <si>
    <t>RJ4620</t>
  </si>
  <si>
    <t>RJ4653</t>
  </si>
  <si>
    <t>Carpark Accrual Hobart April 2021</t>
  </si>
  <si>
    <t>Carpark Accrual Perth April 2021</t>
  </si>
  <si>
    <t>RJ4704</t>
  </si>
  <si>
    <t>MFH Prining Monthly Charges accruing April 2021</t>
  </si>
  <si>
    <t>Travel Accrual Apr 2021</t>
  </si>
  <si>
    <t>Accountancy Fees Accrual Apr 2021</t>
  </si>
  <si>
    <t>The Cunning Plan Accrual Apr 2021</t>
  </si>
  <si>
    <t>RJ4705</t>
  </si>
  <si>
    <t>Cleaning Support Office April 2021</t>
  </si>
  <si>
    <t>Monthly Check MyCCTV license April 2021</t>
  </si>
  <si>
    <t>We are still receiving relief from ACT</t>
  </si>
  <si>
    <t>Rates paid up to Mar 2021</t>
  </si>
  <si>
    <t>Water Usage paid up to Mar 2021  Quarterly Invoice</t>
  </si>
  <si>
    <t xml:space="preserve">Full Year Charges will be paid in Payment will be made in June </t>
  </si>
  <si>
    <t>Copy &amp; Paste Sales from Tech1</t>
  </si>
  <si>
    <t>Calculation for Promo per Month</t>
  </si>
  <si>
    <t>Nov 18 +Dec 18 + (Feb 21 to Apr 21 @ (0.5% of Sales )</t>
  </si>
  <si>
    <t>Aug 19 + Sep 19 + Oct 19 + Nov 19 + Dec 19 + Jan 20 + Feb 20 + March 20 + (1% of Sales from Nov 20 to Apr 21)</t>
  </si>
  <si>
    <t>Nov 2020 to April 21 ( 1% of Sales )</t>
  </si>
  <si>
    <t>Property Outgoings Accrual Apr 2021</t>
  </si>
  <si>
    <t>Advertisement &amp; Promo Apr 2021</t>
  </si>
  <si>
    <t>Waste Disposal Accrual Apr 2021</t>
  </si>
  <si>
    <t>Software Ittelligent Apr 2021 inv 23356</t>
  </si>
  <si>
    <t>23356</t>
  </si>
  <si>
    <t>March 2021: Power BI Pro: Microsoft: Office 365: Visio Plan 2 ITtelligent Con</t>
  </si>
  <si>
    <t>INV-0961</t>
  </si>
  <si>
    <t>Software Licensing: Data Centre Hosting Hosting past 12 months FMCTV Pty Limit</t>
  </si>
  <si>
    <t>RJ4706</t>
  </si>
  <si>
    <t>RJ4707</t>
  </si>
  <si>
    <t>RJ4708</t>
  </si>
  <si>
    <t>GL Comments</t>
  </si>
  <si>
    <t>Accrue Comments</t>
  </si>
  <si>
    <t>Cash Handling - Amalgamated Cash</t>
  </si>
  <si>
    <t>Cash Handling - Secutor Securities</t>
  </si>
  <si>
    <t>Cash Handling - Talice Security</t>
  </si>
  <si>
    <t>Cash Handling - Miranda's Armed</t>
  </si>
  <si>
    <r>
      <t xml:space="preserve">Cash Handling - </t>
    </r>
    <r>
      <rPr>
        <b/>
        <sz val="10"/>
        <rFont val="Century Gothic"/>
        <family val="2"/>
      </rPr>
      <t>Travelex</t>
    </r>
  </si>
  <si>
    <t>GL00015983</t>
  </si>
  <si>
    <t>Write off Overaccrued Accountancy Fees FY 19-20</t>
  </si>
  <si>
    <t>9990.3000</t>
  </si>
  <si>
    <t>Accountancy Fee</t>
  </si>
  <si>
    <t>GL00015978</t>
  </si>
  <si>
    <t>Accountancy Fees Accrual for June 2020</t>
  </si>
  <si>
    <t>GL00015977</t>
  </si>
  <si>
    <t>Accountancy Fees Accrual June 2020</t>
  </si>
  <si>
    <t>RJ4423</t>
  </si>
  <si>
    <t>Accountancy Fees Accrual July 2020</t>
  </si>
  <si>
    <t>Accountancy Fees Accrual August 2020</t>
  </si>
  <si>
    <t>821311327</t>
  </si>
  <si>
    <t>Discussions &amp; advice &amp; meetings DP: CK: KG KPMG</t>
  </si>
  <si>
    <t>Accountancy Fees Accrual September 2020</t>
  </si>
  <si>
    <t>Accountancy Fees Accrual Oct 2020</t>
  </si>
  <si>
    <t>RJ4569</t>
  </si>
  <si>
    <t>Accountancy Fees Accrual Nov 2020</t>
  </si>
  <si>
    <t>Accountancy Fees Accrual Dec 2020</t>
  </si>
  <si>
    <t>821331948</t>
  </si>
  <si>
    <t>ITR 30.06.20 &amp; loan balances  KPMG</t>
  </si>
  <si>
    <t>Accountancy Fees Accrual Jan 2021</t>
  </si>
  <si>
    <t>Accountancy Fees Accrual Feb 2021</t>
  </si>
  <si>
    <t>RJ4683</t>
  </si>
  <si>
    <t>Accountancy Fees Accrual Mar 2021</t>
  </si>
  <si>
    <t>GL00016180</t>
  </si>
  <si>
    <t>EOFY Adjustment Promo Clearings Old Accruals</t>
  </si>
  <si>
    <t>2004.3005</t>
  </si>
  <si>
    <t>Advertising &amp; P</t>
  </si>
  <si>
    <t>GL00016002</t>
  </si>
  <si>
    <t>Advertisement &amp; Promo May 2020</t>
  </si>
  <si>
    <t>RJ4425</t>
  </si>
  <si>
    <t>Advertisement &amp; Promo July 2020</t>
  </si>
  <si>
    <t>RJ4503</t>
  </si>
  <si>
    <t>July Adjustment Promo Clearings Old Accruals</t>
  </si>
  <si>
    <t>RJ4450</t>
  </si>
  <si>
    <t>Advertisement &amp; Promo August 2020</t>
  </si>
  <si>
    <t>RJ4504</t>
  </si>
  <si>
    <t>August Adjustment Promo Clearings Old Accruals</t>
  </si>
  <si>
    <t>RJ4502</t>
  </si>
  <si>
    <t>RJ4501</t>
  </si>
  <si>
    <t>2009.3005</t>
  </si>
  <si>
    <t>2012.3005</t>
  </si>
  <si>
    <t>328870</t>
  </si>
  <si>
    <t>Promotional levy - September 2020  Sydney Airport</t>
  </si>
  <si>
    <t>2117.3005</t>
  </si>
  <si>
    <t>RJ4570</t>
  </si>
  <si>
    <t>Advertisement &amp; Promo Nov 2020</t>
  </si>
  <si>
    <t>RJ4598</t>
  </si>
  <si>
    <t>Advertisement &amp; Promo Dec 2020</t>
  </si>
  <si>
    <t>330766</t>
  </si>
  <si>
    <t>Promo Levy - October 2020  Sydney Airport</t>
  </si>
  <si>
    <t>333791</t>
  </si>
  <si>
    <t>Promo Levy - November 2020  Sydney Airport</t>
  </si>
  <si>
    <t>RJ4625</t>
  </si>
  <si>
    <t>Advertisement &amp; Promo Jan 2021</t>
  </si>
  <si>
    <t>335991</t>
  </si>
  <si>
    <t>Promo Levy - December 2020  Sydney Airport</t>
  </si>
  <si>
    <t>339448</t>
  </si>
  <si>
    <t>Promo Levy - January 2021  Sydney Airport</t>
  </si>
  <si>
    <t>328869</t>
  </si>
  <si>
    <t>Promotional Levy - September 2020  Sydney Airport</t>
  </si>
  <si>
    <t>2118.3005</t>
  </si>
  <si>
    <t>330765</t>
  </si>
  <si>
    <t>333790</t>
  </si>
  <si>
    <t>335990</t>
  </si>
  <si>
    <t>RJ4655</t>
  </si>
  <si>
    <t>Advertisement &amp; Promo Feb 2021</t>
  </si>
  <si>
    <t>339447</t>
  </si>
  <si>
    <t>RJ4688</t>
  </si>
  <si>
    <t>Advertisement &amp; Promo Mar 2021</t>
  </si>
  <si>
    <t>340374</t>
  </si>
  <si>
    <t>Promo Levy - February 2021  Sydney Airport</t>
  </si>
  <si>
    <t>328871</t>
  </si>
  <si>
    <t>2119.3005</t>
  </si>
  <si>
    <t>330767</t>
  </si>
  <si>
    <t>333792</t>
  </si>
  <si>
    <t>335992</t>
  </si>
  <si>
    <t>339449</t>
  </si>
  <si>
    <t>340375</t>
  </si>
  <si>
    <t>Promo - February 2021  Sydney Airport</t>
  </si>
  <si>
    <t>310932</t>
  </si>
  <si>
    <t>Promo Levy - February 2020  Sydney Airport</t>
  </si>
  <si>
    <t>2120.3005</t>
  </si>
  <si>
    <t>GL00015985</t>
  </si>
  <si>
    <t>Advertisement &amp; Promo June 2020 Additional Accrual for Feb Levy</t>
  </si>
  <si>
    <t>RJ4510</t>
  </si>
  <si>
    <t>Advertisement &amp; Promo Sept 2020</t>
  </si>
  <si>
    <t>RJ4548</t>
  </si>
  <si>
    <t>Advertisement &amp; Promo Oct 2020</t>
  </si>
  <si>
    <t>2136.3005</t>
  </si>
  <si>
    <t>2137.3005</t>
  </si>
  <si>
    <t>333789</t>
  </si>
  <si>
    <t>Promo Levy - Nov 2020  Sydney Airport</t>
  </si>
  <si>
    <t>335989</t>
  </si>
  <si>
    <t>339446</t>
  </si>
  <si>
    <t>340373</t>
  </si>
  <si>
    <t>P108471</t>
  </si>
  <si>
    <t>Base Rent/Marketing Levy July 2020 Rebates July 2020 - COVID19 Canberra Airpor</t>
  </si>
  <si>
    <t>2225.3005</t>
  </si>
  <si>
    <t>P109100</t>
  </si>
  <si>
    <t>Marketing Levy - August 2020  Canberra Airpor</t>
  </si>
  <si>
    <t>RJ4529</t>
  </si>
  <si>
    <t>Outgoing and Promo Ley Credits Accrual A</t>
  </si>
  <si>
    <t>P109881</t>
  </si>
  <si>
    <t>Marketing Levy - September 2020  Canberra Airpor</t>
  </si>
  <si>
    <t>PCN110048</t>
  </si>
  <si>
    <t>Sept 2020 - Full Credit - Rent: Outgoing Marketing Levy Canberra Airpor</t>
  </si>
  <si>
    <t>RJ4530</t>
  </si>
  <si>
    <t>Outgoing and Promo Ley Credits Accrual S</t>
  </si>
  <si>
    <t>P110511</t>
  </si>
  <si>
    <t>Marketing Levy October 2020 Canberra Airpor</t>
  </si>
  <si>
    <t>PCN110791</t>
  </si>
  <si>
    <t>Marketing Levy - October 2020 COVID19 Rent Relief Canberra Airpor</t>
  </si>
  <si>
    <t>P111109</t>
  </si>
  <si>
    <t>Marketing Levy - November 2020  Canberra Airpor</t>
  </si>
  <si>
    <t>PCN111109</t>
  </si>
  <si>
    <t>Marketing Levy November 2020 COVID19 rent relief Canberra Airpor</t>
  </si>
  <si>
    <t>P111756</t>
  </si>
  <si>
    <t>Marketing Levy December 2020 Canberra Airpor</t>
  </si>
  <si>
    <t>PCN112579</t>
  </si>
  <si>
    <t>COVID19 Rent relief - December 2020 Marketing Levy Canberra Airpor</t>
  </si>
  <si>
    <t>PCN109189</t>
  </si>
  <si>
    <t>Balance August Marketing Fund Rebate COVID19 Canberra Airpor</t>
  </si>
  <si>
    <t>PCN112580</t>
  </si>
  <si>
    <t>COVID19 Rent Relief - January 2021 Marketing Levy Canberra Airpor</t>
  </si>
  <si>
    <t>P112485</t>
  </si>
  <si>
    <t>January 2021 Marketing Levy  Canberra Airpor</t>
  </si>
  <si>
    <t>PCN113882</t>
  </si>
  <si>
    <t>Marketing - February 2021  Canberra Airpor</t>
  </si>
  <si>
    <t>P112940</t>
  </si>
  <si>
    <t>Marketing :evy - 15/02/2021 to 28/02/202  Canberra Airpor</t>
  </si>
  <si>
    <t>Marketing :evy - 01/02/2021 to 14/02/202  Canberra Airpor</t>
  </si>
  <si>
    <t>P113793</t>
  </si>
  <si>
    <t>Marketing - March 2021  Canberra Airpor</t>
  </si>
  <si>
    <t>PCN113883</t>
  </si>
  <si>
    <t>Marketing March 2021 - COVID19 relief Canberra Airpor</t>
  </si>
  <si>
    <t>PCN114476</t>
  </si>
  <si>
    <t>April 2021 Marketing relief - COVID19  Canberra Airpor</t>
  </si>
  <si>
    <t>P114476</t>
  </si>
  <si>
    <t>April 2021 - Marketing Levy  Canberra Airpor</t>
  </si>
  <si>
    <t>2230.3005</t>
  </si>
  <si>
    <t>328868</t>
  </si>
  <si>
    <t>Promo Levy - Sept 2020  Sydney Airport</t>
  </si>
  <si>
    <t>336086</t>
  </si>
  <si>
    <t>2231.3005</t>
  </si>
  <si>
    <t>2232.3005</t>
  </si>
  <si>
    <t>2233.3005</t>
  </si>
  <si>
    <t>2234.3005</t>
  </si>
  <si>
    <t>004683</t>
  </si>
  <si>
    <t>Marketing Levy - July 2020  Newcastle Airpo</t>
  </si>
  <si>
    <t>2450.3005</t>
  </si>
  <si>
    <t>004716</t>
  </si>
  <si>
    <t>Base Rent &amp; Marketing Levy - August 20  Newcastle Airpo</t>
  </si>
  <si>
    <t>004748</t>
  </si>
  <si>
    <t>Base Rent &amp; Marketing Levy - Sept 2020  Newcastle Airpo</t>
  </si>
  <si>
    <t>004780</t>
  </si>
  <si>
    <t>Base Rent &amp; Marketing Levy - October 20  Newcastle Airpo</t>
  </si>
  <si>
    <t>004813</t>
  </si>
  <si>
    <t>Marketing Levy - November 20  Newcastle Airpo</t>
  </si>
  <si>
    <t>004844</t>
  </si>
  <si>
    <t>Marketing Levy - December 2020  Newcastle Airpo</t>
  </si>
  <si>
    <t>004875-</t>
  </si>
  <si>
    <t>January 2021 - Rent  Newcastle Airpo</t>
  </si>
  <si>
    <t>004905</t>
  </si>
  <si>
    <t>February 2021 -  Marketing Levy  Newcastle Airpo</t>
  </si>
  <si>
    <t>CR001681</t>
  </si>
  <si>
    <t>Rent &amp; Marketing re;lief - April 2020 to December 2020 - COVID19 Newcastle Airpo</t>
  </si>
  <si>
    <t>004935</t>
  </si>
  <si>
    <t>Base rent &amp; Marketing Levy March 2021 Newcastle Airpo</t>
  </si>
  <si>
    <t>004965-</t>
  </si>
  <si>
    <t>Base rent &amp; marketing levy - April 2021  Newcastle Airpo</t>
  </si>
  <si>
    <t>3019.3005</t>
  </si>
  <si>
    <t>3028.3005</t>
  </si>
  <si>
    <t>3034.3005</t>
  </si>
  <si>
    <t>3175.3005</t>
  </si>
  <si>
    <t>RJ4692</t>
  </si>
  <si>
    <t>Reversing 1 month of accrual for 3175</t>
  </si>
  <si>
    <t>3213.3005</t>
  </si>
  <si>
    <t>2889712</t>
  </si>
  <si>
    <t>Marketing Levy - July 2020  AMP Capital Inv</t>
  </si>
  <si>
    <t>3228.3005</t>
  </si>
  <si>
    <t>2897420</t>
  </si>
  <si>
    <t>Marketing Levy - August 20  AMP Capital Inv</t>
  </si>
  <si>
    <t>2905747</t>
  </si>
  <si>
    <t>Base Rent &amp; Marketing Levy - Sept 20  AMP Capital Inv</t>
  </si>
  <si>
    <t>2911472</t>
  </si>
  <si>
    <t>Marketing Levy - October 20  AMP Capital Inv</t>
  </si>
  <si>
    <t>2921398</t>
  </si>
  <si>
    <t>Marketing Levy- November 20  AMP Capital Inv</t>
  </si>
  <si>
    <t>2937149</t>
  </si>
  <si>
    <t>Marketing Levy - December 2020  AMP Capital Inv</t>
  </si>
  <si>
    <t>2943085</t>
  </si>
  <si>
    <t>Marketing Levy - January 21  AMP Capital Inv</t>
  </si>
  <si>
    <t>2951669</t>
  </si>
  <si>
    <t>February 2021 Marketing Levy  AMP Capital Inv</t>
  </si>
  <si>
    <t>2958648</t>
  </si>
  <si>
    <t>Marketing Levy - March 21  AMP Capital Inv</t>
  </si>
  <si>
    <t>2966300</t>
  </si>
  <si>
    <t>April 2021 - Base rent &amp; Marketing Levy  AMP Capital Inv</t>
  </si>
  <si>
    <t>4100.3005</t>
  </si>
  <si>
    <t>INSCAT0005749</t>
  </si>
  <si>
    <t>December 2020 - Promo Levy  Sunshine Coast</t>
  </si>
  <si>
    <t>INSCAT0005933</t>
  </si>
  <si>
    <t>Base Rent &amp; Promo levy - January 2021  Sunshine Coast</t>
  </si>
  <si>
    <t>INSCAT0006056</t>
  </si>
  <si>
    <t>Prom - February 2021  Sunshine Coast</t>
  </si>
  <si>
    <t>4101.3005</t>
  </si>
  <si>
    <t>019523--</t>
  </si>
  <si>
    <t>Promo Levy - 27.10.18 to 30.11.2019  Brisbane Airpor</t>
  </si>
  <si>
    <t>4102.3005</t>
  </si>
  <si>
    <t>4104.3005</t>
  </si>
  <si>
    <t>4106.3005</t>
  </si>
  <si>
    <t>4107.3005</t>
  </si>
  <si>
    <t>4108.3005</t>
  </si>
  <si>
    <t>4109.3005</t>
  </si>
  <si>
    <t>4110.3005</t>
  </si>
  <si>
    <t>4145.3005</t>
  </si>
  <si>
    <t>4244.3005</t>
  </si>
  <si>
    <t>4770.3005</t>
  </si>
  <si>
    <t>4775.3005</t>
  </si>
  <si>
    <t>6026.3005</t>
  </si>
  <si>
    <t>6087.3005</t>
  </si>
  <si>
    <t>INV-2810 CR</t>
  </si>
  <si>
    <t>Discount settlement of account COVID19 CMW Group P/L T</t>
  </si>
  <si>
    <t>9990.3005</t>
  </si>
  <si>
    <t>DC083481</t>
  </si>
  <si>
    <t>DIRECTCR</t>
  </si>
  <si>
    <t>BAC Ecommerce Sales May &amp; June 2020</t>
  </si>
  <si>
    <t>DC083539</t>
  </si>
  <si>
    <t>BAC Online Sales - July/Oct 2020</t>
  </si>
  <si>
    <t>GL00016473</t>
  </si>
  <si>
    <t>BAC Marketplace Sale Marketing</t>
  </si>
  <si>
    <t>00000238</t>
  </si>
  <si>
    <t>Cleaning products  The Cunning Pla</t>
  </si>
  <si>
    <t>2118.3020</t>
  </si>
  <si>
    <t>2119.3020</t>
  </si>
  <si>
    <t>2137.3020</t>
  </si>
  <si>
    <t>EXPENSES TD JULY20</t>
  </si>
  <si>
    <t>Packing Tape &amp; Cleaning products  Tougeeda Dollie</t>
  </si>
  <si>
    <t>2225.3020</t>
  </si>
  <si>
    <t>EXPENSES TD 01.09.20</t>
  </si>
  <si>
    <t>Reimbursement - Hand Sanitisers x 2  Tougeeda Dollie</t>
  </si>
  <si>
    <t>EXPENSES 180121 TD</t>
  </si>
  <si>
    <t>Cleaning supplies  Tougeeda Dollie</t>
  </si>
  <si>
    <t>NS484923</t>
  </si>
  <si>
    <t>Cleaning supplies  Central Cleanin</t>
  </si>
  <si>
    <t>2230.3020</t>
  </si>
  <si>
    <t>2231.3020</t>
  </si>
  <si>
    <t>2234.3020</t>
  </si>
  <si>
    <t>EXPENSES SB 02.06.20</t>
  </si>
  <si>
    <t>Glass Cleaner x 9  Stella Barbouti</t>
  </si>
  <si>
    <t>2990.3020</t>
  </si>
  <si>
    <t>EXPENSES SB 020620</t>
  </si>
  <si>
    <t>Glass Cleaner  Stella Barbouti</t>
  </si>
  <si>
    <t>EXPENSES SM 060720</t>
  </si>
  <si>
    <t>Gloves: Tissues: Hand wash etc  Sonja Mohenska</t>
  </si>
  <si>
    <t>3228.3020</t>
  </si>
  <si>
    <t>EXPENSES SM 171220</t>
  </si>
  <si>
    <t>Expenses - Tissues &amp; Glen20 17/12/2020 Sonja Mohenska</t>
  </si>
  <si>
    <t>EXPENSES SM 170121</t>
  </si>
  <si>
    <t>Cleaning supplies  Sonja Mohenska</t>
  </si>
  <si>
    <t>H4475918</t>
  </si>
  <si>
    <t>H4478249</t>
  </si>
  <si>
    <t>Cleaning Produtcs  Central Cleanin</t>
  </si>
  <si>
    <t>NS484339</t>
  </si>
  <si>
    <t>4100.3020</t>
  </si>
  <si>
    <t>9034508846</t>
  </si>
  <si>
    <t>Sanitisers &amp; Spray &amp; Wipe  Winc Australia</t>
  </si>
  <si>
    <t>4101.3020</t>
  </si>
  <si>
    <t>9034695493</t>
  </si>
  <si>
    <t>Cleaning products  Winc Australia</t>
  </si>
  <si>
    <t>NS482542</t>
  </si>
  <si>
    <t>Cleaning Products  Central Cleanin</t>
  </si>
  <si>
    <t>4102.3020</t>
  </si>
  <si>
    <t>97243961</t>
  </si>
  <si>
    <t>12 x Crysta 111 Flute -  Reward Supply C</t>
  </si>
  <si>
    <t>4104.3020</t>
  </si>
  <si>
    <t>CBRS2529179</t>
  </si>
  <si>
    <t>Dish Towels &amp; Glass Wipe  ALSCO Pty Ltd</t>
  </si>
  <si>
    <t>CBRS2530488</t>
  </si>
  <si>
    <t>Dish Towels: Aprons: Glass wipe  ALSCO Pty Ltd</t>
  </si>
  <si>
    <t>CBRS2535315</t>
  </si>
  <si>
    <t>Dish Towel exchange  ALSCO Pty Ltd</t>
  </si>
  <si>
    <t>CBRS2540909</t>
  </si>
  <si>
    <t>Dish Towel Exchange  ALSCO Pty Ltd</t>
  </si>
  <si>
    <t>CBRS2545643</t>
  </si>
  <si>
    <t>9033650737</t>
  </si>
  <si>
    <t>Cleaning materials  Winc Australia</t>
  </si>
  <si>
    <t>9033659994</t>
  </si>
  <si>
    <t>Broken sanitiser - Inv No 9033650737  Winc Australia</t>
  </si>
  <si>
    <t>CBRS2551405</t>
  </si>
  <si>
    <t>Dish Towel x 25  ALSCO Pty Ltd</t>
  </si>
  <si>
    <t>CBRS2554904</t>
  </si>
  <si>
    <t>Glass Wipe x 14  ALSCO Pty Ltd</t>
  </si>
  <si>
    <t>CBRS2556367</t>
  </si>
  <si>
    <t>Dish Towels x 25  ALSCO Pty Ltd</t>
  </si>
  <si>
    <t>CBRS2562358</t>
  </si>
  <si>
    <t>Dish Towel x 25: Glass Wipe x 7  ALSCO Pty Ltd</t>
  </si>
  <si>
    <t>CBRS2566923</t>
  </si>
  <si>
    <t>CBRS2572717</t>
  </si>
  <si>
    <t>25 x Dish Towel &amp; 7 x Glass wipe  ALSCO Pty Ltd</t>
  </si>
  <si>
    <t>CBRS2578077</t>
  </si>
  <si>
    <t>25 x Dish Towel &amp; 7 x Glass wipes  ALSCO Pty Ltd</t>
  </si>
  <si>
    <t>424940</t>
  </si>
  <si>
    <t>OTH - Removed from batch as it is stock &amp; non-stock invoice (4104) Allpress Espres</t>
  </si>
  <si>
    <t>CBRS2583862</t>
  </si>
  <si>
    <t>25x Dish Towels 7x Glass Wipes  ALSCO Pty Ltd</t>
  </si>
  <si>
    <t>CBRS2589049</t>
  </si>
  <si>
    <t>25 Dish Towels: 7 Glass Wipes  ALSCO Pty Ltd</t>
  </si>
  <si>
    <t>CBRS2593124</t>
  </si>
  <si>
    <t>25 Dish Towels:  7 Glass Wipes  ALSCO Pty Ltd</t>
  </si>
  <si>
    <t>CBRS2598229</t>
  </si>
  <si>
    <t>CBRS2602745</t>
  </si>
  <si>
    <t>436366</t>
  </si>
  <si>
    <t>CBRS2608146</t>
  </si>
  <si>
    <t>25 dish towels:  7 Glass wipes  ALSCO Pty Ltd</t>
  </si>
  <si>
    <t>CBRS2612768</t>
  </si>
  <si>
    <t>Dish Towels x 25 &amp; Glass Wipes x 7  ALSCO Pty Ltd</t>
  </si>
  <si>
    <t>NS483127</t>
  </si>
  <si>
    <t>Cleaning products  Central Cleanin</t>
  </si>
  <si>
    <t>442506</t>
  </si>
  <si>
    <t>OTH Removed from batch due to stock and non stock items Allpress Espres</t>
  </si>
  <si>
    <t>CBRS2620571</t>
  </si>
  <si>
    <t>25 x Dish Towels: 7 x Glass wipes  ALSCO Pty Ltd</t>
  </si>
  <si>
    <t>CBRS2618212</t>
  </si>
  <si>
    <t>25 x DishTowels: 7 x Glass wipe  ALSCO Pty Ltd</t>
  </si>
  <si>
    <t>NS483800</t>
  </si>
  <si>
    <t>443713</t>
  </si>
  <si>
    <t>CBRS2622928</t>
  </si>
  <si>
    <t>25 x Dish Towels - 7 x Glass wipes  ALSCO Pty Ltd</t>
  </si>
  <si>
    <t>444737</t>
  </si>
  <si>
    <t>CBRS2625469</t>
  </si>
  <si>
    <t>25 x Dish towels: 7 x Glass wipes  ALSCO Pty Ltd</t>
  </si>
  <si>
    <t>CBRS2628459</t>
  </si>
  <si>
    <t>4106.3020</t>
  </si>
  <si>
    <t>4107.3020</t>
  </si>
  <si>
    <t>4108.3020</t>
  </si>
  <si>
    <t>4109.3020</t>
  </si>
  <si>
    <t>4110.3020</t>
  </si>
  <si>
    <t>4770.3020</t>
  </si>
  <si>
    <t>4775.3020</t>
  </si>
  <si>
    <t>9033221659</t>
  </si>
  <si>
    <t>4995.3020</t>
  </si>
  <si>
    <t>9033355694</t>
  </si>
  <si>
    <t>6 x Spray &amp; Wipe  Winc Australia</t>
  </si>
  <si>
    <t>9034359526</t>
  </si>
  <si>
    <t>Spray&amp;Wipes - fully credited 9034484117  Winc Australia</t>
  </si>
  <si>
    <t>9034484117</t>
  </si>
  <si>
    <t>Cancelling Inv No 9034359526  Winc Australia</t>
  </si>
  <si>
    <t>H4477008</t>
  </si>
  <si>
    <t>6176.3020</t>
  </si>
  <si>
    <t>EXPENSES PB 29.12.20</t>
  </si>
  <si>
    <t>Cleaning &amp; santising products  Paula Bourne</t>
  </si>
  <si>
    <t>7064.3020</t>
  </si>
  <si>
    <t>EXPENSE PB 190121</t>
  </si>
  <si>
    <t>Cleaning supplies  Paula Bourne</t>
  </si>
  <si>
    <t>TA460315</t>
  </si>
  <si>
    <t>EXPENSES PB 03.11.20</t>
  </si>
  <si>
    <t>Cleaning products  Paula Bourne</t>
  </si>
  <si>
    <t>7078.3020</t>
  </si>
  <si>
    <t>7079.3020</t>
  </si>
  <si>
    <t>EXPENSES CM 03.09.20</t>
  </si>
  <si>
    <t>Reimbursement - Cleaning materials  Carol Murphy</t>
  </si>
  <si>
    <t>8030.3020</t>
  </si>
  <si>
    <t>EXPENSES CM 130121</t>
  </si>
  <si>
    <t>Cleaning items  Carol Murphy</t>
  </si>
  <si>
    <t>EXPENSES SH 130820</t>
  </si>
  <si>
    <t>12 x hand sanitisers  Stacey Harrison</t>
  </si>
  <si>
    <t>8188.3020</t>
  </si>
  <si>
    <t>EXPENSES 090121</t>
  </si>
  <si>
    <t>Cleaning supplies  Jo Anne De Arau</t>
  </si>
  <si>
    <t>GL00015982</t>
  </si>
  <si>
    <t>Cleaning Accrual June 2020 15.06.2020 - 30.06.2020</t>
  </si>
  <si>
    <t>9990.3020</t>
  </si>
  <si>
    <t>INV-3368</t>
  </si>
  <si>
    <t>Office Cleaning - 15.06.20 to 14.07.20  Major Property</t>
  </si>
  <si>
    <t>RJ4427</t>
  </si>
  <si>
    <t>Cleaning Accrual July 2020 BZA Pty Ltd</t>
  </si>
  <si>
    <t>INV-06563</t>
  </si>
  <si>
    <t>Office Cleaning - 2 days - 27th &amp; 30th  BZA Pty Ltd</t>
  </si>
  <si>
    <t>INV-3425</t>
  </si>
  <si>
    <t>Office Clean - 15/07/20 to 23/07/20  Major Property</t>
  </si>
  <si>
    <t>RJ4451</t>
  </si>
  <si>
    <t>Cleaning Accrual August 2020 BZA Pty Ltd</t>
  </si>
  <si>
    <t>00084233</t>
  </si>
  <si>
    <t>Yearly sanitary disposal x 5  Vedder Sanitary</t>
  </si>
  <si>
    <t>INV-06592</t>
  </si>
  <si>
    <t>Office Cleaning - August 2020  BZA Pty Ltd</t>
  </si>
  <si>
    <t>RJ4512</t>
  </si>
  <si>
    <t>Cleaning Accrual Sept 2020 BZA Pty Ltd</t>
  </si>
  <si>
    <t>INV-06655</t>
  </si>
  <si>
    <t>Office Clean - September 2020 Mondays only BZA Pty Ltd</t>
  </si>
  <si>
    <t>447382</t>
  </si>
  <si>
    <t>Sanitizer and Facemask  Chemisell Pty L</t>
  </si>
  <si>
    <t>INV-06716</t>
  </si>
  <si>
    <t>Office cleaning - October 2020  BZA Pty Ltd</t>
  </si>
  <si>
    <t>Dyson - Vacuum Cleaner  American Expres</t>
  </si>
  <si>
    <t>Cleaning Items - COVID19 requirements  American Expres</t>
  </si>
  <si>
    <t>RJ4580</t>
  </si>
  <si>
    <t>Cleaning Support Office Nov 2020 Resume Twice a Week</t>
  </si>
  <si>
    <t>RJ4604</t>
  </si>
  <si>
    <t>Cleaning Support Office Dec 2020</t>
  </si>
  <si>
    <t>INV-06754</t>
  </si>
  <si>
    <t>Office Cleaning - November 2020  BZA Pty Ltd</t>
  </si>
  <si>
    <t>448162</t>
  </si>
  <si>
    <t>Anthony Villani Support Centre stocks confirmed by Voula Chemisell Pty L</t>
  </si>
  <si>
    <t>INV-06826</t>
  </si>
  <si>
    <t>Office Cleaning - December 2020  BZA Pty Ltd</t>
  </si>
  <si>
    <t>Cleaning  NAB Visa Accoun</t>
  </si>
  <si>
    <t>CN-06931</t>
  </si>
  <si>
    <t>Credits - 2 cleans Nov: 4 cleans Dec 1 clean Jan BZA Pty Ltd</t>
  </si>
  <si>
    <t>RJ4626</t>
  </si>
  <si>
    <t>Cleaning Support Office Jan 2021</t>
  </si>
  <si>
    <t>INV-06893</t>
  </si>
  <si>
    <t>January 2021 Office cleaning  BZA Pty Ltd</t>
  </si>
  <si>
    <t>H4471485</t>
  </si>
  <si>
    <t>Hand Sanitiser: Masks: Gloves: Wipes  Central Cleanin</t>
  </si>
  <si>
    <t>RJ4654</t>
  </si>
  <si>
    <t>Cleaning Support Office Feb 2021</t>
  </si>
  <si>
    <t>Woowlroths - cleaning supplies  American Expres</t>
  </si>
  <si>
    <t>RJ4691</t>
  </si>
  <si>
    <t>Cleaning Support Office Mar 2021</t>
  </si>
  <si>
    <t>INV-06965</t>
  </si>
  <si>
    <t>February 2021 office cleaning  BZA Pty Ltd</t>
  </si>
  <si>
    <t>CN-07063</t>
  </si>
  <si>
    <t>1 day cleaning - 15/02/2021  BZA Pty Ltd</t>
  </si>
  <si>
    <t>447495</t>
  </si>
  <si>
    <t>Gloves: Hand sanitiser: Masks - DC  Chemisell Pty L</t>
  </si>
  <si>
    <t>9995.3020</t>
  </si>
  <si>
    <t>9990.3030</t>
  </si>
  <si>
    <t>ITTelligent Support</t>
  </si>
  <si>
    <t>RD - SMS Maintainence Fee - Retail Manag</t>
  </si>
  <si>
    <t>RD - Support Fees</t>
  </si>
  <si>
    <t>0015611</t>
  </si>
  <si>
    <t>Licences &amp; Maintenance - June 2020  Retail Manageme</t>
  </si>
  <si>
    <t>Virtual DBA Bronze Support - Wardy ItSol</t>
  </si>
  <si>
    <t>RJ4448</t>
  </si>
  <si>
    <t>ITTeligent Support Fees Accrual March Invoice INV-20029</t>
  </si>
  <si>
    <t>INV00927061</t>
  </si>
  <si>
    <t>Monthly Access Fee - July 2020  Message4U Pty L</t>
  </si>
  <si>
    <t>00002531</t>
  </si>
  <si>
    <t>July 2020 Virtual DBA Bronze Support  Wardy ItSolutio</t>
  </si>
  <si>
    <t>00015649</t>
  </si>
  <si>
    <t>Support Services - June 2020 Supplier Portal &amp; Putaway Error Retail Manageme</t>
  </si>
  <si>
    <t>INV-21130</t>
  </si>
  <si>
    <t>Smartcare Proactive-IT Support - August 2020 - in advance ITtelligent Con</t>
  </si>
  <si>
    <t>INV00960709</t>
  </si>
  <si>
    <t>August 2020 Monthly Access Fee  Message4U Pty L</t>
  </si>
  <si>
    <t>00015683</t>
  </si>
  <si>
    <t>July 2020 Licences &amp; maintenance  Retail Manageme</t>
  </si>
  <si>
    <t>00015698</t>
  </si>
  <si>
    <t>Support Services July 2020 AWPL Supplier Portal UAT Retail Manageme</t>
  </si>
  <si>
    <t>INV-21389</t>
  </si>
  <si>
    <t>Sept 2020 Smartcare Proactive &amp; July/August other services ITtelligent Con</t>
  </si>
  <si>
    <t>GL00016084</t>
  </si>
  <si>
    <t>Overaccrued Wardy IT Solutions Support F</t>
  </si>
  <si>
    <t>GL00016083</t>
  </si>
  <si>
    <t>Reallocated Wardy IT Solutions Support F From Consultants to IT Support</t>
  </si>
  <si>
    <t>RJ4449</t>
  </si>
  <si>
    <t>INV00039832</t>
  </si>
  <si>
    <t>November 2017 - Monthly access fee  Message4U Pty L</t>
  </si>
  <si>
    <t>INV00998131</t>
  </si>
  <si>
    <t>Sepember 2020 - Monthly access fee  Message4U Pty L</t>
  </si>
  <si>
    <t>GL00016085</t>
  </si>
  <si>
    <t>00015547</t>
  </si>
  <si>
    <t>Discount on Inv No 00015547 May 2020 - COVID19 Retail Manageme</t>
  </si>
  <si>
    <t>00015611</t>
  </si>
  <si>
    <t>Discount given on Inv No 00015611 June 2019 - COVID19 Retail Manageme</t>
  </si>
  <si>
    <t>Discount given on Inv No 00015683 July 2020 - COVID19 Retail Manageme</t>
  </si>
  <si>
    <t>00015763</t>
  </si>
  <si>
    <t>August 2020 reduced licence Fees COVID 19 Retail Manageme</t>
  </si>
  <si>
    <t>INV-21609</t>
  </si>
  <si>
    <t>Server/monitoring - monthly in advance  ITtelligent Con</t>
  </si>
  <si>
    <t>RJ4499</t>
  </si>
  <si>
    <t>RJ4498</t>
  </si>
  <si>
    <t>ITTelligent Support Fees</t>
  </si>
  <si>
    <t>INV01028387</t>
  </si>
  <si>
    <t>Monthly Access Fee - October 20  Message4U Pty L</t>
  </si>
  <si>
    <t>00003428</t>
  </si>
  <si>
    <t>Virtual DBA Bronze Support - October 20  Wardy ItSolutio</t>
  </si>
  <si>
    <t>00015811</t>
  </si>
  <si>
    <t>Licences &amp; Maintance - September 20 COVID19 reduction Retail Manageme</t>
  </si>
  <si>
    <t>INV-21889</t>
  </si>
  <si>
    <t>Monthly SmartCare Proactive  ITtelligent Con</t>
  </si>
  <si>
    <t>GL00016179</t>
  </si>
  <si>
    <t>00015869</t>
  </si>
  <si>
    <t>September 2020 support services  Retail Manageme</t>
  </si>
  <si>
    <t>INV01063576</t>
  </si>
  <si>
    <t>November 2020 Monthly access fee  Message4U Pty L</t>
  </si>
  <si>
    <t>00003565-</t>
  </si>
  <si>
    <t>November 2020 Virtual DBA Bronze Support  Wardy ItSolutio</t>
  </si>
  <si>
    <t>00015894</t>
  </si>
  <si>
    <t>October 2020 maintenance &amp; register licences Retail Manageme</t>
  </si>
  <si>
    <t>INV-22067</t>
  </si>
  <si>
    <t>Monthly Server Monitoring: Spam: Storage: Licenses etc ITtelligent Con</t>
  </si>
  <si>
    <t>INV-20029</t>
  </si>
  <si>
    <t>Server/Desktop &amp; Networking - April 20  ITtelligent Con</t>
  </si>
  <si>
    <t>INV01118218</t>
  </si>
  <si>
    <t>December 2020 Monthly Access Fee  Message4U Pty L</t>
  </si>
  <si>
    <t>00003840</t>
  </si>
  <si>
    <t>Virtual DBA Bronze Support - December 20  Wardy ItSolutio</t>
  </si>
  <si>
    <t>00015960</t>
  </si>
  <si>
    <t>Maintenance Fees Nov 2020 as agreed  Retail Manageme</t>
  </si>
  <si>
    <t>INV-22342</t>
  </si>
  <si>
    <t>December 20 Smartcare Proactive Spam: Licenses ITtelligent Con</t>
  </si>
  <si>
    <t>INV01137765</t>
  </si>
  <si>
    <t>January 2021 monthly access fee  Message4U Pty L</t>
  </si>
  <si>
    <t>00016015</t>
  </si>
  <si>
    <t>December 2020 - Register Licences COVID19 reduction Retail Manageme</t>
  </si>
  <si>
    <t>00016064</t>
  </si>
  <si>
    <t>December 2020 Support services  Retail Manageme</t>
  </si>
  <si>
    <t>INV-22680</t>
  </si>
  <si>
    <t>January Reactive IT Support etc  ITtelligent Con</t>
  </si>
  <si>
    <t>00052164</t>
  </si>
  <si>
    <t>Virtual DBA Bronze Support - January 21  MOQ</t>
  </si>
  <si>
    <t>INV01224107</t>
  </si>
  <si>
    <t>February 2021 monthly access fee  Message4U Pty L</t>
  </si>
  <si>
    <t>00052920</t>
  </si>
  <si>
    <t>Virtual DBA Bronze Support - February 21  MOQ</t>
  </si>
  <si>
    <t>INV-20581</t>
  </si>
  <si>
    <t>Smartcare Proactive Monthly support  ITtelligent Con</t>
  </si>
  <si>
    <t>INV-23100</t>
  </si>
  <si>
    <t>EssentialSSL Wildcard certificate  ITtelligent Con</t>
  </si>
  <si>
    <t>INV-23174</t>
  </si>
  <si>
    <t>Monthly Server Monitoring: Spam: License  ITtelligent Con</t>
  </si>
  <si>
    <t>00016110</t>
  </si>
  <si>
    <t>January 2021 - Register Licences: Maintenance Fees POS &amp; SMSmx Retail Manageme</t>
  </si>
  <si>
    <t>00016173</t>
  </si>
  <si>
    <t>February 2021 - Register Licences: Maintenace Fees POS &amp; SMSmx Retail Manageme</t>
  </si>
  <si>
    <t>00016224</t>
  </si>
  <si>
    <t>March 2021 - Register licences Maintenance fees POS &amp; SMSmx Retail Manageme</t>
  </si>
  <si>
    <t>00002961-</t>
  </si>
  <si>
    <t>Overage Hours July 2020 Fully credited on 00003273 Wardy ItSolutio</t>
  </si>
  <si>
    <t>9992.3030</t>
  </si>
  <si>
    <t>00003273</t>
  </si>
  <si>
    <t>Overage hours July 2020 - Inv No 2961  Wardy ItSolutio</t>
  </si>
  <si>
    <t>00003407-</t>
  </si>
  <si>
    <t>SQL Backup &amp; Restore  Wardy ItSolutio</t>
  </si>
  <si>
    <t>00015917</t>
  </si>
  <si>
    <t>October 2020 - Support Services  Retail Manageme</t>
  </si>
  <si>
    <t>00015972</t>
  </si>
  <si>
    <t>November 2020 - Support Services  Retail Manageme</t>
  </si>
  <si>
    <t>00016016</t>
  </si>
  <si>
    <t>December 2020 - Maintenance Fees  Retail Manageme</t>
  </si>
  <si>
    <t>INV-22831</t>
  </si>
  <si>
    <t>Reactive IT support: Spam: Storage etc ITtelligent Con</t>
  </si>
  <si>
    <t>INV01269901</t>
  </si>
  <si>
    <t>March 2021 Monthly Access fee  Message4U Pty L</t>
  </si>
  <si>
    <t>00053643</t>
  </si>
  <si>
    <t>March 21 Virtual DBA Bronze support  MOQ</t>
  </si>
  <si>
    <t>00016117</t>
  </si>
  <si>
    <t>Support Services - January 2021  Retail Manageme</t>
  </si>
  <si>
    <t>00016179-</t>
  </si>
  <si>
    <t>Support Services - February 2021  Retail Manageme</t>
  </si>
  <si>
    <t>INV01302237</t>
  </si>
  <si>
    <t>April 2021 monthly access fee  Message4U Pty L</t>
  </si>
  <si>
    <t>00054481</t>
  </si>
  <si>
    <t>April 2020 Virtual DBA  MOQ</t>
  </si>
  <si>
    <t>00016254</t>
  </si>
  <si>
    <t>Support Services for March 2021  Retail Manageme</t>
  </si>
  <si>
    <t>INV-23428</t>
  </si>
  <si>
    <t>Monthly IT Support:  ITtelligent Con</t>
  </si>
  <si>
    <t>Monthly Software Licensing: Hosting Darw</t>
  </si>
  <si>
    <t>Software Ittelligent Mar 2021 inv 23356</t>
  </si>
  <si>
    <t>Dropbox - US$13.19 28 Degrees NAB Visa A</t>
  </si>
  <si>
    <t>INV-18674.</t>
  </si>
  <si>
    <t>Easy Payroll Charges 07.06.2020 &amp; 21.06. PLUS SUPP Easy payroll Gl</t>
  </si>
  <si>
    <t>2117.3040</t>
  </si>
  <si>
    <t>GL00015984</t>
  </si>
  <si>
    <t>Easy Payroll Charges 07.06.2020 &amp; 21.06. PLUS SUPP</t>
  </si>
  <si>
    <t>CN-19402</t>
  </si>
  <si>
    <t>Easy Payroll Charges 07.06.2020 122 Pays PLUS SUPP Easy payroll Gl</t>
  </si>
  <si>
    <t>RJ4432</t>
  </si>
  <si>
    <t>Easy Payroll Charges 05.07.2020 &amp; 19.07. PLUS SUPP</t>
  </si>
  <si>
    <t>Easy Payroll Charges 05.07.2020 119 Pays PLUS SUPP</t>
  </si>
  <si>
    <t>RJ4467</t>
  </si>
  <si>
    <t>RJ4469</t>
  </si>
  <si>
    <t>Easy Payroll  July - 119 Pays Credit Not PLUS SUPP</t>
  </si>
  <si>
    <t>INV-19629</t>
  </si>
  <si>
    <t>Easy Payroll Charges 05.07.2020 &amp; 19.07. PLUS SUPP Easy payroll Gl</t>
  </si>
  <si>
    <t>CN-19993</t>
  </si>
  <si>
    <t>Easy Payroll Charges 05.07.2020 119 Pays PLUS SUPP Easy payroll Gl</t>
  </si>
  <si>
    <t>RJ4466</t>
  </si>
  <si>
    <t>Easy Payroll Charges 02.08.2020 &amp; 16.08. PLUS SUPP</t>
  </si>
  <si>
    <t>INV-20226</t>
  </si>
  <si>
    <t>Easy Payroll Charges 02.08.2020 &amp; 16.08. PLUS SUPP Easy payroll Gl</t>
  </si>
  <si>
    <t>RJ4517</t>
  </si>
  <si>
    <t>Easy Payroll Charges 30.08.2020,13.09.20 &amp; 27.09.2020 + Sup Pays</t>
  </si>
  <si>
    <t>INV-20807</t>
  </si>
  <si>
    <t>Easy Payroll Charges 30.08.2020,13.09.20 &amp; 27.09.2020 + Sup Pays Easy payroll Gl</t>
  </si>
  <si>
    <t>RJ4547</t>
  </si>
  <si>
    <t>Easy Payroll Charges October 2020 Sup Pays</t>
  </si>
  <si>
    <t>INV-21375</t>
  </si>
  <si>
    <t>Easy Payroll Charges October 2020 Sup Pays Easy payroll Gl</t>
  </si>
  <si>
    <t>RJ4572</t>
  </si>
  <si>
    <t>Easy Payroll Charges November 2020 Sup Pays</t>
  </si>
  <si>
    <t>INV-21925</t>
  </si>
  <si>
    <t>Easy Payroll Charges November 2020 Sup Pays Easy payroll Gl</t>
  </si>
  <si>
    <t>RJ4595</t>
  </si>
  <si>
    <t>Easy Payroll Charges December 2020 Sup Pays</t>
  </si>
  <si>
    <t>INV-22541</t>
  </si>
  <si>
    <t>Easy Payroll Charges December 2020 Sup Pays Easy payroll Gl</t>
  </si>
  <si>
    <t>RJ4623</t>
  </si>
  <si>
    <t>Easy Payroll Charges January 2021 Sup Pays</t>
  </si>
  <si>
    <t>INV-23050</t>
  </si>
  <si>
    <t>Easy Payroll Charges January 2021 Sup Pays Easy payroll Gl</t>
  </si>
  <si>
    <t>2118.3040</t>
  </si>
  <si>
    <t>RJ4646</t>
  </si>
  <si>
    <t>Easy Payroll Charges February 2021 Sup Pays</t>
  </si>
  <si>
    <t>INV-23585</t>
  </si>
  <si>
    <t>Easy Payroll Charges February 2021 Sup Pays Easy payroll Gl</t>
  </si>
  <si>
    <t>RJ4701</t>
  </si>
  <si>
    <t>Easy Payroll Charges March 2021 Sup Pays</t>
  </si>
  <si>
    <t>INV-24144</t>
  </si>
  <si>
    <t>Easy Payroll Charges March 2021 Sup Pays Easy payroll Gl</t>
  </si>
  <si>
    <t>RJ4702</t>
  </si>
  <si>
    <t>Easy Payroll Charges April 2021 Sup Pays</t>
  </si>
  <si>
    <t>2119.3040</t>
  </si>
  <si>
    <t>2120.3040</t>
  </si>
  <si>
    <t>2136.3040</t>
  </si>
  <si>
    <t>2137.3040</t>
  </si>
  <si>
    <t>2225.3040</t>
  </si>
  <si>
    <t>2230.3040</t>
  </si>
  <si>
    <t>2231.3040</t>
  </si>
  <si>
    <t>2232.3040</t>
  </si>
  <si>
    <t>2233.3040</t>
  </si>
  <si>
    <t>2234.3040</t>
  </si>
  <si>
    <t>2450.3040</t>
  </si>
  <si>
    <t>2990.3040</t>
  </si>
  <si>
    <t>3019.3040</t>
  </si>
  <si>
    <t>3028.3040</t>
  </si>
  <si>
    <t>3034.3040</t>
  </si>
  <si>
    <t>3175.3040</t>
  </si>
  <si>
    <t>3213.3040</t>
  </si>
  <si>
    <t>3228.3040</t>
  </si>
  <si>
    <t>4024.3040</t>
  </si>
  <si>
    <t>4085.3040</t>
  </si>
  <si>
    <t>4100.3040</t>
  </si>
  <si>
    <t>4101.3040</t>
  </si>
  <si>
    <t>4102.3040</t>
  </si>
  <si>
    <t>4103.3040</t>
  </si>
  <si>
    <t>4104.3040</t>
  </si>
  <si>
    <t>4106.3040</t>
  </si>
  <si>
    <t>4107.3040</t>
  </si>
  <si>
    <t>4109.3040</t>
  </si>
  <si>
    <t>4115.3040</t>
  </si>
  <si>
    <t>4122.3040</t>
  </si>
  <si>
    <t>4170.3040</t>
  </si>
  <si>
    <t>4235.3040</t>
  </si>
  <si>
    <t>4244.3040</t>
  </si>
  <si>
    <t>4250.3040</t>
  </si>
  <si>
    <t>4530.3040</t>
  </si>
  <si>
    <t>4770.3040</t>
  </si>
  <si>
    <t>4775.3040</t>
  </si>
  <si>
    <t>4995.3040</t>
  </si>
  <si>
    <t>6026.3040</t>
  </si>
  <si>
    <t>6087.3040</t>
  </si>
  <si>
    <t>6089.3040</t>
  </si>
  <si>
    <t>6176.3040</t>
  </si>
  <si>
    <t>6220.3040</t>
  </si>
  <si>
    <t>7064.3040</t>
  </si>
  <si>
    <t>7078.3040</t>
  </si>
  <si>
    <t>7079.3040</t>
  </si>
  <si>
    <t>8006.3040</t>
  </si>
  <si>
    <t>8030.3040</t>
  </si>
  <si>
    <t>8188.3040</t>
  </si>
  <si>
    <t>8190.3040</t>
  </si>
  <si>
    <t>00008191</t>
  </si>
  <si>
    <t>Consulting Fees - W/E 26.06.20  Ecentric Innova</t>
  </si>
  <si>
    <t>9990.3040</t>
  </si>
  <si>
    <t>00002805-</t>
  </si>
  <si>
    <t>Virtual DBA Bronze Support - August 20  Wardy ItSolutio</t>
  </si>
  <si>
    <t>SIN020204</t>
  </si>
  <si>
    <t>Advice - Redundancies 31/07/20  Australian Reta</t>
  </si>
  <si>
    <t>13425</t>
  </si>
  <si>
    <t>Site Inspection ect - Mackay Airport  Integral Group</t>
  </si>
  <si>
    <t>SIN020960</t>
  </si>
  <si>
    <t>Advice during August 2020 - terminations  Australian Reta</t>
  </si>
  <si>
    <t>INV-1121</t>
  </si>
  <si>
    <t>Design work - 20.09.20 to 26.09.20  Yianni Kouros</t>
  </si>
  <si>
    <t>00003157</t>
  </si>
  <si>
    <t>Virtual DBA Support - September 2020  Wardy ItSolutio</t>
  </si>
  <si>
    <t>INV-1122</t>
  </si>
  <si>
    <t>Design - 27.09.20 to 03.10.20  Yianni Kouros</t>
  </si>
  <si>
    <t>INV-1123</t>
  </si>
  <si>
    <t>Design - 04.10.20 to 10.10.20  Yianni Kouros</t>
  </si>
  <si>
    <t>INV-1124</t>
  </si>
  <si>
    <t>Design - 11.10.20 to 17.10.20  Yianni Kouros</t>
  </si>
  <si>
    <t>INV-1126</t>
  </si>
  <si>
    <t>Design - 18.10.20 to 24.10.20  Yianni Kouros</t>
  </si>
  <si>
    <t>Consultants Fees Accrual Oct 2020</t>
  </si>
  <si>
    <t>SIN021838</t>
  </si>
  <si>
    <t>Advice on Unfair Dismissal claim - 01.10.20 to 19.10.20 Australian Reta</t>
  </si>
  <si>
    <t>INV-1127</t>
  </si>
  <si>
    <t>Design - 25.10.20 to 31.10.20  Yianni Kouros</t>
  </si>
  <si>
    <t>INV-1128</t>
  </si>
  <si>
    <t>Design - 01.11.20 to 07.11.20  Yianni Kouros</t>
  </si>
  <si>
    <t>INV-1129</t>
  </si>
  <si>
    <t>Design - 08.11.20 to 14.11.20  Yianni Kouros</t>
  </si>
  <si>
    <t>INV-1132</t>
  </si>
  <si>
    <t>Design - 15.11.20 to 21.11.20  Yianni Kouros</t>
  </si>
  <si>
    <t>INV-1133</t>
  </si>
  <si>
    <t>Design - 22.11.20 to 28.11.20  Yianni Kouros</t>
  </si>
  <si>
    <t>Consultants Fees Accrual Dec 2020</t>
  </si>
  <si>
    <t>INV-1134</t>
  </si>
  <si>
    <t>December 2020 projects  Yianni Kouros</t>
  </si>
  <si>
    <t>The Cunning Plan Accrual Jan 2021</t>
  </si>
  <si>
    <t>00000237</t>
  </si>
  <si>
    <t>Consulting Fees Jan 2021 &amp; expenses  The Cunning Pla</t>
  </si>
  <si>
    <t>INV-1136</t>
  </si>
  <si>
    <t>Design - Hobart &amp; Cairns 22/1 to 03/2/2021 Yianni Kouros</t>
  </si>
  <si>
    <t>Consultants Fees February 2020 &amp; expense  The Cunning Pla</t>
  </si>
  <si>
    <t>The Cunning Plan Accrual Mar 2021</t>
  </si>
  <si>
    <t>211447</t>
  </si>
  <si>
    <t>EAP counselling 25.03.21  Converge Intern</t>
  </si>
  <si>
    <t>21-0054</t>
  </si>
  <si>
    <t>The Mercurius Group - Industry Strategy  Sundry EFT AP</t>
  </si>
  <si>
    <t>IV01053</t>
  </si>
  <si>
    <t>20.04.21 Executive Team Mentoring Session Jaquie Scammell</t>
  </si>
  <si>
    <t>00000239</t>
  </si>
  <si>
    <t>Consultants - March 2021  The Cunning Pla</t>
  </si>
  <si>
    <t>Industry Strategy &amp; Funding Options  The Mercurius G</t>
  </si>
  <si>
    <t>9991.3040</t>
  </si>
  <si>
    <t>9993.3040</t>
  </si>
  <si>
    <t>9994.3040</t>
  </si>
  <si>
    <t>9995.3040</t>
  </si>
  <si>
    <t>9996.3040</t>
  </si>
  <si>
    <t>Duty Free Accrual June 2020</t>
  </si>
  <si>
    <t>2119.3065</t>
  </si>
  <si>
    <t>Duty Free Expen</t>
  </si>
  <si>
    <t>Duty Free Accrual July 2020</t>
  </si>
  <si>
    <t>Duty Free Accrual August 2020</t>
  </si>
  <si>
    <t>2120.3065</t>
  </si>
  <si>
    <t>Duty Free Accrual September 2020</t>
  </si>
  <si>
    <t>2130</t>
  </si>
  <si>
    <t>February 2020 - GST Free Dockets  Duty Free Secur</t>
  </si>
  <si>
    <t>2269</t>
  </si>
  <si>
    <t>March 2020 - GST Free dockets  Duty Free Secur</t>
  </si>
  <si>
    <t>2233.3065</t>
  </si>
  <si>
    <t>2234.3065</t>
  </si>
  <si>
    <t>3019.3065</t>
  </si>
  <si>
    <t>3028.3065</t>
  </si>
  <si>
    <t>3175.3065</t>
  </si>
  <si>
    <t>3213.3065</t>
  </si>
  <si>
    <t>4085.3065</t>
  </si>
  <si>
    <t>4102.3065</t>
  </si>
  <si>
    <t>4110.3065</t>
  </si>
  <si>
    <t>4170.3065</t>
  </si>
  <si>
    <t>4235.3065</t>
  </si>
  <si>
    <t>5053.3065</t>
  </si>
  <si>
    <t>5192.3065</t>
  </si>
  <si>
    <t>6087.3065</t>
  </si>
  <si>
    <t>6089.3065</t>
  </si>
  <si>
    <t>6176.3065</t>
  </si>
  <si>
    <t>2367</t>
  </si>
  <si>
    <t>May 2020 - GST free dockets  Duty Free Secur</t>
  </si>
  <si>
    <t>Cash Handling Accrual July 2020</t>
  </si>
  <si>
    <t>2450.3076</t>
  </si>
  <si>
    <t>Cash Handling Accrual August 2020</t>
  </si>
  <si>
    <t>Cash Handling Accrual September 2020</t>
  </si>
  <si>
    <t>Cash Handling Accrual Oct 2020</t>
  </si>
  <si>
    <t>4100.3076</t>
  </si>
  <si>
    <t>8030.3076</t>
  </si>
  <si>
    <t>8188.3076</t>
  </si>
  <si>
    <t>STATEMENT 261120 SV</t>
  </si>
  <si>
    <t>SACL - Car Passes  American Expres</t>
  </si>
  <si>
    <t>2117.3201</t>
  </si>
  <si>
    <t>Allowances/Park</t>
  </si>
  <si>
    <t>EXPENSES STELLA 020920</t>
  </si>
  <si>
    <t>Reimbursement - car parking  Stella Barbouti</t>
  </si>
  <si>
    <t>2118.3201</t>
  </si>
  <si>
    <t>7488897</t>
  </si>
  <si>
    <t>SACL - Prepaid Parking Tickets  American Expres</t>
  </si>
  <si>
    <t>7181554</t>
  </si>
  <si>
    <t>SACL - Prepaid parking tickets  American Expres</t>
  </si>
  <si>
    <t>7181500</t>
  </si>
  <si>
    <t>GL00016497</t>
  </si>
  <si>
    <t>Wages F/E 11.04.2021</t>
  </si>
  <si>
    <t>RJ4422</t>
  </si>
  <si>
    <t>Carpark Accrual Sydney July 2020</t>
  </si>
  <si>
    <t>2119.3201</t>
  </si>
  <si>
    <t>758877</t>
  </si>
  <si>
    <t>Staff Car Parking July 2020 @ 3 spaces T  Sydney Airport</t>
  </si>
  <si>
    <t>RJ4444</t>
  </si>
  <si>
    <t>Carpark Accrual Sydney August 2020</t>
  </si>
  <si>
    <t>GL00016069</t>
  </si>
  <si>
    <t>Reallocation of Car park Inv 761467</t>
  </si>
  <si>
    <t>RJ4491</t>
  </si>
  <si>
    <t>Carpark Accrual Sydney September 2020</t>
  </si>
  <si>
    <t>763967</t>
  </si>
  <si>
    <t>Staff Car Parking September 2020 @ 2 spa  Sydney Airport</t>
  </si>
  <si>
    <t>RJ4541</t>
  </si>
  <si>
    <t>Carpark Accrual Sydney October 2020</t>
  </si>
  <si>
    <t>RJ4574</t>
  </si>
  <si>
    <t>Carpark Accrual Sydney Nov 2020</t>
  </si>
  <si>
    <t>766428</t>
  </si>
  <si>
    <t>Staff Car Parking October 2020 @ 3 space  Sydney Airport</t>
  </si>
  <si>
    <t>RJ4601</t>
  </si>
  <si>
    <t>Carpark Accrual Sydney Dec 2020</t>
  </si>
  <si>
    <t>768269</t>
  </si>
  <si>
    <t>Staff Car Parking November 2020 @ 3 spac  Sydney Airport</t>
  </si>
  <si>
    <t>7500537</t>
  </si>
  <si>
    <t>Casual Staff Parking at Sydney Airport December 2020 American Expres</t>
  </si>
  <si>
    <t>7356346</t>
  </si>
  <si>
    <t>Sydney Car park passes January 2021 American Expres</t>
  </si>
  <si>
    <t>GL00016475</t>
  </si>
  <si>
    <t>Wages F/E 28.03.2021</t>
  </si>
  <si>
    <t>GL00016511</t>
  </si>
  <si>
    <t>Wages F/E 25.04.2021</t>
  </si>
  <si>
    <t>GL00016537</t>
  </si>
  <si>
    <t>Wages F/E 09.05.2021</t>
  </si>
  <si>
    <t>GL00016533</t>
  </si>
  <si>
    <t>GL00015976</t>
  </si>
  <si>
    <t>Carpark Accrual Sydney June 2020</t>
  </si>
  <si>
    <t>2120.3201</t>
  </si>
  <si>
    <t>756749-</t>
  </si>
  <si>
    <t>Staff Car Parking June 2020 @ 9 spaces T  Sydney Airport</t>
  </si>
  <si>
    <t>GL00015954</t>
  </si>
  <si>
    <t>Wages F/E 02.08.2020</t>
  </si>
  <si>
    <t>GL00016001</t>
  </si>
  <si>
    <t>Wages F/E 16.08.2020</t>
  </si>
  <si>
    <t>GL00016121</t>
  </si>
  <si>
    <t>Wages F/E 27.09.2020</t>
  </si>
  <si>
    <t>GL00016171</t>
  </si>
  <si>
    <t>Wages F/E 11.10.2020</t>
  </si>
  <si>
    <t>2137.3201</t>
  </si>
  <si>
    <t>GL00016449</t>
  </si>
  <si>
    <t>Wages F/E 28.02.2021</t>
  </si>
  <si>
    <t>P108508</t>
  </si>
  <si>
    <t>July 2020 Staf Car park  Canberra Airpor</t>
  </si>
  <si>
    <t>2225.3201</t>
  </si>
  <si>
    <t>P109137</t>
  </si>
  <si>
    <t>August 2020 Staff car parking  Canberra Airpor</t>
  </si>
  <si>
    <t>P109918</t>
  </si>
  <si>
    <t>September 2020 Staff Car park  Canberra Airpor</t>
  </si>
  <si>
    <t>GL00016064</t>
  </si>
  <si>
    <t>Wages F/E 30.08.2020</t>
  </si>
  <si>
    <t>GL00016092</t>
  </si>
  <si>
    <t>Wages F/E 13.09.2020</t>
  </si>
  <si>
    <t>P110548</t>
  </si>
  <si>
    <t>October 2020 Staff Car parking  Canberra Airpor</t>
  </si>
  <si>
    <t>GL00016225</t>
  </si>
  <si>
    <t>Wages F/E 25.10.2020</t>
  </si>
  <si>
    <t>P111146</t>
  </si>
  <si>
    <t>November 2020 Staff Car parking  Canberra Airpor</t>
  </si>
  <si>
    <t>GL00016249</t>
  </si>
  <si>
    <t>Wages F/E 08.11.2020</t>
  </si>
  <si>
    <t>GL00016280</t>
  </si>
  <si>
    <t>Wages F/E 22.11.2020</t>
  </si>
  <si>
    <t>GL00016320</t>
  </si>
  <si>
    <t>Wages F/E 06.12.2020</t>
  </si>
  <si>
    <t>P111793</t>
  </si>
  <si>
    <t>December 2020 Staff Car park  Canberra Airpor</t>
  </si>
  <si>
    <t>GL00016328</t>
  </si>
  <si>
    <t>Wages F/E 20.12.2020</t>
  </si>
  <si>
    <t>P112522</t>
  </si>
  <si>
    <t>January 2021 Staff car parking  Canberra Airpor</t>
  </si>
  <si>
    <t>GL00016339</t>
  </si>
  <si>
    <t>Wages F/E 03.01.2020</t>
  </si>
  <si>
    <t>GL00016362</t>
  </si>
  <si>
    <t>Wages F/E 17.01.2021</t>
  </si>
  <si>
    <t>GL00016379</t>
  </si>
  <si>
    <t>Wages F/E 31.01.2021</t>
  </si>
  <si>
    <t>P112977</t>
  </si>
  <si>
    <t>February 2021 Staff Car parking  Canberra Airpor</t>
  </si>
  <si>
    <t>GL00016405</t>
  </si>
  <si>
    <t>Wages F/E 14.02.2021</t>
  </si>
  <si>
    <t>P113829</t>
  </si>
  <si>
    <t>March 2021 Staff car parking  Canberra Airpor</t>
  </si>
  <si>
    <t>GL00016467</t>
  </si>
  <si>
    <t>Wages F/E 14.03.2021</t>
  </si>
  <si>
    <t>P114528</t>
  </si>
  <si>
    <t>Car Park Canberra Airport Mar 2021  Canberra Airpor</t>
  </si>
  <si>
    <t>Car Park Canberra Airport Feb 2021  Canberra Airpor</t>
  </si>
  <si>
    <t>Car Park Canberra Airport Jan 2021  Canberra Airpor</t>
  </si>
  <si>
    <t>P114510</t>
  </si>
  <si>
    <t>Car Park Canberra Airport Apr 2021  Canberra Airpor</t>
  </si>
  <si>
    <t>2230.3201</t>
  </si>
  <si>
    <t>INV054362</t>
  </si>
  <si>
    <t>Staff parking @ 5 per day March 2021  Hobart Internat</t>
  </si>
  <si>
    <t>2231.3201</t>
  </si>
  <si>
    <t>2233.3201</t>
  </si>
  <si>
    <t>2234.3201</t>
  </si>
  <si>
    <t>2990.3201</t>
  </si>
  <si>
    <t>761467</t>
  </si>
  <si>
    <t>Staff Car Parking - August 2020 2 spaces MSCP Sydney Airport</t>
  </si>
  <si>
    <t>7356317</t>
  </si>
  <si>
    <t>Sydney Car park passes February 2021 American Expres</t>
  </si>
  <si>
    <t>Carpark Accrual Melbourne Nov 2020</t>
  </si>
  <si>
    <t>3019.3201</t>
  </si>
  <si>
    <t>SIV1020060</t>
  </si>
  <si>
    <t>Staff Car Parking December 2020  Melbourne Airpo</t>
  </si>
  <si>
    <t>RJ4607</t>
  </si>
  <si>
    <t>Carpark Credit Accrual Melbourne Dec 202</t>
  </si>
  <si>
    <t>ICN1003748</t>
  </si>
  <si>
    <t>December 2020 Staff Car park Credits - for 8 terminated employees Melbourne Airpo</t>
  </si>
  <si>
    <t>RJ4618</t>
  </si>
  <si>
    <t>Carpark Accrual Melbourne Jan 2021</t>
  </si>
  <si>
    <t>SIV1021020</t>
  </si>
  <si>
    <t>Staff Car Parking January 2021  Melbourne Airpo</t>
  </si>
  <si>
    <t>SIV1021223</t>
  </si>
  <si>
    <t>Staff Car Parking February 2021  Melbourne Airpo</t>
  </si>
  <si>
    <t>ICN1004040</t>
  </si>
  <si>
    <t>Credit for Staff carparking - Feb 2021 - Andrew Watts, Titus Aparici &amp; Indira Melbourne Airpo</t>
  </si>
  <si>
    <t>SIV1021725</t>
  </si>
  <si>
    <t>Staff Car Parking March 2021  Melbourne Airpo</t>
  </si>
  <si>
    <t>ICN1004232</t>
  </si>
  <si>
    <t>Staff Car Parking March 2021 Credit Note  Melbourne Airpo</t>
  </si>
  <si>
    <t>SIV1022475</t>
  </si>
  <si>
    <t>Staff Car Parking April 2021  Melbourne Airpo</t>
  </si>
  <si>
    <t>3025.3201</t>
  </si>
  <si>
    <t>3028.3201</t>
  </si>
  <si>
    <t>3034.3201</t>
  </si>
  <si>
    <t>3175.3201</t>
  </si>
  <si>
    <t>ICN1003876</t>
  </si>
  <si>
    <t>Staff Car park -Credit for December 2020  Melbourne Airpo</t>
  </si>
  <si>
    <t>3213.3201</t>
  </si>
  <si>
    <t>EXPENSES NOV/DEC</t>
  </si>
  <si>
    <t>Parking - 05.11 &amp; 03.12 - Melb City  Silvana Jeffrey</t>
  </si>
  <si>
    <t>3228.3201</t>
  </si>
  <si>
    <t>EXPENSES 180221</t>
  </si>
  <si>
    <t>Parking expenses 01.02 &amp; 09.02  Silvana Jeffrey</t>
  </si>
  <si>
    <t>IDP251479</t>
  </si>
  <si>
    <t>Staff Car Parking February 2020 GL Brisbane Airpor</t>
  </si>
  <si>
    <t>4024.3201</t>
  </si>
  <si>
    <t>IDP251778</t>
  </si>
  <si>
    <t>Staff Car Parking April 2020  Brisbane Airpor</t>
  </si>
  <si>
    <t>IDP251479-</t>
  </si>
  <si>
    <t>Staff Car Parking February 2020 trsf from 3581 Brisbane Airpor</t>
  </si>
  <si>
    <t>IDP251778-</t>
  </si>
  <si>
    <t>Staff Car Parking - April 2020 trsf from 3581 Brisbane Airpor</t>
  </si>
  <si>
    <t>IDP253635</t>
  </si>
  <si>
    <t>Staff Car Parking October 2020  Brisbane Airpor</t>
  </si>
  <si>
    <t>IDP253782</t>
  </si>
  <si>
    <t>Staff Car Parking November 2020  Brisbane Airpor</t>
  </si>
  <si>
    <t>RJ4602</t>
  </si>
  <si>
    <t>Carpark Accrual Brisbane Dec 2020</t>
  </si>
  <si>
    <t>IDP253936</t>
  </si>
  <si>
    <t>Staff Car Parking December 2020 x 53 standard cards Brisbane Airpor</t>
  </si>
  <si>
    <t>RJ4619</t>
  </si>
  <si>
    <t>Carpark Accrual Brisbane Jan 2021</t>
  </si>
  <si>
    <t>IDP254093</t>
  </si>
  <si>
    <t>Staff Car Parking January 2021  Brisbane Airpor</t>
  </si>
  <si>
    <t>RJ4652</t>
  </si>
  <si>
    <t>Carpark Accrual Brisbane Feb 2021</t>
  </si>
  <si>
    <t>IDP254255</t>
  </si>
  <si>
    <t>Staff Car Parking February 2021 x 48 standard cards Brisbane Airpor</t>
  </si>
  <si>
    <t>RJ4689</t>
  </si>
  <si>
    <t>Carpark Accrual Brisbane Mar 2020</t>
  </si>
  <si>
    <t>IDP254419</t>
  </si>
  <si>
    <t>Staff Car Parking Mar 2021  Brisbane Airpor</t>
  </si>
  <si>
    <t>Carpark Accrual Brisbane April 2020</t>
  </si>
  <si>
    <t>4085.3201</t>
  </si>
  <si>
    <t>RJ4524</t>
  </si>
  <si>
    <t>Carpark Accrual Brisbane Sept 2020</t>
  </si>
  <si>
    <t>RJ4542</t>
  </si>
  <si>
    <t>Carpark Accrual Brisbane Oct 2020</t>
  </si>
  <si>
    <t>INSCAT0005765</t>
  </si>
  <si>
    <t>December 2020 Staff Car parking  Sunshine Coast</t>
  </si>
  <si>
    <t>4100.3201</t>
  </si>
  <si>
    <t>RJ4651</t>
  </si>
  <si>
    <t>Carpark Accrual Sunshine Coast Feb 2021</t>
  </si>
  <si>
    <t>INSCAT0005952</t>
  </si>
  <si>
    <t>January 2021 Staff Carpark  Sunshine Coast</t>
  </si>
  <si>
    <t>INSCAT00006066.</t>
  </si>
  <si>
    <t>February 2021 Staff Car Parking 60 @ 1.50 Sunshine Coast</t>
  </si>
  <si>
    <t>Carpark Accrual Sunshine Coast Mar 2021</t>
  </si>
  <si>
    <t>INSCAT00006225</t>
  </si>
  <si>
    <t>Car Park Sunshine Coast Airport Mar 2021  Sunshine Coast</t>
  </si>
  <si>
    <t>Carpark Accrual Sunshine Coast April 20</t>
  </si>
  <si>
    <t>IDM036584</t>
  </si>
  <si>
    <t>200 Reduced Price Staff Car Passes August 2020 Brisbane Airpor</t>
  </si>
  <si>
    <t>4101.3201</t>
  </si>
  <si>
    <t>IDM036584-</t>
  </si>
  <si>
    <t>200 Reduced Price Staff car passes August 2020 - trsf from 3581 Brisbane Airpor</t>
  </si>
  <si>
    <t>IDP252434</t>
  </si>
  <si>
    <t>Staff Car Parking April 2020 x 4 standard cards Brisbane Airpor</t>
  </si>
  <si>
    <t>IDP252434-</t>
  </si>
  <si>
    <t>Staff Car Parking - May 2020  Brisbane Airpor</t>
  </si>
  <si>
    <t>IDM036616</t>
  </si>
  <si>
    <t>200 Reduced Price car passes  Brisbane Airpor</t>
  </si>
  <si>
    <t>IDM036616-</t>
  </si>
  <si>
    <t>200 Reduced Price staff car passes August 2020 - trsf from 3581 Brisbane Airpor</t>
  </si>
  <si>
    <t>IDM036631</t>
  </si>
  <si>
    <t>150 Reduced Price staff car passes September 2020 Brisbane Airpor</t>
  </si>
  <si>
    <t>IDM036738</t>
  </si>
  <si>
    <t>150 reduced car passes - Sept 20  Brisbane Airpor</t>
  </si>
  <si>
    <t>IDM036744</t>
  </si>
  <si>
    <t>75 x Reduced Price contractor passes September 2020 Brisbane Airpor</t>
  </si>
  <si>
    <t>IDM036405</t>
  </si>
  <si>
    <t>200 Reduced car parking passes  Brisbane Airpor</t>
  </si>
  <si>
    <t>IDM036404</t>
  </si>
  <si>
    <t>100 Reduced car parking passes  Brisbane Airpor</t>
  </si>
  <si>
    <t>Carpark Accrual Brisbane Nov 2020</t>
  </si>
  <si>
    <t>4102.3201</t>
  </si>
  <si>
    <t>4103.3201</t>
  </si>
  <si>
    <t>4104.3201</t>
  </si>
  <si>
    <t>GL00016189</t>
  </si>
  <si>
    <t>Rellocation of Car park Deduction Joanne Berderow</t>
  </si>
  <si>
    <t>GL00016190</t>
  </si>
  <si>
    <t>Rellocation of Car park deduction Joanne Berderow</t>
  </si>
  <si>
    <t>4106.3201</t>
  </si>
  <si>
    <t>4107.3201</t>
  </si>
  <si>
    <t>4108.3201</t>
  </si>
  <si>
    <t>4109.3201</t>
  </si>
  <si>
    <t>4110.3201</t>
  </si>
  <si>
    <t>4115.3201</t>
  </si>
  <si>
    <t>4170.3201</t>
  </si>
  <si>
    <t>4235.3201</t>
  </si>
  <si>
    <t>GL00016048</t>
  </si>
  <si>
    <t>GL00016093</t>
  </si>
  <si>
    <t>Wages F/E 13.09.2020 Sup Pay -Term Pay</t>
  </si>
  <si>
    <t>4244.3201</t>
  </si>
  <si>
    <t>4250.3201</t>
  </si>
  <si>
    <t>4530.3201</t>
  </si>
  <si>
    <t>CDM02939</t>
  </si>
  <si>
    <t>Staff Car park Credit x 2 cards for Dec Seung Hee Cho &amp; Minh Pham Brisbane Airpor</t>
  </si>
  <si>
    <t>IDP251478</t>
  </si>
  <si>
    <t>Staff Car Parking - March 2020  Brisbane Airpor</t>
  </si>
  <si>
    <t>4770.3201</t>
  </si>
  <si>
    <t>IDP251777</t>
  </si>
  <si>
    <t>April 2020 Staff Car park x 2 Priority cards Brisbane Airpor</t>
  </si>
  <si>
    <t>IDP252433</t>
  </si>
  <si>
    <t>May 2020 Staff Car parking x 1 priority card Brisbane Airpor</t>
  </si>
  <si>
    <t>IDP251478-</t>
  </si>
  <si>
    <t>Staff Car Parking Feb/March 2020 2 priority cards - trsf from 3581 Brisbane Airpor</t>
  </si>
  <si>
    <t>IDP251777-</t>
  </si>
  <si>
    <t>IDP252433-</t>
  </si>
  <si>
    <t>Staff Car Parking - May 2020 trsf from 3581 Brisbane Airpor</t>
  </si>
  <si>
    <t>4775.3201</t>
  </si>
  <si>
    <t>IDM036123</t>
  </si>
  <si>
    <t>50 Reduced price contractor passes for staff car parking Brisbane Airpor</t>
  </si>
  <si>
    <t>4995.3201</t>
  </si>
  <si>
    <t>GL00015986</t>
  </si>
  <si>
    <t>Carpark Accrual Brisbane June 2020</t>
  </si>
  <si>
    <t>IDM036355</t>
  </si>
  <si>
    <t>100 Reduced Car Parking Passes - July 20  Brisbane Airpor</t>
  </si>
  <si>
    <t>Carpark Accrual Brisbane July 2020 IDM036228</t>
  </si>
  <si>
    <t>IDM036015</t>
  </si>
  <si>
    <t>100 reduced price staff car parking May 2020 Brisbane Airpor</t>
  </si>
  <si>
    <t>IDM036228</t>
  </si>
  <si>
    <t>100 reduced price staff car parking July 2020 Brisbane Airpor</t>
  </si>
  <si>
    <t>Carpark Accrual Perth June 2020</t>
  </si>
  <si>
    <t>6026.3201</t>
  </si>
  <si>
    <t>SB016333</t>
  </si>
  <si>
    <t>June 2020 Staff Car park  Perth Airport</t>
  </si>
  <si>
    <t>SB016239</t>
  </si>
  <si>
    <t>Staff Car Parking June 2020 Perth Airpor SB016239 Perth Airport</t>
  </si>
  <si>
    <t>Carpark Accrual Perth July 2020</t>
  </si>
  <si>
    <t>SB016359</t>
  </si>
  <si>
    <t>Staff Car Parking June 2020 Perth Airpor SB016359 Perth Airport</t>
  </si>
  <si>
    <t>SB016421</t>
  </si>
  <si>
    <t>Staff Car Parking June 2020 Perth Airpor SB016421 Perth Airport</t>
  </si>
  <si>
    <t>SB016458</t>
  </si>
  <si>
    <t>Staff Car Parking June 2020 Perth Airpor SB016458 Perth Airport</t>
  </si>
  <si>
    <t>Carpark Accrual Perth August 2020</t>
  </si>
  <si>
    <t>SB016585</t>
  </si>
  <si>
    <t>August 2020 Staff Car parking  Perth Airport</t>
  </si>
  <si>
    <t>GL00016070</t>
  </si>
  <si>
    <t>Reallocation of August car park invocies</t>
  </si>
  <si>
    <t>Carpark Accrual Perth September 2020</t>
  </si>
  <si>
    <t>Carpark Accrual Perth October 2020</t>
  </si>
  <si>
    <t>SB016613</t>
  </si>
  <si>
    <t>Staff Car Parking June 2020 Perth Airpor SB016613 Perth Airport</t>
  </si>
  <si>
    <t>SB016677</t>
  </si>
  <si>
    <t>Staff Car Parking June 2020 Perth Airpor SB016677 Perth Airport</t>
  </si>
  <si>
    <t>SB016714</t>
  </si>
  <si>
    <t>Sept 2020 Staff Car parking  Perth Airport</t>
  </si>
  <si>
    <t>SB016741</t>
  </si>
  <si>
    <t>Staff Car Parking Oct 2020 Perth Airpor SB016741 Perth Airport</t>
  </si>
  <si>
    <t>SB016806</t>
  </si>
  <si>
    <t>Staff Car Parking June 2020 Perth Airpor SB016806 Perth Airport</t>
  </si>
  <si>
    <t>SB016840</t>
  </si>
  <si>
    <t>October 2020 Staff Car parking  Perth Airport</t>
  </si>
  <si>
    <t>GL00016223</t>
  </si>
  <si>
    <t>Wages F/E 08.11.2020 Term Pay</t>
  </si>
  <si>
    <t>Carpark Accrual Perth Nov 2020</t>
  </si>
  <si>
    <t>SB016868</t>
  </si>
  <si>
    <t>Staff Car Parking November 2020 Perth Ai SB016868 Perth Airport</t>
  </si>
  <si>
    <t>SB016930</t>
  </si>
  <si>
    <t>Staff Car Parking November 2020 Perth Ai SB016930 Perth Airport</t>
  </si>
  <si>
    <t>SB016964</t>
  </si>
  <si>
    <t>Novermber 2020 Staff Car parking  Perth Airport</t>
  </si>
  <si>
    <t>Carpark Accrual Perth Dec 2020</t>
  </si>
  <si>
    <t>SB017089</t>
  </si>
  <si>
    <t>December 2020 Staff Car parking  Perth Airport</t>
  </si>
  <si>
    <t>SB016991</t>
  </si>
  <si>
    <t>Staff Car Parking December 2020 Perth Ai SB016991 Perth Airport</t>
  </si>
  <si>
    <t>SB017057</t>
  </si>
  <si>
    <t>Staff Car Parking December 2020 Perth Ai SB017057 Perth Airport</t>
  </si>
  <si>
    <t>Carpark Accrual Perth Jan 2021</t>
  </si>
  <si>
    <t>SB017224</t>
  </si>
  <si>
    <t>January 2021 Staff Car parking  Perth Airport</t>
  </si>
  <si>
    <t>SB017124</t>
  </si>
  <si>
    <t>Staff Car Parking January 2020 Perth Air SB017124 Perth Airport</t>
  </si>
  <si>
    <t>SB017189</t>
  </si>
  <si>
    <t>Staff Car Parking January 2020 Perth Air SB017189 Perth Airport</t>
  </si>
  <si>
    <t>Carpark Accrual Perth Feb 2021</t>
  </si>
  <si>
    <t>SB017357</t>
  </si>
  <si>
    <t>Staff Car Parking February 2020 Perth Ai  Perth Airport</t>
  </si>
  <si>
    <t>SB017257</t>
  </si>
  <si>
    <t>SB017321</t>
  </si>
  <si>
    <t>Carpark Accrual Perth Mar 2021</t>
  </si>
  <si>
    <t>SB017455</t>
  </si>
  <si>
    <t>Staff Car Parking Mar 2020 Perth Airport SB017455 Perth Airport</t>
  </si>
  <si>
    <t>SB017490</t>
  </si>
  <si>
    <t>Staff Car Parking Mar 2020 Perth Airport SB017490 Perth Airport</t>
  </si>
  <si>
    <t>SB017390</t>
  </si>
  <si>
    <t>Staff Car Parking Mar 2021 Perth Airport SB017390 Perth Airport</t>
  </si>
  <si>
    <t>6087.3201</t>
  </si>
  <si>
    <t>SB016299</t>
  </si>
  <si>
    <t>Staff Car Parking June 2020 Perth Airpor SB016299 Perth Airport</t>
  </si>
  <si>
    <t>6089.3201</t>
  </si>
  <si>
    <t>6165.3201</t>
  </si>
  <si>
    <t>6176.3201</t>
  </si>
  <si>
    <t>SB016548</t>
  </si>
  <si>
    <t>SB016485</t>
  </si>
  <si>
    <t>6220.3201</t>
  </si>
  <si>
    <t>7064.3201</t>
  </si>
  <si>
    <t>Carpark Accrual Hobart August 2020</t>
  </si>
  <si>
    <t>7078.3201</t>
  </si>
  <si>
    <t>INV053619</t>
  </si>
  <si>
    <t>July 2020 Staff Car parking  Hobart Internat</t>
  </si>
  <si>
    <t>INV053520</t>
  </si>
  <si>
    <t>Wrong invoice amount entered  Hobart Internat</t>
  </si>
  <si>
    <t>INV053619.</t>
  </si>
  <si>
    <t>August 2020 Staff Car parking  Hobart Internat</t>
  </si>
  <si>
    <t>RJ4492</t>
  </si>
  <si>
    <t>Carpark Accrual Hobart Sept 2020</t>
  </si>
  <si>
    <t>INV053687</t>
  </si>
  <si>
    <t>Sept 2020 Staff Car park  Hobart Internat</t>
  </si>
  <si>
    <t>Carpark Accrual Hobart Oct 2020</t>
  </si>
  <si>
    <t>GL00016224</t>
  </si>
  <si>
    <t>Wages F/E 08.11.2020 Sup Pay</t>
  </si>
  <si>
    <t>INV053739</t>
  </si>
  <si>
    <t>October 2020 Staff car parking  Hobart Internat</t>
  </si>
  <si>
    <t>Carpark Accrual Hobart Nov 2020</t>
  </si>
  <si>
    <t>INV053849</t>
  </si>
  <si>
    <t>Staff parking @ 5 per day November 2020  Hobart Internat</t>
  </si>
  <si>
    <t>Carpark Accrual Hobart Dec 2020</t>
  </si>
  <si>
    <t>INV053974</t>
  </si>
  <si>
    <t>December 2020 Staff Car parking  Hobart Internat</t>
  </si>
  <si>
    <t>Carpark Accrual Hobart Jan 2021</t>
  </si>
  <si>
    <t>INV054124</t>
  </si>
  <si>
    <t>January 2021 Staff car parking  Hobart Internat</t>
  </si>
  <si>
    <t>Carpark Accrual Hobart Feb 2021</t>
  </si>
  <si>
    <t>INV054253</t>
  </si>
  <si>
    <t>February 2021 Staff car parking  Hobart Internat</t>
  </si>
  <si>
    <t>Carpark Accrual Hobart Mar 2021</t>
  </si>
  <si>
    <t>7079.3201</t>
  </si>
  <si>
    <t>RI00022074-</t>
  </si>
  <si>
    <t>Staff Car Parking - July 20  Alice Springs A</t>
  </si>
  <si>
    <t>8006.3201</t>
  </si>
  <si>
    <t>RJ4521</t>
  </si>
  <si>
    <t>AS Car park Credits Accrual July 2020</t>
  </si>
  <si>
    <t>RI00014031</t>
  </si>
  <si>
    <t>Staff Car Parking - August 2020  Alice Springs A</t>
  </si>
  <si>
    <t>RJ4522</t>
  </si>
  <si>
    <t>AS Car park Credits Accrual August 2020</t>
  </si>
  <si>
    <t>RI00015615</t>
  </si>
  <si>
    <t>Staff Car Parking - Sept 20  Alice Springs A</t>
  </si>
  <si>
    <t>RJ4523</t>
  </si>
  <si>
    <t>AS Car park Credits Accrual Sept 2020</t>
  </si>
  <si>
    <t>RI00020456</t>
  </si>
  <si>
    <t>Staff Car Parking - October 2020  Alice Springs A</t>
  </si>
  <si>
    <t>RI00025924-</t>
  </si>
  <si>
    <t>Car Parking April 2020 COVID credit Alice Springs A</t>
  </si>
  <si>
    <t>RI00025925-</t>
  </si>
  <si>
    <t>Car Parking - May 2020 COVID19 credit Alice Springs A</t>
  </si>
  <si>
    <t>RI00025926-</t>
  </si>
  <si>
    <t>Car Parking - June 2020 COVID19 credit Alice Springs A</t>
  </si>
  <si>
    <t>RI00025927-</t>
  </si>
  <si>
    <t>Car Parking - July 2020 COVID19 credit Alice Springs A</t>
  </si>
  <si>
    <t>RI00025928-</t>
  </si>
  <si>
    <t>Car Parking - August 2020 COVID19 credit Alice Springs A</t>
  </si>
  <si>
    <t>RI00025929-</t>
  </si>
  <si>
    <t>Car Parking - September 2020 COVID19 credit Alice Springs A</t>
  </si>
  <si>
    <t>RI00025930-</t>
  </si>
  <si>
    <t>Car Parking - October 2020 COVID19 credit Alice Springs A</t>
  </si>
  <si>
    <t>8030.3201</t>
  </si>
  <si>
    <t>RI00025936</t>
  </si>
  <si>
    <t>RI00025937</t>
  </si>
  <si>
    <t>Car Parking - November 2020  Alice Springs A</t>
  </si>
  <si>
    <t>RI00028340</t>
  </si>
  <si>
    <t>Car Parking - December 2020  Alice Springs A</t>
  </si>
  <si>
    <t>RI00029241</t>
  </si>
  <si>
    <t>Staff car parking - January 2021  Alice Springs A</t>
  </si>
  <si>
    <t>RI00030331</t>
  </si>
  <si>
    <t>Staff Car parking - February 2021  Alice Springs A</t>
  </si>
  <si>
    <t>RI00031143</t>
  </si>
  <si>
    <t>Staff Car Parking x 2  Alice Springs A</t>
  </si>
  <si>
    <t>INSCAT00006066</t>
  </si>
  <si>
    <t>Staff Car Parking February 2021  Alice Springs A</t>
  </si>
  <si>
    <t>RI00032042</t>
  </si>
  <si>
    <t>Staff Car Parking - April 2021  Alice Springs A</t>
  </si>
  <si>
    <t>GL00015921</t>
  </si>
  <si>
    <t>Wages F/E 19.07.2020</t>
  </si>
  <si>
    <t>8188.3201</t>
  </si>
  <si>
    <t>Carpark Accrual Darwin July 2020 IDM036228</t>
  </si>
  <si>
    <t>RI00013893</t>
  </si>
  <si>
    <t>Staff Car Parking - July 2020  Darwin Internat</t>
  </si>
  <si>
    <t>RI00015443</t>
  </si>
  <si>
    <t>Staff Car Parking - August 2020  Darwin Internat</t>
  </si>
  <si>
    <t>RI00020373</t>
  </si>
  <si>
    <t>Staff Car Parking - September 20 5 cards Darwin Internat</t>
  </si>
  <si>
    <t>RI00025898</t>
  </si>
  <si>
    <t>Car Parking - October 2020  Darwin Internat</t>
  </si>
  <si>
    <t>RI00028226</t>
  </si>
  <si>
    <t>Car Parking - November 2020  Darwin Internat</t>
  </si>
  <si>
    <t>RI00029181</t>
  </si>
  <si>
    <t>Staff Car Parking January 2021  Darwin Internat</t>
  </si>
  <si>
    <t>Carpark Accrual Darwin Jan 2021</t>
  </si>
  <si>
    <t>Carpark Accrual Darwin Feb 2021</t>
  </si>
  <si>
    <t>RI00029933</t>
  </si>
  <si>
    <t>RI00030990</t>
  </si>
  <si>
    <t>Staff Car Parking February 2021  Darwin Internat</t>
  </si>
  <si>
    <t>RI00031789</t>
  </si>
  <si>
    <t>Staff Car Parking March 2021  Darwin Internat</t>
  </si>
  <si>
    <t>RI00033648</t>
  </si>
  <si>
    <t>Car Park Darwin Airport Apr 2021  Darwin Internat</t>
  </si>
  <si>
    <t>RI00033642</t>
  </si>
  <si>
    <t>Car Park Credit Note for Mar 2021  Darwin Internat</t>
  </si>
  <si>
    <t>8190.3201</t>
  </si>
  <si>
    <t>BAYSIDE300620</t>
  </si>
  <si>
    <t>Bayside Council  American Expres</t>
  </si>
  <si>
    <t>9990.3201</t>
  </si>
  <si>
    <t>The Economist  American Expres</t>
  </si>
  <si>
    <t>Linkt - Tolls  American Expres</t>
  </si>
  <si>
    <t>STATEMENT 181120 VISA</t>
  </si>
  <si>
    <t>RACV  NAB Visa Accoun</t>
  </si>
  <si>
    <t>110001342292</t>
  </si>
  <si>
    <t>Cabrini Hospital - Parking  NAB Visa Accoun</t>
  </si>
  <si>
    <t>9994.3201</t>
  </si>
  <si>
    <t>LINKT 080920</t>
  </si>
  <si>
    <t>Linkt - Tolls - CK  American Expres</t>
  </si>
  <si>
    <t>Parking  NAB Visa Accoun</t>
  </si>
  <si>
    <t>9996.3201</t>
  </si>
  <si>
    <t>EXPENSES NOV20</t>
  </si>
  <si>
    <t>Printing reimbursements  The Cunning Pla</t>
  </si>
  <si>
    <t>2117.3351</t>
  </si>
  <si>
    <t>Printing &amp; Stat</t>
  </si>
  <si>
    <t>EXPENSES TH 111220</t>
  </si>
  <si>
    <t>Signage Printing  The Cunning Pla</t>
  </si>
  <si>
    <t>EXPENSES TH 141220</t>
  </si>
  <si>
    <t>Printing signage  The Cunning Pla</t>
  </si>
  <si>
    <t>2118.3351</t>
  </si>
  <si>
    <t>2119.3351</t>
  </si>
  <si>
    <t>Signage  The Cunning Pla</t>
  </si>
  <si>
    <t>2137.3351</t>
  </si>
  <si>
    <t>2225.3351</t>
  </si>
  <si>
    <t>9035426491</t>
  </si>
  <si>
    <t>Stationery  Winc Australia</t>
  </si>
  <si>
    <t>S03292225</t>
  </si>
  <si>
    <t>AMEX</t>
  </si>
  <si>
    <t>2225-Stationary and Printing</t>
  </si>
  <si>
    <t>RD</t>
  </si>
  <si>
    <t>S10292230</t>
  </si>
  <si>
    <t>2230-Stationary and Printing</t>
  </si>
  <si>
    <t>2230.3351</t>
  </si>
  <si>
    <t>2231.3351</t>
  </si>
  <si>
    <t>2234.3351</t>
  </si>
  <si>
    <t>9033351832</t>
  </si>
  <si>
    <t>1 Roll packaging tape  Winc Australia</t>
  </si>
  <si>
    <t>2990.3351</t>
  </si>
  <si>
    <t>EXPENSES SC 140121</t>
  </si>
  <si>
    <t>Diaries  Serra Callick</t>
  </si>
  <si>
    <t>3019.3351</t>
  </si>
  <si>
    <t>3034.3351</t>
  </si>
  <si>
    <t>3175.3351</t>
  </si>
  <si>
    <t>S04034106</t>
  </si>
  <si>
    <t>4106-Stationary and Printing</t>
  </si>
  <si>
    <t>4106.3351</t>
  </si>
  <si>
    <t>9035365706</t>
  </si>
  <si>
    <t>4995.3351</t>
  </si>
  <si>
    <t>9035197940</t>
  </si>
  <si>
    <t>6176.3351</t>
  </si>
  <si>
    <t>EXPENSES PB 270121</t>
  </si>
  <si>
    <t>Tape: Price Stickers etc.  Paula Bourne</t>
  </si>
  <si>
    <t>7064.3351</t>
  </si>
  <si>
    <t>9035328230</t>
  </si>
  <si>
    <t>7078.3351</t>
  </si>
  <si>
    <t>7079.3351</t>
  </si>
  <si>
    <t>INAU-0017198</t>
  </si>
  <si>
    <t>Tax Free Stickers - 120  Checkpoint Syst</t>
  </si>
  <si>
    <t>9990.3351</t>
  </si>
  <si>
    <t>Write off Overaccrued Printing Expense FY 19-20</t>
  </si>
  <si>
    <t>Melbourne Copier Company (LY June 18 to</t>
  </si>
  <si>
    <t>34867</t>
  </si>
  <si>
    <t>Printer readings - June 2020  MFH Services</t>
  </si>
  <si>
    <t>AMAZON 020720</t>
  </si>
  <si>
    <t>Amazon - Office supplies  American Expres</t>
  </si>
  <si>
    <t>GL00015883</t>
  </si>
  <si>
    <t>Reallocation of MFH Service Fees for Jun from GL 3351 to 3380</t>
  </si>
  <si>
    <t>35006-</t>
  </si>
  <si>
    <t>Meterage copies - July 2020  MFH Services</t>
  </si>
  <si>
    <t>GL00016015</t>
  </si>
  <si>
    <t>Reallocation of MFH Service Fee From GL 3351 to 3380</t>
  </si>
  <si>
    <t>GL00016014</t>
  </si>
  <si>
    <t>GL00016013</t>
  </si>
  <si>
    <t>35127</t>
  </si>
  <si>
    <t>Printing readings August 2020  MFH Services</t>
  </si>
  <si>
    <t>35234</t>
  </si>
  <si>
    <t>Sept printer readings  MFH Services</t>
  </si>
  <si>
    <t>35318</t>
  </si>
  <si>
    <t>October 2020 printer readings  MFH Services</t>
  </si>
  <si>
    <t>9034250261</t>
  </si>
  <si>
    <t>6 x A4 copy paper  Winc Australia</t>
  </si>
  <si>
    <t>MFH Prining Monthly Charges</t>
  </si>
  <si>
    <t>35540</t>
  </si>
  <si>
    <t>November 2020 meter readings  MFH Services</t>
  </si>
  <si>
    <t>35596-</t>
  </si>
  <si>
    <t>December 2020 meter readings  MFH Services</t>
  </si>
  <si>
    <t>35718</t>
  </si>
  <si>
    <t>January 2021 printer copies  MFH Services</t>
  </si>
  <si>
    <t>Printing Feb &amp; Mar 2021 MFH Accrual</t>
  </si>
  <si>
    <t>MFH Prining Monthly Charges accruing Feb</t>
  </si>
  <si>
    <t>35811</t>
  </si>
  <si>
    <t>February meterage  MFH Services</t>
  </si>
  <si>
    <t>35913</t>
  </si>
  <si>
    <t>March 2021 meter readings printers  MFH Services</t>
  </si>
  <si>
    <t>MFH Prining Monthly Charges accruing Apr</t>
  </si>
  <si>
    <t>STATEMENT 181220</t>
  </si>
  <si>
    <t>Aust Wide Taxation - Manual  NAB Visa Accoun</t>
  </si>
  <si>
    <t>9991.3351</t>
  </si>
  <si>
    <t>6600059361</t>
  </si>
  <si>
    <t>Master Tax Guide 2021  CCH Australia L</t>
  </si>
  <si>
    <t>2225.3362</t>
  </si>
  <si>
    <t>Property Outgoi</t>
  </si>
  <si>
    <t>Outgoings - August 2020  Canberra Airpor</t>
  </si>
  <si>
    <t>Outgoings - September 2020  Canberra Airpor</t>
  </si>
  <si>
    <t>Outgoings October 2020 Canberra Airpor</t>
  </si>
  <si>
    <t>Outgoings - October 2020 COVID19 Rent Relief Canberra Airpor</t>
  </si>
  <si>
    <t>Property Outgoings Accrual Oct 2020</t>
  </si>
  <si>
    <t>Outgoings - November 2020  Canberra Airpor</t>
  </si>
  <si>
    <t>Outgoings November 2020 COVID19 rent relief Canberra Airpor</t>
  </si>
  <si>
    <t>Property Outgoings Accrual Nov 2020</t>
  </si>
  <si>
    <t>COVID19 Rent relief - December 2020 Outgoings Canberra Airpor</t>
  </si>
  <si>
    <t>Outgoings December 2020 Canberra Airpor</t>
  </si>
  <si>
    <t>Property Outgoings Accrual Dec 2020</t>
  </si>
  <si>
    <t>Balance August Outgoings Rebate COVID19 Canberra Airpor</t>
  </si>
  <si>
    <t>January 2021 Outgoings  Canberra Airpor</t>
  </si>
  <si>
    <t>COVID19 Rent Relief - January 2021 Outgoings Canberra Airpor</t>
  </si>
  <si>
    <t>RJ4632</t>
  </si>
  <si>
    <t>Property Outgoings Accrual Jan 2021 Correction - Credit already received</t>
  </si>
  <si>
    <t>Property Outgoings Accrual Jan 2021</t>
  </si>
  <si>
    <t>P113340</t>
  </si>
  <si>
    <t>Outogings adjustments FY 2019-20  Canberra Airpor</t>
  </si>
  <si>
    <t>Outgoings February 2021  Canberra Airpor</t>
  </si>
  <si>
    <t>Outgoings - February 2021  Canberra Airpor</t>
  </si>
  <si>
    <t>Outgoings - March 2021  Canberra Airpor</t>
  </si>
  <si>
    <t>Outgoings March 2021 - COVID19 relief Canberra Airpor</t>
  </si>
  <si>
    <t>April 2021 Outgoings  relief - COVID19  Canberra Airpor</t>
  </si>
  <si>
    <t>April 2021 - Outgoings  Canberra Airpor</t>
  </si>
  <si>
    <t>Property Outgoings Accrual July 2020</t>
  </si>
  <si>
    <t>3019.3362</t>
  </si>
  <si>
    <t>Property Outgoings Accrual August 2020</t>
  </si>
  <si>
    <t>Property Outgoings Accrual Sept 2020</t>
  </si>
  <si>
    <t>ICN1003836</t>
  </si>
  <si>
    <t>Part credit Rates FY20  Melbourne Airpo</t>
  </si>
  <si>
    <t>Property Outgoings Accrual Feb 2021</t>
  </si>
  <si>
    <t>SIV10022299</t>
  </si>
  <si>
    <t>Hume Rates July 20 to Feb 21  Melbourne Airpo</t>
  </si>
  <si>
    <t>RJ4686</t>
  </si>
  <si>
    <t>Property Outgoings Accrual Mar 2021</t>
  </si>
  <si>
    <t>SIV1022985</t>
  </si>
  <si>
    <t>Hume Rates March 2021  Melbourne Airpo</t>
  </si>
  <si>
    <t>3028.3362</t>
  </si>
  <si>
    <t>Hume Rates July 20 to Sept 20  Melbourne Airpo</t>
  </si>
  <si>
    <t>3034.3362</t>
  </si>
  <si>
    <t>Property Outgoings Accrual June 2020</t>
  </si>
  <si>
    <t>3135.3362</t>
  </si>
  <si>
    <t>EOFY Adjustment Outgoings Clearings Old Accruals</t>
  </si>
  <si>
    <t>July Adjustment Outgoings Clearings Old Accruals</t>
  </si>
  <si>
    <t>August Adjustment Outgoings Clearings Old Accruals</t>
  </si>
  <si>
    <t>3175.3362</t>
  </si>
  <si>
    <t>ICNI003807</t>
  </si>
  <si>
    <t>Part credit FY20 Rates  Melbourne Airpo</t>
  </si>
  <si>
    <t>SIV1022034</t>
  </si>
  <si>
    <t>Hume Rates - July 20 to Feb 21  Melbourne Airpo</t>
  </si>
  <si>
    <t>SIV022714</t>
  </si>
  <si>
    <t>3213.3362</t>
  </si>
  <si>
    <t>55017</t>
  </si>
  <si>
    <t>Ourtgoings Storage  - October 20  Adelaide Airpor</t>
  </si>
  <si>
    <t>4100.3362</t>
  </si>
  <si>
    <t>GL00016287</t>
  </si>
  <si>
    <t>Outgoings Storage  - October 20  Adelai</t>
  </si>
  <si>
    <t>54055</t>
  </si>
  <si>
    <t>Outgoings - July 2020  Adelaide Airpor</t>
  </si>
  <si>
    <t>5053.3362</t>
  </si>
  <si>
    <t>GL00016288</t>
  </si>
  <si>
    <t>Storage Outgoings - August 2020 Reallocation Journal</t>
  </si>
  <si>
    <t>54698</t>
  </si>
  <si>
    <t>Outgoings - Storage - Sept 20  Adelaide Airpor</t>
  </si>
  <si>
    <t>55338</t>
  </si>
  <si>
    <t>Storage Outgoings - November 2020  Adelaide Airpor</t>
  </si>
  <si>
    <t>55653-</t>
  </si>
  <si>
    <t>Outgoinfs - December 20  Adelaide Airpor</t>
  </si>
  <si>
    <t>55967</t>
  </si>
  <si>
    <t>January 2021 Outgoings  Adelaide Airpor</t>
  </si>
  <si>
    <t>56285</t>
  </si>
  <si>
    <t>February 2021 Storage Outgoings  Adelaide Airpor</t>
  </si>
  <si>
    <t>56599</t>
  </si>
  <si>
    <t>March 2021 - Rent &amp; Outgoings Storage Adelaide Airpor</t>
  </si>
  <si>
    <t>ADJ006977</t>
  </si>
  <si>
    <t>COVID19 Abatement - Storage April-March July 2020 to March 2021 Adelaide Airpor</t>
  </si>
  <si>
    <t>COVID19 Abatement - Storage April-March June 2020 Adelaide Airpor</t>
  </si>
  <si>
    <t>COVID19 Abatement - Storage April-March May 2020 Adelaide Airpor</t>
  </si>
  <si>
    <t>COVID19 Abatement - Storage April-March April 2020 Adelaide Airpor</t>
  </si>
  <si>
    <t>092034</t>
  </si>
  <si>
    <t>Waste - April to June 2020 Rate Change Perth Airport</t>
  </si>
  <si>
    <t>6026.3362</t>
  </si>
  <si>
    <t>Council Rates: ESL: Land Tax July 2020 Perth Airport</t>
  </si>
  <si>
    <t>091889</t>
  </si>
  <si>
    <t>Coulcil: Electricity: ESL - Dry Store July 2020 Perth Airport</t>
  </si>
  <si>
    <t>GL00016010</t>
  </si>
  <si>
    <t>Reallocation frm Outgoings to Waste July 2020</t>
  </si>
  <si>
    <t>GL00016011</t>
  </si>
  <si>
    <t>GL00016012</t>
  </si>
  <si>
    <t>092538</t>
  </si>
  <si>
    <t>August 2020 Council Rates: ESL:  Perth Airport</t>
  </si>
  <si>
    <t>092686</t>
  </si>
  <si>
    <t>August 2020 - Council Rates: ESL: Land Tax Perth Airport</t>
  </si>
  <si>
    <t>August 2020 - Council Rates: ESL: Storage Perth Airport</t>
  </si>
  <si>
    <t>093286</t>
  </si>
  <si>
    <t>Sept 2020 - Council Rates: ESL: Land Tax: Storage Rent Perth Airport</t>
  </si>
  <si>
    <t>093138</t>
  </si>
  <si>
    <t>Sept 2020 - Council rates:  ESL: Land Tax - Dry store Perth Airport</t>
  </si>
  <si>
    <t>093539</t>
  </si>
  <si>
    <t>Council Rates: ESL October 2020 Perth Airport</t>
  </si>
  <si>
    <t>093685</t>
  </si>
  <si>
    <t>Council Rates: ESL: Land Tax:  October 2020 Perth Airport</t>
  </si>
  <si>
    <t>094346</t>
  </si>
  <si>
    <t>Dry Store - Council Rates November 2020 Perth Airport</t>
  </si>
  <si>
    <t>Land Tax November 2020 Perth Airport</t>
  </si>
  <si>
    <t>ESL November 2020 Perth Airport</t>
  </si>
  <si>
    <t>Council Rates November 2020 Perth Airport</t>
  </si>
  <si>
    <t>094200</t>
  </si>
  <si>
    <t>Dry Store - ESL November 2020 Perth Airport</t>
  </si>
  <si>
    <t>Dry Store - Council rates: November 2020 Perth Airport</t>
  </si>
  <si>
    <t>094480</t>
  </si>
  <si>
    <t>Outgoings - Dry store - December 20  Perth Airport</t>
  </si>
  <si>
    <t>094623</t>
  </si>
  <si>
    <t>Council Rates: ESL: Land Tax: December 20 Perth Airport</t>
  </si>
  <si>
    <t>095321</t>
  </si>
  <si>
    <t>Council rates - January 2021 SLC6B Dry Store Perth Airport</t>
  </si>
  <si>
    <t>ESL - January 2021 SCL6B Dry store Perth Airport</t>
  </si>
  <si>
    <t>095460</t>
  </si>
  <si>
    <t>Council Rates: ESL: Land Tax January 2021 Perth Airport</t>
  </si>
  <si>
    <t>095913</t>
  </si>
  <si>
    <t>February 21 - Council: ESL: Land Tax SLC14 storage Perth Airport</t>
  </si>
  <si>
    <t>February 21 - Council: ESL: Land Tax  Perth Airport</t>
  </si>
  <si>
    <t>095776</t>
  </si>
  <si>
    <t>February 2021 Council &amp; ESL Dry Store Perth Airport</t>
  </si>
  <si>
    <t>096571</t>
  </si>
  <si>
    <t>March 2021 - Council Rates: ESL: Storage Perth Airport</t>
  </si>
  <si>
    <t>March 2021 - Council Rates: ESL: Land Tax: Perth Airport</t>
  </si>
  <si>
    <t>096434</t>
  </si>
  <si>
    <t>March 2021 - Council Rates: ESL: Electricity Perth Airport</t>
  </si>
  <si>
    <t>096838</t>
  </si>
  <si>
    <t>Council Rates: ESL: Land Tax: Rent April 2021 Perth Airport</t>
  </si>
  <si>
    <t>096703</t>
  </si>
  <si>
    <t>Council Rates: Electricity: ESL: Rent April 2021 - Dry store Perth Airport</t>
  </si>
  <si>
    <t>Council Rates: ESL: Land Tax: July 2020 Perth Airport</t>
  </si>
  <si>
    <t>6087.3362</t>
  </si>
  <si>
    <t>Council Rates: November 2020 Perth Airport</t>
  </si>
  <si>
    <t>6089.3362</t>
  </si>
  <si>
    <t>Sept 2020 - Council Rates etc. - rate change 08.05.20 to 30.09.20 Perth Airport</t>
  </si>
  <si>
    <t>6176.3362</t>
  </si>
  <si>
    <t>7064.3362</t>
  </si>
  <si>
    <t>INV053363</t>
  </si>
  <si>
    <t>Rates - 01.04.2020 to 30.06.2020  Hobart Internat</t>
  </si>
  <si>
    <t>RENT001277</t>
  </si>
  <si>
    <t>Water Charges - 01.04.20 to 30.06.20  Hobart Internat</t>
  </si>
  <si>
    <t>INV053550</t>
  </si>
  <si>
    <t>Rates - 01.07.20 to 30.09.20  Hobart Internat</t>
  </si>
  <si>
    <t>RENT001667</t>
  </si>
  <si>
    <t>Water - 01/07/20 to 30/09/20  Hobart Internat</t>
  </si>
  <si>
    <t>INV053823</t>
  </si>
  <si>
    <t>Rates - 01.10.20 to 31.12.20  Hobart Internat</t>
  </si>
  <si>
    <t>RENT002023</t>
  </si>
  <si>
    <t>Water Rates 01/10/20 to 31/12/20  Hobart Internat</t>
  </si>
  <si>
    <t>RENT002392</t>
  </si>
  <si>
    <t>Water Rates 01.01.21 to 31.03.21  Hobart Internat</t>
  </si>
  <si>
    <t>7078.3362</t>
  </si>
  <si>
    <t>7079.3362</t>
  </si>
  <si>
    <t>RI00031137</t>
  </si>
  <si>
    <t>Swereage Charges - 01.07.20 to 30.06.21  Alice Springs A</t>
  </si>
  <si>
    <t>8006.3362</t>
  </si>
  <si>
    <t>RI00031138</t>
  </si>
  <si>
    <t>Sewerage charge - 01.07.20 to 30.06.21  Alice Springs A</t>
  </si>
  <si>
    <t>8030.3362</t>
  </si>
  <si>
    <t>8188.3362</t>
  </si>
  <si>
    <t>RJ4505</t>
  </si>
  <si>
    <t>8190.3362</t>
  </si>
  <si>
    <t>WATER RATES 300620</t>
  </si>
  <si>
    <t>Water Rates - 01.04.2020 to 30.06.20  Ryder Commercia</t>
  </si>
  <si>
    <t>9990.3362</t>
  </si>
  <si>
    <t>GL00015905</t>
  </si>
  <si>
    <t>Take up Jul 2020 Owner corp Ryder Commercial - Body Corp</t>
  </si>
  <si>
    <t>00094748</t>
  </si>
  <si>
    <t>13 weeks alarm monitoring - Jul-Sep 20  Security Contro</t>
  </si>
  <si>
    <t>GL00015906</t>
  </si>
  <si>
    <t>Take up Aug 2020 Owner corp Ryder Commercial - Body Corp</t>
  </si>
  <si>
    <t>DC083467</t>
  </si>
  <si>
    <t>SRO 7/08/2020</t>
  </si>
  <si>
    <t>LANDTAX 3RD INST 20</t>
  </si>
  <si>
    <t>3rd Instalment Land Tax 2020  Ryder Commercia</t>
  </si>
  <si>
    <t>0000030</t>
  </si>
  <si>
    <t>Body Corp - 01.10.20 to 31.12.20  Owners Corporat</t>
  </si>
  <si>
    <t>1192-</t>
  </si>
  <si>
    <t>CheckMyCCTV Monthly Subscription  Viasec Pty Limi</t>
  </si>
  <si>
    <t>WATERRATES 020920</t>
  </si>
  <si>
    <t>Water Rates - 01.07.2020 to 30.09.2020  Ryder Commercia</t>
  </si>
  <si>
    <t>GL00016044</t>
  </si>
  <si>
    <t>Take up Sep 2020 Owner corp Ryder Commercial - Body Corp</t>
  </si>
  <si>
    <t>39282914</t>
  </si>
  <si>
    <t>City West Water  NAB Visa Accoun</t>
  </si>
  <si>
    <t>41146024</t>
  </si>
  <si>
    <t>South East Water  NAB Visa Accoun</t>
  </si>
  <si>
    <t>STATEMENT TO 180920</t>
  </si>
  <si>
    <t>RATES 2020/2021</t>
  </si>
  <si>
    <t>Council Rates - 01.07.20 to 30.06.21 3 months Ryder Commercia</t>
  </si>
  <si>
    <t>LANDTAX2020 4</t>
  </si>
  <si>
    <t>4th Instalment Land Tax 2020  Ryder Commercia</t>
  </si>
  <si>
    <t>00290916</t>
  </si>
  <si>
    <t>Qrtyly Security - Nov to Jan  Coastcom Securi</t>
  </si>
  <si>
    <t>GL00016167</t>
  </si>
  <si>
    <t>Take up Oct 2020 Ryder Council Rate Ryder Commercial</t>
  </si>
  <si>
    <t>Take up Oct 2020 Owner corp Ryder Commercial - Body Corp</t>
  </si>
  <si>
    <t>0000048</t>
  </si>
  <si>
    <t>Body Corp -  Owners Corporat</t>
  </si>
  <si>
    <t>DD0010381</t>
  </si>
  <si>
    <t>DIRECTDR</t>
  </si>
  <si>
    <t>Land Tax</t>
  </si>
  <si>
    <t>GL00016251</t>
  </si>
  <si>
    <t>Take up Nov 2020 Owner corp Ryder Commercial - Body Corp</t>
  </si>
  <si>
    <t>Take up Nov 2020 Ryder Council Rate Ryder Commercial</t>
  </si>
  <si>
    <t>GL00016322</t>
  </si>
  <si>
    <t>Take up Dec 2020 Owner corp Ryder Commercial - Body Corp</t>
  </si>
  <si>
    <t>Take up Dec 2020 Ryder Council Rate Ryder Commercial</t>
  </si>
  <si>
    <t>South East water  NAB Visa Accoun</t>
  </si>
  <si>
    <t>0000058-</t>
  </si>
  <si>
    <t>Body Corp - 01.01.21 to 31.03.21  Owners Corporat</t>
  </si>
  <si>
    <t>GL00016358</t>
  </si>
  <si>
    <t>Take up Jan 2021 Ryder Council Rate Ryder Commercial</t>
  </si>
  <si>
    <t>Take up Jan 2021 Owner corp Ryder Commercial - Body Corp</t>
  </si>
  <si>
    <t>GL00016369</t>
  </si>
  <si>
    <t>Take up Feb 2021 Ryder Council Rate Ryder Commercial</t>
  </si>
  <si>
    <t>Take up Feb 2021 Owner corp Ryder Commercial - Body Corp</t>
  </si>
  <si>
    <t>MPS RATES 20/21</t>
  </si>
  <si>
    <t>MPS - Rates  Sundry Chq AP</t>
  </si>
  <si>
    <t>RATES 20/21</t>
  </si>
  <si>
    <t>City of Melbourne - Rates  Sundry Chq AP</t>
  </si>
  <si>
    <t>WATER RATES 100221</t>
  </si>
  <si>
    <t>Water Rates - 6.11.20 to 09.02.21  Ryder Commercia</t>
  </si>
  <si>
    <t>GL00016434</t>
  </si>
  <si>
    <t>Take up Mar 2021 Ryder Council Rate Ryder Commercial</t>
  </si>
  <si>
    <t>Take up Mar 2021 Owner corp Ryder Commercial - Body Corp</t>
  </si>
  <si>
    <t>GL00016483</t>
  </si>
  <si>
    <t>Take up Apr 2021 Owner corp Ryder Commercial - Body Corp</t>
  </si>
  <si>
    <t>Take up Apr 2021 Ryder Council Rate Ryder Commercial</t>
  </si>
  <si>
    <t>0000067</t>
  </si>
  <si>
    <t>Body Corp - 01.04.21 to 30.06.21  Owners Corporat</t>
  </si>
  <si>
    <t>00288087</t>
  </si>
  <si>
    <t>Security Monitoring - 01.08 to 31.10.20  Coastcom Securi</t>
  </si>
  <si>
    <t>9990.3363</t>
  </si>
  <si>
    <t>1168</t>
  </si>
  <si>
    <t>CheckMyCCTV Monthly Subscription License Viasec Pty Limi</t>
  </si>
  <si>
    <t>1181--</t>
  </si>
  <si>
    <t>Monthly Subscription License CheckMyCCTV Viasec Pty Limi</t>
  </si>
  <si>
    <t>1204-</t>
  </si>
  <si>
    <t>CheckMyCCTV - Monthly License  Viasec Pty Limi</t>
  </si>
  <si>
    <t>00096247</t>
  </si>
  <si>
    <t>Monitoring Oct: Nov: Dec  Security Contro</t>
  </si>
  <si>
    <t>1211-</t>
  </si>
  <si>
    <t>3 cameras  Viasec Pty Limi</t>
  </si>
  <si>
    <t>Monthly CheckMyCCTV - 59 Licenses  Viasec Pty Limi</t>
  </si>
  <si>
    <t>RJ4606</t>
  </si>
  <si>
    <t>License Fees Viasec Pty Ltd</t>
  </si>
  <si>
    <t>1224-</t>
  </si>
  <si>
    <t>CheckMyCCTV monthly subscription 59 Licenses Viasec Pty Limi</t>
  </si>
  <si>
    <t>1 camera 59 Licenses Viasec Pty Limi</t>
  </si>
  <si>
    <t>00294301</t>
  </si>
  <si>
    <t>Security - 01.02.21 to 30.04.21  Coastcom Securi</t>
  </si>
  <si>
    <t>1233-</t>
  </si>
  <si>
    <t>CheckMyCCTV monthly Subscription  Viasec Pty Limi</t>
  </si>
  <si>
    <t>00097925</t>
  </si>
  <si>
    <t>13 weeks monitoring - HO - Jan/Mar 21  Security Contro</t>
  </si>
  <si>
    <t>1252-</t>
  </si>
  <si>
    <t>Monthly Check MyCCTV license  Viasec Pty Limi</t>
  </si>
  <si>
    <t>GL00016491</t>
  </si>
  <si>
    <t>Monthly Check MyCCTV license  Viasec Pty Mar-21</t>
  </si>
  <si>
    <t>00297760</t>
  </si>
  <si>
    <t>May to July 2021 alarm monitoring  Coastcom Securi</t>
  </si>
  <si>
    <t>Virgin - CK  NAB Visa Accoun</t>
  </si>
  <si>
    <t>9990.3576</t>
  </si>
  <si>
    <t>GL00016493</t>
  </si>
  <si>
    <t>Virgin - CK Nab Visa Account Reallocating from registration to Airlin</t>
  </si>
  <si>
    <t>Travel Accrual June 2020</t>
  </si>
  <si>
    <t>9993.3576</t>
  </si>
  <si>
    <t>Travel Accrual July 2020</t>
  </si>
  <si>
    <t>Travel Accrual August 2020</t>
  </si>
  <si>
    <t>Travel Accrual September 2020</t>
  </si>
  <si>
    <t>Travel Accrual Oct 2020</t>
  </si>
  <si>
    <t>Travel Accrual Nov 2020</t>
  </si>
  <si>
    <t>Travel Accrual Dec 2020</t>
  </si>
  <si>
    <t>Travel Accrual Jan 2021</t>
  </si>
  <si>
    <t>Travel Accrual Feb 2021</t>
  </si>
  <si>
    <t>Travel Accrual Mar 2021</t>
  </si>
  <si>
    <t>9994.3576</t>
  </si>
  <si>
    <t>REFUNDS CT</t>
  </si>
  <si>
    <t>Corporate Traveller - Refunds  American Expres</t>
  </si>
  <si>
    <t>Qantas - Melb/Syd/Cairns - CK  American Expres</t>
  </si>
  <si>
    <t>Qantas - Melb/Canberra - CK  American Expres</t>
  </si>
  <si>
    <t>Qantas - Melb/Bris/Melb - CK  American Expres</t>
  </si>
  <si>
    <t>Refund - Corp Traveller  American Expres</t>
  </si>
  <si>
    <t>Virgin 28 Degrees NAB Visa Accoun</t>
  </si>
  <si>
    <t>Virgin - Melb/Bris - CK  American Expres</t>
  </si>
  <si>
    <t>Virgin - Bris/Syd/Melb - CK  American Expres</t>
  </si>
  <si>
    <t>9995.3576</t>
  </si>
  <si>
    <t>Waste Disposal Accrual May 2020</t>
  </si>
  <si>
    <t>2117.3600</t>
  </si>
  <si>
    <t>Waste Disposal Accrual July 2020</t>
  </si>
  <si>
    <t>Waste Disposal Accrual August 2020</t>
  </si>
  <si>
    <t>RJ4509</t>
  </si>
  <si>
    <t>Waste Disposal Accrual Sept 2020</t>
  </si>
  <si>
    <t>328084</t>
  </si>
  <si>
    <t>Waste - July 2019  Sydney Airport</t>
  </si>
  <si>
    <t>328085</t>
  </si>
  <si>
    <t>Waste - August 2019  Sydney Airport</t>
  </si>
  <si>
    <t>328086</t>
  </si>
  <si>
    <t>Waste - September 2019  Sydney Airport</t>
  </si>
  <si>
    <t>328087</t>
  </si>
  <si>
    <t>Waste - October 2019  Sydney Airport</t>
  </si>
  <si>
    <t>328088</t>
  </si>
  <si>
    <t>Waste - November 2019  Sydney Airport</t>
  </si>
  <si>
    <t>328089</t>
  </si>
  <si>
    <t>Waste - December 2019  Sydney Airport</t>
  </si>
  <si>
    <t>328090</t>
  </si>
  <si>
    <t>Waste - January 2020  Sydney Airport</t>
  </si>
  <si>
    <t>328091</t>
  </si>
  <si>
    <t>Waste - February 2020  Sydney Airport</t>
  </si>
  <si>
    <t>328092</t>
  </si>
  <si>
    <t>Waste - March 2020  Sydney Airport</t>
  </si>
  <si>
    <t>328093</t>
  </si>
  <si>
    <t>Waste - April 2020  Sydney Airport</t>
  </si>
  <si>
    <t>327059</t>
  </si>
  <si>
    <t>Waste - May 2020  Sydney Airport</t>
  </si>
  <si>
    <t>327252</t>
  </si>
  <si>
    <t>Waste - June 2020  Sydney Airport</t>
  </si>
  <si>
    <t>327972</t>
  </si>
  <si>
    <t>Waste - July 2020  Sydney Airport</t>
  </si>
  <si>
    <t>327029</t>
  </si>
  <si>
    <t>Waste - August 2020  Sydney Airport</t>
  </si>
  <si>
    <t>328414</t>
  </si>
  <si>
    <t>Waste - September 2020  Sydney Airport</t>
  </si>
  <si>
    <t>327766</t>
  </si>
  <si>
    <t>Waste - October 2020  Sydney Airport</t>
  </si>
  <si>
    <t>327533</t>
  </si>
  <si>
    <t>Waste - November 2020  Sydney Airport</t>
  </si>
  <si>
    <t>330143</t>
  </si>
  <si>
    <t>Waste - December 2020  Sydney Airport</t>
  </si>
  <si>
    <t>332302</t>
  </si>
  <si>
    <t>Waste - January 2021  Sydney Airport</t>
  </si>
  <si>
    <t>333954</t>
  </si>
  <si>
    <t>Waste - February 2021  Sydney Airport</t>
  </si>
  <si>
    <t>337128</t>
  </si>
  <si>
    <t>Waste - March 2021  Sydney Airport</t>
  </si>
  <si>
    <t>338468</t>
  </si>
  <si>
    <t>Waste - April 2021  Sydney Airport</t>
  </si>
  <si>
    <t>341587</t>
  </si>
  <si>
    <t>Abatement Waste - January 2021 COVID19 Sydney Airport</t>
  </si>
  <si>
    <t>342140</t>
  </si>
  <si>
    <t>Abatement Waste - February 2021 COVID19 Sydney Airport</t>
  </si>
  <si>
    <t>340757</t>
  </si>
  <si>
    <t>Abatement Waste - March 2021 COVID19 Sydney Airport</t>
  </si>
  <si>
    <t>315950</t>
  </si>
  <si>
    <t>2118.3600</t>
  </si>
  <si>
    <t>320695</t>
  </si>
  <si>
    <t>323765</t>
  </si>
  <si>
    <t>Waste - Sept 2020  Sydney Airport</t>
  </si>
  <si>
    <t>326242</t>
  </si>
  <si>
    <t>327532</t>
  </si>
  <si>
    <t>330142</t>
  </si>
  <si>
    <t>RJ4610</t>
  </si>
  <si>
    <t>Waste Disposal Accrual Dec 2020 Credit Note in Jan 2021</t>
  </si>
  <si>
    <t>332301</t>
  </si>
  <si>
    <t>332641</t>
  </si>
  <si>
    <t>Waste - July 2020 - COVID19 refund  Sydney Airport</t>
  </si>
  <si>
    <t>332368</t>
  </si>
  <si>
    <t>Waste - August 2020 - COVID19 refund  Sydney Airport</t>
  </si>
  <si>
    <t>333953</t>
  </si>
  <si>
    <t>336949</t>
  </si>
  <si>
    <t>338467</t>
  </si>
  <si>
    <t>316257</t>
  </si>
  <si>
    <t>2120.3600</t>
  </si>
  <si>
    <t>319982</t>
  </si>
  <si>
    <t>323525</t>
  </si>
  <si>
    <t>326470</t>
  </si>
  <si>
    <t>327481</t>
  </si>
  <si>
    <t>330396</t>
  </si>
  <si>
    <t>332555</t>
  </si>
  <si>
    <t>333978</t>
  </si>
  <si>
    <t>July 2020 - COVID19 rebate  Sydney Airport</t>
  </si>
  <si>
    <t>334974</t>
  </si>
  <si>
    <t>August 2020 - Waste - COVID19 rebate  Sydney Airport</t>
  </si>
  <si>
    <t>334333</t>
  </si>
  <si>
    <t>Sept 2020 Waste - COVID19 rebate  Sydney Airport</t>
  </si>
  <si>
    <t>334469</t>
  </si>
  <si>
    <t>Oct 2020 Waste - COVID19 rebate  Sydney Airport</t>
  </si>
  <si>
    <t>335573</t>
  </si>
  <si>
    <t>Nov 2020 Waste - COVID19 rebate  Sydney Airport</t>
  </si>
  <si>
    <t>333922</t>
  </si>
  <si>
    <t>Dec 2020 Waste - COVID19 rebate  Sydney Airport</t>
  </si>
  <si>
    <t>334305</t>
  </si>
  <si>
    <t>337129</t>
  </si>
  <si>
    <t>338469</t>
  </si>
  <si>
    <t>341586</t>
  </si>
  <si>
    <t>Abatement - January 2021 - COVID19  Sydney Airport</t>
  </si>
  <si>
    <t>342139</t>
  </si>
  <si>
    <t>Abatement Waste February 2021 COVID 19 Sydney Airport</t>
  </si>
  <si>
    <t>340756</t>
  </si>
  <si>
    <t>Abatement Waste March 2021 COVID19 Sydney Airport</t>
  </si>
  <si>
    <t>315940</t>
  </si>
  <si>
    <t>2136.3600</t>
  </si>
  <si>
    <t>320928</t>
  </si>
  <si>
    <t>322902</t>
  </si>
  <si>
    <t>325869</t>
  </si>
  <si>
    <t>327333</t>
  </si>
  <si>
    <t>329428</t>
  </si>
  <si>
    <t>332731</t>
  </si>
  <si>
    <t>334593</t>
  </si>
  <si>
    <t>July 2020 Waste - COVID19 rebate  Sydney Airport</t>
  </si>
  <si>
    <t>334175</t>
  </si>
  <si>
    <t>Aug 2020 Waste - COVID19 rebate  Sydney Airport</t>
  </si>
  <si>
    <t>333985</t>
  </si>
  <si>
    <t>334025</t>
  </si>
  <si>
    <t>334337</t>
  </si>
  <si>
    <t>335132</t>
  </si>
  <si>
    <t>334724</t>
  </si>
  <si>
    <t>337220</t>
  </si>
  <si>
    <t>339653</t>
  </si>
  <si>
    <t>317895</t>
  </si>
  <si>
    <t>2137.3600</t>
  </si>
  <si>
    <t>320556</t>
  </si>
  <si>
    <t>323356</t>
  </si>
  <si>
    <t>326368</t>
  </si>
  <si>
    <t>327351</t>
  </si>
  <si>
    <t>329302</t>
  </si>
  <si>
    <t>331587</t>
  </si>
  <si>
    <t>334710</t>
  </si>
  <si>
    <t>334362</t>
  </si>
  <si>
    <t>334132</t>
  </si>
  <si>
    <t>334450</t>
  </si>
  <si>
    <t>335362</t>
  </si>
  <si>
    <t>336169</t>
  </si>
  <si>
    <t>337980</t>
  </si>
  <si>
    <t>315797</t>
  </si>
  <si>
    <t>2230.3600</t>
  </si>
  <si>
    <t>318180</t>
  </si>
  <si>
    <t>320740</t>
  </si>
  <si>
    <t>320832</t>
  </si>
  <si>
    <t>322727</t>
  </si>
  <si>
    <t>323116</t>
  </si>
  <si>
    <t>325854</t>
  </si>
  <si>
    <t>325754</t>
  </si>
  <si>
    <t>327098</t>
  </si>
  <si>
    <t>328677</t>
  </si>
  <si>
    <t>329365</t>
  </si>
  <si>
    <t>329356</t>
  </si>
  <si>
    <t>333107</t>
  </si>
  <si>
    <t>332487</t>
  </si>
  <si>
    <t>334146</t>
  </si>
  <si>
    <t>335222</t>
  </si>
  <si>
    <t>Aug 2020 waste - COVID19 rebate  Sydney Airport</t>
  </si>
  <si>
    <t>334340</t>
  </si>
  <si>
    <t>335879</t>
  </si>
  <si>
    <t>335708</t>
  </si>
  <si>
    <t>335728</t>
  </si>
  <si>
    <t>334244</t>
  </si>
  <si>
    <t>334885</t>
  </si>
  <si>
    <t>Dec 2020 Waste - COVID19 reabate  Sydney Airport</t>
  </si>
  <si>
    <t>335813</t>
  </si>
  <si>
    <t>334783</t>
  </si>
  <si>
    <t>336385</t>
  </si>
  <si>
    <t>337034</t>
  </si>
  <si>
    <t>339024</t>
  </si>
  <si>
    <t>339533</t>
  </si>
  <si>
    <t>341868</t>
  </si>
  <si>
    <t>Abatement Waste - January 2021  Sydney Airport</t>
  </si>
  <si>
    <t>340509</t>
  </si>
  <si>
    <t>341781</t>
  </si>
  <si>
    <t>317866</t>
  </si>
  <si>
    <t>2231.3600</t>
  </si>
  <si>
    <t>319828</t>
  </si>
  <si>
    <t>323459</t>
  </si>
  <si>
    <t>326069</t>
  </si>
  <si>
    <t>328055</t>
  </si>
  <si>
    <t>329688</t>
  </si>
  <si>
    <t>332976</t>
  </si>
  <si>
    <t>334597</t>
  </si>
  <si>
    <t>334357</t>
  </si>
  <si>
    <t>334853</t>
  </si>
  <si>
    <t>337358</t>
  </si>
  <si>
    <t>339663</t>
  </si>
  <si>
    <t>317891</t>
  </si>
  <si>
    <t>2232.3600</t>
  </si>
  <si>
    <t>320471</t>
  </si>
  <si>
    <t>323347</t>
  </si>
  <si>
    <t>326364</t>
  </si>
  <si>
    <t>327347</t>
  </si>
  <si>
    <t>329244</t>
  </si>
  <si>
    <t>333114</t>
  </si>
  <si>
    <t>334708</t>
  </si>
  <si>
    <t>334360</t>
  </si>
  <si>
    <t>333991</t>
  </si>
  <si>
    <t>334448</t>
  </si>
  <si>
    <t>334588</t>
  </si>
  <si>
    <t>335377</t>
  </si>
  <si>
    <t>334986</t>
  </si>
  <si>
    <t>336224</t>
  </si>
  <si>
    <t>337851</t>
  </si>
  <si>
    <t>341872</t>
  </si>
  <si>
    <t>Abatenment Waste - January 2021 COVID19 Sydney Airport</t>
  </si>
  <si>
    <t>340511</t>
  </si>
  <si>
    <t>Abatement Waste - February 2021  Sydney Airport</t>
  </si>
  <si>
    <t>342068</t>
  </si>
  <si>
    <t>317233</t>
  </si>
  <si>
    <t>2233.3600</t>
  </si>
  <si>
    <t>320647</t>
  </si>
  <si>
    <t>322718</t>
  </si>
  <si>
    <t>3257454</t>
  </si>
  <si>
    <t>328465</t>
  </si>
  <si>
    <t>329294</t>
  </si>
  <si>
    <t>332088</t>
  </si>
  <si>
    <t>333980</t>
  </si>
  <si>
    <t>335219</t>
  </si>
  <si>
    <t>335204</t>
  </si>
  <si>
    <t>334835</t>
  </si>
  <si>
    <t>335579</t>
  </si>
  <si>
    <t>Bov 2020 Waste - COVID19 rebate  Sydney Airport</t>
  </si>
  <si>
    <t>333891</t>
  </si>
  <si>
    <t>334410</t>
  </si>
  <si>
    <t>337125</t>
  </si>
  <si>
    <t>338300</t>
  </si>
  <si>
    <t>341866</t>
  </si>
  <si>
    <t>Abatement Waste January 2021 COVID19 Sydney Airport</t>
  </si>
  <si>
    <t>340507</t>
  </si>
  <si>
    <t>341777</t>
  </si>
  <si>
    <t>317878</t>
  </si>
  <si>
    <t>2234.3600</t>
  </si>
  <si>
    <t>320913</t>
  </si>
  <si>
    <t>323747</t>
  </si>
  <si>
    <t>325885</t>
  </si>
  <si>
    <t>327327</t>
  </si>
  <si>
    <t>329186</t>
  </si>
  <si>
    <t>331823</t>
  </si>
  <si>
    <t>335576</t>
  </si>
  <si>
    <t>334580</t>
  </si>
  <si>
    <t>334334</t>
  </si>
  <si>
    <t>334975</t>
  </si>
  <si>
    <t>333979</t>
  </si>
  <si>
    <t>334422</t>
  </si>
  <si>
    <t>336464</t>
  </si>
  <si>
    <t>337867</t>
  </si>
  <si>
    <t>6026.3600</t>
  </si>
  <si>
    <t>6087.3600</t>
  </si>
  <si>
    <t>6089.3600</t>
  </si>
  <si>
    <t>2701144854</t>
  </si>
  <si>
    <t>Rubbish collection 22/12 &amp; 27/12/20  Veolia Environm</t>
  </si>
  <si>
    <t>7064.3600</t>
  </si>
  <si>
    <t>GL00016372</t>
  </si>
  <si>
    <t>Reallocation of Veolia Dec Invoice From store 7064 to 7078</t>
  </si>
  <si>
    <t>2701151488</t>
  </si>
  <si>
    <t>Rubbish collections January - C/N 2701156620 Veolia Environm</t>
  </si>
  <si>
    <t>2701156620</t>
  </si>
  <si>
    <t>Non-collection charged Inv 2701151488  Veolia Environm</t>
  </si>
  <si>
    <t>7078.3600</t>
  </si>
  <si>
    <t>2302961357</t>
  </si>
  <si>
    <t>General Waste collection 27/09/20  Veolia Environm</t>
  </si>
  <si>
    <t>Waste Disposal Accrual Nov 2020</t>
  </si>
  <si>
    <t>2701138085</t>
  </si>
  <si>
    <t>Collections November 2020  Veolia Environm</t>
  </si>
  <si>
    <t>Waste Disposal Accrual Dec 2020</t>
  </si>
  <si>
    <t>Reallocation of Veolia Dec Invoice From store 7079 to 7078</t>
  </si>
  <si>
    <t>Waste Disposal Accrual Jan 2021</t>
  </si>
  <si>
    <t>Waste Disposal Accrual Feb 2021</t>
  </si>
  <si>
    <t>Waste Disposal Accrual Mar 2021</t>
  </si>
  <si>
    <t>7079.3600</t>
  </si>
  <si>
    <t>RI00022247-</t>
  </si>
  <si>
    <t>Waste - July 2020  Darwin Internat</t>
  </si>
  <si>
    <t>8188.3600</t>
  </si>
  <si>
    <t>RI00013915</t>
  </si>
  <si>
    <t>Waste - August 2020  Darwin Internat</t>
  </si>
  <si>
    <t>RI00015466</t>
  </si>
  <si>
    <t>Waste - Sept 20  Darwin Internat</t>
  </si>
  <si>
    <t>RI00020395</t>
  </si>
  <si>
    <t>Waset - October 2020  Darwin Internat</t>
  </si>
  <si>
    <t>RI00025909</t>
  </si>
  <si>
    <t>Waste - November 2020  Darwin Internat</t>
  </si>
  <si>
    <t>RI00028237</t>
  </si>
  <si>
    <t>Waste - December 2020  Darwin Internat</t>
  </si>
  <si>
    <t>RI00029192</t>
  </si>
  <si>
    <t>Waste - January 2021  Darwin Internat</t>
  </si>
  <si>
    <t>RI00029944</t>
  </si>
  <si>
    <t>Waste - February 2021  Darwin Internat</t>
  </si>
  <si>
    <t>RI00031001</t>
  </si>
  <si>
    <t>Waste - March 2021  Darwin Internat</t>
  </si>
  <si>
    <t>RI00031800</t>
  </si>
  <si>
    <t>Waste - April 2021  Darwin Internat</t>
  </si>
  <si>
    <t>2302699777-</t>
  </si>
  <si>
    <t>Reversing credit take up incorrectly in 2019 Veolia Environm</t>
  </si>
  <si>
    <t>9990.3600</t>
  </si>
  <si>
    <t>INV0131779</t>
  </si>
  <si>
    <t>Cardboard collection  Australian Pape</t>
  </si>
  <si>
    <t>9996.3600</t>
  </si>
  <si>
    <t>2302927539</t>
  </si>
  <si>
    <t>1 collection 17.07.20  Veolia Environm</t>
  </si>
  <si>
    <t>2302944812</t>
  </si>
  <si>
    <t>Bin empty - 23.08.20  Veolia Environm</t>
  </si>
  <si>
    <t>2701124240</t>
  </si>
  <si>
    <t>Cardboard &amp; General waste collections 25/08/2020 Veolia Environm</t>
  </si>
  <si>
    <t>2302978026</t>
  </si>
  <si>
    <t>Collections 06/10/20 &amp; 09/10/20  Veolia Environm</t>
  </si>
  <si>
    <t>INV0135641</t>
  </si>
  <si>
    <t>Cardboard collection 21.10.20  Australian Pape</t>
  </si>
  <si>
    <t>2302994684</t>
  </si>
  <si>
    <t>General collection  Veolia Environm</t>
  </si>
  <si>
    <t>2302993116</t>
  </si>
  <si>
    <t>Part credit Inv 2302978026  Veolia Environm</t>
  </si>
  <si>
    <t>2303011798</t>
  </si>
  <si>
    <t>1 collection - 23.11.20  Veolia Environm</t>
  </si>
  <si>
    <t>INV0136984</t>
  </si>
  <si>
    <t>Cardboard collection 09.12.2020  Australian Pape</t>
  </si>
  <si>
    <t>2303029277</t>
  </si>
  <si>
    <t>General Waste collection 06.01.21  Veolia Environm</t>
  </si>
  <si>
    <t>2303045776</t>
  </si>
  <si>
    <t>1 Collection 03.02.21  Veolia Environm</t>
  </si>
  <si>
    <t>2303064547</t>
  </si>
  <si>
    <t>Collections: 02/17/22/24-03-21  Veolia Environm</t>
  </si>
  <si>
    <t>INV0139815</t>
  </si>
  <si>
    <t>Cardboard collections - 17: 25 &amp; 31/3/21  Australian Pape</t>
  </si>
  <si>
    <t>2117.3065</t>
  </si>
  <si>
    <t>2118.3065</t>
  </si>
  <si>
    <t>3034.3065</t>
  </si>
  <si>
    <t>4101.3065</t>
  </si>
  <si>
    <t>4103.3065</t>
  </si>
  <si>
    <t>4250.3076</t>
  </si>
  <si>
    <t>8006.3076</t>
  </si>
  <si>
    <t>9990.3076</t>
  </si>
  <si>
    <t>5192.3362</t>
  </si>
  <si>
    <t>6220.3362</t>
  </si>
  <si>
    <t>2106.3600</t>
  </si>
  <si>
    <t>8006.3600</t>
  </si>
  <si>
    <t>8030.3600</t>
  </si>
  <si>
    <t>4024.3005</t>
  </si>
  <si>
    <t>4085.3005</t>
  </si>
  <si>
    <t>4103.3005</t>
  </si>
  <si>
    <t>4115.3005</t>
  </si>
  <si>
    <t>4157.3005</t>
  </si>
  <si>
    <t>4170.3005</t>
  </si>
  <si>
    <t>4235.3005</t>
  </si>
  <si>
    <t>4239.3005</t>
  </si>
  <si>
    <t>4530.3005</t>
  </si>
  <si>
    <t>4250.3005</t>
  </si>
  <si>
    <t>5053.3005</t>
  </si>
  <si>
    <t>5192.3005</t>
  </si>
  <si>
    <t>6176.3005</t>
  </si>
  <si>
    <t>Others</t>
  </si>
  <si>
    <t>Other GL Movements in Non-Accruing Accounts</t>
  </si>
  <si>
    <t>3201 Car Park</t>
  </si>
  <si>
    <t>Melbourne Airport</t>
  </si>
  <si>
    <t>Hobart Airport</t>
  </si>
  <si>
    <t>NewCasle Airport</t>
  </si>
  <si>
    <t>Perth Airport</t>
  </si>
  <si>
    <t>Brisbane Airport</t>
  </si>
  <si>
    <t>Darwin Airport</t>
  </si>
  <si>
    <t>Canberra Airport</t>
  </si>
  <si>
    <t>usually lag 1 month</t>
  </si>
  <si>
    <t>Stopped sending car park invoices post-COVID</t>
  </si>
  <si>
    <t>Sunshine Coast Airport</t>
  </si>
  <si>
    <t>3020 Cleaning</t>
  </si>
  <si>
    <t>3363 License</t>
  </si>
  <si>
    <t>Cleaning Support Office</t>
  </si>
  <si>
    <t>3034 Software</t>
  </si>
  <si>
    <t>Software Ittelligent</t>
  </si>
  <si>
    <t>9991.3201</t>
  </si>
  <si>
    <t>9993.3201</t>
  </si>
  <si>
    <t>2450.3201</t>
  </si>
  <si>
    <t>Accrual Value
/Month</t>
  </si>
  <si>
    <t>7064.3005</t>
  </si>
  <si>
    <t>7078.3005</t>
  </si>
  <si>
    <t>7079.3005</t>
  </si>
  <si>
    <t>8030.3005</t>
  </si>
  <si>
    <t>8188.3005</t>
  </si>
  <si>
    <t>Usually current &amp; don't have to accrue</t>
  </si>
  <si>
    <t>Current Period Balance AFTER Applying Accruals</t>
  </si>
  <si>
    <t xml:space="preserve">BLS*Monday  </t>
  </si>
  <si>
    <t xml:space="preserve">Adobe Acrobat  </t>
  </si>
  <si>
    <t xml:space="preserve">Zendesk - US$177  </t>
  </si>
  <si>
    <t xml:space="preserve">Zoom  </t>
  </si>
  <si>
    <t xml:space="preserve">Sweetprocess - US$99  </t>
  </si>
  <si>
    <t xml:space="preserve">Adobe Acropro  </t>
  </si>
  <si>
    <t xml:space="preserve">Microsoft Azure  </t>
  </si>
  <si>
    <t xml:space="preserve">Zapier - US$99  </t>
  </si>
  <si>
    <t>monthly charge; usually 1 month behind</t>
  </si>
  <si>
    <t>Monthly</t>
  </si>
  <si>
    <t>might be current</t>
  </si>
  <si>
    <t xml:space="preserve">0.5% of Sales </t>
  </si>
  <si>
    <t>0.5% of Sales (Feb 2021 to Apr 2021 )</t>
  </si>
  <si>
    <t>Advertising promo invoices</t>
  </si>
  <si>
    <t>Stopped Operating</t>
  </si>
  <si>
    <t>Trade Waste Recharge</t>
  </si>
  <si>
    <t>Trade Waste Recharge Sydney Airport</t>
  </si>
  <si>
    <t xml:space="preserve">Waste Disposal </t>
  </si>
  <si>
    <t>Waste Disposal Veolia Environment Ac No: 30003869</t>
  </si>
  <si>
    <t>Usually current</t>
  </si>
  <si>
    <t xml:space="preserve">Accruing April &amp; May 2021 </t>
  </si>
  <si>
    <t xml:space="preserve">Accruing Mar - May 2021 </t>
  </si>
  <si>
    <t xml:space="preserve">Accruing Feb - May 2021 </t>
  </si>
  <si>
    <t>Accrue April &amp; May 2021</t>
  </si>
  <si>
    <t xml:space="preserve"> Oct 20 to May 2021</t>
  </si>
  <si>
    <t>Accrued April - May 2021 based on actual Mar 2021 Invoice</t>
  </si>
  <si>
    <t xml:space="preserve">Accrued April - May 2021 </t>
  </si>
  <si>
    <t>Usually invoices received up-to-date</t>
  </si>
  <si>
    <t>Apr-May 2021</t>
  </si>
  <si>
    <t>Water Usage</t>
  </si>
  <si>
    <t>Sewerage Quarterly Invoice</t>
  </si>
  <si>
    <t>Jan -May 2021</t>
  </si>
  <si>
    <t>Rates Quarterly Invoice</t>
  </si>
  <si>
    <t>Apr - May 2021</t>
  </si>
  <si>
    <t>Jan-May 2021</t>
  </si>
  <si>
    <t>stopped being charged in FY21</t>
  </si>
  <si>
    <t>Accrue for Jul-May 2021</t>
  </si>
  <si>
    <r>
      <t xml:space="preserve">Water Rate  </t>
    </r>
    <r>
      <rPr>
        <b/>
        <sz val="10"/>
        <rFont val="Century Gothic"/>
        <family val="2"/>
      </rPr>
      <t>(Ryder Commercial)</t>
    </r>
  </si>
  <si>
    <r>
      <t xml:space="preserve">Water Rates - Quarterly </t>
    </r>
    <r>
      <rPr>
        <b/>
        <sz val="10"/>
        <rFont val="Century Gothic"/>
        <family val="2"/>
      </rPr>
      <t>(City West Water)</t>
    </r>
    <r>
      <rPr>
        <sz val="10"/>
        <rFont val="Century Gothic"/>
        <family val="2"/>
      </rPr>
      <t xml:space="preserve"> </t>
    </r>
  </si>
  <si>
    <t>Oct 20 - May 21</t>
  </si>
  <si>
    <r>
      <t xml:space="preserve">OwnersCorp - HO  </t>
    </r>
    <r>
      <rPr>
        <b/>
        <sz val="10"/>
        <rFont val="Century Gothic"/>
        <family val="2"/>
      </rPr>
      <t>Ryder Commercial ( Prepayment FY 2021)</t>
    </r>
  </si>
  <si>
    <t>Accrued Apr -May 2021</t>
  </si>
  <si>
    <t>Ittelligent: Server Monitoring &amp; EssentialSSL</t>
  </si>
  <si>
    <t>Accrue for Mar-May 2021</t>
  </si>
  <si>
    <t>Accrue Apr-May 2021</t>
  </si>
  <si>
    <t>The Cunning Plan  ( Tony Hoi )</t>
  </si>
  <si>
    <t>July 2020- May 2021</t>
  </si>
  <si>
    <t>Not travelling much nowadays</t>
  </si>
  <si>
    <t>Waste Disposal ( Veolia Environment # 7002705)</t>
  </si>
  <si>
    <t>Waste Disposal  ( Annual Charges )</t>
  </si>
  <si>
    <t>Up-to-date</t>
  </si>
  <si>
    <t>Duty Free Security</t>
  </si>
  <si>
    <t>2004.3362</t>
  </si>
  <si>
    <t>2009.3362</t>
  </si>
  <si>
    <t>2012.3362</t>
  </si>
  <si>
    <t>2013.3362</t>
  </si>
  <si>
    <t>2120.3362</t>
  </si>
  <si>
    <t>2126.3362</t>
  </si>
  <si>
    <t>2128.3362</t>
  </si>
  <si>
    <t>2131.3362</t>
  </si>
  <si>
    <t>2132.3362</t>
  </si>
  <si>
    <t>2136.3362</t>
  </si>
  <si>
    <t>2137.3362</t>
  </si>
  <si>
    <t>2230.3362</t>
  </si>
  <si>
    <t>2231.3362</t>
  </si>
  <si>
    <t>2232.3362</t>
  </si>
  <si>
    <t>2233.3362</t>
  </si>
  <si>
    <t>2234.3362</t>
  </si>
  <si>
    <t>2990.3362</t>
  </si>
  <si>
    <t>2450.3362</t>
  </si>
  <si>
    <t>3025.3362</t>
  </si>
  <si>
    <t>3240.3362</t>
  </si>
  <si>
    <t>4005.3362</t>
  </si>
  <si>
    <t>4007.3362</t>
  </si>
  <si>
    <t>4024.3362</t>
  </si>
  <si>
    <t>4036.3362</t>
  </si>
  <si>
    <t>4069.3362</t>
  </si>
  <si>
    <t>4076.3362</t>
  </si>
  <si>
    <t>4085.3362</t>
  </si>
  <si>
    <t>4104.3362</t>
  </si>
  <si>
    <t>4109.3362</t>
  </si>
  <si>
    <t>4115.3362</t>
  </si>
  <si>
    <t>4145.3362</t>
  </si>
  <si>
    <t>4146.3362</t>
  </si>
  <si>
    <t>4147.3362</t>
  </si>
  <si>
    <t>4148.3362</t>
  </si>
  <si>
    <t>4149.3362</t>
  </si>
  <si>
    <t>4155.3362</t>
  </si>
  <si>
    <t>4157.3362</t>
  </si>
  <si>
    <t>4170.3362</t>
  </si>
  <si>
    <t>4235.3362</t>
  </si>
  <si>
    <t>4239.3362</t>
  </si>
  <si>
    <t>4244.3362</t>
  </si>
  <si>
    <t>4530.3362</t>
  </si>
  <si>
    <t>4770.3362</t>
  </si>
  <si>
    <t>4775.3362</t>
  </si>
  <si>
    <t>6075.3362</t>
  </si>
  <si>
    <t>8196.3362</t>
  </si>
  <si>
    <t>9990.6060</t>
  </si>
  <si>
    <t>2009.3600</t>
  </si>
  <si>
    <t>2012.3600</t>
  </si>
  <si>
    <t>2013.3600</t>
  </si>
  <si>
    <t>2126.3600</t>
  </si>
  <si>
    <t>2128.3600</t>
  </si>
  <si>
    <t>2131.3600</t>
  </si>
  <si>
    <t>2132.3600</t>
  </si>
  <si>
    <t>2990.3600</t>
  </si>
  <si>
    <t>2450.3600</t>
  </si>
  <si>
    <t>3019.3600</t>
  </si>
  <si>
    <t>3025.3600</t>
  </si>
  <si>
    <t>3028.3600</t>
  </si>
  <si>
    <t>3034.3600</t>
  </si>
  <si>
    <t>3135.3600</t>
  </si>
  <si>
    <t>3175.3600</t>
  </si>
  <si>
    <t>3213.3600</t>
  </si>
  <si>
    <t>3240.3600</t>
  </si>
  <si>
    <t>4005.3600</t>
  </si>
  <si>
    <t>4007.3600</t>
  </si>
  <si>
    <t>4024.3600</t>
  </si>
  <si>
    <t>4036.3600</t>
  </si>
  <si>
    <t>4069.3600</t>
  </si>
  <si>
    <t>4076.3600</t>
  </si>
  <si>
    <t>4085.3600</t>
  </si>
  <si>
    <t>4100.3600</t>
  </si>
  <si>
    <t>4115.3600</t>
  </si>
  <si>
    <t>4145.3600</t>
  </si>
  <si>
    <t>4146.3600</t>
  </si>
  <si>
    <t>4147.3600</t>
  </si>
  <si>
    <t>4148.3600</t>
  </si>
  <si>
    <t>4149.3600</t>
  </si>
  <si>
    <t>4155.3600</t>
  </si>
  <si>
    <t>4157.3600</t>
  </si>
  <si>
    <t>4170.3600</t>
  </si>
  <si>
    <t>4235.3600</t>
  </si>
  <si>
    <t>4239.3600</t>
  </si>
  <si>
    <t>4244.3600</t>
  </si>
  <si>
    <t>4530.3600</t>
  </si>
  <si>
    <t>4770.3600</t>
  </si>
  <si>
    <t>4775.3600</t>
  </si>
  <si>
    <t>5053.3600</t>
  </si>
  <si>
    <t>5192.3600</t>
  </si>
  <si>
    <t>6075.3600</t>
  </si>
  <si>
    <t>8190.3600</t>
  </si>
  <si>
    <t>Apr 2021</t>
  </si>
  <si>
    <t>Property Outgoings Accrual</t>
  </si>
  <si>
    <t xml:space="preserve">Carpark Accrual Hobart </t>
  </si>
  <si>
    <t xml:space="preserve">Carpark Accrual Perth </t>
  </si>
  <si>
    <t xml:space="preserve"> Carpark Accrual Brisbane </t>
  </si>
  <si>
    <t xml:space="preserve">Carpark Accrual Darwin </t>
  </si>
  <si>
    <t xml:space="preserve">Carpark Accrual Sunshine Coast </t>
  </si>
  <si>
    <t xml:space="preserve">Carpark Accrual Newcastle </t>
  </si>
  <si>
    <t xml:space="preserve">Carpark Accrual Sydney </t>
  </si>
  <si>
    <t xml:space="preserve">Carpark Accrual Canberra </t>
  </si>
  <si>
    <t xml:space="preserve">Waste Disposal Accrual </t>
  </si>
  <si>
    <t xml:space="preserve">Travel Accrual </t>
  </si>
  <si>
    <t xml:space="preserve">Accountancy Fees Accrual </t>
  </si>
  <si>
    <t xml:space="preserve">The Cunning Plan Accrual </t>
  </si>
  <si>
    <t xml:space="preserve">Consultants Fees Accrual </t>
  </si>
  <si>
    <t xml:space="preserve">Carpark Accrual Melbourne </t>
  </si>
  <si>
    <t xml:space="preserve">Expenses Accrual </t>
  </si>
  <si>
    <t>Advertisement &amp; Promo Accrual</t>
  </si>
  <si>
    <t>Accrue for Azure,Adobe,Dropbox,Zoom,Zendesk,Zapier,SweepProcess, BLS</t>
  </si>
  <si>
    <t xml:space="preserve">Accrue for Cleaning Support Office </t>
  </si>
  <si>
    <t xml:space="preserve">Accrue Monthly Check MyCCTV license </t>
  </si>
  <si>
    <t>RD - SMS Maintainence Fee Accrue</t>
  </si>
  <si>
    <t>MFH Printing Accrue</t>
  </si>
  <si>
    <t xml:space="preserve">Accrue for Check MyCCTV license </t>
  </si>
  <si>
    <t xml:space="preserve">RD Maintainence Accrual </t>
  </si>
  <si>
    <t xml:space="preserve">Softwares accrual </t>
  </si>
  <si>
    <t>COVID19 Relief</t>
  </si>
  <si>
    <t>Usually invoice current</t>
  </si>
  <si>
    <t xml:space="preserve">Advertising promo invoices </t>
  </si>
  <si>
    <t>could lag 2-3 months</t>
  </si>
  <si>
    <t>MyCCTV, Viasec,Coastcom</t>
  </si>
  <si>
    <t>Bi-monthly, Quarterly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</si>
</sst>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_);[Red]\(&quot;$&quot;#,##0.00\)"/>
    <numFmt numFmtId="165" formatCode="_(* #,##0.00_);_(* \(#,##0.00\);_(* &quot;-&quot;??_);_(@_)"/>
    <numFmt numFmtId="166" formatCode="[$-C09]dd\-mmmm\-yyyy;@"/>
    <numFmt numFmtId="167" formatCode="#,##0.000000"/>
    <numFmt numFmtId="168" formatCode="#,##0;\(#,##0\)"/>
    <numFmt numFmtId="169" formatCode="dd/mm/yyyy\ h:mm\ AM/PM"/>
    <numFmt numFmtId="170" formatCode="0.0%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8"/>
      <color theme="0" tint="-4.9989318521683403E-2"/>
      <name val="Century Gothic"/>
      <family val="2"/>
    </font>
    <font>
      <sz val="11"/>
      <color theme="1"/>
      <name val="Century Gothic"/>
      <family val="2"/>
    </font>
    <font>
      <b/>
      <sz val="10"/>
      <name val="Century Gothic"/>
      <family val="2"/>
    </font>
    <font>
      <sz val="10"/>
      <name val="Century Gothic"/>
      <family val="2"/>
    </font>
    <font>
      <b/>
      <sz val="10"/>
      <color rgb="FFFF0000"/>
      <name val="Century Gothic"/>
      <family val="2"/>
    </font>
    <font>
      <b/>
      <sz val="12"/>
      <color theme="1"/>
      <name val="Arial"/>
      <family val="2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b/>
      <sz val="10"/>
      <color rgb="FFC00000"/>
      <name val="Century Gothic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FF0000"/>
      <name val="Century Gothic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1" tint="4.9989318521683403E-2"/>
      <name val="Century Gothic"/>
      <family val="2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00004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CD40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310">
    <xf numFmtId="0" fontId="0" fillId="0" borderId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6" fontId="1" fillId="0" borderId="0"/>
    <xf numFmtId="166" fontId="2" fillId="0" borderId="0"/>
    <xf numFmtId="43" fontId="2" fillId="0" borderId="0" applyFont="0" applyFill="0" applyBorder="0" applyAlignment="0" applyProtection="0"/>
    <xf numFmtId="0" fontId="9" fillId="0" borderId="0">
      <alignment vertical="top"/>
    </xf>
    <xf numFmtId="0" fontId="2" fillId="0" borderId="0"/>
    <xf numFmtId="0" fontId="11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26" fillId="0" borderId="0"/>
    <xf numFmtId="0" fontId="27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05">
    <xf numFmtId="0" fontId="0" fillId="0" borderId="0" xfId="0"/>
    <xf numFmtId="14" fontId="0" fillId="0" borderId="0" xfId="0" applyNumberFormat="1"/>
    <xf numFmtId="0" fontId="3" fillId="2" borderId="0" xfId="0" applyFont="1" applyFill="1" applyBorder="1" applyAlignment="1"/>
    <xf numFmtId="0" fontId="4" fillId="0" borderId="0" xfId="0" applyFont="1"/>
    <xf numFmtId="49" fontId="0" fillId="0" borderId="0" xfId="0" applyNumberFormat="1"/>
    <xf numFmtId="49" fontId="8" fillId="0" borderId="0" xfId="0" applyNumberFormat="1" applyFont="1"/>
    <xf numFmtId="0" fontId="0" fillId="0" borderId="0" xfId="0"/>
    <xf numFmtId="49" fontId="0" fillId="0" borderId="0" xfId="0" applyNumberFormat="1"/>
    <xf numFmtId="0" fontId="9" fillId="0" borderId="0" xfId="10">
      <alignment vertical="top"/>
    </xf>
    <xf numFmtId="0" fontId="9" fillId="0" borderId="0" xfId="10">
      <alignment vertical="top"/>
    </xf>
    <xf numFmtId="0" fontId="9" fillId="0" borderId="0" xfId="10">
      <alignment vertical="top"/>
    </xf>
    <xf numFmtId="0" fontId="9" fillId="0" borderId="0" xfId="10">
      <alignment vertical="top"/>
    </xf>
    <xf numFmtId="0" fontId="10" fillId="0" borderId="0" xfId="10" applyFont="1" applyAlignment="1">
      <alignment horizontal="left" vertical="top"/>
    </xf>
    <xf numFmtId="0" fontId="9" fillId="0" borderId="0" xfId="10">
      <alignment vertical="top"/>
    </xf>
    <xf numFmtId="0" fontId="10" fillId="0" borderId="0" xfId="10" applyFont="1" applyAlignment="1">
      <alignment horizontal="left" vertical="top"/>
    </xf>
    <xf numFmtId="0" fontId="9" fillId="0" borderId="0" xfId="10" applyNumberFormat="1">
      <alignment vertical="top"/>
    </xf>
    <xf numFmtId="0" fontId="3" fillId="0" borderId="0" xfId="0" applyFont="1" applyFill="1" applyBorder="1" applyAlignment="1"/>
    <xf numFmtId="49" fontId="5" fillId="0" borderId="1" xfId="0" applyNumberFormat="1" applyFont="1" applyBorder="1"/>
    <xf numFmtId="0" fontId="6" fillId="0" borderId="1" xfId="0" applyFont="1" applyFill="1" applyBorder="1"/>
    <xf numFmtId="0" fontId="6" fillId="0" borderId="1" xfId="0" applyFont="1" applyFill="1" applyBorder="1" applyAlignment="1">
      <alignment horizontal="right"/>
    </xf>
    <xf numFmtId="0" fontId="4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5" borderId="1" xfId="0" applyFont="1" applyFill="1" applyBorder="1" applyAlignment="1">
      <alignment horizontal="center"/>
    </xf>
    <xf numFmtId="43" fontId="12" fillId="5" borderId="1" xfId="9" applyFont="1" applyFill="1" applyBorder="1"/>
    <xf numFmtId="0" fontId="12" fillId="5" borderId="1" xfId="0" applyFont="1" applyFill="1" applyBorder="1"/>
    <xf numFmtId="0" fontId="12" fillId="6" borderId="1" xfId="0" applyFont="1" applyFill="1" applyBorder="1"/>
    <xf numFmtId="43" fontId="4" fillId="0" borderId="0" xfId="0" applyNumberFormat="1" applyFont="1"/>
    <xf numFmtId="0" fontId="6" fillId="0" borderId="1" xfId="106" applyNumberFormat="1" applyFont="1" applyFill="1" applyBorder="1"/>
    <xf numFmtId="0" fontId="6" fillId="0" borderId="0" xfId="106" applyFont="1" applyFill="1" applyBorder="1"/>
    <xf numFmtId="0" fontId="6" fillId="0" borderId="1" xfId="106" applyNumberFormat="1" applyFont="1" applyFill="1" applyBorder="1" applyAlignment="1">
      <alignment horizontal="left"/>
    </xf>
    <xf numFmtId="49" fontId="6" fillId="0" borderId="9" xfId="106" applyNumberFormat="1" applyFont="1" applyBorder="1"/>
    <xf numFmtId="0" fontId="6" fillId="0" borderId="1" xfId="106" applyFont="1" applyFill="1" applyBorder="1"/>
    <xf numFmtId="0" fontId="19" fillId="0" borderId="1" xfId="106" applyFont="1" applyFill="1" applyBorder="1"/>
    <xf numFmtId="44" fontId="6" fillId="0" borderId="1" xfId="3" applyFont="1" applyFill="1" applyBorder="1"/>
    <xf numFmtId="43" fontId="6" fillId="0" borderId="3" xfId="13" applyFont="1" applyFill="1" applyBorder="1" applyAlignment="1">
      <alignment horizontal="center"/>
    </xf>
    <xf numFmtId="49" fontId="6" fillId="0" borderId="9" xfId="106" applyNumberFormat="1" applyFont="1" applyFill="1" applyBorder="1"/>
    <xf numFmtId="0" fontId="6" fillId="0" borderId="9" xfId="106" applyFont="1" applyBorder="1"/>
    <xf numFmtId="43" fontId="6" fillId="0" borderId="0" xfId="354" applyFont="1"/>
    <xf numFmtId="43" fontId="6" fillId="0" borderId="1" xfId="354" applyFont="1" applyFill="1" applyBorder="1" applyAlignment="1">
      <alignment horizontal="center"/>
    </xf>
    <xf numFmtId="43" fontId="12" fillId="0" borderId="1" xfId="354" applyFont="1" applyFill="1" applyBorder="1" applyAlignment="1">
      <alignment horizontal="center"/>
    </xf>
    <xf numFmtId="0" fontId="6" fillId="0" borderId="5" xfId="106" applyNumberFormat="1" applyFont="1" applyFill="1" applyBorder="1"/>
    <xf numFmtId="0" fontId="6" fillId="0" borderId="9" xfId="106" applyFont="1" applyBorder="1" applyAlignment="1">
      <alignment horizontal="center"/>
    </xf>
    <xf numFmtId="0" fontId="6" fillId="0" borderId="0" xfId="186" applyFont="1"/>
    <xf numFmtId="0" fontId="6" fillId="9" borderId="0" xfId="186" applyFont="1" applyFill="1"/>
    <xf numFmtId="0" fontId="6" fillId="0" borderId="0" xfId="186" applyFont="1" applyFill="1"/>
    <xf numFmtId="49" fontId="13" fillId="0" borderId="0" xfId="125" applyNumberFormat="1" applyFont="1"/>
    <xf numFmtId="49" fontId="13" fillId="9" borderId="0" xfId="125" applyNumberFormat="1" applyFont="1" applyFill="1"/>
    <xf numFmtId="0" fontId="5" fillId="0" borderId="0" xfId="186" applyFont="1"/>
    <xf numFmtId="49" fontId="12" fillId="3" borderId="0" xfId="125" applyNumberFormat="1" applyFont="1" applyFill="1"/>
    <xf numFmtId="168" fontId="12" fillId="0" borderId="0" xfId="125" applyNumberFormat="1" applyFont="1"/>
    <xf numFmtId="168" fontId="12" fillId="9" borderId="0" xfId="125" applyNumberFormat="1" applyFont="1" applyFill="1"/>
    <xf numFmtId="49" fontId="12" fillId="7" borderId="0" xfId="125" applyNumberFormat="1" applyFont="1" applyFill="1"/>
    <xf numFmtId="0" fontId="6" fillId="12" borderId="10" xfId="186" applyNumberFormat="1" applyFont="1" applyFill="1" applyBorder="1" applyAlignment="1">
      <alignment horizontal="left"/>
    </xf>
    <xf numFmtId="43" fontId="6" fillId="13" borderId="0" xfId="354" applyFont="1" applyFill="1"/>
    <xf numFmtId="43" fontId="6" fillId="12" borderId="0" xfId="186" applyNumberFormat="1" applyFont="1" applyFill="1"/>
    <xf numFmtId="43" fontId="6" fillId="0" borderId="0" xfId="186" applyNumberFormat="1" applyFont="1"/>
    <xf numFmtId="49" fontId="12" fillId="0" borderId="0" xfId="125" applyNumberFormat="1" applyFont="1"/>
    <xf numFmtId="49" fontId="12" fillId="7" borderId="0" xfId="155" applyNumberFormat="1" applyFont="1" applyFill="1"/>
    <xf numFmtId="49" fontId="12" fillId="0" borderId="0" xfId="125" applyNumberFormat="1" applyFont="1" applyFill="1"/>
    <xf numFmtId="49" fontId="12" fillId="6" borderId="0" xfId="125" applyNumberFormat="1" applyFont="1" applyFill="1"/>
    <xf numFmtId="0" fontId="6" fillId="14" borderId="10" xfId="186" applyNumberFormat="1" applyFont="1" applyFill="1" applyBorder="1" applyAlignment="1">
      <alignment horizontal="left"/>
    </xf>
    <xf numFmtId="43" fontId="6" fillId="8" borderId="0" xfId="354" applyFont="1" applyFill="1"/>
    <xf numFmtId="43" fontId="6" fillId="6" borderId="0" xfId="354" applyFont="1" applyFill="1"/>
    <xf numFmtId="0" fontId="6" fillId="6" borderId="0" xfId="186" applyFont="1" applyFill="1"/>
    <xf numFmtId="168" fontId="12" fillId="0" borderId="0" xfId="125" applyNumberFormat="1" applyFont="1" applyFill="1"/>
    <xf numFmtId="0" fontId="12" fillId="0" borderId="0" xfId="125" applyFont="1"/>
    <xf numFmtId="168" fontId="13" fillId="0" borderId="0" xfId="125" applyNumberFormat="1" applyFont="1"/>
    <xf numFmtId="168" fontId="13" fillId="9" borderId="0" xfId="125" applyNumberFormat="1" applyFont="1" applyFill="1"/>
    <xf numFmtId="168" fontId="13" fillId="0" borderId="0" xfId="125" applyNumberFormat="1" applyFont="1" applyFill="1"/>
    <xf numFmtId="3" fontId="6" fillId="0" borderId="0" xfId="186" applyNumberFormat="1" applyFont="1"/>
    <xf numFmtId="4" fontId="12" fillId="0" borderId="0" xfId="145" applyNumberFormat="1" applyFont="1"/>
    <xf numFmtId="49" fontId="12" fillId="0" borderId="0" xfId="145" applyNumberFormat="1" applyFont="1"/>
    <xf numFmtId="4" fontId="12" fillId="13" borderId="0" xfId="145" applyNumberFormat="1" applyFont="1" applyFill="1"/>
    <xf numFmtId="49" fontId="12" fillId="13" borderId="0" xfId="145" applyNumberFormat="1" applyFont="1" applyFill="1"/>
    <xf numFmtId="4" fontId="12" fillId="9" borderId="0" xfId="149" applyNumberFormat="1" applyFont="1" applyFill="1"/>
    <xf numFmtId="49" fontId="12" fillId="9" borderId="0" xfId="149" applyNumberFormat="1" applyFont="1" applyFill="1"/>
    <xf numFmtId="0" fontId="12" fillId="6" borderId="1" xfId="0" applyFont="1" applyFill="1" applyBorder="1" applyAlignment="1">
      <alignment horizontal="center"/>
    </xf>
    <xf numFmtId="43" fontId="12" fillId="6" borderId="1" xfId="9" applyFont="1" applyFill="1" applyBorder="1"/>
    <xf numFmtId="44" fontId="4" fillId="0" borderId="0" xfId="0" applyNumberFormat="1" applyFont="1"/>
    <xf numFmtId="49" fontId="12" fillId="5" borderId="1" xfId="0" applyNumberFormat="1" applyFont="1" applyFill="1" applyBorder="1"/>
    <xf numFmtId="1" fontId="0" fillId="0" borderId="0" xfId="0" applyNumberFormat="1"/>
    <xf numFmtId="43" fontId="6" fillId="0" borderId="10" xfId="13" applyFont="1" applyFill="1" applyBorder="1" applyAlignment="1">
      <alignment horizontal="center"/>
    </xf>
    <xf numFmtId="0" fontId="0" fillId="0" borderId="0" xfId="0" applyFill="1"/>
    <xf numFmtId="0" fontId="0" fillId="0" borderId="0" xfId="0"/>
    <xf numFmtId="0" fontId="6" fillId="0" borderId="10" xfId="106" applyFont="1" applyFill="1" applyBorder="1"/>
    <xf numFmtId="0" fontId="12" fillId="5" borderId="10" xfId="0" applyFont="1" applyFill="1" applyBorder="1"/>
    <xf numFmtId="0" fontId="0" fillId="0" borderId="0" xfId="0"/>
    <xf numFmtId="49" fontId="0" fillId="0" borderId="0" xfId="0" applyNumberFormat="1"/>
    <xf numFmtId="168" fontId="0" fillId="0" borderId="0" xfId="0" applyNumberFormat="1"/>
    <xf numFmtId="168" fontId="15" fillId="0" borderId="0" xfId="0" applyNumberFormat="1" applyFont="1"/>
    <xf numFmtId="44" fontId="6" fillId="0" borderId="6" xfId="3" applyFont="1" applyFill="1" applyBorder="1" applyAlignment="1">
      <alignment horizontal="left"/>
    </xf>
    <xf numFmtId="14" fontId="0" fillId="0" borderId="0" xfId="0" applyNumberFormat="1"/>
    <xf numFmtId="49" fontId="12" fillId="5" borderId="1" xfId="0" applyNumberFormat="1" applyFont="1" applyFill="1" applyBorder="1" applyAlignment="1">
      <alignment horizontal="center"/>
    </xf>
    <xf numFmtId="0" fontId="9" fillId="0" borderId="0" xfId="10" applyNumberFormat="1" applyFill="1">
      <alignment vertical="top"/>
    </xf>
    <xf numFmtId="43" fontId="12" fillId="6" borderId="10" xfId="9" applyFont="1" applyFill="1" applyBorder="1" applyAlignment="1">
      <alignment horizontal="center"/>
    </xf>
    <xf numFmtId="49" fontId="12" fillId="6" borderId="1" xfId="0" applyNumberFormat="1" applyFont="1" applyFill="1" applyBorder="1"/>
    <xf numFmtId="0" fontId="12" fillId="6" borderId="10" xfId="0" applyFont="1" applyFill="1" applyBorder="1"/>
    <xf numFmtId="0" fontId="0" fillId="0" borderId="0" xfId="0"/>
    <xf numFmtId="49" fontId="0" fillId="0" borderId="0" xfId="0" applyNumberFormat="1"/>
    <xf numFmtId="168" fontId="0" fillId="0" borderId="0" xfId="0" applyNumberFormat="1"/>
    <xf numFmtId="168" fontId="15" fillId="0" borderId="0" xfId="0" applyNumberFormat="1" applyFont="1"/>
    <xf numFmtId="49" fontId="8" fillId="0" borderId="0" xfId="0" applyNumberFormat="1" applyFont="1"/>
    <xf numFmtId="0" fontId="19" fillId="0" borderId="10" xfId="106" applyFont="1" applyFill="1" applyBorder="1"/>
    <xf numFmtId="44" fontId="6" fillId="0" borderId="10" xfId="3" applyFont="1" applyFill="1" applyBorder="1"/>
    <xf numFmtId="49" fontId="5" fillId="0" borderId="10" xfId="0" applyNumberFormat="1" applyFont="1" applyBorder="1"/>
    <xf numFmtId="43" fontId="12" fillId="5" borderId="10" xfId="9" applyFont="1" applyFill="1" applyBorder="1"/>
    <xf numFmtId="168" fontId="0" fillId="0" borderId="0" xfId="0" applyNumberFormat="1"/>
    <xf numFmtId="0" fontId="12" fillId="5" borderId="10" xfId="0" applyFont="1" applyFill="1" applyBorder="1" applyAlignment="1">
      <alignment horizontal="center"/>
    </xf>
    <xf numFmtId="0" fontId="10" fillId="0" borderId="0" xfId="10" applyFont="1" applyAlignment="1">
      <alignment horizontal="left" vertical="top"/>
    </xf>
    <xf numFmtId="0" fontId="0" fillId="0" borderId="0" xfId="0"/>
    <xf numFmtId="0" fontId="10" fillId="0" borderId="0" xfId="10" applyFont="1" applyAlignment="1">
      <alignment horizontal="left" vertical="top"/>
    </xf>
    <xf numFmtId="43" fontId="6" fillId="0" borderId="5" xfId="13" applyFont="1" applyFill="1" applyBorder="1"/>
    <xf numFmtId="43" fontId="6" fillId="0" borderId="5" xfId="13" applyFont="1" applyFill="1" applyBorder="1" applyAlignment="1">
      <alignment horizontal="center"/>
    </xf>
    <xf numFmtId="0" fontId="6" fillId="0" borderId="5" xfId="106" applyNumberFormat="1" applyFont="1" applyFill="1" applyBorder="1" applyAlignment="1">
      <alignment horizontal="left"/>
    </xf>
    <xf numFmtId="0" fontId="6" fillId="0" borderId="5" xfId="106" applyFont="1" applyFill="1" applyBorder="1"/>
    <xf numFmtId="43" fontId="21" fillId="15" borderId="10" xfId="13" applyFont="1" applyFill="1" applyBorder="1" applyAlignment="1">
      <alignment horizontal="center"/>
    </xf>
    <xf numFmtId="44" fontId="21" fillId="15" borderId="10" xfId="3" applyFont="1" applyFill="1" applyBorder="1"/>
    <xf numFmtId="43" fontId="6" fillId="15" borderId="10" xfId="13" applyFont="1" applyFill="1" applyBorder="1" applyAlignment="1">
      <alignment horizontal="center"/>
    </xf>
    <xf numFmtId="44" fontId="6" fillId="15" borderId="10" xfId="3" applyFont="1" applyFill="1" applyBorder="1" applyAlignment="1">
      <alignment horizontal="left"/>
    </xf>
    <xf numFmtId="0" fontId="6" fillId="0" borderId="10" xfId="106" applyNumberFormat="1" applyFont="1" applyFill="1" applyBorder="1"/>
    <xf numFmtId="0" fontId="6" fillId="0" borderId="9" xfId="106" applyFont="1" applyFill="1" applyBorder="1"/>
    <xf numFmtId="43" fontId="5" fillId="0" borderId="9" xfId="13" applyFont="1" applyFill="1" applyBorder="1" applyAlignment="1">
      <alignment horizontal="center"/>
    </xf>
    <xf numFmtId="1" fontId="6" fillId="0" borderId="0" xfId="106" applyNumberFormat="1" applyFont="1" applyFill="1" applyBorder="1"/>
    <xf numFmtId="43" fontId="6" fillId="0" borderId="5" xfId="354" applyFont="1" applyFill="1" applyBorder="1" applyAlignment="1">
      <alignment horizontal="center"/>
    </xf>
    <xf numFmtId="43" fontId="6" fillId="0" borderId="9" xfId="354" applyFont="1" applyFill="1" applyBorder="1" applyAlignment="1">
      <alignment horizontal="center"/>
    </xf>
    <xf numFmtId="0" fontId="5" fillId="15" borderId="10" xfId="106" applyNumberFormat="1" applyFont="1" applyFill="1" applyBorder="1" applyAlignment="1">
      <alignment horizontal="left"/>
    </xf>
    <xf numFmtId="0" fontId="6" fillId="15" borderId="10" xfId="106" applyFont="1" applyFill="1" applyBorder="1"/>
    <xf numFmtId="0" fontId="5" fillId="15" borderId="10" xfId="106" applyFont="1" applyFill="1" applyBorder="1"/>
    <xf numFmtId="43" fontId="5" fillId="15" borderId="10" xfId="354" applyFont="1" applyFill="1" applyBorder="1" applyAlignment="1">
      <alignment horizontal="center"/>
    </xf>
    <xf numFmtId="44" fontId="6" fillId="15" borderId="10" xfId="3" applyFont="1" applyFill="1" applyBorder="1"/>
    <xf numFmtId="43" fontId="6" fillId="15" borderId="10" xfId="354" applyFont="1" applyFill="1" applyBorder="1" applyAlignment="1">
      <alignment horizontal="center"/>
    </xf>
    <xf numFmtId="44" fontId="5" fillId="16" borderId="9" xfId="3" applyFont="1" applyFill="1" applyBorder="1"/>
    <xf numFmtId="4" fontId="12" fillId="0" borderId="10" xfId="208" applyNumberFormat="1" applyFont="1" applyFill="1" applyBorder="1"/>
    <xf numFmtId="4" fontId="12" fillId="0" borderId="10" xfId="368" applyNumberFormat="1" applyFont="1" applyFill="1" applyBorder="1"/>
    <xf numFmtId="1" fontId="12" fillId="0" borderId="0" xfId="205" applyNumberFormat="1" applyFont="1" applyBorder="1"/>
    <xf numFmtId="0" fontId="6" fillId="0" borderId="0" xfId="106" applyFont="1" applyBorder="1"/>
    <xf numFmtId="1" fontId="0" fillId="0" borderId="10" xfId="0" applyNumberFormat="1" applyBorder="1"/>
    <xf numFmtId="0" fontId="10" fillId="0" borderId="0" xfId="10" applyFont="1" applyAlignment="1">
      <alignment horizontal="left" vertical="top"/>
    </xf>
    <xf numFmtId="0" fontId="0" fillId="0" borderId="0" xfId="0"/>
    <xf numFmtId="0" fontId="22" fillId="0" borderId="0" xfId="1168" applyAlignment="1">
      <alignment horizontal="left" vertical="top"/>
    </xf>
    <xf numFmtId="0" fontId="10" fillId="0" borderId="0" xfId="10" applyFont="1" applyAlignment="1">
      <alignment horizontal="left" vertical="top"/>
    </xf>
    <xf numFmtId="43" fontId="12" fillId="0" borderId="10" xfId="354" applyFont="1" applyFill="1" applyBorder="1" applyAlignment="1">
      <alignment horizontal="center"/>
    </xf>
    <xf numFmtId="49" fontId="20" fillId="15" borderId="10" xfId="1083" applyNumberFormat="1" applyFont="1" applyFill="1" applyBorder="1"/>
    <xf numFmtId="0" fontId="21" fillId="15" borderId="10" xfId="1083" applyFont="1" applyFill="1" applyBorder="1"/>
    <xf numFmtId="0" fontId="6" fillId="0" borderId="12" xfId="1083" applyNumberFormat="1" applyFont="1" applyFill="1" applyBorder="1"/>
    <xf numFmtId="0" fontId="6" fillId="0" borderId="14" xfId="1083" applyNumberFormat="1" applyFont="1" applyFill="1" applyBorder="1"/>
    <xf numFmtId="0" fontId="6" fillId="0" borderId="9" xfId="1083" applyNumberFormat="1" applyFont="1" applyFill="1" applyBorder="1"/>
    <xf numFmtId="0" fontId="19" fillId="0" borderId="9" xfId="1083" applyFont="1" applyFill="1" applyBorder="1" applyAlignment="1">
      <alignment horizontal="left"/>
    </xf>
    <xf numFmtId="0" fontId="6" fillId="0" borderId="13" xfId="1083" applyNumberFormat="1" applyFont="1" applyFill="1" applyBorder="1"/>
    <xf numFmtId="0" fontId="6" fillId="0" borderId="3" xfId="1083" applyNumberFormat="1" applyFont="1" applyFill="1" applyBorder="1"/>
    <xf numFmtId="0" fontId="20" fillId="15" borderId="10" xfId="1083" applyNumberFormat="1" applyFont="1" applyFill="1" applyBorder="1" applyAlignment="1">
      <alignment horizontal="left"/>
    </xf>
    <xf numFmtId="0" fontId="6" fillId="0" borderId="5" xfId="1083" applyNumberFormat="1" applyFont="1" applyFill="1" applyBorder="1" applyAlignment="1">
      <alignment horizontal="left"/>
    </xf>
    <xf numFmtId="43" fontId="6" fillId="9" borderId="5" xfId="13" applyFont="1" applyFill="1" applyBorder="1" applyAlignment="1">
      <alignment horizontal="center"/>
    </xf>
    <xf numFmtId="0" fontId="6" fillId="0" borderId="10" xfId="1083" applyNumberFormat="1" applyFont="1" applyFill="1" applyBorder="1" applyAlignment="1">
      <alignment horizontal="left"/>
    </xf>
    <xf numFmtId="43" fontId="6" fillId="9" borderId="10" xfId="13" applyFont="1" applyFill="1" applyBorder="1" applyAlignment="1">
      <alignment horizontal="center"/>
    </xf>
    <xf numFmtId="44" fontId="6" fillId="9" borderId="10" xfId="3" applyFont="1" applyFill="1" applyBorder="1"/>
    <xf numFmtId="0" fontId="6" fillId="0" borderId="3" xfId="1083" applyNumberFormat="1" applyFont="1" applyFill="1" applyBorder="1" applyAlignment="1">
      <alignment horizontal="left"/>
    </xf>
    <xf numFmtId="0" fontId="6" fillId="0" borderId="9" xfId="1083" applyNumberFormat="1" applyFont="1" applyFill="1" applyBorder="1" applyAlignment="1">
      <alignment horizontal="left"/>
    </xf>
    <xf numFmtId="43" fontId="12" fillId="9" borderId="10" xfId="13" applyFont="1" applyFill="1" applyBorder="1" applyAlignment="1">
      <alignment horizontal="center"/>
    </xf>
    <xf numFmtId="44" fontId="12" fillId="9" borderId="10" xfId="3" applyFont="1" applyFill="1" applyBorder="1"/>
    <xf numFmtId="0" fontId="12" fillId="6" borderId="10" xfId="0" applyFont="1" applyFill="1" applyBorder="1" applyAlignment="1">
      <alignment horizontal="center"/>
    </xf>
    <xf numFmtId="0" fontId="12" fillId="6" borderId="10" xfId="0" applyNumberFormat="1" applyFont="1" applyFill="1" applyBorder="1" applyAlignment="1">
      <alignment horizontal="center"/>
    </xf>
    <xf numFmtId="43" fontId="12" fillId="6" borderId="10" xfId="9" applyFont="1" applyFill="1" applyBorder="1"/>
    <xf numFmtId="0" fontId="0" fillId="0" borderId="0" xfId="0"/>
    <xf numFmtId="0" fontId="6" fillId="7" borderId="1" xfId="106" applyFont="1" applyFill="1" applyBorder="1" applyAlignment="1">
      <alignment wrapText="1"/>
    </xf>
    <xf numFmtId="44" fontId="6" fillId="15" borderId="6" xfId="3" applyFont="1" applyFill="1" applyBorder="1"/>
    <xf numFmtId="44" fontId="6" fillId="0" borderId="4" xfId="3" applyFont="1" applyFill="1" applyBorder="1" applyAlignment="1">
      <alignment horizontal="left"/>
    </xf>
    <xf numFmtId="44" fontId="5" fillId="16" borderId="15" xfId="3" applyFont="1" applyFill="1" applyBorder="1" applyAlignment="1">
      <alignment horizontal="right"/>
    </xf>
    <xf numFmtId="44" fontId="5" fillId="16" borderId="15" xfId="3" applyFont="1" applyFill="1" applyBorder="1"/>
    <xf numFmtId="44" fontId="6" fillId="0" borderId="10" xfId="3" applyFont="1" applyFill="1" applyBorder="1" applyAlignment="1">
      <alignment horizontal="left"/>
    </xf>
    <xf numFmtId="44" fontId="5" fillId="0" borderId="10" xfId="3" applyFont="1" applyFill="1" applyBorder="1" applyAlignment="1">
      <alignment horizontal="right"/>
    </xf>
    <xf numFmtId="0" fontId="6" fillId="9" borderId="12" xfId="1083" applyNumberFormat="1" applyFont="1" applyFill="1" applyBorder="1"/>
    <xf numFmtId="0" fontId="6" fillId="9" borderId="5" xfId="1083" applyNumberFormat="1" applyFont="1" applyFill="1" applyBorder="1" applyAlignment="1">
      <alignment horizontal="left"/>
    </xf>
    <xf numFmtId="44" fontId="6" fillId="9" borderId="4" xfId="3" applyFont="1" applyFill="1" applyBorder="1" applyAlignment="1">
      <alignment horizontal="left"/>
    </xf>
    <xf numFmtId="0" fontId="10" fillId="0" borderId="0" xfId="10" applyFont="1" applyAlignment="1">
      <alignment horizontal="left" vertical="top"/>
    </xf>
    <xf numFmtId="0" fontId="0" fillId="0" borderId="0" xfId="0"/>
    <xf numFmtId="3" fontId="0" fillId="0" borderId="0" xfId="0" applyNumberFormat="1"/>
    <xf numFmtId="44" fontId="6" fillId="0" borderId="1" xfId="3" applyFont="1" applyFill="1" applyBorder="1" applyAlignment="1">
      <alignment horizontal="left"/>
    </xf>
    <xf numFmtId="0" fontId="12" fillId="0" borderId="5" xfId="106" applyFont="1" applyFill="1" applyBorder="1"/>
    <xf numFmtId="0" fontId="6" fillId="0" borderId="10" xfId="106" applyFont="1" applyBorder="1"/>
    <xf numFmtId="0" fontId="6" fillId="0" borderId="10" xfId="106" applyFont="1" applyBorder="1" applyAlignment="1">
      <alignment horizontal="center"/>
    </xf>
    <xf numFmtId="49" fontId="6" fillId="0" borderId="10" xfId="3" applyNumberFormat="1" applyFont="1" applyFill="1" applyBorder="1" applyAlignment="1">
      <alignment horizontal="left"/>
    </xf>
    <xf numFmtId="0" fontId="12" fillId="5" borderId="10" xfId="0" applyNumberFormat="1" applyFont="1" applyFill="1" applyBorder="1" applyAlignment="1">
      <alignment horizontal="center"/>
    </xf>
    <xf numFmtId="1" fontId="12" fillId="0" borderId="5" xfId="1083" applyNumberFormat="1" applyFont="1" applyFill="1" applyBorder="1" applyAlignment="1">
      <alignment horizontal="right"/>
    </xf>
    <xf numFmtId="1" fontId="12" fillId="0" borderId="10" xfId="1083" applyNumberFormat="1" applyFont="1" applyFill="1" applyBorder="1" applyAlignment="1">
      <alignment horizontal="right"/>
    </xf>
    <xf numFmtId="1" fontId="12" fillId="9" borderId="10" xfId="1083" applyNumberFormat="1" applyFont="1" applyFill="1" applyBorder="1" applyAlignment="1">
      <alignment horizontal="right"/>
    </xf>
    <xf numFmtId="1" fontId="12" fillId="0" borderId="3" xfId="1083" applyNumberFormat="1" applyFont="1" applyFill="1" applyBorder="1" applyAlignment="1">
      <alignment horizontal="right"/>
    </xf>
    <xf numFmtId="0" fontId="12" fillId="0" borderId="9" xfId="1083" applyFont="1" applyFill="1" applyBorder="1"/>
    <xf numFmtId="0" fontId="12" fillId="15" borderId="10" xfId="1083" applyFont="1" applyFill="1" applyBorder="1" applyAlignment="1">
      <alignment horizontal="left"/>
    </xf>
    <xf numFmtId="0" fontId="6" fillId="12" borderId="5" xfId="1083" applyNumberFormat="1" applyFont="1" applyFill="1" applyBorder="1" applyAlignment="1">
      <alignment horizontal="left"/>
    </xf>
    <xf numFmtId="1" fontId="12" fillId="12" borderId="10" xfId="1083" applyNumberFormat="1" applyFont="1" applyFill="1" applyBorder="1" applyAlignment="1">
      <alignment horizontal="right"/>
    </xf>
    <xf numFmtId="43" fontId="6" fillId="12" borderId="10" xfId="13" applyFont="1" applyFill="1" applyBorder="1" applyAlignment="1">
      <alignment horizontal="center"/>
    </xf>
    <xf numFmtId="44" fontId="6" fillId="12" borderId="10" xfId="3" applyFont="1" applyFill="1" applyBorder="1"/>
    <xf numFmtId="0" fontId="6" fillId="12" borderId="3" xfId="1083" applyFont="1" applyFill="1" applyBorder="1"/>
    <xf numFmtId="43" fontId="6" fillId="12" borderId="3" xfId="13" applyFont="1" applyFill="1" applyBorder="1" applyAlignment="1">
      <alignment horizontal="center"/>
    </xf>
    <xf numFmtId="1" fontId="12" fillId="12" borderId="3" xfId="1083" applyNumberFormat="1" applyFont="1" applyFill="1" applyBorder="1" applyAlignment="1">
      <alignment horizontal="right"/>
    </xf>
    <xf numFmtId="44" fontId="6" fillId="12" borderId="3" xfId="3" applyFont="1" applyFill="1" applyBorder="1"/>
    <xf numFmtId="44" fontId="6" fillId="0" borderId="2" xfId="3" applyFont="1" applyFill="1" applyBorder="1" applyAlignment="1">
      <alignment horizontal="left"/>
    </xf>
    <xf numFmtId="0" fontId="6" fillId="0" borderId="11" xfId="106" applyFont="1" applyFill="1" applyBorder="1"/>
    <xf numFmtId="43" fontId="6" fillId="0" borderId="11" xfId="354" applyFont="1" applyFill="1" applyBorder="1" applyAlignment="1">
      <alignment horizontal="center"/>
    </xf>
    <xf numFmtId="168" fontId="0" fillId="0" borderId="0" xfId="0" applyNumberFormat="1" applyFill="1"/>
    <xf numFmtId="0" fontId="10" fillId="0" borderId="0" xfId="10" applyFont="1" applyAlignment="1">
      <alignment horizontal="left" vertical="top"/>
    </xf>
    <xf numFmtId="0" fontId="8" fillId="0" borderId="0" xfId="0" applyFont="1"/>
    <xf numFmtId="0" fontId="15" fillId="0" borderId="0" xfId="0" applyFont="1"/>
    <xf numFmtId="170" fontId="0" fillId="0" borderId="0" xfId="0" applyNumberFormat="1"/>
    <xf numFmtId="43" fontId="0" fillId="0" borderId="0" xfId="9" applyFont="1"/>
    <xf numFmtId="0" fontId="0" fillId="12" borderId="0" xfId="0" applyNumberFormat="1" applyFill="1"/>
    <xf numFmtId="44" fontId="6" fillId="7" borderId="10" xfId="3" applyFont="1" applyFill="1" applyBorder="1"/>
    <xf numFmtId="0" fontId="0" fillId="0" borderId="0" xfId="0" applyNumberFormat="1" applyFill="1"/>
    <xf numFmtId="43" fontId="0" fillId="0" borderId="0" xfId="9" applyFont="1" applyFill="1"/>
    <xf numFmtId="168" fontId="25" fillId="0" borderId="0" xfId="0" applyNumberFormat="1" applyFont="1" applyFill="1"/>
    <xf numFmtId="0" fontId="0" fillId="17" borderId="0" xfId="0" applyFill="1"/>
    <xf numFmtId="170" fontId="0" fillId="17" borderId="0" xfId="0" applyNumberFormat="1" applyFill="1"/>
    <xf numFmtId="43" fontId="0" fillId="17" borderId="0" xfId="9" applyFont="1" applyFill="1"/>
    <xf numFmtId="0" fontId="0" fillId="17" borderId="0" xfId="0" applyNumberFormat="1" applyFill="1"/>
    <xf numFmtId="168" fontId="0" fillId="17" borderId="0" xfId="0" applyNumberFormat="1" applyFill="1"/>
    <xf numFmtId="0" fontId="0" fillId="18" borderId="0" xfId="0" applyFill="1"/>
    <xf numFmtId="170" fontId="0" fillId="18" borderId="0" xfId="0" applyNumberFormat="1" applyFill="1"/>
    <xf numFmtId="43" fontId="0" fillId="18" borderId="0" xfId="9" applyFont="1" applyFill="1"/>
    <xf numFmtId="0" fontId="0" fillId="18" borderId="0" xfId="0" applyNumberFormat="1" applyFill="1"/>
    <xf numFmtId="168" fontId="0" fillId="18" borderId="0" xfId="0" applyNumberFormat="1" applyFill="1"/>
    <xf numFmtId="0" fontId="0" fillId="12" borderId="0" xfId="0" applyFill="1"/>
    <xf numFmtId="170" fontId="0" fillId="12" borderId="0" xfId="0" applyNumberFormat="1" applyFill="1"/>
    <xf numFmtId="43" fontId="0" fillId="12" borderId="0" xfId="9" applyFont="1" applyFill="1"/>
    <xf numFmtId="168" fontId="0" fillId="12" borderId="0" xfId="0" applyNumberFormat="1" applyFill="1"/>
    <xf numFmtId="0" fontId="0" fillId="5" borderId="0" xfId="0" applyFill="1"/>
    <xf numFmtId="170" fontId="0" fillId="5" borderId="0" xfId="0" applyNumberFormat="1" applyFill="1"/>
    <xf numFmtId="43" fontId="0" fillId="5" borderId="0" xfId="9" applyFont="1" applyFill="1"/>
    <xf numFmtId="0" fontId="0" fillId="5" borderId="0" xfId="0" applyNumberFormat="1" applyFill="1"/>
    <xf numFmtId="168" fontId="0" fillId="5" borderId="0" xfId="0" applyNumberFormat="1" applyFill="1"/>
    <xf numFmtId="2" fontId="0" fillId="0" borderId="0" xfId="0" applyNumberFormat="1"/>
    <xf numFmtId="2" fontId="15" fillId="0" borderId="0" xfId="0" applyNumberFormat="1" applyFont="1"/>
    <xf numFmtId="168" fontId="25" fillId="0" borderId="0" xfId="0" applyNumberFormat="1" applyFont="1"/>
    <xf numFmtId="2" fontId="0" fillId="15" borderId="0" xfId="0" applyNumberFormat="1" applyFill="1"/>
    <xf numFmtId="44" fontId="0" fillId="15" borderId="0" xfId="1169" applyFont="1" applyFill="1"/>
    <xf numFmtId="44" fontId="0" fillId="0" borderId="0" xfId="1169" applyFont="1"/>
    <xf numFmtId="0" fontId="6" fillId="19" borderId="12" xfId="1083" applyNumberFormat="1" applyFont="1" applyFill="1" applyBorder="1"/>
    <xf numFmtId="1" fontId="12" fillId="19" borderId="10" xfId="1083" applyNumberFormat="1" applyFont="1" applyFill="1" applyBorder="1" applyAlignment="1">
      <alignment horizontal="right"/>
    </xf>
    <xf numFmtId="43" fontId="6" fillId="19" borderId="10" xfId="13" applyFont="1" applyFill="1" applyBorder="1" applyAlignment="1">
      <alignment horizontal="center"/>
    </xf>
    <xf numFmtId="44" fontId="6" fillId="19" borderId="6" xfId="3" applyFont="1" applyFill="1" applyBorder="1" applyAlignment="1">
      <alignment horizontal="left"/>
    </xf>
    <xf numFmtId="0" fontId="6" fillId="19" borderId="13" xfId="1083" applyNumberFormat="1" applyFont="1" applyFill="1" applyBorder="1"/>
    <xf numFmtId="0" fontId="12" fillId="19" borderId="5" xfId="1083" applyFont="1" applyFill="1" applyBorder="1" applyAlignment="1">
      <alignment horizontal="right"/>
    </xf>
    <xf numFmtId="43" fontId="6" fillId="19" borderId="5" xfId="13" applyFont="1" applyFill="1" applyBorder="1" applyAlignment="1">
      <alignment horizontal="center"/>
    </xf>
    <xf numFmtId="44" fontId="6" fillId="19" borderId="4" xfId="3" applyFont="1" applyFill="1" applyBorder="1" applyAlignment="1">
      <alignment horizontal="left"/>
    </xf>
    <xf numFmtId="2" fontId="0" fillId="4" borderId="0" xfId="0" applyNumberFormat="1" applyFill="1"/>
    <xf numFmtId="44" fontId="0" fillId="4" borderId="0" xfId="1169" applyFont="1" applyFill="1"/>
    <xf numFmtId="43" fontId="12" fillId="5" borderId="10" xfId="0" applyNumberFormat="1" applyFont="1" applyFill="1" applyBorder="1"/>
    <xf numFmtId="1" fontId="12" fillId="7" borderId="10" xfId="1083" applyNumberFormat="1" applyFont="1" applyFill="1" applyBorder="1" applyAlignment="1">
      <alignment horizontal="right"/>
    </xf>
    <xf numFmtId="43" fontId="6" fillId="7" borderId="10" xfId="13" applyFont="1" applyFill="1" applyBorder="1" applyAlignment="1">
      <alignment horizontal="center"/>
    </xf>
    <xf numFmtId="44" fontId="6" fillId="7" borderId="6" xfId="3" applyFont="1" applyFill="1" applyBorder="1" applyAlignment="1">
      <alignment horizontal="left"/>
    </xf>
    <xf numFmtId="0" fontId="6" fillId="0" borderId="1" xfId="106" applyFont="1" applyFill="1" applyBorder="1" applyAlignment="1"/>
    <xf numFmtId="49" fontId="5" fillId="15" borderId="10" xfId="106" applyNumberFormat="1" applyFont="1" applyFill="1" applyBorder="1" applyAlignment="1"/>
    <xf numFmtId="10" fontId="6" fillId="0" borderId="5" xfId="106" applyNumberFormat="1" applyFont="1" applyFill="1" applyBorder="1" applyAlignment="1"/>
    <xf numFmtId="10" fontId="6" fillId="0" borderId="1" xfId="106" applyNumberFormat="1" applyFont="1" applyFill="1" applyBorder="1" applyAlignment="1"/>
    <xf numFmtId="0" fontId="5" fillId="0" borderId="9" xfId="106" applyFont="1" applyBorder="1" applyAlignment="1"/>
    <xf numFmtId="0" fontId="5" fillId="15" borderId="10" xfId="106" applyFont="1" applyFill="1" applyBorder="1" applyAlignment="1"/>
    <xf numFmtId="0" fontId="6" fillId="7" borderId="1" xfId="106" applyFont="1" applyFill="1" applyBorder="1" applyAlignment="1"/>
    <xf numFmtId="0" fontId="6" fillId="0" borderId="5" xfId="106" applyFont="1" applyFill="1" applyBorder="1" applyAlignment="1"/>
    <xf numFmtId="0" fontId="12" fillId="0" borderId="1" xfId="0" applyFont="1" applyFill="1" applyBorder="1" applyAlignment="1"/>
    <xf numFmtId="0" fontId="20" fillId="15" borderId="10" xfId="1083" applyFont="1" applyFill="1" applyBorder="1" applyAlignment="1"/>
    <xf numFmtId="0" fontId="6" fillId="0" borderId="10" xfId="1083" applyFont="1" applyFill="1" applyBorder="1" applyAlignment="1">
      <alignment horizontal="left"/>
    </xf>
    <xf numFmtId="0" fontId="6" fillId="19" borderId="5" xfId="1083" applyFont="1" applyFill="1" applyBorder="1" applyAlignment="1">
      <alignment horizontal="left"/>
    </xf>
    <xf numFmtId="0" fontId="6" fillId="19" borderId="10" xfId="1083" applyFont="1" applyFill="1" applyBorder="1" applyAlignment="1">
      <alignment horizontal="left"/>
    </xf>
    <xf numFmtId="0" fontId="6" fillId="0" borderId="3" xfId="1083" applyFont="1" applyFill="1" applyBorder="1" applyAlignment="1">
      <alignment horizontal="left"/>
    </xf>
    <xf numFmtId="0" fontId="6" fillId="0" borderId="9" xfId="1083" applyFont="1" applyFill="1" applyBorder="1" applyAlignment="1">
      <alignment horizontal="left"/>
    </xf>
    <xf numFmtId="0" fontId="6" fillId="9" borderId="10" xfId="1083" applyFont="1" applyFill="1" applyBorder="1" applyAlignment="1">
      <alignment horizontal="left"/>
    </xf>
    <xf numFmtId="0" fontId="6" fillId="0" borderId="10" xfId="1083" applyFont="1" applyFill="1" applyBorder="1" applyAlignment="1"/>
    <xf numFmtId="0" fontId="6" fillId="0" borderId="3" xfId="1083" applyFont="1" applyFill="1" applyBorder="1" applyAlignment="1"/>
    <xf numFmtId="0" fontId="6" fillId="9" borderId="5" xfId="1083" applyFont="1" applyFill="1" applyBorder="1" applyAlignment="1"/>
    <xf numFmtId="0" fontId="6" fillId="12" borderId="10" xfId="1083" applyFont="1" applyFill="1" applyBorder="1" applyAlignment="1"/>
    <xf numFmtId="0" fontId="6" fillId="0" borderId="9" xfId="1083" applyFont="1" applyFill="1" applyBorder="1" applyAlignment="1"/>
    <xf numFmtId="0" fontId="0" fillId="0" borderId="0" xfId="0" applyAlignment="1"/>
    <xf numFmtId="44" fontId="6" fillId="0" borderId="10" xfId="3" applyFont="1" applyFill="1" applyBorder="1" applyAlignment="1"/>
    <xf numFmtId="44" fontId="5" fillId="0" borderId="10" xfId="3" applyFont="1" applyFill="1" applyBorder="1" applyAlignment="1"/>
    <xf numFmtId="0" fontId="6" fillId="0" borderId="0" xfId="106" applyFont="1" applyFill="1" applyAlignment="1"/>
    <xf numFmtId="17" fontId="6" fillId="0" borderId="10" xfId="3" applyNumberFormat="1" applyFont="1" applyFill="1" applyBorder="1" applyAlignment="1"/>
    <xf numFmtId="49" fontId="6" fillId="0" borderId="10" xfId="3" applyNumberFormat="1" applyFont="1" applyFill="1" applyBorder="1" applyAlignment="1"/>
    <xf numFmtId="0" fontId="21" fillId="15" borderId="10" xfId="1083" applyFont="1" applyFill="1" applyBorder="1" applyAlignment="1"/>
    <xf numFmtId="49" fontId="12" fillId="0" borderId="10" xfId="320" applyNumberFormat="1" applyFont="1" applyFill="1" applyBorder="1" applyAlignment="1"/>
    <xf numFmtId="0" fontId="6" fillId="19" borderId="5" xfId="1083" applyFont="1" applyFill="1" applyBorder="1" applyAlignment="1"/>
    <xf numFmtId="0" fontId="6" fillId="7" borderId="10" xfId="1083" applyFont="1" applyFill="1" applyBorder="1" applyAlignment="1"/>
    <xf numFmtId="43" fontId="6" fillId="19" borderId="10" xfId="1083" applyNumberFormat="1" applyFont="1" applyFill="1" applyBorder="1" applyAlignment="1"/>
    <xf numFmtId="43" fontId="6" fillId="0" borderId="10" xfId="1083" applyNumberFormat="1" applyFont="1" applyFill="1" applyBorder="1" applyAlignment="1"/>
    <xf numFmtId="43" fontId="6" fillId="15" borderId="10" xfId="1083" applyNumberFormat="1" applyFont="1" applyFill="1" applyBorder="1" applyAlignment="1"/>
    <xf numFmtId="49" fontId="6" fillId="0" borderId="10" xfId="1083" applyNumberFormat="1" applyFont="1" applyFill="1" applyBorder="1" applyAlignment="1"/>
    <xf numFmtId="17" fontId="6" fillId="0" borderId="10" xfId="1083" applyNumberFormat="1" applyFont="1" applyFill="1" applyBorder="1" applyAlignment="1"/>
    <xf numFmtId="0" fontId="21" fillId="15" borderId="10" xfId="1083" applyFont="1" applyFill="1" applyBorder="1" applyAlignment="1">
      <alignment horizontal="left"/>
    </xf>
    <xf numFmtId="17" fontId="6" fillId="0" borderId="10" xfId="1083" applyNumberFormat="1" applyFont="1" applyFill="1" applyBorder="1" applyAlignment="1">
      <alignment horizontal="left"/>
    </xf>
    <xf numFmtId="49" fontId="6" fillId="0" borderId="10" xfId="1083" applyNumberFormat="1" applyFont="1" applyFill="1" applyBorder="1" applyAlignment="1">
      <alignment horizontal="left"/>
    </xf>
    <xf numFmtId="49" fontId="6" fillId="9" borderId="10" xfId="1083" applyNumberFormat="1" applyFont="1" applyFill="1" applyBorder="1" applyAlignment="1">
      <alignment horizontal="left"/>
    </xf>
    <xf numFmtId="43" fontId="6" fillId="0" borderId="10" xfId="1083" applyNumberFormat="1" applyFont="1" applyFill="1" applyBorder="1" applyAlignment="1">
      <alignment horizontal="left"/>
    </xf>
    <xf numFmtId="49" fontId="6" fillId="12" borderId="10" xfId="1083" applyNumberFormat="1" applyFont="1" applyFill="1" applyBorder="1" applyAlignment="1">
      <alignment horizontal="left"/>
    </xf>
    <xf numFmtId="49" fontId="6" fillId="12" borderId="5" xfId="1083" applyNumberFormat="1" applyFont="1" applyFill="1" applyBorder="1" applyAlignment="1">
      <alignment horizontal="left"/>
    </xf>
    <xf numFmtId="17" fontId="6" fillId="0" borderId="5" xfId="1083" applyNumberFormat="1" applyFont="1" applyFill="1" applyBorder="1" applyAlignment="1">
      <alignment horizontal="left"/>
    </xf>
    <xf numFmtId="49" fontId="12" fillId="0" borderId="0" xfId="320" applyNumberFormat="1" applyFont="1" applyFill="1" applyBorder="1" applyAlignment="1"/>
    <xf numFmtId="0" fontId="6" fillId="0" borderId="0" xfId="1083" applyFont="1" applyFill="1" applyBorder="1" applyAlignment="1"/>
    <xf numFmtId="43" fontId="6" fillId="0" borderId="0" xfId="1083" applyNumberFormat="1" applyFont="1" applyFill="1" applyBorder="1" applyAlignment="1"/>
    <xf numFmtId="4" fontId="12" fillId="0" borderId="0" xfId="320" applyNumberFormat="1" applyFont="1" applyFill="1" applyBorder="1" applyAlignment="1"/>
    <xf numFmtId="49" fontId="6" fillId="0" borderId="0" xfId="1083" applyNumberFormat="1" applyFont="1" applyFill="1" applyBorder="1" applyAlignment="1"/>
    <xf numFmtId="17" fontId="6" fillId="0" borderId="0" xfId="1083" applyNumberFormat="1" applyFont="1" applyFill="1" applyBorder="1" applyAlignment="1"/>
    <xf numFmtId="44" fontId="6" fillId="15" borderId="10" xfId="3" applyFont="1" applyFill="1" applyBorder="1" applyAlignmen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8" fillId="0" borderId="0" xfId="1303" applyFon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24" fillId="0" borderId="0" xfId="1303"/>
    <xf numFmtId="169" fontId="24" fillId="0" borderId="0" xfId="1303" applyNumberFormat="1"/>
    <xf numFmtId="1" fontId="24" fillId="0" borderId="0" xfId="1303" applyNumberFormat="1"/>
    <xf numFmtId="4" fontId="24" fillId="0" borderId="0" xfId="1303" applyNumberFormat="1"/>
    <xf numFmtId="167" fontId="24" fillId="0" borderId="0" xfId="1303" applyNumberFormat="1"/>
    <xf numFmtId="0" fontId="0" fillId="15" borderId="0" xfId="0" applyFill="1" applyAlignment="1"/>
    <xf numFmtId="0" fontId="0" fillId="15" borderId="0" xfId="0" applyFill="1"/>
    <xf numFmtId="44" fontId="5" fillId="15" borderId="10" xfId="3" applyFont="1" applyFill="1" applyBorder="1" applyAlignment="1"/>
    <xf numFmtId="0" fontId="21" fillId="15" borderId="0" xfId="1083" applyFont="1" applyFill="1" applyBorder="1" applyAlignment="1"/>
    <xf numFmtId="0" fontId="6" fillId="15" borderId="0" xfId="106" applyFont="1" applyFill="1" applyBorder="1"/>
    <xf numFmtId="43" fontId="6" fillId="15" borderId="0" xfId="1083" applyNumberFormat="1" applyFont="1" applyFill="1" applyBorder="1" applyAlignment="1"/>
    <xf numFmtId="0" fontId="21" fillId="15" borderId="0" xfId="1083" applyFont="1" applyFill="1" applyBorder="1" applyAlignment="1">
      <alignment horizontal="left"/>
    </xf>
    <xf numFmtId="4" fontId="13" fillId="15" borderId="0" xfId="205" applyNumberFormat="1" applyFont="1" applyFill="1" applyBorder="1"/>
    <xf numFmtId="0" fontId="6" fillId="0" borderId="9" xfId="106" applyFont="1" applyBorder="1" applyAlignment="1"/>
    <xf numFmtId="0" fontId="6" fillId="7" borderId="5" xfId="1083" applyNumberFormat="1" applyFont="1" applyFill="1" applyBorder="1" applyAlignment="1">
      <alignment horizontal="left"/>
    </xf>
    <xf numFmtId="49" fontId="6" fillId="7" borderId="10" xfId="1083" applyNumberFormat="1" applyFont="1" applyFill="1" applyBorder="1" applyAlignment="1">
      <alignment horizontal="left"/>
    </xf>
    <xf numFmtId="2" fontId="6" fillId="0" borderId="10" xfId="1083" applyNumberFormat="1" applyFont="1" applyFill="1" applyBorder="1" applyAlignment="1"/>
    <xf numFmtId="0" fontId="6" fillId="7" borderId="5" xfId="106" applyNumberFormat="1" applyFont="1" applyFill="1" applyBorder="1"/>
    <xf numFmtId="0" fontId="6" fillId="7" borderId="12" xfId="1083" applyNumberFormat="1" applyFont="1" applyFill="1" applyBorder="1"/>
    <xf numFmtId="0" fontId="6" fillId="7" borderId="10" xfId="1083" applyFont="1" applyFill="1" applyBorder="1" applyAlignment="1">
      <alignment horizontal="left"/>
    </xf>
    <xf numFmtId="4" fontId="12" fillId="7" borderId="10" xfId="320" applyNumberFormat="1" applyFont="1" applyFill="1" applyBorder="1" applyAlignment="1"/>
    <xf numFmtId="0" fontId="6" fillId="7" borderId="10" xfId="1083" applyNumberFormat="1" applyFont="1" applyFill="1" applyBorder="1" applyAlignment="1">
      <alignment horizontal="left"/>
    </xf>
    <xf numFmtId="0" fontId="7" fillId="10" borderId="10" xfId="106" applyFont="1" applyFill="1" applyBorder="1" applyAlignment="1">
      <alignment horizontal="center" vertical="center"/>
    </xf>
    <xf numFmtId="0" fontId="5" fillId="10" borderId="10" xfId="106" applyFont="1" applyFill="1" applyBorder="1" applyAlignment="1">
      <alignment horizontal="center" vertical="center" wrapText="1"/>
    </xf>
    <xf numFmtId="0" fontId="5" fillId="20" borderId="1" xfId="106" applyFont="1" applyFill="1" applyBorder="1" applyAlignment="1">
      <alignment horizontal="center" vertical="center" wrapText="1"/>
    </xf>
    <xf numFmtId="0" fontId="5" fillId="11" borderId="1" xfId="106" applyFont="1" applyFill="1" applyBorder="1" applyAlignment="1">
      <alignment horizontal="center" vertical="center" wrapText="1"/>
    </xf>
    <xf numFmtId="0" fontId="5" fillId="11" borderId="1" xfId="106" applyFont="1" applyFill="1" applyBorder="1" applyAlignment="1">
      <alignment horizontal="center" vertical="center"/>
    </xf>
    <xf numFmtId="0" fontId="5" fillId="20" borderId="10" xfId="106" applyFont="1" applyFill="1" applyBorder="1" applyAlignment="1">
      <alignment horizontal="center" vertical="center"/>
    </xf>
    <xf numFmtId="2" fontId="6" fillId="0" borderId="1" xfId="3" applyNumberFormat="1" applyFont="1" applyFill="1" applyBorder="1" applyAlignment="1">
      <alignment horizontal="left"/>
    </xf>
    <xf numFmtId="1" fontId="0" fillId="0" borderId="0" xfId="0" applyNumberFormat="1" applyAlignment="1"/>
    <xf numFmtId="1" fontId="0" fillId="15" borderId="0" xfId="0" applyNumberFormat="1" applyFill="1" applyAlignment="1"/>
    <xf numFmtId="1" fontId="0" fillId="15" borderId="0" xfId="0" applyNumberFormat="1" applyFill="1"/>
    <xf numFmtId="1" fontId="21" fillId="15" borderId="0" xfId="1083" applyNumberFormat="1" applyFont="1" applyFill="1" applyBorder="1" applyAlignment="1"/>
    <xf numFmtId="1" fontId="6" fillId="15" borderId="0" xfId="106" applyNumberFormat="1" applyFont="1" applyFill="1" applyBorder="1"/>
    <xf numFmtId="1" fontId="6" fillId="0" borderId="0" xfId="1083" applyNumberFormat="1" applyFont="1" applyFill="1" applyBorder="1" applyAlignment="1"/>
    <xf numFmtId="1" fontId="6" fillId="15" borderId="0" xfId="1083" applyNumberFormat="1" applyFont="1" applyFill="1" applyBorder="1" applyAlignment="1"/>
    <xf numFmtId="1" fontId="12" fillId="15" borderId="0" xfId="205" applyNumberFormat="1" applyFont="1" applyFill="1" applyBorder="1"/>
    <xf numFmtId="1" fontId="21" fillId="15" borderId="0" xfId="1083" applyNumberFormat="1" applyFont="1" applyFill="1" applyBorder="1" applyAlignment="1">
      <alignment horizontal="left"/>
    </xf>
    <xf numFmtId="1" fontId="13" fillId="15" borderId="0" xfId="205" applyNumberFormat="1" applyFont="1" applyFill="1" applyBorder="1"/>
    <xf numFmtId="1" fontId="6" fillId="0" borderId="0" xfId="1083" applyNumberFormat="1" applyFont="1" applyFill="1" applyBorder="1" applyAlignment="1">
      <alignment horizontal="right"/>
    </xf>
    <xf numFmtId="1" fontId="6" fillId="23" borderId="10" xfId="1083" applyNumberFormat="1" applyFont="1" applyFill="1" applyBorder="1" applyAlignment="1">
      <alignment horizontal="right"/>
    </xf>
    <xf numFmtId="17" fontId="6" fillId="7" borderId="10" xfId="1083" applyNumberFormat="1" applyFont="1" applyFill="1" applyBorder="1" applyAlignment="1">
      <alignment horizontal="left"/>
    </xf>
    <xf numFmtId="44" fontId="6" fillId="0" borderId="4" xfId="3" applyFont="1" applyFill="1" applyBorder="1"/>
    <xf numFmtId="0" fontId="28" fillId="0" borderId="1" xfId="106" applyFont="1" applyFill="1" applyBorder="1"/>
    <xf numFmtId="1" fontId="12" fillId="0" borderId="3" xfId="9" applyNumberFormat="1" applyFont="1" applyFill="1" applyBorder="1" applyAlignment="1">
      <alignment horizontal="right"/>
    </xf>
    <xf numFmtId="8" fontId="6" fillId="0" borderId="10" xfId="3" applyNumberFormat="1" applyFont="1" applyFill="1" applyBorder="1"/>
    <xf numFmtId="0" fontId="6" fillId="24" borderId="1" xfId="106" applyNumberFormat="1" applyFont="1" applyFill="1" applyBorder="1" applyAlignment="1">
      <alignment horizontal="left"/>
    </xf>
    <xf numFmtId="10" fontId="6" fillId="24" borderId="1" xfId="106" applyNumberFormat="1" applyFont="1" applyFill="1" applyBorder="1" applyAlignment="1"/>
    <xf numFmtId="0" fontId="6" fillId="24" borderId="1" xfId="106" applyFont="1" applyFill="1" applyBorder="1"/>
    <xf numFmtId="43" fontId="6" fillId="24" borderId="1" xfId="354" applyFont="1" applyFill="1" applyBorder="1" applyAlignment="1">
      <alignment horizontal="center"/>
    </xf>
    <xf numFmtId="44" fontId="6" fillId="24" borderId="6" xfId="3" applyFont="1" applyFill="1" applyBorder="1" applyAlignment="1">
      <alignment horizontal="left"/>
    </xf>
    <xf numFmtId="44" fontId="6" fillId="24" borderId="10" xfId="3" applyFont="1" applyFill="1" applyBorder="1" applyAlignment="1">
      <alignment horizontal="left"/>
    </xf>
    <xf numFmtId="0" fontId="0" fillId="24" borderId="0" xfId="0" applyFill="1" applyAlignment="1"/>
    <xf numFmtId="1" fontId="0" fillId="24" borderId="0" xfId="0" applyNumberFormat="1" applyFill="1" applyAlignment="1"/>
    <xf numFmtId="1" fontId="0" fillId="24" borderId="0" xfId="0" applyNumberFormat="1" applyFill="1"/>
    <xf numFmtId="0" fontId="0" fillId="24" borderId="0" xfId="0" applyFill="1"/>
    <xf numFmtId="1" fontId="0" fillId="24" borderId="10" xfId="0" applyNumberFormat="1" applyFill="1" applyBorder="1"/>
    <xf numFmtId="0" fontId="6" fillId="24" borderId="5" xfId="106" applyFont="1" applyFill="1" applyBorder="1" applyAlignment="1"/>
    <xf numFmtId="0" fontId="12" fillId="24" borderId="5" xfId="106" applyFont="1" applyFill="1" applyBorder="1"/>
    <xf numFmtId="2" fontId="6" fillId="24" borderId="1" xfId="3" applyNumberFormat="1" applyFont="1" applyFill="1" applyBorder="1" applyAlignment="1">
      <alignment horizontal="left"/>
    </xf>
    <xf numFmtId="44" fontId="6" fillId="24" borderId="1" xfId="3" applyFont="1" applyFill="1" applyBorder="1" applyAlignment="1">
      <alignment horizontal="left"/>
    </xf>
    <xf numFmtId="0" fontId="6" fillId="24" borderId="10" xfId="106" applyFont="1" applyFill="1" applyBorder="1" applyAlignment="1">
      <alignment wrapText="1"/>
    </xf>
    <xf numFmtId="0" fontId="6" fillId="24" borderId="10" xfId="106" applyFont="1" applyFill="1" applyBorder="1" applyAlignment="1"/>
    <xf numFmtId="44" fontId="5" fillId="24" borderId="10" xfId="3" applyFont="1" applyFill="1" applyBorder="1" applyAlignment="1"/>
    <xf numFmtId="0" fontId="6" fillId="24" borderId="5" xfId="106" applyNumberFormat="1" applyFont="1" applyFill="1" applyBorder="1"/>
    <xf numFmtId="0" fontId="6" fillId="24" borderId="1" xfId="106" applyFont="1" applyFill="1" applyBorder="1" applyAlignment="1"/>
    <xf numFmtId="0" fontId="19" fillId="24" borderId="1" xfId="106" applyFont="1" applyFill="1" applyBorder="1"/>
    <xf numFmtId="43" fontId="12" fillId="24" borderId="1" xfId="354" applyFont="1" applyFill="1" applyBorder="1" applyAlignment="1">
      <alignment horizontal="center"/>
    </xf>
    <xf numFmtId="44" fontId="6" fillId="24" borderId="1" xfId="3" applyFont="1" applyFill="1" applyBorder="1"/>
    <xf numFmtId="49" fontId="6" fillId="24" borderId="10" xfId="3" applyNumberFormat="1" applyFont="1" applyFill="1" applyBorder="1" applyAlignment="1"/>
    <xf numFmtId="0" fontId="19" fillId="24" borderId="10" xfId="106" applyFont="1" applyFill="1" applyBorder="1"/>
    <xf numFmtId="43" fontId="12" fillId="24" borderId="10" xfId="354" applyFont="1" applyFill="1" applyBorder="1" applyAlignment="1">
      <alignment horizontal="center"/>
    </xf>
    <xf numFmtId="44" fontId="6" fillId="24" borderId="10" xfId="3" applyFont="1" applyFill="1" applyBorder="1"/>
    <xf numFmtId="0" fontId="6" fillId="24" borderId="10" xfId="106" applyNumberFormat="1" applyFont="1" applyFill="1" applyBorder="1"/>
    <xf numFmtId="4" fontId="12" fillId="24" borderId="10" xfId="368" applyNumberFormat="1" applyFont="1" applyFill="1" applyBorder="1"/>
    <xf numFmtId="44" fontId="6" fillId="24" borderId="10" xfId="3" applyFont="1" applyFill="1" applyBorder="1" applyAlignment="1"/>
    <xf numFmtId="0" fontId="6" fillId="24" borderId="12" xfId="1083" applyNumberFormat="1" applyFont="1" applyFill="1" applyBorder="1"/>
    <xf numFmtId="0" fontId="6" fillId="24" borderId="10" xfId="1083" applyFont="1" applyFill="1" applyBorder="1" applyAlignment="1">
      <alignment horizontal="left"/>
    </xf>
    <xf numFmtId="1" fontId="12" fillId="24" borderId="10" xfId="1083" applyNumberFormat="1" applyFont="1" applyFill="1" applyBorder="1" applyAlignment="1">
      <alignment horizontal="right"/>
    </xf>
    <xf numFmtId="43" fontId="6" fillId="24" borderId="10" xfId="13" applyFont="1" applyFill="1" applyBorder="1" applyAlignment="1">
      <alignment horizontal="center"/>
    </xf>
    <xf numFmtId="49" fontId="12" fillId="24" borderId="10" xfId="320" applyNumberFormat="1" applyFont="1" applyFill="1" applyBorder="1" applyAlignment="1"/>
    <xf numFmtId="49" fontId="12" fillId="24" borderId="0" xfId="320" applyNumberFormat="1" applyFont="1" applyFill="1" applyBorder="1" applyAlignment="1"/>
    <xf numFmtId="0" fontId="6" fillId="24" borderId="0" xfId="106" applyFont="1" applyFill="1" applyBorder="1"/>
    <xf numFmtId="0" fontId="6" fillId="24" borderId="13" xfId="1083" applyNumberFormat="1" applyFont="1" applyFill="1" applyBorder="1"/>
    <xf numFmtId="1" fontId="12" fillId="24" borderId="5" xfId="1083" applyNumberFormat="1" applyFont="1" applyFill="1" applyBorder="1" applyAlignment="1">
      <alignment horizontal="right"/>
    </xf>
    <xf numFmtId="43" fontId="6" fillId="24" borderId="5" xfId="13" applyFont="1" applyFill="1" applyBorder="1"/>
    <xf numFmtId="0" fontId="6" fillId="24" borderId="10" xfId="1083" applyFont="1" applyFill="1" applyBorder="1" applyAlignment="1"/>
    <xf numFmtId="0" fontId="6" fillId="24" borderId="0" xfId="1083" applyFont="1" applyFill="1" applyBorder="1" applyAlignment="1"/>
    <xf numFmtId="43" fontId="6" fillId="24" borderId="10" xfId="1083" applyNumberFormat="1" applyFont="1" applyFill="1" applyBorder="1" applyAlignment="1"/>
    <xf numFmtId="43" fontId="6" fillId="24" borderId="0" xfId="1083" applyNumberFormat="1" applyFont="1" applyFill="1" applyBorder="1" applyAlignment="1"/>
    <xf numFmtId="0" fontId="6" fillId="24" borderId="3" xfId="1083" applyFont="1" applyFill="1" applyBorder="1" applyAlignment="1">
      <alignment horizontal="left"/>
    </xf>
    <xf numFmtId="1" fontId="12" fillId="24" borderId="3" xfId="9" applyNumberFormat="1" applyFont="1" applyFill="1" applyBorder="1" applyAlignment="1">
      <alignment horizontal="right"/>
    </xf>
    <xf numFmtId="1" fontId="12" fillId="24" borderId="3" xfId="1083" applyNumberFormat="1" applyFont="1" applyFill="1" applyBorder="1" applyAlignment="1">
      <alignment horizontal="right"/>
    </xf>
    <xf numFmtId="0" fontId="6" fillId="24" borderId="16" xfId="1083" applyNumberFormat="1" applyFont="1" applyFill="1" applyBorder="1"/>
    <xf numFmtId="8" fontId="6" fillId="24" borderId="3" xfId="13" applyNumberFormat="1" applyFont="1" applyFill="1" applyBorder="1" applyAlignment="1">
      <alignment horizontal="center"/>
    </xf>
    <xf numFmtId="44" fontId="6" fillId="24" borderId="2" xfId="3" applyFont="1" applyFill="1" applyBorder="1" applyAlignment="1">
      <alignment horizontal="left"/>
    </xf>
    <xf numFmtId="43" fontId="6" fillId="24" borderId="5" xfId="13" applyFont="1" applyFill="1" applyBorder="1" applyAlignment="1">
      <alignment horizontal="center"/>
    </xf>
    <xf numFmtId="44" fontId="12" fillId="24" borderId="6" xfId="3" applyFont="1" applyFill="1" applyBorder="1" applyAlignment="1">
      <alignment horizontal="left"/>
    </xf>
    <xf numFmtId="0" fontId="6" fillId="24" borderId="10" xfId="1083" applyNumberFormat="1" applyFont="1" applyFill="1" applyBorder="1"/>
    <xf numFmtId="0" fontId="6" fillId="24" borderId="3" xfId="1083" applyFont="1" applyFill="1" applyBorder="1" applyAlignment="1"/>
    <xf numFmtId="2" fontId="6" fillId="24" borderId="10" xfId="1083" applyNumberFormat="1" applyFont="1" applyFill="1" applyBorder="1" applyAlignment="1"/>
    <xf numFmtId="0" fontId="15" fillId="22" borderId="0" xfId="0" applyFont="1" applyFill="1"/>
    <xf numFmtId="0" fontId="15" fillId="21" borderId="0" xfId="0" applyFont="1" applyFill="1"/>
    <xf numFmtId="0" fontId="6" fillId="24" borderId="10" xfId="1083" applyNumberFormat="1" applyFont="1" applyFill="1" applyBorder="1" applyAlignment="1">
      <alignment horizontal="left"/>
    </xf>
    <xf numFmtId="8" fontId="6" fillId="24" borderId="10" xfId="3" applyNumberFormat="1" applyFont="1" applyFill="1" applyBorder="1"/>
    <xf numFmtId="17" fontId="6" fillId="24" borderId="10" xfId="1083" applyNumberFormat="1" applyFont="1" applyFill="1" applyBorder="1" applyAlignment="1">
      <alignment horizontal="left"/>
    </xf>
    <xf numFmtId="0" fontId="6" fillId="24" borderId="3" xfId="1083" applyNumberFormat="1" applyFont="1" applyFill="1" applyBorder="1" applyAlignment="1">
      <alignment horizontal="left"/>
    </xf>
    <xf numFmtId="43" fontId="6" fillId="24" borderId="3" xfId="13" applyFont="1" applyFill="1" applyBorder="1" applyAlignment="1">
      <alignment horizontal="center"/>
    </xf>
    <xf numFmtId="0" fontId="6" fillId="24" borderId="5" xfId="1083" applyNumberFormat="1" applyFont="1" applyFill="1" applyBorder="1" applyAlignment="1">
      <alignment horizontal="left"/>
    </xf>
    <xf numFmtId="49" fontId="6" fillId="24" borderId="10" xfId="1083" applyNumberFormat="1" applyFont="1" applyFill="1" applyBorder="1" applyAlignment="1">
      <alignment horizontal="left"/>
    </xf>
    <xf numFmtId="164" fontId="6" fillId="24" borderId="10" xfId="3" applyNumberFormat="1" applyFont="1" applyFill="1" applyBorder="1"/>
    <xf numFmtId="0" fontId="6" fillId="7" borderId="5" xfId="1083" applyFont="1" applyFill="1" applyBorder="1" applyAlignment="1"/>
    <xf numFmtId="0" fontId="12" fillId="0" borderId="10" xfId="0" applyFont="1" applyFill="1" applyBorder="1" applyAlignment="1"/>
    <xf numFmtId="0" fontId="28" fillId="0" borderId="10" xfId="106" applyFont="1" applyFill="1" applyBorder="1"/>
    <xf numFmtId="0" fontId="12" fillId="0" borderId="0" xfId="0" applyFont="1" applyFill="1" applyBorder="1"/>
    <xf numFmtId="49" fontId="5" fillId="0" borderId="1" xfId="0" applyNumberFormat="1" applyFont="1" applyFill="1" applyBorder="1"/>
    <xf numFmtId="0" fontId="12" fillId="0" borderId="0" xfId="0" applyFont="1" applyFill="1"/>
    <xf numFmtId="49" fontId="5" fillId="0" borderId="0" xfId="0" applyNumberFormat="1" applyFont="1" applyFill="1" applyBorder="1"/>
    <xf numFmtId="0" fontId="4" fillId="0" borderId="0" xfId="0" applyFont="1" applyFill="1"/>
    <xf numFmtId="14" fontId="12" fillId="5" borderId="1" xfId="0" applyNumberFormat="1" applyFont="1" applyFill="1" applyBorder="1"/>
    <xf numFmtId="14" fontId="12" fillId="5" borderId="10" xfId="0" applyNumberFormat="1" applyFont="1" applyFill="1" applyBorder="1"/>
    <xf numFmtId="14" fontId="12" fillId="6" borderId="1" xfId="0" applyNumberFormat="1" applyFont="1" applyFill="1" applyBorder="1"/>
    <xf numFmtId="14" fontId="12" fillId="6" borderId="10" xfId="0" applyNumberFormat="1" applyFont="1" applyFill="1" applyBorder="1"/>
    <xf numFmtId="0" fontId="5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49" fontId="5" fillId="3" borderId="6" xfId="0" applyNumberFormat="1" applyFont="1" applyFill="1" applyBorder="1" applyAlignment="1">
      <alignment horizontal="left"/>
    </xf>
    <xf numFmtId="49" fontId="5" fillId="3" borderId="8" xfId="0" applyNumberFormat="1" applyFont="1" applyFill="1" applyBorder="1" applyAlignment="1">
      <alignment horizontal="left"/>
    </xf>
    <xf numFmtId="0" fontId="14" fillId="0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4" fontId="5" fillId="3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10" applyFont="1" applyAlignment="1">
      <alignment horizontal="left" vertical="top"/>
    </xf>
  </cellXfs>
  <cellStyles count="1310">
    <cellStyle name="Comma" xfId="9" builtinId="3"/>
    <cellStyle name="Comma 10" xfId="350" xr:uid="{00000000-0005-0000-0000-000001000000}"/>
    <cellStyle name="Comma 10 2" xfId="351" xr:uid="{00000000-0005-0000-0000-000002000000}"/>
    <cellStyle name="Comma 10 2 2" xfId="1085" xr:uid="{00000000-0005-0000-0000-000003000000}"/>
    <cellStyle name="Comma 10 2 2 2" xfId="1151" xr:uid="{00000000-0005-0000-0000-000004000000}"/>
    <cellStyle name="Comma 10 2 2 2 2" xfId="1286" xr:uid="{3BAE1C46-6201-432F-BCD8-D492539F35AF}"/>
    <cellStyle name="Comma 10 2 2 3" xfId="1220" xr:uid="{273271A3-8F34-4B7B-8004-C3DBF376EAA3}"/>
    <cellStyle name="Comma 10 2 3" xfId="1118" xr:uid="{00000000-0005-0000-0000-000005000000}"/>
    <cellStyle name="Comma 10 2 3 2" xfId="1253" xr:uid="{44625149-6E7C-442D-984A-1CDC2D7C8B11}"/>
    <cellStyle name="Comma 10 2 4" xfId="1187" xr:uid="{30FEC1AC-9B79-48C8-90B4-77A989AD61E9}"/>
    <cellStyle name="Comma 10 3" xfId="1084" xr:uid="{00000000-0005-0000-0000-000006000000}"/>
    <cellStyle name="Comma 10 3 2" xfId="1150" xr:uid="{00000000-0005-0000-0000-000007000000}"/>
    <cellStyle name="Comma 10 3 2 2" xfId="1285" xr:uid="{CBC1FE41-A234-432A-A423-7F5C08A7403A}"/>
    <cellStyle name="Comma 10 3 3" xfId="1219" xr:uid="{0B4069EB-0E6C-4CD5-98AA-689B6A6DA99F}"/>
    <cellStyle name="Comma 10 4" xfId="1117" xr:uid="{00000000-0005-0000-0000-000008000000}"/>
    <cellStyle name="Comma 10 4 2" xfId="1252" xr:uid="{B83D6754-E83A-4546-A61B-624200156912}"/>
    <cellStyle name="Comma 10 5" xfId="1186" xr:uid="{B158C1D9-2E2E-476A-B613-DB92BBC11584}"/>
    <cellStyle name="Comma 11" xfId="352" xr:uid="{00000000-0005-0000-0000-000009000000}"/>
    <cellStyle name="Comma 11 2" xfId="353" xr:uid="{00000000-0005-0000-0000-00000A000000}"/>
    <cellStyle name="Comma 11 2 2" xfId="1087" xr:uid="{00000000-0005-0000-0000-00000B000000}"/>
    <cellStyle name="Comma 11 2 2 2" xfId="1153" xr:uid="{00000000-0005-0000-0000-00000C000000}"/>
    <cellStyle name="Comma 11 2 2 2 2" xfId="1288" xr:uid="{B89A0C45-349C-4A3F-8ABA-2ABA97AB66A5}"/>
    <cellStyle name="Comma 11 2 2 3" xfId="1222" xr:uid="{647602FA-98B6-48C5-BBC0-7C439FDBA9F5}"/>
    <cellStyle name="Comma 11 2 3" xfId="1120" xr:uid="{00000000-0005-0000-0000-00000D000000}"/>
    <cellStyle name="Comma 11 2 3 2" xfId="1255" xr:uid="{8D19B5E9-00F3-4E03-8C44-301D1DFD5BED}"/>
    <cellStyle name="Comma 11 2 4" xfId="1189" xr:uid="{0E1EC938-E0F6-4077-B20F-D028CFF7C1EB}"/>
    <cellStyle name="Comma 11 3" xfId="1086" xr:uid="{00000000-0005-0000-0000-00000E000000}"/>
    <cellStyle name="Comma 11 3 2" xfId="1152" xr:uid="{00000000-0005-0000-0000-00000F000000}"/>
    <cellStyle name="Comma 11 3 2 2" xfId="1287" xr:uid="{6C701523-A860-45AC-82CB-A11066D3136E}"/>
    <cellStyle name="Comma 11 3 3" xfId="1221" xr:uid="{32092A5C-8837-46B5-BA29-339DAE783DBD}"/>
    <cellStyle name="Comma 11 4" xfId="1119" xr:uid="{00000000-0005-0000-0000-000010000000}"/>
    <cellStyle name="Comma 11 4 2" xfId="1254" xr:uid="{9F587CD7-D930-45C8-806D-BE270D39A040}"/>
    <cellStyle name="Comma 11 5" xfId="1188" xr:uid="{FE292577-3271-49C7-BB8F-18605C6D7766}"/>
    <cellStyle name="Comma 12" xfId="354" xr:uid="{00000000-0005-0000-0000-000011000000}"/>
    <cellStyle name="Comma 12 2" xfId="1088" xr:uid="{00000000-0005-0000-0000-000012000000}"/>
    <cellStyle name="Comma 12 2 2" xfId="1154" xr:uid="{00000000-0005-0000-0000-000013000000}"/>
    <cellStyle name="Comma 12 2 2 2" xfId="1289" xr:uid="{A5AFEDC2-DDCF-4154-BA9B-5255D2CEFEC7}"/>
    <cellStyle name="Comma 12 2 3" xfId="1223" xr:uid="{B3CEB3BC-5F47-4AF7-BAB2-515CE0E29175}"/>
    <cellStyle name="Comma 12 3" xfId="1121" xr:uid="{00000000-0005-0000-0000-000014000000}"/>
    <cellStyle name="Comma 12 3 2" xfId="1256" xr:uid="{20BA18BB-0C3A-4D7C-88D8-2DBDBC9EEF83}"/>
    <cellStyle name="Comma 12 4" xfId="1190" xr:uid="{6C92ABAE-CC44-41CF-9CAA-7555CA23F80F}"/>
    <cellStyle name="Comma 13" xfId="355" xr:uid="{00000000-0005-0000-0000-000015000000}"/>
    <cellStyle name="Comma 13 2" xfId="1089" xr:uid="{00000000-0005-0000-0000-000016000000}"/>
    <cellStyle name="Comma 13 2 2" xfId="1155" xr:uid="{00000000-0005-0000-0000-000017000000}"/>
    <cellStyle name="Comma 13 2 2 2" xfId="1290" xr:uid="{3D2AD666-4FA3-4FDC-AB03-147A193FE598}"/>
    <cellStyle name="Comma 13 2 3" xfId="1224" xr:uid="{E769A461-E7BC-4940-AB3E-AF9DA9D9A50E}"/>
    <cellStyle name="Comma 14" xfId="1066" xr:uid="{00000000-0005-0000-0000-000018000000}"/>
    <cellStyle name="Comma 14 2" xfId="1134" xr:uid="{00000000-0005-0000-0000-000019000000}"/>
    <cellStyle name="Comma 14 2 2" xfId="1269" xr:uid="{C3749833-D150-458F-8B04-53C8ECED30CF}"/>
    <cellStyle name="Comma 14 3" xfId="1203" xr:uid="{F16419F8-C993-49F1-BB73-57D2D3FA1A15}"/>
    <cellStyle name="Comma 15" xfId="1170" xr:uid="{C4187558-A739-434B-9408-850891E691D6}"/>
    <cellStyle name="Comma 16" xfId="1306" xr:uid="{D98D9544-5BC2-4B77-B563-B1754EACF554}"/>
    <cellStyle name="Comma 2" xfId="13" xr:uid="{00000000-0005-0000-0000-00001A000000}"/>
    <cellStyle name="Comma 2 2" xfId="14" xr:uid="{00000000-0005-0000-0000-00001B000000}"/>
    <cellStyle name="Comma 2 2 2" xfId="15" xr:uid="{00000000-0005-0000-0000-00001C000000}"/>
    <cellStyle name="Comma 2 2 2 2" xfId="1072" xr:uid="{00000000-0005-0000-0000-00001D000000}"/>
    <cellStyle name="Comma 2 2 2 2 2" xfId="1139" xr:uid="{00000000-0005-0000-0000-00001E000000}"/>
    <cellStyle name="Comma 2 2 2 2 2 2" xfId="1274" xr:uid="{A3507004-4501-4FBA-A744-6F17EC40325F}"/>
    <cellStyle name="Comma 2 2 2 2 3" xfId="1208" xr:uid="{1E4A7DC6-E7A3-4DA1-A2F1-32E15B2A927C}"/>
    <cellStyle name="Comma 2 2 2 3" xfId="1106" xr:uid="{00000000-0005-0000-0000-00001F000000}"/>
    <cellStyle name="Comma 2 2 2 3 2" xfId="1241" xr:uid="{8078559F-5958-4224-B9F6-128721089D02}"/>
    <cellStyle name="Comma 2 2 2 4" xfId="1175" xr:uid="{1E0D825D-AE58-4F2A-990D-955900A96274}"/>
    <cellStyle name="Comma 2 2 3" xfId="1071" xr:uid="{00000000-0005-0000-0000-000020000000}"/>
    <cellStyle name="Comma 2 2 3 2" xfId="1138" xr:uid="{00000000-0005-0000-0000-000021000000}"/>
    <cellStyle name="Comma 2 2 3 2 2" xfId="1273" xr:uid="{624CD7EF-9769-450A-A530-4DEBE68BD101}"/>
    <cellStyle name="Comma 2 2 3 3" xfId="1207" xr:uid="{F3894695-798B-4AA6-B9C5-5F45AFEC940C}"/>
    <cellStyle name="Comma 2 2 4" xfId="1105" xr:uid="{00000000-0005-0000-0000-000022000000}"/>
    <cellStyle name="Comma 2 2 4 2" xfId="1240" xr:uid="{D539A7E3-C256-408E-8A84-C378CE8D5D5D}"/>
    <cellStyle name="Comma 2 2 5" xfId="1174" xr:uid="{054690D6-A5D7-4297-BBC1-0BE0ADCD461D}"/>
    <cellStyle name="Comma 2 3" xfId="16" xr:uid="{00000000-0005-0000-0000-000023000000}"/>
    <cellStyle name="Comma 2 3 2" xfId="1073" xr:uid="{00000000-0005-0000-0000-000024000000}"/>
    <cellStyle name="Comma 2 3 2 2" xfId="1140" xr:uid="{00000000-0005-0000-0000-000025000000}"/>
    <cellStyle name="Comma 2 3 2 2 2" xfId="1275" xr:uid="{3C6C8621-00F0-4CCA-B929-74C71C9D5C7E}"/>
    <cellStyle name="Comma 2 3 2 3" xfId="1209" xr:uid="{972BA6A3-AB13-43A7-96C9-968DADFF63A5}"/>
    <cellStyle name="Comma 2 3 3" xfId="1107" xr:uid="{00000000-0005-0000-0000-000026000000}"/>
    <cellStyle name="Comma 2 3 3 2" xfId="1242" xr:uid="{054F4540-8BEB-4C37-A0D4-D9DAA542D823}"/>
    <cellStyle name="Comma 2 3 4" xfId="1176" xr:uid="{7F618905-8D5A-4ADD-AC35-230667D1AC32}"/>
    <cellStyle name="Comma 2 4" xfId="356" xr:uid="{00000000-0005-0000-0000-000027000000}"/>
    <cellStyle name="Comma 2 4 2" xfId="1090" xr:uid="{00000000-0005-0000-0000-000028000000}"/>
    <cellStyle name="Comma 2 4 2 2" xfId="1156" xr:uid="{00000000-0005-0000-0000-000029000000}"/>
    <cellStyle name="Comma 2 4 2 2 2" xfId="1291" xr:uid="{FD8DDC63-5031-4416-B2B9-BD47DC326BB1}"/>
    <cellStyle name="Comma 2 4 2 3" xfId="1225" xr:uid="{58976307-0E7F-41A1-817F-E2EF5BCEFFA6}"/>
    <cellStyle name="Comma 2 4 3" xfId="1122" xr:uid="{00000000-0005-0000-0000-00002A000000}"/>
    <cellStyle name="Comma 2 4 3 2" xfId="1257" xr:uid="{AB663BCE-320F-4F3E-8D3B-764AC2CB956B}"/>
    <cellStyle name="Comma 2 4 4" xfId="1191" xr:uid="{A6DDAD1D-FDA9-425F-BFCF-0B812E3F2A54}"/>
    <cellStyle name="Comma 2 5" xfId="1070" xr:uid="{00000000-0005-0000-0000-00002B000000}"/>
    <cellStyle name="Comma 2 5 2" xfId="1137" xr:uid="{00000000-0005-0000-0000-00002C000000}"/>
    <cellStyle name="Comma 2 5 2 2" xfId="1272" xr:uid="{DDEC81E7-1268-4962-B512-80CD3C5C16F1}"/>
    <cellStyle name="Comma 2 5 3" xfId="1206" xr:uid="{36626DD8-8D4E-4D7D-8363-EF34247F4496}"/>
    <cellStyle name="Comma 2 6" xfId="1104" xr:uid="{00000000-0005-0000-0000-00002D000000}"/>
    <cellStyle name="Comma 2 6 2" xfId="1239" xr:uid="{A5EEC1D2-290B-4869-BB0F-236B320EB5CC}"/>
    <cellStyle name="Comma 2 7" xfId="1173" xr:uid="{BA95388E-2C64-4B33-9763-A06FFD0DB8F8}"/>
    <cellStyle name="Comma 2 8" xfId="1308" xr:uid="{371C79F4-A5DE-4A55-9AC6-99A84DA42B67}"/>
    <cellStyle name="Comma 3" xfId="17" xr:uid="{00000000-0005-0000-0000-00002E000000}"/>
    <cellStyle name="Comma 3 2" xfId="18" xr:uid="{00000000-0005-0000-0000-00002F000000}"/>
    <cellStyle name="Comma 3 2 2" xfId="1075" xr:uid="{00000000-0005-0000-0000-000030000000}"/>
    <cellStyle name="Comma 3 2 2 2" xfId="1142" xr:uid="{00000000-0005-0000-0000-000031000000}"/>
    <cellStyle name="Comma 3 2 2 2 2" xfId="1277" xr:uid="{6FF8E0C6-02B3-4156-BD6B-35B50FC1FB63}"/>
    <cellStyle name="Comma 3 2 2 3" xfId="1211" xr:uid="{712889EB-C004-4667-9141-1B78CD80450C}"/>
    <cellStyle name="Comma 3 2 3" xfId="1109" xr:uid="{00000000-0005-0000-0000-000032000000}"/>
    <cellStyle name="Comma 3 2 3 2" xfId="1244" xr:uid="{DA14BCD2-F5C0-4C1B-B458-2EC2054D1256}"/>
    <cellStyle name="Comma 3 2 4" xfId="1178" xr:uid="{CB02C2AB-1E02-46C4-9CBB-6B57E5A6969F}"/>
    <cellStyle name="Comma 3 3" xfId="1074" xr:uid="{00000000-0005-0000-0000-000033000000}"/>
    <cellStyle name="Comma 3 3 2" xfId="1141" xr:uid="{00000000-0005-0000-0000-000034000000}"/>
    <cellStyle name="Comma 3 3 2 2" xfId="1276" xr:uid="{9D72C25F-0420-47C2-B5A2-CD3F1BF06F26}"/>
    <cellStyle name="Comma 3 3 3" xfId="1210" xr:uid="{B7EBCB29-72EC-47B3-8730-A0C5F0ADD8F2}"/>
    <cellStyle name="Comma 3 4" xfId="1108" xr:uid="{00000000-0005-0000-0000-000035000000}"/>
    <cellStyle name="Comma 3 4 2" xfId="1243" xr:uid="{CFC29EFA-6825-45C7-817B-F3F837C9FE80}"/>
    <cellStyle name="Comma 3 5" xfId="1177" xr:uid="{C9AEDC6B-FA29-4984-AAA2-B42B73F05D73}"/>
    <cellStyle name="Comma 4" xfId="19" xr:uid="{00000000-0005-0000-0000-000036000000}"/>
    <cellStyle name="Comma 4 2" xfId="1076" xr:uid="{00000000-0005-0000-0000-000037000000}"/>
    <cellStyle name="Comma 4 2 2" xfId="1143" xr:uid="{00000000-0005-0000-0000-000038000000}"/>
    <cellStyle name="Comma 4 2 2 2" xfId="1278" xr:uid="{01634F8F-0DE9-445D-975F-ED2878E32845}"/>
    <cellStyle name="Comma 4 2 3" xfId="1212" xr:uid="{9C7B0AB4-4087-478C-B693-1CFFD7DBC79E}"/>
    <cellStyle name="Comma 4 3" xfId="1110" xr:uid="{00000000-0005-0000-0000-000039000000}"/>
    <cellStyle name="Comma 4 3 2" xfId="1245" xr:uid="{86C4A3EE-E057-431F-9822-2FA87CB255B4}"/>
    <cellStyle name="Comma 4 4" xfId="1179" xr:uid="{284E4CD3-C459-47C9-BAC4-1CFFA7D663CE}"/>
    <cellStyle name="Comma 5" xfId="20" xr:uid="{00000000-0005-0000-0000-00003A000000}"/>
    <cellStyle name="Comma 5 2" xfId="357" xr:uid="{00000000-0005-0000-0000-00003B000000}"/>
    <cellStyle name="Comma 5 2 2" xfId="1091" xr:uid="{00000000-0005-0000-0000-00003C000000}"/>
    <cellStyle name="Comma 5 2 2 2" xfId="1157" xr:uid="{00000000-0005-0000-0000-00003D000000}"/>
    <cellStyle name="Comma 5 2 2 2 2" xfId="1292" xr:uid="{372EC892-11D3-4D08-AD03-072B9CA8A1C8}"/>
    <cellStyle name="Comma 5 2 2 3" xfId="1226" xr:uid="{A6A640E4-E5B4-4194-9241-E9B6D6DB8CD8}"/>
    <cellStyle name="Comma 5 2 3" xfId="1123" xr:uid="{00000000-0005-0000-0000-00003E000000}"/>
    <cellStyle name="Comma 5 2 3 2" xfId="1258" xr:uid="{C402B739-F178-48A4-88D2-B9CAF3335B47}"/>
    <cellStyle name="Comma 5 2 4" xfId="1192" xr:uid="{152029CF-700E-48A7-8BA6-19F63FCD3863}"/>
    <cellStyle name="Comma 5 3" xfId="1077" xr:uid="{00000000-0005-0000-0000-00003F000000}"/>
    <cellStyle name="Comma 5 3 2" xfId="1144" xr:uid="{00000000-0005-0000-0000-000040000000}"/>
    <cellStyle name="Comma 5 3 2 2" xfId="1279" xr:uid="{E283860A-16ED-4177-A78E-D137032D67D6}"/>
    <cellStyle name="Comma 5 3 3" xfId="1213" xr:uid="{FC77D53D-5F4E-4F7C-AAA6-7A8932E1C06F}"/>
    <cellStyle name="Comma 5 4" xfId="1111" xr:uid="{00000000-0005-0000-0000-000041000000}"/>
    <cellStyle name="Comma 5 4 2" xfId="1246" xr:uid="{8F82C1A5-84F8-4485-9C02-5AE3E18C2A31}"/>
    <cellStyle name="Comma 5 5" xfId="1180" xr:uid="{51DA1AFD-5E8B-48A1-875B-444D11630EA4}"/>
    <cellStyle name="Comma 6" xfId="21" xr:uid="{00000000-0005-0000-0000-000042000000}"/>
    <cellStyle name="Comma 6 2" xfId="1078" xr:uid="{00000000-0005-0000-0000-000043000000}"/>
    <cellStyle name="Comma 6 2 2" xfId="1145" xr:uid="{00000000-0005-0000-0000-000044000000}"/>
    <cellStyle name="Comma 6 2 2 2" xfId="1280" xr:uid="{9C439947-A70C-4437-92DA-241878CB34F1}"/>
    <cellStyle name="Comma 6 2 3" xfId="1214" xr:uid="{E591287F-9FB3-4AE8-9AD3-0901034FE22E}"/>
    <cellStyle name="Comma 6 3" xfId="1112" xr:uid="{00000000-0005-0000-0000-000045000000}"/>
    <cellStyle name="Comma 6 3 2" xfId="1247" xr:uid="{5F5F6AA5-AFFF-411F-933F-52F1AF680FAD}"/>
    <cellStyle name="Comma 6 4" xfId="1181" xr:uid="{78FB1C18-8F15-4453-B709-CACD4BE1D20E}"/>
    <cellStyle name="Comma 7" xfId="22" xr:uid="{00000000-0005-0000-0000-000046000000}"/>
    <cellStyle name="Comma 7 2" xfId="358" xr:uid="{00000000-0005-0000-0000-000047000000}"/>
    <cellStyle name="Comma 7 2 2" xfId="359" xr:uid="{00000000-0005-0000-0000-000048000000}"/>
    <cellStyle name="Comma 7 2 2 2" xfId="360" xr:uid="{00000000-0005-0000-0000-000049000000}"/>
    <cellStyle name="Comma 7 2 2 2 2" xfId="1094" xr:uid="{00000000-0005-0000-0000-00004A000000}"/>
    <cellStyle name="Comma 7 2 2 2 2 2" xfId="1160" xr:uid="{00000000-0005-0000-0000-00004B000000}"/>
    <cellStyle name="Comma 7 2 2 2 2 2 2" xfId="1295" xr:uid="{C83CAC24-7EA3-4F1D-9631-DC80FDD9B301}"/>
    <cellStyle name="Comma 7 2 2 2 2 3" xfId="1229" xr:uid="{914BB525-2368-40EA-AD94-B20F31FE443A}"/>
    <cellStyle name="Comma 7 2 2 2 3" xfId="1126" xr:uid="{00000000-0005-0000-0000-00004C000000}"/>
    <cellStyle name="Comma 7 2 2 2 3 2" xfId="1261" xr:uid="{4EA554C8-341C-488A-932E-FC95349795F3}"/>
    <cellStyle name="Comma 7 2 2 2 4" xfId="1195" xr:uid="{5B2FF2E8-078A-4884-9BEC-2C19965DED8A}"/>
    <cellStyle name="Comma 7 2 2 3" xfId="1093" xr:uid="{00000000-0005-0000-0000-00004D000000}"/>
    <cellStyle name="Comma 7 2 2 3 2" xfId="1159" xr:uid="{00000000-0005-0000-0000-00004E000000}"/>
    <cellStyle name="Comma 7 2 2 3 2 2" xfId="1294" xr:uid="{E2D8DCE5-B99B-4555-B9A6-1235930DD727}"/>
    <cellStyle name="Comma 7 2 2 3 3" xfId="1228" xr:uid="{7E6D576C-A02A-4522-BB6E-855F87AD12CE}"/>
    <cellStyle name="Comma 7 2 2 4" xfId="1125" xr:uid="{00000000-0005-0000-0000-00004F000000}"/>
    <cellStyle name="Comma 7 2 2 4 2" xfId="1260" xr:uid="{3F815B78-F912-407A-9A43-FBB2970F6CD7}"/>
    <cellStyle name="Comma 7 2 2 5" xfId="1194" xr:uid="{0E214CF8-F92F-4950-B3FA-18A5FFBDB009}"/>
    <cellStyle name="Comma 7 2 3" xfId="361" xr:uid="{00000000-0005-0000-0000-000050000000}"/>
    <cellStyle name="Comma 7 2 3 2" xfId="1095" xr:uid="{00000000-0005-0000-0000-000051000000}"/>
    <cellStyle name="Comma 7 2 3 2 2" xfId="1161" xr:uid="{00000000-0005-0000-0000-000052000000}"/>
    <cellStyle name="Comma 7 2 3 2 2 2" xfId="1296" xr:uid="{1EB1C45A-E2E0-4A57-8A62-0114386D03D0}"/>
    <cellStyle name="Comma 7 2 3 2 3" xfId="1230" xr:uid="{45B93264-8629-4135-A3A3-E6183832E8F3}"/>
    <cellStyle name="Comma 7 2 3 3" xfId="1127" xr:uid="{00000000-0005-0000-0000-000053000000}"/>
    <cellStyle name="Comma 7 2 3 3 2" xfId="1262" xr:uid="{5035E00D-A48E-495A-9D04-9F6B4805944A}"/>
    <cellStyle name="Comma 7 2 3 4" xfId="1196" xr:uid="{2381DCF7-41D8-4FC7-A40F-DABCD3382201}"/>
    <cellStyle name="Comma 7 2 4" xfId="1092" xr:uid="{00000000-0005-0000-0000-000054000000}"/>
    <cellStyle name="Comma 7 2 4 2" xfId="1158" xr:uid="{00000000-0005-0000-0000-000055000000}"/>
    <cellStyle name="Comma 7 2 4 2 2" xfId="1293" xr:uid="{D9B0912C-5890-4EAF-B310-9F754CCBAA02}"/>
    <cellStyle name="Comma 7 2 4 3" xfId="1227" xr:uid="{6A6957B3-3B0E-46B4-B486-82E170DB8F29}"/>
    <cellStyle name="Comma 7 2 5" xfId="1124" xr:uid="{00000000-0005-0000-0000-000056000000}"/>
    <cellStyle name="Comma 7 2 5 2" xfId="1259" xr:uid="{5B1202D0-B3E2-4E65-BD03-D2F8BF8C430E}"/>
    <cellStyle name="Comma 7 2 6" xfId="1193" xr:uid="{C9DFCB4C-EA54-40CA-B696-2D13C000E651}"/>
    <cellStyle name="Comma 7 3" xfId="362" xr:uid="{00000000-0005-0000-0000-000057000000}"/>
    <cellStyle name="Comma 7 3 2" xfId="363" xr:uid="{00000000-0005-0000-0000-000058000000}"/>
    <cellStyle name="Comma 7 3 2 2" xfId="1097" xr:uid="{00000000-0005-0000-0000-000059000000}"/>
    <cellStyle name="Comma 7 3 2 2 2" xfId="1163" xr:uid="{00000000-0005-0000-0000-00005A000000}"/>
    <cellStyle name="Comma 7 3 2 2 2 2" xfId="1298" xr:uid="{1D73AE67-4417-4C97-B407-0BE78EA4B07C}"/>
    <cellStyle name="Comma 7 3 2 2 3" xfId="1232" xr:uid="{644DD4E2-E2E1-42B9-BD71-9DF26BD92E11}"/>
    <cellStyle name="Comma 7 3 2 3" xfId="1129" xr:uid="{00000000-0005-0000-0000-00005B000000}"/>
    <cellStyle name="Comma 7 3 2 3 2" xfId="1264" xr:uid="{DCCDAD7F-61A8-4875-A928-9F755F09F011}"/>
    <cellStyle name="Comma 7 3 2 4" xfId="1198" xr:uid="{CC2AD4D2-EB30-4B24-B690-A4A5B2AFAAE9}"/>
    <cellStyle name="Comma 7 3 3" xfId="1096" xr:uid="{00000000-0005-0000-0000-00005C000000}"/>
    <cellStyle name="Comma 7 3 3 2" xfId="1162" xr:uid="{00000000-0005-0000-0000-00005D000000}"/>
    <cellStyle name="Comma 7 3 3 2 2" xfId="1297" xr:uid="{A2B196C9-EB51-4263-B3C1-AB008A0230B2}"/>
    <cellStyle name="Comma 7 3 3 3" xfId="1231" xr:uid="{EB74F381-627E-4CEA-95A5-695908F4A9F0}"/>
    <cellStyle name="Comma 7 3 4" xfId="1128" xr:uid="{00000000-0005-0000-0000-00005E000000}"/>
    <cellStyle name="Comma 7 3 4 2" xfId="1263" xr:uid="{2836D3F7-8D5B-4169-B460-7744212E10D9}"/>
    <cellStyle name="Comma 7 3 5" xfId="1197" xr:uid="{35A383EA-543A-42E4-857F-B03CF85F5183}"/>
    <cellStyle name="Comma 7 4" xfId="364" xr:uid="{00000000-0005-0000-0000-00005F000000}"/>
    <cellStyle name="Comma 7 4 2" xfId="1098" xr:uid="{00000000-0005-0000-0000-000060000000}"/>
    <cellStyle name="Comma 7 4 2 2" xfId="1164" xr:uid="{00000000-0005-0000-0000-000061000000}"/>
    <cellStyle name="Comma 7 4 2 2 2" xfId="1299" xr:uid="{36F100B7-37DD-4621-A17F-551130566244}"/>
    <cellStyle name="Comma 7 4 2 3" xfId="1233" xr:uid="{259950B2-2C4B-46D0-B9B6-0646F41D384C}"/>
    <cellStyle name="Comma 7 4 3" xfId="1130" xr:uid="{00000000-0005-0000-0000-000062000000}"/>
    <cellStyle name="Comma 7 4 3 2" xfId="1265" xr:uid="{54661CE8-833E-45D5-87D4-8C8D0627F93E}"/>
    <cellStyle name="Comma 7 4 4" xfId="1199" xr:uid="{10BF6701-1044-4ABD-8E20-521D1CC3C162}"/>
    <cellStyle name="Comma 7 5" xfId="1079" xr:uid="{00000000-0005-0000-0000-000063000000}"/>
    <cellStyle name="Comma 7 5 2" xfId="1146" xr:uid="{00000000-0005-0000-0000-000064000000}"/>
    <cellStyle name="Comma 7 5 2 2" xfId="1281" xr:uid="{13B81BA2-FBFE-4C64-8528-51BCC1E6EF58}"/>
    <cellStyle name="Comma 7 5 3" xfId="1215" xr:uid="{50BFDA0F-75C3-46FC-B29C-BC5B6B67C638}"/>
    <cellStyle name="Comma 7 6" xfId="1113" xr:uid="{00000000-0005-0000-0000-000065000000}"/>
    <cellStyle name="Comma 7 6 2" xfId="1248" xr:uid="{370E83B0-FB4C-4675-B300-27413DB61020}"/>
    <cellStyle name="Comma 7 7" xfId="1182" xr:uid="{9C0A49BC-C93F-41C8-B282-10CE389C0444}"/>
    <cellStyle name="Comma 8" xfId="23" xr:uid="{00000000-0005-0000-0000-000066000000}"/>
    <cellStyle name="Comma 8 2" xfId="1080" xr:uid="{00000000-0005-0000-0000-000067000000}"/>
    <cellStyle name="Comma 8 2 2" xfId="1147" xr:uid="{00000000-0005-0000-0000-000068000000}"/>
    <cellStyle name="Comma 8 2 2 2" xfId="1282" xr:uid="{C1ABB0AC-1B52-4FB9-B9C8-F67C09B6541F}"/>
    <cellStyle name="Comma 8 2 3" xfId="1216" xr:uid="{A5596E16-1CD1-4177-9FE0-F318BF26191F}"/>
    <cellStyle name="Comma 8 3" xfId="1114" xr:uid="{00000000-0005-0000-0000-000069000000}"/>
    <cellStyle name="Comma 8 3 2" xfId="1249" xr:uid="{FC3C69B5-0FBD-42B6-AE29-7276006FBA45}"/>
    <cellStyle name="Comma 8 4" xfId="1183" xr:uid="{5F3F12E4-A95E-405C-9A48-61FD608D3CE3}"/>
    <cellStyle name="Comma 9" xfId="365" xr:uid="{00000000-0005-0000-0000-00006A000000}"/>
    <cellStyle name="Comma 9 2" xfId="1099" xr:uid="{00000000-0005-0000-0000-00006B000000}"/>
    <cellStyle name="Comma 9 2 2" xfId="1165" xr:uid="{00000000-0005-0000-0000-00006C000000}"/>
    <cellStyle name="Comma 9 2 2 2" xfId="1300" xr:uid="{0066DAC5-A312-4D56-8D19-763AE58880F1}"/>
    <cellStyle name="Comma 9 2 3" xfId="1234" xr:uid="{6340EBFB-74E4-4A3F-8A00-81FACDCB0767}"/>
    <cellStyle name="Comma 9 3" xfId="1131" xr:uid="{00000000-0005-0000-0000-00006D000000}"/>
    <cellStyle name="Comma 9 3 2" xfId="1266" xr:uid="{C604276B-037A-41DC-AF84-19C580D92CA5}"/>
    <cellStyle name="Comma 9 4" xfId="1200" xr:uid="{CBA7AF0C-4B76-43F0-AA47-EDC61288A7E9}"/>
    <cellStyle name="Currency" xfId="1169" builtinId="4"/>
    <cellStyle name="Currency 2" xfId="3" xr:uid="{00000000-0005-0000-0000-00006F000000}"/>
    <cellStyle name="Currency 2 2" xfId="1068" xr:uid="{00000000-0005-0000-0000-000070000000}"/>
    <cellStyle name="Currency 2 2 2" xfId="1136" xr:uid="{00000000-0005-0000-0000-000071000000}"/>
    <cellStyle name="Currency 2 2 2 2" xfId="1271" xr:uid="{34AAA818-EAAA-477A-A3F3-6CDF42D3FDC1}"/>
    <cellStyle name="Currency 2 2 3" xfId="1205" xr:uid="{5E9EC5D1-975C-4EBA-A8B8-82F714DC1D30}"/>
    <cellStyle name="Currency 2 3" xfId="1103" xr:uid="{00000000-0005-0000-0000-000072000000}"/>
    <cellStyle name="Currency 2 3 2" xfId="1238" xr:uid="{848C629E-0AD8-4C5F-AB82-7DAA87960F9A}"/>
    <cellStyle name="Currency 2 4" xfId="1172" xr:uid="{0F23C771-43C4-4AE1-8484-A4F3D22997C1}"/>
    <cellStyle name="Currency 2 5" xfId="1309" xr:uid="{D8E178BC-9F87-4765-A5C0-EB0A7C4C8BD2}"/>
    <cellStyle name="Currency 20" xfId="1" xr:uid="{00000000-0005-0000-0000-000073000000}"/>
    <cellStyle name="Currency 20 2" xfId="1067" xr:uid="{00000000-0005-0000-0000-000074000000}"/>
    <cellStyle name="Currency 20 2 2" xfId="1135" xr:uid="{00000000-0005-0000-0000-000075000000}"/>
    <cellStyle name="Currency 20 2 2 2" xfId="1270" xr:uid="{085640F3-5046-4558-9AE1-BF1E89CC8D72}"/>
    <cellStyle name="Currency 20 2 3" xfId="1204" xr:uid="{883394C5-0180-4B55-81C7-3E998401039E}"/>
    <cellStyle name="Currency 20 3" xfId="1102" xr:uid="{00000000-0005-0000-0000-000076000000}"/>
    <cellStyle name="Currency 20 3 2" xfId="1237" xr:uid="{18B4A74A-A845-45B0-8004-11902CD07B9D}"/>
    <cellStyle name="Currency 20 4" xfId="1171" xr:uid="{C77AAA6E-1E72-4F25-8109-6150F97FE0DB}"/>
    <cellStyle name="Currency 3" xfId="24" xr:uid="{00000000-0005-0000-0000-000077000000}"/>
    <cellStyle name="Currency 3 2" xfId="1081" xr:uid="{00000000-0005-0000-0000-000078000000}"/>
    <cellStyle name="Currency 3 2 2" xfId="1148" xr:uid="{00000000-0005-0000-0000-000079000000}"/>
    <cellStyle name="Currency 3 2 2 2" xfId="1283" xr:uid="{A2447EA3-3880-40AA-B529-A7834037317B}"/>
    <cellStyle name="Currency 3 2 3" xfId="1217" xr:uid="{5552B3D0-74F1-4529-AF3F-3C25E76C11B2}"/>
    <cellStyle name="Currency 3 3" xfId="1115" xr:uid="{00000000-0005-0000-0000-00007A000000}"/>
    <cellStyle name="Currency 3 3 2" xfId="1250" xr:uid="{CF3D3589-C372-4544-8C99-3FD31CB3AA6F}"/>
    <cellStyle name="Currency 3 4" xfId="1184" xr:uid="{46843487-54D7-4E31-A1C5-1F5968E053F7}"/>
    <cellStyle name="Currency 4" xfId="25" xr:uid="{00000000-0005-0000-0000-00007B000000}"/>
    <cellStyle name="Currency 4 2" xfId="1082" xr:uid="{00000000-0005-0000-0000-00007C000000}"/>
    <cellStyle name="Currency 4 2 2" xfId="1149" xr:uid="{00000000-0005-0000-0000-00007D000000}"/>
    <cellStyle name="Currency 4 2 2 2" xfId="1284" xr:uid="{309B1A84-31E4-4F33-AA04-B7F616188953}"/>
    <cellStyle name="Currency 4 2 3" xfId="1218" xr:uid="{EC1B220A-9DF6-4E46-99DA-70AB9A45D106}"/>
    <cellStyle name="Currency 4 3" xfId="1116" xr:uid="{00000000-0005-0000-0000-00007E000000}"/>
    <cellStyle name="Currency 4 3 2" xfId="1251" xr:uid="{7022506A-89C4-439E-AF0A-9A7F57EF2D58}"/>
    <cellStyle name="Currency 4 4" xfId="1185" xr:uid="{560B3B3B-FC85-457B-8C93-21FB4C6E07B1}"/>
    <cellStyle name="Currency 5" xfId="366" xr:uid="{00000000-0005-0000-0000-00007F000000}"/>
    <cellStyle name="Currency 5 2" xfId="1100" xr:uid="{00000000-0005-0000-0000-000080000000}"/>
    <cellStyle name="Currency 5 2 2" xfId="1166" xr:uid="{00000000-0005-0000-0000-000081000000}"/>
    <cellStyle name="Currency 5 2 2 2" xfId="1301" xr:uid="{65302C56-3C45-4E47-8382-BD3BAB7CC15D}"/>
    <cellStyle name="Currency 5 2 3" xfId="1235" xr:uid="{F538F7C9-F774-4E12-BC9D-B3315988AE40}"/>
    <cellStyle name="Currency 5 3" xfId="1132" xr:uid="{00000000-0005-0000-0000-000082000000}"/>
    <cellStyle name="Currency 5 3 2" xfId="1267" xr:uid="{E4772B6B-D5C5-4939-8D80-F36E6D7E49AA}"/>
    <cellStyle name="Currency 5 4" xfId="1201" xr:uid="{F12A2CD4-1E77-495D-A39D-7C8C0FDD6399}"/>
    <cellStyle name="Currency 6" xfId="367" xr:uid="{00000000-0005-0000-0000-000083000000}"/>
    <cellStyle name="Currency 6 2" xfId="1101" xr:uid="{00000000-0005-0000-0000-000084000000}"/>
    <cellStyle name="Currency 6 2 2" xfId="1167" xr:uid="{00000000-0005-0000-0000-000085000000}"/>
    <cellStyle name="Currency 6 2 2 2" xfId="1302" xr:uid="{575A8585-1965-46E5-B040-348FC6DD15B5}"/>
    <cellStyle name="Currency 6 2 3" xfId="1236" xr:uid="{26A74CEA-C58F-44CE-9061-4132A4670104}"/>
    <cellStyle name="Currency 6 3" xfId="1133" xr:uid="{00000000-0005-0000-0000-000086000000}"/>
    <cellStyle name="Currency 6 3 2" xfId="1268" xr:uid="{275C3074-8064-4789-AFB9-150491C5A7D2}"/>
    <cellStyle name="Currency 6 4" xfId="1202" xr:uid="{3230BD25-52D9-4518-B356-094F2C4DE542}"/>
    <cellStyle name="Currency 7" xfId="1307" xr:uid="{7EC7811F-44C7-4135-B459-94F23434C56A}"/>
    <cellStyle name="Hyperlink" xfId="1168" builtinId="8"/>
    <cellStyle name="Hyperlink 2" xfId="1305" xr:uid="{DCA91719-58FB-4B21-ACFA-C8F5F49A7E34}"/>
    <cellStyle name="Normal" xfId="0" builtinId="0"/>
    <cellStyle name="Normal 10" xfId="26" xr:uid="{00000000-0005-0000-0000-000089000000}"/>
    <cellStyle name="Normal 10 2" xfId="27" xr:uid="{00000000-0005-0000-0000-00008A000000}"/>
    <cellStyle name="Normal 10 2 2" xfId="368" xr:uid="{00000000-0005-0000-0000-00008B000000}"/>
    <cellStyle name="Normal 10 2 2 2" xfId="369" xr:uid="{00000000-0005-0000-0000-00008C000000}"/>
    <cellStyle name="Normal 10 2 2 2 2" xfId="370" xr:uid="{00000000-0005-0000-0000-00008D000000}"/>
    <cellStyle name="Normal 10 2 2 3" xfId="371" xr:uid="{00000000-0005-0000-0000-00008E000000}"/>
    <cellStyle name="Normal 10 2 3" xfId="372" xr:uid="{00000000-0005-0000-0000-00008F000000}"/>
    <cellStyle name="Normal 10 2 3 2" xfId="373" xr:uid="{00000000-0005-0000-0000-000090000000}"/>
    <cellStyle name="Normal 10 2 4" xfId="374" xr:uid="{00000000-0005-0000-0000-000091000000}"/>
    <cellStyle name="Normal 10 3" xfId="375" xr:uid="{00000000-0005-0000-0000-000092000000}"/>
    <cellStyle name="Normal 10 3 2" xfId="376" xr:uid="{00000000-0005-0000-0000-000093000000}"/>
    <cellStyle name="Normal 10 3 2 2" xfId="377" xr:uid="{00000000-0005-0000-0000-000094000000}"/>
    <cellStyle name="Normal 10 3 3" xfId="378" xr:uid="{00000000-0005-0000-0000-000095000000}"/>
    <cellStyle name="Normal 10 4" xfId="379" xr:uid="{00000000-0005-0000-0000-000096000000}"/>
    <cellStyle name="Normal 10 4 2" xfId="380" xr:uid="{00000000-0005-0000-0000-000097000000}"/>
    <cellStyle name="Normal 10 5" xfId="381" xr:uid="{00000000-0005-0000-0000-000098000000}"/>
    <cellStyle name="Normal 100" xfId="121" xr:uid="{00000000-0005-0000-0000-000099000000}"/>
    <cellStyle name="Normal 100 2" xfId="122" xr:uid="{00000000-0005-0000-0000-00009A000000}"/>
    <cellStyle name="Normal 101" xfId="123" xr:uid="{00000000-0005-0000-0000-00009B000000}"/>
    <cellStyle name="Normal 101 2" xfId="124" xr:uid="{00000000-0005-0000-0000-00009C000000}"/>
    <cellStyle name="Normal 102" xfId="125" xr:uid="{00000000-0005-0000-0000-00009D000000}"/>
    <cellStyle name="Normal 102 2" xfId="126" xr:uid="{00000000-0005-0000-0000-00009E000000}"/>
    <cellStyle name="Normal 103" xfId="127" xr:uid="{00000000-0005-0000-0000-00009F000000}"/>
    <cellStyle name="Normal 103 2" xfId="128" xr:uid="{00000000-0005-0000-0000-0000A0000000}"/>
    <cellStyle name="Normal 103 2 2" xfId="382" xr:uid="{00000000-0005-0000-0000-0000A1000000}"/>
    <cellStyle name="Normal 103 3" xfId="383" xr:uid="{00000000-0005-0000-0000-0000A2000000}"/>
    <cellStyle name="Normal 104" xfId="129" xr:uid="{00000000-0005-0000-0000-0000A3000000}"/>
    <cellStyle name="Normal 104 2" xfId="130" xr:uid="{00000000-0005-0000-0000-0000A4000000}"/>
    <cellStyle name="Normal 105" xfId="131" xr:uid="{00000000-0005-0000-0000-0000A5000000}"/>
    <cellStyle name="Normal 105 2" xfId="132" xr:uid="{00000000-0005-0000-0000-0000A6000000}"/>
    <cellStyle name="Normal 106" xfId="133" xr:uid="{00000000-0005-0000-0000-0000A7000000}"/>
    <cellStyle name="Normal 106 2" xfId="134" xr:uid="{00000000-0005-0000-0000-0000A8000000}"/>
    <cellStyle name="Normal 107" xfId="135" xr:uid="{00000000-0005-0000-0000-0000A9000000}"/>
    <cellStyle name="Normal 107 2" xfId="136" xr:uid="{00000000-0005-0000-0000-0000AA000000}"/>
    <cellStyle name="Normal 108" xfId="137" xr:uid="{00000000-0005-0000-0000-0000AB000000}"/>
    <cellStyle name="Normal 108 2" xfId="138" xr:uid="{00000000-0005-0000-0000-0000AC000000}"/>
    <cellStyle name="Normal 109" xfId="139" xr:uid="{00000000-0005-0000-0000-0000AD000000}"/>
    <cellStyle name="Normal 109 2" xfId="140" xr:uid="{00000000-0005-0000-0000-0000AE000000}"/>
    <cellStyle name="Normal 11" xfId="28" xr:uid="{00000000-0005-0000-0000-0000AF000000}"/>
    <cellStyle name="Normal 11 2" xfId="29" xr:uid="{00000000-0005-0000-0000-0000B0000000}"/>
    <cellStyle name="Normal 11 2 2" xfId="384" xr:uid="{00000000-0005-0000-0000-0000B1000000}"/>
    <cellStyle name="Normal 11 2 2 2" xfId="385" xr:uid="{00000000-0005-0000-0000-0000B2000000}"/>
    <cellStyle name="Normal 11 2 2 2 2" xfId="386" xr:uid="{00000000-0005-0000-0000-0000B3000000}"/>
    <cellStyle name="Normal 11 2 2 3" xfId="387" xr:uid="{00000000-0005-0000-0000-0000B4000000}"/>
    <cellStyle name="Normal 11 2 3" xfId="388" xr:uid="{00000000-0005-0000-0000-0000B5000000}"/>
    <cellStyle name="Normal 11 2 3 2" xfId="389" xr:uid="{00000000-0005-0000-0000-0000B6000000}"/>
    <cellStyle name="Normal 11 2 4" xfId="390" xr:uid="{00000000-0005-0000-0000-0000B7000000}"/>
    <cellStyle name="Normal 11 3" xfId="391" xr:uid="{00000000-0005-0000-0000-0000B8000000}"/>
    <cellStyle name="Normal 11 3 2" xfId="392" xr:uid="{00000000-0005-0000-0000-0000B9000000}"/>
    <cellStyle name="Normal 11 3 2 2" xfId="393" xr:uid="{00000000-0005-0000-0000-0000BA000000}"/>
    <cellStyle name="Normal 11 3 3" xfId="394" xr:uid="{00000000-0005-0000-0000-0000BB000000}"/>
    <cellStyle name="Normal 11 4" xfId="395" xr:uid="{00000000-0005-0000-0000-0000BC000000}"/>
    <cellStyle name="Normal 11 4 2" xfId="396" xr:uid="{00000000-0005-0000-0000-0000BD000000}"/>
    <cellStyle name="Normal 11 5" xfId="397" xr:uid="{00000000-0005-0000-0000-0000BE000000}"/>
    <cellStyle name="Normal 110" xfId="141" xr:uid="{00000000-0005-0000-0000-0000BF000000}"/>
    <cellStyle name="Normal 110 2" xfId="142" xr:uid="{00000000-0005-0000-0000-0000C0000000}"/>
    <cellStyle name="Normal 111" xfId="143" xr:uid="{00000000-0005-0000-0000-0000C1000000}"/>
    <cellStyle name="Normal 111 2" xfId="144" xr:uid="{00000000-0005-0000-0000-0000C2000000}"/>
    <cellStyle name="Normal 112" xfId="145" xr:uid="{00000000-0005-0000-0000-0000C3000000}"/>
    <cellStyle name="Normal 112 2" xfId="146" xr:uid="{00000000-0005-0000-0000-0000C4000000}"/>
    <cellStyle name="Normal 113" xfId="147" xr:uid="{00000000-0005-0000-0000-0000C5000000}"/>
    <cellStyle name="Normal 113 2" xfId="148" xr:uid="{00000000-0005-0000-0000-0000C6000000}"/>
    <cellStyle name="Normal 114" xfId="149" xr:uid="{00000000-0005-0000-0000-0000C7000000}"/>
    <cellStyle name="Normal 114 2" xfId="150" xr:uid="{00000000-0005-0000-0000-0000C8000000}"/>
    <cellStyle name="Normal 115" xfId="151" xr:uid="{00000000-0005-0000-0000-0000C9000000}"/>
    <cellStyle name="Normal 115 2" xfId="152" xr:uid="{00000000-0005-0000-0000-0000CA000000}"/>
    <cellStyle name="Normal 116" xfId="153" xr:uid="{00000000-0005-0000-0000-0000CB000000}"/>
    <cellStyle name="Normal 116 2" xfId="154" xr:uid="{00000000-0005-0000-0000-0000CC000000}"/>
    <cellStyle name="Normal 117" xfId="155" xr:uid="{00000000-0005-0000-0000-0000CD000000}"/>
    <cellStyle name="Normal 117 2" xfId="156" xr:uid="{00000000-0005-0000-0000-0000CE000000}"/>
    <cellStyle name="Normal 118" xfId="157" xr:uid="{00000000-0005-0000-0000-0000CF000000}"/>
    <cellStyle name="Normal 118 2" xfId="158" xr:uid="{00000000-0005-0000-0000-0000D0000000}"/>
    <cellStyle name="Normal 119" xfId="159" xr:uid="{00000000-0005-0000-0000-0000D1000000}"/>
    <cellStyle name="Normal 119 2" xfId="160" xr:uid="{00000000-0005-0000-0000-0000D2000000}"/>
    <cellStyle name="Normal 12" xfId="30" xr:uid="{00000000-0005-0000-0000-0000D3000000}"/>
    <cellStyle name="Normal 12 2" xfId="31" xr:uid="{00000000-0005-0000-0000-0000D4000000}"/>
    <cellStyle name="Normal 12 2 2" xfId="398" xr:uid="{00000000-0005-0000-0000-0000D5000000}"/>
    <cellStyle name="Normal 12 2 2 2" xfId="399" xr:uid="{00000000-0005-0000-0000-0000D6000000}"/>
    <cellStyle name="Normal 12 2 2 2 2" xfId="400" xr:uid="{00000000-0005-0000-0000-0000D7000000}"/>
    <cellStyle name="Normal 12 2 2 3" xfId="401" xr:uid="{00000000-0005-0000-0000-0000D8000000}"/>
    <cellStyle name="Normal 12 2 3" xfId="402" xr:uid="{00000000-0005-0000-0000-0000D9000000}"/>
    <cellStyle name="Normal 12 2 3 2" xfId="403" xr:uid="{00000000-0005-0000-0000-0000DA000000}"/>
    <cellStyle name="Normal 12 2 4" xfId="404" xr:uid="{00000000-0005-0000-0000-0000DB000000}"/>
    <cellStyle name="Normal 12 3" xfId="405" xr:uid="{00000000-0005-0000-0000-0000DC000000}"/>
    <cellStyle name="Normal 12 3 2" xfId="406" xr:uid="{00000000-0005-0000-0000-0000DD000000}"/>
    <cellStyle name="Normal 12 3 2 2" xfId="407" xr:uid="{00000000-0005-0000-0000-0000DE000000}"/>
    <cellStyle name="Normal 12 3 3" xfId="408" xr:uid="{00000000-0005-0000-0000-0000DF000000}"/>
    <cellStyle name="Normal 12 4" xfId="409" xr:uid="{00000000-0005-0000-0000-0000E0000000}"/>
    <cellStyle name="Normal 12 4 2" xfId="410" xr:uid="{00000000-0005-0000-0000-0000E1000000}"/>
    <cellStyle name="Normal 12 5" xfId="411" xr:uid="{00000000-0005-0000-0000-0000E2000000}"/>
    <cellStyle name="Normal 120" xfId="161" xr:uid="{00000000-0005-0000-0000-0000E3000000}"/>
    <cellStyle name="Normal 120 2" xfId="162" xr:uid="{00000000-0005-0000-0000-0000E4000000}"/>
    <cellStyle name="Normal 121" xfId="163" xr:uid="{00000000-0005-0000-0000-0000E5000000}"/>
    <cellStyle name="Normal 121 2" xfId="164" xr:uid="{00000000-0005-0000-0000-0000E6000000}"/>
    <cellStyle name="Normal 122" xfId="165" xr:uid="{00000000-0005-0000-0000-0000E7000000}"/>
    <cellStyle name="Normal 122 2" xfId="166" xr:uid="{00000000-0005-0000-0000-0000E8000000}"/>
    <cellStyle name="Normal 123" xfId="167" xr:uid="{00000000-0005-0000-0000-0000E9000000}"/>
    <cellStyle name="Normal 123 2" xfId="168" xr:uid="{00000000-0005-0000-0000-0000EA000000}"/>
    <cellStyle name="Normal 124" xfId="169" xr:uid="{00000000-0005-0000-0000-0000EB000000}"/>
    <cellStyle name="Normal 124 2" xfId="170" xr:uid="{00000000-0005-0000-0000-0000EC000000}"/>
    <cellStyle name="Normal 125" xfId="171" xr:uid="{00000000-0005-0000-0000-0000ED000000}"/>
    <cellStyle name="Normal 125 2" xfId="172" xr:uid="{00000000-0005-0000-0000-0000EE000000}"/>
    <cellStyle name="Normal 126" xfId="173" xr:uid="{00000000-0005-0000-0000-0000EF000000}"/>
    <cellStyle name="Normal 126 2" xfId="174" xr:uid="{00000000-0005-0000-0000-0000F0000000}"/>
    <cellStyle name="Normal 127" xfId="175" xr:uid="{00000000-0005-0000-0000-0000F1000000}"/>
    <cellStyle name="Normal 127 2" xfId="176" xr:uid="{00000000-0005-0000-0000-0000F2000000}"/>
    <cellStyle name="Normal 128" xfId="177" xr:uid="{00000000-0005-0000-0000-0000F3000000}"/>
    <cellStyle name="Normal 128 2" xfId="178" xr:uid="{00000000-0005-0000-0000-0000F4000000}"/>
    <cellStyle name="Normal 129" xfId="179" xr:uid="{00000000-0005-0000-0000-0000F5000000}"/>
    <cellStyle name="Normal 129 2" xfId="180" xr:uid="{00000000-0005-0000-0000-0000F6000000}"/>
    <cellStyle name="Normal 13" xfId="32" xr:uid="{00000000-0005-0000-0000-0000F7000000}"/>
    <cellStyle name="Normal 13 2" xfId="33" xr:uid="{00000000-0005-0000-0000-0000F8000000}"/>
    <cellStyle name="Normal 13 2 2" xfId="412" xr:uid="{00000000-0005-0000-0000-0000F9000000}"/>
    <cellStyle name="Normal 13 2 2 2" xfId="413" xr:uid="{00000000-0005-0000-0000-0000FA000000}"/>
    <cellStyle name="Normal 13 2 2 2 2" xfId="414" xr:uid="{00000000-0005-0000-0000-0000FB000000}"/>
    <cellStyle name="Normal 13 2 2 3" xfId="415" xr:uid="{00000000-0005-0000-0000-0000FC000000}"/>
    <cellStyle name="Normal 13 2 3" xfId="416" xr:uid="{00000000-0005-0000-0000-0000FD000000}"/>
    <cellStyle name="Normal 13 2 3 2" xfId="417" xr:uid="{00000000-0005-0000-0000-0000FE000000}"/>
    <cellStyle name="Normal 13 2 4" xfId="418" xr:uid="{00000000-0005-0000-0000-0000FF000000}"/>
    <cellStyle name="Normal 13 3" xfId="419" xr:uid="{00000000-0005-0000-0000-000000010000}"/>
    <cellStyle name="Normal 13 3 2" xfId="420" xr:uid="{00000000-0005-0000-0000-000001010000}"/>
    <cellStyle name="Normal 13 3 2 2" xfId="421" xr:uid="{00000000-0005-0000-0000-000002010000}"/>
    <cellStyle name="Normal 13 3 3" xfId="422" xr:uid="{00000000-0005-0000-0000-000003010000}"/>
    <cellStyle name="Normal 13 4" xfId="423" xr:uid="{00000000-0005-0000-0000-000004010000}"/>
    <cellStyle name="Normal 13 4 2" xfId="424" xr:uid="{00000000-0005-0000-0000-000005010000}"/>
    <cellStyle name="Normal 13 5" xfId="425" xr:uid="{00000000-0005-0000-0000-000006010000}"/>
    <cellStyle name="Normal 130" xfId="181" xr:uid="{00000000-0005-0000-0000-000007010000}"/>
    <cellStyle name="Normal 130 2" xfId="182" xr:uid="{00000000-0005-0000-0000-000008010000}"/>
    <cellStyle name="Normal 131" xfId="183" xr:uid="{00000000-0005-0000-0000-000009010000}"/>
    <cellStyle name="Normal 131 2" xfId="184" xr:uid="{00000000-0005-0000-0000-00000A010000}"/>
    <cellStyle name="Normal 132" xfId="185" xr:uid="{00000000-0005-0000-0000-00000B010000}"/>
    <cellStyle name="Normal 133" xfId="186" xr:uid="{00000000-0005-0000-0000-00000C010000}"/>
    <cellStyle name="Normal 134" xfId="187" xr:uid="{00000000-0005-0000-0000-00000D010000}"/>
    <cellStyle name="Normal 135" xfId="188" xr:uid="{00000000-0005-0000-0000-00000E010000}"/>
    <cellStyle name="Normal 136" xfId="189" xr:uid="{00000000-0005-0000-0000-00000F010000}"/>
    <cellStyle name="Normal 137" xfId="190" xr:uid="{00000000-0005-0000-0000-000010010000}"/>
    <cellStyle name="Normal 138" xfId="191" xr:uid="{00000000-0005-0000-0000-000011010000}"/>
    <cellStyle name="Normal 139" xfId="111" xr:uid="{00000000-0005-0000-0000-000012010000}"/>
    <cellStyle name="Normal 14" xfId="34" xr:uid="{00000000-0005-0000-0000-000013010000}"/>
    <cellStyle name="Normal 14 2" xfId="35" xr:uid="{00000000-0005-0000-0000-000014010000}"/>
    <cellStyle name="Normal 14 2 2" xfId="426" xr:uid="{00000000-0005-0000-0000-000015010000}"/>
    <cellStyle name="Normal 14 2 2 2" xfId="427" xr:uid="{00000000-0005-0000-0000-000016010000}"/>
    <cellStyle name="Normal 14 2 2 2 2" xfId="428" xr:uid="{00000000-0005-0000-0000-000017010000}"/>
    <cellStyle name="Normal 14 2 2 3" xfId="429" xr:uid="{00000000-0005-0000-0000-000018010000}"/>
    <cellStyle name="Normal 14 2 3" xfId="430" xr:uid="{00000000-0005-0000-0000-000019010000}"/>
    <cellStyle name="Normal 14 2 3 2" xfId="431" xr:uid="{00000000-0005-0000-0000-00001A010000}"/>
    <cellStyle name="Normal 14 2 4" xfId="432" xr:uid="{00000000-0005-0000-0000-00001B010000}"/>
    <cellStyle name="Normal 14 3" xfId="433" xr:uid="{00000000-0005-0000-0000-00001C010000}"/>
    <cellStyle name="Normal 14 3 2" xfId="434" xr:uid="{00000000-0005-0000-0000-00001D010000}"/>
    <cellStyle name="Normal 14 3 2 2" xfId="435" xr:uid="{00000000-0005-0000-0000-00001E010000}"/>
    <cellStyle name="Normal 14 3 3" xfId="436" xr:uid="{00000000-0005-0000-0000-00001F010000}"/>
    <cellStyle name="Normal 14 4" xfId="437" xr:uid="{00000000-0005-0000-0000-000020010000}"/>
    <cellStyle name="Normal 14 4 2" xfId="438" xr:uid="{00000000-0005-0000-0000-000021010000}"/>
    <cellStyle name="Normal 14 5" xfId="439" xr:uid="{00000000-0005-0000-0000-000022010000}"/>
    <cellStyle name="Normal 140" xfId="192" xr:uid="{00000000-0005-0000-0000-000023010000}"/>
    <cellStyle name="Normal 141" xfId="110" xr:uid="{00000000-0005-0000-0000-000024010000}"/>
    <cellStyle name="Normal 142" xfId="193" xr:uid="{00000000-0005-0000-0000-000025010000}"/>
    <cellStyle name="Normal 143" xfId="194" xr:uid="{00000000-0005-0000-0000-000026010000}"/>
    <cellStyle name="Normal 144" xfId="195" xr:uid="{00000000-0005-0000-0000-000027010000}"/>
    <cellStyle name="Normal 145" xfId="1303" xr:uid="{7533554A-3922-4172-A349-AD4F9636626B}"/>
    <cellStyle name="Normal 146" xfId="1304" xr:uid="{65A86AE6-30A6-47C0-84DE-F911D6C1D220}"/>
    <cellStyle name="Normal 15" xfId="36" xr:uid="{00000000-0005-0000-0000-000028010000}"/>
    <cellStyle name="Normal 15 2" xfId="37" xr:uid="{00000000-0005-0000-0000-000029010000}"/>
    <cellStyle name="Normal 15 2 2" xfId="440" xr:uid="{00000000-0005-0000-0000-00002A010000}"/>
    <cellStyle name="Normal 15 2 2 2" xfId="441" xr:uid="{00000000-0005-0000-0000-00002B010000}"/>
    <cellStyle name="Normal 15 2 2 2 2" xfId="442" xr:uid="{00000000-0005-0000-0000-00002C010000}"/>
    <cellStyle name="Normal 15 2 2 3" xfId="443" xr:uid="{00000000-0005-0000-0000-00002D010000}"/>
    <cellStyle name="Normal 15 2 3" xfId="444" xr:uid="{00000000-0005-0000-0000-00002E010000}"/>
    <cellStyle name="Normal 15 2 3 2" xfId="445" xr:uid="{00000000-0005-0000-0000-00002F010000}"/>
    <cellStyle name="Normal 15 2 4" xfId="446" xr:uid="{00000000-0005-0000-0000-000030010000}"/>
    <cellStyle name="Normal 15 3" xfId="447" xr:uid="{00000000-0005-0000-0000-000031010000}"/>
    <cellStyle name="Normal 15 3 2" xfId="448" xr:uid="{00000000-0005-0000-0000-000032010000}"/>
    <cellStyle name="Normal 15 3 2 2" xfId="449" xr:uid="{00000000-0005-0000-0000-000033010000}"/>
    <cellStyle name="Normal 15 3 3" xfId="450" xr:uid="{00000000-0005-0000-0000-000034010000}"/>
    <cellStyle name="Normal 15 4" xfId="451" xr:uid="{00000000-0005-0000-0000-000035010000}"/>
    <cellStyle name="Normal 15 4 2" xfId="452" xr:uid="{00000000-0005-0000-0000-000036010000}"/>
    <cellStyle name="Normal 15 5" xfId="453" xr:uid="{00000000-0005-0000-0000-000037010000}"/>
    <cellStyle name="Normal 16" xfId="38" xr:uid="{00000000-0005-0000-0000-000038010000}"/>
    <cellStyle name="Normal 16 2" xfId="39" xr:uid="{00000000-0005-0000-0000-000039010000}"/>
    <cellStyle name="Normal 16 2 2" xfId="454" xr:uid="{00000000-0005-0000-0000-00003A010000}"/>
    <cellStyle name="Normal 16 2 2 2" xfId="455" xr:uid="{00000000-0005-0000-0000-00003B010000}"/>
    <cellStyle name="Normal 16 2 2 2 2" xfId="456" xr:uid="{00000000-0005-0000-0000-00003C010000}"/>
    <cellStyle name="Normal 16 2 2 3" xfId="457" xr:uid="{00000000-0005-0000-0000-00003D010000}"/>
    <cellStyle name="Normal 16 2 3" xfId="458" xr:uid="{00000000-0005-0000-0000-00003E010000}"/>
    <cellStyle name="Normal 16 2 3 2" xfId="459" xr:uid="{00000000-0005-0000-0000-00003F010000}"/>
    <cellStyle name="Normal 16 2 4" xfId="460" xr:uid="{00000000-0005-0000-0000-000040010000}"/>
    <cellStyle name="Normal 16 3" xfId="461" xr:uid="{00000000-0005-0000-0000-000041010000}"/>
    <cellStyle name="Normal 16 3 2" xfId="462" xr:uid="{00000000-0005-0000-0000-000042010000}"/>
    <cellStyle name="Normal 16 3 2 2" xfId="463" xr:uid="{00000000-0005-0000-0000-000043010000}"/>
    <cellStyle name="Normal 16 3 3" xfId="464" xr:uid="{00000000-0005-0000-0000-000044010000}"/>
    <cellStyle name="Normal 16 4" xfId="465" xr:uid="{00000000-0005-0000-0000-000045010000}"/>
    <cellStyle name="Normal 16 4 2" xfId="466" xr:uid="{00000000-0005-0000-0000-000046010000}"/>
    <cellStyle name="Normal 16 5" xfId="467" xr:uid="{00000000-0005-0000-0000-000047010000}"/>
    <cellStyle name="Normal 17" xfId="40" xr:uid="{00000000-0005-0000-0000-000048010000}"/>
    <cellStyle name="Normal 17 2" xfId="41" xr:uid="{00000000-0005-0000-0000-000049010000}"/>
    <cellStyle name="Normal 17 2 2" xfId="468" xr:uid="{00000000-0005-0000-0000-00004A010000}"/>
    <cellStyle name="Normal 17 2 2 2" xfId="469" xr:uid="{00000000-0005-0000-0000-00004B010000}"/>
    <cellStyle name="Normal 17 2 2 2 2" xfId="470" xr:uid="{00000000-0005-0000-0000-00004C010000}"/>
    <cellStyle name="Normal 17 2 2 3" xfId="471" xr:uid="{00000000-0005-0000-0000-00004D010000}"/>
    <cellStyle name="Normal 17 2 3" xfId="472" xr:uid="{00000000-0005-0000-0000-00004E010000}"/>
    <cellStyle name="Normal 17 2 3 2" xfId="473" xr:uid="{00000000-0005-0000-0000-00004F010000}"/>
    <cellStyle name="Normal 17 2 4" xfId="474" xr:uid="{00000000-0005-0000-0000-000050010000}"/>
    <cellStyle name="Normal 17 3" xfId="475" xr:uid="{00000000-0005-0000-0000-000051010000}"/>
    <cellStyle name="Normal 17 3 2" xfId="476" xr:uid="{00000000-0005-0000-0000-000052010000}"/>
    <cellStyle name="Normal 17 3 2 2" xfId="477" xr:uid="{00000000-0005-0000-0000-000053010000}"/>
    <cellStyle name="Normal 17 3 3" xfId="478" xr:uid="{00000000-0005-0000-0000-000054010000}"/>
    <cellStyle name="Normal 17 4" xfId="479" xr:uid="{00000000-0005-0000-0000-000055010000}"/>
    <cellStyle name="Normal 17 4 2" xfId="480" xr:uid="{00000000-0005-0000-0000-000056010000}"/>
    <cellStyle name="Normal 17 4 3" xfId="481" xr:uid="{00000000-0005-0000-0000-000057010000}"/>
    <cellStyle name="Normal 17 5" xfId="482" xr:uid="{00000000-0005-0000-0000-000058010000}"/>
    <cellStyle name="Normal 18" xfId="42" xr:uid="{00000000-0005-0000-0000-000059010000}"/>
    <cellStyle name="Normal 18 2" xfId="43" xr:uid="{00000000-0005-0000-0000-00005A010000}"/>
    <cellStyle name="Normal 18 2 2" xfId="483" xr:uid="{00000000-0005-0000-0000-00005B010000}"/>
    <cellStyle name="Normal 18 2 2 2" xfId="484" xr:uid="{00000000-0005-0000-0000-00005C010000}"/>
    <cellStyle name="Normal 18 2 2 2 2" xfId="485" xr:uid="{00000000-0005-0000-0000-00005D010000}"/>
    <cellStyle name="Normal 18 2 2 3" xfId="486" xr:uid="{00000000-0005-0000-0000-00005E010000}"/>
    <cellStyle name="Normal 18 2 3" xfId="487" xr:uid="{00000000-0005-0000-0000-00005F010000}"/>
    <cellStyle name="Normal 18 2 3 2" xfId="488" xr:uid="{00000000-0005-0000-0000-000060010000}"/>
    <cellStyle name="Normal 18 2 4" xfId="489" xr:uid="{00000000-0005-0000-0000-000061010000}"/>
    <cellStyle name="Normal 18 3" xfId="490" xr:uid="{00000000-0005-0000-0000-000062010000}"/>
    <cellStyle name="Normal 18 3 2" xfId="491" xr:uid="{00000000-0005-0000-0000-000063010000}"/>
    <cellStyle name="Normal 18 3 2 2" xfId="492" xr:uid="{00000000-0005-0000-0000-000064010000}"/>
    <cellStyle name="Normal 18 3 3" xfId="493" xr:uid="{00000000-0005-0000-0000-000065010000}"/>
    <cellStyle name="Normal 18 4" xfId="494" xr:uid="{00000000-0005-0000-0000-000066010000}"/>
    <cellStyle name="Normal 18 4 2" xfId="495" xr:uid="{00000000-0005-0000-0000-000067010000}"/>
    <cellStyle name="Normal 18 5" xfId="496" xr:uid="{00000000-0005-0000-0000-000068010000}"/>
    <cellStyle name="Normal 19" xfId="44" xr:uid="{00000000-0005-0000-0000-000069010000}"/>
    <cellStyle name="Normal 19 2" xfId="45" xr:uid="{00000000-0005-0000-0000-00006A010000}"/>
    <cellStyle name="Normal 19 2 2" xfId="497" xr:uid="{00000000-0005-0000-0000-00006B010000}"/>
    <cellStyle name="Normal 19 2 2 2" xfId="498" xr:uid="{00000000-0005-0000-0000-00006C010000}"/>
    <cellStyle name="Normal 19 2 2 2 2" xfId="499" xr:uid="{00000000-0005-0000-0000-00006D010000}"/>
    <cellStyle name="Normal 19 2 2 3" xfId="500" xr:uid="{00000000-0005-0000-0000-00006E010000}"/>
    <cellStyle name="Normal 19 2 3" xfId="501" xr:uid="{00000000-0005-0000-0000-00006F010000}"/>
    <cellStyle name="Normal 19 2 3 2" xfId="502" xr:uid="{00000000-0005-0000-0000-000070010000}"/>
    <cellStyle name="Normal 19 2 4" xfId="503" xr:uid="{00000000-0005-0000-0000-000071010000}"/>
    <cellStyle name="Normal 19 3" xfId="504" xr:uid="{00000000-0005-0000-0000-000072010000}"/>
    <cellStyle name="Normal 19 3 2" xfId="505" xr:uid="{00000000-0005-0000-0000-000073010000}"/>
    <cellStyle name="Normal 19 3 2 2" xfId="506" xr:uid="{00000000-0005-0000-0000-000074010000}"/>
    <cellStyle name="Normal 19 3 3" xfId="507" xr:uid="{00000000-0005-0000-0000-000075010000}"/>
    <cellStyle name="Normal 19 4" xfId="508" xr:uid="{00000000-0005-0000-0000-000076010000}"/>
    <cellStyle name="Normal 19 4 2" xfId="509" xr:uid="{00000000-0005-0000-0000-000077010000}"/>
    <cellStyle name="Normal 19 5" xfId="510" xr:uid="{00000000-0005-0000-0000-000078010000}"/>
    <cellStyle name="Normal 2" xfId="7" xr:uid="{00000000-0005-0000-0000-000079010000}"/>
    <cellStyle name="Normal 2 10" xfId="511" xr:uid="{00000000-0005-0000-0000-00007A010000}"/>
    <cellStyle name="Normal 2 2" xfId="46" xr:uid="{00000000-0005-0000-0000-00007B010000}"/>
    <cellStyle name="Normal 2 2 2" xfId="5" xr:uid="{00000000-0005-0000-0000-00007C010000}"/>
    <cellStyle name="Normal 2 2 2 2" xfId="512" xr:uid="{00000000-0005-0000-0000-00007D010000}"/>
    <cellStyle name="Normal 2 2 2 2 2" xfId="513" xr:uid="{00000000-0005-0000-0000-00007E010000}"/>
    <cellStyle name="Normal 2 2 2 2 2 2" xfId="514" xr:uid="{00000000-0005-0000-0000-00007F010000}"/>
    <cellStyle name="Normal 2 2 2 2 3" xfId="515" xr:uid="{00000000-0005-0000-0000-000080010000}"/>
    <cellStyle name="Normal 2 2 2 3" xfId="516" xr:uid="{00000000-0005-0000-0000-000081010000}"/>
    <cellStyle name="Normal 2 2 2 3 2" xfId="517" xr:uid="{00000000-0005-0000-0000-000082010000}"/>
    <cellStyle name="Normal 2 2 2 4" xfId="518" xr:uid="{00000000-0005-0000-0000-000083010000}"/>
    <cellStyle name="Normal 2 2 3" xfId="519" xr:uid="{00000000-0005-0000-0000-000084010000}"/>
    <cellStyle name="Normal 2 2 3 2" xfId="520" xr:uid="{00000000-0005-0000-0000-000085010000}"/>
    <cellStyle name="Normal 2 2 3 2 2" xfId="521" xr:uid="{00000000-0005-0000-0000-000086010000}"/>
    <cellStyle name="Normal 2 2 3 3" xfId="522" xr:uid="{00000000-0005-0000-0000-000087010000}"/>
    <cellStyle name="Normal 2 2 4" xfId="523" xr:uid="{00000000-0005-0000-0000-000088010000}"/>
    <cellStyle name="Normal 2 2 4 2" xfId="524" xr:uid="{00000000-0005-0000-0000-000089010000}"/>
    <cellStyle name="Normal 2 2 5" xfId="525" xr:uid="{00000000-0005-0000-0000-00008A010000}"/>
    <cellStyle name="Normal 2 3" xfId="47" xr:uid="{00000000-0005-0000-0000-00008B010000}"/>
    <cellStyle name="Normal 2 3 2" xfId="48" xr:uid="{00000000-0005-0000-0000-00008C010000}"/>
    <cellStyle name="Normal 2 3 2 2" xfId="526" xr:uid="{00000000-0005-0000-0000-00008D010000}"/>
    <cellStyle name="Normal 2 3 2 2 2" xfId="527" xr:uid="{00000000-0005-0000-0000-00008E010000}"/>
    <cellStyle name="Normal 2 3 2 2 2 2" xfId="528" xr:uid="{00000000-0005-0000-0000-00008F010000}"/>
    <cellStyle name="Normal 2 3 2 2 3" xfId="529" xr:uid="{00000000-0005-0000-0000-000090010000}"/>
    <cellStyle name="Normal 2 3 2 3" xfId="530" xr:uid="{00000000-0005-0000-0000-000091010000}"/>
    <cellStyle name="Normal 2 3 2 3 2" xfId="531" xr:uid="{00000000-0005-0000-0000-000092010000}"/>
    <cellStyle name="Normal 2 3 2 4" xfId="532" xr:uid="{00000000-0005-0000-0000-000093010000}"/>
    <cellStyle name="Normal 2 3 3" xfId="533" xr:uid="{00000000-0005-0000-0000-000094010000}"/>
    <cellStyle name="Normal 2 3 3 2" xfId="534" xr:uid="{00000000-0005-0000-0000-000095010000}"/>
    <cellStyle name="Normal 2 3 3 2 2" xfId="535" xr:uid="{00000000-0005-0000-0000-000096010000}"/>
    <cellStyle name="Normal 2 3 3 3" xfId="536" xr:uid="{00000000-0005-0000-0000-000097010000}"/>
    <cellStyle name="Normal 2 3 4" xfId="537" xr:uid="{00000000-0005-0000-0000-000098010000}"/>
    <cellStyle name="Normal 2 3 4 2" xfId="538" xr:uid="{00000000-0005-0000-0000-000099010000}"/>
    <cellStyle name="Normal 2 3 5" xfId="539" xr:uid="{00000000-0005-0000-0000-00009A010000}"/>
    <cellStyle name="Normal 2 4" xfId="49" xr:uid="{00000000-0005-0000-0000-00009B010000}"/>
    <cellStyle name="Normal 2 4 2" xfId="50" xr:uid="{00000000-0005-0000-0000-00009C010000}"/>
    <cellStyle name="Normal 2 4 2 2" xfId="51" xr:uid="{00000000-0005-0000-0000-00009D010000}"/>
    <cellStyle name="Normal 2 4 2 2 2" xfId="540" xr:uid="{00000000-0005-0000-0000-00009E010000}"/>
    <cellStyle name="Normal 2 4 2 2 2 2" xfId="541" xr:uid="{00000000-0005-0000-0000-00009F010000}"/>
    <cellStyle name="Normal 2 4 2 2 2 2 2" xfId="542" xr:uid="{00000000-0005-0000-0000-0000A0010000}"/>
    <cellStyle name="Normal 2 4 2 2 2 3" xfId="543" xr:uid="{00000000-0005-0000-0000-0000A1010000}"/>
    <cellStyle name="Normal 2 4 2 2 3" xfId="544" xr:uid="{00000000-0005-0000-0000-0000A2010000}"/>
    <cellStyle name="Normal 2 4 2 2 3 2" xfId="545" xr:uid="{00000000-0005-0000-0000-0000A3010000}"/>
    <cellStyle name="Normal 2 4 2 2 4" xfId="546" xr:uid="{00000000-0005-0000-0000-0000A4010000}"/>
    <cellStyle name="Normal 2 4 2 3" xfId="547" xr:uid="{00000000-0005-0000-0000-0000A5010000}"/>
    <cellStyle name="Normal 2 4 2 3 2" xfId="548" xr:uid="{00000000-0005-0000-0000-0000A6010000}"/>
    <cellStyle name="Normal 2 4 2 3 2 2" xfId="549" xr:uid="{00000000-0005-0000-0000-0000A7010000}"/>
    <cellStyle name="Normal 2 4 2 3 3" xfId="550" xr:uid="{00000000-0005-0000-0000-0000A8010000}"/>
    <cellStyle name="Normal 2 4 2 4" xfId="551" xr:uid="{00000000-0005-0000-0000-0000A9010000}"/>
    <cellStyle name="Normal 2 4 2 4 2" xfId="552" xr:uid="{00000000-0005-0000-0000-0000AA010000}"/>
    <cellStyle name="Normal 2 4 2 5" xfId="553" xr:uid="{00000000-0005-0000-0000-0000AB010000}"/>
    <cellStyle name="Normal 2 4 3" xfId="52" xr:uid="{00000000-0005-0000-0000-0000AC010000}"/>
    <cellStyle name="Normal 2 4 3 2" xfId="554" xr:uid="{00000000-0005-0000-0000-0000AD010000}"/>
    <cellStyle name="Normal 2 4 3 2 2" xfId="555" xr:uid="{00000000-0005-0000-0000-0000AE010000}"/>
    <cellStyle name="Normal 2 4 3 2 2 2" xfId="556" xr:uid="{00000000-0005-0000-0000-0000AF010000}"/>
    <cellStyle name="Normal 2 4 3 2 3" xfId="557" xr:uid="{00000000-0005-0000-0000-0000B0010000}"/>
    <cellStyle name="Normal 2 4 3 3" xfId="558" xr:uid="{00000000-0005-0000-0000-0000B1010000}"/>
    <cellStyle name="Normal 2 4 3 3 2" xfId="559" xr:uid="{00000000-0005-0000-0000-0000B2010000}"/>
    <cellStyle name="Normal 2 4 3 4" xfId="560" xr:uid="{00000000-0005-0000-0000-0000B3010000}"/>
    <cellStyle name="Normal 2 4 4" xfId="561" xr:uid="{00000000-0005-0000-0000-0000B4010000}"/>
    <cellStyle name="Normal 2 4 4 2" xfId="562" xr:uid="{00000000-0005-0000-0000-0000B5010000}"/>
    <cellStyle name="Normal 2 4 4 2 2" xfId="563" xr:uid="{00000000-0005-0000-0000-0000B6010000}"/>
    <cellStyle name="Normal 2 4 4 3" xfId="564" xr:uid="{00000000-0005-0000-0000-0000B7010000}"/>
    <cellStyle name="Normal 2 4 5" xfId="565" xr:uid="{00000000-0005-0000-0000-0000B8010000}"/>
    <cellStyle name="Normal 2 4 5 2" xfId="566" xr:uid="{00000000-0005-0000-0000-0000B9010000}"/>
    <cellStyle name="Normal 2 4 6" xfId="567" xr:uid="{00000000-0005-0000-0000-0000BA010000}"/>
    <cellStyle name="Normal 2 5" xfId="53" xr:uid="{00000000-0005-0000-0000-0000BB010000}"/>
    <cellStyle name="Normal 2 5 2" xfId="568" xr:uid="{00000000-0005-0000-0000-0000BC010000}"/>
    <cellStyle name="Normal 2 5 2 2" xfId="569" xr:uid="{00000000-0005-0000-0000-0000BD010000}"/>
    <cellStyle name="Normal 2 5 2 2 2" xfId="570" xr:uid="{00000000-0005-0000-0000-0000BE010000}"/>
    <cellStyle name="Normal 2 5 2 3" xfId="571" xr:uid="{00000000-0005-0000-0000-0000BF010000}"/>
    <cellStyle name="Normal 2 5 3" xfId="572" xr:uid="{00000000-0005-0000-0000-0000C0010000}"/>
    <cellStyle name="Normal 2 5 3 2" xfId="573" xr:uid="{00000000-0005-0000-0000-0000C1010000}"/>
    <cellStyle name="Normal 2 5 4" xfId="574" xr:uid="{00000000-0005-0000-0000-0000C2010000}"/>
    <cellStyle name="Normal 2 6" xfId="575" xr:uid="{00000000-0005-0000-0000-0000C3010000}"/>
    <cellStyle name="Normal 2 6 2" xfId="576" xr:uid="{00000000-0005-0000-0000-0000C4010000}"/>
    <cellStyle name="Normal 2 6 2 2" xfId="577" xr:uid="{00000000-0005-0000-0000-0000C5010000}"/>
    <cellStyle name="Normal 2 6 2 2 2" xfId="578" xr:uid="{00000000-0005-0000-0000-0000C6010000}"/>
    <cellStyle name="Normal 2 6 2 3" xfId="579" xr:uid="{00000000-0005-0000-0000-0000C7010000}"/>
    <cellStyle name="Normal 2 6 3" xfId="580" xr:uid="{00000000-0005-0000-0000-0000C8010000}"/>
    <cellStyle name="Normal 2 6 3 2" xfId="581" xr:uid="{00000000-0005-0000-0000-0000C9010000}"/>
    <cellStyle name="Normal 2 6 4" xfId="582" xr:uid="{00000000-0005-0000-0000-0000CA010000}"/>
    <cellStyle name="Normal 2 7" xfId="583" xr:uid="{00000000-0005-0000-0000-0000CB010000}"/>
    <cellStyle name="Normal 2 7 2" xfId="584" xr:uid="{00000000-0005-0000-0000-0000CC010000}"/>
    <cellStyle name="Normal 2 7 2 2" xfId="585" xr:uid="{00000000-0005-0000-0000-0000CD010000}"/>
    <cellStyle name="Normal 2 7 3" xfId="586" xr:uid="{00000000-0005-0000-0000-0000CE010000}"/>
    <cellStyle name="Normal 2 7 4" xfId="587" xr:uid="{00000000-0005-0000-0000-0000CF010000}"/>
    <cellStyle name="Normal 2 8" xfId="588" xr:uid="{00000000-0005-0000-0000-0000D0010000}"/>
    <cellStyle name="Normal 2 8 2" xfId="589" xr:uid="{00000000-0005-0000-0000-0000D1010000}"/>
    <cellStyle name="Normal 2 9" xfId="590" xr:uid="{00000000-0005-0000-0000-0000D2010000}"/>
    <cellStyle name="Normal 2 9 2" xfId="591" xr:uid="{00000000-0005-0000-0000-0000D3010000}"/>
    <cellStyle name="Normal 20" xfId="54" xr:uid="{00000000-0005-0000-0000-0000D4010000}"/>
    <cellStyle name="Normal 20 2" xfId="55" xr:uid="{00000000-0005-0000-0000-0000D5010000}"/>
    <cellStyle name="Normal 20 2 2" xfId="196" xr:uid="{00000000-0005-0000-0000-0000D6010000}"/>
    <cellStyle name="Normal 20 2 2 2" xfId="592" xr:uid="{00000000-0005-0000-0000-0000D7010000}"/>
    <cellStyle name="Normal 20 2 2 2 2" xfId="593" xr:uid="{00000000-0005-0000-0000-0000D8010000}"/>
    <cellStyle name="Normal 20 2 2 3" xfId="594" xr:uid="{00000000-0005-0000-0000-0000D9010000}"/>
    <cellStyle name="Normal 20 2 3" xfId="595" xr:uid="{00000000-0005-0000-0000-0000DA010000}"/>
    <cellStyle name="Normal 20 2 3 2" xfId="596" xr:uid="{00000000-0005-0000-0000-0000DB010000}"/>
    <cellStyle name="Normal 20 2 4" xfId="597" xr:uid="{00000000-0005-0000-0000-0000DC010000}"/>
    <cellStyle name="Normal 20 3" xfId="197" xr:uid="{00000000-0005-0000-0000-0000DD010000}"/>
    <cellStyle name="Normal 20 3 2" xfId="598" xr:uid="{00000000-0005-0000-0000-0000DE010000}"/>
    <cellStyle name="Normal 20 3 2 2" xfId="599" xr:uid="{00000000-0005-0000-0000-0000DF010000}"/>
    <cellStyle name="Normal 20 3 3" xfId="600" xr:uid="{00000000-0005-0000-0000-0000E0010000}"/>
    <cellStyle name="Normal 20 4" xfId="601" xr:uid="{00000000-0005-0000-0000-0000E1010000}"/>
    <cellStyle name="Normal 20 4 2" xfId="602" xr:uid="{00000000-0005-0000-0000-0000E2010000}"/>
    <cellStyle name="Normal 20 5" xfId="603" xr:uid="{00000000-0005-0000-0000-0000E3010000}"/>
    <cellStyle name="Normal 21" xfId="56" xr:uid="{00000000-0005-0000-0000-0000E4010000}"/>
    <cellStyle name="Normal 21 2" xfId="57" xr:uid="{00000000-0005-0000-0000-0000E5010000}"/>
    <cellStyle name="Normal 21 2 2" xfId="604" xr:uid="{00000000-0005-0000-0000-0000E6010000}"/>
    <cellStyle name="Normal 21 2 2 2" xfId="605" xr:uid="{00000000-0005-0000-0000-0000E7010000}"/>
    <cellStyle name="Normal 21 2 2 2 2" xfId="606" xr:uid="{00000000-0005-0000-0000-0000E8010000}"/>
    <cellStyle name="Normal 21 2 2 3" xfId="607" xr:uid="{00000000-0005-0000-0000-0000E9010000}"/>
    <cellStyle name="Normal 21 2 3" xfId="608" xr:uid="{00000000-0005-0000-0000-0000EA010000}"/>
    <cellStyle name="Normal 21 2 3 2" xfId="609" xr:uid="{00000000-0005-0000-0000-0000EB010000}"/>
    <cellStyle name="Normal 21 2 4" xfId="610" xr:uid="{00000000-0005-0000-0000-0000EC010000}"/>
    <cellStyle name="Normal 21 3" xfId="611" xr:uid="{00000000-0005-0000-0000-0000ED010000}"/>
    <cellStyle name="Normal 21 3 2" xfId="612" xr:uid="{00000000-0005-0000-0000-0000EE010000}"/>
    <cellStyle name="Normal 21 3 2 2" xfId="613" xr:uid="{00000000-0005-0000-0000-0000EF010000}"/>
    <cellStyle name="Normal 21 3 3" xfId="614" xr:uid="{00000000-0005-0000-0000-0000F0010000}"/>
    <cellStyle name="Normal 21 4" xfId="615" xr:uid="{00000000-0005-0000-0000-0000F1010000}"/>
    <cellStyle name="Normal 21 4 2" xfId="616" xr:uid="{00000000-0005-0000-0000-0000F2010000}"/>
    <cellStyle name="Normal 21 4 3" xfId="617" xr:uid="{00000000-0005-0000-0000-0000F3010000}"/>
    <cellStyle name="Normal 21 5" xfId="618" xr:uid="{00000000-0005-0000-0000-0000F4010000}"/>
    <cellStyle name="Normal 21 6" xfId="619" xr:uid="{00000000-0005-0000-0000-0000F5010000}"/>
    <cellStyle name="Normal 21 7" xfId="620" xr:uid="{00000000-0005-0000-0000-0000F6010000}"/>
    <cellStyle name="Normal 22" xfId="58" xr:uid="{00000000-0005-0000-0000-0000F7010000}"/>
    <cellStyle name="Normal 22 2" xfId="59" xr:uid="{00000000-0005-0000-0000-0000F8010000}"/>
    <cellStyle name="Normal 22 2 2" xfId="621" xr:uid="{00000000-0005-0000-0000-0000F9010000}"/>
    <cellStyle name="Normal 22 2 2 2" xfId="622" xr:uid="{00000000-0005-0000-0000-0000FA010000}"/>
    <cellStyle name="Normal 22 2 2 2 2" xfId="623" xr:uid="{00000000-0005-0000-0000-0000FB010000}"/>
    <cellStyle name="Normal 22 2 2 3" xfId="624" xr:uid="{00000000-0005-0000-0000-0000FC010000}"/>
    <cellStyle name="Normal 22 2 3" xfId="625" xr:uid="{00000000-0005-0000-0000-0000FD010000}"/>
    <cellStyle name="Normal 22 2 3 2" xfId="626" xr:uid="{00000000-0005-0000-0000-0000FE010000}"/>
    <cellStyle name="Normal 22 2 4" xfId="627" xr:uid="{00000000-0005-0000-0000-0000FF010000}"/>
    <cellStyle name="Normal 22 3" xfId="628" xr:uid="{00000000-0005-0000-0000-000000020000}"/>
    <cellStyle name="Normal 22 3 2" xfId="629" xr:uid="{00000000-0005-0000-0000-000001020000}"/>
    <cellStyle name="Normal 22 3 2 2" xfId="630" xr:uid="{00000000-0005-0000-0000-000002020000}"/>
    <cellStyle name="Normal 22 3 3" xfId="631" xr:uid="{00000000-0005-0000-0000-000003020000}"/>
    <cellStyle name="Normal 22 4" xfId="632" xr:uid="{00000000-0005-0000-0000-000004020000}"/>
    <cellStyle name="Normal 22 4 2" xfId="633" xr:uid="{00000000-0005-0000-0000-000005020000}"/>
    <cellStyle name="Normal 22 4 3" xfId="634" xr:uid="{00000000-0005-0000-0000-000006020000}"/>
    <cellStyle name="Normal 22 5" xfId="635" xr:uid="{00000000-0005-0000-0000-000007020000}"/>
    <cellStyle name="Normal 22 6" xfId="636" xr:uid="{00000000-0005-0000-0000-000008020000}"/>
    <cellStyle name="Normal 22 7" xfId="637" xr:uid="{00000000-0005-0000-0000-000009020000}"/>
    <cellStyle name="Normal 23" xfId="60" xr:uid="{00000000-0005-0000-0000-00000A020000}"/>
    <cellStyle name="Normal 23 2" xfId="61" xr:uid="{00000000-0005-0000-0000-00000B020000}"/>
    <cellStyle name="Normal 23 2 2" xfId="638" xr:uid="{00000000-0005-0000-0000-00000C020000}"/>
    <cellStyle name="Normal 23 2 2 2" xfId="639" xr:uid="{00000000-0005-0000-0000-00000D020000}"/>
    <cellStyle name="Normal 23 2 2 2 2" xfId="640" xr:uid="{00000000-0005-0000-0000-00000E020000}"/>
    <cellStyle name="Normal 23 2 2 3" xfId="641" xr:uid="{00000000-0005-0000-0000-00000F020000}"/>
    <cellStyle name="Normal 23 2 3" xfId="642" xr:uid="{00000000-0005-0000-0000-000010020000}"/>
    <cellStyle name="Normal 23 2 3 2" xfId="643" xr:uid="{00000000-0005-0000-0000-000011020000}"/>
    <cellStyle name="Normal 23 2 4" xfId="644" xr:uid="{00000000-0005-0000-0000-000012020000}"/>
    <cellStyle name="Normal 23 3" xfId="645" xr:uid="{00000000-0005-0000-0000-000013020000}"/>
    <cellStyle name="Normal 23 3 2" xfId="646" xr:uid="{00000000-0005-0000-0000-000014020000}"/>
    <cellStyle name="Normal 23 3 2 2" xfId="647" xr:uid="{00000000-0005-0000-0000-000015020000}"/>
    <cellStyle name="Normal 23 3 3" xfId="648" xr:uid="{00000000-0005-0000-0000-000016020000}"/>
    <cellStyle name="Normal 23 4" xfId="649" xr:uid="{00000000-0005-0000-0000-000017020000}"/>
    <cellStyle name="Normal 23 4 2" xfId="650" xr:uid="{00000000-0005-0000-0000-000018020000}"/>
    <cellStyle name="Normal 23 4 3" xfId="651" xr:uid="{00000000-0005-0000-0000-000019020000}"/>
    <cellStyle name="Normal 23 5" xfId="652" xr:uid="{00000000-0005-0000-0000-00001A020000}"/>
    <cellStyle name="Normal 23 6" xfId="653" xr:uid="{00000000-0005-0000-0000-00001B020000}"/>
    <cellStyle name="Normal 23 7" xfId="654" xr:uid="{00000000-0005-0000-0000-00001C020000}"/>
    <cellStyle name="Normal 24" xfId="62" xr:uid="{00000000-0005-0000-0000-00001D020000}"/>
    <cellStyle name="Normal 24 2" xfId="63" xr:uid="{00000000-0005-0000-0000-00001E020000}"/>
    <cellStyle name="Normal 24 2 2" xfId="655" xr:uid="{00000000-0005-0000-0000-00001F020000}"/>
    <cellStyle name="Normal 24 2 2 2" xfId="656" xr:uid="{00000000-0005-0000-0000-000020020000}"/>
    <cellStyle name="Normal 24 2 2 2 2" xfId="657" xr:uid="{00000000-0005-0000-0000-000021020000}"/>
    <cellStyle name="Normal 24 2 2 3" xfId="658" xr:uid="{00000000-0005-0000-0000-000022020000}"/>
    <cellStyle name="Normal 24 2 3" xfId="659" xr:uid="{00000000-0005-0000-0000-000023020000}"/>
    <cellStyle name="Normal 24 2 3 2" xfId="660" xr:uid="{00000000-0005-0000-0000-000024020000}"/>
    <cellStyle name="Normal 24 2 4" xfId="661" xr:uid="{00000000-0005-0000-0000-000025020000}"/>
    <cellStyle name="Normal 24 3" xfId="662" xr:uid="{00000000-0005-0000-0000-000026020000}"/>
    <cellStyle name="Normal 24 3 2" xfId="663" xr:uid="{00000000-0005-0000-0000-000027020000}"/>
    <cellStyle name="Normal 24 3 2 2" xfId="664" xr:uid="{00000000-0005-0000-0000-000028020000}"/>
    <cellStyle name="Normal 24 3 3" xfId="665" xr:uid="{00000000-0005-0000-0000-000029020000}"/>
    <cellStyle name="Normal 24 4" xfId="666" xr:uid="{00000000-0005-0000-0000-00002A020000}"/>
    <cellStyle name="Normal 24 4 2" xfId="667" xr:uid="{00000000-0005-0000-0000-00002B020000}"/>
    <cellStyle name="Normal 24 5" xfId="668" xr:uid="{00000000-0005-0000-0000-00002C020000}"/>
    <cellStyle name="Normal 25" xfId="64" xr:uid="{00000000-0005-0000-0000-00002D020000}"/>
    <cellStyle name="Normal 25 2" xfId="65" xr:uid="{00000000-0005-0000-0000-00002E020000}"/>
    <cellStyle name="Normal 25 2 2" xfId="669" xr:uid="{00000000-0005-0000-0000-00002F020000}"/>
    <cellStyle name="Normal 25 2 2 2" xfId="670" xr:uid="{00000000-0005-0000-0000-000030020000}"/>
    <cellStyle name="Normal 25 2 2 2 2" xfId="671" xr:uid="{00000000-0005-0000-0000-000031020000}"/>
    <cellStyle name="Normal 25 2 2 3" xfId="672" xr:uid="{00000000-0005-0000-0000-000032020000}"/>
    <cellStyle name="Normal 25 2 3" xfId="673" xr:uid="{00000000-0005-0000-0000-000033020000}"/>
    <cellStyle name="Normal 25 2 3 2" xfId="674" xr:uid="{00000000-0005-0000-0000-000034020000}"/>
    <cellStyle name="Normal 25 2 4" xfId="675" xr:uid="{00000000-0005-0000-0000-000035020000}"/>
    <cellStyle name="Normal 25 3" xfId="676" xr:uid="{00000000-0005-0000-0000-000036020000}"/>
    <cellStyle name="Normal 25 3 2" xfId="677" xr:uid="{00000000-0005-0000-0000-000037020000}"/>
    <cellStyle name="Normal 25 3 2 2" xfId="678" xr:uid="{00000000-0005-0000-0000-000038020000}"/>
    <cellStyle name="Normal 25 3 3" xfId="679" xr:uid="{00000000-0005-0000-0000-000039020000}"/>
    <cellStyle name="Normal 25 4" xfId="680" xr:uid="{00000000-0005-0000-0000-00003A020000}"/>
    <cellStyle name="Normal 25 4 2" xfId="681" xr:uid="{00000000-0005-0000-0000-00003B020000}"/>
    <cellStyle name="Normal 25 5" xfId="682" xr:uid="{00000000-0005-0000-0000-00003C020000}"/>
    <cellStyle name="Normal 26" xfId="66" xr:uid="{00000000-0005-0000-0000-00003D020000}"/>
    <cellStyle name="Normal 26 2" xfId="67" xr:uid="{00000000-0005-0000-0000-00003E020000}"/>
    <cellStyle name="Normal 26 2 2" xfId="683" xr:uid="{00000000-0005-0000-0000-00003F020000}"/>
    <cellStyle name="Normal 26 2 2 2" xfId="684" xr:uid="{00000000-0005-0000-0000-000040020000}"/>
    <cellStyle name="Normal 26 2 2 2 2" xfId="685" xr:uid="{00000000-0005-0000-0000-000041020000}"/>
    <cellStyle name="Normal 26 2 2 3" xfId="686" xr:uid="{00000000-0005-0000-0000-000042020000}"/>
    <cellStyle name="Normal 26 2 3" xfId="687" xr:uid="{00000000-0005-0000-0000-000043020000}"/>
    <cellStyle name="Normal 26 2 3 2" xfId="688" xr:uid="{00000000-0005-0000-0000-000044020000}"/>
    <cellStyle name="Normal 26 2 4" xfId="689" xr:uid="{00000000-0005-0000-0000-000045020000}"/>
    <cellStyle name="Normal 26 3" xfId="690" xr:uid="{00000000-0005-0000-0000-000046020000}"/>
    <cellStyle name="Normal 26 3 2" xfId="691" xr:uid="{00000000-0005-0000-0000-000047020000}"/>
    <cellStyle name="Normal 26 3 2 2" xfId="692" xr:uid="{00000000-0005-0000-0000-000048020000}"/>
    <cellStyle name="Normal 26 3 3" xfId="693" xr:uid="{00000000-0005-0000-0000-000049020000}"/>
    <cellStyle name="Normal 26 4" xfId="694" xr:uid="{00000000-0005-0000-0000-00004A020000}"/>
    <cellStyle name="Normal 26 4 2" xfId="695" xr:uid="{00000000-0005-0000-0000-00004B020000}"/>
    <cellStyle name="Normal 26 5" xfId="696" xr:uid="{00000000-0005-0000-0000-00004C020000}"/>
    <cellStyle name="Normal 27" xfId="68" xr:uid="{00000000-0005-0000-0000-00004D020000}"/>
    <cellStyle name="Normal 27 2" xfId="69" xr:uid="{00000000-0005-0000-0000-00004E020000}"/>
    <cellStyle name="Normal 27 2 2" xfId="697" xr:uid="{00000000-0005-0000-0000-00004F020000}"/>
    <cellStyle name="Normal 27 2 2 2" xfId="698" xr:uid="{00000000-0005-0000-0000-000050020000}"/>
    <cellStyle name="Normal 27 2 2 2 2" xfId="699" xr:uid="{00000000-0005-0000-0000-000051020000}"/>
    <cellStyle name="Normal 27 2 2 3" xfId="700" xr:uid="{00000000-0005-0000-0000-000052020000}"/>
    <cellStyle name="Normal 27 2 3" xfId="701" xr:uid="{00000000-0005-0000-0000-000053020000}"/>
    <cellStyle name="Normal 27 2 3 2" xfId="702" xr:uid="{00000000-0005-0000-0000-000054020000}"/>
    <cellStyle name="Normal 27 2 4" xfId="703" xr:uid="{00000000-0005-0000-0000-000055020000}"/>
    <cellStyle name="Normal 27 3" xfId="704" xr:uid="{00000000-0005-0000-0000-000056020000}"/>
    <cellStyle name="Normal 27 3 2" xfId="705" xr:uid="{00000000-0005-0000-0000-000057020000}"/>
    <cellStyle name="Normal 27 3 2 2" xfId="706" xr:uid="{00000000-0005-0000-0000-000058020000}"/>
    <cellStyle name="Normal 27 3 3" xfId="707" xr:uid="{00000000-0005-0000-0000-000059020000}"/>
    <cellStyle name="Normal 27 4" xfId="708" xr:uid="{00000000-0005-0000-0000-00005A020000}"/>
    <cellStyle name="Normal 27 4 2" xfId="709" xr:uid="{00000000-0005-0000-0000-00005B020000}"/>
    <cellStyle name="Normal 27 5" xfId="710" xr:uid="{00000000-0005-0000-0000-00005C020000}"/>
    <cellStyle name="Normal 28" xfId="70" xr:uid="{00000000-0005-0000-0000-00005D020000}"/>
    <cellStyle name="Normal 28 2" xfId="71" xr:uid="{00000000-0005-0000-0000-00005E020000}"/>
    <cellStyle name="Normal 28 2 2" xfId="711" xr:uid="{00000000-0005-0000-0000-00005F020000}"/>
    <cellStyle name="Normal 28 2 2 2" xfId="712" xr:uid="{00000000-0005-0000-0000-000060020000}"/>
    <cellStyle name="Normal 28 2 2 2 2" xfId="713" xr:uid="{00000000-0005-0000-0000-000061020000}"/>
    <cellStyle name="Normal 28 2 2 3" xfId="714" xr:uid="{00000000-0005-0000-0000-000062020000}"/>
    <cellStyle name="Normal 28 2 3" xfId="715" xr:uid="{00000000-0005-0000-0000-000063020000}"/>
    <cellStyle name="Normal 28 2 3 2" xfId="716" xr:uid="{00000000-0005-0000-0000-000064020000}"/>
    <cellStyle name="Normal 28 2 4" xfId="717" xr:uid="{00000000-0005-0000-0000-000065020000}"/>
    <cellStyle name="Normal 28 3" xfId="718" xr:uid="{00000000-0005-0000-0000-000066020000}"/>
    <cellStyle name="Normal 28 3 2" xfId="719" xr:uid="{00000000-0005-0000-0000-000067020000}"/>
    <cellStyle name="Normal 28 3 2 2" xfId="720" xr:uid="{00000000-0005-0000-0000-000068020000}"/>
    <cellStyle name="Normal 28 3 3" xfId="721" xr:uid="{00000000-0005-0000-0000-000069020000}"/>
    <cellStyle name="Normal 28 4" xfId="722" xr:uid="{00000000-0005-0000-0000-00006A020000}"/>
    <cellStyle name="Normal 28 4 2" xfId="723" xr:uid="{00000000-0005-0000-0000-00006B020000}"/>
    <cellStyle name="Normal 28 5" xfId="724" xr:uid="{00000000-0005-0000-0000-00006C020000}"/>
    <cellStyle name="Normal 29" xfId="72" xr:uid="{00000000-0005-0000-0000-00006D020000}"/>
    <cellStyle name="Normal 29 2" xfId="73" xr:uid="{00000000-0005-0000-0000-00006E020000}"/>
    <cellStyle name="Normal 29 2 2" xfId="725" xr:uid="{00000000-0005-0000-0000-00006F020000}"/>
    <cellStyle name="Normal 29 2 2 2" xfId="726" xr:uid="{00000000-0005-0000-0000-000070020000}"/>
    <cellStyle name="Normal 29 2 2 2 2" xfId="727" xr:uid="{00000000-0005-0000-0000-000071020000}"/>
    <cellStyle name="Normal 29 2 2 3" xfId="728" xr:uid="{00000000-0005-0000-0000-000072020000}"/>
    <cellStyle name="Normal 29 2 3" xfId="729" xr:uid="{00000000-0005-0000-0000-000073020000}"/>
    <cellStyle name="Normal 29 2 3 2" xfId="730" xr:uid="{00000000-0005-0000-0000-000074020000}"/>
    <cellStyle name="Normal 29 2 4" xfId="731" xr:uid="{00000000-0005-0000-0000-000075020000}"/>
    <cellStyle name="Normal 29 3" xfId="732" xr:uid="{00000000-0005-0000-0000-000076020000}"/>
    <cellStyle name="Normal 29 3 2" xfId="733" xr:uid="{00000000-0005-0000-0000-000077020000}"/>
    <cellStyle name="Normal 29 3 2 2" xfId="734" xr:uid="{00000000-0005-0000-0000-000078020000}"/>
    <cellStyle name="Normal 29 3 3" xfId="735" xr:uid="{00000000-0005-0000-0000-000079020000}"/>
    <cellStyle name="Normal 29 4" xfId="736" xr:uid="{00000000-0005-0000-0000-00007A020000}"/>
    <cellStyle name="Normal 29 4 2" xfId="737" xr:uid="{00000000-0005-0000-0000-00007B020000}"/>
    <cellStyle name="Normal 29 5" xfId="738" xr:uid="{00000000-0005-0000-0000-00007C020000}"/>
    <cellStyle name="Normal 3" xfId="8" xr:uid="{00000000-0005-0000-0000-00007D020000}"/>
    <cellStyle name="Normal 3 2" xfId="74" xr:uid="{00000000-0005-0000-0000-00007E020000}"/>
    <cellStyle name="Normal 3 3" xfId="112" xr:uid="{00000000-0005-0000-0000-00007F020000}"/>
    <cellStyle name="Normal 3 3 2" xfId="739" xr:uid="{00000000-0005-0000-0000-000080020000}"/>
    <cellStyle name="Normal 30" xfId="2" xr:uid="{00000000-0005-0000-0000-000081020000}"/>
    <cellStyle name="Normal 30 2" xfId="75" xr:uid="{00000000-0005-0000-0000-000082020000}"/>
    <cellStyle name="Normal 31" xfId="76" xr:uid="{00000000-0005-0000-0000-000083020000}"/>
    <cellStyle name="Normal 31 2" xfId="198" xr:uid="{00000000-0005-0000-0000-000084020000}"/>
    <cellStyle name="Normal 31 2 2" xfId="199" xr:uid="{00000000-0005-0000-0000-000085020000}"/>
    <cellStyle name="Normal 31 3" xfId="200" xr:uid="{00000000-0005-0000-0000-000086020000}"/>
    <cellStyle name="Normal 32" xfId="77" xr:uid="{00000000-0005-0000-0000-000087020000}"/>
    <cellStyle name="Normal 32 2" xfId="201" xr:uid="{00000000-0005-0000-0000-000088020000}"/>
    <cellStyle name="Normal 32 2 2" xfId="740" xr:uid="{00000000-0005-0000-0000-000089020000}"/>
    <cellStyle name="Normal 32 2 2 2" xfId="741" xr:uid="{00000000-0005-0000-0000-00008A020000}"/>
    <cellStyle name="Normal 32 2 3" xfId="742" xr:uid="{00000000-0005-0000-0000-00008B020000}"/>
    <cellStyle name="Normal 32 3" xfId="743" xr:uid="{00000000-0005-0000-0000-00008C020000}"/>
    <cellStyle name="Normal 32 3 2" xfId="744" xr:uid="{00000000-0005-0000-0000-00008D020000}"/>
    <cellStyle name="Normal 32 4" xfId="745" xr:uid="{00000000-0005-0000-0000-00008E020000}"/>
    <cellStyle name="Normal 33" xfId="78" xr:uid="{00000000-0005-0000-0000-00008F020000}"/>
    <cellStyle name="Normal 33 2" xfId="202" xr:uid="{00000000-0005-0000-0000-000090020000}"/>
    <cellStyle name="Normal 33 2 2" xfId="203" xr:uid="{00000000-0005-0000-0000-000091020000}"/>
    <cellStyle name="Normal 33 2 2 2" xfId="746" xr:uid="{00000000-0005-0000-0000-000092020000}"/>
    <cellStyle name="Normal 33 2 3" xfId="747" xr:uid="{00000000-0005-0000-0000-000093020000}"/>
    <cellStyle name="Normal 33 3" xfId="204" xr:uid="{00000000-0005-0000-0000-000094020000}"/>
    <cellStyle name="Normal 33 3 2" xfId="748" xr:uid="{00000000-0005-0000-0000-000095020000}"/>
    <cellStyle name="Normal 33 4" xfId="749" xr:uid="{00000000-0005-0000-0000-000096020000}"/>
    <cellStyle name="Normal 34" xfId="79" xr:uid="{00000000-0005-0000-0000-000097020000}"/>
    <cellStyle name="Normal 34 2" xfId="80" xr:uid="{00000000-0005-0000-0000-000098020000}"/>
    <cellStyle name="Normal 34 2 2" xfId="205" xr:uid="{00000000-0005-0000-0000-000099020000}"/>
    <cellStyle name="Normal 34 2 2 2" xfId="750" xr:uid="{00000000-0005-0000-0000-00009A020000}"/>
    <cellStyle name="Normal 34 2 3" xfId="751" xr:uid="{00000000-0005-0000-0000-00009B020000}"/>
    <cellStyle name="Normal 34 3" xfId="206" xr:uid="{00000000-0005-0000-0000-00009C020000}"/>
    <cellStyle name="Normal 34 3 2" xfId="752" xr:uid="{00000000-0005-0000-0000-00009D020000}"/>
    <cellStyle name="Normal 34 4" xfId="753" xr:uid="{00000000-0005-0000-0000-00009E020000}"/>
    <cellStyle name="Normal 35" xfId="106" xr:uid="{00000000-0005-0000-0000-00009F020000}"/>
    <cellStyle name="Normal 35 2" xfId="207" xr:uid="{00000000-0005-0000-0000-0000A0020000}"/>
    <cellStyle name="Normal 35 2 2" xfId="754" xr:uid="{00000000-0005-0000-0000-0000A1020000}"/>
    <cellStyle name="Normal 35 2 2 2" xfId="755" xr:uid="{00000000-0005-0000-0000-0000A2020000}"/>
    <cellStyle name="Normal 35 2 3" xfId="756" xr:uid="{00000000-0005-0000-0000-0000A3020000}"/>
    <cellStyle name="Normal 35 3" xfId="757" xr:uid="{00000000-0005-0000-0000-0000A4020000}"/>
    <cellStyle name="Normal 35 3 2" xfId="758" xr:uid="{00000000-0005-0000-0000-0000A5020000}"/>
    <cellStyle name="Normal 35 4" xfId="759" xr:uid="{00000000-0005-0000-0000-0000A6020000}"/>
    <cellStyle name="Normal 35 5" xfId="1083" xr:uid="{00000000-0005-0000-0000-0000A7020000}"/>
    <cellStyle name="Normal 36" xfId="208" xr:uid="{00000000-0005-0000-0000-0000A8020000}"/>
    <cellStyle name="Normal 36 2" xfId="209" xr:uid="{00000000-0005-0000-0000-0000A9020000}"/>
    <cellStyle name="Normal 36 2 2" xfId="760" xr:uid="{00000000-0005-0000-0000-0000AA020000}"/>
    <cellStyle name="Normal 36 2 2 2" xfId="761" xr:uid="{00000000-0005-0000-0000-0000AB020000}"/>
    <cellStyle name="Normal 36 2 3" xfId="762" xr:uid="{00000000-0005-0000-0000-0000AC020000}"/>
    <cellStyle name="Normal 36 3" xfId="763" xr:uid="{00000000-0005-0000-0000-0000AD020000}"/>
    <cellStyle name="Normal 36 3 2" xfId="764" xr:uid="{00000000-0005-0000-0000-0000AE020000}"/>
    <cellStyle name="Normal 36 4" xfId="765" xr:uid="{00000000-0005-0000-0000-0000AF020000}"/>
    <cellStyle name="Normal 37" xfId="210" xr:uid="{00000000-0005-0000-0000-0000B0020000}"/>
    <cellStyle name="Normal 37 2" xfId="211" xr:uid="{00000000-0005-0000-0000-0000B1020000}"/>
    <cellStyle name="Normal 37 2 2" xfId="766" xr:uid="{00000000-0005-0000-0000-0000B2020000}"/>
    <cellStyle name="Normal 37 2 2 2" xfId="767" xr:uid="{00000000-0005-0000-0000-0000B3020000}"/>
    <cellStyle name="Normal 37 2 3" xfId="768" xr:uid="{00000000-0005-0000-0000-0000B4020000}"/>
    <cellStyle name="Normal 37 3" xfId="769" xr:uid="{00000000-0005-0000-0000-0000B5020000}"/>
    <cellStyle name="Normal 37 3 2" xfId="770" xr:uid="{00000000-0005-0000-0000-0000B6020000}"/>
    <cellStyle name="Normal 37 4" xfId="771" xr:uid="{00000000-0005-0000-0000-0000B7020000}"/>
    <cellStyle name="Normal 38" xfId="12" xr:uid="{00000000-0005-0000-0000-0000B8020000}"/>
    <cellStyle name="Normal 38 2" xfId="212" xr:uid="{00000000-0005-0000-0000-0000B9020000}"/>
    <cellStyle name="Normal 38 2 2" xfId="772" xr:uid="{00000000-0005-0000-0000-0000BA020000}"/>
    <cellStyle name="Normal 38 2 2 2" xfId="773" xr:uid="{00000000-0005-0000-0000-0000BB020000}"/>
    <cellStyle name="Normal 38 2 3" xfId="774" xr:uid="{00000000-0005-0000-0000-0000BC020000}"/>
    <cellStyle name="Normal 38 3" xfId="775" xr:uid="{00000000-0005-0000-0000-0000BD020000}"/>
    <cellStyle name="Normal 38 3 2" xfId="776" xr:uid="{00000000-0005-0000-0000-0000BE020000}"/>
    <cellStyle name="Normal 38 4" xfId="777" xr:uid="{00000000-0005-0000-0000-0000BF020000}"/>
    <cellStyle name="Normal 38 5" xfId="1069" xr:uid="{00000000-0005-0000-0000-0000C0020000}"/>
    <cellStyle name="Normal 39" xfId="213" xr:uid="{00000000-0005-0000-0000-0000C1020000}"/>
    <cellStyle name="Normal 39 2" xfId="214" xr:uid="{00000000-0005-0000-0000-0000C2020000}"/>
    <cellStyle name="Normal 39 2 2" xfId="215" xr:uid="{00000000-0005-0000-0000-0000C3020000}"/>
    <cellStyle name="Normal 39 2 2 2" xfId="778" xr:uid="{00000000-0005-0000-0000-0000C4020000}"/>
    <cellStyle name="Normal 39 2 3" xfId="779" xr:uid="{00000000-0005-0000-0000-0000C5020000}"/>
    <cellStyle name="Normal 39 3" xfId="216" xr:uid="{00000000-0005-0000-0000-0000C6020000}"/>
    <cellStyle name="Normal 39 3 2" xfId="780" xr:uid="{00000000-0005-0000-0000-0000C7020000}"/>
    <cellStyle name="Normal 39 4" xfId="781" xr:uid="{00000000-0005-0000-0000-0000C8020000}"/>
    <cellStyle name="Normal 4" xfId="4" xr:uid="{00000000-0005-0000-0000-0000C9020000}"/>
    <cellStyle name="Normal 4 2" xfId="81" xr:uid="{00000000-0005-0000-0000-0000CA020000}"/>
    <cellStyle name="Normal 4 2 2" xfId="82" xr:uid="{00000000-0005-0000-0000-0000CB020000}"/>
    <cellStyle name="Normal 4 2 2 2" xfId="782" xr:uid="{00000000-0005-0000-0000-0000CC020000}"/>
    <cellStyle name="Normal 4 2 2 2 2" xfId="783" xr:uid="{00000000-0005-0000-0000-0000CD020000}"/>
    <cellStyle name="Normal 4 2 2 2 2 2" xfId="784" xr:uid="{00000000-0005-0000-0000-0000CE020000}"/>
    <cellStyle name="Normal 4 2 2 2 3" xfId="785" xr:uid="{00000000-0005-0000-0000-0000CF020000}"/>
    <cellStyle name="Normal 4 2 2 3" xfId="786" xr:uid="{00000000-0005-0000-0000-0000D0020000}"/>
    <cellStyle name="Normal 4 2 2 3 2" xfId="787" xr:uid="{00000000-0005-0000-0000-0000D1020000}"/>
    <cellStyle name="Normal 4 2 2 4" xfId="788" xr:uid="{00000000-0005-0000-0000-0000D2020000}"/>
    <cellStyle name="Normal 4 2 3" xfId="789" xr:uid="{00000000-0005-0000-0000-0000D3020000}"/>
    <cellStyle name="Normal 4 2 3 2" xfId="790" xr:uid="{00000000-0005-0000-0000-0000D4020000}"/>
    <cellStyle name="Normal 4 2 3 2 2" xfId="791" xr:uid="{00000000-0005-0000-0000-0000D5020000}"/>
    <cellStyle name="Normal 4 2 3 3" xfId="792" xr:uid="{00000000-0005-0000-0000-0000D6020000}"/>
    <cellStyle name="Normal 4 2 4" xfId="793" xr:uid="{00000000-0005-0000-0000-0000D7020000}"/>
    <cellStyle name="Normal 4 2 4 2" xfId="794" xr:uid="{00000000-0005-0000-0000-0000D8020000}"/>
    <cellStyle name="Normal 4 2 5" xfId="795" xr:uid="{00000000-0005-0000-0000-0000D9020000}"/>
    <cellStyle name="Normal 4 3" xfId="83" xr:uid="{00000000-0005-0000-0000-0000DA020000}"/>
    <cellStyle name="Normal 4 3 2" xfId="796" xr:uid="{00000000-0005-0000-0000-0000DB020000}"/>
    <cellStyle name="Normal 4 3 2 2" xfId="797" xr:uid="{00000000-0005-0000-0000-0000DC020000}"/>
    <cellStyle name="Normal 4 3 2 2 2" xfId="798" xr:uid="{00000000-0005-0000-0000-0000DD020000}"/>
    <cellStyle name="Normal 4 3 2 3" xfId="799" xr:uid="{00000000-0005-0000-0000-0000DE020000}"/>
    <cellStyle name="Normal 4 3 3" xfId="800" xr:uid="{00000000-0005-0000-0000-0000DF020000}"/>
    <cellStyle name="Normal 4 3 3 2" xfId="801" xr:uid="{00000000-0005-0000-0000-0000E0020000}"/>
    <cellStyle name="Normal 4 3 4" xfId="802" xr:uid="{00000000-0005-0000-0000-0000E1020000}"/>
    <cellStyle name="Normal 4 4" xfId="803" xr:uid="{00000000-0005-0000-0000-0000E2020000}"/>
    <cellStyle name="Normal 4 4 2" xfId="804" xr:uid="{00000000-0005-0000-0000-0000E3020000}"/>
    <cellStyle name="Normal 4 4 2 2" xfId="805" xr:uid="{00000000-0005-0000-0000-0000E4020000}"/>
    <cellStyle name="Normal 4 4 3" xfId="806" xr:uid="{00000000-0005-0000-0000-0000E5020000}"/>
    <cellStyle name="Normal 4 5" xfId="807" xr:uid="{00000000-0005-0000-0000-0000E6020000}"/>
    <cellStyle name="Normal 4 5 2" xfId="808" xr:uid="{00000000-0005-0000-0000-0000E7020000}"/>
    <cellStyle name="Normal 4 5 2 2" xfId="809" xr:uid="{00000000-0005-0000-0000-0000E8020000}"/>
    <cellStyle name="Normal 4 5 3" xfId="810" xr:uid="{00000000-0005-0000-0000-0000E9020000}"/>
    <cellStyle name="Normal 4 6" xfId="811" xr:uid="{00000000-0005-0000-0000-0000EA020000}"/>
    <cellStyle name="Normal 4 6 2" xfId="812" xr:uid="{00000000-0005-0000-0000-0000EB020000}"/>
    <cellStyle name="Normal 4 7" xfId="813" xr:uid="{00000000-0005-0000-0000-0000EC020000}"/>
    <cellStyle name="Normal 40" xfId="217" xr:uid="{00000000-0005-0000-0000-0000ED020000}"/>
    <cellStyle name="Normal 40 2" xfId="218" xr:uid="{00000000-0005-0000-0000-0000EE020000}"/>
    <cellStyle name="Normal 40 2 2" xfId="814" xr:uid="{00000000-0005-0000-0000-0000EF020000}"/>
    <cellStyle name="Normal 40 2 2 2" xfId="815" xr:uid="{00000000-0005-0000-0000-0000F0020000}"/>
    <cellStyle name="Normal 40 2 3" xfId="816" xr:uid="{00000000-0005-0000-0000-0000F1020000}"/>
    <cellStyle name="Normal 40 3" xfId="817" xr:uid="{00000000-0005-0000-0000-0000F2020000}"/>
    <cellStyle name="Normal 40 3 2" xfId="818" xr:uid="{00000000-0005-0000-0000-0000F3020000}"/>
    <cellStyle name="Normal 40 4" xfId="819" xr:uid="{00000000-0005-0000-0000-0000F4020000}"/>
    <cellStyle name="Normal 41" xfId="219" xr:uid="{00000000-0005-0000-0000-0000F5020000}"/>
    <cellStyle name="Normal 41 2" xfId="220" xr:uid="{00000000-0005-0000-0000-0000F6020000}"/>
    <cellStyle name="Normal 41 2 2" xfId="820" xr:uid="{00000000-0005-0000-0000-0000F7020000}"/>
    <cellStyle name="Normal 41 2 2 2" xfId="821" xr:uid="{00000000-0005-0000-0000-0000F8020000}"/>
    <cellStyle name="Normal 41 2 3" xfId="822" xr:uid="{00000000-0005-0000-0000-0000F9020000}"/>
    <cellStyle name="Normal 41 3" xfId="823" xr:uid="{00000000-0005-0000-0000-0000FA020000}"/>
    <cellStyle name="Normal 41 3 2" xfId="824" xr:uid="{00000000-0005-0000-0000-0000FB020000}"/>
    <cellStyle name="Normal 41 4" xfId="825" xr:uid="{00000000-0005-0000-0000-0000FC020000}"/>
    <cellStyle name="Normal 42" xfId="221" xr:uid="{00000000-0005-0000-0000-0000FD020000}"/>
    <cellStyle name="Normal 42 2" xfId="222" xr:uid="{00000000-0005-0000-0000-0000FE020000}"/>
    <cellStyle name="Normal 42 2 2" xfId="223" xr:uid="{00000000-0005-0000-0000-0000FF020000}"/>
    <cellStyle name="Normal 42 2 2 2" xfId="826" xr:uid="{00000000-0005-0000-0000-000000030000}"/>
    <cellStyle name="Normal 42 2 3" xfId="827" xr:uid="{00000000-0005-0000-0000-000001030000}"/>
    <cellStyle name="Normal 42 3" xfId="224" xr:uid="{00000000-0005-0000-0000-000002030000}"/>
    <cellStyle name="Normal 42 3 2" xfId="828" xr:uid="{00000000-0005-0000-0000-000003030000}"/>
    <cellStyle name="Normal 42 4" xfId="829" xr:uid="{00000000-0005-0000-0000-000004030000}"/>
    <cellStyle name="Normal 43" xfId="225" xr:uid="{00000000-0005-0000-0000-000005030000}"/>
    <cellStyle name="Normal 43 2" xfId="226" xr:uid="{00000000-0005-0000-0000-000006030000}"/>
    <cellStyle name="Normal 43 2 2" xfId="227" xr:uid="{00000000-0005-0000-0000-000007030000}"/>
    <cellStyle name="Normal 43 2 2 2" xfId="830" xr:uid="{00000000-0005-0000-0000-000008030000}"/>
    <cellStyle name="Normal 43 2 3" xfId="831" xr:uid="{00000000-0005-0000-0000-000009030000}"/>
    <cellStyle name="Normal 43 3" xfId="228" xr:uid="{00000000-0005-0000-0000-00000A030000}"/>
    <cellStyle name="Normal 43 3 2" xfId="832" xr:uid="{00000000-0005-0000-0000-00000B030000}"/>
    <cellStyle name="Normal 43 4" xfId="833" xr:uid="{00000000-0005-0000-0000-00000C030000}"/>
    <cellStyle name="Normal 44" xfId="229" xr:uid="{00000000-0005-0000-0000-00000D030000}"/>
    <cellStyle name="Normal 44 2" xfId="230" xr:uid="{00000000-0005-0000-0000-00000E030000}"/>
    <cellStyle name="Normal 44 2 2" xfId="834" xr:uid="{00000000-0005-0000-0000-00000F030000}"/>
    <cellStyle name="Normal 44 2 2 2" xfId="835" xr:uid="{00000000-0005-0000-0000-000010030000}"/>
    <cellStyle name="Normal 44 2 3" xfId="836" xr:uid="{00000000-0005-0000-0000-000011030000}"/>
    <cellStyle name="Normal 44 3" xfId="837" xr:uid="{00000000-0005-0000-0000-000012030000}"/>
    <cellStyle name="Normal 44 3 2" xfId="838" xr:uid="{00000000-0005-0000-0000-000013030000}"/>
    <cellStyle name="Normal 44 4" xfId="839" xr:uid="{00000000-0005-0000-0000-000014030000}"/>
    <cellStyle name="Normal 45" xfId="231" xr:uid="{00000000-0005-0000-0000-000015030000}"/>
    <cellStyle name="Normal 45 2" xfId="232" xr:uid="{00000000-0005-0000-0000-000016030000}"/>
    <cellStyle name="Normal 45 2 2" xfId="840" xr:uid="{00000000-0005-0000-0000-000017030000}"/>
    <cellStyle name="Normal 45 2 2 2" xfId="841" xr:uid="{00000000-0005-0000-0000-000018030000}"/>
    <cellStyle name="Normal 45 2 3" xfId="842" xr:uid="{00000000-0005-0000-0000-000019030000}"/>
    <cellStyle name="Normal 45 3" xfId="843" xr:uid="{00000000-0005-0000-0000-00001A030000}"/>
    <cellStyle name="Normal 45 3 2" xfId="844" xr:uid="{00000000-0005-0000-0000-00001B030000}"/>
    <cellStyle name="Normal 45 4" xfId="845" xr:uid="{00000000-0005-0000-0000-00001C030000}"/>
    <cellStyle name="Normal 46" xfId="233" xr:uid="{00000000-0005-0000-0000-00001D030000}"/>
    <cellStyle name="Normal 46 2" xfId="234" xr:uid="{00000000-0005-0000-0000-00001E030000}"/>
    <cellStyle name="Normal 46 2 2" xfId="235" xr:uid="{00000000-0005-0000-0000-00001F030000}"/>
    <cellStyle name="Normal 46 2 2 2" xfId="846" xr:uid="{00000000-0005-0000-0000-000020030000}"/>
    <cellStyle name="Normal 46 2 3" xfId="847" xr:uid="{00000000-0005-0000-0000-000021030000}"/>
    <cellStyle name="Normal 46 3" xfId="236" xr:uid="{00000000-0005-0000-0000-000022030000}"/>
    <cellStyle name="Normal 46 3 2" xfId="848" xr:uid="{00000000-0005-0000-0000-000023030000}"/>
    <cellStyle name="Normal 46 4" xfId="849" xr:uid="{00000000-0005-0000-0000-000024030000}"/>
    <cellStyle name="Normal 47" xfId="237" xr:uid="{00000000-0005-0000-0000-000025030000}"/>
    <cellStyle name="Normal 47 2" xfId="238" xr:uid="{00000000-0005-0000-0000-000026030000}"/>
    <cellStyle name="Normal 47 2 2" xfId="239" xr:uid="{00000000-0005-0000-0000-000027030000}"/>
    <cellStyle name="Normal 47 2 2 2" xfId="850" xr:uid="{00000000-0005-0000-0000-000028030000}"/>
    <cellStyle name="Normal 47 2 3" xfId="851" xr:uid="{00000000-0005-0000-0000-000029030000}"/>
    <cellStyle name="Normal 47 3" xfId="240" xr:uid="{00000000-0005-0000-0000-00002A030000}"/>
    <cellStyle name="Normal 47 3 2" xfId="852" xr:uid="{00000000-0005-0000-0000-00002B030000}"/>
    <cellStyle name="Normal 47 4" xfId="853" xr:uid="{00000000-0005-0000-0000-00002C030000}"/>
    <cellStyle name="Normal 48" xfId="108" xr:uid="{00000000-0005-0000-0000-00002D030000}"/>
    <cellStyle name="Normal 48 2" xfId="241" xr:uid="{00000000-0005-0000-0000-00002E030000}"/>
    <cellStyle name="Normal 48 2 2" xfId="242" xr:uid="{00000000-0005-0000-0000-00002F030000}"/>
    <cellStyle name="Normal 48 2 2 2" xfId="854" xr:uid="{00000000-0005-0000-0000-000030030000}"/>
    <cellStyle name="Normal 48 2 3" xfId="855" xr:uid="{00000000-0005-0000-0000-000031030000}"/>
    <cellStyle name="Normal 48 3" xfId="243" xr:uid="{00000000-0005-0000-0000-000032030000}"/>
    <cellStyle name="Normal 48 3 2" xfId="856" xr:uid="{00000000-0005-0000-0000-000033030000}"/>
    <cellStyle name="Normal 48 4" xfId="857" xr:uid="{00000000-0005-0000-0000-000034030000}"/>
    <cellStyle name="Normal 49" xfId="244" xr:uid="{00000000-0005-0000-0000-000035030000}"/>
    <cellStyle name="Normal 49 2" xfId="245" xr:uid="{00000000-0005-0000-0000-000036030000}"/>
    <cellStyle name="Normal 49 2 2" xfId="858" xr:uid="{00000000-0005-0000-0000-000037030000}"/>
    <cellStyle name="Normal 49 2 2 2" xfId="859" xr:uid="{00000000-0005-0000-0000-000038030000}"/>
    <cellStyle name="Normal 49 2 3" xfId="860" xr:uid="{00000000-0005-0000-0000-000039030000}"/>
    <cellStyle name="Normal 49 3" xfId="861" xr:uid="{00000000-0005-0000-0000-00003A030000}"/>
    <cellStyle name="Normal 49 3 2" xfId="862" xr:uid="{00000000-0005-0000-0000-00003B030000}"/>
    <cellStyle name="Normal 49 4" xfId="863" xr:uid="{00000000-0005-0000-0000-00003C030000}"/>
    <cellStyle name="Normal 5" xfId="10" xr:uid="{00000000-0005-0000-0000-00003D030000}"/>
    <cellStyle name="Normal 5 2" xfId="84" xr:uid="{00000000-0005-0000-0000-00003E030000}"/>
    <cellStyle name="Normal 5 2 2" xfId="85" xr:uid="{00000000-0005-0000-0000-00003F030000}"/>
    <cellStyle name="Normal 5 2 2 2" xfId="864" xr:uid="{00000000-0005-0000-0000-000040030000}"/>
    <cellStyle name="Normal 5 2 2 2 2" xfId="865" xr:uid="{00000000-0005-0000-0000-000041030000}"/>
    <cellStyle name="Normal 5 2 2 2 2 2" xfId="866" xr:uid="{00000000-0005-0000-0000-000042030000}"/>
    <cellStyle name="Normal 5 2 2 2 3" xfId="867" xr:uid="{00000000-0005-0000-0000-000043030000}"/>
    <cellStyle name="Normal 5 2 2 3" xfId="868" xr:uid="{00000000-0005-0000-0000-000044030000}"/>
    <cellStyle name="Normal 5 2 2 3 2" xfId="869" xr:uid="{00000000-0005-0000-0000-000045030000}"/>
    <cellStyle name="Normal 5 2 2 4" xfId="870" xr:uid="{00000000-0005-0000-0000-000046030000}"/>
    <cellStyle name="Normal 5 2 3" xfId="871" xr:uid="{00000000-0005-0000-0000-000047030000}"/>
    <cellStyle name="Normal 5 2 3 2" xfId="872" xr:uid="{00000000-0005-0000-0000-000048030000}"/>
    <cellStyle name="Normal 5 2 3 2 2" xfId="873" xr:uid="{00000000-0005-0000-0000-000049030000}"/>
    <cellStyle name="Normal 5 2 3 3" xfId="874" xr:uid="{00000000-0005-0000-0000-00004A030000}"/>
    <cellStyle name="Normal 5 2 4" xfId="875" xr:uid="{00000000-0005-0000-0000-00004B030000}"/>
    <cellStyle name="Normal 5 2 4 2" xfId="876" xr:uid="{00000000-0005-0000-0000-00004C030000}"/>
    <cellStyle name="Normal 5 2 5" xfId="877" xr:uid="{00000000-0005-0000-0000-00004D030000}"/>
    <cellStyle name="Normal 5 3" xfId="86" xr:uid="{00000000-0005-0000-0000-00004E030000}"/>
    <cellStyle name="Normal 5 3 2" xfId="878" xr:uid="{00000000-0005-0000-0000-00004F030000}"/>
    <cellStyle name="Normal 5 3 2 2" xfId="879" xr:uid="{00000000-0005-0000-0000-000050030000}"/>
    <cellStyle name="Normal 5 3 2 2 2" xfId="880" xr:uid="{00000000-0005-0000-0000-000051030000}"/>
    <cellStyle name="Normal 5 3 2 3" xfId="881" xr:uid="{00000000-0005-0000-0000-000052030000}"/>
    <cellStyle name="Normal 5 3 3" xfId="882" xr:uid="{00000000-0005-0000-0000-000053030000}"/>
    <cellStyle name="Normal 5 3 3 2" xfId="883" xr:uid="{00000000-0005-0000-0000-000054030000}"/>
    <cellStyle name="Normal 5 3 4" xfId="884" xr:uid="{00000000-0005-0000-0000-000055030000}"/>
    <cellStyle name="Normal 5 4" xfId="885" xr:uid="{00000000-0005-0000-0000-000056030000}"/>
    <cellStyle name="Normal 5 4 2" xfId="886" xr:uid="{00000000-0005-0000-0000-000057030000}"/>
    <cellStyle name="Normal 5 4 2 2" xfId="887" xr:uid="{00000000-0005-0000-0000-000058030000}"/>
    <cellStyle name="Normal 5 4 3" xfId="888" xr:uid="{00000000-0005-0000-0000-000059030000}"/>
    <cellStyle name="Normal 5 5" xfId="889" xr:uid="{00000000-0005-0000-0000-00005A030000}"/>
    <cellStyle name="Normal 5 5 2" xfId="890" xr:uid="{00000000-0005-0000-0000-00005B030000}"/>
    <cellStyle name="Normal 5 6" xfId="891" xr:uid="{00000000-0005-0000-0000-00005C030000}"/>
    <cellStyle name="Normal 50" xfId="246" xr:uid="{00000000-0005-0000-0000-00005D030000}"/>
    <cellStyle name="Normal 50 2" xfId="247" xr:uid="{00000000-0005-0000-0000-00005E030000}"/>
    <cellStyle name="Normal 50 2 2" xfId="248" xr:uid="{00000000-0005-0000-0000-00005F030000}"/>
    <cellStyle name="Normal 50 2 2 2" xfId="892" xr:uid="{00000000-0005-0000-0000-000060030000}"/>
    <cellStyle name="Normal 50 2 3" xfId="893" xr:uid="{00000000-0005-0000-0000-000061030000}"/>
    <cellStyle name="Normal 50 3" xfId="249" xr:uid="{00000000-0005-0000-0000-000062030000}"/>
    <cellStyle name="Normal 50 3 2" xfId="894" xr:uid="{00000000-0005-0000-0000-000063030000}"/>
    <cellStyle name="Normal 50 4" xfId="895" xr:uid="{00000000-0005-0000-0000-000064030000}"/>
    <cellStyle name="Normal 51" xfId="250" xr:uid="{00000000-0005-0000-0000-000065030000}"/>
    <cellStyle name="Normal 51 2" xfId="251" xr:uid="{00000000-0005-0000-0000-000066030000}"/>
    <cellStyle name="Normal 51 2 2" xfId="896" xr:uid="{00000000-0005-0000-0000-000067030000}"/>
    <cellStyle name="Normal 51 2 2 2" xfId="897" xr:uid="{00000000-0005-0000-0000-000068030000}"/>
    <cellStyle name="Normal 51 2 3" xfId="898" xr:uid="{00000000-0005-0000-0000-000069030000}"/>
    <cellStyle name="Normal 51 3" xfId="899" xr:uid="{00000000-0005-0000-0000-00006A030000}"/>
    <cellStyle name="Normal 51 3 2" xfId="900" xr:uid="{00000000-0005-0000-0000-00006B030000}"/>
    <cellStyle name="Normal 51 4" xfId="901" xr:uid="{00000000-0005-0000-0000-00006C030000}"/>
    <cellStyle name="Normal 52" xfId="252" xr:uid="{00000000-0005-0000-0000-00006D030000}"/>
    <cellStyle name="Normal 52 2" xfId="253" xr:uid="{00000000-0005-0000-0000-00006E030000}"/>
    <cellStyle name="Normal 52 2 2" xfId="902" xr:uid="{00000000-0005-0000-0000-00006F030000}"/>
    <cellStyle name="Normal 52 2 2 2" xfId="903" xr:uid="{00000000-0005-0000-0000-000070030000}"/>
    <cellStyle name="Normal 52 2 3" xfId="904" xr:uid="{00000000-0005-0000-0000-000071030000}"/>
    <cellStyle name="Normal 52 3" xfId="905" xr:uid="{00000000-0005-0000-0000-000072030000}"/>
    <cellStyle name="Normal 52 3 2" xfId="906" xr:uid="{00000000-0005-0000-0000-000073030000}"/>
    <cellStyle name="Normal 52 4" xfId="907" xr:uid="{00000000-0005-0000-0000-000074030000}"/>
    <cellStyle name="Normal 53" xfId="254" xr:uid="{00000000-0005-0000-0000-000075030000}"/>
    <cellStyle name="Normal 53 2" xfId="255" xr:uid="{00000000-0005-0000-0000-000076030000}"/>
    <cellStyle name="Normal 53 2 2" xfId="908" xr:uid="{00000000-0005-0000-0000-000077030000}"/>
    <cellStyle name="Normal 53 2 2 2" xfId="909" xr:uid="{00000000-0005-0000-0000-000078030000}"/>
    <cellStyle name="Normal 53 2 3" xfId="910" xr:uid="{00000000-0005-0000-0000-000079030000}"/>
    <cellStyle name="Normal 53 3" xfId="911" xr:uid="{00000000-0005-0000-0000-00007A030000}"/>
    <cellStyle name="Normal 53 3 2" xfId="912" xr:uid="{00000000-0005-0000-0000-00007B030000}"/>
    <cellStyle name="Normal 53 4" xfId="913" xr:uid="{00000000-0005-0000-0000-00007C030000}"/>
    <cellStyle name="Normal 54" xfId="107" xr:uid="{00000000-0005-0000-0000-00007D030000}"/>
    <cellStyle name="Normal 54 2" xfId="256" xr:uid="{00000000-0005-0000-0000-00007E030000}"/>
    <cellStyle name="Normal 54 2 2" xfId="914" xr:uid="{00000000-0005-0000-0000-00007F030000}"/>
    <cellStyle name="Normal 54 2 2 2" xfId="915" xr:uid="{00000000-0005-0000-0000-000080030000}"/>
    <cellStyle name="Normal 54 2 3" xfId="916" xr:uid="{00000000-0005-0000-0000-000081030000}"/>
    <cellStyle name="Normal 54 3" xfId="917" xr:uid="{00000000-0005-0000-0000-000082030000}"/>
    <cellStyle name="Normal 54 3 2" xfId="918" xr:uid="{00000000-0005-0000-0000-000083030000}"/>
    <cellStyle name="Normal 54 4" xfId="919" xr:uid="{00000000-0005-0000-0000-000084030000}"/>
    <cellStyle name="Normal 55" xfId="116" xr:uid="{00000000-0005-0000-0000-000085030000}"/>
    <cellStyle name="Normal 55 2" xfId="257" xr:uid="{00000000-0005-0000-0000-000086030000}"/>
    <cellStyle name="Normal 55 2 2" xfId="258" xr:uid="{00000000-0005-0000-0000-000087030000}"/>
    <cellStyle name="Normal 55 3" xfId="259" xr:uid="{00000000-0005-0000-0000-000088030000}"/>
    <cellStyle name="Normal 56" xfId="117" xr:uid="{00000000-0005-0000-0000-000089030000}"/>
    <cellStyle name="Normal 56 2" xfId="260" xr:uid="{00000000-0005-0000-0000-00008A030000}"/>
    <cellStyle name="Normal 57" xfId="261" xr:uid="{00000000-0005-0000-0000-00008B030000}"/>
    <cellStyle name="Normal 57 2" xfId="262" xr:uid="{00000000-0005-0000-0000-00008C030000}"/>
    <cellStyle name="Normal 57 2 2" xfId="920" xr:uid="{00000000-0005-0000-0000-00008D030000}"/>
    <cellStyle name="Normal 57 3" xfId="921" xr:uid="{00000000-0005-0000-0000-00008E030000}"/>
    <cellStyle name="Normal 58" xfId="263" xr:uid="{00000000-0005-0000-0000-00008F030000}"/>
    <cellStyle name="Normal 58 2" xfId="264" xr:uid="{00000000-0005-0000-0000-000090030000}"/>
    <cellStyle name="Normal 58 2 2" xfId="265" xr:uid="{00000000-0005-0000-0000-000091030000}"/>
    <cellStyle name="Normal 58 3" xfId="266" xr:uid="{00000000-0005-0000-0000-000092030000}"/>
    <cellStyle name="Normal 59" xfId="109" xr:uid="{00000000-0005-0000-0000-000093030000}"/>
    <cellStyle name="Normal 59 2" xfId="267" xr:uid="{00000000-0005-0000-0000-000094030000}"/>
    <cellStyle name="Normal 59 2 2" xfId="922" xr:uid="{00000000-0005-0000-0000-000095030000}"/>
    <cellStyle name="Normal 59 3" xfId="923" xr:uid="{00000000-0005-0000-0000-000096030000}"/>
    <cellStyle name="Normal 6" xfId="11" xr:uid="{00000000-0005-0000-0000-000097030000}"/>
    <cellStyle name="Normal 6 2" xfId="87" xr:uid="{00000000-0005-0000-0000-000098030000}"/>
    <cellStyle name="Normal 6 2 2" xfId="88" xr:uid="{00000000-0005-0000-0000-000099030000}"/>
    <cellStyle name="Normal 6 2 2 2" xfId="924" xr:uid="{00000000-0005-0000-0000-00009A030000}"/>
    <cellStyle name="Normal 6 2 2 2 2" xfId="925" xr:uid="{00000000-0005-0000-0000-00009B030000}"/>
    <cellStyle name="Normal 6 2 2 2 2 2" xfId="926" xr:uid="{00000000-0005-0000-0000-00009C030000}"/>
    <cellStyle name="Normal 6 2 2 2 3" xfId="927" xr:uid="{00000000-0005-0000-0000-00009D030000}"/>
    <cellStyle name="Normal 6 2 2 3" xfId="928" xr:uid="{00000000-0005-0000-0000-00009E030000}"/>
    <cellStyle name="Normal 6 2 2 3 2" xfId="929" xr:uid="{00000000-0005-0000-0000-00009F030000}"/>
    <cellStyle name="Normal 6 2 2 4" xfId="930" xr:uid="{00000000-0005-0000-0000-0000A0030000}"/>
    <cellStyle name="Normal 6 2 3" xfId="931" xr:uid="{00000000-0005-0000-0000-0000A1030000}"/>
    <cellStyle name="Normal 6 2 3 2" xfId="932" xr:uid="{00000000-0005-0000-0000-0000A2030000}"/>
    <cellStyle name="Normal 6 2 3 2 2" xfId="933" xr:uid="{00000000-0005-0000-0000-0000A3030000}"/>
    <cellStyle name="Normal 6 2 3 3" xfId="934" xr:uid="{00000000-0005-0000-0000-0000A4030000}"/>
    <cellStyle name="Normal 6 2 4" xfId="935" xr:uid="{00000000-0005-0000-0000-0000A5030000}"/>
    <cellStyle name="Normal 6 2 4 2" xfId="936" xr:uid="{00000000-0005-0000-0000-0000A6030000}"/>
    <cellStyle name="Normal 6 2 5" xfId="937" xr:uid="{00000000-0005-0000-0000-0000A7030000}"/>
    <cellStyle name="Normal 6 3" xfId="89" xr:uid="{00000000-0005-0000-0000-0000A8030000}"/>
    <cellStyle name="Normal 6 3 2" xfId="938" xr:uid="{00000000-0005-0000-0000-0000A9030000}"/>
    <cellStyle name="Normal 6 3 2 2" xfId="939" xr:uid="{00000000-0005-0000-0000-0000AA030000}"/>
    <cellStyle name="Normal 6 3 2 2 2" xfId="940" xr:uid="{00000000-0005-0000-0000-0000AB030000}"/>
    <cellStyle name="Normal 6 3 2 3" xfId="941" xr:uid="{00000000-0005-0000-0000-0000AC030000}"/>
    <cellStyle name="Normal 6 3 3" xfId="942" xr:uid="{00000000-0005-0000-0000-0000AD030000}"/>
    <cellStyle name="Normal 6 3 3 2" xfId="943" xr:uid="{00000000-0005-0000-0000-0000AE030000}"/>
    <cellStyle name="Normal 6 3 4" xfId="944" xr:uid="{00000000-0005-0000-0000-0000AF030000}"/>
    <cellStyle name="Normal 6 4" xfId="945" xr:uid="{00000000-0005-0000-0000-0000B0030000}"/>
    <cellStyle name="Normal 6 4 2" xfId="946" xr:uid="{00000000-0005-0000-0000-0000B1030000}"/>
    <cellStyle name="Normal 6 4 2 2" xfId="947" xr:uid="{00000000-0005-0000-0000-0000B2030000}"/>
    <cellStyle name="Normal 6 4 3" xfId="948" xr:uid="{00000000-0005-0000-0000-0000B3030000}"/>
    <cellStyle name="Normal 6 5" xfId="949" xr:uid="{00000000-0005-0000-0000-0000B4030000}"/>
    <cellStyle name="Normal 6 5 2" xfId="950" xr:uid="{00000000-0005-0000-0000-0000B5030000}"/>
    <cellStyle name="Normal 6 6" xfId="951" xr:uid="{00000000-0005-0000-0000-0000B6030000}"/>
    <cellStyle name="Normal 60" xfId="268" xr:uid="{00000000-0005-0000-0000-0000B7030000}"/>
    <cellStyle name="Normal 60 2" xfId="269" xr:uid="{00000000-0005-0000-0000-0000B8030000}"/>
    <cellStyle name="Normal 60 2 2" xfId="270" xr:uid="{00000000-0005-0000-0000-0000B9030000}"/>
    <cellStyle name="Normal 60 3" xfId="271" xr:uid="{00000000-0005-0000-0000-0000BA030000}"/>
    <cellStyle name="Normal 61" xfId="272" xr:uid="{00000000-0005-0000-0000-0000BB030000}"/>
    <cellStyle name="Normal 61 2" xfId="273" xr:uid="{00000000-0005-0000-0000-0000BC030000}"/>
    <cellStyle name="Normal 61 2 2" xfId="952" xr:uid="{00000000-0005-0000-0000-0000BD030000}"/>
    <cellStyle name="Normal 61 3" xfId="953" xr:uid="{00000000-0005-0000-0000-0000BE030000}"/>
    <cellStyle name="Normal 62" xfId="118" xr:uid="{00000000-0005-0000-0000-0000BF030000}"/>
    <cellStyle name="Normal 62 2" xfId="274" xr:uid="{00000000-0005-0000-0000-0000C0030000}"/>
    <cellStyle name="Normal 62 2 2" xfId="954" xr:uid="{00000000-0005-0000-0000-0000C1030000}"/>
    <cellStyle name="Normal 62 3" xfId="955" xr:uid="{00000000-0005-0000-0000-0000C2030000}"/>
    <cellStyle name="Normal 63" xfId="275" xr:uid="{00000000-0005-0000-0000-0000C3030000}"/>
    <cellStyle name="Normal 63 2" xfId="276" xr:uid="{00000000-0005-0000-0000-0000C4030000}"/>
    <cellStyle name="Normal 63 2 2" xfId="277" xr:uid="{00000000-0005-0000-0000-0000C5030000}"/>
    <cellStyle name="Normal 63 3" xfId="278" xr:uid="{00000000-0005-0000-0000-0000C6030000}"/>
    <cellStyle name="Normal 64" xfId="279" xr:uid="{00000000-0005-0000-0000-0000C7030000}"/>
    <cellStyle name="Normal 64 2" xfId="280" xr:uid="{00000000-0005-0000-0000-0000C8030000}"/>
    <cellStyle name="Normal 64 2 2" xfId="956" xr:uid="{00000000-0005-0000-0000-0000C9030000}"/>
    <cellStyle name="Normal 64 3" xfId="957" xr:uid="{00000000-0005-0000-0000-0000CA030000}"/>
    <cellStyle name="Normal 65" xfId="281" xr:uid="{00000000-0005-0000-0000-0000CB030000}"/>
    <cellStyle name="Normal 65 2" xfId="282" xr:uid="{00000000-0005-0000-0000-0000CC030000}"/>
    <cellStyle name="Normal 65 2 2" xfId="958" xr:uid="{00000000-0005-0000-0000-0000CD030000}"/>
    <cellStyle name="Normal 65 3" xfId="959" xr:uid="{00000000-0005-0000-0000-0000CE030000}"/>
    <cellStyle name="Normal 66" xfId="283" xr:uid="{00000000-0005-0000-0000-0000CF030000}"/>
    <cellStyle name="Normal 66 2" xfId="284" xr:uid="{00000000-0005-0000-0000-0000D0030000}"/>
    <cellStyle name="Normal 66 2 2" xfId="960" xr:uid="{00000000-0005-0000-0000-0000D1030000}"/>
    <cellStyle name="Normal 66 3" xfId="961" xr:uid="{00000000-0005-0000-0000-0000D2030000}"/>
    <cellStyle name="Normal 67" xfId="285" xr:uid="{00000000-0005-0000-0000-0000D3030000}"/>
    <cellStyle name="Normal 67 2" xfId="286" xr:uid="{00000000-0005-0000-0000-0000D4030000}"/>
    <cellStyle name="Normal 67 2 2" xfId="962" xr:uid="{00000000-0005-0000-0000-0000D5030000}"/>
    <cellStyle name="Normal 67 3" xfId="963" xr:uid="{00000000-0005-0000-0000-0000D6030000}"/>
    <cellStyle name="Normal 68" xfId="113" xr:uid="{00000000-0005-0000-0000-0000D7030000}"/>
    <cellStyle name="Normal 68 2" xfId="287" xr:uid="{00000000-0005-0000-0000-0000D8030000}"/>
    <cellStyle name="Normal 68 2 2" xfId="964" xr:uid="{00000000-0005-0000-0000-0000D9030000}"/>
    <cellStyle name="Normal 68 3" xfId="965" xr:uid="{00000000-0005-0000-0000-0000DA030000}"/>
    <cellStyle name="Normal 69" xfId="288" xr:uid="{00000000-0005-0000-0000-0000DB030000}"/>
    <cellStyle name="Normal 69 2" xfId="289" xr:uid="{00000000-0005-0000-0000-0000DC030000}"/>
    <cellStyle name="Normal 69 2 2" xfId="290" xr:uid="{00000000-0005-0000-0000-0000DD030000}"/>
    <cellStyle name="Normal 69 3" xfId="291" xr:uid="{00000000-0005-0000-0000-0000DE030000}"/>
    <cellStyle name="Normal 7" xfId="6" xr:uid="{00000000-0005-0000-0000-0000DF030000}"/>
    <cellStyle name="Normal 7 2" xfId="292" xr:uid="{00000000-0005-0000-0000-0000E0030000}"/>
    <cellStyle name="Normal 7 3" xfId="966" xr:uid="{00000000-0005-0000-0000-0000E1030000}"/>
    <cellStyle name="Normal 70" xfId="293" xr:uid="{00000000-0005-0000-0000-0000E2030000}"/>
    <cellStyle name="Normal 70 2" xfId="294" xr:uid="{00000000-0005-0000-0000-0000E3030000}"/>
    <cellStyle name="Normal 70 2 2" xfId="295" xr:uid="{00000000-0005-0000-0000-0000E4030000}"/>
    <cellStyle name="Normal 70 3" xfId="296" xr:uid="{00000000-0005-0000-0000-0000E5030000}"/>
    <cellStyle name="Normal 71" xfId="297" xr:uid="{00000000-0005-0000-0000-0000E6030000}"/>
    <cellStyle name="Normal 71 2" xfId="967" xr:uid="{00000000-0005-0000-0000-0000E7030000}"/>
    <cellStyle name="Normal 71 2 2" xfId="968" xr:uid="{00000000-0005-0000-0000-0000E8030000}"/>
    <cellStyle name="Normal 71 3" xfId="969" xr:uid="{00000000-0005-0000-0000-0000E9030000}"/>
    <cellStyle name="Normal 72" xfId="298" xr:uid="{00000000-0005-0000-0000-0000EA030000}"/>
    <cellStyle name="Normal 72 2" xfId="299" xr:uid="{00000000-0005-0000-0000-0000EB030000}"/>
    <cellStyle name="Normal 72 2 2" xfId="970" xr:uid="{00000000-0005-0000-0000-0000EC030000}"/>
    <cellStyle name="Normal 72 3" xfId="971" xr:uid="{00000000-0005-0000-0000-0000ED030000}"/>
    <cellStyle name="Normal 73" xfId="300" xr:uid="{00000000-0005-0000-0000-0000EE030000}"/>
    <cellStyle name="Normal 73 2" xfId="301" xr:uid="{00000000-0005-0000-0000-0000EF030000}"/>
    <cellStyle name="Normal 73 2 2" xfId="972" xr:uid="{00000000-0005-0000-0000-0000F0030000}"/>
    <cellStyle name="Normal 73 3" xfId="973" xr:uid="{00000000-0005-0000-0000-0000F1030000}"/>
    <cellStyle name="Normal 74" xfId="302" xr:uid="{00000000-0005-0000-0000-0000F2030000}"/>
    <cellStyle name="Normal 74 2" xfId="303" xr:uid="{00000000-0005-0000-0000-0000F3030000}"/>
    <cellStyle name="Normal 74 2 2" xfId="974" xr:uid="{00000000-0005-0000-0000-0000F4030000}"/>
    <cellStyle name="Normal 74 3" xfId="975" xr:uid="{00000000-0005-0000-0000-0000F5030000}"/>
    <cellStyle name="Normal 75" xfId="304" xr:uid="{00000000-0005-0000-0000-0000F6030000}"/>
    <cellStyle name="Normal 75 2" xfId="305" xr:uid="{00000000-0005-0000-0000-0000F7030000}"/>
    <cellStyle name="Normal 75 2 2" xfId="976" xr:uid="{00000000-0005-0000-0000-0000F8030000}"/>
    <cellStyle name="Normal 75 3" xfId="977" xr:uid="{00000000-0005-0000-0000-0000F9030000}"/>
    <cellStyle name="Normal 76" xfId="119" xr:uid="{00000000-0005-0000-0000-0000FA030000}"/>
    <cellStyle name="Normal 76 2" xfId="306" xr:uid="{00000000-0005-0000-0000-0000FB030000}"/>
    <cellStyle name="Normal 76 2 2" xfId="978" xr:uid="{00000000-0005-0000-0000-0000FC030000}"/>
    <cellStyle name="Normal 76 3" xfId="979" xr:uid="{00000000-0005-0000-0000-0000FD030000}"/>
    <cellStyle name="Normal 77" xfId="307" xr:uid="{00000000-0005-0000-0000-0000FE030000}"/>
    <cellStyle name="Normal 77 2" xfId="308" xr:uid="{00000000-0005-0000-0000-0000FF030000}"/>
    <cellStyle name="Normal 77 2 2" xfId="980" xr:uid="{00000000-0005-0000-0000-000000040000}"/>
    <cellStyle name="Normal 77 3" xfId="981" xr:uid="{00000000-0005-0000-0000-000001040000}"/>
    <cellStyle name="Normal 78" xfId="309" xr:uid="{00000000-0005-0000-0000-000002040000}"/>
    <cellStyle name="Normal 78 2" xfId="310" xr:uid="{00000000-0005-0000-0000-000003040000}"/>
    <cellStyle name="Normal 78 2 2" xfId="982" xr:uid="{00000000-0005-0000-0000-000004040000}"/>
    <cellStyle name="Normal 78 3" xfId="983" xr:uid="{00000000-0005-0000-0000-000005040000}"/>
    <cellStyle name="Normal 79" xfId="311" xr:uid="{00000000-0005-0000-0000-000006040000}"/>
    <cellStyle name="Normal 79 2" xfId="312" xr:uid="{00000000-0005-0000-0000-000007040000}"/>
    <cellStyle name="Normal 79 2 2" xfId="984" xr:uid="{00000000-0005-0000-0000-000008040000}"/>
    <cellStyle name="Normal 79 3" xfId="985" xr:uid="{00000000-0005-0000-0000-000009040000}"/>
    <cellStyle name="Normal 8" xfId="90" xr:uid="{00000000-0005-0000-0000-00000A040000}"/>
    <cellStyle name="Normal 8 2" xfId="91" xr:uid="{00000000-0005-0000-0000-00000B040000}"/>
    <cellStyle name="Normal 8 2 2" xfId="986" xr:uid="{00000000-0005-0000-0000-00000C040000}"/>
    <cellStyle name="Normal 8 2 2 2" xfId="987" xr:uid="{00000000-0005-0000-0000-00000D040000}"/>
    <cellStyle name="Normal 8 2 2 2 2" xfId="988" xr:uid="{00000000-0005-0000-0000-00000E040000}"/>
    <cellStyle name="Normal 8 2 2 3" xfId="989" xr:uid="{00000000-0005-0000-0000-00000F040000}"/>
    <cellStyle name="Normal 8 2 3" xfId="990" xr:uid="{00000000-0005-0000-0000-000010040000}"/>
    <cellStyle name="Normal 8 2 3 2" xfId="991" xr:uid="{00000000-0005-0000-0000-000011040000}"/>
    <cellStyle name="Normal 8 2 4" xfId="992" xr:uid="{00000000-0005-0000-0000-000012040000}"/>
    <cellStyle name="Normal 8 3" xfId="993" xr:uid="{00000000-0005-0000-0000-000013040000}"/>
    <cellStyle name="Normal 8 3 2" xfId="994" xr:uid="{00000000-0005-0000-0000-000014040000}"/>
    <cellStyle name="Normal 8 3 2 2" xfId="995" xr:uid="{00000000-0005-0000-0000-000015040000}"/>
    <cellStyle name="Normal 8 3 3" xfId="996" xr:uid="{00000000-0005-0000-0000-000016040000}"/>
    <cellStyle name="Normal 8 4" xfId="997" xr:uid="{00000000-0005-0000-0000-000017040000}"/>
    <cellStyle name="Normal 8 4 2" xfId="998" xr:uid="{00000000-0005-0000-0000-000018040000}"/>
    <cellStyle name="Normal 8 5" xfId="999" xr:uid="{00000000-0005-0000-0000-000019040000}"/>
    <cellStyle name="Normal 80" xfId="120" xr:uid="{00000000-0005-0000-0000-00001A040000}"/>
    <cellStyle name="Normal 80 2" xfId="313" xr:uid="{00000000-0005-0000-0000-00001B040000}"/>
    <cellStyle name="Normal 80 2 2" xfId="1000" xr:uid="{00000000-0005-0000-0000-00001C040000}"/>
    <cellStyle name="Normal 80 3" xfId="1001" xr:uid="{00000000-0005-0000-0000-00001D040000}"/>
    <cellStyle name="Normal 81" xfId="314" xr:uid="{00000000-0005-0000-0000-00001E040000}"/>
    <cellStyle name="Normal 81 2" xfId="315" xr:uid="{00000000-0005-0000-0000-00001F040000}"/>
    <cellStyle name="Normal 81 2 2" xfId="1002" xr:uid="{00000000-0005-0000-0000-000020040000}"/>
    <cellStyle name="Normal 81 3" xfId="1003" xr:uid="{00000000-0005-0000-0000-000021040000}"/>
    <cellStyle name="Normal 82" xfId="316" xr:uid="{00000000-0005-0000-0000-000022040000}"/>
    <cellStyle name="Normal 82 2" xfId="317" xr:uid="{00000000-0005-0000-0000-000023040000}"/>
    <cellStyle name="Normal 82 2 2" xfId="1004" xr:uid="{00000000-0005-0000-0000-000024040000}"/>
    <cellStyle name="Normal 82 3" xfId="1005" xr:uid="{00000000-0005-0000-0000-000025040000}"/>
    <cellStyle name="Normal 83" xfId="318" xr:uid="{00000000-0005-0000-0000-000026040000}"/>
    <cellStyle name="Normal 83 2" xfId="319" xr:uid="{00000000-0005-0000-0000-000027040000}"/>
    <cellStyle name="Normal 83 2 2" xfId="1006" xr:uid="{00000000-0005-0000-0000-000028040000}"/>
    <cellStyle name="Normal 83 3" xfId="1007" xr:uid="{00000000-0005-0000-0000-000029040000}"/>
    <cellStyle name="Normal 84" xfId="320" xr:uid="{00000000-0005-0000-0000-00002A040000}"/>
    <cellStyle name="Normal 84 2" xfId="321" xr:uid="{00000000-0005-0000-0000-00002B040000}"/>
    <cellStyle name="Normal 84 2 2" xfId="1008" xr:uid="{00000000-0005-0000-0000-00002C040000}"/>
    <cellStyle name="Normal 84 3" xfId="1009" xr:uid="{00000000-0005-0000-0000-00002D040000}"/>
    <cellStyle name="Normal 84 4" xfId="1010" xr:uid="{00000000-0005-0000-0000-00002E040000}"/>
    <cellStyle name="Normal 85" xfId="322" xr:uid="{00000000-0005-0000-0000-00002F040000}"/>
    <cellStyle name="Normal 85 2" xfId="323" xr:uid="{00000000-0005-0000-0000-000030040000}"/>
    <cellStyle name="Normal 85 2 2" xfId="1011" xr:uid="{00000000-0005-0000-0000-000031040000}"/>
    <cellStyle name="Normal 85 3" xfId="1012" xr:uid="{00000000-0005-0000-0000-000032040000}"/>
    <cellStyle name="Normal 86" xfId="324" xr:uid="{00000000-0005-0000-0000-000033040000}"/>
    <cellStyle name="Normal 86 2" xfId="325" xr:uid="{00000000-0005-0000-0000-000034040000}"/>
    <cellStyle name="Normal 86 2 2" xfId="1013" xr:uid="{00000000-0005-0000-0000-000035040000}"/>
    <cellStyle name="Normal 86 3" xfId="1014" xr:uid="{00000000-0005-0000-0000-000036040000}"/>
    <cellStyle name="Normal 87" xfId="326" xr:uid="{00000000-0005-0000-0000-000037040000}"/>
    <cellStyle name="Normal 87 2" xfId="327" xr:uid="{00000000-0005-0000-0000-000038040000}"/>
    <cellStyle name="Normal 87 2 2" xfId="1015" xr:uid="{00000000-0005-0000-0000-000039040000}"/>
    <cellStyle name="Normal 87 3" xfId="1016" xr:uid="{00000000-0005-0000-0000-00003A040000}"/>
    <cellStyle name="Normal 88" xfId="328" xr:uid="{00000000-0005-0000-0000-00003B040000}"/>
    <cellStyle name="Normal 88 2" xfId="329" xr:uid="{00000000-0005-0000-0000-00003C040000}"/>
    <cellStyle name="Normal 88 2 2" xfId="1017" xr:uid="{00000000-0005-0000-0000-00003D040000}"/>
    <cellStyle name="Normal 88 3" xfId="1018" xr:uid="{00000000-0005-0000-0000-00003E040000}"/>
    <cellStyle name="Normal 89" xfId="330" xr:uid="{00000000-0005-0000-0000-00003F040000}"/>
    <cellStyle name="Normal 89 2" xfId="331" xr:uid="{00000000-0005-0000-0000-000040040000}"/>
    <cellStyle name="Normal 89 2 2" xfId="1019" xr:uid="{00000000-0005-0000-0000-000041040000}"/>
    <cellStyle name="Normal 89 3" xfId="1020" xr:uid="{00000000-0005-0000-0000-000042040000}"/>
    <cellStyle name="Normal 9" xfId="92" xr:uid="{00000000-0005-0000-0000-000043040000}"/>
    <cellStyle name="Normal 9 2" xfId="93" xr:uid="{00000000-0005-0000-0000-000044040000}"/>
    <cellStyle name="Normal 9 2 2" xfId="1021" xr:uid="{00000000-0005-0000-0000-000045040000}"/>
    <cellStyle name="Normal 9 2 2 2" xfId="1022" xr:uid="{00000000-0005-0000-0000-000046040000}"/>
    <cellStyle name="Normal 9 2 2 2 2" xfId="1023" xr:uid="{00000000-0005-0000-0000-000047040000}"/>
    <cellStyle name="Normal 9 2 2 3" xfId="1024" xr:uid="{00000000-0005-0000-0000-000048040000}"/>
    <cellStyle name="Normal 9 2 3" xfId="1025" xr:uid="{00000000-0005-0000-0000-000049040000}"/>
    <cellStyle name="Normal 9 2 3 2" xfId="1026" xr:uid="{00000000-0005-0000-0000-00004A040000}"/>
    <cellStyle name="Normal 9 2 4" xfId="1027" xr:uid="{00000000-0005-0000-0000-00004B040000}"/>
    <cellStyle name="Normal 9 3" xfId="1028" xr:uid="{00000000-0005-0000-0000-00004C040000}"/>
    <cellStyle name="Normal 9 3 2" xfId="1029" xr:uid="{00000000-0005-0000-0000-00004D040000}"/>
    <cellStyle name="Normal 9 3 2 2" xfId="1030" xr:uid="{00000000-0005-0000-0000-00004E040000}"/>
    <cellStyle name="Normal 9 3 3" xfId="1031" xr:uid="{00000000-0005-0000-0000-00004F040000}"/>
    <cellStyle name="Normal 9 4" xfId="1032" xr:uid="{00000000-0005-0000-0000-000050040000}"/>
    <cellStyle name="Normal 9 4 2" xfId="1033" xr:uid="{00000000-0005-0000-0000-000051040000}"/>
    <cellStyle name="Normal 9 5" xfId="1034" xr:uid="{00000000-0005-0000-0000-000052040000}"/>
    <cellStyle name="Normal 90" xfId="332" xr:uid="{00000000-0005-0000-0000-000053040000}"/>
    <cellStyle name="Normal 90 2" xfId="333" xr:uid="{00000000-0005-0000-0000-000054040000}"/>
    <cellStyle name="Normal 90 2 2" xfId="1035" xr:uid="{00000000-0005-0000-0000-000055040000}"/>
    <cellStyle name="Normal 90 3" xfId="1036" xr:uid="{00000000-0005-0000-0000-000056040000}"/>
    <cellStyle name="Normal 91" xfId="334" xr:uid="{00000000-0005-0000-0000-000057040000}"/>
    <cellStyle name="Normal 91 2" xfId="335" xr:uid="{00000000-0005-0000-0000-000058040000}"/>
    <cellStyle name="Normal 91 2 2" xfId="1037" xr:uid="{00000000-0005-0000-0000-000059040000}"/>
    <cellStyle name="Normal 91 3" xfId="1038" xr:uid="{00000000-0005-0000-0000-00005A040000}"/>
    <cellStyle name="Normal 92" xfId="114" xr:uid="{00000000-0005-0000-0000-00005B040000}"/>
    <cellStyle name="Normal 92 2" xfId="336" xr:uid="{00000000-0005-0000-0000-00005C040000}"/>
    <cellStyle name="Normal 92 2 2" xfId="1039" xr:uid="{00000000-0005-0000-0000-00005D040000}"/>
    <cellStyle name="Normal 92 3" xfId="1040" xr:uid="{00000000-0005-0000-0000-00005E040000}"/>
    <cellStyle name="Normal 93" xfId="337" xr:uid="{00000000-0005-0000-0000-00005F040000}"/>
    <cellStyle name="Normal 93 2" xfId="338" xr:uid="{00000000-0005-0000-0000-000060040000}"/>
    <cellStyle name="Normal 93 2 2" xfId="1041" xr:uid="{00000000-0005-0000-0000-000061040000}"/>
    <cellStyle name="Normal 93 3" xfId="1042" xr:uid="{00000000-0005-0000-0000-000062040000}"/>
    <cellStyle name="Normal 94" xfId="115" xr:uid="{00000000-0005-0000-0000-000063040000}"/>
    <cellStyle name="Normal 94 2" xfId="339" xr:uid="{00000000-0005-0000-0000-000064040000}"/>
    <cellStyle name="Normal 95" xfId="340" xr:uid="{00000000-0005-0000-0000-000065040000}"/>
    <cellStyle name="Normal 95 2" xfId="341" xr:uid="{00000000-0005-0000-0000-000066040000}"/>
    <cellStyle name="Normal 96" xfId="342" xr:uid="{00000000-0005-0000-0000-000067040000}"/>
    <cellStyle name="Normal 96 2" xfId="343" xr:uid="{00000000-0005-0000-0000-000068040000}"/>
    <cellStyle name="Normal 97" xfId="344" xr:uid="{00000000-0005-0000-0000-000069040000}"/>
    <cellStyle name="Normal 97 2" xfId="345" xr:uid="{00000000-0005-0000-0000-00006A040000}"/>
    <cellStyle name="Normal 98" xfId="346" xr:uid="{00000000-0005-0000-0000-00006B040000}"/>
    <cellStyle name="Normal 98 2" xfId="347" xr:uid="{00000000-0005-0000-0000-00006C040000}"/>
    <cellStyle name="Normal 99" xfId="348" xr:uid="{00000000-0005-0000-0000-00006D040000}"/>
    <cellStyle name="Normal 99 2" xfId="349" xr:uid="{00000000-0005-0000-0000-00006E040000}"/>
    <cellStyle name="Percent 2" xfId="94" xr:uid="{00000000-0005-0000-0000-00006F040000}"/>
    <cellStyle name="Percent 2 2" xfId="95" xr:uid="{00000000-0005-0000-0000-000070040000}"/>
    <cellStyle name="Percent 2 2 2" xfId="96" xr:uid="{00000000-0005-0000-0000-000071040000}"/>
    <cellStyle name="Percent 2 3" xfId="97" xr:uid="{00000000-0005-0000-0000-000072040000}"/>
    <cellStyle name="Percent 3" xfId="98" xr:uid="{00000000-0005-0000-0000-000073040000}"/>
    <cellStyle name="Percent 3 2" xfId="99" xr:uid="{00000000-0005-0000-0000-000074040000}"/>
    <cellStyle name="Percent 4" xfId="100" xr:uid="{00000000-0005-0000-0000-000075040000}"/>
    <cellStyle name="Percent 5" xfId="101" xr:uid="{00000000-0005-0000-0000-000076040000}"/>
    <cellStyle name="Percent 5 2" xfId="102" xr:uid="{00000000-0005-0000-0000-000077040000}"/>
    <cellStyle name="Percent 5 2 2" xfId="1043" xr:uid="{00000000-0005-0000-0000-000078040000}"/>
    <cellStyle name="Percent 5 2 2 2" xfId="1044" xr:uid="{00000000-0005-0000-0000-000079040000}"/>
    <cellStyle name="Percent 5 2 2 2 2" xfId="1045" xr:uid="{00000000-0005-0000-0000-00007A040000}"/>
    <cellStyle name="Percent 5 2 2 3" xfId="1046" xr:uid="{00000000-0005-0000-0000-00007B040000}"/>
    <cellStyle name="Percent 5 2 3" xfId="1047" xr:uid="{00000000-0005-0000-0000-00007C040000}"/>
    <cellStyle name="Percent 5 2 3 2" xfId="1048" xr:uid="{00000000-0005-0000-0000-00007D040000}"/>
    <cellStyle name="Percent 5 2 4" xfId="1049" xr:uid="{00000000-0005-0000-0000-00007E040000}"/>
    <cellStyle name="Percent 5 3" xfId="1050" xr:uid="{00000000-0005-0000-0000-00007F040000}"/>
    <cellStyle name="Percent 5 3 2" xfId="1051" xr:uid="{00000000-0005-0000-0000-000080040000}"/>
    <cellStyle name="Percent 5 3 2 2" xfId="1052" xr:uid="{00000000-0005-0000-0000-000081040000}"/>
    <cellStyle name="Percent 5 3 3" xfId="1053" xr:uid="{00000000-0005-0000-0000-000082040000}"/>
    <cellStyle name="Percent 5 4" xfId="1054" xr:uid="{00000000-0005-0000-0000-000083040000}"/>
    <cellStyle name="Percent 5 4 2" xfId="1055" xr:uid="{00000000-0005-0000-0000-000084040000}"/>
    <cellStyle name="Percent 5 5" xfId="1056" xr:uid="{00000000-0005-0000-0000-000085040000}"/>
    <cellStyle name="Percent 6" xfId="103" xr:uid="{00000000-0005-0000-0000-000086040000}"/>
    <cellStyle name="Percent 7" xfId="104" xr:uid="{00000000-0005-0000-0000-000087040000}"/>
    <cellStyle name="Percent 7 2" xfId="1057" xr:uid="{00000000-0005-0000-0000-000088040000}"/>
    <cellStyle name="Percent 7 2 2" xfId="1058" xr:uid="{00000000-0005-0000-0000-000089040000}"/>
    <cellStyle name="Percent 7 2 2 2" xfId="1059" xr:uid="{00000000-0005-0000-0000-00008A040000}"/>
    <cellStyle name="Percent 7 2 3" xfId="1060" xr:uid="{00000000-0005-0000-0000-00008B040000}"/>
    <cellStyle name="Percent 7 3" xfId="1061" xr:uid="{00000000-0005-0000-0000-00008C040000}"/>
    <cellStyle name="Percent 7 3 2" xfId="1062" xr:uid="{00000000-0005-0000-0000-00008D040000}"/>
    <cellStyle name="Percent 7 4" xfId="1063" xr:uid="{00000000-0005-0000-0000-00008E040000}"/>
    <cellStyle name="Percent 8" xfId="105" xr:uid="{00000000-0005-0000-0000-00008F040000}"/>
    <cellStyle name="Percent 9" xfId="1064" xr:uid="{00000000-0005-0000-0000-000090040000}"/>
    <cellStyle name="Percent 9 2" xfId="1065" xr:uid="{00000000-0005-0000-0000-000091040000}"/>
  </cellStyles>
  <dxfs count="2">
    <dxf>
      <fill>
        <patternFill patternType="solid">
          <fgColor rgb="FFFFFF00"/>
          <bgColor rgb="FF000000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F66CC"/>
      <color rgb="FF00FF00"/>
      <color rgb="FFE7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0</xdr:row>
          <xdr:rowOff>133350</xdr:rowOff>
        </xdr:from>
        <xdr:to>
          <xdr:col>19</xdr:col>
          <xdr:colOff>381000</xdr:colOff>
          <xdr:row>0</xdr:row>
          <xdr:rowOff>571500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01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Show Journals &amp; Transactions in GL  Dump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3</xdr:col>
      <xdr:colOff>11463</xdr:colOff>
      <xdr:row>2</xdr:row>
      <xdr:rowOff>247650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3F7C97-7F3B-4E63-BB9F-7FC1E613A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2468913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News@BN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0933-4AA4-4653-8180-440E99B42DD2}">
  <sheetPr codeName="Sheet7" filterMode="1"/>
  <dimension ref="A1:N5808"/>
  <sheetViews>
    <sheetView workbookViewId="0">
      <pane ySplit="1" topLeftCell="A2" activePane="bottomLeft" state="frozen"/>
      <selection pane="bottomLeft" activeCell="G5403" sqref="G5403"/>
    </sheetView>
  </sheetViews>
  <sheetFormatPr defaultRowHeight="15" x14ac:dyDescent="0.25"/>
  <cols>
    <col min="1" max="1" width="19" bestFit="1" customWidth="1"/>
    <col min="2" max="2" width="31" bestFit="1" customWidth="1"/>
    <col min="3" max="3" width="10.140625" bestFit="1" customWidth="1"/>
    <col min="4" max="4" width="8.42578125" bestFit="1" customWidth="1"/>
    <col min="5" max="5" width="10.7109375" bestFit="1" customWidth="1"/>
    <col min="6" max="6" width="15.140625" bestFit="1" customWidth="1"/>
    <col min="7" max="7" width="80.140625" bestFit="1" customWidth="1"/>
    <col min="8" max="8" width="20" bestFit="1" customWidth="1"/>
    <col min="9" max="9" width="15.7109375" bestFit="1" customWidth="1"/>
    <col min="10" max="10" width="18" bestFit="1" customWidth="1"/>
    <col min="12" max="12" width="19" bestFit="1" customWidth="1"/>
    <col min="13" max="13" width="8.5703125" bestFit="1" customWidth="1"/>
    <col min="14" max="14" width="7.7109375" bestFit="1" customWidth="1"/>
  </cols>
  <sheetData>
    <row r="1" spans="1:14" ht="15.75" x14ac:dyDescent="0.25">
      <c r="A1" s="307" t="s">
        <v>759</v>
      </c>
      <c r="B1" s="307" t="s">
        <v>760</v>
      </c>
      <c r="C1" s="307" t="s">
        <v>761</v>
      </c>
      <c r="D1" s="307" t="s">
        <v>762</v>
      </c>
      <c r="E1" s="307" t="s">
        <v>743</v>
      </c>
      <c r="F1" s="307" t="s">
        <v>763</v>
      </c>
      <c r="G1" s="307" t="s">
        <v>744</v>
      </c>
      <c r="H1" s="307" t="s">
        <v>742</v>
      </c>
      <c r="I1" s="307" t="s">
        <v>764</v>
      </c>
      <c r="J1" s="307" t="s">
        <v>765</v>
      </c>
      <c r="K1" s="307" t="s">
        <v>766</v>
      </c>
      <c r="L1" s="307" t="s">
        <v>767</v>
      </c>
      <c r="M1" s="307" t="s">
        <v>768</v>
      </c>
      <c r="N1" s="307" t="s">
        <v>756</v>
      </c>
    </row>
    <row r="2" spans="1:14" hidden="1" x14ac:dyDescent="0.25">
      <c r="A2" s="303">
        <v>44012</v>
      </c>
      <c r="B2" s="302" t="s">
        <v>1113</v>
      </c>
      <c r="C2" s="302" t="s">
        <v>1059</v>
      </c>
      <c r="D2" s="304">
        <v>1</v>
      </c>
      <c r="E2" s="305">
        <v>23380</v>
      </c>
      <c r="F2" s="305">
        <v>23380</v>
      </c>
      <c r="G2" s="302" t="s">
        <v>1114</v>
      </c>
      <c r="H2" s="302" t="s">
        <v>1115</v>
      </c>
      <c r="I2" s="302" t="s">
        <v>1116</v>
      </c>
      <c r="J2" s="302" t="s">
        <v>757</v>
      </c>
      <c r="K2" s="302" t="s">
        <v>741</v>
      </c>
      <c r="L2" s="303">
        <v>44012</v>
      </c>
      <c r="M2" s="306">
        <v>0</v>
      </c>
      <c r="N2" s="302"/>
    </row>
    <row r="3" spans="1:14" hidden="1" x14ac:dyDescent="0.25">
      <c r="A3" s="303">
        <v>44012</v>
      </c>
      <c r="B3" s="302" t="s">
        <v>1117</v>
      </c>
      <c r="C3" s="302" t="s">
        <v>1059</v>
      </c>
      <c r="D3" s="304">
        <v>1</v>
      </c>
      <c r="E3" s="305">
        <v>-5000</v>
      </c>
      <c r="F3" s="305">
        <v>18380</v>
      </c>
      <c r="G3" s="302" t="s">
        <v>1118</v>
      </c>
      <c r="H3" s="302" t="s">
        <v>1115</v>
      </c>
      <c r="I3" s="302" t="s">
        <v>1116</v>
      </c>
      <c r="J3" s="302" t="s">
        <v>757</v>
      </c>
      <c r="K3" s="302" t="s">
        <v>741</v>
      </c>
      <c r="L3" s="303">
        <v>44012</v>
      </c>
      <c r="M3" s="306">
        <v>0</v>
      </c>
      <c r="N3" s="302"/>
    </row>
    <row r="4" spans="1:14" hidden="1" x14ac:dyDescent="0.25">
      <c r="A4" s="303">
        <v>44012</v>
      </c>
      <c r="B4" s="302" t="s">
        <v>1119</v>
      </c>
      <c r="C4" s="302" t="s">
        <v>1059</v>
      </c>
      <c r="D4" s="304">
        <v>1</v>
      </c>
      <c r="E4" s="305">
        <v>-93380</v>
      </c>
      <c r="F4" s="305">
        <v>-75000</v>
      </c>
      <c r="G4" s="302" t="s">
        <v>1120</v>
      </c>
      <c r="H4" s="302" t="s">
        <v>1115</v>
      </c>
      <c r="I4" s="302" t="s">
        <v>1116</v>
      </c>
      <c r="J4" s="302" t="s">
        <v>757</v>
      </c>
      <c r="K4" s="302" t="s">
        <v>741</v>
      </c>
      <c r="L4" s="303">
        <v>44012</v>
      </c>
      <c r="M4" s="306">
        <v>0</v>
      </c>
      <c r="N4" s="302"/>
    </row>
    <row r="5" spans="1:14" hidden="1" x14ac:dyDescent="0.25">
      <c r="A5" s="303">
        <v>44043</v>
      </c>
      <c r="B5" s="302" t="s">
        <v>1121</v>
      </c>
      <c r="C5" s="302" t="s">
        <v>1060</v>
      </c>
      <c r="D5" s="304">
        <v>1</v>
      </c>
      <c r="E5" s="305">
        <v>80000</v>
      </c>
      <c r="F5" s="305">
        <v>5000</v>
      </c>
      <c r="G5" s="302" t="s">
        <v>1122</v>
      </c>
      <c r="H5" s="302" t="s">
        <v>1115</v>
      </c>
      <c r="I5" s="302" t="s">
        <v>1116</v>
      </c>
      <c r="J5" s="302" t="s">
        <v>757</v>
      </c>
      <c r="K5" s="302" t="s">
        <v>741</v>
      </c>
      <c r="L5" s="303">
        <v>44043</v>
      </c>
      <c r="M5" s="306">
        <v>0</v>
      </c>
      <c r="N5" s="302"/>
    </row>
    <row r="6" spans="1:14" hidden="1" x14ac:dyDescent="0.25">
      <c r="A6" s="303">
        <v>44043</v>
      </c>
      <c r="B6" s="302" t="s">
        <v>1121</v>
      </c>
      <c r="C6" s="302" t="s">
        <v>1060</v>
      </c>
      <c r="D6" s="304">
        <v>2</v>
      </c>
      <c r="E6" s="305">
        <v>-80000</v>
      </c>
      <c r="F6" s="305">
        <v>-75000</v>
      </c>
      <c r="G6" s="302" t="s">
        <v>1122</v>
      </c>
      <c r="H6" s="302" t="s">
        <v>1115</v>
      </c>
      <c r="I6" s="302" t="s">
        <v>1116</v>
      </c>
      <c r="J6" s="302" t="s">
        <v>757</v>
      </c>
      <c r="K6" s="302" t="s">
        <v>741</v>
      </c>
      <c r="L6" s="303">
        <v>44043</v>
      </c>
      <c r="M6" s="306">
        <v>0</v>
      </c>
      <c r="N6" s="302"/>
    </row>
    <row r="7" spans="1:14" hidden="1" x14ac:dyDescent="0.25">
      <c r="A7" s="303">
        <v>44074</v>
      </c>
      <c r="B7" s="302" t="s">
        <v>1067</v>
      </c>
      <c r="C7" s="302" t="s">
        <v>1060</v>
      </c>
      <c r="D7" s="304">
        <v>2</v>
      </c>
      <c r="E7" s="305">
        <v>85000</v>
      </c>
      <c r="F7" s="305">
        <v>10000</v>
      </c>
      <c r="G7" s="302" t="s">
        <v>1123</v>
      </c>
      <c r="H7" s="302" t="s">
        <v>1115</v>
      </c>
      <c r="I7" s="302" t="s">
        <v>1116</v>
      </c>
      <c r="J7" s="302" t="s">
        <v>757</v>
      </c>
      <c r="K7" s="302" t="s">
        <v>741</v>
      </c>
      <c r="L7" s="303">
        <v>44074</v>
      </c>
      <c r="M7" s="306">
        <v>0</v>
      </c>
      <c r="N7" s="302"/>
    </row>
    <row r="8" spans="1:14" hidden="1" x14ac:dyDescent="0.25">
      <c r="A8" s="303">
        <v>44074</v>
      </c>
      <c r="B8" s="302" t="s">
        <v>1067</v>
      </c>
      <c r="C8" s="302" t="s">
        <v>1060</v>
      </c>
      <c r="D8" s="304">
        <v>3</v>
      </c>
      <c r="E8" s="305">
        <v>-85000</v>
      </c>
      <c r="F8" s="305">
        <v>-75000</v>
      </c>
      <c r="G8" s="302" t="s">
        <v>1123</v>
      </c>
      <c r="H8" s="302" t="s">
        <v>1115</v>
      </c>
      <c r="I8" s="302" t="s">
        <v>1116</v>
      </c>
      <c r="J8" s="302" t="s">
        <v>757</v>
      </c>
      <c r="K8" s="302" t="s">
        <v>741</v>
      </c>
      <c r="L8" s="303">
        <v>44074</v>
      </c>
      <c r="M8" s="306">
        <v>0</v>
      </c>
      <c r="N8" s="302"/>
    </row>
    <row r="9" spans="1:14" hidden="1" x14ac:dyDescent="0.25">
      <c r="A9" s="303">
        <v>44081</v>
      </c>
      <c r="B9" s="302" t="s">
        <v>1124</v>
      </c>
      <c r="C9" s="302" t="s">
        <v>769</v>
      </c>
      <c r="D9" s="304">
        <v>3</v>
      </c>
      <c r="E9" s="305">
        <v>2794.5</v>
      </c>
      <c r="F9" s="305">
        <v>-72205.5</v>
      </c>
      <c r="G9" s="302" t="s">
        <v>1125</v>
      </c>
      <c r="H9" s="302" t="s">
        <v>1115</v>
      </c>
      <c r="I9" s="302" t="s">
        <v>1116</v>
      </c>
      <c r="J9" s="302" t="s">
        <v>757</v>
      </c>
      <c r="K9" s="302" t="s">
        <v>770</v>
      </c>
      <c r="L9" s="303">
        <v>44081</v>
      </c>
      <c r="M9" s="306">
        <v>0</v>
      </c>
      <c r="N9" s="302"/>
    </row>
    <row r="10" spans="1:14" hidden="1" x14ac:dyDescent="0.25">
      <c r="A10" s="303">
        <v>44104</v>
      </c>
      <c r="B10" s="302" t="s">
        <v>1071</v>
      </c>
      <c r="C10" s="302" t="s">
        <v>1060</v>
      </c>
      <c r="D10" s="304">
        <v>3</v>
      </c>
      <c r="E10" s="305">
        <v>90000</v>
      </c>
      <c r="F10" s="305">
        <v>17794.5</v>
      </c>
      <c r="G10" s="302" t="s">
        <v>1126</v>
      </c>
      <c r="H10" s="302" t="s">
        <v>1115</v>
      </c>
      <c r="I10" s="302" t="s">
        <v>1116</v>
      </c>
      <c r="J10" s="302" t="s">
        <v>757</v>
      </c>
      <c r="K10" s="302" t="s">
        <v>741</v>
      </c>
      <c r="L10" s="303">
        <v>44104</v>
      </c>
      <c r="M10" s="306">
        <v>0</v>
      </c>
      <c r="N10" s="302"/>
    </row>
    <row r="11" spans="1:14" hidden="1" x14ac:dyDescent="0.25">
      <c r="A11" s="303">
        <v>44104</v>
      </c>
      <c r="B11" s="302" t="s">
        <v>1071</v>
      </c>
      <c r="C11" s="302" t="s">
        <v>1060</v>
      </c>
      <c r="D11" s="304">
        <v>4</v>
      </c>
      <c r="E11" s="305">
        <v>-90000</v>
      </c>
      <c r="F11" s="305">
        <v>-72205.5</v>
      </c>
      <c r="G11" s="302" t="s">
        <v>1126</v>
      </c>
      <c r="H11" s="302" t="s">
        <v>1115</v>
      </c>
      <c r="I11" s="302" t="s">
        <v>1116</v>
      </c>
      <c r="J11" s="302" t="s">
        <v>757</v>
      </c>
      <c r="K11" s="302" t="s">
        <v>741</v>
      </c>
      <c r="L11" s="303">
        <v>44104</v>
      </c>
      <c r="M11" s="306">
        <v>0</v>
      </c>
      <c r="N11" s="302"/>
    </row>
    <row r="12" spans="1:14" hidden="1" x14ac:dyDescent="0.25">
      <c r="A12" s="303">
        <v>44135</v>
      </c>
      <c r="B12" s="302" t="s">
        <v>1072</v>
      </c>
      <c r="C12" s="302" t="s">
        <v>1060</v>
      </c>
      <c r="D12" s="304">
        <v>4</v>
      </c>
      <c r="E12" s="305">
        <v>95000</v>
      </c>
      <c r="F12" s="305">
        <v>22794.5</v>
      </c>
      <c r="G12" s="302" t="s">
        <v>1127</v>
      </c>
      <c r="H12" s="302" t="s">
        <v>1115</v>
      </c>
      <c r="I12" s="302" t="s">
        <v>1116</v>
      </c>
      <c r="J12" s="302" t="s">
        <v>757</v>
      </c>
      <c r="K12" s="302" t="s">
        <v>741</v>
      </c>
      <c r="L12" s="303">
        <v>44135</v>
      </c>
      <c r="M12" s="306">
        <v>0</v>
      </c>
      <c r="N12" s="302"/>
    </row>
    <row r="13" spans="1:14" hidden="1" x14ac:dyDescent="0.25">
      <c r="A13" s="303">
        <v>44135</v>
      </c>
      <c r="B13" s="302" t="s">
        <v>1072</v>
      </c>
      <c r="C13" s="302" t="s">
        <v>1060</v>
      </c>
      <c r="D13" s="304">
        <v>5</v>
      </c>
      <c r="E13" s="305">
        <v>-95000</v>
      </c>
      <c r="F13" s="305">
        <v>-72205.5</v>
      </c>
      <c r="G13" s="302" t="s">
        <v>1127</v>
      </c>
      <c r="H13" s="302" t="s">
        <v>1115</v>
      </c>
      <c r="I13" s="302" t="s">
        <v>1116</v>
      </c>
      <c r="J13" s="302" t="s">
        <v>757</v>
      </c>
      <c r="K13" s="302" t="s">
        <v>741</v>
      </c>
      <c r="L13" s="303">
        <v>44135</v>
      </c>
      <c r="M13" s="306">
        <v>0</v>
      </c>
      <c r="N13" s="302"/>
    </row>
    <row r="14" spans="1:14" hidden="1" x14ac:dyDescent="0.25">
      <c r="A14" s="303">
        <v>44165</v>
      </c>
      <c r="B14" s="302" t="s">
        <v>1128</v>
      </c>
      <c r="C14" s="302" t="s">
        <v>1060</v>
      </c>
      <c r="D14" s="304">
        <v>5</v>
      </c>
      <c r="E14" s="305">
        <v>100000</v>
      </c>
      <c r="F14" s="305">
        <v>27794.5</v>
      </c>
      <c r="G14" s="302" t="s">
        <v>1129</v>
      </c>
      <c r="H14" s="302" t="s">
        <v>1115</v>
      </c>
      <c r="I14" s="302" t="s">
        <v>1116</v>
      </c>
      <c r="J14" s="302" t="s">
        <v>757</v>
      </c>
      <c r="K14" s="302" t="s">
        <v>741</v>
      </c>
      <c r="L14" s="303">
        <v>44165</v>
      </c>
      <c r="M14" s="306">
        <v>0</v>
      </c>
      <c r="N14" s="302"/>
    </row>
    <row r="15" spans="1:14" hidden="1" x14ac:dyDescent="0.25">
      <c r="A15" s="303">
        <v>44165</v>
      </c>
      <c r="B15" s="302" t="s">
        <v>1128</v>
      </c>
      <c r="C15" s="302" t="s">
        <v>1060</v>
      </c>
      <c r="D15" s="304">
        <v>6</v>
      </c>
      <c r="E15" s="305">
        <v>-100000</v>
      </c>
      <c r="F15" s="305">
        <v>-72205.5</v>
      </c>
      <c r="G15" s="302" t="s">
        <v>1129</v>
      </c>
      <c r="H15" s="302" t="s">
        <v>1115</v>
      </c>
      <c r="I15" s="302" t="s">
        <v>1116</v>
      </c>
      <c r="J15" s="302" t="s">
        <v>757</v>
      </c>
      <c r="K15" s="302" t="s">
        <v>741</v>
      </c>
      <c r="L15" s="303">
        <v>44165</v>
      </c>
      <c r="M15" s="306">
        <v>0</v>
      </c>
      <c r="N15" s="302"/>
    </row>
    <row r="16" spans="1:14" hidden="1" x14ac:dyDescent="0.25">
      <c r="A16" s="303">
        <v>44196</v>
      </c>
      <c r="B16" s="302" t="s">
        <v>1073</v>
      </c>
      <c r="C16" s="302" t="s">
        <v>1060</v>
      </c>
      <c r="D16" s="304">
        <v>6</v>
      </c>
      <c r="E16" s="305">
        <v>105000</v>
      </c>
      <c r="F16" s="305">
        <v>32794.5</v>
      </c>
      <c r="G16" s="302" t="s">
        <v>1130</v>
      </c>
      <c r="H16" s="302" t="s">
        <v>1115</v>
      </c>
      <c r="I16" s="302" t="s">
        <v>1116</v>
      </c>
      <c r="J16" s="302" t="s">
        <v>757</v>
      </c>
      <c r="K16" s="302" t="s">
        <v>741</v>
      </c>
      <c r="L16" s="303">
        <v>44196</v>
      </c>
      <c r="M16" s="306">
        <v>0</v>
      </c>
      <c r="N16" s="302"/>
    </row>
    <row r="17" spans="1:14" hidden="1" x14ac:dyDescent="0.25">
      <c r="A17" s="303">
        <v>44174</v>
      </c>
      <c r="B17" s="302" t="s">
        <v>1131</v>
      </c>
      <c r="C17" s="302" t="s">
        <v>769</v>
      </c>
      <c r="D17" s="304">
        <v>7</v>
      </c>
      <c r="E17" s="305">
        <v>11022.75</v>
      </c>
      <c r="F17" s="305">
        <v>43817.25</v>
      </c>
      <c r="G17" s="302" t="s">
        <v>1132</v>
      </c>
      <c r="H17" s="302" t="s">
        <v>1115</v>
      </c>
      <c r="I17" s="302" t="s">
        <v>1116</v>
      </c>
      <c r="J17" s="302" t="s">
        <v>757</v>
      </c>
      <c r="K17" s="302" t="s">
        <v>770</v>
      </c>
      <c r="L17" s="303">
        <v>44174</v>
      </c>
      <c r="M17" s="306">
        <v>0</v>
      </c>
      <c r="N17" s="302"/>
    </row>
    <row r="18" spans="1:14" hidden="1" x14ac:dyDescent="0.25">
      <c r="A18" s="303">
        <v>44196</v>
      </c>
      <c r="B18" s="302" t="s">
        <v>1073</v>
      </c>
      <c r="C18" s="302" t="s">
        <v>1060</v>
      </c>
      <c r="D18" s="304">
        <v>7</v>
      </c>
      <c r="E18" s="305">
        <v>-105000</v>
      </c>
      <c r="F18" s="305">
        <v>-61182.75</v>
      </c>
      <c r="G18" s="302" t="s">
        <v>1130</v>
      </c>
      <c r="H18" s="302" t="s">
        <v>1115</v>
      </c>
      <c r="I18" s="302" t="s">
        <v>1116</v>
      </c>
      <c r="J18" s="302" t="s">
        <v>757</v>
      </c>
      <c r="K18" s="302" t="s">
        <v>741</v>
      </c>
      <c r="L18" s="303">
        <v>44196</v>
      </c>
      <c r="M18" s="306">
        <v>0</v>
      </c>
      <c r="N18" s="302"/>
    </row>
    <row r="19" spans="1:14" hidden="1" x14ac:dyDescent="0.25">
      <c r="A19" s="303">
        <v>44227</v>
      </c>
      <c r="B19" s="302" t="s">
        <v>1074</v>
      </c>
      <c r="C19" s="302" t="s">
        <v>1060</v>
      </c>
      <c r="D19" s="304">
        <v>7</v>
      </c>
      <c r="E19" s="305">
        <v>110000</v>
      </c>
      <c r="F19" s="305">
        <v>48817.25</v>
      </c>
      <c r="G19" s="302" t="s">
        <v>1133</v>
      </c>
      <c r="H19" s="302" t="s">
        <v>1115</v>
      </c>
      <c r="I19" s="302" t="s">
        <v>1116</v>
      </c>
      <c r="J19" s="302" t="s">
        <v>757</v>
      </c>
      <c r="K19" s="302" t="s">
        <v>741</v>
      </c>
      <c r="L19" s="303">
        <v>44227</v>
      </c>
      <c r="M19" s="306">
        <v>0</v>
      </c>
      <c r="N19" s="302"/>
    </row>
    <row r="20" spans="1:14" hidden="1" x14ac:dyDescent="0.25">
      <c r="A20" s="303">
        <v>44227</v>
      </c>
      <c r="B20" s="302" t="s">
        <v>1074</v>
      </c>
      <c r="C20" s="302" t="s">
        <v>1060</v>
      </c>
      <c r="D20" s="304">
        <v>8</v>
      </c>
      <c r="E20" s="305">
        <v>-110000</v>
      </c>
      <c r="F20" s="305">
        <v>-61182.75</v>
      </c>
      <c r="G20" s="302" t="s">
        <v>1133</v>
      </c>
      <c r="H20" s="302" t="s">
        <v>1115</v>
      </c>
      <c r="I20" s="302" t="s">
        <v>1116</v>
      </c>
      <c r="J20" s="302" t="s">
        <v>757</v>
      </c>
      <c r="K20" s="302" t="s">
        <v>741</v>
      </c>
      <c r="L20" s="303">
        <v>44227</v>
      </c>
      <c r="M20" s="306">
        <v>0</v>
      </c>
      <c r="N20" s="302"/>
    </row>
    <row r="21" spans="1:14" hidden="1" x14ac:dyDescent="0.25">
      <c r="A21" s="303">
        <v>44255</v>
      </c>
      <c r="B21" s="302" t="s">
        <v>1075</v>
      </c>
      <c r="C21" s="302" t="s">
        <v>1060</v>
      </c>
      <c r="D21" s="304">
        <v>8</v>
      </c>
      <c r="E21" s="305">
        <v>115000</v>
      </c>
      <c r="F21" s="305">
        <v>53817.25</v>
      </c>
      <c r="G21" s="302" t="s">
        <v>1134</v>
      </c>
      <c r="H21" s="302" t="s">
        <v>1115</v>
      </c>
      <c r="I21" s="302" t="s">
        <v>1116</v>
      </c>
      <c r="J21" s="302" t="s">
        <v>757</v>
      </c>
      <c r="K21" s="302" t="s">
        <v>741</v>
      </c>
      <c r="L21" s="303">
        <v>44255</v>
      </c>
      <c r="M21" s="306">
        <v>0</v>
      </c>
      <c r="N21" s="302"/>
    </row>
    <row r="22" spans="1:14" hidden="1" x14ac:dyDescent="0.25">
      <c r="A22" s="303">
        <v>44255</v>
      </c>
      <c r="B22" s="302" t="s">
        <v>1075</v>
      </c>
      <c r="C22" s="302" t="s">
        <v>1060</v>
      </c>
      <c r="D22" s="304">
        <v>9</v>
      </c>
      <c r="E22" s="305">
        <v>-115000</v>
      </c>
      <c r="F22" s="305">
        <v>-61182.75</v>
      </c>
      <c r="G22" s="302" t="s">
        <v>1134</v>
      </c>
      <c r="H22" s="302" t="s">
        <v>1115</v>
      </c>
      <c r="I22" s="302" t="s">
        <v>1116</v>
      </c>
      <c r="J22" s="302" t="s">
        <v>757</v>
      </c>
      <c r="K22" s="302" t="s">
        <v>741</v>
      </c>
      <c r="L22" s="303">
        <v>44255</v>
      </c>
      <c r="M22" s="306">
        <v>0</v>
      </c>
      <c r="N22" s="302"/>
    </row>
    <row r="23" spans="1:14" hidden="1" x14ac:dyDescent="0.25">
      <c r="A23" s="303">
        <v>44286</v>
      </c>
      <c r="B23" s="302" t="s">
        <v>1135</v>
      </c>
      <c r="C23" s="302" t="s">
        <v>1060</v>
      </c>
      <c r="D23" s="304">
        <v>9</v>
      </c>
      <c r="E23" s="305">
        <v>120000</v>
      </c>
      <c r="F23" s="305">
        <v>58817.25</v>
      </c>
      <c r="G23" s="302" t="s">
        <v>1136</v>
      </c>
      <c r="H23" s="302" t="s">
        <v>1115</v>
      </c>
      <c r="I23" s="302" t="s">
        <v>1116</v>
      </c>
      <c r="J23" s="302" t="s">
        <v>757</v>
      </c>
      <c r="K23" s="302" t="s">
        <v>741</v>
      </c>
      <c r="L23" s="303">
        <v>44286</v>
      </c>
      <c r="M23" s="306">
        <v>0</v>
      </c>
      <c r="N23" s="302"/>
    </row>
    <row r="24" spans="1:14" hidden="1" x14ac:dyDescent="0.25">
      <c r="A24" s="303">
        <v>44286</v>
      </c>
      <c r="B24" s="302" t="s">
        <v>1135</v>
      </c>
      <c r="C24" s="302" t="s">
        <v>1060</v>
      </c>
      <c r="D24" s="304">
        <v>10</v>
      </c>
      <c r="E24" s="305">
        <v>-120000</v>
      </c>
      <c r="F24" s="305">
        <v>-61182.75</v>
      </c>
      <c r="G24" s="302" t="s">
        <v>1136</v>
      </c>
      <c r="H24" s="302" t="s">
        <v>1115</v>
      </c>
      <c r="I24" s="302" t="s">
        <v>1116</v>
      </c>
      <c r="J24" s="302" t="s">
        <v>757</v>
      </c>
      <c r="K24" s="302" t="s">
        <v>741</v>
      </c>
      <c r="L24" s="303">
        <v>44286</v>
      </c>
      <c r="M24" s="306">
        <v>0</v>
      </c>
      <c r="N24" s="302"/>
    </row>
    <row r="25" spans="1:14" hidden="1" x14ac:dyDescent="0.25">
      <c r="A25" s="303">
        <v>44316</v>
      </c>
      <c r="B25" s="302" t="s">
        <v>1083</v>
      </c>
      <c r="C25" s="302" t="s">
        <v>1060</v>
      </c>
      <c r="D25" s="304">
        <v>10</v>
      </c>
      <c r="E25" s="305">
        <v>125000</v>
      </c>
      <c r="F25" s="305">
        <v>63817.25</v>
      </c>
      <c r="G25" s="302" t="s">
        <v>1081</v>
      </c>
      <c r="H25" s="302" t="s">
        <v>1115</v>
      </c>
      <c r="I25" s="302" t="s">
        <v>1116</v>
      </c>
      <c r="J25" s="302" t="s">
        <v>757</v>
      </c>
      <c r="K25" s="302" t="s">
        <v>741</v>
      </c>
      <c r="L25" s="303">
        <v>44316</v>
      </c>
      <c r="M25" s="306">
        <v>0</v>
      </c>
      <c r="N25" s="302"/>
    </row>
    <row r="26" spans="1:14" hidden="1" x14ac:dyDescent="0.25">
      <c r="A26" s="309">
        <v>44012</v>
      </c>
      <c r="B26" s="308" t="s">
        <v>1137</v>
      </c>
      <c r="C26" s="308" t="s">
        <v>1059</v>
      </c>
      <c r="D26" s="310">
        <v>1</v>
      </c>
      <c r="E26" s="311">
        <v>6010.16</v>
      </c>
      <c r="F26" s="311">
        <v>6010.16</v>
      </c>
      <c r="G26" s="308" t="s">
        <v>1138</v>
      </c>
      <c r="H26" s="308" t="s">
        <v>1139</v>
      </c>
      <c r="I26" s="308" t="s">
        <v>1140</v>
      </c>
      <c r="J26" s="308" t="s">
        <v>757</v>
      </c>
      <c r="K26" s="308" t="s">
        <v>741</v>
      </c>
      <c r="L26" s="309">
        <v>44012</v>
      </c>
      <c r="M26" s="312">
        <v>0</v>
      </c>
    </row>
    <row r="27" spans="1:14" hidden="1" x14ac:dyDescent="0.25">
      <c r="A27" s="309">
        <v>44012</v>
      </c>
      <c r="B27" s="308" t="s">
        <v>1141</v>
      </c>
      <c r="C27" s="308" t="s">
        <v>1059</v>
      </c>
      <c r="D27" s="310">
        <v>1</v>
      </c>
      <c r="E27" s="311">
        <v>-6010.16</v>
      </c>
      <c r="F27" s="311">
        <v>0</v>
      </c>
      <c r="G27" s="308" t="s">
        <v>1142</v>
      </c>
      <c r="H27" s="308" t="s">
        <v>1139</v>
      </c>
      <c r="I27" s="308" t="s">
        <v>1140</v>
      </c>
      <c r="J27" s="308" t="s">
        <v>757</v>
      </c>
      <c r="K27" s="308" t="s">
        <v>741</v>
      </c>
      <c r="L27" s="309">
        <v>44012</v>
      </c>
      <c r="M27" s="312">
        <v>0</v>
      </c>
    </row>
    <row r="28" spans="1:14" hidden="1" x14ac:dyDescent="0.25">
      <c r="A28" s="309">
        <v>44043</v>
      </c>
      <c r="B28" s="308" t="s">
        <v>1143</v>
      </c>
      <c r="C28" s="308" t="s">
        <v>1060</v>
      </c>
      <c r="D28" s="310">
        <v>1</v>
      </c>
      <c r="E28" s="311">
        <v>6010.16</v>
      </c>
      <c r="F28" s="311">
        <v>6010.16</v>
      </c>
      <c r="G28" s="308" t="s">
        <v>1144</v>
      </c>
      <c r="H28" s="308" t="s">
        <v>1139</v>
      </c>
      <c r="I28" s="308" t="s">
        <v>1140</v>
      </c>
      <c r="J28" s="308" t="s">
        <v>757</v>
      </c>
      <c r="K28" s="308" t="s">
        <v>741</v>
      </c>
      <c r="L28" s="309">
        <v>44043</v>
      </c>
      <c r="M28" s="312">
        <v>0</v>
      </c>
    </row>
    <row r="29" spans="1:14" hidden="1" x14ac:dyDescent="0.25">
      <c r="A29" s="309">
        <v>44043</v>
      </c>
      <c r="B29" s="308" t="s">
        <v>1145</v>
      </c>
      <c r="C29" s="308" t="s">
        <v>1060</v>
      </c>
      <c r="D29" s="310">
        <v>1</v>
      </c>
      <c r="E29" s="311">
        <v>-6010.16</v>
      </c>
      <c r="F29" s="311">
        <v>0</v>
      </c>
      <c r="G29" s="308" t="s">
        <v>1146</v>
      </c>
      <c r="H29" s="308" t="s">
        <v>1139</v>
      </c>
      <c r="I29" s="308" t="s">
        <v>1140</v>
      </c>
      <c r="J29" s="308" t="s">
        <v>757</v>
      </c>
      <c r="K29" s="308" t="s">
        <v>741</v>
      </c>
      <c r="L29" s="309">
        <v>44043</v>
      </c>
      <c r="M29" s="312">
        <v>0</v>
      </c>
    </row>
    <row r="30" spans="1:14" hidden="1" x14ac:dyDescent="0.25">
      <c r="A30" s="309">
        <v>44043</v>
      </c>
      <c r="B30" s="308" t="s">
        <v>1143</v>
      </c>
      <c r="C30" s="308" t="s">
        <v>1060</v>
      </c>
      <c r="D30" s="310">
        <v>2</v>
      </c>
      <c r="E30" s="311">
        <v>-6010.16</v>
      </c>
      <c r="F30" s="311">
        <v>-6010.16</v>
      </c>
      <c r="G30" s="308" t="s">
        <v>1144</v>
      </c>
      <c r="H30" s="308" t="s">
        <v>1139</v>
      </c>
      <c r="I30" s="308" t="s">
        <v>1140</v>
      </c>
      <c r="J30" s="308" t="s">
        <v>757</v>
      </c>
      <c r="K30" s="308" t="s">
        <v>741</v>
      </c>
      <c r="L30" s="309">
        <v>44043</v>
      </c>
      <c r="M30" s="312">
        <v>0</v>
      </c>
    </row>
    <row r="31" spans="1:14" hidden="1" x14ac:dyDescent="0.25">
      <c r="A31" s="309">
        <v>44043</v>
      </c>
      <c r="B31" s="308" t="s">
        <v>1145</v>
      </c>
      <c r="C31" s="308" t="s">
        <v>1060</v>
      </c>
      <c r="D31" s="310">
        <v>2</v>
      </c>
      <c r="E31" s="311">
        <v>6010.16</v>
      </c>
      <c r="F31" s="311">
        <v>0</v>
      </c>
      <c r="G31" s="308" t="s">
        <v>1146</v>
      </c>
      <c r="H31" s="308" t="s">
        <v>1139</v>
      </c>
      <c r="I31" s="308" t="s">
        <v>1140</v>
      </c>
      <c r="J31" s="308" t="s">
        <v>757</v>
      </c>
      <c r="K31" s="308" t="s">
        <v>741</v>
      </c>
      <c r="L31" s="309">
        <v>44043</v>
      </c>
      <c r="M31" s="312">
        <v>0</v>
      </c>
    </row>
    <row r="32" spans="1:14" hidden="1" x14ac:dyDescent="0.25">
      <c r="A32" s="309">
        <v>44074</v>
      </c>
      <c r="B32" s="308" t="s">
        <v>1147</v>
      </c>
      <c r="C32" s="308" t="s">
        <v>1060</v>
      </c>
      <c r="D32" s="310">
        <v>2</v>
      </c>
      <c r="E32" s="311">
        <v>6010.16</v>
      </c>
      <c r="F32" s="311">
        <v>6010.16</v>
      </c>
      <c r="G32" s="308" t="s">
        <v>1148</v>
      </c>
      <c r="H32" s="308" t="s">
        <v>1139</v>
      </c>
      <c r="I32" s="308" t="s">
        <v>1140</v>
      </c>
      <c r="J32" s="308" t="s">
        <v>757</v>
      </c>
      <c r="K32" s="308" t="s">
        <v>741</v>
      </c>
      <c r="L32" s="309">
        <v>44074</v>
      </c>
      <c r="M32" s="312">
        <v>0</v>
      </c>
    </row>
    <row r="33" spans="1:13" hidden="1" x14ac:dyDescent="0.25">
      <c r="A33" s="309">
        <v>44124</v>
      </c>
      <c r="B33" s="308" t="s">
        <v>1149</v>
      </c>
      <c r="C33" s="308" t="s">
        <v>1060</v>
      </c>
      <c r="D33" s="310">
        <v>2</v>
      </c>
      <c r="E33" s="311">
        <v>-6010.16</v>
      </c>
      <c r="F33" s="311">
        <v>0</v>
      </c>
      <c r="G33" s="308" t="s">
        <v>1150</v>
      </c>
      <c r="H33" s="308" t="s">
        <v>1139</v>
      </c>
      <c r="I33" s="308" t="s">
        <v>1140</v>
      </c>
      <c r="J33" s="308" t="s">
        <v>757</v>
      </c>
      <c r="K33" s="308" t="s">
        <v>741</v>
      </c>
      <c r="L33" s="309">
        <v>44124</v>
      </c>
      <c r="M33" s="312">
        <v>0</v>
      </c>
    </row>
    <row r="34" spans="1:13" hidden="1" x14ac:dyDescent="0.25">
      <c r="A34" s="309">
        <v>44074</v>
      </c>
      <c r="B34" s="308" t="s">
        <v>1147</v>
      </c>
      <c r="C34" s="308" t="s">
        <v>1060</v>
      </c>
      <c r="D34" s="310">
        <v>3</v>
      </c>
      <c r="E34" s="311">
        <v>-6010.16</v>
      </c>
      <c r="F34" s="311">
        <v>-6010.16</v>
      </c>
      <c r="G34" s="308" t="s">
        <v>1148</v>
      </c>
      <c r="H34" s="308" t="s">
        <v>1139</v>
      </c>
      <c r="I34" s="308" t="s">
        <v>1140</v>
      </c>
      <c r="J34" s="308" t="s">
        <v>757</v>
      </c>
      <c r="K34" s="308" t="s">
        <v>741</v>
      </c>
      <c r="L34" s="309">
        <v>44074</v>
      </c>
      <c r="M34" s="312">
        <v>0</v>
      </c>
    </row>
    <row r="35" spans="1:13" hidden="1" x14ac:dyDescent="0.25">
      <c r="A35" s="309">
        <v>44124</v>
      </c>
      <c r="B35" s="308" t="s">
        <v>1149</v>
      </c>
      <c r="C35" s="308" t="s">
        <v>1060</v>
      </c>
      <c r="D35" s="310">
        <v>3</v>
      </c>
      <c r="E35" s="311">
        <v>6010.16</v>
      </c>
      <c r="F35" s="311">
        <v>0</v>
      </c>
      <c r="G35" s="308" t="s">
        <v>1150</v>
      </c>
      <c r="H35" s="308" t="s">
        <v>1139</v>
      </c>
      <c r="I35" s="308" t="s">
        <v>1140</v>
      </c>
      <c r="J35" s="308" t="s">
        <v>757</v>
      </c>
      <c r="K35" s="308" t="s">
        <v>741</v>
      </c>
      <c r="L35" s="309">
        <v>44124</v>
      </c>
      <c r="M35" s="312">
        <v>0</v>
      </c>
    </row>
    <row r="36" spans="1:13" hidden="1" x14ac:dyDescent="0.25">
      <c r="A36" s="309">
        <v>44124</v>
      </c>
      <c r="B36" s="308" t="s">
        <v>1151</v>
      </c>
      <c r="C36" s="308" t="s">
        <v>1060</v>
      </c>
      <c r="D36" s="310">
        <v>3</v>
      </c>
      <c r="E36" s="311">
        <v>6010.16</v>
      </c>
      <c r="F36" s="311">
        <v>6010.16</v>
      </c>
      <c r="G36" s="308" t="s">
        <v>1146</v>
      </c>
      <c r="H36" s="308" t="s">
        <v>1139</v>
      </c>
      <c r="I36" s="308" t="s">
        <v>1140</v>
      </c>
      <c r="J36" s="308" t="s">
        <v>757</v>
      </c>
      <c r="K36" s="308" t="s">
        <v>741</v>
      </c>
      <c r="L36" s="309">
        <v>44124</v>
      </c>
      <c r="M36" s="312">
        <v>0</v>
      </c>
    </row>
    <row r="37" spans="1:13" hidden="1" x14ac:dyDescent="0.25">
      <c r="A37" s="309">
        <v>44124</v>
      </c>
      <c r="B37" s="308" t="s">
        <v>1152</v>
      </c>
      <c r="C37" s="308" t="s">
        <v>1060</v>
      </c>
      <c r="D37" s="310">
        <v>3</v>
      </c>
      <c r="E37" s="311">
        <v>-6010.16</v>
      </c>
      <c r="F37" s="311">
        <v>0</v>
      </c>
      <c r="G37" s="308" t="s">
        <v>1146</v>
      </c>
      <c r="H37" s="308" t="s">
        <v>1139</v>
      </c>
      <c r="I37" s="308" t="s">
        <v>1140</v>
      </c>
      <c r="J37" s="308" t="s">
        <v>757</v>
      </c>
      <c r="K37" s="308" t="s">
        <v>741</v>
      </c>
      <c r="L37" s="309">
        <v>44124</v>
      </c>
      <c r="M37" s="312">
        <v>0</v>
      </c>
    </row>
    <row r="38" spans="1:13" hidden="1" x14ac:dyDescent="0.25">
      <c r="A38" s="309">
        <v>44124</v>
      </c>
      <c r="B38" s="308" t="s">
        <v>1151</v>
      </c>
      <c r="C38" s="308" t="s">
        <v>1060</v>
      </c>
      <c r="D38" s="310">
        <v>4</v>
      </c>
      <c r="E38" s="311">
        <v>-6010.16</v>
      </c>
      <c r="F38" s="311">
        <v>-6010.16</v>
      </c>
      <c r="G38" s="308" t="s">
        <v>1146</v>
      </c>
      <c r="H38" s="308" t="s">
        <v>1139</v>
      </c>
      <c r="I38" s="308" t="s">
        <v>1140</v>
      </c>
      <c r="J38" s="308" t="s">
        <v>757</v>
      </c>
      <c r="K38" s="308" t="s">
        <v>741</v>
      </c>
      <c r="L38" s="309">
        <v>44124</v>
      </c>
      <c r="M38" s="312">
        <v>0</v>
      </c>
    </row>
    <row r="39" spans="1:13" hidden="1" x14ac:dyDescent="0.25">
      <c r="A39" s="309">
        <v>44124</v>
      </c>
      <c r="B39" s="308" t="s">
        <v>1152</v>
      </c>
      <c r="C39" s="308" t="s">
        <v>1060</v>
      </c>
      <c r="D39" s="310">
        <v>4</v>
      </c>
      <c r="E39" s="311">
        <v>6010.16</v>
      </c>
      <c r="F39" s="311">
        <v>0</v>
      </c>
      <c r="G39" s="308" t="s">
        <v>1146</v>
      </c>
      <c r="H39" s="308" t="s">
        <v>1139</v>
      </c>
      <c r="I39" s="308" t="s">
        <v>1140</v>
      </c>
      <c r="J39" s="308" t="s">
        <v>757</v>
      </c>
      <c r="K39" s="308" t="s">
        <v>741</v>
      </c>
      <c r="L39" s="309">
        <v>44124</v>
      </c>
      <c r="M39" s="312">
        <v>0</v>
      </c>
    </row>
    <row r="40" spans="1:13" hidden="1" x14ac:dyDescent="0.25">
      <c r="A40" s="309">
        <v>44012</v>
      </c>
      <c r="B40" s="308" t="s">
        <v>1141</v>
      </c>
      <c r="C40" s="308" t="s">
        <v>1059</v>
      </c>
      <c r="D40" s="310">
        <v>1</v>
      </c>
      <c r="E40" s="311">
        <v>-4424.8100000000004</v>
      </c>
      <c r="F40" s="311">
        <v>-4424.8100000000004</v>
      </c>
      <c r="G40" s="308" t="s">
        <v>1142</v>
      </c>
      <c r="H40" s="308" t="s">
        <v>1153</v>
      </c>
      <c r="I40" s="308" t="s">
        <v>1140</v>
      </c>
      <c r="J40" s="308" t="s">
        <v>757</v>
      </c>
      <c r="K40" s="308" t="s">
        <v>741</v>
      </c>
      <c r="L40" s="309">
        <v>44012</v>
      </c>
      <c r="M40" s="312">
        <v>0</v>
      </c>
    </row>
    <row r="41" spans="1:13" hidden="1" x14ac:dyDescent="0.25">
      <c r="A41" s="309">
        <v>44012</v>
      </c>
      <c r="B41" s="308" t="s">
        <v>1137</v>
      </c>
      <c r="C41" s="308" t="s">
        <v>1059</v>
      </c>
      <c r="D41" s="310">
        <v>1</v>
      </c>
      <c r="E41" s="311">
        <v>4424.8100000000004</v>
      </c>
      <c r="F41" s="311">
        <v>0</v>
      </c>
      <c r="G41" s="308" t="s">
        <v>1138</v>
      </c>
      <c r="H41" s="308" t="s">
        <v>1153</v>
      </c>
      <c r="I41" s="308" t="s">
        <v>1140</v>
      </c>
      <c r="J41" s="308" t="s">
        <v>757</v>
      </c>
      <c r="K41" s="308" t="s">
        <v>741</v>
      </c>
      <c r="L41" s="309">
        <v>44012</v>
      </c>
      <c r="M41" s="312">
        <v>0</v>
      </c>
    </row>
    <row r="42" spans="1:13" hidden="1" x14ac:dyDescent="0.25">
      <c r="A42" s="309">
        <v>44043</v>
      </c>
      <c r="B42" s="308" t="s">
        <v>1145</v>
      </c>
      <c r="C42" s="308" t="s">
        <v>1060</v>
      </c>
      <c r="D42" s="310">
        <v>1</v>
      </c>
      <c r="E42" s="311">
        <v>-4424.8100000000004</v>
      </c>
      <c r="F42" s="311">
        <v>-4424.8100000000004</v>
      </c>
      <c r="G42" s="308" t="s">
        <v>1146</v>
      </c>
      <c r="H42" s="308" t="s">
        <v>1153</v>
      </c>
      <c r="I42" s="308" t="s">
        <v>1140</v>
      </c>
      <c r="J42" s="308" t="s">
        <v>757</v>
      </c>
      <c r="K42" s="308" t="s">
        <v>741</v>
      </c>
      <c r="L42" s="309">
        <v>44043</v>
      </c>
      <c r="M42" s="312">
        <v>0</v>
      </c>
    </row>
    <row r="43" spans="1:13" hidden="1" x14ac:dyDescent="0.25">
      <c r="A43" s="309">
        <v>44043</v>
      </c>
      <c r="B43" s="308" t="s">
        <v>1143</v>
      </c>
      <c r="C43" s="308" t="s">
        <v>1060</v>
      </c>
      <c r="D43" s="310">
        <v>1</v>
      </c>
      <c r="E43" s="311">
        <v>4424.8100000000004</v>
      </c>
      <c r="F43" s="311">
        <v>0</v>
      </c>
      <c r="G43" s="308" t="s">
        <v>1144</v>
      </c>
      <c r="H43" s="308" t="s">
        <v>1153</v>
      </c>
      <c r="I43" s="308" t="s">
        <v>1140</v>
      </c>
      <c r="J43" s="308" t="s">
        <v>757</v>
      </c>
      <c r="K43" s="308" t="s">
        <v>741</v>
      </c>
      <c r="L43" s="309">
        <v>44043</v>
      </c>
      <c r="M43" s="312">
        <v>0</v>
      </c>
    </row>
    <row r="44" spans="1:13" hidden="1" x14ac:dyDescent="0.25">
      <c r="A44" s="309">
        <v>44043</v>
      </c>
      <c r="B44" s="308" t="s">
        <v>1143</v>
      </c>
      <c r="C44" s="308" t="s">
        <v>1060</v>
      </c>
      <c r="D44" s="310">
        <v>2</v>
      </c>
      <c r="E44" s="311">
        <v>-4424.8100000000004</v>
      </c>
      <c r="F44" s="311">
        <v>-4424.8100000000004</v>
      </c>
      <c r="G44" s="308" t="s">
        <v>1144</v>
      </c>
      <c r="H44" s="308" t="s">
        <v>1153</v>
      </c>
      <c r="I44" s="308" t="s">
        <v>1140</v>
      </c>
      <c r="J44" s="308" t="s">
        <v>757</v>
      </c>
      <c r="K44" s="308" t="s">
        <v>741</v>
      </c>
      <c r="L44" s="309">
        <v>44043</v>
      </c>
      <c r="M44" s="312">
        <v>0</v>
      </c>
    </row>
    <row r="45" spans="1:13" hidden="1" x14ac:dyDescent="0.25">
      <c r="A45" s="309">
        <v>44043</v>
      </c>
      <c r="B45" s="308" t="s">
        <v>1145</v>
      </c>
      <c r="C45" s="308" t="s">
        <v>1060</v>
      </c>
      <c r="D45" s="310">
        <v>2</v>
      </c>
      <c r="E45" s="311">
        <v>4424.8100000000004</v>
      </c>
      <c r="F45" s="311">
        <v>0</v>
      </c>
      <c r="G45" s="308" t="s">
        <v>1146</v>
      </c>
      <c r="H45" s="308" t="s">
        <v>1153</v>
      </c>
      <c r="I45" s="308" t="s">
        <v>1140</v>
      </c>
      <c r="J45" s="308" t="s">
        <v>757</v>
      </c>
      <c r="K45" s="308" t="s">
        <v>741</v>
      </c>
      <c r="L45" s="309">
        <v>44043</v>
      </c>
      <c r="M45" s="312">
        <v>0</v>
      </c>
    </row>
    <row r="46" spans="1:13" hidden="1" x14ac:dyDescent="0.25">
      <c r="A46" s="309">
        <v>44074</v>
      </c>
      <c r="B46" s="308" t="s">
        <v>1147</v>
      </c>
      <c r="C46" s="308" t="s">
        <v>1060</v>
      </c>
      <c r="D46" s="310">
        <v>2</v>
      </c>
      <c r="E46" s="311">
        <v>4424.8100000000004</v>
      </c>
      <c r="F46" s="311">
        <v>4424.8100000000004</v>
      </c>
      <c r="G46" s="308" t="s">
        <v>1148</v>
      </c>
      <c r="H46" s="308" t="s">
        <v>1153</v>
      </c>
      <c r="I46" s="308" t="s">
        <v>1140</v>
      </c>
      <c r="J46" s="308" t="s">
        <v>757</v>
      </c>
      <c r="K46" s="308" t="s">
        <v>741</v>
      </c>
      <c r="L46" s="309">
        <v>44074</v>
      </c>
      <c r="M46" s="312">
        <v>0</v>
      </c>
    </row>
    <row r="47" spans="1:13" hidden="1" x14ac:dyDescent="0.25">
      <c r="A47" s="309">
        <v>44124</v>
      </c>
      <c r="B47" s="308" t="s">
        <v>1149</v>
      </c>
      <c r="C47" s="308" t="s">
        <v>1060</v>
      </c>
      <c r="D47" s="310">
        <v>2</v>
      </c>
      <c r="E47" s="311">
        <v>-4424.8100000000004</v>
      </c>
      <c r="F47" s="311">
        <v>0</v>
      </c>
      <c r="G47" s="308" t="s">
        <v>1150</v>
      </c>
      <c r="H47" s="308" t="s">
        <v>1153</v>
      </c>
      <c r="I47" s="308" t="s">
        <v>1140</v>
      </c>
      <c r="J47" s="308" t="s">
        <v>757</v>
      </c>
      <c r="K47" s="308" t="s">
        <v>741</v>
      </c>
      <c r="L47" s="309">
        <v>44124</v>
      </c>
      <c r="M47" s="312">
        <v>0</v>
      </c>
    </row>
    <row r="48" spans="1:13" hidden="1" x14ac:dyDescent="0.25">
      <c r="A48" s="309">
        <v>44074</v>
      </c>
      <c r="B48" s="308" t="s">
        <v>1147</v>
      </c>
      <c r="C48" s="308" t="s">
        <v>1060</v>
      </c>
      <c r="D48" s="310">
        <v>3</v>
      </c>
      <c r="E48" s="311">
        <v>-4424.8100000000004</v>
      </c>
      <c r="F48" s="311">
        <v>-4424.8100000000004</v>
      </c>
      <c r="G48" s="308" t="s">
        <v>1148</v>
      </c>
      <c r="H48" s="308" t="s">
        <v>1153</v>
      </c>
      <c r="I48" s="308" t="s">
        <v>1140</v>
      </c>
      <c r="J48" s="308" t="s">
        <v>757</v>
      </c>
      <c r="K48" s="308" t="s">
        <v>741</v>
      </c>
      <c r="L48" s="309">
        <v>44074</v>
      </c>
      <c r="M48" s="312">
        <v>0</v>
      </c>
    </row>
    <row r="49" spans="1:13" hidden="1" x14ac:dyDescent="0.25">
      <c r="A49" s="309">
        <v>44124</v>
      </c>
      <c r="B49" s="308" t="s">
        <v>1152</v>
      </c>
      <c r="C49" s="308" t="s">
        <v>1060</v>
      </c>
      <c r="D49" s="310">
        <v>3</v>
      </c>
      <c r="E49" s="311">
        <v>-4424.8100000000004</v>
      </c>
      <c r="F49" s="311">
        <v>-8849.6200000000008</v>
      </c>
      <c r="G49" s="308" t="s">
        <v>1146</v>
      </c>
      <c r="H49" s="308" t="s">
        <v>1153</v>
      </c>
      <c r="I49" s="308" t="s">
        <v>1140</v>
      </c>
      <c r="J49" s="308" t="s">
        <v>757</v>
      </c>
      <c r="K49" s="308" t="s">
        <v>741</v>
      </c>
      <c r="L49" s="309">
        <v>44124</v>
      </c>
      <c r="M49" s="312">
        <v>0</v>
      </c>
    </row>
    <row r="50" spans="1:13" hidden="1" x14ac:dyDescent="0.25">
      <c r="A50" s="309">
        <v>44124</v>
      </c>
      <c r="B50" s="308" t="s">
        <v>1151</v>
      </c>
      <c r="C50" s="308" t="s">
        <v>1060</v>
      </c>
      <c r="D50" s="310">
        <v>3</v>
      </c>
      <c r="E50" s="311">
        <v>4424.8100000000004</v>
      </c>
      <c r="F50" s="311">
        <v>-4424.8100000000004</v>
      </c>
      <c r="G50" s="308" t="s">
        <v>1146</v>
      </c>
      <c r="H50" s="308" t="s">
        <v>1153</v>
      </c>
      <c r="I50" s="308" t="s">
        <v>1140</v>
      </c>
      <c r="J50" s="308" t="s">
        <v>757</v>
      </c>
      <c r="K50" s="308" t="s">
        <v>741</v>
      </c>
      <c r="L50" s="309">
        <v>44124</v>
      </c>
      <c r="M50" s="312">
        <v>0</v>
      </c>
    </row>
    <row r="51" spans="1:13" hidden="1" x14ac:dyDescent="0.25">
      <c r="A51" s="309">
        <v>44124</v>
      </c>
      <c r="B51" s="308" t="s">
        <v>1149</v>
      </c>
      <c r="C51" s="308" t="s">
        <v>1060</v>
      </c>
      <c r="D51" s="310">
        <v>3</v>
      </c>
      <c r="E51" s="311">
        <v>4424.8100000000004</v>
      </c>
      <c r="F51" s="311">
        <v>0</v>
      </c>
      <c r="G51" s="308" t="s">
        <v>1150</v>
      </c>
      <c r="H51" s="308" t="s">
        <v>1153</v>
      </c>
      <c r="I51" s="308" t="s">
        <v>1140</v>
      </c>
      <c r="J51" s="308" t="s">
        <v>757</v>
      </c>
      <c r="K51" s="308" t="s">
        <v>741</v>
      </c>
      <c r="L51" s="309">
        <v>44124</v>
      </c>
      <c r="M51" s="312">
        <v>0</v>
      </c>
    </row>
    <row r="52" spans="1:13" hidden="1" x14ac:dyDescent="0.25">
      <c r="A52" s="309">
        <v>44124</v>
      </c>
      <c r="B52" s="308" t="s">
        <v>1152</v>
      </c>
      <c r="C52" s="308" t="s">
        <v>1060</v>
      </c>
      <c r="D52" s="310">
        <v>4</v>
      </c>
      <c r="E52" s="311">
        <v>4424.8100000000004</v>
      </c>
      <c r="F52" s="311">
        <v>4424.8100000000004</v>
      </c>
      <c r="G52" s="308" t="s">
        <v>1146</v>
      </c>
      <c r="H52" s="308" t="s">
        <v>1153</v>
      </c>
      <c r="I52" s="308" t="s">
        <v>1140</v>
      </c>
      <c r="J52" s="308" t="s">
        <v>757</v>
      </c>
      <c r="K52" s="308" t="s">
        <v>741</v>
      </c>
      <c r="L52" s="309">
        <v>44124</v>
      </c>
      <c r="M52" s="312">
        <v>0</v>
      </c>
    </row>
    <row r="53" spans="1:13" hidden="1" x14ac:dyDescent="0.25">
      <c r="A53" s="309">
        <v>44124</v>
      </c>
      <c r="B53" s="308" t="s">
        <v>1151</v>
      </c>
      <c r="C53" s="308" t="s">
        <v>1060</v>
      </c>
      <c r="D53" s="310">
        <v>4</v>
      </c>
      <c r="E53" s="311">
        <v>-4424.8100000000004</v>
      </c>
      <c r="F53" s="311">
        <v>0</v>
      </c>
      <c r="G53" s="308" t="s">
        <v>1146</v>
      </c>
      <c r="H53" s="308" t="s">
        <v>1153</v>
      </c>
      <c r="I53" s="308" t="s">
        <v>1140</v>
      </c>
      <c r="J53" s="308" t="s">
        <v>757</v>
      </c>
      <c r="K53" s="308" t="s">
        <v>741</v>
      </c>
      <c r="L53" s="309">
        <v>44124</v>
      </c>
      <c r="M53" s="312">
        <v>0</v>
      </c>
    </row>
    <row r="54" spans="1:13" hidden="1" x14ac:dyDescent="0.25">
      <c r="A54" s="309">
        <v>44012</v>
      </c>
      <c r="B54" s="308" t="s">
        <v>1137</v>
      </c>
      <c r="C54" s="308" t="s">
        <v>1059</v>
      </c>
      <c r="D54" s="310">
        <v>1</v>
      </c>
      <c r="E54" s="311">
        <v>5238</v>
      </c>
      <c r="F54" s="311">
        <v>5238</v>
      </c>
      <c r="G54" s="308" t="s">
        <v>1138</v>
      </c>
      <c r="H54" s="308" t="s">
        <v>1154</v>
      </c>
      <c r="I54" s="308" t="s">
        <v>1140</v>
      </c>
      <c r="J54" s="308" t="s">
        <v>757</v>
      </c>
      <c r="K54" s="308" t="s">
        <v>741</v>
      </c>
      <c r="L54" s="309">
        <v>44012</v>
      </c>
      <c r="M54" s="312">
        <v>0</v>
      </c>
    </row>
    <row r="55" spans="1:13" hidden="1" x14ac:dyDescent="0.25">
      <c r="A55" s="309">
        <v>44012</v>
      </c>
      <c r="B55" s="308" t="s">
        <v>1141</v>
      </c>
      <c r="C55" s="308" t="s">
        <v>1059</v>
      </c>
      <c r="D55" s="310">
        <v>1</v>
      </c>
      <c r="E55" s="311">
        <v>-5238</v>
      </c>
      <c r="F55" s="311">
        <v>0</v>
      </c>
      <c r="G55" s="308" t="s">
        <v>1142</v>
      </c>
      <c r="H55" s="308" t="s">
        <v>1154</v>
      </c>
      <c r="I55" s="308" t="s">
        <v>1140</v>
      </c>
      <c r="J55" s="308" t="s">
        <v>757</v>
      </c>
      <c r="K55" s="308" t="s">
        <v>741</v>
      </c>
      <c r="L55" s="309">
        <v>44012</v>
      </c>
      <c r="M55" s="312">
        <v>0</v>
      </c>
    </row>
    <row r="56" spans="1:13" hidden="1" x14ac:dyDescent="0.25">
      <c r="A56" s="309">
        <v>44043</v>
      </c>
      <c r="B56" s="308" t="s">
        <v>1143</v>
      </c>
      <c r="C56" s="308" t="s">
        <v>1060</v>
      </c>
      <c r="D56" s="310">
        <v>1</v>
      </c>
      <c r="E56" s="311">
        <v>5238</v>
      </c>
      <c r="F56" s="311">
        <v>5238</v>
      </c>
      <c r="G56" s="308" t="s">
        <v>1144</v>
      </c>
      <c r="H56" s="308" t="s">
        <v>1154</v>
      </c>
      <c r="I56" s="308" t="s">
        <v>1140</v>
      </c>
      <c r="J56" s="308" t="s">
        <v>757</v>
      </c>
      <c r="K56" s="308" t="s">
        <v>741</v>
      </c>
      <c r="L56" s="309">
        <v>44043</v>
      </c>
      <c r="M56" s="312">
        <v>0</v>
      </c>
    </row>
    <row r="57" spans="1:13" hidden="1" x14ac:dyDescent="0.25">
      <c r="A57" s="309">
        <v>44043</v>
      </c>
      <c r="B57" s="308" t="s">
        <v>1145</v>
      </c>
      <c r="C57" s="308" t="s">
        <v>1060</v>
      </c>
      <c r="D57" s="310">
        <v>1</v>
      </c>
      <c r="E57" s="311">
        <v>-5238</v>
      </c>
      <c r="F57" s="311">
        <v>0</v>
      </c>
      <c r="G57" s="308" t="s">
        <v>1146</v>
      </c>
      <c r="H57" s="308" t="s">
        <v>1154</v>
      </c>
      <c r="I57" s="308" t="s">
        <v>1140</v>
      </c>
      <c r="J57" s="308" t="s">
        <v>757</v>
      </c>
      <c r="K57" s="308" t="s">
        <v>741</v>
      </c>
      <c r="L57" s="309">
        <v>44043</v>
      </c>
      <c r="M57" s="312">
        <v>0</v>
      </c>
    </row>
    <row r="58" spans="1:13" hidden="1" x14ac:dyDescent="0.25">
      <c r="A58" s="309">
        <v>44043</v>
      </c>
      <c r="B58" s="308" t="s">
        <v>1143</v>
      </c>
      <c r="C58" s="308" t="s">
        <v>1060</v>
      </c>
      <c r="D58" s="310">
        <v>2</v>
      </c>
      <c r="E58" s="311">
        <v>-5238</v>
      </c>
      <c r="F58" s="311">
        <v>-5238</v>
      </c>
      <c r="G58" s="308" t="s">
        <v>1144</v>
      </c>
      <c r="H58" s="308" t="s">
        <v>1154</v>
      </c>
      <c r="I58" s="308" t="s">
        <v>1140</v>
      </c>
      <c r="J58" s="308" t="s">
        <v>757</v>
      </c>
      <c r="K58" s="308" t="s">
        <v>741</v>
      </c>
      <c r="L58" s="309">
        <v>44043</v>
      </c>
      <c r="M58" s="312">
        <v>0</v>
      </c>
    </row>
    <row r="59" spans="1:13" hidden="1" x14ac:dyDescent="0.25">
      <c r="A59" s="309">
        <v>44043</v>
      </c>
      <c r="B59" s="308" t="s">
        <v>1145</v>
      </c>
      <c r="C59" s="308" t="s">
        <v>1060</v>
      </c>
      <c r="D59" s="310">
        <v>2</v>
      </c>
      <c r="E59" s="311">
        <v>5238</v>
      </c>
      <c r="F59" s="311">
        <v>0</v>
      </c>
      <c r="G59" s="308" t="s">
        <v>1146</v>
      </c>
      <c r="H59" s="308" t="s">
        <v>1154</v>
      </c>
      <c r="I59" s="308" t="s">
        <v>1140</v>
      </c>
      <c r="J59" s="308" t="s">
        <v>757</v>
      </c>
      <c r="K59" s="308" t="s">
        <v>741</v>
      </c>
      <c r="L59" s="309">
        <v>44043</v>
      </c>
      <c r="M59" s="312">
        <v>0</v>
      </c>
    </row>
    <row r="60" spans="1:13" hidden="1" x14ac:dyDescent="0.25">
      <c r="A60" s="309">
        <v>44074</v>
      </c>
      <c r="B60" s="308" t="s">
        <v>1147</v>
      </c>
      <c r="C60" s="308" t="s">
        <v>1060</v>
      </c>
      <c r="D60" s="310">
        <v>2</v>
      </c>
      <c r="E60" s="311">
        <v>5238</v>
      </c>
      <c r="F60" s="311">
        <v>5238</v>
      </c>
      <c r="G60" s="308" t="s">
        <v>1148</v>
      </c>
      <c r="H60" s="308" t="s">
        <v>1154</v>
      </c>
      <c r="I60" s="308" t="s">
        <v>1140</v>
      </c>
      <c r="J60" s="308" t="s">
        <v>757</v>
      </c>
      <c r="K60" s="308" t="s">
        <v>741</v>
      </c>
      <c r="L60" s="309">
        <v>44074</v>
      </c>
      <c r="M60" s="312">
        <v>0</v>
      </c>
    </row>
    <row r="61" spans="1:13" hidden="1" x14ac:dyDescent="0.25">
      <c r="A61" s="309">
        <v>44124</v>
      </c>
      <c r="B61" s="308" t="s">
        <v>1149</v>
      </c>
      <c r="C61" s="308" t="s">
        <v>1060</v>
      </c>
      <c r="D61" s="310">
        <v>2</v>
      </c>
      <c r="E61" s="311">
        <v>-5238</v>
      </c>
      <c r="F61" s="311">
        <v>0</v>
      </c>
      <c r="G61" s="308" t="s">
        <v>1150</v>
      </c>
      <c r="H61" s="308" t="s">
        <v>1154</v>
      </c>
      <c r="I61" s="308" t="s">
        <v>1140</v>
      </c>
      <c r="J61" s="308" t="s">
        <v>757</v>
      </c>
      <c r="K61" s="308" t="s">
        <v>741</v>
      </c>
      <c r="L61" s="309">
        <v>44124</v>
      </c>
      <c r="M61" s="312">
        <v>0</v>
      </c>
    </row>
    <row r="62" spans="1:13" hidden="1" x14ac:dyDescent="0.25">
      <c r="A62" s="309">
        <v>44074</v>
      </c>
      <c r="B62" s="308" t="s">
        <v>1147</v>
      </c>
      <c r="C62" s="308" t="s">
        <v>1060</v>
      </c>
      <c r="D62" s="310">
        <v>3</v>
      </c>
      <c r="E62" s="311">
        <v>-5238</v>
      </c>
      <c r="F62" s="311">
        <v>-5238</v>
      </c>
      <c r="G62" s="308" t="s">
        <v>1148</v>
      </c>
      <c r="H62" s="308" t="s">
        <v>1154</v>
      </c>
      <c r="I62" s="308" t="s">
        <v>1140</v>
      </c>
      <c r="J62" s="308" t="s">
        <v>757</v>
      </c>
      <c r="K62" s="308" t="s">
        <v>741</v>
      </c>
      <c r="L62" s="309">
        <v>44074</v>
      </c>
      <c r="M62" s="312">
        <v>0</v>
      </c>
    </row>
    <row r="63" spans="1:13" hidden="1" x14ac:dyDescent="0.25">
      <c r="A63" s="309">
        <v>44124</v>
      </c>
      <c r="B63" s="308" t="s">
        <v>1152</v>
      </c>
      <c r="C63" s="308" t="s">
        <v>1060</v>
      </c>
      <c r="D63" s="310">
        <v>3</v>
      </c>
      <c r="E63" s="311">
        <v>-5238</v>
      </c>
      <c r="F63" s="311">
        <v>-10476</v>
      </c>
      <c r="G63" s="308" t="s">
        <v>1146</v>
      </c>
      <c r="H63" s="308" t="s">
        <v>1154</v>
      </c>
      <c r="I63" s="308" t="s">
        <v>1140</v>
      </c>
      <c r="J63" s="308" t="s">
        <v>757</v>
      </c>
      <c r="K63" s="308" t="s">
        <v>741</v>
      </c>
      <c r="L63" s="309">
        <v>44124</v>
      </c>
      <c r="M63" s="312">
        <v>0</v>
      </c>
    </row>
    <row r="64" spans="1:13" hidden="1" x14ac:dyDescent="0.25">
      <c r="A64" s="309">
        <v>44124</v>
      </c>
      <c r="B64" s="308" t="s">
        <v>1151</v>
      </c>
      <c r="C64" s="308" t="s">
        <v>1060</v>
      </c>
      <c r="D64" s="310">
        <v>3</v>
      </c>
      <c r="E64" s="311">
        <v>5238</v>
      </c>
      <c r="F64" s="311">
        <v>-5238</v>
      </c>
      <c r="G64" s="308" t="s">
        <v>1146</v>
      </c>
      <c r="H64" s="308" t="s">
        <v>1154</v>
      </c>
      <c r="I64" s="308" t="s">
        <v>1140</v>
      </c>
      <c r="J64" s="308" t="s">
        <v>757</v>
      </c>
      <c r="K64" s="308" t="s">
        <v>741</v>
      </c>
      <c r="L64" s="309">
        <v>44124</v>
      </c>
      <c r="M64" s="312">
        <v>0</v>
      </c>
    </row>
    <row r="65" spans="1:13" hidden="1" x14ac:dyDescent="0.25">
      <c r="A65" s="309">
        <v>44124</v>
      </c>
      <c r="B65" s="308" t="s">
        <v>1149</v>
      </c>
      <c r="C65" s="308" t="s">
        <v>1060</v>
      </c>
      <c r="D65" s="310">
        <v>3</v>
      </c>
      <c r="E65" s="311">
        <v>5238</v>
      </c>
      <c r="F65" s="311">
        <v>0</v>
      </c>
      <c r="G65" s="308" t="s">
        <v>1150</v>
      </c>
      <c r="H65" s="308" t="s">
        <v>1154</v>
      </c>
      <c r="I65" s="308" t="s">
        <v>1140</v>
      </c>
      <c r="J65" s="308" t="s">
        <v>757</v>
      </c>
      <c r="K65" s="308" t="s">
        <v>741</v>
      </c>
      <c r="L65" s="309">
        <v>44124</v>
      </c>
      <c r="M65" s="312">
        <v>0</v>
      </c>
    </row>
    <row r="66" spans="1:13" hidden="1" x14ac:dyDescent="0.25">
      <c r="A66" s="309">
        <v>44124</v>
      </c>
      <c r="B66" s="308" t="s">
        <v>1152</v>
      </c>
      <c r="C66" s="308" t="s">
        <v>1060</v>
      </c>
      <c r="D66" s="310">
        <v>4</v>
      </c>
      <c r="E66" s="311">
        <v>5238</v>
      </c>
      <c r="F66" s="311">
        <v>5238</v>
      </c>
      <c r="G66" s="308" t="s">
        <v>1146</v>
      </c>
      <c r="H66" s="308" t="s">
        <v>1154</v>
      </c>
      <c r="I66" s="308" t="s">
        <v>1140</v>
      </c>
      <c r="J66" s="308" t="s">
        <v>757</v>
      </c>
      <c r="K66" s="308" t="s">
        <v>741</v>
      </c>
      <c r="L66" s="309">
        <v>44124</v>
      </c>
      <c r="M66" s="312">
        <v>0</v>
      </c>
    </row>
    <row r="67" spans="1:13" hidden="1" x14ac:dyDescent="0.25">
      <c r="A67" s="309">
        <v>44124</v>
      </c>
      <c r="B67" s="308" t="s">
        <v>1151</v>
      </c>
      <c r="C67" s="308" t="s">
        <v>1060</v>
      </c>
      <c r="D67" s="310">
        <v>4</v>
      </c>
      <c r="E67" s="311">
        <v>-5238</v>
      </c>
      <c r="F67" s="311">
        <v>0</v>
      </c>
      <c r="G67" s="308" t="s">
        <v>1146</v>
      </c>
      <c r="H67" s="308" t="s">
        <v>1154</v>
      </c>
      <c r="I67" s="308" t="s">
        <v>1140</v>
      </c>
      <c r="J67" s="308" t="s">
        <v>757</v>
      </c>
      <c r="K67" s="308" t="s">
        <v>741</v>
      </c>
      <c r="L67" s="309">
        <v>44124</v>
      </c>
      <c r="M67" s="312">
        <v>0</v>
      </c>
    </row>
    <row r="68" spans="1:13" hidden="1" x14ac:dyDescent="0.25">
      <c r="A68" s="309">
        <v>44135</v>
      </c>
      <c r="B68" s="308" t="s">
        <v>1155</v>
      </c>
      <c r="C68" s="308" t="s">
        <v>769</v>
      </c>
      <c r="D68" s="310">
        <v>5</v>
      </c>
      <c r="E68" s="311">
        <v>0.87</v>
      </c>
      <c r="F68" s="311">
        <v>0.87</v>
      </c>
      <c r="G68" s="308" t="s">
        <v>1156</v>
      </c>
      <c r="H68" s="308" t="s">
        <v>1157</v>
      </c>
      <c r="I68" s="308" t="s">
        <v>1140</v>
      </c>
      <c r="J68" s="308" t="s">
        <v>757</v>
      </c>
      <c r="K68" s="308" t="s">
        <v>770</v>
      </c>
      <c r="L68" s="309">
        <v>44135</v>
      </c>
      <c r="M68" s="312">
        <v>0</v>
      </c>
    </row>
    <row r="69" spans="1:13" hidden="1" x14ac:dyDescent="0.25">
      <c r="A69" s="309">
        <v>44165</v>
      </c>
      <c r="B69" s="308" t="s">
        <v>1158</v>
      </c>
      <c r="C69" s="308" t="s">
        <v>1060</v>
      </c>
      <c r="D69" s="310">
        <v>5</v>
      </c>
      <c r="E69" s="311">
        <v>32.619999999999997</v>
      </c>
      <c r="F69" s="311">
        <v>33.49</v>
      </c>
      <c r="G69" s="308" t="s">
        <v>1159</v>
      </c>
      <c r="H69" s="308" t="s">
        <v>1157</v>
      </c>
      <c r="I69" s="308" t="s">
        <v>1140</v>
      </c>
      <c r="J69" s="308" t="s">
        <v>757</v>
      </c>
      <c r="K69" s="308" t="s">
        <v>741</v>
      </c>
      <c r="L69" s="309">
        <v>44165</v>
      </c>
      <c r="M69" s="312">
        <v>0</v>
      </c>
    </row>
    <row r="70" spans="1:13" hidden="1" x14ac:dyDescent="0.25">
      <c r="A70" s="309">
        <v>44165</v>
      </c>
      <c r="B70" s="308" t="s">
        <v>1158</v>
      </c>
      <c r="C70" s="308" t="s">
        <v>1060</v>
      </c>
      <c r="D70" s="310">
        <v>6</v>
      </c>
      <c r="E70" s="311">
        <v>-32.619999999999997</v>
      </c>
      <c r="F70" s="311">
        <v>0.869999999999998</v>
      </c>
      <c r="G70" s="308" t="s">
        <v>1159</v>
      </c>
      <c r="H70" s="308" t="s">
        <v>1157</v>
      </c>
      <c r="I70" s="308" t="s">
        <v>1140</v>
      </c>
      <c r="J70" s="308" t="s">
        <v>757</v>
      </c>
      <c r="K70" s="308" t="s">
        <v>741</v>
      </c>
      <c r="L70" s="309">
        <v>44165</v>
      </c>
      <c r="M70" s="312">
        <v>0</v>
      </c>
    </row>
    <row r="71" spans="1:13" hidden="1" x14ac:dyDescent="0.25">
      <c r="A71" s="309">
        <v>44196</v>
      </c>
      <c r="B71" s="308" t="s">
        <v>1160</v>
      </c>
      <c r="C71" s="308" t="s">
        <v>1060</v>
      </c>
      <c r="D71" s="310">
        <v>6</v>
      </c>
      <c r="E71" s="311">
        <v>52.85</v>
      </c>
      <c r="F71" s="311">
        <v>53.72</v>
      </c>
      <c r="G71" s="308" t="s">
        <v>1161</v>
      </c>
      <c r="H71" s="308" t="s">
        <v>1157</v>
      </c>
      <c r="I71" s="308" t="s">
        <v>1140</v>
      </c>
      <c r="J71" s="308" t="s">
        <v>757</v>
      </c>
      <c r="K71" s="308" t="s">
        <v>741</v>
      </c>
      <c r="L71" s="309">
        <v>44196</v>
      </c>
      <c r="M71" s="312">
        <v>0</v>
      </c>
    </row>
    <row r="72" spans="1:13" hidden="1" x14ac:dyDescent="0.25">
      <c r="A72" s="309">
        <v>44165</v>
      </c>
      <c r="B72" s="308" t="s">
        <v>1162</v>
      </c>
      <c r="C72" s="308" t="s">
        <v>769</v>
      </c>
      <c r="D72" s="310">
        <v>7</v>
      </c>
      <c r="E72" s="311">
        <v>15.97</v>
      </c>
      <c r="F72" s="311">
        <v>69.69</v>
      </c>
      <c r="G72" s="308" t="s">
        <v>1163</v>
      </c>
      <c r="H72" s="308" t="s">
        <v>1157</v>
      </c>
      <c r="I72" s="308" t="s">
        <v>1140</v>
      </c>
      <c r="J72" s="308" t="s">
        <v>757</v>
      </c>
      <c r="K72" s="308" t="s">
        <v>770</v>
      </c>
      <c r="L72" s="309">
        <v>44165</v>
      </c>
      <c r="M72" s="312">
        <v>0</v>
      </c>
    </row>
    <row r="73" spans="1:13" hidden="1" x14ac:dyDescent="0.25">
      <c r="A73" s="309">
        <v>44196</v>
      </c>
      <c r="B73" s="308" t="s">
        <v>1164</v>
      </c>
      <c r="C73" s="308" t="s">
        <v>769</v>
      </c>
      <c r="D73" s="310">
        <v>7</v>
      </c>
      <c r="E73" s="311">
        <v>16.649999999999999</v>
      </c>
      <c r="F73" s="311">
        <v>86.34</v>
      </c>
      <c r="G73" s="308" t="s">
        <v>1165</v>
      </c>
      <c r="H73" s="308" t="s">
        <v>1157</v>
      </c>
      <c r="I73" s="308" t="s">
        <v>1140</v>
      </c>
      <c r="J73" s="308" t="s">
        <v>757</v>
      </c>
      <c r="K73" s="308" t="s">
        <v>770</v>
      </c>
      <c r="L73" s="309">
        <v>44196</v>
      </c>
      <c r="M73" s="312">
        <v>0</v>
      </c>
    </row>
    <row r="74" spans="1:13" hidden="1" x14ac:dyDescent="0.25">
      <c r="A74" s="309">
        <v>44196</v>
      </c>
      <c r="B74" s="308" t="s">
        <v>1160</v>
      </c>
      <c r="C74" s="308" t="s">
        <v>1060</v>
      </c>
      <c r="D74" s="310">
        <v>7</v>
      </c>
      <c r="E74" s="311">
        <v>-52.85</v>
      </c>
      <c r="F74" s="311">
        <v>33.49</v>
      </c>
      <c r="G74" s="308" t="s">
        <v>1161</v>
      </c>
      <c r="H74" s="308" t="s">
        <v>1157</v>
      </c>
      <c r="I74" s="308" t="s">
        <v>1140</v>
      </c>
      <c r="J74" s="308" t="s">
        <v>757</v>
      </c>
      <c r="K74" s="308" t="s">
        <v>741</v>
      </c>
      <c r="L74" s="309">
        <v>44196</v>
      </c>
      <c r="M74" s="312">
        <v>0</v>
      </c>
    </row>
    <row r="75" spans="1:13" hidden="1" x14ac:dyDescent="0.25">
      <c r="A75" s="309">
        <v>44230</v>
      </c>
      <c r="B75" s="308" t="s">
        <v>1166</v>
      </c>
      <c r="C75" s="308" t="s">
        <v>1060</v>
      </c>
      <c r="D75" s="310">
        <v>7</v>
      </c>
      <c r="E75" s="311">
        <v>19.420000000000002</v>
      </c>
      <c r="F75" s="311">
        <v>52.91</v>
      </c>
      <c r="G75" s="308" t="s">
        <v>1167</v>
      </c>
      <c r="H75" s="308" t="s">
        <v>1157</v>
      </c>
      <c r="I75" s="308" t="s">
        <v>1140</v>
      </c>
      <c r="J75" s="308" t="s">
        <v>757</v>
      </c>
      <c r="K75" s="308" t="s">
        <v>741</v>
      </c>
      <c r="L75" s="309">
        <v>44230</v>
      </c>
      <c r="M75" s="312">
        <v>0</v>
      </c>
    </row>
    <row r="76" spans="1:13" hidden="1" x14ac:dyDescent="0.25">
      <c r="A76" s="309">
        <v>44227</v>
      </c>
      <c r="B76" s="308" t="s">
        <v>1168</v>
      </c>
      <c r="C76" s="308" t="s">
        <v>769</v>
      </c>
      <c r="D76" s="310">
        <v>8</v>
      </c>
      <c r="E76" s="311">
        <v>19.36</v>
      </c>
      <c r="F76" s="311">
        <v>72.27</v>
      </c>
      <c r="G76" s="308" t="s">
        <v>1169</v>
      </c>
      <c r="H76" s="308" t="s">
        <v>1157</v>
      </c>
      <c r="I76" s="308" t="s">
        <v>1140</v>
      </c>
      <c r="J76" s="308" t="s">
        <v>757</v>
      </c>
      <c r="K76" s="308" t="s">
        <v>770</v>
      </c>
      <c r="L76" s="309">
        <v>44227</v>
      </c>
      <c r="M76" s="312">
        <v>0</v>
      </c>
    </row>
    <row r="77" spans="1:13" hidden="1" x14ac:dyDescent="0.25">
      <c r="A77" s="309">
        <v>44230</v>
      </c>
      <c r="B77" s="308" t="s">
        <v>1166</v>
      </c>
      <c r="C77" s="308" t="s">
        <v>1060</v>
      </c>
      <c r="D77" s="310">
        <v>8</v>
      </c>
      <c r="E77" s="311">
        <v>-19.420000000000002</v>
      </c>
      <c r="F77" s="311">
        <v>52.85</v>
      </c>
      <c r="G77" s="308" t="s">
        <v>1167</v>
      </c>
      <c r="H77" s="308" t="s">
        <v>1157</v>
      </c>
      <c r="I77" s="308" t="s">
        <v>1140</v>
      </c>
      <c r="J77" s="308" t="s">
        <v>757</v>
      </c>
      <c r="K77" s="308" t="s">
        <v>741</v>
      </c>
      <c r="L77" s="309">
        <v>44230</v>
      </c>
      <c r="M77" s="312">
        <v>0</v>
      </c>
    </row>
    <row r="78" spans="1:13" hidden="1" x14ac:dyDescent="0.25">
      <c r="A78" s="309">
        <v>44255</v>
      </c>
      <c r="B78" s="308" t="s">
        <v>1170</v>
      </c>
      <c r="C78" s="308" t="s">
        <v>769</v>
      </c>
      <c r="D78" s="310">
        <v>9</v>
      </c>
      <c r="E78" s="311">
        <v>0.06</v>
      </c>
      <c r="F78" s="311">
        <v>52.91</v>
      </c>
      <c r="G78" s="308" t="s">
        <v>1171</v>
      </c>
      <c r="H78" s="308" t="s">
        <v>1157</v>
      </c>
      <c r="I78" s="308" t="s">
        <v>1140</v>
      </c>
      <c r="J78" s="308" t="s">
        <v>757</v>
      </c>
      <c r="K78" s="308" t="s">
        <v>770</v>
      </c>
      <c r="L78" s="309">
        <v>44255</v>
      </c>
      <c r="M78" s="312">
        <v>0</v>
      </c>
    </row>
    <row r="79" spans="1:13" hidden="1" x14ac:dyDescent="0.25">
      <c r="A79" s="309">
        <v>44316</v>
      </c>
      <c r="B79" s="308" t="s">
        <v>1104</v>
      </c>
      <c r="C79" s="308" t="s">
        <v>1060</v>
      </c>
      <c r="D79" s="310">
        <v>10</v>
      </c>
      <c r="E79" s="311">
        <v>4.46</v>
      </c>
      <c r="F79" s="311">
        <v>57.37</v>
      </c>
      <c r="G79" s="308" t="s">
        <v>1096</v>
      </c>
      <c r="H79" s="308" t="s">
        <v>1157</v>
      </c>
      <c r="I79" s="308" t="s">
        <v>1140</v>
      </c>
      <c r="J79" s="308" t="s">
        <v>757</v>
      </c>
      <c r="K79" s="308" t="s">
        <v>741</v>
      </c>
      <c r="L79" s="309">
        <v>44316</v>
      </c>
      <c r="M79" s="312">
        <v>0</v>
      </c>
    </row>
    <row r="80" spans="1:13" hidden="1" x14ac:dyDescent="0.25">
      <c r="A80" s="309">
        <v>44135</v>
      </c>
      <c r="B80" s="308" t="s">
        <v>1172</v>
      </c>
      <c r="C80" s="308" t="s">
        <v>769</v>
      </c>
      <c r="D80" s="310">
        <v>5</v>
      </c>
      <c r="E80" s="311">
        <v>2.0699999999999998</v>
      </c>
      <c r="F80" s="311">
        <v>54.98</v>
      </c>
      <c r="G80" s="308" t="s">
        <v>1173</v>
      </c>
      <c r="H80" s="308" t="s">
        <v>1174</v>
      </c>
      <c r="I80" s="308" t="s">
        <v>1140</v>
      </c>
      <c r="J80" s="308" t="s">
        <v>757</v>
      </c>
      <c r="K80" s="308" t="s">
        <v>770</v>
      </c>
      <c r="L80" s="309">
        <v>44135</v>
      </c>
      <c r="M80" s="312">
        <v>0</v>
      </c>
    </row>
    <row r="81" spans="1:13" hidden="1" x14ac:dyDescent="0.25">
      <c r="A81" s="309">
        <v>44165</v>
      </c>
      <c r="B81" s="308" t="s">
        <v>1158</v>
      </c>
      <c r="C81" s="308" t="s">
        <v>1060</v>
      </c>
      <c r="D81" s="310">
        <v>5</v>
      </c>
      <c r="E81" s="311">
        <v>33.78</v>
      </c>
      <c r="F81" s="311">
        <v>88.76</v>
      </c>
      <c r="G81" s="308" t="s">
        <v>1159</v>
      </c>
      <c r="H81" s="308" t="s">
        <v>1174</v>
      </c>
      <c r="I81" s="308" t="s">
        <v>1140</v>
      </c>
      <c r="J81" s="308" t="s">
        <v>757</v>
      </c>
      <c r="K81" s="308" t="s">
        <v>741</v>
      </c>
      <c r="L81" s="309">
        <v>44165</v>
      </c>
      <c r="M81" s="312">
        <v>0</v>
      </c>
    </row>
    <row r="82" spans="1:13" hidden="1" x14ac:dyDescent="0.25">
      <c r="A82" s="309">
        <v>44165</v>
      </c>
      <c r="B82" s="308" t="s">
        <v>1158</v>
      </c>
      <c r="C82" s="308" t="s">
        <v>1060</v>
      </c>
      <c r="D82" s="310">
        <v>6</v>
      </c>
      <c r="E82" s="311">
        <v>-33.78</v>
      </c>
      <c r="F82" s="311">
        <v>54.98</v>
      </c>
      <c r="G82" s="308" t="s">
        <v>1159</v>
      </c>
      <c r="H82" s="308" t="s">
        <v>1174</v>
      </c>
      <c r="I82" s="308" t="s">
        <v>1140</v>
      </c>
      <c r="J82" s="308" t="s">
        <v>757</v>
      </c>
      <c r="K82" s="308" t="s">
        <v>741</v>
      </c>
      <c r="L82" s="309">
        <v>44165</v>
      </c>
      <c r="M82" s="312">
        <v>0</v>
      </c>
    </row>
    <row r="83" spans="1:13" hidden="1" x14ac:dyDescent="0.25">
      <c r="A83" s="309">
        <v>44196</v>
      </c>
      <c r="B83" s="308" t="s">
        <v>1160</v>
      </c>
      <c r="C83" s="308" t="s">
        <v>1060</v>
      </c>
      <c r="D83" s="310">
        <v>6</v>
      </c>
      <c r="E83" s="311">
        <v>85.29</v>
      </c>
      <c r="F83" s="311">
        <v>140.27000000000001</v>
      </c>
      <c r="G83" s="308" t="s">
        <v>1161</v>
      </c>
      <c r="H83" s="308" t="s">
        <v>1174</v>
      </c>
      <c r="I83" s="308" t="s">
        <v>1140</v>
      </c>
      <c r="J83" s="308" t="s">
        <v>757</v>
      </c>
      <c r="K83" s="308" t="s">
        <v>741</v>
      </c>
      <c r="L83" s="309">
        <v>44196</v>
      </c>
      <c r="M83" s="312">
        <v>0</v>
      </c>
    </row>
    <row r="84" spans="1:13" hidden="1" x14ac:dyDescent="0.25">
      <c r="A84" s="309">
        <v>44165</v>
      </c>
      <c r="B84" s="308" t="s">
        <v>1175</v>
      </c>
      <c r="C84" s="308" t="s">
        <v>769</v>
      </c>
      <c r="D84" s="310">
        <v>7</v>
      </c>
      <c r="E84" s="311">
        <v>17.54</v>
      </c>
      <c r="F84" s="311">
        <v>157.81</v>
      </c>
      <c r="G84" s="308" t="s">
        <v>1163</v>
      </c>
      <c r="H84" s="308" t="s">
        <v>1174</v>
      </c>
      <c r="I84" s="308" t="s">
        <v>1140</v>
      </c>
      <c r="J84" s="308" t="s">
        <v>757</v>
      </c>
      <c r="K84" s="308" t="s">
        <v>770</v>
      </c>
      <c r="L84" s="309">
        <v>44165</v>
      </c>
      <c r="M84" s="312">
        <v>0</v>
      </c>
    </row>
    <row r="85" spans="1:13" hidden="1" x14ac:dyDescent="0.25">
      <c r="A85" s="309">
        <v>44196</v>
      </c>
      <c r="B85" s="308" t="s">
        <v>1176</v>
      </c>
      <c r="C85" s="308" t="s">
        <v>769</v>
      </c>
      <c r="D85" s="310">
        <v>7</v>
      </c>
      <c r="E85" s="311">
        <v>16.23</v>
      </c>
      <c r="F85" s="311">
        <v>174.04</v>
      </c>
      <c r="G85" s="308" t="s">
        <v>1165</v>
      </c>
      <c r="H85" s="308" t="s">
        <v>1174</v>
      </c>
      <c r="I85" s="308" t="s">
        <v>1140</v>
      </c>
      <c r="J85" s="308" t="s">
        <v>757</v>
      </c>
      <c r="K85" s="308" t="s">
        <v>770</v>
      </c>
      <c r="L85" s="309">
        <v>44196</v>
      </c>
      <c r="M85" s="312">
        <v>0</v>
      </c>
    </row>
    <row r="86" spans="1:13" hidden="1" x14ac:dyDescent="0.25">
      <c r="A86" s="309">
        <v>44196</v>
      </c>
      <c r="B86" s="308" t="s">
        <v>1160</v>
      </c>
      <c r="C86" s="308" t="s">
        <v>1060</v>
      </c>
      <c r="D86" s="310">
        <v>7</v>
      </c>
      <c r="E86" s="311">
        <v>-85.29</v>
      </c>
      <c r="F86" s="311">
        <v>88.75</v>
      </c>
      <c r="G86" s="308" t="s">
        <v>1161</v>
      </c>
      <c r="H86" s="308" t="s">
        <v>1174</v>
      </c>
      <c r="I86" s="308" t="s">
        <v>1140</v>
      </c>
      <c r="J86" s="308" t="s">
        <v>757</v>
      </c>
      <c r="K86" s="308" t="s">
        <v>741</v>
      </c>
      <c r="L86" s="309">
        <v>44196</v>
      </c>
      <c r="M86" s="312">
        <v>0</v>
      </c>
    </row>
    <row r="87" spans="1:13" hidden="1" x14ac:dyDescent="0.25">
      <c r="A87" s="309">
        <v>44230</v>
      </c>
      <c r="B87" s="308" t="s">
        <v>1166</v>
      </c>
      <c r="C87" s="308" t="s">
        <v>1060</v>
      </c>
      <c r="D87" s="310">
        <v>7</v>
      </c>
      <c r="E87" s="311">
        <v>55.58</v>
      </c>
      <c r="F87" s="311">
        <v>144.33000000000001</v>
      </c>
      <c r="G87" s="308" t="s">
        <v>1167</v>
      </c>
      <c r="H87" s="308" t="s">
        <v>1174</v>
      </c>
      <c r="I87" s="308" t="s">
        <v>1140</v>
      </c>
      <c r="J87" s="308" t="s">
        <v>757</v>
      </c>
      <c r="K87" s="308" t="s">
        <v>741</v>
      </c>
      <c r="L87" s="309">
        <v>44230</v>
      </c>
      <c r="M87" s="312">
        <v>0</v>
      </c>
    </row>
    <row r="88" spans="1:13" hidden="1" x14ac:dyDescent="0.25">
      <c r="A88" s="309">
        <v>44227</v>
      </c>
      <c r="B88" s="308" t="s">
        <v>1177</v>
      </c>
      <c r="C88" s="308" t="s">
        <v>769</v>
      </c>
      <c r="D88" s="310">
        <v>8</v>
      </c>
      <c r="E88" s="311">
        <v>49.45</v>
      </c>
      <c r="F88" s="311">
        <v>193.78</v>
      </c>
      <c r="G88" s="308" t="s">
        <v>1169</v>
      </c>
      <c r="H88" s="308" t="s">
        <v>1174</v>
      </c>
      <c r="I88" s="308" t="s">
        <v>1140</v>
      </c>
      <c r="J88" s="308" t="s">
        <v>757</v>
      </c>
      <c r="K88" s="308" t="s">
        <v>770</v>
      </c>
      <c r="L88" s="309">
        <v>44227</v>
      </c>
      <c r="M88" s="312">
        <v>0</v>
      </c>
    </row>
    <row r="89" spans="1:13" hidden="1" x14ac:dyDescent="0.25">
      <c r="A89" s="309">
        <v>44230</v>
      </c>
      <c r="B89" s="308" t="s">
        <v>1166</v>
      </c>
      <c r="C89" s="308" t="s">
        <v>1060</v>
      </c>
      <c r="D89" s="310">
        <v>8</v>
      </c>
      <c r="E89" s="311">
        <v>-55.58</v>
      </c>
      <c r="F89" s="311">
        <v>138.19999999999999</v>
      </c>
      <c r="G89" s="308" t="s">
        <v>1167</v>
      </c>
      <c r="H89" s="308" t="s">
        <v>1174</v>
      </c>
      <c r="I89" s="308" t="s">
        <v>1140</v>
      </c>
      <c r="J89" s="308" t="s">
        <v>757</v>
      </c>
      <c r="K89" s="308" t="s">
        <v>741</v>
      </c>
      <c r="L89" s="309">
        <v>44230</v>
      </c>
      <c r="M89" s="312">
        <v>0</v>
      </c>
    </row>
    <row r="90" spans="1:13" hidden="1" x14ac:dyDescent="0.25">
      <c r="A90" s="309">
        <v>44255</v>
      </c>
      <c r="B90" s="308" t="s">
        <v>1178</v>
      </c>
      <c r="C90" s="308" t="s">
        <v>1060</v>
      </c>
      <c r="D90" s="310">
        <v>8</v>
      </c>
      <c r="E90" s="311">
        <v>19.05</v>
      </c>
      <c r="F90" s="311">
        <v>157.25</v>
      </c>
      <c r="G90" s="308" t="s">
        <v>1179</v>
      </c>
      <c r="H90" s="308" t="s">
        <v>1174</v>
      </c>
      <c r="I90" s="308" t="s">
        <v>1140</v>
      </c>
      <c r="J90" s="308" t="s">
        <v>757</v>
      </c>
      <c r="K90" s="308" t="s">
        <v>741</v>
      </c>
      <c r="L90" s="309">
        <v>44255</v>
      </c>
      <c r="M90" s="312">
        <v>0</v>
      </c>
    </row>
    <row r="91" spans="1:13" hidden="1" x14ac:dyDescent="0.25">
      <c r="A91" s="309">
        <v>44255</v>
      </c>
      <c r="B91" s="308" t="s">
        <v>1180</v>
      </c>
      <c r="C91" s="308" t="s">
        <v>769</v>
      </c>
      <c r="D91" s="310">
        <v>9</v>
      </c>
      <c r="E91" s="311">
        <v>6.84</v>
      </c>
      <c r="F91" s="311">
        <v>164.09</v>
      </c>
      <c r="G91" s="308" t="s">
        <v>1171</v>
      </c>
      <c r="H91" s="308" t="s">
        <v>1174</v>
      </c>
      <c r="I91" s="308" t="s">
        <v>1140</v>
      </c>
      <c r="J91" s="308" t="s">
        <v>757</v>
      </c>
      <c r="K91" s="308" t="s">
        <v>770</v>
      </c>
      <c r="L91" s="309">
        <v>44255</v>
      </c>
      <c r="M91" s="312">
        <v>0</v>
      </c>
    </row>
    <row r="92" spans="1:13" hidden="1" x14ac:dyDescent="0.25">
      <c r="A92" s="309">
        <v>44255</v>
      </c>
      <c r="B92" s="308" t="s">
        <v>1178</v>
      </c>
      <c r="C92" s="308" t="s">
        <v>1060</v>
      </c>
      <c r="D92" s="310">
        <v>9</v>
      </c>
      <c r="E92" s="311">
        <v>-19.05</v>
      </c>
      <c r="F92" s="311">
        <v>145.04</v>
      </c>
      <c r="G92" s="308" t="s">
        <v>1179</v>
      </c>
      <c r="H92" s="308" t="s">
        <v>1174</v>
      </c>
      <c r="I92" s="308" t="s">
        <v>1140</v>
      </c>
      <c r="J92" s="308" t="s">
        <v>757</v>
      </c>
      <c r="K92" s="308" t="s">
        <v>741</v>
      </c>
      <c r="L92" s="309">
        <v>44255</v>
      </c>
      <c r="M92" s="312">
        <v>0</v>
      </c>
    </row>
    <row r="93" spans="1:13" hidden="1" x14ac:dyDescent="0.25">
      <c r="A93" s="309">
        <v>44286</v>
      </c>
      <c r="B93" s="308" t="s">
        <v>1181</v>
      </c>
      <c r="C93" s="308" t="s">
        <v>1060</v>
      </c>
      <c r="D93" s="310">
        <v>9</v>
      </c>
      <c r="E93" s="311">
        <v>59.4</v>
      </c>
      <c r="F93" s="311">
        <v>204.44</v>
      </c>
      <c r="G93" s="308" t="s">
        <v>1182</v>
      </c>
      <c r="H93" s="308" t="s">
        <v>1174</v>
      </c>
      <c r="I93" s="308" t="s">
        <v>1140</v>
      </c>
      <c r="J93" s="308" t="s">
        <v>757</v>
      </c>
      <c r="K93" s="308" t="s">
        <v>741</v>
      </c>
      <c r="L93" s="309">
        <v>44286</v>
      </c>
      <c r="M93" s="312">
        <v>0</v>
      </c>
    </row>
    <row r="94" spans="1:13" hidden="1" x14ac:dyDescent="0.25">
      <c r="A94" s="309">
        <v>44286</v>
      </c>
      <c r="B94" s="308" t="s">
        <v>1183</v>
      </c>
      <c r="C94" s="308" t="s">
        <v>769</v>
      </c>
      <c r="D94" s="310">
        <v>10</v>
      </c>
      <c r="E94" s="311">
        <v>22.19</v>
      </c>
      <c r="F94" s="311">
        <v>226.63</v>
      </c>
      <c r="G94" s="308" t="s">
        <v>1184</v>
      </c>
      <c r="H94" s="308" t="s">
        <v>1174</v>
      </c>
      <c r="I94" s="308" t="s">
        <v>1140</v>
      </c>
      <c r="J94" s="308" t="s">
        <v>757</v>
      </c>
      <c r="K94" s="308" t="s">
        <v>770</v>
      </c>
      <c r="L94" s="309">
        <v>44286</v>
      </c>
      <c r="M94" s="312">
        <v>0</v>
      </c>
    </row>
    <row r="95" spans="1:13" hidden="1" x14ac:dyDescent="0.25">
      <c r="A95" s="309">
        <v>44286</v>
      </c>
      <c r="B95" s="308" t="s">
        <v>1181</v>
      </c>
      <c r="C95" s="308" t="s">
        <v>1060</v>
      </c>
      <c r="D95" s="310">
        <v>10</v>
      </c>
      <c r="E95" s="311">
        <v>-59.4</v>
      </c>
      <c r="F95" s="311">
        <v>167.23</v>
      </c>
      <c r="G95" s="308" t="s">
        <v>1182</v>
      </c>
      <c r="H95" s="308" t="s">
        <v>1174</v>
      </c>
      <c r="I95" s="308" t="s">
        <v>1140</v>
      </c>
      <c r="J95" s="308" t="s">
        <v>757</v>
      </c>
      <c r="K95" s="308" t="s">
        <v>741</v>
      </c>
      <c r="L95" s="309">
        <v>44286</v>
      </c>
      <c r="M95" s="312">
        <v>0</v>
      </c>
    </row>
    <row r="96" spans="1:13" hidden="1" x14ac:dyDescent="0.25">
      <c r="A96" s="309">
        <v>44316</v>
      </c>
      <c r="B96" s="308" t="s">
        <v>1104</v>
      </c>
      <c r="C96" s="308" t="s">
        <v>1060</v>
      </c>
      <c r="D96" s="310">
        <v>10</v>
      </c>
      <c r="E96" s="311">
        <v>151.33000000000001</v>
      </c>
      <c r="F96" s="311">
        <v>318.56</v>
      </c>
      <c r="G96" s="308" t="s">
        <v>1096</v>
      </c>
      <c r="H96" s="308" t="s">
        <v>1174</v>
      </c>
      <c r="I96" s="308" t="s">
        <v>1140</v>
      </c>
      <c r="J96" s="308" t="s">
        <v>757</v>
      </c>
      <c r="K96" s="308" t="s">
        <v>741</v>
      </c>
      <c r="L96" s="309">
        <v>44316</v>
      </c>
      <c r="M96" s="312">
        <v>0</v>
      </c>
    </row>
    <row r="97" spans="1:13" hidden="1" x14ac:dyDescent="0.25">
      <c r="A97" s="309">
        <v>44135</v>
      </c>
      <c r="B97" s="308" t="s">
        <v>1185</v>
      </c>
      <c r="C97" s="308" t="s">
        <v>769</v>
      </c>
      <c r="D97" s="310">
        <v>5</v>
      </c>
      <c r="E97" s="311">
        <v>4.38</v>
      </c>
      <c r="F97" s="311">
        <v>208.82</v>
      </c>
      <c r="G97" s="308" t="s">
        <v>1173</v>
      </c>
      <c r="H97" s="308" t="s">
        <v>1186</v>
      </c>
      <c r="I97" s="308" t="s">
        <v>1140</v>
      </c>
      <c r="J97" s="308" t="s">
        <v>757</v>
      </c>
      <c r="K97" s="308" t="s">
        <v>770</v>
      </c>
      <c r="L97" s="309">
        <v>44135</v>
      </c>
      <c r="M97" s="312">
        <v>0</v>
      </c>
    </row>
    <row r="98" spans="1:13" hidden="1" x14ac:dyDescent="0.25">
      <c r="A98" s="309">
        <v>44165</v>
      </c>
      <c r="B98" s="308" t="s">
        <v>1158</v>
      </c>
      <c r="C98" s="308" t="s">
        <v>1060</v>
      </c>
      <c r="D98" s="310">
        <v>5</v>
      </c>
      <c r="E98" s="311">
        <v>95.46</v>
      </c>
      <c r="F98" s="311">
        <v>304.27999999999997</v>
      </c>
      <c r="G98" s="308" t="s">
        <v>1159</v>
      </c>
      <c r="H98" s="308" t="s">
        <v>1186</v>
      </c>
      <c r="I98" s="308" t="s">
        <v>1140</v>
      </c>
      <c r="J98" s="308" t="s">
        <v>757</v>
      </c>
      <c r="K98" s="308" t="s">
        <v>741</v>
      </c>
      <c r="L98" s="309">
        <v>44165</v>
      </c>
      <c r="M98" s="312">
        <v>0</v>
      </c>
    </row>
    <row r="99" spans="1:13" hidden="1" x14ac:dyDescent="0.25">
      <c r="A99" s="309">
        <v>44165</v>
      </c>
      <c r="B99" s="308" t="s">
        <v>1158</v>
      </c>
      <c r="C99" s="308" t="s">
        <v>1060</v>
      </c>
      <c r="D99" s="310">
        <v>6</v>
      </c>
      <c r="E99" s="311">
        <v>-95.46</v>
      </c>
      <c r="F99" s="311">
        <v>208.82</v>
      </c>
      <c r="G99" s="308" t="s">
        <v>1159</v>
      </c>
      <c r="H99" s="308" t="s">
        <v>1186</v>
      </c>
      <c r="I99" s="308" t="s">
        <v>1140</v>
      </c>
      <c r="J99" s="308" t="s">
        <v>757</v>
      </c>
      <c r="K99" s="308" t="s">
        <v>741</v>
      </c>
      <c r="L99" s="309">
        <v>44165</v>
      </c>
      <c r="M99" s="312">
        <v>0</v>
      </c>
    </row>
    <row r="100" spans="1:13" hidden="1" x14ac:dyDescent="0.25">
      <c r="A100" s="309">
        <v>44196</v>
      </c>
      <c r="B100" s="308" t="s">
        <v>1160</v>
      </c>
      <c r="C100" s="308" t="s">
        <v>1060</v>
      </c>
      <c r="D100" s="310">
        <v>6</v>
      </c>
      <c r="E100" s="311">
        <v>226.61</v>
      </c>
      <c r="F100" s="311">
        <v>435.43</v>
      </c>
      <c r="G100" s="308" t="s">
        <v>1161</v>
      </c>
      <c r="H100" s="308" t="s">
        <v>1186</v>
      </c>
      <c r="I100" s="308" t="s">
        <v>1140</v>
      </c>
      <c r="J100" s="308" t="s">
        <v>757</v>
      </c>
      <c r="K100" s="308" t="s">
        <v>741</v>
      </c>
      <c r="L100" s="309">
        <v>44196</v>
      </c>
      <c r="M100" s="312">
        <v>0</v>
      </c>
    </row>
    <row r="101" spans="1:13" hidden="1" x14ac:dyDescent="0.25">
      <c r="A101" s="309">
        <v>44165</v>
      </c>
      <c r="B101" s="308" t="s">
        <v>1187</v>
      </c>
      <c r="C101" s="308" t="s">
        <v>769</v>
      </c>
      <c r="D101" s="310">
        <v>7</v>
      </c>
      <c r="E101" s="311">
        <v>31.53</v>
      </c>
      <c r="F101" s="311">
        <v>466.96</v>
      </c>
      <c r="G101" s="308" t="s">
        <v>1163</v>
      </c>
      <c r="H101" s="308" t="s">
        <v>1186</v>
      </c>
      <c r="I101" s="308" t="s">
        <v>1140</v>
      </c>
      <c r="J101" s="308" t="s">
        <v>757</v>
      </c>
      <c r="K101" s="308" t="s">
        <v>770</v>
      </c>
      <c r="L101" s="309">
        <v>44165</v>
      </c>
      <c r="M101" s="312">
        <v>0</v>
      </c>
    </row>
    <row r="102" spans="1:13" hidden="1" x14ac:dyDescent="0.25">
      <c r="A102" s="309">
        <v>44196</v>
      </c>
      <c r="B102" s="308" t="s">
        <v>1160</v>
      </c>
      <c r="C102" s="308" t="s">
        <v>1060</v>
      </c>
      <c r="D102" s="310">
        <v>7</v>
      </c>
      <c r="E102" s="311">
        <v>-226.61</v>
      </c>
      <c r="F102" s="311">
        <v>240.35</v>
      </c>
      <c r="G102" s="308" t="s">
        <v>1161</v>
      </c>
      <c r="H102" s="308" t="s">
        <v>1186</v>
      </c>
      <c r="I102" s="308" t="s">
        <v>1140</v>
      </c>
      <c r="J102" s="308" t="s">
        <v>757</v>
      </c>
      <c r="K102" s="308" t="s">
        <v>741</v>
      </c>
      <c r="L102" s="309">
        <v>44196</v>
      </c>
      <c r="M102" s="312">
        <v>0</v>
      </c>
    </row>
    <row r="103" spans="1:13" hidden="1" x14ac:dyDescent="0.25">
      <c r="A103" s="309">
        <v>44196</v>
      </c>
      <c r="B103" s="308" t="s">
        <v>1188</v>
      </c>
      <c r="C103" s="308" t="s">
        <v>769</v>
      </c>
      <c r="D103" s="310">
        <v>7</v>
      </c>
      <c r="E103" s="311">
        <v>59.55</v>
      </c>
      <c r="F103" s="311">
        <v>299.89999999999998</v>
      </c>
      <c r="G103" s="308" t="s">
        <v>1165</v>
      </c>
      <c r="H103" s="308" t="s">
        <v>1186</v>
      </c>
      <c r="I103" s="308" t="s">
        <v>1140</v>
      </c>
      <c r="J103" s="308" t="s">
        <v>757</v>
      </c>
      <c r="K103" s="308" t="s">
        <v>770</v>
      </c>
      <c r="L103" s="309">
        <v>44196</v>
      </c>
      <c r="M103" s="312">
        <v>0</v>
      </c>
    </row>
    <row r="104" spans="1:13" hidden="1" x14ac:dyDescent="0.25">
      <c r="A104" s="309">
        <v>44230</v>
      </c>
      <c r="B104" s="308" t="s">
        <v>1166</v>
      </c>
      <c r="C104" s="308" t="s">
        <v>1060</v>
      </c>
      <c r="D104" s="310">
        <v>7</v>
      </c>
      <c r="E104" s="311">
        <v>145.9</v>
      </c>
      <c r="F104" s="311">
        <v>445.8</v>
      </c>
      <c r="G104" s="308" t="s">
        <v>1167</v>
      </c>
      <c r="H104" s="308" t="s">
        <v>1186</v>
      </c>
      <c r="I104" s="308" t="s">
        <v>1140</v>
      </c>
      <c r="J104" s="308" t="s">
        <v>757</v>
      </c>
      <c r="K104" s="308" t="s">
        <v>741</v>
      </c>
      <c r="L104" s="309">
        <v>44230</v>
      </c>
      <c r="M104" s="312">
        <v>0</v>
      </c>
    </row>
    <row r="105" spans="1:13" hidden="1" x14ac:dyDescent="0.25">
      <c r="A105" s="309">
        <v>44227</v>
      </c>
      <c r="B105" s="308" t="s">
        <v>1189</v>
      </c>
      <c r="C105" s="308" t="s">
        <v>769</v>
      </c>
      <c r="D105" s="310">
        <v>8</v>
      </c>
      <c r="E105" s="311">
        <v>131.15</v>
      </c>
      <c r="F105" s="311">
        <v>576.95000000000005</v>
      </c>
      <c r="G105" s="308" t="s">
        <v>1169</v>
      </c>
      <c r="H105" s="308" t="s">
        <v>1186</v>
      </c>
      <c r="I105" s="308" t="s">
        <v>1140</v>
      </c>
      <c r="J105" s="308" t="s">
        <v>757</v>
      </c>
      <c r="K105" s="308" t="s">
        <v>770</v>
      </c>
      <c r="L105" s="309">
        <v>44227</v>
      </c>
      <c r="M105" s="312">
        <v>0</v>
      </c>
    </row>
    <row r="106" spans="1:13" hidden="1" x14ac:dyDescent="0.25">
      <c r="A106" s="309">
        <v>44230</v>
      </c>
      <c r="B106" s="308" t="s">
        <v>1166</v>
      </c>
      <c r="C106" s="308" t="s">
        <v>1060</v>
      </c>
      <c r="D106" s="310">
        <v>8</v>
      </c>
      <c r="E106" s="311">
        <v>-145.9</v>
      </c>
      <c r="F106" s="311">
        <v>431.05</v>
      </c>
      <c r="G106" s="308" t="s">
        <v>1167</v>
      </c>
      <c r="H106" s="308" t="s">
        <v>1186</v>
      </c>
      <c r="I106" s="308" t="s">
        <v>1140</v>
      </c>
      <c r="J106" s="308" t="s">
        <v>757</v>
      </c>
      <c r="K106" s="308" t="s">
        <v>741</v>
      </c>
      <c r="L106" s="309">
        <v>44230</v>
      </c>
      <c r="M106" s="312">
        <v>0</v>
      </c>
    </row>
    <row r="107" spans="1:13" hidden="1" x14ac:dyDescent="0.25">
      <c r="A107" s="309">
        <v>44255</v>
      </c>
      <c r="B107" s="308" t="s">
        <v>1178</v>
      </c>
      <c r="C107" s="308" t="s">
        <v>1060</v>
      </c>
      <c r="D107" s="310">
        <v>8</v>
      </c>
      <c r="E107" s="311">
        <v>39.69</v>
      </c>
      <c r="F107" s="311">
        <v>470.74</v>
      </c>
      <c r="G107" s="308" t="s">
        <v>1179</v>
      </c>
      <c r="H107" s="308" t="s">
        <v>1186</v>
      </c>
      <c r="I107" s="308" t="s">
        <v>1140</v>
      </c>
      <c r="J107" s="308" t="s">
        <v>757</v>
      </c>
      <c r="K107" s="308" t="s">
        <v>741</v>
      </c>
      <c r="L107" s="309">
        <v>44255</v>
      </c>
      <c r="M107" s="312">
        <v>0</v>
      </c>
    </row>
    <row r="108" spans="1:13" hidden="1" x14ac:dyDescent="0.25">
      <c r="A108" s="309">
        <v>44255</v>
      </c>
      <c r="B108" s="308" t="s">
        <v>1178</v>
      </c>
      <c r="C108" s="308" t="s">
        <v>1060</v>
      </c>
      <c r="D108" s="310">
        <v>9</v>
      </c>
      <c r="E108" s="311">
        <v>-39.69</v>
      </c>
      <c r="F108" s="311">
        <v>431.05</v>
      </c>
      <c r="G108" s="308" t="s">
        <v>1179</v>
      </c>
      <c r="H108" s="308" t="s">
        <v>1186</v>
      </c>
      <c r="I108" s="308" t="s">
        <v>1140</v>
      </c>
      <c r="J108" s="308" t="s">
        <v>757</v>
      </c>
      <c r="K108" s="308" t="s">
        <v>741</v>
      </c>
      <c r="L108" s="309">
        <v>44255</v>
      </c>
      <c r="M108" s="312">
        <v>0</v>
      </c>
    </row>
    <row r="109" spans="1:13" hidden="1" x14ac:dyDescent="0.25">
      <c r="A109" s="309">
        <v>44255</v>
      </c>
      <c r="B109" s="308" t="s">
        <v>1190</v>
      </c>
      <c r="C109" s="308" t="s">
        <v>769</v>
      </c>
      <c r="D109" s="310">
        <v>9</v>
      </c>
      <c r="E109" s="311">
        <v>20.45</v>
      </c>
      <c r="F109" s="311">
        <v>451.5</v>
      </c>
      <c r="G109" s="308" t="s">
        <v>1171</v>
      </c>
      <c r="H109" s="308" t="s">
        <v>1186</v>
      </c>
      <c r="I109" s="308" t="s">
        <v>1140</v>
      </c>
      <c r="J109" s="308" t="s">
        <v>757</v>
      </c>
      <c r="K109" s="308" t="s">
        <v>770</v>
      </c>
      <c r="L109" s="309">
        <v>44255</v>
      </c>
      <c r="M109" s="312">
        <v>0</v>
      </c>
    </row>
    <row r="110" spans="1:13" hidden="1" x14ac:dyDescent="0.25">
      <c r="A110" s="309">
        <v>44286</v>
      </c>
      <c r="B110" s="308" t="s">
        <v>1181</v>
      </c>
      <c r="C110" s="308" t="s">
        <v>1060</v>
      </c>
      <c r="D110" s="310">
        <v>9</v>
      </c>
      <c r="E110" s="311">
        <v>162.77000000000001</v>
      </c>
      <c r="F110" s="311">
        <v>614.27</v>
      </c>
      <c r="G110" s="308" t="s">
        <v>1182</v>
      </c>
      <c r="H110" s="308" t="s">
        <v>1186</v>
      </c>
      <c r="I110" s="308" t="s">
        <v>1140</v>
      </c>
      <c r="J110" s="308" t="s">
        <v>757</v>
      </c>
      <c r="K110" s="308" t="s">
        <v>741</v>
      </c>
      <c r="L110" s="309">
        <v>44286</v>
      </c>
      <c r="M110" s="312">
        <v>0</v>
      </c>
    </row>
    <row r="111" spans="1:13" hidden="1" x14ac:dyDescent="0.25">
      <c r="A111" s="309">
        <v>44286</v>
      </c>
      <c r="B111" s="308" t="s">
        <v>1181</v>
      </c>
      <c r="C111" s="308" t="s">
        <v>1060</v>
      </c>
      <c r="D111" s="310">
        <v>10</v>
      </c>
      <c r="E111" s="311">
        <v>-162.77000000000001</v>
      </c>
      <c r="F111" s="311">
        <v>451.5</v>
      </c>
      <c r="G111" s="308" t="s">
        <v>1182</v>
      </c>
      <c r="H111" s="308" t="s">
        <v>1186</v>
      </c>
      <c r="I111" s="308" t="s">
        <v>1140</v>
      </c>
      <c r="J111" s="308" t="s">
        <v>757</v>
      </c>
      <c r="K111" s="308" t="s">
        <v>741</v>
      </c>
      <c r="L111" s="309">
        <v>44286</v>
      </c>
      <c r="M111" s="312">
        <v>0</v>
      </c>
    </row>
    <row r="112" spans="1:13" hidden="1" x14ac:dyDescent="0.25">
      <c r="A112" s="309">
        <v>44286</v>
      </c>
      <c r="B112" s="308" t="s">
        <v>1191</v>
      </c>
      <c r="C112" s="308" t="s">
        <v>769</v>
      </c>
      <c r="D112" s="310">
        <v>10</v>
      </c>
      <c r="E112" s="311">
        <v>39.159999999999997</v>
      </c>
      <c r="F112" s="311">
        <v>490.66</v>
      </c>
      <c r="G112" s="308" t="s">
        <v>1192</v>
      </c>
      <c r="H112" s="308" t="s">
        <v>1186</v>
      </c>
      <c r="I112" s="308" t="s">
        <v>1140</v>
      </c>
      <c r="J112" s="308" t="s">
        <v>757</v>
      </c>
      <c r="K112" s="308" t="s">
        <v>770</v>
      </c>
      <c r="L112" s="309">
        <v>44286</v>
      </c>
      <c r="M112" s="312">
        <v>0</v>
      </c>
    </row>
    <row r="113" spans="1:13" hidden="1" x14ac:dyDescent="0.25">
      <c r="A113" s="309">
        <v>44316</v>
      </c>
      <c r="B113" s="308" t="s">
        <v>1104</v>
      </c>
      <c r="C113" s="308" t="s">
        <v>1060</v>
      </c>
      <c r="D113" s="310">
        <v>10</v>
      </c>
      <c r="E113" s="311">
        <v>336.68</v>
      </c>
      <c r="F113" s="311">
        <v>827.34</v>
      </c>
      <c r="G113" s="308" t="s">
        <v>1096</v>
      </c>
      <c r="H113" s="308" t="s">
        <v>1186</v>
      </c>
      <c r="I113" s="308" t="s">
        <v>1140</v>
      </c>
      <c r="J113" s="308" t="s">
        <v>757</v>
      </c>
      <c r="K113" s="308" t="s">
        <v>741</v>
      </c>
      <c r="L113" s="309">
        <v>44316</v>
      </c>
      <c r="M113" s="312">
        <v>0</v>
      </c>
    </row>
    <row r="114" spans="1:13" hidden="1" x14ac:dyDescent="0.25">
      <c r="A114" s="309">
        <v>43921</v>
      </c>
      <c r="B114" s="308" t="s">
        <v>1193</v>
      </c>
      <c r="C114" s="308" t="s">
        <v>769</v>
      </c>
      <c r="D114" s="310">
        <v>1</v>
      </c>
      <c r="E114" s="311">
        <v>350.48</v>
      </c>
      <c r="F114" s="311">
        <v>964.75</v>
      </c>
      <c r="G114" s="308" t="s">
        <v>1194</v>
      </c>
      <c r="H114" s="308" t="s">
        <v>1195</v>
      </c>
      <c r="I114" s="308" t="s">
        <v>1140</v>
      </c>
      <c r="J114" s="308" t="s">
        <v>757</v>
      </c>
      <c r="K114" s="308" t="s">
        <v>770</v>
      </c>
      <c r="L114" s="309">
        <v>43921</v>
      </c>
      <c r="M114" s="312">
        <v>0</v>
      </c>
    </row>
    <row r="115" spans="1:13" hidden="1" x14ac:dyDescent="0.25">
      <c r="A115" s="309">
        <v>44012</v>
      </c>
      <c r="B115" s="308" t="s">
        <v>1141</v>
      </c>
      <c r="C115" s="308" t="s">
        <v>1059</v>
      </c>
      <c r="D115" s="310">
        <v>1</v>
      </c>
      <c r="E115" s="311">
        <v>-440</v>
      </c>
      <c r="F115" s="311">
        <v>524.75</v>
      </c>
      <c r="G115" s="308" t="s">
        <v>1142</v>
      </c>
      <c r="H115" s="308" t="s">
        <v>1195</v>
      </c>
      <c r="I115" s="308" t="s">
        <v>1140</v>
      </c>
      <c r="J115" s="308" t="s">
        <v>757</v>
      </c>
      <c r="K115" s="308" t="s">
        <v>741</v>
      </c>
      <c r="L115" s="309">
        <v>44012</v>
      </c>
      <c r="M115" s="312">
        <v>0</v>
      </c>
    </row>
    <row r="116" spans="1:13" hidden="1" x14ac:dyDescent="0.25">
      <c r="A116" s="309">
        <v>44012</v>
      </c>
      <c r="B116" s="308" t="s">
        <v>1196</v>
      </c>
      <c r="C116" s="308" t="s">
        <v>1059</v>
      </c>
      <c r="D116" s="310">
        <v>1</v>
      </c>
      <c r="E116" s="311">
        <v>-350.46</v>
      </c>
      <c r="F116" s="311">
        <v>174.29</v>
      </c>
      <c r="G116" s="308" t="s">
        <v>1197</v>
      </c>
      <c r="H116" s="308" t="s">
        <v>1195</v>
      </c>
      <c r="I116" s="308" t="s">
        <v>1140</v>
      </c>
      <c r="J116" s="308" t="s">
        <v>757</v>
      </c>
      <c r="K116" s="308" t="s">
        <v>741</v>
      </c>
      <c r="L116" s="309">
        <v>44012</v>
      </c>
      <c r="M116" s="312">
        <v>0</v>
      </c>
    </row>
    <row r="117" spans="1:13" hidden="1" x14ac:dyDescent="0.25">
      <c r="A117" s="309">
        <v>44043</v>
      </c>
      <c r="B117" s="308" t="s">
        <v>1143</v>
      </c>
      <c r="C117" s="308" t="s">
        <v>1060</v>
      </c>
      <c r="D117" s="310">
        <v>1</v>
      </c>
      <c r="E117" s="311">
        <v>440</v>
      </c>
      <c r="F117" s="311">
        <v>614.29</v>
      </c>
      <c r="G117" s="308" t="s">
        <v>1144</v>
      </c>
      <c r="H117" s="308" t="s">
        <v>1195</v>
      </c>
      <c r="I117" s="308" t="s">
        <v>1140</v>
      </c>
      <c r="J117" s="308" t="s">
        <v>757</v>
      </c>
      <c r="K117" s="308" t="s">
        <v>741</v>
      </c>
      <c r="L117" s="309">
        <v>44043</v>
      </c>
      <c r="M117" s="312">
        <v>0</v>
      </c>
    </row>
    <row r="118" spans="1:13" hidden="1" x14ac:dyDescent="0.25">
      <c r="A118" s="309">
        <v>44043</v>
      </c>
      <c r="B118" s="308" t="s">
        <v>1143</v>
      </c>
      <c r="C118" s="308" t="s">
        <v>1060</v>
      </c>
      <c r="D118" s="310">
        <v>2</v>
      </c>
      <c r="E118" s="311">
        <v>-440</v>
      </c>
      <c r="F118" s="311">
        <v>174.29</v>
      </c>
      <c r="G118" s="308" t="s">
        <v>1144</v>
      </c>
      <c r="H118" s="308" t="s">
        <v>1195</v>
      </c>
      <c r="I118" s="308" t="s">
        <v>1140</v>
      </c>
      <c r="J118" s="308" t="s">
        <v>757</v>
      </c>
      <c r="K118" s="308" t="s">
        <v>741</v>
      </c>
      <c r="L118" s="309">
        <v>44043</v>
      </c>
      <c r="M118" s="312">
        <v>0</v>
      </c>
    </row>
    <row r="119" spans="1:13" hidden="1" x14ac:dyDescent="0.25">
      <c r="A119" s="309">
        <v>44074</v>
      </c>
      <c r="B119" s="308" t="s">
        <v>1147</v>
      </c>
      <c r="C119" s="308" t="s">
        <v>1060</v>
      </c>
      <c r="D119" s="310">
        <v>2</v>
      </c>
      <c r="E119" s="311">
        <v>440</v>
      </c>
      <c r="F119" s="311">
        <v>614.29</v>
      </c>
      <c r="G119" s="308" t="s">
        <v>1148</v>
      </c>
      <c r="H119" s="308" t="s">
        <v>1195</v>
      </c>
      <c r="I119" s="308" t="s">
        <v>1140</v>
      </c>
      <c r="J119" s="308" t="s">
        <v>757</v>
      </c>
      <c r="K119" s="308" t="s">
        <v>741</v>
      </c>
      <c r="L119" s="309">
        <v>44074</v>
      </c>
      <c r="M119" s="312">
        <v>0</v>
      </c>
    </row>
    <row r="120" spans="1:13" hidden="1" x14ac:dyDescent="0.25">
      <c r="A120" s="309">
        <v>44074</v>
      </c>
      <c r="B120" s="308" t="s">
        <v>1147</v>
      </c>
      <c r="C120" s="308" t="s">
        <v>1060</v>
      </c>
      <c r="D120" s="310">
        <v>3</v>
      </c>
      <c r="E120" s="311">
        <v>-440</v>
      </c>
      <c r="F120" s="311">
        <v>174.29</v>
      </c>
      <c r="G120" s="308" t="s">
        <v>1148</v>
      </c>
      <c r="H120" s="308" t="s">
        <v>1195</v>
      </c>
      <c r="I120" s="308" t="s">
        <v>1140</v>
      </c>
      <c r="J120" s="308" t="s">
        <v>757</v>
      </c>
      <c r="K120" s="308" t="s">
        <v>741</v>
      </c>
      <c r="L120" s="309">
        <v>44074</v>
      </c>
      <c r="M120" s="312">
        <v>0</v>
      </c>
    </row>
    <row r="121" spans="1:13" hidden="1" x14ac:dyDescent="0.25">
      <c r="A121" s="309">
        <v>44104</v>
      </c>
      <c r="B121" s="308" t="s">
        <v>1198</v>
      </c>
      <c r="C121" s="308" t="s">
        <v>1060</v>
      </c>
      <c r="D121" s="310">
        <v>3</v>
      </c>
      <c r="E121" s="311">
        <v>440</v>
      </c>
      <c r="F121" s="311">
        <v>614.29</v>
      </c>
      <c r="G121" s="308" t="s">
        <v>1199</v>
      </c>
      <c r="H121" s="308" t="s">
        <v>1195</v>
      </c>
      <c r="I121" s="308" t="s">
        <v>1140</v>
      </c>
      <c r="J121" s="308" t="s">
        <v>757</v>
      </c>
      <c r="K121" s="308" t="s">
        <v>741</v>
      </c>
      <c r="L121" s="309">
        <v>44104</v>
      </c>
      <c r="M121" s="312">
        <v>0</v>
      </c>
    </row>
    <row r="122" spans="1:13" hidden="1" x14ac:dyDescent="0.25">
      <c r="A122" s="309">
        <v>44104</v>
      </c>
      <c r="B122" s="308" t="s">
        <v>1198</v>
      </c>
      <c r="C122" s="308" t="s">
        <v>1060</v>
      </c>
      <c r="D122" s="310">
        <v>4</v>
      </c>
      <c r="E122" s="311">
        <v>-440</v>
      </c>
      <c r="F122" s="311">
        <v>174.29</v>
      </c>
      <c r="G122" s="308" t="s">
        <v>1199</v>
      </c>
      <c r="H122" s="308" t="s">
        <v>1195</v>
      </c>
      <c r="I122" s="308" t="s">
        <v>1140</v>
      </c>
      <c r="J122" s="308" t="s">
        <v>757</v>
      </c>
      <c r="K122" s="308" t="s">
        <v>741</v>
      </c>
      <c r="L122" s="309">
        <v>44104</v>
      </c>
      <c r="M122" s="312">
        <v>0</v>
      </c>
    </row>
    <row r="123" spans="1:13" hidden="1" x14ac:dyDescent="0.25">
      <c r="A123" s="309">
        <v>44135</v>
      </c>
      <c r="B123" s="308" t="s">
        <v>1200</v>
      </c>
      <c r="C123" s="308" t="s">
        <v>1060</v>
      </c>
      <c r="D123" s="310">
        <v>4</v>
      </c>
      <c r="E123" s="311">
        <v>440</v>
      </c>
      <c r="F123" s="311">
        <v>614.29</v>
      </c>
      <c r="G123" s="308" t="s">
        <v>1201</v>
      </c>
      <c r="H123" s="308" t="s">
        <v>1195</v>
      </c>
      <c r="I123" s="308" t="s">
        <v>1140</v>
      </c>
      <c r="J123" s="308" t="s">
        <v>757</v>
      </c>
      <c r="K123" s="308" t="s">
        <v>741</v>
      </c>
      <c r="L123" s="309">
        <v>44135</v>
      </c>
      <c r="M123" s="312">
        <v>0</v>
      </c>
    </row>
    <row r="124" spans="1:13" hidden="1" x14ac:dyDescent="0.25">
      <c r="A124" s="309">
        <v>44135</v>
      </c>
      <c r="B124" s="308" t="s">
        <v>1200</v>
      </c>
      <c r="C124" s="308" t="s">
        <v>1060</v>
      </c>
      <c r="D124" s="310">
        <v>5</v>
      </c>
      <c r="E124" s="311">
        <v>-440</v>
      </c>
      <c r="F124" s="311">
        <v>174.29</v>
      </c>
      <c r="G124" s="308" t="s">
        <v>1201</v>
      </c>
      <c r="H124" s="308" t="s">
        <v>1195</v>
      </c>
      <c r="I124" s="308" t="s">
        <v>1140</v>
      </c>
      <c r="J124" s="308" t="s">
        <v>757</v>
      </c>
      <c r="K124" s="308" t="s">
        <v>741</v>
      </c>
      <c r="L124" s="309">
        <v>44135</v>
      </c>
      <c r="M124" s="312">
        <v>0</v>
      </c>
    </row>
    <row r="125" spans="1:13" hidden="1" x14ac:dyDescent="0.25">
      <c r="A125" s="309">
        <v>44165</v>
      </c>
      <c r="B125" s="308" t="s">
        <v>1158</v>
      </c>
      <c r="C125" s="308" t="s">
        <v>1060</v>
      </c>
      <c r="D125" s="310">
        <v>5</v>
      </c>
      <c r="E125" s="311">
        <v>440</v>
      </c>
      <c r="F125" s="311">
        <v>614.29</v>
      </c>
      <c r="G125" s="308" t="s">
        <v>1159</v>
      </c>
      <c r="H125" s="308" t="s">
        <v>1195</v>
      </c>
      <c r="I125" s="308" t="s">
        <v>1140</v>
      </c>
      <c r="J125" s="308" t="s">
        <v>757</v>
      </c>
      <c r="K125" s="308" t="s">
        <v>741</v>
      </c>
      <c r="L125" s="309">
        <v>44165</v>
      </c>
      <c r="M125" s="312">
        <v>0</v>
      </c>
    </row>
    <row r="126" spans="1:13" hidden="1" x14ac:dyDescent="0.25">
      <c r="A126" s="309">
        <v>44165</v>
      </c>
      <c r="B126" s="308" t="s">
        <v>1158</v>
      </c>
      <c r="C126" s="308" t="s">
        <v>1060</v>
      </c>
      <c r="D126" s="310">
        <v>6</v>
      </c>
      <c r="E126" s="311">
        <v>-440</v>
      </c>
      <c r="F126" s="311">
        <v>174.29</v>
      </c>
      <c r="G126" s="308" t="s">
        <v>1159</v>
      </c>
      <c r="H126" s="308" t="s">
        <v>1195</v>
      </c>
      <c r="I126" s="308" t="s">
        <v>1140</v>
      </c>
      <c r="J126" s="308" t="s">
        <v>757</v>
      </c>
      <c r="K126" s="308" t="s">
        <v>741</v>
      </c>
      <c r="L126" s="309">
        <v>44165</v>
      </c>
      <c r="M126" s="312">
        <v>0</v>
      </c>
    </row>
    <row r="127" spans="1:13" hidden="1" x14ac:dyDescent="0.25">
      <c r="A127" s="309">
        <v>44196</v>
      </c>
      <c r="B127" s="308" t="s">
        <v>1160</v>
      </c>
      <c r="C127" s="308" t="s">
        <v>1060</v>
      </c>
      <c r="D127" s="310">
        <v>6</v>
      </c>
      <c r="E127" s="311">
        <v>440</v>
      </c>
      <c r="F127" s="311">
        <v>614.29</v>
      </c>
      <c r="G127" s="308" t="s">
        <v>1161</v>
      </c>
      <c r="H127" s="308" t="s">
        <v>1195</v>
      </c>
      <c r="I127" s="308" t="s">
        <v>1140</v>
      </c>
      <c r="J127" s="308" t="s">
        <v>757</v>
      </c>
      <c r="K127" s="308" t="s">
        <v>741</v>
      </c>
      <c r="L127" s="309">
        <v>44196</v>
      </c>
      <c r="M127" s="312">
        <v>0</v>
      </c>
    </row>
    <row r="128" spans="1:13" hidden="1" x14ac:dyDescent="0.25">
      <c r="A128" s="309">
        <v>44196</v>
      </c>
      <c r="B128" s="308" t="s">
        <v>1160</v>
      </c>
      <c r="C128" s="308" t="s">
        <v>1060</v>
      </c>
      <c r="D128" s="310">
        <v>7</v>
      </c>
      <c r="E128" s="311">
        <v>-440</v>
      </c>
      <c r="F128" s="311">
        <v>174.29</v>
      </c>
      <c r="G128" s="308" t="s">
        <v>1161</v>
      </c>
      <c r="H128" s="308" t="s">
        <v>1195</v>
      </c>
      <c r="I128" s="308" t="s">
        <v>1140</v>
      </c>
      <c r="J128" s="308" t="s">
        <v>757</v>
      </c>
      <c r="K128" s="308" t="s">
        <v>741</v>
      </c>
      <c r="L128" s="309">
        <v>44196</v>
      </c>
      <c r="M128" s="312">
        <v>0</v>
      </c>
    </row>
    <row r="129" spans="1:13" hidden="1" x14ac:dyDescent="0.25">
      <c r="A129" s="309">
        <v>44230</v>
      </c>
      <c r="B129" s="308" t="s">
        <v>1166</v>
      </c>
      <c r="C129" s="308" t="s">
        <v>1060</v>
      </c>
      <c r="D129" s="310">
        <v>7</v>
      </c>
      <c r="E129" s="311">
        <v>440</v>
      </c>
      <c r="F129" s="311">
        <v>614.29</v>
      </c>
      <c r="G129" s="308" t="s">
        <v>1167</v>
      </c>
      <c r="H129" s="308" t="s">
        <v>1195</v>
      </c>
      <c r="I129" s="308" t="s">
        <v>1140</v>
      </c>
      <c r="J129" s="308" t="s">
        <v>757</v>
      </c>
      <c r="K129" s="308" t="s">
        <v>741</v>
      </c>
      <c r="L129" s="309">
        <v>44230</v>
      </c>
      <c r="M129" s="312">
        <v>0</v>
      </c>
    </row>
    <row r="130" spans="1:13" hidden="1" x14ac:dyDescent="0.25">
      <c r="A130" s="309">
        <v>44230</v>
      </c>
      <c r="B130" s="308" t="s">
        <v>1166</v>
      </c>
      <c r="C130" s="308" t="s">
        <v>1060</v>
      </c>
      <c r="D130" s="310">
        <v>8</v>
      </c>
      <c r="E130" s="311">
        <v>-440</v>
      </c>
      <c r="F130" s="311">
        <v>174.29</v>
      </c>
      <c r="G130" s="308" t="s">
        <v>1167</v>
      </c>
      <c r="H130" s="308" t="s">
        <v>1195</v>
      </c>
      <c r="I130" s="308" t="s">
        <v>1140</v>
      </c>
      <c r="J130" s="308" t="s">
        <v>757</v>
      </c>
      <c r="K130" s="308" t="s">
        <v>741</v>
      </c>
      <c r="L130" s="309">
        <v>44230</v>
      </c>
      <c r="M130" s="312">
        <v>0</v>
      </c>
    </row>
    <row r="131" spans="1:13" hidden="1" x14ac:dyDescent="0.25">
      <c r="A131" s="309">
        <v>44255</v>
      </c>
      <c r="B131" s="308" t="s">
        <v>1178</v>
      </c>
      <c r="C131" s="308" t="s">
        <v>1060</v>
      </c>
      <c r="D131" s="310">
        <v>8</v>
      </c>
      <c r="E131" s="311">
        <v>440</v>
      </c>
      <c r="F131" s="311">
        <v>614.29</v>
      </c>
      <c r="G131" s="308" t="s">
        <v>1179</v>
      </c>
      <c r="H131" s="308" t="s">
        <v>1195</v>
      </c>
      <c r="I131" s="308" t="s">
        <v>1140</v>
      </c>
      <c r="J131" s="308" t="s">
        <v>757</v>
      </c>
      <c r="K131" s="308" t="s">
        <v>741</v>
      </c>
      <c r="L131" s="309">
        <v>44255</v>
      </c>
      <c r="M131" s="312">
        <v>0</v>
      </c>
    </row>
    <row r="132" spans="1:13" hidden="1" x14ac:dyDescent="0.25">
      <c r="A132" s="309">
        <v>44255</v>
      </c>
      <c r="B132" s="308" t="s">
        <v>1178</v>
      </c>
      <c r="C132" s="308" t="s">
        <v>1060</v>
      </c>
      <c r="D132" s="310">
        <v>9</v>
      </c>
      <c r="E132" s="311">
        <v>-440</v>
      </c>
      <c r="F132" s="311">
        <v>174.29</v>
      </c>
      <c r="G132" s="308" t="s">
        <v>1179</v>
      </c>
      <c r="H132" s="308" t="s">
        <v>1195</v>
      </c>
      <c r="I132" s="308" t="s">
        <v>1140</v>
      </c>
      <c r="J132" s="308" t="s">
        <v>757</v>
      </c>
      <c r="K132" s="308" t="s">
        <v>741</v>
      </c>
      <c r="L132" s="309">
        <v>44255</v>
      </c>
      <c r="M132" s="312">
        <v>0</v>
      </c>
    </row>
    <row r="133" spans="1:13" hidden="1" x14ac:dyDescent="0.25">
      <c r="A133" s="309">
        <v>44286</v>
      </c>
      <c r="B133" s="308" t="s">
        <v>1181</v>
      </c>
      <c r="C133" s="308" t="s">
        <v>1060</v>
      </c>
      <c r="D133" s="310">
        <v>9</v>
      </c>
      <c r="E133" s="311">
        <v>440</v>
      </c>
      <c r="F133" s="311">
        <v>614.29</v>
      </c>
      <c r="G133" s="308" t="s">
        <v>1182</v>
      </c>
      <c r="H133" s="308" t="s">
        <v>1195</v>
      </c>
      <c r="I133" s="308" t="s">
        <v>1140</v>
      </c>
      <c r="J133" s="308" t="s">
        <v>757</v>
      </c>
      <c r="K133" s="308" t="s">
        <v>741</v>
      </c>
      <c r="L133" s="309">
        <v>44286</v>
      </c>
      <c r="M133" s="312">
        <v>0</v>
      </c>
    </row>
    <row r="134" spans="1:13" hidden="1" x14ac:dyDescent="0.25">
      <c r="A134" s="309">
        <v>44286</v>
      </c>
      <c r="B134" s="308" t="s">
        <v>1181</v>
      </c>
      <c r="C134" s="308" t="s">
        <v>1060</v>
      </c>
      <c r="D134" s="310">
        <v>10</v>
      </c>
      <c r="E134" s="311">
        <v>-440</v>
      </c>
      <c r="F134" s="311">
        <v>174.29</v>
      </c>
      <c r="G134" s="308" t="s">
        <v>1182</v>
      </c>
      <c r="H134" s="308" t="s">
        <v>1195</v>
      </c>
      <c r="I134" s="308" t="s">
        <v>1140</v>
      </c>
      <c r="J134" s="308" t="s">
        <v>757</v>
      </c>
      <c r="K134" s="308" t="s">
        <v>741</v>
      </c>
      <c r="L134" s="309">
        <v>44286</v>
      </c>
      <c r="M134" s="312">
        <v>0</v>
      </c>
    </row>
    <row r="135" spans="1:13" hidden="1" x14ac:dyDescent="0.25">
      <c r="A135" s="309">
        <v>44316</v>
      </c>
      <c r="B135" s="308" t="s">
        <v>1104</v>
      </c>
      <c r="C135" s="308" t="s">
        <v>1060</v>
      </c>
      <c r="D135" s="310">
        <v>10</v>
      </c>
      <c r="E135" s="311">
        <v>440</v>
      </c>
      <c r="F135" s="311">
        <v>614.29</v>
      </c>
      <c r="G135" s="308" t="s">
        <v>1096</v>
      </c>
      <c r="H135" s="308" t="s">
        <v>1195</v>
      </c>
      <c r="I135" s="308" t="s">
        <v>1140</v>
      </c>
      <c r="J135" s="308" t="s">
        <v>757</v>
      </c>
      <c r="K135" s="308" t="s">
        <v>741</v>
      </c>
      <c r="L135" s="309">
        <v>44316</v>
      </c>
      <c r="M135" s="312">
        <v>0</v>
      </c>
    </row>
    <row r="136" spans="1:13" hidden="1" x14ac:dyDescent="0.25">
      <c r="A136" s="309">
        <v>43921</v>
      </c>
      <c r="B136" s="308" t="s">
        <v>1193</v>
      </c>
      <c r="C136" s="308" t="s">
        <v>769</v>
      </c>
      <c r="D136" s="310">
        <v>1</v>
      </c>
      <c r="E136" s="311">
        <v>520.05999999999995</v>
      </c>
      <c r="F136" s="311">
        <v>694.35</v>
      </c>
      <c r="G136" s="308" t="s">
        <v>1194</v>
      </c>
      <c r="H136" s="308" t="s">
        <v>1202</v>
      </c>
      <c r="I136" s="308" t="s">
        <v>1140</v>
      </c>
      <c r="J136" s="308" t="s">
        <v>757</v>
      </c>
      <c r="K136" s="308" t="s">
        <v>770</v>
      </c>
      <c r="L136" s="309">
        <v>43921</v>
      </c>
      <c r="M136" s="312">
        <v>0</v>
      </c>
    </row>
    <row r="137" spans="1:13" hidden="1" x14ac:dyDescent="0.25">
      <c r="A137" s="309">
        <v>44012</v>
      </c>
      <c r="B137" s="308" t="s">
        <v>1141</v>
      </c>
      <c r="C137" s="308" t="s">
        <v>1059</v>
      </c>
      <c r="D137" s="310">
        <v>1</v>
      </c>
      <c r="E137" s="311">
        <v>-842</v>
      </c>
      <c r="F137" s="311">
        <v>-147.65</v>
      </c>
      <c r="G137" s="308" t="s">
        <v>1142</v>
      </c>
      <c r="H137" s="308" t="s">
        <v>1202</v>
      </c>
      <c r="I137" s="308" t="s">
        <v>1140</v>
      </c>
      <c r="J137" s="308" t="s">
        <v>757</v>
      </c>
      <c r="K137" s="308" t="s">
        <v>741</v>
      </c>
      <c r="L137" s="309">
        <v>44012</v>
      </c>
      <c r="M137" s="312">
        <v>0</v>
      </c>
    </row>
    <row r="138" spans="1:13" hidden="1" x14ac:dyDescent="0.25">
      <c r="A138" s="309">
        <v>44012</v>
      </c>
      <c r="B138" s="308" t="s">
        <v>1196</v>
      </c>
      <c r="C138" s="308" t="s">
        <v>1059</v>
      </c>
      <c r="D138" s="310">
        <v>1</v>
      </c>
      <c r="E138" s="311">
        <v>-520.05999999999995</v>
      </c>
      <c r="F138" s="311">
        <v>-667.71</v>
      </c>
      <c r="G138" s="308" t="s">
        <v>1197</v>
      </c>
      <c r="H138" s="308" t="s">
        <v>1202</v>
      </c>
      <c r="I138" s="308" t="s">
        <v>1140</v>
      </c>
      <c r="J138" s="308" t="s">
        <v>757</v>
      </c>
      <c r="K138" s="308" t="s">
        <v>741</v>
      </c>
      <c r="L138" s="309">
        <v>44012</v>
      </c>
      <c r="M138" s="312">
        <v>0</v>
      </c>
    </row>
    <row r="139" spans="1:13" hidden="1" x14ac:dyDescent="0.25">
      <c r="A139" s="309">
        <v>44043</v>
      </c>
      <c r="B139" s="308" t="s">
        <v>1143</v>
      </c>
      <c r="C139" s="308" t="s">
        <v>1060</v>
      </c>
      <c r="D139" s="310">
        <v>1</v>
      </c>
      <c r="E139" s="311">
        <v>842</v>
      </c>
      <c r="F139" s="311">
        <v>174.29</v>
      </c>
      <c r="G139" s="308" t="s">
        <v>1144</v>
      </c>
      <c r="H139" s="308" t="s">
        <v>1202</v>
      </c>
      <c r="I139" s="308" t="s">
        <v>1140</v>
      </c>
      <c r="J139" s="308" t="s">
        <v>757</v>
      </c>
      <c r="K139" s="308" t="s">
        <v>741</v>
      </c>
      <c r="L139" s="309">
        <v>44043</v>
      </c>
      <c r="M139" s="312">
        <v>0</v>
      </c>
    </row>
    <row r="140" spans="1:13" hidden="1" x14ac:dyDescent="0.25">
      <c r="A140" s="309">
        <v>44043</v>
      </c>
      <c r="B140" s="308" t="s">
        <v>1143</v>
      </c>
      <c r="C140" s="308" t="s">
        <v>1060</v>
      </c>
      <c r="D140" s="310">
        <v>2</v>
      </c>
      <c r="E140" s="311">
        <v>-842</v>
      </c>
      <c r="F140" s="311">
        <v>-667.71</v>
      </c>
      <c r="G140" s="308" t="s">
        <v>1144</v>
      </c>
      <c r="H140" s="308" t="s">
        <v>1202</v>
      </c>
      <c r="I140" s="308" t="s">
        <v>1140</v>
      </c>
      <c r="J140" s="308" t="s">
        <v>757</v>
      </c>
      <c r="K140" s="308" t="s">
        <v>741</v>
      </c>
      <c r="L140" s="309">
        <v>44043</v>
      </c>
      <c r="M140" s="312">
        <v>0</v>
      </c>
    </row>
    <row r="141" spans="1:13" hidden="1" x14ac:dyDescent="0.25">
      <c r="A141" s="309">
        <v>44074</v>
      </c>
      <c r="B141" s="308" t="s">
        <v>1147</v>
      </c>
      <c r="C141" s="308" t="s">
        <v>1060</v>
      </c>
      <c r="D141" s="310">
        <v>2</v>
      </c>
      <c r="E141" s="311">
        <v>842</v>
      </c>
      <c r="F141" s="311">
        <v>174.29</v>
      </c>
      <c r="G141" s="308" t="s">
        <v>1148</v>
      </c>
      <c r="H141" s="308" t="s">
        <v>1202</v>
      </c>
      <c r="I141" s="308" t="s">
        <v>1140</v>
      </c>
      <c r="J141" s="308" t="s">
        <v>757</v>
      </c>
      <c r="K141" s="308" t="s">
        <v>741</v>
      </c>
      <c r="L141" s="309">
        <v>44074</v>
      </c>
      <c r="M141" s="312">
        <v>0</v>
      </c>
    </row>
    <row r="142" spans="1:13" hidden="1" x14ac:dyDescent="0.25">
      <c r="A142" s="309">
        <v>44074</v>
      </c>
      <c r="B142" s="308" t="s">
        <v>1147</v>
      </c>
      <c r="C142" s="308" t="s">
        <v>1060</v>
      </c>
      <c r="D142" s="310">
        <v>3</v>
      </c>
      <c r="E142" s="311">
        <v>-842</v>
      </c>
      <c r="F142" s="311">
        <v>-667.71</v>
      </c>
      <c r="G142" s="308" t="s">
        <v>1148</v>
      </c>
      <c r="H142" s="308" t="s">
        <v>1202</v>
      </c>
      <c r="I142" s="308" t="s">
        <v>1140</v>
      </c>
      <c r="J142" s="308" t="s">
        <v>757</v>
      </c>
      <c r="K142" s="308" t="s">
        <v>741</v>
      </c>
      <c r="L142" s="309">
        <v>44074</v>
      </c>
      <c r="M142" s="312">
        <v>0</v>
      </c>
    </row>
    <row r="143" spans="1:13" hidden="1" x14ac:dyDescent="0.25">
      <c r="A143" s="309">
        <v>44104</v>
      </c>
      <c r="B143" s="308" t="s">
        <v>1198</v>
      </c>
      <c r="C143" s="308" t="s">
        <v>1060</v>
      </c>
      <c r="D143" s="310">
        <v>3</v>
      </c>
      <c r="E143" s="311">
        <v>842</v>
      </c>
      <c r="F143" s="311">
        <v>174.29</v>
      </c>
      <c r="G143" s="308" t="s">
        <v>1199</v>
      </c>
      <c r="H143" s="308" t="s">
        <v>1202</v>
      </c>
      <c r="I143" s="308" t="s">
        <v>1140</v>
      </c>
      <c r="J143" s="308" t="s">
        <v>757</v>
      </c>
      <c r="K143" s="308" t="s">
        <v>741</v>
      </c>
      <c r="L143" s="309">
        <v>44104</v>
      </c>
      <c r="M143" s="312">
        <v>0</v>
      </c>
    </row>
    <row r="144" spans="1:13" hidden="1" x14ac:dyDescent="0.25">
      <c r="A144" s="309">
        <v>44104</v>
      </c>
      <c r="B144" s="308" t="s">
        <v>1198</v>
      </c>
      <c r="C144" s="308" t="s">
        <v>1060</v>
      </c>
      <c r="D144" s="310">
        <v>4</v>
      </c>
      <c r="E144" s="311">
        <v>-842</v>
      </c>
      <c r="F144" s="311">
        <v>-667.71</v>
      </c>
      <c r="G144" s="308" t="s">
        <v>1199</v>
      </c>
      <c r="H144" s="308" t="s">
        <v>1202</v>
      </c>
      <c r="I144" s="308" t="s">
        <v>1140</v>
      </c>
      <c r="J144" s="308" t="s">
        <v>757</v>
      </c>
      <c r="K144" s="308" t="s">
        <v>741</v>
      </c>
      <c r="L144" s="309">
        <v>44104</v>
      </c>
      <c r="M144" s="312">
        <v>0</v>
      </c>
    </row>
    <row r="145" spans="1:13" hidden="1" x14ac:dyDescent="0.25">
      <c r="A145" s="309">
        <v>44135</v>
      </c>
      <c r="B145" s="308" t="s">
        <v>1200</v>
      </c>
      <c r="C145" s="308" t="s">
        <v>1060</v>
      </c>
      <c r="D145" s="310">
        <v>4</v>
      </c>
      <c r="E145" s="311">
        <v>842</v>
      </c>
      <c r="F145" s="311">
        <v>174.29</v>
      </c>
      <c r="G145" s="308" t="s">
        <v>1201</v>
      </c>
      <c r="H145" s="308" t="s">
        <v>1202</v>
      </c>
      <c r="I145" s="308" t="s">
        <v>1140</v>
      </c>
      <c r="J145" s="308" t="s">
        <v>757</v>
      </c>
      <c r="K145" s="308" t="s">
        <v>741</v>
      </c>
      <c r="L145" s="309">
        <v>44135</v>
      </c>
      <c r="M145" s="312">
        <v>0</v>
      </c>
    </row>
    <row r="146" spans="1:13" hidden="1" x14ac:dyDescent="0.25">
      <c r="A146" s="309">
        <v>44135</v>
      </c>
      <c r="B146" s="308" t="s">
        <v>1200</v>
      </c>
      <c r="C146" s="308" t="s">
        <v>1060</v>
      </c>
      <c r="D146" s="310">
        <v>5</v>
      </c>
      <c r="E146" s="311">
        <v>-842</v>
      </c>
      <c r="F146" s="311">
        <v>-667.71</v>
      </c>
      <c r="G146" s="308" t="s">
        <v>1201</v>
      </c>
      <c r="H146" s="308" t="s">
        <v>1202</v>
      </c>
      <c r="I146" s="308" t="s">
        <v>1140</v>
      </c>
      <c r="J146" s="308" t="s">
        <v>757</v>
      </c>
      <c r="K146" s="308" t="s">
        <v>741</v>
      </c>
      <c r="L146" s="309">
        <v>44135</v>
      </c>
      <c r="M146" s="312">
        <v>0</v>
      </c>
    </row>
    <row r="147" spans="1:13" hidden="1" x14ac:dyDescent="0.25">
      <c r="A147" s="309">
        <v>44165</v>
      </c>
      <c r="B147" s="308" t="s">
        <v>1158</v>
      </c>
      <c r="C147" s="308" t="s">
        <v>1060</v>
      </c>
      <c r="D147" s="310">
        <v>5</v>
      </c>
      <c r="E147" s="311">
        <v>842</v>
      </c>
      <c r="F147" s="311">
        <v>174.29</v>
      </c>
      <c r="G147" s="308" t="s">
        <v>1159</v>
      </c>
      <c r="H147" s="308" t="s">
        <v>1202</v>
      </c>
      <c r="I147" s="308" t="s">
        <v>1140</v>
      </c>
      <c r="J147" s="308" t="s">
        <v>757</v>
      </c>
      <c r="K147" s="308" t="s">
        <v>741</v>
      </c>
      <c r="L147" s="309">
        <v>44165</v>
      </c>
      <c r="M147" s="312">
        <v>0</v>
      </c>
    </row>
    <row r="148" spans="1:13" hidden="1" x14ac:dyDescent="0.25">
      <c r="A148" s="309">
        <v>44165</v>
      </c>
      <c r="B148" s="308" t="s">
        <v>1158</v>
      </c>
      <c r="C148" s="308" t="s">
        <v>1060</v>
      </c>
      <c r="D148" s="310">
        <v>6</v>
      </c>
      <c r="E148" s="311">
        <v>-842</v>
      </c>
      <c r="F148" s="311">
        <v>-667.71</v>
      </c>
      <c r="G148" s="308" t="s">
        <v>1159</v>
      </c>
      <c r="H148" s="308" t="s">
        <v>1202</v>
      </c>
      <c r="I148" s="308" t="s">
        <v>1140</v>
      </c>
      <c r="J148" s="308" t="s">
        <v>757</v>
      </c>
      <c r="K148" s="308" t="s">
        <v>741</v>
      </c>
      <c r="L148" s="309">
        <v>44165</v>
      </c>
      <c r="M148" s="312">
        <v>0</v>
      </c>
    </row>
    <row r="149" spans="1:13" hidden="1" x14ac:dyDescent="0.25">
      <c r="A149" s="309">
        <v>44196</v>
      </c>
      <c r="B149" s="308" t="s">
        <v>1160</v>
      </c>
      <c r="C149" s="308" t="s">
        <v>1060</v>
      </c>
      <c r="D149" s="310">
        <v>6</v>
      </c>
      <c r="E149" s="311">
        <v>842</v>
      </c>
      <c r="F149" s="311">
        <v>174.29</v>
      </c>
      <c r="G149" s="308" t="s">
        <v>1161</v>
      </c>
      <c r="H149" s="308" t="s">
        <v>1202</v>
      </c>
      <c r="I149" s="308" t="s">
        <v>1140</v>
      </c>
      <c r="J149" s="308" t="s">
        <v>757</v>
      </c>
      <c r="K149" s="308" t="s">
        <v>741</v>
      </c>
      <c r="L149" s="309">
        <v>44196</v>
      </c>
      <c r="M149" s="312">
        <v>0</v>
      </c>
    </row>
    <row r="150" spans="1:13" hidden="1" x14ac:dyDescent="0.25">
      <c r="A150" s="309">
        <v>44196</v>
      </c>
      <c r="B150" s="308" t="s">
        <v>1160</v>
      </c>
      <c r="C150" s="308" t="s">
        <v>1060</v>
      </c>
      <c r="D150" s="310">
        <v>7</v>
      </c>
      <c r="E150" s="311">
        <v>-842</v>
      </c>
      <c r="F150" s="311">
        <v>-667.71</v>
      </c>
      <c r="G150" s="308" t="s">
        <v>1161</v>
      </c>
      <c r="H150" s="308" t="s">
        <v>1202</v>
      </c>
      <c r="I150" s="308" t="s">
        <v>1140</v>
      </c>
      <c r="J150" s="308" t="s">
        <v>757</v>
      </c>
      <c r="K150" s="308" t="s">
        <v>741</v>
      </c>
      <c r="L150" s="309">
        <v>44196</v>
      </c>
      <c r="M150" s="312">
        <v>0</v>
      </c>
    </row>
    <row r="151" spans="1:13" hidden="1" x14ac:dyDescent="0.25">
      <c r="A151" s="309">
        <v>44230</v>
      </c>
      <c r="B151" s="308" t="s">
        <v>1166</v>
      </c>
      <c r="C151" s="308" t="s">
        <v>1060</v>
      </c>
      <c r="D151" s="310">
        <v>7</v>
      </c>
      <c r="E151" s="311">
        <v>842</v>
      </c>
      <c r="F151" s="311">
        <v>174.29</v>
      </c>
      <c r="G151" s="308" t="s">
        <v>1167</v>
      </c>
      <c r="H151" s="308" t="s">
        <v>1202</v>
      </c>
      <c r="I151" s="308" t="s">
        <v>1140</v>
      </c>
      <c r="J151" s="308" t="s">
        <v>757</v>
      </c>
      <c r="K151" s="308" t="s">
        <v>741</v>
      </c>
      <c r="L151" s="309">
        <v>44230</v>
      </c>
      <c r="M151" s="312">
        <v>0</v>
      </c>
    </row>
    <row r="152" spans="1:13" hidden="1" x14ac:dyDescent="0.25">
      <c r="A152" s="309">
        <v>44230</v>
      </c>
      <c r="B152" s="308" t="s">
        <v>1166</v>
      </c>
      <c r="C152" s="308" t="s">
        <v>1060</v>
      </c>
      <c r="D152" s="310">
        <v>8</v>
      </c>
      <c r="E152" s="311">
        <v>-842</v>
      </c>
      <c r="F152" s="311">
        <v>-667.71</v>
      </c>
      <c r="G152" s="308" t="s">
        <v>1167</v>
      </c>
      <c r="H152" s="308" t="s">
        <v>1202</v>
      </c>
      <c r="I152" s="308" t="s">
        <v>1140</v>
      </c>
      <c r="J152" s="308" t="s">
        <v>757</v>
      </c>
      <c r="K152" s="308" t="s">
        <v>741</v>
      </c>
      <c r="L152" s="309">
        <v>44230</v>
      </c>
      <c r="M152" s="312">
        <v>0</v>
      </c>
    </row>
    <row r="153" spans="1:13" hidden="1" x14ac:dyDescent="0.25">
      <c r="A153" s="309">
        <v>44255</v>
      </c>
      <c r="B153" s="308" t="s">
        <v>1178</v>
      </c>
      <c r="C153" s="308" t="s">
        <v>1060</v>
      </c>
      <c r="D153" s="310">
        <v>8</v>
      </c>
      <c r="E153" s="311">
        <v>842</v>
      </c>
      <c r="F153" s="311">
        <v>174.29</v>
      </c>
      <c r="G153" s="308" t="s">
        <v>1179</v>
      </c>
      <c r="H153" s="308" t="s">
        <v>1202</v>
      </c>
      <c r="I153" s="308" t="s">
        <v>1140</v>
      </c>
      <c r="J153" s="308" t="s">
        <v>757</v>
      </c>
      <c r="K153" s="308" t="s">
        <v>741</v>
      </c>
      <c r="L153" s="309">
        <v>44255</v>
      </c>
      <c r="M153" s="312">
        <v>0</v>
      </c>
    </row>
    <row r="154" spans="1:13" hidden="1" x14ac:dyDescent="0.25">
      <c r="A154" s="309">
        <v>44255</v>
      </c>
      <c r="B154" s="308" t="s">
        <v>1178</v>
      </c>
      <c r="C154" s="308" t="s">
        <v>1060</v>
      </c>
      <c r="D154" s="310">
        <v>9</v>
      </c>
      <c r="E154" s="311">
        <v>-842</v>
      </c>
      <c r="F154" s="311">
        <v>-667.71</v>
      </c>
      <c r="G154" s="308" t="s">
        <v>1179</v>
      </c>
      <c r="H154" s="308" t="s">
        <v>1202</v>
      </c>
      <c r="I154" s="308" t="s">
        <v>1140</v>
      </c>
      <c r="J154" s="308" t="s">
        <v>757</v>
      </c>
      <c r="K154" s="308" t="s">
        <v>741</v>
      </c>
      <c r="L154" s="309">
        <v>44255</v>
      </c>
      <c r="M154" s="312">
        <v>0</v>
      </c>
    </row>
    <row r="155" spans="1:13" hidden="1" x14ac:dyDescent="0.25">
      <c r="A155" s="309">
        <v>44286</v>
      </c>
      <c r="B155" s="308" t="s">
        <v>1181</v>
      </c>
      <c r="C155" s="308" t="s">
        <v>1060</v>
      </c>
      <c r="D155" s="310">
        <v>9</v>
      </c>
      <c r="E155" s="311">
        <v>842</v>
      </c>
      <c r="F155" s="311">
        <v>174.29</v>
      </c>
      <c r="G155" s="308" t="s">
        <v>1182</v>
      </c>
      <c r="H155" s="308" t="s">
        <v>1202</v>
      </c>
      <c r="I155" s="308" t="s">
        <v>1140</v>
      </c>
      <c r="J155" s="308" t="s">
        <v>757</v>
      </c>
      <c r="K155" s="308" t="s">
        <v>741</v>
      </c>
      <c r="L155" s="309">
        <v>44286</v>
      </c>
      <c r="M155" s="312">
        <v>0</v>
      </c>
    </row>
    <row r="156" spans="1:13" hidden="1" x14ac:dyDescent="0.25">
      <c r="A156" s="309">
        <v>44286</v>
      </c>
      <c r="B156" s="308" t="s">
        <v>1181</v>
      </c>
      <c r="C156" s="308" t="s">
        <v>1060</v>
      </c>
      <c r="D156" s="310">
        <v>10</v>
      </c>
      <c r="E156" s="311">
        <v>-842</v>
      </c>
      <c r="F156" s="311">
        <v>-667.71</v>
      </c>
      <c r="G156" s="308" t="s">
        <v>1182</v>
      </c>
      <c r="H156" s="308" t="s">
        <v>1202</v>
      </c>
      <c r="I156" s="308" t="s">
        <v>1140</v>
      </c>
      <c r="J156" s="308" t="s">
        <v>757</v>
      </c>
      <c r="K156" s="308" t="s">
        <v>741</v>
      </c>
      <c r="L156" s="309">
        <v>44286</v>
      </c>
      <c r="M156" s="312">
        <v>0</v>
      </c>
    </row>
    <row r="157" spans="1:13" hidden="1" x14ac:dyDescent="0.25">
      <c r="A157" s="309">
        <v>44316</v>
      </c>
      <c r="B157" s="308" t="s">
        <v>1104</v>
      </c>
      <c r="C157" s="308" t="s">
        <v>1060</v>
      </c>
      <c r="D157" s="310">
        <v>10</v>
      </c>
      <c r="E157" s="311">
        <v>842</v>
      </c>
      <c r="F157" s="311">
        <v>174.29</v>
      </c>
      <c r="G157" s="308" t="s">
        <v>1096</v>
      </c>
      <c r="H157" s="308" t="s">
        <v>1202</v>
      </c>
      <c r="I157" s="308" t="s">
        <v>1140</v>
      </c>
      <c r="J157" s="308" t="s">
        <v>757</v>
      </c>
      <c r="K157" s="308" t="s">
        <v>741</v>
      </c>
      <c r="L157" s="309">
        <v>44316</v>
      </c>
      <c r="M157" s="312">
        <v>0</v>
      </c>
    </row>
    <row r="158" spans="1:13" hidden="1" x14ac:dyDescent="0.25">
      <c r="A158" s="309">
        <v>43921</v>
      </c>
      <c r="B158" s="308" t="s">
        <v>1193</v>
      </c>
      <c r="C158" s="308" t="s">
        <v>769</v>
      </c>
      <c r="D158" s="310">
        <v>1</v>
      </c>
      <c r="E158" s="311">
        <v>1570.36</v>
      </c>
      <c r="F158" s="311">
        <v>902.65</v>
      </c>
      <c r="G158" s="308" t="s">
        <v>1194</v>
      </c>
      <c r="H158" s="308" t="s">
        <v>1203</v>
      </c>
      <c r="I158" s="308" t="s">
        <v>1140</v>
      </c>
      <c r="J158" s="308" t="s">
        <v>757</v>
      </c>
      <c r="K158" s="308" t="s">
        <v>770</v>
      </c>
      <c r="L158" s="309">
        <v>43921</v>
      </c>
      <c r="M158" s="312">
        <v>0</v>
      </c>
    </row>
    <row r="159" spans="1:13" hidden="1" x14ac:dyDescent="0.25">
      <c r="A159" s="309">
        <v>44012</v>
      </c>
      <c r="B159" s="308" t="s">
        <v>1141</v>
      </c>
      <c r="C159" s="308" t="s">
        <v>1059</v>
      </c>
      <c r="D159" s="310">
        <v>1</v>
      </c>
      <c r="E159" s="311">
        <v>-2696.34</v>
      </c>
      <c r="F159" s="311">
        <v>-1793.69</v>
      </c>
      <c r="G159" s="308" t="s">
        <v>1142</v>
      </c>
      <c r="H159" s="308" t="s">
        <v>1203</v>
      </c>
      <c r="I159" s="308" t="s">
        <v>1140</v>
      </c>
      <c r="J159" s="308" t="s">
        <v>757</v>
      </c>
      <c r="K159" s="308" t="s">
        <v>741</v>
      </c>
      <c r="L159" s="309">
        <v>44012</v>
      </c>
      <c r="M159" s="312">
        <v>0</v>
      </c>
    </row>
    <row r="160" spans="1:13" hidden="1" x14ac:dyDescent="0.25">
      <c r="A160" s="309">
        <v>44012</v>
      </c>
      <c r="B160" s="308" t="s">
        <v>1196</v>
      </c>
      <c r="C160" s="308" t="s">
        <v>1059</v>
      </c>
      <c r="D160" s="310">
        <v>1</v>
      </c>
      <c r="E160" s="311">
        <v>-1570.4</v>
      </c>
      <c r="F160" s="311">
        <v>-3364.09</v>
      </c>
      <c r="G160" s="308" t="s">
        <v>1197</v>
      </c>
      <c r="H160" s="308" t="s">
        <v>1203</v>
      </c>
      <c r="I160" s="308" t="s">
        <v>1140</v>
      </c>
      <c r="J160" s="308" t="s">
        <v>757</v>
      </c>
      <c r="K160" s="308" t="s">
        <v>741</v>
      </c>
      <c r="L160" s="309">
        <v>44012</v>
      </c>
      <c r="M160" s="312">
        <v>0</v>
      </c>
    </row>
    <row r="161" spans="1:13" hidden="1" x14ac:dyDescent="0.25">
      <c r="A161" s="309">
        <v>44043</v>
      </c>
      <c r="B161" s="308" t="s">
        <v>1143</v>
      </c>
      <c r="C161" s="308" t="s">
        <v>1060</v>
      </c>
      <c r="D161" s="310">
        <v>1</v>
      </c>
      <c r="E161" s="311">
        <v>2696.34</v>
      </c>
      <c r="F161" s="311">
        <v>-667.75</v>
      </c>
      <c r="G161" s="308" t="s">
        <v>1144</v>
      </c>
      <c r="H161" s="308" t="s">
        <v>1203</v>
      </c>
      <c r="I161" s="308" t="s">
        <v>1140</v>
      </c>
      <c r="J161" s="308" t="s">
        <v>757</v>
      </c>
      <c r="K161" s="308" t="s">
        <v>741</v>
      </c>
      <c r="L161" s="309">
        <v>44043</v>
      </c>
      <c r="M161" s="312">
        <v>0</v>
      </c>
    </row>
    <row r="162" spans="1:13" hidden="1" x14ac:dyDescent="0.25">
      <c r="A162" s="309">
        <v>44043</v>
      </c>
      <c r="B162" s="308" t="s">
        <v>1143</v>
      </c>
      <c r="C162" s="308" t="s">
        <v>1060</v>
      </c>
      <c r="D162" s="310">
        <v>2</v>
      </c>
      <c r="E162" s="311">
        <v>-2696.34</v>
      </c>
      <c r="F162" s="311">
        <v>-3364.09</v>
      </c>
      <c r="G162" s="308" t="s">
        <v>1144</v>
      </c>
      <c r="H162" s="308" t="s">
        <v>1203</v>
      </c>
      <c r="I162" s="308" t="s">
        <v>1140</v>
      </c>
      <c r="J162" s="308" t="s">
        <v>757</v>
      </c>
      <c r="K162" s="308" t="s">
        <v>741</v>
      </c>
      <c r="L162" s="309">
        <v>44043</v>
      </c>
      <c r="M162" s="312">
        <v>0</v>
      </c>
    </row>
    <row r="163" spans="1:13" hidden="1" x14ac:dyDescent="0.25">
      <c r="A163" s="309">
        <v>44074</v>
      </c>
      <c r="B163" s="308" t="s">
        <v>1147</v>
      </c>
      <c r="C163" s="308" t="s">
        <v>1060</v>
      </c>
      <c r="D163" s="310">
        <v>2</v>
      </c>
      <c r="E163" s="311">
        <v>2696.34</v>
      </c>
      <c r="F163" s="311">
        <v>-667.75</v>
      </c>
      <c r="G163" s="308" t="s">
        <v>1148</v>
      </c>
      <c r="H163" s="308" t="s">
        <v>1203</v>
      </c>
      <c r="I163" s="308" t="s">
        <v>1140</v>
      </c>
      <c r="J163" s="308" t="s">
        <v>757</v>
      </c>
      <c r="K163" s="308" t="s">
        <v>741</v>
      </c>
      <c r="L163" s="309">
        <v>44074</v>
      </c>
      <c r="M163" s="312">
        <v>0</v>
      </c>
    </row>
    <row r="164" spans="1:13" hidden="1" x14ac:dyDescent="0.25">
      <c r="A164" s="309">
        <v>44074</v>
      </c>
      <c r="B164" s="308" t="s">
        <v>1147</v>
      </c>
      <c r="C164" s="308" t="s">
        <v>1060</v>
      </c>
      <c r="D164" s="310">
        <v>3</v>
      </c>
      <c r="E164" s="311">
        <v>-2696.34</v>
      </c>
      <c r="F164" s="311">
        <v>-3364.09</v>
      </c>
      <c r="G164" s="308" t="s">
        <v>1148</v>
      </c>
      <c r="H164" s="308" t="s">
        <v>1203</v>
      </c>
      <c r="I164" s="308" t="s">
        <v>1140</v>
      </c>
      <c r="J164" s="308" t="s">
        <v>757</v>
      </c>
      <c r="K164" s="308" t="s">
        <v>741</v>
      </c>
      <c r="L164" s="309">
        <v>44074</v>
      </c>
      <c r="M164" s="312">
        <v>0</v>
      </c>
    </row>
    <row r="165" spans="1:13" hidden="1" x14ac:dyDescent="0.25">
      <c r="A165" s="309">
        <v>44104</v>
      </c>
      <c r="B165" s="308" t="s">
        <v>1198</v>
      </c>
      <c r="C165" s="308" t="s">
        <v>1060</v>
      </c>
      <c r="D165" s="310">
        <v>3</v>
      </c>
      <c r="E165" s="311">
        <v>2696.34</v>
      </c>
      <c r="F165" s="311">
        <v>-667.75</v>
      </c>
      <c r="G165" s="308" t="s">
        <v>1199</v>
      </c>
      <c r="H165" s="308" t="s">
        <v>1203</v>
      </c>
      <c r="I165" s="308" t="s">
        <v>1140</v>
      </c>
      <c r="J165" s="308" t="s">
        <v>757</v>
      </c>
      <c r="K165" s="308" t="s">
        <v>741</v>
      </c>
      <c r="L165" s="309">
        <v>44104</v>
      </c>
      <c r="M165" s="312">
        <v>0</v>
      </c>
    </row>
    <row r="166" spans="1:13" hidden="1" x14ac:dyDescent="0.25">
      <c r="A166" s="309">
        <v>44104</v>
      </c>
      <c r="B166" s="308" t="s">
        <v>1198</v>
      </c>
      <c r="C166" s="308" t="s">
        <v>1060</v>
      </c>
      <c r="D166" s="310">
        <v>4</v>
      </c>
      <c r="E166" s="311">
        <v>-2696.34</v>
      </c>
      <c r="F166" s="311">
        <v>-3364.09</v>
      </c>
      <c r="G166" s="308" t="s">
        <v>1199</v>
      </c>
      <c r="H166" s="308" t="s">
        <v>1203</v>
      </c>
      <c r="I166" s="308" t="s">
        <v>1140</v>
      </c>
      <c r="J166" s="308" t="s">
        <v>757</v>
      </c>
      <c r="K166" s="308" t="s">
        <v>741</v>
      </c>
      <c r="L166" s="309">
        <v>44104</v>
      </c>
      <c r="M166" s="312">
        <v>0</v>
      </c>
    </row>
    <row r="167" spans="1:13" hidden="1" x14ac:dyDescent="0.25">
      <c r="A167" s="309">
        <v>44135</v>
      </c>
      <c r="B167" s="308" t="s">
        <v>1200</v>
      </c>
      <c r="C167" s="308" t="s">
        <v>1060</v>
      </c>
      <c r="D167" s="310">
        <v>4</v>
      </c>
      <c r="E167" s="311">
        <v>2696.34</v>
      </c>
      <c r="F167" s="311">
        <v>-667.75</v>
      </c>
      <c r="G167" s="308" t="s">
        <v>1201</v>
      </c>
      <c r="H167" s="308" t="s">
        <v>1203</v>
      </c>
      <c r="I167" s="308" t="s">
        <v>1140</v>
      </c>
      <c r="J167" s="308" t="s">
        <v>757</v>
      </c>
      <c r="K167" s="308" t="s">
        <v>741</v>
      </c>
      <c r="L167" s="309">
        <v>44135</v>
      </c>
      <c r="M167" s="312">
        <v>0</v>
      </c>
    </row>
    <row r="168" spans="1:13" hidden="1" x14ac:dyDescent="0.25">
      <c r="A168" s="309">
        <v>44135</v>
      </c>
      <c r="B168" s="308" t="s">
        <v>1200</v>
      </c>
      <c r="C168" s="308" t="s">
        <v>1060</v>
      </c>
      <c r="D168" s="310">
        <v>5</v>
      </c>
      <c r="E168" s="311">
        <v>-2696.34</v>
      </c>
      <c r="F168" s="311">
        <v>-3364.09</v>
      </c>
      <c r="G168" s="308" t="s">
        <v>1201</v>
      </c>
      <c r="H168" s="308" t="s">
        <v>1203</v>
      </c>
      <c r="I168" s="308" t="s">
        <v>1140</v>
      </c>
      <c r="J168" s="308" t="s">
        <v>757</v>
      </c>
      <c r="K168" s="308" t="s">
        <v>741</v>
      </c>
      <c r="L168" s="309">
        <v>44135</v>
      </c>
      <c r="M168" s="312">
        <v>0</v>
      </c>
    </row>
    <row r="169" spans="1:13" hidden="1" x14ac:dyDescent="0.25">
      <c r="A169" s="309">
        <v>44165</v>
      </c>
      <c r="B169" s="308" t="s">
        <v>1158</v>
      </c>
      <c r="C169" s="308" t="s">
        <v>1060</v>
      </c>
      <c r="D169" s="310">
        <v>5</v>
      </c>
      <c r="E169" s="311">
        <v>2711.79</v>
      </c>
      <c r="F169" s="311">
        <v>-652.29999999999995</v>
      </c>
      <c r="G169" s="308" t="s">
        <v>1159</v>
      </c>
      <c r="H169" s="308" t="s">
        <v>1203</v>
      </c>
      <c r="I169" s="308" t="s">
        <v>1140</v>
      </c>
      <c r="J169" s="308" t="s">
        <v>757</v>
      </c>
      <c r="K169" s="308" t="s">
        <v>741</v>
      </c>
      <c r="L169" s="309">
        <v>44165</v>
      </c>
      <c r="M169" s="312">
        <v>0</v>
      </c>
    </row>
    <row r="170" spans="1:13" hidden="1" x14ac:dyDescent="0.25">
      <c r="A170" s="309">
        <v>44165</v>
      </c>
      <c r="B170" s="308" t="s">
        <v>1158</v>
      </c>
      <c r="C170" s="308" t="s">
        <v>1060</v>
      </c>
      <c r="D170" s="310">
        <v>6</v>
      </c>
      <c r="E170" s="311">
        <v>-2711.79</v>
      </c>
      <c r="F170" s="311">
        <v>-3364.09</v>
      </c>
      <c r="G170" s="308" t="s">
        <v>1159</v>
      </c>
      <c r="H170" s="308" t="s">
        <v>1203</v>
      </c>
      <c r="I170" s="308" t="s">
        <v>1140</v>
      </c>
      <c r="J170" s="308" t="s">
        <v>757</v>
      </c>
      <c r="K170" s="308" t="s">
        <v>741</v>
      </c>
      <c r="L170" s="309">
        <v>44165</v>
      </c>
      <c r="M170" s="312">
        <v>0</v>
      </c>
    </row>
    <row r="171" spans="1:13" hidden="1" x14ac:dyDescent="0.25">
      <c r="A171" s="309">
        <v>44196</v>
      </c>
      <c r="B171" s="308" t="s">
        <v>1160</v>
      </c>
      <c r="C171" s="308" t="s">
        <v>1060</v>
      </c>
      <c r="D171" s="310">
        <v>6</v>
      </c>
      <c r="E171" s="311">
        <v>2753.29</v>
      </c>
      <c r="F171" s="311">
        <v>-610.79999999999995</v>
      </c>
      <c r="G171" s="308" t="s">
        <v>1161</v>
      </c>
      <c r="H171" s="308" t="s">
        <v>1203</v>
      </c>
      <c r="I171" s="308" t="s">
        <v>1140</v>
      </c>
      <c r="J171" s="308" t="s">
        <v>757</v>
      </c>
      <c r="K171" s="308" t="s">
        <v>741</v>
      </c>
      <c r="L171" s="309">
        <v>44196</v>
      </c>
      <c r="M171" s="312">
        <v>0</v>
      </c>
    </row>
    <row r="172" spans="1:13" hidden="1" x14ac:dyDescent="0.25">
      <c r="A172" s="309">
        <v>44196</v>
      </c>
      <c r="B172" s="308" t="s">
        <v>1160</v>
      </c>
      <c r="C172" s="308" t="s">
        <v>1060</v>
      </c>
      <c r="D172" s="310">
        <v>7</v>
      </c>
      <c r="E172" s="311">
        <v>-2753.29</v>
      </c>
      <c r="F172" s="311">
        <v>-3364.09</v>
      </c>
      <c r="G172" s="308" t="s">
        <v>1161</v>
      </c>
      <c r="H172" s="308" t="s">
        <v>1203</v>
      </c>
      <c r="I172" s="308" t="s">
        <v>1140</v>
      </c>
      <c r="J172" s="308" t="s">
        <v>757</v>
      </c>
      <c r="K172" s="308" t="s">
        <v>741</v>
      </c>
      <c r="L172" s="309">
        <v>44196</v>
      </c>
      <c r="M172" s="312">
        <v>0</v>
      </c>
    </row>
    <row r="173" spans="1:13" hidden="1" x14ac:dyDescent="0.25">
      <c r="A173" s="309">
        <v>44196</v>
      </c>
      <c r="B173" s="308" t="s">
        <v>1204</v>
      </c>
      <c r="C173" s="308" t="s">
        <v>769</v>
      </c>
      <c r="D173" s="310">
        <v>7</v>
      </c>
      <c r="E173" s="311">
        <v>15.45</v>
      </c>
      <c r="F173" s="311">
        <v>-3348.64</v>
      </c>
      <c r="G173" s="308" t="s">
        <v>1205</v>
      </c>
      <c r="H173" s="308" t="s">
        <v>1203</v>
      </c>
      <c r="I173" s="308" t="s">
        <v>1140</v>
      </c>
      <c r="J173" s="308" t="s">
        <v>757</v>
      </c>
      <c r="K173" s="308" t="s">
        <v>770</v>
      </c>
      <c r="L173" s="309">
        <v>44196</v>
      </c>
      <c r="M173" s="312">
        <v>0</v>
      </c>
    </row>
    <row r="174" spans="1:13" hidden="1" x14ac:dyDescent="0.25">
      <c r="A174" s="309">
        <v>44230</v>
      </c>
      <c r="B174" s="308" t="s">
        <v>1166</v>
      </c>
      <c r="C174" s="308" t="s">
        <v>1060</v>
      </c>
      <c r="D174" s="310">
        <v>7</v>
      </c>
      <c r="E174" s="311">
        <v>2761.51</v>
      </c>
      <c r="F174" s="311">
        <v>-587.13</v>
      </c>
      <c r="G174" s="308" t="s">
        <v>1167</v>
      </c>
      <c r="H174" s="308" t="s">
        <v>1203</v>
      </c>
      <c r="I174" s="308" t="s">
        <v>1140</v>
      </c>
      <c r="J174" s="308" t="s">
        <v>757</v>
      </c>
      <c r="K174" s="308" t="s">
        <v>741</v>
      </c>
      <c r="L174" s="309">
        <v>44230</v>
      </c>
      <c r="M174" s="312">
        <v>0</v>
      </c>
    </row>
    <row r="175" spans="1:13" hidden="1" x14ac:dyDescent="0.25">
      <c r="A175" s="309">
        <v>44227</v>
      </c>
      <c r="B175" s="308" t="s">
        <v>1206</v>
      </c>
      <c r="C175" s="308" t="s">
        <v>769</v>
      </c>
      <c r="D175" s="310">
        <v>8</v>
      </c>
      <c r="E175" s="311">
        <v>41.5</v>
      </c>
      <c r="F175" s="311">
        <v>-545.63</v>
      </c>
      <c r="G175" s="308" t="s">
        <v>1169</v>
      </c>
      <c r="H175" s="308" t="s">
        <v>1203</v>
      </c>
      <c r="I175" s="308" t="s">
        <v>1140</v>
      </c>
      <c r="J175" s="308" t="s">
        <v>757</v>
      </c>
      <c r="K175" s="308" t="s">
        <v>770</v>
      </c>
      <c r="L175" s="309">
        <v>44227</v>
      </c>
      <c r="M175" s="312">
        <v>0</v>
      </c>
    </row>
    <row r="176" spans="1:13" hidden="1" x14ac:dyDescent="0.25">
      <c r="A176" s="309">
        <v>44230</v>
      </c>
      <c r="B176" s="308" t="s">
        <v>1166</v>
      </c>
      <c r="C176" s="308" t="s">
        <v>1060</v>
      </c>
      <c r="D176" s="310">
        <v>8</v>
      </c>
      <c r="E176" s="311">
        <v>-2761.51</v>
      </c>
      <c r="F176" s="311">
        <v>-3307.14</v>
      </c>
      <c r="G176" s="308" t="s">
        <v>1167</v>
      </c>
      <c r="H176" s="308" t="s">
        <v>1203</v>
      </c>
      <c r="I176" s="308" t="s">
        <v>1140</v>
      </c>
      <c r="J176" s="308" t="s">
        <v>757</v>
      </c>
      <c r="K176" s="308" t="s">
        <v>741</v>
      </c>
      <c r="L176" s="309">
        <v>44230</v>
      </c>
      <c r="M176" s="312">
        <v>0</v>
      </c>
    </row>
    <row r="177" spans="1:13" hidden="1" x14ac:dyDescent="0.25">
      <c r="A177" s="309">
        <v>44255</v>
      </c>
      <c r="B177" s="308" t="s">
        <v>1178</v>
      </c>
      <c r="C177" s="308" t="s">
        <v>1060</v>
      </c>
      <c r="D177" s="310">
        <v>8</v>
      </c>
      <c r="E177" s="311">
        <v>2753.44</v>
      </c>
      <c r="F177" s="311">
        <v>-553.70000000000005</v>
      </c>
      <c r="G177" s="308" t="s">
        <v>1179</v>
      </c>
      <c r="H177" s="308" t="s">
        <v>1203</v>
      </c>
      <c r="I177" s="308" t="s">
        <v>1140</v>
      </c>
      <c r="J177" s="308" t="s">
        <v>757</v>
      </c>
      <c r="K177" s="308" t="s">
        <v>741</v>
      </c>
      <c r="L177" s="309">
        <v>44255</v>
      </c>
      <c r="M177" s="312">
        <v>0</v>
      </c>
    </row>
    <row r="178" spans="1:13" hidden="1" x14ac:dyDescent="0.25">
      <c r="A178" s="309">
        <v>44255</v>
      </c>
      <c r="B178" s="308" t="s">
        <v>1178</v>
      </c>
      <c r="C178" s="308" t="s">
        <v>1060</v>
      </c>
      <c r="D178" s="310">
        <v>9</v>
      </c>
      <c r="E178" s="311">
        <v>-2753.44</v>
      </c>
      <c r="F178" s="311">
        <v>-3307.14</v>
      </c>
      <c r="G178" s="308" t="s">
        <v>1179</v>
      </c>
      <c r="H178" s="308" t="s">
        <v>1203</v>
      </c>
      <c r="I178" s="308" t="s">
        <v>1140</v>
      </c>
      <c r="J178" s="308" t="s">
        <v>757</v>
      </c>
      <c r="K178" s="308" t="s">
        <v>741</v>
      </c>
      <c r="L178" s="309">
        <v>44255</v>
      </c>
      <c r="M178" s="312">
        <v>0</v>
      </c>
    </row>
    <row r="179" spans="1:13" hidden="1" x14ac:dyDescent="0.25">
      <c r="A179" s="309">
        <v>44255</v>
      </c>
      <c r="B179" s="308" t="s">
        <v>1207</v>
      </c>
      <c r="C179" s="308" t="s">
        <v>769</v>
      </c>
      <c r="D179" s="310">
        <v>9</v>
      </c>
      <c r="E179" s="311">
        <v>33.409999999999997</v>
      </c>
      <c r="F179" s="311">
        <v>-3273.73</v>
      </c>
      <c r="G179" s="308" t="s">
        <v>1171</v>
      </c>
      <c r="H179" s="308" t="s">
        <v>1203</v>
      </c>
      <c r="I179" s="308" t="s">
        <v>1140</v>
      </c>
      <c r="J179" s="308" t="s">
        <v>757</v>
      </c>
      <c r="K179" s="308" t="s">
        <v>770</v>
      </c>
      <c r="L179" s="309">
        <v>44255</v>
      </c>
      <c r="M179" s="312">
        <v>0</v>
      </c>
    </row>
    <row r="180" spans="1:13" hidden="1" x14ac:dyDescent="0.25">
      <c r="A180" s="309">
        <v>44286</v>
      </c>
      <c r="B180" s="308" t="s">
        <v>1181</v>
      </c>
      <c r="C180" s="308" t="s">
        <v>1060</v>
      </c>
      <c r="D180" s="310">
        <v>9</v>
      </c>
      <c r="E180" s="311">
        <v>2755.75</v>
      </c>
      <c r="F180" s="311">
        <v>-517.98</v>
      </c>
      <c r="G180" s="308" t="s">
        <v>1182</v>
      </c>
      <c r="H180" s="308" t="s">
        <v>1203</v>
      </c>
      <c r="I180" s="308" t="s">
        <v>1140</v>
      </c>
      <c r="J180" s="308" t="s">
        <v>757</v>
      </c>
      <c r="K180" s="308" t="s">
        <v>741</v>
      </c>
      <c r="L180" s="309">
        <v>44286</v>
      </c>
      <c r="M180" s="312">
        <v>0</v>
      </c>
    </row>
    <row r="181" spans="1:13" hidden="1" x14ac:dyDescent="0.25">
      <c r="A181" s="309">
        <v>44286</v>
      </c>
      <c r="B181" s="308" t="s">
        <v>1181</v>
      </c>
      <c r="C181" s="308" t="s">
        <v>1060</v>
      </c>
      <c r="D181" s="310">
        <v>10</v>
      </c>
      <c r="E181" s="311">
        <v>-2755.75</v>
      </c>
      <c r="F181" s="311">
        <v>-3273.73</v>
      </c>
      <c r="G181" s="308" t="s">
        <v>1182</v>
      </c>
      <c r="H181" s="308" t="s">
        <v>1203</v>
      </c>
      <c r="I181" s="308" t="s">
        <v>1140</v>
      </c>
      <c r="J181" s="308" t="s">
        <v>757</v>
      </c>
      <c r="K181" s="308" t="s">
        <v>741</v>
      </c>
      <c r="L181" s="309">
        <v>44286</v>
      </c>
      <c r="M181" s="312">
        <v>0</v>
      </c>
    </row>
    <row r="182" spans="1:13" hidden="1" x14ac:dyDescent="0.25">
      <c r="A182" s="309">
        <v>44286</v>
      </c>
      <c r="B182" s="308" t="s">
        <v>1208</v>
      </c>
      <c r="C182" s="308" t="s">
        <v>769</v>
      </c>
      <c r="D182" s="310">
        <v>10</v>
      </c>
      <c r="E182" s="311">
        <v>40.159999999999997</v>
      </c>
      <c r="F182" s="311">
        <v>-3233.57</v>
      </c>
      <c r="G182" s="308" t="s">
        <v>1184</v>
      </c>
      <c r="H182" s="308" t="s">
        <v>1203</v>
      </c>
      <c r="I182" s="308" t="s">
        <v>1140</v>
      </c>
      <c r="J182" s="308" t="s">
        <v>757</v>
      </c>
      <c r="K182" s="308" t="s">
        <v>770</v>
      </c>
      <c r="L182" s="309">
        <v>44286</v>
      </c>
      <c r="M182" s="312">
        <v>0</v>
      </c>
    </row>
    <row r="183" spans="1:13" hidden="1" x14ac:dyDescent="0.25">
      <c r="A183" s="309">
        <v>44316</v>
      </c>
      <c r="B183" s="308" t="s">
        <v>1104</v>
      </c>
      <c r="C183" s="308" t="s">
        <v>1060</v>
      </c>
      <c r="D183" s="310">
        <v>10</v>
      </c>
      <c r="E183" s="311">
        <v>2715.6</v>
      </c>
      <c r="F183" s="311">
        <v>-517.97000000000105</v>
      </c>
      <c r="G183" s="308" t="s">
        <v>1096</v>
      </c>
      <c r="H183" s="308" t="s">
        <v>1203</v>
      </c>
      <c r="I183" s="308" t="s">
        <v>1140</v>
      </c>
      <c r="J183" s="308" t="s">
        <v>757</v>
      </c>
      <c r="K183" s="308" t="s">
        <v>741</v>
      </c>
      <c r="L183" s="309">
        <v>44316</v>
      </c>
      <c r="M183" s="312">
        <v>0</v>
      </c>
    </row>
    <row r="184" spans="1:13" hidden="1" x14ac:dyDescent="0.25">
      <c r="A184" s="309">
        <v>44013</v>
      </c>
      <c r="B184" s="308" t="s">
        <v>1209</v>
      </c>
      <c r="C184" s="308" t="s">
        <v>769</v>
      </c>
      <c r="D184" s="310">
        <v>1</v>
      </c>
      <c r="E184" s="311">
        <v>1562.5</v>
      </c>
      <c r="F184" s="311">
        <v>-1651.81</v>
      </c>
      <c r="G184" s="308" t="s">
        <v>1210</v>
      </c>
      <c r="H184" s="308" t="s">
        <v>1211</v>
      </c>
      <c r="I184" s="308" t="s">
        <v>1140</v>
      </c>
      <c r="J184" s="308" t="s">
        <v>757</v>
      </c>
      <c r="K184" s="308" t="s">
        <v>770</v>
      </c>
      <c r="L184" s="309">
        <v>44013</v>
      </c>
      <c r="M184" s="312">
        <v>0</v>
      </c>
    </row>
    <row r="185" spans="1:13" hidden="1" x14ac:dyDescent="0.25">
      <c r="A185" s="309">
        <v>44013</v>
      </c>
      <c r="B185" s="308" t="s">
        <v>1209</v>
      </c>
      <c r="C185" s="308" t="s">
        <v>769</v>
      </c>
      <c r="D185" s="310">
        <v>1</v>
      </c>
      <c r="E185" s="311">
        <v>-1562.5</v>
      </c>
      <c r="F185" s="311">
        <v>-3214.31</v>
      </c>
      <c r="G185" s="308" t="s">
        <v>1210</v>
      </c>
      <c r="H185" s="308" t="s">
        <v>1211</v>
      </c>
      <c r="I185" s="308" t="s">
        <v>1140</v>
      </c>
      <c r="J185" s="308" t="s">
        <v>757</v>
      </c>
      <c r="K185" s="308" t="s">
        <v>770</v>
      </c>
      <c r="L185" s="309">
        <v>44013</v>
      </c>
      <c r="M185" s="312">
        <v>0</v>
      </c>
    </row>
    <row r="186" spans="1:13" hidden="1" x14ac:dyDescent="0.25">
      <c r="A186" s="309">
        <v>44044</v>
      </c>
      <c r="B186" s="308" t="s">
        <v>1212</v>
      </c>
      <c r="C186" s="308" t="s">
        <v>769</v>
      </c>
      <c r="D186" s="310">
        <v>2</v>
      </c>
      <c r="E186" s="311">
        <v>1562.5</v>
      </c>
      <c r="F186" s="311">
        <v>-1651.81</v>
      </c>
      <c r="G186" s="308" t="s">
        <v>1213</v>
      </c>
      <c r="H186" s="308" t="s">
        <v>1211</v>
      </c>
      <c r="I186" s="308" t="s">
        <v>1140</v>
      </c>
      <c r="J186" s="308" t="s">
        <v>757</v>
      </c>
      <c r="K186" s="308" t="s">
        <v>770</v>
      </c>
      <c r="L186" s="309">
        <v>44044</v>
      </c>
      <c r="M186" s="312">
        <v>0</v>
      </c>
    </row>
    <row r="187" spans="1:13" hidden="1" x14ac:dyDescent="0.25">
      <c r="A187" s="309">
        <v>44074</v>
      </c>
      <c r="B187" s="308" t="s">
        <v>1214</v>
      </c>
      <c r="C187" s="308" t="s">
        <v>1060</v>
      </c>
      <c r="D187" s="310">
        <v>2</v>
      </c>
      <c r="E187" s="311">
        <v>-1562.5</v>
      </c>
      <c r="F187" s="311">
        <v>-3214.31</v>
      </c>
      <c r="G187" s="308" t="s">
        <v>1215</v>
      </c>
      <c r="H187" s="308" t="s">
        <v>1211</v>
      </c>
      <c r="I187" s="308" t="s">
        <v>1140</v>
      </c>
      <c r="J187" s="308" t="s">
        <v>757</v>
      </c>
      <c r="K187" s="308" t="s">
        <v>741</v>
      </c>
      <c r="L187" s="309">
        <v>44074</v>
      </c>
      <c r="M187" s="312">
        <v>0</v>
      </c>
    </row>
    <row r="188" spans="1:13" hidden="1" x14ac:dyDescent="0.25">
      <c r="A188" s="309">
        <v>44046</v>
      </c>
      <c r="B188" s="308" t="s">
        <v>1216</v>
      </c>
      <c r="C188" s="308" t="s">
        <v>769</v>
      </c>
      <c r="D188" s="310">
        <v>3</v>
      </c>
      <c r="E188" s="311">
        <v>1562.5</v>
      </c>
      <c r="F188" s="311">
        <v>-1651.81</v>
      </c>
      <c r="G188" s="308" t="s">
        <v>1217</v>
      </c>
      <c r="H188" s="308" t="s">
        <v>1211</v>
      </c>
      <c r="I188" s="308" t="s">
        <v>1140</v>
      </c>
      <c r="J188" s="308" t="s">
        <v>757</v>
      </c>
      <c r="K188" s="308" t="s">
        <v>770</v>
      </c>
      <c r="L188" s="309">
        <v>44046</v>
      </c>
      <c r="M188" s="312">
        <v>0</v>
      </c>
    </row>
    <row r="189" spans="1:13" hidden="1" x14ac:dyDescent="0.25">
      <c r="A189" s="309">
        <v>44074</v>
      </c>
      <c r="B189" s="308" t="s">
        <v>1214</v>
      </c>
      <c r="C189" s="308" t="s">
        <v>1060</v>
      </c>
      <c r="D189" s="310">
        <v>3</v>
      </c>
      <c r="E189" s="311">
        <v>1562.5</v>
      </c>
      <c r="F189" s="311">
        <v>-89.3100000000004</v>
      </c>
      <c r="G189" s="308" t="s">
        <v>1215</v>
      </c>
      <c r="H189" s="308" t="s">
        <v>1211</v>
      </c>
      <c r="I189" s="308" t="s">
        <v>1140</v>
      </c>
      <c r="J189" s="308" t="s">
        <v>757</v>
      </c>
      <c r="K189" s="308" t="s">
        <v>741</v>
      </c>
      <c r="L189" s="309">
        <v>44074</v>
      </c>
      <c r="M189" s="312">
        <v>0</v>
      </c>
    </row>
    <row r="190" spans="1:13" hidden="1" x14ac:dyDescent="0.25">
      <c r="A190" s="309">
        <v>44075</v>
      </c>
      <c r="B190" s="308" t="s">
        <v>1218</v>
      </c>
      <c r="C190" s="308" t="s">
        <v>936</v>
      </c>
      <c r="D190" s="310">
        <v>3</v>
      </c>
      <c r="E190" s="311">
        <v>-1562.5</v>
      </c>
      <c r="F190" s="311">
        <v>-1651.81</v>
      </c>
      <c r="G190" s="308" t="s">
        <v>1219</v>
      </c>
      <c r="H190" s="308" t="s">
        <v>1211</v>
      </c>
      <c r="I190" s="308" t="s">
        <v>1140</v>
      </c>
      <c r="J190" s="308" t="s">
        <v>757</v>
      </c>
      <c r="K190" s="308" t="s">
        <v>770</v>
      </c>
      <c r="L190" s="309">
        <v>44075</v>
      </c>
      <c r="M190" s="312">
        <v>0</v>
      </c>
    </row>
    <row r="191" spans="1:13" hidden="1" x14ac:dyDescent="0.25">
      <c r="A191" s="309">
        <v>44104</v>
      </c>
      <c r="B191" s="308" t="s">
        <v>1220</v>
      </c>
      <c r="C191" s="308" t="s">
        <v>1060</v>
      </c>
      <c r="D191" s="310">
        <v>3</v>
      </c>
      <c r="E191" s="311">
        <v>-1562.5</v>
      </c>
      <c r="F191" s="311">
        <v>-3214.31</v>
      </c>
      <c r="G191" s="308" t="s">
        <v>1221</v>
      </c>
      <c r="H191" s="308" t="s">
        <v>1211</v>
      </c>
      <c r="I191" s="308" t="s">
        <v>1140</v>
      </c>
      <c r="J191" s="308" t="s">
        <v>757</v>
      </c>
      <c r="K191" s="308" t="s">
        <v>741</v>
      </c>
      <c r="L191" s="309">
        <v>44104</v>
      </c>
      <c r="M191" s="312">
        <v>0</v>
      </c>
    </row>
    <row r="192" spans="1:13" hidden="1" x14ac:dyDescent="0.25">
      <c r="A192" s="309">
        <v>44076</v>
      </c>
      <c r="B192" s="308" t="s">
        <v>1222</v>
      </c>
      <c r="C192" s="308" t="s">
        <v>769</v>
      </c>
      <c r="D192" s="310">
        <v>4</v>
      </c>
      <c r="E192" s="311">
        <v>1562.5</v>
      </c>
      <c r="F192" s="311">
        <v>-1651.81</v>
      </c>
      <c r="G192" s="308" t="s">
        <v>1223</v>
      </c>
      <c r="H192" s="308" t="s">
        <v>1211</v>
      </c>
      <c r="I192" s="308" t="s">
        <v>1140</v>
      </c>
      <c r="J192" s="308" t="s">
        <v>757</v>
      </c>
      <c r="K192" s="308" t="s">
        <v>770</v>
      </c>
      <c r="L192" s="309">
        <v>44076</v>
      </c>
      <c r="M192" s="312">
        <v>0</v>
      </c>
    </row>
    <row r="193" spans="1:13" hidden="1" x14ac:dyDescent="0.25">
      <c r="A193" s="309">
        <v>44104</v>
      </c>
      <c r="B193" s="308" t="s">
        <v>1220</v>
      </c>
      <c r="C193" s="308" t="s">
        <v>1060</v>
      </c>
      <c r="D193" s="310">
        <v>4</v>
      </c>
      <c r="E193" s="311">
        <v>1562.5</v>
      </c>
      <c r="F193" s="311">
        <v>-89.3100000000004</v>
      </c>
      <c r="G193" s="308" t="s">
        <v>1221</v>
      </c>
      <c r="H193" s="308" t="s">
        <v>1211</v>
      </c>
      <c r="I193" s="308" t="s">
        <v>1140</v>
      </c>
      <c r="J193" s="308" t="s">
        <v>757</v>
      </c>
      <c r="K193" s="308" t="s">
        <v>741</v>
      </c>
      <c r="L193" s="309">
        <v>44104</v>
      </c>
      <c r="M193" s="312">
        <v>0</v>
      </c>
    </row>
    <row r="194" spans="1:13" hidden="1" x14ac:dyDescent="0.25">
      <c r="A194" s="309">
        <v>44105</v>
      </c>
      <c r="B194" s="308" t="s">
        <v>1224</v>
      </c>
      <c r="C194" s="308" t="s">
        <v>936</v>
      </c>
      <c r="D194" s="310">
        <v>4</v>
      </c>
      <c r="E194" s="311">
        <v>-1562.5</v>
      </c>
      <c r="F194" s="311">
        <v>-1651.81</v>
      </c>
      <c r="G194" s="308" t="s">
        <v>1225</v>
      </c>
      <c r="H194" s="308" t="s">
        <v>1211</v>
      </c>
      <c r="I194" s="308" t="s">
        <v>1140</v>
      </c>
      <c r="J194" s="308" t="s">
        <v>757</v>
      </c>
      <c r="K194" s="308" t="s">
        <v>770</v>
      </c>
      <c r="L194" s="309">
        <v>44105</v>
      </c>
      <c r="M194" s="312">
        <v>0</v>
      </c>
    </row>
    <row r="195" spans="1:13" hidden="1" x14ac:dyDescent="0.25">
      <c r="A195" s="309">
        <v>44135</v>
      </c>
      <c r="B195" s="308" t="s">
        <v>1200</v>
      </c>
      <c r="C195" s="308" t="s">
        <v>1060</v>
      </c>
      <c r="D195" s="310">
        <v>4</v>
      </c>
      <c r="E195" s="311">
        <v>-1562.5</v>
      </c>
      <c r="F195" s="311">
        <v>-3214.31</v>
      </c>
      <c r="G195" s="308" t="s">
        <v>1201</v>
      </c>
      <c r="H195" s="308" t="s">
        <v>1211</v>
      </c>
      <c r="I195" s="308" t="s">
        <v>1140</v>
      </c>
      <c r="J195" s="308" t="s">
        <v>757</v>
      </c>
      <c r="K195" s="308" t="s">
        <v>741</v>
      </c>
      <c r="L195" s="309">
        <v>44135</v>
      </c>
      <c r="M195" s="312">
        <v>0</v>
      </c>
    </row>
    <row r="196" spans="1:13" hidden="1" x14ac:dyDescent="0.25">
      <c r="A196" s="309">
        <v>44135</v>
      </c>
      <c r="B196" s="308" t="s">
        <v>1200</v>
      </c>
      <c r="C196" s="308" t="s">
        <v>1060</v>
      </c>
      <c r="D196" s="310">
        <v>5</v>
      </c>
      <c r="E196" s="311">
        <v>1562.5</v>
      </c>
      <c r="F196" s="311">
        <v>-1651.81</v>
      </c>
      <c r="G196" s="308" t="s">
        <v>1201</v>
      </c>
      <c r="H196" s="308" t="s">
        <v>1211</v>
      </c>
      <c r="I196" s="308" t="s">
        <v>1140</v>
      </c>
      <c r="J196" s="308" t="s">
        <v>757</v>
      </c>
      <c r="K196" s="308" t="s">
        <v>741</v>
      </c>
      <c r="L196" s="309">
        <v>44135</v>
      </c>
      <c r="M196" s="312">
        <v>0</v>
      </c>
    </row>
    <row r="197" spans="1:13" hidden="1" x14ac:dyDescent="0.25">
      <c r="A197" s="309">
        <v>44136</v>
      </c>
      <c r="B197" s="308" t="s">
        <v>1226</v>
      </c>
      <c r="C197" s="308" t="s">
        <v>769</v>
      </c>
      <c r="D197" s="310">
        <v>5</v>
      </c>
      <c r="E197" s="311">
        <v>1562.5</v>
      </c>
      <c r="F197" s="311">
        <v>-89.3100000000004</v>
      </c>
      <c r="G197" s="308" t="s">
        <v>1227</v>
      </c>
      <c r="H197" s="308" t="s">
        <v>1211</v>
      </c>
      <c r="I197" s="308" t="s">
        <v>1140</v>
      </c>
      <c r="J197" s="308" t="s">
        <v>757</v>
      </c>
      <c r="K197" s="308" t="s">
        <v>770</v>
      </c>
      <c r="L197" s="309">
        <v>44136</v>
      </c>
      <c r="M197" s="312">
        <v>0</v>
      </c>
    </row>
    <row r="198" spans="1:13" hidden="1" x14ac:dyDescent="0.25">
      <c r="A198" s="309">
        <v>44136</v>
      </c>
      <c r="B198" s="308" t="s">
        <v>1228</v>
      </c>
      <c r="C198" s="308" t="s">
        <v>936</v>
      </c>
      <c r="D198" s="310">
        <v>5</v>
      </c>
      <c r="E198" s="311">
        <v>-1562.5</v>
      </c>
      <c r="F198" s="311">
        <v>-1651.81</v>
      </c>
      <c r="G198" s="308" t="s">
        <v>1229</v>
      </c>
      <c r="H198" s="308" t="s">
        <v>1211</v>
      </c>
      <c r="I198" s="308" t="s">
        <v>1140</v>
      </c>
      <c r="J198" s="308" t="s">
        <v>757</v>
      </c>
      <c r="K198" s="308" t="s">
        <v>770</v>
      </c>
      <c r="L198" s="309">
        <v>44136</v>
      </c>
      <c r="M198" s="312">
        <v>0</v>
      </c>
    </row>
    <row r="199" spans="1:13" hidden="1" x14ac:dyDescent="0.25">
      <c r="A199" s="309">
        <v>44165</v>
      </c>
      <c r="B199" s="308" t="s">
        <v>1158</v>
      </c>
      <c r="C199" s="308" t="s">
        <v>1060</v>
      </c>
      <c r="D199" s="310">
        <v>5</v>
      </c>
      <c r="E199" s="311">
        <v>-1562.5</v>
      </c>
      <c r="F199" s="311">
        <v>-3214.31</v>
      </c>
      <c r="G199" s="308" t="s">
        <v>1159</v>
      </c>
      <c r="H199" s="308" t="s">
        <v>1211</v>
      </c>
      <c r="I199" s="308" t="s">
        <v>1140</v>
      </c>
      <c r="J199" s="308" t="s">
        <v>757</v>
      </c>
      <c r="K199" s="308" t="s">
        <v>741</v>
      </c>
      <c r="L199" s="309">
        <v>44165</v>
      </c>
      <c r="M199" s="312">
        <v>0</v>
      </c>
    </row>
    <row r="200" spans="1:13" hidden="1" x14ac:dyDescent="0.25">
      <c r="A200" s="309">
        <v>44165</v>
      </c>
      <c r="B200" s="308" t="s">
        <v>1158</v>
      </c>
      <c r="C200" s="308" t="s">
        <v>1060</v>
      </c>
      <c r="D200" s="310">
        <v>6</v>
      </c>
      <c r="E200" s="311">
        <v>1562.5</v>
      </c>
      <c r="F200" s="311">
        <v>-1651.81</v>
      </c>
      <c r="G200" s="308" t="s">
        <v>1159</v>
      </c>
      <c r="H200" s="308" t="s">
        <v>1211</v>
      </c>
      <c r="I200" s="308" t="s">
        <v>1140</v>
      </c>
      <c r="J200" s="308" t="s">
        <v>757</v>
      </c>
      <c r="K200" s="308" t="s">
        <v>741</v>
      </c>
      <c r="L200" s="309">
        <v>44165</v>
      </c>
      <c r="M200" s="312">
        <v>0</v>
      </c>
    </row>
    <row r="201" spans="1:13" hidden="1" x14ac:dyDescent="0.25">
      <c r="A201" s="309">
        <v>44166</v>
      </c>
      <c r="B201" s="308" t="s">
        <v>1230</v>
      </c>
      <c r="C201" s="308" t="s">
        <v>769</v>
      </c>
      <c r="D201" s="310">
        <v>6</v>
      </c>
      <c r="E201" s="311">
        <v>1562.5</v>
      </c>
      <c r="F201" s="311">
        <v>-89.3100000000004</v>
      </c>
      <c r="G201" s="308" t="s">
        <v>1231</v>
      </c>
      <c r="H201" s="308" t="s">
        <v>1211</v>
      </c>
      <c r="I201" s="308" t="s">
        <v>1140</v>
      </c>
      <c r="J201" s="308" t="s">
        <v>757</v>
      </c>
      <c r="K201" s="308" t="s">
        <v>770</v>
      </c>
      <c r="L201" s="309">
        <v>44166</v>
      </c>
      <c r="M201" s="312">
        <v>0</v>
      </c>
    </row>
    <row r="202" spans="1:13" hidden="1" x14ac:dyDescent="0.25">
      <c r="A202" s="309">
        <v>44166</v>
      </c>
      <c r="B202" s="308" t="s">
        <v>1232</v>
      </c>
      <c r="C202" s="308" t="s">
        <v>936</v>
      </c>
      <c r="D202" s="310">
        <v>6</v>
      </c>
      <c r="E202" s="311">
        <v>-1562.5</v>
      </c>
      <c r="F202" s="311">
        <v>-1651.81</v>
      </c>
      <c r="G202" s="308" t="s">
        <v>1233</v>
      </c>
      <c r="H202" s="308" t="s">
        <v>1211</v>
      </c>
      <c r="I202" s="308" t="s">
        <v>1140</v>
      </c>
      <c r="J202" s="308" t="s">
        <v>757</v>
      </c>
      <c r="K202" s="308" t="s">
        <v>770</v>
      </c>
      <c r="L202" s="309">
        <v>44166</v>
      </c>
      <c r="M202" s="312">
        <v>0</v>
      </c>
    </row>
    <row r="203" spans="1:13" hidden="1" x14ac:dyDescent="0.25">
      <c r="A203" s="309">
        <v>44196</v>
      </c>
      <c r="B203" s="308" t="s">
        <v>1160</v>
      </c>
      <c r="C203" s="308" t="s">
        <v>1060</v>
      </c>
      <c r="D203" s="310">
        <v>6</v>
      </c>
      <c r="E203" s="311">
        <v>-1562.5</v>
      </c>
      <c r="F203" s="311">
        <v>-3214.31</v>
      </c>
      <c r="G203" s="308" t="s">
        <v>1161</v>
      </c>
      <c r="H203" s="308" t="s">
        <v>1211</v>
      </c>
      <c r="I203" s="308" t="s">
        <v>1140</v>
      </c>
      <c r="J203" s="308" t="s">
        <v>757</v>
      </c>
      <c r="K203" s="308" t="s">
        <v>741</v>
      </c>
      <c r="L203" s="309">
        <v>44196</v>
      </c>
      <c r="M203" s="312">
        <v>0</v>
      </c>
    </row>
    <row r="204" spans="1:13" hidden="1" x14ac:dyDescent="0.25">
      <c r="A204" s="309">
        <v>44044</v>
      </c>
      <c r="B204" s="308" t="s">
        <v>1234</v>
      </c>
      <c r="C204" s="308" t="s">
        <v>936</v>
      </c>
      <c r="D204" s="310">
        <v>7</v>
      </c>
      <c r="E204" s="311">
        <v>-1562.5</v>
      </c>
      <c r="F204" s="311">
        <v>-4776.8100000000004</v>
      </c>
      <c r="G204" s="308" t="s">
        <v>1235</v>
      </c>
      <c r="H204" s="308" t="s">
        <v>1211</v>
      </c>
      <c r="I204" s="308" t="s">
        <v>1140</v>
      </c>
      <c r="J204" s="308" t="s">
        <v>757</v>
      </c>
      <c r="K204" s="308" t="s">
        <v>770</v>
      </c>
      <c r="L204" s="309">
        <v>44044</v>
      </c>
      <c r="M204" s="312">
        <v>0</v>
      </c>
    </row>
    <row r="205" spans="1:13" hidden="1" x14ac:dyDescent="0.25">
      <c r="A205" s="309">
        <v>44196</v>
      </c>
      <c r="B205" s="308" t="s">
        <v>1160</v>
      </c>
      <c r="C205" s="308" t="s">
        <v>1060</v>
      </c>
      <c r="D205" s="310">
        <v>7</v>
      </c>
      <c r="E205" s="311">
        <v>1562.5</v>
      </c>
      <c r="F205" s="311">
        <v>-3214.31</v>
      </c>
      <c r="G205" s="308" t="s">
        <v>1161</v>
      </c>
      <c r="H205" s="308" t="s">
        <v>1211</v>
      </c>
      <c r="I205" s="308" t="s">
        <v>1140</v>
      </c>
      <c r="J205" s="308" t="s">
        <v>757</v>
      </c>
      <c r="K205" s="308" t="s">
        <v>741</v>
      </c>
      <c r="L205" s="309">
        <v>44196</v>
      </c>
      <c r="M205" s="312">
        <v>0</v>
      </c>
    </row>
    <row r="206" spans="1:13" hidden="1" x14ac:dyDescent="0.25">
      <c r="A206" s="309">
        <v>44197</v>
      </c>
      <c r="B206" s="308" t="s">
        <v>1236</v>
      </c>
      <c r="C206" s="308" t="s">
        <v>936</v>
      </c>
      <c r="D206" s="310">
        <v>7</v>
      </c>
      <c r="E206" s="311">
        <v>-1562.5</v>
      </c>
      <c r="F206" s="311">
        <v>-4776.8100000000004</v>
      </c>
      <c r="G206" s="308" t="s">
        <v>1237</v>
      </c>
      <c r="H206" s="308" t="s">
        <v>1211</v>
      </c>
      <c r="I206" s="308" t="s">
        <v>1140</v>
      </c>
      <c r="J206" s="308" t="s">
        <v>757</v>
      </c>
      <c r="K206" s="308" t="s">
        <v>770</v>
      </c>
      <c r="L206" s="309">
        <v>44197</v>
      </c>
      <c r="M206" s="312">
        <v>0</v>
      </c>
    </row>
    <row r="207" spans="1:13" hidden="1" x14ac:dyDescent="0.25">
      <c r="A207" s="309">
        <v>44197</v>
      </c>
      <c r="B207" s="308" t="s">
        <v>1238</v>
      </c>
      <c r="C207" s="308" t="s">
        <v>769</v>
      </c>
      <c r="D207" s="310">
        <v>7</v>
      </c>
      <c r="E207" s="311">
        <v>1562.5</v>
      </c>
      <c r="F207" s="311">
        <v>-3214.31</v>
      </c>
      <c r="G207" s="308" t="s">
        <v>1239</v>
      </c>
      <c r="H207" s="308" t="s">
        <v>1211</v>
      </c>
      <c r="I207" s="308" t="s">
        <v>1140</v>
      </c>
      <c r="J207" s="308" t="s">
        <v>757</v>
      </c>
      <c r="K207" s="308" t="s">
        <v>770</v>
      </c>
      <c r="L207" s="309">
        <v>44197</v>
      </c>
      <c r="M207" s="312">
        <v>0</v>
      </c>
    </row>
    <row r="208" spans="1:13" hidden="1" x14ac:dyDescent="0.25">
      <c r="A208" s="309">
        <v>44228</v>
      </c>
      <c r="B208" s="308" t="s">
        <v>1240</v>
      </c>
      <c r="C208" s="308" t="s">
        <v>936</v>
      </c>
      <c r="D208" s="310">
        <v>8</v>
      </c>
      <c r="E208" s="311">
        <v>-1593.75</v>
      </c>
      <c r="F208" s="311">
        <v>-4808.0600000000004</v>
      </c>
      <c r="G208" s="308" t="s">
        <v>1241</v>
      </c>
      <c r="H208" s="308" t="s">
        <v>1211</v>
      </c>
      <c r="I208" s="308" t="s">
        <v>1140</v>
      </c>
      <c r="J208" s="308" t="s">
        <v>757</v>
      </c>
      <c r="K208" s="308" t="s">
        <v>770</v>
      </c>
      <c r="L208" s="309">
        <v>44228</v>
      </c>
      <c r="M208" s="312">
        <v>0</v>
      </c>
    </row>
    <row r="209" spans="1:13" hidden="1" x14ac:dyDescent="0.25">
      <c r="A209" s="309">
        <v>44228</v>
      </c>
      <c r="B209" s="308" t="s">
        <v>1242</v>
      </c>
      <c r="C209" s="308" t="s">
        <v>769</v>
      </c>
      <c r="D209" s="310">
        <v>8</v>
      </c>
      <c r="E209" s="311">
        <v>812.5</v>
      </c>
      <c r="F209" s="311">
        <v>-3995.56</v>
      </c>
      <c r="G209" s="308" t="s">
        <v>1243</v>
      </c>
      <c r="H209" s="308" t="s">
        <v>1211</v>
      </c>
      <c r="I209" s="308" t="s">
        <v>1140</v>
      </c>
      <c r="J209" s="308" t="s">
        <v>757</v>
      </c>
      <c r="K209" s="308" t="s">
        <v>770</v>
      </c>
      <c r="L209" s="309">
        <v>44228</v>
      </c>
      <c r="M209" s="312">
        <v>0</v>
      </c>
    </row>
    <row r="210" spans="1:13" hidden="1" x14ac:dyDescent="0.25">
      <c r="A210" s="309">
        <v>44228</v>
      </c>
      <c r="B210" s="308" t="s">
        <v>1242</v>
      </c>
      <c r="C210" s="308" t="s">
        <v>769</v>
      </c>
      <c r="D210" s="310">
        <v>8</v>
      </c>
      <c r="E210" s="311">
        <v>781.25</v>
      </c>
      <c r="F210" s="311">
        <v>-3214.31</v>
      </c>
      <c r="G210" s="308" t="s">
        <v>1244</v>
      </c>
      <c r="H210" s="308" t="s">
        <v>1211</v>
      </c>
      <c r="I210" s="308" t="s">
        <v>1140</v>
      </c>
      <c r="J210" s="308" t="s">
        <v>757</v>
      </c>
      <c r="K210" s="308" t="s">
        <v>770</v>
      </c>
      <c r="L210" s="309">
        <v>44228</v>
      </c>
      <c r="M210" s="312">
        <v>0</v>
      </c>
    </row>
    <row r="211" spans="1:13" hidden="1" x14ac:dyDescent="0.25">
      <c r="A211" s="309">
        <v>44230</v>
      </c>
      <c r="B211" s="308" t="s">
        <v>1245</v>
      </c>
      <c r="C211" s="308" t="s">
        <v>769</v>
      </c>
      <c r="D211" s="310">
        <v>9</v>
      </c>
      <c r="E211" s="311">
        <v>1625</v>
      </c>
      <c r="F211" s="311">
        <v>-1589.31</v>
      </c>
      <c r="G211" s="308" t="s">
        <v>1246</v>
      </c>
      <c r="H211" s="308" t="s">
        <v>1211</v>
      </c>
      <c r="I211" s="308" t="s">
        <v>1140</v>
      </c>
      <c r="J211" s="308" t="s">
        <v>757</v>
      </c>
      <c r="K211" s="308" t="s">
        <v>770</v>
      </c>
      <c r="L211" s="309">
        <v>44230</v>
      </c>
      <c r="M211" s="312">
        <v>0</v>
      </c>
    </row>
    <row r="212" spans="1:13" hidden="1" x14ac:dyDescent="0.25">
      <c r="A212" s="309">
        <v>44256</v>
      </c>
      <c r="B212" s="308" t="s">
        <v>1247</v>
      </c>
      <c r="C212" s="308" t="s">
        <v>936</v>
      </c>
      <c r="D212" s="310">
        <v>9</v>
      </c>
      <c r="E212" s="311">
        <v>-1625</v>
      </c>
      <c r="F212" s="311">
        <v>-3214.31</v>
      </c>
      <c r="G212" s="308" t="s">
        <v>1248</v>
      </c>
      <c r="H212" s="308" t="s">
        <v>1211</v>
      </c>
      <c r="I212" s="308" t="s">
        <v>1140</v>
      </c>
      <c r="J212" s="308" t="s">
        <v>757</v>
      </c>
      <c r="K212" s="308" t="s">
        <v>770</v>
      </c>
      <c r="L212" s="309">
        <v>44256</v>
      </c>
      <c r="M212" s="312">
        <v>0</v>
      </c>
    </row>
    <row r="213" spans="1:13" hidden="1" x14ac:dyDescent="0.25">
      <c r="A213" s="309">
        <v>44287</v>
      </c>
      <c r="B213" s="308" t="s">
        <v>1249</v>
      </c>
      <c r="C213" s="308" t="s">
        <v>936</v>
      </c>
      <c r="D213" s="310">
        <v>10</v>
      </c>
      <c r="E213" s="311">
        <v>-1625</v>
      </c>
      <c r="F213" s="311">
        <v>-4839.3100000000004</v>
      </c>
      <c r="G213" s="308" t="s">
        <v>1250</v>
      </c>
      <c r="H213" s="308" t="s">
        <v>1211</v>
      </c>
      <c r="I213" s="308" t="s">
        <v>1140</v>
      </c>
      <c r="J213" s="308" t="s">
        <v>757</v>
      </c>
      <c r="K213" s="308" t="s">
        <v>770</v>
      </c>
      <c r="L213" s="309">
        <v>44287</v>
      </c>
      <c r="M213" s="312">
        <v>0</v>
      </c>
    </row>
    <row r="214" spans="1:13" hidden="1" x14ac:dyDescent="0.25">
      <c r="A214" s="309">
        <v>44287</v>
      </c>
      <c r="B214" s="308" t="s">
        <v>1251</v>
      </c>
      <c r="C214" s="308" t="s">
        <v>769</v>
      </c>
      <c r="D214" s="310">
        <v>10</v>
      </c>
      <c r="E214" s="311">
        <v>1625</v>
      </c>
      <c r="F214" s="311">
        <v>-3214.31</v>
      </c>
      <c r="G214" s="308" t="s">
        <v>1252</v>
      </c>
      <c r="H214" s="308" t="s">
        <v>1211</v>
      </c>
      <c r="I214" s="308" t="s">
        <v>1140</v>
      </c>
      <c r="J214" s="308" t="s">
        <v>757</v>
      </c>
      <c r="K214" s="308" t="s">
        <v>770</v>
      </c>
      <c r="L214" s="309">
        <v>44287</v>
      </c>
      <c r="M214" s="312">
        <v>0</v>
      </c>
    </row>
    <row r="215" spans="1:13" hidden="1" x14ac:dyDescent="0.25">
      <c r="A215" s="309">
        <v>43921</v>
      </c>
      <c r="B215" s="308" t="s">
        <v>1193</v>
      </c>
      <c r="C215" s="308" t="s">
        <v>769</v>
      </c>
      <c r="D215" s="310">
        <v>1</v>
      </c>
      <c r="E215" s="311">
        <v>2776.18</v>
      </c>
      <c r="F215" s="311">
        <v>-438.13000000000102</v>
      </c>
      <c r="G215" s="308" t="s">
        <v>1194</v>
      </c>
      <c r="H215" s="308" t="s">
        <v>1253</v>
      </c>
      <c r="I215" s="308" t="s">
        <v>1140</v>
      </c>
      <c r="J215" s="308" t="s">
        <v>757</v>
      </c>
      <c r="K215" s="308" t="s">
        <v>770</v>
      </c>
      <c r="L215" s="309">
        <v>43921</v>
      </c>
      <c r="M215" s="312">
        <v>0</v>
      </c>
    </row>
    <row r="216" spans="1:13" hidden="1" x14ac:dyDescent="0.25">
      <c r="A216" s="309">
        <v>44012</v>
      </c>
      <c r="B216" s="308" t="s">
        <v>1141</v>
      </c>
      <c r="C216" s="308" t="s">
        <v>1059</v>
      </c>
      <c r="D216" s="310">
        <v>1</v>
      </c>
      <c r="E216" s="311">
        <v>-6343.86</v>
      </c>
      <c r="F216" s="311">
        <v>-6781.99</v>
      </c>
      <c r="G216" s="308" t="s">
        <v>1142</v>
      </c>
      <c r="H216" s="308" t="s">
        <v>1253</v>
      </c>
      <c r="I216" s="308" t="s">
        <v>1140</v>
      </c>
      <c r="J216" s="308" t="s">
        <v>757</v>
      </c>
      <c r="K216" s="308" t="s">
        <v>741</v>
      </c>
      <c r="L216" s="309">
        <v>44012</v>
      </c>
      <c r="M216" s="312">
        <v>0</v>
      </c>
    </row>
    <row r="217" spans="1:13" hidden="1" x14ac:dyDescent="0.25">
      <c r="A217" s="309">
        <v>44012</v>
      </c>
      <c r="B217" s="308" t="s">
        <v>1196</v>
      </c>
      <c r="C217" s="308" t="s">
        <v>1059</v>
      </c>
      <c r="D217" s="310">
        <v>1</v>
      </c>
      <c r="E217" s="311">
        <v>-2776.18</v>
      </c>
      <c r="F217" s="311">
        <v>-9558.17</v>
      </c>
      <c r="G217" s="308" t="s">
        <v>1197</v>
      </c>
      <c r="H217" s="308" t="s">
        <v>1253</v>
      </c>
      <c r="I217" s="308" t="s">
        <v>1140</v>
      </c>
      <c r="J217" s="308" t="s">
        <v>757</v>
      </c>
      <c r="K217" s="308" t="s">
        <v>741</v>
      </c>
      <c r="L217" s="309">
        <v>44012</v>
      </c>
      <c r="M217" s="312">
        <v>0</v>
      </c>
    </row>
    <row r="218" spans="1:13" hidden="1" x14ac:dyDescent="0.25">
      <c r="A218" s="309">
        <v>44043</v>
      </c>
      <c r="B218" s="308" t="s">
        <v>1143</v>
      </c>
      <c r="C218" s="308" t="s">
        <v>1060</v>
      </c>
      <c r="D218" s="310">
        <v>1</v>
      </c>
      <c r="E218" s="311">
        <v>6343.86</v>
      </c>
      <c r="F218" s="311">
        <v>-3214.31</v>
      </c>
      <c r="G218" s="308" t="s">
        <v>1144</v>
      </c>
      <c r="H218" s="308" t="s">
        <v>1253</v>
      </c>
      <c r="I218" s="308" t="s">
        <v>1140</v>
      </c>
      <c r="J218" s="308" t="s">
        <v>757</v>
      </c>
      <c r="K218" s="308" t="s">
        <v>741</v>
      </c>
      <c r="L218" s="309">
        <v>44043</v>
      </c>
      <c r="M218" s="312">
        <v>0</v>
      </c>
    </row>
    <row r="219" spans="1:13" hidden="1" x14ac:dyDescent="0.25">
      <c r="A219" s="309">
        <v>44043</v>
      </c>
      <c r="B219" s="308" t="s">
        <v>1143</v>
      </c>
      <c r="C219" s="308" t="s">
        <v>1060</v>
      </c>
      <c r="D219" s="310">
        <v>2</v>
      </c>
      <c r="E219" s="311">
        <v>-6343.86</v>
      </c>
      <c r="F219" s="311">
        <v>-9558.17</v>
      </c>
      <c r="G219" s="308" t="s">
        <v>1144</v>
      </c>
      <c r="H219" s="308" t="s">
        <v>1253</v>
      </c>
      <c r="I219" s="308" t="s">
        <v>1140</v>
      </c>
      <c r="J219" s="308" t="s">
        <v>757</v>
      </c>
      <c r="K219" s="308" t="s">
        <v>741</v>
      </c>
      <c r="L219" s="309">
        <v>44043</v>
      </c>
      <c r="M219" s="312">
        <v>0</v>
      </c>
    </row>
    <row r="220" spans="1:13" hidden="1" x14ac:dyDescent="0.25">
      <c r="A220" s="309">
        <v>44074</v>
      </c>
      <c r="B220" s="308" t="s">
        <v>1147</v>
      </c>
      <c r="C220" s="308" t="s">
        <v>1060</v>
      </c>
      <c r="D220" s="310">
        <v>2</v>
      </c>
      <c r="E220" s="311">
        <v>6343.86</v>
      </c>
      <c r="F220" s="311">
        <v>-3214.31</v>
      </c>
      <c r="G220" s="308" t="s">
        <v>1148</v>
      </c>
      <c r="H220" s="308" t="s">
        <v>1253</v>
      </c>
      <c r="I220" s="308" t="s">
        <v>1140</v>
      </c>
      <c r="J220" s="308" t="s">
        <v>757</v>
      </c>
      <c r="K220" s="308" t="s">
        <v>741</v>
      </c>
      <c r="L220" s="309">
        <v>44074</v>
      </c>
      <c r="M220" s="312">
        <v>0</v>
      </c>
    </row>
    <row r="221" spans="1:13" hidden="1" x14ac:dyDescent="0.25">
      <c r="A221" s="309">
        <v>44074</v>
      </c>
      <c r="B221" s="308" t="s">
        <v>1147</v>
      </c>
      <c r="C221" s="308" t="s">
        <v>1060</v>
      </c>
      <c r="D221" s="310">
        <v>3</v>
      </c>
      <c r="E221" s="311">
        <v>-6343.86</v>
      </c>
      <c r="F221" s="311">
        <v>-9558.17</v>
      </c>
      <c r="G221" s="308" t="s">
        <v>1148</v>
      </c>
      <c r="H221" s="308" t="s">
        <v>1253</v>
      </c>
      <c r="I221" s="308" t="s">
        <v>1140</v>
      </c>
      <c r="J221" s="308" t="s">
        <v>757</v>
      </c>
      <c r="K221" s="308" t="s">
        <v>741</v>
      </c>
      <c r="L221" s="309">
        <v>44074</v>
      </c>
      <c r="M221" s="312">
        <v>0</v>
      </c>
    </row>
    <row r="222" spans="1:13" hidden="1" x14ac:dyDescent="0.25">
      <c r="A222" s="309">
        <v>44104</v>
      </c>
      <c r="B222" s="308" t="s">
        <v>1198</v>
      </c>
      <c r="C222" s="308" t="s">
        <v>1060</v>
      </c>
      <c r="D222" s="310">
        <v>3</v>
      </c>
      <c r="E222" s="311">
        <v>6343.86</v>
      </c>
      <c r="F222" s="311">
        <v>-3214.31</v>
      </c>
      <c r="G222" s="308" t="s">
        <v>1199</v>
      </c>
      <c r="H222" s="308" t="s">
        <v>1253</v>
      </c>
      <c r="I222" s="308" t="s">
        <v>1140</v>
      </c>
      <c r="J222" s="308" t="s">
        <v>757</v>
      </c>
      <c r="K222" s="308" t="s">
        <v>741</v>
      </c>
      <c r="L222" s="309">
        <v>44104</v>
      </c>
      <c r="M222" s="312">
        <v>0</v>
      </c>
    </row>
    <row r="223" spans="1:13" hidden="1" x14ac:dyDescent="0.25">
      <c r="A223" s="309">
        <v>44104</v>
      </c>
      <c r="B223" s="308" t="s">
        <v>1198</v>
      </c>
      <c r="C223" s="308" t="s">
        <v>1060</v>
      </c>
      <c r="D223" s="310">
        <v>4</v>
      </c>
      <c r="E223" s="311">
        <v>-6343.86</v>
      </c>
      <c r="F223" s="311">
        <v>-9558.17</v>
      </c>
      <c r="G223" s="308" t="s">
        <v>1199</v>
      </c>
      <c r="H223" s="308" t="s">
        <v>1253</v>
      </c>
      <c r="I223" s="308" t="s">
        <v>1140</v>
      </c>
      <c r="J223" s="308" t="s">
        <v>757</v>
      </c>
      <c r="K223" s="308" t="s">
        <v>741</v>
      </c>
      <c r="L223" s="309">
        <v>44104</v>
      </c>
      <c r="M223" s="312">
        <v>0</v>
      </c>
    </row>
    <row r="224" spans="1:13" hidden="1" x14ac:dyDescent="0.25">
      <c r="A224" s="309">
        <v>44135</v>
      </c>
      <c r="B224" s="308" t="s">
        <v>1200</v>
      </c>
      <c r="C224" s="308" t="s">
        <v>1060</v>
      </c>
      <c r="D224" s="310">
        <v>4</v>
      </c>
      <c r="E224" s="311">
        <v>6343.86</v>
      </c>
      <c r="F224" s="311">
        <v>-3214.31</v>
      </c>
      <c r="G224" s="308" t="s">
        <v>1201</v>
      </c>
      <c r="H224" s="308" t="s">
        <v>1253</v>
      </c>
      <c r="I224" s="308" t="s">
        <v>1140</v>
      </c>
      <c r="J224" s="308" t="s">
        <v>757</v>
      </c>
      <c r="K224" s="308" t="s">
        <v>741</v>
      </c>
      <c r="L224" s="309">
        <v>44135</v>
      </c>
      <c r="M224" s="312">
        <v>0</v>
      </c>
    </row>
    <row r="225" spans="1:13" hidden="1" x14ac:dyDescent="0.25">
      <c r="A225" s="309">
        <v>44135</v>
      </c>
      <c r="B225" s="308" t="s">
        <v>1254</v>
      </c>
      <c r="C225" s="308" t="s">
        <v>769</v>
      </c>
      <c r="D225" s="310">
        <v>5</v>
      </c>
      <c r="E225" s="311">
        <v>29.88</v>
      </c>
      <c r="F225" s="311">
        <v>-3184.43</v>
      </c>
      <c r="G225" s="308" t="s">
        <v>1255</v>
      </c>
      <c r="H225" s="308" t="s">
        <v>1253</v>
      </c>
      <c r="I225" s="308" t="s">
        <v>1140</v>
      </c>
      <c r="J225" s="308" t="s">
        <v>757</v>
      </c>
      <c r="K225" s="308" t="s">
        <v>770</v>
      </c>
      <c r="L225" s="309">
        <v>44135</v>
      </c>
      <c r="M225" s="312">
        <v>0</v>
      </c>
    </row>
    <row r="226" spans="1:13" hidden="1" x14ac:dyDescent="0.25">
      <c r="A226" s="309">
        <v>44135</v>
      </c>
      <c r="B226" s="308" t="s">
        <v>1200</v>
      </c>
      <c r="C226" s="308" t="s">
        <v>1060</v>
      </c>
      <c r="D226" s="310">
        <v>5</v>
      </c>
      <c r="E226" s="311">
        <v>-6343.86</v>
      </c>
      <c r="F226" s="311">
        <v>-9528.2900000000009</v>
      </c>
      <c r="G226" s="308" t="s">
        <v>1201</v>
      </c>
      <c r="H226" s="308" t="s">
        <v>1253</v>
      </c>
      <c r="I226" s="308" t="s">
        <v>1140</v>
      </c>
      <c r="J226" s="308" t="s">
        <v>757</v>
      </c>
      <c r="K226" s="308" t="s">
        <v>741</v>
      </c>
      <c r="L226" s="309">
        <v>44135</v>
      </c>
      <c r="M226" s="312">
        <v>0</v>
      </c>
    </row>
    <row r="227" spans="1:13" hidden="1" x14ac:dyDescent="0.25">
      <c r="A227" s="309">
        <v>44165</v>
      </c>
      <c r="B227" s="308" t="s">
        <v>1158</v>
      </c>
      <c r="C227" s="308" t="s">
        <v>1060</v>
      </c>
      <c r="D227" s="310">
        <v>5</v>
      </c>
      <c r="E227" s="311">
        <v>6654.32</v>
      </c>
      <c r="F227" s="311">
        <v>-2873.97</v>
      </c>
      <c r="G227" s="308" t="s">
        <v>1159</v>
      </c>
      <c r="H227" s="308" t="s">
        <v>1253</v>
      </c>
      <c r="I227" s="308" t="s">
        <v>1140</v>
      </c>
      <c r="J227" s="308" t="s">
        <v>757</v>
      </c>
      <c r="K227" s="308" t="s">
        <v>741</v>
      </c>
      <c r="L227" s="309">
        <v>44165</v>
      </c>
      <c r="M227" s="312">
        <v>0</v>
      </c>
    </row>
    <row r="228" spans="1:13" hidden="1" x14ac:dyDescent="0.25">
      <c r="A228" s="309">
        <v>44165</v>
      </c>
      <c r="B228" s="308" t="s">
        <v>1158</v>
      </c>
      <c r="C228" s="308" t="s">
        <v>1060</v>
      </c>
      <c r="D228" s="310">
        <v>6</v>
      </c>
      <c r="E228" s="311">
        <v>-6654.32</v>
      </c>
      <c r="F228" s="311">
        <v>-9528.2900000000009</v>
      </c>
      <c r="G228" s="308" t="s">
        <v>1159</v>
      </c>
      <c r="H228" s="308" t="s">
        <v>1253</v>
      </c>
      <c r="I228" s="308" t="s">
        <v>1140</v>
      </c>
      <c r="J228" s="308" t="s">
        <v>757</v>
      </c>
      <c r="K228" s="308" t="s">
        <v>741</v>
      </c>
      <c r="L228" s="309">
        <v>44165</v>
      </c>
      <c r="M228" s="312">
        <v>0</v>
      </c>
    </row>
    <row r="229" spans="1:13" hidden="1" x14ac:dyDescent="0.25">
      <c r="A229" s="309">
        <v>44196</v>
      </c>
      <c r="B229" s="308" t="s">
        <v>1160</v>
      </c>
      <c r="C229" s="308" t="s">
        <v>1060</v>
      </c>
      <c r="D229" s="310">
        <v>6</v>
      </c>
      <c r="E229" s="311">
        <v>6751.07</v>
      </c>
      <c r="F229" s="311">
        <v>-2777.22</v>
      </c>
      <c r="G229" s="308" t="s">
        <v>1161</v>
      </c>
      <c r="H229" s="308" t="s">
        <v>1253</v>
      </c>
      <c r="I229" s="308" t="s">
        <v>1140</v>
      </c>
      <c r="J229" s="308" t="s">
        <v>757</v>
      </c>
      <c r="K229" s="308" t="s">
        <v>741</v>
      </c>
      <c r="L229" s="309">
        <v>44196</v>
      </c>
      <c r="M229" s="312">
        <v>0</v>
      </c>
    </row>
    <row r="230" spans="1:13" hidden="1" x14ac:dyDescent="0.25">
      <c r="A230" s="309">
        <v>44196</v>
      </c>
      <c r="B230" s="308" t="s">
        <v>1204</v>
      </c>
      <c r="C230" s="308" t="s">
        <v>769</v>
      </c>
      <c r="D230" s="310">
        <v>7</v>
      </c>
      <c r="E230" s="311">
        <v>110.95</v>
      </c>
      <c r="F230" s="311">
        <v>-2666.27</v>
      </c>
      <c r="G230" s="308" t="s">
        <v>1205</v>
      </c>
      <c r="H230" s="308" t="s">
        <v>1253</v>
      </c>
      <c r="I230" s="308" t="s">
        <v>1140</v>
      </c>
      <c r="J230" s="308" t="s">
        <v>757</v>
      </c>
      <c r="K230" s="308" t="s">
        <v>770</v>
      </c>
      <c r="L230" s="309">
        <v>44196</v>
      </c>
      <c r="M230" s="312">
        <v>0</v>
      </c>
    </row>
    <row r="231" spans="1:13" hidden="1" x14ac:dyDescent="0.25">
      <c r="A231" s="309">
        <v>44196</v>
      </c>
      <c r="B231" s="308" t="s">
        <v>1160</v>
      </c>
      <c r="C231" s="308" t="s">
        <v>1060</v>
      </c>
      <c r="D231" s="310">
        <v>7</v>
      </c>
      <c r="E231" s="311">
        <v>-6751.07</v>
      </c>
      <c r="F231" s="311">
        <v>-9417.34</v>
      </c>
      <c r="G231" s="308" t="s">
        <v>1161</v>
      </c>
      <c r="H231" s="308" t="s">
        <v>1253</v>
      </c>
      <c r="I231" s="308" t="s">
        <v>1140</v>
      </c>
      <c r="J231" s="308" t="s">
        <v>757</v>
      </c>
      <c r="K231" s="308" t="s">
        <v>741</v>
      </c>
      <c r="L231" s="309">
        <v>44196</v>
      </c>
      <c r="M231" s="312">
        <v>0</v>
      </c>
    </row>
    <row r="232" spans="1:13" hidden="1" x14ac:dyDescent="0.25">
      <c r="A232" s="309">
        <v>44230</v>
      </c>
      <c r="B232" s="308" t="s">
        <v>1166</v>
      </c>
      <c r="C232" s="308" t="s">
        <v>1060</v>
      </c>
      <c r="D232" s="310">
        <v>7</v>
      </c>
      <c r="E232" s="311">
        <v>6638.9</v>
      </c>
      <c r="F232" s="311">
        <v>-2778.44</v>
      </c>
      <c r="G232" s="308" t="s">
        <v>1167</v>
      </c>
      <c r="H232" s="308" t="s">
        <v>1253</v>
      </c>
      <c r="I232" s="308" t="s">
        <v>1140</v>
      </c>
      <c r="J232" s="308" t="s">
        <v>757</v>
      </c>
      <c r="K232" s="308" t="s">
        <v>741</v>
      </c>
      <c r="L232" s="309">
        <v>44230</v>
      </c>
      <c r="M232" s="312">
        <v>0</v>
      </c>
    </row>
    <row r="233" spans="1:13" hidden="1" x14ac:dyDescent="0.25">
      <c r="A233" s="309">
        <v>44227</v>
      </c>
      <c r="B233" s="308" t="s">
        <v>1256</v>
      </c>
      <c r="C233" s="308" t="s">
        <v>769</v>
      </c>
      <c r="D233" s="310">
        <v>8</v>
      </c>
      <c r="E233" s="311">
        <v>199.5</v>
      </c>
      <c r="F233" s="311">
        <v>-2578.94</v>
      </c>
      <c r="G233" s="308" t="s">
        <v>1163</v>
      </c>
      <c r="H233" s="308" t="s">
        <v>1253</v>
      </c>
      <c r="I233" s="308" t="s">
        <v>1140</v>
      </c>
      <c r="J233" s="308" t="s">
        <v>757</v>
      </c>
      <c r="K233" s="308" t="s">
        <v>770</v>
      </c>
      <c r="L233" s="309">
        <v>44227</v>
      </c>
      <c r="M233" s="312">
        <v>0</v>
      </c>
    </row>
    <row r="234" spans="1:13" hidden="1" x14ac:dyDescent="0.25">
      <c r="A234" s="309">
        <v>44227</v>
      </c>
      <c r="B234" s="308" t="s">
        <v>1206</v>
      </c>
      <c r="C234" s="308" t="s">
        <v>769</v>
      </c>
      <c r="D234" s="310">
        <v>8</v>
      </c>
      <c r="E234" s="311">
        <v>66.900000000000006</v>
      </c>
      <c r="F234" s="311">
        <v>-2512.04</v>
      </c>
      <c r="G234" s="308" t="s">
        <v>1169</v>
      </c>
      <c r="H234" s="308" t="s">
        <v>1253</v>
      </c>
      <c r="I234" s="308" t="s">
        <v>1140</v>
      </c>
      <c r="J234" s="308" t="s">
        <v>757</v>
      </c>
      <c r="K234" s="308" t="s">
        <v>770</v>
      </c>
      <c r="L234" s="309">
        <v>44227</v>
      </c>
      <c r="M234" s="312">
        <v>0</v>
      </c>
    </row>
    <row r="235" spans="1:13" hidden="1" x14ac:dyDescent="0.25">
      <c r="A235" s="309">
        <v>44230</v>
      </c>
      <c r="B235" s="308" t="s">
        <v>1166</v>
      </c>
      <c r="C235" s="308" t="s">
        <v>1060</v>
      </c>
      <c r="D235" s="310">
        <v>8</v>
      </c>
      <c r="E235" s="311">
        <v>-6638.9</v>
      </c>
      <c r="F235" s="311">
        <v>-9150.94</v>
      </c>
      <c r="G235" s="308" t="s">
        <v>1167</v>
      </c>
      <c r="H235" s="308" t="s">
        <v>1253</v>
      </c>
      <c r="I235" s="308" t="s">
        <v>1140</v>
      </c>
      <c r="J235" s="308" t="s">
        <v>757</v>
      </c>
      <c r="K235" s="308" t="s">
        <v>741</v>
      </c>
      <c r="L235" s="309">
        <v>44230</v>
      </c>
      <c r="M235" s="312">
        <v>0</v>
      </c>
    </row>
    <row r="236" spans="1:13" hidden="1" x14ac:dyDescent="0.25">
      <c r="A236" s="309">
        <v>44255</v>
      </c>
      <c r="B236" s="308" t="s">
        <v>1178</v>
      </c>
      <c r="C236" s="308" t="s">
        <v>1060</v>
      </c>
      <c r="D236" s="310">
        <v>8</v>
      </c>
      <c r="E236" s="311">
        <v>6398.12</v>
      </c>
      <c r="F236" s="311">
        <v>-2752.82</v>
      </c>
      <c r="G236" s="308" t="s">
        <v>1179</v>
      </c>
      <c r="H236" s="308" t="s">
        <v>1253</v>
      </c>
      <c r="I236" s="308" t="s">
        <v>1140</v>
      </c>
      <c r="J236" s="308" t="s">
        <v>757</v>
      </c>
      <c r="K236" s="308" t="s">
        <v>741</v>
      </c>
      <c r="L236" s="309">
        <v>44255</v>
      </c>
      <c r="M236" s="312">
        <v>0</v>
      </c>
    </row>
    <row r="237" spans="1:13" hidden="1" x14ac:dyDescent="0.25">
      <c r="A237" s="309">
        <v>44255</v>
      </c>
      <c r="B237" s="308" t="s">
        <v>1178</v>
      </c>
      <c r="C237" s="308" t="s">
        <v>1060</v>
      </c>
      <c r="D237" s="310">
        <v>9</v>
      </c>
      <c r="E237" s="311">
        <v>-6398.12</v>
      </c>
      <c r="F237" s="311">
        <v>-9150.94</v>
      </c>
      <c r="G237" s="308" t="s">
        <v>1179</v>
      </c>
      <c r="H237" s="308" t="s">
        <v>1253</v>
      </c>
      <c r="I237" s="308" t="s">
        <v>1140</v>
      </c>
      <c r="J237" s="308" t="s">
        <v>757</v>
      </c>
      <c r="K237" s="308" t="s">
        <v>741</v>
      </c>
      <c r="L237" s="309">
        <v>44255</v>
      </c>
      <c r="M237" s="312">
        <v>0</v>
      </c>
    </row>
    <row r="238" spans="1:13" hidden="1" x14ac:dyDescent="0.25">
      <c r="A238" s="309">
        <v>44255</v>
      </c>
      <c r="B238" s="308" t="s">
        <v>1207</v>
      </c>
      <c r="C238" s="308" t="s">
        <v>769</v>
      </c>
      <c r="D238" s="310">
        <v>9</v>
      </c>
      <c r="E238" s="311">
        <v>35.65</v>
      </c>
      <c r="F238" s="311">
        <v>-9115.2900000000009</v>
      </c>
      <c r="G238" s="308" t="s">
        <v>1171</v>
      </c>
      <c r="H238" s="308" t="s">
        <v>1253</v>
      </c>
      <c r="I238" s="308" t="s">
        <v>1140</v>
      </c>
      <c r="J238" s="308" t="s">
        <v>757</v>
      </c>
      <c r="K238" s="308" t="s">
        <v>770</v>
      </c>
      <c r="L238" s="309">
        <v>44255</v>
      </c>
      <c r="M238" s="312">
        <v>0</v>
      </c>
    </row>
    <row r="239" spans="1:13" hidden="1" x14ac:dyDescent="0.25">
      <c r="A239" s="309">
        <v>44286</v>
      </c>
      <c r="B239" s="308" t="s">
        <v>1181</v>
      </c>
      <c r="C239" s="308" t="s">
        <v>1060</v>
      </c>
      <c r="D239" s="310">
        <v>9</v>
      </c>
      <c r="E239" s="311">
        <v>6418.62</v>
      </c>
      <c r="F239" s="311">
        <v>-2696.67</v>
      </c>
      <c r="G239" s="308" t="s">
        <v>1182</v>
      </c>
      <c r="H239" s="308" t="s">
        <v>1253</v>
      </c>
      <c r="I239" s="308" t="s">
        <v>1140</v>
      </c>
      <c r="J239" s="308" t="s">
        <v>757</v>
      </c>
      <c r="K239" s="308" t="s">
        <v>741</v>
      </c>
      <c r="L239" s="309">
        <v>44286</v>
      </c>
      <c r="M239" s="312">
        <v>0</v>
      </c>
    </row>
    <row r="240" spans="1:13" hidden="1" x14ac:dyDescent="0.25">
      <c r="A240" s="309">
        <v>44286</v>
      </c>
      <c r="B240" s="308" t="s">
        <v>1181</v>
      </c>
      <c r="C240" s="308" t="s">
        <v>1060</v>
      </c>
      <c r="D240" s="310">
        <v>10</v>
      </c>
      <c r="E240" s="311">
        <v>-6418.62</v>
      </c>
      <c r="F240" s="311">
        <v>-9115.2900000000009</v>
      </c>
      <c r="G240" s="308" t="s">
        <v>1182</v>
      </c>
      <c r="H240" s="308" t="s">
        <v>1253</v>
      </c>
      <c r="I240" s="308" t="s">
        <v>1140</v>
      </c>
      <c r="J240" s="308" t="s">
        <v>757</v>
      </c>
      <c r="K240" s="308" t="s">
        <v>741</v>
      </c>
      <c r="L240" s="309">
        <v>44286</v>
      </c>
      <c r="M240" s="312">
        <v>0</v>
      </c>
    </row>
    <row r="241" spans="1:13" hidden="1" x14ac:dyDescent="0.25">
      <c r="A241" s="309">
        <v>44286</v>
      </c>
      <c r="B241" s="308" t="s">
        <v>1208</v>
      </c>
      <c r="C241" s="308" t="s">
        <v>769</v>
      </c>
      <c r="D241" s="310">
        <v>10</v>
      </c>
      <c r="E241" s="311">
        <v>37.700000000000003</v>
      </c>
      <c r="F241" s="311">
        <v>-9077.59</v>
      </c>
      <c r="G241" s="308" t="s">
        <v>1184</v>
      </c>
      <c r="H241" s="308" t="s">
        <v>1253</v>
      </c>
      <c r="I241" s="308" t="s">
        <v>1140</v>
      </c>
      <c r="J241" s="308" t="s">
        <v>757</v>
      </c>
      <c r="K241" s="308" t="s">
        <v>770</v>
      </c>
      <c r="L241" s="309">
        <v>44286</v>
      </c>
      <c r="M241" s="312">
        <v>0</v>
      </c>
    </row>
    <row r="242" spans="1:13" hidden="1" x14ac:dyDescent="0.25">
      <c r="A242" s="309">
        <v>44316</v>
      </c>
      <c r="B242" s="308" t="s">
        <v>1104</v>
      </c>
      <c r="C242" s="308" t="s">
        <v>1060</v>
      </c>
      <c r="D242" s="310">
        <v>10</v>
      </c>
      <c r="E242" s="311">
        <v>6411.73</v>
      </c>
      <c r="F242" s="311">
        <v>-2665.86</v>
      </c>
      <c r="G242" s="308" t="s">
        <v>1096</v>
      </c>
      <c r="H242" s="308" t="s">
        <v>1253</v>
      </c>
      <c r="I242" s="308" t="s">
        <v>1140</v>
      </c>
      <c r="J242" s="308" t="s">
        <v>757</v>
      </c>
      <c r="K242" s="308" t="s">
        <v>741</v>
      </c>
      <c r="L242" s="309">
        <v>44316</v>
      </c>
      <c r="M242" s="312">
        <v>0</v>
      </c>
    </row>
    <row r="243" spans="1:13" hidden="1" x14ac:dyDescent="0.25">
      <c r="A243" s="309">
        <v>43921</v>
      </c>
      <c r="B243" s="308" t="s">
        <v>1193</v>
      </c>
      <c r="C243" s="308" t="s">
        <v>769</v>
      </c>
      <c r="D243" s="310">
        <v>1</v>
      </c>
      <c r="E243" s="311">
        <v>2872.47</v>
      </c>
      <c r="F243" s="311">
        <v>-6168.06</v>
      </c>
      <c r="G243" s="308" t="s">
        <v>1194</v>
      </c>
      <c r="H243" s="308" t="s">
        <v>1257</v>
      </c>
      <c r="I243" s="308" t="s">
        <v>1140</v>
      </c>
      <c r="J243" s="308" t="s">
        <v>757</v>
      </c>
      <c r="K243" s="308" t="s">
        <v>770</v>
      </c>
      <c r="L243" s="309">
        <v>43921</v>
      </c>
      <c r="M243" s="312">
        <v>0</v>
      </c>
    </row>
    <row r="244" spans="1:13" hidden="1" x14ac:dyDescent="0.25">
      <c r="A244" s="309">
        <v>44012</v>
      </c>
      <c r="B244" s="308" t="s">
        <v>1141</v>
      </c>
      <c r="C244" s="308" t="s">
        <v>1059</v>
      </c>
      <c r="D244" s="310">
        <v>1</v>
      </c>
      <c r="E244" s="311">
        <v>-8323.9</v>
      </c>
      <c r="F244" s="311">
        <v>-14491.96</v>
      </c>
      <c r="G244" s="308" t="s">
        <v>1142</v>
      </c>
      <c r="H244" s="308" t="s">
        <v>1257</v>
      </c>
      <c r="I244" s="308" t="s">
        <v>1140</v>
      </c>
      <c r="J244" s="308" t="s">
        <v>757</v>
      </c>
      <c r="K244" s="308" t="s">
        <v>741</v>
      </c>
      <c r="L244" s="309">
        <v>44012</v>
      </c>
      <c r="M244" s="312">
        <v>0</v>
      </c>
    </row>
    <row r="245" spans="1:13" hidden="1" x14ac:dyDescent="0.25">
      <c r="A245" s="309">
        <v>44012</v>
      </c>
      <c r="B245" s="308" t="s">
        <v>1196</v>
      </c>
      <c r="C245" s="308" t="s">
        <v>1059</v>
      </c>
      <c r="D245" s="310">
        <v>1</v>
      </c>
      <c r="E245" s="311">
        <v>-2872.47</v>
      </c>
      <c r="F245" s="311">
        <v>-17364.43</v>
      </c>
      <c r="G245" s="308" t="s">
        <v>1197</v>
      </c>
      <c r="H245" s="308" t="s">
        <v>1257</v>
      </c>
      <c r="I245" s="308" t="s">
        <v>1140</v>
      </c>
      <c r="J245" s="308" t="s">
        <v>757</v>
      </c>
      <c r="K245" s="308" t="s">
        <v>741</v>
      </c>
      <c r="L245" s="309">
        <v>44012</v>
      </c>
      <c r="M245" s="312">
        <v>0</v>
      </c>
    </row>
    <row r="246" spans="1:13" hidden="1" x14ac:dyDescent="0.25">
      <c r="A246" s="309">
        <v>44043</v>
      </c>
      <c r="B246" s="308" t="s">
        <v>1143</v>
      </c>
      <c r="C246" s="308" t="s">
        <v>1060</v>
      </c>
      <c r="D246" s="310">
        <v>1</v>
      </c>
      <c r="E246" s="311">
        <v>8323.9</v>
      </c>
      <c r="F246" s="311">
        <v>-9040.5300000000007</v>
      </c>
      <c r="G246" s="308" t="s">
        <v>1144</v>
      </c>
      <c r="H246" s="308" t="s">
        <v>1257</v>
      </c>
      <c r="I246" s="308" t="s">
        <v>1140</v>
      </c>
      <c r="J246" s="308" t="s">
        <v>757</v>
      </c>
      <c r="K246" s="308" t="s">
        <v>741</v>
      </c>
      <c r="L246" s="309">
        <v>44043</v>
      </c>
      <c r="M246" s="312">
        <v>0</v>
      </c>
    </row>
    <row r="247" spans="1:13" hidden="1" x14ac:dyDescent="0.25">
      <c r="A247" s="309">
        <v>44043</v>
      </c>
      <c r="B247" s="308" t="s">
        <v>1143</v>
      </c>
      <c r="C247" s="308" t="s">
        <v>1060</v>
      </c>
      <c r="D247" s="310">
        <v>2</v>
      </c>
      <c r="E247" s="311">
        <v>-8323.9</v>
      </c>
      <c r="F247" s="311">
        <v>-17364.43</v>
      </c>
      <c r="G247" s="308" t="s">
        <v>1144</v>
      </c>
      <c r="H247" s="308" t="s">
        <v>1257</v>
      </c>
      <c r="I247" s="308" t="s">
        <v>1140</v>
      </c>
      <c r="J247" s="308" t="s">
        <v>757</v>
      </c>
      <c r="K247" s="308" t="s">
        <v>741</v>
      </c>
      <c r="L247" s="309">
        <v>44043</v>
      </c>
      <c r="M247" s="312">
        <v>0</v>
      </c>
    </row>
    <row r="248" spans="1:13" hidden="1" x14ac:dyDescent="0.25">
      <c r="A248" s="309">
        <v>44074</v>
      </c>
      <c r="B248" s="308" t="s">
        <v>1147</v>
      </c>
      <c r="C248" s="308" t="s">
        <v>1060</v>
      </c>
      <c r="D248" s="310">
        <v>2</v>
      </c>
      <c r="E248" s="311">
        <v>8323.9</v>
      </c>
      <c r="F248" s="311">
        <v>-9040.5300000000007</v>
      </c>
      <c r="G248" s="308" t="s">
        <v>1148</v>
      </c>
      <c r="H248" s="308" t="s">
        <v>1257</v>
      </c>
      <c r="I248" s="308" t="s">
        <v>1140</v>
      </c>
      <c r="J248" s="308" t="s">
        <v>757</v>
      </c>
      <c r="K248" s="308" t="s">
        <v>741</v>
      </c>
      <c r="L248" s="309">
        <v>44074</v>
      </c>
      <c r="M248" s="312">
        <v>0</v>
      </c>
    </row>
    <row r="249" spans="1:13" hidden="1" x14ac:dyDescent="0.25">
      <c r="A249" s="309">
        <v>44074</v>
      </c>
      <c r="B249" s="308" t="s">
        <v>1147</v>
      </c>
      <c r="C249" s="308" t="s">
        <v>1060</v>
      </c>
      <c r="D249" s="310">
        <v>3</v>
      </c>
      <c r="E249" s="311">
        <v>-8323.9</v>
      </c>
      <c r="F249" s="311">
        <v>-17364.43</v>
      </c>
      <c r="G249" s="308" t="s">
        <v>1148</v>
      </c>
      <c r="H249" s="308" t="s">
        <v>1257</v>
      </c>
      <c r="I249" s="308" t="s">
        <v>1140</v>
      </c>
      <c r="J249" s="308" t="s">
        <v>757</v>
      </c>
      <c r="K249" s="308" t="s">
        <v>741</v>
      </c>
      <c r="L249" s="309">
        <v>44074</v>
      </c>
      <c r="M249" s="312">
        <v>0</v>
      </c>
    </row>
    <row r="250" spans="1:13" hidden="1" x14ac:dyDescent="0.25">
      <c r="A250" s="309">
        <v>44104</v>
      </c>
      <c r="B250" s="308" t="s">
        <v>1198</v>
      </c>
      <c r="C250" s="308" t="s">
        <v>1060</v>
      </c>
      <c r="D250" s="310">
        <v>3</v>
      </c>
      <c r="E250" s="311">
        <v>8323.9</v>
      </c>
      <c r="F250" s="311">
        <v>-9040.5300000000007</v>
      </c>
      <c r="G250" s="308" t="s">
        <v>1199</v>
      </c>
      <c r="H250" s="308" t="s">
        <v>1257</v>
      </c>
      <c r="I250" s="308" t="s">
        <v>1140</v>
      </c>
      <c r="J250" s="308" t="s">
        <v>757</v>
      </c>
      <c r="K250" s="308" t="s">
        <v>741</v>
      </c>
      <c r="L250" s="309">
        <v>44104</v>
      </c>
      <c r="M250" s="312">
        <v>0</v>
      </c>
    </row>
    <row r="251" spans="1:13" hidden="1" x14ac:dyDescent="0.25">
      <c r="A251" s="309">
        <v>44104</v>
      </c>
      <c r="B251" s="308" t="s">
        <v>1198</v>
      </c>
      <c r="C251" s="308" t="s">
        <v>1060</v>
      </c>
      <c r="D251" s="310">
        <v>4</v>
      </c>
      <c r="E251" s="311">
        <v>-8323.9</v>
      </c>
      <c r="F251" s="311">
        <v>-17364.43</v>
      </c>
      <c r="G251" s="308" t="s">
        <v>1199</v>
      </c>
      <c r="H251" s="308" t="s">
        <v>1257</v>
      </c>
      <c r="I251" s="308" t="s">
        <v>1140</v>
      </c>
      <c r="J251" s="308" t="s">
        <v>757</v>
      </c>
      <c r="K251" s="308" t="s">
        <v>741</v>
      </c>
      <c r="L251" s="309">
        <v>44104</v>
      </c>
      <c r="M251" s="312">
        <v>0</v>
      </c>
    </row>
    <row r="252" spans="1:13" hidden="1" x14ac:dyDescent="0.25">
      <c r="A252" s="309">
        <v>44135</v>
      </c>
      <c r="B252" s="308" t="s">
        <v>1200</v>
      </c>
      <c r="C252" s="308" t="s">
        <v>1060</v>
      </c>
      <c r="D252" s="310">
        <v>4</v>
      </c>
      <c r="E252" s="311">
        <v>8323.9</v>
      </c>
      <c r="F252" s="311">
        <v>-9040.5300000000007</v>
      </c>
      <c r="G252" s="308" t="s">
        <v>1201</v>
      </c>
      <c r="H252" s="308" t="s">
        <v>1257</v>
      </c>
      <c r="I252" s="308" t="s">
        <v>1140</v>
      </c>
      <c r="J252" s="308" t="s">
        <v>757</v>
      </c>
      <c r="K252" s="308" t="s">
        <v>741</v>
      </c>
      <c r="L252" s="309">
        <v>44135</v>
      </c>
      <c r="M252" s="312">
        <v>0</v>
      </c>
    </row>
    <row r="253" spans="1:13" hidden="1" x14ac:dyDescent="0.25">
      <c r="A253" s="309">
        <v>44135</v>
      </c>
      <c r="B253" s="308" t="s">
        <v>1200</v>
      </c>
      <c r="C253" s="308" t="s">
        <v>1060</v>
      </c>
      <c r="D253" s="310">
        <v>5</v>
      </c>
      <c r="E253" s="311">
        <v>-8323.9</v>
      </c>
      <c r="F253" s="311">
        <v>-17364.43</v>
      </c>
      <c r="G253" s="308" t="s">
        <v>1201</v>
      </c>
      <c r="H253" s="308" t="s">
        <v>1257</v>
      </c>
      <c r="I253" s="308" t="s">
        <v>1140</v>
      </c>
      <c r="J253" s="308" t="s">
        <v>757</v>
      </c>
      <c r="K253" s="308" t="s">
        <v>741</v>
      </c>
      <c r="L253" s="309">
        <v>44135</v>
      </c>
      <c r="M253" s="312">
        <v>0</v>
      </c>
    </row>
    <row r="254" spans="1:13" hidden="1" x14ac:dyDescent="0.25">
      <c r="A254" s="309">
        <v>44135</v>
      </c>
      <c r="B254" s="308" t="s">
        <v>1254</v>
      </c>
      <c r="C254" s="308" t="s">
        <v>769</v>
      </c>
      <c r="D254" s="310">
        <v>5</v>
      </c>
      <c r="E254" s="311">
        <v>20.149999999999999</v>
      </c>
      <c r="F254" s="311">
        <v>-17344.28</v>
      </c>
      <c r="G254" s="308" t="s">
        <v>1255</v>
      </c>
      <c r="H254" s="308" t="s">
        <v>1257</v>
      </c>
      <c r="I254" s="308" t="s">
        <v>1140</v>
      </c>
      <c r="J254" s="308" t="s">
        <v>757</v>
      </c>
      <c r="K254" s="308" t="s">
        <v>770</v>
      </c>
      <c r="L254" s="309">
        <v>44135</v>
      </c>
      <c r="M254" s="312">
        <v>0</v>
      </c>
    </row>
    <row r="255" spans="1:13" hidden="1" x14ac:dyDescent="0.25">
      <c r="A255" s="309">
        <v>44165</v>
      </c>
      <c r="B255" s="308" t="s">
        <v>1158</v>
      </c>
      <c r="C255" s="308" t="s">
        <v>1060</v>
      </c>
      <c r="D255" s="310">
        <v>5</v>
      </c>
      <c r="E255" s="311">
        <v>8482.19</v>
      </c>
      <c r="F255" s="311">
        <v>-8862.09</v>
      </c>
      <c r="G255" s="308" t="s">
        <v>1159</v>
      </c>
      <c r="H255" s="308" t="s">
        <v>1257</v>
      </c>
      <c r="I255" s="308" t="s">
        <v>1140</v>
      </c>
      <c r="J255" s="308" t="s">
        <v>757</v>
      </c>
      <c r="K255" s="308" t="s">
        <v>741</v>
      </c>
      <c r="L255" s="309">
        <v>44165</v>
      </c>
      <c r="M255" s="312">
        <v>0</v>
      </c>
    </row>
    <row r="256" spans="1:13" hidden="1" x14ac:dyDescent="0.25">
      <c r="A256" s="309">
        <v>44165</v>
      </c>
      <c r="B256" s="308" t="s">
        <v>1158</v>
      </c>
      <c r="C256" s="308" t="s">
        <v>1060</v>
      </c>
      <c r="D256" s="310">
        <v>6</v>
      </c>
      <c r="E256" s="311">
        <v>-8482.19</v>
      </c>
      <c r="F256" s="311">
        <v>-17344.28</v>
      </c>
      <c r="G256" s="308" t="s">
        <v>1159</v>
      </c>
      <c r="H256" s="308" t="s">
        <v>1257</v>
      </c>
      <c r="I256" s="308" t="s">
        <v>1140</v>
      </c>
      <c r="J256" s="308" t="s">
        <v>757</v>
      </c>
      <c r="K256" s="308" t="s">
        <v>741</v>
      </c>
      <c r="L256" s="309">
        <v>44165</v>
      </c>
      <c r="M256" s="312">
        <v>0</v>
      </c>
    </row>
    <row r="257" spans="1:13" hidden="1" x14ac:dyDescent="0.25">
      <c r="A257" s="309">
        <v>44196</v>
      </c>
      <c r="B257" s="308" t="s">
        <v>1160</v>
      </c>
      <c r="C257" s="308" t="s">
        <v>1060</v>
      </c>
      <c r="D257" s="310">
        <v>6</v>
      </c>
      <c r="E257" s="311">
        <v>8539.59</v>
      </c>
      <c r="F257" s="311">
        <v>-8804.69</v>
      </c>
      <c r="G257" s="308" t="s">
        <v>1161</v>
      </c>
      <c r="H257" s="308" t="s">
        <v>1257</v>
      </c>
      <c r="I257" s="308" t="s">
        <v>1140</v>
      </c>
      <c r="J257" s="308" t="s">
        <v>757</v>
      </c>
      <c r="K257" s="308" t="s">
        <v>741</v>
      </c>
      <c r="L257" s="309">
        <v>44196</v>
      </c>
      <c r="M257" s="312">
        <v>0</v>
      </c>
    </row>
    <row r="258" spans="1:13" hidden="1" x14ac:dyDescent="0.25">
      <c r="A258" s="309">
        <v>44196</v>
      </c>
      <c r="B258" s="308" t="s">
        <v>1160</v>
      </c>
      <c r="C258" s="308" t="s">
        <v>1060</v>
      </c>
      <c r="D258" s="310">
        <v>7</v>
      </c>
      <c r="E258" s="311">
        <v>-8539.59</v>
      </c>
      <c r="F258" s="311">
        <v>-17344.28</v>
      </c>
      <c r="G258" s="308" t="s">
        <v>1161</v>
      </c>
      <c r="H258" s="308" t="s">
        <v>1257</v>
      </c>
      <c r="I258" s="308" t="s">
        <v>1140</v>
      </c>
      <c r="J258" s="308" t="s">
        <v>757</v>
      </c>
      <c r="K258" s="308" t="s">
        <v>741</v>
      </c>
      <c r="L258" s="309">
        <v>44196</v>
      </c>
      <c r="M258" s="312">
        <v>0</v>
      </c>
    </row>
    <row r="259" spans="1:13" hidden="1" x14ac:dyDescent="0.25">
      <c r="A259" s="309">
        <v>44196</v>
      </c>
      <c r="B259" s="308" t="s">
        <v>1204</v>
      </c>
      <c r="C259" s="308" t="s">
        <v>769</v>
      </c>
      <c r="D259" s="310">
        <v>7</v>
      </c>
      <c r="E259" s="311">
        <v>50.79</v>
      </c>
      <c r="F259" s="311">
        <v>-17293.490000000002</v>
      </c>
      <c r="G259" s="308" t="s">
        <v>1205</v>
      </c>
      <c r="H259" s="308" t="s">
        <v>1257</v>
      </c>
      <c r="I259" s="308" t="s">
        <v>1140</v>
      </c>
      <c r="J259" s="308" t="s">
        <v>757</v>
      </c>
      <c r="K259" s="308" t="s">
        <v>770</v>
      </c>
      <c r="L259" s="309">
        <v>44196</v>
      </c>
      <c r="M259" s="312">
        <v>0</v>
      </c>
    </row>
    <row r="260" spans="1:13" hidden="1" x14ac:dyDescent="0.25">
      <c r="A260" s="309">
        <v>44230</v>
      </c>
      <c r="B260" s="308" t="s">
        <v>1166</v>
      </c>
      <c r="C260" s="308" t="s">
        <v>1060</v>
      </c>
      <c r="D260" s="310">
        <v>7</v>
      </c>
      <c r="E260" s="311">
        <v>8494.74</v>
      </c>
      <c r="F260" s="311">
        <v>-8798.75</v>
      </c>
      <c r="G260" s="308" t="s">
        <v>1167</v>
      </c>
      <c r="H260" s="308" t="s">
        <v>1257</v>
      </c>
      <c r="I260" s="308" t="s">
        <v>1140</v>
      </c>
      <c r="J260" s="308" t="s">
        <v>757</v>
      </c>
      <c r="K260" s="308" t="s">
        <v>741</v>
      </c>
      <c r="L260" s="309">
        <v>44230</v>
      </c>
      <c r="M260" s="312">
        <v>0</v>
      </c>
    </row>
    <row r="261" spans="1:13" hidden="1" x14ac:dyDescent="0.25">
      <c r="A261" s="309">
        <v>44227</v>
      </c>
      <c r="B261" s="308" t="s">
        <v>1256</v>
      </c>
      <c r="C261" s="308" t="s">
        <v>769</v>
      </c>
      <c r="D261" s="310">
        <v>8</v>
      </c>
      <c r="E261" s="311">
        <v>87.35</v>
      </c>
      <c r="F261" s="311">
        <v>-8711.4</v>
      </c>
      <c r="G261" s="308" t="s">
        <v>1163</v>
      </c>
      <c r="H261" s="308" t="s">
        <v>1257</v>
      </c>
      <c r="I261" s="308" t="s">
        <v>1140</v>
      </c>
      <c r="J261" s="308" t="s">
        <v>757</v>
      </c>
      <c r="K261" s="308" t="s">
        <v>770</v>
      </c>
      <c r="L261" s="309">
        <v>44227</v>
      </c>
      <c r="M261" s="312">
        <v>0</v>
      </c>
    </row>
    <row r="262" spans="1:13" hidden="1" x14ac:dyDescent="0.25">
      <c r="A262" s="309">
        <v>44227</v>
      </c>
      <c r="B262" s="308" t="s">
        <v>1206</v>
      </c>
      <c r="C262" s="308" t="s">
        <v>769</v>
      </c>
      <c r="D262" s="310">
        <v>8</v>
      </c>
      <c r="E262" s="311">
        <v>57.41</v>
      </c>
      <c r="F262" s="311">
        <v>-8653.99</v>
      </c>
      <c r="G262" s="308" t="s">
        <v>1169</v>
      </c>
      <c r="H262" s="308" t="s">
        <v>1257</v>
      </c>
      <c r="I262" s="308" t="s">
        <v>1140</v>
      </c>
      <c r="J262" s="308" t="s">
        <v>757</v>
      </c>
      <c r="K262" s="308" t="s">
        <v>770</v>
      </c>
      <c r="L262" s="309">
        <v>44227</v>
      </c>
      <c r="M262" s="312">
        <v>0</v>
      </c>
    </row>
    <row r="263" spans="1:13" hidden="1" x14ac:dyDescent="0.25">
      <c r="A263" s="309">
        <v>44230</v>
      </c>
      <c r="B263" s="308" t="s">
        <v>1166</v>
      </c>
      <c r="C263" s="308" t="s">
        <v>1060</v>
      </c>
      <c r="D263" s="310">
        <v>8</v>
      </c>
      <c r="E263" s="311">
        <v>-8494.74</v>
      </c>
      <c r="F263" s="311">
        <v>-17148.73</v>
      </c>
      <c r="G263" s="308" t="s">
        <v>1167</v>
      </c>
      <c r="H263" s="308" t="s">
        <v>1257</v>
      </c>
      <c r="I263" s="308" t="s">
        <v>1140</v>
      </c>
      <c r="J263" s="308" t="s">
        <v>757</v>
      </c>
      <c r="K263" s="308" t="s">
        <v>741</v>
      </c>
      <c r="L263" s="309">
        <v>44230</v>
      </c>
      <c r="M263" s="312">
        <v>0</v>
      </c>
    </row>
    <row r="264" spans="1:13" hidden="1" x14ac:dyDescent="0.25">
      <c r="A264" s="309">
        <v>44255</v>
      </c>
      <c r="B264" s="308" t="s">
        <v>1178</v>
      </c>
      <c r="C264" s="308" t="s">
        <v>1060</v>
      </c>
      <c r="D264" s="310">
        <v>8</v>
      </c>
      <c r="E264" s="311">
        <v>8366.7800000000007</v>
      </c>
      <c r="F264" s="311">
        <v>-8781.9500000000007</v>
      </c>
      <c r="G264" s="308" t="s">
        <v>1179</v>
      </c>
      <c r="H264" s="308" t="s">
        <v>1257</v>
      </c>
      <c r="I264" s="308" t="s">
        <v>1140</v>
      </c>
      <c r="J264" s="308" t="s">
        <v>757</v>
      </c>
      <c r="K264" s="308" t="s">
        <v>741</v>
      </c>
      <c r="L264" s="309">
        <v>44255</v>
      </c>
      <c r="M264" s="312">
        <v>0</v>
      </c>
    </row>
    <row r="265" spans="1:13" hidden="1" x14ac:dyDescent="0.25">
      <c r="A265" s="309">
        <v>44255</v>
      </c>
      <c r="B265" s="308" t="s">
        <v>1207</v>
      </c>
      <c r="C265" s="308" t="s">
        <v>769</v>
      </c>
      <c r="D265" s="310">
        <v>9</v>
      </c>
      <c r="E265" s="311">
        <v>33.33</v>
      </c>
      <c r="F265" s="311">
        <v>-8748.6200000000008</v>
      </c>
      <c r="G265" s="308" t="s">
        <v>1171</v>
      </c>
      <c r="H265" s="308" t="s">
        <v>1257</v>
      </c>
      <c r="I265" s="308" t="s">
        <v>1140</v>
      </c>
      <c r="J265" s="308" t="s">
        <v>757</v>
      </c>
      <c r="K265" s="308" t="s">
        <v>770</v>
      </c>
      <c r="L265" s="309">
        <v>44255</v>
      </c>
      <c r="M265" s="312">
        <v>0</v>
      </c>
    </row>
    <row r="266" spans="1:13" hidden="1" x14ac:dyDescent="0.25">
      <c r="A266" s="309">
        <v>44255</v>
      </c>
      <c r="B266" s="308" t="s">
        <v>1178</v>
      </c>
      <c r="C266" s="308" t="s">
        <v>1060</v>
      </c>
      <c r="D266" s="310">
        <v>9</v>
      </c>
      <c r="E266" s="311">
        <v>-8366.7800000000007</v>
      </c>
      <c r="F266" s="311">
        <v>-17115.400000000001</v>
      </c>
      <c r="G266" s="308" t="s">
        <v>1179</v>
      </c>
      <c r="H266" s="308" t="s">
        <v>1257</v>
      </c>
      <c r="I266" s="308" t="s">
        <v>1140</v>
      </c>
      <c r="J266" s="308" t="s">
        <v>757</v>
      </c>
      <c r="K266" s="308" t="s">
        <v>741</v>
      </c>
      <c r="L266" s="309">
        <v>44255</v>
      </c>
      <c r="M266" s="312">
        <v>0</v>
      </c>
    </row>
    <row r="267" spans="1:13" hidden="1" x14ac:dyDescent="0.25">
      <c r="A267" s="309">
        <v>44286</v>
      </c>
      <c r="B267" s="308" t="s">
        <v>1181</v>
      </c>
      <c r="C267" s="308" t="s">
        <v>1060</v>
      </c>
      <c r="D267" s="310">
        <v>9</v>
      </c>
      <c r="E267" s="311">
        <v>8381.74</v>
      </c>
      <c r="F267" s="311">
        <v>-8733.6599999999908</v>
      </c>
      <c r="G267" s="308" t="s">
        <v>1182</v>
      </c>
      <c r="H267" s="308" t="s">
        <v>1257</v>
      </c>
      <c r="I267" s="308" t="s">
        <v>1140</v>
      </c>
      <c r="J267" s="308" t="s">
        <v>757</v>
      </c>
      <c r="K267" s="308" t="s">
        <v>741</v>
      </c>
      <c r="L267" s="309">
        <v>44286</v>
      </c>
      <c r="M267" s="312">
        <v>0</v>
      </c>
    </row>
    <row r="268" spans="1:13" hidden="1" x14ac:dyDescent="0.25">
      <c r="A268" s="309">
        <v>44286</v>
      </c>
      <c r="B268" s="308" t="s">
        <v>1208</v>
      </c>
      <c r="C268" s="308" t="s">
        <v>769</v>
      </c>
      <c r="D268" s="310">
        <v>10</v>
      </c>
      <c r="E268" s="311">
        <v>22.38</v>
      </c>
      <c r="F268" s="311">
        <v>-8711.2800000000007</v>
      </c>
      <c r="G268" s="308" t="s">
        <v>1184</v>
      </c>
      <c r="H268" s="308" t="s">
        <v>1257</v>
      </c>
      <c r="I268" s="308" t="s">
        <v>1140</v>
      </c>
      <c r="J268" s="308" t="s">
        <v>757</v>
      </c>
      <c r="K268" s="308" t="s">
        <v>770</v>
      </c>
      <c r="L268" s="309">
        <v>44286</v>
      </c>
      <c r="M268" s="312">
        <v>0</v>
      </c>
    </row>
    <row r="269" spans="1:13" hidden="1" x14ac:dyDescent="0.25">
      <c r="A269" s="309">
        <v>44286</v>
      </c>
      <c r="B269" s="308" t="s">
        <v>1181</v>
      </c>
      <c r="C269" s="308" t="s">
        <v>1060</v>
      </c>
      <c r="D269" s="310">
        <v>10</v>
      </c>
      <c r="E269" s="311">
        <v>-8381.74</v>
      </c>
      <c r="F269" s="311">
        <v>-17093.02</v>
      </c>
      <c r="G269" s="308" t="s">
        <v>1182</v>
      </c>
      <c r="H269" s="308" t="s">
        <v>1257</v>
      </c>
      <c r="I269" s="308" t="s">
        <v>1140</v>
      </c>
      <c r="J269" s="308" t="s">
        <v>757</v>
      </c>
      <c r="K269" s="308" t="s">
        <v>741</v>
      </c>
      <c r="L269" s="309">
        <v>44286</v>
      </c>
      <c r="M269" s="312">
        <v>0</v>
      </c>
    </row>
    <row r="270" spans="1:13" hidden="1" x14ac:dyDescent="0.25">
      <c r="A270" s="309">
        <v>44316</v>
      </c>
      <c r="B270" s="308" t="s">
        <v>1104</v>
      </c>
      <c r="C270" s="308" t="s">
        <v>1060</v>
      </c>
      <c r="D270" s="310">
        <v>10</v>
      </c>
      <c r="E270" s="311">
        <v>8421.24</v>
      </c>
      <c r="F270" s="311">
        <v>-8671.7800000000007</v>
      </c>
      <c r="G270" s="308" t="s">
        <v>1096</v>
      </c>
      <c r="H270" s="308" t="s">
        <v>1257</v>
      </c>
      <c r="I270" s="308" t="s">
        <v>1140</v>
      </c>
      <c r="J270" s="308" t="s">
        <v>757</v>
      </c>
      <c r="K270" s="308" t="s">
        <v>741</v>
      </c>
      <c r="L270" s="309">
        <v>44316</v>
      </c>
      <c r="M270" s="312">
        <v>0</v>
      </c>
    </row>
    <row r="271" spans="1:13" hidden="1" x14ac:dyDescent="0.25">
      <c r="A271" s="309">
        <v>43921</v>
      </c>
      <c r="B271" s="308" t="s">
        <v>1193</v>
      </c>
      <c r="C271" s="308" t="s">
        <v>769</v>
      </c>
      <c r="D271" s="310">
        <v>1</v>
      </c>
      <c r="E271" s="311">
        <v>415.45</v>
      </c>
      <c r="F271" s="311">
        <v>-16642.12</v>
      </c>
      <c r="G271" s="308" t="s">
        <v>1194</v>
      </c>
      <c r="H271" s="308" t="s">
        <v>1258</v>
      </c>
      <c r="I271" s="308" t="s">
        <v>1140</v>
      </c>
      <c r="J271" s="308" t="s">
        <v>757</v>
      </c>
      <c r="K271" s="308" t="s">
        <v>770</v>
      </c>
      <c r="L271" s="309">
        <v>43921</v>
      </c>
      <c r="M271" s="312">
        <v>0</v>
      </c>
    </row>
    <row r="272" spans="1:13" hidden="1" x14ac:dyDescent="0.25">
      <c r="A272" s="309">
        <v>44012</v>
      </c>
      <c r="B272" s="308" t="s">
        <v>1196</v>
      </c>
      <c r="C272" s="308" t="s">
        <v>1059</v>
      </c>
      <c r="D272" s="310">
        <v>1</v>
      </c>
      <c r="E272" s="311">
        <v>-415.45</v>
      </c>
      <c r="F272" s="311">
        <v>-17057.57</v>
      </c>
      <c r="G272" s="308" t="s">
        <v>1197</v>
      </c>
      <c r="H272" s="308" t="s">
        <v>1258</v>
      </c>
      <c r="I272" s="308" t="s">
        <v>1140</v>
      </c>
      <c r="J272" s="308" t="s">
        <v>757</v>
      </c>
      <c r="K272" s="308" t="s">
        <v>741</v>
      </c>
      <c r="L272" s="309">
        <v>44012</v>
      </c>
      <c r="M272" s="312">
        <v>0</v>
      </c>
    </row>
    <row r="273" spans="1:13" hidden="1" x14ac:dyDescent="0.25">
      <c r="A273" s="309">
        <v>44012</v>
      </c>
      <c r="B273" s="308" t="s">
        <v>1141</v>
      </c>
      <c r="C273" s="308" t="s">
        <v>1059</v>
      </c>
      <c r="D273" s="310">
        <v>1</v>
      </c>
      <c r="E273" s="311">
        <v>-1254.98</v>
      </c>
      <c r="F273" s="311">
        <v>-18312.55</v>
      </c>
      <c r="G273" s="308" t="s">
        <v>1142</v>
      </c>
      <c r="H273" s="308" t="s">
        <v>1258</v>
      </c>
      <c r="I273" s="308" t="s">
        <v>1140</v>
      </c>
      <c r="J273" s="308" t="s">
        <v>757</v>
      </c>
      <c r="K273" s="308" t="s">
        <v>741</v>
      </c>
      <c r="L273" s="309">
        <v>44012</v>
      </c>
      <c r="M273" s="312">
        <v>0</v>
      </c>
    </row>
    <row r="274" spans="1:13" hidden="1" x14ac:dyDescent="0.25">
      <c r="A274" s="309">
        <v>44043</v>
      </c>
      <c r="B274" s="308" t="s">
        <v>1143</v>
      </c>
      <c r="C274" s="308" t="s">
        <v>1060</v>
      </c>
      <c r="D274" s="310">
        <v>1</v>
      </c>
      <c r="E274" s="311">
        <v>1254.98</v>
      </c>
      <c r="F274" s="311">
        <v>-17057.57</v>
      </c>
      <c r="G274" s="308" t="s">
        <v>1144</v>
      </c>
      <c r="H274" s="308" t="s">
        <v>1258</v>
      </c>
      <c r="I274" s="308" t="s">
        <v>1140</v>
      </c>
      <c r="J274" s="308" t="s">
        <v>757</v>
      </c>
      <c r="K274" s="308" t="s">
        <v>741</v>
      </c>
      <c r="L274" s="309">
        <v>44043</v>
      </c>
      <c r="M274" s="312">
        <v>0</v>
      </c>
    </row>
    <row r="275" spans="1:13" hidden="1" x14ac:dyDescent="0.25">
      <c r="A275" s="309">
        <v>44043</v>
      </c>
      <c r="B275" s="308" t="s">
        <v>1143</v>
      </c>
      <c r="C275" s="308" t="s">
        <v>1060</v>
      </c>
      <c r="D275" s="310">
        <v>2</v>
      </c>
      <c r="E275" s="311">
        <v>-1254.98</v>
      </c>
      <c r="F275" s="311">
        <v>-18312.55</v>
      </c>
      <c r="G275" s="308" t="s">
        <v>1144</v>
      </c>
      <c r="H275" s="308" t="s">
        <v>1258</v>
      </c>
      <c r="I275" s="308" t="s">
        <v>1140</v>
      </c>
      <c r="J275" s="308" t="s">
        <v>757</v>
      </c>
      <c r="K275" s="308" t="s">
        <v>741</v>
      </c>
      <c r="L275" s="309">
        <v>44043</v>
      </c>
      <c r="M275" s="312">
        <v>0</v>
      </c>
    </row>
    <row r="276" spans="1:13" hidden="1" x14ac:dyDescent="0.25">
      <c r="A276" s="309">
        <v>44074</v>
      </c>
      <c r="B276" s="308" t="s">
        <v>1147</v>
      </c>
      <c r="C276" s="308" t="s">
        <v>1060</v>
      </c>
      <c r="D276" s="310">
        <v>2</v>
      </c>
      <c r="E276" s="311">
        <v>1254.98</v>
      </c>
      <c r="F276" s="311">
        <v>-17057.57</v>
      </c>
      <c r="G276" s="308" t="s">
        <v>1148</v>
      </c>
      <c r="H276" s="308" t="s">
        <v>1258</v>
      </c>
      <c r="I276" s="308" t="s">
        <v>1140</v>
      </c>
      <c r="J276" s="308" t="s">
        <v>757</v>
      </c>
      <c r="K276" s="308" t="s">
        <v>741</v>
      </c>
      <c r="L276" s="309">
        <v>44074</v>
      </c>
      <c r="M276" s="312">
        <v>0</v>
      </c>
    </row>
    <row r="277" spans="1:13" hidden="1" x14ac:dyDescent="0.25">
      <c r="A277" s="309">
        <v>44074</v>
      </c>
      <c r="B277" s="308" t="s">
        <v>1147</v>
      </c>
      <c r="C277" s="308" t="s">
        <v>1060</v>
      </c>
      <c r="D277" s="310">
        <v>3</v>
      </c>
      <c r="E277" s="311">
        <v>-1254.98</v>
      </c>
      <c r="F277" s="311">
        <v>-18312.55</v>
      </c>
      <c r="G277" s="308" t="s">
        <v>1148</v>
      </c>
      <c r="H277" s="308" t="s">
        <v>1258</v>
      </c>
      <c r="I277" s="308" t="s">
        <v>1140</v>
      </c>
      <c r="J277" s="308" t="s">
        <v>757</v>
      </c>
      <c r="K277" s="308" t="s">
        <v>741</v>
      </c>
      <c r="L277" s="309">
        <v>44074</v>
      </c>
      <c r="M277" s="312">
        <v>0</v>
      </c>
    </row>
    <row r="278" spans="1:13" hidden="1" x14ac:dyDescent="0.25">
      <c r="A278" s="309">
        <v>44104</v>
      </c>
      <c r="B278" s="308" t="s">
        <v>1198</v>
      </c>
      <c r="C278" s="308" t="s">
        <v>1060</v>
      </c>
      <c r="D278" s="310">
        <v>3</v>
      </c>
      <c r="E278" s="311">
        <v>1254.98</v>
      </c>
      <c r="F278" s="311">
        <v>-17057.57</v>
      </c>
      <c r="G278" s="308" t="s">
        <v>1199</v>
      </c>
      <c r="H278" s="308" t="s">
        <v>1258</v>
      </c>
      <c r="I278" s="308" t="s">
        <v>1140</v>
      </c>
      <c r="J278" s="308" t="s">
        <v>757</v>
      </c>
      <c r="K278" s="308" t="s">
        <v>741</v>
      </c>
      <c r="L278" s="309">
        <v>44104</v>
      </c>
      <c r="M278" s="312">
        <v>0</v>
      </c>
    </row>
    <row r="279" spans="1:13" hidden="1" x14ac:dyDescent="0.25">
      <c r="A279" s="309">
        <v>44104</v>
      </c>
      <c r="B279" s="308" t="s">
        <v>1198</v>
      </c>
      <c r="C279" s="308" t="s">
        <v>1060</v>
      </c>
      <c r="D279" s="310">
        <v>4</v>
      </c>
      <c r="E279" s="311">
        <v>-1254.98</v>
      </c>
      <c r="F279" s="311">
        <v>-18312.55</v>
      </c>
      <c r="G279" s="308" t="s">
        <v>1199</v>
      </c>
      <c r="H279" s="308" t="s">
        <v>1258</v>
      </c>
      <c r="I279" s="308" t="s">
        <v>1140</v>
      </c>
      <c r="J279" s="308" t="s">
        <v>757</v>
      </c>
      <c r="K279" s="308" t="s">
        <v>741</v>
      </c>
      <c r="L279" s="309">
        <v>44104</v>
      </c>
      <c r="M279" s="312">
        <v>0</v>
      </c>
    </row>
    <row r="280" spans="1:13" hidden="1" x14ac:dyDescent="0.25">
      <c r="A280" s="309">
        <v>44135</v>
      </c>
      <c r="B280" s="308" t="s">
        <v>1200</v>
      </c>
      <c r="C280" s="308" t="s">
        <v>1060</v>
      </c>
      <c r="D280" s="310">
        <v>4</v>
      </c>
      <c r="E280" s="311">
        <v>1254.98</v>
      </c>
      <c r="F280" s="311">
        <v>-17057.57</v>
      </c>
      <c r="G280" s="308" t="s">
        <v>1201</v>
      </c>
      <c r="H280" s="308" t="s">
        <v>1258</v>
      </c>
      <c r="I280" s="308" t="s">
        <v>1140</v>
      </c>
      <c r="J280" s="308" t="s">
        <v>757</v>
      </c>
      <c r="K280" s="308" t="s">
        <v>741</v>
      </c>
      <c r="L280" s="309">
        <v>44135</v>
      </c>
      <c r="M280" s="312">
        <v>0</v>
      </c>
    </row>
    <row r="281" spans="1:13" hidden="1" x14ac:dyDescent="0.25">
      <c r="A281" s="309">
        <v>44135</v>
      </c>
      <c r="B281" s="308" t="s">
        <v>1200</v>
      </c>
      <c r="C281" s="308" t="s">
        <v>1060</v>
      </c>
      <c r="D281" s="310">
        <v>5</v>
      </c>
      <c r="E281" s="311">
        <v>-1254.98</v>
      </c>
      <c r="F281" s="311">
        <v>-18312.55</v>
      </c>
      <c r="G281" s="308" t="s">
        <v>1201</v>
      </c>
      <c r="H281" s="308" t="s">
        <v>1258</v>
      </c>
      <c r="I281" s="308" t="s">
        <v>1140</v>
      </c>
      <c r="J281" s="308" t="s">
        <v>757</v>
      </c>
      <c r="K281" s="308" t="s">
        <v>741</v>
      </c>
      <c r="L281" s="309">
        <v>44135</v>
      </c>
      <c r="M281" s="312">
        <v>0</v>
      </c>
    </row>
    <row r="282" spans="1:13" hidden="1" x14ac:dyDescent="0.25">
      <c r="A282" s="309">
        <v>44165</v>
      </c>
      <c r="B282" s="308" t="s">
        <v>1158</v>
      </c>
      <c r="C282" s="308" t="s">
        <v>1060</v>
      </c>
      <c r="D282" s="310">
        <v>5</v>
      </c>
      <c r="E282" s="311">
        <v>1254.98</v>
      </c>
      <c r="F282" s="311">
        <v>-17057.57</v>
      </c>
      <c r="G282" s="308" t="s">
        <v>1159</v>
      </c>
      <c r="H282" s="308" t="s">
        <v>1258</v>
      </c>
      <c r="I282" s="308" t="s">
        <v>1140</v>
      </c>
      <c r="J282" s="308" t="s">
        <v>757</v>
      </c>
      <c r="K282" s="308" t="s">
        <v>741</v>
      </c>
      <c r="L282" s="309">
        <v>44165</v>
      </c>
      <c r="M282" s="312">
        <v>0</v>
      </c>
    </row>
    <row r="283" spans="1:13" hidden="1" x14ac:dyDescent="0.25">
      <c r="A283" s="309">
        <v>44165</v>
      </c>
      <c r="B283" s="308" t="s">
        <v>1158</v>
      </c>
      <c r="C283" s="308" t="s">
        <v>1060</v>
      </c>
      <c r="D283" s="310">
        <v>6</v>
      </c>
      <c r="E283" s="311">
        <v>-1254.98</v>
      </c>
      <c r="F283" s="311">
        <v>-18312.55</v>
      </c>
      <c r="G283" s="308" t="s">
        <v>1159</v>
      </c>
      <c r="H283" s="308" t="s">
        <v>1258</v>
      </c>
      <c r="I283" s="308" t="s">
        <v>1140</v>
      </c>
      <c r="J283" s="308" t="s">
        <v>757</v>
      </c>
      <c r="K283" s="308" t="s">
        <v>741</v>
      </c>
      <c r="L283" s="309">
        <v>44165</v>
      </c>
      <c r="M283" s="312">
        <v>0</v>
      </c>
    </row>
    <row r="284" spans="1:13" hidden="1" x14ac:dyDescent="0.25">
      <c r="A284" s="309">
        <v>44196</v>
      </c>
      <c r="B284" s="308" t="s">
        <v>1160</v>
      </c>
      <c r="C284" s="308" t="s">
        <v>1060</v>
      </c>
      <c r="D284" s="310">
        <v>6</v>
      </c>
      <c r="E284" s="311">
        <v>1254.98</v>
      </c>
      <c r="F284" s="311">
        <v>-17057.57</v>
      </c>
      <c r="G284" s="308" t="s">
        <v>1161</v>
      </c>
      <c r="H284" s="308" t="s">
        <v>1258</v>
      </c>
      <c r="I284" s="308" t="s">
        <v>1140</v>
      </c>
      <c r="J284" s="308" t="s">
        <v>757</v>
      </c>
      <c r="K284" s="308" t="s">
        <v>741</v>
      </c>
      <c r="L284" s="309">
        <v>44196</v>
      </c>
      <c r="M284" s="312">
        <v>0</v>
      </c>
    </row>
    <row r="285" spans="1:13" hidden="1" x14ac:dyDescent="0.25">
      <c r="A285" s="309">
        <v>44196</v>
      </c>
      <c r="B285" s="308" t="s">
        <v>1160</v>
      </c>
      <c r="C285" s="308" t="s">
        <v>1060</v>
      </c>
      <c r="D285" s="310">
        <v>7</v>
      </c>
      <c r="E285" s="311">
        <v>-1254.98</v>
      </c>
      <c r="F285" s="311">
        <v>-18312.55</v>
      </c>
      <c r="G285" s="308" t="s">
        <v>1161</v>
      </c>
      <c r="H285" s="308" t="s">
        <v>1258</v>
      </c>
      <c r="I285" s="308" t="s">
        <v>1140</v>
      </c>
      <c r="J285" s="308" t="s">
        <v>757</v>
      </c>
      <c r="K285" s="308" t="s">
        <v>741</v>
      </c>
      <c r="L285" s="309">
        <v>44196</v>
      </c>
      <c r="M285" s="312">
        <v>0</v>
      </c>
    </row>
    <row r="286" spans="1:13" hidden="1" x14ac:dyDescent="0.25">
      <c r="A286" s="309">
        <v>44230</v>
      </c>
      <c r="B286" s="308" t="s">
        <v>1166</v>
      </c>
      <c r="C286" s="308" t="s">
        <v>1060</v>
      </c>
      <c r="D286" s="310">
        <v>7</v>
      </c>
      <c r="E286" s="311">
        <v>1254.98</v>
      </c>
      <c r="F286" s="311">
        <v>-17057.57</v>
      </c>
      <c r="G286" s="308" t="s">
        <v>1167</v>
      </c>
      <c r="H286" s="308" t="s">
        <v>1258</v>
      </c>
      <c r="I286" s="308" t="s">
        <v>1140</v>
      </c>
      <c r="J286" s="308" t="s">
        <v>757</v>
      </c>
      <c r="K286" s="308" t="s">
        <v>741</v>
      </c>
      <c r="L286" s="309">
        <v>44230</v>
      </c>
      <c r="M286" s="312">
        <v>0</v>
      </c>
    </row>
    <row r="287" spans="1:13" hidden="1" x14ac:dyDescent="0.25">
      <c r="A287" s="309">
        <v>44230</v>
      </c>
      <c r="B287" s="308" t="s">
        <v>1166</v>
      </c>
      <c r="C287" s="308" t="s">
        <v>1060</v>
      </c>
      <c r="D287" s="310">
        <v>8</v>
      </c>
      <c r="E287" s="311">
        <v>-1254.98</v>
      </c>
      <c r="F287" s="311">
        <v>-18312.55</v>
      </c>
      <c r="G287" s="308" t="s">
        <v>1167</v>
      </c>
      <c r="H287" s="308" t="s">
        <v>1258</v>
      </c>
      <c r="I287" s="308" t="s">
        <v>1140</v>
      </c>
      <c r="J287" s="308" t="s">
        <v>757</v>
      </c>
      <c r="K287" s="308" t="s">
        <v>741</v>
      </c>
      <c r="L287" s="309">
        <v>44230</v>
      </c>
      <c r="M287" s="312">
        <v>0</v>
      </c>
    </row>
    <row r="288" spans="1:13" hidden="1" x14ac:dyDescent="0.25">
      <c r="A288" s="309">
        <v>44255</v>
      </c>
      <c r="B288" s="308" t="s">
        <v>1178</v>
      </c>
      <c r="C288" s="308" t="s">
        <v>1060</v>
      </c>
      <c r="D288" s="310">
        <v>8</v>
      </c>
      <c r="E288" s="311">
        <v>1254.98</v>
      </c>
      <c r="F288" s="311">
        <v>-17057.57</v>
      </c>
      <c r="G288" s="308" t="s">
        <v>1179</v>
      </c>
      <c r="H288" s="308" t="s">
        <v>1258</v>
      </c>
      <c r="I288" s="308" t="s">
        <v>1140</v>
      </c>
      <c r="J288" s="308" t="s">
        <v>757</v>
      </c>
      <c r="K288" s="308" t="s">
        <v>741</v>
      </c>
      <c r="L288" s="309">
        <v>44255</v>
      </c>
      <c r="M288" s="312">
        <v>0</v>
      </c>
    </row>
    <row r="289" spans="1:13" hidden="1" x14ac:dyDescent="0.25">
      <c r="A289" s="309">
        <v>44255</v>
      </c>
      <c r="B289" s="308" t="s">
        <v>1178</v>
      </c>
      <c r="C289" s="308" t="s">
        <v>1060</v>
      </c>
      <c r="D289" s="310">
        <v>9</v>
      </c>
      <c r="E289" s="311">
        <v>-1254.98</v>
      </c>
      <c r="F289" s="311">
        <v>-18312.55</v>
      </c>
      <c r="G289" s="308" t="s">
        <v>1179</v>
      </c>
      <c r="H289" s="308" t="s">
        <v>1258</v>
      </c>
      <c r="I289" s="308" t="s">
        <v>1140</v>
      </c>
      <c r="J289" s="308" t="s">
        <v>757</v>
      </c>
      <c r="K289" s="308" t="s">
        <v>741</v>
      </c>
      <c r="L289" s="309">
        <v>44255</v>
      </c>
      <c r="M289" s="312">
        <v>0</v>
      </c>
    </row>
    <row r="290" spans="1:13" hidden="1" x14ac:dyDescent="0.25">
      <c r="A290" s="309">
        <v>44286</v>
      </c>
      <c r="B290" s="308" t="s">
        <v>1181</v>
      </c>
      <c r="C290" s="308" t="s">
        <v>1060</v>
      </c>
      <c r="D290" s="310">
        <v>9</v>
      </c>
      <c r="E290" s="311">
        <v>1254.98</v>
      </c>
      <c r="F290" s="311">
        <v>-17057.57</v>
      </c>
      <c r="G290" s="308" t="s">
        <v>1182</v>
      </c>
      <c r="H290" s="308" t="s">
        <v>1258</v>
      </c>
      <c r="I290" s="308" t="s">
        <v>1140</v>
      </c>
      <c r="J290" s="308" t="s">
        <v>757</v>
      </c>
      <c r="K290" s="308" t="s">
        <v>741</v>
      </c>
      <c r="L290" s="309">
        <v>44286</v>
      </c>
      <c r="M290" s="312">
        <v>0</v>
      </c>
    </row>
    <row r="291" spans="1:13" hidden="1" x14ac:dyDescent="0.25">
      <c r="A291" s="309">
        <v>44286</v>
      </c>
      <c r="B291" s="308" t="s">
        <v>1181</v>
      </c>
      <c r="C291" s="308" t="s">
        <v>1060</v>
      </c>
      <c r="D291" s="310">
        <v>10</v>
      </c>
      <c r="E291" s="311">
        <v>-1254.98</v>
      </c>
      <c r="F291" s="311">
        <v>-18312.55</v>
      </c>
      <c r="G291" s="308" t="s">
        <v>1182</v>
      </c>
      <c r="H291" s="308" t="s">
        <v>1258</v>
      </c>
      <c r="I291" s="308" t="s">
        <v>1140</v>
      </c>
      <c r="J291" s="308" t="s">
        <v>757</v>
      </c>
      <c r="K291" s="308" t="s">
        <v>741</v>
      </c>
      <c r="L291" s="309">
        <v>44286</v>
      </c>
      <c r="M291" s="312">
        <v>0</v>
      </c>
    </row>
    <row r="292" spans="1:13" hidden="1" x14ac:dyDescent="0.25">
      <c r="A292" s="309">
        <v>44316</v>
      </c>
      <c r="B292" s="308" t="s">
        <v>1104</v>
      </c>
      <c r="C292" s="308" t="s">
        <v>1060</v>
      </c>
      <c r="D292" s="310">
        <v>10</v>
      </c>
      <c r="E292" s="311">
        <v>1254.98</v>
      </c>
      <c r="F292" s="311">
        <v>-17057.57</v>
      </c>
      <c r="G292" s="308" t="s">
        <v>1096</v>
      </c>
      <c r="H292" s="308" t="s">
        <v>1258</v>
      </c>
      <c r="I292" s="308" t="s">
        <v>1140</v>
      </c>
      <c r="J292" s="308" t="s">
        <v>757</v>
      </c>
      <c r="K292" s="308" t="s">
        <v>741</v>
      </c>
      <c r="L292" s="309">
        <v>44316</v>
      </c>
      <c r="M292" s="312">
        <v>0</v>
      </c>
    </row>
    <row r="293" spans="1:13" hidden="1" x14ac:dyDescent="0.25">
      <c r="A293" s="309">
        <v>43921</v>
      </c>
      <c r="B293" s="308" t="s">
        <v>1193</v>
      </c>
      <c r="C293" s="308" t="s">
        <v>769</v>
      </c>
      <c r="D293" s="310">
        <v>1</v>
      </c>
      <c r="E293" s="311">
        <v>572.77</v>
      </c>
      <c r="F293" s="311">
        <v>-17739.78</v>
      </c>
      <c r="G293" s="308" t="s">
        <v>1194</v>
      </c>
      <c r="H293" s="308" t="s">
        <v>1259</v>
      </c>
      <c r="I293" s="308" t="s">
        <v>1140</v>
      </c>
      <c r="J293" s="308" t="s">
        <v>757</v>
      </c>
      <c r="K293" s="308" t="s">
        <v>770</v>
      </c>
      <c r="L293" s="309">
        <v>43921</v>
      </c>
      <c r="M293" s="312">
        <v>0</v>
      </c>
    </row>
    <row r="294" spans="1:13" hidden="1" x14ac:dyDescent="0.25">
      <c r="A294" s="309">
        <v>44012</v>
      </c>
      <c r="B294" s="308" t="s">
        <v>1141</v>
      </c>
      <c r="C294" s="308" t="s">
        <v>1059</v>
      </c>
      <c r="D294" s="310">
        <v>1</v>
      </c>
      <c r="E294" s="311">
        <v>-1200</v>
      </c>
      <c r="F294" s="311">
        <v>-18939.78</v>
      </c>
      <c r="G294" s="308" t="s">
        <v>1142</v>
      </c>
      <c r="H294" s="308" t="s">
        <v>1259</v>
      </c>
      <c r="I294" s="308" t="s">
        <v>1140</v>
      </c>
      <c r="J294" s="308" t="s">
        <v>757</v>
      </c>
      <c r="K294" s="308" t="s">
        <v>741</v>
      </c>
      <c r="L294" s="309">
        <v>44012</v>
      </c>
      <c r="M294" s="312">
        <v>0</v>
      </c>
    </row>
    <row r="295" spans="1:13" hidden="1" x14ac:dyDescent="0.25">
      <c r="A295" s="309">
        <v>44012</v>
      </c>
      <c r="B295" s="308" t="s">
        <v>1196</v>
      </c>
      <c r="C295" s="308" t="s">
        <v>1059</v>
      </c>
      <c r="D295" s="310">
        <v>1</v>
      </c>
      <c r="E295" s="311">
        <v>-572.77</v>
      </c>
      <c r="F295" s="311">
        <v>-19512.55</v>
      </c>
      <c r="G295" s="308" t="s">
        <v>1197</v>
      </c>
      <c r="H295" s="308" t="s">
        <v>1259</v>
      </c>
      <c r="I295" s="308" t="s">
        <v>1140</v>
      </c>
      <c r="J295" s="308" t="s">
        <v>757</v>
      </c>
      <c r="K295" s="308" t="s">
        <v>741</v>
      </c>
      <c r="L295" s="309">
        <v>44012</v>
      </c>
      <c r="M295" s="312">
        <v>0</v>
      </c>
    </row>
    <row r="296" spans="1:13" hidden="1" x14ac:dyDescent="0.25">
      <c r="A296" s="309">
        <v>44043</v>
      </c>
      <c r="B296" s="308" t="s">
        <v>1143</v>
      </c>
      <c r="C296" s="308" t="s">
        <v>1060</v>
      </c>
      <c r="D296" s="310">
        <v>1</v>
      </c>
      <c r="E296" s="311">
        <v>1200</v>
      </c>
      <c r="F296" s="311">
        <v>-18312.55</v>
      </c>
      <c r="G296" s="308" t="s">
        <v>1144</v>
      </c>
      <c r="H296" s="308" t="s">
        <v>1259</v>
      </c>
      <c r="I296" s="308" t="s">
        <v>1140</v>
      </c>
      <c r="J296" s="308" t="s">
        <v>757</v>
      </c>
      <c r="K296" s="308" t="s">
        <v>741</v>
      </c>
      <c r="L296" s="309">
        <v>44043</v>
      </c>
      <c r="M296" s="312">
        <v>0</v>
      </c>
    </row>
    <row r="297" spans="1:13" hidden="1" x14ac:dyDescent="0.25">
      <c r="A297" s="309">
        <v>44043</v>
      </c>
      <c r="B297" s="308" t="s">
        <v>1143</v>
      </c>
      <c r="C297" s="308" t="s">
        <v>1060</v>
      </c>
      <c r="D297" s="310">
        <v>2</v>
      </c>
      <c r="E297" s="311">
        <v>-1200</v>
      </c>
      <c r="F297" s="311">
        <v>-19512.55</v>
      </c>
      <c r="G297" s="308" t="s">
        <v>1144</v>
      </c>
      <c r="H297" s="308" t="s">
        <v>1259</v>
      </c>
      <c r="I297" s="308" t="s">
        <v>1140</v>
      </c>
      <c r="J297" s="308" t="s">
        <v>757</v>
      </c>
      <c r="K297" s="308" t="s">
        <v>741</v>
      </c>
      <c r="L297" s="309">
        <v>44043</v>
      </c>
      <c r="M297" s="312">
        <v>0</v>
      </c>
    </row>
    <row r="298" spans="1:13" hidden="1" x14ac:dyDescent="0.25">
      <c r="A298" s="309">
        <v>44074</v>
      </c>
      <c r="B298" s="308" t="s">
        <v>1147</v>
      </c>
      <c r="C298" s="308" t="s">
        <v>1060</v>
      </c>
      <c r="D298" s="310">
        <v>2</v>
      </c>
      <c r="E298" s="311">
        <v>1200</v>
      </c>
      <c r="F298" s="311">
        <v>-18312.55</v>
      </c>
      <c r="G298" s="308" t="s">
        <v>1148</v>
      </c>
      <c r="H298" s="308" t="s">
        <v>1259</v>
      </c>
      <c r="I298" s="308" t="s">
        <v>1140</v>
      </c>
      <c r="J298" s="308" t="s">
        <v>757</v>
      </c>
      <c r="K298" s="308" t="s">
        <v>741</v>
      </c>
      <c r="L298" s="309">
        <v>44074</v>
      </c>
      <c r="M298" s="312">
        <v>0</v>
      </c>
    </row>
    <row r="299" spans="1:13" hidden="1" x14ac:dyDescent="0.25">
      <c r="A299" s="309">
        <v>44074</v>
      </c>
      <c r="B299" s="308" t="s">
        <v>1147</v>
      </c>
      <c r="C299" s="308" t="s">
        <v>1060</v>
      </c>
      <c r="D299" s="310">
        <v>3</v>
      </c>
      <c r="E299" s="311">
        <v>-1200</v>
      </c>
      <c r="F299" s="311">
        <v>-19512.55</v>
      </c>
      <c r="G299" s="308" t="s">
        <v>1148</v>
      </c>
      <c r="H299" s="308" t="s">
        <v>1259</v>
      </c>
      <c r="I299" s="308" t="s">
        <v>1140</v>
      </c>
      <c r="J299" s="308" t="s">
        <v>757</v>
      </c>
      <c r="K299" s="308" t="s">
        <v>741</v>
      </c>
      <c r="L299" s="309">
        <v>44074</v>
      </c>
      <c r="M299" s="312">
        <v>0</v>
      </c>
    </row>
    <row r="300" spans="1:13" hidden="1" x14ac:dyDescent="0.25">
      <c r="A300" s="309">
        <v>44104</v>
      </c>
      <c r="B300" s="308" t="s">
        <v>1198</v>
      </c>
      <c r="C300" s="308" t="s">
        <v>1060</v>
      </c>
      <c r="D300" s="310">
        <v>3</v>
      </c>
      <c r="E300" s="311">
        <v>1200</v>
      </c>
      <c r="F300" s="311">
        <v>-18312.55</v>
      </c>
      <c r="G300" s="308" t="s">
        <v>1199</v>
      </c>
      <c r="H300" s="308" t="s">
        <v>1259</v>
      </c>
      <c r="I300" s="308" t="s">
        <v>1140</v>
      </c>
      <c r="J300" s="308" t="s">
        <v>757</v>
      </c>
      <c r="K300" s="308" t="s">
        <v>741</v>
      </c>
      <c r="L300" s="309">
        <v>44104</v>
      </c>
      <c r="M300" s="312">
        <v>0</v>
      </c>
    </row>
    <row r="301" spans="1:13" hidden="1" x14ac:dyDescent="0.25">
      <c r="A301" s="309">
        <v>44104</v>
      </c>
      <c r="B301" s="308" t="s">
        <v>1198</v>
      </c>
      <c r="C301" s="308" t="s">
        <v>1060</v>
      </c>
      <c r="D301" s="310">
        <v>4</v>
      </c>
      <c r="E301" s="311">
        <v>-1200</v>
      </c>
      <c r="F301" s="311">
        <v>-19512.55</v>
      </c>
      <c r="G301" s="308" t="s">
        <v>1199</v>
      </c>
      <c r="H301" s="308" t="s">
        <v>1259</v>
      </c>
      <c r="I301" s="308" t="s">
        <v>1140</v>
      </c>
      <c r="J301" s="308" t="s">
        <v>757</v>
      </c>
      <c r="K301" s="308" t="s">
        <v>741</v>
      </c>
      <c r="L301" s="309">
        <v>44104</v>
      </c>
      <c r="M301" s="312">
        <v>0</v>
      </c>
    </row>
    <row r="302" spans="1:13" hidden="1" x14ac:dyDescent="0.25">
      <c r="A302" s="309">
        <v>44135</v>
      </c>
      <c r="B302" s="308" t="s">
        <v>1200</v>
      </c>
      <c r="C302" s="308" t="s">
        <v>1060</v>
      </c>
      <c r="D302" s="310">
        <v>4</v>
      </c>
      <c r="E302" s="311">
        <v>1200</v>
      </c>
      <c r="F302" s="311">
        <v>-18312.55</v>
      </c>
      <c r="G302" s="308" t="s">
        <v>1201</v>
      </c>
      <c r="H302" s="308" t="s">
        <v>1259</v>
      </c>
      <c r="I302" s="308" t="s">
        <v>1140</v>
      </c>
      <c r="J302" s="308" t="s">
        <v>757</v>
      </c>
      <c r="K302" s="308" t="s">
        <v>741</v>
      </c>
      <c r="L302" s="309">
        <v>44135</v>
      </c>
      <c r="M302" s="312">
        <v>0</v>
      </c>
    </row>
    <row r="303" spans="1:13" hidden="1" x14ac:dyDescent="0.25">
      <c r="A303" s="309">
        <v>44135</v>
      </c>
      <c r="B303" s="308" t="s">
        <v>1200</v>
      </c>
      <c r="C303" s="308" t="s">
        <v>1060</v>
      </c>
      <c r="D303" s="310">
        <v>5</v>
      </c>
      <c r="E303" s="311">
        <v>-1200</v>
      </c>
      <c r="F303" s="311">
        <v>-19512.55</v>
      </c>
      <c r="G303" s="308" t="s">
        <v>1201</v>
      </c>
      <c r="H303" s="308" t="s">
        <v>1259</v>
      </c>
      <c r="I303" s="308" t="s">
        <v>1140</v>
      </c>
      <c r="J303" s="308" t="s">
        <v>757</v>
      </c>
      <c r="K303" s="308" t="s">
        <v>741</v>
      </c>
      <c r="L303" s="309">
        <v>44135</v>
      </c>
      <c r="M303" s="312">
        <v>0</v>
      </c>
    </row>
    <row r="304" spans="1:13" hidden="1" x14ac:dyDescent="0.25">
      <c r="A304" s="309">
        <v>44165</v>
      </c>
      <c r="B304" s="308" t="s">
        <v>1158</v>
      </c>
      <c r="C304" s="308" t="s">
        <v>1060</v>
      </c>
      <c r="D304" s="310">
        <v>5</v>
      </c>
      <c r="E304" s="311">
        <v>1200</v>
      </c>
      <c r="F304" s="311">
        <v>-18312.55</v>
      </c>
      <c r="G304" s="308" t="s">
        <v>1159</v>
      </c>
      <c r="H304" s="308" t="s">
        <v>1259</v>
      </c>
      <c r="I304" s="308" t="s">
        <v>1140</v>
      </c>
      <c r="J304" s="308" t="s">
        <v>757</v>
      </c>
      <c r="K304" s="308" t="s">
        <v>741</v>
      </c>
      <c r="L304" s="309">
        <v>44165</v>
      </c>
      <c r="M304" s="312">
        <v>0</v>
      </c>
    </row>
    <row r="305" spans="1:13" hidden="1" x14ac:dyDescent="0.25">
      <c r="A305" s="309">
        <v>44165</v>
      </c>
      <c r="B305" s="308" t="s">
        <v>1158</v>
      </c>
      <c r="C305" s="308" t="s">
        <v>1060</v>
      </c>
      <c r="D305" s="310">
        <v>6</v>
      </c>
      <c r="E305" s="311">
        <v>-1200</v>
      </c>
      <c r="F305" s="311">
        <v>-19512.55</v>
      </c>
      <c r="G305" s="308" t="s">
        <v>1159</v>
      </c>
      <c r="H305" s="308" t="s">
        <v>1259</v>
      </c>
      <c r="I305" s="308" t="s">
        <v>1140</v>
      </c>
      <c r="J305" s="308" t="s">
        <v>757</v>
      </c>
      <c r="K305" s="308" t="s">
        <v>741</v>
      </c>
      <c r="L305" s="309">
        <v>44165</v>
      </c>
      <c r="M305" s="312">
        <v>0</v>
      </c>
    </row>
    <row r="306" spans="1:13" hidden="1" x14ac:dyDescent="0.25">
      <c r="A306" s="309">
        <v>44196</v>
      </c>
      <c r="B306" s="308" t="s">
        <v>1160</v>
      </c>
      <c r="C306" s="308" t="s">
        <v>1060</v>
      </c>
      <c r="D306" s="310">
        <v>6</v>
      </c>
      <c r="E306" s="311">
        <v>1200</v>
      </c>
      <c r="F306" s="311">
        <v>-18312.55</v>
      </c>
      <c r="G306" s="308" t="s">
        <v>1161</v>
      </c>
      <c r="H306" s="308" t="s">
        <v>1259</v>
      </c>
      <c r="I306" s="308" t="s">
        <v>1140</v>
      </c>
      <c r="J306" s="308" t="s">
        <v>757</v>
      </c>
      <c r="K306" s="308" t="s">
        <v>741</v>
      </c>
      <c r="L306" s="309">
        <v>44196</v>
      </c>
      <c r="M306" s="312">
        <v>0</v>
      </c>
    </row>
    <row r="307" spans="1:13" hidden="1" x14ac:dyDescent="0.25">
      <c r="A307" s="309">
        <v>44196</v>
      </c>
      <c r="B307" s="308" t="s">
        <v>1160</v>
      </c>
      <c r="C307" s="308" t="s">
        <v>1060</v>
      </c>
      <c r="D307" s="310">
        <v>7</v>
      </c>
      <c r="E307" s="311">
        <v>-1200</v>
      </c>
      <c r="F307" s="311">
        <v>-19512.55</v>
      </c>
      <c r="G307" s="308" t="s">
        <v>1161</v>
      </c>
      <c r="H307" s="308" t="s">
        <v>1259</v>
      </c>
      <c r="I307" s="308" t="s">
        <v>1140</v>
      </c>
      <c r="J307" s="308" t="s">
        <v>757</v>
      </c>
      <c r="K307" s="308" t="s">
        <v>741</v>
      </c>
      <c r="L307" s="309">
        <v>44196</v>
      </c>
      <c r="M307" s="312">
        <v>0</v>
      </c>
    </row>
    <row r="308" spans="1:13" hidden="1" x14ac:dyDescent="0.25">
      <c r="A308" s="309">
        <v>44230</v>
      </c>
      <c r="B308" s="308" t="s">
        <v>1166</v>
      </c>
      <c r="C308" s="308" t="s">
        <v>1060</v>
      </c>
      <c r="D308" s="310">
        <v>7</v>
      </c>
      <c r="E308" s="311">
        <v>1200</v>
      </c>
      <c r="F308" s="311">
        <v>-18312.55</v>
      </c>
      <c r="G308" s="308" t="s">
        <v>1167</v>
      </c>
      <c r="H308" s="308" t="s">
        <v>1259</v>
      </c>
      <c r="I308" s="308" t="s">
        <v>1140</v>
      </c>
      <c r="J308" s="308" t="s">
        <v>757</v>
      </c>
      <c r="K308" s="308" t="s">
        <v>741</v>
      </c>
      <c r="L308" s="309">
        <v>44230</v>
      </c>
      <c r="M308" s="312">
        <v>0</v>
      </c>
    </row>
    <row r="309" spans="1:13" hidden="1" x14ac:dyDescent="0.25">
      <c r="A309" s="309">
        <v>44230</v>
      </c>
      <c r="B309" s="308" t="s">
        <v>1166</v>
      </c>
      <c r="C309" s="308" t="s">
        <v>1060</v>
      </c>
      <c r="D309" s="310">
        <v>8</v>
      </c>
      <c r="E309" s="311">
        <v>-1200</v>
      </c>
      <c r="F309" s="311">
        <v>-19512.55</v>
      </c>
      <c r="G309" s="308" t="s">
        <v>1167</v>
      </c>
      <c r="H309" s="308" t="s">
        <v>1259</v>
      </c>
      <c r="I309" s="308" t="s">
        <v>1140</v>
      </c>
      <c r="J309" s="308" t="s">
        <v>757</v>
      </c>
      <c r="K309" s="308" t="s">
        <v>741</v>
      </c>
      <c r="L309" s="309">
        <v>44230</v>
      </c>
      <c r="M309" s="312">
        <v>0</v>
      </c>
    </row>
    <row r="310" spans="1:13" hidden="1" x14ac:dyDescent="0.25">
      <c r="A310" s="309">
        <v>44255</v>
      </c>
      <c r="B310" s="308" t="s">
        <v>1178</v>
      </c>
      <c r="C310" s="308" t="s">
        <v>1060</v>
      </c>
      <c r="D310" s="310">
        <v>8</v>
      </c>
      <c r="E310" s="311">
        <v>1200</v>
      </c>
      <c r="F310" s="311">
        <v>-18312.55</v>
      </c>
      <c r="G310" s="308" t="s">
        <v>1179</v>
      </c>
      <c r="H310" s="308" t="s">
        <v>1259</v>
      </c>
      <c r="I310" s="308" t="s">
        <v>1140</v>
      </c>
      <c r="J310" s="308" t="s">
        <v>757</v>
      </c>
      <c r="K310" s="308" t="s">
        <v>741</v>
      </c>
      <c r="L310" s="309">
        <v>44255</v>
      </c>
      <c r="M310" s="312">
        <v>0</v>
      </c>
    </row>
    <row r="311" spans="1:13" hidden="1" x14ac:dyDescent="0.25">
      <c r="A311" s="309">
        <v>44255</v>
      </c>
      <c r="B311" s="308" t="s">
        <v>1178</v>
      </c>
      <c r="C311" s="308" t="s">
        <v>1060</v>
      </c>
      <c r="D311" s="310">
        <v>9</v>
      </c>
      <c r="E311" s="311">
        <v>-1200</v>
      </c>
      <c r="F311" s="311">
        <v>-19512.55</v>
      </c>
      <c r="G311" s="308" t="s">
        <v>1179</v>
      </c>
      <c r="H311" s="308" t="s">
        <v>1259</v>
      </c>
      <c r="I311" s="308" t="s">
        <v>1140</v>
      </c>
      <c r="J311" s="308" t="s">
        <v>757</v>
      </c>
      <c r="K311" s="308" t="s">
        <v>741</v>
      </c>
      <c r="L311" s="309">
        <v>44255</v>
      </c>
      <c r="M311" s="312">
        <v>0</v>
      </c>
    </row>
    <row r="312" spans="1:13" hidden="1" x14ac:dyDescent="0.25">
      <c r="A312" s="309">
        <v>44286</v>
      </c>
      <c r="B312" s="308" t="s">
        <v>1181</v>
      </c>
      <c r="C312" s="308" t="s">
        <v>1060</v>
      </c>
      <c r="D312" s="310">
        <v>9</v>
      </c>
      <c r="E312" s="311">
        <v>1200</v>
      </c>
      <c r="F312" s="311">
        <v>-18312.55</v>
      </c>
      <c r="G312" s="308" t="s">
        <v>1182</v>
      </c>
      <c r="H312" s="308" t="s">
        <v>1259</v>
      </c>
      <c r="I312" s="308" t="s">
        <v>1140</v>
      </c>
      <c r="J312" s="308" t="s">
        <v>757</v>
      </c>
      <c r="K312" s="308" t="s">
        <v>741</v>
      </c>
      <c r="L312" s="309">
        <v>44286</v>
      </c>
      <c r="M312" s="312">
        <v>0</v>
      </c>
    </row>
    <row r="313" spans="1:13" hidden="1" x14ac:dyDescent="0.25">
      <c r="A313" s="309">
        <v>44286</v>
      </c>
      <c r="B313" s="308" t="s">
        <v>1181</v>
      </c>
      <c r="C313" s="308" t="s">
        <v>1060</v>
      </c>
      <c r="D313" s="310">
        <v>10</v>
      </c>
      <c r="E313" s="311">
        <v>-1200</v>
      </c>
      <c r="F313" s="311">
        <v>-19512.55</v>
      </c>
      <c r="G313" s="308" t="s">
        <v>1182</v>
      </c>
      <c r="H313" s="308" t="s">
        <v>1259</v>
      </c>
      <c r="I313" s="308" t="s">
        <v>1140</v>
      </c>
      <c r="J313" s="308" t="s">
        <v>757</v>
      </c>
      <c r="K313" s="308" t="s">
        <v>741</v>
      </c>
      <c r="L313" s="309">
        <v>44286</v>
      </c>
      <c r="M313" s="312">
        <v>0</v>
      </c>
    </row>
    <row r="314" spans="1:13" hidden="1" x14ac:dyDescent="0.25">
      <c r="A314" s="309">
        <v>44316</v>
      </c>
      <c r="B314" s="308" t="s">
        <v>1104</v>
      </c>
      <c r="C314" s="308" t="s">
        <v>1060</v>
      </c>
      <c r="D314" s="310">
        <v>10</v>
      </c>
      <c r="E314" s="311">
        <v>1200</v>
      </c>
      <c r="F314" s="311">
        <v>-18312.55</v>
      </c>
      <c r="G314" s="308" t="s">
        <v>1096</v>
      </c>
      <c r="H314" s="308" t="s">
        <v>1259</v>
      </c>
      <c r="I314" s="308" t="s">
        <v>1140</v>
      </c>
      <c r="J314" s="308" t="s">
        <v>757</v>
      </c>
      <c r="K314" s="308" t="s">
        <v>741</v>
      </c>
      <c r="L314" s="309">
        <v>44316</v>
      </c>
      <c r="M314" s="312">
        <v>0</v>
      </c>
    </row>
    <row r="315" spans="1:13" hidden="1" x14ac:dyDescent="0.25">
      <c r="A315" s="309">
        <v>43921</v>
      </c>
      <c r="B315" s="308" t="s">
        <v>1193</v>
      </c>
      <c r="C315" s="308" t="s">
        <v>769</v>
      </c>
      <c r="D315" s="310">
        <v>1</v>
      </c>
      <c r="E315" s="311">
        <v>574.04</v>
      </c>
      <c r="F315" s="311">
        <v>-18938.509999999998</v>
      </c>
      <c r="G315" s="308" t="s">
        <v>1194</v>
      </c>
      <c r="H315" s="308" t="s">
        <v>1260</v>
      </c>
      <c r="I315" s="308" t="s">
        <v>1140</v>
      </c>
      <c r="J315" s="308" t="s">
        <v>757</v>
      </c>
      <c r="K315" s="308" t="s">
        <v>770</v>
      </c>
      <c r="L315" s="309">
        <v>43921</v>
      </c>
      <c r="M315" s="312">
        <v>0</v>
      </c>
    </row>
    <row r="316" spans="1:13" hidden="1" x14ac:dyDescent="0.25">
      <c r="A316" s="309">
        <v>44012</v>
      </c>
      <c r="B316" s="308" t="s">
        <v>1196</v>
      </c>
      <c r="C316" s="308" t="s">
        <v>1059</v>
      </c>
      <c r="D316" s="310">
        <v>1</v>
      </c>
      <c r="E316" s="311">
        <v>-574.04</v>
      </c>
      <c r="F316" s="311">
        <v>-19512.55</v>
      </c>
      <c r="G316" s="308" t="s">
        <v>1197</v>
      </c>
      <c r="H316" s="308" t="s">
        <v>1260</v>
      </c>
      <c r="I316" s="308" t="s">
        <v>1140</v>
      </c>
      <c r="J316" s="308" t="s">
        <v>757</v>
      </c>
      <c r="K316" s="308" t="s">
        <v>741</v>
      </c>
      <c r="L316" s="309">
        <v>44012</v>
      </c>
      <c r="M316" s="312">
        <v>0</v>
      </c>
    </row>
    <row r="317" spans="1:13" hidden="1" x14ac:dyDescent="0.25">
      <c r="A317" s="309">
        <v>44012</v>
      </c>
      <c r="B317" s="308" t="s">
        <v>1141</v>
      </c>
      <c r="C317" s="308" t="s">
        <v>1059</v>
      </c>
      <c r="D317" s="310">
        <v>1</v>
      </c>
      <c r="E317" s="311">
        <v>-1087.28</v>
      </c>
      <c r="F317" s="311">
        <v>-20599.830000000002</v>
      </c>
      <c r="G317" s="308" t="s">
        <v>1142</v>
      </c>
      <c r="H317" s="308" t="s">
        <v>1260</v>
      </c>
      <c r="I317" s="308" t="s">
        <v>1140</v>
      </c>
      <c r="J317" s="308" t="s">
        <v>757</v>
      </c>
      <c r="K317" s="308" t="s">
        <v>741</v>
      </c>
      <c r="L317" s="309">
        <v>44012</v>
      </c>
      <c r="M317" s="312">
        <v>0</v>
      </c>
    </row>
    <row r="318" spans="1:13" hidden="1" x14ac:dyDescent="0.25">
      <c r="A318" s="309">
        <v>44043</v>
      </c>
      <c r="B318" s="308" t="s">
        <v>1143</v>
      </c>
      <c r="C318" s="308" t="s">
        <v>1060</v>
      </c>
      <c r="D318" s="310">
        <v>1</v>
      </c>
      <c r="E318" s="311">
        <v>1087.28</v>
      </c>
      <c r="F318" s="311">
        <v>-19512.55</v>
      </c>
      <c r="G318" s="308" t="s">
        <v>1144</v>
      </c>
      <c r="H318" s="308" t="s">
        <v>1260</v>
      </c>
      <c r="I318" s="308" t="s">
        <v>1140</v>
      </c>
      <c r="J318" s="308" t="s">
        <v>757</v>
      </c>
      <c r="K318" s="308" t="s">
        <v>741</v>
      </c>
      <c r="L318" s="309">
        <v>44043</v>
      </c>
      <c r="M318" s="312">
        <v>0</v>
      </c>
    </row>
    <row r="319" spans="1:13" hidden="1" x14ac:dyDescent="0.25">
      <c r="A319" s="309">
        <v>44043</v>
      </c>
      <c r="B319" s="308" t="s">
        <v>1143</v>
      </c>
      <c r="C319" s="308" t="s">
        <v>1060</v>
      </c>
      <c r="D319" s="310">
        <v>2</v>
      </c>
      <c r="E319" s="311">
        <v>-1087.28</v>
      </c>
      <c r="F319" s="311">
        <v>-20599.830000000002</v>
      </c>
      <c r="G319" s="308" t="s">
        <v>1144</v>
      </c>
      <c r="H319" s="308" t="s">
        <v>1260</v>
      </c>
      <c r="I319" s="308" t="s">
        <v>1140</v>
      </c>
      <c r="J319" s="308" t="s">
        <v>757</v>
      </c>
      <c r="K319" s="308" t="s">
        <v>741</v>
      </c>
      <c r="L319" s="309">
        <v>44043</v>
      </c>
      <c r="M319" s="312">
        <v>0</v>
      </c>
    </row>
    <row r="320" spans="1:13" hidden="1" x14ac:dyDescent="0.25">
      <c r="A320" s="309">
        <v>44074</v>
      </c>
      <c r="B320" s="308" t="s">
        <v>1147</v>
      </c>
      <c r="C320" s="308" t="s">
        <v>1060</v>
      </c>
      <c r="D320" s="310">
        <v>2</v>
      </c>
      <c r="E320" s="311">
        <v>1087.28</v>
      </c>
      <c r="F320" s="311">
        <v>-19512.55</v>
      </c>
      <c r="G320" s="308" t="s">
        <v>1148</v>
      </c>
      <c r="H320" s="308" t="s">
        <v>1260</v>
      </c>
      <c r="I320" s="308" t="s">
        <v>1140</v>
      </c>
      <c r="J320" s="308" t="s">
        <v>757</v>
      </c>
      <c r="K320" s="308" t="s">
        <v>741</v>
      </c>
      <c r="L320" s="309">
        <v>44074</v>
      </c>
      <c r="M320" s="312">
        <v>0</v>
      </c>
    </row>
    <row r="321" spans="1:13" hidden="1" x14ac:dyDescent="0.25">
      <c r="A321" s="309">
        <v>44074</v>
      </c>
      <c r="B321" s="308" t="s">
        <v>1147</v>
      </c>
      <c r="C321" s="308" t="s">
        <v>1060</v>
      </c>
      <c r="D321" s="310">
        <v>3</v>
      </c>
      <c r="E321" s="311">
        <v>-1087.28</v>
      </c>
      <c r="F321" s="311">
        <v>-20599.830000000002</v>
      </c>
      <c r="G321" s="308" t="s">
        <v>1148</v>
      </c>
      <c r="H321" s="308" t="s">
        <v>1260</v>
      </c>
      <c r="I321" s="308" t="s">
        <v>1140</v>
      </c>
      <c r="J321" s="308" t="s">
        <v>757</v>
      </c>
      <c r="K321" s="308" t="s">
        <v>741</v>
      </c>
      <c r="L321" s="309">
        <v>44074</v>
      </c>
      <c r="M321" s="312">
        <v>0</v>
      </c>
    </row>
    <row r="322" spans="1:13" hidden="1" x14ac:dyDescent="0.25">
      <c r="A322" s="309">
        <v>44104</v>
      </c>
      <c r="B322" s="308" t="s">
        <v>1198</v>
      </c>
      <c r="C322" s="308" t="s">
        <v>1060</v>
      </c>
      <c r="D322" s="310">
        <v>3</v>
      </c>
      <c r="E322" s="311">
        <v>1087.28</v>
      </c>
      <c r="F322" s="311">
        <v>-19512.55</v>
      </c>
      <c r="G322" s="308" t="s">
        <v>1199</v>
      </c>
      <c r="H322" s="308" t="s">
        <v>1260</v>
      </c>
      <c r="I322" s="308" t="s">
        <v>1140</v>
      </c>
      <c r="J322" s="308" t="s">
        <v>757</v>
      </c>
      <c r="K322" s="308" t="s">
        <v>741</v>
      </c>
      <c r="L322" s="309">
        <v>44104</v>
      </c>
      <c r="M322" s="312">
        <v>0</v>
      </c>
    </row>
    <row r="323" spans="1:13" hidden="1" x14ac:dyDescent="0.25">
      <c r="A323" s="309">
        <v>44104</v>
      </c>
      <c r="B323" s="308" t="s">
        <v>1198</v>
      </c>
      <c r="C323" s="308" t="s">
        <v>1060</v>
      </c>
      <c r="D323" s="310">
        <v>4</v>
      </c>
      <c r="E323" s="311">
        <v>-1087.28</v>
      </c>
      <c r="F323" s="311">
        <v>-20599.830000000002</v>
      </c>
      <c r="G323" s="308" t="s">
        <v>1199</v>
      </c>
      <c r="H323" s="308" t="s">
        <v>1260</v>
      </c>
      <c r="I323" s="308" t="s">
        <v>1140</v>
      </c>
      <c r="J323" s="308" t="s">
        <v>757</v>
      </c>
      <c r="K323" s="308" t="s">
        <v>741</v>
      </c>
      <c r="L323" s="309">
        <v>44104</v>
      </c>
      <c r="M323" s="312">
        <v>0</v>
      </c>
    </row>
    <row r="324" spans="1:13" hidden="1" x14ac:dyDescent="0.25">
      <c r="A324" s="309">
        <v>44135</v>
      </c>
      <c r="B324" s="308" t="s">
        <v>1200</v>
      </c>
      <c r="C324" s="308" t="s">
        <v>1060</v>
      </c>
      <c r="D324" s="310">
        <v>4</v>
      </c>
      <c r="E324" s="311">
        <v>1087.28</v>
      </c>
      <c r="F324" s="311">
        <v>-19512.55</v>
      </c>
      <c r="G324" s="308" t="s">
        <v>1201</v>
      </c>
      <c r="H324" s="308" t="s">
        <v>1260</v>
      </c>
      <c r="I324" s="308" t="s">
        <v>1140</v>
      </c>
      <c r="J324" s="308" t="s">
        <v>757</v>
      </c>
      <c r="K324" s="308" t="s">
        <v>741</v>
      </c>
      <c r="L324" s="309">
        <v>44135</v>
      </c>
      <c r="M324" s="312">
        <v>0</v>
      </c>
    </row>
    <row r="325" spans="1:13" hidden="1" x14ac:dyDescent="0.25">
      <c r="A325" s="309">
        <v>44135</v>
      </c>
      <c r="B325" s="308" t="s">
        <v>1200</v>
      </c>
      <c r="C325" s="308" t="s">
        <v>1060</v>
      </c>
      <c r="D325" s="310">
        <v>5</v>
      </c>
      <c r="E325" s="311">
        <v>-1087.28</v>
      </c>
      <c r="F325" s="311">
        <v>-20599.830000000002</v>
      </c>
      <c r="G325" s="308" t="s">
        <v>1201</v>
      </c>
      <c r="H325" s="308" t="s">
        <v>1260</v>
      </c>
      <c r="I325" s="308" t="s">
        <v>1140</v>
      </c>
      <c r="J325" s="308" t="s">
        <v>757</v>
      </c>
      <c r="K325" s="308" t="s">
        <v>741</v>
      </c>
      <c r="L325" s="309">
        <v>44135</v>
      </c>
      <c r="M325" s="312">
        <v>0</v>
      </c>
    </row>
    <row r="326" spans="1:13" hidden="1" x14ac:dyDescent="0.25">
      <c r="A326" s="309">
        <v>44165</v>
      </c>
      <c r="B326" s="308" t="s">
        <v>1158</v>
      </c>
      <c r="C326" s="308" t="s">
        <v>1060</v>
      </c>
      <c r="D326" s="310">
        <v>5</v>
      </c>
      <c r="E326" s="311">
        <v>1099.6500000000001</v>
      </c>
      <c r="F326" s="311">
        <v>-19500.18</v>
      </c>
      <c r="G326" s="308" t="s">
        <v>1159</v>
      </c>
      <c r="H326" s="308" t="s">
        <v>1260</v>
      </c>
      <c r="I326" s="308" t="s">
        <v>1140</v>
      </c>
      <c r="J326" s="308" t="s">
        <v>757</v>
      </c>
      <c r="K326" s="308" t="s">
        <v>741</v>
      </c>
      <c r="L326" s="309">
        <v>44165</v>
      </c>
      <c r="M326" s="312">
        <v>0</v>
      </c>
    </row>
    <row r="327" spans="1:13" hidden="1" x14ac:dyDescent="0.25">
      <c r="A327" s="309">
        <v>44165</v>
      </c>
      <c r="B327" s="308" t="s">
        <v>1158</v>
      </c>
      <c r="C327" s="308" t="s">
        <v>1060</v>
      </c>
      <c r="D327" s="310">
        <v>6</v>
      </c>
      <c r="E327" s="311">
        <v>-1099.6500000000001</v>
      </c>
      <c r="F327" s="311">
        <v>-20599.830000000002</v>
      </c>
      <c r="G327" s="308" t="s">
        <v>1159</v>
      </c>
      <c r="H327" s="308" t="s">
        <v>1260</v>
      </c>
      <c r="I327" s="308" t="s">
        <v>1140</v>
      </c>
      <c r="J327" s="308" t="s">
        <v>757</v>
      </c>
      <c r="K327" s="308" t="s">
        <v>741</v>
      </c>
      <c r="L327" s="309">
        <v>44165</v>
      </c>
      <c r="M327" s="312">
        <v>0</v>
      </c>
    </row>
    <row r="328" spans="1:13" hidden="1" x14ac:dyDescent="0.25">
      <c r="A328" s="309">
        <v>44196</v>
      </c>
      <c r="B328" s="308" t="s">
        <v>1160</v>
      </c>
      <c r="C328" s="308" t="s">
        <v>1060</v>
      </c>
      <c r="D328" s="310">
        <v>6</v>
      </c>
      <c r="E328" s="311">
        <v>1130.28</v>
      </c>
      <c r="F328" s="311">
        <v>-19469.55</v>
      </c>
      <c r="G328" s="308" t="s">
        <v>1161</v>
      </c>
      <c r="H328" s="308" t="s">
        <v>1260</v>
      </c>
      <c r="I328" s="308" t="s">
        <v>1140</v>
      </c>
      <c r="J328" s="308" t="s">
        <v>757</v>
      </c>
      <c r="K328" s="308" t="s">
        <v>741</v>
      </c>
      <c r="L328" s="309">
        <v>44196</v>
      </c>
      <c r="M328" s="312">
        <v>0</v>
      </c>
    </row>
    <row r="329" spans="1:13" hidden="1" x14ac:dyDescent="0.25">
      <c r="A329" s="309">
        <v>44196</v>
      </c>
      <c r="B329" s="308" t="s">
        <v>1160</v>
      </c>
      <c r="C329" s="308" t="s">
        <v>1060</v>
      </c>
      <c r="D329" s="310">
        <v>7</v>
      </c>
      <c r="E329" s="311">
        <v>-1130.28</v>
      </c>
      <c r="F329" s="311">
        <v>-20599.830000000002</v>
      </c>
      <c r="G329" s="308" t="s">
        <v>1161</v>
      </c>
      <c r="H329" s="308" t="s">
        <v>1260</v>
      </c>
      <c r="I329" s="308" t="s">
        <v>1140</v>
      </c>
      <c r="J329" s="308" t="s">
        <v>757</v>
      </c>
      <c r="K329" s="308" t="s">
        <v>741</v>
      </c>
      <c r="L329" s="309">
        <v>44196</v>
      </c>
      <c r="M329" s="312">
        <v>0</v>
      </c>
    </row>
    <row r="330" spans="1:13" hidden="1" x14ac:dyDescent="0.25">
      <c r="A330" s="309">
        <v>44196</v>
      </c>
      <c r="B330" s="308" t="s">
        <v>1204</v>
      </c>
      <c r="C330" s="308" t="s">
        <v>769</v>
      </c>
      <c r="D330" s="310">
        <v>7</v>
      </c>
      <c r="E330" s="311">
        <v>12.37</v>
      </c>
      <c r="F330" s="311">
        <v>-20587.46</v>
      </c>
      <c r="G330" s="308" t="s">
        <v>1205</v>
      </c>
      <c r="H330" s="308" t="s">
        <v>1260</v>
      </c>
      <c r="I330" s="308" t="s">
        <v>1140</v>
      </c>
      <c r="J330" s="308" t="s">
        <v>757</v>
      </c>
      <c r="K330" s="308" t="s">
        <v>770</v>
      </c>
      <c r="L330" s="309">
        <v>44196</v>
      </c>
      <c r="M330" s="312">
        <v>0</v>
      </c>
    </row>
    <row r="331" spans="1:13" hidden="1" x14ac:dyDescent="0.25">
      <c r="A331" s="309">
        <v>44230</v>
      </c>
      <c r="B331" s="308" t="s">
        <v>1166</v>
      </c>
      <c r="C331" s="308" t="s">
        <v>1060</v>
      </c>
      <c r="D331" s="310">
        <v>7</v>
      </c>
      <c r="E331" s="311">
        <v>1125.95</v>
      </c>
      <c r="F331" s="311">
        <v>-19461.509999999998</v>
      </c>
      <c r="G331" s="308" t="s">
        <v>1167</v>
      </c>
      <c r="H331" s="308" t="s">
        <v>1260</v>
      </c>
      <c r="I331" s="308" t="s">
        <v>1140</v>
      </c>
      <c r="J331" s="308" t="s">
        <v>757</v>
      </c>
      <c r="K331" s="308" t="s">
        <v>741</v>
      </c>
      <c r="L331" s="309">
        <v>44230</v>
      </c>
      <c r="M331" s="312">
        <v>0</v>
      </c>
    </row>
    <row r="332" spans="1:13" hidden="1" x14ac:dyDescent="0.25">
      <c r="A332" s="309">
        <v>44227</v>
      </c>
      <c r="B332" s="308" t="s">
        <v>1206</v>
      </c>
      <c r="C332" s="308" t="s">
        <v>769</v>
      </c>
      <c r="D332" s="310">
        <v>8</v>
      </c>
      <c r="E332" s="311">
        <v>30.62</v>
      </c>
      <c r="F332" s="311">
        <v>-19430.89</v>
      </c>
      <c r="G332" s="308" t="s">
        <v>1169</v>
      </c>
      <c r="H332" s="308" t="s">
        <v>1260</v>
      </c>
      <c r="I332" s="308" t="s">
        <v>1140</v>
      </c>
      <c r="J332" s="308" t="s">
        <v>757</v>
      </c>
      <c r="K332" s="308" t="s">
        <v>770</v>
      </c>
      <c r="L332" s="309">
        <v>44227</v>
      </c>
      <c r="M332" s="312">
        <v>0</v>
      </c>
    </row>
    <row r="333" spans="1:13" hidden="1" x14ac:dyDescent="0.25">
      <c r="A333" s="309">
        <v>44230</v>
      </c>
      <c r="B333" s="308" t="s">
        <v>1166</v>
      </c>
      <c r="C333" s="308" t="s">
        <v>1060</v>
      </c>
      <c r="D333" s="310">
        <v>8</v>
      </c>
      <c r="E333" s="311">
        <v>-1125.95</v>
      </c>
      <c r="F333" s="311">
        <v>-20556.84</v>
      </c>
      <c r="G333" s="308" t="s">
        <v>1167</v>
      </c>
      <c r="H333" s="308" t="s">
        <v>1260</v>
      </c>
      <c r="I333" s="308" t="s">
        <v>1140</v>
      </c>
      <c r="J333" s="308" t="s">
        <v>757</v>
      </c>
      <c r="K333" s="308" t="s">
        <v>741</v>
      </c>
      <c r="L333" s="309">
        <v>44230</v>
      </c>
      <c r="M333" s="312">
        <v>0</v>
      </c>
    </row>
    <row r="334" spans="1:13" hidden="1" x14ac:dyDescent="0.25">
      <c r="A334" s="309">
        <v>44255</v>
      </c>
      <c r="B334" s="308" t="s">
        <v>1178</v>
      </c>
      <c r="C334" s="308" t="s">
        <v>1060</v>
      </c>
      <c r="D334" s="310">
        <v>8</v>
      </c>
      <c r="E334" s="311">
        <v>1103.07</v>
      </c>
      <c r="F334" s="311">
        <v>-19453.77</v>
      </c>
      <c r="G334" s="308" t="s">
        <v>1179</v>
      </c>
      <c r="H334" s="308" t="s">
        <v>1260</v>
      </c>
      <c r="I334" s="308" t="s">
        <v>1140</v>
      </c>
      <c r="J334" s="308" t="s">
        <v>757</v>
      </c>
      <c r="K334" s="308" t="s">
        <v>741</v>
      </c>
      <c r="L334" s="309">
        <v>44255</v>
      </c>
      <c r="M334" s="312">
        <v>0</v>
      </c>
    </row>
    <row r="335" spans="1:13" hidden="1" x14ac:dyDescent="0.25">
      <c r="A335" s="309">
        <v>44255</v>
      </c>
      <c r="B335" s="308" t="s">
        <v>1178</v>
      </c>
      <c r="C335" s="308" t="s">
        <v>1060</v>
      </c>
      <c r="D335" s="310">
        <v>9</v>
      </c>
      <c r="E335" s="311">
        <v>-1103.07</v>
      </c>
      <c r="F335" s="311">
        <v>-20556.84</v>
      </c>
      <c r="G335" s="308" t="s">
        <v>1179</v>
      </c>
      <c r="H335" s="308" t="s">
        <v>1260</v>
      </c>
      <c r="I335" s="308" t="s">
        <v>1140</v>
      </c>
      <c r="J335" s="308" t="s">
        <v>757</v>
      </c>
      <c r="K335" s="308" t="s">
        <v>741</v>
      </c>
      <c r="L335" s="309">
        <v>44255</v>
      </c>
      <c r="M335" s="312">
        <v>0</v>
      </c>
    </row>
    <row r="336" spans="1:13" hidden="1" x14ac:dyDescent="0.25">
      <c r="A336" s="309">
        <v>44255</v>
      </c>
      <c r="B336" s="308" t="s">
        <v>1207</v>
      </c>
      <c r="C336" s="308" t="s">
        <v>769</v>
      </c>
      <c r="D336" s="310">
        <v>9</v>
      </c>
      <c r="E336" s="311">
        <v>11.59</v>
      </c>
      <c r="F336" s="311">
        <v>-20545.25</v>
      </c>
      <c r="G336" s="308" t="s">
        <v>1171</v>
      </c>
      <c r="H336" s="308" t="s">
        <v>1260</v>
      </c>
      <c r="I336" s="308" t="s">
        <v>1140</v>
      </c>
      <c r="J336" s="308" t="s">
        <v>757</v>
      </c>
      <c r="K336" s="308" t="s">
        <v>770</v>
      </c>
      <c r="L336" s="309">
        <v>44255</v>
      </c>
      <c r="M336" s="312">
        <v>0</v>
      </c>
    </row>
    <row r="337" spans="1:13" hidden="1" x14ac:dyDescent="0.25">
      <c r="A337" s="309">
        <v>44286</v>
      </c>
      <c r="B337" s="308" t="s">
        <v>1181</v>
      </c>
      <c r="C337" s="308" t="s">
        <v>1060</v>
      </c>
      <c r="D337" s="310">
        <v>9</v>
      </c>
      <c r="E337" s="311">
        <v>1102.76</v>
      </c>
      <c r="F337" s="311">
        <v>-19442.490000000002</v>
      </c>
      <c r="G337" s="308" t="s">
        <v>1182</v>
      </c>
      <c r="H337" s="308" t="s">
        <v>1260</v>
      </c>
      <c r="I337" s="308" t="s">
        <v>1140</v>
      </c>
      <c r="J337" s="308" t="s">
        <v>757</v>
      </c>
      <c r="K337" s="308" t="s">
        <v>741</v>
      </c>
      <c r="L337" s="309">
        <v>44286</v>
      </c>
      <c r="M337" s="312">
        <v>0</v>
      </c>
    </row>
    <row r="338" spans="1:13" hidden="1" x14ac:dyDescent="0.25">
      <c r="A338" s="309">
        <v>44286</v>
      </c>
      <c r="B338" s="308" t="s">
        <v>1181</v>
      </c>
      <c r="C338" s="308" t="s">
        <v>1060</v>
      </c>
      <c r="D338" s="310">
        <v>10</v>
      </c>
      <c r="E338" s="311">
        <v>-1102.76</v>
      </c>
      <c r="F338" s="311">
        <v>-20545.25</v>
      </c>
      <c r="G338" s="308" t="s">
        <v>1182</v>
      </c>
      <c r="H338" s="308" t="s">
        <v>1260</v>
      </c>
      <c r="I338" s="308" t="s">
        <v>1140</v>
      </c>
      <c r="J338" s="308" t="s">
        <v>757</v>
      </c>
      <c r="K338" s="308" t="s">
        <v>741</v>
      </c>
      <c r="L338" s="309">
        <v>44286</v>
      </c>
      <c r="M338" s="312">
        <v>0</v>
      </c>
    </row>
    <row r="339" spans="1:13" hidden="1" x14ac:dyDescent="0.25">
      <c r="A339" s="309">
        <v>44286</v>
      </c>
      <c r="B339" s="308" t="s">
        <v>1208</v>
      </c>
      <c r="C339" s="308" t="s">
        <v>769</v>
      </c>
      <c r="D339" s="310">
        <v>10</v>
      </c>
      <c r="E339" s="311">
        <v>9.92</v>
      </c>
      <c r="F339" s="311">
        <v>-20535.330000000002</v>
      </c>
      <c r="G339" s="308" t="s">
        <v>1184</v>
      </c>
      <c r="H339" s="308" t="s">
        <v>1260</v>
      </c>
      <c r="I339" s="308" t="s">
        <v>1140</v>
      </c>
      <c r="J339" s="308" t="s">
        <v>757</v>
      </c>
      <c r="K339" s="308" t="s">
        <v>770</v>
      </c>
      <c r="L339" s="309">
        <v>44286</v>
      </c>
      <c r="M339" s="312">
        <v>0</v>
      </c>
    </row>
    <row r="340" spans="1:13" hidden="1" x14ac:dyDescent="0.25">
      <c r="A340" s="309">
        <v>44316</v>
      </c>
      <c r="B340" s="308" t="s">
        <v>1104</v>
      </c>
      <c r="C340" s="308" t="s">
        <v>1060</v>
      </c>
      <c r="D340" s="310">
        <v>10</v>
      </c>
      <c r="E340" s="311">
        <v>1092.8699999999999</v>
      </c>
      <c r="F340" s="311">
        <v>-19442.46</v>
      </c>
      <c r="G340" s="308" t="s">
        <v>1096</v>
      </c>
      <c r="H340" s="308" t="s">
        <v>1260</v>
      </c>
      <c r="I340" s="308" t="s">
        <v>1140</v>
      </c>
      <c r="J340" s="308" t="s">
        <v>757</v>
      </c>
      <c r="K340" s="308" t="s">
        <v>741</v>
      </c>
      <c r="L340" s="309">
        <v>44316</v>
      </c>
      <c r="M340" s="312">
        <v>0</v>
      </c>
    </row>
    <row r="341" spans="1:13" hidden="1" x14ac:dyDescent="0.25">
      <c r="A341" s="309">
        <v>44005</v>
      </c>
      <c r="B341" s="308" t="s">
        <v>1261</v>
      </c>
      <c r="C341" s="308" t="s">
        <v>769</v>
      </c>
      <c r="D341" s="310">
        <v>1</v>
      </c>
      <c r="E341" s="311">
        <v>520.83000000000004</v>
      </c>
      <c r="F341" s="311">
        <v>-20008.939999999999</v>
      </c>
      <c r="G341" s="308" t="s">
        <v>1262</v>
      </c>
      <c r="H341" s="308" t="s">
        <v>1263</v>
      </c>
      <c r="I341" s="308" t="s">
        <v>1140</v>
      </c>
      <c r="J341" s="308" t="s">
        <v>757</v>
      </c>
      <c r="K341" s="308" t="s">
        <v>770</v>
      </c>
      <c r="L341" s="309">
        <v>44005</v>
      </c>
      <c r="M341" s="312">
        <v>0</v>
      </c>
    </row>
    <row r="342" spans="1:13" hidden="1" x14ac:dyDescent="0.25">
      <c r="A342" s="309">
        <v>44035</v>
      </c>
      <c r="B342" s="308" t="s">
        <v>1264</v>
      </c>
      <c r="C342" s="308" t="s">
        <v>769</v>
      </c>
      <c r="D342" s="310">
        <v>2</v>
      </c>
      <c r="E342" s="311">
        <v>520.83000000000004</v>
      </c>
      <c r="F342" s="311">
        <v>-19488.11</v>
      </c>
      <c r="G342" s="308" t="s">
        <v>1265</v>
      </c>
      <c r="H342" s="308" t="s">
        <v>1263</v>
      </c>
      <c r="I342" s="308" t="s">
        <v>1140</v>
      </c>
      <c r="J342" s="308" t="s">
        <v>757</v>
      </c>
      <c r="K342" s="308" t="s">
        <v>770</v>
      </c>
      <c r="L342" s="309">
        <v>44035</v>
      </c>
      <c r="M342" s="312">
        <v>0</v>
      </c>
    </row>
    <row r="343" spans="1:13" hidden="1" x14ac:dyDescent="0.25">
      <c r="A343" s="309">
        <v>44066</v>
      </c>
      <c r="B343" s="308" t="s">
        <v>1266</v>
      </c>
      <c r="C343" s="308" t="s">
        <v>769</v>
      </c>
      <c r="D343" s="310">
        <v>3</v>
      </c>
      <c r="E343" s="311">
        <v>520.82000000000005</v>
      </c>
      <c r="F343" s="311">
        <v>-18967.29</v>
      </c>
      <c r="G343" s="308" t="s">
        <v>1267</v>
      </c>
      <c r="H343" s="308" t="s">
        <v>1263</v>
      </c>
      <c r="I343" s="308" t="s">
        <v>1140</v>
      </c>
      <c r="J343" s="308" t="s">
        <v>757</v>
      </c>
      <c r="K343" s="308" t="s">
        <v>770</v>
      </c>
      <c r="L343" s="309">
        <v>44066</v>
      </c>
      <c r="M343" s="312">
        <v>0</v>
      </c>
    </row>
    <row r="344" spans="1:13" hidden="1" x14ac:dyDescent="0.25">
      <c r="A344" s="309">
        <v>44097</v>
      </c>
      <c r="B344" s="308" t="s">
        <v>1268</v>
      </c>
      <c r="C344" s="308" t="s">
        <v>769</v>
      </c>
      <c r="D344" s="310">
        <v>4</v>
      </c>
      <c r="E344" s="311">
        <v>520.83000000000004</v>
      </c>
      <c r="F344" s="311">
        <v>-18446.46</v>
      </c>
      <c r="G344" s="308" t="s">
        <v>1269</v>
      </c>
      <c r="H344" s="308" t="s">
        <v>1263</v>
      </c>
      <c r="I344" s="308" t="s">
        <v>1140</v>
      </c>
      <c r="J344" s="308" t="s">
        <v>757</v>
      </c>
      <c r="K344" s="308" t="s">
        <v>770</v>
      </c>
      <c r="L344" s="309">
        <v>44097</v>
      </c>
      <c r="M344" s="312">
        <v>0</v>
      </c>
    </row>
    <row r="345" spans="1:13" hidden="1" x14ac:dyDescent="0.25">
      <c r="A345" s="309">
        <v>44127</v>
      </c>
      <c r="B345" s="308" t="s">
        <v>1270</v>
      </c>
      <c r="C345" s="308" t="s">
        <v>769</v>
      </c>
      <c r="D345" s="310">
        <v>5</v>
      </c>
      <c r="E345" s="311">
        <v>520.83000000000004</v>
      </c>
      <c r="F345" s="311">
        <v>-17925.63</v>
      </c>
      <c r="G345" s="308" t="s">
        <v>1271</v>
      </c>
      <c r="H345" s="308" t="s">
        <v>1263</v>
      </c>
      <c r="I345" s="308" t="s">
        <v>1140</v>
      </c>
      <c r="J345" s="308" t="s">
        <v>757</v>
      </c>
      <c r="K345" s="308" t="s">
        <v>770</v>
      </c>
      <c r="L345" s="309">
        <v>44127</v>
      </c>
      <c r="M345" s="312">
        <v>0</v>
      </c>
    </row>
    <row r="346" spans="1:13" hidden="1" x14ac:dyDescent="0.25">
      <c r="A346" s="309">
        <v>44158</v>
      </c>
      <c r="B346" s="308" t="s">
        <v>1272</v>
      </c>
      <c r="C346" s="308" t="s">
        <v>769</v>
      </c>
      <c r="D346" s="310">
        <v>6</v>
      </c>
      <c r="E346" s="311">
        <v>520.83000000000004</v>
      </c>
      <c r="F346" s="311">
        <v>-17404.8</v>
      </c>
      <c r="G346" s="308" t="s">
        <v>1273</v>
      </c>
      <c r="H346" s="308" t="s">
        <v>1263</v>
      </c>
      <c r="I346" s="308" t="s">
        <v>1140</v>
      </c>
      <c r="J346" s="308" t="s">
        <v>757</v>
      </c>
      <c r="K346" s="308" t="s">
        <v>770</v>
      </c>
      <c r="L346" s="309">
        <v>44158</v>
      </c>
      <c r="M346" s="312">
        <v>0</v>
      </c>
    </row>
    <row r="347" spans="1:13" hidden="1" x14ac:dyDescent="0.25">
      <c r="A347" s="309">
        <v>44188</v>
      </c>
      <c r="B347" s="308" t="s">
        <v>1274</v>
      </c>
      <c r="C347" s="308" t="s">
        <v>769</v>
      </c>
      <c r="D347" s="310">
        <v>7</v>
      </c>
      <c r="E347" s="311">
        <v>520.82000000000005</v>
      </c>
      <c r="F347" s="311">
        <v>-16883.98</v>
      </c>
      <c r="G347" s="308" t="s">
        <v>1275</v>
      </c>
      <c r="H347" s="308" t="s">
        <v>1263</v>
      </c>
      <c r="I347" s="308" t="s">
        <v>1140</v>
      </c>
      <c r="J347" s="308" t="s">
        <v>757</v>
      </c>
      <c r="K347" s="308" t="s">
        <v>770</v>
      </c>
      <c r="L347" s="309">
        <v>44188</v>
      </c>
      <c r="M347" s="312">
        <v>0</v>
      </c>
    </row>
    <row r="348" spans="1:13" hidden="1" x14ac:dyDescent="0.25">
      <c r="A348" s="309">
        <v>44219</v>
      </c>
      <c r="B348" s="308" t="s">
        <v>1276</v>
      </c>
      <c r="C348" s="308" t="s">
        <v>769</v>
      </c>
      <c r="D348" s="310">
        <v>8</v>
      </c>
      <c r="E348" s="311">
        <v>520.82000000000005</v>
      </c>
      <c r="F348" s="311">
        <v>-16363.16</v>
      </c>
      <c r="G348" s="308" t="s">
        <v>1277</v>
      </c>
      <c r="H348" s="308" t="s">
        <v>1263</v>
      </c>
      <c r="I348" s="308" t="s">
        <v>1140</v>
      </c>
      <c r="J348" s="308" t="s">
        <v>757</v>
      </c>
      <c r="K348" s="308" t="s">
        <v>770</v>
      </c>
      <c r="L348" s="309">
        <v>44219</v>
      </c>
      <c r="M348" s="312">
        <v>0</v>
      </c>
    </row>
    <row r="349" spans="1:13" hidden="1" x14ac:dyDescent="0.25">
      <c r="A349" s="309">
        <v>44256</v>
      </c>
      <c r="B349" s="308" t="s">
        <v>1278</v>
      </c>
      <c r="C349" s="308" t="s">
        <v>936</v>
      </c>
      <c r="D349" s="310">
        <v>9</v>
      </c>
      <c r="E349" s="311">
        <v>-4687.49</v>
      </c>
      <c r="F349" s="311">
        <v>-21050.65</v>
      </c>
      <c r="G349" s="308" t="s">
        <v>1279</v>
      </c>
      <c r="H349" s="308" t="s">
        <v>1263</v>
      </c>
      <c r="I349" s="308" t="s">
        <v>1140</v>
      </c>
      <c r="J349" s="308" t="s">
        <v>757</v>
      </c>
      <c r="K349" s="308" t="s">
        <v>770</v>
      </c>
      <c r="L349" s="309">
        <v>44256</v>
      </c>
      <c r="M349" s="312">
        <v>0</v>
      </c>
    </row>
    <row r="350" spans="1:13" hidden="1" x14ac:dyDescent="0.25">
      <c r="A350" s="309">
        <v>44250</v>
      </c>
      <c r="B350" s="308" t="s">
        <v>1280</v>
      </c>
      <c r="C350" s="308" t="s">
        <v>769</v>
      </c>
      <c r="D350" s="310">
        <v>10</v>
      </c>
      <c r="E350" s="311">
        <v>520.83000000000004</v>
      </c>
      <c r="F350" s="311">
        <v>-20529.82</v>
      </c>
      <c r="G350" s="308" t="s">
        <v>1281</v>
      </c>
      <c r="H350" s="308" t="s">
        <v>1263</v>
      </c>
      <c r="I350" s="308" t="s">
        <v>1140</v>
      </c>
      <c r="J350" s="308" t="s">
        <v>757</v>
      </c>
      <c r="K350" s="308" t="s">
        <v>770</v>
      </c>
      <c r="L350" s="309">
        <v>44250</v>
      </c>
      <c r="M350" s="312">
        <v>0</v>
      </c>
    </row>
    <row r="351" spans="1:13" hidden="1" x14ac:dyDescent="0.25">
      <c r="A351" s="309">
        <v>44278</v>
      </c>
      <c r="B351" s="308" t="s">
        <v>1282</v>
      </c>
      <c r="C351" s="308" t="s">
        <v>769</v>
      </c>
      <c r="D351" s="310">
        <v>10</v>
      </c>
      <c r="E351" s="311">
        <v>520.83000000000004</v>
      </c>
      <c r="F351" s="311">
        <v>-20008.990000000002</v>
      </c>
      <c r="G351" s="308" t="s">
        <v>1283</v>
      </c>
      <c r="H351" s="308" t="s">
        <v>1263</v>
      </c>
      <c r="I351" s="308" t="s">
        <v>1140</v>
      </c>
      <c r="J351" s="308" t="s">
        <v>757</v>
      </c>
      <c r="K351" s="308" t="s">
        <v>770</v>
      </c>
      <c r="L351" s="309">
        <v>44278</v>
      </c>
      <c r="M351" s="312">
        <v>0</v>
      </c>
    </row>
    <row r="352" spans="1:13" hidden="1" x14ac:dyDescent="0.25">
      <c r="A352" s="309">
        <v>44012</v>
      </c>
      <c r="B352" s="308" t="s">
        <v>1141</v>
      </c>
      <c r="C352" s="308" t="s">
        <v>1059</v>
      </c>
      <c r="D352" s="310">
        <v>1</v>
      </c>
      <c r="E352" s="311">
        <v>-2898.48</v>
      </c>
      <c r="F352" s="311">
        <v>-22386.639999999999</v>
      </c>
      <c r="G352" s="308" t="s">
        <v>1142</v>
      </c>
      <c r="H352" s="308" t="s">
        <v>1284</v>
      </c>
      <c r="I352" s="308" t="s">
        <v>1140</v>
      </c>
      <c r="J352" s="308" t="s">
        <v>757</v>
      </c>
      <c r="K352" s="308" t="s">
        <v>741</v>
      </c>
      <c r="L352" s="309">
        <v>44012</v>
      </c>
      <c r="M352" s="312">
        <v>0</v>
      </c>
    </row>
    <row r="353" spans="1:13" hidden="1" x14ac:dyDescent="0.25">
      <c r="A353" s="309">
        <v>44043</v>
      </c>
      <c r="B353" s="308" t="s">
        <v>1143</v>
      </c>
      <c r="C353" s="308" t="s">
        <v>1060</v>
      </c>
      <c r="D353" s="310">
        <v>1</v>
      </c>
      <c r="E353" s="311">
        <v>2898.48</v>
      </c>
      <c r="F353" s="311">
        <v>-19488.16</v>
      </c>
      <c r="G353" s="308" t="s">
        <v>1144</v>
      </c>
      <c r="H353" s="308" t="s">
        <v>1284</v>
      </c>
      <c r="I353" s="308" t="s">
        <v>1140</v>
      </c>
      <c r="J353" s="308" t="s">
        <v>757</v>
      </c>
      <c r="K353" s="308" t="s">
        <v>741</v>
      </c>
      <c r="L353" s="309">
        <v>44043</v>
      </c>
      <c r="M353" s="312">
        <v>0</v>
      </c>
    </row>
    <row r="354" spans="1:13" hidden="1" x14ac:dyDescent="0.25">
      <c r="A354" s="309">
        <v>44043</v>
      </c>
      <c r="B354" s="308" t="s">
        <v>1143</v>
      </c>
      <c r="C354" s="308" t="s">
        <v>1060</v>
      </c>
      <c r="D354" s="310">
        <v>2</v>
      </c>
      <c r="E354" s="311">
        <v>-2898.48</v>
      </c>
      <c r="F354" s="311">
        <v>-22386.639999999999</v>
      </c>
      <c r="G354" s="308" t="s">
        <v>1144</v>
      </c>
      <c r="H354" s="308" t="s">
        <v>1284</v>
      </c>
      <c r="I354" s="308" t="s">
        <v>1140</v>
      </c>
      <c r="J354" s="308" t="s">
        <v>757</v>
      </c>
      <c r="K354" s="308" t="s">
        <v>741</v>
      </c>
      <c r="L354" s="309">
        <v>44043</v>
      </c>
      <c r="M354" s="312">
        <v>0</v>
      </c>
    </row>
    <row r="355" spans="1:13" hidden="1" x14ac:dyDescent="0.25">
      <c r="A355" s="309">
        <v>44074</v>
      </c>
      <c r="B355" s="308" t="s">
        <v>1147</v>
      </c>
      <c r="C355" s="308" t="s">
        <v>1060</v>
      </c>
      <c r="D355" s="310">
        <v>2</v>
      </c>
      <c r="E355" s="311">
        <v>2898.48</v>
      </c>
      <c r="F355" s="311">
        <v>-19488.16</v>
      </c>
      <c r="G355" s="308" t="s">
        <v>1148</v>
      </c>
      <c r="H355" s="308" t="s">
        <v>1284</v>
      </c>
      <c r="I355" s="308" t="s">
        <v>1140</v>
      </c>
      <c r="J355" s="308" t="s">
        <v>757</v>
      </c>
      <c r="K355" s="308" t="s">
        <v>741</v>
      </c>
      <c r="L355" s="309">
        <v>44074</v>
      </c>
      <c r="M355" s="312">
        <v>0</v>
      </c>
    </row>
    <row r="356" spans="1:13" hidden="1" x14ac:dyDescent="0.25">
      <c r="A356" s="309">
        <v>44074</v>
      </c>
      <c r="B356" s="308" t="s">
        <v>1147</v>
      </c>
      <c r="C356" s="308" t="s">
        <v>1060</v>
      </c>
      <c r="D356" s="310">
        <v>3</v>
      </c>
      <c r="E356" s="311">
        <v>-2898.48</v>
      </c>
      <c r="F356" s="311">
        <v>-22386.639999999999</v>
      </c>
      <c r="G356" s="308" t="s">
        <v>1148</v>
      </c>
      <c r="H356" s="308" t="s">
        <v>1284</v>
      </c>
      <c r="I356" s="308" t="s">
        <v>1140</v>
      </c>
      <c r="J356" s="308" t="s">
        <v>757</v>
      </c>
      <c r="K356" s="308" t="s">
        <v>741</v>
      </c>
      <c r="L356" s="309">
        <v>44074</v>
      </c>
      <c r="M356" s="312">
        <v>0</v>
      </c>
    </row>
    <row r="357" spans="1:13" hidden="1" x14ac:dyDescent="0.25">
      <c r="A357" s="309">
        <v>44104</v>
      </c>
      <c r="B357" s="308" t="s">
        <v>1198</v>
      </c>
      <c r="C357" s="308" t="s">
        <v>1060</v>
      </c>
      <c r="D357" s="310">
        <v>3</v>
      </c>
      <c r="E357" s="311">
        <v>2898.48</v>
      </c>
      <c r="F357" s="311">
        <v>-19488.16</v>
      </c>
      <c r="G357" s="308" t="s">
        <v>1199</v>
      </c>
      <c r="H357" s="308" t="s">
        <v>1284</v>
      </c>
      <c r="I357" s="308" t="s">
        <v>1140</v>
      </c>
      <c r="J357" s="308" t="s">
        <v>757</v>
      </c>
      <c r="K357" s="308" t="s">
        <v>741</v>
      </c>
      <c r="L357" s="309">
        <v>44104</v>
      </c>
      <c r="M357" s="312">
        <v>0</v>
      </c>
    </row>
    <row r="358" spans="1:13" hidden="1" x14ac:dyDescent="0.25">
      <c r="A358" s="309">
        <v>44104</v>
      </c>
      <c r="B358" s="308" t="s">
        <v>1198</v>
      </c>
      <c r="C358" s="308" t="s">
        <v>1060</v>
      </c>
      <c r="D358" s="310">
        <v>4</v>
      </c>
      <c r="E358" s="311">
        <v>-2898.48</v>
      </c>
      <c r="F358" s="311">
        <v>-22386.639999999999</v>
      </c>
      <c r="G358" s="308" t="s">
        <v>1199</v>
      </c>
      <c r="H358" s="308" t="s">
        <v>1284</v>
      </c>
      <c r="I358" s="308" t="s">
        <v>1140</v>
      </c>
      <c r="J358" s="308" t="s">
        <v>757</v>
      </c>
      <c r="K358" s="308" t="s">
        <v>741</v>
      </c>
      <c r="L358" s="309">
        <v>44104</v>
      </c>
      <c r="M358" s="312">
        <v>0</v>
      </c>
    </row>
    <row r="359" spans="1:13" hidden="1" x14ac:dyDescent="0.25">
      <c r="A359" s="309">
        <v>44135</v>
      </c>
      <c r="B359" s="308" t="s">
        <v>1200</v>
      </c>
      <c r="C359" s="308" t="s">
        <v>1060</v>
      </c>
      <c r="D359" s="310">
        <v>4</v>
      </c>
      <c r="E359" s="311">
        <v>2898.48</v>
      </c>
      <c r="F359" s="311">
        <v>-19488.16</v>
      </c>
      <c r="G359" s="308" t="s">
        <v>1201</v>
      </c>
      <c r="H359" s="308" t="s">
        <v>1284</v>
      </c>
      <c r="I359" s="308" t="s">
        <v>1140</v>
      </c>
      <c r="J359" s="308" t="s">
        <v>757</v>
      </c>
      <c r="K359" s="308" t="s">
        <v>741</v>
      </c>
      <c r="L359" s="309">
        <v>44135</v>
      </c>
      <c r="M359" s="312">
        <v>0</v>
      </c>
    </row>
    <row r="360" spans="1:13" hidden="1" x14ac:dyDescent="0.25">
      <c r="A360" s="309">
        <v>44135</v>
      </c>
      <c r="B360" s="308" t="s">
        <v>1200</v>
      </c>
      <c r="C360" s="308" t="s">
        <v>1060</v>
      </c>
      <c r="D360" s="310">
        <v>5</v>
      </c>
      <c r="E360" s="311">
        <v>-2898.48</v>
      </c>
      <c r="F360" s="311">
        <v>-22386.639999999999</v>
      </c>
      <c r="G360" s="308" t="s">
        <v>1201</v>
      </c>
      <c r="H360" s="308" t="s">
        <v>1284</v>
      </c>
      <c r="I360" s="308" t="s">
        <v>1140</v>
      </c>
      <c r="J360" s="308" t="s">
        <v>757</v>
      </c>
      <c r="K360" s="308" t="s">
        <v>741</v>
      </c>
      <c r="L360" s="309">
        <v>44135</v>
      </c>
      <c r="M360" s="312">
        <v>0</v>
      </c>
    </row>
    <row r="361" spans="1:13" hidden="1" x14ac:dyDescent="0.25">
      <c r="A361" s="309">
        <v>44165</v>
      </c>
      <c r="B361" s="308" t="s">
        <v>1158</v>
      </c>
      <c r="C361" s="308" t="s">
        <v>1060</v>
      </c>
      <c r="D361" s="310">
        <v>5</v>
      </c>
      <c r="E361" s="311">
        <v>3039.01</v>
      </c>
      <c r="F361" s="311">
        <v>-19347.63</v>
      </c>
      <c r="G361" s="308" t="s">
        <v>1159</v>
      </c>
      <c r="H361" s="308" t="s">
        <v>1284</v>
      </c>
      <c r="I361" s="308" t="s">
        <v>1140</v>
      </c>
      <c r="J361" s="308" t="s">
        <v>757</v>
      </c>
      <c r="K361" s="308" t="s">
        <v>741</v>
      </c>
      <c r="L361" s="309">
        <v>44165</v>
      </c>
      <c r="M361" s="312">
        <v>0</v>
      </c>
    </row>
    <row r="362" spans="1:13" hidden="1" x14ac:dyDescent="0.25">
      <c r="A362" s="309">
        <v>44165</v>
      </c>
      <c r="B362" s="308" t="s">
        <v>1158</v>
      </c>
      <c r="C362" s="308" t="s">
        <v>1060</v>
      </c>
      <c r="D362" s="310">
        <v>6</v>
      </c>
      <c r="E362" s="311">
        <v>-3039.01</v>
      </c>
      <c r="F362" s="311">
        <v>-22386.639999999999</v>
      </c>
      <c r="G362" s="308" t="s">
        <v>1159</v>
      </c>
      <c r="H362" s="308" t="s">
        <v>1284</v>
      </c>
      <c r="I362" s="308" t="s">
        <v>1140</v>
      </c>
      <c r="J362" s="308" t="s">
        <v>757</v>
      </c>
      <c r="K362" s="308" t="s">
        <v>741</v>
      </c>
      <c r="L362" s="309">
        <v>44165</v>
      </c>
      <c r="M362" s="312">
        <v>0</v>
      </c>
    </row>
    <row r="363" spans="1:13" hidden="1" x14ac:dyDescent="0.25">
      <c r="A363" s="309">
        <v>44196</v>
      </c>
      <c r="B363" s="308" t="s">
        <v>1160</v>
      </c>
      <c r="C363" s="308" t="s">
        <v>1060</v>
      </c>
      <c r="D363" s="310">
        <v>6</v>
      </c>
      <c r="E363" s="311">
        <v>3474.26</v>
      </c>
      <c r="F363" s="311">
        <v>-18912.38</v>
      </c>
      <c r="G363" s="308" t="s">
        <v>1161</v>
      </c>
      <c r="H363" s="308" t="s">
        <v>1284</v>
      </c>
      <c r="I363" s="308" t="s">
        <v>1140</v>
      </c>
      <c r="J363" s="308" t="s">
        <v>757</v>
      </c>
      <c r="K363" s="308" t="s">
        <v>741</v>
      </c>
      <c r="L363" s="309">
        <v>44196</v>
      </c>
      <c r="M363" s="312">
        <v>0</v>
      </c>
    </row>
    <row r="364" spans="1:13" hidden="1" x14ac:dyDescent="0.25">
      <c r="A364" s="309">
        <v>44196</v>
      </c>
      <c r="B364" s="308" t="s">
        <v>1160</v>
      </c>
      <c r="C364" s="308" t="s">
        <v>1060</v>
      </c>
      <c r="D364" s="310">
        <v>7</v>
      </c>
      <c r="E364" s="311">
        <v>-3474.26</v>
      </c>
      <c r="F364" s="311">
        <v>-22386.639999999999</v>
      </c>
      <c r="G364" s="308" t="s">
        <v>1161</v>
      </c>
      <c r="H364" s="308" t="s">
        <v>1284</v>
      </c>
      <c r="I364" s="308" t="s">
        <v>1140</v>
      </c>
      <c r="J364" s="308" t="s">
        <v>757</v>
      </c>
      <c r="K364" s="308" t="s">
        <v>741</v>
      </c>
      <c r="L364" s="309">
        <v>44196</v>
      </c>
      <c r="M364" s="312">
        <v>0</v>
      </c>
    </row>
    <row r="365" spans="1:13" hidden="1" x14ac:dyDescent="0.25">
      <c r="A365" s="309">
        <v>44230</v>
      </c>
      <c r="B365" s="308" t="s">
        <v>1166</v>
      </c>
      <c r="C365" s="308" t="s">
        <v>1060</v>
      </c>
      <c r="D365" s="310">
        <v>7</v>
      </c>
      <c r="E365" s="311">
        <v>3738.46</v>
      </c>
      <c r="F365" s="311">
        <v>-18648.18</v>
      </c>
      <c r="G365" s="308" t="s">
        <v>1167</v>
      </c>
      <c r="H365" s="308" t="s">
        <v>1284</v>
      </c>
      <c r="I365" s="308" t="s">
        <v>1140</v>
      </c>
      <c r="J365" s="308" t="s">
        <v>757</v>
      </c>
      <c r="K365" s="308" t="s">
        <v>741</v>
      </c>
      <c r="L365" s="309">
        <v>44230</v>
      </c>
      <c r="M365" s="312">
        <v>0</v>
      </c>
    </row>
    <row r="366" spans="1:13" hidden="1" x14ac:dyDescent="0.25">
      <c r="A366" s="309">
        <v>44230</v>
      </c>
      <c r="B366" s="308" t="s">
        <v>1166</v>
      </c>
      <c r="C366" s="308" t="s">
        <v>1060</v>
      </c>
      <c r="D366" s="310">
        <v>8</v>
      </c>
      <c r="E366" s="311">
        <v>-3738.46</v>
      </c>
      <c r="F366" s="311">
        <v>-22386.639999999999</v>
      </c>
      <c r="G366" s="308" t="s">
        <v>1167</v>
      </c>
      <c r="H366" s="308" t="s">
        <v>1284</v>
      </c>
      <c r="I366" s="308" t="s">
        <v>1140</v>
      </c>
      <c r="J366" s="308" t="s">
        <v>757</v>
      </c>
      <c r="K366" s="308" t="s">
        <v>741</v>
      </c>
      <c r="L366" s="309">
        <v>44230</v>
      </c>
      <c r="M366" s="312">
        <v>0</v>
      </c>
    </row>
    <row r="367" spans="1:13" hidden="1" x14ac:dyDescent="0.25">
      <c r="A367" s="309">
        <v>44255</v>
      </c>
      <c r="B367" s="308" t="s">
        <v>1178</v>
      </c>
      <c r="C367" s="308" t="s">
        <v>1060</v>
      </c>
      <c r="D367" s="310">
        <v>8</v>
      </c>
      <c r="E367" s="311">
        <v>3911.01</v>
      </c>
      <c r="F367" s="311">
        <v>-18475.63</v>
      </c>
      <c r="G367" s="308" t="s">
        <v>1179</v>
      </c>
      <c r="H367" s="308" t="s">
        <v>1284</v>
      </c>
      <c r="I367" s="308" t="s">
        <v>1140</v>
      </c>
      <c r="J367" s="308" t="s">
        <v>757</v>
      </c>
      <c r="K367" s="308" t="s">
        <v>741</v>
      </c>
      <c r="L367" s="309">
        <v>44255</v>
      </c>
      <c r="M367" s="312">
        <v>0</v>
      </c>
    </row>
    <row r="368" spans="1:13" hidden="1" x14ac:dyDescent="0.25">
      <c r="A368" s="309">
        <v>44255</v>
      </c>
      <c r="B368" s="308" t="s">
        <v>1178</v>
      </c>
      <c r="C368" s="308" t="s">
        <v>1060</v>
      </c>
      <c r="D368" s="310">
        <v>9</v>
      </c>
      <c r="E368" s="311">
        <v>-3911.01</v>
      </c>
      <c r="F368" s="311">
        <v>-22386.639999999999</v>
      </c>
      <c r="G368" s="308" t="s">
        <v>1179</v>
      </c>
      <c r="H368" s="308" t="s">
        <v>1284</v>
      </c>
      <c r="I368" s="308" t="s">
        <v>1140</v>
      </c>
      <c r="J368" s="308" t="s">
        <v>757</v>
      </c>
      <c r="K368" s="308" t="s">
        <v>741</v>
      </c>
      <c r="L368" s="309">
        <v>44255</v>
      </c>
      <c r="M368" s="312">
        <v>0</v>
      </c>
    </row>
    <row r="369" spans="1:13" hidden="1" x14ac:dyDescent="0.25">
      <c r="A369" s="309">
        <v>44286</v>
      </c>
      <c r="B369" s="308" t="s">
        <v>1181</v>
      </c>
      <c r="C369" s="308" t="s">
        <v>1060</v>
      </c>
      <c r="D369" s="310">
        <v>9</v>
      </c>
      <c r="E369" s="311">
        <v>4632.6000000000004</v>
      </c>
      <c r="F369" s="311">
        <v>-17754.04</v>
      </c>
      <c r="G369" s="308" t="s">
        <v>1182</v>
      </c>
      <c r="H369" s="308" t="s">
        <v>1284</v>
      </c>
      <c r="I369" s="308" t="s">
        <v>1140</v>
      </c>
      <c r="J369" s="308" t="s">
        <v>757</v>
      </c>
      <c r="K369" s="308" t="s">
        <v>741</v>
      </c>
      <c r="L369" s="309">
        <v>44286</v>
      </c>
      <c r="M369" s="312">
        <v>0</v>
      </c>
    </row>
    <row r="370" spans="1:13" hidden="1" x14ac:dyDescent="0.25">
      <c r="A370" s="309">
        <v>44286</v>
      </c>
      <c r="B370" s="308" t="s">
        <v>1181</v>
      </c>
      <c r="C370" s="308" t="s">
        <v>1060</v>
      </c>
      <c r="D370" s="310">
        <v>10</v>
      </c>
      <c r="E370" s="311">
        <v>-4632.6000000000004</v>
      </c>
      <c r="F370" s="311">
        <v>-22386.639999999999</v>
      </c>
      <c r="G370" s="308" t="s">
        <v>1182</v>
      </c>
      <c r="H370" s="308" t="s">
        <v>1284</v>
      </c>
      <c r="I370" s="308" t="s">
        <v>1140</v>
      </c>
      <c r="J370" s="308" t="s">
        <v>757</v>
      </c>
      <c r="K370" s="308" t="s">
        <v>741</v>
      </c>
      <c r="L370" s="309">
        <v>44286</v>
      </c>
      <c r="M370" s="312">
        <v>0</v>
      </c>
    </row>
    <row r="371" spans="1:13" hidden="1" x14ac:dyDescent="0.25">
      <c r="A371" s="309">
        <v>44316</v>
      </c>
      <c r="B371" s="308" t="s">
        <v>1104</v>
      </c>
      <c r="C371" s="308" t="s">
        <v>1060</v>
      </c>
      <c r="D371" s="310">
        <v>10</v>
      </c>
      <c r="E371" s="311">
        <v>5459.28</v>
      </c>
      <c r="F371" s="311">
        <v>-16927.36</v>
      </c>
      <c r="G371" s="308" t="s">
        <v>1096</v>
      </c>
      <c r="H371" s="308" t="s">
        <v>1284</v>
      </c>
      <c r="I371" s="308" t="s">
        <v>1140</v>
      </c>
      <c r="J371" s="308" t="s">
        <v>757</v>
      </c>
      <c r="K371" s="308" t="s">
        <v>741</v>
      </c>
      <c r="L371" s="309">
        <v>44316</v>
      </c>
      <c r="M371" s="312">
        <v>0</v>
      </c>
    </row>
    <row r="372" spans="1:13" hidden="1" x14ac:dyDescent="0.25">
      <c r="A372" s="309">
        <v>44012</v>
      </c>
      <c r="B372" s="308" t="s">
        <v>1141</v>
      </c>
      <c r="C372" s="308" t="s">
        <v>1059</v>
      </c>
      <c r="D372" s="310">
        <v>1</v>
      </c>
      <c r="E372" s="311">
        <v>-1498.56</v>
      </c>
      <c r="F372" s="311">
        <v>-23885.200000000001</v>
      </c>
      <c r="G372" s="308" t="s">
        <v>1142</v>
      </c>
      <c r="H372" s="308" t="s">
        <v>1285</v>
      </c>
      <c r="I372" s="308" t="s">
        <v>1140</v>
      </c>
      <c r="J372" s="308" t="s">
        <v>757</v>
      </c>
      <c r="K372" s="308" t="s">
        <v>741</v>
      </c>
      <c r="L372" s="309">
        <v>44012</v>
      </c>
      <c r="M372" s="312">
        <v>0</v>
      </c>
    </row>
    <row r="373" spans="1:13" hidden="1" x14ac:dyDescent="0.25">
      <c r="A373" s="309">
        <v>44043</v>
      </c>
      <c r="B373" s="308" t="s">
        <v>1143</v>
      </c>
      <c r="C373" s="308" t="s">
        <v>1060</v>
      </c>
      <c r="D373" s="310">
        <v>1</v>
      </c>
      <c r="E373" s="311">
        <v>1498.56</v>
      </c>
      <c r="F373" s="311">
        <v>-22386.639999999999</v>
      </c>
      <c r="G373" s="308" t="s">
        <v>1144</v>
      </c>
      <c r="H373" s="308" t="s">
        <v>1285</v>
      </c>
      <c r="I373" s="308" t="s">
        <v>1140</v>
      </c>
      <c r="J373" s="308" t="s">
        <v>757</v>
      </c>
      <c r="K373" s="308" t="s">
        <v>741</v>
      </c>
      <c r="L373" s="309">
        <v>44043</v>
      </c>
      <c r="M373" s="312">
        <v>0</v>
      </c>
    </row>
    <row r="374" spans="1:13" hidden="1" x14ac:dyDescent="0.25">
      <c r="A374" s="309">
        <v>44043</v>
      </c>
      <c r="B374" s="308" t="s">
        <v>1143</v>
      </c>
      <c r="C374" s="308" t="s">
        <v>1060</v>
      </c>
      <c r="D374" s="310">
        <v>2</v>
      </c>
      <c r="E374" s="311">
        <v>-1498.56</v>
      </c>
      <c r="F374" s="311">
        <v>-23885.200000000001</v>
      </c>
      <c r="G374" s="308" t="s">
        <v>1144</v>
      </c>
      <c r="H374" s="308" t="s">
        <v>1285</v>
      </c>
      <c r="I374" s="308" t="s">
        <v>1140</v>
      </c>
      <c r="J374" s="308" t="s">
        <v>757</v>
      </c>
      <c r="K374" s="308" t="s">
        <v>741</v>
      </c>
      <c r="L374" s="309">
        <v>44043</v>
      </c>
      <c r="M374" s="312">
        <v>0</v>
      </c>
    </row>
    <row r="375" spans="1:13" hidden="1" x14ac:dyDescent="0.25">
      <c r="A375" s="309">
        <v>44074</v>
      </c>
      <c r="B375" s="308" t="s">
        <v>1147</v>
      </c>
      <c r="C375" s="308" t="s">
        <v>1060</v>
      </c>
      <c r="D375" s="310">
        <v>2</v>
      </c>
      <c r="E375" s="311">
        <v>1498.56</v>
      </c>
      <c r="F375" s="311">
        <v>-22386.639999999999</v>
      </c>
      <c r="G375" s="308" t="s">
        <v>1148</v>
      </c>
      <c r="H375" s="308" t="s">
        <v>1285</v>
      </c>
      <c r="I375" s="308" t="s">
        <v>1140</v>
      </c>
      <c r="J375" s="308" t="s">
        <v>757</v>
      </c>
      <c r="K375" s="308" t="s">
        <v>741</v>
      </c>
      <c r="L375" s="309">
        <v>44074</v>
      </c>
      <c r="M375" s="312">
        <v>0</v>
      </c>
    </row>
    <row r="376" spans="1:13" hidden="1" x14ac:dyDescent="0.25">
      <c r="A376" s="309">
        <v>44074</v>
      </c>
      <c r="B376" s="308" t="s">
        <v>1147</v>
      </c>
      <c r="C376" s="308" t="s">
        <v>1060</v>
      </c>
      <c r="D376" s="310">
        <v>3</v>
      </c>
      <c r="E376" s="311">
        <v>-1498.56</v>
      </c>
      <c r="F376" s="311">
        <v>-23885.200000000001</v>
      </c>
      <c r="G376" s="308" t="s">
        <v>1148</v>
      </c>
      <c r="H376" s="308" t="s">
        <v>1285</v>
      </c>
      <c r="I376" s="308" t="s">
        <v>1140</v>
      </c>
      <c r="J376" s="308" t="s">
        <v>757</v>
      </c>
      <c r="K376" s="308" t="s">
        <v>741</v>
      </c>
      <c r="L376" s="309">
        <v>44074</v>
      </c>
      <c r="M376" s="312">
        <v>0</v>
      </c>
    </row>
    <row r="377" spans="1:13" hidden="1" x14ac:dyDescent="0.25">
      <c r="A377" s="309">
        <v>44104</v>
      </c>
      <c r="B377" s="308" t="s">
        <v>1198</v>
      </c>
      <c r="C377" s="308" t="s">
        <v>1060</v>
      </c>
      <c r="D377" s="310">
        <v>3</v>
      </c>
      <c r="E377" s="311">
        <v>1498.56</v>
      </c>
      <c r="F377" s="311">
        <v>-22386.639999999999</v>
      </c>
      <c r="G377" s="308" t="s">
        <v>1199</v>
      </c>
      <c r="H377" s="308" t="s">
        <v>1285</v>
      </c>
      <c r="I377" s="308" t="s">
        <v>1140</v>
      </c>
      <c r="J377" s="308" t="s">
        <v>757</v>
      </c>
      <c r="K377" s="308" t="s">
        <v>741</v>
      </c>
      <c r="L377" s="309">
        <v>44104</v>
      </c>
      <c r="M377" s="312">
        <v>0</v>
      </c>
    </row>
    <row r="378" spans="1:13" hidden="1" x14ac:dyDescent="0.25">
      <c r="A378" s="309">
        <v>44104</v>
      </c>
      <c r="B378" s="308" t="s">
        <v>1198</v>
      </c>
      <c r="C378" s="308" t="s">
        <v>1060</v>
      </c>
      <c r="D378" s="310">
        <v>4</v>
      </c>
      <c r="E378" s="311">
        <v>-1498.56</v>
      </c>
      <c r="F378" s="311">
        <v>-23885.200000000001</v>
      </c>
      <c r="G378" s="308" t="s">
        <v>1199</v>
      </c>
      <c r="H378" s="308" t="s">
        <v>1285</v>
      </c>
      <c r="I378" s="308" t="s">
        <v>1140</v>
      </c>
      <c r="J378" s="308" t="s">
        <v>757</v>
      </c>
      <c r="K378" s="308" t="s">
        <v>741</v>
      </c>
      <c r="L378" s="309">
        <v>44104</v>
      </c>
      <c r="M378" s="312">
        <v>0</v>
      </c>
    </row>
    <row r="379" spans="1:13" hidden="1" x14ac:dyDescent="0.25">
      <c r="A379" s="309">
        <v>44135</v>
      </c>
      <c r="B379" s="308" t="s">
        <v>1200</v>
      </c>
      <c r="C379" s="308" t="s">
        <v>1060</v>
      </c>
      <c r="D379" s="310">
        <v>4</v>
      </c>
      <c r="E379" s="311">
        <v>1498.56</v>
      </c>
      <c r="F379" s="311">
        <v>-22386.639999999999</v>
      </c>
      <c r="G379" s="308" t="s">
        <v>1201</v>
      </c>
      <c r="H379" s="308" t="s">
        <v>1285</v>
      </c>
      <c r="I379" s="308" t="s">
        <v>1140</v>
      </c>
      <c r="J379" s="308" t="s">
        <v>757</v>
      </c>
      <c r="K379" s="308" t="s">
        <v>741</v>
      </c>
      <c r="L379" s="309">
        <v>44135</v>
      </c>
      <c r="M379" s="312">
        <v>0</v>
      </c>
    </row>
    <row r="380" spans="1:13" hidden="1" x14ac:dyDescent="0.25">
      <c r="A380" s="309">
        <v>44135</v>
      </c>
      <c r="B380" s="308" t="s">
        <v>1200</v>
      </c>
      <c r="C380" s="308" t="s">
        <v>1060</v>
      </c>
      <c r="D380" s="310">
        <v>5</v>
      </c>
      <c r="E380" s="311">
        <v>-1498.56</v>
      </c>
      <c r="F380" s="311">
        <v>-23885.200000000001</v>
      </c>
      <c r="G380" s="308" t="s">
        <v>1201</v>
      </c>
      <c r="H380" s="308" t="s">
        <v>1285</v>
      </c>
      <c r="I380" s="308" t="s">
        <v>1140</v>
      </c>
      <c r="J380" s="308" t="s">
        <v>757</v>
      </c>
      <c r="K380" s="308" t="s">
        <v>741</v>
      </c>
      <c r="L380" s="309">
        <v>44135</v>
      </c>
      <c r="M380" s="312">
        <v>0</v>
      </c>
    </row>
    <row r="381" spans="1:13" hidden="1" x14ac:dyDescent="0.25">
      <c r="A381" s="309">
        <v>44165</v>
      </c>
      <c r="B381" s="308" t="s">
        <v>1158</v>
      </c>
      <c r="C381" s="308" t="s">
        <v>1060</v>
      </c>
      <c r="D381" s="310">
        <v>5</v>
      </c>
      <c r="E381" s="311">
        <v>1498.56</v>
      </c>
      <c r="F381" s="311">
        <v>-22386.639999999999</v>
      </c>
      <c r="G381" s="308" t="s">
        <v>1159</v>
      </c>
      <c r="H381" s="308" t="s">
        <v>1285</v>
      </c>
      <c r="I381" s="308" t="s">
        <v>1140</v>
      </c>
      <c r="J381" s="308" t="s">
        <v>757</v>
      </c>
      <c r="K381" s="308" t="s">
        <v>741</v>
      </c>
      <c r="L381" s="309">
        <v>44165</v>
      </c>
      <c r="M381" s="312">
        <v>0</v>
      </c>
    </row>
    <row r="382" spans="1:13" hidden="1" x14ac:dyDescent="0.25">
      <c r="A382" s="309">
        <v>44165</v>
      </c>
      <c r="B382" s="308" t="s">
        <v>1158</v>
      </c>
      <c r="C382" s="308" t="s">
        <v>1060</v>
      </c>
      <c r="D382" s="310">
        <v>6</v>
      </c>
      <c r="E382" s="311">
        <v>-1498.56</v>
      </c>
      <c r="F382" s="311">
        <v>-23885.200000000001</v>
      </c>
      <c r="G382" s="308" t="s">
        <v>1159</v>
      </c>
      <c r="H382" s="308" t="s">
        <v>1285</v>
      </c>
      <c r="I382" s="308" t="s">
        <v>1140</v>
      </c>
      <c r="J382" s="308" t="s">
        <v>757</v>
      </c>
      <c r="K382" s="308" t="s">
        <v>741</v>
      </c>
      <c r="L382" s="309">
        <v>44165</v>
      </c>
      <c r="M382" s="312">
        <v>0</v>
      </c>
    </row>
    <row r="383" spans="1:13" hidden="1" x14ac:dyDescent="0.25">
      <c r="A383" s="309">
        <v>44196</v>
      </c>
      <c r="B383" s="308" t="s">
        <v>1160</v>
      </c>
      <c r="C383" s="308" t="s">
        <v>1060</v>
      </c>
      <c r="D383" s="310">
        <v>6</v>
      </c>
      <c r="E383" s="311">
        <v>1498.56</v>
      </c>
      <c r="F383" s="311">
        <v>-22386.639999999999</v>
      </c>
      <c r="G383" s="308" t="s">
        <v>1161</v>
      </c>
      <c r="H383" s="308" t="s">
        <v>1285</v>
      </c>
      <c r="I383" s="308" t="s">
        <v>1140</v>
      </c>
      <c r="J383" s="308" t="s">
        <v>757</v>
      </c>
      <c r="K383" s="308" t="s">
        <v>741</v>
      </c>
      <c r="L383" s="309">
        <v>44196</v>
      </c>
      <c r="M383" s="312">
        <v>0</v>
      </c>
    </row>
    <row r="384" spans="1:13" hidden="1" x14ac:dyDescent="0.25">
      <c r="A384" s="309">
        <v>44196</v>
      </c>
      <c r="B384" s="308" t="s">
        <v>1160</v>
      </c>
      <c r="C384" s="308" t="s">
        <v>1060</v>
      </c>
      <c r="D384" s="310">
        <v>7</v>
      </c>
      <c r="E384" s="311">
        <v>-1498.56</v>
      </c>
      <c r="F384" s="311">
        <v>-23885.200000000001</v>
      </c>
      <c r="G384" s="308" t="s">
        <v>1161</v>
      </c>
      <c r="H384" s="308" t="s">
        <v>1285</v>
      </c>
      <c r="I384" s="308" t="s">
        <v>1140</v>
      </c>
      <c r="J384" s="308" t="s">
        <v>757</v>
      </c>
      <c r="K384" s="308" t="s">
        <v>741</v>
      </c>
      <c r="L384" s="309">
        <v>44196</v>
      </c>
      <c r="M384" s="312">
        <v>0</v>
      </c>
    </row>
    <row r="385" spans="1:13" hidden="1" x14ac:dyDescent="0.25">
      <c r="A385" s="309">
        <v>44230</v>
      </c>
      <c r="B385" s="308" t="s">
        <v>1166</v>
      </c>
      <c r="C385" s="308" t="s">
        <v>1060</v>
      </c>
      <c r="D385" s="310">
        <v>7</v>
      </c>
      <c r="E385" s="311">
        <v>1498.56</v>
      </c>
      <c r="F385" s="311">
        <v>-22386.639999999999</v>
      </c>
      <c r="G385" s="308" t="s">
        <v>1167</v>
      </c>
      <c r="H385" s="308" t="s">
        <v>1285</v>
      </c>
      <c r="I385" s="308" t="s">
        <v>1140</v>
      </c>
      <c r="J385" s="308" t="s">
        <v>757</v>
      </c>
      <c r="K385" s="308" t="s">
        <v>741</v>
      </c>
      <c r="L385" s="309">
        <v>44230</v>
      </c>
      <c r="M385" s="312">
        <v>0</v>
      </c>
    </row>
    <row r="386" spans="1:13" hidden="1" x14ac:dyDescent="0.25">
      <c r="A386" s="309">
        <v>44230</v>
      </c>
      <c r="B386" s="308" t="s">
        <v>1166</v>
      </c>
      <c r="C386" s="308" t="s">
        <v>1060</v>
      </c>
      <c r="D386" s="310">
        <v>8</v>
      </c>
      <c r="E386" s="311">
        <v>-1498.56</v>
      </c>
      <c r="F386" s="311">
        <v>-23885.200000000001</v>
      </c>
      <c r="G386" s="308" t="s">
        <v>1167</v>
      </c>
      <c r="H386" s="308" t="s">
        <v>1285</v>
      </c>
      <c r="I386" s="308" t="s">
        <v>1140</v>
      </c>
      <c r="J386" s="308" t="s">
        <v>757</v>
      </c>
      <c r="K386" s="308" t="s">
        <v>741</v>
      </c>
      <c r="L386" s="309">
        <v>44230</v>
      </c>
      <c r="M386" s="312">
        <v>0</v>
      </c>
    </row>
    <row r="387" spans="1:13" hidden="1" x14ac:dyDescent="0.25">
      <c r="A387" s="309">
        <v>44255</v>
      </c>
      <c r="B387" s="308" t="s">
        <v>1178</v>
      </c>
      <c r="C387" s="308" t="s">
        <v>1060</v>
      </c>
      <c r="D387" s="310">
        <v>8</v>
      </c>
      <c r="E387" s="311">
        <v>1498.56</v>
      </c>
      <c r="F387" s="311">
        <v>-22386.639999999999</v>
      </c>
      <c r="G387" s="308" t="s">
        <v>1179</v>
      </c>
      <c r="H387" s="308" t="s">
        <v>1285</v>
      </c>
      <c r="I387" s="308" t="s">
        <v>1140</v>
      </c>
      <c r="J387" s="308" t="s">
        <v>757</v>
      </c>
      <c r="K387" s="308" t="s">
        <v>741</v>
      </c>
      <c r="L387" s="309">
        <v>44255</v>
      </c>
      <c r="M387" s="312">
        <v>0</v>
      </c>
    </row>
    <row r="388" spans="1:13" hidden="1" x14ac:dyDescent="0.25">
      <c r="A388" s="309">
        <v>44255</v>
      </c>
      <c r="B388" s="308" t="s">
        <v>1178</v>
      </c>
      <c r="C388" s="308" t="s">
        <v>1060</v>
      </c>
      <c r="D388" s="310">
        <v>9</v>
      </c>
      <c r="E388" s="311">
        <v>-1498.56</v>
      </c>
      <c r="F388" s="311">
        <v>-23885.200000000001</v>
      </c>
      <c r="G388" s="308" t="s">
        <v>1179</v>
      </c>
      <c r="H388" s="308" t="s">
        <v>1285</v>
      </c>
      <c r="I388" s="308" t="s">
        <v>1140</v>
      </c>
      <c r="J388" s="308" t="s">
        <v>757</v>
      </c>
      <c r="K388" s="308" t="s">
        <v>741</v>
      </c>
      <c r="L388" s="309">
        <v>44255</v>
      </c>
      <c r="M388" s="312">
        <v>0</v>
      </c>
    </row>
    <row r="389" spans="1:13" hidden="1" x14ac:dyDescent="0.25">
      <c r="A389" s="309">
        <v>44286</v>
      </c>
      <c r="B389" s="308" t="s">
        <v>1181</v>
      </c>
      <c r="C389" s="308" t="s">
        <v>1060</v>
      </c>
      <c r="D389" s="310">
        <v>9</v>
      </c>
      <c r="E389" s="311">
        <v>1498.56</v>
      </c>
      <c r="F389" s="311">
        <v>-22386.639999999999</v>
      </c>
      <c r="G389" s="308" t="s">
        <v>1182</v>
      </c>
      <c r="H389" s="308" t="s">
        <v>1285</v>
      </c>
      <c r="I389" s="308" t="s">
        <v>1140</v>
      </c>
      <c r="J389" s="308" t="s">
        <v>757</v>
      </c>
      <c r="K389" s="308" t="s">
        <v>741</v>
      </c>
      <c r="L389" s="309">
        <v>44286</v>
      </c>
      <c r="M389" s="312">
        <v>0</v>
      </c>
    </row>
    <row r="390" spans="1:13" hidden="1" x14ac:dyDescent="0.25">
      <c r="A390" s="309">
        <v>44286</v>
      </c>
      <c r="B390" s="308" t="s">
        <v>1181</v>
      </c>
      <c r="C390" s="308" t="s">
        <v>1060</v>
      </c>
      <c r="D390" s="310">
        <v>10</v>
      </c>
      <c r="E390" s="311">
        <v>-1498.56</v>
      </c>
      <c r="F390" s="311">
        <v>-23885.200000000001</v>
      </c>
      <c r="G390" s="308" t="s">
        <v>1182</v>
      </c>
      <c r="H390" s="308" t="s">
        <v>1285</v>
      </c>
      <c r="I390" s="308" t="s">
        <v>1140</v>
      </c>
      <c r="J390" s="308" t="s">
        <v>757</v>
      </c>
      <c r="K390" s="308" t="s">
        <v>741</v>
      </c>
      <c r="L390" s="309">
        <v>44286</v>
      </c>
      <c r="M390" s="312">
        <v>0</v>
      </c>
    </row>
    <row r="391" spans="1:13" hidden="1" x14ac:dyDescent="0.25">
      <c r="A391" s="309">
        <v>44316</v>
      </c>
      <c r="B391" s="308" t="s">
        <v>1104</v>
      </c>
      <c r="C391" s="308" t="s">
        <v>1060</v>
      </c>
      <c r="D391" s="310">
        <v>10</v>
      </c>
      <c r="E391" s="311">
        <v>1498.56</v>
      </c>
      <c r="F391" s="311">
        <v>-22386.639999999999</v>
      </c>
      <c r="G391" s="308" t="s">
        <v>1096</v>
      </c>
      <c r="H391" s="308" t="s">
        <v>1285</v>
      </c>
      <c r="I391" s="308" t="s">
        <v>1140</v>
      </c>
      <c r="J391" s="308" t="s">
        <v>757</v>
      </c>
      <c r="K391" s="308" t="s">
        <v>741</v>
      </c>
      <c r="L391" s="309">
        <v>44316</v>
      </c>
      <c r="M391" s="312">
        <v>0</v>
      </c>
    </row>
    <row r="392" spans="1:13" hidden="1" x14ac:dyDescent="0.25">
      <c r="A392" s="309">
        <v>44012</v>
      </c>
      <c r="B392" s="308" t="s">
        <v>1141</v>
      </c>
      <c r="C392" s="308" t="s">
        <v>1059</v>
      </c>
      <c r="D392" s="310">
        <v>1</v>
      </c>
      <c r="E392" s="311">
        <v>-1189.5999999999999</v>
      </c>
      <c r="F392" s="311">
        <v>-25074.799999999999</v>
      </c>
      <c r="G392" s="308" t="s">
        <v>1142</v>
      </c>
      <c r="H392" s="308" t="s">
        <v>1286</v>
      </c>
      <c r="I392" s="308" t="s">
        <v>1140</v>
      </c>
      <c r="J392" s="308" t="s">
        <v>757</v>
      </c>
      <c r="K392" s="308" t="s">
        <v>741</v>
      </c>
      <c r="L392" s="309">
        <v>44012</v>
      </c>
      <c r="M392" s="312">
        <v>0</v>
      </c>
    </row>
    <row r="393" spans="1:13" hidden="1" x14ac:dyDescent="0.25">
      <c r="A393" s="309">
        <v>44043</v>
      </c>
      <c r="B393" s="308" t="s">
        <v>1143</v>
      </c>
      <c r="C393" s="308" t="s">
        <v>1060</v>
      </c>
      <c r="D393" s="310">
        <v>1</v>
      </c>
      <c r="E393" s="311">
        <v>1189.5999999999999</v>
      </c>
      <c r="F393" s="311">
        <v>-23885.200000000001</v>
      </c>
      <c r="G393" s="308" t="s">
        <v>1144</v>
      </c>
      <c r="H393" s="308" t="s">
        <v>1286</v>
      </c>
      <c r="I393" s="308" t="s">
        <v>1140</v>
      </c>
      <c r="J393" s="308" t="s">
        <v>757</v>
      </c>
      <c r="K393" s="308" t="s">
        <v>741</v>
      </c>
      <c r="L393" s="309">
        <v>44043</v>
      </c>
      <c r="M393" s="312">
        <v>0</v>
      </c>
    </row>
    <row r="394" spans="1:13" hidden="1" x14ac:dyDescent="0.25">
      <c r="A394" s="309">
        <v>44043</v>
      </c>
      <c r="B394" s="308" t="s">
        <v>1143</v>
      </c>
      <c r="C394" s="308" t="s">
        <v>1060</v>
      </c>
      <c r="D394" s="310">
        <v>2</v>
      </c>
      <c r="E394" s="311">
        <v>-1189.5999999999999</v>
      </c>
      <c r="F394" s="311">
        <v>-25074.799999999999</v>
      </c>
      <c r="G394" s="308" t="s">
        <v>1144</v>
      </c>
      <c r="H394" s="308" t="s">
        <v>1286</v>
      </c>
      <c r="I394" s="308" t="s">
        <v>1140</v>
      </c>
      <c r="J394" s="308" t="s">
        <v>757</v>
      </c>
      <c r="K394" s="308" t="s">
        <v>741</v>
      </c>
      <c r="L394" s="309">
        <v>44043</v>
      </c>
      <c r="M394" s="312">
        <v>0</v>
      </c>
    </row>
    <row r="395" spans="1:13" hidden="1" x14ac:dyDescent="0.25">
      <c r="A395" s="309">
        <v>44074</v>
      </c>
      <c r="B395" s="308" t="s">
        <v>1147</v>
      </c>
      <c r="C395" s="308" t="s">
        <v>1060</v>
      </c>
      <c r="D395" s="310">
        <v>2</v>
      </c>
      <c r="E395" s="311">
        <v>1189.5999999999999</v>
      </c>
      <c r="F395" s="311">
        <v>-23885.200000000001</v>
      </c>
      <c r="G395" s="308" t="s">
        <v>1148</v>
      </c>
      <c r="H395" s="308" t="s">
        <v>1286</v>
      </c>
      <c r="I395" s="308" t="s">
        <v>1140</v>
      </c>
      <c r="J395" s="308" t="s">
        <v>757</v>
      </c>
      <c r="K395" s="308" t="s">
        <v>741</v>
      </c>
      <c r="L395" s="309">
        <v>44074</v>
      </c>
      <c r="M395" s="312">
        <v>0</v>
      </c>
    </row>
    <row r="396" spans="1:13" hidden="1" x14ac:dyDescent="0.25">
      <c r="A396" s="309">
        <v>44074</v>
      </c>
      <c r="B396" s="308" t="s">
        <v>1147</v>
      </c>
      <c r="C396" s="308" t="s">
        <v>1060</v>
      </c>
      <c r="D396" s="310">
        <v>3</v>
      </c>
      <c r="E396" s="311">
        <v>-1189.5999999999999</v>
      </c>
      <c r="F396" s="311">
        <v>-25074.799999999999</v>
      </c>
      <c r="G396" s="308" t="s">
        <v>1148</v>
      </c>
      <c r="H396" s="308" t="s">
        <v>1286</v>
      </c>
      <c r="I396" s="308" t="s">
        <v>1140</v>
      </c>
      <c r="J396" s="308" t="s">
        <v>757</v>
      </c>
      <c r="K396" s="308" t="s">
        <v>741</v>
      </c>
      <c r="L396" s="309">
        <v>44074</v>
      </c>
      <c r="M396" s="312">
        <v>0</v>
      </c>
    </row>
    <row r="397" spans="1:13" hidden="1" x14ac:dyDescent="0.25">
      <c r="A397" s="309">
        <v>44104</v>
      </c>
      <c r="B397" s="308" t="s">
        <v>1198</v>
      </c>
      <c r="C397" s="308" t="s">
        <v>1060</v>
      </c>
      <c r="D397" s="310">
        <v>3</v>
      </c>
      <c r="E397" s="311">
        <v>1189.5999999999999</v>
      </c>
      <c r="F397" s="311">
        <v>-23885.200000000001</v>
      </c>
      <c r="G397" s="308" t="s">
        <v>1199</v>
      </c>
      <c r="H397" s="308" t="s">
        <v>1286</v>
      </c>
      <c r="I397" s="308" t="s">
        <v>1140</v>
      </c>
      <c r="J397" s="308" t="s">
        <v>757</v>
      </c>
      <c r="K397" s="308" t="s">
        <v>741</v>
      </c>
      <c r="L397" s="309">
        <v>44104</v>
      </c>
      <c r="M397" s="312">
        <v>0</v>
      </c>
    </row>
    <row r="398" spans="1:13" hidden="1" x14ac:dyDescent="0.25">
      <c r="A398" s="309">
        <v>44104</v>
      </c>
      <c r="B398" s="308" t="s">
        <v>1198</v>
      </c>
      <c r="C398" s="308" t="s">
        <v>1060</v>
      </c>
      <c r="D398" s="310">
        <v>4</v>
      </c>
      <c r="E398" s="311">
        <v>-1189.5999999999999</v>
      </c>
      <c r="F398" s="311">
        <v>-25074.799999999999</v>
      </c>
      <c r="G398" s="308" t="s">
        <v>1199</v>
      </c>
      <c r="H398" s="308" t="s">
        <v>1286</v>
      </c>
      <c r="I398" s="308" t="s">
        <v>1140</v>
      </c>
      <c r="J398" s="308" t="s">
        <v>757</v>
      </c>
      <c r="K398" s="308" t="s">
        <v>741</v>
      </c>
      <c r="L398" s="309">
        <v>44104</v>
      </c>
      <c r="M398" s="312">
        <v>0</v>
      </c>
    </row>
    <row r="399" spans="1:13" hidden="1" x14ac:dyDescent="0.25">
      <c r="A399" s="309">
        <v>44135</v>
      </c>
      <c r="B399" s="308" t="s">
        <v>1200</v>
      </c>
      <c r="C399" s="308" t="s">
        <v>1060</v>
      </c>
      <c r="D399" s="310">
        <v>4</v>
      </c>
      <c r="E399" s="311">
        <v>1189.5999999999999</v>
      </c>
      <c r="F399" s="311">
        <v>-23885.200000000001</v>
      </c>
      <c r="G399" s="308" t="s">
        <v>1201</v>
      </c>
      <c r="H399" s="308" t="s">
        <v>1286</v>
      </c>
      <c r="I399" s="308" t="s">
        <v>1140</v>
      </c>
      <c r="J399" s="308" t="s">
        <v>757</v>
      </c>
      <c r="K399" s="308" t="s">
        <v>741</v>
      </c>
      <c r="L399" s="309">
        <v>44135</v>
      </c>
      <c r="M399" s="312">
        <v>0</v>
      </c>
    </row>
    <row r="400" spans="1:13" hidden="1" x14ac:dyDescent="0.25">
      <c r="A400" s="309">
        <v>44135</v>
      </c>
      <c r="B400" s="308" t="s">
        <v>1200</v>
      </c>
      <c r="C400" s="308" t="s">
        <v>1060</v>
      </c>
      <c r="D400" s="310">
        <v>5</v>
      </c>
      <c r="E400" s="311">
        <v>-1189.5999999999999</v>
      </c>
      <c r="F400" s="311">
        <v>-25074.799999999999</v>
      </c>
      <c r="G400" s="308" t="s">
        <v>1201</v>
      </c>
      <c r="H400" s="308" t="s">
        <v>1286</v>
      </c>
      <c r="I400" s="308" t="s">
        <v>1140</v>
      </c>
      <c r="J400" s="308" t="s">
        <v>757</v>
      </c>
      <c r="K400" s="308" t="s">
        <v>741</v>
      </c>
      <c r="L400" s="309">
        <v>44135</v>
      </c>
      <c r="M400" s="312">
        <v>0</v>
      </c>
    </row>
    <row r="401" spans="1:13" hidden="1" x14ac:dyDescent="0.25">
      <c r="A401" s="309">
        <v>44165</v>
      </c>
      <c r="B401" s="308" t="s">
        <v>1158</v>
      </c>
      <c r="C401" s="308" t="s">
        <v>1060</v>
      </c>
      <c r="D401" s="310">
        <v>5</v>
      </c>
      <c r="E401" s="311">
        <v>1344.07</v>
      </c>
      <c r="F401" s="311">
        <v>-23730.73</v>
      </c>
      <c r="G401" s="308" t="s">
        <v>1159</v>
      </c>
      <c r="H401" s="308" t="s">
        <v>1286</v>
      </c>
      <c r="I401" s="308" t="s">
        <v>1140</v>
      </c>
      <c r="J401" s="308" t="s">
        <v>757</v>
      </c>
      <c r="K401" s="308" t="s">
        <v>741</v>
      </c>
      <c r="L401" s="309">
        <v>44165</v>
      </c>
      <c r="M401" s="312">
        <v>0</v>
      </c>
    </row>
    <row r="402" spans="1:13" hidden="1" x14ac:dyDescent="0.25">
      <c r="A402" s="309">
        <v>44165</v>
      </c>
      <c r="B402" s="308" t="s">
        <v>1158</v>
      </c>
      <c r="C402" s="308" t="s">
        <v>1060</v>
      </c>
      <c r="D402" s="310">
        <v>6</v>
      </c>
      <c r="E402" s="311">
        <v>-1344.07</v>
      </c>
      <c r="F402" s="311">
        <v>-25074.799999999999</v>
      </c>
      <c r="G402" s="308" t="s">
        <v>1159</v>
      </c>
      <c r="H402" s="308" t="s">
        <v>1286</v>
      </c>
      <c r="I402" s="308" t="s">
        <v>1140</v>
      </c>
      <c r="J402" s="308" t="s">
        <v>757</v>
      </c>
      <c r="K402" s="308" t="s">
        <v>741</v>
      </c>
      <c r="L402" s="309">
        <v>44165</v>
      </c>
      <c r="M402" s="312">
        <v>0</v>
      </c>
    </row>
    <row r="403" spans="1:13" hidden="1" x14ac:dyDescent="0.25">
      <c r="A403" s="309">
        <v>44196</v>
      </c>
      <c r="B403" s="308" t="s">
        <v>1160</v>
      </c>
      <c r="C403" s="308" t="s">
        <v>1060</v>
      </c>
      <c r="D403" s="310">
        <v>6</v>
      </c>
      <c r="E403" s="311">
        <v>1378.71</v>
      </c>
      <c r="F403" s="311">
        <v>-23696.09</v>
      </c>
      <c r="G403" s="308" t="s">
        <v>1161</v>
      </c>
      <c r="H403" s="308" t="s">
        <v>1286</v>
      </c>
      <c r="I403" s="308" t="s">
        <v>1140</v>
      </c>
      <c r="J403" s="308" t="s">
        <v>757</v>
      </c>
      <c r="K403" s="308" t="s">
        <v>741</v>
      </c>
      <c r="L403" s="309">
        <v>44196</v>
      </c>
      <c r="M403" s="312">
        <v>0</v>
      </c>
    </row>
    <row r="404" spans="1:13" hidden="1" x14ac:dyDescent="0.25">
      <c r="A404" s="309">
        <v>44196</v>
      </c>
      <c r="B404" s="308" t="s">
        <v>1160</v>
      </c>
      <c r="C404" s="308" t="s">
        <v>1060</v>
      </c>
      <c r="D404" s="310">
        <v>7</v>
      </c>
      <c r="E404" s="311">
        <v>-1378.71</v>
      </c>
      <c r="F404" s="311">
        <v>-25074.799999999999</v>
      </c>
      <c r="G404" s="308" t="s">
        <v>1161</v>
      </c>
      <c r="H404" s="308" t="s">
        <v>1286</v>
      </c>
      <c r="I404" s="308" t="s">
        <v>1140</v>
      </c>
      <c r="J404" s="308" t="s">
        <v>757</v>
      </c>
      <c r="K404" s="308" t="s">
        <v>741</v>
      </c>
      <c r="L404" s="309">
        <v>44196</v>
      </c>
      <c r="M404" s="312">
        <v>0</v>
      </c>
    </row>
    <row r="405" spans="1:13" hidden="1" x14ac:dyDescent="0.25">
      <c r="A405" s="309">
        <v>44230</v>
      </c>
      <c r="B405" s="308" t="s">
        <v>1166</v>
      </c>
      <c r="C405" s="308" t="s">
        <v>1060</v>
      </c>
      <c r="D405" s="310">
        <v>7</v>
      </c>
      <c r="E405" s="311">
        <v>1422.58</v>
      </c>
      <c r="F405" s="311">
        <v>-23652.22</v>
      </c>
      <c r="G405" s="308" t="s">
        <v>1167</v>
      </c>
      <c r="H405" s="308" t="s">
        <v>1286</v>
      </c>
      <c r="I405" s="308" t="s">
        <v>1140</v>
      </c>
      <c r="J405" s="308" t="s">
        <v>757</v>
      </c>
      <c r="K405" s="308" t="s">
        <v>741</v>
      </c>
      <c r="L405" s="309">
        <v>44230</v>
      </c>
      <c r="M405" s="312">
        <v>0</v>
      </c>
    </row>
    <row r="406" spans="1:13" hidden="1" x14ac:dyDescent="0.25">
      <c r="A406" s="309">
        <v>44230</v>
      </c>
      <c r="B406" s="308" t="s">
        <v>1166</v>
      </c>
      <c r="C406" s="308" t="s">
        <v>1060</v>
      </c>
      <c r="D406" s="310">
        <v>8</v>
      </c>
      <c r="E406" s="311">
        <v>-1422.58</v>
      </c>
      <c r="F406" s="311">
        <v>-25074.799999999999</v>
      </c>
      <c r="G406" s="308" t="s">
        <v>1167</v>
      </c>
      <c r="H406" s="308" t="s">
        <v>1286</v>
      </c>
      <c r="I406" s="308" t="s">
        <v>1140</v>
      </c>
      <c r="J406" s="308" t="s">
        <v>757</v>
      </c>
      <c r="K406" s="308" t="s">
        <v>741</v>
      </c>
      <c r="L406" s="309">
        <v>44230</v>
      </c>
      <c r="M406" s="312">
        <v>0</v>
      </c>
    </row>
    <row r="407" spans="1:13" hidden="1" x14ac:dyDescent="0.25">
      <c r="A407" s="309">
        <v>44255</v>
      </c>
      <c r="B407" s="308" t="s">
        <v>1178</v>
      </c>
      <c r="C407" s="308" t="s">
        <v>1060</v>
      </c>
      <c r="D407" s="310">
        <v>8</v>
      </c>
      <c r="E407" s="311">
        <v>1461.77</v>
      </c>
      <c r="F407" s="311">
        <v>-23613.03</v>
      </c>
      <c r="G407" s="308" t="s">
        <v>1179</v>
      </c>
      <c r="H407" s="308" t="s">
        <v>1286</v>
      </c>
      <c r="I407" s="308" t="s">
        <v>1140</v>
      </c>
      <c r="J407" s="308" t="s">
        <v>757</v>
      </c>
      <c r="K407" s="308" t="s">
        <v>741</v>
      </c>
      <c r="L407" s="309">
        <v>44255</v>
      </c>
      <c r="M407" s="312">
        <v>0</v>
      </c>
    </row>
    <row r="408" spans="1:13" hidden="1" x14ac:dyDescent="0.25">
      <c r="A408" s="309">
        <v>44255</v>
      </c>
      <c r="B408" s="308" t="s">
        <v>1178</v>
      </c>
      <c r="C408" s="308" t="s">
        <v>1060</v>
      </c>
      <c r="D408" s="310">
        <v>9</v>
      </c>
      <c r="E408" s="311">
        <v>-1461.77</v>
      </c>
      <c r="F408" s="311">
        <v>-25074.799999999999</v>
      </c>
      <c r="G408" s="308" t="s">
        <v>1179</v>
      </c>
      <c r="H408" s="308" t="s">
        <v>1286</v>
      </c>
      <c r="I408" s="308" t="s">
        <v>1140</v>
      </c>
      <c r="J408" s="308" t="s">
        <v>757</v>
      </c>
      <c r="K408" s="308" t="s">
        <v>741</v>
      </c>
      <c r="L408" s="309">
        <v>44255</v>
      </c>
      <c r="M408" s="312">
        <v>0</v>
      </c>
    </row>
    <row r="409" spans="1:13" hidden="1" x14ac:dyDescent="0.25">
      <c r="A409" s="309">
        <v>44286</v>
      </c>
      <c r="B409" s="308" t="s">
        <v>1181</v>
      </c>
      <c r="C409" s="308" t="s">
        <v>1060</v>
      </c>
      <c r="D409" s="310">
        <v>9</v>
      </c>
      <c r="E409" s="311">
        <v>1525.84</v>
      </c>
      <c r="F409" s="311">
        <v>-23548.959999999999</v>
      </c>
      <c r="G409" s="308" t="s">
        <v>1182</v>
      </c>
      <c r="H409" s="308" t="s">
        <v>1286</v>
      </c>
      <c r="I409" s="308" t="s">
        <v>1140</v>
      </c>
      <c r="J409" s="308" t="s">
        <v>757</v>
      </c>
      <c r="K409" s="308" t="s">
        <v>741</v>
      </c>
      <c r="L409" s="309">
        <v>44286</v>
      </c>
      <c r="M409" s="312">
        <v>0</v>
      </c>
    </row>
    <row r="410" spans="1:13" hidden="1" x14ac:dyDescent="0.25">
      <c r="A410" s="309">
        <v>44286</v>
      </c>
      <c r="B410" s="308" t="s">
        <v>1181</v>
      </c>
      <c r="C410" s="308" t="s">
        <v>1060</v>
      </c>
      <c r="D410" s="310">
        <v>10</v>
      </c>
      <c r="E410" s="311">
        <v>-1525.84</v>
      </c>
      <c r="F410" s="311">
        <v>-25074.799999999999</v>
      </c>
      <c r="G410" s="308" t="s">
        <v>1182</v>
      </c>
      <c r="H410" s="308" t="s">
        <v>1286</v>
      </c>
      <c r="I410" s="308" t="s">
        <v>1140</v>
      </c>
      <c r="J410" s="308" t="s">
        <v>757</v>
      </c>
      <c r="K410" s="308" t="s">
        <v>741</v>
      </c>
      <c r="L410" s="309">
        <v>44286</v>
      </c>
      <c r="M410" s="312">
        <v>0</v>
      </c>
    </row>
    <row r="411" spans="1:13" hidden="1" x14ac:dyDescent="0.25">
      <c r="A411" s="309">
        <v>44316</v>
      </c>
      <c r="B411" s="308" t="s">
        <v>1104</v>
      </c>
      <c r="C411" s="308" t="s">
        <v>1060</v>
      </c>
      <c r="D411" s="310">
        <v>10</v>
      </c>
      <c r="E411" s="311">
        <v>1525.84</v>
      </c>
      <c r="F411" s="311">
        <v>-23548.959999999999</v>
      </c>
      <c r="G411" s="308" t="s">
        <v>1096</v>
      </c>
      <c r="H411" s="308" t="s">
        <v>1286</v>
      </c>
      <c r="I411" s="308" t="s">
        <v>1140</v>
      </c>
      <c r="J411" s="308" t="s">
        <v>757</v>
      </c>
      <c r="K411" s="308" t="s">
        <v>741</v>
      </c>
      <c r="L411" s="309">
        <v>44316</v>
      </c>
      <c r="M411" s="312">
        <v>0</v>
      </c>
    </row>
    <row r="412" spans="1:13" hidden="1" x14ac:dyDescent="0.25">
      <c r="A412" s="309">
        <v>44012</v>
      </c>
      <c r="B412" s="308" t="s">
        <v>1141</v>
      </c>
      <c r="C412" s="308" t="s">
        <v>1059</v>
      </c>
      <c r="D412" s="310">
        <v>1</v>
      </c>
      <c r="E412" s="311">
        <v>-85948.04</v>
      </c>
      <c r="F412" s="311">
        <v>-111022.84</v>
      </c>
      <c r="G412" s="308" t="s">
        <v>1142</v>
      </c>
      <c r="H412" s="308" t="s">
        <v>1287</v>
      </c>
      <c r="I412" s="308" t="s">
        <v>1140</v>
      </c>
      <c r="J412" s="308" t="s">
        <v>757</v>
      </c>
      <c r="K412" s="308" t="s">
        <v>741</v>
      </c>
      <c r="L412" s="309">
        <v>44012</v>
      </c>
      <c r="M412" s="312">
        <v>0</v>
      </c>
    </row>
    <row r="413" spans="1:13" hidden="1" x14ac:dyDescent="0.25">
      <c r="A413" s="309">
        <v>44043</v>
      </c>
      <c r="B413" s="308" t="s">
        <v>1143</v>
      </c>
      <c r="C413" s="308" t="s">
        <v>1060</v>
      </c>
      <c r="D413" s="310">
        <v>1</v>
      </c>
      <c r="E413" s="311">
        <v>85948.04</v>
      </c>
      <c r="F413" s="311">
        <v>-25074.799999999999</v>
      </c>
      <c r="G413" s="308" t="s">
        <v>1144</v>
      </c>
      <c r="H413" s="308" t="s">
        <v>1287</v>
      </c>
      <c r="I413" s="308" t="s">
        <v>1140</v>
      </c>
      <c r="J413" s="308" t="s">
        <v>757</v>
      </c>
      <c r="K413" s="308" t="s">
        <v>741</v>
      </c>
      <c r="L413" s="309">
        <v>44043</v>
      </c>
      <c r="M413" s="312">
        <v>0</v>
      </c>
    </row>
    <row r="414" spans="1:13" hidden="1" x14ac:dyDescent="0.25">
      <c r="A414" s="309">
        <v>44043</v>
      </c>
      <c r="B414" s="308" t="s">
        <v>1143</v>
      </c>
      <c r="C414" s="308" t="s">
        <v>1060</v>
      </c>
      <c r="D414" s="310">
        <v>2</v>
      </c>
      <c r="E414" s="311">
        <v>-85948.04</v>
      </c>
      <c r="F414" s="311">
        <v>-111022.84</v>
      </c>
      <c r="G414" s="308" t="s">
        <v>1144</v>
      </c>
      <c r="H414" s="308" t="s">
        <v>1287</v>
      </c>
      <c r="I414" s="308" t="s">
        <v>1140</v>
      </c>
      <c r="J414" s="308" t="s">
        <v>757</v>
      </c>
      <c r="K414" s="308" t="s">
        <v>741</v>
      </c>
      <c r="L414" s="309">
        <v>44043</v>
      </c>
      <c r="M414" s="312">
        <v>0</v>
      </c>
    </row>
    <row r="415" spans="1:13" hidden="1" x14ac:dyDescent="0.25">
      <c r="A415" s="309">
        <v>44074</v>
      </c>
      <c r="B415" s="308" t="s">
        <v>1147</v>
      </c>
      <c r="C415" s="308" t="s">
        <v>1060</v>
      </c>
      <c r="D415" s="310">
        <v>2</v>
      </c>
      <c r="E415" s="311">
        <v>85948.04</v>
      </c>
      <c r="F415" s="311">
        <v>-25074.799999999999</v>
      </c>
      <c r="G415" s="308" t="s">
        <v>1148</v>
      </c>
      <c r="H415" s="308" t="s">
        <v>1287</v>
      </c>
      <c r="I415" s="308" t="s">
        <v>1140</v>
      </c>
      <c r="J415" s="308" t="s">
        <v>757</v>
      </c>
      <c r="K415" s="308" t="s">
        <v>741</v>
      </c>
      <c r="L415" s="309">
        <v>44074</v>
      </c>
      <c r="M415" s="312">
        <v>0</v>
      </c>
    </row>
    <row r="416" spans="1:13" hidden="1" x14ac:dyDescent="0.25">
      <c r="A416" s="309">
        <v>44074</v>
      </c>
      <c r="B416" s="308" t="s">
        <v>1147</v>
      </c>
      <c r="C416" s="308" t="s">
        <v>1060</v>
      </c>
      <c r="D416" s="310">
        <v>3</v>
      </c>
      <c r="E416" s="311">
        <v>-85948.04</v>
      </c>
      <c r="F416" s="311">
        <v>-111022.84</v>
      </c>
      <c r="G416" s="308" t="s">
        <v>1148</v>
      </c>
      <c r="H416" s="308" t="s">
        <v>1287</v>
      </c>
      <c r="I416" s="308" t="s">
        <v>1140</v>
      </c>
      <c r="J416" s="308" t="s">
        <v>757</v>
      </c>
      <c r="K416" s="308" t="s">
        <v>741</v>
      </c>
      <c r="L416" s="309">
        <v>44074</v>
      </c>
      <c r="M416" s="312">
        <v>0</v>
      </c>
    </row>
    <row r="417" spans="1:13" hidden="1" x14ac:dyDescent="0.25">
      <c r="A417" s="309">
        <v>44104</v>
      </c>
      <c r="B417" s="308" t="s">
        <v>1198</v>
      </c>
      <c r="C417" s="308" t="s">
        <v>1060</v>
      </c>
      <c r="D417" s="310">
        <v>3</v>
      </c>
      <c r="E417" s="311">
        <v>85948.04</v>
      </c>
      <c r="F417" s="311">
        <v>-25074.799999999999</v>
      </c>
      <c r="G417" s="308" t="s">
        <v>1199</v>
      </c>
      <c r="H417" s="308" t="s">
        <v>1287</v>
      </c>
      <c r="I417" s="308" t="s">
        <v>1140</v>
      </c>
      <c r="J417" s="308" t="s">
        <v>757</v>
      </c>
      <c r="K417" s="308" t="s">
        <v>741</v>
      </c>
      <c r="L417" s="309">
        <v>44104</v>
      </c>
      <c r="M417" s="312">
        <v>0</v>
      </c>
    </row>
    <row r="418" spans="1:13" hidden="1" x14ac:dyDescent="0.25">
      <c r="A418" s="309">
        <v>44104</v>
      </c>
      <c r="B418" s="308" t="s">
        <v>1198</v>
      </c>
      <c r="C418" s="308" t="s">
        <v>1060</v>
      </c>
      <c r="D418" s="310">
        <v>4</v>
      </c>
      <c r="E418" s="311">
        <v>-85948.04</v>
      </c>
      <c r="F418" s="311">
        <v>-111022.84</v>
      </c>
      <c r="G418" s="308" t="s">
        <v>1199</v>
      </c>
      <c r="H418" s="308" t="s">
        <v>1287</v>
      </c>
      <c r="I418" s="308" t="s">
        <v>1140</v>
      </c>
      <c r="J418" s="308" t="s">
        <v>757</v>
      </c>
      <c r="K418" s="308" t="s">
        <v>741</v>
      </c>
      <c r="L418" s="309">
        <v>44104</v>
      </c>
      <c r="M418" s="312">
        <v>0</v>
      </c>
    </row>
    <row r="419" spans="1:13" hidden="1" x14ac:dyDescent="0.25">
      <c r="A419" s="309">
        <v>44135</v>
      </c>
      <c r="B419" s="308" t="s">
        <v>1200</v>
      </c>
      <c r="C419" s="308" t="s">
        <v>1060</v>
      </c>
      <c r="D419" s="310">
        <v>4</v>
      </c>
      <c r="E419" s="311">
        <v>85948.04</v>
      </c>
      <c r="F419" s="311">
        <v>-25074.799999999999</v>
      </c>
      <c r="G419" s="308" t="s">
        <v>1201</v>
      </c>
      <c r="H419" s="308" t="s">
        <v>1287</v>
      </c>
      <c r="I419" s="308" t="s">
        <v>1140</v>
      </c>
      <c r="J419" s="308" t="s">
        <v>757</v>
      </c>
      <c r="K419" s="308" t="s">
        <v>741</v>
      </c>
      <c r="L419" s="309">
        <v>44135</v>
      </c>
      <c r="M419" s="312">
        <v>0</v>
      </c>
    </row>
    <row r="420" spans="1:13" hidden="1" x14ac:dyDescent="0.25">
      <c r="A420" s="309">
        <v>44135</v>
      </c>
      <c r="B420" s="308" t="s">
        <v>1200</v>
      </c>
      <c r="C420" s="308" t="s">
        <v>1060</v>
      </c>
      <c r="D420" s="310">
        <v>5</v>
      </c>
      <c r="E420" s="311">
        <v>-85948.04</v>
      </c>
      <c r="F420" s="311">
        <v>-111022.84</v>
      </c>
      <c r="G420" s="308" t="s">
        <v>1201</v>
      </c>
      <c r="H420" s="308" t="s">
        <v>1287</v>
      </c>
      <c r="I420" s="308" t="s">
        <v>1140</v>
      </c>
      <c r="J420" s="308" t="s">
        <v>757</v>
      </c>
      <c r="K420" s="308" t="s">
        <v>741</v>
      </c>
      <c r="L420" s="309">
        <v>44135</v>
      </c>
      <c r="M420" s="312">
        <v>0</v>
      </c>
    </row>
    <row r="421" spans="1:13" hidden="1" x14ac:dyDescent="0.25">
      <c r="A421" s="309">
        <v>44165</v>
      </c>
      <c r="B421" s="308" t="s">
        <v>1158</v>
      </c>
      <c r="C421" s="308" t="s">
        <v>1060</v>
      </c>
      <c r="D421" s="310">
        <v>5</v>
      </c>
      <c r="E421" s="311">
        <v>86070.54</v>
      </c>
      <c r="F421" s="311">
        <v>-24952.3</v>
      </c>
      <c r="G421" s="308" t="s">
        <v>1159</v>
      </c>
      <c r="H421" s="308" t="s">
        <v>1287</v>
      </c>
      <c r="I421" s="308" t="s">
        <v>1140</v>
      </c>
      <c r="J421" s="308" t="s">
        <v>757</v>
      </c>
      <c r="K421" s="308" t="s">
        <v>741</v>
      </c>
      <c r="L421" s="309">
        <v>44165</v>
      </c>
      <c r="M421" s="312">
        <v>0</v>
      </c>
    </row>
    <row r="422" spans="1:13" hidden="1" x14ac:dyDescent="0.25">
      <c r="A422" s="309">
        <v>44165</v>
      </c>
      <c r="B422" s="308" t="s">
        <v>1158</v>
      </c>
      <c r="C422" s="308" t="s">
        <v>1060</v>
      </c>
      <c r="D422" s="310">
        <v>6</v>
      </c>
      <c r="E422" s="311">
        <v>-86070.54</v>
      </c>
      <c r="F422" s="311">
        <v>-111022.84</v>
      </c>
      <c r="G422" s="308" t="s">
        <v>1159</v>
      </c>
      <c r="H422" s="308" t="s">
        <v>1287</v>
      </c>
      <c r="I422" s="308" t="s">
        <v>1140</v>
      </c>
      <c r="J422" s="308" t="s">
        <v>757</v>
      </c>
      <c r="K422" s="308" t="s">
        <v>741</v>
      </c>
      <c r="L422" s="309">
        <v>44165</v>
      </c>
      <c r="M422" s="312">
        <v>0</v>
      </c>
    </row>
    <row r="423" spans="1:13" hidden="1" x14ac:dyDescent="0.25">
      <c r="A423" s="309">
        <v>44196</v>
      </c>
      <c r="B423" s="308" t="s">
        <v>1160</v>
      </c>
      <c r="C423" s="308" t="s">
        <v>1060</v>
      </c>
      <c r="D423" s="310">
        <v>6</v>
      </c>
      <c r="E423" s="311">
        <v>86149.69</v>
      </c>
      <c r="F423" s="311">
        <v>-24873.15</v>
      </c>
      <c r="G423" s="308" t="s">
        <v>1161</v>
      </c>
      <c r="H423" s="308" t="s">
        <v>1287</v>
      </c>
      <c r="I423" s="308" t="s">
        <v>1140</v>
      </c>
      <c r="J423" s="308" t="s">
        <v>757</v>
      </c>
      <c r="K423" s="308" t="s">
        <v>741</v>
      </c>
      <c r="L423" s="309">
        <v>44196</v>
      </c>
      <c r="M423" s="312">
        <v>0</v>
      </c>
    </row>
    <row r="424" spans="1:13" hidden="1" x14ac:dyDescent="0.25">
      <c r="A424" s="309">
        <v>44196</v>
      </c>
      <c r="B424" s="308" t="s">
        <v>1160</v>
      </c>
      <c r="C424" s="308" t="s">
        <v>1060</v>
      </c>
      <c r="D424" s="310">
        <v>7</v>
      </c>
      <c r="E424" s="311">
        <v>-86149.69</v>
      </c>
      <c r="F424" s="311">
        <v>-111022.84</v>
      </c>
      <c r="G424" s="308" t="s">
        <v>1161</v>
      </c>
      <c r="H424" s="308" t="s">
        <v>1287</v>
      </c>
      <c r="I424" s="308" t="s">
        <v>1140</v>
      </c>
      <c r="J424" s="308" t="s">
        <v>757</v>
      </c>
      <c r="K424" s="308" t="s">
        <v>741</v>
      </c>
      <c r="L424" s="309">
        <v>44196</v>
      </c>
      <c r="M424" s="312">
        <v>0</v>
      </c>
    </row>
    <row r="425" spans="1:13" hidden="1" x14ac:dyDescent="0.25">
      <c r="A425" s="309">
        <v>44230</v>
      </c>
      <c r="B425" s="308" t="s">
        <v>1166</v>
      </c>
      <c r="C425" s="308" t="s">
        <v>1060</v>
      </c>
      <c r="D425" s="310">
        <v>7</v>
      </c>
      <c r="E425" s="311">
        <v>86295.22</v>
      </c>
      <c r="F425" s="311">
        <v>-24727.62</v>
      </c>
      <c r="G425" s="308" t="s">
        <v>1167</v>
      </c>
      <c r="H425" s="308" t="s">
        <v>1287</v>
      </c>
      <c r="I425" s="308" t="s">
        <v>1140</v>
      </c>
      <c r="J425" s="308" t="s">
        <v>757</v>
      </c>
      <c r="K425" s="308" t="s">
        <v>741</v>
      </c>
      <c r="L425" s="309">
        <v>44230</v>
      </c>
      <c r="M425" s="312">
        <v>0</v>
      </c>
    </row>
    <row r="426" spans="1:13" hidden="1" x14ac:dyDescent="0.25">
      <c r="A426" s="309">
        <v>44230</v>
      </c>
      <c r="B426" s="308" t="s">
        <v>1166</v>
      </c>
      <c r="C426" s="308" t="s">
        <v>1060</v>
      </c>
      <c r="D426" s="310">
        <v>8</v>
      </c>
      <c r="E426" s="311">
        <v>-86295.22</v>
      </c>
      <c r="F426" s="311">
        <v>-111022.84</v>
      </c>
      <c r="G426" s="308" t="s">
        <v>1167</v>
      </c>
      <c r="H426" s="308" t="s">
        <v>1287</v>
      </c>
      <c r="I426" s="308" t="s">
        <v>1140</v>
      </c>
      <c r="J426" s="308" t="s">
        <v>757</v>
      </c>
      <c r="K426" s="308" t="s">
        <v>741</v>
      </c>
      <c r="L426" s="309">
        <v>44230</v>
      </c>
      <c r="M426" s="312">
        <v>0</v>
      </c>
    </row>
    <row r="427" spans="1:13" hidden="1" x14ac:dyDescent="0.25">
      <c r="A427" s="309">
        <v>44255</v>
      </c>
      <c r="B427" s="308" t="s">
        <v>1178</v>
      </c>
      <c r="C427" s="308" t="s">
        <v>1060</v>
      </c>
      <c r="D427" s="310">
        <v>8</v>
      </c>
      <c r="E427" s="311">
        <v>86366.65</v>
      </c>
      <c r="F427" s="311">
        <v>-24656.19</v>
      </c>
      <c r="G427" s="308" t="s">
        <v>1179</v>
      </c>
      <c r="H427" s="308" t="s">
        <v>1287</v>
      </c>
      <c r="I427" s="308" t="s">
        <v>1140</v>
      </c>
      <c r="J427" s="308" t="s">
        <v>757</v>
      </c>
      <c r="K427" s="308" t="s">
        <v>741</v>
      </c>
      <c r="L427" s="309">
        <v>44255</v>
      </c>
      <c r="M427" s="312">
        <v>0</v>
      </c>
    </row>
    <row r="428" spans="1:13" hidden="1" x14ac:dyDescent="0.25">
      <c r="A428" s="309">
        <v>44255</v>
      </c>
      <c r="B428" s="308" t="s">
        <v>1178</v>
      </c>
      <c r="C428" s="308" t="s">
        <v>1060</v>
      </c>
      <c r="D428" s="310">
        <v>9</v>
      </c>
      <c r="E428" s="311">
        <v>-86366.65</v>
      </c>
      <c r="F428" s="311">
        <v>-111022.84</v>
      </c>
      <c r="G428" s="308" t="s">
        <v>1179</v>
      </c>
      <c r="H428" s="308" t="s">
        <v>1287</v>
      </c>
      <c r="I428" s="308" t="s">
        <v>1140</v>
      </c>
      <c r="J428" s="308" t="s">
        <v>757</v>
      </c>
      <c r="K428" s="308" t="s">
        <v>741</v>
      </c>
      <c r="L428" s="309">
        <v>44255</v>
      </c>
      <c r="M428" s="312">
        <v>0</v>
      </c>
    </row>
    <row r="429" spans="1:13" hidden="1" x14ac:dyDescent="0.25">
      <c r="A429" s="309">
        <v>44286</v>
      </c>
      <c r="B429" s="308" t="s">
        <v>1181</v>
      </c>
      <c r="C429" s="308" t="s">
        <v>1060</v>
      </c>
      <c r="D429" s="310">
        <v>9</v>
      </c>
      <c r="E429" s="311">
        <v>88792.4</v>
      </c>
      <c r="F429" s="311">
        <v>-22230.44</v>
      </c>
      <c r="G429" s="308" t="s">
        <v>1182</v>
      </c>
      <c r="H429" s="308" t="s">
        <v>1287</v>
      </c>
      <c r="I429" s="308" t="s">
        <v>1140</v>
      </c>
      <c r="J429" s="308" t="s">
        <v>757</v>
      </c>
      <c r="K429" s="308" t="s">
        <v>741</v>
      </c>
      <c r="L429" s="309">
        <v>44286</v>
      </c>
      <c r="M429" s="312">
        <v>0</v>
      </c>
    </row>
    <row r="430" spans="1:13" hidden="1" x14ac:dyDescent="0.25">
      <c r="A430" s="309">
        <v>44286</v>
      </c>
      <c r="B430" s="308" t="s">
        <v>1288</v>
      </c>
      <c r="C430" s="308" t="s">
        <v>1060</v>
      </c>
      <c r="D430" s="310">
        <v>9</v>
      </c>
      <c r="E430" s="311">
        <v>-2322.92</v>
      </c>
      <c r="F430" s="311">
        <v>-24553.360000000001</v>
      </c>
      <c r="G430" s="308" t="s">
        <v>1289</v>
      </c>
      <c r="H430" s="308" t="s">
        <v>1287</v>
      </c>
      <c r="I430" s="308" t="s">
        <v>1140</v>
      </c>
      <c r="J430" s="308" t="s">
        <v>757</v>
      </c>
      <c r="K430" s="308" t="s">
        <v>741</v>
      </c>
      <c r="L430" s="309">
        <v>44286</v>
      </c>
      <c r="M430" s="312">
        <v>0</v>
      </c>
    </row>
    <row r="431" spans="1:13" hidden="1" x14ac:dyDescent="0.25">
      <c r="A431" s="309">
        <v>44286</v>
      </c>
      <c r="B431" s="308" t="s">
        <v>1181</v>
      </c>
      <c r="C431" s="308" t="s">
        <v>1060</v>
      </c>
      <c r="D431" s="310">
        <v>10</v>
      </c>
      <c r="E431" s="311">
        <v>-88792.4</v>
      </c>
      <c r="F431" s="311">
        <v>-113345.76</v>
      </c>
      <c r="G431" s="308" t="s">
        <v>1182</v>
      </c>
      <c r="H431" s="308" t="s">
        <v>1287</v>
      </c>
      <c r="I431" s="308" t="s">
        <v>1140</v>
      </c>
      <c r="J431" s="308" t="s">
        <v>757</v>
      </c>
      <c r="K431" s="308" t="s">
        <v>741</v>
      </c>
      <c r="L431" s="309">
        <v>44286</v>
      </c>
      <c r="M431" s="312">
        <v>0</v>
      </c>
    </row>
    <row r="432" spans="1:13" hidden="1" x14ac:dyDescent="0.25">
      <c r="A432" s="309">
        <v>44286</v>
      </c>
      <c r="B432" s="308" t="s">
        <v>1288</v>
      </c>
      <c r="C432" s="308" t="s">
        <v>1060</v>
      </c>
      <c r="D432" s="310">
        <v>10</v>
      </c>
      <c r="E432" s="311">
        <v>2322.92</v>
      </c>
      <c r="F432" s="311">
        <v>-111022.84</v>
      </c>
      <c r="G432" s="308" t="s">
        <v>1289</v>
      </c>
      <c r="H432" s="308" t="s">
        <v>1287</v>
      </c>
      <c r="I432" s="308" t="s">
        <v>1140</v>
      </c>
      <c r="J432" s="308" t="s">
        <v>757</v>
      </c>
      <c r="K432" s="308" t="s">
        <v>741</v>
      </c>
      <c r="L432" s="309">
        <v>44286</v>
      </c>
      <c r="M432" s="312">
        <v>0</v>
      </c>
    </row>
    <row r="433" spans="1:13" hidden="1" x14ac:dyDescent="0.25">
      <c r="A433" s="309">
        <v>44316</v>
      </c>
      <c r="B433" s="308" t="s">
        <v>1104</v>
      </c>
      <c r="C433" s="308" t="s">
        <v>1060</v>
      </c>
      <c r="D433" s="310">
        <v>10</v>
      </c>
      <c r="E433" s="311">
        <v>86505.48</v>
      </c>
      <c r="F433" s="311">
        <v>-24517.360000000001</v>
      </c>
      <c r="G433" s="308" t="s">
        <v>1096</v>
      </c>
      <c r="H433" s="308" t="s">
        <v>1287</v>
      </c>
      <c r="I433" s="308" t="s">
        <v>1140</v>
      </c>
      <c r="J433" s="308" t="s">
        <v>757</v>
      </c>
      <c r="K433" s="308" t="s">
        <v>741</v>
      </c>
      <c r="L433" s="309">
        <v>44316</v>
      </c>
      <c r="M433" s="312">
        <v>0</v>
      </c>
    </row>
    <row r="434" spans="1:13" hidden="1" x14ac:dyDescent="0.25">
      <c r="A434" s="309">
        <v>44012</v>
      </c>
      <c r="B434" s="308" t="s">
        <v>1141</v>
      </c>
      <c r="C434" s="308" t="s">
        <v>1059</v>
      </c>
      <c r="D434" s="310">
        <v>1</v>
      </c>
      <c r="E434" s="311">
        <v>-1080</v>
      </c>
      <c r="F434" s="311">
        <v>-112102.84</v>
      </c>
      <c r="G434" s="308" t="s">
        <v>1142</v>
      </c>
      <c r="H434" s="308" t="s">
        <v>1290</v>
      </c>
      <c r="I434" s="308" t="s">
        <v>1140</v>
      </c>
      <c r="J434" s="308" t="s">
        <v>757</v>
      </c>
      <c r="K434" s="308" t="s">
        <v>741</v>
      </c>
      <c r="L434" s="309">
        <v>44012</v>
      </c>
      <c r="M434" s="312">
        <v>0</v>
      </c>
    </row>
    <row r="435" spans="1:13" hidden="1" x14ac:dyDescent="0.25">
      <c r="A435" s="309">
        <v>44043</v>
      </c>
      <c r="B435" s="308" t="s">
        <v>1143</v>
      </c>
      <c r="C435" s="308" t="s">
        <v>1060</v>
      </c>
      <c r="D435" s="310">
        <v>1</v>
      </c>
      <c r="E435" s="311">
        <v>1080</v>
      </c>
      <c r="F435" s="311">
        <v>-111022.84</v>
      </c>
      <c r="G435" s="308" t="s">
        <v>1144</v>
      </c>
      <c r="H435" s="308" t="s">
        <v>1290</v>
      </c>
      <c r="I435" s="308" t="s">
        <v>1140</v>
      </c>
      <c r="J435" s="308" t="s">
        <v>757</v>
      </c>
      <c r="K435" s="308" t="s">
        <v>741</v>
      </c>
      <c r="L435" s="309">
        <v>44043</v>
      </c>
      <c r="M435" s="312">
        <v>0</v>
      </c>
    </row>
    <row r="436" spans="1:13" hidden="1" x14ac:dyDescent="0.25">
      <c r="A436" s="309">
        <v>44043</v>
      </c>
      <c r="B436" s="308" t="s">
        <v>1143</v>
      </c>
      <c r="C436" s="308" t="s">
        <v>1060</v>
      </c>
      <c r="D436" s="310">
        <v>2</v>
      </c>
      <c r="E436" s="311">
        <v>-1080</v>
      </c>
      <c r="F436" s="311">
        <v>-112102.84</v>
      </c>
      <c r="G436" s="308" t="s">
        <v>1144</v>
      </c>
      <c r="H436" s="308" t="s">
        <v>1290</v>
      </c>
      <c r="I436" s="308" t="s">
        <v>1140</v>
      </c>
      <c r="J436" s="308" t="s">
        <v>757</v>
      </c>
      <c r="K436" s="308" t="s">
        <v>741</v>
      </c>
      <c r="L436" s="309">
        <v>44043</v>
      </c>
      <c r="M436" s="312">
        <v>0</v>
      </c>
    </row>
    <row r="437" spans="1:13" hidden="1" x14ac:dyDescent="0.25">
      <c r="A437" s="309">
        <v>44074</v>
      </c>
      <c r="B437" s="308" t="s">
        <v>1147</v>
      </c>
      <c r="C437" s="308" t="s">
        <v>1060</v>
      </c>
      <c r="D437" s="310">
        <v>2</v>
      </c>
      <c r="E437" s="311">
        <v>1080</v>
      </c>
      <c r="F437" s="311">
        <v>-111022.84</v>
      </c>
      <c r="G437" s="308" t="s">
        <v>1148</v>
      </c>
      <c r="H437" s="308" t="s">
        <v>1290</v>
      </c>
      <c r="I437" s="308" t="s">
        <v>1140</v>
      </c>
      <c r="J437" s="308" t="s">
        <v>757</v>
      </c>
      <c r="K437" s="308" t="s">
        <v>741</v>
      </c>
      <c r="L437" s="309">
        <v>44074</v>
      </c>
      <c r="M437" s="312">
        <v>0</v>
      </c>
    </row>
    <row r="438" spans="1:13" hidden="1" x14ac:dyDescent="0.25">
      <c r="A438" s="309">
        <v>44074</v>
      </c>
      <c r="B438" s="308" t="s">
        <v>1147</v>
      </c>
      <c r="C438" s="308" t="s">
        <v>1060</v>
      </c>
      <c r="D438" s="310">
        <v>3</v>
      </c>
      <c r="E438" s="311">
        <v>-1080</v>
      </c>
      <c r="F438" s="311">
        <v>-112102.84</v>
      </c>
      <c r="G438" s="308" t="s">
        <v>1148</v>
      </c>
      <c r="H438" s="308" t="s">
        <v>1290</v>
      </c>
      <c r="I438" s="308" t="s">
        <v>1140</v>
      </c>
      <c r="J438" s="308" t="s">
        <v>757</v>
      </c>
      <c r="K438" s="308" t="s">
        <v>741</v>
      </c>
      <c r="L438" s="309">
        <v>44074</v>
      </c>
      <c r="M438" s="312">
        <v>0</v>
      </c>
    </row>
    <row r="439" spans="1:13" hidden="1" x14ac:dyDescent="0.25">
      <c r="A439" s="309">
        <v>44104</v>
      </c>
      <c r="B439" s="308" t="s">
        <v>1198</v>
      </c>
      <c r="C439" s="308" t="s">
        <v>1060</v>
      </c>
      <c r="D439" s="310">
        <v>3</v>
      </c>
      <c r="E439" s="311">
        <v>1080</v>
      </c>
      <c r="F439" s="311">
        <v>-111022.84</v>
      </c>
      <c r="G439" s="308" t="s">
        <v>1199</v>
      </c>
      <c r="H439" s="308" t="s">
        <v>1290</v>
      </c>
      <c r="I439" s="308" t="s">
        <v>1140</v>
      </c>
      <c r="J439" s="308" t="s">
        <v>757</v>
      </c>
      <c r="K439" s="308" t="s">
        <v>741</v>
      </c>
      <c r="L439" s="309">
        <v>44104</v>
      </c>
      <c r="M439" s="312">
        <v>0</v>
      </c>
    </row>
    <row r="440" spans="1:13" hidden="1" x14ac:dyDescent="0.25">
      <c r="A440" s="309">
        <v>44104</v>
      </c>
      <c r="B440" s="308" t="s">
        <v>1198</v>
      </c>
      <c r="C440" s="308" t="s">
        <v>1060</v>
      </c>
      <c r="D440" s="310">
        <v>4</v>
      </c>
      <c r="E440" s="311">
        <v>-1080</v>
      </c>
      <c r="F440" s="311">
        <v>-112102.84</v>
      </c>
      <c r="G440" s="308" t="s">
        <v>1199</v>
      </c>
      <c r="H440" s="308" t="s">
        <v>1290</v>
      </c>
      <c r="I440" s="308" t="s">
        <v>1140</v>
      </c>
      <c r="J440" s="308" t="s">
        <v>757</v>
      </c>
      <c r="K440" s="308" t="s">
        <v>741</v>
      </c>
      <c r="L440" s="309">
        <v>44104</v>
      </c>
      <c r="M440" s="312">
        <v>0</v>
      </c>
    </row>
    <row r="441" spans="1:13" hidden="1" x14ac:dyDescent="0.25">
      <c r="A441" s="309">
        <v>44135</v>
      </c>
      <c r="B441" s="308" t="s">
        <v>1200</v>
      </c>
      <c r="C441" s="308" t="s">
        <v>1060</v>
      </c>
      <c r="D441" s="310">
        <v>4</v>
      </c>
      <c r="E441" s="311">
        <v>1080</v>
      </c>
      <c r="F441" s="311">
        <v>-111022.84</v>
      </c>
      <c r="G441" s="308" t="s">
        <v>1201</v>
      </c>
      <c r="H441" s="308" t="s">
        <v>1290</v>
      </c>
      <c r="I441" s="308" t="s">
        <v>1140</v>
      </c>
      <c r="J441" s="308" t="s">
        <v>757</v>
      </c>
      <c r="K441" s="308" t="s">
        <v>741</v>
      </c>
      <c r="L441" s="309">
        <v>44135</v>
      </c>
      <c r="M441" s="312">
        <v>0</v>
      </c>
    </row>
    <row r="442" spans="1:13" hidden="1" x14ac:dyDescent="0.25">
      <c r="A442" s="309">
        <v>44135</v>
      </c>
      <c r="B442" s="308" t="s">
        <v>1200</v>
      </c>
      <c r="C442" s="308" t="s">
        <v>1060</v>
      </c>
      <c r="D442" s="310">
        <v>5</v>
      </c>
      <c r="E442" s="311">
        <v>-1080</v>
      </c>
      <c r="F442" s="311">
        <v>-112102.84</v>
      </c>
      <c r="G442" s="308" t="s">
        <v>1201</v>
      </c>
      <c r="H442" s="308" t="s">
        <v>1290</v>
      </c>
      <c r="I442" s="308" t="s">
        <v>1140</v>
      </c>
      <c r="J442" s="308" t="s">
        <v>757</v>
      </c>
      <c r="K442" s="308" t="s">
        <v>741</v>
      </c>
      <c r="L442" s="309">
        <v>44135</v>
      </c>
      <c r="M442" s="312">
        <v>0</v>
      </c>
    </row>
    <row r="443" spans="1:13" hidden="1" x14ac:dyDescent="0.25">
      <c r="A443" s="309">
        <v>44165</v>
      </c>
      <c r="B443" s="308" t="s">
        <v>1158</v>
      </c>
      <c r="C443" s="308" t="s">
        <v>1060</v>
      </c>
      <c r="D443" s="310">
        <v>5</v>
      </c>
      <c r="E443" s="311">
        <v>1080</v>
      </c>
      <c r="F443" s="311">
        <v>-111022.84</v>
      </c>
      <c r="G443" s="308" t="s">
        <v>1159</v>
      </c>
      <c r="H443" s="308" t="s">
        <v>1290</v>
      </c>
      <c r="I443" s="308" t="s">
        <v>1140</v>
      </c>
      <c r="J443" s="308" t="s">
        <v>757</v>
      </c>
      <c r="K443" s="308" t="s">
        <v>741</v>
      </c>
      <c r="L443" s="309">
        <v>44165</v>
      </c>
      <c r="M443" s="312">
        <v>0</v>
      </c>
    </row>
    <row r="444" spans="1:13" hidden="1" x14ac:dyDescent="0.25">
      <c r="A444" s="309">
        <v>44165</v>
      </c>
      <c r="B444" s="308" t="s">
        <v>1158</v>
      </c>
      <c r="C444" s="308" t="s">
        <v>1060</v>
      </c>
      <c r="D444" s="310">
        <v>6</v>
      </c>
      <c r="E444" s="311">
        <v>-1080</v>
      </c>
      <c r="F444" s="311">
        <v>-112102.84</v>
      </c>
      <c r="G444" s="308" t="s">
        <v>1159</v>
      </c>
      <c r="H444" s="308" t="s">
        <v>1290</v>
      </c>
      <c r="I444" s="308" t="s">
        <v>1140</v>
      </c>
      <c r="J444" s="308" t="s">
        <v>757</v>
      </c>
      <c r="K444" s="308" t="s">
        <v>741</v>
      </c>
      <c r="L444" s="309">
        <v>44165</v>
      </c>
      <c r="M444" s="312">
        <v>0</v>
      </c>
    </row>
    <row r="445" spans="1:13" hidden="1" x14ac:dyDescent="0.25">
      <c r="A445" s="309">
        <v>44196</v>
      </c>
      <c r="B445" s="308" t="s">
        <v>1160</v>
      </c>
      <c r="C445" s="308" t="s">
        <v>1060</v>
      </c>
      <c r="D445" s="310">
        <v>6</v>
      </c>
      <c r="E445" s="311">
        <v>1080</v>
      </c>
      <c r="F445" s="311">
        <v>-111022.84</v>
      </c>
      <c r="G445" s="308" t="s">
        <v>1161</v>
      </c>
      <c r="H445" s="308" t="s">
        <v>1290</v>
      </c>
      <c r="I445" s="308" t="s">
        <v>1140</v>
      </c>
      <c r="J445" s="308" t="s">
        <v>757</v>
      </c>
      <c r="K445" s="308" t="s">
        <v>741</v>
      </c>
      <c r="L445" s="309">
        <v>44196</v>
      </c>
      <c r="M445" s="312">
        <v>0</v>
      </c>
    </row>
    <row r="446" spans="1:13" hidden="1" x14ac:dyDescent="0.25">
      <c r="A446" s="309">
        <v>44196</v>
      </c>
      <c r="B446" s="308" t="s">
        <v>1160</v>
      </c>
      <c r="C446" s="308" t="s">
        <v>1060</v>
      </c>
      <c r="D446" s="310">
        <v>7</v>
      </c>
      <c r="E446" s="311">
        <v>-1080</v>
      </c>
      <c r="F446" s="311">
        <v>-112102.84</v>
      </c>
      <c r="G446" s="308" t="s">
        <v>1161</v>
      </c>
      <c r="H446" s="308" t="s">
        <v>1290</v>
      </c>
      <c r="I446" s="308" t="s">
        <v>1140</v>
      </c>
      <c r="J446" s="308" t="s">
        <v>757</v>
      </c>
      <c r="K446" s="308" t="s">
        <v>741</v>
      </c>
      <c r="L446" s="309">
        <v>44196</v>
      </c>
      <c r="M446" s="312">
        <v>0</v>
      </c>
    </row>
    <row r="447" spans="1:13" hidden="1" x14ac:dyDescent="0.25">
      <c r="A447" s="309">
        <v>44230</v>
      </c>
      <c r="B447" s="308" t="s">
        <v>1166</v>
      </c>
      <c r="C447" s="308" t="s">
        <v>1060</v>
      </c>
      <c r="D447" s="310">
        <v>7</v>
      </c>
      <c r="E447" s="311">
        <v>1080</v>
      </c>
      <c r="F447" s="311">
        <v>-111022.84</v>
      </c>
      <c r="G447" s="308" t="s">
        <v>1167</v>
      </c>
      <c r="H447" s="308" t="s">
        <v>1290</v>
      </c>
      <c r="I447" s="308" t="s">
        <v>1140</v>
      </c>
      <c r="J447" s="308" t="s">
        <v>757</v>
      </c>
      <c r="K447" s="308" t="s">
        <v>741</v>
      </c>
      <c r="L447" s="309">
        <v>44230</v>
      </c>
      <c r="M447" s="312">
        <v>0</v>
      </c>
    </row>
    <row r="448" spans="1:13" hidden="1" x14ac:dyDescent="0.25">
      <c r="A448" s="309">
        <v>44230</v>
      </c>
      <c r="B448" s="308" t="s">
        <v>1166</v>
      </c>
      <c r="C448" s="308" t="s">
        <v>1060</v>
      </c>
      <c r="D448" s="310">
        <v>8</v>
      </c>
      <c r="E448" s="311">
        <v>-1080</v>
      </c>
      <c r="F448" s="311">
        <v>-112102.84</v>
      </c>
      <c r="G448" s="308" t="s">
        <v>1167</v>
      </c>
      <c r="H448" s="308" t="s">
        <v>1290</v>
      </c>
      <c r="I448" s="308" t="s">
        <v>1140</v>
      </c>
      <c r="J448" s="308" t="s">
        <v>757</v>
      </c>
      <c r="K448" s="308" t="s">
        <v>741</v>
      </c>
      <c r="L448" s="309">
        <v>44230</v>
      </c>
      <c r="M448" s="312">
        <v>0</v>
      </c>
    </row>
    <row r="449" spans="1:13" hidden="1" x14ac:dyDescent="0.25">
      <c r="A449" s="309">
        <v>44255</v>
      </c>
      <c r="B449" s="308" t="s">
        <v>1178</v>
      </c>
      <c r="C449" s="308" t="s">
        <v>1060</v>
      </c>
      <c r="D449" s="310">
        <v>8</v>
      </c>
      <c r="E449" s="311">
        <v>1080</v>
      </c>
      <c r="F449" s="311">
        <v>-111022.84</v>
      </c>
      <c r="G449" s="308" t="s">
        <v>1179</v>
      </c>
      <c r="H449" s="308" t="s">
        <v>1290</v>
      </c>
      <c r="I449" s="308" t="s">
        <v>1140</v>
      </c>
      <c r="J449" s="308" t="s">
        <v>757</v>
      </c>
      <c r="K449" s="308" t="s">
        <v>741</v>
      </c>
      <c r="L449" s="309">
        <v>44255</v>
      </c>
      <c r="M449" s="312">
        <v>0</v>
      </c>
    </row>
    <row r="450" spans="1:13" hidden="1" x14ac:dyDescent="0.25">
      <c r="A450" s="309">
        <v>44255</v>
      </c>
      <c r="B450" s="308" t="s">
        <v>1178</v>
      </c>
      <c r="C450" s="308" t="s">
        <v>1060</v>
      </c>
      <c r="D450" s="310">
        <v>9</v>
      </c>
      <c r="E450" s="311">
        <v>-1080</v>
      </c>
      <c r="F450" s="311">
        <v>-112102.84</v>
      </c>
      <c r="G450" s="308" t="s">
        <v>1179</v>
      </c>
      <c r="H450" s="308" t="s">
        <v>1290</v>
      </c>
      <c r="I450" s="308" t="s">
        <v>1140</v>
      </c>
      <c r="J450" s="308" t="s">
        <v>757</v>
      </c>
      <c r="K450" s="308" t="s">
        <v>741</v>
      </c>
      <c r="L450" s="309">
        <v>44255</v>
      </c>
      <c r="M450" s="312">
        <v>0</v>
      </c>
    </row>
    <row r="451" spans="1:13" hidden="1" x14ac:dyDescent="0.25">
      <c r="A451" s="309">
        <v>44286</v>
      </c>
      <c r="B451" s="308" t="s">
        <v>1181</v>
      </c>
      <c r="C451" s="308" t="s">
        <v>1060</v>
      </c>
      <c r="D451" s="310">
        <v>9</v>
      </c>
      <c r="E451" s="311">
        <v>1080</v>
      </c>
      <c r="F451" s="311">
        <v>-111022.84</v>
      </c>
      <c r="G451" s="308" t="s">
        <v>1182</v>
      </c>
      <c r="H451" s="308" t="s">
        <v>1290</v>
      </c>
      <c r="I451" s="308" t="s">
        <v>1140</v>
      </c>
      <c r="J451" s="308" t="s">
        <v>757</v>
      </c>
      <c r="K451" s="308" t="s">
        <v>741</v>
      </c>
      <c r="L451" s="309">
        <v>44286</v>
      </c>
      <c r="M451" s="312">
        <v>0</v>
      </c>
    </row>
    <row r="452" spans="1:13" hidden="1" x14ac:dyDescent="0.25">
      <c r="A452" s="309">
        <v>44286</v>
      </c>
      <c r="B452" s="308" t="s">
        <v>1181</v>
      </c>
      <c r="C452" s="308" t="s">
        <v>1060</v>
      </c>
      <c r="D452" s="310">
        <v>10</v>
      </c>
      <c r="E452" s="311">
        <v>-1080</v>
      </c>
      <c r="F452" s="311">
        <v>-112102.84</v>
      </c>
      <c r="G452" s="308" t="s">
        <v>1182</v>
      </c>
      <c r="H452" s="308" t="s">
        <v>1290</v>
      </c>
      <c r="I452" s="308" t="s">
        <v>1140</v>
      </c>
      <c r="J452" s="308" t="s">
        <v>757</v>
      </c>
      <c r="K452" s="308" t="s">
        <v>741</v>
      </c>
      <c r="L452" s="309">
        <v>44286</v>
      </c>
      <c r="M452" s="312">
        <v>0</v>
      </c>
    </row>
    <row r="453" spans="1:13" hidden="1" x14ac:dyDescent="0.25">
      <c r="A453" s="309">
        <v>44316</v>
      </c>
      <c r="B453" s="308" t="s">
        <v>1104</v>
      </c>
      <c r="C453" s="308" t="s">
        <v>1060</v>
      </c>
      <c r="D453" s="310">
        <v>10</v>
      </c>
      <c r="E453" s="311">
        <v>1080</v>
      </c>
      <c r="F453" s="311">
        <v>-111022.84</v>
      </c>
      <c r="G453" s="308" t="s">
        <v>1096</v>
      </c>
      <c r="H453" s="308" t="s">
        <v>1290</v>
      </c>
      <c r="I453" s="308" t="s">
        <v>1140</v>
      </c>
      <c r="J453" s="308" t="s">
        <v>757</v>
      </c>
      <c r="K453" s="308" t="s">
        <v>741</v>
      </c>
      <c r="L453" s="309">
        <v>44316</v>
      </c>
      <c r="M453" s="312">
        <v>0</v>
      </c>
    </row>
    <row r="454" spans="1:13" hidden="1" x14ac:dyDescent="0.25">
      <c r="A454" s="309">
        <v>44013</v>
      </c>
      <c r="B454" s="308" t="s">
        <v>1291</v>
      </c>
      <c r="C454" s="308" t="s">
        <v>769</v>
      </c>
      <c r="D454" s="310">
        <v>1</v>
      </c>
      <c r="E454" s="311">
        <v>302.5</v>
      </c>
      <c r="F454" s="311">
        <v>-111800.34</v>
      </c>
      <c r="G454" s="308" t="s">
        <v>1292</v>
      </c>
      <c r="H454" s="308" t="s">
        <v>1293</v>
      </c>
      <c r="I454" s="308" t="s">
        <v>1140</v>
      </c>
      <c r="J454" s="308" t="s">
        <v>757</v>
      </c>
      <c r="K454" s="308" t="s">
        <v>770</v>
      </c>
      <c r="L454" s="309">
        <v>44013</v>
      </c>
      <c r="M454" s="312">
        <v>0</v>
      </c>
    </row>
    <row r="455" spans="1:13" hidden="1" x14ac:dyDescent="0.25">
      <c r="A455" s="309">
        <v>44044</v>
      </c>
      <c r="B455" s="308" t="s">
        <v>1294</v>
      </c>
      <c r="C455" s="308" t="s">
        <v>769</v>
      </c>
      <c r="D455" s="310">
        <v>2</v>
      </c>
      <c r="E455" s="311">
        <v>314.60000000000002</v>
      </c>
      <c r="F455" s="311">
        <v>-111485.74</v>
      </c>
      <c r="G455" s="308" t="s">
        <v>1295</v>
      </c>
      <c r="H455" s="308" t="s">
        <v>1293</v>
      </c>
      <c r="I455" s="308" t="s">
        <v>1140</v>
      </c>
      <c r="J455" s="308" t="s">
        <v>757</v>
      </c>
      <c r="K455" s="308" t="s">
        <v>770</v>
      </c>
      <c r="L455" s="309">
        <v>44044</v>
      </c>
      <c r="M455" s="312">
        <v>0</v>
      </c>
    </row>
    <row r="456" spans="1:13" hidden="1" x14ac:dyDescent="0.25">
      <c r="A456" s="309">
        <v>44075</v>
      </c>
      <c r="B456" s="308" t="s">
        <v>1296</v>
      </c>
      <c r="C456" s="308" t="s">
        <v>769</v>
      </c>
      <c r="D456" s="310">
        <v>3</v>
      </c>
      <c r="E456" s="311">
        <v>314.60000000000002</v>
      </c>
      <c r="F456" s="311">
        <v>-111171.14</v>
      </c>
      <c r="G456" s="308" t="s">
        <v>1297</v>
      </c>
      <c r="H456" s="308" t="s">
        <v>1293</v>
      </c>
      <c r="I456" s="308" t="s">
        <v>1140</v>
      </c>
      <c r="J456" s="308" t="s">
        <v>757</v>
      </c>
      <c r="K456" s="308" t="s">
        <v>770</v>
      </c>
      <c r="L456" s="309">
        <v>44075</v>
      </c>
      <c r="M456" s="312">
        <v>0</v>
      </c>
    </row>
    <row r="457" spans="1:13" hidden="1" x14ac:dyDescent="0.25">
      <c r="A457" s="309">
        <v>44105</v>
      </c>
      <c r="B457" s="308" t="s">
        <v>1298</v>
      </c>
      <c r="C457" s="308" t="s">
        <v>769</v>
      </c>
      <c r="D457" s="310">
        <v>4</v>
      </c>
      <c r="E457" s="311">
        <v>314.60000000000002</v>
      </c>
      <c r="F457" s="311">
        <v>-110856.54</v>
      </c>
      <c r="G457" s="308" t="s">
        <v>1299</v>
      </c>
      <c r="H457" s="308" t="s">
        <v>1293</v>
      </c>
      <c r="I457" s="308" t="s">
        <v>1140</v>
      </c>
      <c r="J457" s="308" t="s">
        <v>757</v>
      </c>
      <c r="K457" s="308" t="s">
        <v>770</v>
      </c>
      <c r="L457" s="309">
        <v>44105</v>
      </c>
      <c r="M457" s="312">
        <v>0</v>
      </c>
    </row>
    <row r="458" spans="1:13" hidden="1" x14ac:dyDescent="0.25">
      <c r="A458" s="309">
        <v>44136</v>
      </c>
      <c r="B458" s="308" t="s">
        <v>1300</v>
      </c>
      <c r="C458" s="308" t="s">
        <v>769</v>
      </c>
      <c r="D458" s="310">
        <v>5</v>
      </c>
      <c r="E458" s="311">
        <v>314.60000000000002</v>
      </c>
      <c r="F458" s="311">
        <v>-110541.94</v>
      </c>
      <c r="G458" s="308" t="s">
        <v>1301</v>
      </c>
      <c r="H458" s="308" t="s">
        <v>1293</v>
      </c>
      <c r="I458" s="308" t="s">
        <v>1140</v>
      </c>
      <c r="J458" s="308" t="s">
        <v>757</v>
      </c>
      <c r="K458" s="308" t="s">
        <v>770</v>
      </c>
      <c r="L458" s="309">
        <v>44136</v>
      </c>
      <c r="M458" s="312">
        <v>0</v>
      </c>
    </row>
    <row r="459" spans="1:13" hidden="1" x14ac:dyDescent="0.25">
      <c r="A459" s="309">
        <v>44166</v>
      </c>
      <c r="B459" s="308" t="s">
        <v>1302</v>
      </c>
      <c r="C459" s="308" t="s">
        <v>769</v>
      </c>
      <c r="D459" s="310">
        <v>6</v>
      </c>
      <c r="E459" s="311">
        <v>314.60000000000002</v>
      </c>
      <c r="F459" s="311">
        <v>-110227.34</v>
      </c>
      <c r="G459" s="308" t="s">
        <v>1303</v>
      </c>
      <c r="H459" s="308" t="s">
        <v>1293</v>
      </c>
      <c r="I459" s="308" t="s">
        <v>1140</v>
      </c>
      <c r="J459" s="308" t="s">
        <v>757</v>
      </c>
      <c r="K459" s="308" t="s">
        <v>770</v>
      </c>
      <c r="L459" s="309">
        <v>44166</v>
      </c>
      <c r="M459" s="312">
        <v>0</v>
      </c>
    </row>
    <row r="460" spans="1:13" hidden="1" x14ac:dyDescent="0.25">
      <c r="A460" s="309">
        <v>44197</v>
      </c>
      <c r="B460" s="308" t="s">
        <v>1304</v>
      </c>
      <c r="C460" s="308" t="s">
        <v>769</v>
      </c>
      <c r="D460" s="310">
        <v>7</v>
      </c>
      <c r="E460" s="311">
        <v>314.60000000000002</v>
      </c>
      <c r="F460" s="311">
        <v>-109912.74</v>
      </c>
      <c r="G460" s="308" t="s">
        <v>1305</v>
      </c>
      <c r="H460" s="308" t="s">
        <v>1293</v>
      </c>
      <c r="I460" s="308" t="s">
        <v>1140</v>
      </c>
      <c r="J460" s="308" t="s">
        <v>757</v>
      </c>
      <c r="K460" s="308" t="s">
        <v>770</v>
      </c>
      <c r="L460" s="309">
        <v>44197</v>
      </c>
      <c r="M460" s="312">
        <v>0</v>
      </c>
    </row>
    <row r="461" spans="1:13" hidden="1" x14ac:dyDescent="0.25">
      <c r="A461" s="309">
        <v>44228</v>
      </c>
      <c r="B461" s="308" t="s">
        <v>1306</v>
      </c>
      <c r="C461" s="308" t="s">
        <v>769</v>
      </c>
      <c r="D461" s="310">
        <v>8</v>
      </c>
      <c r="E461" s="311">
        <v>314.60000000000002</v>
      </c>
      <c r="F461" s="311">
        <v>-109598.14</v>
      </c>
      <c r="G461" s="308" t="s">
        <v>1307</v>
      </c>
      <c r="H461" s="308" t="s">
        <v>1293</v>
      </c>
      <c r="I461" s="308" t="s">
        <v>1140</v>
      </c>
      <c r="J461" s="308" t="s">
        <v>757</v>
      </c>
      <c r="K461" s="308" t="s">
        <v>770</v>
      </c>
      <c r="L461" s="309">
        <v>44228</v>
      </c>
      <c r="M461" s="312">
        <v>0</v>
      </c>
    </row>
    <row r="462" spans="1:13" hidden="1" x14ac:dyDescent="0.25">
      <c r="A462" s="309">
        <v>44256</v>
      </c>
      <c r="B462" s="308" t="s">
        <v>1308</v>
      </c>
      <c r="C462" s="308" t="s">
        <v>769</v>
      </c>
      <c r="D462" s="310">
        <v>9</v>
      </c>
      <c r="E462" s="311">
        <v>314.60000000000002</v>
      </c>
      <c r="F462" s="311">
        <v>-109283.54</v>
      </c>
      <c r="G462" s="308" t="s">
        <v>1309</v>
      </c>
      <c r="H462" s="308" t="s">
        <v>1293</v>
      </c>
      <c r="I462" s="308" t="s">
        <v>1140</v>
      </c>
      <c r="J462" s="308" t="s">
        <v>757</v>
      </c>
      <c r="K462" s="308" t="s">
        <v>770</v>
      </c>
      <c r="L462" s="309">
        <v>44256</v>
      </c>
      <c r="M462" s="312">
        <v>0</v>
      </c>
    </row>
    <row r="463" spans="1:13" hidden="1" x14ac:dyDescent="0.25">
      <c r="A463" s="309">
        <v>44287</v>
      </c>
      <c r="B463" s="308" t="s">
        <v>1310</v>
      </c>
      <c r="C463" s="308" t="s">
        <v>769</v>
      </c>
      <c r="D463" s="310">
        <v>10</v>
      </c>
      <c r="E463" s="311">
        <v>314.60000000000002</v>
      </c>
      <c r="F463" s="311">
        <v>-108968.94</v>
      </c>
      <c r="G463" s="308" t="s">
        <v>1311</v>
      </c>
      <c r="H463" s="308" t="s">
        <v>1293</v>
      </c>
      <c r="I463" s="308" t="s">
        <v>1140</v>
      </c>
      <c r="J463" s="308" t="s">
        <v>757</v>
      </c>
      <c r="K463" s="308" t="s">
        <v>770</v>
      </c>
      <c r="L463" s="309">
        <v>44287</v>
      </c>
      <c r="M463" s="312">
        <v>0</v>
      </c>
    </row>
    <row r="464" spans="1:13" hidden="1" x14ac:dyDescent="0.25">
      <c r="A464" s="309">
        <v>44043</v>
      </c>
      <c r="B464" s="308" t="s">
        <v>1143</v>
      </c>
      <c r="C464" s="308" t="s">
        <v>1060</v>
      </c>
      <c r="D464" s="310">
        <v>1</v>
      </c>
      <c r="E464" s="311">
        <v>69.63</v>
      </c>
      <c r="F464" s="311">
        <v>-108584.71</v>
      </c>
      <c r="G464" s="308" t="s">
        <v>1144</v>
      </c>
      <c r="H464" s="308" t="s">
        <v>1312</v>
      </c>
      <c r="I464" s="308" t="s">
        <v>1140</v>
      </c>
      <c r="J464" s="308" t="s">
        <v>757</v>
      </c>
      <c r="K464" s="308" t="s">
        <v>741</v>
      </c>
      <c r="L464" s="309">
        <v>44043</v>
      </c>
      <c r="M464" s="312">
        <v>0</v>
      </c>
    </row>
    <row r="465" spans="1:13" hidden="1" x14ac:dyDescent="0.25">
      <c r="A465" s="309">
        <v>44043</v>
      </c>
      <c r="B465" s="308" t="s">
        <v>1143</v>
      </c>
      <c r="C465" s="308" t="s">
        <v>1060</v>
      </c>
      <c r="D465" s="310">
        <v>2</v>
      </c>
      <c r="E465" s="311">
        <v>-69.63</v>
      </c>
      <c r="F465" s="311">
        <v>-108654.34</v>
      </c>
      <c r="G465" s="308" t="s">
        <v>1144</v>
      </c>
      <c r="H465" s="308" t="s">
        <v>1312</v>
      </c>
      <c r="I465" s="308" t="s">
        <v>1140</v>
      </c>
      <c r="J465" s="308" t="s">
        <v>757</v>
      </c>
      <c r="K465" s="308" t="s">
        <v>741</v>
      </c>
      <c r="L465" s="309">
        <v>44043</v>
      </c>
      <c r="M465" s="312">
        <v>0</v>
      </c>
    </row>
    <row r="466" spans="1:13" hidden="1" x14ac:dyDescent="0.25">
      <c r="A466" s="309">
        <v>44074</v>
      </c>
      <c r="B466" s="308" t="s">
        <v>1147</v>
      </c>
      <c r="C466" s="308" t="s">
        <v>1060</v>
      </c>
      <c r="D466" s="310">
        <v>2</v>
      </c>
      <c r="E466" s="311">
        <v>94.31</v>
      </c>
      <c r="F466" s="311">
        <v>-108560.03</v>
      </c>
      <c r="G466" s="308" t="s">
        <v>1148</v>
      </c>
      <c r="H466" s="308" t="s">
        <v>1312</v>
      </c>
      <c r="I466" s="308" t="s">
        <v>1140</v>
      </c>
      <c r="J466" s="308" t="s">
        <v>757</v>
      </c>
      <c r="K466" s="308" t="s">
        <v>741</v>
      </c>
      <c r="L466" s="309">
        <v>44074</v>
      </c>
      <c r="M466" s="312">
        <v>0</v>
      </c>
    </row>
    <row r="467" spans="1:13" hidden="1" x14ac:dyDescent="0.25">
      <c r="A467" s="309">
        <v>44074</v>
      </c>
      <c r="B467" s="308" t="s">
        <v>1147</v>
      </c>
      <c r="C467" s="308" t="s">
        <v>1060</v>
      </c>
      <c r="D467" s="310">
        <v>3</v>
      </c>
      <c r="E467" s="311">
        <v>-94.31</v>
      </c>
      <c r="F467" s="311">
        <v>-108654.34</v>
      </c>
      <c r="G467" s="308" t="s">
        <v>1148</v>
      </c>
      <c r="H467" s="308" t="s">
        <v>1312</v>
      </c>
      <c r="I467" s="308" t="s">
        <v>1140</v>
      </c>
      <c r="J467" s="308" t="s">
        <v>757</v>
      </c>
      <c r="K467" s="308" t="s">
        <v>741</v>
      </c>
      <c r="L467" s="309">
        <v>44074</v>
      </c>
      <c r="M467" s="312">
        <v>0</v>
      </c>
    </row>
    <row r="468" spans="1:13" hidden="1" x14ac:dyDescent="0.25">
      <c r="A468" s="309">
        <v>44104</v>
      </c>
      <c r="B468" s="308" t="s">
        <v>1198</v>
      </c>
      <c r="C468" s="308" t="s">
        <v>1060</v>
      </c>
      <c r="D468" s="310">
        <v>3</v>
      </c>
      <c r="E468" s="311">
        <v>140.1</v>
      </c>
      <c r="F468" s="311">
        <v>-108514.24000000001</v>
      </c>
      <c r="G468" s="308" t="s">
        <v>1199</v>
      </c>
      <c r="H468" s="308" t="s">
        <v>1312</v>
      </c>
      <c r="I468" s="308" t="s">
        <v>1140</v>
      </c>
      <c r="J468" s="308" t="s">
        <v>757</v>
      </c>
      <c r="K468" s="308" t="s">
        <v>741</v>
      </c>
      <c r="L468" s="309">
        <v>44104</v>
      </c>
      <c r="M468" s="312">
        <v>0</v>
      </c>
    </row>
    <row r="469" spans="1:13" hidden="1" x14ac:dyDescent="0.25">
      <c r="A469" s="309">
        <v>44104</v>
      </c>
      <c r="B469" s="308" t="s">
        <v>1198</v>
      </c>
      <c r="C469" s="308" t="s">
        <v>1060</v>
      </c>
      <c r="D469" s="310">
        <v>4</v>
      </c>
      <c r="E469" s="311">
        <v>-140.1</v>
      </c>
      <c r="F469" s="311">
        <v>-108654.34</v>
      </c>
      <c r="G469" s="308" t="s">
        <v>1199</v>
      </c>
      <c r="H469" s="308" t="s">
        <v>1312</v>
      </c>
      <c r="I469" s="308" t="s">
        <v>1140</v>
      </c>
      <c r="J469" s="308" t="s">
        <v>757</v>
      </c>
      <c r="K469" s="308" t="s">
        <v>741</v>
      </c>
      <c r="L469" s="309">
        <v>44104</v>
      </c>
      <c r="M469" s="312">
        <v>0</v>
      </c>
    </row>
    <row r="470" spans="1:13" hidden="1" x14ac:dyDescent="0.25">
      <c r="A470" s="309">
        <v>44135</v>
      </c>
      <c r="B470" s="308" t="s">
        <v>1200</v>
      </c>
      <c r="C470" s="308" t="s">
        <v>1060</v>
      </c>
      <c r="D470" s="310">
        <v>4</v>
      </c>
      <c r="E470" s="311">
        <v>215.09</v>
      </c>
      <c r="F470" s="311">
        <v>-108439.25</v>
      </c>
      <c r="G470" s="308" t="s">
        <v>1201</v>
      </c>
      <c r="H470" s="308" t="s">
        <v>1312</v>
      </c>
      <c r="I470" s="308" t="s">
        <v>1140</v>
      </c>
      <c r="J470" s="308" t="s">
        <v>757</v>
      </c>
      <c r="K470" s="308" t="s">
        <v>741</v>
      </c>
      <c r="L470" s="309">
        <v>44135</v>
      </c>
      <c r="M470" s="312">
        <v>0</v>
      </c>
    </row>
    <row r="471" spans="1:13" hidden="1" x14ac:dyDescent="0.25">
      <c r="A471" s="309">
        <v>44135</v>
      </c>
      <c r="B471" s="308" t="s">
        <v>1200</v>
      </c>
      <c r="C471" s="308" t="s">
        <v>1060</v>
      </c>
      <c r="D471" s="310">
        <v>5</v>
      </c>
      <c r="E471" s="311">
        <v>-215.09</v>
      </c>
      <c r="F471" s="311">
        <v>-108654.34</v>
      </c>
      <c r="G471" s="308" t="s">
        <v>1201</v>
      </c>
      <c r="H471" s="308" t="s">
        <v>1312</v>
      </c>
      <c r="I471" s="308" t="s">
        <v>1140</v>
      </c>
      <c r="J471" s="308" t="s">
        <v>757</v>
      </c>
      <c r="K471" s="308" t="s">
        <v>741</v>
      </c>
      <c r="L471" s="309">
        <v>44135</v>
      </c>
      <c r="M471" s="312">
        <v>0</v>
      </c>
    </row>
    <row r="472" spans="1:13" hidden="1" x14ac:dyDescent="0.25">
      <c r="A472" s="309">
        <v>44165</v>
      </c>
      <c r="B472" s="308" t="s">
        <v>1158</v>
      </c>
      <c r="C472" s="308" t="s">
        <v>1060</v>
      </c>
      <c r="D472" s="310">
        <v>5</v>
      </c>
      <c r="E472" s="311">
        <v>279.77</v>
      </c>
      <c r="F472" s="311">
        <v>-108374.57</v>
      </c>
      <c r="G472" s="308" t="s">
        <v>1159</v>
      </c>
      <c r="H472" s="308" t="s">
        <v>1312</v>
      </c>
      <c r="I472" s="308" t="s">
        <v>1140</v>
      </c>
      <c r="J472" s="308" t="s">
        <v>757</v>
      </c>
      <c r="K472" s="308" t="s">
        <v>741</v>
      </c>
      <c r="L472" s="309">
        <v>44165</v>
      </c>
      <c r="M472" s="312">
        <v>0</v>
      </c>
    </row>
    <row r="473" spans="1:13" hidden="1" x14ac:dyDescent="0.25">
      <c r="A473" s="309">
        <v>44165</v>
      </c>
      <c r="B473" s="308" t="s">
        <v>1158</v>
      </c>
      <c r="C473" s="308" t="s">
        <v>1060</v>
      </c>
      <c r="D473" s="310">
        <v>6</v>
      </c>
      <c r="E473" s="311">
        <v>-279.77</v>
      </c>
      <c r="F473" s="311">
        <v>-108654.34</v>
      </c>
      <c r="G473" s="308" t="s">
        <v>1159</v>
      </c>
      <c r="H473" s="308" t="s">
        <v>1312</v>
      </c>
      <c r="I473" s="308" t="s">
        <v>1140</v>
      </c>
      <c r="J473" s="308" t="s">
        <v>757</v>
      </c>
      <c r="K473" s="308" t="s">
        <v>741</v>
      </c>
      <c r="L473" s="309">
        <v>44165</v>
      </c>
      <c r="M473" s="312">
        <v>0</v>
      </c>
    </row>
    <row r="474" spans="1:13" hidden="1" x14ac:dyDescent="0.25">
      <c r="A474" s="309">
        <v>44196</v>
      </c>
      <c r="B474" s="308" t="s">
        <v>1160</v>
      </c>
      <c r="C474" s="308" t="s">
        <v>1060</v>
      </c>
      <c r="D474" s="310">
        <v>6</v>
      </c>
      <c r="E474" s="311">
        <v>737.99</v>
      </c>
      <c r="F474" s="311">
        <v>-107916.35</v>
      </c>
      <c r="G474" s="308" t="s">
        <v>1161</v>
      </c>
      <c r="H474" s="308" t="s">
        <v>1312</v>
      </c>
      <c r="I474" s="308" t="s">
        <v>1140</v>
      </c>
      <c r="J474" s="308" t="s">
        <v>757</v>
      </c>
      <c r="K474" s="308" t="s">
        <v>741</v>
      </c>
      <c r="L474" s="309">
        <v>44196</v>
      </c>
      <c r="M474" s="312">
        <v>0</v>
      </c>
    </row>
    <row r="475" spans="1:13" hidden="1" x14ac:dyDescent="0.25">
      <c r="A475" s="309">
        <v>44196</v>
      </c>
      <c r="B475" s="308" t="s">
        <v>1160</v>
      </c>
      <c r="C475" s="308" t="s">
        <v>1060</v>
      </c>
      <c r="D475" s="310">
        <v>7</v>
      </c>
      <c r="E475" s="311">
        <v>-737.99</v>
      </c>
      <c r="F475" s="311">
        <v>-108654.34</v>
      </c>
      <c r="G475" s="308" t="s">
        <v>1161</v>
      </c>
      <c r="H475" s="308" t="s">
        <v>1312</v>
      </c>
      <c r="I475" s="308" t="s">
        <v>1140</v>
      </c>
      <c r="J475" s="308" t="s">
        <v>757</v>
      </c>
      <c r="K475" s="308" t="s">
        <v>741</v>
      </c>
      <c r="L475" s="309">
        <v>44196</v>
      </c>
      <c r="M475" s="312">
        <v>0</v>
      </c>
    </row>
    <row r="476" spans="1:13" hidden="1" x14ac:dyDescent="0.25">
      <c r="A476" s="309">
        <v>44207</v>
      </c>
      <c r="B476" s="308" t="s">
        <v>1313</v>
      </c>
      <c r="C476" s="308" t="s">
        <v>769</v>
      </c>
      <c r="D476" s="310">
        <v>7</v>
      </c>
      <c r="E476" s="311">
        <v>458.22</v>
      </c>
      <c r="F476" s="311">
        <v>-108196.12</v>
      </c>
      <c r="G476" s="308" t="s">
        <v>1314</v>
      </c>
      <c r="H476" s="308" t="s">
        <v>1312</v>
      </c>
      <c r="I476" s="308" t="s">
        <v>1140</v>
      </c>
      <c r="J476" s="308" t="s">
        <v>757</v>
      </c>
      <c r="K476" s="308" t="s">
        <v>770</v>
      </c>
      <c r="L476" s="309">
        <v>44207</v>
      </c>
      <c r="M476" s="312">
        <v>0</v>
      </c>
    </row>
    <row r="477" spans="1:13" hidden="1" x14ac:dyDescent="0.25">
      <c r="A477" s="309">
        <v>44230</v>
      </c>
      <c r="B477" s="308" t="s">
        <v>1166</v>
      </c>
      <c r="C477" s="308" t="s">
        <v>1060</v>
      </c>
      <c r="D477" s="310">
        <v>7</v>
      </c>
      <c r="E477" s="311">
        <v>745.55</v>
      </c>
      <c r="F477" s="311">
        <v>-107450.57</v>
      </c>
      <c r="G477" s="308" t="s">
        <v>1167</v>
      </c>
      <c r="H477" s="308" t="s">
        <v>1312</v>
      </c>
      <c r="I477" s="308" t="s">
        <v>1140</v>
      </c>
      <c r="J477" s="308" t="s">
        <v>757</v>
      </c>
      <c r="K477" s="308" t="s">
        <v>741</v>
      </c>
      <c r="L477" s="309">
        <v>44230</v>
      </c>
      <c r="M477" s="312">
        <v>0</v>
      </c>
    </row>
    <row r="478" spans="1:13" hidden="1" x14ac:dyDescent="0.25">
      <c r="A478" s="309">
        <v>44230</v>
      </c>
      <c r="B478" s="308" t="s">
        <v>1166</v>
      </c>
      <c r="C478" s="308" t="s">
        <v>1060</v>
      </c>
      <c r="D478" s="310">
        <v>8</v>
      </c>
      <c r="E478" s="311">
        <v>-745.55</v>
      </c>
      <c r="F478" s="311">
        <v>-108196.12</v>
      </c>
      <c r="G478" s="308" t="s">
        <v>1167</v>
      </c>
      <c r="H478" s="308" t="s">
        <v>1312</v>
      </c>
      <c r="I478" s="308" t="s">
        <v>1140</v>
      </c>
      <c r="J478" s="308" t="s">
        <v>757</v>
      </c>
      <c r="K478" s="308" t="s">
        <v>741</v>
      </c>
      <c r="L478" s="309">
        <v>44230</v>
      </c>
      <c r="M478" s="312">
        <v>0</v>
      </c>
    </row>
    <row r="479" spans="1:13" hidden="1" x14ac:dyDescent="0.25">
      <c r="A479" s="309">
        <v>44235</v>
      </c>
      <c r="B479" s="308" t="s">
        <v>1315</v>
      </c>
      <c r="C479" s="308" t="s">
        <v>769</v>
      </c>
      <c r="D479" s="310">
        <v>8</v>
      </c>
      <c r="E479" s="311">
        <v>592.54999999999995</v>
      </c>
      <c r="F479" s="311">
        <v>-107603.57</v>
      </c>
      <c r="G479" s="308" t="s">
        <v>1316</v>
      </c>
      <c r="H479" s="308" t="s">
        <v>1312</v>
      </c>
      <c r="I479" s="308" t="s">
        <v>1140</v>
      </c>
      <c r="J479" s="308" t="s">
        <v>757</v>
      </c>
      <c r="K479" s="308" t="s">
        <v>770</v>
      </c>
      <c r="L479" s="309">
        <v>44235</v>
      </c>
      <c r="M479" s="312">
        <v>0</v>
      </c>
    </row>
    <row r="480" spans="1:13" hidden="1" x14ac:dyDescent="0.25">
      <c r="A480" s="309">
        <v>44255</v>
      </c>
      <c r="B480" s="308" t="s">
        <v>1178</v>
      </c>
      <c r="C480" s="308" t="s">
        <v>1060</v>
      </c>
      <c r="D480" s="310">
        <v>8</v>
      </c>
      <c r="E480" s="311">
        <v>560.63</v>
      </c>
      <c r="F480" s="311">
        <v>-107042.94</v>
      </c>
      <c r="G480" s="308" t="s">
        <v>1179</v>
      </c>
      <c r="H480" s="308" t="s">
        <v>1312</v>
      </c>
      <c r="I480" s="308" t="s">
        <v>1140</v>
      </c>
      <c r="J480" s="308" t="s">
        <v>757</v>
      </c>
      <c r="K480" s="308" t="s">
        <v>741</v>
      </c>
      <c r="L480" s="309">
        <v>44255</v>
      </c>
      <c r="M480" s="312">
        <v>0</v>
      </c>
    </row>
    <row r="481" spans="1:13" hidden="1" x14ac:dyDescent="0.25">
      <c r="A481" s="309">
        <v>44255</v>
      </c>
      <c r="B481" s="308" t="s">
        <v>1178</v>
      </c>
      <c r="C481" s="308" t="s">
        <v>1060</v>
      </c>
      <c r="D481" s="310">
        <v>9</v>
      </c>
      <c r="E481" s="311">
        <v>-560.63</v>
      </c>
      <c r="F481" s="311">
        <v>-107603.57</v>
      </c>
      <c r="G481" s="308" t="s">
        <v>1179</v>
      </c>
      <c r="H481" s="308" t="s">
        <v>1312</v>
      </c>
      <c r="I481" s="308" t="s">
        <v>1140</v>
      </c>
      <c r="J481" s="308" t="s">
        <v>757</v>
      </c>
      <c r="K481" s="308" t="s">
        <v>741</v>
      </c>
      <c r="L481" s="309">
        <v>44255</v>
      </c>
      <c r="M481" s="312">
        <v>0</v>
      </c>
    </row>
    <row r="482" spans="1:13" hidden="1" x14ac:dyDescent="0.25">
      <c r="A482" s="309">
        <v>44263</v>
      </c>
      <c r="B482" s="308" t="s">
        <v>1317</v>
      </c>
      <c r="C482" s="308" t="s">
        <v>769</v>
      </c>
      <c r="D482" s="310">
        <v>9</v>
      </c>
      <c r="E482" s="311">
        <v>381.52</v>
      </c>
      <c r="F482" s="311">
        <v>-107222.05</v>
      </c>
      <c r="G482" s="308" t="s">
        <v>1318</v>
      </c>
      <c r="H482" s="308" t="s">
        <v>1312</v>
      </c>
      <c r="I482" s="308" t="s">
        <v>1140</v>
      </c>
      <c r="J482" s="308" t="s">
        <v>757</v>
      </c>
      <c r="K482" s="308" t="s">
        <v>770</v>
      </c>
      <c r="L482" s="309">
        <v>44263</v>
      </c>
      <c r="M482" s="312">
        <v>0</v>
      </c>
    </row>
    <row r="483" spans="1:13" hidden="1" x14ac:dyDescent="0.25">
      <c r="A483" s="309">
        <v>44286</v>
      </c>
      <c r="B483" s="308" t="s">
        <v>1181</v>
      </c>
      <c r="C483" s="308" t="s">
        <v>1060</v>
      </c>
      <c r="D483" s="310">
        <v>9</v>
      </c>
      <c r="E483" s="311">
        <v>1000.88</v>
      </c>
      <c r="F483" s="311">
        <v>-106221.17</v>
      </c>
      <c r="G483" s="308" t="s">
        <v>1182</v>
      </c>
      <c r="H483" s="308" t="s">
        <v>1312</v>
      </c>
      <c r="I483" s="308" t="s">
        <v>1140</v>
      </c>
      <c r="J483" s="308" t="s">
        <v>757</v>
      </c>
      <c r="K483" s="308" t="s">
        <v>741</v>
      </c>
      <c r="L483" s="309">
        <v>44286</v>
      </c>
      <c r="M483" s="312">
        <v>0</v>
      </c>
    </row>
    <row r="484" spans="1:13" hidden="1" x14ac:dyDescent="0.25">
      <c r="A484" s="309">
        <v>44286</v>
      </c>
      <c r="B484" s="308" t="s">
        <v>1181</v>
      </c>
      <c r="C484" s="308" t="s">
        <v>1060</v>
      </c>
      <c r="D484" s="310">
        <v>10</v>
      </c>
      <c r="E484" s="311">
        <v>-1000.88</v>
      </c>
      <c r="F484" s="311">
        <v>-107222.05</v>
      </c>
      <c r="G484" s="308" t="s">
        <v>1182</v>
      </c>
      <c r="H484" s="308" t="s">
        <v>1312</v>
      </c>
      <c r="I484" s="308" t="s">
        <v>1140</v>
      </c>
      <c r="J484" s="308" t="s">
        <v>757</v>
      </c>
      <c r="K484" s="308" t="s">
        <v>741</v>
      </c>
      <c r="L484" s="309">
        <v>44286</v>
      </c>
      <c r="M484" s="312">
        <v>0</v>
      </c>
    </row>
    <row r="485" spans="1:13" hidden="1" x14ac:dyDescent="0.25">
      <c r="A485" s="309">
        <v>44316</v>
      </c>
      <c r="B485" s="308" t="s">
        <v>1104</v>
      </c>
      <c r="C485" s="308" t="s">
        <v>1060</v>
      </c>
      <c r="D485" s="310">
        <v>10</v>
      </c>
      <c r="E485" s="311">
        <v>2067.85</v>
      </c>
      <c r="F485" s="311">
        <v>-105154.2</v>
      </c>
      <c r="G485" s="308" t="s">
        <v>1096</v>
      </c>
      <c r="H485" s="308" t="s">
        <v>1312</v>
      </c>
      <c r="I485" s="308" t="s">
        <v>1140</v>
      </c>
      <c r="J485" s="308" t="s">
        <v>757</v>
      </c>
      <c r="K485" s="308" t="s">
        <v>741</v>
      </c>
      <c r="L485" s="309">
        <v>44316</v>
      </c>
      <c r="M485" s="312">
        <v>0</v>
      </c>
    </row>
    <row r="486" spans="1:13" hidden="1" x14ac:dyDescent="0.25">
      <c r="A486" s="309">
        <v>44012</v>
      </c>
      <c r="B486" s="308" t="s">
        <v>1141</v>
      </c>
      <c r="C486" s="308" t="s">
        <v>1059</v>
      </c>
      <c r="D486" s="310">
        <v>1</v>
      </c>
      <c r="E486" s="311">
        <v>-29788</v>
      </c>
      <c r="F486" s="311">
        <v>-137010.04999999999</v>
      </c>
      <c r="G486" s="308" t="s">
        <v>1142</v>
      </c>
      <c r="H486" s="308" t="s">
        <v>1319</v>
      </c>
      <c r="I486" s="308" t="s">
        <v>1140</v>
      </c>
      <c r="J486" s="308" t="s">
        <v>757</v>
      </c>
      <c r="K486" s="308" t="s">
        <v>741</v>
      </c>
      <c r="L486" s="309">
        <v>44012</v>
      </c>
      <c r="M486" s="312">
        <v>0</v>
      </c>
    </row>
    <row r="487" spans="1:13" hidden="1" x14ac:dyDescent="0.25">
      <c r="A487" s="309">
        <v>44043</v>
      </c>
      <c r="B487" s="308" t="s">
        <v>1143</v>
      </c>
      <c r="C487" s="308" t="s">
        <v>1060</v>
      </c>
      <c r="D487" s="310">
        <v>1</v>
      </c>
      <c r="E487" s="311">
        <v>29788</v>
      </c>
      <c r="F487" s="311">
        <v>-107222.05</v>
      </c>
      <c r="G487" s="308" t="s">
        <v>1144</v>
      </c>
      <c r="H487" s="308" t="s">
        <v>1319</v>
      </c>
      <c r="I487" s="308" t="s">
        <v>1140</v>
      </c>
      <c r="J487" s="308" t="s">
        <v>757</v>
      </c>
      <c r="K487" s="308" t="s">
        <v>741</v>
      </c>
      <c r="L487" s="309">
        <v>44043</v>
      </c>
      <c r="M487" s="312">
        <v>0</v>
      </c>
    </row>
    <row r="488" spans="1:13" hidden="1" x14ac:dyDescent="0.25">
      <c r="A488" s="309">
        <v>43784</v>
      </c>
      <c r="B488" s="308" t="s">
        <v>1320</v>
      </c>
      <c r="C488" s="308" t="s">
        <v>769</v>
      </c>
      <c r="D488" s="310">
        <v>2</v>
      </c>
      <c r="E488" s="311">
        <v>49354.84</v>
      </c>
      <c r="F488" s="311">
        <v>-57867.209999999897</v>
      </c>
      <c r="G488" s="308" t="s">
        <v>1321</v>
      </c>
      <c r="H488" s="308" t="s">
        <v>1319</v>
      </c>
      <c r="I488" s="308" t="s">
        <v>1140</v>
      </c>
      <c r="J488" s="308" t="s">
        <v>757</v>
      </c>
      <c r="K488" s="308" t="s">
        <v>770</v>
      </c>
      <c r="L488" s="309">
        <v>43784</v>
      </c>
      <c r="M488" s="312">
        <v>0</v>
      </c>
    </row>
    <row r="489" spans="1:13" hidden="1" x14ac:dyDescent="0.25">
      <c r="A489" s="309">
        <v>44043</v>
      </c>
      <c r="B489" s="308" t="s">
        <v>1143</v>
      </c>
      <c r="C489" s="308" t="s">
        <v>1060</v>
      </c>
      <c r="D489" s="310">
        <v>2</v>
      </c>
      <c r="E489" s="311">
        <v>-29788</v>
      </c>
      <c r="F489" s="311">
        <v>-87655.209999999905</v>
      </c>
      <c r="G489" s="308" t="s">
        <v>1144</v>
      </c>
      <c r="H489" s="308" t="s">
        <v>1319</v>
      </c>
      <c r="I489" s="308" t="s">
        <v>1140</v>
      </c>
      <c r="J489" s="308" t="s">
        <v>757</v>
      </c>
      <c r="K489" s="308" t="s">
        <v>741</v>
      </c>
      <c r="L489" s="309">
        <v>44043</v>
      </c>
      <c r="M489" s="312">
        <v>0</v>
      </c>
    </row>
    <row r="490" spans="1:13" hidden="1" x14ac:dyDescent="0.25">
      <c r="A490" s="309">
        <v>44165</v>
      </c>
      <c r="B490" s="308" t="s">
        <v>1158</v>
      </c>
      <c r="C490" s="308" t="s">
        <v>1060</v>
      </c>
      <c r="D490" s="310">
        <v>5</v>
      </c>
      <c r="E490" s="311">
        <v>7508.73</v>
      </c>
      <c r="F490" s="311">
        <v>-80146.479999999894</v>
      </c>
      <c r="G490" s="308" t="s">
        <v>1159</v>
      </c>
      <c r="H490" s="308" t="s">
        <v>1319</v>
      </c>
      <c r="I490" s="308" t="s">
        <v>1140</v>
      </c>
      <c r="J490" s="308" t="s">
        <v>757</v>
      </c>
      <c r="K490" s="308" t="s">
        <v>741</v>
      </c>
      <c r="L490" s="309">
        <v>44165</v>
      </c>
      <c r="M490" s="312">
        <v>0</v>
      </c>
    </row>
    <row r="491" spans="1:13" hidden="1" x14ac:dyDescent="0.25">
      <c r="A491" s="309">
        <v>44165</v>
      </c>
      <c r="B491" s="308" t="s">
        <v>1158</v>
      </c>
      <c r="C491" s="308" t="s">
        <v>1060</v>
      </c>
      <c r="D491" s="310">
        <v>6</v>
      </c>
      <c r="E491" s="311">
        <v>-7508.73</v>
      </c>
      <c r="F491" s="311">
        <v>-87655.209999999905</v>
      </c>
      <c r="G491" s="308" t="s">
        <v>1159</v>
      </c>
      <c r="H491" s="308" t="s">
        <v>1319</v>
      </c>
      <c r="I491" s="308" t="s">
        <v>1140</v>
      </c>
      <c r="J491" s="308" t="s">
        <v>757</v>
      </c>
      <c r="K491" s="308" t="s">
        <v>741</v>
      </c>
      <c r="L491" s="309">
        <v>44165</v>
      </c>
      <c r="M491" s="312">
        <v>0</v>
      </c>
    </row>
    <row r="492" spans="1:13" hidden="1" x14ac:dyDescent="0.25">
      <c r="A492" s="309">
        <v>44196</v>
      </c>
      <c r="B492" s="308" t="s">
        <v>1160</v>
      </c>
      <c r="C492" s="308" t="s">
        <v>1060</v>
      </c>
      <c r="D492" s="310">
        <v>6</v>
      </c>
      <c r="E492" s="311">
        <v>10161.76</v>
      </c>
      <c r="F492" s="311">
        <v>-77493.449999999895</v>
      </c>
      <c r="G492" s="308" t="s">
        <v>1161</v>
      </c>
      <c r="H492" s="308" t="s">
        <v>1319</v>
      </c>
      <c r="I492" s="308" t="s">
        <v>1140</v>
      </c>
      <c r="J492" s="308" t="s">
        <v>757</v>
      </c>
      <c r="K492" s="308" t="s">
        <v>741</v>
      </c>
      <c r="L492" s="309">
        <v>44196</v>
      </c>
      <c r="M492" s="312">
        <v>0</v>
      </c>
    </row>
    <row r="493" spans="1:13" hidden="1" x14ac:dyDescent="0.25">
      <c r="A493" s="309">
        <v>44196</v>
      </c>
      <c r="B493" s="308" t="s">
        <v>1160</v>
      </c>
      <c r="C493" s="308" t="s">
        <v>1060</v>
      </c>
      <c r="D493" s="310">
        <v>7</v>
      </c>
      <c r="E493" s="311">
        <v>-10161.76</v>
      </c>
      <c r="F493" s="311">
        <v>-87655.209999999905</v>
      </c>
      <c r="G493" s="308" t="s">
        <v>1161</v>
      </c>
      <c r="H493" s="308" t="s">
        <v>1319</v>
      </c>
      <c r="I493" s="308" t="s">
        <v>1140</v>
      </c>
      <c r="J493" s="308" t="s">
        <v>757</v>
      </c>
      <c r="K493" s="308" t="s">
        <v>741</v>
      </c>
      <c r="L493" s="309">
        <v>44196</v>
      </c>
      <c r="M493" s="312">
        <v>0</v>
      </c>
    </row>
    <row r="494" spans="1:13" hidden="1" x14ac:dyDescent="0.25">
      <c r="A494" s="309">
        <v>44230</v>
      </c>
      <c r="B494" s="308" t="s">
        <v>1166</v>
      </c>
      <c r="C494" s="308" t="s">
        <v>1060</v>
      </c>
      <c r="D494" s="310">
        <v>7</v>
      </c>
      <c r="E494" s="311">
        <v>11650.56</v>
      </c>
      <c r="F494" s="311">
        <v>-76004.649999999907</v>
      </c>
      <c r="G494" s="308" t="s">
        <v>1167</v>
      </c>
      <c r="H494" s="308" t="s">
        <v>1319</v>
      </c>
      <c r="I494" s="308" t="s">
        <v>1140</v>
      </c>
      <c r="J494" s="308" t="s">
        <v>757</v>
      </c>
      <c r="K494" s="308" t="s">
        <v>741</v>
      </c>
      <c r="L494" s="309">
        <v>44230</v>
      </c>
      <c r="M494" s="312">
        <v>0</v>
      </c>
    </row>
    <row r="495" spans="1:13" hidden="1" x14ac:dyDescent="0.25">
      <c r="A495" s="309">
        <v>44230</v>
      </c>
      <c r="B495" s="308" t="s">
        <v>1166</v>
      </c>
      <c r="C495" s="308" t="s">
        <v>1060</v>
      </c>
      <c r="D495" s="310">
        <v>8</v>
      </c>
      <c r="E495" s="311">
        <v>-11650.56</v>
      </c>
      <c r="F495" s="311">
        <v>-87655.209999999905</v>
      </c>
      <c r="G495" s="308" t="s">
        <v>1167</v>
      </c>
      <c r="H495" s="308" t="s">
        <v>1319</v>
      </c>
      <c r="I495" s="308" t="s">
        <v>1140</v>
      </c>
      <c r="J495" s="308" t="s">
        <v>757</v>
      </c>
      <c r="K495" s="308" t="s">
        <v>741</v>
      </c>
      <c r="L495" s="309">
        <v>44230</v>
      </c>
      <c r="M495" s="312">
        <v>0</v>
      </c>
    </row>
    <row r="496" spans="1:13" hidden="1" x14ac:dyDescent="0.25">
      <c r="A496" s="309">
        <v>44255</v>
      </c>
      <c r="B496" s="308" t="s">
        <v>1178</v>
      </c>
      <c r="C496" s="308" t="s">
        <v>1060</v>
      </c>
      <c r="D496" s="310">
        <v>8</v>
      </c>
      <c r="E496" s="311">
        <v>13034.7</v>
      </c>
      <c r="F496" s="311">
        <v>-74620.509999999893</v>
      </c>
      <c r="G496" s="308" t="s">
        <v>1179</v>
      </c>
      <c r="H496" s="308" t="s">
        <v>1319</v>
      </c>
      <c r="I496" s="308" t="s">
        <v>1140</v>
      </c>
      <c r="J496" s="308" t="s">
        <v>757</v>
      </c>
      <c r="K496" s="308" t="s">
        <v>741</v>
      </c>
      <c r="L496" s="309">
        <v>44255</v>
      </c>
      <c r="M496" s="312">
        <v>0</v>
      </c>
    </row>
    <row r="497" spans="1:13" hidden="1" x14ac:dyDescent="0.25">
      <c r="A497" s="309">
        <v>44255</v>
      </c>
      <c r="B497" s="308" t="s">
        <v>1178</v>
      </c>
      <c r="C497" s="308" t="s">
        <v>1060</v>
      </c>
      <c r="D497" s="310">
        <v>9</v>
      </c>
      <c r="E497" s="311">
        <v>-13034.7</v>
      </c>
      <c r="F497" s="311">
        <v>-87655.209999999905</v>
      </c>
      <c r="G497" s="308" t="s">
        <v>1179</v>
      </c>
      <c r="H497" s="308" t="s">
        <v>1319</v>
      </c>
      <c r="I497" s="308" t="s">
        <v>1140</v>
      </c>
      <c r="J497" s="308" t="s">
        <v>757</v>
      </c>
      <c r="K497" s="308" t="s">
        <v>741</v>
      </c>
      <c r="L497" s="309">
        <v>44255</v>
      </c>
      <c r="M497" s="312">
        <v>0</v>
      </c>
    </row>
    <row r="498" spans="1:13" hidden="1" x14ac:dyDescent="0.25">
      <c r="A498" s="309">
        <v>44286</v>
      </c>
      <c r="B498" s="308" t="s">
        <v>1181</v>
      </c>
      <c r="C498" s="308" t="s">
        <v>1060</v>
      </c>
      <c r="D498" s="310">
        <v>9</v>
      </c>
      <c r="E498" s="311">
        <v>16329.47</v>
      </c>
      <c r="F498" s="311">
        <v>-71325.739999999903</v>
      </c>
      <c r="G498" s="308" t="s">
        <v>1182</v>
      </c>
      <c r="H498" s="308" t="s">
        <v>1319</v>
      </c>
      <c r="I498" s="308" t="s">
        <v>1140</v>
      </c>
      <c r="J498" s="308" t="s">
        <v>757</v>
      </c>
      <c r="K498" s="308" t="s">
        <v>741</v>
      </c>
      <c r="L498" s="309">
        <v>44286</v>
      </c>
      <c r="M498" s="312">
        <v>0</v>
      </c>
    </row>
    <row r="499" spans="1:13" hidden="1" x14ac:dyDescent="0.25">
      <c r="A499" s="309">
        <v>44286</v>
      </c>
      <c r="B499" s="308" t="s">
        <v>1181</v>
      </c>
      <c r="C499" s="308" t="s">
        <v>1060</v>
      </c>
      <c r="D499" s="310">
        <v>10</v>
      </c>
      <c r="E499" s="311">
        <v>-16329.47</v>
      </c>
      <c r="F499" s="311">
        <v>-87655.209999999905</v>
      </c>
      <c r="G499" s="308" t="s">
        <v>1182</v>
      </c>
      <c r="H499" s="308" t="s">
        <v>1319</v>
      </c>
      <c r="I499" s="308" t="s">
        <v>1140</v>
      </c>
      <c r="J499" s="308" t="s">
        <v>757</v>
      </c>
      <c r="K499" s="308" t="s">
        <v>741</v>
      </c>
      <c r="L499" s="309">
        <v>44286</v>
      </c>
      <c r="M499" s="312">
        <v>0</v>
      </c>
    </row>
    <row r="500" spans="1:13" hidden="1" x14ac:dyDescent="0.25">
      <c r="A500" s="309">
        <v>44316</v>
      </c>
      <c r="B500" s="308" t="s">
        <v>1104</v>
      </c>
      <c r="C500" s="308" t="s">
        <v>1060</v>
      </c>
      <c r="D500" s="310">
        <v>10</v>
      </c>
      <c r="E500" s="311">
        <v>19062.5</v>
      </c>
      <c r="F500" s="311">
        <v>-68592.709999999905</v>
      </c>
      <c r="G500" s="308" t="s">
        <v>1096</v>
      </c>
      <c r="H500" s="308" t="s">
        <v>1319</v>
      </c>
      <c r="I500" s="308" t="s">
        <v>1140</v>
      </c>
      <c r="J500" s="308" t="s">
        <v>757</v>
      </c>
      <c r="K500" s="308" t="s">
        <v>741</v>
      </c>
      <c r="L500" s="309">
        <v>44316</v>
      </c>
      <c r="M500" s="312">
        <v>0</v>
      </c>
    </row>
    <row r="501" spans="1:13" hidden="1" x14ac:dyDescent="0.25">
      <c r="A501" s="309">
        <v>44165</v>
      </c>
      <c r="B501" s="308" t="s">
        <v>1158</v>
      </c>
      <c r="C501" s="308" t="s">
        <v>1060</v>
      </c>
      <c r="D501" s="310">
        <v>5</v>
      </c>
      <c r="E501" s="311">
        <v>542.35</v>
      </c>
      <c r="F501" s="311">
        <v>-87112.859999999899</v>
      </c>
      <c r="G501" s="308" t="s">
        <v>1159</v>
      </c>
      <c r="H501" s="308" t="s">
        <v>1322</v>
      </c>
      <c r="I501" s="308" t="s">
        <v>1140</v>
      </c>
      <c r="J501" s="308" t="s">
        <v>757</v>
      </c>
      <c r="K501" s="308" t="s">
        <v>741</v>
      </c>
      <c r="L501" s="309">
        <v>44165</v>
      </c>
      <c r="M501" s="312">
        <v>0</v>
      </c>
    </row>
    <row r="502" spans="1:13" hidden="1" x14ac:dyDescent="0.25">
      <c r="A502" s="309">
        <v>44165</v>
      </c>
      <c r="B502" s="308" t="s">
        <v>1158</v>
      </c>
      <c r="C502" s="308" t="s">
        <v>1060</v>
      </c>
      <c r="D502" s="310">
        <v>6</v>
      </c>
      <c r="E502" s="311">
        <v>-542.35</v>
      </c>
      <c r="F502" s="311">
        <v>-87655.209999999905</v>
      </c>
      <c r="G502" s="308" t="s">
        <v>1159</v>
      </c>
      <c r="H502" s="308" t="s">
        <v>1322</v>
      </c>
      <c r="I502" s="308" t="s">
        <v>1140</v>
      </c>
      <c r="J502" s="308" t="s">
        <v>757</v>
      </c>
      <c r="K502" s="308" t="s">
        <v>741</v>
      </c>
      <c r="L502" s="309">
        <v>44165</v>
      </c>
      <c r="M502" s="312">
        <v>0</v>
      </c>
    </row>
    <row r="503" spans="1:13" hidden="1" x14ac:dyDescent="0.25">
      <c r="A503" s="309">
        <v>44196</v>
      </c>
      <c r="B503" s="308" t="s">
        <v>1160</v>
      </c>
      <c r="C503" s="308" t="s">
        <v>1060</v>
      </c>
      <c r="D503" s="310">
        <v>6</v>
      </c>
      <c r="E503" s="311">
        <v>822.97</v>
      </c>
      <c r="F503" s="311">
        <v>-86832.239999999903</v>
      </c>
      <c r="G503" s="308" t="s">
        <v>1161</v>
      </c>
      <c r="H503" s="308" t="s">
        <v>1322</v>
      </c>
      <c r="I503" s="308" t="s">
        <v>1140</v>
      </c>
      <c r="J503" s="308" t="s">
        <v>757</v>
      </c>
      <c r="K503" s="308" t="s">
        <v>741</v>
      </c>
      <c r="L503" s="309">
        <v>44196</v>
      </c>
      <c r="M503" s="312">
        <v>0</v>
      </c>
    </row>
    <row r="504" spans="1:13" hidden="1" x14ac:dyDescent="0.25">
      <c r="A504" s="309">
        <v>44196</v>
      </c>
      <c r="B504" s="308" t="s">
        <v>1160</v>
      </c>
      <c r="C504" s="308" t="s">
        <v>1060</v>
      </c>
      <c r="D504" s="310">
        <v>7</v>
      </c>
      <c r="E504" s="311">
        <v>-822.97</v>
      </c>
      <c r="F504" s="311">
        <v>-87655.209999999905</v>
      </c>
      <c r="G504" s="308" t="s">
        <v>1161</v>
      </c>
      <c r="H504" s="308" t="s">
        <v>1322</v>
      </c>
      <c r="I504" s="308" t="s">
        <v>1140</v>
      </c>
      <c r="J504" s="308" t="s">
        <v>757</v>
      </c>
      <c r="K504" s="308" t="s">
        <v>741</v>
      </c>
      <c r="L504" s="309">
        <v>44196</v>
      </c>
      <c r="M504" s="312">
        <v>0</v>
      </c>
    </row>
    <row r="505" spans="1:13" hidden="1" x14ac:dyDescent="0.25">
      <c r="A505" s="309">
        <v>44230</v>
      </c>
      <c r="B505" s="308" t="s">
        <v>1166</v>
      </c>
      <c r="C505" s="308" t="s">
        <v>1060</v>
      </c>
      <c r="D505" s="310">
        <v>7</v>
      </c>
      <c r="E505" s="311">
        <v>930.39</v>
      </c>
      <c r="F505" s="311">
        <v>-86724.819999999905</v>
      </c>
      <c r="G505" s="308" t="s">
        <v>1167</v>
      </c>
      <c r="H505" s="308" t="s">
        <v>1322</v>
      </c>
      <c r="I505" s="308" t="s">
        <v>1140</v>
      </c>
      <c r="J505" s="308" t="s">
        <v>757</v>
      </c>
      <c r="K505" s="308" t="s">
        <v>741</v>
      </c>
      <c r="L505" s="309">
        <v>44230</v>
      </c>
      <c r="M505" s="312">
        <v>0</v>
      </c>
    </row>
    <row r="506" spans="1:13" hidden="1" x14ac:dyDescent="0.25">
      <c r="A506" s="309">
        <v>44230</v>
      </c>
      <c r="B506" s="308" t="s">
        <v>1166</v>
      </c>
      <c r="C506" s="308" t="s">
        <v>1060</v>
      </c>
      <c r="D506" s="310">
        <v>8</v>
      </c>
      <c r="E506" s="311">
        <v>-930.39</v>
      </c>
      <c r="F506" s="311">
        <v>-87655.209999999905</v>
      </c>
      <c r="G506" s="308" t="s">
        <v>1167</v>
      </c>
      <c r="H506" s="308" t="s">
        <v>1322</v>
      </c>
      <c r="I506" s="308" t="s">
        <v>1140</v>
      </c>
      <c r="J506" s="308" t="s">
        <v>757</v>
      </c>
      <c r="K506" s="308" t="s">
        <v>741</v>
      </c>
      <c r="L506" s="309">
        <v>44230</v>
      </c>
      <c r="M506" s="312">
        <v>0</v>
      </c>
    </row>
    <row r="507" spans="1:13" hidden="1" x14ac:dyDescent="0.25">
      <c r="A507" s="309">
        <v>44255</v>
      </c>
      <c r="B507" s="308" t="s">
        <v>1178</v>
      </c>
      <c r="C507" s="308" t="s">
        <v>1060</v>
      </c>
      <c r="D507" s="310">
        <v>8</v>
      </c>
      <c r="E507" s="311">
        <v>1072.25</v>
      </c>
      <c r="F507" s="311">
        <v>-86582.959999999905</v>
      </c>
      <c r="G507" s="308" t="s">
        <v>1179</v>
      </c>
      <c r="H507" s="308" t="s">
        <v>1322</v>
      </c>
      <c r="I507" s="308" t="s">
        <v>1140</v>
      </c>
      <c r="J507" s="308" t="s">
        <v>757</v>
      </c>
      <c r="K507" s="308" t="s">
        <v>741</v>
      </c>
      <c r="L507" s="309">
        <v>44255</v>
      </c>
      <c r="M507" s="312">
        <v>0</v>
      </c>
    </row>
    <row r="508" spans="1:13" hidden="1" x14ac:dyDescent="0.25">
      <c r="A508" s="309">
        <v>44255</v>
      </c>
      <c r="B508" s="308" t="s">
        <v>1178</v>
      </c>
      <c r="C508" s="308" t="s">
        <v>1060</v>
      </c>
      <c r="D508" s="310">
        <v>9</v>
      </c>
      <c r="E508" s="311">
        <v>-1072.25</v>
      </c>
      <c r="F508" s="311">
        <v>-87655.209999999905</v>
      </c>
      <c r="G508" s="308" t="s">
        <v>1179</v>
      </c>
      <c r="H508" s="308" t="s">
        <v>1322</v>
      </c>
      <c r="I508" s="308" t="s">
        <v>1140</v>
      </c>
      <c r="J508" s="308" t="s">
        <v>757</v>
      </c>
      <c r="K508" s="308" t="s">
        <v>741</v>
      </c>
      <c r="L508" s="309">
        <v>44255</v>
      </c>
      <c r="M508" s="312">
        <v>0</v>
      </c>
    </row>
    <row r="509" spans="1:13" hidden="1" x14ac:dyDescent="0.25">
      <c r="A509" s="309">
        <v>44286</v>
      </c>
      <c r="B509" s="308" t="s">
        <v>1181</v>
      </c>
      <c r="C509" s="308" t="s">
        <v>1060</v>
      </c>
      <c r="D509" s="310">
        <v>9</v>
      </c>
      <c r="E509" s="311">
        <v>1412.57</v>
      </c>
      <c r="F509" s="311">
        <v>-86242.639999999898</v>
      </c>
      <c r="G509" s="308" t="s">
        <v>1182</v>
      </c>
      <c r="H509" s="308" t="s">
        <v>1322</v>
      </c>
      <c r="I509" s="308" t="s">
        <v>1140</v>
      </c>
      <c r="J509" s="308" t="s">
        <v>757</v>
      </c>
      <c r="K509" s="308" t="s">
        <v>741</v>
      </c>
      <c r="L509" s="309">
        <v>44286</v>
      </c>
      <c r="M509" s="312">
        <v>0</v>
      </c>
    </row>
    <row r="510" spans="1:13" hidden="1" x14ac:dyDescent="0.25">
      <c r="A510" s="309">
        <v>44286</v>
      </c>
      <c r="B510" s="308" t="s">
        <v>1181</v>
      </c>
      <c r="C510" s="308" t="s">
        <v>1060</v>
      </c>
      <c r="D510" s="310">
        <v>10</v>
      </c>
      <c r="E510" s="311">
        <v>-1412.57</v>
      </c>
      <c r="F510" s="311">
        <v>-87655.209999999905</v>
      </c>
      <c r="G510" s="308" t="s">
        <v>1182</v>
      </c>
      <c r="H510" s="308" t="s">
        <v>1322</v>
      </c>
      <c r="I510" s="308" t="s">
        <v>1140</v>
      </c>
      <c r="J510" s="308" t="s">
        <v>757</v>
      </c>
      <c r="K510" s="308" t="s">
        <v>741</v>
      </c>
      <c r="L510" s="309">
        <v>44286</v>
      </c>
      <c r="M510" s="312">
        <v>0</v>
      </c>
    </row>
    <row r="511" spans="1:13" hidden="1" x14ac:dyDescent="0.25">
      <c r="A511" s="309">
        <v>44316</v>
      </c>
      <c r="B511" s="308" t="s">
        <v>1104</v>
      </c>
      <c r="C511" s="308" t="s">
        <v>1060</v>
      </c>
      <c r="D511" s="310">
        <v>10</v>
      </c>
      <c r="E511" s="311">
        <v>1633.16</v>
      </c>
      <c r="F511" s="311">
        <v>-86022.049999999901</v>
      </c>
      <c r="G511" s="308" t="s">
        <v>1096</v>
      </c>
      <c r="H511" s="308" t="s">
        <v>1322</v>
      </c>
      <c r="I511" s="308" t="s">
        <v>1140</v>
      </c>
      <c r="J511" s="308" t="s">
        <v>757</v>
      </c>
      <c r="K511" s="308" t="s">
        <v>741</v>
      </c>
      <c r="L511" s="309">
        <v>44316</v>
      </c>
      <c r="M511" s="312">
        <v>0</v>
      </c>
    </row>
    <row r="512" spans="1:13" hidden="1" x14ac:dyDescent="0.25">
      <c r="A512" s="309">
        <v>44165</v>
      </c>
      <c r="B512" s="308" t="s">
        <v>1158</v>
      </c>
      <c r="C512" s="308" t="s">
        <v>1060</v>
      </c>
      <c r="D512" s="310">
        <v>5</v>
      </c>
      <c r="E512" s="311">
        <v>952.93</v>
      </c>
      <c r="F512" s="311">
        <v>-86702.279999999897</v>
      </c>
      <c r="G512" s="308" t="s">
        <v>1159</v>
      </c>
      <c r="H512" s="308" t="s">
        <v>1323</v>
      </c>
      <c r="I512" s="308" t="s">
        <v>1140</v>
      </c>
      <c r="J512" s="308" t="s">
        <v>757</v>
      </c>
      <c r="K512" s="308" t="s">
        <v>741</v>
      </c>
      <c r="L512" s="309">
        <v>44165</v>
      </c>
      <c r="M512" s="312">
        <v>0</v>
      </c>
    </row>
    <row r="513" spans="1:13" hidden="1" x14ac:dyDescent="0.25">
      <c r="A513" s="309">
        <v>44165</v>
      </c>
      <c r="B513" s="308" t="s">
        <v>1158</v>
      </c>
      <c r="C513" s="308" t="s">
        <v>1060</v>
      </c>
      <c r="D513" s="310">
        <v>6</v>
      </c>
      <c r="E513" s="311">
        <v>-952.93</v>
      </c>
      <c r="F513" s="311">
        <v>-87655.209999999905</v>
      </c>
      <c r="G513" s="308" t="s">
        <v>1159</v>
      </c>
      <c r="H513" s="308" t="s">
        <v>1323</v>
      </c>
      <c r="I513" s="308" t="s">
        <v>1140</v>
      </c>
      <c r="J513" s="308" t="s">
        <v>757</v>
      </c>
      <c r="K513" s="308" t="s">
        <v>741</v>
      </c>
      <c r="L513" s="309">
        <v>44165</v>
      </c>
      <c r="M513" s="312">
        <v>0</v>
      </c>
    </row>
    <row r="514" spans="1:13" hidden="1" x14ac:dyDescent="0.25">
      <c r="A514" s="309">
        <v>44196</v>
      </c>
      <c r="B514" s="308" t="s">
        <v>1160</v>
      </c>
      <c r="C514" s="308" t="s">
        <v>1060</v>
      </c>
      <c r="D514" s="310">
        <v>6</v>
      </c>
      <c r="E514" s="311">
        <v>1223.08</v>
      </c>
      <c r="F514" s="311">
        <v>-86432.129999999903</v>
      </c>
      <c r="G514" s="308" t="s">
        <v>1161</v>
      </c>
      <c r="H514" s="308" t="s">
        <v>1323</v>
      </c>
      <c r="I514" s="308" t="s">
        <v>1140</v>
      </c>
      <c r="J514" s="308" t="s">
        <v>757</v>
      </c>
      <c r="K514" s="308" t="s">
        <v>741</v>
      </c>
      <c r="L514" s="309">
        <v>44196</v>
      </c>
      <c r="M514" s="312">
        <v>0</v>
      </c>
    </row>
    <row r="515" spans="1:13" hidden="1" x14ac:dyDescent="0.25">
      <c r="A515" s="309">
        <v>44196</v>
      </c>
      <c r="B515" s="308" t="s">
        <v>1160</v>
      </c>
      <c r="C515" s="308" t="s">
        <v>1060</v>
      </c>
      <c r="D515" s="310">
        <v>7</v>
      </c>
      <c r="E515" s="311">
        <v>-1223.08</v>
      </c>
      <c r="F515" s="311">
        <v>-87655.209999999905</v>
      </c>
      <c r="G515" s="308" t="s">
        <v>1161</v>
      </c>
      <c r="H515" s="308" t="s">
        <v>1323</v>
      </c>
      <c r="I515" s="308" t="s">
        <v>1140</v>
      </c>
      <c r="J515" s="308" t="s">
        <v>757</v>
      </c>
      <c r="K515" s="308" t="s">
        <v>741</v>
      </c>
      <c r="L515" s="309">
        <v>44196</v>
      </c>
      <c r="M515" s="312">
        <v>0</v>
      </c>
    </row>
    <row r="516" spans="1:13" hidden="1" x14ac:dyDescent="0.25">
      <c r="A516" s="309">
        <v>44230</v>
      </c>
      <c r="B516" s="308" t="s">
        <v>1166</v>
      </c>
      <c r="C516" s="308" t="s">
        <v>1060</v>
      </c>
      <c r="D516" s="310">
        <v>7</v>
      </c>
      <c r="E516" s="311">
        <v>1355.44</v>
      </c>
      <c r="F516" s="311">
        <v>-86299.769999999902</v>
      </c>
      <c r="G516" s="308" t="s">
        <v>1167</v>
      </c>
      <c r="H516" s="308" t="s">
        <v>1323</v>
      </c>
      <c r="I516" s="308" t="s">
        <v>1140</v>
      </c>
      <c r="J516" s="308" t="s">
        <v>757</v>
      </c>
      <c r="K516" s="308" t="s">
        <v>741</v>
      </c>
      <c r="L516" s="309">
        <v>44230</v>
      </c>
      <c r="M516" s="312">
        <v>0</v>
      </c>
    </row>
    <row r="517" spans="1:13" hidden="1" x14ac:dyDescent="0.25">
      <c r="A517" s="309">
        <v>44230</v>
      </c>
      <c r="B517" s="308" t="s">
        <v>1166</v>
      </c>
      <c r="C517" s="308" t="s">
        <v>1060</v>
      </c>
      <c r="D517" s="310">
        <v>8</v>
      </c>
      <c r="E517" s="311">
        <v>-1355.44</v>
      </c>
      <c r="F517" s="311">
        <v>-87655.209999999905</v>
      </c>
      <c r="G517" s="308" t="s">
        <v>1167</v>
      </c>
      <c r="H517" s="308" t="s">
        <v>1323</v>
      </c>
      <c r="I517" s="308" t="s">
        <v>1140</v>
      </c>
      <c r="J517" s="308" t="s">
        <v>757</v>
      </c>
      <c r="K517" s="308" t="s">
        <v>741</v>
      </c>
      <c r="L517" s="309">
        <v>44230</v>
      </c>
      <c r="M517" s="312">
        <v>0</v>
      </c>
    </row>
    <row r="518" spans="1:13" hidden="1" x14ac:dyDescent="0.25">
      <c r="A518" s="309">
        <v>44255</v>
      </c>
      <c r="B518" s="308" t="s">
        <v>1178</v>
      </c>
      <c r="C518" s="308" t="s">
        <v>1060</v>
      </c>
      <c r="D518" s="310">
        <v>8</v>
      </c>
      <c r="E518" s="311">
        <v>1516.56</v>
      </c>
      <c r="F518" s="311">
        <v>-86138.649999999907</v>
      </c>
      <c r="G518" s="308" t="s">
        <v>1179</v>
      </c>
      <c r="H518" s="308" t="s">
        <v>1323</v>
      </c>
      <c r="I518" s="308" t="s">
        <v>1140</v>
      </c>
      <c r="J518" s="308" t="s">
        <v>757</v>
      </c>
      <c r="K518" s="308" t="s">
        <v>741</v>
      </c>
      <c r="L518" s="309">
        <v>44255</v>
      </c>
      <c r="M518" s="312">
        <v>0</v>
      </c>
    </row>
    <row r="519" spans="1:13" hidden="1" x14ac:dyDescent="0.25">
      <c r="A519" s="309">
        <v>44255</v>
      </c>
      <c r="B519" s="308" t="s">
        <v>1178</v>
      </c>
      <c r="C519" s="308" t="s">
        <v>1060</v>
      </c>
      <c r="D519" s="310">
        <v>9</v>
      </c>
      <c r="E519" s="311">
        <v>-1516.56</v>
      </c>
      <c r="F519" s="311">
        <v>-87655.209999999905</v>
      </c>
      <c r="G519" s="308" t="s">
        <v>1179</v>
      </c>
      <c r="H519" s="308" t="s">
        <v>1323</v>
      </c>
      <c r="I519" s="308" t="s">
        <v>1140</v>
      </c>
      <c r="J519" s="308" t="s">
        <v>757</v>
      </c>
      <c r="K519" s="308" t="s">
        <v>741</v>
      </c>
      <c r="L519" s="309">
        <v>44255</v>
      </c>
      <c r="M519" s="312">
        <v>0</v>
      </c>
    </row>
    <row r="520" spans="1:13" hidden="1" x14ac:dyDescent="0.25">
      <c r="A520" s="309">
        <v>44286</v>
      </c>
      <c r="B520" s="308" t="s">
        <v>1181</v>
      </c>
      <c r="C520" s="308" t="s">
        <v>1060</v>
      </c>
      <c r="D520" s="310">
        <v>9</v>
      </c>
      <c r="E520" s="311">
        <v>1832.67</v>
      </c>
      <c r="F520" s="311">
        <v>-85822.539999999906</v>
      </c>
      <c r="G520" s="308" t="s">
        <v>1182</v>
      </c>
      <c r="H520" s="308" t="s">
        <v>1323</v>
      </c>
      <c r="I520" s="308" t="s">
        <v>1140</v>
      </c>
      <c r="J520" s="308" t="s">
        <v>757</v>
      </c>
      <c r="K520" s="308" t="s">
        <v>741</v>
      </c>
      <c r="L520" s="309">
        <v>44286</v>
      </c>
      <c r="M520" s="312">
        <v>0</v>
      </c>
    </row>
    <row r="521" spans="1:13" hidden="1" x14ac:dyDescent="0.25">
      <c r="A521" s="309">
        <v>44286</v>
      </c>
      <c r="B521" s="308" t="s">
        <v>1181</v>
      </c>
      <c r="C521" s="308" t="s">
        <v>1060</v>
      </c>
      <c r="D521" s="310">
        <v>10</v>
      </c>
      <c r="E521" s="311">
        <v>-1832.67</v>
      </c>
      <c r="F521" s="311">
        <v>-87655.209999999905</v>
      </c>
      <c r="G521" s="308" t="s">
        <v>1182</v>
      </c>
      <c r="H521" s="308" t="s">
        <v>1323</v>
      </c>
      <c r="I521" s="308" t="s">
        <v>1140</v>
      </c>
      <c r="J521" s="308" t="s">
        <v>757</v>
      </c>
      <c r="K521" s="308" t="s">
        <v>741</v>
      </c>
      <c r="L521" s="309">
        <v>44286</v>
      </c>
      <c r="M521" s="312">
        <v>0</v>
      </c>
    </row>
    <row r="522" spans="1:13" hidden="1" x14ac:dyDescent="0.25">
      <c r="A522" s="309">
        <v>44316</v>
      </c>
      <c r="B522" s="308" t="s">
        <v>1104</v>
      </c>
      <c r="C522" s="308" t="s">
        <v>1060</v>
      </c>
      <c r="D522" s="310">
        <v>10</v>
      </c>
      <c r="E522" s="311">
        <v>2038.26</v>
      </c>
      <c r="F522" s="311">
        <v>-85616.949999999895</v>
      </c>
      <c r="G522" s="308" t="s">
        <v>1096</v>
      </c>
      <c r="H522" s="308" t="s">
        <v>1323</v>
      </c>
      <c r="I522" s="308" t="s">
        <v>1140</v>
      </c>
      <c r="J522" s="308" t="s">
        <v>757</v>
      </c>
      <c r="K522" s="308" t="s">
        <v>741</v>
      </c>
      <c r="L522" s="309">
        <v>44316</v>
      </c>
      <c r="M522" s="312">
        <v>0</v>
      </c>
    </row>
    <row r="523" spans="1:13" hidden="1" x14ac:dyDescent="0.25">
      <c r="A523" s="309">
        <v>44165</v>
      </c>
      <c r="B523" s="308" t="s">
        <v>1158</v>
      </c>
      <c r="C523" s="308" t="s">
        <v>1060</v>
      </c>
      <c r="D523" s="310">
        <v>5</v>
      </c>
      <c r="E523" s="311">
        <v>6290.85</v>
      </c>
      <c r="F523" s="311">
        <v>-81364.359999999899</v>
      </c>
      <c r="G523" s="308" t="s">
        <v>1159</v>
      </c>
      <c r="H523" s="308" t="s">
        <v>1324</v>
      </c>
      <c r="I523" s="308" t="s">
        <v>1140</v>
      </c>
      <c r="J523" s="308" t="s">
        <v>757</v>
      </c>
      <c r="K523" s="308" t="s">
        <v>741</v>
      </c>
      <c r="L523" s="309">
        <v>44165</v>
      </c>
      <c r="M523" s="312">
        <v>0</v>
      </c>
    </row>
    <row r="524" spans="1:13" hidden="1" x14ac:dyDescent="0.25">
      <c r="A524" s="309">
        <v>44165</v>
      </c>
      <c r="B524" s="308" t="s">
        <v>1158</v>
      </c>
      <c r="C524" s="308" t="s">
        <v>1060</v>
      </c>
      <c r="D524" s="310">
        <v>6</v>
      </c>
      <c r="E524" s="311">
        <v>-6290.85</v>
      </c>
      <c r="F524" s="311">
        <v>-87655.209999999905</v>
      </c>
      <c r="G524" s="308" t="s">
        <v>1159</v>
      </c>
      <c r="H524" s="308" t="s">
        <v>1324</v>
      </c>
      <c r="I524" s="308" t="s">
        <v>1140</v>
      </c>
      <c r="J524" s="308" t="s">
        <v>757</v>
      </c>
      <c r="K524" s="308" t="s">
        <v>741</v>
      </c>
      <c r="L524" s="309">
        <v>44165</v>
      </c>
      <c r="M524" s="312">
        <v>0</v>
      </c>
    </row>
    <row r="525" spans="1:13" hidden="1" x14ac:dyDescent="0.25">
      <c r="A525" s="309">
        <v>44196</v>
      </c>
      <c r="B525" s="308" t="s">
        <v>1160</v>
      </c>
      <c r="C525" s="308" t="s">
        <v>1060</v>
      </c>
      <c r="D525" s="310">
        <v>6</v>
      </c>
      <c r="E525" s="311">
        <v>8468.42</v>
      </c>
      <c r="F525" s="311">
        <v>-79186.789999999906</v>
      </c>
      <c r="G525" s="308" t="s">
        <v>1161</v>
      </c>
      <c r="H525" s="308" t="s">
        <v>1324</v>
      </c>
      <c r="I525" s="308" t="s">
        <v>1140</v>
      </c>
      <c r="J525" s="308" t="s">
        <v>757</v>
      </c>
      <c r="K525" s="308" t="s">
        <v>741</v>
      </c>
      <c r="L525" s="309">
        <v>44196</v>
      </c>
      <c r="M525" s="312">
        <v>0</v>
      </c>
    </row>
    <row r="526" spans="1:13" hidden="1" x14ac:dyDescent="0.25">
      <c r="A526" s="309">
        <v>44196</v>
      </c>
      <c r="B526" s="308" t="s">
        <v>1160</v>
      </c>
      <c r="C526" s="308" t="s">
        <v>1060</v>
      </c>
      <c r="D526" s="310">
        <v>7</v>
      </c>
      <c r="E526" s="311">
        <v>-8468.42</v>
      </c>
      <c r="F526" s="311">
        <v>-87655.209999999905</v>
      </c>
      <c r="G526" s="308" t="s">
        <v>1161</v>
      </c>
      <c r="H526" s="308" t="s">
        <v>1324</v>
      </c>
      <c r="I526" s="308" t="s">
        <v>1140</v>
      </c>
      <c r="J526" s="308" t="s">
        <v>757</v>
      </c>
      <c r="K526" s="308" t="s">
        <v>741</v>
      </c>
      <c r="L526" s="309">
        <v>44196</v>
      </c>
      <c r="M526" s="312">
        <v>0</v>
      </c>
    </row>
    <row r="527" spans="1:13" hidden="1" x14ac:dyDescent="0.25">
      <c r="A527" s="309">
        <v>44230</v>
      </c>
      <c r="B527" s="308" t="s">
        <v>1166</v>
      </c>
      <c r="C527" s="308" t="s">
        <v>1060</v>
      </c>
      <c r="D527" s="310">
        <v>7</v>
      </c>
      <c r="E527" s="311">
        <v>9757.44</v>
      </c>
      <c r="F527" s="311">
        <v>-77897.769999999902</v>
      </c>
      <c r="G527" s="308" t="s">
        <v>1167</v>
      </c>
      <c r="H527" s="308" t="s">
        <v>1324</v>
      </c>
      <c r="I527" s="308" t="s">
        <v>1140</v>
      </c>
      <c r="J527" s="308" t="s">
        <v>757</v>
      </c>
      <c r="K527" s="308" t="s">
        <v>741</v>
      </c>
      <c r="L527" s="309">
        <v>44230</v>
      </c>
      <c r="M527" s="312">
        <v>0</v>
      </c>
    </row>
    <row r="528" spans="1:13" hidden="1" x14ac:dyDescent="0.25">
      <c r="A528" s="309">
        <v>44230</v>
      </c>
      <c r="B528" s="308" t="s">
        <v>1166</v>
      </c>
      <c r="C528" s="308" t="s">
        <v>1060</v>
      </c>
      <c r="D528" s="310">
        <v>8</v>
      </c>
      <c r="E528" s="311">
        <v>-9757.44</v>
      </c>
      <c r="F528" s="311">
        <v>-87655.209999999905</v>
      </c>
      <c r="G528" s="308" t="s">
        <v>1167</v>
      </c>
      <c r="H528" s="308" t="s">
        <v>1324</v>
      </c>
      <c r="I528" s="308" t="s">
        <v>1140</v>
      </c>
      <c r="J528" s="308" t="s">
        <v>757</v>
      </c>
      <c r="K528" s="308" t="s">
        <v>741</v>
      </c>
      <c r="L528" s="309">
        <v>44230</v>
      </c>
      <c r="M528" s="312">
        <v>0</v>
      </c>
    </row>
    <row r="529" spans="1:13" hidden="1" x14ac:dyDescent="0.25">
      <c r="A529" s="309">
        <v>44255</v>
      </c>
      <c r="B529" s="308" t="s">
        <v>1178</v>
      </c>
      <c r="C529" s="308" t="s">
        <v>1060</v>
      </c>
      <c r="D529" s="310">
        <v>8</v>
      </c>
      <c r="E529" s="311">
        <v>10876.8</v>
      </c>
      <c r="F529" s="311">
        <v>-76778.409999999902</v>
      </c>
      <c r="G529" s="308" t="s">
        <v>1179</v>
      </c>
      <c r="H529" s="308" t="s">
        <v>1324</v>
      </c>
      <c r="I529" s="308" t="s">
        <v>1140</v>
      </c>
      <c r="J529" s="308" t="s">
        <v>757</v>
      </c>
      <c r="K529" s="308" t="s">
        <v>741</v>
      </c>
      <c r="L529" s="309">
        <v>44255</v>
      </c>
      <c r="M529" s="312">
        <v>0</v>
      </c>
    </row>
    <row r="530" spans="1:13" hidden="1" x14ac:dyDescent="0.25">
      <c r="A530" s="309">
        <v>44255</v>
      </c>
      <c r="B530" s="308" t="s">
        <v>1178</v>
      </c>
      <c r="C530" s="308" t="s">
        <v>1060</v>
      </c>
      <c r="D530" s="310">
        <v>9</v>
      </c>
      <c r="E530" s="311">
        <v>-10876.8</v>
      </c>
      <c r="F530" s="311">
        <v>-87655.209999999905</v>
      </c>
      <c r="G530" s="308" t="s">
        <v>1179</v>
      </c>
      <c r="H530" s="308" t="s">
        <v>1324</v>
      </c>
      <c r="I530" s="308" t="s">
        <v>1140</v>
      </c>
      <c r="J530" s="308" t="s">
        <v>757</v>
      </c>
      <c r="K530" s="308" t="s">
        <v>741</v>
      </c>
      <c r="L530" s="309">
        <v>44255</v>
      </c>
      <c r="M530" s="312">
        <v>0</v>
      </c>
    </row>
    <row r="531" spans="1:13" hidden="1" x14ac:dyDescent="0.25">
      <c r="A531" s="309">
        <v>44286</v>
      </c>
      <c r="B531" s="308" t="s">
        <v>1181</v>
      </c>
      <c r="C531" s="308" t="s">
        <v>1060</v>
      </c>
      <c r="D531" s="310">
        <v>9</v>
      </c>
      <c r="E531" s="311">
        <v>13547.2</v>
      </c>
      <c r="F531" s="311">
        <v>-74108.009999999893</v>
      </c>
      <c r="G531" s="308" t="s">
        <v>1182</v>
      </c>
      <c r="H531" s="308" t="s">
        <v>1324</v>
      </c>
      <c r="I531" s="308" t="s">
        <v>1140</v>
      </c>
      <c r="J531" s="308" t="s">
        <v>757</v>
      </c>
      <c r="K531" s="308" t="s">
        <v>741</v>
      </c>
      <c r="L531" s="309">
        <v>44286</v>
      </c>
      <c r="M531" s="312">
        <v>0</v>
      </c>
    </row>
    <row r="532" spans="1:13" hidden="1" x14ac:dyDescent="0.25">
      <c r="A532" s="309">
        <v>44286</v>
      </c>
      <c r="B532" s="308" t="s">
        <v>1181</v>
      </c>
      <c r="C532" s="308" t="s">
        <v>1060</v>
      </c>
      <c r="D532" s="310">
        <v>10</v>
      </c>
      <c r="E532" s="311">
        <v>-13547.2</v>
      </c>
      <c r="F532" s="311">
        <v>-87655.209999999905</v>
      </c>
      <c r="G532" s="308" t="s">
        <v>1182</v>
      </c>
      <c r="H532" s="308" t="s">
        <v>1324</v>
      </c>
      <c r="I532" s="308" t="s">
        <v>1140</v>
      </c>
      <c r="J532" s="308" t="s">
        <v>757</v>
      </c>
      <c r="K532" s="308" t="s">
        <v>741</v>
      </c>
      <c r="L532" s="309">
        <v>44286</v>
      </c>
      <c r="M532" s="312">
        <v>0</v>
      </c>
    </row>
    <row r="533" spans="1:13" hidden="1" x14ac:dyDescent="0.25">
      <c r="A533" s="309">
        <v>44316</v>
      </c>
      <c r="B533" s="308" t="s">
        <v>1104</v>
      </c>
      <c r="C533" s="308" t="s">
        <v>1060</v>
      </c>
      <c r="D533" s="310">
        <v>10</v>
      </c>
      <c r="E533" s="311">
        <v>15638.06</v>
      </c>
      <c r="F533" s="311">
        <v>-72017.149999999907</v>
      </c>
      <c r="G533" s="308" t="s">
        <v>1096</v>
      </c>
      <c r="H533" s="308" t="s">
        <v>1324</v>
      </c>
      <c r="I533" s="308" t="s">
        <v>1140</v>
      </c>
      <c r="J533" s="308" t="s">
        <v>757</v>
      </c>
      <c r="K533" s="308" t="s">
        <v>741</v>
      </c>
      <c r="L533" s="309">
        <v>44316</v>
      </c>
      <c r="M533" s="312">
        <v>0</v>
      </c>
    </row>
    <row r="534" spans="1:13" hidden="1" x14ac:dyDescent="0.25">
      <c r="A534" s="309">
        <v>44165</v>
      </c>
      <c r="B534" s="308" t="s">
        <v>1158</v>
      </c>
      <c r="C534" s="308" t="s">
        <v>1060</v>
      </c>
      <c r="D534" s="310">
        <v>5</v>
      </c>
      <c r="E534" s="311">
        <v>6925.21</v>
      </c>
      <c r="F534" s="311">
        <v>-80729.999999999898</v>
      </c>
      <c r="G534" s="308" t="s">
        <v>1159</v>
      </c>
      <c r="H534" s="308" t="s">
        <v>1325</v>
      </c>
      <c r="I534" s="308" t="s">
        <v>1140</v>
      </c>
      <c r="J534" s="308" t="s">
        <v>757</v>
      </c>
      <c r="K534" s="308" t="s">
        <v>741</v>
      </c>
      <c r="L534" s="309">
        <v>44165</v>
      </c>
      <c r="M534" s="312">
        <v>0</v>
      </c>
    </row>
    <row r="535" spans="1:13" hidden="1" x14ac:dyDescent="0.25">
      <c r="A535" s="309">
        <v>44165</v>
      </c>
      <c r="B535" s="308" t="s">
        <v>1158</v>
      </c>
      <c r="C535" s="308" t="s">
        <v>1060</v>
      </c>
      <c r="D535" s="310">
        <v>6</v>
      </c>
      <c r="E535" s="311">
        <v>-6925.21</v>
      </c>
      <c r="F535" s="311">
        <v>-87655.209999999905</v>
      </c>
      <c r="G535" s="308" t="s">
        <v>1159</v>
      </c>
      <c r="H535" s="308" t="s">
        <v>1325</v>
      </c>
      <c r="I535" s="308" t="s">
        <v>1140</v>
      </c>
      <c r="J535" s="308" t="s">
        <v>757</v>
      </c>
      <c r="K535" s="308" t="s">
        <v>741</v>
      </c>
      <c r="L535" s="309">
        <v>44165</v>
      </c>
      <c r="M535" s="312">
        <v>0</v>
      </c>
    </row>
    <row r="536" spans="1:13" hidden="1" x14ac:dyDescent="0.25">
      <c r="A536" s="309">
        <v>44196</v>
      </c>
      <c r="B536" s="308" t="s">
        <v>1160</v>
      </c>
      <c r="C536" s="308" t="s">
        <v>1060</v>
      </c>
      <c r="D536" s="310">
        <v>6</v>
      </c>
      <c r="E536" s="311">
        <v>9985.1299999999992</v>
      </c>
      <c r="F536" s="311">
        <v>-77670.0799999999</v>
      </c>
      <c r="G536" s="308" t="s">
        <v>1161</v>
      </c>
      <c r="H536" s="308" t="s">
        <v>1325</v>
      </c>
      <c r="I536" s="308" t="s">
        <v>1140</v>
      </c>
      <c r="J536" s="308" t="s">
        <v>757</v>
      </c>
      <c r="K536" s="308" t="s">
        <v>741</v>
      </c>
      <c r="L536" s="309">
        <v>44196</v>
      </c>
      <c r="M536" s="312">
        <v>0</v>
      </c>
    </row>
    <row r="537" spans="1:13" hidden="1" x14ac:dyDescent="0.25">
      <c r="A537" s="309">
        <v>44196</v>
      </c>
      <c r="B537" s="308" t="s">
        <v>1160</v>
      </c>
      <c r="C537" s="308" t="s">
        <v>1060</v>
      </c>
      <c r="D537" s="310">
        <v>7</v>
      </c>
      <c r="E537" s="311">
        <v>-9985.1299999999992</v>
      </c>
      <c r="F537" s="311">
        <v>-87655.209999999905</v>
      </c>
      <c r="G537" s="308" t="s">
        <v>1161</v>
      </c>
      <c r="H537" s="308" t="s">
        <v>1325</v>
      </c>
      <c r="I537" s="308" t="s">
        <v>1140</v>
      </c>
      <c r="J537" s="308" t="s">
        <v>757</v>
      </c>
      <c r="K537" s="308" t="s">
        <v>741</v>
      </c>
      <c r="L537" s="309">
        <v>44196</v>
      </c>
      <c r="M537" s="312">
        <v>0</v>
      </c>
    </row>
    <row r="538" spans="1:13" hidden="1" x14ac:dyDescent="0.25">
      <c r="A538" s="309">
        <v>44230</v>
      </c>
      <c r="B538" s="308" t="s">
        <v>1166</v>
      </c>
      <c r="C538" s="308" t="s">
        <v>1060</v>
      </c>
      <c r="D538" s="310">
        <v>7</v>
      </c>
      <c r="E538" s="311">
        <v>11875.49</v>
      </c>
      <c r="F538" s="311">
        <v>-75779.719999999899</v>
      </c>
      <c r="G538" s="308" t="s">
        <v>1167</v>
      </c>
      <c r="H538" s="308" t="s">
        <v>1325</v>
      </c>
      <c r="I538" s="308" t="s">
        <v>1140</v>
      </c>
      <c r="J538" s="308" t="s">
        <v>757</v>
      </c>
      <c r="K538" s="308" t="s">
        <v>741</v>
      </c>
      <c r="L538" s="309">
        <v>44230</v>
      </c>
      <c r="M538" s="312">
        <v>0</v>
      </c>
    </row>
    <row r="539" spans="1:13" hidden="1" x14ac:dyDescent="0.25">
      <c r="A539" s="309">
        <v>44230</v>
      </c>
      <c r="B539" s="308" t="s">
        <v>1166</v>
      </c>
      <c r="C539" s="308" t="s">
        <v>1060</v>
      </c>
      <c r="D539" s="310">
        <v>8</v>
      </c>
      <c r="E539" s="311">
        <v>-11875.49</v>
      </c>
      <c r="F539" s="311">
        <v>-87655.209999999905</v>
      </c>
      <c r="G539" s="308" t="s">
        <v>1167</v>
      </c>
      <c r="H539" s="308" t="s">
        <v>1325</v>
      </c>
      <c r="I539" s="308" t="s">
        <v>1140</v>
      </c>
      <c r="J539" s="308" t="s">
        <v>757</v>
      </c>
      <c r="K539" s="308" t="s">
        <v>741</v>
      </c>
      <c r="L539" s="309">
        <v>44230</v>
      </c>
      <c r="M539" s="312">
        <v>0</v>
      </c>
    </row>
    <row r="540" spans="1:13" hidden="1" x14ac:dyDescent="0.25">
      <c r="A540" s="309">
        <v>44255</v>
      </c>
      <c r="B540" s="308" t="s">
        <v>1178</v>
      </c>
      <c r="C540" s="308" t="s">
        <v>1060</v>
      </c>
      <c r="D540" s="310">
        <v>8</v>
      </c>
      <c r="E540" s="311">
        <v>13467.1</v>
      </c>
      <c r="F540" s="311">
        <v>-74188.109999999899</v>
      </c>
      <c r="G540" s="308" t="s">
        <v>1179</v>
      </c>
      <c r="H540" s="308" t="s">
        <v>1325</v>
      </c>
      <c r="I540" s="308" t="s">
        <v>1140</v>
      </c>
      <c r="J540" s="308" t="s">
        <v>757</v>
      </c>
      <c r="K540" s="308" t="s">
        <v>741</v>
      </c>
      <c r="L540" s="309">
        <v>44255</v>
      </c>
      <c r="M540" s="312">
        <v>0</v>
      </c>
    </row>
    <row r="541" spans="1:13" hidden="1" x14ac:dyDescent="0.25">
      <c r="A541" s="309">
        <v>44255</v>
      </c>
      <c r="B541" s="308" t="s">
        <v>1178</v>
      </c>
      <c r="C541" s="308" t="s">
        <v>1060</v>
      </c>
      <c r="D541" s="310">
        <v>9</v>
      </c>
      <c r="E541" s="311">
        <v>-13467.1</v>
      </c>
      <c r="F541" s="311">
        <v>-87655.209999999905</v>
      </c>
      <c r="G541" s="308" t="s">
        <v>1179</v>
      </c>
      <c r="H541" s="308" t="s">
        <v>1325</v>
      </c>
      <c r="I541" s="308" t="s">
        <v>1140</v>
      </c>
      <c r="J541" s="308" t="s">
        <v>757</v>
      </c>
      <c r="K541" s="308" t="s">
        <v>741</v>
      </c>
      <c r="L541" s="309">
        <v>44255</v>
      </c>
      <c r="M541" s="312">
        <v>0</v>
      </c>
    </row>
    <row r="542" spans="1:13" hidden="1" x14ac:dyDescent="0.25">
      <c r="A542" s="309">
        <v>44286</v>
      </c>
      <c r="B542" s="308" t="s">
        <v>1181</v>
      </c>
      <c r="C542" s="308" t="s">
        <v>1060</v>
      </c>
      <c r="D542" s="310">
        <v>9</v>
      </c>
      <c r="E542" s="311">
        <v>17377.310000000001</v>
      </c>
      <c r="F542" s="311">
        <v>-70277.899999999907</v>
      </c>
      <c r="G542" s="308" t="s">
        <v>1182</v>
      </c>
      <c r="H542" s="308" t="s">
        <v>1325</v>
      </c>
      <c r="I542" s="308" t="s">
        <v>1140</v>
      </c>
      <c r="J542" s="308" t="s">
        <v>757</v>
      </c>
      <c r="K542" s="308" t="s">
        <v>741</v>
      </c>
      <c r="L542" s="309">
        <v>44286</v>
      </c>
      <c r="M542" s="312">
        <v>0</v>
      </c>
    </row>
    <row r="543" spans="1:13" hidden="1" x14ac:dyDescent="0.25">
      <c r="A543" s="309">
        <v>44286</v>
      </c>
      <c r="B543" s="308" t="s">
        <v>1181</v>
      </c>
      <c r="C543" s="308" t="s">
        <v>1060</v>
      </c>
      <c r="D543" s="310">
        <v>10</v>
      </c>
      <c r="E543" s="311">
        <v>-17377.310000000001</v>
      </c>
      <c r="F543" s="311">
        <v>-87655.209999999905</v>
      </c>
      <c r="G543" s="308" t="s">
        <v>1182</v>
      </c>
      <c r="H543" s="308" t="s">
        <v>1325</v>
      </c>
      <c r="I543" s="308" t="s">
        <v>1140</v>
      </c>
      <c r="J543" s="308" t="s">
        <v>757</v>
      </c>
      <c r="K543" s="308" t="s">
        <v>741</v>
      </c>
      <c r="L543" s="309">
        <v>44286</v>
      </c>
      <c r="M543" s="312">
        <v>0</v>
      </c>
    </row>
    <row r="544" spans="1:13" hidden="1" x14ac:dyDescent="0.25">
      <c r="A544" s="309">
        <v>44316</v>
      </c>
      <c r="B544" s="308" t="s">
        <v>1104</v>
      </c>
      <c r="C544" s="308" t="s">
        <v>1060</v>
      </c>
      <c r="D544" s="310">
        <v>10</v>
      </c>
      <c r="E544" s="311">
        <v>20709.93</v>
      </c>
      <c r="F544" s="311">
        <v>-66945.279999999897</v>
      </c>
      <c r="G544" s="308" t="s">
        <v>1096</v>
      </c>
      <c r="H544" s="308" t="s">
        <v>1325</v>
      </c>
      <c r="I544" s="308" t="s">
        <v>1140</v>
      </c>
      <c r="J544" s="308" t="s">
        <v>757</v>
      </c>
      <c r="K544" s="308" t="s">
        <v>741</v>
      </c>
      <c r="L544" s="309">
        <v>44316</v>
      </c>
      <c r="M544" s="312">
        <v>0</v>
      </c>
    </row>
    <row r="545" spans="1:13" hidden="1" x14ac:dyDescent="0.25">
      <c r="A545" s="309">
        <v>44196</v>
      </c>
      <c r="B545" s="308" t="s">
        <v>1160</v>
      </c>
      <c r="C545" s="308" t="s">
        <v>1060</v>
      </c>
      <c r="D545" s="310">
        <v>6</v>
      </c>
      <c r="E545" s="311">
        <v>323.54000000000002</v>
      </c>
      <c r="F545" s="311">
        <v>-87331.669999999896</v>
      </c>
      <c r="G545" s="308" t="s">
        <v>1161</v>
      </c>
      <c r="H545" s="308" t="s">
        <v>1326</v>
      </c>
      <c r="I545" s="308" t="s">
        <v>1140</v>
      </c>
      <c r="J545" s="308" t="s">
        <v>757</v>
      </c>
      <c r="K545" s="308" t="s">
        <v>741</v>
      </c>
      <c r="L545" s="309">
        <v>44196</v>
      </c>
      <c r="M545" s="312">
        <v>0</v>
      </c>
    </row>
    <row r="546" spans="1:13" hidden="1" x14ac:dyDescent="0.25">
      <c r="A546" s="309">
        <v>44196</v>
      </c>
      <c r="B546" s="308" t="s">
        <v>1160</v>
      </c>
      <c r="C546" s="308" t="s">
        <v>1060</v>
      </c>
      <c r="D546" s="310">
        <v>7</v>
      </c>
      <c r="E546" s="311">
        <v>-323.54000000000002</v>
      </c>
      <c r="F546" s="311">
        <v>-87655.209999999905</v>
      </c>
      <c r="G546" s="308" t="s">
        <v>1161</v>
      </c>
      <c r="H546" s="308" t="s">
        <v>1326</v>
      </c>
      <c r="I546" s="308" t="s">
        <v>1140</v>
      </c>
      <c r="J546" s="308" t="s">
        <v>757</v>
      </c>
      <c r="K546" s="308" t="s">
        <v>741</v>
      </c>
      <c r="L546" s="309">
        <v>44196</v>
      </c>
      <c r="M546" s="312">
        <v>0</v>
      </c>
    </row>
    <row r="547" spans="1:13" hidden="1" x14ac:dyDescent="0.25">
      <c r="A547" s="309">
        <v>44230</v>
      </c>
      <c r="B547" s="308" t="s">
        <v>1166</v>
      </c>
      <c r="C547" s="308" t="s">
        <v>1060</v>
      </c>
      <c r="D547" s="310">
        <v>7</v>
      </c>
      <c r="E547" s="311">
        <v>569.19000000000005</v>
      </c>
      <c r="F547" s="311">
        <v>-87086.019999999902</v>
      </c>
      <c r="G547" s="308" t="s">
        <v>1167</v>
      </c>
      <c r="H547" s="308" t="s">
        <v>1326</v>
      </c>
      <c r="I547" s="308" t="s">
        <v>1140</v>
      </c>
      <c r="J547" s="308" t="s">
        <v>757</v>
      </c>
      <c r="K547" s="308" t="s">
        <v>741</v>
      </c>
      <c r="L547" s="309">
        <v>44230</v>
      </c>
      <c r="M547" s="312">
        <v>0</v>
      </c>
    </row>
    <row r="548" spans="1:13" hidden="1" x14ac:dyDescent="0.25">
      <c r="A548" s="309">
        <v>44230</v>
      </c>
      <c r="B548" s="308" t="s">
        <v>1166</v>
      </c>
      <c r="C548" s="308" t="s">
        <v>1060</v>
      </c>
      <c r="D548" s="310">
        <v>8</v>
      </c>
      <c r="E548" s="311">
        <v>-569.19000000000005</v>
      </c>
      <c r="F548" s="311">
        <v>-87655.209999999905</v>
      </c>
      <c r="G548" s="308" t="s">
        <v>1167</v>
      </c>
      <c r="H548" s="308" t="s">
        <v>1326</v>
      </c>
      <c r="I548" s="308" t="s">
        <v>1140</v>
      </c>
      <c r="J548" s="308" t="s">
        <v>757</v>
      </c>
      <c r="K548" s="308" t="s">
        <v>741</v>
      </c>
      <c r="L548" s="309">
        <v>44230</v>
      </c>
      <c r="M548" s="312">
        <v>0</v>
      </c>
    </row>
    <row r="549" spans="1:13" hidden="1" x14ac:dyDescent="0.25">
      <c r="A549" s="309">
        <v>44255</v>
      </c>
      <c r="B549" s="308" t="s">
        <v>1178</v>
      </c>
      <c r="C549" s="308" t="s">
        <v>1060</v>
      </c>
      <c r="D549" s="310">
        <v>8</v>
      </c>
      <c r="E549" s="311">
        <v>841.29</v>
      </c>
      <c r="F549" s="311">
        <v>-86813.919999999896</v>
      </c>
      <c r="G549" s="308" t="s">
        <v>1179</v>
      </c>
      <c r="H549" s="308" t="s">
        <v>1326</v>
      </c>
      <c r="I549" s="308" t="s">
        <v>1140</v>
      </c>
      <c r="J549" s="308" t="s">
        <v>757</v>
      </c>
      <c r="K549" s="308" t="s">
        <v>741</v>
      </c>
      <c r="L549" s="309">
        <v>44255</v>
      </c>
      <c r="M549" s="312">
        <v>0</v>
      </c>
    </row>
    <row r="550" spans="1:13" hidden="1" x14ac:dyDescent="0.25">
      <c r="A550" s="309">
        <v>44255</v>
      </c>
      <c r="B550" s="308" t="s">
        <v>1178</v>
      </c>
      <c r="C550" s="308" t="s">
        <v>1060</v>
      </c>
      <c r="D550" s="310">
        <v>9</v>
      </c>
      <c r="E550" s="311">
        <v>-841.29</v>
      </c>
      <c r="F550" s="311">
        <v>-87655.209999999905</v>
      </c>
      <c r="G550" s="308" t="s">
        <v>1179</v>
      </c>
      <c r="H550" s="308" t="s">
        <v>1326</v>
      </c>
      <c r="I550" s="308" t="s">
        <v>1140</v>
      </c>
      <c r="J550" s="308" t="s">
        <v>757</v>
      </c>
      <c r="K550" s="308" t="s">
        <v>741</v>
      </c>
      <c r="L550" s="309">
        <v>44255</v>
      </c>
      <c r="M550" s="312">
        <v>0</v>
      </c>
    </row>
    <row r="551" spans="1:13" hidden="1" x14ac:dyDescent="0.25">
      <c r="A551" s="309">
        <v>44286</v>
      </c>
      <c r="B551" s="308" t="s">
        <v>1181</v>
      </c>
      <c r="C551" s="308" t="s">
        <v>1060</v>
      </c>
      <c r="D551" s="310">
        <v>9</v>
      </c>
      <c r="E551" s="311">
        <v>1484.25</v>
      </c>
      <c r="F551" s="311">
        <v>-86170.959999999905</v>
      </c>
      <c r="G551" s="308" t="s">
        <v>1182</v>
      </c>
      <c r="H551" s="308" t="s">
        <v>1326</v>
      </c>
      <c r="I551" s="308" t="s">
        <v>1140</v>
      </c>
      <c r="J551" s="308" t="s">
        <v>757</v>
      </c>
      <c r="K551" s="308" t="s">
        <v>741</v>
      </c>
      <c r="L551" s="309">
        <v>44286</v>
      </c>
      <c r="M551" s="312">
        <v>0</v>
      </c>
    </row>
    <row r="552" spans="1:13" hidden="1" x14ac:dyDescent="0.25">
      <c r="A552" s="309">
        <v>44286</v>
      </c>
      <c r="B552" s="308" t="s">
        <v>1181</v>
      </c>
      <c r="C552" s="308" t="s">
        <v>1060</v>
      </c>
      <c r="D552" s="310">
        <v>10</v>
      </c>
      <c r="E552" s="311">
        <v>-1484.25</v>
      </c>
      <c r="F552" s="311">
        <v>-87655.209999999905</v>
      </c>
      <c r="G552" s="308" t="s">
        <v>1182</v>
      </c>
      <c r="H552" s="308" t="s">
        <v>1326</v>
      </c>
      <c r="I552" s="308" t="s">
        <v>1140</v>
      </c>
      <c r="J552" s="308" t="s">
        <v>757</v>
      </c>
      <c r="K552" s="308" t="s">
        <v>741</v>
      </c>
      <c r="L552" s="309">
        <v>44286</v>
      </c>
      <c r="M552" s="312">
        <v>0</v>
      </c>
    </row>
    <row r="553" spans="1:13" hidden="1" x14ac:dyDescent="0.25">
      <c r="A553" s="309">
        <v>44316</v>
      </c>
      <c r="B553" s="308" t="s">
        <v>1104</v>
      </c>
      <c r="C553" s="308" t="s">
        <v>1060</v>
      </c>
      <c r="D553" s="310">
        <v>10</v>
      </c>
      <c r="E553" s="311">
        <v>1969.59</v>
      </c>
      <c r="F553" s="311">
        <v>-85685.619999999893</v>
      </c>
      <c r="G553" s="308" t="s">
        <v>1096</v>
      </c>
      <c r="H553" s="308" t="s">
        <v>1326</v>
      </c>
      <c r="I553" s="308" t="s">
        <v>1140</v>
      </c>
      <c r="J553" s="308" t="s">
        <v>757</v>
      </c>
      <c r="K553" s="308" t="s">
        <v>741</v>
      </c>
      <c r="L553" s="309">
        <v>44316</v>
      </c>
      <c r="M553" s="312">
        <v>0</v>
      </c>
    </row>
    <row r="554" spans="1:13" hidden="1" x14ac:dyDescent="0.25">
      <c r="A554" s="309">
        <v>44196</v>
      </c>
      <c r="B554" s="308" t="s">
        <v>1160</v>
      </c>
      <c r="C554" s="308" t="s">
        <v>1060</v>
      </c>
      <c r="D554" s="310">
        <v>6</v>
      </c>
      <c r="E554" s="311">
        <v>503.64</v>
      </c>
      <c r="F554" s="311">
        <v>-87151.569999999905</v>
      </c>
      <c r="G554" s="308" t="s">
        <v>1161</v>
      </c>
      <c r="H554" s="308" t="s">
        <v>1327</v>
      </c>
      <c r="I554" s="308" t="s">
        <v>1140</v>
      </c>
      <c r="J554" s="308" t="s">
        <v>757</v>
      </c>
      <c r="K554" s="308" t="s">
        <v>741</v>
      </c>
      <c r="L554" s="309">
        <v>44196</v>
      </c>
      <c r="M554" s="312">
        <v>0</v>
      </c>
    </row>
    <row r="555" spans="1:13" hidden="1" x14ac:dyDescent="0.25">
      <c r="A555" s="309">
        <v>44196</v>
      </c>
      <c r="B555" s="308" t="s">
        <v>1160</v>
      </c>
      <c r="C555" s="308" t="s">
        <v>1060</v>
      </c>
      <c r="D555" s="310">
        <v>7</v>
      </c>
      <c r="E555" s="311">
        <v>-503.64</v>
      </c>
      <c r="F555" s="311">
        <v>-87655.209999999905</v>
      </c>
      <c r="G555" s="308" t="s">
        <v>1161</v>
      </c>
      <c r="H555" s="308" t="s">
        <v>1327</v>
      </c>
      <c r="I555" s="308" t="s">
        <v>1140</v>
      </c>
      <c r="J555" s="308" t="s">
        <v>757</v>
      </c>
      <c r="K555" s="308" t="s">
        <v>741</v>
      </c>
      <c r="L555" s="309">
        <v>44196</v>
      </c>
      <c r="M555" s="312">
        <v>0</v>
      </c>
    </row>
    <row r="556" spans="1:13" hidden="1" x14ac:dyDescent="0.25">
      <c r="A556" s="309">
        <v>44230</v>
      </c>
      <c r="B556" s="308" t="s">
        <v>1166</v>
      </c>
      <c r="C556" s="308" t="s">
        <v>1060</v>
      </c>
      <c r="D556" s="310">
        <v>7</v>
      </c>
      <c r="E556" s="311">
        <v>776.89</v>
      </c>
      <c r="F556" s="311">
        <v>-86878.319999999905</v>
      </c>
      <c r="G556" s="308" t="s">
        <v>1167</v>
      </c>
      <c r="H556" s="308" t="s">
        <v>1327</v>
      </c>
      <c r="I556" s="308" t="s">
        <v>1140</v>
      </c>
      <c r="J556" s="308" t="s">
        <v>757</v>
      </c>
      <c r="K556" s="308" t="s">
        <v>741</v>
      </c>
      <c r="L556" s="309">
        <v>44230</v>
      </c>
      <c r="M556" s="312">
        <v>0</v>
      </c>
    </row>
    <row r="557" spans="1:13" hidden="1" x14ac:dyDescent="0.25">
      <c r="A557" s="309">
        <v>44230</v>
      </c>
      <c r="B557" s="308" t="s">
        <v>1166</v>
      </c>
      <c r="C557" s="308" t="s">
        <v>1060</v>
      </c>
      <c r="D557" s="310">
        <v>8</v>
      </c>
      <c r="E557" s="311">
        <v>-776.89</v>
      </c>
      <c r="F557" s="311">
        <v>-87655.209999999905</v>
      </c>
      <c r="G557" s="308" t="s">
        <v>1167</v>
      </c>
      <c r="H557" s="308" t="s">
        <v>1327</v>
      </c>
      <c r="I557" s="308" t="s">
        <v>1140</v>
      </c>
      <c r="J557" s="308" t="s">
        <v>757</v>
      </c>
      <c r="K557" s="308" t="s">
        <v>741</v>
      </c>
      <c r="L557" s="309">
        <v>44230</v>
      </c>
      <c r="M557" s="312">
        <v>0</v>
      </c>
    </row>
    <row r="558" spans="1:13" hidden="1" x14ac:dyDescent="0.25">
      <c r="A558" s="309">
        <v>44255</v>
      </c>
      <c r="B558" s="308" t="s">
        <v>1178</v>
      </c>
      <c r="C558" s="308" t="s">
        <v>1060</v>
      </c>
      <c r="D558" s="310">
        <v>8</v>
      </c>
      <c r="E558" s="311">
        <v>1073.3399999999999</v>
      </c>
      <c r="F558" s="311">
        <v>-86581.869999999893</v>
      </c>
      <c r="G558" s="308" t="s">
        <v>1179</v>
      </c>
      <c r="H558" s="308" t="s">
        <v>1327</v>
      </c>
      <c r="I558" s="308" t="s">
        <v>1140</v>
      </c>
      <c r="J558" s="308" t="s">
        <v>757</v>
      </c>
      <c r="K558" s="308" t="s">
        <v>741</v>
      </c>
      <c r="L558" s="309">
        <v>44255</v>
      </c>
      <c r="M558" s="312">
        <v>0</v>
      </c>
    </row>
    <row r="559" spans="1:13" hidden="1" x14ac:dyDescent="0.25">
      <c r="A559" s="309">
        <v>44255</v>
      </c>
      <c r="B559" s="308" t="s">
        <v>1178</v>
      </c>
      <c r="C559" s="308" t="s">
        <v>1060</v>
      </c>
      <c r="D559" s="310">
        <v>9</v>
      </c>
      <c r="E559" s="311">
        <v>-1073.3399999999999</v>
      </c>
      <c r="F559" s="311">
        <v>-87655.209999999905</v>
      </c>
      <c r="G559" s="308" t="s">
        <v>1179</v>
      </c>
      <c r="H559" s="308" t="s">
        <v>1327</v>
      </c>
      <c r="I559" s="308" t="s">
        <v>1140</v>
      </c>
      <c r="J559" s="308" t="s">
        <v>757</v>
      </c>
      <c r="K559" s="308" t="s">
        <v>741</v>
      </c>
      <c r="L559" s="309">
        <v>44255</v>
      </c>
      <c r="M559" s="312">
        <v>0</v>
      </c>
    </row>
    <row r="560" spans="1:13" hidden="1" x14ac:dyDescent="0.25">
      <c r="A560" s="309">
        <v>44286</v>
      </c>
      <c r="B560" s="308" t="s">
        <v>1181</v>
      </c>
      <c r="C560" s="308" t="s">
        <v>1060</v>
      </c>
      <c r="D560" s="310">
        <v>9</v>
      </c>
      <c r="E560" s="311">
        <v>1801.61</v>
      </c>
      <c r="F560" s="311">
        <v>-85853.599999999904</v>
      </c>
      <c r="G560" s="308" t="s">
        <v>1182</v>
      </c>
      <c r="H560" s="308" t="s">
        <v>1327</v>
      </c>
      <c r="I560" s="308" t="s">
        <v>1140</v>
      </c>
      <c r="J560" s="308" t="s">
        <v>757</v>
      </c>
      <c r="K560" s="308" t="s">
        <v>741</v>
      </c>
      <c r="L560" s="309">
        <v>44286</v>
      </c>
      <c r="M560" s="312">
        <v>0</v>
      </c>
    </row>
    <row r="561" spans="1:13" hidden="1" x14ac:dyDescent="0.25">
      <c r="A561" s="309">
        <v>44286</v>
      </c>
      <c r="B561" s="308" t="s">
        <v>1181</v>
      </c>
      <c r="C561" s="308" t="s">
        <v>1060</v>
      </c>
      <c r="D561" s="310">
        <v>10</v>
      </c>
      <c r="E561" s="311">
        <v>-1801.61</v>
      </c>
      <c r="F561" s="311">
        <v>-87655.209999999905</v>
      </c>
      <c r="G561" s="308" t="s">
        <v>1182</v>
      </c>
      <c r="H561" s="308" t="s">
        <v>1327</v>
      </c>
      <c r="I561" s="308" t="s">
        <v>1140</v>
      </c>
      <c r="J561" s="308" t="s">
        <v>757</v>
      </c>
      <c r="K561" s="308" t="s">
        <v>741</v>
      </c>
      <c r="L561" s="309">
        <v>44286</v>
      </c>
      <c r="M561" s="312">
        <v>0</v>
      </c>
    </row>
    <row r="562" spans="1:13" hidden="1" x14ac:dyDescent="0.25">
      <c r="A562" s="309">
        <v>44316</v>
      </c>
      <c r="B562" s="308" t="s">
        <v>1104</v>
      </c>
      <c r="C562" s="308" t="s">
        <v>1060</v>
      </c>
      <c r="D562" s="310">
        <v>10</v>
      </c>
      <c r="E562" s="311">
        <v>2370.0100000000002</v>
      </c>
      <c r="F562" s="311">
        <v>-85285.199999999895</v>
      </c>
      <c r="G562" s="308" t="s">
        <v>1096</v>
      </c>
      <c r="H562" s="308" t="s">
        <v>1327</v>
      </c>
      <c r="I562" s="308" t="s">
        <v>1140</v>
      </c>
      <c r="J562" s="308" t="s">
        <v>757</v>
      </c>
      <c r="K562" s="308" t="s">
        <v>741</v>
      </c>
      <c r="L562" s="309">
        <v>44316</v>
      </c>
      <c r="M562" s="312">
        <v>0</v>
      </c>
    </row>
    <row r="563" spans="1:13" hidden="1" x14ac:dyDescent="0.25">
      <c r="A563" s="309">
        <v>44165</v>
      </c>
      <c r="B563" s="308" t="s">
        <v>1158</v>
      </c>
      <c r="C563" s="308" t="s">
        <v>1060</v>
      </c>
      <c r="D563" s="310">
        <v>5</v>
      </c>
      <c r="E563" s="311">
        <v>76.3</v>
      </c>
      <c r="F563" s="311">
        <v>-87578.909999999902</v>
      </c>
      <c r="G563" s="308" t="s">
        <v>1159</v>
      </c>
      <c r="H563" s="308" t="s">
        <v>1328</v>
      </c>
      <c r="I563" s="308" t="s">
        <v>1140</v>
      </c>
      <c r="J563" s="308" t="s">
        <v>757</v>
      </c>
      <c r="K563" s="308" t="s">
        <v>741</v>
      </c>
      <c r="L563" s="309">
        <v>44165</v>
      </c>
      <c r="M563" s="312">
        <v>0</v>
      </c>
    </row>
    <row r="564" spans="1:13" hidden="1" x14ac:dyDescent="0.25">
      <c r="A564" s="309">
        <v>44165</v>
      </c>
      <c r="B564" s="308" t="s">
        <v>1158</v>
      </c>
      <c r="C564" s="308" t="s">
        <v>1060</v>
      </c>
      <c r="D564" s="310">
        <v>6</v>
      </c>
      <c r="E564" s="311">
        <v>-76.3</v>
      </c>
      <c r="F564" s="311">
        <v>-87655.209999999905</v>
      </c>
      <c r="G564" s="308" t="s">
        <v>1159</v>
      </c>
      <c r="H564" s="308" t="s">
        <v>1328</v>
      </c>
      <c r="I564" s="308" t="s">
        <v>1140</v>
      </c>
      <c r="J564" s="308" t="s">
        <v>757</v>
      </c>
      <c r="K564" s="308" t="s">
        <v>741</v>
      </c>
      <c r="L564" s="309">
        <v>44165</v>
      </c>
      <c r="M564" s="312">
        <v>0</v>
      </c>
    </row>
    <row r="565" spans="1:13" hidden="1" x14ac:dyDescent="0.25">
      <c r="A565" s="309">
        <v>44196</v>
      </c>
      <c r="B565" s="308" t="s">
        <v>1160</v>
      </c>
      <c r="C565" s="308" t="s">
        <v>1060</v>
      </c>
      <c r="D565" s="310">
        <v>6</v>
      </c>
      <c r="E565" s="311">
        <v>519.05999999999995</v>
      </c>
      <c r="F565" s="311">
        <v>-87136.149999999907</v>
      </c>
      <c r="G565" s="308" t="s">
        <v>1161</v>
      </c>
      <c r="H565" s="308" t="s">
        <v>1328</v>
      </c>
      <c r="I565" s="308" t="s">
        <v>1140</v>
      </c>
      <c r="J565" s="308" t="s">
        <v>757</v>
      </c>
      <c r="K565" s="308" t="s">
        <v>741</v>
      </c>
      <c r="L565" s="309">
        <v>44196</v>
      </c>
      <c r="M565" s="312">
        <v>0</v>
      </c>
    </row>
    <row r="566" spans="1:13" hidden="1" x14ac:dyDescent="0.25">
      <c r="A566" s="309">
        <v>44196</v>
      </c>
      <c r="B566" s="308" t="s">
        <v>1160</v>
      </c>
      <c r="C566" s="308" t="s">
        <v>1060</v>
      </c>
      <c r="D566" s="310">
        <v>7</v>
      </c>
      <c r="E566" s="311">
        <v>-519.05999999999995</v>
      </c>
      <c r="F566" s="311">
        <v>-87655.209999999905</v>
      </c>
      <c r="G566" s="308" t="s">
        <v>1161</v>
      </c>
      <c r="H566" s="308" t="s">
        <v>1328</v>
      </c>
      <c r="I566" s="308" t="s">
        <v>1140</v>
      </c>
      <c r="J566" s="308" t="s">
        <v>757</v>
      </c>
      <c r="K566" s="308" t="s">
        <v>741</v>
      </c>
      <c r="L566" s="309">
        <v>44196</v>
      </c>
      <c r="M566" s="312">
        <v>0</v>
      </c>
    </row>
    <row r="567" spans="1:13" hidden="1" x14ac:dyDescent="0.25">
      <c r="A567" s="309">
        <v>44230</v>
      </c>
      <c r="B567" s="308" t="s">
        <v>1166</v>
      </c>
      <c r="C567" s="308" t="s">
        <v>1060</v>
      </c>
      <c r="D567" s="310">
        <v>7</v>
      </c>
      <c r="E567" s="311">
        <v>706.93</v>
      </c>
      <c r="F567" s="311">
        <v>-86948.279999999897</v>
      </c>
      <c r="G567" s="308" t="s">
        <v>1167</v>
      </c>
      <c r="H567" s="308" t="s">
        <v>1328</v>
      </c>
      <c r="I567" s="308" t="s">
        <v>1140</v>
      </c>
      <c r="J567" s="308" t="s">
        <v>757</v>
      </c>
      <c r="K567" s="308" t="s">
        <v>741</v>
      </c>
      <c r="L567" s="309">
        <v>44230</v>
      </c>
      <c r="M567" s="312">
        <v>0</v>
      </c>
    </row>
    <row r="568" spans="1:13" hidden="1" x14ac:dyDescent="0.25">
      <c r="A568" s="309">
        <v>44230</v>
      </c>
      <c r="B568" s="308" t="s">
        <v>1166</v>
      </c>
      <c r="C568" s="308" t="s">
        <v>1060</v>
      </c>
      <c r="D568" s="310">
        <v>8</v>
      </c>
      <c r="E568" s="311">
        <v>-706.93</v>
      </c>
      <c r="F568" s="311">
        <v>-87655.209999999905</v>
      </c>
      <c r="G568" s="308" t="s">
        <v>1167</v>
      </c>
      <c r="H568" s="308" t="s">
        <v>1328</v>
      </c>
      <c r="I568" s="308" t="s">
        <v>1140</v>
      </c>
      <c r="J568" s="308" t="s">
        <v>757</v>
      </c>
      <c r="K568" s="308" t="s">
        <v>741</v>
      </c>
      <c r="L568" s="309">
        <v>44230</v>
      </c>
      <c r="M568" s="312">
        <v>0</v>
      </c>
    </row>
    <row r="569" spans="1:13" hidden="1" x14ac:dyDescent="0.25">
      <c r="A569" s="309">
        <v>44255</v>
      </c>
      <c r="B569" s="308" t="s">
        <v>1178</v>
      </c>
      <c r="C569" s="308" t="s">
        <v>1060</v>
      </c>
      <c r="D569" s="310">
        <v>8</v>
      </c>
      <c r="E569" s="311">
        <v>909.31</v>
      </c>
      <c r="F569" s="311">
        <v>-86745.899999999907</v>
      </c>
      <c r="G569" s="308" t="s">
        <v>1179</v>
      </c>
      <c r="H569" s="308" t="s">
        <v>1328</v>
      </c>
      <c r="I569" s="308" t="s">
        <v>1140</v>
      </c>
      <c r="J569" s="308" t="s">
        <v>757</v>
      </c>
      <c r="K569" s="308" t="s">
        <v>741</v>
      </c>
      <c r="L569" s="309">
        <v>44255</v>
      </c>
      <c r="M569" s="312">
        <v>0</v>
      </c>
    </row>
    <row r="570" spans="1:13" hidden="1" x14ac:dyDescent="0.25">
      <c r="A570" s="309">
        <v>44255</v>
      </c>
      <c r="B570" s="308" t="s">
        <v>1178</v>
      </c>
      <c r="C570" s="308" t="s">
        <v>1060</v>
      </c>
      <c r="D570" s="310">
        <v>9</v>
      </c>
      <c r="E570" s="311">
        <v>-909.31</v>
      </c>
      <c r="F570" s="311">
        <v>-87655.209999999905</v>
      </c>
      <c r="G570" s="308" t="s">
        <v>1179</v>
      </c>
      <c r="H570" s="308" t="s">
        <v>1328</v>
      </c>
      <c r="I570" s="308" t="s">
        <v>1140</v>
      </c>
      <c r="J570" s="308" t="s">
        <v>757</v>
      </c>
      <c r="K570" s="308" t="s">
        <v>741</v>
      </c>
      <c r="L570" s="309">
        <v>44255</v>
      </c>
      <c r="M570" s="312">
        <v>0</v>
      </c>
    </row>
    <row r="571" spans="1:13" hidden="1" x14ac:dyDescent="0.25">
      <c r="A571" s="309">
        <v>44286</v>
      </c>
      <c r="B571" s="308" t="s">
        <v>1181</v>
      </c>
      <c r="C571" s="308" t="s">
        <v>1060</v>
      </c>
      <c r="D571" s="310">
        <v>9</v>
      </c>
      <c r="E571" s="311">
        <v>1407.28</v>
      </c>
      <c r="F571" s="311">
        <v>-86247.929999999906</v>
      </c>
      <c r="G571" s="308" t="s">
        <v>1182</v>
      </c>
      <c r="H571" s="308" t="s">
        <v>1328</v>
      </c>
      <c r="I571" s="308" t="s">
        <v>1140</v>
      </c>
      <c r="J571" s="308" t="s">
        <v>757</v>
      </c>
      <c r="K571" s="308" t="s">
        <v>741</v>
      </c>
      <c r="L571" s="309">
        <v>44286</v>
      </c>
      <c r="M571" s="312">
        <v>0</v>
      </c>
    </row>
    <row r="572" spans="1:13" hidden="1" x14ac:dyDescent="0.25">
      <c r="A572" s="309">
        <v>44286</v>
      </c>
      <c r="B572" s="308" t="s">
        <v>1181</v>
      </c>
      <c r="C572" s="308" t="s">
        <v>1060</v>
      </c>
      <c r="D572" s="310">
        <v>10</v>
      </c>
      <c r="E572" s="311">
        <v>-1407.28</v>
      </c>
      <c r="F572" s="311">
        <v>-87655.209999999905</v>
      </c>
      <c r="G572" s="308" t="s">
        <v>1182</v>
      </c>
      <c r="H572" s="308" t="s">
        <v>1328</v>
      </c>
      <c r="I572" s="308" t="s">
        <v>1140</v>
      </c>
      <c r="J572" s="308" t="s">
        <v>757</v>
      </c>
      <c r="K572" s="308" t="s">
        <v>741</v>
      </c>
      <c r="L572" s="309">
        <v>44286</v>
      </c>
      <c r="M572" s="312">
        <v>0</v>
      </c>
    </row>
    <row r="573" spans="1:13" hidden="1" x14ac:dyDescent="0.25">
      <c r="A573" s="309">
        <v>44316</v>
      </c>
      <c r="B573" s="308" t="s">
        <v>1104</v>
      </c>
      <c r="C573" s="308" t="s">
        <v>1060</v>
      </c>
      <c r="D573" s="310">
        <v>10</v>
      </c>
      <c r="E573" s="311">
        <v>1904.57</v>
      </c>
      <c r="F573" s="311">
        <v>-85750.639999999898</v>
      </c>
      <c r="G573" s="308" t="s">
        <v>1096</v>
      </c>
      <c r="H573" s="308" t="s">
        <v>1328</v>
      </c>
      <c r="I573" s="308" t="s">
        <v>1140</v>
      </c>
      <c r="J573" s="308" t="s">
        <v>757</v>
      </c>
      <c r="K573" s="308" t="s">
        <v>741</v>
      </c>
      <c r="L573" s="309">
        <v>44316</v>
      </c>
      <c r="M573" s="312">
        <v>0</v>
      </c>
    </row>
    <row r="574" spans="1:13" hidden="1" x14ac:dyDescent="0.25">
      <c r="A574" s="309">
        <v>44012</v>
      </c>
      <c r="B574" s="308" t="s">
        <v>1141</v>
      </c>
      <c r="C574" s="308" t="s">
        <v>1059</v>
      </c>
      <c r="D574" s="310">
        <v>1</v>
      </c>
      <c r="E574" s="311">
        <v>-4999.9799999999996</v>
      </c>
      <c r="F574" s="311">
        <v>-92655.1899999999</v>
      </c>
      <c r="G574" s="308" t="s">
        <v>1142</v>
      </c>
      <c r="H574" s="308" t="s">
        <v>1329</v>
      </c>
      <c r="I574" s="308" t="s">
        <v>1140</v>
      </c>
      <c r="J574" s="308" t="s">
        <v>757</v>
      </c>
      <c r="K574" s="308" t="s">
        <v>741</v>
      </c>
      <c r="L574" s="309">
        <v>44012</v>
      </c>
      <c r="M574" s="312">
        <v>0</v>
      </c>
    </row>
    <row r="575" spans="1:13" hidden="1" x14ac:dyDescent="0.25">
      <c r="A575" s="309">
        <v>44043</v>
      </c>
      <c r="B575" s="308" t="s">
        <v>1143</v>
      </c>
      <c r="C575" s="308" t="s">
        <v>1060</v>
      </c>
      <c r="D575" s="310">
        <v>1</v>
      </c>
      <c r="E575" s="311">
        <v>4999.9799999999996</v>
      </c>
      <c r="F575" s="311">
        <v>-87655.209999999905</v>
      </c>
      <c r="G575" s="308" t="s">
        <v>1144</v>
      </c>
      <c r="H575" s="308" t="s">
        <v>1329</v>
      </c>
      <c r="I575" s="308" t="s">
        <v>1140</v>
      </c>
      <c r="J575" s="308" t="s">
        <v>757</v>
      </c>
      <c r="K575" s="308" t="s">
        <v>741</v>
      </c>
      <c r="L575" s="309">
        <v>44043</v>
      </c>
      <c r="M575" s="312">
        <v>0</v>
      </c>
    </row>
    <row r="576" spans="1:13" hidden="1" x14ac:dyDescent="0.25">
      <c r="A576" s="309">
        <v>44043</v>
      </c>
      <c r="B576" s="308" t="s">
        <v>1143</v>
      </c>
      <c r="C576" s="308" t="s">
        <v>1060</v>
      </c>
      <c r="D576" s="310">
        <v>2</v>
      </c>
      <c r="E576" s="311">
        <v>-4999.9799999999996</v>
      </c>
      <c r="F576" s="311">
        <v>-92655.1899999999</v>
      </c>
      <c r="G576" s="308" t="s">
        <v>1144</v>
      </c>
      <c r="H576" s="308" t="s">
        <v>1329</v>
      </c>
      <c r="I576" s="308" t="s">
        <v>1140</v>
      </c>
      <c r="J576" s="308" t="s">
        <v>757</v>
      </c>
      <c r="K576" s="308" t="s">
        <v>741</v>
      </c>
      <c r="L576" s="309">
        <v>44043</v>
      </c>
      <c r="M576" s="312">
        <v>0</v>
      </c>
    </row>
    <row r="577" spans="1:13" hidden="1" x14ac:dyDescent="0.25">
      <c r="A577" s="309">
        <v>44074</v>
      </c>
      <c r="B577" s="308" t="s">
        <v>1147</v>
      </c>
      <c r="C577" s="308" t="s">
        <v>1060</v>
      </c>
      <c r="D577" s="310">
        <v>2</v>
      </c>
      <c r="E577" s="311">
        <v>4999.9799999999996</v>
      </c>
      <c r="F577" s="311">
        <v>-87655.209999999905</v>
      </c>
      <c r="G577" s="308" t="s">
        <v>1148</v>
      </c>
      <c r="H577" s="308" t="s">
        <v>1329</v>
      </c>
      <c r="I577" s="308" t="s">
        <v>1140</v>
      </c>
      <c r="J577" s="308" t="s">
        <v>757</v>
      </c>
      <c r="K577" s="308" t="s">
        <v>741</v>
      </c>
      <c r="L577" s="309">
        <v>44074</v>
      </c>
      <c r="M577" s="312">
        <v>0</v>
      </c>
    </row>
    <row r="578" spans="1:13" hidden="1" x14ac:dyDescent="0.25">
      <c r="A578" s="309">
        <v>44074</v>
      </c>
      <c r="B578" s="308" t="s">
        <v>1147</v>
      </c>
      <c r="C578" s="308" t="s">
        <v>1060</v>
      </c>
      <c r="D578" s="310">
        <v>3</v>
      </c>
      <c r="E578" s="311">
        <v>-4999.9799999999996</v>
      </c>
      <c r="F578" s="311">
        <v>-92655.1899999999</v>
      </c>
      <c r="G578" s="308" t="s">
        <v>1148</v>
      </c>
      <c r="H578" s="308" t="s">
        <v>1329</v>
      </c>
      <c r="I578" s="308" t="s">
        <v>1140</v>
      </c>
      <c r="J578" s="308" t="s">
        <v>757</v>
      </c>
      <c r="K578" s="308" t="s">
        <v>741</v>
      </c>
      <c r="L578" s="309">
        <v>44074</v>
      </c>
      <c r="M578" s="312">
        <v>0</v>
      </c>
    </row>
    <row r="579" spans="1:13" hidden="1" x14ac:dyDescent="0.25">
      <c r="A579" s="309">
        <v>44104</v>
      </c>
      <c r="B579" s="308" t="s">
        <v>1198</v>
      </c>
      <c r="C579" s="308" t="s">
        <v>1060</v>
      </c>
      <c r="D579" s="310">
        <v>3</v>
      </c>
      <c r="E579" s="311">
        <v>4999.9799999999996</v>
      </c>
      <c r="F579" s="311">
        <v>-87655.209999999905</v>
      </c>
      <c r="G579" s="308" t="s">
        <v>1199</v>
      </c>
      <c r="H579" s="308" t="s">
        <v>1329</v>
      </c>
      <c r="I579" s="308" t="s">
        <v>1140</v>
      </c>
      <c r="J579" s="308" t="s">
        <v>757</v>
      </c>
      <c r="K579" s="308" t="s">
        <v>741</v>
      </c>
      <c r="L579" s="309">
        <v>44104</v>
      </c>
      <c r="M579" s="312">
        <v>0</v>
      </c>
    </row>
    <row r="580" spans="1:13" hidden="1" x14ac:dyDescent="0.25">
      <c r="A580" s="309">
        <v>44104</v>
      </c>
      <c r="B580" s="308" t="s">
        <v>1198</v>
      </c>
      <c r="C580" s="308" t="s">
        <v>1060</v>
      </c>
      <c r="D580" s="310">
        <v>4</v>
      </c>
      <c r="E580" s="311">
        <v>-4999.9799999999996</v>
      </c>
      <c r="F580" s="311">
        <v>-92655.1899999999</v>
      </c>
      <c r="G580" s="308" t="s">
        <v>1199</v>
      </c>
      <c r="H580" s="308" t="s">
        <v>1329</v>
      </c>
      <c r="I580" s="308" t="s">
        <v>1140</v>
      </c>
      <c r="J580" s="308" t="s">
        <v>757</v>
      </c>
      <c r="K580" s="308" t="s">
        <v>741</v>
      </c>
      <c r="L580" s="309">
        <v>44104</v>
      </c>
      <c r="M580" s="312">
        <v>0</v>
      </c>
    </row>
    <row r="581" spans="1:13" hidden="1" x14ac:dyDescent="0.25">
      <c r="A581" s="309">
        <v>44135</v>
      </c>
      <c r="B581" s="308" t="s">
        <v>1200</v>
      </c>
      <c r="C581" s="308" t="s">
        <v>1060</v>
      </c>
      <c r="D581" s="310">
        <v>4</v>
      </c>
      <c r="E581" s="311">
        <v>4999.9799999999996</v>
      </c>
      <c r="F581" s="311">
        <v>-87655.209999999905</v>
      </c>
      <c r="G581" s="308" t="s">
        <v>1201</v>
      </c>
      <c r="H581" s="308" t="s">
        <v>1329</v>
      </c>
      <c r="I581" s="308" t="s">
        <v>1140</v>
      </c>
      <c r="J581" s="308" t="s">
        <v>757</v>
      </c>
      <c r="K581" s="308" t="s">
        <v>741</v>
      </c>
      <c r="L581" s="309">
        <v>44135</v>
      </c>
      <c r="M581" s="312">
        <v>0</v>
      </c>
    </row>
    <row r="582" spans="1:13" hidden="1" x14ac:dyDescent="0.25">
      <c r="A582" s="309">
        <v>44135</v>
      </c>
      <c r="B582" s="308" t="s">
        <v>1200</v>
      </c>
      <c r="C582" s="308" t="s">
        <v>1060</v>
      </c>
      <c r="D582" s="310">
        <v>5</v>
      </c>
      <c r="E582" s="311">
        <v>-4999.9799999999996</v>
      </c>
      <c r="F582" s="311">
        <v>-92655.1899999999</v>
      </c>
      <c r="G582" s="308" t="s">
        <v>1201</v>
      </c>
      <c r="H582" s="308" t="s">
        <v>1329</v>
      </c>
      <c r="I582" s="308" t="s">
        <v>1140</v>
      </c>
      <c r="J582" s="308" t="s">
        <v>757</v>
      </c>
      <c r="K582" s="308" t="s">
        <v>741</v>
      </c>
      <c r="L582" s="309">
        <v>44135</v>
      </c>
      <c r="M582" s="312">
        <v>0</v>
      </c>
    </row>
    <row r="583" spans="1:13" hidden="1" x14ac:dyDescent="0.25">
      <c r="A583" s="309">
        <v>44165</v>
      </c>
      <c r="B583" s="308" t="s">
        <v>1158</v>
      </c>
      <c r="C583" s="308" t="s">
        <v>1060</v>
      </c>
      <c r="D583" s="310">
        <v>5</v>
      </c>
      <c r="E583" s="311">
        <v>4999.9799999999996</v>
      </c>
      <c r="F583" s="311">
        <v>-87655.209999999905</v>
      </c>
      <c r="G583" s="308" t="s">
        <v>1159</v>
      </c>
      <c r="H583" s="308" t="s">
        <v>1329</v>
      </c>
      <c r="I583" s="308" t="s">
        <v>1140</v>
      </c>
      <c r="J583" s="308" t="s">
        <v>757</v>
      </c>
      <c r="K583" s="308" t="s">
        <v>741</v>
      </c>
      <c r="L583" s="309">
        <v>44165</v>
      </c>
      <c r="M583" s="312">
        <v>0</v>
      </c>
    </row>
    <row r="584" spans="1:13" hidden="1" x14ac:dyDescent="0.25">
      <c r="A584" s="309">
        <v>44165</v>
      </c>
      <c r="B584" s="308" t="s">
        <v>1158</v>
      </c>
      <c r="C584" s="308" t="s">
        <v>1060</v>
      </c>
      <c r="D584" s="310">
        <v>6</v>
      </c>
      <c r="E584" s="311">
        <v>-4999.9799999999996</v>
      </c>
      <c r="F584" s="311">
        <v>-92655.1899999999</v>
      </c>
      <c r="G584" s="308" t="s">
        <v>1159</v>
      </c>
      <c r="H584" s="308" t="s">
        <v>1329</v>
      </c>
      <c r="I584" s="308" t="s">
        <v>1140</v>
      </c>
      <c r="J584" s="308" t="s">
        <v>757</v>
      </c>
      <c r="K584" s="308" t="s">
        <v>741</v>
      </c>
      <c r="L584" s="309">
        <v>44165</v>
      </c>
      <c r="M584" s="312">
        <v>0</v>
      </c>
    </row>
    <row r="585" spans="1:13" hidden="1" x14ac:dyDescent="0.25">
      <c r="A585" s="309">
        <v>44196</v>
      </c>
      <c r="B585" s="308" t="s">
        <v>1160</v>
      </c>
      <c r="C585" s="308" t="s">
        <v>1060</v>
      </c>
      <c r="D585" s="310">
        <v>6</v>
      </c>
      <c r="E585" s="311">
        <v>4999.9799999999996</v>
      </c>
      <c r="F585" s="311">
        <v>-87655.209999999905</v>
      </c>
      <c r="G585" s="308" t="s">
        <v>1161</v>
      </c>
      <c r="H585" s="308" t="s">
        <v>1329</v>
      </c>
      <c r="I585" s="308" t="s">
        <v>1140</v>
      </c>
      <c r="J585" s="308" t="s">
        <v>757</v>
      </c>
      <c r="K585" s="308" t="s">
        <v>741</v>
      </c>
      <c r="L585" s="309">
        <v>44196</v>
      </c>
      <c r="M585" s="312">
        <v>0</v>
      </c>
    </row>
    <row r="586" spans="1:13" hidden="1" x14ac:dyDescent="0.25">
      <c r="A586" s="309">
        <v>44196</v>
      </c>
      <c r="B586" s="308" t="s">
        <v>1160</v>
      </c>
      <c r="C586" s="308" t="s">
        <v>1060</v>
      </c>
      <c r="D586" s="310">
        <v>7</v>
      </c>
      <c r="E586" s="311">
        <v>-4999.9799999999996</v>
      </c>
      <c r="F586" s="311">
        <v>-92655.1899999999</v>
      </c>
      <c r="G586" s="308" t="s">
        <v>1161</v>
      </c>
      <c r="H586" s="308" t="s">
        <v>1329</v>
      </c>
      <c r="I586" s="308" t="s">
        <v>1140</v>
      </c>
      <c r="J586" s="308" t="s">
        <v>757</v>
      </c>
      <c r="K586" s="308" t="s">
        <v>741</v>
      </c>
      <c r="L586" s="309">
        <v>44196</v>
      </c>
      <c r="M586" s="312">
        <v>0</v>
      </c>
    </row>
    <row r="587" spans="1:13" hidden="1" x14ac:dyDescent="0.25">
      <c r="A587" s="309">
        <v>44230</v>
      </c>
      <c r="B587" s="308" t="s">
        <v>1166</v>
      </c>
      <c r="C587" s="308" t="s">
        <v>1060</v>
      </c>
      <c r="D587" s="310">
        <v>7</v>
      </c>
      <c r="E587" s="311">
        <v>4999.9799999999996</v>
      </c>
      <c r="F587" s="311">
        <v>-87655.209999999905</v>
      </c>
      <c r="G587" s="308" t="s">
        <v>1167</v>
      </c>
      <c r="H587" s="308" t="s">
        <v>1329</v>
      </c>
      <c r="I587" s="308" t="s">
        <v>1140</v>
      </c>
      <c r="J587" s="308" t="s">
        <v>757</v>
      </c>
      <c r="K587" s="308" t="s">
        <v>741</v>
      </c>
      <c r="L587" s="309">
        <v>44230</v>
      </c>
      <c r="M587" s="312">
        <v>0</v>
      </c>
    </row>
    <row r="588" spans="1:13" hidden="1" x14ac:dyDescent="0.25">
      <c r="A588" s="309">
        <v>44230</v>
      </c>
      <c r="B588" s="308" t="s">
        <v>1166</v>
      </c>
      <c r="C588" s="308" t="s">
        <v>1060</v>
      </c>
      <c r="D588" s="310">
        <v>8</v>
      </c>
      <c r="E588" s="311">
        <v>-4999.9799999999996</v>
      </c>
      <c r="F588" s="311">
        <v>-92655.1899999999</v>
      </c>
      <c r="G588" s="308" t="s">
        <v>1167</v>
      </c>
      <c r="H588" s="308" t="s">
        <v>1329</v>
      </c>
      <c r="I588" s="308" t="s">
        <v>1140</v>
      </c>
      <c r="J588" s="308" t="s">
        <v>757</v>
      </c>
      <c r="K588" s="308" t="s">
        <v>741</v>
      </c>
      <c r="L588" s="309">
        <v>44230</v>
      </c>
      <c r="M588" s="312">
        <v>0</v>
      </c>
    </row>
    <row r="589" spans="1:13" hidden="1" x14ac:dyDescent="0.25">
      <c r="A589" s="309">
        <v>44255</v>
      </c>
      <c r="B589" s="308" t="s">
        <v>1178</v>
      </c>
      <c r="C589" s="308" t="s">
        <v>1060</v>
      </c>
      <c r="D589" s="310">
        <v>8</v>
      </c>
      <c r="E589" s="311">
        <v>4999.9799999999996</v>
      </c>
      <c r="F589" s="311">
        <v>-87655.209999999905</v>
      </c>
      <c r="G589" s="308" t="s">
        <v>1179</v>
      </c>
      <c r="H589" s="308" t="s">
        <v>1329</v>
      </c>
      <c r="I589" s="308" t="s">
        <v>1140</v>
      </c>
      <c r="J589" s="308" t="s">
        <v>757</v>
      </c>
      <c r="K589" s="308" t="s">
        <v>741</v>
      </c>
      <c r="L589" s="309">
        <v>44255</v>
      </c>
      <c r="M589" s="312">
        <v>0</v>
      </c>
    </row>
    <row r="590" spans="1:13" hidden="1" x14ac:dyDescent="0.25">
      <c r="A590" s="309">
        <v>44255</v>
      </c>
      <c r="B590" s="308" t="s">
        <v>1178</v>
      </c>
      <c r="C590" s="308" t="s">
        <v>1060</v>
      </c>
      <c r="D590" s="310">
        <v>9</v>
      </c>
      <c r="E590" s="311">
        <v>-4999.9799999999996</v>
      </c>
      <c r="F590" s="311">
        <v>-92655.1899999999</v>
      </c>
      <c r="G590" s="308" t="s">
        <v>1179</v>
      </c>
      <c r="H590" s="308" t="s">
        <v>1329</v>
      </c>
      <c r="I590" s="308" t="s">
        <v>1140</v>
      </c>
      <c r="J590" s="308" t="s">
        <v>757</v>
      </c>
      <c r="K590" s="308" t="s">
        <v>741</v>
      </c>
      <c r="L590" s="309">
        <v>44255</v>
      </c>
      <c r="M590" s="312">
        <v>0</v>
      </c>
    </row>
    <row r="591" spans="1:13" hidden="1" x14ac:dyDescent="0.25">
      <c r="A591" s="309">
        <v>44286</v>
      </c>
      <c r="B591" s="308" t="s">
        <v>1181</v>
      </c>
      <c r="C591" s="308" t="s">
        <v>1060</v>
      </c>
      <c r="D591" s="310">
        <v>9</v>
      </c>
      <c r="E591" s="311">
        <v>4999.9799999999996</v>
      </c>
      <c r="F591" s="311">
        <v>-87655.209999999905</v>
      </c>
      <c r="G591" s="308" t="s">
        <v>1182</v>
      </c>
      <c r="H591" s="308" t="s">
        <v>1329</v>
      </c>
      <c r="I591" s="308" t="s">
        <v>1140</v>
      </c>
      <c r="J591" s="308" t="s">
        <v>757</v>
      </c>
      <c r="K591" s="308" t="s">
        <v>741</v>
      </c>
      <c r="L591" s="309">
        <v>44286</v>
      </c>
      <c r="M591" s="312">
        <v>0</v>
      </c>
    </row>
    <row r="592" spans="1:13" hidden="1" x14ac:dyDescent="0.25">
      <c r="A592" s="309">
        <v>44286</v>
      </c>
      <c r="B592" s="308" t="s">
        <v>1181</v>
      </c>
      <c r="C592" s="308" t="s">
        <v>1060</v>
      </c>
      <c r="D592" s="310">
        <v>10</v>
      </c>
      <c r="E592" s="311">
        <v>-4999.9799999999996</v>
      </c>
      <c r="F592" s="311">
        <v>-92655.1899999999</v>
      </c>
      <c r="G592" s="308" t="s">
        <v>1182</v>
      </c>
      <c r="H592" s="308" t="s">
        <v>1329</v>
      </c>
      <c r="I592" s="308" t="s">
        <v>1140</v>
      </c>
      <c r="J592" s="308" t="s">
        <v>757</v>
      </c>
      <c r="K592" s="308" t="s">
        <v>741</v>
      </c>
      <c r="L592" s="309">
        <v>44286</v>
      </c>
      <c r="M592" s="312">
        <v>0</v>
      </c>
    </row>
    <row r="593" spans="1:13" hidden="1" x14ac:dyDescent="0.25">
      <c r="A593" s="309">
        <v>44316</v>
      </c>
      <c r="B593" s="308" t="s">
        <v>1104</v>
      </c>
      <c r="C593" s="308" t="s">
        <v>1060</v>
      </c>
      <c r="D593" s="310">
        <v>10</v>
      </c>
      <c r="E593" s="311">
        <v>4999.9799999999996</v>
      </c>
      <c r="F593" s="311">
        <v>-87655.209999999905</v>
      </c>
      <c r="G593" s="308" t="s">
        <v>1096</v>
      </c>
      <c r="H593" s="308" t="s">
        <v>1329</v>
      </c>
      <c r="I593" s="308" t="s">
        <v>1140</v>
      </c>
      <c r="J593" s="308" t="s">
        <v>757</v>
      </c>
      <c r="K593" s="308" t="s">
        <v>741</v>
      </c>
      <c r="L593" s="309">
        <v>44316</v>
      </c>
      <c r="M593" s="312">
        <v>0</v>
      </c>
    </row>
    <row r="594" spans="1:13" hidden="1" x14ac:dyDescent="0.25">
      <c r="A594" s="309">
        <v>44165</v>
      </c>
      <c r="B594" s="308" t="s">
        <v>1158</v>
      </c>
      <c r="C594" s="308" t="s">
        <v>1060</v>
      </c>
      <c r="D594" s="310">
        <v>5</v>
      </c>
      <c r="E594" s="311">
        <v>64.900000000000006</v>
      </c>
      <c r="F594" s="311">
        <v>-92590.289999999906</v>
      </c>
      <c r="G594" s="308" t="s">
        <v>1159</v>
      </c>
      <c r="H594" s="308" t="s">
        <v>1330</v>
      </c>
      <c r="I594" s="308" t="s">
        <v>1140</v>
      </c>
      <c r="J594" s="308" t="s">
        <v>757</v>
      </c>
      <c r="K594" s="308" t="s">
        <v>741</v>
      </c>
      <c r="L594" s="309">
        <v>44165</v>
      </c>
      <c r="M594" s="312">
        <v>0</v>
      </c>
    </row>
    <row r="595" spans="1:13" hidden="1" x14ac:dyDescent="0.25">
      <c r="A595" s="309">
        <v>44165</v>
      </c>
      <c r="B595" s="308" t="s">
        <v>1158</v>
      </c>
      <c r="C595" s="308" t="s">
        <v>1060</v>
      </c>
      <c r="D595" s="310">
        <v>6</v>
      </c>
      <c r="E595" s="311">
        <v>-64.900000000000006</v>
      </c>
      <c r="F595" s="311">
        <v>-92655.1899999999</v>
      </c>
      <c r="G595" s="308" t="s">
        <v>1159</v>
      </c>
      <c r="H595" s="308" t="s">
        <v>1330</v>
      </c>
      <c r="I595" s="308" t="s">
        <v>1140</v>
      </c>
      <c r="J595" s="308" t="s">
        <v>757</v>
      </c>
      <c r="K595" s="308" t="s">
        <v>741</v>
      </c>
      <c r="L595" s="309">
        <v>44165</v>
      </c>
      <c r="M595" s="312">
        <v>0</v>
      </c>
    </row>
    <row r="596" spans="1:13" hidden="1" x14ac:dyDescent="0.25">
      <c r="A596" s="309">
        <v>44196</v>
      </c>
      <c r="B596" s="308" t="s">
        <v>1160</v>
      </c>
      <c r="C596" s="308" t="s">
        <v>1060</v>
      </c>
      <c r="D596" s="310">
        <v>6</v>
      </c>
      <c r="E596" s="311">
        <v>64.900000000000006</v>
      </c>
      <c r="F596" s="311">
        <v>-92590.289999999906</v>
      </c>
      <c r="G596" s="308" t="s">
        <v>1161</v>
      </c>
      <c r="H596" s="308" t="s">
        <v>1330</v>
      </c>
      <c r="I596" s="308" t="s">
        <v>1140</v>
      </c>
      <c r="J596" s="308" t="s">
        <v>757</v>
      </c>
      <c r="K596" s="308" t="s">
        <v>741</v>
      </c>
      <c r="L596" s="309">
        <v>44196</v>
      </c>
      <c r="M596" s="312">
        <v>0</v>
      </c>
    </row>
    <row r="597" spans="1:13" hidden="1" x14ac:dyDescent="0.25">
      <c r="A597" s="309">
        <v>44196</v>
      </c>
      <c r="B597" s="308" t="s">
        <v>1160</v>
      </c>
      <c r="C597" s="308" t="s">
        <v>1060</v>
      </c>
      <c r="D597" s="310">
        <v>7</v>
      </c>
      <c r="E597" s="311">
        <v>-64.900000000000006</v>
      </c>
      <c r="F597" s="311">
        <v>-92655.1899999999</v>
      </c>
      <c r="G597" s="308" t="s">
        <v>1161</v>
      </c>
      <c r="H597" s="308" t="s">
        <v>1330</v>
      </c>
      <c r="I597" s="308" t="s">
        <v>1140</v>
      </c>
      <c r="J597" s="308" t="s">
        <v>757</v>
      </c>
      <c r="K597" s="308" t="s">
        <v>741</v>
      </c>
      <c r="L597" s="309">
        <v>44196</v>
      </c>
      <c r="M597" s="312">
        <v>0</v>
      </c>
    </row>
    <row r="598" spans="1:13" hidden="1" x14ac:dyDescent="0.25">
      <c r="A598" s="309">
        <v>44230</v>
      </c>
      <c r="B598" s="308" t="s">
        <v>1166</v>
      </c>
      <c r="C598" s="308" t="s">
        <v>1060</v>
      </c>
      <c r="D598" s="310">
        <v>7</v>
      </c>
      <c r="E598" s="311">
        <v>64.900000000000006</v>
      </c>
      <c r="F598" s="311">
        <v>-92590.289999999906</v>
      </c>
      <c r="G598" s="308" t="s">
        <v>1167</v>
      </c>
      <c r="H598" s="308" t="s">
        <v>1330</v>
      </c>
      <c r="I598" s="308" t="s">
        <v>1140</v>
      </c>
      <c r="J598" s="308" t="s">
        <v>757</v>
      </c>
      <c r="K598" s="308" t="s">
        <v>741</v>
      </c>
      <c r="L598" s="309">
        <v>44230</v>
      </c>
      <c r="M598" s="312">
        <v>0</v>
      </c>
    </row>
    <row r="599" spans="1:13" hidden="1" x14ac:dyDescent="0.25">
      <c r="A599" s="309">
        <v>44230</v>
      </c>
      <c r="B599" s="308" t="s">
        <v>1166</v>
      </c>
      <c r="C599" s="308" t="s">
        <v>1060</v>
      </c>
      <c r="D599" s="310">
        <v>8</v>
      </c>
      <c r="E599" s="311">
        <v>-64.900000000000006</v>
      </c>
      <c r="F599" s="311">
        <v>-92655.1899999999</v>
      </c>
      <c r="G599" s="308" t="s">
        <v>1167</v>
      </c>
      <c r="H599" s="308" t="s">
        <v>1330</v>
      </c>
      <c r="I599" s="308" t="s">
        <v>1140</v>
      </c>
      <c r="J599" s="308" t="s">
        <v>757</v>
      </c>
      <c r="K599" s="308" t="s">
        <v>741</v>
      </c>
      <c r="L599" s="309">
        <v>44230</v>
      </c>
      <c r="M599" s="312">
        <v>0</v>
      </c>
    </row>
    <row r="600" spans="1:13" hidden="1" x14ac:dyDescent="0.25">
      <c r="A600" s="309">
        <v>44255</v>
      </c>
      <c r="B600" s="308" t="s">
        <v>1178</v>
      </c>
      <c r="C600" s="308" t="s">
        <v>1060</v>
      </c>
      <c r="D600" s="310">
        <v>8</v>
      </c>
      <c r="E600" s="311">
        <v>64.900000000000006</v>
      </c>
      <c r="F600" s="311">
        <v>-92590.289999999906</v>
      </c>
      <c r="G600" s="308" t="s">
        <v>1179</v>
      </c>
      <c r="H600" s="308" t="s">
        <v>1330</v>
      </c>
      <c r="I600" s="308" t="s">
        <v>1140</v>
      </c>
      <c r="J600" s="308" t="s">
        <v>757</v>
      </c>
      <c r="K600" s="308" t="s">
        <v>741</v>
      </c>
      <c r="L600" s="309">
        <v>44255</v>
      </c>
      <c r="M600" s="312">
        <v>0</v>
      </c>
    </row>
    <row r="601" spans="1:13" hidden="1" x14ac:dyDescent="0.25">
      <c r="A601" s="309">
        <v>44255</v>
      </c>
      <c r="B601" s="308" t="s">
        <v>1178</v>
      </c>
      <c r="C601" s="308" t="s">
        <v>1060</v>
      </c>
      <c r="D601" s="310">
        <v>9</v>
      </c>
      <c r="E601" s="311">
        <v>-64.900000000000006</v>
      </c>
      <c r="F601" s="311">
        <v>-92655.1899999999</v>
      </c>
      <c r="G601" s="308" t="s">
        <v>1179</v>
      </c>
      <c r="H601" s="308" t="s">
        <v>1330</v>
      </c>
      <c r="I601" s="308" t="s">
        <v>1140</v>
      </c>
      <c r="J601" s="308" t="s">
        <v>757</v>
      </c>
      <c r="K601" s="308" t="s">
        <v>741</v>
      </c>
      <c r="L601" s="309">
        <v>44255</v>
      </c>
      <c r="M601" s="312">
        <v>0</v>
      </c>
    </row>
    <row r="602" spans="1:13" hidden="1" x14ac:dyDescent="0.25">
      <c r="A602" s="309">
        <v>44286</v>
      </c>
      <c r="B602" s="308" t="s">
        <v>1181</v>
      </c>
      <c r="C602" s="308" t="s">
        <v>1060</v>
      </c>
      <c r="D602" s="310">
        <v>9</v>
      </c>
      <c r="E602" s="311">
        <v>64.900000000000006</v>
      </c>
      <c r="F602" s="311">
        <v>-92590.289999999906</v>
      </c>
      <c r="G602" s="308" t="s">
        <v>1182</v>
      </c>
      <c r="H602" s="308" t="s">
        <v>1330</v>
      </c>
      <c r="I602" s="308" t="s">
        <v>1140</v>
      </c>
      <c r="J602" s="308" t="s">
        <v>757</v>
      </c>
      <c r="K602" s="308" t="s">
        <v>741</v>
      </c>
      <c r="L602" s="309">
        <v>44286</v>
      </c>
      <c r="M602" s="312">
        <v>0</v>
      </c>
    </row>
    <row r="603" spans="1:13" hidden="1" x14ac:dyDescent="0.25">
      <c r="A603" s="309">
        <v>44286</v>
      </c>
      <c r="B603" s="308" t="s">
        <v>1181</v>
      </c>
      <c r="C603" s="308" t="s">
        <v>1060</v>
      </c>
      <c r="D603" s="310">
        <v>10</v>
      </c>
      <c r="E603" s="311">
        <v>-64.900000000000006</v>
      </c>
      <c r="F603" s="311">
        <v>-92655.1899999999</v>
      </c>
      <c r="G603" s="308" t="s">
        <v>1182</v>
      </c>
      <c r="H603" s="308" t="s">
        <v>1330</v>
      </c>
      <c r="I603" s="308" t="s">
        <v>1140</v>
      </c>
      <c r="J603" s="308" t="s">
        <v>757</v>
      </c>
      <c r="K603" s="308" t="s">
        <v>741</v>
      </c>
      <c r="L603" s="309">
        <v>44286</v>
      </c>
      <c r="M603" s="312">
        <v>0</v>
      </c>
    </row>
    <row r="604" spans="1:13" hidden="1" x14ac:dyDescent="0.25">
      <c r="A604" s="309">
        <v>44316</v>
      </c>
      <c r="B604" s="308" t="s">
        <v>1104</v>
      </c>
      <c r="C604" s="308" t="s">
        <v>1060</v>
      </c>
      <c r="D604" s="310">
        <v>10</v>
      </c>
      <c r="E604" s="311">
        <v>64.900000000000006</v>
      </c>
      <c r="F604" s="311">
        <v>-92590.289999999906</v>
      </c>
      <c r="G604" s="308" t="s">
        <v>1096</v>
      </c>
      <c r="H604" s="308" t="s">
        <v>1330</v>
      </c>
      <c r="I604" s="308" t="s">
        <v>1140</v>
      </c>
      <c r="J604" s="308" t="s">
        <v>757</v>
      </c>
      <c r="K604" s="308" t="s">
        <v>741</v>
      </c>
      <c r="L604" s="309">
        <v>44316</v>
      </c>
      <c r="M604" s="312">
        <v>0</v>
      </c>
    </row>
    <row r="605" spans="1:13" hidden="1" x14ac:dyDescent="0.25">
      <c r="A605" s="309">
        <v>44165</v>
      </c>
      <c r="B605" s="308" t="s">
        <v>1158</v>
      </c>
      <c r="C605" s="308" t="s">
        <v>1060</v>
      </c>
      <c r="D605" s="310">
        <v>5</v>
      </c>
      <c r="E605" s="311">
        <v>788.58</v>
      </c>
      <c r="F605" s="311">
        <v>-91866.609999999899</v>
      </c>
      <c r="G605" s="308" t="s">
        <v>1159</v>
      </c>
      <c r="H605" s="308" t="s">
        <v>1331</v>
      </c>
      <c r="I605" s="308" t="s">
        <v>1140</v>
      </c>
      <c r="J605" s="308" t="s">
        <v>757</v>
      </c>
      <c r="K605" s="308" t="s">
        <v>741</v>
      </c>
      <c r="L605" s="309">
        <v>44165</v>
      </c>
      <c r="M605" s="312">
        <v>0</v>
      </c>
    </row>
    <row r="606" spans="1:13" hidden="1" x14ac:dyDescent="0.25">
      <c r="A606" s="309">
        <v>44165</v>
      </c>
      <c r="B606" s="308" t="s">
        <v>1158</v>
      </c>
      <c r="C606" s="308" t="s">
        <v>1060</v>
      </c>
      <c r="D606" s="310">
        <v>6</v>
      </c>
      <c r="E606" s="311">
        <v>-788.58</v>
      </c>
      <c r="F606" s="311">
        <v>-92655.1899999999</v>
      </c>
      <c r="G606" s="308" t="s">
        <v>1159</v>
      </c>
      <c r="H606" s="308" t="s">
        <v>1331</v>
      </c>
      <c r="I606" s="308" t="s">
        <v>1140</v>
      </c>
      <c r="J606" s="308" t="s">
        <v>757</v>
      </c>
      <c r="K606" s="308" t="s">
        <v>741</v>
      </c>
      <c r="L606" s="309">
        <v>44165</v>
      </c>
      <c r="M606" s="312">
        <v>0</v>
      </c>
    </row>
    <row r="607" spans="1:13" hidden="1" x14ac:dyDescent="0.25">
      <c r="A607" s="309">
        <v>44196</v>
      </c>
      <c r="B607" s="308" t="s">
        <v>1160</v>
      </c>
      <c r="C607" s="308" t="s">
        <v>1060</v>
      </c>
      <c r="D607" s="310">
        <v>6</v>
      </c>
      <c r="E607" s="311">
        <v>1031.5999999999999</v>
      </c>
      <c r="F607" s="311">
        <v>-91623.589999999895</v>
      </c>
      <c r="G607" s="308" t="s">
        <v>1161</v>
      </c>
      <c r="H607" s="308" t="s">
        <v>1331</v>
      </c>
      <c r="I607" s="308" t="s">
        <v>1140</v>
      </c>
      <c r="J607" s="308" t="s">
        <v>757</v>
      </c>
      <c r="K607" s="308" t="s">
        <v>741</v>
      </c>
      <c r="L607" s="309">
        <v>44196</v>
      </c>
      <c r="M607" s="312">
        <v>0</v>
      </c>
    </row>
    <row r="608" spans="1:13" hidden="1" x14ac:dyDescent="0.25">
      <c r="A608" s="309">
        <v>44196</v>
      </c>
      <c r="B608" s="308" t="s">
        <v>1160</v>
      </c>
      <c r="C608" s="308" t="s">
        <v>1060</v>
      </c>
      <c r="D608" s="310">
        <v>7</v>
      </c>
      <c r="E608" s="311">
        <v>-1031.5999999999999</v>
      </c>
      <c r="F608" s="311">
        <v>-92655.1899999999</v>
      </c>
      <c r="G608" s="308" t="s">
        <v>1161</v>
      </c>
      <c r="H608" s="308" t="s">
        <v>1331</v>
      </c>
      <c r="I608" s="308" t="s">
        <v>1140</v>
      </c>
      <c r="J608" s="308" t="s">
        <v>757</v>
      </c>
      <c r="K608" s="308" t="s">
        <v>741</v>
      </c>
      <c r="L608" s="309">
        <v>44196</v>
      </c>
      <c r="M608" s="312">
        <v>0</v>
      </c>
    </row>
    <row r="609" spans="1:13" hidden="1" x14ac:dyDescent="0.25">
      <c r="A609" s="309">
        <v>44230</v>
      </c>
      <c r="B609" s="308" t="s">
        <v>1166</v>
      </c>
      <c r="C609" s="308" t="s">
        <v>1060</v>
      </c>
      <c r="D609" s="310">
        <v>7</v>
      </c>
      <c r="E609" s="311">
        <v>1185.92</v>
      </c>
      <c r="F609" s="311">
        <v>-91469.269999999902</v>
      </c>
      <c r="G609" s="308" t="s">
        <v>1167</v>
      </c>
      <c r="H609" s="308" t="s">
        <v>1331</v>
      </c>
      <c r="I609" s="308" t="s">
        <v>1140</v>
      </c>
      <c r="J609" s="308" t="s">
        <v>757</v>
      </c>
      <c r="K609" s="308" t="s">
        <v>741</v>
      </c>
      <c r="L609" s="309">
        <v>44230</v>
      </c>
      <c r="M609" s="312">
        <v>0</v>
      </c>
    </row>
    <row r="610" spans="1:13" hidden="1" x14ac:dyDescent="0.25">
      <c r="A610" s="309">
        <v>44230</v>
      </c>
      <c r="B610" s="308" t="s">
        <v>1166</v>
      </c>
      <c r="C610" s="308" t="s">
        <v>1060</v>
      </c>
      <c r="D610" s="310">
        <v>8</v>
      </c>
      <c r="E610" s="311">
        <v>-1185.92</v>
      </c>
      <c r="F610" s="311">
        <v>-92655.1899999999</v>
      </c>
      <c r="G610" s="308" t="s">
        <v>1167</v>
      </c>
      <c r="H610" s="308" t="s">
        <v>1331</v>
      </c>
      <c r="I610" s="308" t="s">
        <v>1140</v>
      </c>
      <c r="J610" s="308" t="s">
        <v>757</v>
      </c>
      <c r="K610" s="308" t="s">
        <v>741</v>
      </c>
      <c r="L610" s="309">
        <v>44230</v>
      </c>
      <c r="M610" s="312">
        <v>0</v>
      </c>
    </row>
    <row r="611" spans="1:13" hidden="1" x14ac:dyDescent="0.25">
      <c r="A611" s="309">
        <v>44255</v>
      </c>
      <c r="B611" s="308" t="s">
        <v>1178</v>
      </c>
      <c r="C611" s="308" t="s">
        <v>1060</v>
      </c>
      <c r="D611" s="310">
        <v>8</v>
      </c>
      <c r="E611" s="311">
        <v>1337.97</v>
      </c>
      <c r="F611" s="311">
        <v>-91317.219999999899</v>
      </c>
      <c r="G611" s="308" t="s">
        <v>1179</v>
      </c>
      <c r="H611" s="308" t="s">
        <v>1331</v>
      </c>
      <c r="I611" s="308" t="s">
        <v>1140</v>
      </c>
      <c r="J611" s="308" t="s">
        <v>757</v>
      </c>
      <c r="K611" s="308" t="s">
        <v>741</v>
      </c>
      <c r="L611" s="309">
        <v>44255</v>
      </c>
      <c r="M611" s="312">
        <v>0</v>
      </c>
    </row>
    <row r="612" spans="1:13" hidden="1" x14ac:dyDescent="0.25">
      <c r="A612" s="309">
        <v>44255</v>
      </c>
      <c r="B612" s="308" t="s">
        <v>1178</v>
      </c>
      <c r="C612" s="308" t="s">
        <v>1060</v>
      </c>
      <c r="D612" s="310">
        <v>9</v>
      </c>
      <c r="E612" s="311">
        <v>-1337.97</v>
      </c>
      <c r="F612" s="311">
        <v>-92655.1899999999</v>
      </c>
      <c r="G612" s="308" t="s">
        <v>1179</v>
      </c>
      <c r="H612" s="308" t="s">
        <v>1331</v>
      </c>
      <c r="I612" s="308" t="s">
        <v>1140</v>
      </c>
      <c r="J612" s="308" t="s">
        <v>757</v>
      </c>
      <c r="K612" s="308" t="s">
        <v>741</v>
      </c>
      <c r="L612" s="309">
        <v>44255</v>
      </c>
      <c r="M612" s="312">
        <v>0</v>
      </c>
    </row>
    <row r="613" spans="1:13" hidden="1" x14ac:dyDescent="0.25">
      <c r="A613" s="309">
        <v>44286</v>
      </c>
      <c r="B613" s="308" t="s">
        <v>1181</v>
      </c>
      <c r="C613" s="308" t="s">
        <v>1060</v>
      </c>
      <c r="D613" s="310">
        <v>9</v>
      </c>
      <c r="E613" s="311">
        <v>1607.73</v>
      </c>
      <c r="F613" s="311">
        <v>-91047.459999999905</v>
      </c>
      <c r="G613" s="308" t="s">
        <v>1182</v>
      </c>
      <c r="H613" s="308" t="s">
        <v>1331</v>
      </c>
      <c r="I613" s="308" t="s">
        <v>1140</v>
      </c>
      <c r="J613" s="308" t="s">
        <v>757</v>
      </c>
      <c r="K613" s="308" t="s">
        <v>741</v>
      </c>
      <c r="L613" s="309">
        <v>44286</v>
      </c>
      <c r="M613" s="312">
        <v>0</v>
      </c>
    </row>
    <row r="614" spans="1:13" hidden="1" x14ac:dyDescent="0.25">
      <c r="A614" s="309">
        <v>44286</v>
      </c>
      <c r="B614" s="308" t="s">
        <v>1181</v>
      </c>
      <c r="C614" s="308" t="s">
        <v>1060</v>
      </c>
      <c r="D614" s="310">
        <v>10</v>
      </c>
      <c r="E614" s="311">
        <v>-1607.73</v>
      </c>
      <c r="F614" s="311">
        <v>-92655.1899999999</v>
      </c>
      <c r="G614" s="308" t="s">
        <v>1182</v>
      </c>
      <c r="H614" s="308" t="s">
        <v>1331</v>
      </c>
      <c r="I614" s="308" t="s">
        <v>1140</v>
      </c>
      <c r="J614" s="308" t="s">
        <v>757</v>
      </c>
      <c r="K614" s="308" t="s">
        <v>741</v>
      </c>
      <c r="L614" s="309">
        <v>44286</v>
      </c>
      <c r="M614" s="312">
        <v>0</v>
      </c>
    </row>
    <row r="615" spans="1:13" hidden="1" x14ac:dyDescent="0.25">
      <c r="A615" s="309">
        <v>44316</v>
      </c>
      <c r="B615" s="308" t="s">
        <v>1104</v>
      </c>
      <c r="C615" s="308" t="s">
        <v>1060</v>
      </c>
      <c r="D615" s="310">
        <v>10</v>
      </c>
      <c r="E615" s="311">
        <v>2061.64</v>
      </c>
      <c r="F615" s="311">
        <v>-90593.549999999901</v>
      </c>
      <c r="G615" s="308" t="s">
        <v>1096</v>
      </c>
      <c r="H615" s="308" t="s">
        <v>1331</v>
      </c>
      <c r="I615" s="308" t="s">
        <v>1140</v>
      </c>
      <c r="J615" s="308" t="s">
        <v>757</v>
      </c>
      <c r="K615" s="308" t="s">
        <v>741</v>
      </c>
      <c r="L615" s="309">
        <v>44316</v>
      </c>
      <c r="M615" s="312">
        <v>0</v>
      </c>
    </row>
    <row r="616" spans="1:13" hidden="1" x14ac:dyDescent="0.25">
      <c r="A616" s="309">
        <v>44165</v>
      </c>
      <c r="B616" s="308" t="s">
        <v>1158</v>
      </c>
      <c r="C616" s="308" t="s">
        <v>1060</v>
      </c>
      <c r="D616" s="310">
        <v>5</v>
      </c>
      <c r="E616" s="311">
        <v>410.18</v>
      </c>
      <c r="F616" s="311">
        <v>-92245.009999999893</v>
      </c>
      <c r="G616" s="308" t="s">
        <v>1159</v>
      </c>
      <c r="H616" s="308" t="s">
        <v>1332</v>
      </c>
      <c r="I616" s="308" t="s">
        <v>1140</v>
      </c>
      <c r="J616" s="308" t="s">
        <v>757</v>
      </c>
      <c r="K616" s="308" t="s">
        <v>741</v>
      </c>
      <c r="L616" s="309">
        <v>44165</v>
      </c>
      <c r="M616" s="312">
        <v>0</v>
      </c>
    </row>
    <row r="617" spans="1:13" hidden="1" x14ac:dyDescent="0.25">
      <c r="A617" s="309">
        <v>44165</v>
      </c>
      <c r="B617" s="308" t="s">
        <v>1158</v>
      </c>
      <c r="C617" s="308" t="s">
        <v>1060</v>
      </c>
      <c r="D617" s="310">
        <v>6</v>
      </c>
      <c r="E617" s="311">
        <v>-410.18</v>
      </c>
      <c r="F617" s="311">
        <v>-92655.1899999999</v>
      </c>
      <c r="G617" s="308" t="s">
        <v>1159</v>
      </c>
      <c r="H617" s="308" t="s">
        <v>1332</v>
      </c>
      <c r="I617" s="308" t="s">
        <v>1140</v>
      </c>
      <c r="J617" s="308" t="s">
        <v>757</v>
      </c>
      <c r="K617" s="308" t="s">
        <v>741</v>
      </c>
      <c r="L617" s="309">
        <v>44165</v>
      </c>
      <c r="M617" s="312">
        <v>0</v>
      </c>
    </row>
    <row r="618" spans="1:13" hidden="1" x14ac:dyDescent="0.25">
      <c r="A618" s="309">
        <v>44196</v>
      </c>
      <c r="B618" s="308" t="s">
        <v>1160</v>
      </c>
      <c r="C618" s="308" t="s">
        <v>1060</v>
      </c>
      <c r="D618" s="310">
        <v>6</v>
      </c>
      <c r="E618" s="311">
        <v>552.89</v>
      </c>
      <c r="F618" s="311">
        <v>-92102.299999999901</v>
      </c>
      <c r="G618" s="308" t="s">
        <v>1161</v>
      </c>
      <c r="H618" s="308" t="s">
        <v>1332</v>
      </c>
      <c r="I618" s="308" t="s">
        <v>1140</v>
      </c>
      <c r="J618" s="308" t="s">
        <v>757</v>
      </c>
      <c r="K618" s="308" t="s">
        <v>741</v>
      </c>
      <c r="L618" s="309">
        <v>44196</v>
      </c>
      <c r="M618" s="312">
        <v>0</v>
      </c>
    </row>
    <row r="619" spans="1:13" hidden="1" x14ac:dyDescent="0.25">
      <c r="A619" s="309">
        <v>44196</v>
      </c>
      <c r="B619" s="308" t="s">
        <v>1160</v>
      </c>
      <c r="C619" s="308" t="s">
        <v>1060</v>
      </c>
      <c r="D619" s="310">
        <v>7</v>
      </c>
      <c r="E619" s="311">
        <v>-552.89</v>
      </c>
      <c r="F619" s="311">
        <v>-92655.1899999999</v>
      </c>
      <c r="G619" s="308" t="s">
        <v>1161</v>
      </c>
      <c r="H619" s="308" t="s">
        <v>1332</v>
      </c>
      <c r="I619" s="308" t="s">
        <v>1140</v>
      </c>
      <c r="J619" s="308" t="s">
        <v>757</v>
      </c>
      <c r="K619" s="308" t="s">
        <v>741</v>
      </c>
      <c r="L619" s="309">
        <v>44196</v>
      </c>
      <c r="M619" s="312">
        <v>0</v>
      </c>
    </row>
    <row r="620" spans="1:13" hidden="1" x14ac:dyDescent="0.25">
      <c r="A620" s="309">
        <v>44230</v>
      </c>
      <c r="B620" s="308" t="s">
        <v>1166</v>
      </c>
      <c r="C620" s="308" t="s">
        <v>1060</v>
      </c>
      <c r="D620" s="310">
        <v>7</v>
      </c>
      <c r="E620" s="311">
        <v>567.64</v>
      </c>
      <c r="F620" s="311">
        <v>-92087.549999999901</v>
      </c>
      <c r="G620" s="308" t="s">
        <v>1167</v>
      </c>
      <c r="H620" s="308" t="s">
        <v>1332</v>
      </c>
      <c r="I620" s="308" t="s">
        <v>1140</v>
      </c>
      <c r="J620" s="308" t="s">
        <v>757</v>
      </c>
      <c r="K620" s="308" t="s">
        <v>741</v>
      </c>
      <c r="L620" s="309">
        <v>44230</v>
      </c>
      <c r="M620" s="312">
        <v>0</v>
      </c>
    </row>
    <row r="621" spans="1:13" hidden="1" x14ac:dyDescent="0.25">
      <c r="A621" s="309">
        <v>44230</v>
      </c>
      <c r="B621" s="308" t="s">
        <v>1166</v>
      </c>
      <c r="C621" s="308" t="s">
        <v>1060</v>
      </c>
      <c r="D621" s="310">
        <v>8</v>
      </c>
      <c r="E621" s="311">
        <v>-567.64</v>
      </c>
      <c r="F621" s="311">
        <v>-92655.1899999999</v>
      </c>
      <c r="G621" s="308" t="s">
        <v>1167</v>
      </c>
      <c r="H621" s="308" t="s">
        <v>1332</v>
      </c>
      <c r="I621" s="308" t="s">
        <v>1140</v>
      </c>
      <c r="J621" s="308" t="s">
        <v>757</v>
      </c>
      <c r="K621" s="308" t="s">
        <v>741</v>
      </c>
      <c r="L621" s="309">
        <v>44230</v>
      </c>
      <c r="M621" s="312">
        <v>0</v>
      </c>
    </row>
    <row r="622" spans="1:13" hidden="1" x14ac:dyDescent="0.25">
      <c r="A622" s="309">
        <v>44255</v>
      </c>
      <c r="B622" s="308" t="s">
        <v>1178</v>
      </c>
      <c r="C622" s="308" t="s">
        <v>1060</v>
      </c>
      <c r="D622" s="310">
        <v>8</v>
      </c>
      <c r="E622" s="311">
        <v>567.64</v>
      </c>
      <c r="F622" s="311">
        <v>-92087.549999999901</v>
      </c>
      <c r="G622" s="308" t="s">
        <v>1179</v>
      </c>
      <c r="H622" s="308" t="s">
        <v>1332</v>
      </c>
      <c r="I622" s="308" t="s">
        <v>1140</v>
      </c>
      <c r="J622" s="308" t="s">
        <v>757</v>
      </c>
      <c r="K622" s="308" t="s">
        <v>741</v>
      </c>
      <c r="L622" s="309">
        <v>44255</v>
      </c>
      <c r="M622" s="312">
        <v>0</v>
      </c>
    </row>
    <row r="623" spans="1:13" hidden="1" x14ac:dyDescent="0.25">
      <c r="A623" s="309">
        <v>44255</v>
      </c>
      <c r="B623" s="308" t="s">
        <v>1178</v>
      </c>
      <c r="C623" s="308" t="s">
        <v>1060</v>
      </c>
      <c r="D623" s="310">
        <v>9</v>
      </c>
      <c r="E623" s="311">
        <v>-567.64</v>
      </c>
      <c r="F623" s="311">
        <v>-92655.1899999999</v>
      </c>
      <c r="G623" s="308" t="s">
        <v>1179</v>
      </c>
      <c r="H623" s="308" t="s">
        <v>1332</v>
      </c>
      <c r="I623" s="308" t="s">
        <v>1140</v>
      </c>
      <c r="J623" s="308" t="s">
        <v>757</v>
      </c>
      <c r="K623" s="308" t="s">
        <v>741</v>
      </c>
      <c r="L623" s="309">
        <v>44255</v>
      </c>
      <c r="M623" s="312">
        <v>0</v>
      </c>
    </row>
    <row r="624" spans="1:13" hidden="1" x14ac:dyDescent="0.25">
      <c r="A624" s="309">
        <v>44286</v>
      </c>
      <c r="B624" s="308" t="s">
        <v>1181</v>
      </c>
      <c r="C624" s="308" t="s">
        <v>1060</v>
      </c>
      <c r="D624" s="310">
        <v>9</v>
      </c>
      <c r="E624" s="311">
        <v>567.64</v>
      </c>
      <c r="F624" s="311">
        <v>-92087.549999999901</v>
      </c>
      <c r="G624" s="308" t="s">
        <v>1182</v>
      </c>
      <c r="H624" s="308" t="s">
        <v>1332</v>
      </c>
      <c r="I624" s="308" t="s">
        <v>1140</v>
      </c>
      <c r="J624" s="308" t="s">
        <v>757</v>
      </c>
      <c r="K624" s="308" t="s">
        <v>741</v>
      </c>
      <c r="L624" s="309">
        <v>44286</v>
      </c>
      <c r="M624" s="312">
        <v>0</v>
      </c>
    </row>
    <row r="625" spans="1:13" hidden="1" x14ac:dyDescent="0.25">
      <c r="A625" s="309">
        <v>44286</v>
      </c>
      <c r="B625" s="308" t="s">
        <v>1181</v>
      </c>
      <c r="C625" s="308" t="s">
        <v>1060</v>
      </c>
      <c r="D625" s="310">
        <v>10</v>
      </c>
      <c r="E625" s="311">
        <v>-567.64</v>
      </c>
      <c r="F625" s="311">
        <v>-92655.1899999999</v>
      </c>
      <c r="G625" s="308" t="s">
        <v>1182</v>
      </c>
      <c r="H625" s="308" t="s">
        <v>1332</v>
      </c>
      <c r="I625" s="308" t="s">
        <v>1140</v>
      </c>
      <c r="J625" s="308" t="s">
        <v>757</v>
      </c>
      <c r="K625" s="308" t="s">
        <v>741</v>
      </c>
      <c r="L625" s="309">
        <v>44286</v>
      </c>
      <c r="M625" s="312">
        <v>0</v>
      </c>
    </row>
    <row r="626" spans="1:13" hidden="1" x14ac:dyDescent="0.25">
      <c r="A626" s="309">
        <v>44316</v>
      </c>
      <c r="B626" s="308" t="s">
        <v>1104</v>
      </c>
      <c r="C626" s="308" t="s">
        <v>1060</v>
      </c>
      <c r="D626" s="310">
        <v>10</v>
      </c>
      <c r="E626" s="311">
        <v>567.64</v>
      </c>
      <c r="F626" s="311">
        <v>-92087.549999999901</v>
      </c>
      <c r="G626" s="308" t="s">
        <v>1096</v>
      </c>
      <c r="H626" s="308" t="s">
        <v>1332</v>
      </c>
      <c r="I626" s="308" t="s">
        <v>1140</v>
      </c>
      <c r="J626" s="308" t="s">
        <v>757</v>
      </c>
      <c r="K626" s="308" t="s">
        <v>741</v>
      </c>
      <c r="L626" s="309">
        <v>44316</v>
      </c>
      <c r="M626" s="312">
        <v>0</v>
      </c>
    </row>
    <row r="627" spans="1:13" hidden="1" x14ac:dyDescent="0.25">
      <c r="A627" s="309">
        <v>44012</v>
      </c>
      <c r="B627" s="308" t="s">
        <v>1141</v>
      </c>
      <c r="C627" s="308" t="s">
        <v>1059</v>
      </c>
      <c r="D627" s="310">
        <v>1</v>
      </c>
      <c r="E627" s="311">
        <v>-1068.71</v>
      </c>
      <c r="F627" s="311">
        <v>-93723.899999999907</v>
      </c>
      <c r="G627" s="308" t="s">
        <v>1142</v>
      </c>
      <c r="H627" s="308" t="s">
        <v>1333</v>
      </c>
      <c r="I627" s="308" t="s">
        <v>1140</v>
      </c>
      <c r="J627" s="308" t="s">
        <v>757</v>
      </c>
      <c r="K627" s="308" t="s">
        <v>741</v>
      </c>
      <c r="L627" s="309">
        <v>44012</v>
      </c>
      <c r="M627" s="312">
        <v>0</v>
      </c>
    </row>
    <row r="628" spans="1:13" hidden="1" x14ac:dyDescent="0.25">
      <c r="A628" s="309">
        <v>44043</v>
      </c>
      <c r="B628" s="308" t="s">
        <v>1143</v>
      </c>
      <c r="C628" s="308" t="s">
        <v>1060</v>
      </c>
      <c r="D628" s="310">
        <v>1</v>
      </c>
      <c r="E628" s="311">
        <v>1068.71</v>
      </c>
      <c r="F628" s="311">
        <v>-92655.1899999999</v>
      </c>
      <c r="G628" s="308" t="s">
        <v>1144</v>
      </c>
      <c r="H628" s="308" t="s">
        <v>1333</v>
      </c>
      <c r="I628" s="308" t="s">
        <v>1140</v>
      </c>
      <c r="J628" s="308" t="s">
        <v>757</v>
      </c>
      <c r="K628" s="308" t="s">
        <v>741</v>
      </c>
      <c r="L628" s="309">
        <v>44043</v>
      </c>
      <c r="M628" s="312">
        <v>0</v>
      </c>
    </row>
    <row r="629" spans="1:13" hidden="1" x14ac:dyDescent="0.25">
      <c r="A629" s="309">
        <v>44043</v>
      </c>
      <c r="B629" s="308" t="s">
        <v>1143</v>
      </c>
      <c r="C629" s="308" t="s">
        <v>1060</v>
      </c>
      <c r="D629" s="310">
        <v>2</v>
      </c>
      <c r="E629" s="311">
        <v>-1068.71</v>
      </c>
      <c r="F629" s="311">
        <v>-93723.899999999907</v>
      </c>
      <c r="G629" s="308" t="s">
        <v>1144</v>
      </c>
      <c r="H629" s="308" t="s">
        <v>1333</v>
      </c>
      <c r="I629" s="308" t="s">
        <v>1140</v>
      </c>
      <c r="J629" s="308" t="s">
        <v>757</v>
      </c>
      <c r="K629" s="308" t="s">
        <v>741</v>
      </c>
      <c r="L629" s="309">
        <v>44043</v>
      </c>
      <c r="M629" s="312">
        <v>0</v>
      </c>
    </row>
    <row r="630" spans="1:13" hidden="1" x14ac:dyDescent="0.25">
      <c r="A630" s="309">
        <v>44074</v>
      </c>
      <c r="B630" s="308" t="s">
        <v>1147</v>
      </c>
      <c r="C630" s="308" t="s">
        <v>1060</v>
      </c>
      <c r="D630" s="310">
        <v>2</v>
      </c>
      <c r="E630" s="311">
        <v>1068.71</v>
      </c>
      <c r="F630" s="311">
        <v>-92655.1899999999</v>
      </c>
      <c r="G630" s="308" t="s">
        <v>1148</v>
      </c>
      <c r="H630" s="308" t="s">
        <v>1333</v>
      </c>
      <c r="I630" s="308" t="s">
        <v>1140</v>
      </c>
      <c r="J630" s="308" t="s">
        <v>757</v>
      </c>
      <c r="K630" s="308" t="s">
        <v>741</v>
      </c>
      <c r="L630" s="309">
        <v>44074</v>
      </c>
      <c r="M630" s="312">
        <v>0</v>
      </c>
    </row>
    <row r="631" spans="1:13" hidden="1" x14ac:dyDescent="0.25">
      <c r="A631" s="309">
        <v>44074</v>
      </c>
      <c r="B631" s="308" t="s">
        <v>1147</v>
      </c>
      <c r="C631" s="308" t="s">
        <v>1060</v>
      </c>
      <c r="D631" s="310">
        <v>3</v>
      </c>
      <c r="E631" s="311">
        <v>-1068.71</v>
      </c>
      <c r="F631" s="311">
        <v>-93723.899999999907</v>
      </c>
      <c r="G631" s="308" t="s">
        <v>1148</v>
      </c>
      <c r="H631" s="308" t="s">
        <v>1333</v>
      </c>
      <c r="I631" s="308" t="s">
        <v>1140</v>
      </c>
      <c r="J631" s="308" t="s">
        <v>757</v>
      </c>
      <c r="K631" s="308" t="s">
        <v>741</v>
      </c>
      <c r="L631" s="309">
        <v>44074</v>
      </c>
      <c r="M631" s="312">
        <v>0</v>
      </c>
    </row>
    <row r="632" spans="1:13" hidden="1" x14ac:dyDescent="0.25">
      <c r="A632" s="309">
        <v>44104</v>
      </c>
      <c r="B632" s="308" t="s">
        <v>1198</v>
      </c>
      <c r="C632" s="308" t="s">
        <v>1060</v>
      </c>
      <c r="D632" s="310">
        <v>3</v>
      </c>
      <c r="E632" s="311">
        <v>1068.71</v>
      </c>
      <c r="F632" s="311">
        <v>-92655.1899999999</v>
      </c>
      <c r="G632" s="308" t="s">
        <v>1199</v>
      </c>
      <c r="H632" s="308" t="s">
        <v>1333</v>
      </c>
      <c r="I632" s="308" t="s">
        <v>1140</v>
      </c>
      <c r="J632" s="308" t="s">
        <v>757</v>
      </c>
      <c r="K632" s="308" t="s">
        <v>741</v>
      </c>
      <c r="L632" s="309">
        <v>44104</v>
      </c>
      <c r="M632" s="312">
        <v>0</v>
      </c>
    </row>
    <row r="633" spans="1:13" hidden="1" x14ac:dyDescent="0.25">
      <c r="A633" s="309">
        <v>44104</v>
      </c>
      <c r="B633" s="308" t="s">
        <v>1198</v>
      </c>
      <c r="C633" s="308" t="s">
        <v>1060</v>
      </c>
      <c r="D633" s="310">
        <v>4</v>
      </c>
      <c r="E633" s="311">
        <v>-1068.71</v>
      </c>
      <c r="F633" s="311">
        <v>-93723.899999999907</v>
      </c>
      <c r="G633" s="308" t="s">
        <v>1199</v>
      </c>
      <c r="H633" s="308" t="s">
        <v>1333</v>
      </c>
      <c r="I633" s="308" t="s">
        <v>1140</v>
      </c>
      <c r="J633" s="308" t="s">
        <v>757</v>
      </c>
      <c r="K633" s="308" t="s">
        <v>741</v>
      </c>
      <c r="L633" s="309">
        <v>44104</v>
      </c>
      <c r="M633" s="312">
        <v>0</v>
      </c>
    </row>
    <row r="634" spans="1:13" hidden="1" x14ac:dyDescent="0.25">
      <c r="A634" s="309">
        <v>44135</v>
      </c>
      <c r="B634" s="308" t="s">
        <v>1200</v>
      </c>
      <c r="C634" s="308" t="s">
        <v>1060</v>
      </c>
      <c r="D634" s="310">
        <v>4</v>
      </c>
      <c r="E634" s="311">
        <v>1068.71</v>
      </c>
      <c r="F634" s="311">
        <v>-92655.1899999999</v>
      </c>
      <c r="G634" s="308" t="s">
        <v>1201</v>
      </c>
      <c r="H634" s="308" t="s">
        <v>1333</v>
      </c>
      <c r="I634" s="308" t="s">
        <v>1140</v>
      </c>
      <c r="J634" s="308" t="s">
        <v>757</v>
      </c>
      <c r="K634" s="308" t="s">
        <v>741</v>
      </c>
      <c r="L634" s="309">
        <v>44135</v>
      </c>
      <c r="M634" s="312">
        <v>0</v>
      </c>
    </row>
    <row r="635" spans="1:13" hidden="1" x14ac:dyDescent="0.25">
      <c r="A635" s="309">
        <v>44135</v>
      </c>
      <c r="B635" s="308" t="s">
        <v>1200</v>
      </c>
      <c r="C635" s="308" t="s">
        <v>1060</v>
      </c>
      <c r="D635" s="310">
        <v>5</v>
      </c>
      <c r="E635" s="311">
        <v>-1068.71</v>
      </c>
      <c r="F635" s="311">
        <v>-93723.899999999907</v>
      </c>
      <c r="G635" s="308" t="s">
        <v>1201</v>
      </c>
      <c r="H635" s="308" t="s">
        <v>1333</v>
      </c>
      <c r="I635" s="308" t="s">
        <v>1140</v>
      </c>
      <c r="J635" s="308" t="s">
        <v>757</v>
      </c>
      <c r="K635" s="308" t="s">
        <v>741</v>
      </c>
      <c r="L635" s="309">
        <v>44135</v>
      </c>
      <c r="M635" s="312">
        <v>0</v>
      </c>
    </row>
    <row r="636" spans="1:13" hidden="1" x14ac:dyDescent="0.25">
      <c r="A636" s="309">
        <v>44165</v>
      </c>
      <c r="B636" s="308" t="s">
        <v>1158</v>
      </c>
      <c r="C636" s="308" t="s">
        <v>1060</v>
      </c>
      <c r="D636" s="310">
        <v>5</v>
      </c>
      <c r="E636" s="311">
        <v>1068.71</v>
      </c>
      <c r="F636" s="311">
        <v>-92655.1899999999</v>
      </c>
      <c r="G636" s="308" t="s">
        <v>1159</v>
      </c>
      <c r="H636" s="308" t="s">
        <v>1333</v>
      </c>
      <c r="I636" s="308" t="s">
        <v>1140</v>
      </c>
      <c r="J636" s="308" t="s">
        <v>757</v>
      </c>
      <c r="K636" s="308" t="s">
        <v>741</v>
      </c>
      <c r="L636" s="309">
        <v>44165</v>
      </c>
      <c r="M636" s="312">
        <v>0</v>
      </c>
    </row>
    <row r="637" spans="1:13" hidden="1" x14ac:dyDescent="0.25">
      <c r="A637" s="309">
        <v>44165</v>
      </c>
      <c r="B637" s="308" t="s">
        <v>1158</v>
      </c>
      <c r="C637" s="308" t="s">
        <v>1060</v>
      </c>
      <c r="D637" s="310">
        <v>6</v>
      </c>
      <c r="E637" s="311">
        <v>-1068.71</v>
      </c>
      <c r="F637" s="311">
        <v>-93723.899999999907</v>
      </c>
      <c r="G637" s="308" t="s">
        <v>1159</v>
      </c>
      <c r="H637" s="308" t="s">
        <v>1333</v>
      </c>
      <c r="I637" s="308" t="s">
        <v>1140</v>
      </c>
      <c r="J637" s="308" t="s">
        <v>757</v>
      </c>
      <c r="K637" s="308" t="s">
        <v>741</v>
      </c>
      <c r="L637" s="309">
        <v>44165</v>
      </c>
      <c r="M637" s="312">
        <v>0</v>
      </c>
    </row>
    <row r="638" spans="1:13" hidden="1" x14ac:dyDescent="0.25">
      <c r="A638" s="309">
        <v>44012</v>
      </c>
      <c r="B638" s="308" t="s">
        <v>1141</v>
      </c>
      <c r="C638" s="308" t="s">
        <v>1059</v>
      </c>
      <c r="D638" s="310">
        <v>1</v>
      </c>
      <c r="E638" s="311">
        <v>-1603.07</v>
      </c>
      <c r="F638" s="311">
        <v>-95326.969999999899</v>
      </c>
      <c r="G638" s="308" t="s">
        <v>1142</v>
      </c>
      <c r="H638" s="308" t="s">
        <v>1334</v>
      </c>
      <c r="I638" s="308" t="s">
        <v>1140</v>
      </c>
      <c r="J638" s="308" t="s">
        <v>757</v>
      </c>
      <c r="K638" s="308" t="s">
        <v>741</v>
      </c>
      <c r="L638" s="309">
        <v>44012</v>
      </c>
      <c r="M638" s="312">
        <v>0</v>
      </c>
    </row>
    <row r="639" spans="1:13" hidden="1" x14ac:dyDescent="0.25">
      <c r="A639" s="309">
        <v>44043</v>
      </c>
      <c r="B639" s="308" t="s">
        <v>1143</v>
      </c>
      <c r="C639" s="308" t="s">
        <v>1060</v>
      </c>
      <c r="D639" s="310">
        <v>1</v>
      </c>
      <c r="E639" s="311">
        <v>1603.07</v>
      </c>
      <c r="F639" s="311">
        <v>-93723.899999999907</v>
      </c>
      <c r="G639" s="308" t="s">
        <v>1144</v>
      </c>
      <c r="H639" s="308" t="s">
        <v>1334</v>
      </c>
      <c r="I639" s="308" t="s">
        <v>1140</v>
      </c>
      <c r="J639" s="308" t="s">
        <v>757</v>
      </c>
      <c r="K639" s="308" t="s">
        <v>741</v>
      </c>
      <c r="L639" s="309">
        <v>44043</v>
      </c>
      <c r="M639" s="312">
        <v>0</v>
      </c>
    </row>
    <row r="640" spans="1:13" hidden="1" x14ac:dyDescent="0.25">
      <c r="A640" s="309">
        <v>44043</v>
      </c>
      <c r="B640" s="308" t="s">
        <v>1143</v>
      </c>
      <c r="C640" s="308" t="s">
        <v>1060</v>
      </c>
      <c r="D640" s="310">
        <v>2</v>
      </c>
      <c r="E640" s="311">
        <v>-1603.07</v>
      </c>
      <c r="F640" s="311">
        <v>-95326.969999999899</v>
      </c>
      <c r="G640" s="308" t="s">
        <v>1144</v>
      </c>
      <c r="H640" s="308" t="s">
        <v>1334</v>
      </c>
      <c r="I640" s="308" t="s">
        <v>1140</v>
      </c>
      <c r="J640" s="308" t="s">
        <v>757</v>
      </c>
      <c r="K640" s="308" t="s">
        <v>741</v>
      </c>
      <c r="L640" s="309">
        <v>44043</v>
      </c>
      <c r="M640" s="312">
        <v>0</v>
      </c>
    </row>
    <row r="641" spans="1:13" hidden="1" x14ac:dyDescent="0.25">
      <c r="A641" s="309">
        <v>44074</v>
      </c>
      <c r="B641" s="308" t="s">
        <v>1147</v>
      </c>
      <c r="C641" s="308" t="s">
        <v>1060</v>
      </c>
      <c r="D641" s="310">
        <v>2</v>
      </c>
      <c r="E641" s="311">
        <v>1603.07</v>
      </c>
      <c r="F641" s="311">
        <v>-93723.899999999907</v>
      </c>
      <c r="G641" s="308" t="s">
        <v>1148</v>
      </c>
      <c r="H641" s="308" t="s">
        <v>1334</v>
      </c>
      <c r="I641" s="308" t="s">
        <v>1140</v>
      </c>
      <c r="J641" s="308" t="s">
        <v>757</v>
      </c>
      <c r="K641" s="308" t="s">
        <v>741</v>
      </c>
      <c r="L641" s="309">
        <v>44074</v>
      </c>
      <c r="M641" s="312">
        <v>0</v>
      </c>
    </row>
    <row r="642" spans="1:13" hidden="1" x14ac:dyDescent="0.25">
      <c r="A642" s="309">
        <v>44074</v>
      </c>
      <c r="B642" s="308" t="s">
        <v>1147</v>
      </c>
      <c r="C642" s="308" t="s">
        <v>1060</v>
      </c>
      <c r="D642" s="310">
        <v>3</v>
      </c>
      <c r="E642" s="311">
        <v>-1603.07</v>
      </c>
      <c r="F642" s="311">
        <v>-95326.969999999899</v>
      </c>
      <c r="G642" s="308" t="s">
        <v>1148</v>
      </c>
      <c r="H642" s="308" t="s">
        <v>1334</v>
      </c>
      <c r="I642" s="308" t="s">
        <v>1140</v>
      </c>
      <c r="J642" s="308" t="s">
        <v>757</v>
      </c>
      <c r="K642" s="308" t="s">
        <v>741</v>
      </c>
      <c r="L642" s="309">
        <v>44074</v>
      </c>
      <c r="M642" s="312">
        <v>0</v>
      </c>
    </row>
    <row r="643" spans="1:13" hidden="1" x14ac:dyDescent="0.25">
      <c r="A643" s="309">
        <v>44104</v>
      </c>
      <c r="B643" s="308" t="s">
        <v>1198</v>
      </c>
      <c r="C643" s="308" t="s">
        <v>1060</v>
      </c>
      <c r="D643" s="310">
        <v>3</v>
      </c>
      <c r="E643" s="311">
        <v>1603.07</v>
      </c>
      <c r="F643" s="311">
        <v>-93723.899999999907</v>
      </c>
      <c r="G643" s="308" t="s">
        <v>1199</v>
      </c>
      <c r="H643" s="308" t="s">
        <v>1334</v>
      </c>
      <c r="I643" s="308" t="s">
        <v>1140</v>
      </c>
      <c r="J643" s="308" t="s">
        <v>757</v>
      </c>
      <c r="K643" s="308" t="s">
        <v>741</v>
      </c>
      <c r="L643" s="309">
        <v>44104</v>
      </c>
      <c r="M643" s="312">
        <v>0</v>
      </c>
    </row>
    <row r="644" spans="1:13" hidden="1" x14ac:dyDescent="0.25">
      <c r="A644" s="309">
        <v>44104</v>
      </c>
      <c r="B644" s="308" t="s">
        <v>1198</v>
      </c>
      <c r="C644" s="308" t="s">
        <v>1060</v>
      </c>
      <c r="D644" s="310">
        <v>4</v>
      </c>
      <c r="E644" s="311">
        <v>-1603.07</v>
      </c>
      <c r="F644" s="311">
        <v>-95326.969999999899</v>
      </c>
      <c r="G644" s="308" t="s">
        <v>1199</v>
      </c>
      <c r="H644" s="308" t="s">
        <v>1334</v>
      </c>
      <c r="I644" s="308" t="s">
        <v>1140</v>
      </c>
      <c r="J644" s="308" t="s">
        <v>757</v>
      </c>
      <c r="K644" s="308" t="s">
        <v>741</v>
      </c>
      <c r="L644" s="309">
        <v>44104</v>
      </c>
      <c r="M644" s="312">
        <v>0</v>
      </c>
    </row>
    <row r="645" spans="1:13" hidden="1" x14ac:dyDescent="0.25">
      <c r="A645" s="309">
        <v>44135</v>
      </c>
      <c r="B645" s="308" t="s">
        <v>1200</v>
      </c>
      <c r="C645" s="308" t="s">
        <v>1060</v>
      </c>
      <c r="D645" s="310">
        <v>4</v>
      </c>
      <c r="E645" s="311">
        <v>1603.07</v>
      </c>
      <c r="F645" s="311">
        <v>-93723.899999999907</v>
      </c>
      <c r="G645" s="308" t="s">
        <v>1201</v>
      </c>
      <c r="H645" s="308" t="s">
        <v>1334</v>
      </c>
      <c r="I645" s="308" t="s">
        <v>1140</v>
      </c>
      <c r="J645" s="308" t="s">
        <v>757</v>
      </c>
      <c r="K645" s="308" t="s">
        <v>741</v>
      </c>
      <c r="L645" s="309">
        <v>44135</v>
      </c>
      <c r="M645" s="312">
        <v>0</v>
      </c>
    </row>
    <row r="646" spans="1:13" hidden="1" x14ac:dyDescent="0.25">
      <c r="A646" s="309">
        <v>44135</v>
      </c>
      <c r="B646" s="308" t="s">
        <v>1200</v>
      </c>
      <c r="C646" s="308" t="s">
        <v>1060</v>
      </c>
      <c r="D646" s="310">
        <v>5</v>
      </c>
      <c r="E646" s="311">
        <v>-1603.07</v>
      </c>
      <c r="F646" s="311">
        <v>-95326.969999999899</v>
      </c>
      <c r="G646" s="308" t="s">
        <v>1201</v>
      </c>
      <c r="H646" s="308" t="s">
        <v>1334</v>
      </c>
      <c r="I646" s="308" t="s">
        <v>1140</v>
      </c>
      <c r="J646" s="308" t="s">
        <v>757</v>
      </c>
      <c r="K646" s="308" t="s">
        <v>741</v>
      </c>
      <c r="L646" s="309">
        <v>44135</v>
      </c>
      <c r="M646" s="312">
        <v>0</v>
      </c>
    </row>
    <row r="647" spans="1:13" hidden="1" x14ac:dyDescent="0.25">
      <c r="A647" s="309">
        <v>44165</v>
      </c>
      <c r="B647" s="308" t="s">
        <v>1158</v>
      </c>
      <c r="C647" s="308" t="s">
        <v>1060</v>
      </c>
      <c r="D647" s="310">
        <v>5</v>
      </c>
      <c r="E647" s="311">
        <v>1603.07</v>
      </c>
      <c r="F647" s="311">
        <v>-93723.899999999907</v>
      </c>
      <c r="G647" s="308" t="s">
        <v>1159</v>
      </c>
      <c r="H647" s="308" t="s">
        <v>1334</v>
      </c>
      <c r="I647" s="308" t="s">
        <v>1140</v>
      </c>
      <c r="J647" s="308" t="s">
        <v>757</v>
      </c>
      <c r="K647" s="308" t="s">
        <v>741</v>
      </c>
      <c r="L647" s="309">
        <v>44165</v>
      </c>
      <c r="M647" s="312">
        <v>0</v>
      </c>
    </row>
    <row r="648" spans="1:13" hidden="1" x14ac:dyDescent="0.25">
      <c r="A648" s="309">
        <v>44165</v>
      </c>
      <c r="B648" s="308" t="s">
        <v>1158</v>
      </c>
      <c r="C648" s="308" t="s">
        <v>1060</v>
      </c>
      <c r="D648" s="310">
        <v>6</v>
      </c>
      <c r="E648" s="311">
        <v>-1603.07</v>
      </c>
      <c r="F648" s="311">
        <v>-95326.969999999899</v>
      </c>
      <c r="G648" s="308" t="s">
        <v>1159</v>
      </c>
      <c r="H648" s="308" t="s">
        <v>1334</v>
      </c>
      <c r="I648" s="308" t="s">
        <v>1140</v>
      </c>
      <c r="J648" s="308" t="s">
        <v>757</v>
      </c>
      <c r="K648" s="308" t="s">
        <v>741</v>
      </c>
      <c r="L648" s="309">
        <v>44165</v>
      </c>
      <c r="M648" s="312">
        <v>0</v>
      </c>
    </row>
    <row r="649" spans="1:13" hidden="1" x14ac:dyDescent="0.25">
      <c r="A649" s="309">
        <v>43901</v>
      </c>
      <c r="B649" s="308" t="s">
        <v>1335</v>
      </c>
      <c r="C649" s="308" t="s">
        <v>936</v>
      </c>
      <c r="D649" s="310">
        <v>1</v>
      </c>
      <c r="E649" s="311">
        <v>-230.45</v>
      </c>
      <c r="F649" s="311">
        <v>-95557.419999999896</v>
      </c>
      <c r="G649" s="308" t="s">
        <v>1336</v>
      </c>
      <c r="H649" s="308" t="s">
        <v>1337</v>
      </c>
      <c r="I649" s="308" t="s">
        <v>1140</v>
      </c>
      <c r="J649" s="308" t="s">
        <v>757</v>
      </c>
      <c r="K649" s="308" t="s">
        <v>770</v>
      </c>
      <c r="L649" s="309">
        <v>43901</v>
      </c>
      <c r="M649" s="312">
        <v>0</v>
      </c>
    </row>
    <row r="650" spans="1:13" hidden="1" x14ac:dyDescent="0.25">
      <c r="A650" s="309">
        <v>44071</v>
      </c>
      <c r="B650" s="308" t="s">
        <v>1338</v>
      </c>
      <c r="C650" s="308" t="s">
        <v>1339</v>
      </c>
      <c r="D650" s="310">
        <v>2</v>
      </c>
      <c r="E650" s="311">
        <v>26</v>
      </c>
      <c r="F650" s="311">
        <v>-95531.419999999896</v>
      </c>
      <c r="G650" s="308" t="s">
        <v>1340</v>
      </c>
      <c r="H650" s="308" t="s">
        <v>1337</v>
      </c>
      <c r="I650" s="308" t="s">
        <v>1140</v>
      </c>
      <c r="J650" s="308" t="s">
        <v>757</v>
      </c>
      <c r="K650" s="308" t="s">
        <v>741</v>
      </c>
      <c r="L650" s="309">
        <v>44071</v>
      </c>
      <c r="M650" s="312">
        <v>0</v>
      </c>
    </row>
    <row r="651" spans="1:13" hidden="1" x14ac:dyDescent="0.25">
      <c r="A651" s="309">
        <v>44147</v>
      </c>
      <c r="B651" s="308" t="s">
        <v>1341</v>
      </c>
      <c r="C651" s="308" t="s">
        <v>1339</v>
      </c>
      <c r="D651" s="310">
        <v>5</v>
      </c>
      <c r="E651" s="311">
        <v>17.41</v>
      </c>
      <c r="F651" s="311">
        <v>-95514.009999999893</v>
      </c>
      <c r="G651" s="308" t="s">
        <v>1342</v>
      </c>
      <c r="H651" s="308" t="s">
        <v>1337</v>
      </c>
      <c r="I651" s="308" t="s">
        <v>1140</v>
      </c>
      <c r="J651" s="308" t="s">
        <v>757</v>
      </c>
      <c r="K651" s="308" t="s">
        <v>741</v>
      </c>
      <c r="L651" s="309">
        <v>44147</v>
      </c>
      <c r="M651" s="312">
        <v>0</v>
      </c>
    </row>
    <row r="652" spans="1:13" hidden="1" x14ac:dyDescent="0.25">
      <c r="A652" s="309">
        <v>44284</v>
      </c>
      <c r="B652" s="308" t="s">
        <v>1343</v>
      </c>
      <c r="C652" s="308" t="s">
        <v>1059</v>
      </c>
      <c r="D652" s="310">
        <v>9</v>
      </c>
      <c r="E652" s="311">
        <v>1.03</v>
      </c>
      <c r="F652" s="311">
        <v>-95512.979999999894</v>
      </c>
      <c r="G652" s="308" t="s">
        <v>1344</v>
      </c>
      <c r="H652" s="308" t="s">
        <v>1337</v>
      </c>
      <c r="I652" s="308" t="s">
        <v>1140</v>
      </c>
      <c r="J652" s="308" t="s">
        <v>757</v>
      </c>
      <c r="K652" s="308" t="s">
        <v>741</v>
      </c>
      <c r="L652" s="309">
        <v>44284</v>
      </c>
      <c r="M652" s="312">
        <v>0</v>
      </c>
    </row>
    <row r="653" spans="1:13" hidden="1" x14ac:dyDescent="0.25">
      <c r="A653" s="314">
        <v>44263</v>
      </c>
      <c r="B653" s="313" t="s">
        <v>1345</v>
      </c>
      <c r="C653" s="313" t="s">
        <v>769</v>
      </c>
      <c r="D653" s="315">
        <v>9</v>
      </c>
      <c r="E653" s="316">
        <v>11.97</v>
      </c>
      <c r="F653" s="316">
        <v>11.97</v>
      </c>
      <c r="G653" s="313" t="s">
        <v>1346</v>
      </c>
      <c r="H653" s="313" t="s">
        <v>1347</v>
      </c>
      <c r="I653" s="313" t="s">
        <v>97</v>
      </c>
      <c r="J653" s="313" t="s">
        <v>757</v>
      </c>
      <c r="K653" s="313" t="s">
        <v>770</v>
      </c>
      <c r="L653" s="314">
        <v>44263</v>
      </c>
      <c r="M653" s="317">
        <v>0</v>
      </c>
    </row>
    <row r="654" spans="1:13" hidden="1" x14ac:dyDescent="0.25">
      <c r="A654" s="314">
        <v>44263</v>
      </c>
      <c r="B654" s="313" t="s">
        <v>1345</v>
      </c>
      <c r="C654" s="313" t="s">
        <v>769</v>
      </c>
      <c r="D654" s="315">
        <v>9</v>
      </c>
      <c r="E654" s="316">
        <v>11.97</v>
      </c>
      <c r="F654" s="316">
        <v>23.94</v>
      </c>
      <c r="G654" s="313" t="s">
        <v>1346</v>
      </c>
      <c r="H654" s="313" t="s">
        <v>1348</v>
      </c>
      <c r="I654" s="313" t="s">
        <v>97</v>
      </c>
      <c r="J654" s="313" t="s">
        <v>757</v>
      </c>
      <c r="K654" s="313" t="s">
        <v>770</v>
      </c>
      <c r="L654" s="314">
        <v>44263</v>
      </c>
      <c r="M654" s="317">
        <v>0</v>
      </c>
    </row>
    <row r="655" spans="1:13" hidden="1" x14ac:dyDescent="0.25">
      <c r="A655" s="314">
        <v>44263</v>
      </c>
      <c r="B655" s="313" t="s">
        <v>1345</v>
      </c>
      <c r="C655" s="313" t="s">
        <v>769</v>
      </c>
      <c r="D655" s="315">
        <v>9</v>
      </c>
      <c r="E655" s="316">
        <v>11.96</v>
      </c>
      <c r="F655" s="316">
        <v>35.9</v>
      </c>
      <c r="G655" s="313" t="s">
        <v>1346</v>
      </c>
      <c r="H655" s="313" t="s">
        <v>1349</v>
      </c>
      <c r="I655" s="313" t="s">
        <v>97</v>
      </c>
      <c r="J655" s="313" t="s">
        <v>757</v>
      </c>
      <c r="K655" s="313" t="s">
        <v>770</v>
      </c>
      <c r="L655" s="314">
        <v>44263</v>
      </c>
      <c r="M655" s="317">
        <v>0</v>
      </c>
    </row>
    <row r="656" spans="1:13" hidden="1" x14ac:dyDescent="0.25">
      <c r="A656" s="314">
        <v>44039</v>
      </c>
      <c r="B656" s="313" t="s">
        <v>1350</v>
      </c>
      <c r="C656" s="313" t="s">
        <v>769</v>
      </c>
      <c r="D656" s="315">
        <v>1</v>
      </c>
      <c r="E656" s="316">
        <v>25.45</v>
      </c>
      <c r="F656" s="316">
        <v>61.35</v>
      </c>
      <c r="G656" s="313" t="s">
        <v>1351</v>
      </c>
      <c r="H656" s="313" t="s">
        <v>1352</v>
      </c>
      <c r="I656" s="313" t="s">
        <v>97</v>
      </c>
      <c r="J656" s="313" t="s">
        <v>757</v>
      </c>
      <c r="K656" s="313" t="s">
        <v>770</v>
      </c>
      <c r="L656" s="314">
        <v>44039</v>
      </c>
      <c r="M656" s="317">
        <v>0</v>
      </c>
    </row>
    <row r="657" spans="1:13" hidden="1" x14ac:dyDescent="0.25">
      <c r="A657" s="314">
        <v>44075</v>
      </c>
      <c r="B657" s="313" t="s">
        <v>1353</v>
      </c>
      <c r="C657" s="313" t="s">
        <v>769</v>
      </c>
      <c r="D657" s="315">
        <v>3</v>
      </c>
      <c r="E657" s="316">
        <v>27.25</v>
      </c>
      <c r="F657" s="316">
        <v>88.6</v>
      </c>
      <c r="G657" s="313" t="s">
        <v>1354</v>
      </c>
      <c r="H657" s="313" t="s">
        <v>1352</v>
      </c>
      <c r="I657" s="313" t="s">
        <v>97</v>
      </c>
      <c r="J657" s="313" t="s">
        <v>757</v>
      </c>
      <c r="K657" s="313" t="s">
        <v>770</v>
      </c>
      <c r="L657" s="314">
        <v>44075</v>
      </c>
      <c r="M657" s="317">
        <v>0</v>
      </c>
    </row>
    <row r="658" spans="1:13" hidden="1" x14ac:dyDescent="0.25">
      <c r="A658" s="314">
        <v>44214</v>
      </c>
      <c r="B658" s="313" t="s">
        <v>1355</v>
      </c>
      <c r="C658" s="313" t="s">
        <v>769</v>
      </c>
      <c r="D658" s="315">
        <v>7</v>
      </c>
      <c r="E658" s="316">
        <v>24.55</v>
      </c>
      <c r="F658" s="316">
        <v>113.15</v>
      </c>
      <c r="G658" s="313" t="s">
        <v>1356</v>
      </c>
      <c r="H658" s="313" t="s">
        <v>1352</v>
      </c>
      <c r="I658" s="313" t="s">
        <v>97</v>
      </c>
      <c r="J658" s="313" t="s">
        <v>757</v>
      </c>
      <c r="K658" s="313" t="s">
        <v>770</v>
      </c>
      <c r="L658" s="314">
        <v>44214</v>
      </c>
      <c r="M658" s="317">
        <v>0</v>
      </c>
    </row>
    <row r="659" spans="1:13" hidden="1" x14ac:dyDescent="0.25">
      <c r="A659" s="314">
        <v>44298</v>
      </c>
      <c r="B659" s="313" t="s">
        <v>1357</v>
      </c>
      <c r="C659" s="313" t="s">
        <v>769</v>
      </c>
      <c r="D659" s="315">
        <v>10</v>
      </c>
      <c r="E659" s="316">
        <v>44.91</v>
      </c>
      <c r="F659" s="316">
        <v>158.06</v>
      </c>
      <c r="G659" s="313" t="s">
        <v>1358</v>
      </c>
      <c r="H659" s="313" t="s">
        <v>1352</v>
      </c>
      <c r="I659" s="313" t="s">
        <v>97</v>
      </c>
      <c r="J659" s="313" t="s">
        <v>757</v>
      </c>
      <c r="K659" s="313" t="s">
        <v>770</v>
      </c>
      <c r="L659" s="314">
        <v>44298</v>
      </c>
      <c r="M659" s="317">
        <v>0</v>
      </c>
    </row>
    <row r="660" spans="1:13" hidden="1" x14ac:dyDescent="0.25">
      <c r="A660" s="314">
        <v>44263</v>
      </c>
      <c r="B660" s="313" t="s">
        <v>1345</v>
      </c>
      <c r="C660" s="313" t="s">
        <v>769</v>
      </c>
      <c r="D660" s="315">
        <v>9</v>
      </c>
      <c r="E660" s="316">
        <v>11.96</v>
      </c>
      <c r="F660" s="316">
        <v>170.02</v>
      </c>
      <c r="G660" s="313" t="s">
        <v>1346</v>
      </c>
      <c r="H660" s="313" t="s">
        <v>1359</v>
      </c>
      <c r="I660" s="313" t="s">
        <v>97</v>
      </c>
      <c r="J660" s="313" t="s">
        <v>757</v>
      </c>
      <c r="K660" s="313" t="s">
        <v>770</v>
      </c>
      <c r="L660" s="314">
        <v>44263</v>
      </c>
      <c r="M660" s="317">
        <v>0</v>
      </c>
    </row>
    <row r="661" spans="1:13" hidden="1" x14ac:dyDescent="0.25">
      <c r="A661" s="314">
        <v>44263</v>
      </c>
      <c r="B661" s="313" t="s">
        <v>1345</v>
      </c>
      <c r="C661" s="313" t="s">
        <v>769</v>
      </c>
      <c r="D661" s="315">
        <v>9</v>
      </c>
      <c r="E661" s="316">
        <v>11.96</v>
      </c>
      <c r="F661" s="316">
        <v>181.98</v>
      </c>
      <c r="G661" s="313" t="s">
        <v>1346</v>
      </c>
      <c r="H661" s="313" t="s">
        <v>1360</v>
      </c>
      <c r="I661" s="313" t="s">
        <v>97</v>
      </c>
      <c r="J661" s="313" t="s">
        <v>757</v>
      </c>
      <c r="K661" s="313" t="s">
        <v>770</v>
      </c>
      <c r="L661" s="314">
        <v>44263</v>
      </c>
      <c r="M661" s="317">
        <v>0</v>
      </c>
    </row>
    <row r="662" spans="1:13" hidden="1" x14ac:dyDescent="0.25">
      <c r="A662" s="314">
        <v>44263</v>
      </c>
      <c r="B662" s="313" t="s">
        <v>1345</v>
      </c>
      <c r="C662" s="313" t="s">
        <v>769</v>
      </c>
      <c r="D662" s="315">
        <v>9</v>
      </c>
      <c r="E662" s="316">
        <v>11.97</v>
      </c>
      <c r="F662" s="316">
        <v>193.95</v>
      </c>
      <c r="G662" s="313" t="s">
        <v>1346</v>
      </c>
      <c r="H662" s="313" t="s">
        <v>1361</v>
      </c>
      <c r="I662" s="313" t="s">
        <v>97</v>
      </c>
      <c r="J662" s="313" t="s">
        <v>757</v>
      </c>
      <c r="K662" s="313" t="s">
        <v>770</v>
      </c>
      <c r="L662" s="314">
        <v>44263</v>
      </c>
      <c r="M662" s="317">
        <v>0</v>
      </c>
    </row>
    <row r="663" spans="1:13" hidden="1" x14ac:dyDescent="0.25">
      <c r="A663" s="314">
        <v>43984</v>
      </c>
      <c r="B663" s="313" t="s">
        <v>1362</v>
      </c>
      <c r="C663" s="313" t="s">
        <v>769</v>
      </c>
      <c r="D663" s="315">
        <v>1</v>
      </c>
      <c r="E663" s="316">
        <v>13</v>
      </c>
      <c r="F663" s="316">
        <v>206.95</v>
      </c>
      <c r="G663" s="313" t="s">
        <v>1363</v>
      </c>
      <c r="H663" s="313" t="s">
        <v>1364</v>
      </c>
      <c r="I663" s="313" t="s">
        <v>97</v>
      </c>
      <c r="J663" s="313" t="s">
        <v>757</v>
      </c>
      <c r="K663" s="313" t="s">
        <v>770</v>
      </c>
      <c r="L663" s="314">
        <v>43984</v>
      </c>
      <c r="M663" s="317">
        <v>0</v>
      </c>
    </row>
    <row r="664" spans="1:13" hidden="1" x14ac:dyDescent="0.25">
      <c r="A664" s="314">
        <v>44038</v>
      </c>
      <c r="B664" s="313" t="s">
        <v>1365</v>
      </c>
      <c r="C664" s="313" t="s">
        <v>769</v>
      </c>
      <c r="D664" s="315">
        <v>1</v>
      </c>
      <c r="E664" s="316">
        <v>13</v>
      </c>
      <c r="F664" s="316">
        <v>219.95</v>
      </c>
      <c r="G664" s="313" t="s">
        <v>1366</v>
      </c>
      <c r="H664" s="313" t="s">
        <v>1364</v>
      </c>
      <c r="I664" s="313" t="s">
        <v>97</v>
      </c>
      <c r="J664" s="313" t="s">
        <v>757</v>
      </c>
      <c r="K664" s="313" t="s">
        <v>770</v>
      </c>
      <c r="L664" s="314">
        <v>44038</v>
      </c>
      <c r="M664" s="317">
        <v>0</v>
      </c>
    </row>
    <row r="665" spans="1:13" hidden="1" x14ac:dyDescent="0.25">
      <c r="A665" s="314">
        <v>44018</v>
      </c>
      <c r="B665" s="313" t="s">
        <v>1367</v>
      </c>
      <c r="C665" s="313" t="s">
        <v>769</v>
      </c>
      <c r="D665" s="315">
        <v>1</v>
      </c>
      <c r="E665" s="316">
        <v>19.14</v>
      </c>
      <c r="F665" s="316">
        <v>239.09</v>
      </c>
      <c r="G665" s="313" t="s">
        <v>1368</v>
      </c>
      <c r="H665" s="313" t="s">
        <v>1369</v>
      </c>
      <c r="I665" s="313" t="s">
        <v>97</v>
      </c>
      <c r="J665" s="313" t="s">
        <v>757</v>
      </c>
      <c r="K665" s="313" t="s">
        <v>770</v>
      </c>
      <c r="L665" s="314">
        <v>44018</v>
      </c>
      <c r="M665" s="317">
        <v>0</v>
      </c>
    </row>
    <row r="666" spans="1:13" hidden="1" x14ac:dyDescent="0.25">
      <c r="A666" s="314">
        <v>44182</v>
      </c>
      <c r="B666" s="313" t="s">
        <v>1370</v>
      </c>
      <c r="C666" s="313" t="s">
        <v>769</v>
      </c>
      <c r="D666" s="315">
        <v>7</v>
      </c>
      <c r="E666" s="316">
        <v>9.09</v>
      </c>
      <c r="F666" s="316">
        <v>248.18</v>
      </c>
      <c r="G666" s="313" t="s">
        <v>1371</v>
      </c>
      <c r="H666" s="313" t="s">
        <v>1369</v>
      </c>
      <c r="I666" s="313" t="s">
        <v>97</v>
      </c>
      <c r="J666" s="313" t="s">
        <v>757</v>
      </c>
      <c r="K666" s="313" t="s">
        <v>770</v>
      </c>
      <c r="L666" s="314">
        <v>44182</v>
      </c>
      <c r="M666" s="317">
        <v>0</v>
      </c>
    </row>
    <row r="667" spans="1:13" hidden="1" x14ac:dyDescent="0.25">
      <c r="A667" s="314">
        <v>44213</v>
      </c>
      <c r="B667" s="313" t="s">
        <v>1372</v>
      </c>
      <c r="C667" s="313" t="s">
        <v>769</v>
      </c>
      <c r="D667" s="315">
        <v>7</v>
      </c>
      <c r="E667" s="316">
        <v>7.27</v>
      </c>
      <c r="F667" s="316">
        <v>255.45</v>
      </c>
      <c r="G667" s="313" t="s">
        <v>1373</v>
      </c>
      <c r="H667" s="313" t="s">
        <v>1369</v>
      </c>
      <c r="I667" s="313" t="s">
        <v>97</v>
      </c>
      <c r="J667" s="313" t="s">
        <v>757</v>
      </c>
      <c r="K667" s="313" t="s">
        <v>770</v>
      </c>
      <c r="L667" s="314">
        <v>44213</v>
      </c>
      <c r="M667" s="317">
        <v>0</v>
      </c>
    </row>
    <row r="668" spans="1:13" hidden="1" x14ac:dyDescent="0.25">
      <c r="A668" s="314">
        <v>44272</v>
      </c>
      <c r="B668" s="313" t="s">
        <v>1374</v>
      </c>
      <c r="C668" s="313" t="s">
        <v>769</v>
      </c>
      <c r="D668" s="315">
        <v>10</v>
      </c>
      <c r="E668" s="316">
        <v>23.49</v>
      </c>
      <c r="F668" s="316">
        <v>278.94</v>
      </c>
      <c r="G668" s="313" t="s">
        <v>1358</v>
      </c>
      <c r="H668" s="313" t="s">
        <v>1369</v>
      </c>
      <c r="I668" s="313" t="s">
        <v>97</v>
      </c>
      <c r="J668" s="313" t="s">
        <v>757</v>
      </c>
      <c r="K668" s="313" t="s">
        <v>770</v>
      </c>
      <c r="L668" s="314">
        <v>44272</v>
      </c>
      <c r="M668" s="317">
        <v>0</v>
      </c>
    </row>
    <row r="669" spans="1:13" hidden="1" x14ac:dyDescent="0.25">
      <c r="A669" s="314">
        <v>44300</v>
      </c>
      <c r="B669" s="313" t="s">
        <v>1375</v>
      </c>
      <c r="C669" s="313" t="s">
        <v>769</v>
      </c>
      <c r="D669" s="315">
        <v>10</v>
      </c>
      <c r="E669" s="316">
        <v>65.790000000000006</v>
      </c>
      <c r="F669" s="316">
        <v>344.73</v>
      </c>
      <c r="G669" s="313" t="s">
        <v>1376</v>
      </c>
      <c r="H669" s="313" t="s">
        <v>1369</v>
      </c>
      <c r="I669" s="313" t="s">
        <v>97</v>
      </c>
      <c r="J669" s="313" t="s">
        <v>757</v>
      </c>
      <c r="K669" s="313" t="s">
        <v>770</v>
      </c>
      <c r="L669" s="314">
        <v>44300</v>
      </c>
      <c r="M669" s="317">
        <v>0</v>
      </c>
    </row>
    <row r="670" spans="1:13" hidden="1" x14ac:dyDescent="0.25">
      <c r="A670" s="314">
        <v>44281</v>
      </c>
      <c r="B670" s="313" t="s">
        <v>1377</v>
      </c>
      <c r="C670" s="313" t="s">
        <v>769</v>
      </c>
      <c r="D670" s="315">
        <v>10</v>
      </c>
      <c r="E670" s="316">
        <v>71.739999999999995</v>
      </c>
      <c r="F670" s="316">
        <v>416.47</v>
      </c>
      <c r="G670" s="313" t="s">
        <v>1358</v>
      </c>
      <c r="H670" s="313" t="s">
        <v>1378</v>
      </c>
      <c r="I670" s="313" t="s">
        <v>97</v>
      </c>
      <c r="J670" s="313" t="s">
        <v>757</v>
      </c>
      <c r="K670" s="313" t="s">
        <v>770</v>
      </c>
      <c r="L670" s="314">
        <v>44281</v>
      </c>
      <c r="M670" s="317">
        <v>0</v>
      </c>
    </row>
    <row r="671" spans="1:13" hidden="1" x14ac:dyDescent="0.25">
      <c r="A671" s="314">
        <v>44166</v>
      </c>
      <c r="B671" s="313" t="s">
        <v>1379</v>
      </c>
      <c r="C671" s="313" t="s">
        <v>769</v>
      </c>
      <c r="D671" s="315">
        <v>6</v>
      </c>
      <c r="E671" s="316">
        <v>18.73</v>
      </c>
      <c r="F671" s="316">
        <v>435.2</v>
      </c>
      <c r="G671" s="313" t="s">
        <v>1380</v>
      </c>
      <c r="H671" s="313" t="s">
        <v>1381</v>
      </c>
      <c r="I671" s="313" t="s">
        <v>97</v>
      </c>
      <c r="J671" s="313" t="s">
        <v>757</v>
      </c>
      <c r="K671" s="313" t="s">
        <v>770</v>
      </c>
      <c r="L671" s="314">
        <v>44166</v>
      </c>
      <c r="M671" s="317">
        <v>0</v>
      </c>
    </row>
    <row r="672" spans="1:13" hidden="1" x14ac:dyDescent="0.25">
      <c r="A672" s="314">
        <v>44183</v>
      </c>
      <c r="B672" s="313" t="s">
        <v>1382</v>
      </c>
      <c r="C672" s="313" t="s">
        <v>769</v>
      </c>
      <c r="D672" s="315">
        <v>7</v>
      </c>
      <c r="E672" s="316">
        <v>36.479999999999997</v>
      </c>
      <c r="F672" s="316">
        <v>471.68</v>
      </c>
      <c r="G672" s="313" t="s">
        <v>1383</v>
      </c>
      <c r="H672" s="313" t="s">
        <v>1381</v>
      </c>
      <c r="I672" s="313" t="s">
        <v>97</v>
      </c>
      <c r="J672" s="313" t="s">
        <v>757</v>
      </c>
      <c r="K672" s="313" t="s">
        <v>770</v>
      </c>
      <c r="L672" s="314">
        <v>44183</v>
      </c>
      <c r="M672" s="317">
        <v>0</v>
      </c>
    </row>
    <row r="673" spans="1:13" hidden="1" x14ac:dyDescent="0.25">
      <c r="A673" s="314">
        <v>44251</v>
      </c>
      <c r="B673" s="313" t="s">
        <v>1384</v>
      </c>
      <c r="C673" s="313" t="s">
        <v>769</v>
      </c>
      <c r="D673" s="315">
        <v>9</v>
      </c>
      <c r="E673" s="316">
        <v>12.75</v>
      </c>
      <c r="F673" s="316">
        <v>484.43</v>
      </c>
      <c r="G673" s="313" t="s">
        <v>1358</v>
      </c>
      <c r="H673" s="313" t="s">
        <v>1381</v>
      </c>
      <c r="I673" s="313" t="s">
        <v>97</v>
      </c>
      <c r="J673" s="313" t="s">
        <v>757</v>
      </c>
      <c r="K673" s="313" t="s">
        <v>770</v>
      </c>
      <c r="L673" s="314">
        <v>44251</v>
      </c>
      <c r="M673" s="317">
        <v>0</v>
      </c>
    </row>
    <row r="674" spans="1:13" hidden="1" x14ac:dyDescent="0.25">
      <c r="A674" s="314">
        <v>44166</v>
      </c>
      <c r="B674" s="313" t="s">
        <v>1379</v>
      </c>
      <c r="C674" s="313" t="s">
        <v>769</v>
      </c>
      <c r="D674" s="315">
        <v>6</v>
      </c>
      <c r="E674" s="316">
        <v>18.73</v>
      </c>
      <c r="F674" s="316">
        <v>517.22</v>
      </c>
      <c r="G674" s="313" t="s">
        <v>1380</v>
      </c>
      <c r="H674" s="313" t="s">
        <v>1386</v>
      </c>
      <c r="I674" s="313" t="s">
        <v>97</v>
      </c>
      <c r="J674" s="313" t="s">
        <v>757</v>
      </c>
      <c r="K674" s="313" t="s">
        <v>770</v>
      </c>
      <c r="L674" s="314">
        <v>44166</v>
      </c>
      <c r="M674" s="317">
        <v>0</v>
      </c>
    </row>
    <row r="675" spans="1:13" hidden="1" x14ac:dyDescent="0.25">
      <c r="A675" s="314">
        <v>44183</v>
      </c>
      <c r="B675" s="313" t="s">
        <v>1382</v>
      </c>
      <c r="C675" s="313" t="s">
        <v>769</v>
      </c>
      <c r="D675" s="315">
        <v>7</v>
      </c>
      <c r="E675" s="316">
        <v>36.479999999999997</v>
      </c>
      <c r="F675" s="316">
        <v>553.70000000000005</v>
      </c>
      <c r="G675" s="313" t="s">
        <v>1383</v>
      </c>
      <c r="H675" s="313" t="s">
        <v>1386</v>
      </c>
      <c r="I675" s="313" t="s">
        <v>97</v>
      </c>
      <c r="J675" s="313" t="s">
        <v>757</v>
      </c>
      <c r="K675" s="313" t="s">
        <v>770</v>
      </c>
      <c r="L675" s="314">
        <v>44183</v>
      </c>
      <c r="M675" s="317">
        <v>0</v>
      </c>
    </row>
    <row r="676" spans="1:13" hidden="1" x14ac:dyDescent="0.25">
      <c r="A676" s="314">
        <v>44251</v>
      </c>
      <c r="B676" s="313" t="s">
        <v>1384</v>
      </c>
      <c r="C676" s="313" t="s">
        <v>769</v>
      </c>
      <c r="D676" s="315">
        <v>9</v>
      </c>
      <c r="E676" s="316">
        <v>12.75</v>
      </c>
      <c r="F676" s="316">
        <v>566.45000000000005</v>
      </c>
      <c r="G676" s="313" t="s">
        <v>1358</v>
      </c>
      <c r="H676" s="313" t="s">
        <v>1386</v>
      </c>
      <c r="I676" s="313" t="s">
        <v>97</v>
      </c>
      <c r="J676" s="313" t="s">
        <v>757</v>
      </c>
      <c r="K676" s="313" t="s">
        <v>770</v>
      </c>
      <c r="L676" s="314">
        <v>44251</v>
      </c>
      <c r="M676" s="317">
        <v>0</v>
      </c>
    </row>
    <row r="677" spans="1:13" hidden="1" x14ac:dyDescent="0.25">
      <c r="A677" s="314">
        <v>43901</v>
      </c>
      <c r="B677" s="313" t="s">
        <v>1387</v>
      </c>
      <c r="C677" s="313" t="s">
        <v>769</v>
      </c>
      <c r="D677" s="315">
        <v>3</v>
      </c>
      <c r="E677" s="316">
        <v>33.81</v>
      </c>
      <c r="F677" s="316">
        <v>614.32000000000005</v>
      </c>
      <c r="G677" s="313" t="s">
        <v>1388</v>
      </c>
      <c r="H677" s="313" t="s">
        <v>1389</v>
      </c>
      <c r="I677" s="313" t="s">
        <v>97</v>
      </c>
      <c r="J677" s="313" t="s">
        <v>757</v>
      </c>
      <c r="K677" s="313" t="s">
        <v>770</v>
      </c>
      <c r="L677" s="314">
        <v>43901</v>
      </c>
      <c r="M677" s="317">
        <v>0</v>
      </c>
    </row>
    <row r="678" spans="1:13" hidden="1" x14ac:dyDescent="0.25">
      <c r="A678" s="314">
        <v>44022</v>
      </c>
      <c r="B678" s="313" t="s">
        <v>1390</v>
      </c>
      <c r="C678" s="313" t="s">
        <v>769</v>
      </c>
      <c r="D678" s="315">
        <v>3</v>
      </c>
      <c r="E678" s="316">
        <v>15.77</v>
      </c>
      <c r="F678" s="316">
        <v>630.09</v>
      </c>
      <c r="G678" s="313" t="s">
        <v>1391</v>
      </c>
      <c r="H678" s="313" t="s">
        <v>1389</v>
      </c>
      <c r="I678" s="313" t="s">
        <v>97</v>
      </c>
      <c r="J678" s="313" t="s">
        <v>757</v>
      </c>
      <c r="K678" s="313" t="s">
        <v>770</v>
      </c>
      <c r="L678" s="314">
        <v>44022</v>
      </c>
      <c r="M678" s="317">
        <v>0</v>
      </c>
    </row>
    <row r="679" spans="1:13" hidden="1" x14ac:dyDescent="0.25">
      <c r="A679" s="314">
        <v>44029</v>
      </c>
      <c r="B679" s="313" t="s">
        <v>1392</v>
      </c>
      <c r="C679" s="313" t="s">
        <v>769</v>
      </c>
      <c r="D679" s="315">
        <v>3</v>
      </c>
      <c r="E679" s="316">
        <v>30.11</v>
      </c>
      <c r="F679" s="316">
        <v>660.2</v>
      </c>
      <c r="G679" s="313" t="s">
        <v>1393</v>
      </c>
      <c r="H679" s="313" t="s">
        <v>1389</v>
      </c>
      <c r="I679" s="313" t="s">
        <v>97</v>
      </c>
      <c r="J679" s="313" t="s">
        <v>757</v>
      </c>
      <c r="K679" s="313" t="s">
        <v>770</v>
      </c>
      <c r="L679" s="314">
        <v>44029</v>
      </c>
      <c r="M679" s="317">
        <v>0</v>
      </c>
    </row>
    <row r="680" spans="1:13" hidden="1" x14ac:dyDescent="0.25">
      <c r="A680" s="314">
        <v>44043</v>
      </c>
      <c r="B680" s="313" t="s">
        <v>1394</v>
      </c>
      <c r="C680" s="313" t="s">
        <v>769</v>
      </c>
      <c r="D680" s="315">
        <v>3</v>
      </c>
      <c r="E680" s="316">
        <v>21.61</v>
      </c>
      <c r="F680" s="316">
        <v>681.81</v>
      </c>
      <c r="G680" s="313" t="s">
        <v>1395</v>
      </c>
      <c r="H680" s="313" t="s">
        <v>1389</v>
      </c>
      <c r="I680" s="313" t="s">
        <v>97</v>
      </c>
      <c r="J680" s="313" t="s">
        <v>757</v>
      </c>
      <c r="K680" s="313" t="s">
        <v>770</v>
      </c>
      <c r="L680" s="314">
        <v>44043</v>
      </c>
      <c r="M680" s="317">
        <v>0</v>
      </c>
    </row>
    <row r="681" spans="1:13" hidden="1" x14ac:dyDescent="0.25">
      <c r="A681" s="314">
        <v>44057</v>
      </c>
      <c r="B681" s="313" t="s">
        <v>1396</v>
      </c>
      <c r="C681" s="313" t="s">
        <v>769</v>
      </c>
      <c r="D681" s="315">
        <v>3</v>
      </c>
      <c r="E681" s="316">
        <v>21.61</v>
      </c>
      <c r="F681" s="316">
        <v>703.42</v>
      </c>
      <c r="G681" s="313" t="s">
        <v>1397</v>
      </c>
      <c r="H681" s="313" t="s">
        <v>1389</v>
      </c>
      <c r="I681" s="313" t="s">
        <v>97</v>
      </c>
      <c r="J681" s="313" t="s">
        <v>757</v>
      </c>
      <c r="K681" s="313" t="s">
        <v>770</v>
      </c>
      <c r="L681" s="314">
        <v>44057</v>
      </c>
      <c r="M681" s="317">
        <v>0</v>
      </c>
    </row>
    <row r="682" spans="1:13" hidden="1" x14ac:dyDescent="0.25">
      <c r="A682" s="314">
        <v>44071</v>
      </c>
      <c r="B682" s="313" t="s">
        <v>1398</v>
      </c>
      <c r="C682" s="313" t="s">
        <v>769</v>
      </c>
      <c r="D682" s="315">
        <v>3</v>
      </c>
      <c r="E682" s="316">
        <v>21.61</v>
      </c>
      <c r="F682" s="316">
        <v>725.03</v>
      </c>
      <c r="G682" s="313" t="s">
        <v>1395</v>
      </c>
      <c r="H682" s="313" t="s">
        <v>1389</v>
      </c>
      <c r="I682" s="313" t="s">
        <v>97</v>
      </c>
      <c r="J682" s="313" t="s">
        <v>757</v>
      </c>
      <c r="K682" s="313" t="s">
        <v>770</v>
      </c>
      <c r="L682" s="314">
        <v>44071</v>
      </c>
      <c r="M682" s="317">
        <v>0</v>
      </c>
    </row>
    <row r="683" spans="1:13" hidden="1" x14ac:dyDescent="0.25">
      <c r="A683" s="314">
        <v>44075</v>
      </c>
      <c r="B683" s="313" t="s">
        <v>1399</v>
      </c>
      <c r="C683" s="313" t="s">
        <v>769</v>
      </c>
      <c r="D683" s="315">
        <v>3</v>
      </c>
      <c r="E683" s="316">
        <v>189.04</v>
      </c>
      <c r="F683" s="316">
        <v>914.07</v>
      </c>
      <c r="G683" s="313" t="s">
        <v>1400</v>
      </c>
      <c r="H683" s="313" t="s">
        <v>1389</v>
      </c>
      <c r="I683" s="313" t="s">
        <v>97</v>
      </c>
      <c r="J683" s="313" t="s">
        <v>757</v>
      </c>
      <c r="K683" s="313" t="s">
        <v>770</v>
      </c>
      <c r="L683" s="314">
        <v>44075</v>
      </c>
      <c r="M683" s="317">
        <v>0</v>
      </c>
    </row>
    <row r="684" spans="1:13" hidden="1" x14ac:dyDescent="0.25">
      <c r="A684" s="314">
        <v>44076</v>
      </c>
      <c r="B684" s="313" t="s">
        <v>1401</v>
      </c>
      <c r="C684" s="313" t="s">
        <v>936</v>
      </c>
      <c r="D684" s="315">
        <v>3</v>
      </c>
      <c r="E684" s="316">
        <v>-9.56</v>
      </c>
      <c r="F684" s="316">
        <v>904.51</v>
      </c>
      <c r="G684" s="313" t="s">
        <v>1402</v>
      </c>
      <c r="H684" s="313" t="s">
        <v>1389</v>
      </c>
      <c r="I684" s="313" t="s">
        <v>97</v>
      </c>
      <c r="J684" s="313" t="s">
        <v>757</v>
      </c>
      <c r="K684" s="313" t="s">
        <v>770</v>
      </c>
      <c r="L684" s="314">
        <v>44076</v>
      </c>
      <c r="M684" s="317">
        <v>0</v>
      </c>
    </row>
    <row r="685" spans="1:13" hidden="1" x14ac:dyDescent="0.25">
      <c r="A685" s="314">
        <v>44085</v>
      </c>
      <c r="B685" s="313" t="s">
        <v>1403</v>
      </c>
      <c r="C685" s="313" t="s">
        <v>769</v>
      </c>
      <c r="D685" s="315">
        <v>4</v>
      </c>
      <c r="E685" s="316">
        <v>21.61</v>
      </c>
      <c r="F685" s="316">
        <v>926.12</v>
      </c>
      <c r="G685" s="313" t="s">
        <v>1404</v>
      </c>
      <c r="H685" s="313" t="s">
        <v>1389</v>
      </c>
      <c r="I685" s="313" t="s">
        <v>97</v>
      </c>
      <c r="J685" s="313" t="s">
        <v>757</v>
      </c>
      <c r="K685" s="313" t="s">
        <v>770</v>
      </c>
      <c r="L685" s="314">
        <v>44085</v>
      </c>
      <c r="M685" s="317">
        <v>0</v>
      </c>
    </row>
    <row r="686" spans="1:13" hidden="1" x14ac:dyDescent="0.25">
      <c r="A686" s="314">
        <v>44092</v>
      </c>
      <c r="B686" s="313" t="s">
        <v>1405</v>
      </c>
      <c r="C686" s="313" t="s">
        <v>769</v>
      </c>
      <c r="D686" s="315">
        <v>4</v>
      </c>
      <c r="E686" s="316">
        <v>2.91</v>
      </c>
      <c r="F686" s="316">
        <v>929.03</v>
      </c>
      <c r="G686" s="313" t="s">
        <v>1406</v>
      </c>
      <c r="H686" s="313" t="s">
        <v>1389</v>
      </c>
      <c r="I686" s="313" t="s">
        <v>97</v>
      </c>
      <c r="J686" s="313" t="s">
        <v>757</v>
      </c>
      <c r="K686" s="313" t="s">
        <v>770</v>
      </c>
      <c r="L686" s="314">
        <v>44092</v>
      </c>
      <c r="M686" s="317">
        <v>0</v>
      </c>
    </row>
    <row r="687" spans="1:13" hidden="1" x14ac:dyDescent="0.25">
      <c r="A687" s="314">
        <v>44099</v>
      </c>
      <c r="B687" s="313" t="s">
        <v>1407</v>
      </c>
      <c r="C687" s="313" t="s">
        <v>769</v>
      </c>
      <c r="D687" s="315">
        <v>4</v>
      </c>
      <c r="E687" s="316">
        <v>21.61</v>
      </c>
      <c r="F687" s="316">
        <v>950.64</v>
      </c>
      <c r="G687" s="313" t="s">
        <v>1408</v>
      </c>
      <c r="H687" s="313" t="s">
        <v>1389</v>
      </c>
      <c r="I687" s="313" t="s">
        <v>97</v>
      </c>
      <c r="J687" s="313" t="s">
        <v>757</v>
      </c>
      <c r="K687" s="313" t="s">
        <v>770</v>
      </c>
      <c r="L687" s="314">
        <v>44099</v>
      </c>
      <c r="M687" s="317">
        <v>0</v>
      </c>
    </row>
    <row r="688" spans="1:13" hidden="1" x14ac:dyDescent="0.25">
      <c r="A688" s="314">
        <v>44113</v>
      </c>
      <c r="B688" s="313" t="s">
        <v>1409</v>
      </c>
      <c r="C688" s="313" t="s">
        <v>769</v>
      </c>
      <c r="D688" s="315">
        <v>4</v>
      </c>
      <c r="E688" s="316">
        <v>21.7</v>
      </c>
      <c r="F688" s="316">
        <v>972.34</v>
      </c>
      <c r="G688" s="313" t="s">
        <v>1410</v>
      </c>
      <c r="H688" s="313" t="s">
        <v>1389</v>
      </c>
      <c r="I688" s="313" t="s">
        <v>97</v>
      </c>
      <c r="J688" s="313" t="s">
        <v>757</v>
      </c>
      <c r="K688" s="313" t="s">
        <v>770</v>
      </c>
      <c r="L688" s="314">
        <v>44113</v>
      </c>
      <c r="M688" s="317">
        <v>0</v>
      </c>
    </row>
    <row r="689" spans="1:13" hidden="1" x14ac:dyDescent="0.25">
      <c r="A689" s="314">
        <v>44126</v>
      </c>
      <c r="B689" s="313" t="s">
        <v>1411</v>
      </c>
      <c r="C689" s="313" t="s">
        <v>769</v>
      </c>
      <c r="D689" s="315">
        <v>4</v>
      </c>
      <c r="E689" s="316">
        <v>21.7</v>
      </c>
      <c r="F689" s="316">
        <v>994.04</v>
      </c>
      <c r="G689" s="313" t="s">
        <v>1410</v>
      </c>
      <c r="H689" s="313" t="s">
        <v>1389</v>
      </c>
      <c r="I689" s="313" t="s">
        <v>97</v>
      </c>
      <c r="J689" s="313" t="s">
        <v>757</v>
      </c>
      <c r="K689" s="313" t="s">
        <v>770</v>
      </c>
      <c r="L689" s="314">
        <v>44126</v>
      </c>
      <c r="M689" s="317">
        <v>0</v>
      </c>
    </row>
    <row r="690" spans="1:13" hidden="1" x14ac:dyDescent="0.25">
      <c r="A690" s="314">
        <v>44140</v>
      </c>
      <c r="B690" s="313" t="s">
        <v>1412</v>
      </c>
      <c r="C690" s="313" t="s">
        <v>769</v>
      </c>
      <c r="D690" s="315">
        <v>5</v>
      </c>
      <c r="E690" s="316">
        <v>21.7</v>
      </c>
      <c r="F690" s="316">
        <v>1015.74</v>
      </c>
      <c r="G690" s="313" t="s">
        <v>1413</v>
      </c>
      <c r="H690" s="313" t="s">
        <v>1389</v>
      </c>
      <c r="I690" s="313" t="s">
        <v>97</v>
      </c>
      <c r="J690" s="313" t="s">
        <v>757</v>
      </c>
      <c r="K690" s="313" t="s">
        <v>770</v>
      </c>
      <c r="L690" s="314">
        <v>44140</v>
      </c>
      <c r="M690" s="317">
        <v>0</v>
      </c>
    </row>
    <row r="691" spans="1:13" hidden="1" x14ac:dyDescent="0.25">
      <c r="A691" s="314">
        <v>44154</v>
      </c>
      <c r="B691" s="313" t="s">
        <v>1414</v>
      </c>
      <c r="C691" s="313" t="s">
        <v>769</v>
      </c>
      <c r="D691" s="315">
        <v>5</v>
      </c>
      <c r="E691" s="316">
        <v>21.7</v>
      </c>
      <c r="F691" s="316">
        <v>1037.44</v>
      </c>
      <c r="G691" s="313" t="s">
        <v>1415</v>
      </c>
      <c r="H691" s="313" t="s">
        <v>1389</v>
      </c>
      <c r="I691" s="313" t="s">
        <v>97</v>
      </c>
      <c r="J691" s="313" t="s">
        <v>757</v>
      </c>
      <c r="K691" s="313" t="s">
        <v>770</v>
      </c>
      <c r="L691" s="314">
        <v>44154</v>
      </c>
      <c r="M691" s="317">
        <v>0</v>
      </c>
    </row>
    <row r="692" spans="1:13" hidden="1" x14ac:dyDescent="0.25">
      <c r="A692" s="314">
        <v>44152</v>
      </c>
      <c r="B692" s="313" t="s">
        <v>1416</v>
      </c>
      <c r="C692" s="313" t="s">
        <v>769</v>
      </c>
      <c r="D692" s="315">
        <v>6</v>
      </c>
      <c r="E692" s="316">
        <v>20.55</v>
      </c>
      <c r="F692" s="316">
        <v>1057.99</v>
      </c>
      <c r="G692" s="313" t="s">
        <v>1417</v>
      </c>
      <c r="H692" s="313" t="s">
        <v>1389</v>
      </c>
      <c r="I692" s="313" t="s">
        <v>97</v>
      </c>
      <c r="J692" s="313" t="s">
        <v>757</v>
      </c>
      <c r="K692" s="313" t="s">
        <v>770</v>
      </c>
      <c r="L692" s="314">
        <v>44152</v>
      </c>
      <c r="M692" s="317">
        <v>0</v>
      </c>
    </row>
    <row r="693" spans="1:13" hidden="1" x14ac:dyDescent="0.25">
      <c r="A693" s="314">
        <v>44166</v>
      </c>
      <c r="B693" s="313" t="s">
        <v>1379</v>
      </c>
      <c r="C693" s="313" t="s">
        <v>769</v>
      </c>
      <c r="D693" s="315">
        <v>6</v>
      </c>
      <c r="E693" s="316">
        <v>18.73</v>
      </c>
      <c r="F693" s="316">
        <v>1076.72</v>
      </c>
      <c r="G693" s="313" t="s">
        <v>1380</v>
      </c>
      <c r="H693" s="313" t="s">
        <v>1389</v>
      </c>
      <c r="I693" s="313" t="s">
        <v>97</v>
      </c>
      <c r="J693" s="313" t="s">
        <v>757</v>
      </c>
      <c r="K693" s="313" t="s">
        <v>770</v>
      </c>
      <c r="L693" s="314">
        <v>44166</v>
      </c>
      <c r="M693" s="317">
        <v>0</v>
      </c>
    </row>
    <row r="694" spans="1:13" hidden="1" x14ac:dyDescent="0.25">
      <c r="A694" s="314">
        <v>44168</v>
      </c>
      <c r="B694" s="313" t="s">
        <v>1418</v>
      </c>
      <c r="C694" s="313" t="s">
        <v>769</v>
      </c>
      <c r="D694" s="315">
        <v>6</v>
      </c>
      <c r="E694" s="316">
        <v>21.72</v>
      </c>
      <c r="F694" s="316">
        <v>1098.44</v>
      </c>
      <c r="G694" s="313" t="s">
        <v>1419</v>
      </c>
      <c r="H694" s="313" t="s">
        <v>1389</v>
      </c>
      <c r="I694" s="313" t="s">
        <v>97</v>
      </c>
      <c r="J694" s="313" t="s">
        <v>757</v>
      </c>
      <c r="K694" s="313" t="s">
        <v>770</v>
      </c>
      <c r="L694" s="314">
        <v>44168</v>
      </c>
      <c r="M694" s="317">
        <v>0</v>
      </c>
    </row>
    <row r="695" spans="1:13" hidden="1" x14ac:dyDescent="0.25">
      <c r="A695" s="314">
        <v>44183</v>
      </c>
      <c r="B695" s="313" t="s">
        <v>1382</v>
      </c>
      <c r="C695" s="313" t="s">
        <v>769</v>
      </c>
      <c r="D695" s="315">
        <v>7</v>
      </c>
      <c r="E695" s="316">
        <v>36.479999999999997</v>
      </c>
      <c r="F695" s="316">
        <v>1134.92</v>
      </c>
      <c r="G695" s="313" t="s">
        <v>1383</v>
      </c>
      <c r="H695" s="313" t="s">
        <v>1389</v>
      </c>
      <c r="I695" s="313" t="s">
        <v>97</v>
      </c>
      <c r="J695" s="313" t="s">
        <v>757</v>
      </c>
      <c r="K695" s="313" t="s">
        <v>770</v>
      </c>
      <c r="L695" s="314">
        <v>44183</v>
      </c>
      <c r="M695" s="317">
        <v>0</v>
      </c>
    </row>
    <row r="696" spans="1:13" hidden="1" x14ac:dyDescent="0.25">
      <c r="A696" s="314">
        <v>44185</v>
      </c>
      <c r="B696" s="313" t="s">
        <v>1420</v>
      </c>
      <c r="C696" s="313" t="s">
        <v>769</v>
      </c>
      <c r="D696" s="315">
        <v>7</v>
      </c>
      <c r="E696" s="316">
        <v>21.7</v>
      </c>
      <c r="F696" s="316">
        <v>1156.6199999999999</v>
      </c>
      <c r="G696" s="313" t="s">
        <v>1421</v>
      </c>
      <c r="H696" s="313" t="s">
        <v>1389</v>
      </c>
      <c r="I696" s="313" t="s">
        <v>97</v>
      </c>
      <c r="J696" s="313" t="s">
        <v>757</v>
      </c>
      <c r="K696" s="313" t="s">
        <v>770</v>
      </c>
      <c r="L696" s="314">
        <v>44185</v>
      </c>
      <c r="M696" s="317">
        <v>0</v>
      </c>
    </row>
    <row r="697" spans="1:13" hidden="1" x14ac:dyDescent="0.25">
      <c r="A697" s="314">
        <v>44196</v>
      </c>
      <c r="B697" s="313" t="s">
        <v>1422</v>
      </c>
      <c r="C697" s="313" t="s">
        <v>769</v>
      </c>
      <c r="D697" s="315">
        <v>7</v>
      </c>
      <c r="E697" s="316">
        <v>21.7</v>
      </c>
      <c r="F697" s="316">
        <v>1178.32</v>
      </c>
      <c r="G697" s="313" t="s">
        <v>1423</v>
      </c>
      <c r="H697" s="313" t="s">
        <v>1389</v>
      </c>
      <c r="I697" s="313" t="s">
        <v>97</v>
      </c>
      <c r="J697" s="313" t="s">
        <v>757</v>
      </c>
      <c r="K697" s="313" t="s">
        <v>770</v>
      </c>
      <c r="L697" s="314">
        <v>44196</v>
      </c>
      <c r="M697" s="317">
        <v>0</v>
      </c>
    </row>
    <row r="698" spans="1:13" hidden="1" x14ac:dyDescent="0.25">
      <c r="A698" s="314">
        <v>44213</v>
      </c>
      <c r="B698" s="313" t="s">
        <v>1424</v>
      </c>
      <c r="C698" s="313" t="s">
        <v>769</v>
      </c>
      <c r="D698" s="315">
        <v>7</v>
      </c>
      <c r="E698" s="316">
        <v>21.7</v>
      </c>
      <c r="F698" s="316">
        <v>1200.02</v>
      </c>
      <c r="G698" s="313" t="s">
        <v>1421</v>
      </c>
      <c r="H698" s="313" t="s">
        <v>1389</v>
      </c>
      <c r="I698" s="313" t="s">
        <v>97</v>
      </c>
      <c r="J698" s="313" t="s">
        <v>757</v>
      </c>
      <c r="K698" s="313" t="s">
        <v>770</v>
      </c>
      <c r="L698" s="314">
        <v>44213</v>
      </c>
      <c r="M698" s="317">
        <v>0</v>
      </c>
    </row>
    <row r="699" spans="1:13" hidden="1" x14ac:dyDescent="0.25">
      <c r="A699" s="314">
        <v>44227</v>
      </c>
      <c r="B699" s="313" t="s">
        <v>1425</v>
      </c>
      <c r="C699" s="313" t="s">
        <v>769</v>
      </c>
      <c r="D699" s="315">
        <v>8</v>
      </c>
      <c r="E699" s="316">
        <v>21.7</v>
      </c>
      <c r="F699" s="316">
        <v>1221.72</v>
      </c>
      <c r="G699" s="313" t="s">
        <v>1421</v>
      </c>
      <c r="H699" s="313" t="s">
        <v>1389</v>
      </c>
      <c r="I699" s="313" t="s">
        <v>97</v>
      </c>
      <c r="J699" s="313" t="s">
        <v>757</v>
      </c>
      <c r="K699" s="313" t="s">
        <v>770</v>
      </c>
      <c r="L699" s="314">
        <v>44227</v>
      </c>
      <c r="M699" s="317">
        <v>0</v>
      </c>
    </row>
    <row r="700" spans="1:13" hidden="1" x14ac:dyDescent="0.25">
      <c r="A700" s="314">
        <v>44229</v>
      </c>
      <c r="B700" s="313" t="s">
        <v>1426</v>
      </c>
      <c r="C700" s="313" t="s">
        <v>769</v>
      </c>
      <c r="D700" s="315">
        <v>8</v>
      </c>
      <c r="E700" s="316">
        <v>20.55</v>
      </c>
      <c r="F700" s="316">
        <v>1242.27</v>
      </c>
      <c r="G700" s="313" t="s">
        <v>1417</v>
      </c>
      <c r="H700" s="313" t="s">
        <v>1389</v>
      </c>
      <c r="I700" s="313" t="s">
        <v>97</v>
      </c>
      <c r="J700" s="313" t="s">
        <v>757</v>
      </c>
      <c r="K700" s="313" t="s">
        <v>770</v>
      </c>
      <c r="L700" s="314">
        <v>44229</v>
      </c>
      <c r="M700" s="317">
        <v>0</v>
      </c>
    </row>
    <row r="701" spans="1:13" hidden="1" x14ac:dyDescent="0.25">
      <c r="A701" s="314">
        <v>44241</v>
      </c>
      <c r="B701" s="313" t="s">
        <v>1427</v>
      </c>
      <c r="C701" s="313" t="s">
        <v>769</v>
      </c>
      <c r="D701" s="315">
        <v>8</v>
      </c>
      <c r="E701" s="316">
        <v>21.7</v>
      </c>
      <c r="F701" s="316">
        <v>1263.97</v>
      </c>
      <c r="G701" s="313" t="s">
        <v>1428</v>
      </c>
      <c r="H701" s="313" t="s">
        <v>1389</v>
      </c>
      <c r="I701" s="313" t="s">
        <v>97</v>
      </c>
      <c r="J701" s="313" t="s">
        <v>757</v>
      </c>
      <c r="K701" s="313" t="s">
        <v>770</v>
      </c>
      <c r="L701" s="314">
        <v>44241</v>
      </c>
      <c r="M701" s="317">
        <v>0</v>
      </c>
    </row>
    <row r="702" spans="1:13" hidden="1" x14ac:dyDescent="0.25">
      <c r="A702" s="314">
        <v>44251</v>
      </c>
      <c r="B702" s="313" t="s">
        <v>1384</v>
      </c>
      <c r="C702" s="313" t="s">
        <v>769</v>
      </c>
      <c r="D702" s="315">
        <v>9</v>
      </c>
      <c r="E702" s="316">
        <v>12.75</v>
      </c>
      <c r="F702" s="316">
        <v>1276.72</v>
      </c>
      <c r="G702" s="313" t="s">
        <v>1358</v>
      </c>
      <c r="H702" s="313" t="s">
        <v>1389</v>
      </c>
      <c r="I702" s="313" t="s">
        <v>97</v>
      </c>
      <c r="J702" s="313" t="s">
        <v>757</v>
      </c>
      <c r="K702" s="313" t="s">
        <v>770</v>
      </c>
      <c r="L702" s="314">
        <v>44251</v>
      </c>
      <c r="M702" s="317">
        <v>0</v>
      </c>
    </row>
    <row r="703" spans="1:13" hidden="1" x14ac:dyDescent="0.25">
      <c r="A703" s="314">
        <v>44255</v>
      </c>
      <c r="B703" s="313" t="s">
        <v>1429</v>
      </c>
      <c r="C703" s="313" t="s">
        <v>769</v>
      </c>
      <c r="D703" s="315">
        <v>9</v>
      </c>
      <c r="E703" s="316">
        <v>21.7</v>
      </c>
      <c r="F703" s="316">
        <v>1298.42</v>
      </c>
      <c r="G703" s="313" t="s">
        <v>1430</v>
      </c>
      <c r="H703" s="313" t="s">
        <v>1389</v>
      </c>
      <c r="I703" s="313" t="s">
        <v>97</v>
      </c>
      <c r="J703" s="313" t="s">
        <v>757</v>
      </c>
      <c r="K703" s="313" t="s">
        <v>770</v>
      </c>
      <c r="L703" s="314">
        <v>44255</v>
      </c>
      <c r="M703" s="317">
        <v>0</v>
      </c>
    </row>
    <row r="704" spans="1:13" hidden="1" x14ac:dyDescent="0.25">
      <c r="A704" s="314">
        <v>44263</v>
      </c>
      <c r="B704" s="313" t="s">
        <v>1431</v>
      </c>
      <c r="C704" s="313" t="s">
        <v>769</v>
      </c>
      <c r="D704" s="315">
        <v>9</v>
      </c>
      <c r="E704" s="316">
        <v>52.7</v>
      </c>
      <c r="F704" s="316">
        <v>1351.12</v>
      </c>
      <c r="G704" s="313" t="s">
        <v>1432</v>
      </c>
      <c r="H704" s="313" t="s">
        <v>1389</v>
      </c>
      <c r="I704" s="313" t="s">
        <v>97</v>
      </c>
      <c r="J704" s="313" t="s">
        <v>757</v>
      </c>
      <c r="K704" s="313" t="s">
        <v>770</v>
      </c>
      <c r="L704" s="314">
        <v>44263</v>
      </c>
      <c r="M704" s="317">
        <v>0</v>
      </c>
    </row>
    <row r="705" spans="1:13" hidden="1" x14ac:dyDescent="0.25">
      <c r="A705" s="314">
        <v>44270</v>
      </c>
      <c r="B705" s="313" t="s">
        <v>1433</v>
      </c>
      <c r="C705" s="313" t="s">
        <v>769</v>
      </c>
      <c r="D705" s="315">
        <v>9</v>
      </c>
      <c r="E705" s="316">
        <v>82.2</v>
      </c>
      <c r="F705" s="316">
        <v>1433.32</v>
      </c>
      <c r="G705" s="313" t="s">
        <v>1434</v>
      </c>
      <c r="H705" s="313" t="s">
        <v>1389</v>
      </c>
      <c r="I705" s="313" t="s">
        <v>97</v>
      </c>
      <c r="J705" s="313" t="s">
        <v>757</v>
      </c>
      <c r="K705" s="313" t="s">
        <v>770</v>
      </c>
      <c r="L705" s="314">
        <v>44270</v>
      </c>
      <c r="M705" s="317">
        <v>0</v>
      </c>
    </row>
    <row r="706" spans="1:13" hidden="1" x14ac:dyDescent="0.25">
      <c r="A706" s="314">
        <v>44276</v>
      </c>
      <c r="B706" s="313" t="s">
        <v>1435</v>
      </c>
      <c r="C706" s="313" t="s">
        <v>769</v>
      </c>
      <c r="D706" s="315">
        <v>9</v>
      </c>
      <c r="E706" s="316">
        <v>15.77</v>
      </c>
      <c r="F706" s="316">
        <v>1449.09</v>
      </c>
      <c r="G706" s="313" t="s">
        <v>1436</v>
      </c>
      <c r="H706" s="313" t="s">
        <v>1389</v>
      </c>
      <c r="I706" s="313" t="s">
        <v>97</v>
      </c>
      <c r="J706" s="313" t="s">
        <v>757</v>
      </c>
      <c r="K706" s="313" t="s">
        <v>770</v>
      </c>
      <c r="L706" s="314">
        <v>44276</v>
      </c>
      <c r="M706" s="317">
        <v>0</v>
      </c>
    </row>
    <row r="707" spans="1:13" hidden="1" x14ac:dyDescent="0.25">
      <c r="A707" s="314">
        <v>44269</v>
      </c>
      <c r="B707" s="313" t="s">
        <v>1437</v>
      </c>
      <c r="C707" s="313" t="s">
        <v>769</v>
      </c>
      <c r="D707" s="315">
        <v>10</v>
      </c>
      <c r="E707" s="316">
        <v>21.7</v>
      </c>
      <c r="F707" s="316">
        <v>1470.79</v>
      </c>
      <c r="G707" s="313" t="s">
        <v>1438</v>
      </c>
      <c r="H707" s="313" t="s">
        <v>1389</v>
      </c>
      <c r="I707" s="313" t="s">
        <v>97</v>
      </c>
      <c r="J707" s="313" t="s">
        <v>757</v>
      </c>
      <c r="K707" s="313" t="s">
        <v>770</v>
      </c>
      <c r="L707" s="314">
        <v>44269</v>
      </c>
      <c r="M707" s="317">
        <v>0</v>
      </c>
    </row>
    <row r="708" spans="1:13" hidden="1" x14ac:dyDescent="0.25">
      <c r="A708" s="314">
        <v>44272</v>
      </c>
      <c r="B708" s="313" t="s">
        <v>1439</v>
      </c>
      <c r="C708" s="313" t="s">
        <v>769</v>
      </c>
      <c r="D708" s="315">
        <v>10</v>
      </c>
      <c r="E708" s="316">
        <v>34.770000000000003</v>
      </c>
      <c r="F708" s="316">
        <v>1505.56</v>
      </c>
      <c r="G708" s="313" t="s">
        <v>1358</v>
      </c>
      <c r="H708" s="313" t="s">
        <v>1389</v>
      </c>
      <c r="I708" s="313" t="s">
        <v>97</v>
      </c>
      <c r="J708" s="313" t="s">
        <v>757</v>
      </c>
      <c r="K708" s="313" t="s">
        <v>770</v>
      </c>
      <c r="L708" s="314">
        <v>44272</v>
      </c>
      <c r="M708" s="317">
        <v>0</v>
      </c>
    </row>
    <row r="709" spans="1:13" hidden="1" x14ac:dyDescent="0.25">
      <c r="A709" s="314">
        <v>44277</v>
      </c>
      <c r="B709" s="313" t="s">
        <v>1440</v>
      </c>
      <c r="C709" s="313" t="s">
        <v>769</v>
      </c>
      <c r="D709" s="315">
        <v>10</v>
      </c>
      <c r="E709" s="316">
        <v>41.1</v>
      </c>
      <c r="F709" s="316">
        <v>1546.66</v>
      </c>
      <c r="G709" s="313" t="s">
        <v>1434</v>
      </c>
      <c r="H709" s="313" t="s">
        <v>1389</v>
      </c>
      <c r="I709" s="313" t="s">
        <v>97</v>
      </c>
      <c r="J709" s="313" t="s">
        <v>757</v>
      </c>
      <c r="K709" s="313" t="s">
        <v>770</v>
      </c>
      <c r="L709" s="314">
        <v>44277</v>
      </c>
      <c r="M709" s="317">
        <v>0</v>
      </c>
    </row>
    <row r="710" spans="1:13" hidden="1" x14ac:dyDescent="0.25">
      <c r="A710" s="314">
        <v>44283</v>
      </c>
      <c r="B710" s="313" t="s">
        <v>1441</v>
      </c>
      <c r="C710" s="313" t="s">
        <v>769</v>
      </c>
      <c r="D710" s="315">
        <v>10</v>
      </c>
      <c r="E710" s="316">
        <v>21.7</v>
      </c>
      <c r="F710" s="316">
        <v>1568.36</v>
      </c>
      <c r="G710" s="313" t="s">
        <v>1442</v>
      </c>
      <c r="H710" s="313" t="s">
        <v>1389</v>
      </c>
      <c r="I710" s="313" t="s">
        <v>97</v>
      </c>
      <c r="J710" s="313" t="s">
        <v>757</v>
      </c>
      <c r="K710" s="313" t="s">
        <v>770</v>
      </c>
      <c r="L710" s="314">
        <v>44283</v>
      </c>
      <c r="M710" s="317">
        <v>0</v>
      </c>
    </row>
    <row r="711" spans="1:13" hidden="1" x14ac:dyDescent="0.25">
      <c r="A711" s="314">
        <v>44284</v>
      </c>
      <c r="B711" s="313" t="s">
        <v>1443</v>
      </c>
      <c r="C711" s="313" t="s">
        <v>769</v>
      </c>
      <c r="D711" s="315">
        <v>10</v>
      </c>
      <c r="E711" s="316">
        <v>64.900000000000006</v>
      </c>
      <c r="F711" s="316">
        <v>1633.26</v>
      </c>
      <c r="G711" s="313" t="s">
        <v>1434</v>
      </c>
      <c r="H711" s="313" t="s">
        <v>1389</v>
      </c>
      <c r="I711" s="313" t="s">
        <v>97</v>
      </c>
      <c r="J711" s="313" t="s">
        <v>757</v>
      </c>
      <c r="K711" s="313" t="s">
        <v>770</v>
      </c>
      <c r="L711" s="314">
        <v>44284</v>
      </c>
      <c r="M711" s="317">
        <v>0</v>
      </c>
    </row>
    <row r="712" spans="1:13" hidden="1" x14ac:dyDescent="0.25">
      <c r="A712" s="314">
        <v>44290</v>
      </c>
      <c r="B712" s="313" t="s">
        <v>1444</v>
      </c>
      <c r="C712" s="313" t="s">
        <v>769</v>
      </c>
      <c r="D712" s="315">
        <v>10</v>
      </c>
      <c r="E712" s="316">
        <v>21.7</v>
      </c>
      <c r="F712" s="316">
        <v>1654.96</v>
      </c>
      <c r="G712" s="313" t="s">
        <v>1445</v>
      </c>
      <c r="H712" s="313" t="s">
        <v>1389</v>
      </c>
      <c r="I712" s="313" t="s">
        <v>97</v>
      </c>
      <c r="J712" s="313" t="s">
        <v>757</v>
      </c>
      <c r="K712" s="313" t="s">
        <v>770</v>
      </c>
      <c r="L712" s="314">
        <v>44290</v>
      </c>
      <c r="M712" s="317">
        <v>0</v>
      </c>
    </row>
    <row r="713" spans="1:13" hidden="1" x14ac:dyDescent="0.25">
      <c r="A713" s="314">
        <v>44297</v>
      </c>
      <c r="B713" s="313" t="s">
        <v>1446</v>
      </c>
      <c r="C713" s="313" t="s">
        <v>769</v>
      </c>
      <c r="D713" s="315">
        <v>10</v>
      </c>
      <c r="E713" s="316">
        <v>21.7</v>
      </c>
      <c r="F713" s="316">
        <v>1676.66</v>
      </c>
      <c r="G713" s="313" t="s">
        <v>1436</v>
      </c>
      <c r="H713" s="313" t="s">
        <v>1389</v>
      </c>
      <c r="I713" s="313" t="s">
        <v>97</v>
      </c>
      <c r="J713" s="313" t="s">
        <v>757</v>
      </c>
      <c r="K713" s="313" t="s">
        <v>770</v>
      </c>
      <c r="L713" s="314">
        <v>44297</v>
      </c>
      <c r="M713" s="317">
        <v>0</v>
      </c>
    </row>
    <row r="714" spans="1:13" hidden="1" x14ac:dyDescent="0.25">
      <c r="A714" s="314">
        <v>44166</v>
      </c>
      <c r="B714" s="313" t="s">
        <v>1379</v>
      </c>
      <c r="C714" s="313" t="s">
        <v>769</v>
      </c>
      <c r="D714" s="315">
        <v>6</v>
      </c>
      <c r="E714" s="316">
        <v>18.73</v>
      </c>
      <c r="F714" s="316">
        <v>1876.61</v>
      </c>
      <c r="G714" s="313" t="s">
        <v>1380</v>
      </c>
      <c r="H714" s="313" t="s">
        <v>1447</v>
      </c>
      <c r="I714" s="313" t="s">
        <v>97</v>
      </c>
      <c r="J714" s="313" t="s">
        <v>757</v>
      </c>
      <c r="K714" s="313" t="s">
        <v>770</v>
      </c>
      <c r="L714" s="314">
        <v>44166</v>
      </c>
      <c r="M714" s="317">
        <v>0</v>
      </c>
    </row>
    <row r="715" spans="1:13" hidden="1" x14ac:dyDescent="0.25">
      <c r="A715" s="314">
        <v>44183</v>
      </c>
      <c r="B715" s="313" t="s">
        <v>1382</v>
      </c>
      <c r="C715" s="313" t="s">
        <v>769</v>
      </c>
      <c r="D715" s="315">
        <v>7</v>
      </c>
      <c r="E715" s="316">
        <v>36.479999999999997</v>
      </c>
      <c r="F715" s="316">
        <v>1913.09</v>
      </c>
      <c r="G715" s="313" t="s">
        <v>1383</v>
      </c>
      <c r="H715" s="313" t="s">
        <v>1447</v>
      </c>
      <c r="I715" s="313" t="s">
        <v>97</v>
      </c>
      <c r="J715" s="313" t="s">
        <v>757</v>
      </c>
      <c r="K715" s="313" t="s">
        <v>770</v>
      </c>
      <c r="L715" s="314">
        <v>44183</v>
      </c>
      <c r="M715" s="317">
        <v>0</v>
      </c>
    </row>
    <row r="716" spans="1:13" hidden="1" x14ac:dyDescent="0.25">
      <c r="A716" s="314">
        <v>44251</v>
      </c>
      <c r="B716" s="313" t="s">
        <v>1384</v>
      </c>
      <c r="C716" s="313" t="s">
        <v>769</v>
      </c>
      <c r="D716" s="315">
        <v>9</v>
      </c>
      <c r="E716" s="316">
        <v>12.74</v>
      </c>
      <c r="F716" s="316">
        <v>1925.83</v>
      </c>
      <c r="G716" s="313" t="s">
        <v>1358</v>
      </c>
      <c r="H716" s="313" t="s">
        <v>1447</v>
      </c>
      <c r="I716" s="313" t="s">
        <v>97</v>
      </c>
      <c r="J716" s="313" t="s">
        <v>757</v>
      </c>
      <c r="K716" s="313" t="s">
        <v>770</v>
      </c>
      <c r="L716" s="314">
        <v>44251</v>
      </c>
      <c r="M716" s="317">
        <v>0</v>
      </c>
    </row>
    <row r="717" spans="1:13" hidden="1" x14ac:dyDescent="0.25">
      <c r="A717" s="314">
        <v>44166</v>
      </c>
      <c r="B717" s="313" t="s">
        <v>1379</v>
      </c>
      <c r="C717" s="313" t="s">
        <v>769</v>
      </c>
      <c r="D717" s="315">
        <v>6</v>
      </c>
      <c r="E717" s="316">
        <v>18.73</v>
      </c>
      <c r="F717" s="316">
        <v>1958.62</v>
      </c>
      <c r="G717" s="313" t="s">
        <v>1380</v>
      </c>
      <c r="H717" s="313" t="s">
        <v>1448</v>
      </c>
      <c r="I717" s="313" t="s">
        <v>97</v>
      </c>
      <c r="J717" s="313" t="s">
        <v>757</v>
      </c>
      <c r="K717" s="313" t="s">
        <v>770</v>
      </c>
      <c r="L717" s="314">
        <v>44166</v>
      </c>
      <c r="M717" s="317">
        <v>0</v>
      </c>
    </row>
    <row r="718" spans="1:13" hidden="1" x14ac:dyDescent="0.25">
      <c r="A718" s="314">
        <v>44183</v>
      </c>
      <c r="B718" s="313" t="s">
        <v>1382</v>
      </c>
      <c r="C718" s="313" t="s">
        <v>769</v>
      </c>
      <c r="D718" s="315">
        <v>7</v>
      </c>
      <c r="E718" s="316">
        <v>36.479999999999997</v>
      </c>
      <c r="F718" s="316">
        <v>1995.1</v>
      </c>
      <c r="G718" s="313" t="s">
        <v>1383</v>
      </c>
      <c r="H718" s="313" t="s">
        <v>1448</v>
      </c>
      <c r="I718" s="313" t="s">
        <v>97</v>
      </c>
      <c r="J718" s="313" t="s">
        <v>757</v>
      </c>
      <c r="K718" s="313" t="s">
        <v>770</v>
      </c>
      <c r="L718" s="314">
        <v>44183</v>
      </c>
      <c r="M718" s="317">
        <v>0</v>
      </c>
    </row>
    <row r="719" spans="1:13" hidden="1" x14ac:dyDescent="0.25">
      <c r="A719" s="314">
        <v>44251</v>
      </c>
      <c r="B719" s="313" t="s">
        <v>1384</v>
      </c>
      <c r="C719" s="313" t="s">
        <v>769</v>
      </c>
      <c r="D719" s="315">
        <v>9</v>
      </c>
      <c r="E719" s="316">
        <v>12.74</v>
      </c>
      <c r="F719" s="316">
        <v>2007.84</v>
      </c>
      <c r="G719" s="313" t="s">
        <v>1358</v>
      </c>
      <c r="H719" s="313" t="s">
        <v>1448</v>
      </c>
      <c r="I719" s="313" t="s">
        <v>97</v>
      </c>
      <c r="J719" s="313" t="s">
        <v>757</v>
      </c>
      <c r="K719" s="313" t="s">
        <v>770</v>
      </c>
      <c r="L719" s="314">
        <v>44251</v>
      </c>
      <c r="M719" s="317">
        <v>0</v>
      </c>
    </row>
    <row r="720" spans="1:13" hidden="1" x14ac:dyDescent="0.25">
      <c r="A720" s="314">
        <v>44166</v>
      </c>
      <c r="B720" s="313" t="s">
        <v>1379</v>
      </c>
      <c r="C720" s="313" t="s">
        <v>769</v>
      </c>
      <c r="D720" s="315">
        <v>6</v>
      </c>
      <c r="E720" s="316">
        <v>18.73</v>
      </c>
      <c r="F720" s="316">
        <v>2040.62</v>
      </c>
      <c r="G720" s="313" t="s">
        <v>1380</v>
      </c>
      <c r="H720" s="313" t="s">
        <v>1449</v>
      </c>
      <c r="I720" s="313" t="s">
        <v>97</v>
      </c>
      <c r="J720" s="313" t="s">
        <v>757</v>
      </c>
      <c r="K720" s="313" t="s">
        <v>770</v>
      </c>
      <c r="L720" s="314">
        <v>44166</v>
      </c>
      <c r="M720" s="317">
        <v>0</v>
      </c>
    </row>
    <row r="721" spans="1:13" hidden="1" x14ac:dyDescent="0.25">
      <c r="A721" s="314">
        <v>44183</v>
      </c>
      <c r="B721" s="313" t="s">
        <v>1382</v>
      </c>
      <c r="C721" s="313" t="s">
        <v>769</v>
      </c>
      <c r="D721" s="315">
        <v>7</v>
      </c>
      <c r="E721" s="316">
        <v>36.479999999999997</v>
      </c>
      <c r="F721" s="316">
        <v>2077.1</v>
      </c>
      <c r="G721" s="313" t="s">
        <v>1383</v>
      </c>
      <c r="H721" s="313" t="s">
        <v>1449</v>
      </c>
      <c r="I721" s="313" t="s">
        <v>97</v>
      </c>
      <c r="J721" s="313" t="s">
        <v>757</v>
      </c>
      <c r="K721" s="313" t="s">
        <v>770</v>
      </c>
      <c r="L721" s="314">
        <v>44183</v>
      </c>
      <c r="M721" s="317">
        <v>0</v>
      </c>
    </row>
    <row r="722" spans="1:13" hidden="1" x14ac:dyDescent="0.25">
      <c r="A722" s="314">
        <v>44251</v>
      </c>
      <c r="B722" s="313" t="s">
        <v>1384</v>
      </c>
      <c r="C722" s="313" t="s">
        <v>769</v>
      </c>
      <c r="D722" s="315">
        <v>9</v>
      </c>
      <c r="E722" s="316">
        <v>12.74</v>
      </c>
      <c r="F722" s="316">
        <v>2089.84</v>
      </c>
      <c r="G722" s="313" t="s">
        <v>1358</v>
      </c>
      <c r="H722" s="313" t="s">
        <v>1449</v>
      </c>
      <c r="I722" s="313" t="s">
        <v>97</v>
      </c>
      <c r="J722" s="313" t="s">
        <v>757</v>
      </c>
      <c r="K722" s="313" t="s">
        <v>770</v>
      </c>
      <c r="L722" s="314">
        <v>44251</v>
      </c>
      <c r="M722" s="317">
        <v>0</v>
      </c>
    </row>
    <row r="723" spans="1:13" hidden="1" x14ac:dyDescent="0.25">
      <c r="A723" s="314">
        <v>44166</v>
      </c>
      <c r="B723" s="313" t="s">
        <v>1379</v>
      </c>
      <c r="C723" s="313" t="s">
        <v>769</v>
      </c>
      <c r="D723" s="315">
        <v>6</v>
      </c>
      <c r="E723" s="316">
        <v>18.73</v>
      </c>
      <c r="F723" s="316">
        <v>2122.62</v>
      </c>
      <c r="G723" s="313" t="s">
        <v>1380</v>
      </c>
      <c r="H723" s="313" t="s">
        <v>1450</v>
      </c>
      <c r="I723" s="313" t="s">
        <v>97</v>
      </c>
      <c r="J723" s="313" t="s">
        <v>757</v>
      </c>
      <c r="K723" s="313" t="s">
        <v>770</v>
      </c>
      <c r="L723" s="314">
        <v>44166</v>
      </c>
      <c r="M723" s="317">
        <v>0</v>
      </c>
    </row>
    <row r="724" spans="1:13" hidden="1" x14ac:dyDescent="0.25">
      <c r="A724" s="314">
        <v>44183</v>
      </c>
      <c r="B724" s="313" t="s">
        <v>1382</v>
      </c>
      <c r="C724" s="313" t="s">
        <v>769</v>
      </c>
      <c r="D724" s="315">
        <v>7</v>
      </c>
      <c r="E724" s="316">
        <v>36.479999999999997</v>
      </c>
      <c r="F724" s="316">
        <v>2159.1</v>
      </c>
      <c r="G724" s="313" t="s">
        <v>1383</v>
      </c>
      <c r="H724" s="313" t="s">
        <v>1450</v>
      </c>
      <c r="I724" s="313" t="s">
        <v>97</v>
      </c>
      <c r="J724" s="313" t="s">
        <v>757</v>
      </c>
      <c r="K724" s="313" t="s">
        <v>770</v>
      </c>
      <c r="L724" s="314">
        <v>44183</v>
      </c>
      <c r="M724" s="317">
        <v>0</v>
      </c>
    </row>
    <row r="725" spans="1:13" hidden="1" x14ac:dyDescent="0.25">
      <c r="A725" s="314">
        <v>44251</v>
      </c>
      <c r="B725" s="313" t="s">
        <v>1384</v>
      </c>
      <c r="C725" s="313" t="s">
        <v>769</v>
      </c>
      <c r="D725" s="315">
        <v>9</v>
      </c>
      <c r="E725" s="316">
        <v>12.74</v>
      </c>
      <c r="F725" s="316">
        <v>2171.84</v>
      </c>
      <c r="G725" s="313" t="s">
        <v>1358</v>
      </c>
      <c r="H725" s="313" t="s">
        <v>1450</v>
      </c>
      <c r="I725" s="313" t="s">
        <v>97</v>
      </c>
      <c r="J725" s="313" t="s">
        <v>757</v>
      </c>
      <c r="K725" s="313" t="s">
        <v>770</v>
      </c>
      <c r="L725" s="314">
        <v>44251</v>
      </c>
      <c r="M725" s="317">
        <v>0</v>
      </c>
    </row>
    <row r="726" spans="1:13" hidden="1" x14ac:dyDescent="0.25">
      <c r="A726" s="314">
        <v>44166</v>
      </c>
      <c r="B726" s="313" t="s">
        <v>1379</v>
      </c>
      <c r="C726" s="313" t="s">
        <v>769</v>
      </c>
      <c r="D726" s="315">
        <v>6</v>
      </c>
      <c r="E726" s="316">
        <v>18.73</v>
      </c>
      <c r="F726" s="316">
        <v>2204.62</v>
      </c>
      <c r="G726" s="313" t="s">
        <v>1380</v>
      </c>
      <c r="H726" s="313" t="s">
        <v>1451</v>
      </c>
      <c r="I726" s="313" t="s">
        <v>97</v>
      </c>
      <c r="J726" s="313" t="s">
        <v>757</v>
      </c>
      <c r="K726" s="313" t="s">
        <v>770</v>
      </c>
      <c r="L726" s="314">
        <v>44166</v>
      </c>
      <c r="M726" s="317">
        <v>0</v>
      </c>
    </row>
    <row r="727" spans="1:13" hidden="1" x14ac:dyDescent="0.25">
      <c r="A727" s="314">
        <v>44183</v>
      </c>
      <c r="B727" s="313" t="s">
        <v>1382</v>
      </c>
      <c r="C727" s="313" t="s">
        <v>769</v>
      </c>
      <c r="D727" s="315">
        <v>7</v>
      </c>
      <c r="E727" s="316">
        <v>36.479999999999997</v>
      </c>
      <c r="F727" s="316">
        <v>2241.1</v>
      </c>
      <c r="G727" s="313" t="s">
        <v>1383</v>
      </c>
      <c r="H727" s="313" t="s">
        <v>1451</v>
      </c>
      <c r="I727" s="313" t="s">
        <v>97</v>
      </c>
      <c r="J727" s="313" t="s">
        <v>757</v>
      </c>
      <c r="K727" s="313" t="s">
        <v>770</v>
      </c>
      <c r="L727" s="314">
        <v>44183</v>
      </c>
      <c r="M727" s="317">
        <v>0</v>
      </c>
    </row>
    <row r="728" spans="1:13" hidden="1" x14ac:dyDescent="0.25">
      <c r="A728" s="314">
        <v>44251</v>
      </c>
      <c r="B728" s="313" t="s">
        <v>1384</v>
      </c>
      <c r="C728" s="313" t="s">
        <v>769</v>
      </c>
      <c r="D728" s="315">
        <v>9</v>
      </c>
      <c r="E728" s="316">
        <v>12.74</v>
      </c>
      <c r="F728" s="316">
        <v>2253.84</v>
      </c>
      <c r="G728" s="313" t="s">
        <v>1358</v>
      </c>
      <c r="H728" s="313" t="s">
        <v>1451</v>
      </c>
      <c r="I728" s="313" t="s">
        <v>97</v>
      </c>
      <c r="J728" s="313" t="s">
        <v>757</v>
      </c>
      <c r="K728" s="313" t="s">
        <v>770</v>
      </c>
      <c r="L728" s="314">
        <v>44251</v>
      </c>
      <c r="M728" s="317">
        <v>0</v>
      </c>
    </row>
    <row r="729" spans="1:13" hidden="1" x14ac:dyDescent="0.25">
      <c r="A729" s="314">
        <v>44166</v>
      </c>
      <c r="B729" s="313" t="s">
        <v>1379</v>
      </c>
      <c r="C729" s="313" t="s">
        <v>769</v>
      </c>
      <c r="D729" s="315">
        <v>6</v>
      </c>
      <c r="E729" s="316">
        <v>18.73</v>
      </c>
      <c r="F729" s="316">
        <v>2286.62</v>
      </c>
      <c r="G729" s="313" t="s">
        <v>1380</v>
      </c>
      <c r="H729" s="313" t="s">
        <v>1452</v>
      </c>
      <c r="I729" s="313" t="s">
        <v>97</v>
      </c>
      <c r="J729" s="313" t="s">
        <v>757</v>
      </c>
      <c r="K729" s="313" t="s">
        <v>770</v>
      </c>
      <c r="L729" s="314">
        <v>44166</v>
      </c>
      <c r="M729" s="317">
        <v>0</v>
      </c>
    </row>
    <row r="730" spans="1:13" hidden="1" x14ac:dyDescent="0.25">
      <c r="A730" s="314">
        <v>44183</v>
      </c>
      <c r="B730" s="313" t="s">
        <v>1382</v>
      </c>
      <c r="C730" s="313" t="s">
        <v>769</v>
      </c>
      <c r="D730" s="315">
        <v>7</v>
      </c>
      <c r="E730" s="316">
        <v>36.51</v>
      </c>
      <c r="F730" s="316">
        <v>2323.13</v>
      </c>
      <c r="G730" s="313" t="s">
        <v>1383</v>
      </c>
      <c r="H730" s="313" t="s">
        <v>1452</v>
      </c>
      <c r="I730" s="313" t="s">
        <v>97</v>
      </c>
      <c r="J730" s="313" t="s">
        <v>757</v>
      </c>
      <c r="K730" s="313" t="s">
        <v>770</v>
      </c>
      <c r="L730" s="314">
        <v>44183</v>
      </c>
      <c r="M730" s="317">
        <v>0</v>
      </c>
    </row>
    <row r="731" spans="1:13" hidden="1" x14ac:dyDescent="0.25">
      <c r="A731" s="314">
        <v>44251</v>
      </c>
      <c r="B731" s="313" t="s">
        <v>1384</v>
      </c>
      <c r="C731" s="313" t="s">
        <v>769</v>
      </c>
      <c r="D731" s="315">
        <v>9</v>
      </c>
      <c r="E731" s="316">
        <v>12.7</v>
      </c>
      <c r="F731" s="316">
        <v>2335.83</v>
      </c>
      <c r="G731" s="313" t="s">
        <v>1358</v>
      </c>
      <c r="H731" s="313" t="s">
        <v>1452</v>
      </c>
      <c r="I731" s="313" t="s">
        <v>97</v>
      </c>
      <c r="J731" s="313" t="s">
        <v>757</v>
      </c>
      <c r="K731" s="313" t="s">
        <v>770</v>
      </c>
      <c r="L731" s="314">
        <v>44251</v>
      </c>
      <c r="M731" s="317">
        <v>0</v>
      </c>
    </row>
    <row r="732" spans="1:13" hidden="1" x14ac:dyDescent="0.25">
      <c r="A732" s="314">
        <v>44166</v>
      </c>
      <c r="B732" s="313" t="s">
        <v>1379</v>
      </c>
      <c r="C732" s="313" t="s">
        <v>769</v>
      </c>
      <c r="D732" s="315">
        <v>6</v>
      </c>
      <c r="E732" s="316">
        <v>18.670000000000002</v>
      </c>
      <c r="F732" s="316">
        <v>2368.59</v>
      </c>
      <c r="G732" s="313" t="s">
        <v>1380</v>
      </c>
      <c r="H732" s="313" t="s">
        <v>1453</v>
      </c>
      <c r="I732" s="313" t="s">
        <v>97</v>
      </c>
      <c r="J732" s="313" t="s">
        <v>757</v>
      </c>
      <c r="K732" s="313" t="s">
        <v>770</v>
      </c>
      <c r="L732" s="314">
        <v>44166</v>
      </c>
      <c r="M732" s="317">
        <v>0</v>
      </c>
    </row>
    <row r="733" spans="1:13" hidden="1" x14ac:dyDescent="0.25">
      <c r="A733" s="314">
        <v>44183</v>
      </c>
      <c r="B733" s="313" t="s">
        <v>1382</v>
      </c>
      <c r="C733" s="313" t="s">
        <v>769</v>
      </c>
      <c r="D733" s="315">
        <v>7</v>
      </c>
      <c r="E733" s="316">
        <v>36.479999999999997</v>
      </c>
      <c r="F733" s="316">
        <v>2405.0700000000002</v>
      </c>
      <c r="G733" s="313" t="s">
        <v>1383</v>
      </c>
      <c r="H733" s="313" t="s">
        <v>1453</v>
      </c>
      <c r="I733" s="313" t="s">
        <v>97</v>
      </c>
      <c r="J733" s="313" t="s">
        <v>757</v>
      </c>
      <c r="K733" s="313" t="s">
        <v>770</v>
      </c>
      <c r="L733" s="314">
        <v>44183</v>
      </c>
      <c r="M733" s="317">
        <v>0</v>
      </c>
    </row>
    <row r="734" spans="1:13" hidden="1" x14ac:dyDescent="0.25">
      <c r="A734" s="314">
        <v>44034</v>
      </c>
      <c r="B734" s="313" t="s">
        <v>1454</v>
      </c>
      <c r="C734" s="313" t="s">
        <v>769</v>
      </c>
      <c r="D734" s="315">
        <v>1</v>
      </c>
      <c r="E734" s="316">
        <v>175.5</v>
      </c>
      <c r="F734" s="316">
        <v>2580.5700000000002</v>
      </c>
      <c r="G734" s="313" t="s">
        <v>1383</v>
      </c>
      <c r="H734" s="313" t="s">
        <v>1455</v>
      </c>
      <c r="I734" s="313" t="s">
        <v>97</v>
      </c>
      <c r="J734" s="313" t="s">
        <v>757</v>
      </c>
      <c r="K734" s="313" t="s">
        <v>770</v>
      </c>
      <c r="L734" s="314">
        <v>44034</v>
      </c>
      <c r="M734" s="317">
        <v>0</v>
      </c>
    </row>
    <row r="735" spans="1:13" hidden="1" x14ac:dyDescent="0.25">
      <c r="A735" s="314">
        <v>44047</v>
      </c>
      <c r="B735" s="313" t="s">
        <v>1456</v>
      </c>
      <c r="C735" s="313" t="s">
        <v>769</v>
      </c>
      <c r="D735" s="315">
        <v>2</v>
      </c>
      <c r="E735" s="316">
        <v>21.9</v>
      </c>
      <c r="F735" s="316">
        <v>2602.4699999999998</v>
      </c>
      <c r="G735" s="313" t="s">
        <v>1457</v>
      </c>
      <c r="H735" s="313" t="s">
        <v>1455</v>
      </c>
      <c r="I735" s="313" t="s">
        <v>97</v>
      </c>
      <c r="J735" s="313" t="s">
        <v>757</v>
      </c>
      <c r="K735" s="313" t="s">
        <v>770</v>
      </c>
      <c r="L735" s="314">
        <v>44047</v>
      </c>
      <c r="M735" s="317">
        <v>0</v>
      </c>
    </row>
    <row r="736" spans="1:13" hidden="1" x14ac:dyDescent="0.25">
      <c r="A736" s="314">
        <v>44152</v>
      </c>
      <c r="B736" s="313" t="s">
        <v>1458</v>
      </c>
      <c r="C736" s="313" t="s">
        <v>769</v>
      </c>
      <c r="D736" s="315">
        <v>6</v>
      </c>
      <c r="E736" s="316">
        <v>155.4</v>
      </c>
      <c r="F736" s="316">
        <v>2757.87</v>
      </c>
      <c r="G736" s="313" t="s">
        <v>1459</v>
      </c>
      <c r="H736" s="313" t="s">
        <v>1455</v>
      </c>
      <c r="I736" s="313" t="s">
        <v>97</v>
      </c>
      <c r="J736" s="313" t="s">
        <v>757</v>
      </c>
      <c r="K736" s="313" t="s">
        <v>770</v>
      </c>
      <c r="L736" s="314">
        <v>44152</v>
      </c>
      <c r="M736" s="317">
        <v>0</v>
      </c>
    </row>
    <row r="737" spans="1:13" hidden="1" x14ac:dyDescent="0.25">
      <c r="A737" s="314">
        <v>44164</v>
      </c>
      <c r="B737" s="313" t="s">
        <v>1460</v>
      </c>
      <c r="C737" s="313" t="s">
        <v>936</v>
      </c>
      <c r="D737" s="315">
        <v>6</v>
      </c>
      <c r="E737" s="316">
        <v>-155.4</v>
      </c>
      <c r="F737" s="316">
        <v>2602.4699999999998</v>
      </c>
      <c r="G737" s="313" t="s">
        <v>1461</v>
      </c>
      <c r="H737" s="313" t="s">
        <v>1455</v>
      </c>
      <c r="I737" s="313" t="s">
        <v>97</v>
      </c>
      <c r="J737" s="313" t="s">
        <v>757</v>
      </c>
      <c r="K737" s="313" t="s">
        <v>770</v>
      </c>
      <c r="L737" s="314">
        <v>44164</v>
      </c>
      <c r="M737" s="317">
        <v>0</v>
      </c>
    </row>
    <row r="738" spans="1:13" hidden="1" x14ac:dyDescent="0.25">
      <c r="A738" s="314">
        <v>44285</v>
      </c>
      <c r="B738" s="313" t="s">
        <v>1462</v>
      </c>
      <c r="C738" s="313" t="s">
        <v>769</v>
      </c>
      <c r="D738" s="315">
        <v>10</v>
      </c>
      <c r="E738" s="316">
        <v>87.49</v>
      </c>
      <c r="F738" s="316">
        <v>2689.96</v>
      </c>
      <c r="G738" s="313" t="s">
        <v>1358</v>
      </c>
      <c r="H738" s="313" t="s">
        <v>1463</v>
      </c>
      <c r="I738" s="313" t="s">
        <v>97</v>
      </c>
      <c r="J738" s="313" t="s">
        <v>757</v>
      </c>
      <c r="K738" s="313" t="s">
        <v>770</v>
      </c>
      <c r="L738" s="314">
        <v>44285</v>
      </c>
      <c r="M738" s="317">
        <v>0</v>
      </c>
    </row>
    <row r="739" spans="1:13" hidden="1" x14ac:dyDescent="0.25">
      <c r="A739" s="314">
        <v>44202</v>
      </c>
      <c r="B739" s="313" t="s">
        <v>1464</v>
      </c>
      <c r="C739" s="313" t="s">
        <v>769</v>
      </c>
      <c r="D739" s="315">
        <v>7</v>
      </c>
      <c r="E739" s="316">
        <v>27.28</v>
      </c>
      <c r="F739" s="316">
        <v>2717.24</v>
      </c>
      <c r="G739" s="313" t="s">
        <v>1465</v>
      </c>
      <c r="H739" s="313" t="s">
        <v>1466</v>
      </c>
      <c r="I739" s="313" t="s">
        <v>97</v>
      </c>
      <c r="J739" s="313" t="s">
        <v>757</v>
      </c>
      <c r="K739" s="313" t="s">
        <v>770</v>
      </c>
      <c r="L739" s="314">
        <v>44202</v>
      </c>
      <c r="M739" s="317">
        <v>0</v>
      </c>
    </row>
    <row r="740" spans="1:13" hidden="1" x14ac:dyDescent="0.25">
      <c r="A740" s="314">
        <v>44215</v>
      </c>
      <c r="B740" s="313" t="s">
        <v>1467</v>
      </c>
      <c r="C740" s="313" t="s">
        <v>769</v>
      </c>
      <c r="D740" s="315">
        <v>7</v>
      </c>
      <c r="E740" s="316">
        <v>12.11</v>
      </c>
      <c r="F740" s="316">
        <v>2729.35</v>
      </c>
      <c r="G740" s="313" t="s">
        <v>1468</v>
      </c>
      <c r="H740" s="313" t="s">
        <v>1466</v>
      </c>
      <c r="I740" s="313" t="s">
        <v>97</v>
      </c>
      <c r="J740" s="313" t="s">
        <v>757</v>
      </c>
      <c r="K740" s="313" t="s">
        <v>770</v>
      </c>
      <c r="L740" s="314">
        <v>44215</v>
      </c>
      <c r="M740" s="317">
        <v>0</v>
      </c>
    </row>
    <row r="741" spans="1:13" hidden="1" x14ac:dyDescent="0.25">
      <c r="A741" s="314">
        <v>44259</v>
      </c>
      <c r="B741" s="313" t="s">
        <v>1469</v>
      </c>
      <c r="C741" s="313" t="s">
        <v>769</v>
      </c>
      <c r="D741" s="315">
        <v>9</v>
      </c>
      <c r="E741" s="316">
        <v>12.9</v>
      </c>
      <c r="F741" s="316">
        <v>2742.25</v>
      </c>
      <c r="G741" s="313" t="s">
        <v>1385</v>
      </c>
      <c r="H741" s="313" t="s">
        <v>1466</v>
      </c>
      <c r="I741" s="313" t="s">
        <v>97</v>
      </c>
      <c r="J741" s="313" t="s">
        <v>757</v>
      </c>
      <c r="K741" s="313" t="s">
        <v>770</v>
      </c>
      <c r="L741" s="314">
        <v>44259</v>
      </c>
      <c r="M741" s="317">
        <v>0</v>
      </c>
    </row>
    <row r="742" spans="1:13" hidden="1" x14ac:dyDescent="0.25">
      <c r="A742" s="314">
        <v>44138</v>
      </c>
      <c r="B742" s="313" t="s">
        <v>1470</v>
      </c>
      <c r="C742" s="313" t="s">
        <v>769</v>
      </c>
      <c r="D742" s="315">
        <v>5</v>
      </c>
      <c r="E742" s="316">
        <v>22.73</v>
      </c>
      <c r="F742" s="316">
        <v>2764.98</v>
      </c>
      <c r="G742" s="313" t="s">
        <v>1471</v>
      </c>
      <c r="H742" s="313" t="s">
        <v>1472</v>
      </c>
      <c r="I742" s="313" t="s">
        <v>97</v>
      </c>
      <c r="J742" s="313" t="s">
        <v>757</v>
      </c>
      <c r="K742" s="313" t="s">
        <v>770</v>
      </c>
      <c r="L742" s="314">
        <v>44138</v>
      </c>
      <c r="M742" s="317">
        <v>0</v>
      </c>
    </row>
    <row r="743" spans="1:13" hidden="1" x14ac:dyDescent="0.25">
      <c r="A743" s="314">
        <v>44202</v>
      </c>
      <c r="B743" s="313" t="s">
        <v>1464</v>
      </c>
      <c r="C743" s="313" t="s">
        <v>769</v>
      </c>
      <c r="D743" s="315">
        <v>7</v>
      </c>
      <c r="E743" s="316">
        <v>27.27</v>
      </c>
      <c r="F743" s="316">
        <v>2792.25</v>
      </c>
      <c r="G743" s="313" t="s">
        <v>1465</v>
      </c>
      <c r="H743" s="313" t="s">
        <v>1472</v>
      </c>
      <c r="I743" s="313" t="s">
        <v>97</v>
      </c>
      <c r="J743" s="313" t="s">
        <v>757</v>
      </c>
      <c r="K743" s="313" t="s">
        <v>770</v>
      </c>
      <c r="L743" s="314">
        <v>44202</v>
      </c>
      <c r="M743" s="317">
        <v>0</v>
      </c>
    </row>
    <row r="744" spans="1:13" hidden="1" x14ac:dyDescent="0.25">
      <c r="A744" s="314">
        <v>44215</v>
      </c>
      <c r="B744" s="313" t="s">
        <v>1467</v>
      </c>
      <c r="C744" s="313" t="s">
        <v>769</v>
      </c>
      <c r="D744" s="315">
        <v>7</v>
      </c>
      <c r="E744" s="316">
        <v>12.13</v>
      </c>
      <c r="F744" s="316">
        <v>2804.38</v>
      </c>
      <c r="G744" s="313" t="s">
        <v>1468</v>
      </c>
      <c r="H744" s="313" t="s">
        <v>1472</v>
      </c>
      <c r="I744" s="313" t="s">
        <v>97</v>
      </c>
      <c r="J744" s="313" t="s">
        <v>757</v>
      </c>
      <c r="K744" s="313" t="s">
        <v>770</v>
      </c>
      <c r="L744" s="314">
        <v>44215</v>
      </c>
      <c r="M744" s="317">
        <v>0</v>
      </c>
    </row>
    <row r="745" spans="1:13" hidden="1" x14ac:dyDescent="0.25">
      <c r="A745" s="314">
        <v>44259</v>
      </c>
      <c r="B745" s="313" t="s">
        <v>1469</v>
      </c>
      <c r="C745" s="313" t="s">
        <v>769</v>
      </c>
      <c r="D745" s="315">
        <v>9</v>
      </c>
      <c r="E745" s="316">
        <v>12.91</v>
      </c>
      <c r="F745" s="316">
        <v>2817.29</v>
      </c>
      <c r="G745" s="313" t="s">
        <v>1385</v>
      </c>
      <c r="H745" s="313" t="s">
        <v>1472</v>
      </c>
      <c r="I745" s="313" t="s">
        <v>97</v>
      </c>
      <c r="J745" s="313" t="s">
        <v>757</v>
      </c>
      <c r="K745" s="313" t="s">
        <v>770</v>
      </c>
      <c r="L745" s="314">
        <v>44259</v>
      </c>
      <c r="M745" s="317">
        <v>0</v>
      </c>
    </row>
    <row r="746" spans="1:13" hidden="1" x14ac:dyDescent="0.25">
      <c r="A746" s="314">
        <v>44202</v>
      </c>
      <c r="B746" s="313" t="s">
        <v>1464</v>
      </c>
      <c r="C746" s="313" t="s">
        <v>769</v>
      </c>
      <c r="D746" s="315">
        <v>7</v>
      </c>
      <c r="E746" s="316">
        <v>27.27</v>
      </c>
      <c r="F746" s="316">
        <v>3028.73</v>
      </c>
      <c r="G746" s="313" t="s">
        <v>1465</v>
      </c>
      <c r="H746" s="313" t="s">
        <v>1473</v>
      </c>
      <c r="I746" s="313" t="s">
        <v>97</v>
      </c>
      <c r="J746" s="313" t="s">
        <v>757</v>
      </c>
      <c r="K746" s="313" t="s">
        <v>770</v>
      </c>
      <c r="L746" s="314">
        <v>44202</v>
      </c>
      <c r="M746" s="317">
        <v>0</v>
      </c>
    </row>
    <row r="747" spans="1:13" hidden="1" x14ac:dyDescent="0.25">
      <c r="A747" s="314">
        <v>44215</v>
      </c>
      <c r="B747" s="313" t="s">
        <v>1467</v>
      </c>
      <c r="C747" s="313" t="s">
        <v>769</v>
      </c>
      <c r="D747" s="315">
        <v>7</v>
      </c>
      <c r="E747" s="316">
        <v>12.12</v>
      </c>
      <c r="F747" s="316">
        <v>3040.85</v>
      </c>
      <c r="G747" s="313" t="s">
        <v>1468</v>
      </c>
      <c r="H747" s="313" t="s">
        <v>1473</v>
      </c>
      <c r="I747" s="313" t="s">
        <v>97</v>
      </c>
      <c r="J747" s="313" t="s">
        <v>757</v>
      </c>
      <c r="K747" s="313" t="s">
        <v>770</v>
      </c>
      <c r="L747" s="314">
        <v>44215</v>
      </c>
      <c r="M747" s="317">
        <v>0</v>
      </c>
    </row>
    <row r="748" spans="1:13" hidden="1" x14ac:dyDescent="0.25">
      <c r="A748" s="314">
        <v>44259</v>
      </c>
      <c r="B748" s="313" t="s">
        <v>1469</v>
      </c>
      <c r="C748" s="313" t="s">
        <v>769</v>
      </c>
      <c r="D748" s="315">
        <v>9</v>
      </c>
      <c r="E748" s="316">
        <v>12.9</v>
      </c>
      <c r="F748" s="316">
        <v>3053.75</v>
      </c>
      <c r="G748" s="313" t="s">
        <v>1385</v>
      </c>
      <c r="H748" s="313" t="s">
        <v>1473</v>
      </c>
      <c r="I748" s="313" t="s">
        <v>97</v>
      </c>
      <c r="J748" s="313" t="s">
        <v>757</v>
      </c>
      <c r="K748" s="313" t="s">
        <v>770</v>
      </c>
      <c r="L748" s="314">
        <v>44259</v>
      </c>
      <c r="M748" s="317">
        <v>0</v>
      </c>
    </row>
    <row r="749" spans="1:13" hidden="1" x14ac:dyDescent="0.25">
      <c r="A749" s="314">
        <v>44077</v>
      </c>
      <c r="B749" s="313" t="s">
        <v>1474</v>
      </c>
      <c r="C749" s="313" t="s">
        <v>769</v>
      </c>
      <c r="D749" s="315">
        <v>3</v>
      </c>
      <c r="E749" s="316">
        <v>124.82</v>
      </c>
      <c r="F749" s="316">
        <v>3178.57</v>
      </c>
      <c r="G749" s="313" t="s">
        <v>1475</v>
      </c>
      <c r="H749" s="313" t="s">
        <v>1476</v>
      </c>
      <c r="I749" s="313" t="s">
        <v>97</v>
      </c>
      <c r="J749" s="313" t="s">
        <v>757</v>
      </c>
      <c r="K749" s="313" t="s">
        <v>770</v>
      </c>
      <c r="L749" s="314">
        <v>44077</v>
      </c>
      <c r="M749" s="317">
        <v>0</v>
      </c>
    </row>
    <row r="750" spans="1:13" hidden="1" x14ac:dyDescent="0.25">
      <c r="A750" s="314">
        <v>44209</v>
      </c>
      <c r="B750" s="313" t="s">
        <v>1477</v>
      </c>
      <c r="C750" s="313" t="s">
        <v>769</v>
      </c>
      <c r="D750" s="315">
        <v>7</v>
      </c>
      <c r="E750" s="316">
        <v>5</v>
      </c>
      <c r="F750" s="316">
        <v>3183.57</v>
      </c>
      <c r="G750" s="313" t="s">
        <v>1478</v>
      </c>
      <c r="H750" s="313" t="s">
        <v>1476</v>
      </c>
      <c r="I750" s="313" t="s">
        <v>97</v>
      </c>
      <c r="J750" s="313" t="s">
        <v>757</v>
      </c>
      <c r="K750" s="313" t="s">
        <v>770</v>
      </c>
      <c r="L750" s="314">
        <v>44209</v>
      </c>
      <c r="M750" s="317">
        <v>0</v>
      </c>
    </row>
    <row r="751" spans="1:13" hidden="1" x14ac:dyDescent="0.25">
      <c r="A751" s="314">
        <v>44062</v>
      </c>
      <c r="B751" s="313" t="s">
        <v>1479</v>
      </c>
      <c r="C751" s="313" t="s">
        <v>769</v>
      </c>
      <c r="D751" s="315">
        <v>2</v>
      </c>
      <c r="E751" s="316">
        <v>64.91</v>
      </c>
      <c r="F751" s="316">
        <v>3248.48</v>
      </c>
      <c r="G751" s="313" t="s">
        <v>1480</v>
      </c>
      <c r="H751" s="313" t="s">
        <v>1481</v>
      </c>
      <c r="I751" s="313" t="s">
        <v>97</v>
      </c>
      <c r="J751" s="313" t="s">
        <v>757</v>
      </c>
      <c r="K751" s="313" t="s">
        <v>770</v>
      </c>
      <c r="L751" s="314">
        <v>44062</v>
      </c>
      <c r="M751" s="317">
        <v>0</v>
      </c>
    </row>
    <row r="752" spans="1:13" hidden="1" x14ac:dyDescent="0.25">
      <c r="A752" s="314">
        <v>44205</v>
      </c>
      <c r="B752" s="313" t="s">
        <v>1482</v>
      </c>
      <c r="C752" s="313" t="s">
        <v>769</v>
      </c>
      <c r="D752" s="315">
        <v>7</v>
      </c>
      <c r="E752" s="316">
        <v>92.71</v>
      </c>
      <c r="F752" s="316">
        <v>3341.19</v>
      </c>
      <c r="G752" s="313" t="s">
        <v>1483</v>
      </c>
      <c r="H752" s="313" t="s">
        <v>1481</v>
      </c>
      <c r="I752" s="313" t="s">
        <v>97</v>
      </c>
      <c r="J752" s="313" t="s">
        <v>757</v>
      </c>
      <c r="K752" s="313" t="s">
        <v>770</v>
      </c>
      <c r="L752" s="314">
        <v>44205</v>
      </c>
      <c r="M752" s="317">
        <v>0</v>
      </c>
    </row>
    <row r="753" spans="1:13" hidden="1" x14ac:dyDescent="0.25">
      <c r="A753" s="314">
        <v>44012</v>
      </c>
      <c r="B753" s="313" t="s">
        <v>1484</v>
      </c>
      <c r="C753" s="313" t="s">
        <v>1059</v>
      </c>
      <c r="D753" s="315">
        <v>1</v>
      </c>
      <c r="E753" s="316">
        <v>-562.5</v>
      </c>
      <c r="F753" s="316">
        <v>2973.6</v>
      </c>
      <c r="G753" s="313" t="s">
        <v>1485</v>
      </c>
      <c r="H753" s="313" t="s">
        <v>1486</v>
      </c>
      <c r="I753" s="313" t="s">
        <v>97</v>
      </c>
      <c r="J753" s="313" t="s">
        <v>757</v>
      </c>
      <c r="K753" s="313" t="s">
        <v>741</v>
      </c>
      <c r="L753" s="314">
        <v>44012</v>
      </c>
      <c r="M753" s="317">
        <v>0</v>
      </c>
    </row>
    <row r="754" spans="1:13" hidden="1" x14ac:dyDescent="0.25">
      <c r="A754" s="314">
        <v>44026</v>
      </c>
      <c r="B754" s="313" t="s">
        <v>1487</v>
      </c>
      <c r="C754" s="313" t="s">
        <v>769</v>
      </c>
      <c r="D754" s="315">
        <v>1</v>
      </c>
      <c r="E754" s="316">
        <v>1125</v>
      </c>
      <c r="F754" s="316">
        <v>4098.6000000000004</v>
      </c>
      <c r="G754" s="313" t="s">
        <v>1488</v>
      </c>
      <c r="H754" s="313" t="s">
        <v>1486</v>
      </c>
      <c r="I754" s="313" t="s">
        <v>97</v>
      </c>
      <c r="J754" s="313" t="s">
        <v>757</v>
      </c>
      <c r="K754" s="313" t="s">
        <v>770</v>
      </c>
      <c r="L754" s="314">
        <v>44026</v>
      </c>
      <c r="M754" s="317">
        <v>0</v>
      </c>
    </row>
    <row r="755" spans="1:13" hidden="1" x14ac:dyDescent="0.25">
      <c r="A755" s="314">
        <v>44043</v>
      </c>
      <c r="B755" s="313" t="s">
        <v>1489</v>
      </c>
      <c r="C755" s="313" t="s">
        <v>1060</v>
      </c>
      <c r="D755" s="315">
        <v>1</v>
      </c>
      <c r="E755" s="316">
        <v>220</v>
      </c>
      <c r="F755" s="316">
        <v>4318.6000000000004</v>
      </c>
      <c r="G755" s="313" t="s">
        <v>1490</v>
      </c>
      <c r="H755" s="313" t="s">
        <v>1486</v>
      </c>
      <c r="I755" s="313" t="s">
        <v>97</v>
      </c>
      <c r="J755" s="313" t="s">
        <v>757</v>
      </c>
      <c r="K755" s="313" t="s">
        <v>741</v>
      </c>
      <c r="L755" s="314">
        <v>44043</v>
      </c>
      <c r="M755" s="317">
        <v>0</v>
      </c>
    </row>
    <row r="756" spans="1:13" hidden="1" x14ac:dyDescent="0.25">
      <c r="A756" s="314">
        <v>44039</v>
      </c>
      <c r="B756" s="313" t="s">
        <v>1491</v>
      </c>
      <c r="C756" s="313" t="s">
        <v>769</v>
      </c>
      <c r="D756" s="315">
        <v>2</v>
      </c>
      <c r="E756" s="316">
        <v>220</v>
      </c>
      <c r="F756" s="316">
        <v>4538.6000000000004</v>
      </c>
      <c r="G756" s="313" t="s">
        <v>1492</v>
      </c>
      <c r="H756" s="313" t="s">
        <v>1486</v>
      </c>
      <c r="I756" s="313" t="s">
        <v>97</v>
      </c>
      <c r="J756" s="313" t="s">
        <v>757</v>
      </c>
      <c r="K756" s="313" t="s">
        <v>770</v>
      </c>
      <c r="L756" s="314">
        <v>44039</v>
      </c>
      <c r="M756" s="317">
        <v>0</v>
      </c>
    </row>
    <row r="757" spans="1:13" hidden="1" x14ac:dyDescent="0.25">
      <c r="A757" s="314">
        <v>44043</v>
      </c>
      <c r="B757" s="313" t="s">
        <v>1489</v>
      </c>
      <c r="C757" s="313" t="s">
        <v>1060</v>
      </c>
      <c r="D757" s="315">
        <v>2</v>
      </c>
      <c r="E757" s="316">
        <v>-220</v>
      </c>
      <c r="F757" s="316">
        <v>4318.6000000000004</v>
      </c>
      <c r="G757" s="313" t="s">
        <v>1490</v>
      </c>
      <c r="H757" s="313" t="s">
        <v>1486</v>
      </c>
      <c r="I757" s="313" t="s">
        <v>97</v>
      </c>
      <c r="J757" s="313" t="s">
        <v>757</v>
      </c>
      <c r="K757" s="313" t="s">
        <v>741</v>
      </c>
      <c r="L757" s="314">
        <v>44043</v>
      </c>
      <c r="M757" s="317">
        <v>0</v>
      </c>
    </row>
    <row r="758" spans="1:13" hidden="1" x14ac:dyDescent="0.25">
      <c r="A758" s="314">
        <v>44057</v>
      </c>
      <c r="B758" s="313" t="s">
        <v>1493</v>
      </c>
      <c r="C758" s="313" t="s">
        <v>769</v>
      </c>
      <c r="D758" s="315">
        <v>2</v>
      </c>
      <c r="E758" s="316">
        <v>389.45</v>
      </c>
      <c r="F758" s="316">
        <v>4708.05</v>
      </c>
      <c r="G758" s="313" t="s">
        <v>1494</v>
      </c>
      <c r="H758" s="313" t="s">
        <v>1486</v>
      </c>
      <c r="I758" s="313" t="s">
        <v>97</v>
      </c>
      <c r="J758" s="313" t="s">
        <v>757</v>
      </c>
      <c r="K758" s="313" t="s">
        <v>770</v>
      </c>
      <c r="L758" s="314">
        <v>44057</v>
      </c>
      <c r="M758" s="317">
        <v>0</v>
      </c>
    </row>
    <row r="759" spans="1:13" hidden="1" x14ac:dyDescent="0.25">
      <c r="A759" s="314">
        <v>44074</v>
      </c>
      <c r="B759" s="313" t="s">
        <v>1495</v>
      </c>
      <c r="C759" s="313" t="s">
        <v>1060</v>
      </c>
      <c r="D759" s="315">
        <v>2</v>
      </c>
      <c r="E759" s="316">
        <v>476.67</v>
      </c>
      <c r="F759" s="316">
        <v>5184.72</v>
      </c>
      <c r="G759" s="313" t="s">
        <v>1496</v>
      </c>
      <c r="H759" s="313" t="s">
        <v>1486</v>
      </c>
      <c r="I759" s="313" t="s">
        <v>97</v>
      </c>
      <c r="J759" s="313" t="s">
        <v>757</v>
      </c>
      <c r="K759" s="313" t="s">
        <v>741</v>
      </c>
      <c r="L759" s="314">
        <v>44074</v>
      </c>
      <c r="M759" s="317">
        <v>0</v>
      </c>
    </row>
    <row r="760" spans="1:13" hidden="1" x14ac:dyDescent="0.25">
      <c r="A760" s="314">
        <v>44027</v>
      </c>
      <c r="B760" s="313" t="s">
        <v>1497</v>
      </c>
      <c r="C760" s="313" t="s">
        <v>769</v>
      </c>
      <c r="D760" s="315">
        <v>3</v>
      </c>
      <c r="E760" s="316">
        <v>669.5</v>
      </c>
      <c r="F760" s="316">
        <v>5854.22</v>
      </c>
      <c r="G760" s="313" t="s">
        <v>1498</v>
      </c>
      <c r="H760" s="313" t="s">
        <v>1486</v>
      </c>
      <c r="I760" s="313" t="s">
        <v>97</v>
      </c>
      <c r="J760" s="313" t="s">
        <v>757</v>
      </c>
      <c r="K760" s="313" t="s">
        <v>770</v>
      </c>
      <c r="L760" s="314">
        <v>44027</v>
      </c>
      <c r="M760" s="317">
        <v>0</v>
      </c>
    </row>
    <row r="761" spans="1:13" hidden="1" x14ac:dyDescent="0.25">
      <c r="A761" s="314">
        <v>44044</v>
      </c>
      <c r="B761" s="313" t="s">
        <v>1499</v>
      </c>
      <c r="C761" s="313" t="s">
        <v>769</v>
      </c>
      <c r="D761" s="315">
        <v>3</v>
      </c>
      <c r="E761" s="316">
        <v>476.67</v>
      </c>
      <c r="F761" s="316">
        <v>6330.89</v>
      </c>
      <c r="G761" s="313" t="s">
        <v>1500</v>
      </c>
      <c r="H761" s="313" t="s">
        <v>1486</v>
      </c>
      <c r="I761" s="313" t="s">
        <v>97</v>
      </c>
      <c r="J761" s="313" t="s">
        <v>757</v>
      </c>
      <c r="K761" s="313" t="s">
        <v>770</v>
      </c>
      <c r="L761" s="314">
        <v>44044</v>
      </c>
      <c r="M761" s="317">
        <v>0</v>
      </c>
    </row>
    <row r="762" spans="1:13" hidden="1" x14ac:dyDescent="0.25">
      <c r="A762" s="314">
        <v>44074</v>
      </c>
      <c r="B762" s="313" t="s">
        <v>1495</v>
      </c>
      <c r="C762" s="313" t="s">
        <v>1060</v>
      </c>
      <c r="D762" s="315">
        <v>3</v>
      </c>
      <c r="E762" s="316">
        <v>-476.67</v>
      </c>
      <c r="F762" s="316">
        <v>5854.22</v>
      </c>
      <c r="G762" s="313" t="s">
        <v>1496</v>
      </c>
      <c r="H762" s="313" t="s">
        <v>1486</v>
      </c>
      <c r="I762" s="313" t="s">
        <v>97</v>
      </c>
      <c r="J762" s="313" t="s">
        <v>757</v>
      </c>
      <c r="K762" s="313" t="s">
        <v>741</v>
      </c>
      <c r="L762" s="314">
        <v>44074</v>
      </c>
      <c r="M762" s="317">
        <v>0</v>
      </c>
    </row>
    <row r="763" spans="1:13" hidden="1" x14ac:dyDescent="0.25">
      <c r="A763" s="314">
        <v>44104</v>
      </c>
      <c r="B763" s="313" t="s">
        <v>1501</v>
      </c>
      <c r="C763" s="313" t="s">
        <v>1060</v>
      </c>
      <c r="D763" s="315">
        <v>3</v>
      </c>
      <c r="E763" s="316">
        <v>476.67</v>
      </c>
      <c r="F763" s="316">
        <v>6330.89</v>
      </c>
      <c r="G763" s="313" t="s">
        <v>1502</v>
      </c>
      <c r="H763" s="313" t="s">
        <v>1486</v>
      </c>
      <c r="I763" s="313" t="s">
        <v>97</v>
      </c>
      <c r="J763" s="313" t="s">
        <v>757</v>
      </c>
      <c r="K763" s="313" t="s">
        <v>741</v>
      </c>
      <c r="L763" s="314">
        <v>44104</v>
      </c>
      <c r="M763" s="317">
        <v>0</v>
      </c>
    </row>
    <row r="764" spans="1:13" hidden="1" x14ac:dyDescent="0.25">
      <c r="A764" s="314">
        <v>44075</v>
      </c>
      <c r="B764" s="313" t="s">
        <v>1503</v>
      </c>
      <c r="C764" s="313" t="s">
        <v>769</v>
      </c>
      <c r="D764" s="315">
        <v>4</v>
      </c>
      <c r="E764" s="316">
        <v>476.67</v>
      </c>
      <c r="F764" s="316">
        <v>6807.56</v>
      </c>
      <c r="G764" s="313" t="s">
        <v>1504</v>
      </c>
      <c r="H764" s="313" t="s">
        <v>1486</v>
      </c>
      <c r="I764" s="313" t="s">
        <v>97</v>
      </c>
      <c r="J764" s="313" t="s">
        <v>757</v>
      </c>
      <c r="K764" s="313" t="s">
        <v>770</v>
      </c>
      <c r="L764" s="314">
        <v>44075</v>
      </c>
      <c r="M764" s="317">
        <v>0</v>
      </c>
    </row>
    <row r="765" spans="1:13" hidden="1" x14ac:dyDescent="0.25">
      <c r="A765" s="314">
        <v>44099</v>
      </c>
      <c r="B765" s="313" t="s">
        <v>1505</v>
      </c>
      <c r="C765" s="313" t="s">
        <v>769</v>
      </c>
      <c r="D765" s="315">
        <v>4</v>
      </c>
      <c r="E765" s="316">
        <v>19.68</v>
      </c>
      <c r="F765" s="316">
        <v>6827.24</v>
      </c>
      <c r="G765" s="313" t="s">
        <v>1506</v>
      </c>
      <c r="H765" s="313" t="s">
        <v>1486</v>
      </c>
      <c r="I765" s="313" t="s">
        <v>97</v>
      </c>
      <c r="J765" s="313" t="s">
        <v>757</v>
      </c>
      <c r="K765" s="313" t="s">
        <v>770</v>
      </c>
      <c r="L765" s="314">
        <v>44099</v>
      </c>
      <c r="M765" s="317">
        <v>0</v>
      </c>
    </row>
    <row r="766" spans="1:13" hidden="1" x14ac:dyDescent="0.25">
      <c r="A766" s="314">
        <v>44104</v>
      </c>
      <c r="B766" s="313" t="s">
        <v>1501</v>
      </c>
      <c r="C766" s="313" t="s">
        <v>1060</v>
      </c>
      <c r="D766" s="315">
        <v>4</v>
      </c>
      <c r="E766" s="316">
        <v>-476.67</v>
      </c>
      <c r="F766" s="316">
        <v>6350.57</v>
      </c>
      <c r="G766" s="313" t="s">
        <v>1502</v>
      </c>
      <c r="H766" s="313" t="s">
        <v>1486</v>
      </c>
      <c r="I766" s="313" t="s">
        <v>97</v>
      </c>
      <c r="J766" s="313" t="s">
        <v>757</v>
      </c>
      <c r="K766" s="313" t="s">
        <v>741</v>
      </c>
      <c r="L766" s="314">
        <v>44104</v>
      </c>
      <c r="M766" s="317">
        <v>0</v>
      </c>
    </row>
    <row r="767" spans="1:13" hidden="1" x14ac:dyDescent="0.25">
      <c r="A767" s="314">
        <v>44105</v>
      </c>
      <c r="B767" s="313" t="s">
        <v>1507</v>
      </c>
      <c r="C767" s="313" t="s">
        <v>769</v>
      </c>
      <c r="D767" s="315">
        <v>4</v>
      </c>
      <c r="E767" s="316">
        <v>953.34</v>
      </c>
      <c r="F767" s="316">
        <v>7303.91</v>
      </c>
      <c r="G767" s="313" t="s">
        <v>1508</v>
      </c>
      <c r="H767" s="313" t="s">
        <v>1486</v>
      </c>
      <c r="I767" s="313" t="s">
        <v>97</v>
      </c>
      <c r="J767" s="313" t="s">
        <v>757</v>
      </c>
      <c r="K767" s="313" t="s">
        <v>770</v>
      </c>
      <c r="L767" s="314">
        <v>44105</v>
      </c>
      <c r="M767" s="317">
        <v>0</v>
      </c>
    </row>
    <row r="768" spans="1:13" hidden="1" x14ac:dyDescent="0.25">
      <c r="A768" s="314">
        <v>44129</v>
      </c>
      <c r="B768" s="313" t="s">
        <v>1011</v>
      </c>
      <c r="C768" s="313" t="s">
        <v>769</v>
      </c>
      <c r="D768" s="315">
        <v>4</v>
      </c>
      <c r="E768" s="316">
        <v>499.08</v>
      </c>
      <c r="F768" s="316">
        <v>7802.99</v>
      </c>
      <c r="G768" s="313" t="s">
        <v>1509</v>
      </c>
      <c r="H768" s="313" t="s">
        <v>1486</v>
      </c>
      <c r="I768" s="313" t="s">
        <v>97</v>
      </c>
      <c r="J768" s="313" t="s">
        <v>757</v>
      </c>
      <c r="K768" s="313" t="s">
        <v>770</v>
      </c>
      <c r="L768" s="314">
        <v>44129</v>
      </c>
      <c r="M768" s="317">
        <v>0</v>
      </c>
    </row>
    <row r="769" spans="1:13" hidden="1" x14ac:dyDescent="0.25">
      <c r="A769" s="314">
        <v>44129</v>
      </c>
      <c r="B769" s="313" t="s">
        <v>1011</v>
      </c>
      <c r="C769" s="313" t="s">
        <v>769</v>
      </c>
      <c r="D769" s="315">
        <v>4</v>
      </c>
      <c r="E769" s="316">
        <v>624.09</v>
      </c>
      <c r="F769" s="316">
        <v>8427.08</v>
      </c>
      <c r="G769" s="313" t="s">
        <v>1510</v>
      </c>
      <c r="H769" s="313" t="s">
        <v>1486</v>
      </c>
      <c r="I769" s="313" t="s">
        <v>97</v>
      </c>
      <c r="J769" s="313" t="s">
        <v>757</v>
      </c>
      <c r="K769" s="313" t="s">
        <v>770</v>
      </c>
      <c r="L769" s="314">
        <v>44129</v>
      </c>
      <c r="M769" s="317">
        <v>0</v>
      </c>
    </row>
    <row r="770" spans="1:13" hidden="1" x14ac:dyDescent="0.25">
      <c r="A770" s="314">
        <v>44165</v>
      </c>
      <c r="B770" s="313" t="s">
        <v>1511</v>
      </c>
      <c r="C770" s="313" t="s">
        <v>1060</v>
      </c>
      <c r="D770" s="315">
        <v>5</v>
      </c>
      <c r="E770" s="316">
        <v>953.34</v>
      </c>
      <c r="F770" s="316">
        <v>9380.42</v>
      </c>
      <c r="G770" s="313" t="s">
        <v>1512</v>
      </c>
      <c r="H770" s="313" t="s">
        <v>1486</v>
      </c>
      <c r="I770" s="313" t="s">
        <v>97</v>
      </c>
      <c r="J770" s="313" t="s">
        <v>757</v>
      </c>
      <c r="K770" s="313" t="s">
        <v>741</v>
      </c>
      <c r="L770" s="314">
        <v>44165</v>
      </c>
      <c r="M770" s="317">
        <v>0</v>
      </c>
    </row>
    <row r="771" spans="1:13" hidden="1" x14ac:dyDescent="0.25">
      <c r="A771" s="314">
        <v>44165</v>
      </c>
      <c r="B771" s="313" t="s">
        <v>1511</v>
      </c>
      <c r="C771" s="313" t="s">
        <v>1060</v>
      </c>
      <c r="D771" s="315">
        <v>6</v>
      </c>
      <c r="E771" s="316">
        <v>-953.34</v>
      </c>
      <c r="F771" s="316">
        <v>8427.08</v>
      </c>
      <c r="G771" s="313" t="s">
        <v>1512</v>
      </c>
      <c r="H771" s="313" t="s">
        <v>1486</v>
      </c>
      <c r="I771" s="313" t="s">
        <v>97</v>
      </c>
      <c r="J771" s="313" t="s">
        <v>757</v>
      </c>
      <c r="K771" s="313" t="s">
        <v>741</v>
      </c>
      <c r="L771" s="314">
        <v>44165</v>
      </c>
      <c r="M771" s="317">
        <v>0</v>
      </c>
    </row>
    <row r="772" spans="1:13" hidden="1" x14ac:dyDescent="0.25">
      <c r="A772" s="314">
        <v>44196</v>
      </c>
      <c r="B772" s="313" t="s">
        <v>1513</v>
      </c>
      <c r="C772" s="313" t="s">
        <v>1060</v>
      </c>
      <c r="D772" s="315">
        <v>6</v>
      </c>
      <c r="E772" s="316">
        <v>1906.68</v>
      </c>
      <c r="F772" s="316">
        <v>10333.76</v>
      </c>
      <c r="G772" s="313" t="s">
        <v>1514</v>
      </c>
      <c r="H772" s="313" t="s">
        <v>1486</v>
      </c>
      <c r="I772" s="313" t="s">
        <v>97</v>
      </c>
      <c r="J772" s="313" t="s">
        <v>757</v>
      </c>
      <c r="K772" s="313" t="s">
        <v>741</v>
      </c>
      <c r="L772" s="314">
        <v>44196</v>
      </c>
      <c r="M772" s="317">
        <v>0</v>
      </c>
    </row>
    <row r="773" spans="1:13" x14ac:dyDescent="0.25">
      <c r="A773" s="314">
        <v>44136</v>
      </c>
      <c r="B773" s="313" t="s">
        <v>1515</v>
      </c>
      <c r="C773" s="313" t="s">
        <v>769</v>
      </c>
      <c r="D773" s="315">
        <v>7</v>
      </c>
      <c r="E773" s="316">
        <v>953.34</v>
      </c>
      <c r="F773" s="316">
        <v>11287.1</v>
      </c>
      <c r="G773" s="313" t="s">
        <v>1516</v>
      </c>
      <c r="H773" s="313" t="s">
        <v>1486</v>
      </c>
      <c r="I773" s="313" t="s">
        <v>97</v>
      </c>
      <c r="J773" s="313" t="s">
        <v>757</v>
      </c>
      <c r="K773" s="313" t="s">
        <v>770</v>
      </c>
      <c r="L773" s="314">
        <v>44136</v>
      </c>
      <c r="M773" s="317">
        <v>0</v>
      </c>
    </row>
    <row r="774" spans="1:13" x14ac:dyDescent="0.25">
      <c r="A774" s="314">
        <v>44140</v>
      </c>
      <c r="B774" s="313" t="s">
        <v>1517</v>
      </c>
      <c r="C774" s="313" t="s">
        <v>769</v>
      </c>
      <c r="D774" s="315">
        <v>7</v>
      </c>
      <c r="E774" s="316">
        <v>811.14</v>
      </c>
      <c r="F774" s="316">
        <v>12098.24</v>
      </c>
      <c r="G774" s="313" t="s">
        <v>1518</v>
      </c>
      <c r="H774" s="313" t="s">
        <v>1486</v>
      </c>
      <c r="I774" s="313" t="s">
        <v>97</v>
      </c>
      <c r="J774" s="313" t="s">
        <v>757</v>
      </c>
      <c r="K774" s="313" t="s">
        <v>770</v>
      </c>
      <c r="L774" s="314">
        <v>44140</v>
      </c>
      <c r="M774" s="317">
        <v>0</v>
      </c>
    </row>
    <row r="775" spans="1:13" x14ac:dyDescent="0.25">
      <c r="A775" s="314">
        <v>44174</v>
      </c>
      <c r="B775" s="313" t="s">
        <v>1519</v>
      </c>
      <c r="C775" s="313" t="s">
        <v>769</v>
      </c>
      <c r="D775" s="315">
        <v>7</v>
      </c>
      <c r="E775" s="316">
        <v>953.34</v>
      </c>
      <c r="F775" s="316">
        <v>13051.58</v>
      </c>
      <c r="G775" s="313" t="s">
        <v>1520</v>
      </c>
      <c r="H775" s="313" t="s">
        <v>1486</v>
      </c>
      <c r="I775" s="313" t="s">
        <v>97</v>
      </c>
      <c r="J775" s="313" t="s">
        <v>757</v>
      </c>
      <c r="K775" s="313" t="s">
        <v>770</v>
      </c>
      <c r="L775" s="314">
        <v>44174</v>
      </c>
      <c r="M775" s="317">
        <v>0</v>
      </c>
    </row>
    <row r="776" spans="1:13" hidden="1" x14ac:dyDescent="0.25">
      <c r="A776" s="314">
        <v>44196</v>
      </c>
      <c r="B776" s="313" t="s">
        <v>1513</v>
      </c>
      <c r="C776" s="313" t="s">
        <v>1060</v>
      </c>
      <c r="D776" s="315">
        <v>7</v>
      </c>
      <c r="E776" s="316">
        <v>-1906.68</v>
      </c>
      <c r="F776" s="316">
        <v>11144.9</v>
      </c>
      <c r="G776" s="313" t="s">
        <v>1514</v>
      </c>
      <c r="H776" s="313" t="s">
        <v>1486</v>
      </c>
      <c r="I776" s="313" t="s">
        <v>97</v>
      </c>
      <c r="J776" s="313" t="s">
        <v>757</v>
      </c>
      <c r="K776" s="313" t="s">
        <v>741</v>
      </c>
      <c r="L776" s="314">
        <v>44196</v>
      </c>
      <c r="M776" s="317">
        <v>0</v>
      </c>
    </row>
    <row r="777" spans="1:13" x14ac:dyDescent="0.25">
      <c r="A777" s="314">
        <v>44214</v>
      </c>
      <c r="B777" s="313" t="s">
        <v>997</v>
      </c>
      <c r="C777" s="313" t="s">
        <v>769</v>
      </c>
      <c r="D777" s="315">
        <v>7</v>
      </c>
      <c r="E777" s="316">
        <v>127.05</v>
      </c>
      <c r="F777" s="316">
        <v>11271.95</v>
      </c>
      <c r="G777" s="313" t="s">
        <v>1521</v>
      </c>
      <c r="H777" s="313" t="s">
        <v>1486</v>
      </c>
      <c r="I777" s="313" t="s">
        <v>97</v>
      </c>
      <c r="J777" s="313" t="s">
        <v>757</v>
      </c>
      <c r="K777" s="313" t="s">
        <v>770</v>
      </c>
      <c r="L777" s="314">
        <v>44214</v>
      </c>
      <c r="M777" s="317">
        <v>0</v>
      </c>
    </row>
    <row r="778" spans="1:13" hidden="1" x14ac:dyDescent="0.25">
      <c r="A778" s="314">
        <v>44216</v>
      </c>
      <c r="B778" s="313" t="s">
        <v>1522</v>
      </c>
      <c r="C778" s="313" t="s">
        <v>936</v>
      </c>
      <c r="D778" s="315">
        <v>7</v>
      </c>
      <c r="E778" s="316">
        <v>-770</v>
      </c>
      <c r="F778" s="316">
        <v>10501.95</v>
      </c>
      <c r="G778" s="313" t="s">
        <v>1523</v>
      </c>
      <c r="H778" s="313" t="s">
        <v>1486</v>
      </c>
      <c r="I778" s="313" t="s">
        <v>97</v>
      </c>
      <c r="J778" s="313" t="s">
        <v>757</v>
      </c>
      <c r="K778" s="313" t="s">
        <v>770</v>
      </c>
      <c r="L778" s="314">
        <v>44216</v>
      </c>
      <c r="M778" s="317">
        <v>0</v>
      </c>
    </row>
    <row r="779" spans="1:13" hidden="1" x14ac:dyDescent="0.25">
      <c r="A779" s="314">
        <v>44227</v>
      </c>
      <c r="B779" s="313" t="s">
        <v>1524</v>
      </c>
      <c r="C779" s="313" t="s">
        <v>1060</v>
      </c>
      <c r="D779" s="315">
        <v>7</v>
      </c>
      <c r="E779" s="316">
        <v>953.34</v>
      </c>
      <c r="F779" s="316">
        <v>11455.29</v>
      </c>
      <c r="G779" s="313" t="s">
        <v>1525</v>
      </c>
      <c r="H779" s="313" t="s">
        <v>1486</v>
      </c>
      <c r="I779" s="313" t="s">
        <v>97</v>
      </c>
      <c r="J779" s="313" t="s">
        <v>757</v>
      </c>
      <c r="K779" s="313" t="s">
        <v>741</v>
      </c>
      <c r="L779" s="314">
        <v>44227</v>
      </c>
      <c r="M779" s="317">
        <v>0</v>
      </c>
    </row>
    <row r="780" spans="1:13" hidden="1" x14ac:dyDescent="0.25">
      <c r="A780" s="314">
        <v>44205</v>
      </c>
      <c r="B780" s="313" t="s">
        <v>1526</v>
      </c>
      <c r="C780" s="313" t="s">
        <v>769</v>
      </c>
      <c r="D780" s="315">
        <v>8</v>
      </c>
      <c r="E780" s="316">
        <v>953.34</v>
      </c>
      <c r="F780" s="316">
        <v>12408.63</v>
      </c>
      <c r="G780" s="313" t="s">
        <v>1527</v>
      </c>
      <c r="H780" s="313" t="s">
        <v>1486</v>
      </c>
      <c r="I780" s="313" t="s">
        <v>97</v>
      </c>
      <c r="J780" s="313" t="s">
        <v>757</v>
      </c>
      <c r="K780" s="313" t="s">
        <v>770</v>
      </c>
      <c r="L780" s="314">
        <v>44205</v>
      </c>
      <c r="M780" s="317">
        <v>0</v>
      </c>
    </row>
    <row r="781" spans="1:13" hidden="1" x14ac:dyDescent="0.25">
      <c r="A781" s="314">
        <v>44227</v>
      </c>
      <c r="B781" s="313" t="s">
        <v>1524</v>
      </c>
      <c r="C781" s="313" t="s">
        <v>1060</v>
      </c>
      <c r="D781" s="315">
        <v>8</v>
      </c>
      <c r="E781" s="316">
        <v>-953.34</v>
      </c>
      <c r="F781" s="316">
        <v>11455.29</v>
      </c>
      <c r="G781" s="313" t="s">
        <v>1525</v>
      </c>
      <c r="H781" s="313" t="s">
        <v>1486</v>
      </c>
      <c r="I781" s="313" t="s">
        <v>97</v>
      </c>
      <c r="J781" s="313" t="s">
        <v>757</v>
      </c>
      <c r="K781" s="313" t="s">
        <v>741</v>
      </c>
      <c r="L781" s="314">
        <v>44227</v>
      </c>
      <c r="M781" s="317">
        <v>0</v>
      </c>
    </row>
    <row r="782" spans="1:13" hidden="1" x14ac:dyDescent="0.25">
      <c r="A782" s="314">
        <v>44228</v>
      </c>
      <c r="B782" s="313" t="s">
        <v>1528</v>
      </c>
      <c r="C782" s="313" t="s">
        <v>769</v>
      </c>
      <c r="D782" s="315">
        <v>8</v>
      </c>
      <c r="E782" s="316">
        <v>762.27</v>
      </c>
      <c r="F782" s="316">
        <v>12217.56</v>
      </c>
      <c r="G782" s="313" t="s">
        <v>1529</v>
      </c>
      <c r="H782" s="313" t="s">
        <v>1486</v>
      </c>
      <c r="I782" s="313" t="s">
        <v>97</v>
      </c>
      <c r="J782" s="313" t="s">
        <v>757</v>
      </c>
      <c r="K782" s="313" t="s">
        <v>770</v>
      </c>
      <c r="L782" s="314">
        <v>44228</v>
      </c>
      <c r="M782" s="317">
        <v>0</v>
      </c>
    </row>
    <row r="783" spans="1:13" hidden="1" x14ac:dyDescent="0.25">
      <c r="A783" s="314">
        <v>44255</v>
      </c>
      <c r="B783" s="313" t="s">
        <v>1530</v>
      </c>
      <c r="C783" s="313" t="s">
        <v>1060</v>
      </c>
      <c r="D783" s="315">
        <v>8</v>
      </c>
      <c r="E783" s="316">
        <v>953.34</v>
      </c>
      <c r="F783" s="316">
        <v>13170.9</v>
      </c>
      <c r="G783" s="313" t="s">
        <v>1531</v>
      </c>
      <c r="H783" s="313" t="s">
        <v>1486</v>
      </c>
      <c r="I783" s="313" t="s">
        <v>97</v>
      </c>
      <c r="J783" s="313" t="s">
        <v>757</v>
      </c>
      <c r="K783" s="313" t="s">
        <v>741</v>
      </c>
      <c r="L783" s="314">
        <v>44255</v>
      </c>
      <c r="M783" s="317">
        <v>0</v>
      </c>
    </row>
    <row r="784" spans="1:13" hidden="1" x14ac:dyDescent="0.25">
      <c r="A784" s="314">
        <v>44252</v>
      </c>
      <c r="B784" s="313" t="s">
        <v>1051</v>
      </c>
      <c r="C784" s="313" t="s">
        <v>769</v>
      </c>
      <c r="D784" s="315">
        <v>9</v>
      </c>
      <c r="E784" s="316">
        <v>709.09</v>
      </c>
      <c r="F784" s="316">
        <v>13879.99</v>
      </c>
      <c r="G784" s="313" t="s">
        <v>1532</v>
      </c>
      <c r="H784" s="313" t="s">
        <v>1486</v>
      </c>
      <c r="I784" s="313" t="s">
        <v>97</v>
      </c>
      <c r="J784" s="313" t="s">
        <v>757</v>
      </c>
      <c r="K784" s="313" t="s">
        <v>770</v>
      </c>
      <c r="L784" s="314">
        <v>44252</v>
      </c>
      <c r="M784" s="317">
        <v>0</v>
      </c>
    </row>
    <row r="785" spans="1:13" hidden="1" x14ac:dyDescent="0.25">
      <c r="A785" s="314">
        <v>44255</v>
      </c>
      <c r="B785" s="313" t="s">
        <v>1530</v>
      </c>
      <c r="C785" s="313" t="s">
        <v>1060</v>
      </c>
      <c r="D785" s="315">
        <v>9</v>
      </c>
      <c r="E785" s="316">
        <v>-953.34</v>
      </c>
      <c r="F785" s="316">
        <v>12926.65</v>
      </c>
      <c r="G785" s="313" t="s">
        <v>1531</v>
      </c>
      <c r="H785" s="313" t="s">
        <v>1486</v>
      </c>
      <c r="I785" s="313" t="s">
        <v>97</v>
      </c>
      <c r="J785" s="313" t="s">
        <v>757</v>
      </c>
      <c r="K785" s="313" t="s">
        <v>741</v>
      </c>
      <c r="L785" s="314">
        <v>44255</v>
      </c>
      <c r="M785" s="317">
        <v>0</v>
      </c>
    </row>
    <row r="786" spans="1:13" hidden="1" x14ac:dyDescent="0.25">
      <c r="A786" s="314">
        <v>44286</v>
      </c>
      <c r="B786" s="313" t="s">
        <v>1533</v>
      </c>
      <c r="C786" s="313" t="s">
        <v>1060</v>
      </c>
      <c r="D786" s="315">
        <v>9</v>
      </c>
      <c r="E786" s="316">
        <v>1906.68</v>
      </c>
      <c r="F786" s="316">
        <v>14833.33</v>
      </c>
      <c r="G786" s="313" t="s">
        <v>1534</v>
      </c>
      <c r="H786" s="313" t="s">
        <v>1486</v>
      </c>
      <c r="I786" s="313" t="s">
        <v>97</v>
      </c>
      <c r="J786" s="313" t="s">
        <v>757</v>
      </c>
      <c r="K786" s="313" t="s">
        <v>741</v>
      </c>
      <c r="L786" s="314">
        <v>44286</v>
      </c>
      <c r="M786" s="317">
        <v>0</v>
      </c>
    </row>
    <row r="787" spans="1:13" hidden="1" x14ac:dyDescent="0.25">
      <c r="A787" s="314">
        <v>44236</v>
      </c>
      <c r="B787" s="313" t="s">
        <v>1535</v>
      </c>
      <c r="C787" s="313" t="s">
        <v>769</v>
      </c>
      <c r="D787" s="315">
        <v>10</v>
      </c>
      <c r="E787" s="316">
        <v>953.34</v>
      </c>
      <c r="F787" s="316">
        <v>15786.67</v>
      </c>
      <c r="G787" s="313" t="s">
        <v>1536</v>
      </c>
      <c r="H787" s="313" t="s">
        <v>1486</v>
      </c>
      <c r="I787" s="313" t="s">
        <v>97</v>
      </c>
      <c r="J787" s="313" t="s">
        <v>757</v>
      </c>
      <c r="K787" s="313" t="s">
        <v>770</v>
      </c>
      <c r="L787" s="314">
        <v>44236</v>
      </c>
      <c r="M787" s="317">
        <v>0</v>
      </c>
    </row>
    <row r="788" spans="1:13" hidden="1" x14ac:dyDescent="0.25">
      <c r="A788" s="314">
        <v>44286</v>
      </c>
      <c r="B788" s="313" t="s">
        <v>1537</v>
      </c>
      <c r="C788" s="313" t="s">
        <v>936</v>
      </c>
      <c r="D788" s="315">
        <v>10</v>
      </c>
      <c r="E788" s="316">
        <v>-110</v>
      </c>
      <c r="F788" s="316">
        <v>15676.67</v>
      </c>
      <c r="G788" s="313" t="s">
        <v>1538</v>
      </c>
      <c r="H788" s="313" t="s">
        <v>1486</v>
      </c>
      <c r="I788" s="313" t="s">
        <v>97</v>
      </c>
      <c r="J788" s="313" t="s">
        <v>757</v>
      </c>
      <c r="K788" s="313" t="s">
        <v>770</v>
      </c>
      <c r="L788" s="314">
        <v>44286</v>
      </c>
      <c r="M788" s="317">
        <v>0</v>
      </c>
    </row>
    <row r="789" spans="1:13" hidden="1" x14ac:dyDescent="0.25">
      <c r="A789" s="314">
        <v>44286</v>
      </c>
      <c r="B789" s="313" t="s">
        <v>1533</v>
      </c>
      <c r="C789" s="313" t="s">
        <v>1060</v>
      </c>
      <c r="D789" s="315">
        <v>10</v>
      </c>
      <c r="E789" s="316">
        <v>-1906.68</v>
      </c>
      <c r="F789" s="316">
        <v>13769.99</v>
      </c>
      <c r="G789" s="313" t="s">
        <v>1534</v>
      </c>
      <c r="H789" s="313" t="s">
        <v>1486</v>
      </c>
      <c r="I789" s="313" t="s">
        <v>97</v>
      </c>
      <c r="J789" s="313" t="s">
        <v>757</v>
      </c>
      <c r="K789" s="313" t="s">
        <v>741</v>
      </c>
      <c r="L789" s="314">
        <v>44286</v>
      </c>
      <c r="M789" s="317">
        <v>0</v>
      </c>
    </row>
    <row r="790" spans="1:13" hidden="1" x14ac:dyDescent="0.25">
      <c r="A790" s="314">
        <v>44316</v>
      </c>
      <c r="B790" s="313" t="s">
        <v>1103</v>
      </c>
      <c r="C790" s="313" t="s">
        <v>1060</v>
      </c>
      <c r="D790" s="315">
        <v>10</v>
      </c>
      <c r="E790" s="316">
        <v>1906.68</v>
      </c>
      <c r="F790" s="316">
        <v>15676.67</v>
      </c>
      <c r="G790" s="313" t="s">
        <v>1084</v>
      </c>
      <c r="H790" s="313" t="s">
        <v>1486</v>
      </c>
      <c r="I790" s="313" t="s">
        <v>97</v>
      </c>
      <c r="J790" s="313" t="s">
        <v>757</v>
      </c>
      <c r="K790" s="313" t="s">
        <v>741</v>
      </c>
      <c r="L790" s="314">
        <v>44316</v>
      </c>
      <c r="M790" s="317">
        <v>0</v>
      </c>
    </row>
    <row r="791" spans="1:13" hidden="1" x14ac:dyDescent="0.25">
      <c r="A791" s="314">
        <v>44106</v>
      </c>
      <c r="B791" s="313" t="s">
        <v>1539</v>
      </c>
      <c r="C791" s="313" t="s">
        <v>769</v>
      </c>
      <c r="D791" s="315">
        <v>4</v>
      </c>
      <c r="E791" s="316">
        <v>380.65</v>
      </c>
      <c r="F791" s="316">
        <v>14150.64</v>
      </c>
      <c r="G791" s="313" t="s">
        <v>1540</v>
      </c>
      <c r="H791" s="313" t="s">
        <v>1541</v>
      </c>
      <c r="I791" s="313" t="s">
        <v>97</v>
      </c>
      <c r="J791" s="313" t="s">
        <v>757</v>
      </c>
      <c r="K791" s="313" t="s">
        <v>770</v>
      </c>
      <c r="L791" s="314">
        <v>44106</v>
      </c>
      <c r="M791" s="317">
        <v>0</v>
      </c>
    </row>
    <row r="792" spans="1:13" hidden="1" x14ac:dyDescent="0.25">
      <c r="A792" s="319">
        <v>44012</v>
      </c>
      <c r="B792" s="318" t="s">
        <v>1061</v>
      </c>
      <c r="C792" s="318" t="s">
        <v>1059</v>
      </c>
      <c r="D792" s="320">
        <v>1</v>
      </c>
      <c r="E792" s="321">
        <v>5439.2</v>
      </c>
      <c r="F792" s="321">
        <v>5439.2</v>
      </c>
      <c r="G792" s="318" t="s">
        <v>1062</v>
      </c>
      <c r="H792" s="318" t="s">
        <v>1542</v>
      </c>
      <c r="I792" s="318" t="s">
        <v>104</v>
      </c>
      <c r="J792" s="318" t="s">
        <v>757</v>
      </c>
      <c r="K792" s="318" t="s">
        <v>741</v>
      </c>
      <c r="L792" s="319">
        <v>44012</v>
      </c>
      <c r="M792" s="322">
        <v>0</v>
      </c>
    </row>
    <row r="793" spans="1:13" hidden="1" x14ac:dyDescent="0.25">
      <c r="A793" s="319">
        <v>44012</v>
      </c>
      <c r="B793" s="318" t="s">
        <v>1119</v>
      </c>
      <c r="C793" s="318" t="s">
        <v>1059</v>
      </c>
      <c r="D793" s="320">
        <v>1</v>
      </c>
      <c r="E793" s="321">
        <v>-12288</v>
      </c>
      <c r="F793" s="321">
        <v>-6848.8</v>
      </c>
      <c r="G793" s="318" t="s">
        <v>1543</v>
      </c>
      <c r="H793" s="318" t="s">
        <v>1542</v>
      </c>
      <c r="I793" s="318" t="s">
        <v>104</v>
      </c>
      <c r="J793" s="318" t="s">
        <v>757</v>
      </c>
      <c r="K793" s="318" t="s">
        <v>741</v>
      </c>
      <c r="L793" s="319">
        <v>44012</v>
      </c>
      <c r="M793" s="322">
        <v>0</v>
      </c>
    </row>
    <row r="794" spans="1:13" hidden="1" x14ac:dyDescent="0.25">
      <c r="A794" s="319">
        <v>44012</v>
      </c>
      <c r="B794" s="318" t="s">
        <v>1119</v>
      </c>
      <c r="C794" s="318" t="s">
        <v>1059</v>
      </c>
      <c r="D794" s="320">
        <v>1</v>
      </c>
      <c r="E794" s="321">
        <v>-9657.6</v>
      </c>
      <c r="F794" s="321">
        <v>-16506.400000000001</v>
      </c>
      <c r="G794" s="318" t="s">
        <v>1544</v>
      </c>
      <c r="H794" s="318" t="s">
        <v>1542</v>
      </c>
      <c r="I794" s="318" t="s">
        <v>104</v>
      </c>
      <c r="J794" s="318" t="s">
        <v>757</v>
      </c>
      <c r="K794" s="318" t="s">
        <v>741</v>
      </c>
      <c r="L794" s="319">
        <v>44012</v>
      </c>
      <c r="M794" s="322">
        <v>0</v>
      </c>
    </row>
    <row r="795" spans="1:13" hidden="1" x14ac:dyDescent="0.25">
      <c r="A795" s="319">
        <v>44012</v>
      </c>
      <c r="B795" s="318" t="s">
        <v>1119</v>
      </c>
      <c r="C795" s="318" t="s">
        <v>1059</v>
      </c>
      <c r="D795" s="320">
        <v>1</v>
      </c>
      <c r="E795" s="321">
        <v>-537</v>
      </c>
      <c r="F795" s="321">
        <v>-17043.400000000001</v>
      </c>
      <c r="G795" s="318" t="s">
        <v>1545</v>
      </c>
      <c r="H795" s="318" t="s">
        <v>1542</v>
      </c>
      <c r="I795" s="318" t="s">
        <v>104</v>
      </c>
      <c r="J795" s="318" t="s">
        <v>757</v>
      </c>
      <c r="K795" s="318" t="s">
        <v>741</v>
      </c>
      <c r="L795" s="319">
        <v>44012</v>
      </c>
      <c r="M795" s="322">
        <v>0</v>
      </c>
    </row>
    <row r="796" spans="1:13" hidden="1" x14ac:dyDescent="0.25">
      <c r="A796" s="319">
        <v>44018</v>
      </c>
      <c r="B796" s="318" t="s">
        <v>1546</v>
      </c>
      <c r="C796" s="318" t="s">
        <v>769</v>
      </c>
      <c r="D796" s="320">
        <v>1</v>
      </c>
      <c r="E796" s="321">
        <v>9614.6299999999992</v>
      </c>
      <c r="F796" s="321">
        <v>-7428.77</v>
      </c>
      <c r="G796" s="318" t="s">
        <v>1547</v>
      </c>
      <c r="H796" s="318" t="s">
        <v>1542</v>
      </c>
      <c r="I796" s="318" t="s">
        <v>104</v>
      </c>
      <c r="J796" s="318" t="s">
        <v>757</v>
      </c>
      <c r="K796" s="318" t="s">
        <v>770</v>
      </c>
      <c r="L796" s="319">
        <v>44018</v>
      </c>
      <c r="M796" s="322">
        <v>0</v>
      </c>
    </row>
    <row r="797" spans="1:13" hidden="1" x14ac:dyDescent="0.25">
      <c r="A797" s="319">
        <v>44043</v>
      </c>
      <c r="B797" s="318" t="s">
        <v>1121</v>
      </c>
      <c r="C797" s="318" t="s">
        <v>1060</v>
      </c>
      <c r="D797" s="320">
        <v>1</v>
      </c>
      <c r="E797" s="321">
        <v>5579</v>
      </c>
      <c r="F797" s="321">
        <v>-1849.77</v>
      </c>
      <c r="G797" s="318" t="s">
        <v>1543</v>
      </c>
      <c r="H797" s="318" t="s">
        <v>1542</v>
      </c>
      <c r="I797" s="318" t="s">
        <v>104</v>
      </c>
      <c r="J797" s="318" t="s">
        <v>757</v>
      </c>
      <c r="K797" s="318" t="s">
        <v>741</v>
      </c>
      <c r="L797" s="319">
        <v>44043</v>
      </c>
      <c r="M797" s="322">
        <v>0</v>
      </c>
    </row>
    <row r="798" spans="1:13" hidden="1" x14ac:dyDescent="0.25">
      <c r="A798" s="319">
        <v>44043</v>
      </c>
      <c r="B798" s="318" t="s">
        <v>1121</v>
      </c>
      <c r="C798" s="318" t="s">
        <v>1060</v>
      </c>
      <c r="D798" s="320">
        <v>1</v>
      </c>
      <c r="E798" s="321">
        <v>1450</v>
      </c>
      <c r="F798" s="321">
        <v>-399.77000000000203</v>
      </c>
      <c r="G798" s="318" t="s">
        <v>1548</v>
      </c>
      <c r="H798" s="318" t="s">
        <v>1542</v>
      </c>
      <c r="I798" s="318" t="s">
        <v>104</v>
      </c>
      <c r="J798" s="318" t="s">
        <v>757</v>
      </c>
      <c r="K798" s="318" t="s">
        <v>741</v>
      </c>
      <c r="L798" s="319">
        <v>44043</v>
      </c>
      <c r="M798" s="322">
        <v>0</v>
      </c>
    </row>
    <row r="799" spans="1:13" hidden="1" x14ac:dyDescent="0.25">
      <c r="A799" s="319">
        <v>44043</v>
      </c>
      <c r="B799" s="318" t="s">
        <v>1121</v>
      </c>
      <c r="C799" s="318" t="s">
        <v>1060</v>
      </c>
      <c r="D799" s="320">
        <v>1</v>
      </c>
      <c r="E799" s="321">
        <v>9674.93</v>
      </c>
      <c r="F799" s="321">
        <v>9275.16</v>
      </c>
      <c r="G799" s="318" t="s">
        <v>1544</v>
      </c>
      <c r="H799" s="318" t="s">
        <v>1542</v>
      </c>
      <c r="I799" s="318" t="s">
        <v>104</v>
      </c>
      <c r="J799" s="318" t="s">
        <v>757</v>
      </c>
      <c r="K799" s="318" t="s">
        <v>741</v>
      </c>
      <c r="L799" s="319">
        <v>44043</v>
      </c>
      <c r="M799" s="322">
        <v>0</v>
      </c>
    </row>
    <row r="800" spans="1:13" hidden="1" x14ac:dyDescent="0.25">
      <c r="A800" s="319">
        <v>44043</v>
      </c>
      <c r="B800" s="318" t="s">
        <v>1121</v>
      </c>
      <c r="C800" s="318" t="s">
        <v>1060</v>
      </c>
      <c r="D800" s="320">
        <v>1</v>
      </c>
      <c r="E800" s="321">
        <v>675</v>
      </c>
      <c r="F800" s="321">
        <v>9950.16</v>
      </c>
      <c r="G800" s="318" t="s">
        <v>1545</v>
      </c>
      <c r="H800" s="318" t="s">
        <v>1542</v>
      </c>
      <c r="I800" s="318" t="s">
        <v>104</v>
      </c>
      <c r="J800" s="318" t="s">
        <v>757</v>
      </c>
      <c r="K800" s="318" t="s">
        <v>741</v>
      </c>
      <c r="L800" s="319">
        <v>44043</v>
      </c>
      <c r="M800" s="322">
        <v>0</v>
      </c>
    </row>
    <row r="801" spans="1:13" hidden="1" x14ac:dyDescent="0.25">
      <c r="A801" s="319">
        <v>44043</v>
      </c>
      <c r="B801" s="318" t="s">
        <v>1549</v>
      </c>
      <c r="C801" s="318" t="s">
        <v>1060</v>
      </c>
      <c r="D801" s="320">
        <v>1</v>
      </c>
      <c r="E801" s="321">
        <v>6544</v>
      </c>
      <c r="F801" s="321">
        <v>16494.16</v>
      </c>
      <c r="G801" s="318" t="s">
        <v>1550</v>
      </c>
      <c r="H801" s="318" t="s">
        <v>1542</v>
      </c>
      <c r="I801" s="318" t="s">
        <v>104</v>
      </c>
      <c r="J801" s="318" t="s">
        <v>757</v>
      </c>
      <c r="K801" s="318" t="s">
        <v>741</v>
      </c>
      <c r="L801" s="319">
        <v>44043</v>
      </c>
      <c r="M801" s="322">
        <v>0</v>
      </c>
    </row>
    <row r="802" spans="1:13" hidden="1" x14ac:dyDescent="0.25">
      <c r="A802" s="319">
        <v>44012</v>
      </c>
      <c r="B802" s="318" t="s">
        <v>1551</v>
      </c>
      <c r="C802" s="318" t="s">
        <v>769</v>
      </c>
      <c r="D802" s="320">
        <v>2</v>
      </c>
      <c r="E802" s="321">
        <v>26.67</v>
      </c>
      <c r="F802" s="321">
        <v>16520.830000000002</v>
      </c>
      <c r="G802" s="318" t="s">
        <v>1552</v>
      </c>
      <c r="H802" s="318" t="s">
        <v>1542</v>
      </c>
      <c r="I802" s="318" t="s">
        <v>104</v>
      </c>
      <c r="J802" s="318" t="s">
        <v>757</v>
      </c>
      <c r="K802" s="318" t="s">
        <v>770</v>
      </c>
      <c r="L802" s="319">
        <v>44012</v>
      </c>
      <c r="M802" s="322">
        <v>0</v>
      </c>
    </row>
    <row r="803" spans="1:13" hidden="1" x14ac:dyDescent="0.25">
      <c r="A803" s="319">
        <v>44013</v>
      </c>
      <c r="B803" s="318" t="s">
        <v>1553</v>
      </c>
      <c r="C803" s="318" t="s">
        <v>769</v>
      </c>
      <c r="D803" s="320">
        <v>2</v>
      </c>
      <c r="E803" s="321">
        <v>1450</v>
      </c>
      <c r="F803" s="321">
        <v>17970.830000000002</v>
      </c>
      <c r="G803" s="318" t="s">
        <v>1554</v>
      </c>
      <c r="H803" s="318" t="s">
        <v>1542</v>
      </c>
      <c r="I803" s="318" t="s">
        <v>104</v>
      </c>
      <c r="J803" s="318" t="s">
        <v>757</v>
      </c>
      <c r="K803" s="318" t="s">
        <v>770</v>
      </c>
      <c r="L803" s="319">
        <v>44013</v>
      </c>
      <c r="M803" s="322">
        <v>0</v>
      </c>
    </row>
    <row r="804" spans="1:13" hidden="1" x14ac:dyDescent="0.25">
      <c r="A804" s="319">
        <v>44025</v>
      </c>
      <c r="B804" s="318" t="s">
        <v>1555</v>
      </c>
      <c r="C804" s="318" t="s">
        <v>769</v>
      </c>
      <c r="D804" s="320">
        <v>2</v>
      </c>
      <c r="E804" s="321">
        <v>1497.5</v>
      </c>
      <c r="F804" s="321">
        <v>19468.330000000002</v>
      </c>
      <c r="G804" s="318" t="s">
        <v>1556</v>
      </c>
      <c r="H804" s="318" t="s">
        <v>1542</v>
      </c>
      <c r="I804" s="318" t="s">
        <v>104</v>
      </c>
      <c r="J804" s="318" t="s">
        <v>757</v>
      </c>
      <c r="K804" s="318" t="s">
        <v>770</v>
      </c>
      <c r="L804" s="319">
        <v>44025</v>
      </c>
      <c r="M804" s="322">
        <v>0</v>
      </c>
    </row>
    <row r="805" spans="1:13" hidden="1" x14ac:dyDescent="0.25">
      <c r="A805" s="319">
        <v>44028</v>
      </c>
      <c r="B805" s="318" t="s">
        <v>1557</v>
      </c>
      <c r="C805" s="318" t="s">
        <v>769</v>
      </c>
      <c r="D805" s="320">
        <v>2</v>
      </c>
      <c r="E805" s="321">
        <v>5579</v>
      </c>
      <c r="F805" s="321">
        <v>25047.33</v>
      </c>
      <c r="G805" s="318" t="s">
        <v>1558</v>
      </c>
      <c r="H805" s="318" t="s">
        <v>1542</v>
      </c>
      <c r="I805" s="318" t="s">
        <v>104</v>
      </c>
      <c r="J805" s="318" t="s">
        <v>757</v>
      </c>
      <c r="K805" s="318" t="s">
        <v>770</v>
      </c>
      <c r="L805" s="319">
        <v>44028</v>
      </c>
      <c r="M805" s="322">
        <v>0</v>
      </c>
    </row>
    <row r="806" spans="1:13" hidden="1" x14ac:dyDescent="0.25">
      <c r="A806" s="319">
        <v>44043</v>
      </c>
      <c r="B806" s="318" t="s">
        <v>1559</v>
      </c>
      <c r="C806" s="318" t="s">
        <v>769</v>
      </c>
      <c r="D806" s="320">
        <v>2</v>
      </c>
      <c r="E806" s="321">
        <v>25</v>
      </c>
      <c r="F806" s="321">
        <v>25072.33</v>
      </c>
      <c r="G806" s="318" t="s">
        <v>1560</v>
      </c>
      <c r="H806" s="318" t="s">
        <v>1542</v>
      </c>
      <c r="I806" s="318" t="s">
        <v>104</v>
      </c>
      <c r="J806" s="318" t="s">
        <v>757</v>
      </c>
      <c r="K806" s="318" t="s">
        <v>770</v>
      </c>
      <c r="L806" s="319">
        <v>44043</v>
      </c>
      <c r="M806" s="322">
        <v>0</v>
      </c>
    </row>
    <row r="807" spans="1:13" hidden="1" x14ac:dyDescent="0.25">
      <c r="A807" s="319">
        <v>44043</v>
      </c>
      <c r="B807" s="318" t="s">
        <v>1121</v>
      </c>
      <c r="C807" s="318" t="s">
        <v>1060</v>
      </c>
      <c r="D807" s="320">
        <v>2</v>
      </c>
      <c r="E807" s="321">
        <v>-5579</v>
      </c>
      <c r="F807" s="321">
        <v>19493.330000000002</v>
      </c>
      <c r="G807" s="318" t="s">
        <v>1543</v>
      </c>
      <c r="H807" s="318" t="s">
        <v>1542</v>
      </c>
      <c r="I807" s="318" t="s">
        <v>104</v>
      </c>
      <c r="J807" s="318" t="s">
        <v>757</v>
      </c>
      <c r="K807" s="318" t="s">
        <v>741</v>
      </c>
      <c r="L807" s="319">
        <v>44043</v>
      </c>
      <c r="M807" s="322">
        <v>0</v>
      </c>
    </row>
    <row r="808" spans="1:13" hidden="1" x14ac:dyDescent="0.25">
      <c r="A808" s="319">
        <v>44043</v>
      </c>
      <c r="B808" s="318" t="s">
        <v>1121</v>
      </c>
      <c r="C808" s="318" t="s">
        <v>1060</v>
      </c>
      <c r="D808" s="320">
        <v>2</v>
      </c>
      <c r="E808" s="321">
        <v>-1450</v>
      </c>
      <c r="F808" s="321">
        <v>18043.330000000002</v>
      </c>
      <c r="G808" s="318" t="s">
        <v>1548</v>
      </c>
      <c r="H808" s="318" t="s">
        <v>1542</v>
      </c>
      <c r="I808" s="318" t="s">
        <v>104</v>
      </c>
      <c r="J808" s="318" t="s">
        <v>757</v>
      </c>
      <c r="K808" s="318" t="s">
        <v>741</v>
      </c>
      <c r="L808" s="319">
        <v>44043</v>
      </c>
      <c r="M808" s="322">
        <v>0</v>
      </c>
    </row>
    <row r="809" spans="1:13" hidden="1" x14ac:dyDescent="0.25">
      <c r="A809" s="319">
        <v>44043</v>
      </c>
      <c r="B809" s="318" t="s">
        <v>1121</v>
      </c>
      <c r="C809" s="318" t="s">
        <v>1060</v>
      </c>
      <c r="D809" s="320">
        <v>2</v>
      </c>
      <c r="E809" s="321">
        <v>-9674.93</v>
      </c>
      <c r="F809" s="321">
        <v>8368.3999999999905</v>
      </c>
      <c r="G809" s="318" t="s">
        <v>1544</v>
      </c>
      <c r="H809" s="318" t="s">
        <v>1542</v>
      </c>
      <c r="I809" s="318" t="s">
        <v>104</v>
      </c>
      <c r="J809" s="318" t="s">
        <v>757</v>
      </c>
      <c r="K809" s="318" t="s">
        <v>741</v>
      </c>
      <c r="L809" s="319">
        <v>44043</v>
      </c>
      <c r="M809" s="322">
        <v>0</v>
      </c>
    </row>
    <row r="810" spans="1:13" hidden="1" x14ac:dyDescent="0.25">
      <c r="A810" s="319">
        <v>44043</v>
      </c>
      <c r="B810" s="318" t="s">
        <v>1121</v>
      </c>
      <c r="C810" s="318" t="s">
        <v>1060</v>
      </c>
      <c r="D810" s="320">
        <v>2</v>
      </c>
      <c r="E810" s="321">
        <v>-675</v>
      </c>
      <c r="F810" s="321">
        <v>7693.3999999999896</v>
      </c>
      <c r="G810" s="318" t="s">
        <v>1545</v>
      </c>
      <c r="H810" s="318" t="s">
        <v>1542</v>
      </c>
      <c r="I810" s="318" t="s">
        <v>104</v>
      </c>
      <c r="J810" s="318" t="s">
        <v>757</v>
      </c>
      <c r="K810" s="318" t="s">
        <v>741</v>
      </c>
      <c r="L810" s="319">
        <v>44043</v>
      </c>
      <c r="M810" s="322">
        <v>0</v>
      </c>
    </row>
    <row r="811" spans="1:13" hidden="1" x14ac:dyDescent="0.25">
      <c r="A811" s="319">
        <v>44043</v>
      </c>
      <c r="B811" s="318" t="s">
        <v>1549</v>
      </c>
      <c r="C811" s="318" t="s">
        <v>1060</v>
      </c>
      <c r="D811" s="320">
        <v>2</v>
      </c>
      <c r="E811" s="321">
        <v>-6544</v>
      </c>
      <c r="F811" s="321">
        <v>1149.3999999999901</v>
      </c>
      <c r="G811" s="318" t="s">
        <v>1550</v>
      </c>
      <c r="H811" s="318" t="s">
        <v>1542</v>
      </c>
      <c r="I811" s="318" t="s">
        <v>104</v>
      </c>
      <c r="J811" s="318" t="s">
        <v>757</v>
      </c>
      <c r="K811" s="318" t="s">
        <v>741</v>
      </c>
      <c r="L811" s="319">
        <v>44043</v>
      </c>
      <c r="M811" s="322">
        <v>0</v>
      </c>
    </row>
    <row r="812" spans="1:13" hidden="1" x14ac:dyDescent="0.25">
      <c r="A812" s="319">
        <v>44048</v>
      </c>
      <c r="B812" s="318" t="s">
        <v>1561</v>
      </c>
      <c r="C812" s="318" t="s">
        <v>769</v>
      </c>
      <c r="D812" s="320">
        <v>2</v>
      </c>
      <c r="E812" s="321">
        <v>9674.93</v>
      </c>
      <c r="F812" s="321">
        <v>10824.33</v>
      </c>
      <c r="G812" s="318" t="s">
        <v>1562</v>
      </c>
      <c r="H812" s="318" t="s">
        <v>1542</v>
      </c>
      <c r="I812" s="318" t="s">
        <v>104</v>
      </c>
      <c r="J812" s="318" t="s">
        <v>757</v>
      </c>
      <c r="K812" s="318" t="s">
        <v>770</v>
      </c>
      <c r="L812" s="319">
        <v>44048</v>
      </c>
      <c r="M812" s="322">
        <v>0</v>
      </c>
    </row>
    <row r="813" spans="1:13" hidden="1" x14ac:dyDescent="0.25">
      <c r="A813" s="319">
        <v>44053</v>
      </c>
      <c r="B813" s="318" t="s">
        <v>1563</v>
      </c>
      <c r="C813" s="318" t="s">
        <v>769</v>
      </c>
      <c r="D813" s="320">
        <v>2</v>
      </c>
      <c r="E813" s="321">
        <v>675</v>
      </c>
      <c r="F813" s="321">
        <v>11499.33</v>
      </c>
      <c r="G813" s="318" t="s">
        <v>1564</v>
      </c>
      <c r="H813" s="318" t="s">
        <v>1542</v>
      </c>
      <c r="I813" s="318" t="s">
        <v>104</v>
      </c>
      <c r="J813" s="318" t="s">
        <v>757</v>
      </c>
      <c r="K813" s="318" t="s">
        <v>770</v>
      </c>
      <c r="L813" s="319">
        <v>44053</v>
      </c>
      <c r="M813" s="322">
        <v>0</v>
      </c>
    </row>
    <row r="814" spans="1:13" hidden="1" x14ac:dyDescent="0.25">
      <c r="A814" s="319">
        <v>44059</v>
      </c>
      <c r="B814" s="318" t="s">
        <v>1565</v>
      </c>
      <c r="C814" s="318" t="s">
        <v>769</v>
      </c>
      <c r="D814" s="320">
        <v>2</v>
      </c>
      <c r="E814" s="321">
        <v>5579</v>
      </c>
      <c r="F814" s="321">
        <v>17078.330000000002</v>
      </c>
      <c r="G814" s="318" t="s">
        <v>1566</v>
      </c>
      <c r="H814" s="318" t="s">
        <v>1542</v>
      </c>
      <c r="I814" s="318" t="s">
        <v>104</v>
      </c>
      <c r="J814" s="318" t="s">
        <v>757</v>
      </c>
      <c r="K814" s="318" t="s">
        <v>770</v>
      </c>
      <c r="L814" s="319">
        <v>44059</v>
      </c>
      <c r="M814" s="322">
        <v>0</v>
      </c>
    </row>
    <row r="815" spans="1:13" hidden="1" x14ac:dyDescent="0.25">
      <c r="A815" s="319">
        <v>44074</v>
      </c>
      <c r="B815" s="318" t="s">
        <v>1567</v>
      </c>
      <c r="C815" s="318" t="s">
        <v>1059</v>
      </c>
      <c r="D815" s="320">
        <v>2</v>
      </c>
      <c r="E815" s="321">
        <v>-1450</v>
      </c>
      <c r="F815" s="321">
        <v>15628.33</v>
      </c>
      <c r="G815" s="318" t="s">
        <v>1568</v>
      </c>
      <c r="H815" s="318" t="s">
        <v>1542</v>
      </c>
      <c r="I815" s="318" t="s">
        <v>104</v>
      </c>
      <c r="J815" s="318" t="s">
        <v>757</v>
      </c>
      <c r="K815" s="318" t="s">
        <v>741</v>
      </c>
      <c r="L815" s="319">
        <v>44074</v>
      </c>
      <c r="M815" s="322">
        <v>0</v>
      </c>
    </row>
    <row r="816" spans="1:13" hidden="1" x14ac:dyDescent="0.25">
      <c r="A816" s="319">
        <v>44074</v>
      </c>
      <c r="B816" s="318" t="s">
        <v>1569</v>
      </c>
      <c r="C816" s="318" t="s">
        <v>1059</v>
      </c>
      <c r="D816" s="320">
        <v>2</v>
      </c>
      <c r="E816" s="321">
        <v>1450</v>
      </c>
      <c r="F816" s="321">
        <v>17078.330000000002</v>
      </c>
      <c r="G816" s="318" t="s">
        <v>1570</v>
      </c>
      <c r="H816" s="318" t="s">
        <v>1542</v>
      </c>
      <c r="I816" s="318" t="s">
        <v>104</v>
      </c>
      <c r="J816" s="318" t="s">
        <v>757</v>
      </c>
      <c r="K816" s="318" t="s">
        <v>741</v>
      </c>
      <c r="L816" s="319">
        <v>44074</v>
      </c>
      <c r="M816" s="322">
        <v>0</v>
      </c>
    </row>
    <row r="817" spans="1:13" hidden="1" x14ac:dyDescent="0.25">
      <c r="A817" s="319">
        <v>44074</v>
      </c>
      <c r="B817" s="318" t="s">
        <v>1571</v>
      </c>
      <c r="C817" s="318" t="s">
        <v>1060</v>
      </c>
      <c r="D817" s="320">
        <v>2</v>
      </c>
      <c r="E817" s="321">
        <v>6544</v>
      </c>
      <c r="F817" s="321">
        <v>23622.33</v>
      </c>
      <c r="G817" s="318" t="s">
        <v>1550</v>
      </c>
      <c r="H817" s="318" t="s">
        <v>1542</v>
      </c>
      <c r="I817" s="318" t="s">
        <v>104</v>
      </c>
      <c r="J817" s="318" t="s">
        <v>757</v>
      </c>
      <c r="K817" s="318" t="s">
        <v>741</v>
      </c>
      <c r="L817" s="319">
        <v>44074</v>
      </c>
      <c r="M817" s="322">
        <v>0</v>
      </c>
    </row>
    <row r="818" spans="1:13" hidden="1" x14ac:dyDescent="0.25">
      <c r="A818" s="319">
        <v>44074</v>
      </c>
      <c r="B818" s="318" t="s">
        <v>1067</v>
      </c>
      <c r="C818" s="318" t="s">
        <v>1060</v>
      </c>
      <c r="D818" s="320">
        <v>2</v>
      </c>
      <c r="E818" s="321">
        <v>1450</v>
      </c>
      <c r="F818" s="321">
        <v>25072.33</v>
      </c>
      <c r="G818" s="318" t="s">
        <v>1548</v>
      </c>
      <c r="H818" s="318" t="s">
        <v>1542</v>
      </c>
      <c r="I818" s="318" t="s">
        <v>104</v>
      </c>
      <c r="J818" s="318" t="s">
        <v>757</v>
      </c>
      <c r="K818" s="318" t="s">
        <v>741</v>
      </c>
      <c r="L818" s="319">
        <v>44074</v>
      </c>
      <c r="M818" s="322">
        <v>0</v>
      </c>
    </row>
    <row r="819" spans="1:13" hidden="1" x14ac:dyDescent="0.25">
      <c r="A819" s="319">
        <v>44074</v>
      </c>
      <c r="B819" s="318" t="s">
        <v>1067</v>
      </c>
      <c r="C819" s="318" t="s">
        <v>1060</v>
      </c>
      <c r="D819" s="320">
        <v>2</v>
      </c>
      <c r="E819" s="321">
        <v>9674.93</v>
      </c>
      <c r="F819" s="321">
        <v>34747.26</v>
      </c>
      <c r="G819" s="318" t="s">
        <v>1544</v>
      </c>
      <c r="H819" s="318" t="s">
        <v>1542</v>
      </c>
      <c r="I819" s="318" t="s">
        <v>104</v>
      </c>
      <c r="J819" s="318" t="s">
        <v>757</v>
      </c>
      <c r="K819" s="318" t="s">
        <v>741</v>
      </c>
      <c r="L819" s="319">
        <v>44074</v>
      </c>
      <c r="M819" s="322">
        <v>0</v>
      </c>
    </row>
    <row r="820" spans="1:13" hidden="1" x14ac:dyDescent="0.25">
      <c r="A820" s="319">
        <v>44074</v>
      </c>
      <c r="B820" s="318" t="s">
        <v>1067</v>
      </c>
      <c r="C820" s="318" t="s">
        <v>1060</v>
      </c>
      <c r="D820" s="320">
        <v>2</v>
      </c>
      <c r="E820" s="321">
        <v>675</v>
      </c>
      <c r="F820" s="321">
        <v>35422.26</v>
      </c>
      <c r="G820" s="318" t="s">
        <v>1545</v>
      </c>
      <c r="H820" s="318" t="s">
        <v>1542</v>
      </c>
      <c r="I820" s="318" t="s">
        <v>104</v>
      </c>
      <c r="J820" s="318" t="s">
        <v>757</v>
      </c>
      <c r="K820" s="318" t="s">
        <v>741</v>
      </c>
      <c r="L820" s="319">
        <v>44074</v>
      </c>
      <c r="M820" s="322">
        <v>0</v>
      </c>
    </row>
    <row r="821" spans="1:13" hidden="1" x14ac:dyDescent="0.25">
      <c r="A821" s="319">
        <v>43069</v>
      </c>
      <c r="B821" s="318" t="s">
        <v>1572</v>
      </c>
      <c r="C821" s="318" t="s">
        <v>769</v>
      </c>
      <c r="D821" s="320">
        <v>3</v>
      </c>
      <c r="E821" s="321">
        <v>30</v>
      </c>
      <c r="F821" s="321">
        <v>35452.26</v>
      </c>
      <c r="G821" s="318" t="s">
        <v>1573</v>
      </c>
      <c r="H821" s="318" t="s">
        <v>1542</v>
      </c>
      <c r="I821" s="318" t="s">
        <v>104</v>
      </c>
      <c r="J821" s="318" t="s">
        <v>757</v>
      </c>
      <c r="K821" s="318" t="s">
        <v>770</v>
      </c>
      <c r="L821" s="319">
        <v>43069</v>
      </c>
      <c r="M821" s="322">
        <v>0</v>
      </c>
    </row>
    <row r="822" spans="1:13" hidden="1" x14ac:dyDescent="0.25">
      <c r="A822" s="319">
        <v>44074</v>
      </c>
      <c r="B822" s="318" t="s">
        <v>1574</v>
      </c>
      <c r="C822" s="318" t="s">
        <v>769</v>
      </c>
      <c r="D822" s="320">
        <v>3</v>
      </c>
      <c r="E822" s="321">
        <v>25</v>
      </c>
      <c r="F822" s="321">
        <v>35477.26</v>
      </c>
      <c r="G822" s="318" t="s">
        <v>1575</v>
      </c>
      <c r="H822" s="318" t="s">
        <v>1542</v>
      </c>
      <c r="I822" s="318" t="s">
        <v>104</v>
      </c>
      <c r="J822" s="318" t="s">
        <v>757</v>
      </c>
      <c r="K822" s="318" t="s">
        <v>770</v>
      </c>
      <c r="L822" s="319">
        <v>44074</v>
      </c>
      <c r="M822" s="322">
        <v>0</v>
      </c>
    </row>
    <row r="823" spans="1:13" hidden="1" x14ac:dyDescent="0.25">
      <c r="A823" s="319">
        <v>44074</v>
      </c>
      <c r="B823" s="318" t="s">
        <v>1576</v>
      </c>
      <c r="C823" s="318" t="s">
        <v>1059</v>
      </c>
      <c r="D823" s="320">
        <v>3</v>
      </c>
      <c r="E823" s="321">
        <v>1450</v>
      </c>
      <c r="F823" s="321">
        <v>36927.26</v>
      </c>
      <c r="G823" s="318" t="s">
        <v>1568</v>
      </c>
      <c r="H823" s="318" t="s">
        <v>1542</v>
      </c>
      <c r="I823" s="318" t="s">
        <v>104</v>
      </c>
      <c r="J823" s="318" t="s">
        <v>757</v>
      </c>
      <c r="K823" s="318" t="s">
        <v>741</v>
      </c>
      <c r="L823" s="319">
        <v>44074</v>
      </c>
      <c r="M823" s="322">
        <v>0</v>
      </c>
    </row>
    <row r="824" spans="1:13" hidden="1" x14ac:dyDescent="0.25">
      <c r="A824" s="319">
        <v>44074</v>
      </c>
      <c r="B824" s="318" t="s">
        <v>1571</v>
      </c>
      <c r="C824" s="318" t="s">
        <v>1060</v>
      </c>
      <c r="D824" s="320">
        <v>3</v>
      </c>
      <c r="E824" s="321">
        <v>-6544</v>
      </c>
      <c r="F824" s="321">
        <v>30383.26</v>
      </c>
      <c r="G824" s="318" t="s">
        <v>1550</v>
      </c>
      <c r="H824" s="318" t="s">
        <v>1542</v>
      </c>
      <c r="I824" s="318" t="s">
        <v>104</v>
      </c>
      <c r="J824" s="318" t="s">
        <v>757</v>
      </c>
      <c r="K824" s="318" t="s">
        <v>741</v>
      </c>
      <c r="L824" s="319">
        <v>44074</v>
      </c>
      <c r="M824" s="322">
        <v>0</v>
      </c>
    </row>
    <row r="825" spans="1:13" hidden="1" x14ac:dyDescent="0.25">
      <c r="A825" s="319">
        <v>44074</v>
      </c>
      <c r="B825" s="318" t="s">
        <v>1067</v>
      </c>
      <c r="C825" s="318" t="s">
        <v>1060</v>
      </c>
      <c r="D825" s="320">
        <v>3</v>
      </c>
      <c r="E825" s="321">
        <v>-1450</v>
      </c>
      <c r="F825" s="321">
        <v>28933.26</v>
      </c>
      <c r="G825" s="318" t="s">
        <v>1548</v>
      </c>
      <c r="H825" s="318" t="s">
        <v>1542</v>
      </c>
      <c r="I825" s="318" t="s">
        <v>104</v>
      </c>
      <c r="J825" s="318" t="s">
        <v>757</v>
      </c>
      <c r="K825" s="318" t="s">
        <v>741</v>
      </c>
      <c r="L825" s="319">
        <v>44074</v>
      </c>
      <c r="M825" s="322">
        <v>0</v>
      </c>
    </row>
    <row r="826" spans="1:13" hidden="1" x14ac:dyDescent="0.25">
      <c r="A826" s="319">
        <v>44074</v>
      </c>
      <c r="B826" s="318" t="s">
        <v>1067</v>
      </c>
      <c r="C826" s="318" t="s">
        <v>1060</v>
      </c>
      <c r="D826" s="320">
        <v>3</v>
      </c>
      <c r="E826" s="321">
        <v>-9674.93</v>
      </c>
      <c r="F826" s="321">
        <v>19258.330000000002</v>
      </c>
      <c r="G826" s="318" t="s">
        <v>1544</v>
      </c>
      <c r="H826" s="318" t="s">
        <v>1542</v>
      </c>
      <c r="I826" s="318" t="s">
        <v>104</v>
      </c>
      <c r="J826" s="318" t="s">
        <v>757</v>
      </c>
      <c r="K826" s="318" t="s">
        <v>741</v>
      </c>
      <c r="L826" s="319">
        <v>44074</v>
      </c>
      <c r="M826" s="322">
        <v>0</v>
      </c>
    </row>
    <row r="827" spans="1:13" hidden="1" x14ac:dyDescent="0.25">
      <c r="A827" s="319">
        <v>44074</v>
      </c>
      <c r="B827" s="318" t="s">
        <v>1067</v>
      </c>
      <c r="C827" s="318" t="s">
        <v>1060</v>
      </c>
      <c r="D827" s="320">
        <v>3</v>
      </c>
      <c r="E827" s="321">
        <v>-675</v>
      </c>
      <c r="F827" s="321">
        <v>18583.330000000002</v>
      </c>
      <c r="G827" s="318" t="s">
        <v>1545</v>
      </c>
      <c r="H827" s="318" t="s">
        <v>1542</v>
      </c>
      <c r="I827" s="318" t="s">
        <v>104</v>
      </c>
      <c r="J827" s="318" t="s">
        <v>757</v>
      </c>
      <c r="K827" s="318" t="s">
        <v>741</v>
      </c>
      <c r="L827" s="319">
        <v>44074</v>
      </c>
      <c r="M827" s="322">
        <v>0</v>
      </c>
    </row>
    <row r="828" spans="1:13" hidden="1" x14ac:dyDescent="0.25">
      <c r="A828" s="319">
        <v>44075</v>
      </c>
      <c r="B828" s="318" t="s">
        <v>1577</v>
      </c>
      <c r="C828" s="318" t="s">
        <v>936</v>
      </c>
      <c r="D828" s="320">
        <v>3</v>
      </c>
      <c r="E828" s="321">
        <v>-7037.62</v>
      </c>
      <c r="F828" s="321">
        <v>11545.71</v>
      </c>
      <c r="G828" s="318" t="s">
        <v>1578</v>
      </c>
      <c r="H828" s="318" t="s">
        <v>1542</v>
      </c>
      <c r="I828" s="318" t="s">
        <v>104</v>
      </c>
      <c r="J828" s="318" t="s">
        <v>757</v>
      </c>
      <c r="K828" s="318" t="s">
        <v>770</v>
      </c>
      <c r="L828" s="319">
        <v>44075</v>
      </c>
      <c r="M828" s="322">
        <v>0</v>
      </c>
    </row>
    <row r="829" spans="1:13" hidden="1" x14ac:dyDescent="0.25">
      <c r="A829" s="319">
        <v>44075</v>
      </c>
      <c r="B829" s="318" t="s">
        <v>1579</v>
      </c>
      <c r="C829" s="318" t="s">
        <v>936</v>
      </c>
      <c r="D829" s="320">
        <v>3</v>
      </c>
      <c r="E829" s="321">
        <v>-5087.62</v>
      </c>
      <c r="F829" s="321">
        <v>6458.09</v>
      </c>
      <c r="G829" s="318" t="s">
        <v>1580</v>
      </c>
      <c r="H829" s="318" t="s">
        <v>1542</v>
      </c>
      <c r="I829" s="318" t="s">
        <v>104</v>
      </c>
      <c r="J829" s="318" t="s">
        <v>757</v>
      </c>
      <c r="K829" s="318" t="s">
        <v>770</v>
      </c>
      <c r="L829" s="319">
        <v>44075</v>
      </c>
      <c r="M829" s="322">
        <v>0</v>
      </c>
    </row>
    <row r="830" spans="1:13" hidden="1" x14ac:dyDescent="0.25">
      <c r="A830" s="319">
        <v>44083</v>
      </c>
      <c r="B830" s="318" t="s">
        <v>1561</v>
      </c>
      <c r="C830" s="318" t="s">
        <v>936</v>
      </c>
      <c r="D830" s="320">
        <v>3</v>
      </c>
      <c r="E830" s="321">
        <v>-5087.62</v>
      </c>
      <c r="F830" s="321">
        <v>1370.47</v>
      </c>
      <c r="G830" s="318" t="s">
        <v>1581</v>
      </c>
      <c r="H830" s="318" t="s">
        <v>1542</v>
      </c>
      <c r="I830" s="318" t="s">
        <v>104</v>
      </c>
      <c r="J830" s="318" t="s">
        <v>757</v>
      </c>
      <c r="K830" s="318" t="s">
        <v>770</v>
      </c>
      <c r="L830" s="319">
        <v>44083</v>
      </c>
      <c r="M830" s="322">
        <v>0</v>
      </c>
    </row>
    <row r="831" spans="1:13" hidden="1" x14ac:dyDescent="0.25">
      <c r="A831" s="319">
        <v>44090</v>
      </c>
      <c r="B831" s="318" t="s">
        <v>1582</v>
      </c>
      <c r="C831" s="318" t="s">
        <v>769</v>
      </c>
      <c r="D831" s="320">
        <v>3</v>
      </c>
      <c r="E831" s="321">
        <v>5000</v>
      </c>
      <c r="F831" s="321">
        <v>6370.47</v>
      </c>
      <c r="G831" s="318" t="s">
        <v>1583</v>
      </c>
      <c r="H831" s="318" t="s">
        <v>1542</v>
      </c>
      <c r="I831" s="318" t="s">
        <v>104</v>
      </c>
      <c r="J831" s="318" t="s">
        <v>757</v>
      </c>
      <c r="K831" s="318" t="s">
        <v>770</v>
      </c>
      <c r="L831" s="319">
        <v>44090</v>
      </c>
      <c r="M831" s="322">
        <v>0</v>
      </c>
    </row>
    <row r="832" spans="1:13" hidden="1" x14ac:dyDescent="0.25">
      <c r="A832" s="319">
        <v>44090</v>
      </c>
      <c r="B832" s="318" t="s">
        <v>1584</v>
      </c>
      <c r="C832" s="318" t="s">
        <v>769</v>
      </c>
      <c r="D832" s="320">
        <v>3</v>
      </c>
      <c r="E832" s="321">
        <v>5579</v>
      </c>
      <c r="F832" s="321">
        <v>11949.47</v>
      </c>
      <c r="G832" s="318" t="s">
        <v>1585</v>
      </c>
      <c r="H832" s="318" t="s">
        <v>1542</v>
      </c>
      <c r="I832" s="318" t="s">
        <v>104</v>
      </c>
      <c r="J832" s="318" t="s">
        <v>757</v>
      </c>
      <c r="K832" s="318" t="s">
        <v>770</v>
      </c>
      <c r="L832" s="319">
        <v>44090</v>
      </c>
      <c r="M832" s="322">
        <v>0</v>
      </c>
    </row>
    <row r="833" spans="1:13" hidden="1" x14ac:dyDescent="0.25">
      <c r="A833" s="319">
        <v>44104</v>
      </c>
      <c r="B833" s="318" t="s">
        <v>1586</v>
      </c>
      <c r="C833" s="318" t="s">
        <v>1060</v>
      </c>
      <c r="D833" s="320">
        <v>3</v>
      </c>
      <c r="E833" s="321">
        <v>-5439.6</v>
      </c>
      <c r="F833" s="321">
        <v>6509.87</v>
      </c>
      <c r="G833" s="318" t="s">
        <v>1066</v>
      </c>
      <c r="H833" s="318" t="s">
        <v>1542</v>
      </c>
      <c r="I833" s="318" t="s">
        <v>104</v>
      </c>
      <c r="J833" s="318" t="s">
        <v>757</v>
      </c>
      <c r="K833" s="318" t="s">
        <v>741</v>
      </c>
      <c r="L833" s="319">
        <v>44104</v>
      </c>
      <c r="M833" s="322">
        <v>0</v>
      </c>
    </row>
    <row r="834" spans="1:13" hidden="1" x14ac:dyDescent="0.25">
      <c r="A834" s="319">
        <v>44104</v>
      </c>
      <c r="B834" s="318" t="s">
        <v>1587</v>
      </c>
      <c r="C834" s="318" t="s">
        <v>1060</v>
      </c>
      <c r="D834" s="320">
        <v>3</v>
      </c>
      <c r="E834" s="321">
        <v>5439.6</v>
      </c>
      <c r="F834" s="321">
        <v>11949.47</v>
      </c>
      <c r="G834" s="318" t="s">
        <v>1066</v>
      </c>
      <c r="H834" s="318" t="s">
        <v>1542</v>
      </c>
      <c r="I834" s="318" t="s">
        <v>104</v>
      </c>
      <c r="J834" s="318" t="s">
        <v>757</v>
      </c>
      <c r="K834" s="318" t="s">
        <v>741</v>
      </c>
      <c r="L834" s="319">
        <v>44104</v>
      </c>
      <c r="M834" s="322">
        <v>0</v>
      </c>
    </row>
    <row r="835" spans="1:13" hidden="1" x14ac:dyDescent="0.25">
      <c r="A835" s="319">
        <v>44104</v>
      </c>
      <c r="B835" s="318" t="s">
        <v>1071</v>
      </c>
      <c r="C835" s="318" t="s">
        <v>1060</v>
      </c>
      <c r="D835" s="320">
        <v>3</v>
      </c>
      <c r="E835" s="321">
        <v>6544</v>
      </c>
      <c r="F835" s="321">
        <v>18493.47</v>
      </c>
      <c r="G835" s="318" t="s">
        <v>1588</v>
      </c>
      <c r="H835" s="318" t="s">
        <v>1542</v>
      </c>
      <c r="I835" s="318" t="s">
        <v>104</v>
      </c>
      <c r="J835" s="318" t="s">
        <v>757</v>
      </c>
      <c r="K835" s="318" t="s">
        <v>741</v>
      </c>
      <c r="L835" s="319">
        <v>44104</v>
      </c>
      <c r="M835" s="322">
        <v>0</v>
      </c>
    </row>
    <row r="836" spans="1:13" hidden="1" x14ac:dyDescent="0.25">
      <c r="A836" s="319">
        <v>44104</v>
      </c>
      <c r="B836" s="318" t="s">
        <v>1071</v>
      </c>
      <c r="C836" s="318" t="s">
        <v>1060</v>
      </c>
      <c r="D836" s="320">
        <v>3</v>
      </c>
      <c r="E836" s="321">
        <v>1450</v>
      </c>
      <c r="F836" s="321">
        <v>19943.47</v>
      </c>
      <c r="G836" s="318" t="s">
        <v>1548</v>
      </c>
      <c r="H836" s="318" t="s">
        <v>1542</v>
      </c>
      <c r="I836" s="318" t="s">
        <v>104</v>
      </c>
      <c r="J836" s="318" t="s">
        <v>757</v>
      </c>
      <c r="K836" s="318" t="s">
        <v>741</v>
      </c>
      <c r="L836" s="319">
        <v>44104</v>
      </c>
      <c r="M836" s="322">
        <v>0</v>
      </c>
    </row>
    <row r="837" spans="1:13" hidden="1" x14ac:dyDescent="0.25">
      <c r="A837" s="319">
        <v>44104</v>
      </c>
      <c r="B837" s="318" t="s">
        <v>1071</v>
      </c>
      <c r="C837" s="318" t="s">
        <v>1060</v>
      </c>
      <c r="D837" s="320">
        <v>3</v>
      </c>
      <c r="E837" s="321">
        <v>5000</v>
      </c>
      <c r="F837" s="321">
        <v>24943.47</v>
      </c>
      <c r="G837" s="318" t="s">
        <v>1544</v>
      </c>
      <c r="H837" s="318" t="s">
        <v>1542</v>
      </c>
      <c r="I837" s="318" t="s">
        <v>104</v>
      </c>
      <c r="J837" s="318" t="s">
        <v>757</v>
      </c>
      <c r="K837" s="318" t="s">
        <v>741</v>
      </c>
      <c r="L837" s="319">
        <v>44104</v>
      </c>
      <c r="M837" s="322">
        <v>0</v>
      </c>
    </row>
    <row r="838" spans="1:13" hidden="1" x14ac:dyDescent="0.25">
      <c r="A838" s="319">
        <v>44104</v>
      </c>
      <c r="B838" s="318" t="s">
        <v>1071</v>
      </c>
      <c r="C838" s="318" t="s">
        <v>1060</v>
      </c>
      <c r="D838" s="320">
        <v>3</v>
      </c>
      <c r="E838" s="321">
        <v>2763.75</v>
      </c>
      <c r="F838" s="321">
        <v>27707.22</v>
      </c>
      <c r="G838" s="318" t="s">
        <v>1545</v>
      </c>
      <c r="H838" s="318" t="s">
        <v>1542</v>
      </c>
      <c r="I838" s="318" t="s">
        <v>104</v>
      </c>
      <c r="J838" s="318" t="s">
        <v>757</v>
      </c>
      <c r="K838" s="318" t="s">
        <v>741</v>
      </c>
      <c r="L838" s="319">
        <v>44104</v>
      </c>
      <c r="M838" s="322">
        <v>0</v>
      </c>
    </row>
    <row r="839" spans="1:13" hidden="1" x14ac:dyDescent="0.25">
      <c r="A839" s="319">
        <v>44104</v>
      </c>
      <c r="B839" s="318" t="s">
        <v>1071</v>
      </c>
      <c r="C839" s="318" t="s">
        <v>1060</v>
      </c>
      <c r="D839" s="320">
        <v>4</v>
      </c>
      <c r="E839" s="321">
        <v>-2763.75</v>
      </c>
      <c r="F839" s="321">
        <v>24943.47</v>
      </c>
      <c r="G839" s="318" t="s">
        <v>1545</v>
      </c>
      <c r="H839" s="318" t="s">
        <v>1542</v>
      </c>
      <c r="I839" s="318" t="s">
        <v>104</v>
      </c>
      <c r="J839" s="318" t="s">
        <v>757</v>
      </c>
      <c r="K839" s="318" t="s">
        <v>741</v>
      </c>
      <c r="L839" s="319">
        <v>44104</v>
      </c>
      <c r="M839" s="322">
        <v>0</v>
      </c>
    </row>
    <row r="840" spans="1:13" hidden="1" x14ac:dyDescent="0.25">
      <c r="A840" s="319">
        <v>44104</v>
      </c>
      <c r="B840" s="318" t="s">
        <v>1071</v>
      </c>
      <c r="C840" s="318" t="s">
        <v>1060</v>
      </c>
      <c r="D840" s="320">
        <v>4</v>
      </c>
      <c r="E840" s="321">
        <v>-5000</v>
      </c>
      <c r="F840" s="321">
        <v>19943.47</v>
      </c>
      <c r="G840" s="318" t="s">
        <v>1544</v>
      </c>
      <c r="H840" s="318" t="s">
        <v>1542</v>
      </c>
      <c r="I840" s="318" t="s">
        <v>104</v>
      </c>
      <c r="J840" s="318" t="s">
        <v>757</v>
      </c>
      <c r="K840" s="318" t="s">
        <v>741</v>
      </c>
      <c r="L840" s="319">
        <v>44104</v>
      </c>
      <c r="M840" s="322">
        <v>0</v>
      </c>
    </row>
    <row r="841" spans="1:13" hidden="1" x14ac:dyDescent="0.25">
      <c r="A841" s="319">
        <v>44104</v>
      </c>
      <c r="B841" s="318" t="s">
        <v>1071</v>
      </c>
      <c r="C841" s="318" t="s">
        <v>1060</v>
      </c>
      <c r="D841" s="320">
        <v>4</v>
      </c>
      <c r="E841" s="321">
        <v>-1450</v>
      </c>
      <c r="F841" s="321">
        <v>18493.47</v>
      </c>
      <c r="G841" s="318" t="s">
        <v>1548</v>
      </c>
      <c r="H841" s="318" t="s">
        <v>1542</v>
      </c>
      <c r="I841" s="318" t="s">
        <v>104</v>
      </c>
      <c r="J841" s="318" t="s">
        <v>757</v>
      </c>
      <c r="K841" s="318" t="s">
        <v>741</v>
      </c>
      <c r="L841" s="319">
        <v>44104</v>
      </c>
      <c r="M841" s="322">
        <v>0</v>
      </c>
    </row>
    <row r="842" spans="1:13" hidden="1" x14ac:dyDescent="0.25">
      <c r="A842" s="319">
        <v>44104</v>
      </c>
      <c r="B842" s="318" t="s">
        <v>1071</v>
      </c>
      <c r="C842" s="318" t="s">
        <v>1060</v>
      </c>
      <c r="D842" s="320">
        <v>4</v>
      </c>
      <c r="E842" s="321">
        <v>-6544</v>
      </c>
      <c r="F842" s="321">
        <v>11949.47</v>
      </c>
      <c r="G842" s="318" t="s">
        <v>1588</v>
      </c>
      <c r="H842" s="318" t="s">
        <v>1542</v>
      </c>
      <c r="I842" s="318" t="s">
        <v>104</v>
      </c>
      <c r="J842" s="318" t="s">
        <v>757</v>
      </c>
      <c r="K842" s="318" t="s">
        <v>741</v>
      </c>
      <c r="L842" s="319">
        <v>44104</v>
      </c>
      <c r="M842" s="322">
        <v>0</v>
      </c>
    </row>
    <row r="843" spans="1:13" hidden="1" x14ac:dyDescent="0.25">
      <c r="A843" s="319">
        <v>44104</v>
      </c>
      <c r="B843" s="318" t="s">
        <v>1587</v>
      </c>
      <c r="C843" s="318" t="s">
        <v>1060</v>
      </c>
      <c r="D843" s="320">
        <v>4</v>
      </c>
      <c r="E843" s="321">
        <v>-5439.6</v>
      </c>
      <c r="F843" s="321">
        <v>6509.8699999999899</v>
      </c>
      <c r="G843" s="318" t="s">
        <v>1066</v>
      </c>
      <c r="H843" s="318" t="s">
        <v>1542</v>
      </c>
      <c r="I843" s="318" t="s">
        <v>104</v>
      </c>
      <c r="J843" s="318" t="s">
        <v>757</v>
      </c>
      <c r="K843" s="318" t="s">
        <v>741</v>
      </c>
      <c r="L843" s="319">
        <v>44104</v>
      </c>
      <c r="M843" s="322">
        <v>0</v>
      </c>
    </row>
    <row r="844" spans="1:13" hidden="1" x14ac:dyDescent="0.25">
      <c r="A844" s="319">
        <v>44104</v>
      </c>
      <c r="B844" s="318" t="s">
        <v>1586</v>
      </c>
      <c r="C844" s="318" t="s">
        <v>1060</v>
      </c>
      <c r="D844" s="320">
        <v>4</v>
      </c>
      <c r="E844" s="321">
        <v>5439.6</v>
      </c>
      <c r="F844" s="321">
        <v>11949.47</v>
      </c>
      <c r="G844" s="318" t="s">
        <v>1066</v>
      </c>
      <c r="H844" s="318" t="s">
        <v>1542</v>
      </c>
      <c r="I844" s="318" t="s">
        <v>104</v>
      </c>
      <c r="J844" s="318" t="s">
        <v>757</v>
      </c>
      <c r="K844" s="318" t="s">
        <v>741</v>
      </c>
      <c r="L844" s="319">
        <v>44104</v>
      </c>
      <c r="M844" s="322">
        <v>0</v>
      </c>
    </row>
    <row r="845" spans="1:13" hidden="1" x14ac:dyDescent="0.25">
      <c r="A845" s="319">
        <v>44104</v>
      </c>
      <c r="B845" s="318" t="s">
        <v>1589</v>
      </c>
      <c r="C845" s="318" t="s">
        <v>769</v>
      </c>
      <c r="D845" s="320">
        <v>4</v>
      </c>
      <c r="E845" s="321">
        <v>25</v>
      </c>
      <c r="F845" s="321">
        <v>11974.47</v>
      </c>
      <c r="G845" s="318" t="s">
        <v>1590</v>
      </c>
      <c r="H845" s="318" t="s">
        <v>1542</v>
      </c>
      <c r="I845" s="318" t="s">
        <v>104</v>
      </c>
      <c r="J845" s="318" t="s">
        <v>757</v>
      </c>
      <c r="K845" s="318" t="s">
        <v>770</v>
      </c>
      <c r="L845" s="319">
        <v>44104</v>
      </c>
      <c r="M845" s="322">
        <v>0</v>
      </c>
    </row>
    <row r="846" spans="1:13" hidden="1" x14ac:dyDescent="0.25">
      <c r="A846" s="319">
        <v>44105</v>
      </c>
      <c r="B846" s="318" t="s">
        <v>1591</v>
      </c>
      <c r="C846" s="318" t="s">
        <v>769</v>
      </c>
      <c r="D846" s="320">
        <v>4</v>
      </c>
      <c r="E846" s="321">
        <v>1450</v>
      </c>
      <c r="F846" s="321">
        <v>13424.47</v>
      </c>
      <c r="G846" s="318" t="s">
        <v>1592</v>
      </c>
      <c r="H846" s="318" t="s">
        <v>1542</v>
      </c>
      <c r="I846" s="318" t="s">
        <v>104</v>
      </c>
      <c r="J846" s="318" t="s">
        <v>757</v>
      </c>
      <c r="K846" s="318" t="s">
        <v>770</v>
      </c>
      <c r="L846" s="319">
        <v>44105</v>
      </c>
      <c r="M846" s="322">
        <v>0</v>
      </c>
    </row>
    <row r="847" spans="1:13" hidden="1" x14ac:dyDescent="0.25">
      <c r="A847" s="319">
        <v>44109</v>
      </c>
      <c r="B847" s="318" t="s">
        <v>1593</v>
      </c>
      <c r="C847" s="318" t="s">
        <v>769</v>
      </c>
      <c r="D847" s="320">
        <v>4</v>
      </c>
      <c r="E847" s="321">
        <v>5000</v>
      </c>
      <c r="F847" s="321">
        <v>18424.47</v>
      </c>
      <c r="G847" s="318" t="s">
        <v>1594</v>
      </c>
      <c r="H847" s="318" t="s">
        <v>1542</v>
      </c>
      <c r="I847" s="318" t="s">
        <v>104</v>
      </c>
      <c r="J847" s="318" t="s">
        <v>757</v>
      </c>
      <c r="K847" s="318" t="s">
        <v>770</v>
      </c>
      <c r="L847" s="319">
        <v>44109</v>
      </c>
      <c r="M847" s="322">
        <v>0</v>
      </c>
    </row>
    <row r="848" spans="1:13" hidden="1" x14ac:dyDescent="0.25">
      <c r="A848" s="319">
        <v>44120</v>
      </c>
      <c r="B848" s="318" t="s">
        <v>1595</v>
      </c>
      <c r="C848" s="318" t="s">
        <v>769</v>
      </c>
      <c r="D848" s="320">
        <v>4</v>
      </c>
      <c r="E848" s="321">
        <v>5579</v>
      </c>
      <c r="F848" s="321">
        <v>24003.47</v>
      </c>
      <c r="G848" s="318" t="s">
        <v>1596</v>
      </c>
      <c r="H848" s="318" t="s">
        <v>1542</v>
      </c>
      <c r="I848" s="318" t="s">
        <v>104</v>
      </c>
      <c r="J848" s="318" t="s">
        <v>757</v>
      </c>
      <c r="K848" s="318" t="s">
        <v>770</v>
      </c>
      <c r="L848" s="319">
        <v>44120</v>
      </c>
      <c r="M848" s="322">
        <v>0</v>
      </c>
    </row>
    <row r="849" spans="1:13" hidden="1" x14ac:dyDescent="0.25">
      <c r="A849" s="319">
        <v>44124</v>
      </c>
      <c r="B849" s="318" t="s">
        <v>1597</v>
      </c>
      <c r="C849" s="318" t="s">
        <v>1059</v>
      </c>
      <c r="D849" s="320">
        <v>4</v>
      </c>
      <c r="E849" s="321">
        <v>1450</v>
      </c>
      <c r="F849" s="321">
        <v>25453.47</v>
      </c>
      <c r="G849" s="318" t="s">
        <v>1570</v>
      </c>
      <c r="H849" s="318" t="s">
        <v>1542</v>
      </c>
      <c r="I849" s="318" t="s">
        <v>104</v>
      </c>
      <c r="J849" s="318" t="s">
        <v>757</v>
      </c>
      <c r="K849" s="318" t="s">
        <v>741</v>
      </c>
      <c r="L849" s="319">
        <v>44124</v>
      </c>
      <c r="M849" s="322">
        <v>0</v>
      </c>
    </row>
    <row r="850" spans="1:13" hidden="1" x14ac:dyDescent="0.25">
      <c r="A850" s="319">
        <v>44135</v>
      </c>
      <c r="B850" s="318" t="s">
        <v>1072</v>
      </c>
      <c r="C850" s="318" t="s">
        <v>1060</v>
      </c>
      <c r="D850" s="320">
        <v>4</v>
      </c>
      <c r="E850" s="321">
        <v>5881.25</v>
      </c>
      <c r="F850" s="321">
        <v>31334.720000000001</v>
      </c>
      <c r="G850" s="318" t="s">
        <v>1545</v>
      </c>
      <c r="H850" s="318" t="s">
        <v>1542</v>
      </c>
      <c r="I850" s="318" t="s">
        <v>104</v>
      </c>
      <c r="J850" s="318" t="s">
        <v>757</v>
      </c>
      <c r="K850" s="318" t="s">
        <v>741</v>
      </c>
      <c r="L850" s="319">
        <v>44135</v>
      </c>
      <c r="M850" s="322">
        <v>0</v>
      </c>
    </row>
    <row r="851" spans="1:13" hidden="1" x14ac:dyDescent="0.25">
      <c r="A851" s="319">
        <v>44135</v>
      </c>
      <c r="B851" s="318" t="s">
        <v>1072</v>
      </c>
      <c r="C851" s="318" t="s">
        <v>1060</v>
      </c>
      <c r="D851" s="320">
        <v>4</v>
      </c>
      <c r="E851" s="321">
        <v>5000</v>
      </c>
      <c r="F851" s="321">
        <v>36334.720000000001</v>
      </c>
      <c r="G851" s="318" t="s">
        <v>1544</v>
      </c>
      <c r="H851" s="318" t="s">
        <v>1542</v>
      </c>
      <c r="I851" s="318" t="s">
        <v>104</v>
      </c>
      <c r="J851" s="318" t="s">
        <v>757</v>
      </c>
      <c r="K851" s="318" t="s">
        <v>741</v>
      </c>
      <c r="L851" s="319">
        <v>44135</v>
      </c>
      <c r="M851" s="322">
        <v>0</v>
      </c>
    </row>
    <row r="852" spans="1:13" hidden="1" x14ac:dyDescent="0.25">
      <c r="A852" s="319">
        <v>44135</v>
      </c>
      <c r="B852" s="318" t="s">
        <v>1072</v>
      </c>
      <c r="C852" s="318" t="s">
        <v>1060</v>
      </c>
      <c r="D852" s="320">
        <v>4</v>
      </c>
      <c r="E852" s="321">
        <v>6544</v>
      </c>
      <c r="F852" s="321">
        <v>42878.720000000001</v>
      </c>
      <c r="G852" s="318" t="s">
        <v>1588</v>
      </c>
      <c r="H852" s="318" t="s">
        <v>1542</v>
      </c>
      <c r="I852" s="318" t="s">
        <v>104</v>
      </c>
      <c r="J852" s="318" t="s">
        <v>757</v>
      </c>
      <c r="K852" s="318" t="s">
        <v>741</v>
      </c>
      <c r="L852" s="319">
        <v>44135</v>
      </c>
      <c r="M852" s="322">
        <v>0</v>
      </c>
    </row>
    <row r="853" spans="1:13" hidden="1" x14ac:dyDescent="0.25">
      <c r="A853" s="319">
        <v>44120</v>
      </c>
      <c r="B853" s="318" t="s">
        <v>1598</v>
      </c>
      <c r="C853" s="318" t="s">
        <v>769</v>
      </c>
      <c r="D853" s="320">
        <v>5</v>
      </c>
      <c r="E853" s="321">
        <v>2763.75</v>
      </c>
      <c r="F853" s="321">
        <v>45642.47</v>
      </c>
      <c r="G853" s="318" t="s">
        <v>1599</v>
      </c>
      <c r="H853" s="318" t="s">
        <v>1542</v>
      </c>
      <c r="I853" s="318" t="s">
        <v>104</v>
      </c>
      <c r="J853" s="318" t="s">
        <v>757</v>
      </c>
      <c r="K853" s="318" t="s">
        <v>770</v>
      </c>
      <c r="L853" s="319">
        <v>44120</v>
      </c>
      <c r="M853" s="322">
        <v>0</v>
      </c>
    </row>
    <row r="854" spans="1:13" hidden="1" x14ac:dyDescent="0.25">
      <c r="A854" s="319">
        <v>44135</v>
      </c>
      <c r="B854" s="318" t="s">
        <v>1600</v>
      </c>
      <c r="C854" s="318" t="s">
        <v>769</v>
      </c>
      <c r="D854" s="320">
        <v>5</v>
      </c>
      <c r="E854" s="321">
        <v>25</v>
      </c>
      <c r="F854" s="321">
        <v>45667.47</v>
      </c>
      <c r="G854" s="318" t="s">
        <v>1601</v>
      </c>
      <c r="H854" s="318" t="s">
        <v>1542</v>
      </c>
      <c r="I854" s="318" t="s">
        <v>104</v>
      </c>
      <c r="J854" s="318" t="s">
        <v>757</v>
      </c>
      <c r="K854" s="318" t="s">
        <v>770</v>
      </c>
      <c r="L854" s="319">
        <v>44135</v>
      </c>
      <c r="M854" s="322">
        <v>0</v>
      </c>
    </row>
    <row r="855" spans="1:13" hidden="1" x14ac:dyDescent="0.25">
      <c r="A855" s="319">
        <v>44135</v>
      </c>
      <c r="B855" s="318" t="s">
        <v>1072</v>
      </c>
      <c r="C855" s="318" t="s">
        <v>1060</v>
      </c>
      <c r="D855" s="320">
        <v>5</v>
      </c>
      <c r="E855" s="321">
        <v>-5881.25</v>
      </c>
      <c r="F855" s="321">
        <v>39786.22</v>
      </c>
      <c r="G855" s="318" t="s">
        <v>1545</v>
      </c>
      <c r="H855" s="318" t="s">
        <v>1542</v>
      </c>
      <c r="I855" s="318" t="s">
        <v>104</v>
      </c>
      <c r="J855" s="318" t="s">
        <v>757</v>
      </c>
      <c r="K855" s="318" t="s">
        <v>741</v>
      </c>
      <c r="L855" s="319">
        <v>44135</v>
      </c>
      <c r="M855" s="322">
        <v>0</v>
      </c>
    </row>
    <row r="856" spans="1:13" hidden="1" x14ac:dyDescent="0.25">
      <c r="A856" s="319">
        <v>44135</v>
      </c>
      <c r="B856" s="318" t="s">
        <v>1072</v>
      </c>
      <c r="C856" s="318" t="s">
        <v>1060</v>
      </c>
      <c r="D856" s="320">
        <v>5</v>
      </c>
      <c r="E856" s="321">
        <v>-5000</v>
      </c>
      <c r="F856" s="321">
        <v>34786.22</v>
      </c>
      <c r="G856" s="318" t="s">
        <v>1544</v>
      </c>
      <c r="H856" s="318" t="s">
        <v>1542</v>
      </c>
      <c r="I856" s="318" t="s">
        <v>104</v>
      </c>
      <c r="J856" s="318" t="s">
        <v>757</v>
      </c>
      <c r="K856" s="318" t="s">
        <v>741</v>
      </c>
      <c r="L856" s="319">
        <v>44135</v>
      </c>
      <c r="M856" s="322">
        <v>0</v>
      </c>
    </row>
    <row r="857" spans="1:13" hidden="1" x14ac:dyDescent="0.25">
      <c r="A857" s="319">
        <v>44135</v>
      </c>
      <c r="B857" s="318" t="s">
        <v>1072</v>
      </c>
      <c r="C857" s="318" t="s">
        <v>1060</v>
      </c>
      <c r="D857" s="320">
        <v>5</v>
      </c>
      <c r="E857" s="321">
        <v>-6544</v>
      </c>
      <c r="F857" s="321">
        <v>28242.22</v>
      </c>
      <c r="G857" s="318" t="s">
        <v>1588</v>
      </c>
      <c r="H857" s="318" t="s">
        <v>1542</v>
      </c>
      <c r="I857" s="318" t="s">
        <v>104</v>
      </c>
      <c r="J857" s="318" t="s">
        <v>757</v>
      </c>
      <c r="K857" s="318" t="s">
        <v>741</v>
      </c>
      <c r="L857" s="319">
        <v>44135</v>
      </c>
      <c r="M857" s="322">
        <v>0</v>
      </c>
    </row>
    <row r="858" spans="1:13" hidden="1" x14ac:dyDescent="0.25">
      <c r="A858" s="319">
        <v>44136</v>
      </c>
      <c r="B858" s="318" t="s">
        <v>1602</v>
      </c>
      <c r="C858" s="318" t="s">
        <v>769</v>
      </c>
      <c r="D858" s="320">
        <v>5</v>
      </c>
      <c r="E858" s="321">
        <v>950</v>
      </c>
      <c r="F858" s="321">
        <v>29192.22</v>
      </c>
      <c r="G858" s="318" t="s">
        <v>1603</v>
      </c>
      <c r="H858" s="318" t="s">
        <v>1542</v>
      </c>
      <c r="I858" s="318" t="s">
        <v>104</v>
      </c>
      <c r="J858" s="318" t="s">
        <v>757</v>
      </c>
      <c r="K858" s="318" t="s">
        <v>770</v>
      </c>
      <c r="L858" s="319">
        <v>44136</v>
      </c>
      <c r="M858" s="322">
        <v>0</v>
      </c>
    </row>
    <row r="859" spans="1:13" hidden="1" x14ac:dyDescent="0.25">
      <c r="A859" s="319">
        <v>44139</v>
      </c>
      <c r="B859" s="318" t="s">
        <v>1604</v>
      </c>
      <c r="C859" s="318" t="s">
        <v>769</v>
      </c>
      <c r="D859" s="320">
        <v>5</v>
      </c>
      <c r="E859" s="321">
        <v>5000</v>
      </c>
      <c r="F859" s="321">
        <v>34192.22</v>
      </c>
      <c r="G859" s="318" t="s">
        <v>1605</v>
      </c>
      <c r="H859" s="318" t="s">
        <v>1542</v>
      </c>
      <c r="I859" s="318" t="s">
        <v>104</v>
      </c>
      <c r="J859" s="318" t="s">
        <v>757</v>
      </c>
      <c r="K859" s="318" t="s">
        <v>770</v>
      </c>
      <c r="L859" s="319">
        <v>44139</v>
      </c>
      <c r="M859" s="322">
        <v>0</v>
      </c>
    </row>
    <row r="860" spans="1:13" hidden="1" x14ac:dyDescent="0.25">
      <c r="A860" s="319">
        <v>44151</v>
      </c>
      <c r="B860" s="318" t="s">
        <v>1606</v>
      </c>
      <c r="C860" s="318" t="s">
        <v>769</v>
      </c>
      <c r="D860" s="320">
        <v>5</v>
      </c>
      <c r="E860" s="321">
        <v>5545</v>
      </c>
      <c r="F860" s="321">
        <v>39737.22</v>
      </c>
      <c r="G860" s="318" t="s">
        <v>1607</v>
      </c>
      <c r="H860" s="318" t="s">
        <v>1542</v>
      </c>
      <c r="I860" s="318" t="s">
        <v>104</v>
      </c>
      <c r="J860" s="318" t="s">
        <v>757</v>
      </c>
      <c r="K860" s="318" t="s">
        <v>770</v>
      </c>
      <c r="L860" s="319">
        <v>44151</v>
      </c>
      <c r="M860" s="322">
        <v>0</v>
      </c>
    </row>
    <row r="861" spans="1:13" hidden="1" x14ac:dyDescent="0.25">
      <c r="A861" s="319">
        <v>44165</v>
      </c>
      <c r="B861" s="318" t="s">
        <v>1128</v>
      </c>
      <c r="C861" s="318" t="s">
        <v>1060</v>
      </c>
      <c r="D861" s="320">
        <v>5</v>
      </c>
      <c r="E861" s="321">
        <v>6544</v>
      </c>
      <c r="F861" s="321">
        <v>46281.22</v>
      </c>
      <c r="G861" s="318" t="s">
        <v>1588</v>
      </c>
      <c r="H861" s="318" t="s">
        <v>1542</v>
      </c>
      <c r="I861" s="318" t="s">
        <v>104</v>
      </c>
      <c r="J861" s="318" t="s">
        <v>757</v>
      </c>
      <c r="K861" s="318" t="s">
        <v>741</v>
      </c>
      <c r="L861" s="319">
        <v>44165</v>
      </c>
      <c r="M861" s="322">
        <v>0</v>
      </c>
    </row>
    <row r="862" spans="1:13" hidden="1" x14ac:dyDescent="0.25">
      <c r="A862" s="319">
        <v>44165</v>
      </c>
      <c r="B862" s="318" t="s">
        <v>1128</v>
      </c>
      <c r="C862" s="318" t="s">
        <v>1060</v>
      </c>
      <c r="D862" s="320">
        <v>5</v>
      </c>
      <c r="E862" s="321">
        <v>5000</v>
      </c>
      <c r="F862" s="321">
        <v>51281.22</v>
      </c>
      <c r="G862" s="318" t="s">
        <v>1544</v>
      </c>
      <c r="H862" s="318" t="s">
        <v>1542</v>
      </c>
      <c r="I862" s="318" t="s">
        <v>104</v>
      </c>
      <c r="J862" s="318" t="s">
        <v>757</v>
      </c>
      <c r="K862" s="318" t="s">
        <v>741</v>
      </c>
      <c r="L862" s="319">
        <v>44165</v>
      </c>
      <c r="M862" s="322">
        <v>0</v>
      </c>
    </row>
    <row r="863" spans="1:13" hidden="1" x14ac:dyDescent="0.25">
      <c r="A863" s="319">
        <v>44165</v>
      </c>
      <c r="B863" s="318" t="s">
        <v>1128</v>
      </c>
      <c r="C863" s="318" t="s">
        <v>1060</v>
      </c>
      <c r="D863" s="320">
        <v>5</v>
      </c>
      <c r="E863" s="321">
        <v>5881.25</v>
      </c>
      <c r="F863" s="321">
        <v>57162.47</v>
      </c>
      <c r="G863" s="318" t="s">
        <v>1545</v>
      </c>
      <c r="H863" s="318" t="s">
        <v>1542</v>
      </c>
      <c r="I863" s="318" t="s">
        <v>104</v>
      </c>
      <c r="J863" s="318" t="s">
        <v>757</v>
      </c>
      <c r="K863" s="318" t="s">
        <v>741</v>
      </c>
      <c r="L863" s="319">
        <v>44165</v>
      </c>
      <c r="M863" s="322">
        <v>0</v>
      </c>
    </row>
    <row r="864" spans="1:13" hidden="1" x14ac:dyDescent="0.25">
      <c r="A864" s="319">
        <v>43906</v>
      </c>
      <c r="B864" s="318" t="s">
        <v>1608</v>
      </c>
      <c r="C864" s="318" t="s">
        <v>769</v>
      </c>
      <c r="D864" s="320">
        <v>6</v>
      </c>
      <c r="E864" s="321">
        <v>6544</v>
      </c>
      <c r="F864" s="321">
        <v>63706.47</v>
      </c>
      <c r="G864" s="318" t="s">
        <v>1609</v>
      </c>
      <c r="H864" s="318" t="s">
        <v>1542</v>
      </c>
      <c r="I864" s="318" t="s">
        <v>104</v>
      </c>
      <c r="J864" s="318" t="s">
        <v>757</v>
      </c>
      <c r="K864" s="318" t="s">
        <v>770</v>
      </c>
      <c r="L864" s="319">
        <v>43906</v>
      </c>
      <c r="M864" s="322">
        <v>0</v>
      </c>
    </row>
    <row r="865" spans="1:13" hidden="1" x14ac:dyDescent="0.25">
      <c r="A865" s="319">
        <v>44165</v>
      </c>
      <c r="B865" s="318" t="s">
        <v>1128</v>
      </c>
      <c r="C865" s="318" t="s">
        <v>1060</v>
      </c>
      <c r="D865" s="320">
        <v>6</v>
      </c>
      <c r="E865" s="321">
        <v>-6544</v>
      </c>
      <c r="F865" s="321">
        <v>57162.47</v>
      </c>
      <c r="G865" s="318" t="s">
        <v>1588</v>
      </c>
      <c r="H865" s="318" t="s">
        <v>1542</v>
      </c>
      <c r="I865" s="318" t="s">
        <v>104</v>
      </c>
      <c r="J865" s="318" t="s">
        <v>757</v>
      </c>
      <c r="K865" s="318" t="s">
        <v>741</v>
      </c>
      <c r="L865" s="319">
        <v>44165</v>
      </c>
      <c r="M865" s="322">
        <v>0</v>
      </c>
    </row>
    <row r="866" spans="1:13" hidden="1" x14ac:dyDescent="0.25">
      <c r="A866" s="319">
        <v>44165</v>
      </c>
      <c r="B866" s="318" t="s">
        <v>1610</v>
      </c>
      <c r="C866" s="318" t="s">
        <v>769</v>
      </c>
      <c r="D866" s="320">
        <v>6</v>
      </c>
      <c r="E866" s="321">
        <v>25</v>
      </c>
      <c r="F866" s="321">
        <v>57187.47</v>
      </c>
      <c r="G866" s="318" t="s">
        <v>1611</v>
      </c>
      <c r="H866" s="318" t="s">
        <v>1542</v>
      </c>
      <c r="I866" s="318" t="s">
        <v>104</v>
      </c>
      <c r="J866" s="318" t="s">
        <v>757</v>
      </c>
      <c r="K866" s="318" t="s">
        <v>770</v>
      </c>
      <c r="L866" s="319">
        <v>44165</v>
      </c>
      <c r="M866" s="322">
        <v>0</v>
      </c>
    </row>
    <row r="867" spans="1:13" hidden="1" x14ac:dyDescent="0.25">
      <c r="A867" s="319">
        <v>44165</v>
      </c>
      <c r="B867" s="318" t="s">
        <v>1128</v>
      </c>
      <c r="C867" s="318" t="s">
        <v>1060</v>
      </c>
      <c r="D867" s="320">
        <v>6</v>
      </c>
      <c r="E867" s="321">
        <v>-5000</v>
      </c>
      <c r="F867" s="321">
        <v>52187.47</v>
      </c>
      <c r="G867" s="318" t="s">
        <v>1544</v>
      </c>
      <c r="H867" s="318" t="s">
        <v>1542</v>
      </c>
      <c r="I867" s="318" t="s">
        <v>104</v>
      </c>
      <c r="J867" s="318" t="s">
        <v>757</v>
      </c>
      <c r="K867" s="318" t="s">
        <v>741</v>
      </c>
      <c r="L867" s="319">
        <v>44165</v>
      </c>
      <c r="M867" s="322">
        <v>0</v>
      </c>
    </row>
    <row r="868" spans="1:13" hidden="1" x14ac:dyDescent="0.25">
      <c r="A868" s="319">
        <v>44165</v>
      </c>
      <c r="B868" s="318" t="s">
        <v>1128</v>
      </c>
      <c r="C868" s="318" t="s">
        <v>1060</v>
      </c>
      <c r="D868" s="320">
        <v>6</v>
      </c>
      <c r="E868" s="321">
        <v>-5881.25</v>
      </c>
      <c r="F868" s="321">
        <v>46306.22</v>
      </c>
      <c r="G868" s="318" t="s">
        <v>1545</v>
      </c>
      <c r="H868" s="318" t="s">
        <v>1542</v>
      </c>
      <c r="I868" s="318" t="s">
        <v>104</v>
      </c>
      <c r="J868" s="318" t="s">
        <v>757</v>
      </c>
      <c r="K868" s="318" t="s">
        <v>741</v>
      </c>
      <c r="L868" s="319">
        <v>44165</v>
      </c>
      <c r="M868" s="322">
        <v>0</v>
      </c>
    </row>
    <row r="869" spans="1:13" hidden="1" x14ac:dyDescent="0.25">
      <c r="A869" s="319">
        <v>44166</v>
      </c>
      <c r="B869" s="318" t="s">
        <v>1612</v>
      </c>
      <c r="C869" s="318" t="s">
        <v>769</v>
      </c>
      <c r="D869" s="320">
        <v>6</v>
      </c>
      <c r="E869" s="321">
        <v>950</v>
      </c>
      <c r="F869" s="321">
        <v>47256.22</v>
      </c>
      <c r="G869" s="318" t="s">
        <v>1613</v>
      </c>
      <c r="H869" s="318" t="s">
        <v>1542</v>
      </c>
      <c r="I869" s="318" t="s">
        <v>104</v>
      </c>
      <c r="J869" s="318" t="s">
        <v>757</v>
      </c>
      <c r="K869" s="318" t="s">
        <v>770</v>
      </c>
      <c r="L869" s="319">
        <v>44166</v>
      </c>
      <c r="M869" s="322">
        <v>0</v>
      </c>
    </row>
    <row r="870" spans="1:13" hidden="1" x14ac:dyDescent="0.25">
      <c r="A870" s="319">
        <v>44168</v>
      </c>
      <c r="B870" s="318" t="s">
        <v>1614</v>
      </c>
      <c r="C870" s="318" t="s">
        <v>769</v>
      </c>
      <c r="D870" s="320">
        <v>6</v>
      </c>
      <c r="E870" s="321">
        <v>5000</v>
      </c>
      <c r="F870" s="321">
        <v>52256.22</v>
      </c>
      <c r="G870" s="318" t="s">
        <v>1615</v>
      </c>
      <c r="H870" s="318" t="s">
        <v>1542</v>
      </c>
      <c r="I870" s="318" t="s">
        <v>104</v>
      </c>
      <c r="J870" s="318" t="s">
        <v>757</v>
      </c>
      <c r="K870" s="318" t="s">
        <v>770</v>
      </c>
      <c r="L870" s="319">
        <v>44168</v>
      </c>
      <c r="M870" s="322">
        <v>0</v>
      </c>
    </row>
    <row r="871" spans="1:13" hidden="1" x14ac:dyDescent="0.25">
      <c r="A871" s="319">
        <v>44196</v>
      </c>
      <c r="B871" s="318" t="s">
        <v>1073</v>
      </c>
      <c r="C871" s="318" t="s">
        <v>1060</v>
      </c>
      <c r="D871" s="320">
        <v>6</v>
      </c>
      <c r="E871" s="321">
        <v>11207</v>
      </c>
      <c r="F871" s="321">
        <v>63463.22</v>
      </c>
      <c r="G871" s="318" t="s">
        <v>1588</v>
      </c>
      <c r="H871" s="318" t="s">
        <v>1542</v>
      </c>
      <c r="I871" s="318" t="s">
        <v>104</v>
      </c>
      <c r="J871" s="318" t="s">
        <v>757</v>
      </c>
      <c r="K871" s="318" t="s">
        <v>741</v>
      </c>
      <c r="L871" s="319">
        <v>44196</v>
      </c>
      <c r="M871" s="322">
        <v>0</v>
      </c>
    </row>
    <row r="872" spans="1:13" hidden="1" x14ac:dyDescent="0.25">
      <c r="A872" s="319">
        <v>44196</v>
      </c>
      <c r="B872" s="318" t="s">
        <v>1073</v>
      </c>
      <c r="C872" s="318" t="s">
        <v>1060</v>
      </c>
      <c r="D872" s="320">
        <v>6</v>
      </c>
      <c r="E872" s="321">
        <v>5000</v>
      </c>
      <c r="F872" s="321">
        <v>68463.22</v>
      </c>
      <c r="G872" s="318" t="s">
        <v>1544</v>
      </c>
      <c r="H872" s="318" t="s">
        <v>1542</v>
      </c>
      <c r="I872" s="318" t="s">
        <v>104</v>
      </c>
      <c r="J872" s="318" t="s">
        <v>757</v>
      </c>
      <c r="K872" s="318" t="s">
        <v>741</v>
      </c>
      <c r="L872" s="319">
        <v>44196</v>
      </c>
      <c r="M872" s="322">
        <v>0</v>
      </c>
    </row>
    <row r="873" spans="1:13" hidden="1" x14ac:dyDescent="0.25">
      <c r="A873" s="319">
        <v>44196</v>
      </c>
      <c r="B873" s="318" t="s">
        <v>1073</v>
      </c>
      <c r="C873" s="318" t="s">
        <v>1060</v>
      </c>
      <c r="D873" s="320">
        <v>6</v>
      </c>
      <c r="E873" s="321">
        <v>9972.5</v>
      </c>
      <c r="F873" s="321">
        <v>78435.72</v>
      </c>
      <c r="G873" s="318" t="s">
        <v>1545</v>
      </c>
      <c r="H873" s="318" t="s">
        <v>1542</v>
      </c>
      <c r="I873" s="318" t="s">
        <v>104</v>
      </c>
      <c r="J873" s="318" t="s">
        <v>757</v>
      </c>
      <c r="K873" s="318" t="s">
        <v>741</v>
      </c>
      <c r="L873" s="319">
        <v>44196</v>
      </c>
      <c r="M873" s="322">
        <v>0</v>
      </c>
    </row>
    <row r="874" spans="1:13" hidden="1" x14ac:dyDescent="0.25">
      <c r="A874" s="319">
        <v>44181</v>
      </c>
      <c r="B874" s="318" t="s">
        <v>1616</v>
      </c>
      <c r="C874" s="318" t="s">
        <v>769</v>
      </c>
      <c r="D874" s="320">
        <v>7</v>
      </c>
      <c r="E874" s="321">
        <v>5463</v>
      </c>
      <c r="F874" s="321">
        <v>83898.72</v>
      </c>
      <c r="G874" s="318" t="s">
        <v>1617</v>
      </c>
      <c r="H874" s="318" t="s">
        <v>1542</v>
      </c>
      <c r="I874" s="318" t="s">
        <v>104</v>
      </c>
      <c r="J874" s="318" t="s">
        <v>757</v>
      </c>
      <c r="K874" s="318" t="s">
        <v>770</v>
      </c>
      <c r="L874" s="319">
        <v>44181</v>
      </c>
      <c r="M874" s="322">
        <v>0</v>
      </c>
    </row>
    <row r="875" spans="1:13" hidden="1" x14ac:dyDescent="0.25">
      <c r="A875" s="319">
        <v>44196</v>
      </c>
      <c r="B875" s="318" t="s">
        <v>1073</v>
      </c>
      <c r="C875" s="318" t="s">
        <v>1060</v>
      </c>
      <c r="D875" s="320">
        <v>7</v>
      </c>
      <c r="E875" s="321">
        <v>-11207</v>
      </c>
      <c r="F875" s="321">
        <v>72691.72</v>
      </c>
      <c r="G875" s="318" t="s">
        <v>1588</v>
      </c>
      <c r="H875" s="318" t="s">
        <v>1542</v>
      </c>
      <c r="I875" s="318" t="s">
        <v>104</v>
      </c>
      <c r="J875" s="318" t="s">
        <v>757</v>
      </c>
      <c r="K875" s="318" t="s">
        <v>741</v>
      </c>
      <c r="L875" s="319">
        <v>44196</v>
      </c>
      <c r="M875" s="322">
        <v>0</v>
      </c>
    </row>
    <row r="876" spans="1:13" hidden="1" x14ac:dyDescent="0.25">
      <c r="A876" s="319">
        <v>44196</v>
      </c>
      <c r="B876" s="318" t="s">
        <v>1073</v>
      </c>
      <c r="C876" s="318" t="s">
        <v>1060</v>
      </c>
      <c r="D876" s="320">
        <v>7</v>
      </c>
      <c r="E876" s="321">
        <v>-5000</v>
      </c>
      <c r="F876" s="321">
        <v>67691.72</v>
      </c>
      <c r="G876" s="318" t="s">
        <v>1544</v>
      </c>
      <c r="H876" s="318" t="s">
        <v>1542</v>
      </c>
      <c r="I876" s="318" t="s">
        <v>104</v>
      </c>
      <c r="J876" s="318" t="s">
        <v>757</v>
      </c>
      <c r="K876" s="318" t="s">
        <v>741</v>
      </c>
      <c r="L876" s="319">
        <v>44196</v>
      </c>
      <c r="M876" s="322">
        <v>0</v>
      </c>
    </row>
    <row r="877" spans="1:13" hidden="1" x14ac:dyDescent="0.25">
      <c r="A877" s="319">
        <v>44196</v>
      </c>
      <c r="B877" s="318" t="s">
        <v>1073</v>
      </c>
      <c r="C877" s="318" t="s">
        <v>1060</v>
      </c>
      <c r="D877" s="320">
        <v>7</v>
      </c>
      <c r="E877" s="321">
        <v>-9972.5</v>
      </c>
      <c r="F877" s="321">
        <v>57719.22</v>
      </c>
      <c r="G877" s="318" t="s">
        <v>1545</v>
      </c>
      <c r="H877" s="318" t="s">
        <v>1542</v>
      </c>
      <c r="I877" s="318" t="s">
        <v>104</v>
      </c>
      <c r="J877" s="318" t="s">
        <v>757</v>
      </c>
      <c r="K877" s="318" t="s">
        <v>741</v>
      </c>
      <c r="L877" s="319">
        <v>44196</v>
      </c>
      <c r="M877" s="322">
        <v>0</v>
      </c>
    </row>
    <row r="878" spans="1:13" hidden="1" x14ac:dyDescent="0.25">
      <c r="A878" s="319">
        <v>44196</v>
      </c>
      <c r="B878" s="318" t="s">
        <v>1618</v>
      </c>
      <c r="C878" s="318" t="s">
        <v>769</v>
      </c>
      <c r="D878" s="320">
        <v>7</v>
      </c>
      <c r="E878" s="321">
        <v>25</v>
      </c>
      <c r="F878" s="321">
        <v>57744.22</v>
      </c>
      <c r="G878" s="318" t="s">
        <v>1619</v>
      </c>
      <c r="H878" s="318" t="s">
        <v>1542</v>
      </c>
      <c r="I878" s="318" t="s">
        <v>104</v>
      </c>
      <c r="J878" s="318" t="s">
        <v>757</v>
      </c>
      <c r="K878" s="318" t="s">
        <v>770</v>
      </c>
      <c r="L878" s="319">
        <v>44196</v>
      </c>
      <c r="M878" s="322">
        <v>0</v>
      </c>
    </row>
    <row r="879" spans="1:13" hidden="1" x14ac:dyDescent="0.25">
      <c r="A879" s="319">
        <v>44200</v>
      </c>
      <c r="B879" s="318" t="s">
        <v>1620</v>
      </c>
      <c r="C879" s="318" t="s">
        <v>769</v>
      </c>
      <c r="D879" s="320">
        <v>7</v>
      </c>
      <c r="E879" s="321">
        <v>5000</v>
      </c>
      <c r="F879" s="321">
        <v>62744.22</v>
      </c>
      <c r="G879" s="318" t="s">
        <v>1621</v>
      </c>
      <c r="H879" s="318" t="s">
        <v>1542</v>
      </c>
      <c r="I879" s="318" t="s">
        <v>104</v>
      </c>
      <c r="J879" s="318" t="s">
        <v>757</v>
      </c>
      <c r="K879" s="318" t="s">
        <v>770</v>
      </c>
      <c r="L879" s="319">
        <v>44200</v>
      </c>
      <c r="M879" s="322">
        <v>0</v>
      </c>
    </row>
    <row r="880" spans="1:13" hidden="1" x14ac:dyDescent="0.25">
      <c r="A880" s="319">
        <v>44209</v>
      </c>
      <c r="B880" s="318" t="s">
        <v>1622</v>
      </c>
      <c r="C880" s="318" t="s">
        <v>769</v>
      </c>
      <c r="D880" s="320">
        <v>7</v>
      </c>
      <c r="E880" s="321">
        <v>2516.25</v>
      </c>
      <c r="F880" s="321">
        <v>65260.47</v>
      </c>
      <c r="G880" s="318" t="s">
        <v>1623</v>
      </c>
      <c r="H880" s="318" t="s">
        <v>1542</v>
      </c>
      <c r="I880" s="318" t="s">
        <v>104</v>
      </c>
      <c r="J880" s="318" t="s">
        <v>757</v>
      </c>
      <c r="K880" s="318" t="s">
        <v>770</v>
      </c>
      <c r="L880" s="319">
        <v>44209</v>
      </c>
      <c r="M880" s="322">
        <v>0</v>
      </c>
    </row>
    <row r="881" spans="1:13" hidden="1" x14ac:dyDescent="0.25">
      <c r="A881" s="319">
        <v>44212</v>
      </c>
      <c r="B881" s="318" t="s">
        <v>1624</v>
      </c>
      <c r="C881" s="318" t="s">
        <v>769</v>
      </c>
      <c r="D881" s="320">
        <v>7</v>
      </c>
      <c r="E881" s="321">
        <v>5463</v>
      </c>
      <c r="F881" s="321">
        <v>70723.47</v>
      </c>
      <c r="G881" s="318" t="s">
        <v>1625</v>
      </c>
      <c r="H881" s="318" t="s">
        <v>1542</v>
      </c>
      <c r="I881" s="318" t="s">
        <v>104</v>
      </c>
      <c r="J881" s="318" t="s">
        <v>757</v>
      </c>
      <c r="K881" s="318" t="s">
        <v>770</v>
      </c>
      <c r="L881" s="319">
        <v>44212</v>
      </c>
      <c r="M881" s="322">
        <v>0</v>
      </c>
    </row>
    <row r="882" spans="1:13" hidden="1" x14ac:dyDescent="0.25">
      <c r="A882" s="319">
        <v>44227</v>
      </c>
      <c r="B882" s="318" t="s">
        <v>1074</v>
      </c>
      <c r="C882" s="318" t="s">
        <v>1060</v>
      </c>
      <c r="D882" s="320">
        <v>7</v>
      </c>
      <c r="E882" s="321">
        <v>2516</v>
      </c>
      <c r="F882" s="321">
        <v>73239.47</v>
      </c>
      <c r="G882" s="318" t="s">
        <v>1545</v>
      </c>
      <c r="H882" s="318" t="s">
        <v>1542</v>
      </c>
      <c r="I882" s="318" t="s">
        <v>104</v>
      </c>
      <c r="J882" s="318" t="s">
        <v>757</v>
      </c>
      <c r="K882" s="318" t="s">
        <v>741</v>
      </c>
      <c r="L882" s="319">
        <v>44227</v>
      </c>
      <c r="M882" s="322">
        <v>0</v>
      </c>
    </row>
    <row r="883" spans="1:13" hidden="1" x14ac:dyDescent="0.25">
      <c r="A883" s="319">
        <v>44227</v>
      </c>
      <c r="B883" s="318" t="s">
        <v>1074</v>
      </c>
      <c r="C883" s="318" t="s">
        <v>1060</v>
      </c>
      <c r="D883" s="320">
        <v>7</v>
      </c>
      <c r="E883" s="321">
        <v>6350</v>
      </c>
      <c r="F883" s="321">
        <v>79589.47</v>
      </c>
      <c r="G883" s="318" t="s">
        <v>1544</v>
      </c>
      <c r="H883" s="318" t="s">
        <v>1542</v>
      </c>
      <c r="I883" s="318" t="s">
        <v>104</v>
      </c>
      <c r="J883" s="318" t="s">
        <v>757</v>
      </c>
      <c r="K883" s="318" t="s">
        <v>741</v>
      </c>
      <c r="L883" s="319">
        <v>44227</v>
      </c>
      <c r="M883" s="322">
        <v>0</v>
      </c>
    </row>
    <row r="884" spans="1:13" hidden="1" x14ac:dyDescent="0.25">
      <c r="A884" s="319">
        <v>44227</v>
      </c>
      <c r="B884" s="318" t="s">
        <v>1074</v>
      </c>
      <c r="C884" s="318" t="s">
        <v>1060</v>
      </c>
      <c r="D884" s="320">
        <v>7</v>
      </c>
      <c r="E884" s="321">
        <v>1450</v>
      </c>
      <c r="F884" s="321">
        <v>81039.47</v>
      </c>
      <c r="G884" s="318" t="s">
        <v>1548</v>
      </c>
      <c r="H884" s="318" t="s">
        <v>1542</v>
      </c>
      <c r="I884" s="318" t="s">
        <v>104</v>
      </c>
      <c r="J884" s="318" t="s">
        <v>757</v>
      </c>
      <c r="K884" s="318" t="s">
        <v>741</v>
      </c>
      <c r="L884" s="319">
        <v>44227</v>
      </c>
      <c r="M884" s="322">
        <v>0</v>
      </c>
    </row>
    <row r="885" spans="1:13" hidden="1" x14ac:dyDescent="0.25">
      <c r="A885" s="319">
        <v>44227</v>
      </c>
      <c r="B885" s="318" t="s">
        <v>1074</v>
      </c>
      <c r="C885" s="318" t="s">
        <v>1060</v>
      </c>
      <c r="D885" s="320">
        <v>7</v>
      </c>
      <c r="E885" s="321">
        <v>5744</v>
      </c>
      <c r="F885" s="321">
        <v>86783.47</v>
      </c>
      <c r="G885" s="318" t="s">
        <v>1588</v>
      </c>
      <c r="H885" s="318" t="s">
        <v>1542</v>
      </c>
      <c r="I885" s="318" t="s">
        <v>104</v>
      </c>
      <c r="J885" s="318" t="s">
        <v>757</v>
      </c>
      <c r="K885" s="318" t="s">
        <v>741</v>
      </c>
      <c r="L885" s="319">
        <v>44227</v>
      </c>
      <c r="M885" s="322">
        <v>0</v>
      </c>
    </row>
    <row r="886" spans="1:13" hidden="1" x14ac:dyDescent="0.25">
      <c r="A886" s="319">
        <v>44197</v>
      </c>
      <c r="B886" s="318" t="s">
        <v>1626</v>
      </c>
      <c r="C886" s="318" t="s">
        <v>769</v>
      </c>
      <c r="D886" s="320">
        <v>8</v>
      </c>
      <c r="E886" s="321">
        <v>950</v>
      </c>
      <c r="F886" s="321">
        <v>87733.47</v>
      </c>
      <c r="G886" s="318" t="s">
        <v>1627</v>
      </c>
      <c r="H886" s="318" t="s">
        <v>1542</v>
      </c>
      <c r="I886" s="318" t="s">
        <v>104</v>
      </c>
      <c r="J886" s="318" t="s">
        <v>757</v>
      </c>
      <c r="K886" s="318" t="s">
        <v>770</v>
      </c>
      <c r="L886" s="319">
        <v>44197</v>
      </c>
      <c r="M886" s="322">
        <v>0</v>
      </c>
    </row>
    <row r="887" spans="1:13" hidden="1" x14ac:dyDescent="0.25">
      <c r="A887" s="319">
        <v>44227</v>
      </c>
      <c r="B887" s="318" t="s">
        <v>1628</v>
      </c>
      <c r="C887" s="318" t="s">
        <v>769</v>
      </c>
      <c r="D887" s="320">
        <v>8</v>
      </c>
      <c r="E887" s="321">
        <v>25</v>
      </c>
      <c r="F887" s="321">
        <v>87758.47</v>
      </c>
      <c r="G887" s="318" t="s">
        <v>1629</v>
      </c>
      <c r="H887" s="318" t="s">
        <v>1542</v>
      </c>
      <c r="I887" s="318" t="s">
        <v>104</v>
      </c>
      <c r="J887" s="318" t="s">
        <v>757</v>
      </c>
      <c r="K887" s="318" t="s">
        <v>770</v>
      </c>
      <c r="L887" s="319">
        <v>44227</v>
      </c>
      <c r="M887" s="322">
        <v>0</v>
      </c>
    </row>
    <row r="888" spans="1:13" hidden="1" x14ac:dyDescent="0.25">
      <c r="A888" s="319">
        <v>44227</v>
      </c>
      <c r="B888" s="318" t="s">
        <v>1074</v>
      </c>
      <c r="C888" s="318" t="s">
        <v>1060</v>
      </c>
      <c r="D888" s="320">
        <v>8</v>
      </c>
      <c r="E888" s="321">
        <v>-5744</v>
      </c>
      <c r="F888" s="321">
        <v>82014.47</v>
      </c>
      <c r="G888" s="318" t="s">
        <v>1588</v>
      </c>
      <c r="H888" s="318" t="s">
        <v>1542</v>
      </c>
      <c r="I888" s="318" t="s">
        <v>104</v>
      </c>
      <c r="J888" s="318" t="s">
        <v>757</v>
      </c>
      <c r="K888" s="318" t="s">
        <v>741</v>
      </c>
      <c r="L888" s="319">
        <v>44227</v>
      </c>
      <c r="M888" s="322">
        <v>0</v>
      </c>
    </row>
    <row r="889" spans="1:13" hidden="1" x14ac:dyDescent="0.25">
      <c r="A889" s="319">
        <v>44227</v>
      </c>
      <c r="B889" s="318" t="s">
        <v>1074</v>
      </c>
      <c r="C889" s="318" t="s">
        <v>1060</v>
      </c>
      <c r="D889" s="320">
        <v>8</v>
      </c>
      <c r="E889" s="321">
        <v>-1450</v>
      </c>
      <c r="F889" s="321">
        <v>80564.47</v>
      </c>
      <c r="G889" s="318" t="s">
        <v>1548</v>
      </c>
      <c r="H889" s="318" t="s">
        <v>1542</v>
      </c>
      <c r="I889" s="318" t="s">
        <v>104</v>
      </c>
      <c r="J889" s="318" t="s">
        <v>757</v>
      </c>
      <c r="K889" s="318" t="s">
        <v>741</v>
      </c>
      <c r="L889" s="319">
        <v>44227</v>
      </c>
      <c r="M889" s="322">
        <v>0</v>
      </c>
    </row>
    <row r="890" spans="1:13" hidden="1" x14ac:dyDescent="0.25">
      <c r="A890" s="319">
        <v>44227</v>
      </c>
      <c r="B890" s="318" t="s">
        <v>1074</v>
      </c>
      <c r="C890" s="318" t="s">
        <v>1060</v>
      </c>
      <c r="D890" s="320">
        <v>8</v>
      </c>
      <c r="E890" s="321">
        <v>-2516</v>
      </c>
      <c r="F890" s="321">
        <v>78048.47</v>
      </c>
      <c r="G890" s="318" t="s">
        <v>1545</v>
      </c>
      <c r="H890" s="318" t="s">
        <v>1542</v>
      </c>
      <c r="I890" s="318" t="s">
        <v>104</v>
      </c>
      <c r="J890" s="318" t="s">
        <v>757</v>
      </c>
      <c r="K890" s="318" t="s">
        <v>741</v>
      </c>
      <c r="L890" s="319">
        <v>44227</v>
      </c>
      <c r="M890" s="322">
        <v>0</v>
      </c>
    </row>
    <row r="891" spans="1:13" hidden="1" x14ac:dyDescent="0.25">
      <c r="A891" s="319">
        <v>44227</v>
      </c>
      <c r="B891" s="318" t="s">
        <v>1074</v>
      </c>
      <c r="C891" s="318" t="s">
        <v>1060</v>
      </c>
      <c r="D891" s="320">
        <v>8</v>
      </c>
      <c r="E891" s="321">
        <v>-6350</v>
      </c>
      <c r="F891" s="321">
        <v>71698.47</v>
      </c>
      <c r="G891" s="318" t="s">
        <v>1544</v>
      </c>
      <c r="H891" s="318" t="s">
        <v>1542</v>
      </c>
      <c r="I891" s="318" t="s">
        <v>104</v>
      </c>
      <c r="J891" s="318" t="s">
        <v>757</v>
      </c>
      <c r="K891" s="318" t="s">
        <v>741</v>
      </c>
      <c r="L891" s="319">
        <v>44227</v>
      </c>
      <c r="M891" s="322">
        <v>0</v>
      </c>
    </row>
    <row r="892" spans="1:13" hidden="1" x14ac:dyDescent="0.25">
      <c r="A892" s="319">
        <v>44228</v>
      </c>
      <c r="B892" s="318" t="s">
        <v>1630</v>
      </c>
      <c r="C892" s="318" t="s">
        <v>769</v>
      </c>
      <c r="D892" s="320">
        <v>8</v>
      </c>
      <c r="E892" s="321">
        <v>950</v>
      </c>
      <c r="F892" s="321">
        <v>72648.47</v>
      </c>
      <c r="G892" s="318" t="s">
        <v>1631</v>
      </c>
      <c r="H892" s="318" t="s">
        <v>1542</v>
      </c>
      <c r="I892" s="318" t="s">
        <v>104</v>
      </c>
      <c r="J892" s="318" t="s">
        <v>757</v>
      </c>
      <c r="K892" s="318" t="s">
        <v>770</v>
      </c>
      <c r="L892" s="319">
        <v>44228</v>
      </c>
      <c r="M892" s="322">
        <v>0</v>
      </c>
    </row>
    <row r="893" spans="1:13" hidden="1" x14ac:dyDescent="0.25">
      <c r="A893" s="319">
        <v>44255</v>
      </c>
      <c r="B893" s="318" t="s">
        <v>1075</v>
      </c>
      <c r="C893" s="318" t="s">
        <v>1060</v>
      </c>
      <c r="D893" s="320">
        <v>8</v>
      </c>
      <c r="E893" s="321">
        <v>17754.45</v>
      </c>
      <c r="F893" s="321">
        <v>90402.92</v>
      </c>
      <c r="G893" s="318" t="s">
        <v>1544</v>
      </c>
      <c r="H893" s="318" t="s">
        <v>1542</v>
      </c>
      <c r="I893" s="318" t="s">
        <v>104</v>
      </c>
      <c r="J893" s="318" t="s">
        <v>757</v>
      </c>
      <c r="K893" s="318" t="s">
        <v>741</v>
      </c>
      <c r="L893" s="319">
        <v>44255</v>
      </c>
      <c r="M893" s="322">
        <v>0</v>
      </c>
    </row>
    <row r="894" spans="1:13" hidden="1" x14ac:dyDescent="0.25">
      <c r="A894" s="319">
        <v>44255</v>
      </c>
      <c r="B894" s="318" t="s">
        <v>1075</v>
      </c>
      <c r="C894" s="318" t="s">
        <v>1060</v>
      </c>
      <c r="D894" s="320">
        <v>8</v>
      </c>
      <c r="E894" s="321">
        <v>7304</v>
      </c>
      <c r="F894" s="321">
        <v>97706.92</v>
      </c>
      <c r="G894" s="318" t="s">
        <v>1545</v>
      </c>
      <c r="H894" s="318" t="s">
        <v>1542</v>
      </c>
      <c r="I894" s="318" t="s">
        <v>104</v>
      </c>
      <c r="J894" s="318" t="s">
        <v>757</v>
      </c>
      <c r="K894" s="318" t="s">
        <v>741</v>
      </c>
      <c r="L894" s="319">
        <v>44255</v>
      </c>
      <c r="M894" s="322">
        <v>0</v>
      </c>
    </row>
    <row r="895" spans="1:13" hidden="1" x14ac:dyDescent="0.25">
      <c r="A895" s="319">
        <v>44255</v>
      </c>
      <c r="B895" s="318" t="s">
        <v>1075</v>
      </c>
      <c r="C895" s="318" t="s">
        <v>1060</v>
      </c>
      <c r="D895" s="320">
        <v>8</v>
      </c>
      <c r="E895" s="321">
        <v>5744</v>
      </c>
      <c r="F895" s="321">
        <v>103450.92</v>
      </c>
      <c r="G895" s="318" t="s">
        <v>1588</v>
      </c>
      <c r="H895" s="318" t="s">
        <v>1542</v>
      </c>
      <c r="I895" s="318" t="s">
        <v>104</v>
      </c>
      <c r="J895" s="318" t="s">
        <v>757</v>
      </c>
      <c r="K895" s="318" t="s">
        <v>741</v>
      </c>
      <c r="L895" s="319">
        <v>44255</v>
      </c>
      <c r="M895" s="322">
        <v>0</v>
      </c>
    </row>
    <row r="896" spans="1:13" hidden="1" x14ac:dyDescent="0.25">
      <c r="A896" s="319">
        <v>43967</v>
      </c>
      <c r="B896" s="318" t="s">
        <v>1632</v>
      </c>
      <c r="C896" s="318" t="s">
        <v>769</v>
      </c>
      <c r="D896" s="320">
        <v>9</v>
      </c>
      <c r="E896" s="321">
        <v>5744</v>
      </c>
      <c r="F896" s="321">
        <v>109194.92</v>
      </c>
      <c r="G896" s="318" t="s">
        <v>1633</v>
      </c>
      <c r="H896" s="318" t="s">
        <v>1542</v>
      </c>
      <c r="I896" s="318" t="s">
        <v>104</v>
      </c>
      <c r="J896" s="318" t="s">
        <v>757</v>
      </c>
      <c r="K896" s="318" t="s">
        <v>770</v>
      </c>
      <c r="L896" s="319">
        <v>43967</v>
      </c>
      <c r="M896" s="322">
        <v>0</v>
      </c>
    </row>
    <row r="897" spans="1:13" hidden="1" x14ac:dyDescent="0.25">
      <c r="A897" s="319">
        <v>44255</v>
      </c>
      <c r="B897" s="318" t="s">
        <v>1075</v>
      </c>
      <c r="C897" s="318" t="s">
        <v>1060</v>
      </c>
      <c r="D897" s="320">
        <v>9</v>
      </c>
      <c r="E897" s="321">
        <v>-7304</v>
      </c>
      <c r="F897" s="321">
        <v>101890.92</v>
      </c>
      <c r="G897" s="318" t="s">
        <v>1545</v>
      </c>
      <c r="H897" s="318" t="s">
        <v>1542</v>
      </c>
      <c r="I897" s="318" t="s">
        <v>104</v>
      </c>
      <c r="J897" s="318" t="s">
        <v>757</v>
      </c>
      <c r="K897" s="318" t="s">
        <v>741</v>
      </c>
      <c r="L897" s="319">
        <v>44255</v>
      </c>
      <c r="M897" s="322">
        <v>0</v>
      </c>
    </row>
    <row r="898" spans="1:13" hidden="1" x14ac:dyDescent="0.25">
      <c r="A898" s="319">
        <v>44255</v>
      </c>
      <c r="B898" s="318" t="s">
        <v>1075</v>
      </c>
      <c r="C898" s="318" t="s">
        <v>1060</v>
      </c>
      <c r="D898" s="320">
        <v>9</v>
      </c>
      <c r="E898" s="321">
        <v>-17754.45</v>
      </c>
      <c r="F898" s="321">
        <v>84136.47</v>
      </c>
      <c r="G898" s="318" t="s">
        <v>1544</v>
      </c>
      <c r="H898" s="318" t="s">
        <v>1542</v>
      </c>
      <c r="I898" s="318" t="s">
        <v>104</v>
      </c>
      <c r="J898" s="318" t="s">
        <v>757</v>
      </c>
      <c r="K898" s="318" t="s">
        <v>741</v>
      </c>
      <c r="L898" s="319">
        <v>44255</v>
      </c>
      <c r="M898" s="322">
        <v>0</v>
      </c>
    </row>
    <row r="899" spans="1:13" hidden="1" x14ac:dyDescent="0.25">
      <c r="A899" s="319">
        <v>44255</v>
      </c>
      <c r="B899" s="318" t="s">
        <v>1075</v>
      </c>
      <c r="C899" s="318" t="s">
        <v>1060</v>
      </c>
      <c r="D899" s="320">
        <v>9</v>
      </c>
      <c r="E899" s="321">
        <v>-5744</v>
      </c>
      <c r="F899" s="321">
        <v>78392.47</v>
      </c>
      <c r="G899" s="318" t="s">
        <v>1588</v>
      </c>
      <c r="H899" s="318" t="s">
        <v>1542</v>
      </c>
      <c r="I899" s="318" t="s">
        <v>104</v>
      </c>
      <c r="J899" s="318" t="s">
        <v>757</v>
      </c>
      <c r="K899" s="318" t="s">
        <v>741</v>
      </c>
      <c r="L899" s="319">
        <v>44255</v>
      </c>
      <c r="M899" s="322">
        <v>0</v>
      </c>
    </row>
    <row r="900" spans="1:13" hidden="1" x14ac:dyDescent="0.25">
      <c r="A900" s="319">
        <v>44267</v>
      </c>
      <c r="B900" s="318" t="s">
        <v>1634</v>
      </c>
      <c r="C900" s="318" t="s">
        <v>769</v>
      </c>
      <c r="D900" s="320">
        <v>9</v>
      </c>
      <c r="E900" s="321">
        <v>123.76</v>
      </c>
      <c r="F900" s="321">
        <v>78516.23</v>
      </c>
      <c r="G900" s="318" t="s">
        <v>1635</v>
      </c>
      <c r="H900" s="318" t="s">
        <v>1542</v>
      </c>
      <c r="I900" s="318" t="s">
        <v>104</v>
      </c>
      <c r="J900" s="318" t="s">
        <v>757</v>
      </c>
      <c r="K900" s="318" t="s">
        <v>770</v>
      </c>
      <c r="L900" s="319">
        <v>44267</v>
      </c>
      <c r="M900" s="322">
        <v>0</v>
      </c>
    </row>
    <row r="901" spans="1:13" hidden="1" x14ac:dyDescent="0.25">
      <c r="A901" s="319">
        <v>44271</v>
      </c>
      <c r="B901" s="318" t="s">
        <v>1636</v>
      </c>
      <c r="C901" s="318" t="s">
        <v>769</v>
      </c>
      <c r="D901" s="320">
        <v>9</v>
      </c>
      <c r="E901" s="321">
        <v>5463</v>
      </c>
      <c r="F901" s="321">
        <v>83979.23</v>
      </c>
      <c r="G901" s="318" t="s">
        <v>1637</v>
      </c>
      <c r="H901" s="318" t="s">
        <v>1542</v>
      </c>
      <c r="I901" s="318" t="s">
        <v>104</v>
      </c>
      <c r="J901" s="318" t="s">
        <v>757</v>
      </c>
      <c r="K901" s="318" t="s">
        <v>770</v>
      </c>
      <c r="L901" s="319">
        <v>44271</v>
      </c>
      <c r="M901" s="322">
        <v>0</v>
      </c>
    </row>
    <row r="902" spans="1:13" hidden="1" x14ac:dyDescent="0.25">
      <c r="A902" s="319">
        <v>44286</v>
      </c>
      <c r="B902" s="318" t="s">
        <v>1135</v>
      </c>
      <c r="C902" s="318" t="s">
        <v>1060</v>
      </c>
      <c r="D902" s="320">
        <v>9</v>
      </c>
      <c r="E902" s="321">
        <v>34213.35</v>
      </c>
      <c r="F902" s="321">
        <v>118192.58</v>
      </c>
      <c r="G902" s="318" t="s">
        <v>1544</v>
      </c>
      <c r="H902" s="318" t="s">
        <v>1542</v>
      </c>
      <c r="I902" s="318" t="s">
        <v>104</v>
      </c>
      <c r="J902" s="318" t="s">
        <v>757</v>
      </c>
      <c r="K902" s="318" t="s">
        <v>741</v>
      </c>
      <c r="L902" s="319">
        <v>44286</v>
      </c>
      <c r="M902" s="322">
        <v>0</v>
      </c>
    </row>
    <row r="903" spans="1:13" hidden="1" x14ac:dyDescent="0.25">
      <c r="A903" s="319">
        <v>44286</v>
      </c>
      <c r="B903" s="318" t="s">
        <v>1135</v>
      </c>
      <c r="C903" s="318" t="s">
        <v>1060</v>
      </c>
      <c r="D903" s="320">
        <v>9</v>
      </c>
      <c r="E903" s="321">
        <v>12856.25</v>
      </c>
      <c r="F903" s="321">
        <v>131048.83</v>
      </c>
      <c r="G903" s="318" t="s">
        <v>1545</v>
      </c>
      <c r="H903" s="318" t="s">
        <v>1542</v>
      </c>
      <c r="I903" s="318" t="s">
        <v>104</v>
      </c>
      <c r="J903" s="318" t="s">
        <v>757</v>
      </c>
      <c r="K903" s="318" t="s">
        <v>741</v>
      </c>
      <c r="L903" s="319">
        <v>44286</v>
      </c>
      <c r="M903" s="322">
        <v>0</v>
      </c>
    </row>
    <row r="904" spans="1:13" hidden="1" x14ac:dyDescent="0.25">
      <c r="A904" s="319">
        <v>44229</v>
      </c>
      <c r="B904" s="318" t="s">
        <v>1638</v>
      </c>
      <c r="C904" s="318" t="s">
        <v>769</v>
      </c>
      <c r="D904" s="320">
        <v>10</v>
      </c>
      <c r="E904" s="321">
        <v>10875.85</v>
      </c>
      <c r="F904" s="321">
        <v>141924.68</v>
      </c>
      <c r="G904" s="318" t="s">
        <v>1639</v>
      </c>
      <c r="H904" s="318" t="s">
        <v>1542</v>
      </c>
      <c r="I904" s="318" t="s">
        <v>104</v>
      </c>
      <c r="J904" s="318" t="s">
        <v>757</v>
      </c>
      <c r="K904" s="318" t="s">
        <v>770</v>
      </c>
      <c r="L904" s="319">
        <v>44229</v>
      </c>
      <c r="M904" s="322">
        <v>0</v>
      </c>
    </row>
    <row r="905" spans="1:13" hidden="1" x14ac:dyDescent="0.25">
      <c r="A905" s="319">
        <v>44259</v>
      </c>
      <c r="B905" s="318" t="s">
        <v>1640</v>
      </c>
      <c r="C905" s="318" t="s">
        <v>769</v>
      </c>
      <c r="D905" s="320">
        <v>10</v>
      </c>
      <c r="E905" s="321">
        <v>10875.85</v>
      </c>
      <c r="F905" s="321">
        <v>152800.53</v>
      </c>
      <c r="G905" s="318" t="s">
        <v>1641</v>
      </c>
      <c r="H905" s="318" t="s">
        <v>1542</v>
      </c>
      <c r="I905" s="318" t="s">
        <v>104</v>
      </c>
      <c r="J905" s="318" t="s">
        <v>757</v>
      </c>
      <c r="K905" s="318" t="s">
        <v>770</v>
      </c>
      <c r="L905" s="319">
        <v>44259</v>
      </c>
      <c r="M905" s="322">
        <v>0</v>
      </c>
    </row>
    <row r="906" spans="1:13" hidden="1" x14ac:dyDescent="0.25">
      <c r="A906" s="319">
        <v>44286</v>
      </c>
      <c r="B906" s="318" t="s">
        <v>1135</v>
      </c>
      <c r="C906" s="318" t="s">
        <v>1060</v>
      </c>
      <c r="D906" s="320">
        <v>10</v>
      </c>
      <c r="E906" s="321">
        <v>-34213.35</v>
      </c>
      <c r="F906" s="321">
        <v>118587.18</v>
      </c>
      <c r="G906" s="318" t="s">
        <v>1544</v>
      </c>
      <c r="H906" s="318" t="s">
        <v>1542</v>
      </c>
      <c r="I906" s="318" t="s">
        <v>104</v>
      </c>
      <c r="J906" s="318" t="s">
        <v>757</v>
      </c>
      <c r="K906" s="318" t="s">
        <v>741</v>
      </c>
      <c r="L906" s="319">
        <v>44286</v>
      </c>
      <c r="M906" s="322">
        <v>0</v>
      </c>
    </row>
    <row r="907" spans="1:13" hidden="1" x14ac:dyDescent="0.25">
      <c r="A907" s="319">
        <v>44286</v>
      </c>
      <c r="B907" s="318" t="s">
        <v>1135</v>
      </c>
      <c r="C907" s="318" t="s">
        <v>1060</v>
      </c>
      <c r="D907" s="320">
        <v>10</v>
      </c>
      <c r="E907" s="321">
        <v>-12856.25</v>
      </c>
      <c r="F907" s="321">
        <v>105730.93</v>
      </c>
      <c r="G907" s="318" t="s">
        <v>1545</v>
      </c>
      <c r="H907" s="318" t="s">
        <v>1542</v>
      </c>
      <c r="I907" s="318" t="s">
        <v>104</v>
      </c>
      <c r="J907" s="318" t="s">
        <v>757</v>
      </c>
      <c r="K907" s="318" t="s">
        <v>741</v>
      </c>
      <c r="L907" s="319">
        <v>44286</v>
      </c>
      <c r="M907" s="322">
        <v>0</v>
      </c>
    </row>
    <row r="908" spans="1:13" hidden="1" x14ac:dyDescent="0.25">
      <c r="A908" s="319">
        <v>44293</v>
      </c>
      <c r="B908" s="318" t="s">
        <v>1642</v>
      </c>
      <c r="C908" s="318" t="s">
        <v>769</v>
      </c>
      <c r="D908" s="320">
        <v>10</v>
      </c>
      <c r="E908" s="321">
        <v>10875.85</v>
      </c>
      <c r="F908" s="321">
        <v>116606.78</v>
      </c>
      <c r="G908" s="318" t="s">
        <v>1643</v>
      </c>
      <c r="H908" s="318" t="s">
        <v>1542</v>
      </c>
      <c r="I908" s="318" t="s">
        <v>104</v>
      </c>
      <c r="J908" s="318" t="s">
        <v>757</v>
      </c>
      <c r="K908" s="318" t="s">
        <v>770</v>
      </c>
      <c r="L908" s="319">
        <v>44293</v>
      </c>
      <c r="M908" s="322">
        <v>0</v>
      </c>
    </row>
    <row r="909" spans="1:13" hidden="1" x14ac:dyDescent="0.25">
      <c r="A909" s="319">
        <v>44316</v>
      </c>
      <c r="B909" s="318" t="s">
        <v>1083</v>
      </c>
      <c r="C909" s="318" t="s">
        <v>1060</v>
      </c>
      <c r="D909" s="320">
        <v>10</v>
      </c>
      <c r="E909" s="321">
        <v>10875.85</v>
      </c>
      <c r="F909" s="321">
        <v>127482.63</v>
      </c>
      <c r="G909" s="318" t="s">
        <v>1544</v>
      </c>
      <c r="H909" s="318" t="s">
        <v>1542</v>
      </c>
      <c r="I909" s="318" t="s">
        <v>104</v>
      </c>
      <c r="J909" s="318" t="s">
        <v>757</v>
      </c>
      <c r="K909" s="318" t="s">
        <v>741</v>
      </c>
      <c r="L909" s="319">
        <v>44316</v>
      </c>
      <c r="M909" s="322">
        <v>0</v>
      </c>
    </row>
    <row r="910" spans="1:13" hidden="1" x14ac:dyDescent="0.25">
      <c r="A910" s="319">
        <v>44316</v>
      </c>
      <c r="B910" s="318" t="s">
        <v>1083</v>
      </c>
      <c r="C910" s="318" t="s">
        <v>1060</v>
      </c>
      <c r="D910" s="320">
        <v>10</v>
      </c>
      <c r="E910" s="321">
        <v>3600</v>
      </c>
      <c r="F910" s="321">
        <v>131082.63</v>
      </c>
      <c r="G910" s="318" t="s">
        <v>1545</v>
      </c>
      <c r="H910" s="318" t="s">
        <v>1542</v>
      </c>
      <c r="I910" s="318" t="s">
        <v>104</v>
      </c>
      <c r="J910" s="318" t="s">
        <v>757</v>
      </c>
      <c r="K910" s="318" t="s">
        <v>741</v>
      </c>
      <c r="L910" s="319">
        <v>44316</v>
      </c>
      <c r="M910" s="322">
        <v>0</v>
      </c>
    </row>
    <row r="911" spans="1:13" hidden="1" x14ac:dyDescent="0.25">
      <c r="A911" s="319">
        <v>44043</v>
      </c>
      <c r="B911" s="318" t="s">
        <v>1644</v>
      </c>
      <c r="C911" s="318" t="s">
        <v>769</v>
      </c>
      <c r="D911" s="320">
        <v>4</v>
      </c>
      <c r="E911" s="321">
        <v>1125</v>
      </c>
      <c r="F911" s="321">
        <v>117731.78</v>
      </c>
      <c r="G911" s="318" t="s">
        <v>1645</v>
      </c>
      <c r="H911" s="318" t="s">
        <v>1646</v>
      </c>
      <c r="I911" s="318" t="s">
        <v>104</v>
      </c>
      <c r="J911" s="318" t="s">
        <v>757</v>
      </c>
      <c r="K911" s="318" t="s">
        <v>770</v>
      </c>
      <c r="L911" s="319">
        <v>44043</v>
      </c>
      <c r="M911" s="322">
        <v>0</v>
      </c>
    </row>
    <row r="912" spans="1:13" hidden="1" x14ac:dyDescent="0.25">
      <c r="A912" s="319">
        <v>44095</v>
      </c>
      <c r="B912" s="318" t="s">
        <v>1647</v>
      </c>
      <c r="C912" s="318" t="s">
        <v>936</v>
      </c>
      <c r="D912" s="320">
        <v>4</v>
      </c>
      <c r="E912" s="321">
        <v>-1125</v>
      </c>
      <c r="F912" s="321">
        <v>116606.78</v>
      </c>
      <c r="G912" s="318" t="s">
        <v>1648</v>
      </c>
      <c r="H912" s="318" t="s">
        <v>1646</v>
      </c>
      <c r="I912" s="318" t="s">
        <v>104</v>
      </c>
      <c r="J912" s="318" t="s">
        <v>757</v>
      </c>
      <c r="K912" s="318" t="s">
        <v>770</v>
      </c>
      <c r="L912" s="319">
        <v>44095</v>
      </c>
      <c r="M912" s="322">
        <v>0</v>
      </c>
    </row>
    <row r="913" spans="1:13" hidden="1" x14ac:dyDescent="0.25">
      <c r="A913" s="319">
        <v>44117</v>
      </c>
      <c r="B913" s="318" t="s">
        <v>1649</v>
      </c>
      <c r="C913" s="318" t="s">
        <v>769</v>
      </c>
      <c r="D913" s="320">
        <v>4</v>
      </c>
      <c r="E913" s="321">
        <v>562.5</v>
      </c>
      <c r="F913" s="321">
        <v>117169.28</v>
      </c>
      <c r="G913" s="318" t="s">
        <v>1650</v>
      </c>
      <c r="H913" s="318" t="s">
        <v>1646</v>
      </c>
      <c r="I913" s="318" t="s">
        <v>104</v>
      </c>
      <c r="J913" s="318" t="s">
        <v>757</v>
      </c>
      <c r="K913" s="318" t="s">
        <v>770</v>
      </c>
      <c r="L913" s="319">
        <v>44117</v>
      </c>
      <c r="M913" s="322">
        <v>0</v>
      </c>
    </row>
    <row r="914" spans="1:13" hidden="1" x14ac:dyDescent="0.25">
      <c r="A914" s="319">
        <v>44146</v>
      </c>
      <c r="B914" s="318" t="s">
        <v>1651</v>
      </c>
      <c r="C914" s="318" t="s">
        <v>769</v>
      </c>
      <c r="D914" s="320">
        <v>7</v>
      </c>
      <c r="E914" s="321">
        <v>3117.5</v>
      </c>
      <c r="F914" s="321">
        <v>120286.78</v>
      </c>
      <c r="G914" s="318" t="s">
        <v>1652</v>
      </c>
      <c r="H914" s="318" t="s">
        <v>1646</v>
      </c>
      <c r="I914" s="318" t="s">
        <v>104</v>
      </c>
      <c r="J914" s="318" t="s">
        <v>757</v>
      </c>
      <c r="K914" s="318" t="s">
        <v>770</v>
      </c>
      <c r="L914" s="319">
        <v>44146</v>
      </c>
      <c r="M914" s="322">
        <v>0</v>
      </c>
    </row>
    <row r="915" spans="1:13" hidden="1" x14ac:dyDescent="0.25">
      <c r="A915" s="319">
        <v>44173</v>
      </c>
      <c r="B915" s="318" t="s">
        <v>1653</v>
      </c>
      <c r="C915" s="318" t="s">
        <v>769</v>
      </c>
      <c r="D915" s="320">
        <v>7</v>
      </c>
      <c r="E915" s="321">
        <v>5505</v>
      </c>
      <c r="F915" s="321">
        <v>125791.78</v>
      </c>
      <c r="G915" s="318" t="s">
        <v>1654</v>
      </c>
      <c r="H915" s="318" t="s">
        <v>1646</v>
      </c>
      <c r="I915" s="318" t="s">
        <v>104</v>
      </c>
      <c r="J915" s="318" t="s">
        <v>757</v>
      </c>
      <c r="K915" s="318" t="s">
        <v>770</v>
      </c>
      <c r="L915" s="319">
        <v>44173</v>
      </c>
      <c r="M915" s="322">
        <v>0</v>
      </c>
    </row>
    <row r="916" spans="1:13" hidden="1" x14ac:dyDescent="0.25">
      <c r="A916" s="319">
        <v>44200</v>
      </c>
      <c r="B916" s="318" t="s">
        <v>1655</v>
      </c>
      <c r="C916" s="318" t="s">
        <v>769</v>
      </c>
      <c r="D916" s="320">
        <v>7</v>
      </c>
      <c r="E916" s="321">
        <v>1350</v>
      </c>
      <c r="F916" s="321">
        <v>127141.78</v>
      </c>
      <c r="G916" s="318" t="s">
        <v>1656</v>
      </c>
      <c r="H916" s="318" t="s">
        <v>1646</v>
      </c>
      <c r="I916" s="318" t="s">
        <v>104</v>
      </c>
      <c r="J916" s="318" t="s">
        <v>757</v>
      </c>
      <c r="K916" s="318" t="s">
        <v>770</v>
      </c>
      <c r="L916" s="319">
        <v>44200</v>
      </c>
      <c r="M916" s="322">
        <v>0</v>
      </c>
    </row>
    <row r="917" spans="1:13" hidden="1" x14ac:dyDescent="0.25">
      <c r="A917" s="319">
        <v>44243</v>
      </c>
      <c r="B917" s="318" t="s">
        <v>1657</v>
      </c>
      <c r="C917" s="318" t="s">
        <v>769</v>
      </c>
      <c r="D917" s="320">
        <v>8</v>
      </c>
      <c r="E917" s="321">
        <v>5463</v>
      </c>
      <c r="F917" s="321">
        <v>132604.78</v>
      </c>
      <c r="G917" s="318" t="s">
        <v>1658</v>
      </c>
      <c r="H917" s="318" t="s">
        <v>1646</v>
      </c>
      <c r="I917" s="318" t="s">
        <v>104</v>
      </c>
      <c r="J917" s="318" t="s">
        <v>757</v>
      </c>
      <c r="K917" s="318" t="s">
        <v>770</v>
      </c>
      <c r="L917" s="319">
        <v>44243</v>
      </c>
      <c r="M917" s="322">
        <v>0</v>
      </c>
    </row>
    <row r="918" spans="1:13" hidden="1" x14ac:dyDescent="0.25">
      <c r="A918" s="319">
        <v>44255</v>
      </c>
      <c r="B918" s="318" t="s">
        <v>1659</v>
      </c>
      <c r="C918" s="318" t="s">
        <v>769</v>
      </c>
      <c r="D918" s="320">
        <v>9</v>
      </c>
      <c r="E918" s="321">
        <v>25</v>
      </c>
      <c r="F918" s="321">
        <v>132629.78</v>
      </c>
      <c r="G918" s="318" t="s">
        <v>1660</v>
      </c>
      <c r="H918" s="318" t="s">
        <v>1646</v>
      </c>
      <c r="I918" s="318" t="s">
        <v>104</v>
      </c>
      <c r="J918" s="318" t="s">
        <v>757</v>
      </c>
      <c r="K918" s="318" t="s">
        <v>770</v>
      </c>
      <c r="L918" s="319">
        <v>44255</v>
      </c>
      <c r="M918" s="322">
        <v>0</v>
      </c>
    </row>
    <row r="919" spans="1:13" hidden="1" x14ac:dyDescent="0.25">
      <c r="A919" s="319">
        <v>44256</v>
      </c>
      <c r="B919" s="318" t="s">
        <v>1661</v>
      </c>
      <c r="C919" s="318" t="s">
        <v>769</v>
      </c>
      <c r="D919" s="320">
        <v>9</v>
      </c>
      <c r="E919" s="321">
        <v>950</v>
      </c>
      <c r="F919" s="321">
        <v>133579.78</v>
      </c>
      <c r="G919" s="318" t="s">
        <v>1662</v>
      </c>
      <c r="H919" s="318" t="s">
        <v>1646</v>
      </c>
      <c r="I919" s="318" t="s">
        <v>104</v>
      </c>
      <c r="J919" s="318" t="s">
        <v>757</v>
      </c>
      <c r="K919" s="318" t="s">
        <v>770</v>
      </c>
      <c r="L919" s="319">
        <v>44256</v>
      </c>
      <c r="M919" s="322">
        <v>0</v>
      </c>
    </row>
    <row r="920" spans="1:13" hidden="1" x14ac:dyDescent="0.25">
      <c r="A920" s="319">
        <v>44230</v>
      </c>
      <c r="B920" s="318" t="s">
        <v>1663</v>
      </c>
      <c r="C920" s="318" t="s">
        <v>769</v>
      </c>
      <c r="D920" s="320">
        <v>10</v>
      </c>
      <c r="E920" s="321">
        <v>3652.5</v>
      </c>
      <c r="F920" s="321">
        <v>137232.28</v>
      </c>
      <c r="G920" s="318" t="s">
        <v>1664</v>
      </c>
      <c r="H920" s="318" t="s">
        <v>1646</v>
      </c>
      <c r="I920" s="318" t="s">
        <v>104</v>
      </c>
      <c r="J920" s="318" t="s">
        <v>757</v>
      </c>
      <c r="K920" s="318" t="s">
        <v>770</v>
      </c>
      <c r="L920" s="319">
        <v>44230</v>
      </c>
      <c r="M920" s="322">
        <v>0</v>
      </c>
    </row>
    <row r="921" spans="1:13" hidden="1" x14ac:dyDescent="0.25">
      <c r="A921" s="319">
        <v>44264</v>
      </c>
      <c r="B921" s="318" t="s">
        <v>1665</v>
      </c>
      <c r="C921" s="318" t="s">
        <v>769</v>
      </c>
      <c r="D921" s="320">
        <v>10</v>
      </c>
      <c r="E921" s="321">
        <v>5203.75</v>
      </c>
      <c r="F921" s="321">
        <v>142436.03</v>
      </c>
      <c r="G921" s="318" t="s">
        <v>1666</v>
      </c>
      <c r="H921" s="318" t="s">
        <v>1646</v>
      </c>
      <c r="I921" s="318" t="s">
        <v>104</v>
      </c>
      <c r="J921" s="318" t="s">
        <v>757</v>
      </c>
      <c r="K921" s="318" t="s">
        <v>770</v>
      </c>
      <c r="L921" s="319">
        <v>44264</v>
      </c>
      <c r="M921" s="322">
        <v>0</v>
      </c>
    </row>
    <row r="922" spans="1:13" hidden="1" x14ac:dyDescent="0.25">
      <c r="A922" s="319">
        <v>44286</v>
      </c>
      <c r="B922" s="318" t="s">
        <v>1667</v>
      </c>
      <c r="C922" s="318" t="s">
        <v>769</v>
      </c>
      <c r="D922" s="320">
        <v>10</v>
      </c>
      <c r="E922" s="321">
        <v>25</v>
      </c>
      <c r="F922" s="321">
        <v>142461.03</v>
      </c>
      <c r="G922" s="318" t="s">
        <v>1668</v>
      </c>
      <c r="H922" s="318" t="s">
        <v>1646</v>
      </c>
      <c r="I922" s="318" t="s">
        <v>104</v>
      </c>
      <c r="J922" s="318" t="s">
        <v>757</v>
      </c>
      <c r="K922" s="318" t="s">
        <v>770</v>
      </c>
      <c r="L922" s="319">
        <v>44286</v>
      </c>
      <c r="M922" s="322">
        <v>0</v>
      </c>
    </row>
    <row r="923" spans="1:13" hidden="1" x14ac:dyDescent="0.25">
      <c r="A923" s="319">
        <v>44287</v>
      </c>
      <c r="B923" s="318" t="s">
        <v>1669</v>
      </c>
      <c r="C923" s="318" t="s">
        <v>769</v>
      </c>
      <c r="D923" s="320">
        <v>10</v>
      </c>
      <c r="E923" s="321">
        <v>950</v>
      </c>
      <c r="F923" s="321">
        <v>143411.03</v>
      </c>
      <c r="G923" s="318" t="s">
        <v>1670</v>
      </c>
      <c r="H923" s="318" t="s">
        <v>1646</v>
      </c>
      <c r="I923" s="318" t="s">
        <v>104</v>
      </c>
      <c r="J923" s="318" t="s">
        <v>757</v>
      </c>
      <c r="K923" s="318" t="s">
        <v>770</v>
      </c>
      <c r="L923" s="319">
        <v>44287</v>
      </c>
      <c r="M923" s="322">
        <v>0</v>
      </c>
    </row>
    <row r="924" spans="1:13" hidden="1" x14ac:dyDescent="0.25">
      <c r="A924" s="319">
        <v>44299</v>
      </c>
      <c r="B924" s="318" t="s">
        <v>1671</v>
      </c>
      <c r="C924" s="318" t="s">
        <v>769</v>
      </c>
      <c r="D924" s="320">
        <v>10</v>
      </c>
      <c r="E924" s="321">
        <v>2053.75</v>
      </c>
      <c r="F924" s="321">
        <v>145464.78</v>
      </c>
      <c r="G924" s="318" t="s">
        <v>1672</v>
      </c>
      <c r="H924" s="318" t="s">
        <v>1646</v>
      </c>
      <c r="I924" s="318" t="s">
        <v>104</v>
      </c>
      <c r="J924" s="318" t="s">
        <v>757</v>
      </c>
      <c r="K924" s="318" t="s">
        <v>770</v>
      </c>
      <c r="L924" s="319">
        <v>44299</v>
      </c>
      <c r="M924" s="322">
        <v>0</v>
      </c>
    </row>
    <row r="925" spans="1:13" hidden="1" x14ac:dyDescent="0.25">
      <c r="A925" s="319">
        <v>44302</v>
      </c>
      <c r="B925" s="318" t="s">
        <v>1673</v>
      </c>
      <c r="C925" s="318" t="s">
        <v>769</v>
      </c>
      <c r="D925" s="320">
        <v>10</v>
      </c>
      <c r="E925" s="321">
        <v>4707</v>
      </c>
      <c r="F925" s="321">
        <v>150171.78</v>
      </c>
      <c r="G925" s="318" t="s">
        <v>1674</v>
      </c>
      <c r="H925" s="318" t="s">
        <v>1646</v>
      </c>
      <c r="I925" s="318" t="s">
        <v>104</v>
      </c>
      <c r="J925" s="318" t="s">
        <v>757</v>
      </c>
      <c r="K925" s="318" t="s">
        <v>770</v>
      </c>
      <c r="L925" s="319">
        <v>44302</v>
      </c>
      <c r="M925" s="322">
        <v>0</v>
      </c>
    </row>
    <row r="926" spans="1:13" hidden="1" x14ac:dyDescent="0.25">
      <c r="A926" s="324">
        <v>44250</v>
      </c>
      <c r="B926" s="323" t="s">
        <v>1039</v>
      </c>
      <c r="C926" s="323" t="s">
        <v>769</v>
      </c>
      <c r="D926" s="325">
        <v>9</v>
      </c>
      <c r="E926" s="326">
        <v>390</v>
      </c>
      <c r="F926" s="326">
        <v>390</v>
      </c>
      <c r="G926" s="323" t="s">
        <v>1040</v>
      </c>
      <c r="H926" s="323" t="s">
        <v>1041</v>
      </c>
      <c r="I926" s="323" t="s">
        <v>108</v>
      </c>
      <c r="J926" s="323" t="s">
        <v>757</v>
      </c>
      <c r="K926" s="323" t="s">
        <v>770</v>
      </c>
      <c r="L926" s="324">
        <v>44250</v>
      </c>
      <c r="M926" s="327">
        <v>0</v>
      </c>
    </row>
    <row r="927" spans="1:13" hidden="1" x14ac:dyDescent="0.25">
      <c r="A927" s="324">
        <v>44007</v>
      </c>
      <c r="B927" s="323" t="s">
        <v>977</v>
      </c>
      <c r="C927" s="323" t="s">
        <v>769</v>
      </c>
      <c r="D927" s="325">
        <v>1</v>
      </c>
      <c r="E927" s="326">
        <v>1943.87</v>
      </c>
      <c r="F927" s="326">
        <v>2333.87</v>
      </c>
      <c r="G927" s="323" t="s">
        <v>978</v>
      </c>
      <c r="H927" s="323" t="s">
        <v>844</v>
      </c>
      <c r="I927" s="323" t="s">
        <v>108</v>
      </c>
      <c r="J927" s="323" t="s">
        <v>757</v>
      </c>
      <c r="K927" s="323" t="s">
        <v>770</v>
      </c>
      <c r="L927" s="324">
        <v>44007</v>
      </c>
      <c r="M927" s="327">
        <v>0</v>
      </c>
    </row>
    <row r="928" spans="1:13" hidden="1" x14ac:dyDescent="0.25">
      <c r="A928" s="324">
        <v>44011</v>
      </c>
      <c r="B928" s="323" t="s">
        <v>972</v>
      </c>
      <c r="C928" s="323" t="s">
        <v>769</v>
      </c>
      <c r="D928" s="325">
        <v>1</v>
      </c>
      <c r="E928" s="326">
        <v>39</v>
      </c>
      <c r="F928" s="326">
        <v>2372.87</v>
      </c>
      <c r="G928" s="323" t="s">
        <v>973</v>
      </c>
      <c r="H928" s="323" t="s">
        <v>844</v>
      </c>
      <c r="I928" s="323" t="s">
        <v>108</v>
      </c>
      <c r="J928" s="323" t="s">
        <v>757</v>
      </c>
      <c r="K928" s="323" t="s">
        <v>770</v>
      </c>
      <c r="L928" s="324">
        <v>44011</v>
      </c>
      <c r="M928" s="327">
        <v>0</v>
      </c>
    </row>
    <row r="929" spans="1:13" hidden="1" x14ac:dyDescent="0.25">
      <c r="A929" s="324">
        <v>44012</v>
      </c>
      <c r="B929" s="323" t="s">
        <v>1061</v>
      </c>
      <c r="C929" s="323" t="s">
        <v>1059</v>
      </c>
      <c r="D929" s="325">
        <v>1</v>
      </c>
      <c r="E929" s="326">
        <v>-5439.2</v>
      </c>
      <c r="F929" s="326">
        <v>-3066.33</v>
      </c>
      <c r="G929" s="323" t="s">
        <v>1062</v>
      </c>
      <c r="H929" s="323" t="s">
        <v>844</v>
      </c>
      <c r="I929" s="323" t="s">
        <v>108</v>
      </c>
      <c r="J929" s="323" t="s">
        <v>757</v>
      </c>
      <c r="K929" s="323" t="s">
        <v>741</v>
      </c>
      <c r="L929" s="324">
        <v>44012</v>
      </c>
      <c r="M929" s="327">
        <v>0</v>
      </c>
    </row>
    <row r="930" spans="1:13" hidden="1" x14ac:dyDescent="0.25">
      <c r="A930" s="324">
        <v>44013</v>
      </c>
      <c r="B930" s="323" t="s">
        <v>991</v>
      </c>
      <c r="C930" s="323" t="s">
        <v>769</v>
      </c>
      <c r="D930" s="325">
        <v>1</v>
      </c>
      <c r="E930" s="326">
        <v>2113.63</v>
      </c>
      <c r="F930" s="326">
        <v>-952.7</v>
      </c>
      <c r="G930" s="323" t="s">
        <v>845</v>
      </c>
      <c r="H930" s="323" t="s">
        <v>844</v>
      </c>
      <c r="I930" s="323" t="s">
        <v>108</v>
      </c>
      <c r="J930" s="323" t="s">
        <v>757</v>
      </c>
      <c r="K930" s="323" t="s">
        <v>770</v>
      </c>
      <c r="L930" s="324">
        <v>44013</v>
      </c>
      <c r="M930" s="327">
        <v>0</v>
      </c>
    </row>
    <row r="931" spans="1:13" hidden="1" x14ac:dyDescent="0.25">
      <c r="A931" s="324">
        <v>44014</v>
      </c>
      <c r="B931" s="323" t="s">
        <v>981</v>
      </c>
      <c r="C931" s="323" t="s">
        <v>769</v>
      </c>
      <c r="D931" s="325">
        <v>1</v>
      </c>
      <c r="E931" s="326">
        <v>41.1</v>
      </c>
      <c r="F931" s="326">
        <v>-911.6</v>
      </c>
      <c r="G931" s="323" t="s">
        <v>982</v>
      </c>
      <c r="H931" s="323" t="s">
        <v>844</v>
      </c>
      <c r="I931" s="323" t="s">
        <v>108</v>
      </c>
      <c r="J931" s="323" t="s">
        <v>757</v>
      </c>
      <c r="K931" s="323" t="s">
        <v>770</v>
      </c>
      <c r="L931" s="324">
        <v>44014</v>
      </c>
      <c r="M931" s="327">
        <v>0</v>
      </c>
    </row>
    <row r="932" spans="1:13" hidden="1" x14ac:dyDescent="0.25">
      <c r="A932" s="324">
        <v>44014</v>
      </c>
      <c r="B932" s="323" t="s">
        <v>953</v>
      </c>
      <c r="C932" s="323" t="s">
        <v>769</v>
      </c>
      <c r="D932" s="325">
        <v>1</v>
      </c>
      <c r="E932" s="326">
        <v>5439.2</v>
      </c>
      <c r="F932" s="326">
        <v>4527.6000000000004</v>
      </c>
      <c r="G932" s="323" t="s">
        <v>954</v>
      </c>
      <c r="H932" s="323" t="s">
        <v>844</v>
      </c>
      <c r="I932" s="323" t="s">
        <v>108</v>
      </c>
      <c r="J932" s="323" t="s">
        <v>757</v>
      </c>
      <c r="K932" s="323" t="s">
        <v>770</v>
      </c>
      <c r="L932" s="324">
        <v>44014</v>
      </c>
      <c r="M932" s="327">
        <v>0</v>
      </c>
    </row>
    <row r="933" spans="1:13" hidden="1" x14ac:dyDescent="0.25">
      <c r="A933" s="324">
        <v>44017</v>
      </c>
      <c r="B933" s="323" t="s">
        <v>969</v>
      </c>
      <c r="C933" s="323" t="s">
        <v>769</v>
      </c>
      <c r="D933" s="325">
        <v>1</v>
      </c>
      <c r="E933" s="326">
        <v>19.989999999999998</v>
      </c>
      <c r="F933" s="326">
        <v>4547.59</v>
      </c>
      <c r="G933" s="323" t="s">
        <v>966</v>
      </c>
      <c r="H933" s="323" t="s">
        <v>844</v>
      </c>
      <c r="I933" s="323" t="s">
        <v>108</v>
      </c>
      <c r="J933" s="323" t="s">
        <v>757</v>
      </c>
      <c r="K933" s="323" t="s">
        <v>770</v>
      </c>
      <c r="L933" s="324">
        <v>44017</v>
      </c>
      <c r="M933" s="327">
        <v>0</v>
      </c>
    </row>
    <row r="934" spans="1:13" hidden="1" x14ac:dyDescent="0.25">
      <c r="A934" s="324">
        <v>44022</v>
      </c>
      <c r="B934" s="323" t="s">
        <v>1024</v>
      </c>
      <c r="C934" s="323" t="s">
        <v>769</v>
      </c>
      <c r="D934" s="325">
        <v>1</v>
      </c>
      <c r="E934" s="326">
        <v>263.41000000000003</v>
      </c>
      <c r="F934" s="326">
        <v>4811</v>
      </c>
      <c r="G934" s="323" t="s">
        <v>1013</v>
      </c>
      <c r="H934" s="323" t="s">
        <v>844</v>
      </c>
      <c r="I934" s="323" t="s">
        <v>108</v>
      </c>
      <c r="J934" s="323" t="s">
        <v>757</v>
      </c>
      <c r="K934" s="323" t="s">
        <v>770</v>
      </c>
      <c r="L934" s="324">
        <v>44022</v>
      </c>
      <c r="M934" s="327">
        <v>0</v>
      </c>
    </row>
    <row r="935" spans="1:13" hidden="1" x14ac:dyDescent="0.25">
      <c r="A935" s="324">
        <v>44026</v>
      </c>
      <c r="B935" s="323" t="s">
        <v>993</v>
      </c>
      <c r="C935" s="323" t="s">
        <v>769</v>
      </c>
      <c r="D935" s="325">
        <v>1</v>
      </c>
      <c r="E935" s="326">
        <v>308.18</v>
      </c>
      <c r="F935" s="326">
        <v>5119.18</v>
      </c>
      <c r="G935" s="323" t="s">
        <v>994</v>
      </c>
      <c r="H935" s="323" t="s">
        <v>844</v>
      </c>
      <c r="I935" s="323" t="s">
        <v>108</v>
      </c>
      <c r="J935" s="323" t="s">
        <v>757</v>
      </c>
      <c r="K935" s="323" t="s">
        <v>770</v>
      </c>
      <c r="L935" s="324">
        <v>44026</v>
      </c>
      <c r="M935" s="327">
        <v>0</v>
      </c>
    </row>
    <row r="936" spans="1:13" hidden="1" x14ac:dyDescent="0.25">
      <c r="A936" s="324">
        <v>44027</v>
      </c>
      <c r="B936" s="323" t="s">
        <v>975</v>
      </c>
      <c r="C936" s="323" t="s">
        <v>936</v>
      </c>
      <c r="D936" s="325">
        <v>1</v>
      </c>
      <c r="E936" s="326">
        <v>-1877.44</v>
      </c>
      <c r="F936" s="326">
        <v>3241.74</v>
      </c>
      <c r="G936" s="323" t="s">
        <v>976</v>
      </c>
      <c r="H936" s="323" t="s">
        <v>844</v>
      </c>
      <c r="I936" s="323" t="s">
        <v>108</v>
      </c>
      <c r="J936" s="323" t="s">
        <v>757</v>
      </c>
      <c r="K936" s="323" t="s">
        <v>770</v>
      </c>
      <c r="L936" s="324">
        <v>44027</v>
      </c>
      <c r="M936" s="327">
        <v>0</v>
      </c>
    </row>
    <row r="937" spans="1:13" hidden="1" x14ac:dyDescent="0.25">
      <c r="A937" s="324">
        <v>44027</v>
      </c>
      <c r="B937" s="323" t="s">
        <v>1023</v>
      </c>
      <c r="C937" s="323" t="s">
        <v>769</v>
      </c>
      <c r="D937" s="325">
        <v>1</v>
      </c>
      <c r="E937" s="326">
        <v>146.61000000000001</v>
      </c>
      <c r="F937" s="326">
        <v>3388.35</v>
      </c>
      <c r="G937" s="323" t="s">
        <v>849</v>
      </c>
      <c r="H937" s="323" t="s">
        <v>844</v>
      </c>
      <c r="I937" s="323" t="s">
        <v>108</v>
      </c>
      <c r="J937" s="323" t="s">
        <v>757</v>
      </c>
      <c r="K937" s="323" t="s">
        <v>770</v>
      </c>
      <c r="L937" s="324">
        <v>44027</v>
      </c>
      <c r="M937" s="327">
        <v>0</v>
      </c>
    </row>
    <row r="938" spans="1:13" hidden="1" x14ac:dyDescent="0.25">
      <c r="A938" s="324">
        <v>44027</v>
      </c>
      <c r="B938" s="323" t="s">
        <v>1019</v>
      </c>
      <c r="C938" s="323" t="s">
        <v>769</v>
      </c>
      <c r="D938" s="325">
        <v>1</v>
      </c>
      <c r="E938" s="326">
        <v>145.96</v>
      </c>
      <c r="F938" s="326">
        <v>3534.31</v>
      </c>
      <c r="G938" s="323" t="s">
        <v>1020</v>
      </c>
      <c r="H938" s="323" t="s">
        <v>844</v>
      </c>
      <c r="I938" s="323" t="s">
        <v>108</v>
      </c>
      <c r="J938" s="323" t="s">
        <v>757</v>
      </c>
      <c r="K938" s="323" t="s">
        <v>770</v>
      </c>
      <c r="L938" s="324">
        <v>44027</v>
      </c>
      <c r="M938" s="327">
        <v>0</v>
      </c>
    </row>
    <row r="939" spans="1:13" hidden="1" x14ac:dyDescent="0.25">
      <c r="A939" s="324">
        <v>44030</v>
      </c>
      <c r="B939" s="323" t="s">
        <v>1017</v>
      </c>
      <c r="C939" s="323" t="s">
        <v>769</v>
      </c>
      <c r="D939" s="325">
        <v>1</v>
      </c>
      <c r="E939" s="326">
        <v>19.29</v>
      </c>
      <c r="F939" s="326">
        <v>3553.6</v>
      </c>
      <c r="G939" s="323" t="s">
        <v>996</v>
      </c>
      <c r="H939" s="323" t="s">
        <v>844</v>
      </c>
      <c r="I939" s="323" t="s">
        <v>108</v>
      </c>
      <c r="J939" s="323" t="s">
        <v>757</v>
      </c>
      <c r="K939" s="323" t="s">
        <v>770</v>
      </c>
      <c r="L939" s="324">
        <v>44030</v>
      </c>
      <c r="M939" s="327">
        <v>0</v>
      </c>
    </row>
    <row r="940" spans="1:13" hidden="1" x14ac:dyDescent="0.25">
      <c r="A940" s="324">
        <v>44031</v>
      </c>
      <c r="B940" s="323" t="s">
        <v>979</v>
      </c>
      <c r="C940" s="323" t="s">
        <v>769</v>
      </c>
      <c r="D940" s="325">
        <v>1</v>
      </c>
      <c r="E940" s="326">
        <v>59.09</v>
      </c>
      <c r="F940" s="326">
        <v>3612.69</v>
      </c>
      <c r="G940" s="323" t="s">
        <v>980</v>
      </c>
      <c r="H940" s="323" t="s">
        <v>844</v>
      </c>
      <c r="I940" s="323" t="s">
        <v>108</v>
      </c>
      <c r="J940" s="323" t="s">
        <v>757</v>
      </c>
      <c r="K940" s="323" t="s">
        <v>770</v>
      </c>
      <c r="L940" s="324">
        <v>44031</v>
      </c>
      <c r="M940" s="327">
        <v>0</v>
      </c>
    </row>
    <row r="941" spans="1:13" hidden="1" x14ac:dyDescent="0.25">
      <c r="A941" s="324">
        <v>44032</v>
      </c>
      <c r="B941" s="323" t="s">
        <v>1026</v>
      </c>
      <c r="C941" s="323" t="s">
        <v>769</v>
      </c>
      <c r="D941" s="325">
        <v>1</v>
      </c>
      <c r="E941" s="326">
        <v>489.88</v>
      </c>
      <c r="F941" s="326">
        <v>4102.57</v>
      </c>
      <c r="G941" s="323" t="s">
        <v>847</v>
      </c>
      <c r="H941" s="323" t="s">
        <v>844</v>
      </c>
      <c r="I941" s="323" t="s">
        <v>108</v>
      </c>
      <c r="J941" s="323" t="s">
        <v>757</v>
      </c>
      <c r="K941" s="323" t="s">
        <v>770</v>
      </c>
      <c r="L941" s="324">
        <v>44032</v>
      </c>
      <c r="M941" s="327">
        <v>0</v>
      </c>
    </row>
    <row r="942" spans="1:13" hidden="1" x14ac:dyDescent="0.25">
      <c r="A942" s="324">
        <v>44039</v>
      </c>
      <c r="B942" s="323" t="s">
        <v>967</v>
      </c>
      <c r="C942" s="323" t="s">
        <v>769</v>
      </c>
      <c r="D942" s="325">
        <v>1</v>
      </c>
      <c r="E942" s="326">
        <v>1190.82</v>
      </c>
      <c r="F942" s="326">
        <v>5293.39</v>
      </c>
      <c r="G942" s="323" t="s">
        <v>968</v>
      </c>
      <c r="H942" s="323" t="s">
        <v>844</v>
      </c>
      <c r="I942" s="323" t="s">
        <v>108</v>
      </c>
      <c r="J942" s="323" t="s">
        <v>757</v>
      </c>
      <c r="K942" s="323" t="s">
        <v>770</v>
      </c>
      <c r="L942" s="324">
        <v>44039</v>
      </c>
      <c r="M942" s="327">
        <v>0</v>
      </c>
    </row>
    <row r="943" spans="1:13" hidden="1" x14ac:dyDescent="0.25">
      <c r="A943" s="324">
        <v>44043</v>
      </c>
      <c r="B943" s="323" t="s">
        <v>1063</v>
      </c>
      <c r="C943" s="323" t="s">
        <v>1060</v>
      </c>
      <c r="D943" s="325">
        <v>1</v>
      </c>
      <c r="E943" s="326">
        <v>5439.6</v>
      </c>
      <c r="F943" s="326">
        <v>10732.99</v>
      </c>
      <c r="G943" s="323" t="s">
        <v>1064</v>
      </c>
      <c r="H943" s="323" t="s">
        <v>844</v>
      </c>
      <c r="I943" s="323" t="s">
        <v>108</v>
      </c>
      <c r="J943" s="323" t="s">
        <v>757</v>
      </c>
      <c r="K943" s="323" t="s">
        <v>741</v>
      </c>
      <c r="L943" s="324">
        <v>44043</v>
      </c>
      <c r="M943" s="327">
        <v>0</v>
      </c>
    </row>
    <row r="944" spans="1:13" hidden="1" x14ac:dyDescent="0.25">
      <c r="A944" s="324">
        <v>44043</v>
      </c>
      <c r="B944" s="323" t="s">
        <v>1063</v>
      </c>
      <c r="C944" s="323" t="s">
        <v>1060</v>
      </c>
      <c r="D944" s="325">
        <v>2</v>
      </c>
      <c r="E944" s="326">
        <v>-5439.6</v>
      </c>
      <c r="F944" s="326">
        <v>5293.39</v>
      </c>
      <c r="G944" s="323" t="s">
        <v>1064</v>
      </c>
      <c r="H944" s="323" t="s">
        <v>844</v>
      </c>
      <c r="I944" s="323" t="s">
        <v>108</v>
      </c>
      <c r="J944" s="323" t="s">
        <v>757</v>
      </c>
      <c r="K944" s="323" t="s">
        <v>741</v>
      </c>
      <c r="L944" s="324">
        <v>44043</v>
      </c>
      <c r="M944" s="327">
        <v>0</v>
      </c>
    </row>
    <row r="945" spans="1:13" hidden="1" x14ac:dyDescent="0.25">
      <c r="A945" s="324">
        <v>44045</v>
      </c>
      <c r="B945" s="323" t="s">
        <v>983</v>
      </c>
      <c r="C945" s="323" t="s">
        <v>769</v>
      </c>
      <c r="D945" s="325">
        <v>2</v>
      </c>
      <c r="E945" s="326">
        <v>41.1</v>
      </c>
      <c r="F945" s="326">
        <v>5334.49</v>
      </c>
      <c r="G945" s="323" t="s">
        <v>984</v>
      </c>
      <c r="H945" s="323" t="s">
        <v>844</v>
      </c>
      <c r="I945" s="323" t="s">
        <v>108</v>
      </c>
      <c r="J945" s="323" t="s">
        <v>757</v>
      </c>
      <c r="K945" s="323" t="s">
        <v>770</v>
      </c>
      <c r="L945" s="324">
        <v>44045</v>
      </c>
      <c r="M945" s="327">
        <v>0</v>
      </c>
    </row>
    <row r="946" spans="1:13" hidden="1" x14ac:dyDescent="0.25">
      <c r="A946" s="324">
        <v>44047</v>
      </c>
      <c r="B946" s="323" t="s">
        <v>955</v>
      </c>
      <c r="C946" s="323" t="s">
        <v>769</v>
      </c>
      <c r="D946" s="325">
        <v>2</v>
      </c>
      <c r="E946" s="326">
        <v>5439.6</v>
      </c>
      <c r="F946" s="326">
        <v>10774.09</v>
      </c>
      <c r="G946" s="323" t="s">
        <v>956</v>
      </c>
      <c r="H946" s="323" t="s">
        <v>844</v>
      </c>
      <c r="I946" s="323" t="s">
        <v>108</v>
      </c>
      <c r="J946" s="323" t="s">
        <v>757</v>
      </c>
      <c r="K946" s="323" t="s">
        <v>770</v>
      </c>
      <c r="L946" s="324">
        <v>44047</v>
      </c>
      <c r="M946" s="327">
        <v>0</v>
      </c>
    </row>
    <row r="947" spans="1:13" hidden="1" x14ac:dyDescent="0.25">
      <c r="A947" s="324">
        <v>44055</v>
      </c>
      <c r="B947" s="323" t="s">
        <v>989</v>
      </c>
      <c r="C947" s="323" t="s">
        <v>769</v>
      </c>
      <c r="D947" s="325">
        <v>2</v>
      </c>
      <c r="E947" s="326">
        <v>48</v>
      </c>
      <c r="F947" s="326">
        <v>10822.09</v>
      </c>
      <c r="G947" s="323" t="s">
        <v>990</v>
      </c>
      <c r="H947" s="323" t="s">
        <v>844</v>
      </c>
      <c r="I947" s="323" t="s">
        <v>108</v>
      </c>
      <c r="J947" s="323" t="s">
        <v>757</v>
      </c>
      <c r="K947" s="323" t="s">
        <v>770</v>
      </c>
      <c r="L947" s="324">
        <v>44055</v>
      </c>
      <c r="M947" s="327">
        <v>0</v>
      </c>
    </row>
    <row r="948" spans="1:13" hidden="1" x14ac:dyDescent="0.25">
      <c r="A948" s="324">
        <v>44061</v>
      </c>
      <c r="B948" s="323" t="s">
        <v>1000</v>
      </c>
      <c r="C948" s="323" t="s">
        <v>769</v>
      </c>
      <c r="D948" s="325">
        <v>2</v>
      </c>
      <c r="E948" s="326">
        <v>18.940000000000001</v>
      </c>
      <c r="F948" s="326">
        <v>10841.03</v>
      </c>
      <c r="G948" s="323" t="s">
        <v>996</v>
      </c>
      <c r="H948" s="323" t="s">
        <v>844</v>
      </c>
      <c r="I948" s="323" t="s">
        <v>108</v>
      </c>
      <c r="J948" s="323" t="s">
        <v>757</v>
      </c>
      <c r="K948" s="323" t="s">
        <v>770</v>
      </c>
      <c r="L948" s="324">
        <v>44061</v>
      </c>
      <c r="M948" s="327">
        <v>0</v>
      </c>
    </row>
    <row r="949" spans="1:13" hidden="1" x14ac:dyDescent="0.25">
      <c r="A949" s="324">
        <v>44068</v>
      </c>
      <c r="B949" s="323" t="s">
        <v>1008</v>
      </c>
      <c r="C949" s="323" t="s">
        <v>769</v>
      </c>
      <c r="D949" s="325">
        <v>2</v>
      </c>
      <c r="E949" s="326">
        <v>39</v>
      </c>
      <c r="F949" s="326">
        <v>10880.03</v>
      </c>
      <c r="G949" s="323" t="s">
        <v>1009</v>
      </c>
      <c r="H949" s="323" t="s">
        <v>844</v>
      </c>
      <c r="I949" s="323" t="s">
        <v>108</v>
      </c>
      <c r="J949" s="323" t="s">
        <v>757</v>
      </c>
      <c r="K949" s="323" t="s">
        <v>770</v>
      </c>
      <c r="L949" s="324">
        <v>44068</v>
      </c>
      <c r="M949" s="327">
        <v>0</v>
      </c>
    </row>
    <row r="950" spans="1:13" hidden="1" x14ac:dyDescent="0.25">
      <c r="A950" s="324">
        <v>44068</v>
      </c>
      <c r="B950" s="323" t="s">
        <v>1008</v>
      </c>
      <c r="C950" s="323" t="s">
        <v>769</v>
      </c>
      <c r="D950" s="325">
        <v>2</v>
      </c>
      <c r="E950" s="326">
        <v>254.83</v>
      </c>
      <c r="F950" s="326">
        <v>11134.86</v>
      </c>
      <c r="G950" s="323" t="s">
        <v>1010</v>
      </c>
      <c r="H950" s="323" t="s">
        <v>844</v>
      </c>
      <c r="I950" s="323" t="s">
        <v>108</v>
      </c>
      <c r="J950" s="323" t="s">
        <v>757</v>
      </c>
      <c r="K950" s="323" t="s">
        <v>770</v>
      </c>
      <c r="L950" s="324">
        <v>44068</v>
      </c>
      <c r="M950" s="327">
        <v>0</v>
      </c>
    </row>
    <row r="951" spans="1:13" hidden="1" x14ac:dyDescent="0.25">
      <c r="A951" s="324">
        <v>44068</v>
      </c>
      <c r="B951" s="323" t="s">
        <v>1008</v>
      </c>
      <c r="C951" s="323" t="s">
        <v>769</v>
      </c>
      <c r="D951" s="325">
        <v>2</v>
      </c>
      <c r="E951" s="326">
        <v>142.91</v>
      </c>
      <c r="F951" s="326">
        <v>11277.77</v>
      </c>
      <c r="G951" s="323" t="s">
        <v>1005</v>
      </c>
      <c r="H951" s="323" t="s">
        <v>844</v>
      </c>
      <c r="I951" s="323" t="s">
        <v>108</v>
      </c>
      <c r="J951" s="323" t="s">
        <v>757</v>
      </c>
      <c r="K951" s="323" t="s">
        <v>770</v>
      </c>
      <c r="L951" s="324">
        <v>44068</v>
      </c>
      <c r="M951" s="327">
        <v>0</v>
      </c>
    </row>
    <row r="952" spans="1:13" hidden="1" x14ac:dyDescent="0.25">
      <c r="A952" s="324">
        <v>44068</v>
      </c>
      <c r="B952" s="323" t="s">
        <v>1008</v>
      </c>
      <c r="C952" s="323" t="s">
        <v>769</v>
      </c>
      <c r="D952" s="325">
        <v>2</v>
      </c>
      <c r="E952" s="326">
        <v>489.88</v>
      </c>
      <c r="F952" s="326">
        <v>11767.65</v>
      </c>
      <c r="G952" s="323" t="s">
        <v>847</v>
      </c>
      <c r="H952" s="323" t="s">
        <v>844</v>
      </c>
      <c r="I952" s="323" t="s">
        <v>108</v>
      </c>
      <c r="J952" s="323" t="s">
        <v>757</v>
      </c>
      <c r="K952" s="323" t="s">
        <v>770</v>
      </c>
      <c r="L952" s="324">
        <v>44068</v>
      </c>
      <c r="M952" s="327">
        <v>0</v>
      </c>
    </row>
    <row r="953" spans="1:13" hidden="1" x14ac:dyDescent="0.25">
      <c r="A953" s="324">
        <v>44068</v>
      </c>
      <c r="B953" s="323" t="s">
        <v>1008</v>
      </c>
      <c r="C953" s="323" t="s">
        <v>769</v>
      </c>
      <c r="D953" s="325">
        <v>2</v>
      </c>
      <c r="E953" s="326">
        <v>467.24</v>
      </c>
      <c r="F953" s="326">
        <v>12234.89</v>
      </c>
      <c r="G953" s="323" t="s">
        <v>971</v>
      </c>
      <c r="H953" s="323" t="s">
        <v>844</v>
      </c>
      <c r="I953" s="323" t="s">
        <v>108</v>
      </c>
      <c r="J953" s="323" t="s">
        <v>757</v>
      </c>
      <c r="K953" s="323" t="s">
        <v>770</v>
      </c>
      <c r="L953" s="324">
        <v>44068</v>
      </c>
      <c r="M953" s="327">
        <v>0</v>
      </c>
    </row>
    <row r="954" spans="1:13" hidden="1" x14ac:dyDescent="0.25">
      <c r="A954" s="324">
        <v>44068</v>
      </c>
      <c r="B954" s="323" t="s">
        <v>1008</v>
      </c>
      <c r="C954" s="323" t="s">
        <v>769</v>
      </c>
      <c r="D954" s="325">
        <v>2</v>
      </c>
      <c r="E954" s="326">
        <v>2058.5500000000002</v>
      </c>
      <c r="F954" s="326">
        <v>14293.44</v>
      </c>
      <c r="G954" s="323" t="s">
        <v>846</v>
      </c>
      <c r="H954" s="323" t="s">
        <v>844</v>
      </c>
      <c r="I954" s="323" t="s">
        <v>108</v>
      </c>
      <c r="J954" s="323" t="s">
        <v>757</v>
      </c>
      <c r="K954" s="323" t="s">
        <v>770</v>
      </c>
      <c r="L954" s="324">
        <v>44068</v>
      </c>
      <c r="M954" s="327">
        <v>0</v>
      </c>
    </row>
    <row r="955" spans="1:13" hidden="1" x14ac:dyDescent="0.25">
      <c r="A955" s="324">
        <v>44068</v>
      </c>
      <c r="B955" s="323" t="s">
        <v>1008</v>
      </c>
      <c r="C955" s="323" t="s">
        <v>769</v>
      </c>
      <c r="D955" s="325">
        <v>2</v>
      </c>
      <c r="E955" s="326">
        <v>142.55000000000001</v>
      </c>
      <c r="F955" s="326">
        <v>14435.99</v>
      </c>
      <c r="G955" s="323" t="s">
        <v>1006</v>
      </c>
      <c r="H955" s="323" t="s">
        <v>844</v>
      </c>
      <c r="I955" s="323" t="s">
        <v>108</v>
      </c>
      <c r="J955" s="323" t="s">
        <v>757</v>
      </c>
      <c r="K955" s="323" t="s">
        <v>770</v>
      </c>
      <c r="L955" s="324">
        <v>44068</v>
      </c>
      <c r="M955" s="327">
        <v>0</v>
      </c>
    </row>
    <row r="956" spans="1:13" hidden="1" x14ac:dyDescent="0.25">
      <c r="A956" s="324">
        <v>44068</v>
      </c>
      <c r="B956" s="323" t="s">
        <v>1008</v>
      </c>
      <c r="C956" s="323" t="s">
        <v>769</v>
      </c>
      <c r="D956" s="325">
        <v>2</v>
      </c>
      <c r="E956" s="326">
        <v>19.989999999999998</v>
      </c>
      <c r="F956" s="326">
        <v>14455.98</v>
      </c>
      <c r="G956" s="323" t="s">
        <v>966</v>
      </c>
      <c r="H956" s="323" t="s">
        <v>844</v>
      </c>
      <c r="I956" s="323" t="s">
        <v>108</v>
      </c>
      <c r="J956" s="323" t="s">
        <v>757</v>
      </c>
      <c r="K956" s="323" t="s">
        <v>770</v>
      </c>
      <c r="L956" s="324">
        <v>44068</v>
      </c>
      <c r="M956" s="327">
        <v>0</v>
      </c>
    </row>
    <row r="957" spans="1:13" hidden="1" x14ac:dyDescent="0.25">
      <c r="A957" s="324">
        <v>44074</v>
      </c>
      <c r="B957" s="323" t="s">
        <v>1067</v>
      </c>
      <c r="C957" s="323" t="s">
        <v>1060</v>
      </c>
      <c r="D957" s="325">
        <v>2</v>
      </c>
      <c r="E957" s="326">
        <v>5439.6</v>
      </c>
      <c r="F957" s="326">
        <v>19895.580000000002</v>
      </c>
      <c r="G957" s="323" t="s">
        <v>1065</v>
      </c>
      <c r="H957" s="323" t="s">
        <v>844</v>
      </c>
      <c r="I957" s="323" t="s">
        <v>108</v>
      </c>
      <c r="J957" s="323" t="s">
        <v>757</v>
      </c>
      <c r="K957" s="323" t="s">
        <v>741</v>
      </c>
      <c r="L957" s="324">
        <v>44074</v>
      </c>
      <c r="M957" s="327">
        <v>0</v>
      </c>
    </row>
    <row r="958" spans="1:13" hidden="1" x14ac:dyDescent="0.25">
      <c r="A958" s="324">
        <v>44072</v>
      </c>
      <c r="B958" s="323" t="s">
        <v>974</v>
      </c>
      <c r="C958" s="323" t="s">
        <v>769</v>
      </c>
      <c r="D958" s="325">
        <v>3</v>
      </c>
      <c r="E958" s="326">
        <v>39</v>
      </c>
      <c r="F958" s="326">
        <v>19934.580000000002</v>
      </c>
      <c r="G958" s="323" t="s">
        <v>973</v>
      </c>
      <c r="H958" s="323" t="s">
        <v>844</v>
      </c>
      <c r="I958" s="323" t="s">
        <v>108</v>
      </c>
      <c r="J958" s="323" t="s">
        <v>757</v>
      </c>
      <c r="K958" s="323" t="s">
        <v>770</v>
      </c>
      <c r="L958" s="324">
        <v>44072</v>
      </c>
      <c r="M958" s="327">
        <v>0</v>
      </c>
    </row>
    <row r="959" spans="1:13" hidden="1" x14ac:dyDescent="0.25">
      <c r="A959" s="324">
        <v>44074</v>
      </c>
      <c r="B959" s="323" t="s">
        <v>1067</v>
      </c>
      <c r="C959" s="323" t="s">
        <v>1060</v>
      </c>
      <c r="D959" s="325">
        <v>3</v>
      </c>
      <c r="E959" s="326">
        <v>-5439.6</v>
      </c>
      <c r="F959" s="326">
        <v>14494.98</v>
      </c>
      <c r="G959" s="323" t="s">
        <v>1065</v>
      </c>
      <c r="H959" s="323" t="s">
        <v>844</v>
      </c>
      <c r="I959" s="323" t="s">
        <v>108</v>
      </c>
      <c r="J959" s="323" t="s">
        <v>757</v>
      </c>
      <c r="K959" s="323" t="s">
        <v>741</v>
      </c>
      <c r="L959" s="324">
        <v>44074</v>
      </c>
      <c r="M959" s="327">
        <v>0</v>
      </c>
    </row>
    <row r="960" spans="1:13" hidden="1" x14ac:dyDescent="0.25">
      <c r="A960" s="324">
        <v>44075</v>
      </c>
      <c r="B960" s="323" t="s">
        <v>992</v>
      </c>
      <c r="C960" s="323" t="s">
        <v>769</v>
      </c>
      <c r="D960" s="325">
        <v>3</v>
      </c>
      <c r="E960" s="326">
        <v>2096.9499999999998</v>
      </c>
      <c r="F960" s="326">
        <v>16591.93</v>
      </c>
      <c r="G960" s="323" t="s">
        <v>845</v>
      </c>
      <c r="H960" s="323" t="s">
        <v>844</v>
      </c>
      <c r="I960" s="323" t="s">
        <v>108</v>
      </c>
      <c r="J960" s="323" t="s">
        <v>757</v>
      </c>
      <c r="K960" s="323" t="s">
        <v>770</v>
      </c>
      <c r="L960" s="324">
        <v>44075</v>
      </c>
      <c r="M960" s="327">
        <v>0</v>
      </c>
    </row>
    <row r="961" spans="1:13" hidden="1" x14ac:dyDescent="0.25">
      <c r="A961" s="324">
        <v>44076</v>
      </c>
      <c r="B961" s="323" t="s">
        <v>985</v>
      </c>
      <c r="C961" s="323" t="s">
        <v>769</v>
      </c>
      <c r="D961" s="325">
        <v>3</v>
      </c>
      <c r="E961" s="326">
        <v>41.1</v>
      </c>
      <c r="F961" s="326">
        <v>16633.03</v>
      </c>
      <c r="G961" s="323" t="s">
        <v>986</v>
      </c>
      <c r="H961" s="323" t="s">
        <v>844</v>
      </c>
      <c r="I961" s="323" t="s">
        <v>108</v>
      </c>
      <c r="J961" s="323" t="s">
        <v>757</v>
      </c>
      <c r="K961" s="323" t="s">
        <v>770</v>
      </c>
      <c r="L961" s="324">
        <v>44076</v>
      </c>
      <c r="M961" s="327">
        <v>0</v>
      </c>
    </row>
    <row r="962" spans="1:13" hidden="1" x14ac:dyDescent="0.25">
      <c r="A962" s="324">
        <v>44079</v>
      </c>
      <c r="B962" s="323" t="s">
        <v>965</v>
      </c>
      <c r="C962" s="323" t="s">
        <v>769</v>
      </c>
      <c r="D962" s="325">
        <v>3</v>
      </c>
      <c r="E962" s="326">
        <v>19.989999999999998</v>
      </c>
      <c r="F962" s="326">
        <v>16653.02</v>
      </c>
      <c r="G962" s="323" t="s">
        <v>966</v>
      </c>
      <c r="H962" s="323" t="s">
        <v>844</v>
      </c>
      <c r="I962" s="323" t="s">
        <v>108</v>
      </c>
      <c r="J962" s="323" t="s">
        <v>757</v>
      </c>
      <c r="K962" s="323" t="s">
        <v>770</v>
      </c>
      <c r="L962" s="324">
        <v>44079</v>
      </c>
      <c r="M962" s="327">
        <v>0</v>
      </c>
    </row>
    <row r="963" spans="1:13" hidden="1" x14ac:dyDescent="0.25">
      <c r="A963" s="324">
        <v>44082</v>
      </c>
      <c r="B963" s="323" t="s">
        <v>1028</v>
      </c>
      <c r="C963" s="323" t="s">
        <v>769</v>
      </c>
      <c r="D963" s="325">
        <v>3</v>
      </c>
      <c r="E963" s="326">
        <v>8.1300000000000008</v>
      </c>
      <c r="F963" s="326">
        <v>16661.150000000001</v>
      </c>
      <c r="G963" s="323" t="s">
        <v>847</v>
      </c>
      <c r="H963" s="323" t="s">
        <v>844</v>
      </c>
      <c r="I963" s="323" t="s">
        <v>108</v>
      </c>
      <c r="J963" s="323" t="s">
        <v>757</v>
      </c>
      <c r="K963" s="323" t="s">
        <v>770</v>
      </c>
      <c r="L963" s="324">
        <v>44082</v>
      </c>
      <c r="M963" s="327">
        <v>0</v>
      </c>
    </row>
    <row r="964" spans="1:13" hidden="1" x14ac:dyDescent="0.25">
      <c r="A964" s="324">
        <v>44084</v>
      </c>
      <c r="B964" s="323" t="s">
        <v>1025</v>
      </c>
      <c r="C964" s="323" t="s">
        <v>769</v>
      </c>
      <c r="D964" s="325">
        <v>3</v>
      </c>
      <c r="E964" s="326">
        <v>250.7</v>
      </c>
      <c r="F964" s="326">
        <v>16911.849999999999</v>
      </c>
      <c r="G964" s="323" t="s">
        <v>1007</v>
      </c>
      <c r="H964" s="323" t="s">
        <v>844</v>
      </c>
      <c r="I964" s="323" t="s">
        <v>108</v>
      </c>
      <c r="J964" s="323" t="s">
        <v>757</v>
      </c>
      <c r="K964" s="323" t="s">
        <v>770</v>
      </c>
      <c r="L964" s="324">
        <v>44084</v>
      </c>
      <c r="M964" s="327">
        <v>0</v>
      </c>
    </row>
    <row r="965" spans="1:13" hidden="1" x14ac:dyDescent="0.25">
      <c r="A965" s="324">
        <v>44087</v>
      </c>
      <c r="B965" s="323" t="s">
        <v>1022</v>
      </c>
      <c r="C965" s="323" t="s">
        <v>769</v>
      </c>
      <c r="D965" s="325">
        <v>3</v>
      </c>
      <c r="E965" s="326">
        <v>140.22</v>
      </c>
      <c r="F965" s="326">
        <v>17052.07</v>
      </c>
      <c r="G965" s="323" t="s">
        <v>1006</v>
      </c>
      <c r="H965" s="323" t="s">
        <v>844</v>
      </c>
      <c r="I965" s="323" t="s">
        <v>108</v>
      </c>
      <c r="J965" s="323" t="s">
        <v>757</v>
      </c>
      <c r="K965" s="323" t="s">
        <v>770</v>
      </c>
      <c r="L965" s="324">
        <v>44087</v>
      </c>
      <c r="M965" s="327">
        <v>0</v>
      </c>
    </row>
    <row r="966" spans="1:13" hidden="1" x14ac:dyDescent="0.25">
      <c r="A966" s="324">
        <v>44089</v>
      </c>
      <c r="B966" s="323" t="s">
        <v>1021</v>
      </c>
      <c r="C966" s="323" t="s">
        <v>769</v>
      </c>
      <c r="D966" s="325">
        <v>3</v>
      </c>
      <c r="E966" s="326">
        <v>139.74</v>
      </c>
      <c r="F966" s="326">
        <v>17191.810000000001</v>
      </c>
      <c r="G966" s="323" t="s">
        <v>1005</v>
      </c>
      <c r="H966" s="323" t="s">
        <v>844</v>
      </c>
      <c r="I966" s="323" t="s">
        <v>108</v>
      </c>
      <c r="J966" s="323" t="s">
        <v>757</v>
      </c>
      <c r="K966" s="323" t="s">
        <v>770</v>
      </c>
      <c r="L966" s="324">
        <v>44089</v>
      </c>
      <c r="M966" s="327">
        <v>0</v>
      </c>
    </row>
    <row r="967" spans="1:13" hidden="1" x14ac:dyDescent="0.25">
      <c r="A967" s="324">
        <v>44092</v>
      </c>
      <c r="B967" s="323" t="s">
        <v>1018</v>
      </c>
      <c r="C967" s="323" t="s">
        <v>769</v>
      </c>
      <c r="D967" s="325">
        <v>3</v>
      </c>
      <c r="E967" s="326">
        <v>18.25</v>
      </c>
      <c r="F967" s="326">
        <v>17210.060000000001</v>
      </c>
      <c r="G967" s="323" t="s">
        <v>996</v>
      </c>
      <c r="H967" s="323" t="s">
        <v>844</v>
      </c>
      <c r="I967" s="323" t="s">
        <v>108</v>
      </c>
      <c r="J967" s="323" t="s">
        <v>757</v>
      </c>
      <c r="K967" s="323" t="s">
        <v>770</v>
      </c>
      <c r="L967" s="324">
        <v>44092</v>
      </c>
      <c r="M967" s="327">
        <v>0</v>
      </c>
    </row>
    <row r="968" spans="1:13" hidden="1" x14ac:dyDescent="0.25">
      <c r="A968" s="324">
        <v>44094</v>
      </c>
      <c r="B968" s="323" t="s">
        <v>1027</v>
      </c>
      <c r="C968" s="323" t="s">
        <v>769</v>
      </c>
      <c r="D968" s="325">
        <v>3</v>
      </c>
      <c r="E968" s="326">
        <v>510.87</v>
      </c>
      <c r="F968" s="326">
        <v>17720.93</v>
      </c>
      <c r="G968" s="323" t="s">
        <v>847</v>
      </c>
      <c r="H968" s="323" t="s">
        <v>844</v>
      </c>
      <c r="I968" s="323" t="s">
        <v>108</v>
      </c>
      <c r="J968" s="323" t="s">
        <v>757</v>
      </c>
      <c r="K968" s="323" t="s">
        <v>770</v>
      </c>
      <c r="L968" s="324">
        <v>44094</v>
      </c>
      <c r="M968" s="327">
        <v>0</v>
      </c>
    </row>
    <row r="969" spans="1:13" hidden="1" x14ac:dyDescent="0.25">
      <c r="A969" s="324">
        <v>44096</v>
      </c>
      <c r="B969" s="323" t="s">
        <v>970</v>
      </c>
      <c r="C969" s="323" t="s">
        <v>769</v>
      </c>
      <c r="D969" s="325">
        <v>3</v>
      </c>
      <c r="E969" s="326">
        <v>467.24</v>
      </c>
      <c r="F969" s="326">
        <v>18188.169999999998</v>
      </c>
      <c r="G969" s="323" t="s">
        <v>971</v>
      </c>
      <c r="H969" s="323" t="s">
        <v>844</v>
      </c>
      <c r="I969" s="323" t="s">
        <v>108</v>
      </c>
      <c r="J969" s="323" t="s">
        <v>757</v>
      </c>
      <c r="K969" s="323" t="s">
        <v>770</v>
      </c>
      <c r="L969" s="324">
        <v>44096</v>
      </c>
      <c r="M969" s="327">
        <v>0</v>
      </c>
    </row>
    <row r="970" spans="1:13" hidden="1" x14ac:dyDescent="0.25">
      <c r="A970" s="324">
        <v>44104</v>
      </c>
      <c r="B970" s="323" t="s">
        <v>1071</v>
      </c>
      <c r="C970" s="323" t="s">
        <v>1060</v>
      </c>
      <c r="D970" s="325">
        <v>3</v>
      </c>
      <c r="E970" s="326">
        <v>4944.53</v>
      </c>
      <c r="F970" s="326">
        <v>23132.7</v>
      </c>
      <c r="G970" s="323" t="s">
        <v>1065</v>
      </c>
      <c r="H970" s="323" t="s">
        <v>844</v>
      </c>
      <c r="I970" s="323" t="s">
        <v>108</v>
      </c>
      <c r="J970" s="323" t="s">
        <v>757</v>
      </c>
      <c r="K970" s="323" t="s">
        <v>741</v>
      </c>
      <c r="L970" s="324">
        <v>44104</v>
      </c>
      <c r="M970" s="327">
        <v>0</v>
      </c>
    </row>
    <row r="971" spans="1:13" hidden="1" x14ac:dyDescent="0.25">
      <c r="A971" s="324">
        <v>44104</v>
      </c>
      <c r="B971" s="323" t="s">
        <v>1070</v>
      </c>
      <c r="C971" s="323" t="s">
        <v>1060</v>
      </c>
      <c r="D971" s="325">
        <v>3</v>
      </c>
      <c r="E971" s="326">
        <v>5439.6</v>
      </c>
      <c r="F971" s="326">
        <v>28572.3</v>
      </c>
      <c r="G971" s="323" t="s">
        <v>1066</v>
      </c>
      <c r="H971" s="323" t="s">
        <v>844</v>
      </c>
      <c r="I971" s="323" t="s">
        <v>108</v>
      </c>
      <c r="J971" s="323" t="s">
        <v>757</v>
      </c>
      <c r="K971" s="323" t="s">
        <v>741</v>
      </c>
      <c r="L971" s="324">
        <v>44104</v>
      </c>
      <c r="M971" s="327">
        <v>0</v>
      </c>
    </row>
    <row r="972" spans="1:13" hidden="1" x14ac:dyDescent="0.25">
      <c r="A972" s="324">
        <v>44104</v>
      </c>
      <c r="B972" s="323" t="s">
        <v>1071</v>
      </c>
      <c r="C972" s="323" t="s">
        <v>1060</v>
      </c>
      <c r="D972" s="325">
        <v>4</v>
      </c>
      <c r="E972" s="326">
        <v>-4944.53</v>
      </c>
      <c r="F972" s="326">
        <v>23627.77</v>
      </c>
      <c r="G972" s="323" t="s">
        <v>1065</v>
      </c>
      <c r="H972" s="323" t="s">
        <v>844</v>
      </c>
      <c r="I972" s="323" t="s">
        <v>108</v>
      </c>
      <c r="J972" s="323" t="s">
        <v>757</v>
      </c>
      <c r="K972" s="323" t="s">
        <v>741</v>
      </c>
      <c r="L972" s="324">
        <v>44104</v>
      </c>
      <c r="M972" s="327">
        <v>0</v>
      </c>
    </row>
    <row r="973" spans="1:13" hidden="1" x14ac:dyDescent="0.25">
      <c r="A973" s="324">
        <v>44104</v>
      </c>
      <c r="B973" s="323" t="s">
        <v>1070</v>
      </c>
      <c r="C973" s="323" t="s">
        <v>1060</v>
      </c>
      <c r="D973" s="325">
        <v>4</v>
      </c>
      <c r="E973" s="326">
        <v>-5439.6</v>
      </c>
      <c r="F973" s="326">
        <v>18188.169999999998</v>
      </c>
      <c r="G973" s="323" t="s">
        <v>1066</v>
      </c>
      <c r="H973" s="323" t="s">
        <v>844</v>
      </c>
      <c r="I973" s="323" t="s">
        <v>108</v>
      </c>
      <c r="J973" s="323" t="s">
        <v>757</v>
      </c>
      <c r="K973" s="323" t="s">
        <v>741</v>
      </c>
      <c r="L973" s="324">
        <v>44104</v>
      </c>
      <c r="M973" s="327">
        <v>0</v>
      </c>
    </row>
    <row r="974" spans="1:13" hidden="1" x14ac:dyDescent="0.25">
      <c r="A974" s="324">
        <v>44106</v>
      </c>
      <c r="B974" s="323" t="s">
        <v>957</v>
      </c>
      <c r="C974" s="323" t="s">
        <v>769</v>
      </c>
      <c r="D974" s="325">
        <v>4</v>
      </c>
      <c r="E974" s="326">
        <v>4944.53</v>
      </c>
      <c r="F974" s="326">
        <v>23132.7</v>
      </c>
      <c r="G974" s="323" t="s">
        <v>958</v>
      </c>
      <c r="H974" s="323" t="s">
        <v>844</v>
      </c>
      <c r="I974" s="323" t="s">
        <v>108</v>
      </c>
      <c r="J974" s="323" t="s">
        <v>757</v>
      </c>
      <c r="K974" s="323" t="s">
        <v>770</v>
      </c>
      <c r="L974" s="324">
        <v>44106</v>
      </c>
      <c r="M974" s="327">
        <v>0</v>
      </c>
    </row>
    <row r="975" spans="1:13" hidden="1" x14ac:dyDescent="0.25">
      <c r="A975" s="324">
        <v>44122</v>
      </c>
      <c r="B975" s="323" t="s">
        <v>1001</v>
      </c>
      <c r="C975" s="323" t="s">
        <v>769</v>
      </c>
      <c r="D975" s="325">
        <v>4</v>
      </c>
      <c r="E975" s="326">
        <v>18.11</v>
      </c>
      <c r="F975" s="326">
        <v>23150.81</v>
      </c>
      <c r="G975" s="323" t="s">
        <v>1002</v>
      </c>
      <c r="H975" s="323" t="s">
        <v>844</v>
      </c>
      <c r="I975" s="323" t="s">
        <v>108</v>
      </c>
      <c r="J975" s="323" t="s">
        <v>757</v>
      </c>
      <c r="K975" s="323" t="s">
        <v>770</v>
      </c>
      <c r="L975" s="324">
        <v>44122</v>
      </c>
      <c r="M975" s="327">
        <v>0</v>
      </c>
    </row>
    <row r="976" spans="1:13" hidden="1" x14ac:dyDescent="0.25">
      <c r="A976" s="324">
        <v>44129</v>
      </c>
      <c r="B976" s="323" t="s">
        <v>1011</v>
      </c>
      <c r="C976" s="323" t="s">
        <v>769</v>
      </c>
      <c r="D976" s="325">
        <v>4</v>
      </c>
      <c r="E976" s="326">
        <v>39</v>
      </c>
      <c r="F976" s="326">
        <v>23189.81</v>
      </c>
      <c r="G976" s="323" t="s">
        <v>973</v>
      </c>
      <c r="H976" s="323" t="s">
        <v>844</v>
      </c>
      <c r="I976" s="323" t="s">
        <v>108</v>
      </c>
      <c r="J976" s="323" t="s">
        <v>757</v>
      </c>
      <c r="K976" s="323" t="s">
        <v>770</v>
      </c>
      <c r="L976" s="324">
        <v>44129</v>
      </c>
      <c r="M976" s="327">
        <v>0</v>
      </c>
    </row>
    <row r="977" spans="1:13" hidden="1" x14ac:dyDescent="0.25">
      <c r="A977" s="324">
        <v>44129</v>
      </c>
      <c r="B977" s="323" t="s">
        <v>1011</v>
      </c>
      <c r="C977" s="323" t="s">
        <v>769</v>
      </c>
      <c r="D977" s="325">
        <v>4</v>
      </c>
      <c r="E977" s="326">
        <v>254.16</v>
      </c>
      <c r="F977" s="326">
        <v>23443.97</v>
      </c>
      <c r="G977" s="323" t="s">
        <v>1013</v>
      </c>
      <c r="H977" s="323" t="s">
        <v>844</v>
      </c>
      <c r="I977" s="323" t="s">
        <v>108</v>
      </c>
      <c r="J977" s="323" t="s">
        <v>757</v>
      </c>
      <c r="K977" s="323" t="s">
        <v>770</v>
      </c>
      <c r="L977" s="324">
        <v>44129</v>
      </c>
      <c r="M977" s="327">
        <v>0</v>
      </c>
    </row>
    <row r="978" spans="1:13" hidden="1" x14ac:dyDescent="0.25">
      <c r="A978" s="324">
        <v>44129</v>
      </c>
      <c r="B978" s="323" t="s">
        <v>1011</v>
      </c>
      <c r="C978" s="323" t="s">
        <v>769</v>
      </c>
      <c r="D978" s="325">
        <v>4</v>
      </c>
      <c r="E978" s="326">
        <v>144.56</v>
      </c>
      <c r="F978" s="326">
        <v>23588.53</v>
      </c>
      <c r="G978" s="323" t="s">
        <v>1005</v>
      </c>
      <c r="H978" s="323" t="s">
        <v>844</v>
      </c>
      <c r="I978" s="323" t="s">
        <v>108</v>
      </c>
      <c r="J978" s="323" t="s">
        <v>757</v>
      </c>
      <c r="K978" s="323" t="s">
        <v>770</v>
      </c>
      <c r="L978" s="324">
        <v>44129</v>
      </c>
      <c r="M978" s="327">
        <v>0</v>
      </c>
    </row>
    <row r="979" spans="1:13" hidden="1" x14ac:dyDescent="0.25">
      <c r="A979" s="324">
        <v>44129</v>
      </c>
      <c r="B979" s="323" t="s">
        <v>1011</v>
      </c>
      <c r="C979" s="323" t="s">
        <v>769</v>
      </c>
      <c r="D979" s="325">
        <v>4</v>
      </c>
      <c r="E979" s="326">
        <v>510.87</v>
      </c>
      <c r="F979" s="326">
        <v>24099.4</v>
      </c>
      <c r="G979" s="323" t="s">
        <v>847</v>
      </c>
      <c r="H979" s="323" t="s">
        <v>844</v>
      </c>
      <c r="I979" s="323" t="s">
        <v>108</v>
      </c>
      <c r="J979" s="323" t="s">
        <v>757</v>
      </c>
      <c r="K979" s="323" t="s">
        <v>770</v>
      </c>
      <c r="L979" s="324">
        <v>44129</v>
      </c>
      <c r="M979" s="327">
        <v>0</v>
      </c>
    </row>
    <row r="980" spans="1:13" hidden="1" x14ac:dyDescent="0.25">
      <c r="A980" s="324">
        <v>44129</v>
      </c>
      <c r="B980" s="323" t="s">
        <v>1011</v>
      </c>
      <c r="C980" s="323" t="s">
        <v>769</v>
      </c>
      <c r="D980" s="325">
        <v>4</v>
      </c>
      <c r="E980" s="326">
        <v>467.24</v>
      </c>
      <c r="F980" s="326">
        <v>24566.639999999999</v>
      </c>
      <c r="G980" s="323" t="s">
        <v>971</v>
      </c>
      <c r="H980" s="323" t="s">
        <v>844</v>
      </c>
      <c r="I980" s="323" t="s">
        <v>108</v>
      </c>
      <c r="J980" s="323" t="s">
        <v>757</v>
      </c>
      <c r="K980" s="323" t="s">
        <v>770</v>
      </c>
      <c r="L980" s="324">
        <v>44129</v>
      </c>
      <c r="M980" s="327">
        <v>0</v>
      </c>
    </row>
    <row r="981" spans="1:13" hidden="1" x14ac:dyDescent="0.25">
      <c r="A981" s="324">
        <v>44129</v>
      </c>
      <c r="B981" s="323" t="s">
        <v>1011</v>
      </c>
      <c r="C981" s="323" t="s">
        <v>769</v>
      </c>
      <c r="D981" s="325">
        <v>4</v>
      </c>
      <c r="E981" s="326">
        <v>2128.8200000000002</v>
      </c>
      <c r="F981" s="326">
        <v>26695.46</v>
      </c>
      <c r="G981" s="323" t="s">
        <v>846</v>
      </c>
      <c r="H981" s="323" t="s">
        <v>844</v>
      </c>
      <c r="I981" s="323" t="s">
        <v>108</v>
      </c>
      <c r="J981" s="323" t="s">
        <v>757</v>
      </c>
      <c r="K981" s="323" t="s">
        <v>770</v>
      </c>
      <c r="L981" s="324">
        <v>44129</v>
      </c>
      <c r="M981" s="327">
        <v>0</v>
      </c>
    </row>
    <row r="982" spans="1:13" hidden="1" x14ac:dyDescent="0.25">
      <c r="A982" s="324">
        <v>44129</v>
      </c>
      <c r="B982" s="323" t="s">
        <v>1011</v>
      </c>
      <c r="C982" s="323" t="s">
        <v>769</v>
      </c>
      <c r="D982" s="325">
        <v>4</v>
      </c>
      <c r="E982" s="326">
        <v>-10.96</v>
      </c>
      <c r="F982" s="326">
        <v>26684.5</v>
      </c>
      <c r="G982" s="323" t="s">
        <v>845</v>
      </c>
      <c r="H982" s="323" t="s">
        <v>844</v>
      </c>
      <c r="I982" s="323" t="s">
        <v>108</v>
      </c>
      <c r="J982" s="323" t="s">
        <v>757</v>
      </c>
      <c r="K982" s="323" t="s">
        <v>770</v>
      </c>
      <c r="L982" s="324">
        <v>44129</v>
      </c>
      <c r="M982" s="327">
        <v>0</v>
      </c>
    </row>
    <row r="983" spans="1:13" hidden="1" x14ac:dyDescent="0.25">
      <c r="A983" s="324">
        <v>44129</v>
      </c>
      <c r="B983" s="323" t="s">
        <v>1011</v>
      </c>
      <c r="C983" s="323" t="s">
        <v>769</v>
      </c>
      <c r="D983" s="325">
        <v>4</v>
      </c>
      <c r="E983" s="326">
        <v>142.55000000000001</v>
      </c>
      <c r="F983" s="326">
        <v>26827.05</v>
      </c>
      <c r="G983" s="323" t="s">
        <v>1006</v>
      </c>
      <c r="H983" s="323" t="s">
        <v>844</v>
      </c>
      <c r="I983" s="323" t="s">
        <v>108</v>
      </c>
      <c r="J983" s="323" t="s">
        <v>757</v>
      </c>
      <c r="K983" s="323" t="s">
        <v>770</v>
      </c>
      <c r="L983" s="324">
        <v>44129</v>
      </c>
      <c r="M983" s="327">
        <v>0</v>
      </c>
    </row>
    <row r="984" spans="1:13" hidden="1" x14ac:dyDescent="0.25">
      <c r="A984" s="324">
        <v>44129</v>
      </c>
      <c r="B984" s="323" t="s">
        <v>1011</v>
      </c>
      <c r="C984" s="323" t="s">
        <v>769</v>
      </c>
      <c r="D984" s="325">
        <v>4</v>
      </c>
      <c r="E984" s="326">
        <v>19.989999999999998</v>
      </c>
      <c r="F984" s="326">
        <v>26847.040000000001</v>
      </c>
      <c r="G984" s="323" t="s">
        <v>966</v>
      </c>
      <c r="H984" s="323" t="s">
        <v>844</v>
      </c>
      <c r="I984" s="323" t="s">
        <v>108</v>
      </c>
      <c r="J984" s="323" t="s">
        <v>757</v>
      </c>
      <c r="K984" s="323" t="s">
        <v>770</v>
      </c>
      <c r="L984" s="324">
        <v>44129</v>
      </c>
      <c r="M984" s="327">
        <v>0</v>
      </c>
    </row>
    <row r="985" spans="1:13" hidden="1" x14ac:dyDescent="0.25">
      <c r="A985" s="324">
        <v>44129</v>
      </c>
      <c r="B985" s="323" t="s">
        <v>1011</v>
      </c>
      <c r="C985" s="323" t="s">
        <v>769</v>
      </c>
      <c r="D985" s="325">
        <v>4</v>
      </c>
      <c r="E985" s="326">
        <v>3157.62</v>
      </c>
      <c r="F985" s="326">
        <v>30004.66</v>
      </c>
      <c r="G985" s="323" t="s">
        <v>1012</v>
      </c>
      <c r="H985" s="323" t="s">
        <v>844</v>
      </c>
      <c r="I985" s="323" t="s">
        <v>108</v>
      </c>
      <c r="J985" s="323" t="s">
        <v>757</v>
      </c>
      <c r="K985" s="323" t="s">
        <v>770</v>
      </c>
      <c r="L985" s="324">
        <v>44129</v>
      </c>
      <c r="M985" s="327">
        <v>0</v>
      </c>
    </row>
    <row r="986" spans="1:13" hidden="1" x14ac:dyDescent="0.25">
      <c r="A986" s="324">
        <v>44129</v>
      </c>
      <c r="B986" s="323" t="s">
        <v>1011</v>
      </c>
      <c r="C986" s="323" t="s">
        <v>769</v>
      </c>
      <c r="D986" s="325">
        <v>4</v>
      </c>
      <c r="E986" s="326">
        <v>10.9</v>
      </c>
      <c r="F986" s="326">
        <v>30015.56</v>
      </c>
      <c r="G986" s="323" t="s">
        <v>848</v>
      </c>
      <c r="H986" s="323" t="s">
        <v>844</v>
      </c>
      <c r="I986" s="323" t="s">
        <v>108</v>
      </c>
      <c r="J986" s="323" t="s">
        <v>757</v>
      </c>
      <c r="K986" s="323" t="s">
        <v>770</v>
      </c>
      <c r="L986" s="324">
        <v>44129</v>
      </c>
      <c r="M986" s="327">
        <v>0</v>
      </c>
    </row>
    <row r="987" spans="1:13" hidden="1" x14ac:dyDescent="0.25">
      <c r="A987" s="324">
        <v>44135</v>
      </c>
      <c r="B987" s="323" t="s">
        <v>1072</v>
      </c>
      <c r="C987" s="323" t="s">
        <v>1060</v>
      </c>
      <c r="D987" s="325">
        <v>4</v>
      </c>
      <c r="E987" s="326">
        <v>4536.24</v>
      </c>
      <c r="F987" s="326">
        <v>34551.800000000003</v>
      </c>
      <c r="G987" s="323" t="s">
        <v>1065</v>
      </c>
      <c r="H987" s="323" t="s">
        <v>844</v>
      </c>
      <c r="I987" s="323" t="s">
        <v>108</v>
      </c>
      <c r="J987" s="323" t="s">
        <v>757</v>
      </c>
      <c r="K987" s="323" t="s">
        <v>741</v>
      </c>
      <c r="L987" s="324">
        <v>44135</v>
      </c>
      <c r="M987" s="327">
        <v>0</v>
      </c>
    </row>
    <row r="988" spans="1:13" hidden="1" x14ac:dyDescent="0.25">
      <c r="A988" s="324">
        <v>44135</v>
      </c>
      <c r="B988" s="323" t="s">
        <v>1072</v>
      </c>
      <c r="C988" s="323" t="s">
        <v>1060</v>
      </c>
      <c r="D988" s="325">
        <v>5</v>
      </c>
      <c r="E988" s="326">
        <v>-4536.24</v>
      </c>
      <c r="F988" s="326">
        <v>30015.56</v>
      </c>
      <c r="G988" s="323" t="s">
        <v>1065</v>
      </c>
      <c r="H988" s="323" t="s">
        <v>844</v>
      </c>
      <c r="I988" s="323" t="s">
        <v>108</v>
      </c>
      <c r="J988" s="323" t="s">
        <v>757</v>
      </c>
      <c r="K988" s="323" t="s">
        <v>741</v>
      </c>
      <c r="L988" s="324">
        <v>44135</v>
      </c>
      <c r="M988" s="327">
        <v>0</v>
      </c>
    </row>
    <row r="989" spans="1:13" hidden="1" x14ac:dyDescent="0.25">
      <c r="A989" s="324">
        <v>44137</v>
      </c>
      <c r="B989" s="323" t="s">
        <v>959</v>
      </c>
      <c r="C989" s="323" t="s">
        <v>769</v>
      </c>
      <c r="D989" s="325">
        <v>5</v>
      </c>
      <c r="E989" s="326">
        <v>4536.24</v>
      </c>
      <c r="F989" s="326">
        <v>34551.800000000003</v>
      </c>
      <c r="G989" s="323" t="s">
        <v>960</v>
      </c>
      <c r="H989" s="323" t="s">
        <v>844</v>
      </c>
      <c r="I989" s="323" t="s">
        <v>108</v>
      </c>
      <c r="J989" s="323" t="s">
        <v>757</v>
      </c>
      <c r="K989" s="323" t="s">
        <v>770</v>
      </c>
      <c r="L989" s="324">
        <v>44137</v>
      </c>
      <c r="M989" s="327">
        <v>0</v>
      </c>
    </row>
    <row r="990" spans="1:13" hidden="1" x14ac:dyDescent="0.25">
      <c r="A990" s="324">
        <v>44153</v>
      </c>
      <c r="B990" s="323" t="s">
        <v>995</v>
      </c>
      <c r="C990" s="323" t="s">
        <v>769</v>
      </c>
      <c r="D990" s="325">
        <v>5</v>
      </c>
      <c r="E990" s="326">
        <v>18.649999999999999</v>
      </c>
      <c r="F990" s="326">
        <v>34570.449999999997</v>
      </c>
      <c r="G990" s="323" t="s">
        <v>996</v>
      </c>
      <c r="H990" s="323" t="s">
        <v>844</v>
      </c>
      <c r="I990" s="323" t="s">
        <v>108</v>
      </c>
      <c r="J990" s="323" t="s">
        <v>757</v>
      </c>
      <c r="K990" s="323" t="s">
        <v>770</v>
      </c>
      <c r="L990" s="324">
        <v>44153</v>
      </c>
      <c r="M990" s="327">
        <v>0</v>
      </c>
    </row>
    <row r="991" spans="1:13" hidden="1" x14ac:dyDescent="0.25">
      <c r="A991" s="324">
        <v>44160</v>
      </c>
      <c r="B991" s="323" t="s">
        <v>1014</v>
      </c>
      <c r="C991" s="323" t="s">
        <v>769</v>
      </c>
      <c r="D991" s="325">
        <v>5</v>
      </c>
      <c r="E991" s="326">
        <v>39</v>
      </c>
      <c r="F991" s="326">
        <v>34609.449999999997</v>
      </c>
      <c r="G991" s="323" t="s">
        <v>1015</v>
      </c>
      <c r="H991" s="323" t="s">
        <v>844</v>
      </c>
      <c r="I991" s="323" t="s">
        <v>108</v>
      </c>
      <c r="J991" s="323" t="s">
        <v>757</v>
      </c>
      <c r="K991" s="323" t="s">
        <v>770</v>
      </c>
      <c r="L991" s="324">
        <v>44160</v>
      </c>
      <c r="M991" s="327">
        <v>0</v>
      </c>
    </row>
    <row r="992" spans="1:13" hidden="1" x14ac:dyDescent="0.25">
      <c r="A992" s="324">
        <v>44160</v>
      </c>
      <c r="B992" s="323" t="s">
        <v>1014</v>
      </c>
      <c r="C992" s="323" t="s">
        <v>769</v>
      </c>
      <c r="D992" s="325">
        <v>5</v>
      </c>
      <c r="E992" s="326">
        <v>251.42</v>
      </c>
      <c r="F992" s="326">
        <v>34860.870000000003</v>
      </c>
      <c r="G992" s="323" t="s">
        <v>1013</v>
      </c>
      <c r="H992" s="323" t="s">
        <v>844</v>
      </c>
      <c r="I992" s="323" t="s">
        <v>108</v>
      </c>
      <c r="J992" s="323" t="s">
        <v>757</v>
      </c>
      <c r="K992" s="323" t="s">
        <v>770</v>
      </c>
      <c r="L992" s="324">
        <v>44160</v>
      </c>
      <c r="M992" s="327">
        <v>0</v>
      </c>
    </row>
    <row r="993" spans="1:13" hidden="1" x14ac:dyDescent="0.25">
      <c r="A993" s="324">
        <v>44160</v>
      </c>
      <c r="B993" s="323" t="s">
        <v>1014</v>
      </c>
      <c r="C993" s="323" t="s">
        <v>769</v>
      </c>
      <c r="D993" s="325">
        <v>5</v>
      </c>
      <c r="E993" s="326">
        <v>141.12</v>
      </c>
      <c r="F993" s="326">
        <v>35001.99</v>
      </c>
      <c r="G993" s="323" t="s">
        <v>1005</v>
      </c>
      <c r="H993" s="323" t="s">
        <v>844</v>
      </c>
      <c r="I993" s="323" t="s">
        <v>108</v>
      </c>
      <c r="J993" s="323" t="s">
        <v>757</v>
      </c>
      <c r="K993" s="323" t="s">
        <v>770</v>
      </c>
      <c r="L993" s="324">
        <v>44160</v>
      </c>
      <c r="M993" s="327">
        <v>0</v>
      </c>
    </row>
    <row r="994" spans="1:13" hidden="1" x14ac:dyDescent="0.25">
      <c r="A994" s="324">
        <v>44160</v>
      </c>
      <c r="B994" s="323" t="s">
        <v>1014</v>
      </c>
      <c r="C994" s="323" t="s">
        <v>769</v>
      </c>
      <c r="D994" s="325">
        <v>5</v>
      </c>
      <c r="E994" s="326">
        <v>2.2599999999999998</v>
      </c>
      <c r="F994" s="326">
        <v>35004.25</v>
      </c>
      <c r="G994" s="323" t="s">
        <v>847</v>
      </c>
      <c r="H994" s="323" t="s">
        <v>844</v>
      </c>
      <c r="I994" s="323" t="s">
        <v>108</v>
      </c>
      <c r="J994" s="323" t="s">
        <v>757</v>
      </c>
      <c r="K994" s="323" t="s">
        <v>770</v>
      </c>
      <c r="L994" s="324">
        <v>44160</v>
      </c>
      <c r="M994" s="327">
        <v>0</v>
      </c>
    </row>
    <row r="995" spans="1:13" hidden="1" x14ac:dyDescent="0.25">
      <c r="A995" s="324">
        <v>44160</v>
      </c>
      <c r="B995" s="323" t="s">
        <v>1014</v>
      </c>
      <c r="C995" s="323" t="s">
        <v>769</v>
      </c>
      <c r="D995" s="325">
        <v>5</v>
      </c>
      <c r="E995" s="326">
        <v>580.87</v>
      </c>
      <c r="F995" s="326">
        <v>35585.120000000003</v>
      </c>
      <c r="G995" s="323" t="s">
        <v>847</v>
      </c>
      <c r="H995" s="323" t="s">
        <v>844</v>
      </c>
      <c r="I995" s="323" t="s">
        <v>108</v>
      </c>
      <c r="J995" s="323" t="s">
        <v>757</v>
      </c>
      <c r="K995" s="323" t="s">
        <v>770</v>
      </c>
      <c r="L995" s="324">
        <v>44160</v>
      </c>
      <c r="M995" s="327">
        <v>0</v>
      </c>
    </row>
    <row r="996" spans="1:13" hidden="1" x14ac:dyDescent="0.25">
      <c r="A996" s="324">
        <v>44160</v>
      </c>
      <c r="B996" s="323" t="s">
        <v>1014</v>
      </c>
      <c r="C996" s="323" t="s">
        <v>769</v>
      </c>
      <c r="D996" s="325">
        <v>5</v>
      </c>
      <c r="E996" s="326">
        <v>467.24</v>
      </c>
      <c r="F996" s="326">
        <v>36052.36</v>
      </c>
      <c r="G996" s="323" t="s">
        <v>971</v>
      </c>
      <c r="H996" s="323" t="s">
        <v>844</v>
      </c>
      <c r="I996" s="323" t="s">
        <v>108</v>
      </c>
      <c r="J996" s="323" t="s">
        <v>757</v>
      </c>
      <c r="K996" s="323" t="s">
        <v>770</v>
      </c>
      <c r="L996" s="324">
        <v>44160</v>
      </c>
      <c r="M996" s="327">
        <v>0</v>
      </c>
    </row>
    <row r="997" spans="1:13" hidden="1" x14ac:dyDescent="0.25">
      <c r="A997" s="324">
        <v>44160</v>
      </c>
      <c r="B997" s="323" t="s">
        <v>1014</v>
      </c>
      <c r="C997" s="323" t="s">
        <v>769</v>
      </c>
      <c r="D997" s="325">
        <v>5</v>
      </c>
      <c r="E997" s="326">
        <v>2018.3</v>
      </c>
      <c r="F997" s="326">
        <v>38070.660000000003</v>
      </c>
      <c r="G997" s="323" t="s">
        <v>846</v>
      </c>
      <c r="H997" s="323" t="s">
        <v>844</v>
      </c>
      <c r="I997" s="323" t="s">
        <v>108</v>
      </c>
      <c r="J997" s="323" t="s">
        <v>757</v>
      </c>
      <c r="K997" s="323" t="s">
        <v>770</v>
      </c>
      <c r="L997" s="324">
        <v>44160</v>
      </c>
      <c r="M997" s="327">
        <v>0</v>
      </c>
    </row>
    <row r="998" spans="1:13" hidden="1" x14ac:dyDescent="0.25">
      <c r="A998" s="324">
        <v>44160</v>
      </c>
      <c r="B998" s="323" t="s">
        <v>1014</v>
      </c>
      <c r="C998" s="323" t="s">
        <v>769</v>
      </c>
      <c r="D998" s="325">
        <v>5</v>
      </c>
      <c r="E998" s="326">
        <v>141.12</v>
      </c>
      <c r="F998" s="326">
        <v>38211.78</v>
      </c>
      <c r="G998" s="323" t="s">
        <v>1006</v>
      </c>
      <c r="H998" s="323" t="s">
        <v>844</v>
      </c>
      <c r="I998" s="323" t="s">
        <v>108</v>
      </c>
      <c r="J998" s="323" t="s">
        <v>757</v>
      </c>
      <c r="K998" s="323" t="s">
        <v>770</v>
      </c>
      <c r="L998" s="324">
        <v>44160</v>
      </c>
      <c r="M998" s="327">
        <v>0</v>
      </c>
    </row>
    <row r="999" spans="1:13" hidden="1" x14ac:dyDescent="0.25">
      <c r="A999" s="324">
        <v>44160</v>
      </c>
      <c r="B999" s="323" t="s">
        <v>1014</v>
      </c>
      <c r="C999" s="323" t="s">
        <v>769</v>
      </c>
      <c r="D999" s="325">
        <v>5</v>
      </c>
      <c r="E999" s="326">
        <v>19.989999999999998</v>
      </c>
      <c r="F999" s="326">
        <v>38231.769999999997</v>
      </c>
      <c r="G999" s="323" t="s">
        <v>966</v>
      </c>
      <c r="H999" s="323" t="s">
        <v>844</v>
      </c>
      <c r="I999" s="323" t="s">
        <v>108</v>
      </c>
      <c r="J999" s="323" t="s">
        <v>757</v>
      </c>
      <c r="K999" s="323" t="s">
        <v>770</v>
      </c>
      <c r="L999" s="324">
        <v>44160</v>
      </c>
      <c r="M999" s="327">
        <v>0</v>
      </c>
    </row>
    <row r="1000" spans="1:13" hidden="1" x14ac:dyDescent="0.25">
      <c r="A1000" s="324">
        <v>44160</v>
      </c>
      <c r="B1000" s="323" t="s">
        <v>1014</v>
      </c>
      <c r="C1000" s="323" t="s">
        <v>769</v>
      </c>
      <c r="D1000" s="325">
        <v>5</v>
      </c>
      <c r="E1000" s="326">
        <v>-3015.22</v>
      </c>
      <c r="F1000" s="326">
        <v>35216.550000000003</v>
      </c>
      <c r="G1000" s="323" t="s">
        <v>1016</v>
      </c>
      <c r="H1000" s="323" t="s">
        <v>844</v>
      </c>
      <c r="I1000" s="323" t="s">
        <v>108</v>
      </c>
      <c r="J1000" s="323" t="s">
        <v>757</v>
      </c>
      <c r="K1000" s="323" t="s">
        <v>770</v>
      </c>
      <c r="L1000" s="324">
        <v>44160</v>
      </c>
      <c r="M1000" s="327">
        <v>0</v>
      </c>
    </row>
    <row r="1001" spans="1:13" hidden="1" x14ac:dyDescent="0.25">
      <c r="A1001" s="324">
        <v>44167</v>
      </c>
      <c r="B1001" s="323" t="s">
        <v>961</v>
      </c>
      <c r="C1001" s="323" t="s">
        <v>769</v>
      </c>
      <c r="D1001" s="325">
        <v>6</v>
      </c>
      <c r="E1001" s="326">
        <v>4551.6000000000004</v>
      </c>
      <c r="F1001" s="326">
        <v>39768.15</v>
      </c>
      <c r="G1001" s="323" t="s">
        <v>962</v>
      </c>
      <c r="H1001" s="323" t="s">
        <v>844</v>
      </c>
      <c r="I1001" s="323" t="s">
        <v>108</v>
      </c>
      <c r="J1001" s="323" t="s">
        <v>757</v>
      </c>
      <c r="K1001" s="323" t="s">
        <v>770</v>
      </c>
      <c r="L1001" s="324">
        <v>44167</v>
      </c>
      <c r="M1001" s="327">
        <v>0</v>
      </c>
    </row>
    <row r="1002" spans="1:13" hidden="1" x14ac:dyDescent="0.25">
      <c r="A1002" s="324">
        <v>44196</v>
      </c>
      <c r="B1002" s="323" t="s">
        <v>1073</v>
      </c>
      <c r="C1002" s="323" t="s">
        <v>1060</v>
      </c>
      <c r="D1002" s="325">
        <v>6</v>
      </c>
      <c r="E1002" s="326">
        <v>15584.43</v>
      </c>
      <c r="F1002" s="326">
        <v>55352.58</v>
      </c>
      <c r="G1002" s="323" t="s">
        <v>1065</v>
      </c>
      <c r="H1002" s="323" t="s">
        <v>844</v>
      </c>
      <c r="I1002" s="323" t="s">
        <v>108</v>
      </c>
      <c r="J1002" s="323" t="s">
        <v>757</v>
      </c>
      <c r="K1002" s="323" t="s">
        <v>741</v>
      </c>
      <c r="L1002" s="324">
        <v>44196</v>
      </c>
      <c r="M1002" s="327">
        <v>0</v>
      </c>
    </row>
    <row r="1003" spans="1:13" hidden="1" x14ac:dyDescent="0.25">
      <c r="A1003" s="324">
        <v>44183</v>
      </c>
      <c r="B1003" s="323" t="s">
        <v>1003</v>
      </c>
      <c r="C1003" s="323" t="s">
        <v>769</v>
      </c>
      <c r="D1003" s="325">
        <v>7</v>
      </c>
      <c r="E1003" s="326">
        <v>18.18</v>
      </c>
      <c r="F1003" s="326">
        <v>55370.76</v>
      </c>
      <c r="G1003" s="323" t="s">
        <v>996</v>
      </c>
      <c r="H1003" s="323" t="s">
        <v>844</v>
      </c>
      <c r="I1003" s="323" t="s">
        <v>108</v>
      </c>
      <c r="J1003" s="323" t="s">
        <v>757</v>
      </c>
      <c r="K1003" s="323" t="s">
        <v>770</v>
      </c>
      <c r="L1003" s="324">
        <v>44183</v>
      </c>
      <c r="M1003" s="327">
        <v>0</v>
      </c>
    </row>
    <row r="1004" spans="1:13" hidden="1" x14ac:dyDescent="0.25">
      <c r="A1004" s="324">
        <v>44190</v>
      </c>
      <c r="B1004" s="323" t="s">
        <v>935</v>
      </c>
      <c r="C1004" s="323" t="s">
        <v>769</v>
      </c>
      <c r="D1004" s="325">
        <v>7</v>
      </c>
      <c r="E1004" s="326">
        <v>39</v>
      </c>
      <c r="F1004" s="326">
        <v>55409.760000000002</v>
      </c>
      <c r="G1004" s="323" t="s">
        <v>1015</v>
      </c>
      <c r="H1004" s="323" t="s">
        <v>844</v>
      </c>
      <c r="I1004" s="323" t="s">
        <v>108</v>
      </c>
      <c r="J1004" s="323" t="s">
        <v>757</v>
      </c>
      <c r="K1004" s="323" t="s">
        <v>770</v>
      </c>
      <c r="L1004" s="324">
        <v>44190</v>
      </c>
      <c r="M1004" s="327">
        <v>0</v>
      </c>
    </row>
    <row r="1005" spans="1:13" hidden="1" x14ac:dyDescent="0.25">
      <c r="A1005" s="324">
        <v>44190</v>
      </c>
      <c r="B1005" s="323" t="s">
        <v>935</v>
      </c>
      <c r="C1005" s="323" t="s">
        <v>769</v>
      </c>
      <c r="D1005" s="325">
        <v>7</v>
      </c>
      <c r="E1005" s="326">
        <v>244.28</v>
      </c>
      <c r="F1005" s="326">
        <v>55654.04</v>
      </c>
      <c r="G1005" s="323" t="s">
        <v>1013</v>
      </c>
      <c r="H1005" s="323" t="s">
        <v>844</v>
      </c>
      <c r="I1005" s="323" t="s">
        <v>108</v>
      </c>
      <c r="J1005" s="323" t="s">
        <v>757</v>
      </c>
      <c r="K1005" s="323" t="s">
        <v>770</v>
      </c>
      <c r="L1005" s="324">
        <v>44190</v>
      </c>
      <c r="M1005" s="327">
        <v>0</v>
      </c>
    </row>
    <row r="1006" spans="1:13" hidden="1" x14ac:dyDescent="0.25">
      <c r="A1006" s="324">
        <v>44190</v>
      </c>
      <c r="B1006" s="323" t="s">
        <v>935</v>
      </c>
      <c r="C1006" s="323" t="s">
        <v>769</v>
      </c>
      <c r="D1006" s="325">
        <v>7</v>
      </c>
      <c r="E1006" s="326">
        <v>135.77000000000001</v>
      </c>
      <c r="F1006" s="326">
        <v>55789.81</v>
      </c>
      <c r="G1006" s="323" t="s">
        <v>1005</v>
      </c>
      <c r="H1006" s="323" t="s">
        <v>844</v>
      </c>
      <c r="I1006" s="323" t="s">
        <v>108</v>
      </c>
      <c r="J1006" s="323" t="s">
        <v>757</v>
      </c>
      <c r="K1006" s="323" t="s">
        <v>770</v>
      </c>
      <c r="L1006" s="324">
        <v>44190</v>
      </c>
      <c r="M1006" s="327">
        <v>0</v>
      </c>
    </row>
    <row r="1007" spans="1:13" hidden="1" x14ac:dyDescent="0.25">
      <c r="A1007" s="324">
        <v>44190</v>
      </c>
      <c r="B1007" s="323" t="s">
        <v>935</v>
      </c>
      <c r="C1007" s="323" t="s">
        <v>769</v>
      </c>
      <c r="D1007" s="325">
        <v>7</v>
      </c>
      <c r="E1007" s="326">
        <v>601.17999999999995</v>
      </c>
      <c r="F1007" s="326">
        <v>56390.99</v>
      </c>
      <c r="G1007" s="323" t="s">
        <v>847</v>
      </c>
      <c r="H1007" s="323" t="s">
        <v>844</v>
      </c>
      <c r="I1007" s="323" t="s">
        <v>108</v>
      </c>
      <c r="J1007" s="323" t="s">
        <v>757</v>
      </c>
      <c r="K1007" s="323" t="s">
        <v>770</v>
      </c>
      <c r="L1007" s="324">
        <v>44190</v>
      </c>
      <c r="M1007" s="327">
        <v>0</v>
      </c>
    </row>
    <row r="1008" spans="1:13" hidden="1" x14ac:dyDescent="0.25">
      <c r="A1008" s="324">
        <v>44190</v>
      </c>
      <c r="B1008" s="323" t="s">
        <v>935</v>
      </c>
      <c r="C1008" s="323" t="s">
        <v>769</v>
      </c>
      <c r="D1008" s="325">
        <v>7</v>
      </c>
      <c r="E1008" s="326">
        <v>467.24</v>
      </c>
      <c r="F1008" s="326">
        <v>56858.23</v>
      </c>
      <c r="G1008" s="323" t="s">
        <v>971</v>
      </c>
      <c r="H1008" s="323" t="s">
        <v>844</v>
      </c>
      <c r="I1008" s="323" t="s">
        <v>108</v>
      </c>
      <c r="J1008" s="323" t="s">
        <v>757</v>
      </c>
      <c r="K1008" s="323" t="s">
        <v>770</v>
      </c>
      <c r="L1008" s="324">
        <v>44190</v>
      </c>
      <c r="M1008" s="327">
        <v>0</v>
      </c>
    </row>
    <row r="1009" spans="1:13" hidden="1" x14ac:dyDescent="0.25">
      <c r="A1009" s="324">
        <v>44190</v>
      </c>
      <c r="B1009" s="323" t="s">
        <v>935</v>
      </c>
      <c r="C1009" s="323" t="s">
        <v>769</v>
      </c>
      <c r="D1009" s="325">
        <v>7</v>
      </c>
      <c r="E1009" s="326">
        <v>2125.89</v>
      </c>
      <c r="F1009" s="326">
        <v>58984.12</v>
      </c>
      <c r="G1009" s="323" t="s">
        <v>846</v>
      </c>
      <c r="H1009" s="323" t="s">
        <v>844</v>
      </c>
      <c r="I1009" s="323" t="s">
        <v>108</v>
      </c>
      <c r="J1009" s="323" t="s">
        <v>757</v>
      </c>
      <c r="K1009" s="323" t="s">
        <v>770</v>
      </c>
      <c r="L1009" s="324">
        <v>44190</v>
      </c>
      <c r="M1009" s="327">
        <v>0</v>
      </c>
    </row>
    <row r="1010" spans="1:13" hidden="1" x14ac:dyDescent="0.25">
      <c r="A1010" s="324">
        <v>44190</v>
      </c>
      <c r="B1010" s="323" t="s">
        <v>935</v>
      </c>
      <c r="C1010" s="323" t="s">
        <v>769</v>
      </c>
      <c r="D1010" s="325">
        <v>7</v>
      </c>
      <c r="E1010" s="326">
        <v>135.63</v>
      </c>
      <c r="F1010" s="326">
        <v>59119.75</v>
      </c>
      <c r="G1010" s="323" t="s">
        <v>1006</v>
      </c>
      <c r="H1010" s="323" t="s">
        <v>844</v>
      </c>
      <c r="I1010" s="323" t="s">
        <v>108</v>
      </c>
      <c r="J1010" s="323" t="s">
        <v>757</v>
      </c>
      <c r="K1010" s="323" t="s">
        <v>770</v>
      </c>
      <c r="L1010" s="324">
        <v>44190</v>
      </c>
      <c r="M1010" s="327">
        <v>0</v>
      </c>
    </row>
    <row r="1011" spans="1:13" hidden="1" x14ac:dyDescent="0.25">
      <c r="A1011" s="324">
        <v>44190</v>
      </c>
      <c r="B1011" s="323" t="s">
        <v>935</v>
      </c>
      <c r="C1011" s="323" t="s">
        <v>769</v>
      </c>
      <c r="D1011" s="325">
        <v>7</v>
      </c>
      <c r="E1011" s="326">
        <v>19.989999999999998</v>
      </c>
      <c r="F1011" s="326">
        <v>59139.74</v>
      </c>
      <c r="G1011" s="323" t="s">
        <v>966</v>
      </c>
      <c r="H1011" s="323" t="s">
        <v>844</v>
      </c>
      <c r="I1011" s="323" t="s">
        <v>108</v>
      </c>
      <c r="J1011" s="323" t="s">
        <v>757</v>
      </c>
      <c r="K1011" s="323" t="s">
        <v>770</v>
      </c>
      <c r="L1011" s="324">
        <v>44190</v>
      </c>
      <c r="M1011" s="327">
        <v>0</v>
      </c>
    </row>
    <row r="1012" spans="1:13" hidden="1" x14ac:dyDescent="0.25">
      <c r="A1012" s="324">
        <v>44196</v>
      </c>
      <c r="B1012" s="323" t="s">
        <v>1073</v>
      </c>
      <c r="C1012" s="323" t="s">
        <v>1060</v>
      </c>
      <c r="D1012" s="325">
        <v>7</v>
      </c>
      <c r="E1012" s="326">
        <v>-15584.43</v>
      </c>
      <c r="F1012" s="326">
        <v>43555.31</v>
      </c>
      <c r="G1012" s="323" t="s">
        <v>1065</v>
      </c>
      <c r="H1012" s="323" t="s">
        <v>844</v>
      </c>
      <c r="I1012" s="323" t="s">
        <v>108</v>
      </c>
      <c r="J1012" s="323" t="s">
        <v>757</v>
      </c>
      <c r="K1012" s="323" t="s">
        <v>741</v>
      </c>
      <c r="L1012" s="324">
        <v>44196</v>
      </c>
      <c r="M1012" s="327">
        <v>0</v>
      </c>
    </row>
    <row r="1013" spans="1:13" hidden="1" x14ac:dyDescent="0.25">
      <c r="A1013" s="324">
        <v>44201</v>
      </c>
      <c r="B1013" s="323" t="s">
        <v>951</v>
      </c>
      <c r="C1013" s="323" t="s">
        <v>769</v>
      </c>
      <c r="D1013" s="325">
        <v>7</v>
      </c>
      <c r="E1013" s="326">
        <v>140</v>
      </c>
      <c r="F1013" s="326">
        <v>43695.31</v>
      </c>
      <c r="G1013" s="323" t="s">
        <v>952</v>
      </c>
      <c r="H1013" s="323" t="s">
        <v>844</v>
      </c>
      <c r="I1013" s="323" t="s">
        <v>108</v>
      </c>
      <c r="J1013" s="323" t="s">
        <v>757</v>
      </c>
      <c r="K1013" s="323" t="s">
        <v>770</v>
      </c>
      <c r="L1013" s="324">
        <v>44201</v>
      </c>
      <c r="M1013" s="327">
        <v>0</v>
      </c>
    </row>
    <row r="1014" spans="1:13" hidden="1" x14ac:dyDescent="0.25">
      <c r="A1014" s="324">
        <v>44214</v>
      </c>
      <c r="B1014" s="323" t="s">
        <v>997</v>
      </c>
      <c r="C1014" s="323" t="s">
        <v>769</v>
      </c>
      <c r="D1014" s="325">
        <v>7</v>
      </c>
      <c r="E1014" s="326">
        <v>17.39</v>
      </c>
      <c r="F1014" s="326">
        <v>43712.7</v>
      </c>
      <c r="G1014" s="323" t="s">
        <v>996</v>
      </c>
      <c r="H1014" s="323" t="s">
        <v>844</v>
      </c>
      <c r="I1014" s="323" t="s">
        <v>108</v>
      </c>
      <c r="J1014" s="323" t="s">
        <v>757</v>
      </c>
      <c r="K1014" s="323" t="s">
        <v>770</v>
      </c>
      <c r="L1014" s="324">
        <v>44214</v>
      </c>
      <c r="M1014" s="327">
        <v>0</v>
      </c>
    </row>
    <row r="1015" spans="1:13" hidden="1" x14ac:dyDescent="0.25">
      <c r="A1015" s="324">
        <v>44214</v>
      </c>
      <c r="B1015" s="323" t="s">
        <v>998</v>
      </c>
      <c r="C1015" s="323" t="s">
        <v>769</v>
      </c>
      <c r="D1015" s="325">
        <v>7</v>
      </c>
      <c r="E1015" s="326">
        <v>67.97</v>
      </c>
      <c r="F1015" s="326">
        <v>43780.67</v>
      </c>
      <c r="G1015" s="323" t="s">
        <v>999</v>
      </c>
      <c r="H1015" s="323" t="s">
        <v>844</v>
      </c>
      <c r="I1015" s="323" t="s">
        <v>108</v>
      </c>
      <c r="J1015" s="323" t="s">
        <v>757</v>
      </c>
      <c r="K1015" s="323" t="s">
        <v>770</v>
      </c>
      <c r="L1015" s="324">
        <v>44214</v>
      </c>
      <c r="M1015" s="327">
        <v>0</v>
      </c>
    </row>
    <row r="1016" spans="1:13" hidden="1" x14ac:dyDescent="0.25">
      <c r="A1016" s="324">
        <v>44221</v>
      </c>
      <c r="B1016" s="323" t="s">
        <v>1004</v>
      </c>
      <c r="C1016" s="323" t="s">
        <v>769</v>
      </c>
      <c r="D1016" s="325">
        <v>7</v>
      </c>
      <c r="E1016" s="326">
        <v>39</v>
      </c>
      <c r="F1016" s="326">
        <v>43819.67</v>
      </c>
      <c r="G1016" s="323" t="s">
        <v>973</v>
      </c>
      <c r="H1016" s="323" t="s">
        <v>844</v>
      </c>
      <c r="I1016" s="323" t="s">
        <v>108</v>
      </c>
      <c r="J1016" s="323" t="s">
        <v>757</v>
      </c>
      <c r="K1016" s="323" t="s">
        <v>770</v>
      </c>
      <c r="L1016" s="324">
        <v>44221</v>
      </c>
      <c r="M1016" s="327">
        <v>0</v>
      </c>
    </row>
    <row r="1017" spans="1:13" hidden="1" x14ac:dyDescent="0.25">
      <c r="A1017" s="324">
        <v>44221</v>
      </c>
      <c r="B1017" s="323" t="s">
        <v>1004</v>
      </c>
      <c r="C1017" s="323" t="s">
        <v>769</v>
      </c>
      <c r="D1017" s="325">
        <v>7</v>
      </c>
      <c r="E1017" s="326">
        <v>132.78</v>
      </c>
      <c r="F1017" s="326">
        <v>43952.45</v>
      </c>
      <c r="G1017" s="323" t="s">
        <v>1005</v>
      </c>
      <c r="H1017" s="323" t="s">
        <v>844</v>
      </c>
      <c r="I1017" s="323" t="s">
        <v>108</v>
      </c>
      <c r="J1017" s="323" t="s">
        <v>757</v>
      </c>
      <c r="K1017" s="323" t="s">
        <v>770</v>
      </c>
      <c r="L1017" s="324">
        <v>44221</v>
      </c>
      <c r="M1017" s="327">
        <v>0</v>
      </c>
    </row>
    <row r="1018" spans="1:13" hidden="1" x14ac:dyDescent="0.25">
      <c r="A1018" s="324">
        <v>44221</v>
      </c>
      <c r="B1018" s="323" t="s">
        <v>1004</v>
      </c>
      <c r="C1018" s="323" t="s">
        <v>769</v>
      </c>
      <c r="D1018" s="325">
        <v>7</v>
      </c>
      <c r="E1018" s="326">
        <v>601.86</v>
      </c>
      <c r="F1018" s="326">
        <v>44554.31</v>
      </c>
      <c r="G1018" s="323" t="s">
        <v>847</v>
      </c>
      <c r="H1018" s="323" t="s">
        <v>844</v>
      </c>
      <c r="I1018" s="323" t="s">
        <v>108</v>
      </c>
      <c r="J1018" s="323" t="s">
        <v>757</v>
      </c>
      <c r="K1018" s="323" t="s">
        <v>770</v>
      </c>
      <c r="L1018" s="324">
        <v>44221</v>
      </c>
      <c r="M1018" s="327">
        <v>0</v>
      </c>
    </row>
    <row r="1019" spans="1:13" hidden="1" x14ac:dyDescent="0.25">
      <c r="A1019" s="324">
        <v>44221</v>
      </c>
      <c r="B1019" s="323" t="s">
        <v>1004</v>
      </c>
      <c r="C1019" s="323" t="s">
        <v>769</v>
      </c>
      <c r="D1019" s="325">
        <v>7</v>
      </c>
      <c r="E1019" s="326">
        <v>467.24</v>
      </c>
      <c r="F1019" s="326">
        <v>45021.55</v>
      </c>
      <c r="G1019" s="323" t="s">
        <v>971</v>
      </c>
      <c r="H1019" s="323" t="s">
        <v>844</v>
      </c>
      <c r="I1019" s="323" t="s">
        <v>108</v>
      </c>
      <c r="J1019" s="323" t="s">
        <v>757</v>
      </c>
      <c r="K1019" s="323" t="s">
        <v>770</v>
      </c>
      <c r="L1019" s="324">
        <v>44221</v>
      </c>
      <c r="M1019" s="327">
        <v>0</v>
      </c>
    </row>
    <row r="1020" spans="1:13" hidden="1" x14ac:dyDescent="0.25">
      <c r="A1020" s="324">
        <v>44221</v>
      </c>
      <c r="B1020" s="323" t="s">
        <v>1004</v>
      </c>
      <c r="C1020" s="323" t="s">
        <v>769</v>
      </c>
      <c r="D1020" s="325">
        <v>7</v>
      </c>
      <c r="E1020" s="326">
        <v>2636.05</v>
      </c>
      <c r="F1020" s="326">
        <v>47657.599999999999</v>
      </c>
      <c r="G1020" s="323" t="s">
        <v>846</v>
      </c>
      <c r="H1020" s="323" t="s">
        <v>844</v>
      </c>
      <c r="I1020" s="323" t="s">
        <v>108</v>
      </c>
      <c r="J1020" s="323" t="s">
        <v>757</v>
      </c>
      <c r="K1020" s="323" t="s">
        <v>770</v>
      </c>
      <c r="L1020" s="324">
        <v>44221</v>
      </c>
      <c r="M1020" s="327">
        <v>0</v>
      </c>
    </row>
    <row r="1021" spans="1:13" hidden="1" x14ac:dyDescent="0.25">
      <c r="A1021" s="324">
        <v>44221</v>
      </c>
      <c r="B1021" s="323" t="s">
        <v>1004</v>
      </c>
      <c r="C1021" s="323" t="s">
        <v>769</v>
      </c>
      <c r="D1021" s="325">
        <v>7</v>
      </c>
      <c r="E1021" s="326">
        <v>132.08000000000001</v>
      </c>
      <c r="F1021" s="326">
        <v>47789.68</v>
      </c>
      <c r="G1021" s="323" t="s">
        <v>1006</v>
      </c>
      <c r="H1021" s="323" t="s">
        <v>844</v>
      </c>
      <c r="I1021" s="323" t="s">
        <v>108</v>
      </c>
      <c r="J1021" s="323" t="s">
        <v>757</v>
      </c>
      <c r="K1021" s="323" t="s">
        <v>770</v>
      </c>
      <c r="L1021" s="324">
        <v>44221</v>
      </c>
      <c r="M1021" s="327">
        <v>0</v>
      </c>
    </row>
    <row r="1022" spans="1:13" hidden="1" x14ac:dyDescent="0.25">
      <c r="A1022" s="324">
        <v>44221</v>
      </c>
      <c r="B1022" s="323" t="s">
        <v>1004</v>
      </c>
      <c r="C1022" s="323" t="s">
        <v>769</v>
      </c>
      <c r="D1022" s="325">
        <v>7</v>
      </c>
      <c r="E1022" s="326">
        <v>19.989999999999998</v>
      </c>
      <c r="F1022" s="326">
        <v>47809.67</v>
      </c>
      <c r="G1022" s="323" t="s">
        <v>966</v>
      </c>
      <c r="H1022" s="323" t="s">
        <v>844</v>
      </c>
      <c r="I1022" s="323" t="s">
        <v>108</v>
      </c>
      <c r="J1022" s="323" t="s">
        <v>757</v>
      </c>
      <c r="K1022" s="323" t="s">
        <v>770</v>
      </c>
      <c r="L1022" s="324">
        <v>44221</v>
      </c>
      <c r="M1022" s="327">
        <v>0</v>
      </c>
    </row>
    <row r="1023" spans="1:13" hidden="1" x14ac:dyDescent="0.25">
      <c r="A1023" s="324">
        <v>44221</v>
      </c>
      <c r="B1023" s="323" t="s">
        <v>1004</v>
      </c>
      <c r="C1023" s="323" t="s">
        <v>769</v>
      </c>
      <c r="D1023" s="325">
        <v>7</v>
      </c>
      <c r="E1023" s="326">
        <v>235.44</v>
      </c>
      <c r="F1023" s="326">
        <v>48045.11</v>
      </c>
      <c r="G1023" s="323" t="s">
        <v>1007</v>
      </c>
      <c r="H1023" s="323" t="s">
        <v>844</v>
      </c>
      <c r="I1023" s="323" t="s">
        <v>108</v>
      </c>
      <c r="J1023" s="323" t="s">
        <v>757</v>
      </c>
      <c r="K1023" s="323" t="s">
        <v>770</v>
      </c>
      <c r="L1023" s="324">
        <v>44221</v>
      </c>
      <c r="M1023" s="327">
        <v>0</v>
      </c>
    </row>
    <row r="1024" spans="1:13" hidden="1" x14ac:dyDescent="0.25">
      <c r="A1024" s="324">
        <v>44223</v>
      </c>
      <c r="B1024" s="323" t="s">
        <v>987</v>
      </c>
      <c r="C1024" s="323" t="s">
        <v>769</v>
      </c>
      <c r="D1024" s="325">
        <v>7</v>
      </c>
      <c r="E1024" s="326">
        <v>1703</v>
      </c>
      <c r="F1024" s="326">
        <v>49748.11</v>
      </c>
      <c r="G1024" s="323" t="s">
        <v>988</v>
      </c>
      <c r="H1024" s="323" t="s">
        <v>844</v>
      </c>
      <c r="I1024" s="323" t="s">
        <v>108</v>
      </c>
      <c r="J1024" s="323" t="s">
        <v>757</v>
      </c>
      <c r="K1024" s="323" t="s">
        <v>770</v>
      </c>
      <c r="L1024" s="324">
        <v>44223</v>
      </c>
      <c r="M1024" s="327">
        <v>0</v>
      </c>
    </row>
    <row r="1025" spans="1:13" hidden="1" x14ac:dyDescent="0.25">
      <c r="A1025" s="324">
        <v>44227</v>
      </c>
      <c r="B1025" s="323" t="s">
        <v>1074</v>
      </c>
      <c r="C1025" s="323" t="s">
        <v>1060</v>
      </c>
      <c r="D1025" s="325">
        <v>7</v>
      </c>
      <c r="E1025" s="326">
        <v>15584.43</v>
      </c>
      <c r="F1025" s="326">
        <v>65332.54</v>
      </c>
      <c r="G1025" s="323" t="s">
        <v>1065</v>
      </c>
      <c r="H1025" s="323" t="s">
        <v>844</v>
      </c>
      <c r="I1025" s="323" t="s">
        <v>108</v>
      </c>
      <c r="J1025" s="323" t="s">
        <v>757</v>
      </c>
      <c r="K1025" s="323" t="s">
        <v>741</v>
      </c>
      <c r="L1025" s="324">
        <v>44227</v>
      </c>
      <c r="M1025" s="327">
        <v>0</v>
      </c>
    </row>
    <row r="1026" spans="1:13" hidden="1" x14ac:dyDescent="0.25">
      <c r="A1026" s="324">
        <v>44227</v>
      </c>
      <c r="B1026" s="323" t="s">
        <v>1074</v>
      </c>
      <c r="C1026" s="323" t="s">
        <v>1060</v>
      </c>
      <c r="D1026" s="325">
        <v>8</v>
      </c>
      <c r="E1026" s="326">
        <v>-15584.43</v>
      </c>
      <c r="F1026" s="326">
        <v>49748.11</v>
      </c>
      <c r="G1026" s="323" t="s">
        <v>1065</v>
      </c>
      <c r="H1026" s="323" t="s">
        <v>844</v>
      </c>
      <c r="I1026" s="323" t="s">
        <v>108</v>
      </c>
      <c r="J1026" s="323" t="s">
        <v>757</v>
      </c>
      <c r="K1026" s="323" t="s">
        <v>741</v>
      </c>
      <c r="L1026" s="324">
        <v>44227</v>
      </c>
      <c r="M1026" s="327">
        <v>0</v>
      </c>
    </row>
    <row r="1027" spans="1:13" hidden="1" x14ac:dyDescent="0.25">
      <c r="A1027" s="324">
        <v>44229</v>
      </c>
      <c r="B1027" s="323" t="s">
        <v>963</v>
      </c>
      <c r="C1027" s="323" t="s">
        <v>769</v>
      </c>
      <c r="D1027" s="325">
        <v>8</v>
      </c>
      <c r="E1027" s="326">
        <v>4552.2</v>
      </c>
      <c r="F1027" s="326">
        <v>54300.31</v>
      </c>
      <c r="G1027" s="323" t="s">
        <v>964</v>
      </c>
      <c r="H1027" s="323" t="s">
        <v>844</v>
      </c>
      <c r="I1027" s="323" t="s">
        <v>108</v>
      </c>
      <c r="J1027" s="323" t="s">
        <v>757</v>
      </c>
      <c r="K1027" s="323" t="s">
        <v>770</v>
      </c>
      <c r="L1027" s="324">
        <v>44229</v>
      </c>
      <c r="M1027" s="327">
        <v>0</v>
      </c>
    </row>
    <row r="1028" spans="1:13" hidden="1" x14ac:dyDescent="0.25">
      <c r="A1028" s="324">
        <v>44255</v>
      </c>
      <c r="B1028" s="323" t="s">
        <v>1075</v>
      </c>
      <c r="C1028" s="323" t="s">
        <v>1060</v>
      </c>
      <c r="D1028" s="325">
        <v>8</v>
      </c>
      <c r="E1028" s="326">
        <v>15584.43</v>
      </c>
      <c r="F1028" s="326">
        <v>69884.740000000005</v>
      </c>
      <c r="G1028" s="323" t="s">
        <v>1065</v>
      </c>
      <c r="H1028" s="323" t="s">
        <v>844</v>
      </c>
      <c r="I1028" s="323" t="s">
        <v>108</v>
      </c>
      <c r="J1028" s="323" t="s">
        <v>757</v>
      </c>
      <c r="K1028" s="323" t="s">
        <v>741</v>
      </c>
      <c r="L1028" s="324">
        <v>44255</v>
      </c>
      <c r="M1028" s="327">
        <v>0</v>
      </c>
    </row>
    <row r="1029" spans="1:13" hidden="1" x14ac:dyDescent="0.25">
      <c r="A1029" s="324">
        <v>44259</v>
      </c>
      <c r="B1029" s="323" t="s">
        <v>1029</v>
      </c>
      <c r="C1029" s="323" t="s">
        <v>1060</v>
      </c>
      <c r="D1029" s="325">
        <v>8</v>
      </c>
      <c r="E1029" s="326">
        <v>235.44</v>
      </c>
      <c r="F1029" s="326">
        <v>70120.179999999993</v>
      </c>
      <c r="G1029" s="323" t="s">
        <v>1007</v>
      </c>
      <c r="H1029" s="323" t="s">
        <v>844</v>
      </c>
      <c r="I1029" s="323" t="s">
        <v>108</v>
      </c>
      <c r="J1029" s="323" t="s">
        <v>757</v>
      </c>
      <c r="K1029" s="323" t="s">
        <v>741</v>
      </c>
      <c r="L1029" s="324">
        <v>44259</v>
      </c>
      <c r="M1029" s="327">
        <v>0</v>
      </c>
    </row>
    <row r="1030" spans="1:13" hidden="1" x14ac:dyDescent="0.25">
      <c r="A1030" s="324">
        <v>44259</v>
      </c>
      <c r="B1030" s="323" t="s">
        <v>1029</v>
      </c>
      <c r="C1030" s="323" t="s">
        <v>1060</v>
      </c>
      <c r="D1030" s="325">
        <v>8</v>
      </c>
      <c r="E1030" s="326">
        <v>19.989999999999998</v>
      </c>
      <c r="F1030" s="326">
        <v>70140.17</v>
      </c>
      <c r="G1030" s="323" t="s">
        <v>966</v>
      </c>
      <c r="H1030" s="323" t="s">
        <v>844</v>
      </c>
      <c r="I1030" s="323" t="s">
        <v>108</v>
      </c>
      <c r="J1030" s="323" t="s">
        <v>757</v>
      </c>
      <c r="K1030" s="323" t="s">
        <v>741</v>
      </c>
      <c r="L1030" s="324">
        <v>44259</v>
      </c>
      <c r="M1030" s="327">
        <v>0</v>
      </c>
    </row>
    <row r="1031" spans="1:13" hidden="1" x14ac:dyDescent="0.25">
      <c r="A1031" s="324">
        <v>44259</v>
      </c>
      <c r="B1031" s="323" t="s">
        <v>1029</v>
      </c>
      <c r="C1031" s="323" t="s">
        <v>1060</v>
      </c>
      <c r="D1031" s="325">
        <v>8</v>
      </c>
      <c r="E1031" s="326">
        <v>132.08000000000001</v>
      </c>
      <c r="F1031" s="326">
        <v>70272.25</v>
      </c>
      <c r="G1031" s="323" t="s">
        <v>1006</v>
      </c>
      <c r="H1031" s="323" t="s">
        <v>844</v>
      </c>
      <c r="I1031" s="323" t="s">
        <v>108</v>
      </c>
      <c r="J1031" s="323" t="s">
        <v>757</v>
      </c>
      <c r="K1031" s="323" t="s">
        <v>741</v>
      </c>
      <c r="L1031" s="324">
        <v>44259</v>
      </c>
      <c r="M1031" s="327">
        <v>0</v>
      </c>
    </row>
    <row r="1032" spans="1:13" hidden="1" x14ac:dyDescent="0.25">
      <c r="A1032" s="324">
        <v>44259</v>
      </c>
      <c r="B1032" s="323" t="s">
        <v>1029</v>
      </c>
      <c r="C1032" s="323" t="s">
        <v>1060</v>
      </c>
      <c r="D1032" s="325">
        <v>8</v>
      </c>
      <c r="E1032" s="326">
        <v>2636.05</v>
      </c>
      <c r="F1032" s="326">
        <v>72908.3</v>
      </c>
      <c r="G1032" s="323" t="s">
        <v>846</v>
      </c>
      <c r="H1032" s="323" t="s">
        <v>844</v>
      </c>
      <c r="I1032" s="323" t="s">
        <v>108</v>
      </c>
      <c r="J1032" s="323" t="s">
        <v>757</v>
      </c>
      <c r="K1032" s="323" t="s">
        <v>741</v>
      </c>
      <c r="L1032" s="324">
        <v>44259</v>
      </c>
      <c r="M1032" s="327">
        <v>0</v>
      </c>
    </row>
    <row r="1033" spans="1:13" hidden="1" x14ac:dyDescent="0.25">
      <c r="A1033" s="324">
        <v>44259</v>
      </c>
      <c r="B1033" s="323" t="s">
        <v>1029</v>
      </c>
      <c r="C1033" s="323" t="s">
        <v>1060</v>
      </c>
      <c r="D1033" s="325">
        <v>8</v>
      </c>
      <c r="E1033" s="326">
        <v>467.24</v>
      </c>
      <c r="F1033" s="326">
        <v>73375.539999999994</v>
      </c>
      <c r="G1033" s="323" t="s">
        <v>971</v>
      </c>
      <c r="H1033" s="323" t="s">
        <v>844</v>
      </c>
      <c r="I1033" s="323" t="s">
        <v>108</v>
      </c>
      <c r="J1033" s="323" t="s">
        <v>757</v>
      </c>
      <c r="K1033" s="323" t="s">
        <v>741</v>
      </c>
      <c r="L1033" s="324">
        <v>44259</v>
      </c>
      <c r="M1033" s="327">
        <v>0</v>
      </c>
    </row>
    <row r="1034" spans="1:13" hidden="1" x14ac:dyDescent="0.25">
      <c r="A1034" s="324">
        <v>44259</v>
      </c>
      <c r="B1034" s="323" t="s">
        <v>1029</v>
      </c>
      <c r="C1034" s="323" t="s">
        <v>1060</v>
      </c>
      <c r="D1034" s="325">
        <v>8</v>
      </c>
      <c r="E1034" s="326">
        <v>601.86</v>
      </c>
      <c r="F1034" s="326">
        <v>73977.399999999994</v>
      </c>
      <c r="G1034" s="323" t="s">
        <v>847</v>
      </c>
      <c r="H1034" s="323" t="s">
        <v>844</v>
      </c>
      <c r="I1034" s="323" t="s">
        <v>108</v>
      </c>
      <c r="J1034" s="323" t="s">
        <v>757</v>
      </c>
      <c r="K1034" s="323" t="s">
        <v>741</v>
      </c>
      <c r="L1034" s="324">
        <v>44259</v>
      </c>
      <c r="M1034" s="327">
        <v>0</v>
      </c>
    </row>
    <row r="1035" spans="1:13" hidden="1" x14ac:dyDescent="0.25">
      <c r="A1035" s="324">
        <v>44259</v>
      </c>
      <c r="B1035" s="323" t="s">
        <v>1029</v>
      </c>
      <c r="C1035" s="323" t="s">
        <v>1060</v>
      </c>
      <c r="D1035" s="325">
        <v>8</v>
      </c>
      <c r="E1035" s="326">
        <v>132.78</v>
      </c>
      <c r="F1035" s="326">
        <v>74110.179999999993</v>
      </c>
      <c r="G1035" s="323" t="s">
        <v>1005</v>
      </c>
      <c r="H1035" s="323" t="s">
        <v>844</v>
      </c>
      <c r="I1035" s="323" t="s">
        <v>108</v>
      </c>
      <c r="J1035" s="323" t="s">
        <v>757</v>
      </c>
      <c r="K1035" s="323" t="s">
        <v>741</v>
      </c>
      <c r="L1035" s="324">
        <v>44259</v>
      </c>
      <c r="M1035" s="327">
        <v>0</v>
      </c>
    </row>
    <row r="1036" spans="1:13" hidden="1" x14ac:dyDescent="0.25">
      <c r="A1036" s="324">
        <v>44259</v>
      </c>
      <c r="B1036" s="323" t="s">
        <v>1029</v>
      </c>
      <c r="C1036" s="323" t="s">
        <v>1060</v>
      </c>
      <c r="D1036" s="325">
        <v>8</v>
      </c>
      <c r="E1036" s="326">
        <v>39</v>
      </c>
      <c r="F1036" s="326">
        <v>74149.179999999993</v>
      </c>
      <c r="G1036" s="323" t="s">
        <v>973</v>
      </c>
      <c r="H1036" s="323" t="s">
        <v>844</v>
      </c>
      <c r="I1036" s="323" t="s">
        <v>108</v>
      </c>
      <c r="J1036" s="323" t="s">
        <v>757</v>
      </c>
      <c r="K1036" s="323" t="s">
        <v>741</v>
      </c>
      <c r="L1036" s="324">
        <v>44259</v>
      </c>
      <c r="M1036" s="327">
        <v>0</v>
      </c>
    </row>
    <row r="1037" spans="1:13" hidden="1" x14ac:dyDescent="0.25">
      <c r="A1037" s="324">
        <v>44259</v>
      </c>
      <c r="B1037" s="323" t="s">
        <v>1029</v>
      </c>
      <c r="C1037" s="323" t="s">
        <v>1060</v>
      </c>
      <c r="D1037" s="325">
        <v>8</v>
      </c>
      <c r="E1037" s="326">
        <v>67.97</v>
      </c>
      <c r="F1037" s="326">
        <v>74217.149999999994</v>
      </c>
      <c r="G1037" s="323" t="s">
        <v>999</v>
      </c>
      <c r="H1037" s="323" t="s">
        <v>844</v>
      </c>
      <c r="I1037" s="323" t="s">
        <v>108</v>
      </c>
      <c r="J1037" s="323" t="s">
        <v>757</v>
      </c>
      <c r="K1037" s="323" t="s">
        <v>741</v>
      </c>
      <c r="L1037" s="324">
        <v>44259</v>
      </c>
      <c r="M1037" s="327">
        <v>0</v>
      </c>
    </row>
    <row r="1038" spans="1:13" hidden="1" x14ac:dyDescent="0.25">
      <c r="A1038" s="324">
        <v>44259</v>
      </c>
      <c r="B1038" s="323" t="s">
        <v>1029</v>
      </c>
      <c r="C1038" s="323" t="s">
        <v>1060</v>
      </c>
      <c r="D1038" s="325">
        <v>8</v>
      </c>
      <c r="E1038" s="326">
        <v>17.39</v>
      </c>
      <c r="F1038" s="326">
        <v>74234.539999999994</v>
      </c>
      <c r="G1038" s="323" t="s">
        <v>996</v>
      </c>
      <c r="H1038" s="323" t="s">
        <v>844</v>
      </c>
      <c r="I1038" s="323" t="s">
        <v>108</v>
      </c>
      <c r="J1038" s="323" t="s">
        <v>757</v>
      </c>
      <c r="K1038" s="323" t="s">
        <v>741</v>
      </c>
      <c r="L1038" s="324">
        <v>44259</v>
      </c>
      <c r="M1038" s="327">
        <v>0</v>
      </c>
    </row>
    <row r="1039" spans="1:13" hidden="1" x14ac:dyDescent="0.25">
      <c r="A1039" s="324">
        <v>44259</v>
      </c>
      <c r="B1039" s="323" t="s">
        <v>1029</v>
      </c>
      <c r="C1039" s="323" t="s">
        <v>1060</v>
      </c>
      <c r="D1039" s="325">
        <v>8</v>
      </c>
      <c r="E1039" s="326">
        <v>5439.6</v>
      </c>
      <c r="F1039" s="326">
        <v>79674.14</v>
      </c>
      <c r="G1039" s="323" t="s">
        <v>1069</v>
      </c>
      <c r="H1039" s="323" t="s">
        <v>844</v>
      </c>
      <c r="I1039" s="323" t="s">
        <v>108</v>
      </c>
      <c r="J1039" s="323" t="s">
        <v>757</v>
      </c>
      <c r="K1039" s="323" t="s">
        <v>741</v>
      </c>
      <c r="L1039" s="324">
        <v>44259</v>
      </c>
      <c r="M1039" s="327">
        <v>0</v>
      </c>
    </row>
    <row r="1040" spans="1:13" hidden="1" x14ac:dyDescent="0.25">
      <c r="A1040" s="324">
        <v>44259</v>
      </c>
      <c r="B1040" s="323" t="s">
        <v>1029</v>
      </c>
      <c r="C1040" s="323" t="s">
        <v>1060</v>
      </c>
      <c r="D1040" s="325">
        <v>8</v>
      </c>
      <c r="E1040" s="326">
        <v>4552.2</v>
      </c>
      <c r="F1040" s="326">
        <v>84226.34</v>
      </c>
      <c r="G1040" s="323" t="s">
        <v>1068</v>
      </c>
      <c r="H1040" s="323" t="s">
        <v>844</v>
      </c>
      <c r="I1040" s="323" t="s">
        <v>108</v>
      </c>
      <c r="J1040" s="323" t="s">
        <v>757</v>
      </c>
      <c r="K1040" s="323" t="s">
        <v>741</v>
      </c>
      <c r="L1040" s="324">
        <v>44259</v>
      </c>
      <c r="M1040" s="327">
        <v>0</v>
      </c>
    </row>
    <row r="1041" spans="1:13" hidden="1" x14ac:dyDescent="0.25">
      <c r="A1041" s="324">
        <v>43923</v>
      </c>
      <c r="B1041" s="323" t="s">
        <v>1042</v>
      </c>
      <c r="C1041" s="323" t="s">
        <v>769</v>
      </c>
      <c r="D1041" s="325">
        <v>9</v>
      </c>
      <c r="E1041" s="326">
        <v>5592.63</v>
      </c>
      <c r="F1041" s="326">
        <v>89818.97</v>
      </c>
      <c r="G1041" s="323" t="s">
        <v>1043</v>
      </c>
      <c r="H1041" s="323" t="s">
        <v>844</v>
      </c>
      <c r="I1041" s="323" t="s">
        <v>108</v>
      </c>
      <c r="J1041" s="323" t="s">
        <v>757</v>
      </c>
      <c r="K1041" s="323" t="s">
        <v>770</v>
      </c>
      <c r="L1041" s="324">
        <v>43923</v>
      </c>
      <c r="M1041" s="327">
        <v>0</v>
      </c>
    </row>
    <row r="1042" spans="1:13" hidden="1" x14ac:dyDescent="0.25">
      <c r="A1042" s="324">
        <v>44076</v>
      </c>
      <c r="B1042" s="323" t="s">
        <v>1044</v>
      </c>
      <c r="C1042" s="323" t="s">
        <v>769</v>
      </c>
      <c r="D1042" s="325">
        <v>9</v>
      </c>
      <c r="E1042" s="326">
        <v>5439.6</v>
      </c>
      <c r="F1042" s="326">
        <v>95258.57</v>
      </c>
      <c r="G1042" s="323" t="s">
        <v>1045</v>
      </c>
      <c r="H1042" s="323" t="s">
        <v>844</v>
      </c>
      <c r="I1042" s="323" t="s">
        <v>108</v>
      </c>
      <c r="J1042" s="323" t="s">
        <v>757</v>
      </c>
      <c r="K1042" s="323" t="s">
        <v>770</v>
      </c>
      <c r="L1042" s="324">
        <v>44076</v>
      </c>
      <c r="M1042" s="327">
        <v>0</v>
      </c>
    </row>
    <row r="1043" spans="1:13" hidden="1" x14ac:dyDescent="0.25">
      <c r="A1043" s="324">
        <v>44235</v>
      </c>
      <c r="B1043" s="323" t="s">
        <v>1046</v>
      </c>
      <c r="C1043" s="323" t="s">
        <v>769</v>
      </c>
      <c r="D1043" s="325">
        <v>9</v>
      </c>
      <c r="E1043" s="326">
        <v>129.37</v>
      </c>
      <c r="F1043" s="326">
        <v>95387.94</v>
      </c>
      <c r="G1043" s="323" t="s">
        <v>1047</v>
      </c>
      <c r="H1043" s="323" t="s">
        <v>844</v>
      </c>
      <c r="I1043" s="323" t="s">
        <v>108</v>
      </c>
      <c r="J1043" s="323" t="s">
        <v>757</v>
      </c>
      <c r="K1043" s="323" t="s">
        <v>770</v>
      </c>
      <c r="L1043" s="324">
        <v>44235</v>
      </c>
      <c r="M1043" s="327">
        <v>0</v>
      </c>
    </row>
    <row r="1044" spans="1:13" hidden="1" x14ac:dyDescent="0.25">
      <c r="A1044" s="324">
        <v>44236</v>
      </c>
      <c r="B1044" s="323" t="s">
        <v>1048</v>
      </c>
      <c r="C1044" s="323" t="s">
        <v>769</v>
      </c>
      <c r="D1044" s="325">
        <v>9</v>
      </c>
      <c r="E1044" s="326">
        <v>2725.21</v>
      </c>
      <c r="F1044" s="326">
        <v>98113.15</v>
      </c>
      <c r="G1044" s="323" t="s">
        <v>1049</v>
      </c>
      <c r="H1044" s="323" t="s">
        <v>844</v>
      </c>
      <c r="I1044" s="323" t="s">
        <v>108</v>
      </c>
      <c r="J1044" s="323" t="s">
        <v>757</v>
      </c>
      <c r="K1044" s="323" t="s">
        <v>770</v>
      </c>
      <c r="L1044" s="324">
        <v>44236</v>
      </c>
      <c r="M1044" s="327">
        <v>0</v>
      </c>
    </row>
    <row r="1045" spans="1:13" hidden="1" x14ac:dyDescent="0.25">
      <c r="A1045" s="324">
        <v>44245</v>
      </c>
      <c r="B1045" s="323" t="s">
        <v>1050</v>
      </c>
      <c r="C1045" s="323" t="s">
        <v>769</v>
      </c>
      <c r="D1045" s="325">
        <v>9</v>
      </c>
      <c r="E1045" s="326">
        <v>17.190000000000001</v>
      </c>
      <c r="F1045" s="326">
        <v>98130.34</v>
      </c>
      <c r="G1045" s="323" t="s">
        <v>996</v>
      </c>
      <c r="H1045" s="323" t="s">
        <v>844</v>
      </c>
      <c r="I1045" s="323" t="s">
        <v>108</v>
      </c>
      <c r="J1045" s="323" t="s">
        <v>757</v>
      </c>
      <c r="K1045" s="323" t="s">
        <v>770</v>
      </c>
      <c r="L1045" s="324">
        <v>44245</v>
      </c>
      <c r="M1045" s="327">
        <v>0</v>
      </c>
    </row>
    <row r="1046" spans="1:13" hidden="1" x14ac:dyDescent="0.25">
      <c r="A1046" s="324">
        <v>44250</v>
      </c>
      <c r="B1046" s="323" t="s">
        <v>1039</v>
      </c>
      <c r="C1046" s="323" t="s">
        <v>769</v>
      </c>
      <c r="D1046" s="325">
        <v>9</v>
      </c>
      <c r="E1046" s="326">
        <v>1835</v>
      </c>
      <c r="F1046" s="326">
        <v>99965.34</v>
      </c>
      <c r="G1046" s="323" t="s">
        <v>1040</v>
      </c>
      <c r="H1046" s="323" t="s">
        <v>844</v>
      </c>
      <c r="I1046" s="323" t="s">
        <v>108</v>
      </c>
      <c r="J1046" s="323" t="s">
        <v>757</v>
      </c>
      <c r="K1046" s="323" t="s">
        <v>770</v>
      </c>
      <c r="L1046" s="324">
        <v>44250</v>
      </c>
      <c r="M1046" s="327">
        <v>0</v>
      </c>
    </row>
    <row r="1047" spans="1:13" hidden="1" x14ac:dyDescent="0.25">
      <c r="A1047" s="324">
        <v>44252</v>
      </c>
      <c r="B1047" s="323" t="s">
        <v>1051</v>
      </c>
      <c r="C1047" s="323" t="s">
        <v>769</v>
      </c>
      <c r="D1047" s="325">
        <v>9</v>
      </c>
      <c r="E1047" s="326">
        <v>236.24</v>
      </c>
      <c r="F1047" s="326">
        <v>100201.58</v>
      </c>
      <c r="G1047" s="323" t="s">
        <v>1007</v>
      </c>
      <c r="H1047" s="323" t="s">
        <v>844</v>
      </c>
      <c r="I1047" s="323" t="s">
        <v>108</v>
      </c>
      <c r="J1047" s="323" t="s">
        <v>757</v>
      </c>
      <c r="K1047" s="323" t="s">
        <v>770</v>
      </c>
      <c r="L1047" s="324">
        <v>44252</v>
      </c>
      <c r="M1047" s="327">
        <v>0</v>
      </c>
    </row>
    <row r="1048" spans="1:13" hidden="1" x14ac:dyDescent="0.25">
      <c r="A1048" s="324">
        <v>44252</v>
      </c>
      <c r="B1048" s="323" t="s">
        <v>1051</v>
      </c>
      <c r="C1048" s="323" t="s">
        <v>769</v>
      </c>
      <c r="D1048" s="325">
        <v>9</v>
      </c>
      <c r="E1048" s="326">
        <v>131.30000000000001</v>
      </c>
      <c r="F1048" s="326">
        <v>100332.88</v>
      </c>
      <c r="G1048" s="323" t="s">
        <v>1053</v>
      </c>
      <c r="H1048" s="323" t="s">
        <v>844</v>
      </c>
      <c r="I1048" s="323" t="s">
        <v>108</v>
      </c>
      <c r="J1048" s="323" t="s">
        <v>757</v>
      </c>
      <c r="K1048" s="323" t="s">
        <v>770</v>
      </c>
      <c r="L1048" s="324">
        <v>44252</v>
      </c>
      <c r="M1048" s="327">
        <v>0</v>
      </c>
    </row>
    <row r="1049" spans="1:13" hidden="1" x14ac:dyDescent="0.25">
      <c r="A1049" s="324">
        <v>44252</v>
      </c>
      <c r="B1049" s="323" t="s">
        <v>1051</v>
      </c>
      <c r="C1049" s="323" t="s">
        <v>769</v>
      </c>
      <c r="D1049" s="325">
        <v>9</v>
      </c>
      <c r="E1049" s="326">
        <v>601.86</v>
      </c>
      <c r="F1049" s="326">
        <v>100934.74</v>
      </c>
      <c r="G1049" s="323" t="s">
        <v>847</v>
      </c>
      <c r="H1049" s="323" t="s">
        <v>844</v>
      </c>
      <c r="I1049" s="323" t="s">
        <v>108</v>
      </c>
      <c r="J1049" s="323" t="s">
        <v>757</v>
      </c>
      <c r="K1049" s="323" t="s">
        <v>770</v>
      </c>
      <c r="L1049" s="324">
        <v>44252</v>
      </c>
      <c r="M1049" s="327">
        <v>0</v>
      </c>
    </row>
    <row r="1050" spans="1:13" hidden="1" x14ac:dyDescent="0.25">
      <c r="A1050" s="324">
        <v>44252</v>
      </c>
      <c r="B1050" s="323" t="s">
        <v>1051</v>
      </c>
      <c r="C1050" s="323" t="s">
        <v>769</v>
      </c>
      <c r="D1050" s="325">
        <v>9</v>
      </c>
      <c r="E1050" s="326">
        <v>467.24</v>
      </c>
      <c r="F1050" s="326">
        <v>101401.98</v>
      </c>
      <c r="G1050" s="323" t="s">
        <v>971</v>
      </c>
      <c r="H1050" s="323" t="s">
        <v>844</v>
      </c>
      <c r="I1050" s="323" t="s">
        <v>108</v>
      </c>
      <c r="J1050" s="323" t="s">
        <v>757</v>
      </c>
      <c r="K1050" s="323" t="s">
        <v>770</v>
      </c>
      <c r="L1050" s="324">
        <v>44252</v>
      </c>
      <c r="M1050" s="327">
        <v>0</v>
      </c>
    </row>
    <row r="1051" spans="1:13" hidden="1" x14ac:dyDescent="0.25">
      <c r="A1051" s="324">
        <v>44252</v>
      </c>
      <c r="B1051" s="323" t="s">
        <v>1051</v>
      </c>
      <c r="C1051" s="323" t="s">
        <v>769</v>
      </c>
      <c r="D1051" s="325">
        <v>9</v>
      </c>
      <c r="E1051" s="326">
        <v>2932.82</v>
      </c>
      <c r="F1051" s="326">
        <v>104334.8</v>
      </c>
      <c r="G1051" s="323" t="s">
        <v>846</v>
      </c>
      <c r="H1051" s="323" t="s">
        <v>844</v>
      </c>
      <c r="I1051" s="323" t="s">
        <v>108</v>
      </c>
      <c r="J1051" s="323" t="s">
        <v>757</v>
      </c>
      <c r="K1051" s="323" t="s">
        <v>770</v>
      </c>
      <c r="L1051" s="324">
        <v>44252</v>
      </c>
      <c r="M1051" s="327">
        <v>0</v>
      </c>
    </row>
    <row r="1052" spans="1:13" hidden="1" x14ac:dyDescent="0.25">
      <c r="A1052" s="324">
        <v>44252</v>
      </c>
      <c r="B1052" s="323" t="s">
        <v>1051</v>
      </c>
      <c r="C1052" s="323" t="s">
        <v>769</v>
      </c>
      <c r="D1052" s="325">
        <v>9</v>
      </c>
      <c r="E1052" s="326">
        <v>132.13999999999999</v>
      </c>
      <c r="F1052" s="326">
        <v>104466.94</v>
      </c>
      <c r="G1052" s="323" t="s">
        <v>849</v>
      </c>
      <c r="H1052" s="323" t="s">
        <v>844</v>
      </c>
      <c r="I1052" s="323" t="s">
        <v>108</v>
      </c>
      <c r="J1052" s="323" t="s">
        <v>757</v>
      </c>
      <c r="K1052" s="323" t="s">
        <v>770</v>
      </c>
      <c r="L1052" s="324">
        <v>44252</v>
      </c>
      <c r="M1052" s="327">
        <v>0</v>
      </c>
    </row>
    <row r="1053" spans="1:13" hidden="1" x14ac:dyDescent="0.25">
      <c r="A1053" s="324">
        <v>44252</v>
      </c>
      <c r="B1053" s="323" t="s">
        <v>1051</v>
      </c>
      <c r="C1053" s="323" t="s">
        <v>769</v>
      </c>
      <c r="D1053" s="325">
        <v>9</v>
      </c>
      <c r="E1053" s="326">
        <v>19.989999999999998</v>
      </c>
      <c r="F1053" s="326">
        <v>104486.93</v>
      </c>
      <c r="G1053" s="323" t="s">
        <v>966</v>
      </c>
      <c r="H1053" s="323" t="s">
        <v>844</v>
      </c>
      <c r="I1053" s="323" t="s">
        <v>108</v>
      </c>
      <c r="J1053" s="323" t="s">
        <v>757</v>
      </c>
      <c r="K1053" s="323" t="s">
        <v>770</v>
      </c>
      <c r="L1053" s="324">
        <v>44252</v>
      </c>
      <c r="M1053" s="327">
        <v>0</v>
      </c>
    </row>
    <row r="1054" spans="1:13" hidden="1" x14ac:dyDescent="0.25">
      <c r="A1054" s="324">
        <v>44252</v>
      </c>
      <c r="B1054" s="323" t="s">
        <v>1051</v>
      </c>
      <c r="C1054" s="323" t="s">
        <v>769</v>
      </c>
      <c r="D1054" s="325">
        <v>9</v>
      </c>
      <c r="E1054" s="326">
        <v>39</v>
      </c>
      <c r="F1054" s="326">
        <v>104525.93</v>
      </c>
      <c r="G1054" s="323" t="s">
        <v>1052</v>
      </c>
      <c r="H1054" s="323" t="s">
        <v>844</v>
      </c>
      <c r="I1054" s="323" t="s">
        <v>108</v>
      </c>
      <c r="J1054" s="323" t="s">
        <v>757</v>
      </c>
      <c r="K1054" s="323" t="s">
        <v>770</v>
      </c>
      <c r="L1054" s="324">
        <v>44252</v>
      </c>
      <c r="M1054" s="327">
        <v>0</v>
      </c>
    </row>
    <row r="1055" spans="1:13" hidden="1" x14ac:dyDescent="0.25">
      <c r="A1055" s="324">
        <v>44255</v>
      </c>
      <c r="B1055" s="323" t="s">
        <v>1075</v>
      </c>
      <c r="C1055" s="323" t="s">
        <v>1060</v>
      </c>
      <c r="D1055" s="325">
        <v>9</v>
      </c>
      <c r="E1055" s="326">
        <v>-15584.43</v>
      </c>
      <c r="F1055" s="326">
        <v>88941.500000000102</v>
      </c>
      <c r="G1055" s="323" t="s">
        <v>1065</v>
      </c>
      <c r="H1055" s="323" t="s">
        <v>844</v>
      </c>
      <c r="I1055" s="323" t="s">
        <v>108</v>
      </c>
      <c r="J1055" s="323" t="s">
        <v>757</v>
      </c>
      <c r="K1055" s="323" t="s">
        <v>741</v>
      </c>
      <c r="L1055" s="324">
        <v>44255</v>
      </c>
      <c r="M1055" s="327">
        <v>0</v>
      </c>
    </row>
    <row r="1056" spans="1:13" hidden="1" x14ac:dyDescent="0.25">
      <c r="A1056" s="324">
        <v>44257</v>
      </c>
      <c r="B1056" s="323" t="s">
        <v>1054</v>
      </c>
      <c r="C1056" s="323" t="s">
        <v>769</v>
      </c>
      <c r="D1056" s="325">
        <v>9</v>
      </c>
      <c r="E1056" s="326">
        <v>4552.2</v>
      </c>
      <c r="F1056" s="326">
        <v>93493.700000000099</v>
      </c>
      <c r="G1056" s="323" t="s">
        <v>1055</v>
      </c>
      <c r="H1056" s="323" t="s">
        <v>844</v>
      </c>
      <c r="I1056" s="323" t="s">
        <v>108</v>
      </c>
      <c r="J1056" s="323" t="s">
        <v>757</v>
      </c>
      <c r="K1056" s="323" t="s">
        <v>770</v>
      </c>
      <c r="L1056" s="324">
        <v>44257</v>
      </c>
      <c r="M1056" s="327">
        <v>0</v>
      </c>
    </row>
    <row r="1057" spans="1:13" hidden="1" x14ac:dyDescent="0.25">
      <c r="A1057" s="324">
        <v>44259</v>
      </c>
      <c r="B1057" s="323" t="s">
        <v>1029</v>
      </c>
      <c r="C1057" s="323" t="s">
        <v>1060</v>
      </c>
      <c r="D1057" s="325">
        <v>9</v>
      </c>
      <c r="E1057" s="326">
        <v>-235.44</v>
      </c>
      <c r="F1057" s="326">
        <v>93258.26</v>
      </c>
      <c r="G1057" s="323" t="s">
        <v>1007</v>
      </c>
      <c r="H1057" s="323" t="s">
        <v>844</v>
      </c>
      <c r="I1057" s="323" t="s">
        <v>108</v>
      </c>
      <c r="J1057" s="323" t="s">
        <v>757</v>
      </c>
      <c r="K1057" s="323" t="s">
        <v>741</v>
      </c>
      <c r="L1057" s="324">
        <v>44259</v>
      </c>
      <c r="M1057" s="327">
        <v>0</v>
      </c>
    </row>
    <row r="1058" spans="1:13" hidden="1" x14ac:dyDescent="0.25">
      <c r="A1058" s="324">
        <v>44259</v>
      </c>
      <c r="B1058" s="323" t="s">
        <v>1029</v>
      </c>
      <c r="C1058" s="323" t="s">
        <v>1060</v>
      </c>
      <c r="D1058" s="325">
        <v>9</v>
      </c>
      <c r="E1058" s="326">
        <v>-19.989999999999998</v>
      </c>
      <c r="F1058" s="326">
        <v>93238.27</v>
      </c>
      <c r="G1058" s="323" t="s">
        <v>966</v>
      </c>
      <c r="H1058" s="323" t="s">
        <v>844</v>
      </c>
      <c r="I1058" s="323" t="s">
        <v>108</v>
      </c>
      <c r="J1058" s="323" t="s">
        <v>757</v>
      </c>
      <c r="K1058" s="323" t="s">
        <v>741</v>
      </c>
      <c r="L1058" s="324">
        <v>44259</v>
      </c>
      <c r="M1058" s="327">
        <v>0</v>
      </c>
    </row>
    <row r="1059" spans="1:13" hidden="1" x14ac:dyDescent="0.25">
      <c r="A1059" s="324">
        <v>44259</v>
      </c>
      <c r="B1059" s="323" t="s">
        <v>1029</v>
      </c>
      <c r="C1059" s="323" t="s">
        <v>1060</v>
      </c>
      <c r="D1059" s="325">
        <v>9</v>
      </c>
      <c r="E1059" s="326">
        <v>-132.08000000000001</v>
      </c>
      <c r="F1059" s="326">
        <v>93106.19</v>
      </c>
      <c r="G1059" s="323" t="s">
        <v>1006</v>
      </c>
      <c r="H1059" s="323" t="s">
        <v>844</v>
      </c>
      <c r="I1059" s="323" t="s">
        <v>108</v>
      </c>
      <c r="J1059" s="323" t="s">
        <v>757</v>
      </c>
      <c r="K1059" s="323" t="s">
        <v>741</v>
      </c>
      <c r="L1059" s="324">
        <v>44259</v>
      </c>
      <c r="M1059" s="327">
        <v>0</v>
      </c>
    </row>
    <row r="1060" spans="1:13" hidden="1" x14ac:dyDescent="0.25">
      <c r="A1060" s="324">
        <v>44259</v>
      </c>
      <c r="B1060" s="323" t="s">
        <v>1029</v>
      </c>
      <c r="C1060" s="323" t="s">
        <v>1060</v>
      </c>
      <c r="D1060" s="325">
        <v>9</v>
      </c>
      <c r="E1060" s="326">
        <v>-2636.05</v>
      </c>
      <c r="F1060" s="326">
        <v>90470.14</v>
      </c>
      <c r="G1060" s="323" t="s">
        <v>846</v>
      </c>
      <c r="H1060" s="323" t="s">
        <v>844</v>
      </c>
      <c r="I1060" s="323" t="s">
        <v>108</v>
      </c>
      <c r="J1060" s="323" t="s">
        <v>757</v>
      </c>
      <c r="K1060" s="323" t="s">
        <v>741</v>
      </c>
      <c r="L1060" s="324">
        <v>44259</v>
      </c>
      <c r="M1060" s="327">
        <v>0</v>
      </c>
    </row>
    <row r="1061" spans="1:13" hidden="1" x14ac:dyDescent="0.25">
      <c r="A1061" s="324">
        <v>44259</v>
      </c>
      <c r="B1061" s="323" t="s">
        <v>1029</v>
      </c>
      <c r="C1061" s="323" t="s">
        <v>1060</v>
      </c>
      <c r="D1061" s="325">
        <v>9</v>
      </c>
      <c r="E1061" s="326">
        <v>-467.24</v>
      </c>
      <c r="F1061" s="326">
        <v>90002.9</v>
      </c>
      <c r="G1061" s="323" t="s">
        <v>971</v>
      </c>
      <c r="H1061" s="323" t="s">
        <v>844</v>
      </c>
      <c r="I1061" s="323" t="s">
        <v>108</v>
      </c>
      <c r="J1061" s="323" t="s">
        <v>757</v>
      </c>
      <c r="K1061" s="323" t="s">
        <v>741</v>
      </c>
      <c r="L1061" s="324">
        <v>44259</v>
      </c>
      <c r="M1061" s="327">
        <v>0</v>
      </c>
    </row>
    <row r="1062" spans="1:13" hidden="1" x14ac:dyDescent="0.25">
      <c r="A1062" s="324">
        <v>44259</v>
      </c>
      <c r="B1062" s="323" t="s">
        <v>1029</v>
      </c>
      <c r="C1062" s="323" t="s">
        <v>1060</v>
      </c>
      <c r="D1062" s="325">
        <v>9</v>
      </c>
      <c r="E1062" s="326">
        <v>-601.86</v>
      </c>
      <c r="F1062" s="326">
        <v>89401.04</v>
      </c>
      <c r="G1062" s="323" t="s">
        <v>847</v>
      </c>
      <c r="H1062" s="323" t="s">
        <v>844</v>
      </c>
      <c r="I1062" s="323" t="s">
        <v>108</v>
      </c>
      <c r="J1062" s="323" t="s">
        <v>757</v>
      </c>
      <c r="K1062" s="323" t="s">
        <v>741</v>
      </c>
      <c r="L1062" s="324">
        <v>44259</v>
      </c>
      <c r="M1062" s="327">
        <v>0</v>
      </c>
    </row>
    <row r="1063" spans="1:13" hidden="1" x14ac:dyDescent="0.25">
      <c r="A1063" s="324">
        <v>44259</v>
      </c>
      <c r="B1063" s="323" t="s">
        <v>1029</v>
      </c>
      <c r="C1063" s="323" t="s">
        <v>1060</v>
      </c>
      <c r="D1063" s="325">
        <v>9</v>
      </c>
      <c r="E1063" s="326">
        <v>-132.78</v>
      </c>
      <c r="F1063" s="326">
        <v>89268.26</v>
      </c>
      <c r="G1063" s="323" t="s">
        <v>1005</v>
      </c>
      <c r="H1063" s="323" t="s">
        <v>844</v>
      </c>
      <c r="I1063" s="323" t="s">
        <v>108</v>
      </c>
      <c r="J1063" s="323" t="s">
        <v>757</v>
      </c>
      <c r="K1063" s="323" t="s">
        <v>741</v>
      </c>
      <c r="L1063" s="324">
        <v>44259</v>
      </c>
      <c r="M1063" s="327">
        <v>0</v>
      </c>
    </row>
    <row r="1064" spans="1:13" hidden="1" x14ac:dyDescent="0.25">
      <c r="A1064" s="324">
        <v>44259</v>
      </c>
      <c r="B1064" s="323" t="s">
        <v>1029</v>
      </c>
      <c r="C1064" s="323" t="s">
        <v>1060</v>
      </c>
      <c r="D1064" s="325">
        <v>9</v>
      </c>
      <c r="E1064" s="326">
        <v>-39</v>
      </c>
      <c r="F1064" s="326">
        <v>89229.26</v>
      </c>
      <c r="G1064" s="323" t="s">
        <v>973</v>
      </c>
      <c r="H1064" s="323" t="s">
        <v>844</v>
      </c>
      <c r="I1064" s="323" t="s">
        <v>108</v>
      </c>
      <c r="J1064" s="323" t="s">
        <v>757</v>
      </c>
      <c r="K1064" s="323" t="s">
        <v>741</v>
      </c>
      <c r="L1064" s="324">
        <v>44259</v>
      </c>
      <c r="M1064" s="327">
        <v>0</v>
      </c>
    </row>
    <row r="1065" spans="1:13" hidden="1" x14ac:dyDescent="0.25">
      <c r="A1065" s="324">
        <v>44259</v>
      </c>
      <c r="B1065" s="323" t="s">
        <v>1029</v>
      </c>
      <c r="C1065" s="323" t="s">
        <v>1060</v>
      </c>
      <c r="D1065" s="325">
        <v>9</v>
      </c>
      <c r="E1065" s="326">
        <v>-67.97</v>
      </c>
      <c r="F1065" s="326">
        <v>89161.29</v>
      </c>
      <c r="G1065" s="323" t="s">
        <v>999</v>
      </c>
      <c r="H1065" s="323" t="s">
        <v>844</v>
      </c>
      <c r="I1065" s="323" t="s">
        <v>108</v>
      </c>
      <c r="J1065" s="323" t="s">
        <v>757</v>
      </c>
      <c r="K1065" s="323" t="s">
        <v>741</v>
      </c>
      <c r="L1065" s="324">
        <v>44259</v>
      </c>
      <c r="M1065" s="327">
        <v>0</v>
      </c>
    </row>
    <row r="1066" spans="1:13" hidden="1" x14ac:dyDescent="0.25">
      <c r="A1066" s="324">
        <v>44259</v>
      </c>
      <c r="B1066" s="323" t="s">
        <v>1029</v>
      </c>
      <c r="C1066" s="323" t="s">
        <v>1060</v>
      </c>
      <c r="D1066" s="325">
        <v>9</v>
      </c>
      <c r="E1066" s="326">
        <v>-17.39</v>
      </c>
      <c r="F1066" s="326">
        <v>89143.9</v>
      </c>
      <c r="G1066" s="323" t="s">
        <v>996</v>
      </c>
      <c r="H1066" s="323" t="s">
        <v>844</v>
      </c>
      <c r="I1066" s="323" t="s">
        <v>108</v>
      </c>
      <c r="J1066" s="323" t="s">
        <v>757</v>
      </c>
      <c r="K1066" s="323" t="s">
        <v>741</v>
      </c>
      <c r="L1066" s="324">
        <v>44259</v>
      </c>
      <c r="M1066" s="327">
        <v>0</v>
      </c>
    </row>
    <row r="1067" spans="1:13" hidden="1" x14ac:dyDescent="0.25">
      <c r="A1067" s="324">
        <v>44259</v>
      </c>
      <c r="B1067" s="323" t="s">
        <v>1029</v>
      </c>
      <c r="C1067" s="323" t="s">
        <v>1060</v>
      </c>
      <c r="D1067" s="325">
        <v>9</v>
      </c>
      <c r="E1067" s="326">
        <v>-5439.6</v>
      </c>
      <c r="F1067" s="326">
        <v>83704.3</v>
      </c>
      <c r="G1067" s="323" t="s">
        <v>1069</v>
      </c>
      <c r="H1067" s="323" t="s">
        <v>844</v>
      </c>
      <c r="I1067" s="323" t="s">
        <v>108</v>
      </c>
      <c r="J1067" s="323" t="s">
        <v>757</v>
      </c>
      <c r="K1067" s="323" t="s">
        <v>741</v>
      </c>
      <c r="L1067" s="324">
        <v>44259</v>
      </c>
      <c r="M1067" s="327">
        <v>0</v>
      </c>
    </row>
    <row r="1068" spans="1:13" hidden="1" x14ac:dyDescent="0.25">
      <c r="A1068" s="324">
        <v>44259</v>
      </c>
      <c r="B1068" s="323" t="s">
        <v>1029</v>
      </c>
      <c r="C1068" s="323" t="s">
        <v>1060</v>
      </c>
      <c r="D1068" s="325">
        <v>9</v>
      </c>
      <c r="E1068" s="326">
        <v>-4552.2</v>
      </c>
      <c r="F1068" s="326">
        <v>79152.100000000006</v>
      </c>
      <c r="G1068" s="323" t="s">
        <v>1068</v>
      </c>
      <c r="H1068" s="323" t="s">
        <v>844</v>
      </c>
      <c r="I1068" s="323" t="s">
        <v>108</v>
      </c>
      <c r="J1068" s="323" t="s">
        <v>757</v>
      </c>
      <c r="K1068" s="323" t="s">
        <v>741</v>
      </c>
      <c r="L1068" s="324">
        <v>44259</v>
      </c>
      <c r="M1068" s="327">
        <v>0</v>
      </c>
    </row>
    <row r="1069" spans="1:13" hidden="1" x14ac:dyDescent="0.25">
      <c r="A1069" s="324">
        <v>44273</v>
      </c>
      <c r="B1069" s="323" t="s">
        <v>1056</v>
      </c>
      <c r="C1069" s="323" t="s">
        <v>769</v>
      </c>
      <c r="D1069" s="325">
        <v>9</v>
      </c>
      <c r="E1069" s="326">
        <v>17.03</v>
      </c>
      <c r="F1069" s="326">
        <v>79169.13</v>
      </c>
      <c r="G1069" s="323" t="s">
        <v>1057</v>
      </c>
      <c r="H1069" s="323" t="s">
        <v>844</v>
      </c>
      <c r="I1069" s="323" t="s">
        <v>108</v>
      </c>
      <c r="J1069" s="323" t="s">
        <v>757</v>
      </c>
      <c r="K1069" s="323" t="s">
        <v>770</v>
      </c>
      <c r="L1069" s="324">
        <v>44273</v>
      </c>
      <c r="M1069" s="327">
        <v>0</v>
      </c>
    </row>
    <row r="1070" spans="1:13" hidden="1" x14ac:dyDescent="0.25">
      <c r="A1070" s="324">
        <v>44280</v>
      </c>
      <c r="B1070" s="323" t="s">
        <v>1058</v>
      </c>
      <c r="C1070" s="323" t="s">
        <v>769</v>
      </c>
      <c r="D1070" s="325">
        <v>9</v>
      </c>
      <c r="E1070" s="326">
        <v>39</v>
      </c>
      <c r="F1070" s="326">
        <v>79208.13</v>
      </c>
      <c r="G1070" s="323" t="s">
        <v>973</v>
      </c>
      <c r="H1070" s="323" t="s">
        <v>844</v>
      </c>
      <c r="I1070" s="323" t="s">
        <v>108</v>
      </c>
      <c r="J1070" s="323" t="s">
        <v>757</v>
      </c>
      <c r="K1070" s="323" t="s">
        <v>770</v>
      </c>
      <c r="L1070" s="324">
        <v>44280</v>
      </c>
      <c r="M1070" s="327">
        <v>0</v>
      </c>
    </row>
    <row r="1071" spans="1:13" hidden="1" x14ac:dyDescent="0.25">
      <c r="A1071" s="324">
        <v>44280</v>
      </c>
      <c r="B1071" s="323" t="s">
        <v>1058</v>
      </c>
      <c r="C1071" s="323" t="s">
        <v>769</v>
      </c>
      <c r="D1071" s="325">
        <v>9</v>
      </c>
      <c r="E1071" s="326">
        <v>237.41</v>
      </c>
      <c r="F1071" s="326">
        <v>79445.539999999994</v>
      </c>
      <c r="G1071" s="323" t="s">
        <v>1013</v>
      </c>
      <c r="H1071" s="323" t="s">
        <v>844</v>
      </c>
      <c r="I1071" s="323" t="s">
        <v>108</v>
      </c>
      <c r="J1071" s="323" t="s">
        <v>757</v>
      </c>
      <c r="K1071" s="323" t="s">
        <v>770</v>
      </c>
      <c r="L1071" s="324">
        <v>44280</v>
      </c>
      <c r="M1071" s="327">
        <v>0</v>
      </c>
    </row>
    <row r="1072" spans="1:13" hidden="1" x14ac:dyDescent="0.25">
      <c r="A1072" s="324">
        <v>44280</v>
      </c>
      <c r="B1072" s="323" t="s">
        <v>1058</v>
      </c>
      <c r="C1072" s="323" t="s">
        <v>769</v>
      </c>
      <c r="D1072" s="325">
        <v>9</v>
      </c>
      <c r="E1072" s="326">
        <v>132.35</v>
      </c>
      <c r="F1072" s="326">
        <v>79577.89</v>
      </c>
      <c r="G1072" s="323" t="s">
        <v>1005</v>
      </c>
      <c r="H1072" s="323" t="s">
        <v>844</v>
      </c>
      <c r="I1072" s="323" t="s">
        <v>108</v>
      </c>
      <c r="J1072" s="323" t="s">
        <v>757</v>
      </c>
      <c r="K1072" s="323" t="s">
        <v>770</v>
      </c>
      <c r="L1072" s="324">
        <v>44280</v>
      </c>
      <c r="M1072" s="327">
        <v>0</v>
      </c>
    </row>
    <row r="1073" spans="1:13" hidden="1" x14ac:dyDescent="0.25">
      <c r="A1073" s="324">
        <v>44280</v>
      </c>
      <c r="B1073" s="323" t="s">
        <v>1058</v>
      </c>
      <c r="C1073" s="323" t="s">
        <v>769</v>
      </c>
      <c r="D1073" s="325">
        <v>9</v>
      </c>
      <c r="E1073" s="326">
        <v>601.86</v>
      </c>
      <c r="F1073" s="326">
        <v>80179.75</v>
      </c>
      <c r="G1073" s="323" t="s">
        <v>847</v>
      </c>
      <c r="H1073" s="323" t="s">
        <v>844</v>
      </c>
      <c r="I1073" s="323" t="s">
        <v>108</v>
      </c>
      <c r="J1073" s="323" t="s">
        <v>757</v>
      </c>
      <c r="K1073" s="323" t="s">
        <v>770</v>
      </c>
      <c r="L1073" s="324">
        <v>44280</v>
      </c>
      <c r="M1073" s="327">
        <v>0</v>
      </c>
    </row>
    <row r="1074" spans="1:13" hidden="1" x14ac:dyDescent="0.25">
      <c r="A1074" s="324">
        <v>44280</v>
      </c>
      <c r="B1074" s="323" t="s">
        <v>1058</v>
      </c>
      <c r="C1074" s="323" t="s">
        <v>769</v>
      </c>
      <c r="D1074" s="325">
        <v>9</v>
      </c>
      <c r="E1074" s="326">
        <v>467.24</v>
      </c>
      <c r="F1074" s="326">
        <v>80646.990000000005</v>
      </c>
      <c r="G1074" s="323" t="s">
        <v>971</v>
      </c>
      <c r="H1074" s="323" t="s">
        <v>844</v>
      </c>
      <c r="I1074" s="323" t="s">
        <v>108</v>
      </c>
      <c r="J1074" s="323" t="s">
        <v>757</v>
      </c>
      <c r="K1074" s="323" t="s">
        <v>770</v>
      </c>
      <c r="L1074" s="324">
        <v>44280</v>
      </c>
      <c r="M1074" s="327">
        <v>0</v>
      </c>
    </row>
    <row r="1075" spans="1:13" hidden="1" x14ac:dyDescent="0.25">
      <c r="A1075" s="324">
        <v>44280</v>
      </c>
      <c r="B1075" s="323" t="s">
        <v>1058</v>
      </c>
      <c r="C1075" s="323" t="s">
        <v>769</v>
      </c>
      <c r="D1075" s="325">
        <v>9</v>
      </c>
      <c r="E1075" s="326">
        <v>19.989999999999998</v>
      </c>
      <c r="F1075" s="326">
        <v>80666.98</v>
      </c>
      <c r="G1075" s="323" t="s">
        <v>966</v>
      </c>
      <c r="H1075" s="323" t="s">
        <v>844</v>
      </c>
      <c r="I1075" s="323" t="s">
        <v>108</v>
      </c>
      <c r="J1075" s="323" t="s">
        <v>757</v>
      </c>
      <c r="K1075" s="323" t="s">
        <v>770</v>
      </c>
      <c r="L1075" s="324">
        <v>44280</v>
      </c>
      <c r="M1075" s="327">
        <v>0</v>
      </c>
    </row>
    <row r="1076" spans="1:13" hidden="1" x14ac:dyDescent="0.25">
      <c r="A1076" s="324">
        <v>44280</v>
      </c>
      <c r="B1076" s="323" t="s">
        <v>1058</v>
      </c>
      <c r="C1076" s="323" t="s">
        <v>769</v>
      </c>
      <c r="D1076" s="325">
        <v>9</v>
      </c>
      <c r="E1076" s="326">
        <v>132.03</v>
      </c>
      <c r="F1076" s="326">
        <v>80799.009999999995</v>
      </c>
      <c r="G1076" s="323" t="s">
        <v>1006</v>
      </c>
      <c r="H1076" s="323" t="s">
        <v>844</v>
      </c>
      <c r="I1076" s="323" t="s">
        <v>108</v>
      </c>
      <c r="J1076" s="323" t="s">
        <v>757</v>
      </c>
      <c r="K1076" s="323" t="s">
        <v>770</v>
      </c>
      <c r="L1076" s="324">
        <v>44280</v>
      </c>
      <c r="M1076" s="327">
        <v>0</v>
      </c>
    </row>
    <row r="1077" spans="1:13" hidden="1" x14ac:dyDescent="0.25">
      <c r="A1077" s="324">
        <v>44280</v>
      </c>
      <c r="B1077" s="323" t="s">
        <v>1058</v>
      </c>
      <c r="C1077" s="323" t="s">
        <v>769</v>
      </c>
      <c r="D1077" s="325">
        <v>9</v>
      </c>
      <c r="E1077" s="326">
        <v>2982.93</v>
      </c>
      <c r="F1077" s="326">
        <v>83781.94</v>
      </c>
      <c r="G1077" s="323" t="s">
        <v>846</v>
      </c>
      <c r="H1077" s="323" t="s">
        <v>844</v>
      </c>
      <c r="I1077" s="323" t="s">
        <v>108</v>
      </c>
      <c r="J1077" s="323" t="s">
        <v>757</v>
      </c>
      <c r="K1077" s="323" t="s">
        <v>770</v>
      </c>
      <c r="L1077" s="324">
        <v>44280</v>
      </c>
      <c r="M1077" s="327">
        <v>0</v>
      </c>
    </row>
    <row r="1078" spans="1:13" hidden="1" x14ac:dyDescent="0.25">
      <c r="A1078" s="324">
        <v>44286</v>
      </c>
      <c r="B1078" s="323" t="s">
        <v>1533</v>
      </c>
      <c r="C1078" s="323" t="s">
        <v>1060</v>
      </c>
      <c r="D1078" s="325">
        <v>9</v>
      </c>
      <c r="E1078" s="326">
        <v>1877</v>
      </c>
      <c r="F1078" s="326">
        <v>85658.94</v>
      </c>
      <c r="G1078" s="323" t="s">
        <v>1675</v>
      </c>
      <c r="H1078" s="323" t="s">
        <v>844</v>
      </c>
      <c r="I1078" s="323" t="s">
        <v>108</v>
      </c>
      <c r="J1078" s="323" t="s">
        <v>757</v>
      </c>
      <c r="K1078" s="323" t="s">
        <v>741</v>
      </c>
      <c r="L1078" s="324">
        <v>44286</v>
      </c>
      <c r="M1078" s="327">
        <v>0</v>
      </c>
    </row>
    <row r="1079" spans="1:13" hidden="1" x14ac:dyDescent="0.25">
      <c r="A1079" s="324">
        <v>44286</v>
      </c>
      <c r="B1079" s="323" t="s">
        <v>1533</v>
      </c>
      <c r="C1079" s="323" t="s">
        <v>1060</v>
      </c>
      <c r="D1079" s="325">
        <v>9</v>
      </c>
      <c r="E1079" s="326">
        <v>4552.2</v>
      </c>
      <c r="F1079" s="326">
        <v>90211.14</v>
      </c>
      <c r="G1079" s="323" t="s">
        <v>1676</v>
      </c>
      <c r="H1079" s="323" t="s">
        <v>844</v>
      </c>
      <c r="I1079" s="323" t="s">
        <v>108</v>
      </c>
      <c r="J1079" s="323" t="s">
        <v>757</v>
      </c>
      <c r="K1079" s="323" t="s">
        <v>741</v>
      </c>
      <c r="L1079" s="324">
        <v>44286</v>
      </c>
      <c r="M1079" s="327">
        <v>0</v>
      </c>
    </row>
    <row r="1080" spans="1:13" hidden="1" x14ac:dyDescent="0.25">
      <c r="A1080" s="324">
        <v>44286</v>
      </c>
      <c r="B1080" s="323" t="s">
        <v>1533</v>
      </c>
      <c r="C1080" s="323" t="s">
        <v>1060</v>
      </c>
      <c r="D1080" s="325">
        <v>10</v>
      </c>
      <c r="E1080" s="326">
        <v>-1877</v>
      </c>
      <c r="F1080" s="326">
        <v>88334.14</v>
      </c>
      <c r="G1080" s="323" t="s">
        <v>1675</v>
      </c>
      <c r="H1080" s="323" t="s">
        <v>844</v>
      </c>
      <c r="I1080" s="323" t="s">
        <v>108</v>
      </c>
      <c r="J1080" s="323" t="s">
        <v>757</v>
      </c>
      <c r="K1080" s="323" t="s">
        <v>741</v>
      </c>
      <c r="L1080" s="324">
        <v>44286</v>
      </c>
      <c r="M1080" s="327">
        <v>0</v>
      </c>
    </row>
    <row r="1081" spans="1:13" hidden="1" x14ac:dyDescent="0.25">
      <c r="A1081" s="324">
        <v>44286</v>
      </c>
      <c r="B1081" s="323" t="s">
        <v>1533</v>
      </c>
      <c r="C1081" s="323" t="s">
        <v>1060</v>
      </c>
      <c r="D1081" s="325">
        <v>10</v>
      </c>
      <c r="E1081" s="326">
        <v>-4552.2</v>
      </c>
      <c r="F1081" s="326">
        <v>83781.94</v>
      </c>
      <c r="G1081" s="323" t="s">
        <v>1676</v>
      </c>
      <c r="H1081" s="323" t="s">
        <v>844</v>
      </c>
      <c r="I1081" s="323" t="s">
        <v>108</v>
      </c>
      <c r="J1081" s="323" t="s">
        <v>757</v>
      </c>
      <c r="K1081" s="323" t="s">
        <v>741</v>
      </c>
      <c r="L1081" s="324">
        <v>44286</v>
      </c>
      <c r="M1081" s="327">
        <v>0</v>
      </c>
    </row>
    <row r="1082" spans="1:13" hidden="1" x14ac:dyDescent="0.25">
      <c r="A1082" s="324">
        <v>44292</v>
      </c>
      <c r="B1082" s="323" t="s">
        <v>1099</v>
      </c>
      <c r="C1082" s="323" t="s">
        <v>769</v>
      </c>
      <c r="D1082" s="325">
        <v>10</v>
      </c>
      <c r="E1082" s="326">
        <v>4552.2</v>
      </c>
      <c r="F1082" s="326">
        <v>88334.14</v>
      </c>
      <c r="G1082" s="323" t="s">
        <v>1100</v>
      </c>
      <c r="H1082" s="323" t="s">
        <v>844</v>
      </c>
      <c r="I1082" s="323" t="s">
        <v>108</v>
      </c>
      <c r="J1082" s="323" t="s">
        <v>757</v>
      </c>
      <c r="K1082" s="323" t="s">
        <v>770</v>
      </c>
      <c r="L1082" s="324">
        <v>44292</v>
      </c>
      <c r="M1082" s="327">
        <v>0</v>
      </c>
    </row>
    <row r="1083" spans="1:13" hidden="1" x14ac:dyDescent="0.25">
      <c r="A1083" s="324">
        <v>44316</v>
      </c>
      <c r="B1083" s="323" t="s">
        <v>1105</v>
      </c>
      <c r="C1083" s="323" t="s">
        <v>1060</v>
      </c>
      <c r="D1083" s="325">
        <v>10</v>
      </c>
      <c r="E1083" s="326">
        <v>4552.2</v>
      </c>
      <c r="F1083" s="326">
        <v>92886.34</v>
      </c>
      <c r="G1083" s="323" t="s">
        <v>1098</v>
      </c>
      <c r="H1083" s="323" t="s">
        <v>844</v>
      </c>
      <c r="I1083" s="323" t="s">
        <v>108</v>
      </c>
      <c r="J1083" s="323" t="s">
        <v>757</v>
      </c>
      <c r="K1083" s="323" t="s">
        <v>741</v>
      </c>
      <c r="L1083" s="324">
        <v>44316</v>
      </c>
      <c r="M1083" s="327">
        <v>0</v>
      </c>
    </row>
    <row r="1084" spans="1:13" hidden="1" x14ac:dyDescent="0.25">
      <c r="A1084" s="324">
        <v>44316</v>
      </c>
      <c r="B1084" s="323" t="s">
        <v>1105</v>
      </c>
      <c r="C1084" s="323" t="s">
        <v>1060</v>
      </c>
      <c r="D1084" s="325">
        <v>10</v>
      </c>
      <c r="E1084" s="326">
        <v>611.66999999999996</v>
      </c>
      <c r="F1084" s="326">
        <v>93498.01</v>
      </c>
      <c r="G1084" s="323" t="s">
        <v>1675</v>
      </c>
      <c r="H1084" s="323" t="s">
        <v>844</v>
      </c>
      <c r="I1084" s="323" t="s">
        <v>108</v>
      </c>
      <c r="J1084" s="323" t="s">
        <v>757</v>
      </c>
      <c r="K1084" s="323" t="s">
        <v>741</v>
      </c>
      <c r="L1084" s="324">
        <v>44316</v>
      </c>
      <c r="M1084" s="327">
        <v>0</v>
      </c>
    </row>
    <row r="1085" spans="1:13" hidden="1" x14ac:dyDescent="0.25">
      <c r="A1085" s="324">
        <v>44316</v>
      </c>
      <c r="B1085" s="323" t="s">
        <v>1105</v>
      </c>
      <c r="C1085" s="323" t="s">
        <v>1060</v>
      </c>
      <c r="D1085" s="325">
        <v>10</v>
      </c>
      <c r="E1085" s="326">
        <v>2982.93</v>
      </c>
      <c r="F1085" s="326">
        <v>96480.94</v>
      </c>
      <c r="G1085" s="323" t="s">
        <v>846</v>
      </c>
      <c r="H1085" s="323" t="s">
        <v>844</v>
      </c>
      <c r="I1085" s="323" t="s">
        <v>108</v>
      </c>
      <c r="J1085" s="323" t="s">
        <v>757</v>
      </c>
      <c r="K1085" s="323" t="s">
        <v>741</v>
      </c>
      <c r="L1085" s="324">
        <v>44316</v>
      </c>
      <c r="M1085" s="327">
        <v>0</v>
      </c>
    </row>
    <row r="1086" spans="1:13" hidden="1" x14ac:dyDescent="0.25">
      <c r="A1086" s="324">
        <v>44316</v>
      </c>
      <c r="B1086" s="323" t="s">
        <v>1105</v>
      </c>
      <c r="C1086" s="323" t="s">
        <v>1060</v>
      </c>
      <c r="D1086" s="325">
        <v>10</v>
      </c>
      <c r="E1086" s="326">
        <v>39</v>
      </c>
      <c r="F1086" s="326">
        <v>96519.94</v>
      </c>
      <c r="G1086" s="323" t="s">
        <v>973</v>
      </c>
      <c r="H1086" s="323" t="s">
        <v>844</v>
      </c>
      <c r="I1086" s="323" t="s">
        <v>108</v>
      </c>
      <c r="J1086" s="323" t="s">
        <v>757</v>
      </c>
      <c r="K1086" s="323" t="s">
        <v>741</v>
      </c>
      <c r="L1086" s="324">
        <v>44316</v>
      </c>
      <c r="M1086" s="327">
        <v>0</v>
      </c>
    </row>
    <row r="1087" spans="1:13" hidden="1" x14ac:dyDescent="0.25">
      <c r="A1087" s="324">
        <v>44316</v>
      </c>
      <c r="B1087" s="323" t="s">
        <v>1105</v>
      </c>
      <c r="C1087" s="323" t="s">
        <v>1060</v>
      </c>
      <c r="D1087" s="325">
        <v>10</v>
      </c>
      <c r="E1087" s="326">
        <v>467.24</v>
      </c>
      <c r="F1087" s="326">
        <v>96987.18</v>
      </c>
      <c r="G1087" s="323" t="s">
        <v>971</v>
      </c>
      <c r="H1087" s="323" t="s">
        <v>844</v>
      </c>
      <c r="I1087" s="323" t="s">
        <v>108</v>
      </c>
      <c r="J1087" s="323" t="s">
        <v>757</v>
      </c>
      <c r="K1087" s="323" t="s">
        <v>741</v>
      </c>
      <c r="L1087" s="324">
        <v>44316</v>
      </c>
      <c r="M1087" s="327">
        <v>0</v>
      </c>
    </row>
    <row r="1088" spans="1:13" hidden="1" x14ac:dyDescent="0.25">
      <c r="A1088" s="324">
        <v>44316</v>
      </c>
      <c r="B1088" s="323" t="s">
        <v>1105</v>
      </c>
      <c r="C1088" s="323" t="s">
        <v>1060</v>
      </c>
      <c r="D1088" s="325">
        <v>10</v>
      </c>
      <c r="E1088" s="326">
        <v>19.989999999999998</v>
      </c>
      <c r="F1088" s="326">
        <v>97007.17</v>
      </c>
      <c r="G1088" s="323" t="s">
        <v>966</v>
      </c>
      <c r="H1088" s="323" t="s">
        <v>844</v>
      </c>
      <c r="I1088" s="323" t="s">
        <v>108</v>
      </c>
      <c r="J1088" s="323" t="s">
        <v>757</v>
      </c>
      <c r="K1088" s="323" t="s">
        <v>741</v>
      </c>
      <c r="L1088" s="324">
        <v>44316</v>
      </c>
      <c r="M1088" s="327">
        <v>0</v>
      </c>
    </row>
    <row r="1089" spans="1:13" hidden="1" x14ac:dyDescent="0.25">
      <c r="A1089" s="324">
        <v>44316</v>
      </c>
      <c r="B1089" s="323" t="s">
        <v>1105</v>
      </c>
      <c r="C1089" s="323" t="s">
        <v>1060</v>
      </c>
      <c r="D1089" s="325">
        <v>10</v>
      </c>
      <c r="E1089" s="326">
        <v>132.03</v>
      </c>
      <c r="F1089" s="326">
        <v>97139.199999999997</v>
      </c>
      <c r="G1089" s="323" t="s">
        <v>1006</v>
      </c>
      <c r="H1089" s="323" t="s">
        <v>844</v>
      </c>
      <c r="I1089" s="323" t="s">
        <v>108</v>
      </c>
      <c r="J1089" s="323" t="s">
        <v>757</v>
      </c>
      <c r="K1089" s="323" t="s">
        <v>741</v>
      </c>
      <c r="L1089" s="324">
        <v>44316</v>
      </c>
      <c r="M1089" s="327">
        <v>0</v>
      </c>
    </row>
    <row r="1090" spans="1:13" hidden="1" x14ac:dyDescent="0.25">
      <c r="A1090" s="324">
        <v>44316</v>
      </c>
      <c r="B1090" s="323" t="s">
        <v>1105</v>
      </c>
      <c r="C1090" s="323" t="s">
        <v>1060</v>
      </c>
      <c r="D1090" s="325">
        <v>10</v>
      </c>
      <c r="E1090" s="326">
        <v>132.35</v>
      </c>
      <c r="F1090" s="326">
        <v>97271.55</v>
      </c>
      <c r="G1090" s="323" t="s">
        <v>1005</v>
      </c>
      <c r="H1090" s="323" t="s">
        <v>844</v>
      </c>
      <c r="I1090" s="323" t="s">
        <v>108</v>
      </c>
      <c r="J1090" s="323" t="s">
        <v>757</v>
      </c>
      <c r="K1090" s="323" t="s">
        <v>741</v>
      </c>
      <c r="L1090" s="324">
        <v>44316</v>
      </c>
      <c r="M1090" s="327">
        <v>0</v>
      </c>
    </row>
    <row r="1091" spans="1:13" hidden="1" x14ac:dyDescent="0.25">
      <c r="A1091" s="324">
        <v>44316</v>
      </c>
      <c r="B1091" s="323" t="s">
        <v>1105</v>
      </c>
      <c r="C1091" s="323" t="s">
        <v>1060</v>
      </c>
      <c r="D1091" s="325">
        <v>10</v>
      </c>
      <c r="E1091" s="326">
        <v>237.41</v>
      </c>
      <c r="F1091" s="326">
        <v>97508.96</v>
      </c>
      <c r="G1091" s="323" t="s">
        <v>1013</v>
      </c>
      <c r="H1091" s="323" t="s">
        <v>844</v>
      </c>
      <c r="I1091" s="323" t="s">
        <v>108</v>
      </c>
      <c r="J1091" s="323" t="s">
        <v>757</v>
      </c>
      <c r="K1091" s="323" t="s">
        <v>741</v>
      </c>
      <c r="L1091" s="324">
        <v>44316</v>
      </c>
      <c r="M1091" s="327">
        <v>0</v>
      </c>
    </row>
    <row r="1092" spans="1:13" hidden="1" x14ac:dyDescent="0.25">
      <c r="A1092" s="324">
        <v>44316</v>
      </c>
      <c r="B1092" s="323" t="s">
        <v>1105</v>
      </c>
      <c r="C1092" s="323" t="s">
        <v>1060</v>
      </c>
      <c r="D1092" s="325">
        <v>10</v>
      </c>
      <c r="E1092" s="326">
        <v>601.86</v>
      </c>
      <c r="F1092" s="326">
        <v>98110.82</v>
      </c>
      <c r="G1092" s="323" t="s">
        <v>847</v>
      </c>
      <c r="H1092" s="323" t="s">
        <v>844</v>
      </c>
      <c r="I1092" s="323" t="s">
        <v>108</v>
      </c>
      <c r="J1092" s="323" t="s">
        <v>757</v>
      </c>
      <c r="K1092" s="323" t="s">
        <v>741</v>
      </c>
      <c r="L1092" s="324">
        <v>44316</v>
      </c>
      <c r="M1092" s="327">
        <v>0</v>
      </c>
    </row>
    <row r="1093" spans="1:13" hidden="1" x14ac:dyDescent="0.25">
      <c r="A1093" s="324">
        <v>44316</v>
      </c>
      <c r="B1093" s="323" t="s">
        <v>1105</v>
      </c>
      <c r="C1093" s="323" t="s">
        <v>1060</v>
      </c>
      <c r="D1093" s="325">
        <v>10</v>
      </c>
      <c r="E1093" s="326">
        <v>17.03</v>
      </c>
      <c r="F1093" s="326">
        <v>98127.85</v>
      </c>
      <c r="G1093" s="323" t="s">
        <v>1677</v>
      </c>
      <c r="H1093" s="323" t="s">
        <v>844</v>
      </c>
      <c r="I1093" s="323" t="s">
        <v>108</v>
      </c>
      <c r="J1093" s="323" t="s">
        <v>757</v>
      </c>
      <c r="K1093" s="323" t="s">
        <v>741</v>
      </c>
      <c r="L1093" s="324">
        <v>44316</v>
      </c>
      <c r="M1093" s="327">
        <v>0</v>
      </c>
    </row>
    <row r="1094" spans="1:13" hidden="1" x14ac:dyDescent="0.25">
      <c r="A1094" s="324">
        <v>44175</v>
      </c>
      <c r="B1094" s="323" t="s">
        <v>1034</v>
      </c>
      <c r="C1094" s="323" t="s">
        <v>769</v>
      </c>
      <c r="D1094" s="325">
        <v>7</v>
      </c>
      <c r="E1094" s="326">
        <v>1703</v>
      </c>
      <c r="F1094" s="326">
        <v>99268.54</v>
      </c>
      <c r="G1094" s="323" t="s">
        <v>1035</v>
      </c>
      <c r="H1094" s="323" t="s">
        <v>1036</v>
      </c>
      <c r="I1094" s="323" t="s">
        <v>108</v>
      </c>
      <c r="J1094" s="323" t="s">
        <v>757</v>
      </c>
      <c r="K1094" s="323" t="s">
        <v>770</v>
      </c>
      <c r="L1094" s="324">
        <v>44175</v>
      </c>
      <c r="M1094" s="327">
        <v>0</v>
      </c>
    </row>
    <row r="1095" spans="1:13" hidden="1" x14ac:dyDescent="0.25">
      <c r="A1095" s="324">
        <v>44200</v>
      </c>
      <c r="B1095" s="323" t="s">
        <v>1037</v>
      </c>
      <c r="C1095" s="323" t="s">
        <v>769</v>
      </c>
      <c r="D1095" s="325">
        <v>7</v>
      </c>
      <c r="E1095" s="326">
        <v>4552.2</v>
      </c>
      <c r="F1095" s="326">
        <v>103820.74</v>
      </c>
      <c r="G1095" s="323" t="s">
        <v>1038</v>
      </c>
      <c r="H1095" s="323" t="s">
        <v>1036</v>
      </c>
      <c r="I1095" s="323" t="s">
        <v>108</v>
      </c>
      <c r="J1095" s="323" t="s">
        <v>757</v>
      </c>
      <c r="K1095" s="323" t="s">
        <v>770</v>
      </c>
      <c r="L1095" s="324">
        <v>44200</v>
      </c>
      <c r="M1095" s="327">
        <v>0</v>
      </c>
    </row>
    <row r="1096" spans="1:13" hidden="1" x14ac:dyDescent="0.25">
      <c r="A1096" s="324">
        <v>44284</v>
      </c>
      <c r="B1096" s="323" t="s">
        <v>1101</v>
      </c>
      <c r="C1096" s="323" t="s">
        <v>769</v>
      </c>
      <c r="D1096" s="325">
        <v>10</v>
      </c>
      <c r="E1096" s="326">
        <v>1835</v>
      </c>
      <c r="F1096" s="326">
        <v>105655.74</v>
      </c>
      <c r="G1096" s="323" t="s">
        <v>1102</v>
      </c>
      <c r="H1096" s="323" t="s">
        <v>1036</v>
      </c>
      <c r="I1096" s="323" t="s">
        <v>108</v>
      </c>
      <c r="J1096" s="323" t="s">
        <v>757</v>
      </c>
      <c r="K1096" s="323" t="s">
        <v>770</v>
      </c>
      <c r="L1096" s="324">
        <v>44284</v>
      </c>
      <c r="M1096" s="327">
        <v>0</v>
      </c>
    </row>
    <row r="1097" spans="1:13" hidden="1" x14ac:dyDescent="0.25">
      <c r="A1097" s="329">
        <v>44012</v>
      </c>
      <c r="B1097" s="328" t="s">
        <v>1678</v>
      </c>
      <c r="C1097" s="328" t="s">
        <v>769</v>
      </c>
      <c r="D1097" s="330">
        <v>1</v>
      </c>
      <c r="E1097" s="331">
        <v>49.5</v>
      </c>
      <c r="F1097" s="331">
        <v>49.5</v>
      </c>
      <c r="G1097" s="328" t="s">
        <v>1679</v>
      </c>
      <c r="H1097" s="328" t="s">
        <v>1680</v>
      </c>
      <c r="I1097" s="328" t="s">
        <v>110</v>
      </c>
      <c r="J1097" s="328" t="s">
        <v>757</v>
      </c>
      <c r="K1097" s="328" t="s">
        <v>770</v>
      </c>
      <c r="L1097" s="329">
        <v>44012</v>
      </c>
      <c r="M1097" s="332">
        <v>0</v>
      </c>
    </row>
    <row r="1098" spans="1:13" hidden="1" x14ac:dyDescent="0.25">
      <c r="A1098" s="329">
        <v>44012</v>
      </c>
      <c r="B1098" s="328" t="s">
        <v>1681</v>
      </c>
      <c r="C1098" s="328" t="s">
        <v>1059</v>
      </c>
      <c r="D1098" s="330">
        <v>1</v>
      </c>
      <c r="E1098" s="331">
        <v>-44</v>
      </c>
      <c r="F1098" s="331">
        <v>5.5</v>
      </c>
      <c r="G1098" s="328" t="s">
        <v>1682</v>
      </c>
      <c r="H1098" s="328" t="s">
        <v>1680</v>
      </c>
      <c r="I1098" s="328" t="s">
        <v>110</v>
      </c>
      <c r="J1098" s="328" t="s">
        <v>757</v>
      </c>
      <c r="K1098" s="328" t="s">
        <v>741</v>
      </c>
      <c r="L1098" s="329">
        <v>44012</v>
      </c>
      <c r="M1098" s="332">
        <v>0</v>
      </c>
    </row>
    <row r="1099" spans="1:13" hidden="1" x14ac:dyDescent="0.25">
      <c r="A1099" s="329">
        <v>44041</v>
      </c>
      <c r="B1099" s="328" t="s">
        <v>1683</v>
      </c>
      <c r="C1099" s="328" t="s">
        <v>936</v>
      </c>
      <c r="D1099" s="330">
        <v>1</v>
      </c>
      <c r="E1099" s="331">
        <v>-5.5</v>
      </c>
      <c r="F1099" s="331">
        <v>0</v>
      </c>
      <c r="G1099" s="328" t="s">
        <v>1684</v>
      </c>
      <c r="H1099" s="328" t="s">
        <v>1680</v>
      </c>
      <c r="I1099" s="328" t="s">
        <v>110</v>
      </c>
      <c r="J1099" s="328" t="s">
        <v>757</v>
      </c>
      <c r="K1099" s="328" t="s">
        <v>770</v>
      </c>
      <c r="L1099" s="329">
        <v>44041</v>
      </c>
      <c r="M1099" s="332">
        <v>0</v>
      </c>
    </row>
    <row r="1100" spans="1:13" hidden="1" x14ac:dyDescent="0.25">
      <c r="A1100" s="329">
        <v>44043</v>
      </c>
      <c r="B1100" s="328" t="s">
        <v>1685</v>
      </c>
      <c r="C1100" s="328" t="s">
        <v>1060</v>
      </c>
      <c r="D1100" s="330">
        <v>1</v>
      </c>
      <c r="E1100" s="331">
        <v>49.5</v>
      </c>
      <c r="F1100" s="331">
        <v>49.5</v>
      </c>
      <c r="G1100" s="328" t="s">
        <v>1686</v>
      </c>
      <c r="H1100" s="328" t="s">
        <v>1680</v>
      </c>
      <c r="I1100" s="328" t="s">
        <v>110</v>
      </c>
      <c r="J1100" s="328" t="s">
        <v>757</v>
      </c>
      <c r="K1100" s="328" t="s">
        <v>741</v>
      </c>
      <c r="L1100" s="329">
        <v>44043</v>
      </c>
      <c r="M1100" s="332">
        <v>0</v>
      </c>
    </row>
    <row r="1101" spans="1:13" hidden="1" x14ac:dyDescent="0.25">
      <c r="A1101" s="329">
        <v>44043</v>
      </c>
      <c r="B1101" s="328" t="s">
        <v>1685</v>
      </c>
      <c r="C1101" s="328" t="s">
        <v>1060</v>
      </c>
      <c r="D1101" s="330">
        <v>1</v>
      </c>
      <c r="E1101" s="331">
        <v>5.5</v>
      </c>
      <c r="F1101" s="331">
        <v>55</v>
      </c>
      <c r="G1101" s="328" t="s">
        <v>1687</v>
      </c>
      <c r="H1101" s="328" t="s">
        <v>1680</v>
      </c>
      <c r="I1101" s="328" t="s">
        <v>110</v>
      </c>
      <c r="J1101" s="328" t="s">
        <v>757</v>
      </c>
      <c r="K1101" s="328" t="s">
        <v>741</v>
      </c>
      <c r="L1101" s="329">
        <v>44043</v>
      </c>
      <c r="M1101" s="332">
        <v>0</v>
      </c>
    </row>
    <row r="1102" spans="1:13" hidden="1" x14ac:dyDescent="0.25">
      <c r="A1102" s="329">
        <v>44043</v>
      </c>
      <c r="B1102" s="328" t="s">
        <v>1688</v>
      </c>
      <c r="C1102" s="328" t="s">
        <v>1060</v>
      </c>
      <c r="D1102" s="330">
        <v>1</v>
      </c>
      <c r="E1102" s="331">
        <v>-49.5</v>
      </c>
      <c r="F1102" s="331">
        <v>5.5</v>
      </c>
      <c r="G1102" s="328" t="s">
        <v>1686</v>
      </c>
      <c r="H1102" s="328" t="s">
        <v>1680</v>
      </c>
      <c r="I1102" s="328" t="s">
        <v>110</v>
      </c>
      <c r="J1102" s="328" t="s">
        <v>757</v>
      </c>
      <c r="K1102" s="328" t="s">
        <v>741</v>
      </c>
      <c r="L1102" s="329">
        <v>44043</v>
      </c>
      <c r="M1102" s="332">
        <v>0</v>
      </c>
    </row>
    <row r="1103" spans="1:13" hidden="1" x14ac:dyDescent="0.25">
      <c r="A1103" s="329">
        <v>44043</v>
      </c>
      <c r="B1103" s="328" t="s">
        <v>1688</v>
      </c>
      <c r="C1103" s="328" t="s">
        <v>1060</v>
      </c>
      <c r="D1103" s="330">
        <v>1</v>
      </c>
      <c r="E1103" s="331">
        <v>-5.5</v>
      </c>
      <c r="F1103" s="331">
        <v>0</v>
      </c>
      <c r="G1103" s="328" t="s">
        <v>1687</v>
      </c>
      <c r="H1103" s="328" t="s">
        <v>1680</v>
      </c>
      <c r="I1103" s="328" t="s">
        <v>110</v>
      </c>
      <c r="J1103" s="328" t="s">
        <v>757</v>
      </c>
      <c r="K1103" s="328" t="s">
        <v>741</v>
      </c>
      <c r="L1103" s="329">
        <v>44043</v>
      </c>
      <c r="M1103" s="332">
        <v>0</v>
      </c>
    </row>
    <row r="1104" spans="1:13" hidden="1" x14ac:dyDescent="0.25">
      <c r="A1104" s="329">
        <v>44043</v>
      </c>
      <c r="B1104" s="328" t="s">
        <v>1689</v>
      </c>
      <c r="C1104" s="328" t="s">
        <v>1060</v>
      </c>
      <c r="D1104" s="330">
        <v>1</v>
      </c>
      <c r="E1104" s="331">
        <v>49.5</v>
      </c>
      <c r="F1104" s="331">
        <v>49.5</v>
      </c>
      <c r="G1104" s="328" t="s">
        <v>1686</v>
      </c>
      <c r="H1104" s="328" t="s">
        <v>1680</v>
      </c>
      <c r="I1104" s="328" t="s">
        <v>110</v>
      </c>
      <c r="J1104" s="328" t="s">
        <v>757</v>
      </c>
      <c r="K1104" s="328" t="s">
        <v>741</v>
      </c>
      <c r="L1104" s="329">
        <v>44043</v>
      </c>
      <c r="M1104" s="332">
        <v>0</v>
      </c>
    </row>
    <row r="1105" spans="1:13" hidden="1" x14ac:dyDescent="0.25">
      <c r="A1105" s="329">
        <v>44043</v>
      </c>
      <c r="B1105" s="328" t="s">
        <v>1689</v>
      </c>
      <c r="C1105" s="328" t="s">
        <v>1060</v>
      </c>
      <c r="D1105" s="330">
        <v>1</v>
      </c>
      <c r="E1105" s="331">
        <v>-5.5</v>
      </c>
      <c r="F1105" s="331">
        <v>44</v>
      </c>
      <c r="G1105" s="328" t="s">
        <v>1690</v>
      </c>
      <c r="H1105" s="328" t="s">
        <v>1680</v>
      </c>
      <c r="I1105" s="328" t="s">
        <v>110</v>
      </c>
      <c r="J1105" s="328" t="s">
        <v>757</v>
      </c>
      <c r="K1105" s="328" t="s">
        <v>741</v>
      </c>
      <c r="L1105" s="329">
        <v>44043</v>
      </c>
      <c r="M1105" s="332">
        <v>0</v>
      </c>
    </row>
    <row r="1106" spans="1:13" hidden="1" x14ac:dyDescent="0.25">
      <c r="A1106" s="329">
        <v>44043</v>
      </c>
      <c r="B1106" s="328" t="s">
        <v>1691</v>
      </c>
      <c r="C1106" s="328" t="s">
        <v>769</v>
      </c>
      <c r="D1106" s="330">
        <v>2</v>
      </c>
      <c r="E1106" s="331">
        <v>49.5</v>
      </c>
      <c r="F1106" s="331">
        <v>93.5</v>
      </c>
      <c r="G1106" s="328" t="s">
        <v>1692</v>
      </c>
      <c r="H1106" s="328" t="s">
        <v>1680</v>
      </c>
      <c r="I1106" s="328" t="s">
        <v>110</v>
      </c>
      <c r="J1106" s="328" t="s">
        <v>757</v>
      </c>
      <c r="K1106" s="328" t="s">
        <v>770</v>
      </c>
      <c r="L1106" s="329">
        <v>44043</v>
      </c>
      <c r="M1106" s="332">
        <v>0</v>
      </c>
    </row>
    <row r="1107" spans="1:13" hidden="1" x14ac:dyDescent="0.25">
      <c r="A1107" s="329">
        <v>44043</v>
      </c>
      <c r="B1107" s="328" t="s">
        <v>1689</v>
      </c>
      <c r="C1107" s="328" t="s">
        <v>1060</v>
      </c>
      <c r="D1107" s="330">
        <v>2</v>
      </c>
      <c r="E1107" s="331">
        <v>5.5</v>
      </c>
      <c r="F1107" s="331">
        <v>99</v>
      </c>
      <c r="G1107" s="328" t="s">
        <v>1690</v>
      </c>
      <c r="H1107" s="328" t="s">
        <v>1680</v>
      </c>
      <c r="I1107" s="328" t="s">
        <v>110</v>
      </c>
      <c r="J1107" s="328" t="s">
        <v>757</v>
      </c>
      <c r="K1107" s="328" t="s">
        <v>741</v>
      </c>
      <c r="L1107" s="329">
        <v>44043</v>
      </c>
      <c r="M1107" s="332">
        <v>0</v>
      </c>
    </row>
    <row r="1108" spans="1:13" hidden="1" x14ac:dyDescent="0.25">
      <c r="A1108" s="329">
        <v>44043</v>
      </c>
      <c r="B1108" s="328" t="s">
        <v>1689</v>
      </c>
      <c r="C1108" s="328" t="s">
        <v>1060</v>
      </c>
      <c r="D1108" s="330">
        <v>2</v>
      </c>
      <c r="E1108" s="331">
        <v>-49.5</v>
      </c>
      <c r="F1108" s="331">
        <v>49.5</v>
      </c>
      <c r="G1108" s="328" t="s">
        <v>1686</v>
      </c>
      <c r="H1108" s="328" t="s">
        <v>1680</v>
      </c>
      <c r="I1108" s="328" t="s">
        <v>110</v>
      </c>
      <c r="J1108" s="328" t="s">
        <v>757</v>
      </c>
      <c r="K1108" s="328" t="s">
        <v>741</v>
      </c>
      <c r="L1108" s="329">
        <v>44043</v>
      </c>
      <c r="M1108" s="332">
        <v>0</v>
      </c>
    </row>
    <row r="1109" spans="1:13" hidden="1" x14ac:dyDescent="0.25">
      <c r="A1109" s="329">
        <v>44043</v>
      </c>
      <c r="B1109" s="328" t="s">
        <v>1688</v>
      </c>
      <c r="C1109" s="328" t="s">
        <v>1060</v>
      </c>
      <c r="D1109" s="330">
        <v>2</v>
      </c>
      <c r="E1109" s="331">
        <v>5.5</v>
      </c>
      <c r="F1109" s="331">
        <v>55</v>
      </c>
      <c r="G1109" s="328" t="s">
        <v>1687</v>
      </c>
      <c r="H1109" s="328" t="s">
        <v>1680</v>
      </c>
      <c r="I1109" s="328" t="s">
        <v>110</v>
      </c>
      <c r="J1109" s="328" t="s">
        <v>757</v>
      </c>
      <c r="K1109" s="328" t="s">
        <v>741</v>
      </c>
      <c r="L1109" s="329">
        <v>44043</v>
      </c>
      <c r="M1109" s="332">
        <v>0</v>
      </c>
    </row>
    <row r="1110" spans="1:13" hidden="1" x14ac:dyDescent="0.25">
      <c r="A1110" s="329">
        <v>44043</v>
      </c>
      <c r="B1110" s="328" t="s">
        <v>1688</v>
      </c>
      <c r="C1110" s="328" t="s">
        <v>1060</v>
      </c>
      <c r="D1110" s="330">
        <v>2</v>
      </c>
      <c r="E1110" s="331">
        <v>49.5</v>
      </c>
      <c r="F1110" s="331">
        <v>104.5</v>
      </c>
      <c r="G1110" s="328" t="s">
        <v>1686</v>
      </c>
      <c r="H1110" s="328" t="s">
        <v>1680</v>
      </c>
      <c r="I1110" s="328" t="s">
        <v>110</v>
      </c>
      <c r="J1110" s="328" t="s">
        <v>757</v>
      </c>
      <c r="K1110" s="328" t="s">
        <v>741</v>
      </c>
      <c r="L1110" s="329">
        <v>44043</v>
      </c>
      <c r="M1110" s="332">
        <v>0</v>
      </c>
    </row>
    <row r="1111" spans="1:13" hidden="1" x14ac:dyDescent="0.25">
      <c r="A1111" s="329">
        <v>44043</v>
      </c>
      <c r="B1111" s="328" t="s">
        <v>1685</v>
      </c>
      <c r="C1111" s="328" t="s">
        <v>1060</v>
      </c>
      <c r="D1111" s="330">
        <v>2</v>
      </c>
      <c r="E1111" s="331">
        <v>-5.5</v>
      </c>
      <c r="F1111" s="331">
        <v>99</v>
      </c>
      <c r="G1111" s="328" t="s">
        <v>1687</v>
      </c>
      <c r="H1111" s="328" t="s">
        <v>1680</v>
      </c>
      <c r="I1111" s="328" t="s">
        <v>110</v>
      </c>
      <c r="J1111" s="328" t="s">
        <v>757</v>
      </c>
      <c r="K1111" s="328" t="s">
        <v>741</v>
      </c>
      <c r="L1111" s="329">
        <v>44043</v>
      </c>
      <c r="M1111" s="332">
        <v>0</v>
      </c>
    </row>
    <row r="1112" spans="1:13" hidden="1" x14ac:dyDescent="0.25">
      <c r="A1112" s="329">
        <v>44043</v>
      </c>
      <c r="B1112" s="328" t="s">
        <v>1685</v>
      </c>
      <c r="C1112" s="328" t="s">
        <v>1060</v>
      </c>
      <c r="D1112" s="330">
        <v>2</v>
      </c>
      <c r="E1112" s="331">
        <v>-49.5</v>
      </c>
      <c r="F1112" s="331">
        <v>49.5</v>
      </c>
      <c r="G1112" s="328" t="s">
        <v>1686</v>
      </c>
      <c r="H1112" s="328" t="s">
        <v>1680</v>
      </c>
      <c r="I1112" s="328" t="s">
        <v>110</v>
      </c>
      <c r="J1112" s="328" t="s">
        <v>757</v>
      </c>
      <c r="K1112" s="328" t="s">
        <v>741</v>
      </c>
      <c r="L1112" s="329">
        <v>44043</v>
      </c>
      <c r="M1112" s="332">
        <v>0</v>
      </c>
    </row>
    <row r="1113" spans="1:13" hidden="1" x14ac:dyDescent="0.25">
      <c r="A1113" s="329">
        <v>44043</v>
      </c>
      <c r="B1113" s="328" t="s">
        <v>1693</v>
      </c>
      <c r="C1113" s="328" t="s">
        <v>936</v>
      </c>
      <c r="D1113" s="330">
        <v>2</v>
      </c>
      <c r="E1113" s="331">
        <v>-5.5</v>
      </c>
      <c r="F1113" s="331">
        <v>44</v>
      </c>
      <c r="G1113" s="328" t="s">
        <v>1694</v>
      </c>
      <c r="H1113" s="328" t="s">
        <v>1680</v>
      </c>
      <c r="I1113" s="328" t="s">
        <v>110</v>
      </c>
      <c r="J1113" s="328" t="s">
        <v>757</v>
      </c>
      <c r="K1113" s="328" t="s">
        <v>770</v>
      </c>
      <c r="L1113" s="329">
        <v>44043</v>
      </c>
      <c r="M1113" s="332">
        <v>0</v>
      </c>
    </row>
    <row r="1114" spans="1:13" hidden="1" x14ac:dyDescent="0.25">
      <c r="A1114" s="329">
        <v>44074</v>
      </c>
      <c r="B1114" s="328" t="s">
        <v>1695</v>
      </c>
      <c r="C1114" s="328" t="s">
        <v>1060</v>
      </c>
      <c r="D1114" s="330">
        <v>2</v>
      </c>
      <c r="E1114" s="331">
        <v>44</v>
      </c>
      <c r="F1114" s="331">
        <v>88</v>
      </c>
      <c r="G1114" s="328" t="s">
        <v>1696</v>
      </c>
      <c r="H1114" s="328" t="s">
        <v>1680</v>
      </c>
      <c r="I1114" s="328" t="s">
        <v>110</v>
      </c>
      <c r="J1114" s="328" t="s">
        <v>757</v>
      </c>
      <c r="K1114" s="328" t="s">
        <v>741</v>
      </c>
      <c r="L1114" s="329">
        <v>44074</v>
      </c>
      <c r="M1114" s="332">
        <v>0</v>
      </c>
    </row>
    <row r="1115" spans="1:13" hidden="1" x14ac:dyDescent="0.25">
      <c r="A1115" s="329">
        <v>44074</v>
      </c>
      <c r="B1115" s="328" t="s">
        <v>1695</v>
      </c>
      <c r="C1115" s="328" t="s">
        <v>1060</v>
      </c>
      <c r="D1115" s="330">
        <v>3</v>
      </c>
      <c r="E1115" s="331">
        <v>-44</v>
      </c>
      <c r="F1115" s="331">
        <v>44</v>
      </c>
      <c r="G1115" s="328" t="s">
        <v>1696</v>
      </c>
      <c r="H1115" s="328" t="s">
        <v>1680</v>
      </c>
      <c r="I1115" s="328" t="s">
        <v>110</v>
      </c>
      <c r="J1115" s="328" t="s">
        <v>757</v>
      </c>
      <c r="K1115" s="328" t="s">
        <v>741</v>
      </c>
      <c r="L1115" s="329">
        <v>44074</v>
      </c>
      <c r="M1115" s="332">
        <v>0</v>
      </c>
    </row>
    <row r="1116" spans="1:13" hidden="1" x14ac:dyDescent="0.25">
      <c r="A1116" s="329">
        <v>44074</v>
      </c>
      <c r="B1116" s="328" t="s">
        <v>1697</v>
      </c>
      <c r="C1116" s="328" t="s">
        <v>769</v>
      </c>
      <c r="D1116" s="330">
        <v>3</v>
      </c>
      <c r="E1116" s="331">
        <v>44</v>
      </c>
      <c r="F1116" s="331">
        <v>88</v>
      </c>
      <c r="G1116" s="328" t="s">
        <v>1698</v>
      </c>
      <c r="H1116" s="328" t="s">
        <v>1680</v>
      </c>
      <c r="I1116" s="328" t="s">
        <v>110</v>
      </c>
      <c r="J1116" s="328" t="s">
        <v>757</v>
      </c>
      <c r="K1116" s="328" t="s">
        <v>770</v>
      </c>
      <c r="L1116" s="329">
        <v>44074</v>
      </c>
      <c r="M1116" s="332">
        <v>0</v>
      </c>
    </row>
    <row r="1117" spans="1:13" hidden="1" x14ac:dyDescent="0.25">
      <c r="A1117" s="329">
        <v>44104</v>
      </c>
      <c r="B1117" s="328" t="s">
        <v>1699</v>
      </c>
      <c r="C1117" s="328" t="s">
        <v>1060</v>
      </c>
      <c r="D1117" s="330">
        <v>3</v>
      </c>
      <c r="E1117" s="331">
        <v>66</v>
      </c>
      <c r="F1117" s="331">
        <v>154</v>
      </c>
      <c r="G1117" s="328" t="s">
        <v>1700</v>
      </c>
      <c r="H1117" s="328" t="s">
        <v>1680</v>
      </c>
      <c r="I1117" s="328" t="s">
        <v>110</v>
      </c>
      <c r="J1117" s="328" t="s">
        <v>757</v>
      </c>
      <c r="K1117" s="328" t="s">
        <v>741</v>
      </c>
      <c r="L1117" s="329">
        <v>44104</v>
      </c>
      <c r="M1117" s="332">
        <v>0</v>
      </c>
    </row>
    <row r="1118" spans="1:13" hidden="1" x14ac:dyDescent="0.25">
      <c r="A1118" s="329">
        <v>44104</v>
      </c>
      <c r="B1118" s="328" t="s">
        <v>1699</v>
      </c>
      <c r="C1118" s="328" t="s">
        <v>1060</v>
      </c>
      <c r="D1118" s="330">
        <v>4</v>
      </c>
      <c r="E1118" s="331">
        <v>-66</v>
      </c>
      <c r="F1118" s="331">
        <v>88</v>
      </c>
      <c r="G1118" s="328" t="s">
        <v>1700</v>
      </c>
      <c r="H1118" s="328" t="s">
        <v>1680</v>
      </c>
      <c r="I1118" s="328" t="s">
        <v>110</v>
      </c>
      <c r="J1118" s="328" t="s">
        <v>757</v>
      </c>
      <c r="K1118" s="328" t="s">
        <v>741</v>
      </c>
      <c r="L1118" s="329">
        <v>44104</v>
      </c>
      <c r="M1118" s="332">
        <v>0</v>
      </c>
    </row>
    <row r="1119" spans="1:13" hidden="1" x14ac:dyDescent="0.25">
      <c r="A1119" s="329">
        <v>44105</v>
      </c>
      <c r="B1119" s="328" t="s">
        <v>1701</v>
      </c>
      <c r="C1119" s="328" t="s">
        <v>769</v>
      </c>
      <c r="D1119" s="330">
        <v>4</v>
      </c>
      <c r="E1119" s="331">
        <v>66</v>
      </c>
      <c r="F1119" s="331">
        <v>154</v>
      </c>
      <c r="G1119" s="328" t="s">
        <v>1702</v>
      </c>
      <c r="H1119" s="328" t="s">
        <v>1680</v>
      </c>
      <c r="I1119" s="328" t="s">
        <v>110</v>
      </c>
      <c r="J1119" s="328" t="s">
        <v>757</v>
      </c>
      <c r="K1119" s="328" t="s">
        <v>770</v>
      </c>
      <c r="L1119" s="329">
        <v>44105</v>
      </c>
      <c r="M1119" s="332">
        <v>0</v>
      </c>
    </row>
    <row r="1120" spans="1:13" hidden="1" x14ac:dyDescent="0.25">
      <c r="A1120" s="329">
        <v>44135</v>
      </c>
      <c r="B1120" s="328" t="s">
        <v>1703</v>
      </c>
      <c r="C1120" s="328" t="s">
        <v>1060</v>
      </c>
      <c r="D1120" s="330">
        <v>4</v>
      </c>
      <c r="E1120" s="331">
        <v>11</v>
      </c>
      <c r="F1120" s="331">
        <v>165</v>
      </c>
      <c r="G1120" s="328" t="s">
        <v>1704</v>
      </c>
      <c r="H1120" s="328" t="s">
        <v>1680</v>
      </c>
      <c r="I1120" s="328" t="s">
        <v>110</v>
      </c>
      <c r="J1120" s="328" t="s">
        <v>757</v>
      </c>
      <c r="K1120" s="328" t="s">
        <v>741</v>
      </c>
      <c r="L1120" s="329">
        <v>44135</v>
      </c>
      <c r="M1120" s="332">
        <v>0</v>
      </c>
    </row>
    <row r="1121" spans="1:13" hidden="1" x14ac:dyDescent="0.25">
      <c r="A1121" s="329">
        <v>44135</v>
      </c>
      <c r="B1121" s="328" t="s">
        <v>1705</v>
      </c>
      <c r="C1121" s="328" t="s">
        <v>769</v>
      </c>
      <c r="D1121" s="330">
        <v>5</v>
      </c>
      <c r="E1121" s="331">
        <v>11</v>
      </c>
      <c r="F1121" s="331">
        <v>176</v>
      </c>
      <c r="G1121" s="328" t="s">
        <v>1706</v>
      </c>
      <c r="H1121" s="328" t="s">
        <v>1680</v>
      </c>
      <c r="I1121" s="328" t="s">
        <v>110</v>
      </c>
      <c r="J1121" s="328" t="s">
        <v>757</v>
      </c>
      <c r="K1121" s="328" t="s">
        <v>770</v>
      </c>
      <c r="L1121" s="329">
        <v>44135</v>
      </c>
      <c r="M1121" s="332">
        <v>0</v>
      </c>
    </row>
    <row r="1122" spans="1:13" hidden="1" x14ac:dyDescent="0.25">
      <c r="A1122" s="329">
        <v>44135</v>
      </c>
      <c r="B1122" s="328" t="s">
        <v>1703</v>
      </c>
      <c r="C1122" s="328" t="s">
        <v>1060</v>
      </c>
      <c r="D1122" s="330">
        <v>5</v>
      </c>
      <c r="E1122" s="331">
        <v>-11</v>
      </c>
      <c r="F1122" s="331">
        <v>165</v>
      </c>
      <c r="G1122" s="328" t="s">
        <v>1704</v>
      </c>
      <c r="H1122" s="328" t="s">
        <v>1680</v>
      </c>
      <c r="I1122" s="328" t="s">
        <v>110</v>
      </c>
      <c r="J1122" s="328" t="s">
        <v>757</v>
      </c>
      <c r="K1122" s="328" t="s">
        <v>741</v>
      </c>
      <c r="L1122" s="329">
        <v>44135</v>
      </c>
      <c r="M1122" s="332">
        <v>0</v>
      </c>
    </row>
    <row r="1123" spans="1:13" hidden="1" x14ac:dyDescent="0.25">
      <c r="A1123" s="329">
        <v>44165</v>
      </c>
      <c r="B1123" s="328" t="s">
        <v>1707</v>
      </c>
      <c r="C1123" s="328" t="s">
        <v>1060</v>
      </c>
      <c r="D1123" s="330">
        <v>5</v>
      </c>
      <c r="E1123" s="331">
        <v>11</v>
      </c>
      <c r="F1123" s="331">
        <v>176</v>
      </c>
      <c r="G1123" s="328" t="s">
        <v>1708</v>
      </c>
      <c r="H1123" s="328" t="s">
        <v>1680</v>
      </c>
      <c r="I1123" s="328" t="s">
        <v>110</v>
      </c>
      <c r="J1123" s="328" t="s">
        <v>757</v>
      </c>
      <c r="K1123" s="328" t="s">
        <v>741</v>
      </c>
      <c r="L1123" s="329">
        <v>44165</v>
      </c>
      <c r="M1123" s="332">
        <v>0</v>
      </c>
    </row>
    <row r="1124" spans="1:13" hidden="1" x14ac:dyDescent="0.25">
      <c r="A1124" s="329">
        <v>44165</v>
      </c>
      <c r="B1124" s="328" t="s">
        <v>1709</v>
      </c>
      <c r="C1124" s="328" t="s">
        <v>769</v>
      </c>
      <c r="D1124" s="330">
        <v>6</v>
      </c>
      <c r="E1124" s="331">
        <v>11</v>
      </c>
      <c r="F1124" s="331">
        <v>187</v>
      </c>
      <c r="G1124" s="328" t="s">
        <v>1710</v>
      </c>
      <c r="H1124" s="328" t="s">
        <v>1680</v>
      </c>
      <c r="I1124" s="328" t="s">
        <v>110</v>
      </c>
      <c r="J1124" s="328" t="s">
        <v>757</v>
      </c>
      <c r="K1124" s="328" t="s">
        <v>770</v>
      </c>
      <c r="L1124" s="329">
        <v>44165</v>
      </c>
      <c r="M1124" s="332">
        <v>0</v>
      </c>
    </row>
    <row r="1125" spans="1:13" hidden="1" x14ac:dyDescent="0.25">
      <c r="A1125" s="329">
        <v>44165</v>
      </c>
      <c r="B1125" s="328" t="s">
        <v>1707</v>
      </c>
      <c r="C1125" s="328" t="s">
        <v>1060</v>
      </c>
      <c r="D1125" s="330">
        <v>6</v>
      </c>
      <c r="E1125" s="331">
        <v>-11</v>
      </c>
      <c r="F1125" s="331">
        <v>176</v>
      </c>
      <c r="G1125" s="328" t="s">
        <v>1708</v>
      </c>
      <c r="H1125" s="328" t="s">
        <v>1680</v>
      </c>
      <c r="I1125" s="328" t="s">
        <v>110</v>
      </c>
      <c r="J1125" s="328" t="s">
        <v>757</v>
      </c>
      <c r="K1125" s="328" t="s">
        <v>741</v>
      </c>
      <c r="L1125" s="329">
        <v>44165</v>
      </c>
      <c r="M1125" s="332">
        <v>0</v>
      </c>
    </row>
    <row r="1126" spans="1:13" hidden="1" x14ac:dyDescent="0.25">
      <c r="A1126" s="329">
        <v>44196</v>
      </c>
      <c r="B1126" s="328" t="s">
        <v>1711</v>
      </c>
      <c r="C1126" s="328" t="s">
        <v>1060</v>
      </c>
      <c r="D1126" s="330">
        <v>6</v>
      </c>
      <c r="E1126" s="331">
        <v>11</v>
      </c>
      <c r="F1126" s="331">
        <v>187</v>
      </c>
      <c r="G1126" s="328" t="s">
        <v>1712</v>
      </c>
      <c r="H1126" s="328" t="s">
        <v>1680</v>
      </c>
      <c r="I1126" s="328" t="s">
        <v>110</v>
      </c>
      <c r="J1126" s="328" t="s">
        <v>757</v>
      </c>
      <c r="K1126" s="328" t="s">
        <v>741</v>
      </c>
      <c r="L1126" s="329">
        <v>44196</v>
      </c>
      <c r="M1126" s="332">
        <v>0</v>
      </c>
    </row>
    <row r="1127" spans="1:13" hidden="1" x14ac:dyDescent="0.25">
      <c r="A1127" s="329">
        <v>44196</v>
      </c>
      <c r="B1127" s="328" t="s">
        <v>1713</v>
      </c>
      <c r="C1127" s="328" t="s">
        <v>769</v>
      </c>
      <c r="D1127" s="330">
        <v>7</v>
      </c>
      <c r="E1127" s="331">
        <v>11</v>
      </c>
      <c r="F1127" s="331">
        <v>198</v>
      </c>
      <c r="G1127" s="328" t="s">
        <v>1714</v>
      </c>
      <c r="H1127" s="328" t="s">
        <v>1680</v>
      </c>
      <c r="I1127" s="328" t="s">
        <v>110</v>
      </c>
      <c r="J1127" s="328" t="s">
        <v>757</v>
      </c>
      <c r="K1127" s="328" t="s">
        <v>770</v>
      </c>
      <c r="L1127" s="329">
        <v>44196</v>
      </c>
      <c r="M1127" s="332">
        <v>0</v>
      </c>
    </row>
    <row r="1128" spans="1:13" hidden="1" x14ac:dyDescent="0.25">
      <c r="A1128" s="329">
        <v>44196</v>
      </c>
      <c r="B1128" s="328" t="s">
        <v>1711</v>
      </c>
      <c r="C1128" s="328" t="s">
        <v>1060</v>
      </c>
      <c r="D1128" s="330">
        <v>7</v>
      </c>
      <c r="E1128" s="331">
        <v>-11</v>
      </c>
      <c r="F1128" s="331">
        <v>187</v>
      </c>
      <c r="G1128" s="328" t="s">
        <v>1712</v>
      </c>
      <c r="H1128" s="328" t="s">
        <v>1680</v>
      </c>
      <c r="I1128" s="328" t="s">
        <v>110</v>
      </c>
      <c r="J1128" s="328" t="s">
        <v>757</v>
      </c>
      <c r="K1128" s="328" t="s">
        <v>741</v>
      </c>
      <c r="L1128" s="329">
        <v>44196</v>
      </c>
      <c r="M1128" s="332">
        <v>0</v>
      </c>
    </row>
    <row r="1129" spans="1:13" hidden="1" x14ac:dyDescent="0.25">
      <c r="A1129" s="329">
        <v>44227</v>
      </c>
      <c r="B1129" s="328" t="s">
        <v>1715</v>
      </c>
      <c r="C1129" s="328" t="s">
        <v>1060</v>
      </c>
      <c r="D1129" s="330">
        <v>7</v>
      </c>
      <c r="E1129" s="331">
        <v>11</v>
      </c>
      <c r="F1129" s="331">
        <v>198</v>
      </c>
      <c r="G1129" s="328" t="s">
        <v>1716</v>
      </c>
      <c r="H1129" s="328" t="s">
        <v>1680</v>
      </c>
      <c r="I1129" s="328" t="s">
        <v>110</v>
      </c>
      <c r="J1129" s="328" t="s">
        <v>757</v>
      </c>
      <c r="K1129" s="328" t="s">
        <v>741</v>
      </c>
      <c r="L1129" s="329">
        <v>44227</v>
      </c>
      <c r="M1129" s="332">
        <v>0</v>
      </c>
    </row>
    <row r="1130" spans="1:13" hidden="1" x14ac:dyDescent="0.25">
      <c r="A1130" s="329">
        <v>44227</v>
      </c>
      <c r="B1130" s="328" t="s">
        <v>1717</v>
      </c>
      <c r="C1130" s="328" t="s">
        <v>769</v>
      </c>
      <c r="D1130" s="330">
        <v>8</v>
      </c>
      <c r="E1130" s="331">
        <v>11</v>
      </c>
      <c r="F1130" s="331">
        <v>209</v>
      </c>
      <c r="G1130" s="328" t="s">
        <v>1718</v>
      </c>
      <c r="H1130" s="328" t="s">
        <v>1680</v>
      </c>
      <c r="I1130" s="328" t="s">
        <v>110</v>
      </c>
      <c r="J1130" s="328" t="s">
        <v>757</v>
      </c>
      <c r="K1130" s="328" t="s">
        <v>770</v>
      </c>
      <c r="L1130" s="329">
        <v>44227</v>
      </c>
      <c r="M1130" s="332">
        <v>0</v>
      </c>
    </row>
    <row r="1131" spans="1:13" hidden="1" x14ac:dyDescent="0.25">
      <c r="A1131" s="329">
        <v>44227</v>
      </c>
      <c r="B1131" s="328" t="s">
        <v>1715</v>
      </c>
      <c r="C1131" s="328" t="s">
        <v>1060</v>
      </c>
      <c r="D1131" s="330">
        <v>8</v>
      </c>
      <c r="E1131" s="331">
        <v>-11</v>
      </c>
      <c r="F1131" s="331">
        <v>198</v>
      </c>
      <c r="G1131" s="328" t="s">
        <v>1716</v>
      </c>
      <c r="H1131" s="328" t="s">
        <v>1680</v>
      </c>
      <c r="I1131" s="328" t="s">
        <v>110</v>
      </c>
      <c r="J1131" s="328" t="s">
        <v>757</v>
      </c>
      <c r="K1131" s="328" t="s">
        <v>741</v>
      </c>
      <c r="L1131" s="329">
        <v>44227</v>
      </c>
      <c r="M1131" s="332">
        <v>0</v>
      </c>
    </row>
    <row r="1132" spans="1:13" hidden="1" x14ac:dyDescent="0.25">
      <c r="A1132" s="329">
        <v>44012</v>
      </c>
      <c r="B1132" s="328" t="s">
        <v>1678</v>
      </c>
      <c r="C1132" s="328" t="s">
        <v>769</v>
      </c>
      <c r="D1132" s="330">
        <v>1</v>
      </c>
      <c r="E1132" s="331">
        <v>33</v>
      </c>
      <c r="F1132" s="331">
        <v>231</v>
      </c>
      <c r="G1132" s="328" t="s">
        <v>1679</v>
      </c>
      <c r="H1132" s="328" t="s">
        <v>1719</v>
      </c>
      <c r="I1132" s="328" t="s">
        <v>110</v>
      </c>
      <c r="J1132" s="328" t="s">
        <v>757</v>
      </c>
      <c r="K1132" s="328" t="s">
        <v>770</v>
      </c>
      <c r="L1132" s="329">
        <v>44012</v>
      </c>
      <c r="M1132" s="332">
        <v>0</v>
      </c>
    </row>
    <row r="1133" spans="1:13" hidden="1" x14ac:dyDescent="0.25">
      <c r="A1133" s="329">
        <v>44012</v>
      </c>
      <c r="B1133" s="328" t="s">
        <v>1681</v>
      </c>
      <c r="C1133" s="328" t="s">
        <v>1059</v>
      </c>
      <c r="D1133" s="330">
        <v>1</v>
      </c>
      <c r="E1133" s="331">
        <v>-27.5</v>
      </c>
      <c r="F1133" s="331">
        <v>203.5</v>
      </c>
      <c r="G1133" s="328" t="s">
        <v>1682</v>
      </c>
      <c r="H1133" s="328" t="s">
        <v>1719</v>
      </c>
      <c r="I1133" s="328" t="s">
        <v>110</v>
      </c>
      <c r="J1133" s="328" t="s">
        <v>757</v>
      </c>
      <c r="K1133" s="328" t="s">
        <v>741</v>
      </c>
      <c r="L1133" s="329">
        <v>44012</v>
      </c>
      <c r="M1133" s="332">
        <v>0</v>
      </c>
    </row>
    <row r="1134" spans="1:13" hidden="1" x14ac:dyDescent="0.25">
      <c r="A1134" s="329">
        <v>44041</v>
      </c>
      <c r="B1134" s="328" t="s">
        <v>1683</v>
      </c>
      <c r="C1134" s="328" t="s">
        <v>936</v>
      </c>
      <c r="D1134" s="330">
        <v>1</v>
      </c>
      <c r="E1134" s="331">
        <v>-5.5</v>
      </c>
      <c r="F1134" s="331">
        <v>198</v>
      </c>
      <c r="G1134" s="328" t="s">
        <v>1684</v>
      </c>
      <c r="H1134" s="328" t="s">
        <v>1719</v>
      </c>
      <c r="I1134" s="328" t="s">
        <v>110</v>
      </c>
      <c r="J1134" s="328" t="s">
        <v>757</v>
      </c>
      <c r="K1134" s="328" t="s">
        <v>770</v>
      </c>
      <c r="L1134" s="329">
        <v>44041</v>
      </c>
      <c r="M1134" s="332">
        <v>0</v>
      </c>
    </row>
    <row r="1135" spans="1:13" hidden="1" x14ac:dyDescent="0.25">
      <c r="A1135" s="329">
        <v>44043</v>
      </c>
      <c r="B1135" s="328" t="s">
        <v>1685</v>
      </c>
      <c r="C1135" s="328" t="s">
        <v>1060</v>
      </c>
      <c r="D1135" s="330">
        <v>1</v>
      </c>
      <c r="E1135" s="331">
        <v>33</v>
      </c>
      <c r="F1135" s="331">
        <v>231</v>
      </c>
      <c r="G1135" s="328" t="s">
        <v>1686</v>
      </c>
      <c r="H1135" s="328" t="s">
        <v>1719</v>
      </c>
      <c r="I1135" s="328" t="s">
        <v>110</v>
      </c>
      <c r="J1135" s="328" t="s">
        <v>757</v>
      </c>
      <c r="K1135" s="328" t="s">
        <v>741</v>
      </c>
      <c r="L1135" s="329">
        <v>44043</v>
      </c>
      <c r="M1135" s="332">
        <v>0</v>
      </c>
    </row>
    <row r="1136" spans="1:13" hidden="1" x14ac:dyDescent="0.25">
      <c r="A1136" s="329">
        <v>44043</v>
      </c>
      <c r="B1136" s="328" t="s">
        <v>1689</v>
      </c>
      <c r="C1136" s="328" t="s">
        <v>1060</v>
      </c>
      <c r="D1136" s="330">
        <v>1</v>
      </c>
      <c r="E1136" s="331">
        <v>-5.5</v>
      </c>
      <c r="F1136" s="331">
        <v>225.5</v>
      </c>
      <c r="G1136" s="328" t="s">
        <v>1690</v>
      </c>
      <c r="H1136" s="328" t="s">
        <v>1719</v>
      </c>
      <c r="I1136" s="328" t="s">
        <v>110</v>
      </c>
      <c r="J1136" s="328" t="s">
        <v>757</v>
      </c>
      <c r="K1136" s="328" t="s">
        <v>741</v>
      </c>
      <c r="L1136" s="329">
        <v>44043</v>
      </c>
      <c r="M1136" s="332">
        <v>0</v>
      </c>
    </row>
    <row r="1137" spans="1:13" hidden="1" x14ac:dyDescent="0.25">
      <c r="A1137" s="329">
        <v>44043</v>
      </c>
      <c r="B1137" s="328" t="s">
        <v>1689</v>
      </c>
      <c r="C1137" s="328" t="s">
        <v>1060</v>
      </c>
      <c r="D1137" s="330">
        <v>1</v>
      </c>
      <c r="E1137" s="331">
        <v>33</v>
      </c>
      <c r="F1137" s="331">
        <v>258.5</v>
      </c>
      <c r="G1137" s="328" t="s">
        <v>1686</v>
      </c>
      <c r="H1137" s="328" t="s">
        <v>1719</v>
      </c>
      <c r="I1137" s="328" t="s">
        <v>110</v>
      </c>
      <c r="J1137" s="328" t="s">
        <v>757</v>
      </c>
      <c r="K1137" s="328" t="s">
        <v>741</v>
      </c>
      <c r="L1137" s="329">
        <v>44043</v>
      </c>
      <c r="M1137" s="332">
        <v>0</v>
      </c>
    </row>
    <row r="1138" spans="1:13" hidden="1" x14ac:dyDescent="0.25">
      <c r="A1138" s="329">
        <v>44043</v>
      </c>
      <c r="B1138" s="328" t="s">
        <v>1688</v>
      </c>
      <c r="C1138" s="328" t="s">
        <v>1060</v>
      </c>
      <c r="D1138" s="330">
        <v>1</v>
      </c>
      <c r="E1138" s="331">
        <v>-5.5</v>
      </c>
      <c r="F1138" s="331">
        <v>253</v>
      </c>
      <c r="G1138" s="328" t="s">
        <v>1687</v>
      </c>
      <c r="H1138" s="328" t="s">
        <v>1719</v>
      </c>
      <c r="I1138" s="328" t="s">
        <v>110</v>
      </c>
      <c r="J1138" s="328" t="s">
        <v>757</v>
      </c>
      <c r="K1138" s="328" t="s">
        <v>741</v>
      </c>
      <c r="L1138" s="329">
        <v>44043</v>
      </c>
      <c r="M1138" s="332">
        <v>0</v>
      </c>
    </row>
    <row r="1139" spans="1:13" hidden="1" x14ac:dyDescent="0.25">
      <c r="A1139" s="329">
        <v>44043</v>
      </c>
      <c r="B1139" s="328" t="s">
        <v>1688</v>
      </c>
      <c r="C1139" s="328" t="s">
        <v>1060</v>
      </c>
      <c r="D1139" s="330">
        <v>1</v>
      </c>
      <c r="E1139" s="331">
        <v>-33</v>
      </c>
      <c r="F1139" s="331">
        <v>220</v>
      </c>
      <c r="G1139" s="328" t="s">
        <v>1686</v>
      </c>
      <c r="H1139" s="328" t="s">
        <v>1719</v>
      </c>
      <c r="I1139" s="328" t="s">
        <v>110</v>
      </c>
      <c r="J1139" s="328" t="s">
        <v>757</v>
      </c>
      <c r="K1139" s="328" t="s">
        <v>741</v>
      </c>
      <c r="L1139" s="329">
        <v>44043</v>
      </c>
      <c r="M1139" s="332">
        <v>0</v>
      </c>
    </row>
    <row r="1140" spans="1:13" hidden="1" x14ac:dyDescent="0.25">
      <c r="A1140" s="329">
        <v>44043</v>
      </c>
      <c r="B1140" s="328" t="s">
        <v>1685</v>
      </c>
      <c r="C1140" s="328" t="s">
        <v>1060</v>
      </c>
      <c r="D1140" s="330">
        <v>1</v>
      </c>
      <c r="E1140" s="331">
        <v>5.5</v>
      </c>
      <c r="F1140" s="331">
        <v>225.5</v>
      </c>
      <c r="G1140" s="328" t="s">
        <v>1687</v>
      </c>
      <c r="H1140" s="328" t="s">
        <v>1719</v>
      </c>
      <c r="I1140" s="328" t="s">
        <v>110</v>
      </c>
      <c r="J1140" s="328" t="s">
        <v>757</v>
      </c>
      <c r="K1140" s="328" t="s">
        <v>741</v>
      </c>
      <c r="L1140" s="329">
        <v>44043</v>
      </c>
      <c r="M1140" s="332">
        <v>0</v>
      </c>
    </row>
    <row r="1141" spans="1:13" hidden="1" x14ac:dyDescent="0.25">
      <c r="A1141" s="329">
        <v>44043</v>
      </c>
      <c r="B1141" s="328" t="s">
        <v>1685</v>
      </c>
      <c r="C1141" s="328" t="s">
        <v>1060</v>
      </c>
      <c r="D1141" s="330">
        <v>2</v>
      </c>
      <c r="E1141" s="331">
        <v>-5.5</v>
      </c>
      <c r="F1141" s="331">
        <v>220</v>
      </c>
      <c r="G1141" s="328" t="s">
        <v>1687</v>
      </c>
      <c r="H1141" s="328" t="s">
        <v>1719</v>
      </c>
      <c r="I1141" s="328" t="s">
        <v>110</v>
      </c>
      <c r="J1141" s="328" t="s">
        <v>757</v>
      </c>
      <c r="K1141" s="328" t="s">
        <v>741</v>
      </c>
      <c r="L1141" s="329">
        <v>44043</v>
      </c>
      <c r="M1141" s="332">
        <v>0</v>
      </c>
    </row>
    <row r="1142" spans="1:13" hidden="1" x14ac:dyDescent="0.25">
      <c r="A1142" s="329">
        <v>44043</v>
      </c>
      <c r="B1142" s="328" t="s">
        <v>1685</v>
      </c>
      <c r="C1142" s="328" t="s">
        <v>1060</v>
      </c>
      <c r="D1142" s="330">
        <v>2</v>
      </c>
      <c r="E1142" s="331">
        <v>-33</v>
      </c>
      <c r="F1142" s="331">
        <v>187</v>
      </c>
      <c r="G1142" s="328" t="s">
        <v>1686</v>
      </c>
      <c r="H1142" s="328" t="s">
        <v>1719</v>
      </c>
      <c r="I1142" s="328" t="s">
        <v>110</v>
      </c>
      <c r="J1142" s="328" t="s">
        <v>757</v>
      </c>
      <c r="K1142" s="328" t="s">
        <v>741</v>
      </c>
      <c r="L1142" s="329">
        <v>44043</v>
      </c>
      <c r="M1142" s="332">
        <v>0</v>
      </c>
    </row>
    <row r="1143" spans="1:13" hidden="1" x14ac:dyDescent="0.25">
      <c r="A1143" s="329">
        <v>44043</v>
      </c>
      <c r="B1143" s="328" t="s">
        <v>1693</v>
      </c>
      <c r="C1143" s="328" t="s">
        <v>936</v>
      </c>
      <c r="D1143" s="330">
        <v>2</v>
      </c>
      <c r="E1143" s="331">
        <v>-5.5</v>
      </c>
      <c r="F1143" s="331">
        <v>181.5</v>
      </c>
      <c r="G1143" s="328" t="s">
        <v>1694</v>
      </c>
      <c r="H1143" s="328" t="s">
        <v>1719</v>
      </c>
      <c r="I1143" s="328" t="s">
        <v>110</v>
      </c>
      <c r="J1143" s="328" t="s">
        <v>757</v>
      </c>
      <c r="K1143" s="328" t="s">
        <v>770</v>
      </c>
      <c r="L1143" s="329">
        <v>44043</v>
      </c>
      <c r="M1143" s="332">
        <v>0</v>
      </c>
    </row>
    <row r="1144" spans="1:13" hidden="1" x14ac:dyDescent="0.25">
      <c r="A1144" s="329">
        <v>44043</v>
      </c>
      <c r="B1144" s="328" t="s">
        <v>1691</v>
      </c>
      <c r="C1144" s="328" t="s">
        <v>769</v>
      </c>
      <c r="D1144" s="330">
        <v>2</v>
      </c>
      <c r="E1144" s="331">
        <v>33</v>
      </c>
      <c r="F1144" s="331">
        <v>214.5</v>
      </c>
      <c r="G1144" s="328" t="s">
        <v>1692</v>
      </c>
      <c r="H1144" s="328" t="s">
        <v>1719</v>
      </c>
      <c r="I1144" s="328" t="s">
        <v>110</v>
      </c>
      <c r="J1144" s="328" t="s">
        <v>757</v>
      </c>
      <c r="K1144" s="328" t="s">
        <v>770</v>
      </c>
      <c r="L1144" s="329">
        <v>44043</v>
      </c>
      <c r="M1144" s="332">
        <v>0</v>
      </c>
    </row>
    <row r="1145" spans="1:13" hidden="1" x14ac:dyDescent="0.25">
      <c r="A1145" s="329">
        <v>44043</v>
      </c>
      <c r="B1145" s="328" t="s">
        <v>1689</v>
      </c>
      <c r="C1145" s="328" t="s">
        <v>1060</v>
      </c>
      <c r="D1145" s="330">
        <v>2</v>
      </c>
      <c r="E1145" s="331">
        <v>5.5</v>
      </c>
      <c r="F1145" s="331">
        <v>220</v>
      </c>
      <c r="G1145" s="328" t="s">
        <v>1690</v>
      </c>
      <c r="H1145" s="328" t="s">
        <v>1719</v>
      </c>
      <c r="I1145" s="328" t="s">
        <v>110</v>
      </c>
      <c r="J1145" s="328" t="s">
        <v>757</v>
      </c>
      <c r="K1145" s="328" t="s">
        <v>741</v>
      </c>
      <c r="L1145" s="329">
        <v>44043</v>
      </c>
      <c r="M1145" s="332">
        <v>0</v>
      </c>
    </row>
    <row r="1146" spans="1:13" hidden="1" x14ac:dyDescent="0.25">
      <c r="A1146" s="329">
        <v>44043</v>
      </c>
      <c r="B1146" s="328" t="s">
        <v>1689</v>
      </c>
      <c r="C1146" s="328" t="s">
        <v>1060</v>
      </c>
      <c r="D1146" s="330">
        <v>2</v>
      </c>
      <c r="E1146" s="331">
        <v>-33</v>
      </c>
      <c r="F1146" s="331">
        <v>187</v>
      </c>
      <c r="G1146" s="328" t="s">
        <v>1686</v>
      </c>
      <c r="H1146" s="328" t="s">
        <v>1719</v>
      </c>
      <c r="I1146" s="328" t="s">
        <v>110</v>
      </c>
      <c r="J1146" s="328" t="s">
        <v>757</v>
      </c>
      <c r="K1146" s="328" t="s">
        <v>741</v>
      </c>
      <c r="L1146" s="329">
        <v>44043</v>
      </c>
      <c r="M1146" s="332">
        <v>0</v>
      </c>
    </row>
    <row r="1147" spans="1:13" hidden="1" x14ac:dyDescent="0.25">
      <c r="A1147" s="329">
        <v>44043</v>
      </c>
      <c r="B1147" s="328" t="s">
        <v>1688</v>
      </c>
      <c r="C1147" s="328" t="s">
        <v>1060</v>
      </c>
      <c r="D1147" s="330">
        <v>2</v>
      </c>
      <c r="E1147" s="331">
        <v>5.5</v>
      </c>
      <c r="F1147" s="331">
        <v>192.5</v>
      </c>
      <c r="G1147" s="328" t="s">
        <v>1687</v>
      </c>
      <c r="H1147" s="328" t="s">
        <v>1719</v>
      </c>
      <c r="I1147" s="328" t="s">
        <v>110</v>
      </c>
      <c r="J1147" s="328" t="s">
        <v>757</v>
      </c>
      <c r="K1147" s="328" t="s">
        <v>741</v>
      </c>
      <c r="L1147" s="329">
        <v>44043</v>
      </c>
      <c r="M1147" s="332">
        <v>0</v>
      </c>
    </row>
    <row r="1148" spans="1:13" hidden="1" x14ac:dyDescent="0.25">
      <c r="A1148" s="329">
        <v>44043</v>
      </c>
      <c r="B1148" s="328" t="s">
        <v>1688</v>
      </c>
      <c r="C1148" s="328" t="s">
        <v>1060</v>
      </c>
      <c r="D1148" s="330">
        <v>2</v>
      </c>
      <c r="E1148" s="331">
        <v>33</v>
      </c>
      <c r="F1148" s="331">
        <v>225.5</v>
      </c>
      <c r="G1148" s="328" t="s">
        <v>1686</v>
      </c>
      <c r="H1148" s="328" t="s">
        <v>1719</v>
      </c>
      <c r="I1148" s="328" t="s">
        <v>110</v>
      </c>
      <c r="J1148" s="328" t="s">
        <v>757</v>
      </c>
      <c r="K1148" s="328" t="s">
        <v>741</v>
      </c>
      <c r="L1148" s="329">
        <v>44043</v>
      </c>
      <c r="M1148" s="332">
        <v>0</v>
      </c>
    </row>
    <row r="1149" spans="1:13" hidden="1" x14ac:dyDescent="0.25">
      <c r="A1149" s="329">
        <v>44074</v>
      </c>
      <c r="B1149" s="328" t="s">
        <v>1695</v>
      </c>
      <c r="C1149" s="328" t="s">
        <v>1060</v>
      </c>
      <c r="D1149" s="330">
        <v>2</v>
      </c>
      <c r="E1149" s="331">
        <v>22</v>
      </c>
      <c r="F1149" s="331">
        <v>247.5</v>
      </c>
      <c r="G1149" s="328" t="s">
        <v>1696</v>
      </c>
      <c r="H1149" s="328" t="s">
        <v>1719</v>
      </c>
      <c r="I1149" s="328" t="s">
        <v>110</v>
      </c>
      <c r="J1149" s="328" t="s">
        <v>757</v>
      </c>
      <c r="K1149" s="328" t="s">
        <v>741</v>
      </c>
      <c r="L1149" s="329">
        <v>44074</v>
      </c>
      <c r="M1149" s="332">
        <v>0</v>
      </c>
    </row>
    <row r="1150" spans="1:13" hidden="1" x14ac:dyDescent="0.25">
      <c r="A1150" s="329">
        <v>44074</v>
      </c>
      <c r="B1150" s="328" t="s">
        <v>1695</v>
      </c>
      <c r="C1150" s="328" t="s">
        <v>1060</v>
      </c>
      <c r="D1150" s="330">
        <v>3</v>
      </c>
      <c r="E1150" s="331">
        <v>-22</v>
      </c>
      <c r="F1150" s="331">
        <v>225.5</v>
      </c>
      <c r="G1150" s="328" t="s">
        <v>1696</v>
      </c>
      <c r="H1150" s="328" t="s">
        <v>1719</v>
      </c>
      <c r="I1150" s="328" t="s">
        <v>110</v>
      </c>
      <c r="J1150" s="328" t="s">
        <v>757</v>
      </c>
      <c r="K1150" s="328" t="s">
        <v>741</v>
      </c>
      <c r="L1150" s="329">
        <v>44074</v>
      </c>
      <c r="M1150" s="332">
        <v>0</v>
      </c>
    </row>
    <row r="1151" spans="1:13" hidden="1" x14ac:dyDescent="0.25">
      <c r="A1151" s="329">
        <v>44074</v>
      </c>
      <c r="B1151" s="328" t="s">
        <v>1697</v>
      </c>
      <c r="C1151" s="328" t="s">
        <v>769</v>
      </c>
      <c r="D1151" s="330">
        <v>3</v>
      </c>
      <c r="E1151" s="331">
        <v>22</v>
      </c>
      <c r="F1151" s="331">
        <v>247.5</v>
      </c>
      <c r="G1151" s="328" t="s">
        <v>1698</v>
      </c>
      <c r="H1151" s="328" t="s">
        <v>1719</v>
      </c>
      <c r="I1151" s="328" t="s">
        <v>110</v>
      </c>
      <c r="J1151" s="328" t="s">
        <v>757</v>
      </c>
      <c r="K1151" s="328" t="s">
        <v>770</v>
      </c>
      <c r="L1151" s="329">
        <v>44074</v>
      </c>
      <c r="M1151" s="332">
        <v>0</v>
      </c>
    </row>
    <row r="1152" spans="1:13" hidden="1" x14ac:dyDescent="0.25">
      <c r="A1152" s="329">
        <v>44104</v>
      </c>
      <c r="B1152" s="328" t="s">
        <v>1699</v>
      </c>
      <c r="C1152" s="328" t="s">
        <v>1060</v>
      </c>
      <c r="D1152" s="330">
        <v>3</v>
      </c>
      <c r="E1152" s="331">
        <v>33</v>
      </c>
      <c r="F1152" s="331">
        <v>280.5</v>
      </c>
      <c r="G1152" s="328" t="s">
        <v>1700</v>
      </c>
      <c r="H1152" s="328" t="s">
        <v>1719</v>
      </c>
      <c r="I1152" s="328" t="s">
        <v>110</v>
      </c>
      <c r="J1152" s="328" t="s">
        <v>757</v>
      </c>
      <c r="K1152" s="328" t="s">
        <v>741</v>
      </c>
      <c r="L1152" s="329">
        <v>44104</v>
      </c>
      <c r="M1152" s="332">
        <v>0</v>
      </c>
    </row>
    <row r="1153" spans="1:13" hidden="1" x14ac:dyDescent="0.25">
      <c r="A1153" s="329">
        <v>44104</v>
      </c>
      <c r="B1153" s="328" t="s">
        <v>1699</v>
      </c>
      <c r="C1153" s="328" t="s">
        <v>1060</v>
      </c>
      <c r="D1153" s="330">
        <v>4</v>
      </c>
      <c r="E1153" s="331">
        <v>-33</v>
      </c>
      <c r="F1153" s="331">
        <v>247.5</v>
      </c>
      <c r="G1153" s="328" t="s">
        <v>1700</v>
      </c>
      <c r="H1153" s="328" t="s">
        <v>1719</v>
      </c>
      <c r="I1153" s="328" t="s">
        <v>110</v>
      </c>
      <c r="J1153" s="328" t="s">
        <v>757</v>
      </c>
      <c r="K1153" s="328" t="s">
        <v>741</v>
      </c>
      <c r="L1153" s="329">
        <v>44104</v>
      </c>
      <c r="M1153" s="332">
        <v>0</v>
      </c>
    </row>
    <row r="1154" spans="1:13" hidden="1" x14ac:dyDescent="0.25">
      <c r="A1154" s="329">
        <v>44105</v>
      </c>
      <c r="B1154" s="328" t="s">
        <v>1701</v>
      </c>
      <c r="C1154" s="328" t="s">
        <v>769</v>
      </c>
      <c r="D1154" s="330">
        <v>4</v>
      </c>
      <c r="E1154" s="331">
        <v>33</v>
      </c>
      <c r="F1154" s="331">
        <v>280.5</v>
      </c>
      <c r="G1154" s="328" t="s">
        <v>1702</v>
      </c>
      <c r="H1154" s="328" t="s">
        <v>1719</v>
      </c>
      <c r="I1154" s="328" t="s">
        <v>110</v>
      </c>
      <c r="J1154" s="328" t="s">
        <v>757</v>
      </c>
      <c r="K1154" s="328" t="s">
        <v>770</v>
      </c>
      <c r="L1154" s="329">
        <v>44105</v>
      </c>
      <c r="M1154" s="332">
        <v>0</v>
      </c>
    </row>
    <row r="1155" spans="1:13" hidden="1" x14ac:dyDescent="0.25">
      <c r="A1155" s="329">
        <v>44135</v>
      </c>
      <c r="B1155" s="328" t="s">
        <v>1703</v>
      </c>
      <c r="C1155" s="328" t="s">
        <v>1060</v>
      </c>
      <c r="D1155" s="330">
        <v>4</v>
      </c>
      <c r="E1155" s="331">
        <v>22</v>
      </c>
      <c r="F1155" s="331">
        <v>302.5</v>
      </c>
      <c r="G1155" s="328" t="s">
        <v>1704</v>
      </c>
      <c r="H1155" s="328" t="s">
        <v>1719</v>
      </c>
      <c r="I1155" s="328" t="s">
        <v>110</v>
      </c>
      <c r="J1155" s="328" t="s">
        <v>757</v>
      </c>
      <c r="K1155" s="328" t="s">
        <v>741</v>
      </c>
      <c r="L1155" s="329">
        <v>44135</v>
      </c>
      <c r="M1155" s="332">
        <v>0</v>
      </c>
    </row>
    <row r="1156" spans="1:13" hidden="1" x14ac:dyDescent="0.25">
      <c r="A1156" s="329">
        <v>44135</v>
      </c>
      <c r="B1156" s="328" t="s">
        <v>1705</v>
      </c>
      <c r="C1156" s="328" t="s">
        <v>769</v>
      </c>
      <c r="D1156" s="330">
        <v>5</v>
      </c>
      <c r="E1156" s="331">
        <v>22</v>
      </c>
      <c r="F1156" s="331">
        <v>324.5</v>
      </c>
      <c r="G1156" s="328" t="s">
        <v>1706</v>
      </c>
      <c r="H1156" s="328" t="s">
        <v>1719</v>
      </c>
      <c r="I1156" s="328" t="s">
        <v>110</v>
      </c>
      <c r="J1156" s="328" t="s">
        <v>757</v>
      </c>
      <c r="K1156" s="328" t="s">
        <v>770</v>
      </c>
      <c r="L1156" s="329">
        <v>44135</v>
      </c>
      <c r="M1156" s="332">
        <v>0</v>
      </c>
    </row>
    <row r="1157" spans="1:13" hidden="1" x14ac:dyDescent="0.25">
      <c r="A1157" s="329">
        <v>44135</v>
      </c>
      <c r="B1157" s="328" t="s">
        <v>1703</v>
      </c>
      <c r="C1157" s="328" t="s">
        <v>1060</v>
      </c>
      <c r="D1157" s="330">
        <v>5</v>
      </c>
      <c r="E1157" s="331">
        <v>-22</v>
      </c>
      <c r="F1157" s="331">
        <v>302.5</v>
      </c>
      <c r="G1157" s="328" t="s">
        <v>1704</v>
      </c>
      <c r="H1157" s="328" t="s">
        <v>1719</v>
      </c>
      <c r="I1157" s="328" t="s">
        <v>110</v>
      </c>
      <c r="J1157" s="328" t="s">
        <v>757</v>
      </c>
      <c r="K1157" s="328" t="s">
        <v>741</v>
      </c>
      <c r="L1157" s="329">
        <v>44135</v>
      </c>
      <c r="M1157" s="332">
        <v>0</v>
      </c>
    </row>
    <row r="1158" spans="1:13" hidden="1" x14ac:dyDescent="0.25">
      <c r="A1158" s="329">
        <v>44165</v>
      </c>
      <c r="B1158" s="328" t="s">
        <v>1707</v>
      </c>
      <c r="C1158" s="328" t="s">
        <v>1060</v>
      </c>
      <c r="D1158" s="330">
        <v>5</v>
      </c>
      <c r="E1158" s="331">
        <v>22</v>
      </c>
      <c r="F1158" s="331">
        <v>324.5</v>
      </c>
      <c r="G1158" s="328" t="s">
        <v>1708</v>
      </c>
      <c r="H1158" s="328" t="s">
        <v>1719</v>
      </c>
      <c r="I1158" s="328" t="s">
        <v>110</v>
      </c>
      <c r="J1158" s="328" t="s">
        <v>757</v>
      </c>
      <c r="K1158" s="328" t="s">
        <v>741</v>
      </c>
      <c r="L1158" s="329">
        <v>44165</v>
      </c>
      <c r="M1158" s="332">
        <v>0</v>
      </c>
    </row>
    <row r="1159" spans="1:13" hidden="1" x14ac:dyDescent="0.25">
      <c r="A1159" s="329">
        <v>44165</v>
      </c>
      <c r="B1159" s="328" t="s">
        <v>1709</v>
      </c>
      <c r="C1159" s="328" t="s">
        <v>769</v>
      </c>
      <c r="D1159" s="330">
        <v>6</v>
      </c>
      <c r="E1159" s="331">
        <v>22</v>
      </c>
      <c r="F1159" s="331">
        <v>346.5</v>
      </c>
      <c r="G1159" s="328" t="s">
        <v>1710</v>
      </c>
      <c r="H1159" s="328" t="s">
        <v>1719</v>
      </c>
      <c r="I1159" s="328" t="s">
        <v>110</v>
      </c>
      <c r="J1159" s="328" t="s">
        <v>757</v>
      </c>
      <c r="K1159" s="328" t="s">
        <v>770</v>
      </c>
      <c r="L1159" s="329">
        <v>44165</v>
      </c>
      <c r="M1159" s="332">
        <v>0</v>
      </c>
    </row>
    <row r="1160" spans="1:13" hidden="1" x14ac:dyDescent="0.25">
      <c r="A1160" s="329">
        <v>44165</v>
      </c>
      <c r="B1160" s="328" t="s">
        <v>1707</v>
      </c>
      <c r="C1160" s="328" t="s">
        <v>1060</v>
      </c>
      <c r="D1160" s="330">
        <v>6</v>
      </c>
      <c r="E1160" s="331">
        <v>-22</v>
      </c>
      <c r="F1160" s="331">
        <v>324.5</v>
      </c>
      <c r="G1160" s="328" t="s">
        <v>1708</v>
      </c>
      <c r="H1160" s="328" t="s">
        <v>1719</v>
      </c>
      <c r="I1160" s="328" t="s">
        <v>110</v>
      </c>
      <c r="J1160" s="328" t="s">
        <v>757</v>
      </c>
      <c r="K1160" s="328" t="s">
        <v>741</v>
      </c>
      <c r="L1160" s="329">
        <v>44165</v>
      </c>
      <c r="M1160" s="332">
        <v>0</v>
      </c>
    </row>
    <row r="1161" spans="1:13" hidden="1" x14ac:dyDescent="0.25">
      <c r="A1161" s="329">
        <v>44196</v>
      </c>
      <c r="B1161" s="328" t="s">
        <v>1711</v>
      </c>
      <c r="C1161" s="328" t="s">
        <v>1060</v>
      </c>
      <c r="D1161" s="330">
        <v>6</v>
      </c>
      <c r="E1161" s="331">
        <v>22</v>
      </c>
      <c r="F1161" s="331">
        <v>346.5</v>
      </c>
      <c r="G1161" s="328" t="s">
        <v>1712</v>
      </c>
      <c r="H1161" s="328" t="s">
        <v>1719</v>
      </c>
      <c r="I1161" s="328" t="s">
        <v>110</v>
      </c>
      <c r="J1161" s="328" t="s">
        <v>757</v>
      </c>
      <c r="K1161" s="328" t="s">
        <v>741</v>
      </c>
      <c r="L1161" s="329">
        <v>44196</v>
      </c>
      <c r="M1161" s="332">
        <v>0</v>
      </c>
    </row>
    <row r="1162" spans="1:13" hidden="1" x14ac:dyDescent="0.25">
      <c r="A1162" s="329">
        <v>44196</v>
      </c>
      <c r="B1162" s="328" t="s">
        <v>1713</v>
      </c>
      <c r="C1162" s="328" t="s">
        <v>769</v>
      </c>
      <c r="D1162" s="330">
        <v>7</v>
      </c>
      <c r="E1162" s="331">
        <v>22</v>
      </c>
      <c r="F1162" s="331">
        <v>368.5</v>
      </c>
      <c r="G1162" s="328" t="s">
        <v>1714</v>
      </c>
      <c r="H1162" s="328" t="s">
        <v>1719</v>
      </c>
      <c r="I1162" s="328" t="s">
        <v>110</v>
      </c>
      <c r="J1162" s="328" t="s">
        <v>757</v>
      </c>
      <c r="K1162" s="328" t="s">
        <v>770</v>
      </c>
      <c r="L1162" s="329">
        <v>44196</v>
      </c>
      <c r="M1162" s="332">
        <v>0</v>
      </c>
    </row>
    <row r="1163" spans="1:13" hidden="1" x14ac:dyDescent="0.25">
      <c r="A1163" s="329">
        <v>44196</v>
      </c>
      <c r="B1163" s="328" t="s">
        <v>1711</v>
      </c>
      <c r="C1163" s="328" t="s">
        <v>1060</v>
      </c>
      <c r="D1163" s="330">
        <v>7</v>
      </c>
      <c r="E1163" s="331">
        <v>-22</v>
      </c>
      <c r="F1163" s="331">
        <v>346.5</v>
      </c>
      <c r="G1163" s="328" t="s">
        <v>1712</v>
      </c>
      <c r="H1163" s="328" t="s">
        <v>1719</v>
      </c>
      <c r="I1163" s="328" t="s">
        <v>110</v>
      </c>
      <c r="J1163" s="328" t="s">
        <v>757</v>
      </c>
      <c r="K1163" s="328" t="s">
        <v>741</v>
      </c>
      <c r="L1163" s="329">
        <v>44196</v>
      </c>
      <c r="M1163" s="332">
        <v>0</v>
      </c>
    </row>
    <row r="1164" spans="1:13" hidden="1" x14ac:dyDescent="0.25">
      <c r="A1164" s="329">
        <v>44227</v>
      </c>
      <c r="B1164" s="328" t="s">
        <v>1715</v>
      </c>
      <c r="C1164" s="328" t="s">
        <v>1060</v>
      </c>
      <c r="D1164" s="330">
        <v>7</v>
      </c>
      <c r="E1164" s="331">
        <v>22</v>
      </c>
      <c r="F1164" s="331">
        <v>368.5</v>
      </c>
      <c r="G1164" s="328" t="s">
        <v>1716</v>
      </c>
      <c r="H1164" s="328" t="s">
        <v>1719</v>
      </c>
      <c r="I1164" s="328" t="s">
        <v>110</v>
      </c>
      <c r="J1164" s="328" t="s">
        <v>757</v>
      </c>
      <c r="K1164" s="328" t="s">
        <v>741</v>
      </c>
      <c r="L1164" s="329">
        <v>44227</v>
      </c>
      <c r="M1164" s="332">
        <v>0</v>
      </c>
    </row>
    <row r="1165" spans="1:13" hidden="1" x14ac:dyDescent="0.25">
      <c r="A1165" s="329">
        <v>44227</v>
      </c>
      <c r="B1165" s="328" t="s">
        <v>1717</v>
      </c>
      <c r="C1165" s="328" t="s">
        <v>769</v>
      </c>
      <c r="D1165" s="330">
        <v>8</v>
      </c>
      <c r="E1165" s="331">
        <v>22</v>
      </c>
      <c r="F1165" s="331">
        <v>390.5</v>
      </c>
      <c r="G1165" s="328" t="s">
        <v>1718</v>
      </c>
      <c r="H1165" s="328" t="s">
        <v>1719</v>
      </c>
      <c r="I1165" s="328" t="s">
        <v>110</v>
      </c>
      <c r="J1165" s="328" t="s">
        <v>757</v>
      </c>
      <c r="K1165" s="328" t="s">
        <v>770</v>
      </c>
      <c r="L1165" s="329">
        <v>44227</v>
      </c>
      <c r="M1165" s="332">
        <v>0</v>
      </c>
    </row>
    <row r="1166" spans="1:13" hidden="1" x14ac:dyDescent="0.25">
      <c r="A1166" s="329">
        <v>44227</v>
      </c>
      <c r="B1166" s="328" t="s">
        <v>1715</v>
      </c>
      <c r="C1166" s="328" t="s">
        <v>1060</v>
      </c>
      <c r="D1166" s="330">
        <v>8</v>
      </c>
      <c r="E1166" s="331">
        <v>-22</v>
      </c>
      <c r="F1166" s="331">
        <v>368.5</v>
      </c>
      <c r="G1166" s="328" t="s">
        <v>1716</v>
      </c>
      <c r="H1166" s="328" t="s">
        <v>1719</v>
      </c>
      <c r="I1166" s="328" t="s">
        <v>110</v>
      </c>
      <c r="J1166" s="328" t="s">
        <v>757</v>
      </c>
      <c r="K1166" s="328" t="s">
        <v>741</v>
      </c>
      <c r="L1166" s="329">
        <v>44227</v>
      </c>
      <c r="M1166" s="332">
        <v>0</v>
      </c>
    </row>
    <row r="1167" spans="1:13" hidden="1" x14ac:dyDescent="0.25">
      <c r="A1167" s="329">
        <v>44255</v>
      </c>
      <c r="B1167" s="328" t="s">
        <v>1720</v>
      </c>
      <c r="C1167" s="328" t="s">
        <v>1060</v>
      </c>
      <c r="D1167" s="330">
        <v>8</v>
      </c>
      <c r="E1167" s="331">
        <v>22</v>
      </c>
      <c r="F1167" s="331">
        <v>390.5</v>
      </c>
      <c r="G1167" s="328" t="s">
        <v>1721</v>
      </c>
      <c r="H1167" s="328" t="s">
        <v>1719</v>
      </c>
      <c r="I1167" s="328" t="s">
        <v>110</v>
      </c>
      <c r="J1167" s="328" t="s">
        <v>757</v>
      </c>
      <c r="K1167" s="328" t="s">
        <v>741</v>
      </c>
      <c r="L1167" s="329">
        <v>44255</v>
      </c>
      <c r="M1167" s="332">
        <v>0</v>
      </c>
    </row>
    <row r="1168" spans="1:13" hidden="1" x14ac:dyDescent="0.25">
      <c r="A1168" s="329">
        <v>44255</v>
      </c>
      <c r="B1168" s="328" t="s">
        <v>1722</v>
      </c>
      <c r="C1168" s="328" t="s">
        <v>769</v>
      </c>
      <c r="D1168" s="330">
        <v>9</v>
      </c>
      <c r="E1168" s="331">
        <v>27.5</v>
      </c>
      <c r="F1168" s="331">
        <v>418</v>
      </c>
      <c r="G1168" s="328" t="s">
        <v>1723</v>
      </c>
      <c r="H1168" s="328" t="s">
        <v>1719</v>
      </c>
      <c r="I1168" s="328" t="s">
        <v>110</v>
      </c>
      <c r="J1168" s="328" t="s">
        <v>757</v>
      </c>
      <c r="K1168" s="328" t="s">
        <v>770</v>
      </c>
      <c r="L1168" s="329">
        <v>44255</v>
      </c>
      <c r="M1168" s="332">
        <v>0</v>
      </c>
    </row>
    <row r="1169" spans="1:13" hidden="1" x14ac:dyDescent="0.25">
      <c r="A1169" s="329">
        <v>44255</v>
      </c>
      <c r="B1169" s="328" t="s">
        <v>1720</v>
      </c>
      <c r="C1169" s="328" t="s">
        <v>1060</v>
      </c>
      <c r="D1169" s="330">
        <v>9</v>
      </c>
      <c r="E1169" s="331">
        <v>-22</v>
      </c>
      <c r="F1169" s="331">
        <v>396</v>
      </c>
      <c r="G1169" s="328" t="s">
        <v>1721</v>
      </c>
      <c r="H1169" s="328" t="s">
        <v>1719</v>
      </c>
      <c r="I1169" s="328" t="s">
        <v>110</v>
      </c>
      <c r="J1169" s="328" t="s">
        <v>757</v>
      </c>
      <c r="K1169" s="328" t="s">
        <v>741</v>
      </c>
      <c r="L1169" s="329">
        <v>44255</v>
      </c>
      <c r="M1169" s="332">
        <v>0</v>
      </c>
    </row>
    <row r="1170" spans="1:13" hidden="1" x14ac:dyDescent="0.25">
      <c r="A1170" s="329">
        <v>44286</v>
      </c>
      <c r="B1170" s="328" t="s">
        <v>1724</v>
      </c>
      <c r="C1170" s="328" t="s">
        <v>1060</v>
      </c>
      <c r="D1170" s="330">
        <v>9</v>
      </c>
      <c r="E1170" s="331">
        <v>27.5</v>
      </c>
      <c r="F1170" s="331">
        <v>423.5</v>
      </c>
      <c r="G1170" s="328" t="s">
        <v>1725</v>
      </c>
      <c r="H1170" s="328" t="s">
        <v>1719</v>
      </c>
      <c r="I1170" s="328" t="s">
        <v>110</v>
      </c>
      <c r="J1170" s="328" t="s">
        <v>757</v>
      </c>
      <c r="K1170" s="328" t="s">
        <v>741</v>
      </c>
      <c r="L1170" s="329">
        <v>44286</v>
      </c>
      <c r="M1170" s="332">
        <v>0</v>
      </c>
    </row>
    <row r="1171" spans="1:13" hidden="1" x14ac:dyDescent="0.25">
      <c r="A1171" s="329">
        <v>44286</v>
      </c>
      <c r="B1171" s="328" t="s">
        <v>1724</v>
      </c>
      <c r="C1171" s="328" t="s">
        <v>1060</v>
      </c>
      <c r="D1171" s="330">
        <v>10</v>
      </c>
      <c r="E1171" s="331">
        <v>-27.5</v>
      </c>
      <c r="F1171" s="331">
        <v>396</v>
      </c>
      <c r="G1171" s="328" t="s">
        <v>1725</v>
      </c>
      <c r="H1171" s="328" t="s">
        <v>1719</v>
      </c>
      <c r="I1171" s="328" t="s">
        <v>110</v>
      </c>
      <c r="J1171" s="328" t="s">
        <v>757</v>
      </c>
      <c r="K1171" s="328" t="s">
        <v>741</v>
      </c>
      <c r="L1171" s="329">
        <v>44286</v>
      </c>
      <c r="M1171" s="332">
        <v>0</v>
      </c>
    </row>
    <row r="1172" spans="1:13" hidden="1" x14ac:dyDescent="0.25">
      <c r="A1172" s="329">
        <v>44286</v>
      </c>
      <c r="B1172" s="328" t="s">
        <v>1726</v>
      </c>
      <c r="C1172" s="328" t="s">
        <v>769</v>
      </c>
      <c r="D1172" s="330">
        <v>10</v>
      </c>
      <c r="E1172" s="331">
        <v>27.5</v>
      </c>
      <c r="F1172" s="331">
        <v>423.5</v>
      </c>
      <c r="G1172" s="328" t="s">
        <v>1727</v>
      </c>
      <c r="H1172" s="328" t="s">
        <v>1719</v>
      </c>
      <c r="I1172" s="328" t="s">
        <v>110</v>
      </c>
      <c r="J1172" s="328" t="s">
        <v>757</v>
      </c>
      <c r="K1172" s="328" t="s">
        <v>770</v>
      </c>
      <c r="L1172" s="329">
        <v>44286</v>
      </c>
      <c r="M1172" s="332">
        <v>0</v>
      </c>
    </row>
    <row r="1173" spans="1:13" hidden="1" x14ac:dyDescent="0.25">
      <c r="A1173" s="329">
        <v>44316</v>
      </c>
      <c r="B1173" s="328" t="s">
        <v>1728</v>
      </c>
      <c r="C1173" s="328" t="s">
        <v>1060</v>
      </c>
      <c r="D1173" s="330">
        <v>10</v>
      </c>
      <c r="E1173" s="331">
        <v>11</v>
      </c>
      <c r="F1173" s="331">
        <v>434.5</v>
      </c>
      <c r="G1173" s="328" t="s">
        <v>1729</v>
      </c>
      <c r="H1173" s="328" t="s">
        <v>1719</v>
      </c>
      <c r="I1173" s="328" t="s">
        <v>110</v>
      </c>
      <c r="J1173" s="328" t="s">
        <v>757</v>
      </c>
      <c r="K1173" s="328" t="s">
        <v>741</v>
      </c>
      <c r="L1173" s="329">
        <v>44316</v>
      </c>
      <c r="M1173" s="332">
        <v>0</v>
      </c>
    </row>
    <row r="1174" spans="1:13" hidden="1" x14ac:dyDescent="0.25">
      <c r="A1174" s="329">
        <v>44012</v>
      </c>
      <c r="B1174" s="328" t="s">
        <v>1681</v>
      </c>
      <c r="C1174" s="328" t="s">
        <v>1059</v>
      </c>
      <c r="D1174" s="330">
        <v>1</v>
      </c>
      <c r="E1174" s="331">
        <v>-55</v>
      </c>
      <c r="F1174" s="331">
        <v>379.5</v>
      </c>
      <c r="G1174" s="328" t="s">
        <v>1682</v>
      </c>
      <c r="H1174" s="328" t="s">
        <v>1730</v>
      </c>
      <c r="I1174" s="328" t="s">
        <v>110</v>
      </c>
      <c r="J1174" s="328" t="s">
        <v>757</v>
      </c>
      <c r="K1174" s="328" t="s">
        <v>741</v>
      </c>
      <c r="L1174" s="329">
        <v>44012</v>
      </c>
      <c r="M1174" s="332">
        <v>0</v>
      </c>
    </row>
    <row r="1175" spans="1:13" hidden="1" x14ac:dyDescent="0.25">
      <c r="A1175" s="329">
        <v>44012</v>
      </c>
      <c r="B1175" s="328" t="s">
        <v>1678</v>
      </c>
      <c r="C1175" s="328" t="s">
        <v>769</v>
      </c>
      <c r="D1175" s="330">
        <v>1</v>
      </c>
      <c r="E1175" s="331">
        <v>88</v>
      </c>
      <c r="F1175" s="331">
        <v>467.5</v>
      </c>
      <c r="G1175" s="328" t="s">
        <v>1679</v>
      </c>
      <c r="H1175" s="328" t="s">
        <v>1730</v>
      </c>
      <c r="I1175" s="328" t="s">
        <v>110</v>
      </c>
      <c r="J1175" s="328" t="s">
        <v>757</v>
      </c>
      <c r="K1175" s="328" t="s">
        <v>770</v>
      </c>
      <c r="L1175" s="329">
        <v>44012</v>
      </c>
      <c r="M1175" s="332">
        <v>0</v>
      </c>
    </row>
    <row r="1176" spans="1:13" hidden="1" x14ac:dyDescent="0.25">
      <c r="A1176" s="329">
        <v>44041</v>
      </c>
      <c r="B1176" s="328" t="s">
        <v>1683</v>
      </c>
      <c r="C1176" s="328" t="s">
        <v>936</v>
      </c>
      <c r="D1176" s="330">
        <v>1</v>
      </c>
      <c r="E1176" s="331">
        <v>-33</v>
      </c>
      <c r="F1176" s="331">
        <v>434.5</v>
      </c>
      <c r="G1176" s="328" t="s">
        <v>1684</v>
      </c>
      <c r="H1176" s="328" t="s">
        <v>1730</v>
      </c>
      <c r="I1176" s="328" t="s">
        <v>110</v>
      </c>
      <c r="J1176" s="328" t="s">
        <v>757</v>
      </c>
      <c r="K1176" s="328" t="s">
        <v>770</v>
      </c>
      <c r="L1176" s="329">
        <v>44041</v>
      </c>
      <c r="M1176" s="332">
        <v>0</v>
      </c>
    </row>
    <row r="1177" spans="1:13" hidden="1" x14ac:dyDescent="0.25">
      <c r="A1177" s="329">
        <v>44043</v>
      </c>
      <c r="B1177" s="328" t="s">
        <v>1689</v>
      </c>
      <c r="C1177" s="328" t="s">
        <v>1060</v>
      </c>
      <c r="D1177" s="330">
        <v>1</v>
      </c>
      <c r="E1177" s="331">
        <v>-33</v>
      </c>
      <c r="F1177" s="331">
        <v>401.5</v>
      </c>
      <c r="G1177" s="328" t="s">
        <v>1690</v>
      </c>
      <c r="H1177" s="328" t="s">
        <v>1730</v>
      </c>
      <c r="I1177" s="328" t="s">
        <v>110</v>
      </c>
      <c r="J1177" s="328" t="s">
        <v>757</v>
      </c>
      <c r="K1177" s="328" t="s">
        <v>741</v>
      </c>
      <c r="L1177" s="329">
        <v>44043</v>
      </c>
      <c r="M1177" s="332">
        <v>0</v>
      </c>
    </row>
    <row r="1178" spans="1:13" hidden="1" x14ac:dyDescent="0.25">
      <c r="A1178" s="329">
        <v>44043</v>
      </c>
      <c r="B1178" s="328" t="s">
        <v>1689</v>
      </c>
      <c r="C1178" s="328" t="s">
        <v>1060</v>
      </c>
      <c r="D1178" s="330">
        <v>1</v>
      </c>
      <c r="E1178" s="331">
        <v>71.5</v>
      </c>
      <c r="F1178" s="331">
        <v>473</v>
      </c>
      <c r="G1178" s="328" t="s">
        <v>1686</v>
      </c>
      <c r="H1178" s="328" t="s">
        <v>1730</v>
      </c>
      <c r="I1178" s="328" t="s">
        <v>110</v>
      </c>
      <c r="J1178" s="328" t="s">
        <v>757</v>
      </c>
      <c r="K1178" s="328" t="s">
        <v>741</v>
      </c>
      <c r="L1178" s="329">
        <v>44043</v>
      </c>
      <c r="M1178" s="332">
        <v>0</v>
      </c>
    </row>
    <row r="1179" spans="1:13" hidden="1" x14ac:dyDescent="0.25">
      <c r="A1179" s="329">
        <v>44043</v>
      </c>
      <c r="B1179" s="328" t="s">
        <v>1688</v>
      </c>
      <c r="C1179" s="328" t="s">
        <v>1060</v>
      </c>
      <c r="D1179" s="330">
        <v>1</v>
      </c>
      <c r="E1179" s="331">
        <v>-33</v>
      </c>
      <c r="F1179" s="331">
        <v>440</v>
      </c>
      <c r="G1179" s="328" t="s">
        <v>1687</v>
      </c>
      <c r="H1179" s="328" t="s">
        <v>1730</v>
      </c>
      <c r="I1179" s="328" t="s">
        <v>110</v>
      </c>
      <c r="J1179" s="328" t="s">
        <v>757</v>
      </c>
      <c r="K1179" s="328" t="s">
        <v>741</v>
      </c>
      <c r="L1179" s="329">
        <v>44043</v>
      </c>
      <c r="M1179" s="332">
        <v>0</v>
      </c>
    </row>
    <row r="1180" spans="1:13" hidden="1" x14ac:dyDescent="0.25">
      <c r="A1180" s="329">
        <v>44043</v>
      </c>
      <c r="B1180" s="328" t="s">
        <v>1688</v>
      </c>
      <c r="C1180" s="328" t="s">
        <v>1060</v>
      </c>
      <c r="D1180" s="330">
        <v>1</v>
      </c>
      <c r="E1180" s="331">
        <v>-71.5</v>
      </c>
      <c r="F1180" s="331">
        <v>368.5</v>
      </c>
      <c r="G1180" s="328" t="s">
        <v>1686</v>
      </c>
      <c r="H1180" s="328" t="s">
        <v>1730</v>
      </c>
      <c r="I1180" s="328" t="s">
        <v>110</v>
      </c>
      <c r="J1180" s="328" t="s">
        <v>757</v>
      </c>
      <c r="K1180" s="328" t="s">
        <v>741</v>
      </c>
      <c r="L1180" s="329">
        <v>44043</v>
      </c>
      <c r="M1180" s="332">
        <v>0</v>
      </c>
    </row>
    <row r="1181" spans="1:13" hidden="1" x14ac:dyDescent="0.25">
      <c r="A1181" s="329">
        <v>44043</v>
      </c>
      <c r="B1181" s="328" t="s">
        <v>1685</v>
      </c>
      <c r="C1181" s="328" t="s">
        <v>1060</v>
      </c>
      <c r="D1181" s="330">
        <v>1</v>
      </c>
      <c r="E1181" s="331">
        <v>33</v>
      </c>
      <c r="F1181" s="331">
        <v>401.5</v>
      </c>
      <c r="G1181" s="328" t="s">
        <v>1687</v>
      </c>
      <c r="H1181" s="328" t="s">
        <v>1730</v>
      </c>
      <c r="I1181" s="328" t="s">
        <v>110</v>
      </c>
      <c r="J1181" s="328" t="s">
        <v>757</v>
      </c>
      <c r="K1181" s="328" t="s">
        <v>741</v>
      </c>
      <c r="L1181" s="329">
        <v>44043</v>
      </c>
      <c r="M1181" s="332">
        <v>0</v>
      </c>
    </row>
    <row r="1182" spans="1:13" hidden="1" x14ac:dyDescent="0.25">
      <c r="A1182" s="329">
        <v>44043</v>
      </c>
      <c r="B1182" s="328" t="s">
        <v>1685</v>
      </c>
      <c r="C1182" s="328" t="s">
        <v>1060</v>
      </c>
      <c r="D1182" s="330">
        <v>1</v>
      </c>
      <c r="E1182" s="331">
        <v>71.5</v>
      </c>
      <c r="F1182" s="331">
        <v>473</v>
      </c>
      <c r="G1182" s="328" t="s">
        <v>1686</v>
      </c>
      <c r="H1182" s="328" t="s">
        <v>1730</v>
      </c>
      <c r="I1182" s="328" t="s">
        <v>110</v>
      </c>
      <c r="J1182" s="328" t="s">
        <v>757</v>
      </c>
      <c r="K1182" s="328" t="s">
        <v>741</v>
      </c>
      <c r="L1182" s="329">
        <v>44043</v>
      </c>
      <c r="M1182" s="332">
        <v>0</v>
      </c>
    </row>
    <row r="1183" spans="1:13" hidden="1" x14ac:dyDescent="0.25">
      <c r="A1183" s="329">
        <v>44043</v>
      </c>
      <c r="B1183" s="328" t="s">
        <v>1685</v>
      </c>
      <c r="C1183" s="328" t="s">
        <v>1060</v>
      </c>
      <c r="D1183" s="330">
        <v>2</v>
      </c>
      <c r="E1183" s="331">
        <v>-33</v>
      </c>
      <c r="F1183" s="331">
        <v>440</v>
      </c>
      <c r="G1183" s="328" t="s">
        <v>1687</v>
      </c>
      <c r="H1183" s="328" t="s">
        <v>1730</v>
      </c>
      <c r="I1183" s="328" t="s">
        <v>110</v>
      </c>
      <c r="J1183" s="328" t="s">
        <v>757</v>
      </c>
      <c r="K1183" s="328" t="s">
        <v>741</v>
      </c>
      <c r="L1183" s="329">
        <v>44043</v>
      </c>
      <c r="M1183" s="332">
        <v>0</v>
      </c>
    </row>
    <row r="1184" spans="1:13" hidden="1" x14ac:dyDescent="0.25">
      <c r="A1184" s="329">
        <v>44043</v>
      </c>
      <c r="B1184" s="328" t="s">
        <v>1685</v>
      </c>
      <c r="C1184" s="328" t="s">
        <v>1060</v>
      </c>
      <c r="D1184" s="330">
        <v>2</v>
      </c>
      <c r="E1184" s="331">
        <v>-71.5</v>
      </c>
      <c r="F1184" s="331">
        <v>368.5</v>
      </c>
      <c r="G1184" s="328" t="s">
        <v>1686</v>
      </c>
      <c r="H1184" s="328" t="s">
        <v>1730</v>
      </c>
      <c r="I1184" s="328" t="s">
        <v>110</v>
      </c>
      <c r="J1184" s="328" t="s">
        <v>757</v>
      </c>
      <c r="K1184" s="328" t="s">
        <v>741</v>
      </c>
      <c r="L1184" s="329">
        <v>44043</v>
      </c>
      <c r="M1184" s="332">
        <v>0</v>
      </c>
    </row>
    <row r="1185" spans="1:13" hidden="1" x14ac:dyDescent="0.25">
      <c r="A1185" s="329">
        <v>44043</v>
      </c>
      <c r="B1185" s="328" t="s">
        <v>1693</v>
      </c>
      <c r="C1185" s="328" t="s">
        <v>936</v>
      </c>
      <c r="D1185" s="330">
        <v>2</v>
      </c>
      <c r="E1185" s="331">
        <v>-33</v>
      </c>
      <c r="F1185" s="331">
        <v>335.5</v>
      </c>
      <c r="G1185" s="328" t="s">
        <v>1694</v>
      </c>
      <c r="H1185" s="328" t="s">
        <v>1730</v>
      </c>
      <c r="I1185" s="328" t="s">
        <v>110</v>
      </c>
      <c r="J1185" s="328" t="s">
        <v>757</v>
      </c>
      <c r="K1185" s="328" t="s">
        <v>770</v>
      </c>
      <c r="L1185" s="329">
        <v>44043</v>
      </c>
      <c r="M1185" s="332">
        <v>0</v>
      </c>
    </row>
    <row r="1186" spans="1:13" hidden="1" x14ac:dyDescent="0.25">
      <c r="A1186" s="329">
        <v>44043</v>
      </c>
      <c r="B1186" s="328" t="s">
        <v>1691</v>
      </c>
      <c r="C1186" s="328" t="s">
        <v>769</v>
      </c>
      <c r="D1186" s="330">
        <v>2</v>
      </c>
      <c r="E1186" s="331">
        <v>71.5</v>
      </c>
      <c r="F1186" s="331">
        <v>407</v>
      </c>
      <c r="G1186" s="328" t="s">
        <v>1692</v>
      </c>
      <c r="H1186" s="328" t="s">
        <v>1730</v>
      </c>
      <c r="I1186" s="328" t="s">
        <v>110</v>
      </c>
      <c r="J1186" s="328" t="s">
        <v>757</v>
      </c>
      <c r="K1186" s="328" t="s">
        <v>770</v>
      </c>
      <c r="L1186" s="329">
        <v>44043</v>
      </c>
      <c r="M1186" s="332">
        <v>0</v>
      </c>
    </row>
    <row r="1187" spans="1:13" hidden="1" x14ac:dyDescent="0.25">
      <c r="A1187" s="329">
        <v>44043</v>
      </c>
      <c r="B1187" s="328" t="s">
        <v>1689</v>
      </c>
      <c r="C1187" s="328" t="s">
        <v>1060</v>
      </c>
      <c r="D1187" s="330">
        <v>2</v>
      </c>
      <c r="E1187" s="331">
        <v>33</v>
      </c>
      <c r="F1187" s="331">
        <v>440</v>
      </c>
      <c r="G1187" s="328" t="s">
        <v>1690</v>
      </c>
      <c r="H1187" s="328" t="s">
        <v>1730</v>
      </c>
      <c r="I1187" s="328" t="s">
        <v>110</v>
      </c>
      <c r="J1187" s="328" t="s">
        <v>757</v>
      </c>
      <c r="K1187" s="328" t="s">
        <v>741</v>
      </c>
      <c r="L1187" s="329">
        <v>44043</v>
      </c>
      <c r="M1187" s="332">
        <v>0</v>
      </c>
    </row>
    <row r="1188" spans="1:13" hidden="1" x14ac:dyDescent="0.25">
      <c r="A1188" s="329">
        <v>44043</v>
      </c>
      <c r="B1188" s="328" t="s">
        <v>1689</v>
      </c>
      <c r="C1188" s="328" t="s">
        <v>1060</v>
      </c>
      <c r="D1188" s="330">
        <v>2</v>
      </c>
      <c r="E1188" s="331">
        <v>-71.5</v>
      </c>
      <c r="F1188" s="331">
        <v>368.5</v>
      </c>
      <c r="G1188" s="328" t="s">
        <v>1686</v>
      </c>
      <c r="H1188" s="328" t="s">
        <v>1730</v>
      </c>
      <c r="I1188" s="328" t="s">
        <v>110</v>
      </c>
      <c r="J1188" s="328" t="s">
        <v>757</v>
      </c>
      <c r="K1188" s="328" t="s">
        <v>741</v>
      </c>
      <c r="L1188" s="329">
        <v>44043</v>
      </c>
      <c r="M1188" s="332">
        <v>0</v>
      </c>
    </row>
    <row r="1189" spans="1:13" hidden="1" x14ac:dyDescent="0.25">
      <c r="A1189" s="329">
        <v>44043</v>
      </c>
      <c r="B1189" s="328" t="s">
        <v>1688</v>
      </c>
      <c r="C1189" s="328" t="s">
        <v>1060</v>
      </c>
      <c r="D1189" s="330">
        <v>2</v>
      </c>
      <c r="E1189" s="331">
        <v>33</v>
      </c>
      <c r="F1189" s="331">
        <v>401.5</v>
      </c>
      <c r="G1189" s="328" t="s">
        <v>1687</v>
      </c>
      <c r="H1189" s="328" t="s">
        <v>1730</v>
      </c>
      <c r="I1189" s="328" t="s">
        <v>110</v>
      </c>
      <c r="J1189" s="328" t="s">
        <v>757</v>
      </c>
      <c r="K1189" s="328" t="s">
        <v>741</v>
      </c>
      <c r="L1189" s="329">
        <v>44043</v>
      </c>
      <c r="M1189" s="332">
        <v>0</v>
      </c>
    </row>
    <row r="1190" spans="1:13" hidden="1" x14ac:dyDescent="0.25">
      <c r="A1190" s="329">
        <v>44043</v>
      </c>
      <c r="B1190" s="328" t="s">
        <v>1688</v>
      </c>
      <c r="C1190" s="328" t="s">
        <v>1060</v>
      </c>
      <c r="D1190" s="330">
        <v>2</v>
      </c>
      <c r="E1190" s="331">
        <v>71.5</v>
      </c>
      <c r="F1190" s="331">
        <v>473</v>
      </c>
      <c r="G1190" s="328" t="s">
        <v>1686</v>
      </c>
      <c r="H1190" s="328" t="s">
        <v>1730</v>
      </c>
      <c r="I1190" s="328" t="s">
        <v>110</v>
      </c>
      <c r="J1190" s="328" t="s">
        <v>757</v>
      </c>
      <c r="K1190" s="328" t="s">
        <v>741</v>
      </c>
      <c r="L1190" s="329">
        <v>44043</v>
      </c>
      <c r="M1190" s="332">
        <v>0</v>
      </c>
    </row>
    <row r="1191" spans="1:13" hidden="1" x14ac:dyDescent="0.25">
      <c r="A1191" s="329">
        <v>44074</v>
      </c>
      <c r="B1191" s="328" t="s">
        <v>1695</v>
      </c>
      <c r="C1191" s="328" t="s">
        <v>1060</v>
      </c>
      <c r="D1191" s="330">
        <v>2</v>
      </c>
      <c r="E1191" s="331">
        <v>55</v>
      </c>
      <c r="F1191" s="331">
        <v>528</v>
      </c>
      <c r="G1191" s="328" t="s">
        <v>1696</v>
      </c>
      <c r="H1191" s="328" t="s">
        <v>1730</v>
      </c>
      <c r="I1191" s="328" t="s">
        <v>110</v>
      </c>
      <c r="J1191" s="328" t="s">
        <v>757</v>
      </c>
      <c r="K1191" s="328" t="s">
        <v>741</v>
      </c>
      <c r="L1191" s="329">
        <v>44074</v>
      </c>
      <c r="M1191" s="332">
        <v>0</v>
      </c>
    </row>
    <row r="1192" spans="1:13" hidden="1" x14ac:dyDescent="0.25">
      <c r="A1192" s="329">
        <v>44074</v>
      </c>
      <c r="B1192" s="328" t="s">
        <v>1695</v>
      </c>
      <c r="C1192" s="328" t="s">
        <v>1060</v>
      </c>
      <c r="D1192" s="330">
        <v>3</v>
      </c>
      <c r="E1192" s="331">
        <v>-55</v>
      </c>
      <c r="F1192" s="331">
        <v>473</v>
      </c>
      <c r="G1192" s="328" t="s">
        <v>1696</v>
      </c>
      <c r="H1192" s="328" t="s">
        <v>1730</v>
      </c>
      <c r="I1192" s="328" t="s">
        <v>110</v>
      </c>
      <c r="J1192" s="328" t="s">
        <v>757</v>
      </c>
      <c r="K1192" s="328" t="s">
        <v>741</v>
      </c>
      <c r="L1192" s="329">
        <v>44074</v>
      </c>
      <c r="M1192" s="332">
        <v>0</v>
      </c>
    </row>
    <row r="1193" spans="1:13" hidden="1" x14ac:dyDescent="0.25">
      <c r="A1193" s="329">
        <v>44074</v>
      </c>
      <c r="B1193" s="328" t="s">
        <v>1697</v>
      </c>
      <c r="C1193" s="328" t="s">
        <v>769</v>
      </c>
      <c r="D1193" s="330">
        <v>3</v>
      </c>
      <c r="E1193" s="331">
        <v>55</v>
      </c>
      <c r="F1193" s="331">
        <v>528</v>
      </c>
      <c r="G1193" s="328" t="s">
        <v>1698</v>
      </c>
      <c r="H1193" s="328" t="s">
        <v>1730</v>
      </c>
      <c r="I1193" s="328" t="s">
        <v>110</v>
      </c>
      <c r="J1193" s="328" t="s">
        <v>757</v>
      </c>
      <c r="K1193" s="328" t="s">
        <v>770</v>
      </c>
      <c r="L1193" s="329">
        <v>44074</v>
      </c>
      <c r="M1193" s="332">
        <v>0</v>
      </c>
    </row>
    <row r="1194" spans="1:13" hidden="1" x14ac:dyDescent="0.25">
      <c r="A1194" s="329">
        <v>44104</v>
      </c>
      <c r="B1194" s="328" t="s">
        <v>1699</v>
      </c>
      <c r="C1194" s="328" t="s">
        <v>1060</v>
      </c>
      <c r="D1194" s="330">
        <v>3</v>
      </c>
      <c r="E1194" s="331">
        <v>93.5</v>
      </c>
      <c r="F1194" s="331">
        <v>621.5</v>
      </c>
      <c r="G1194" s="328" t="s">
        <v>1700</v>
      </c>
      <c r="H1194" s="328" t="s">
        <v>1730</v>
      </c>
      <c r="I1194" s="328" t="s">
        <v>110</v>
      </c>
      <c r="J1194" s="328" t="s">
        <v>757</v>
      </c>
      <c r="K1194" s="328" t="s">
        <v>741</v>
      </c>
      <c r="L1194" s="329">
        <v>44104</v>
      </c>
      <c r="M1194" s="332">
        <v>0</v>
      </c>
    </row>
    <row r="1195" spans="1:13" hidden="1" x14ac:dyDescent="0.25">
      <c r="A1195" s="329">
        <v>44104</v>
      </c>
      <c r="B1195" s="328" t="s">
        <v>1699</v>
      </c>
      <c r="C1195" s="328" t="s">
        <v>1060</v>
      </c>
      <c r="D1195" s="330">
        <v>4</v>
      </c>
      <c r="E1195" s="331">
        <v>-93.5</v>
      </c>
      <c r="F1195" s="331">
        <v>528</v>
      </c>
      <c r="G1195" s="328" t="s">
        <v>1700</v>
      </c>
      <c r="H1195" s="328" t="s">
        <v>1730</v>
      </c>
      <c r="I1195" s="328" t="s">
        <v>110</v>
      </c>
      <c r="J1195" s="328" t="s">
        <v>757</v>
      </c>
      <c r="K1195" s="328" t="s">
        <v>741</v>
      </c>
      <c r="L1195" s="329">
        <v>44104</v>
      </c>
      <c r="M1195" s="332">
        <v>0</v>
      </c>
    </row>
    <row r="1196" spans="1:13" hidden="1" x14ac:dyDescent="0.25">
      <c r="A1196" s="329">
        <v>44105</v>
      </c>
      <c r="B1196" s="328" t="s">
        <v>1701</v>
      </c>
      <c r="C1196" s="328" t="s">
        <v>769</v>
      </c>
      <c r="D1196" s="330">
        <v>4</v>
      </c>
      <c r="E1196" s="331">
        <v>93.5</v>
      </c>
      <c r="F1196" s="331">
        <v>621.5</v>
      </c>
      <c r="G1196" s="328" t="s">
        <v>1702</v>
      </c>
      <c r="H1196" s="328" t="s">
        <v>1730</v>
      </c>
      <c r="I1196" s="328" t="s">
        <v>110</v>
      </c>
      <c r="J1196" s="328" t="s">
        <v>757</v>
      </c>
      <c r="K1196" s="328" t="s">
        <v>770</v>
      </c>
      <c r="L1196" s="329">
        <v>44105</v>
      </c>
      <c r="M1196" s="332">
        <v>0</v>
      </c>
    </row>
    <row r="1197" spans="1:13" hidden="1" x14ac:dyDescent="0.25">
      <c r="A1197" s="329">
        <v>44135</v>
      </c>
      <c r="B1197" s="328" t="s">
        <v>1703</v>
      </c>
      <c r="C1197" s="328" t="s">
        <v>1060</v>
      </c>
      <c r="D1197" s="330">
        <v>4</v>
      </c>
      <c r="E1197" s="331">
        <v>27.5</v>
      </c>
      <c r="F1197" s="331">
        <v>649</v>
      </c>
      <c r="G1197" s="328" t="s">
        <v>1704</v>
      </c>
      <c r="H1197" s="328" t="s">
        <v>1730</v>
      </c>
      <c r="I1197" s="328" t="s">
        <v>110</v>
      </c>
      <c r="J1197" s="328" t="s">
        <v>757</v>
      </c>
      <c r="K1197" s="328" t="s">
        <v>741</v>
      </c>
      <c r="L1197" s="329">
        <v>44135</v>
      </c>
      <c r="M1197" s="332">
        <v>0</v>
      </c>
    </row>
    <row r="1198" spans="1:13" hidden="1" x14ac:dyDescent="0.25">
      <c r="A1198" s="329">
        <v>44135</v>
      </c>
      <c r="B1198" s="328" t="s">
        <v>1705</v>
      </c>
      <c r="C1198" s="328" t="s">
        <v>769</v>
      </c>
      <c r="D1198" s="330">
        <v>5</v>
      </c>
      <c r="E1198" s="331">
        <v>27.5</v>
      </c>
      <c r="F1198" s="331">
        <v>676.5</v>
      </c>
      <c r="G1198" s="328" t="s">
        <v>1706</v>
      </c>
      <c r="H1198" s="328" t="s">
        <v>1730</v>
      </c>
      <c r="I1198" s="328" t="s">
        <v>110</v>
      </c>
      <c r="J1198" s="328" t="s">
        <v>757</v>
      </c>
      <c r="K1198" s="328" t="s">
        <v>770</v>
      </c>
      <c r="L1198" s="329">
        <v>44135</v>
      </c>
      <c r="M1198" s="332">
        <v>0</v>
      </c>
    </row>
    <row r="1199" spans="1:13" hidden="1" x14ac:dyDescent="0.25">
      <c r="A1199" s="329">
        <v>44135</v>
      </c>
      <c r="B1199" s="328" t="s">
        <v>1703</v>
      </c>
      <c r="C1199" s="328" t="s">
        <v>1060</v>
      </c>
      <c r="D1199" s="330">
        <v>5</v>
      </c>
      <c r="E1199" s="331">
        <v>-27.5</v>
      </c>
      <c r="F1199" s="331">
        <v>649</v>
      </c>
      <c r="G1199" s="328" t="s">
        <v>1704</v>
      </c>
      <c r="H1199" s="328" t="s">
        <v>1730</v>
      </c>
      <c r="I1199" s="328" t="s">
        <v>110</v>
      </c>
      <c r="J1199" s="328" t="s">
        <v>757</v>
      </c>
      <c r="K1199" s="328" t="s">
        <v>741</v>
      </c>
      <c r="L1199" s="329">
        <v>44135</v>
      </c>
      <c r="M1199" s="332">
        <v>0</v>
      </c>
    </row>
    <row r="1200" spans="1:13" hidden="1" x14ac:dyDescent="0.25">
      <c r="A1200" s="329">
        <v>44165</v>
      </c>
      <c r="B1200" s="328" t="s">
        <v>1707</v>
      </c>
      <c r="C1200" s="328" t="s">
        <v>1060</v>
      </c>
      <c r="D1200" s="330">
        <v>5</v>
      </c>
      <c r="E1200" s="331">
        <v>27.5</v>
      </c>
      <c r="F1200" s="331">
        <v>676.5</v>
      </c>
      <c r="G1200" s="328" t="s">
        <v>1708</v>
      </c>
      <c r="H1200" s="328" t="s">
        <v>1730</v>
      </c>
      <c r="I1200" s="328" t="s">
        <v>110</v>
      </c>
      <c r="J1200" s="328" t="s">
        <v>757</v>
      </c>
      <c r="K1200" s="328" t="s">
        <v>741</v>
      </c>
      <c r="L1200" s="329">
        <v>44165</v>
      </c>
      <c r="M1200" s="332">
        <v>0</v>
      </c>
    </row>
    <row r="1201" spans="1:13" hidden="1" x14ac:dyDescent="0.25">
      <c r="A1201" s="329">
        <v>44165</v>
      </c>
      <c r="B1201" s="328" t="s">
        <v>1707</v>
      </c>
      <c r="C1201" s="328" t="s">
        <v>1060</v>
      </c>
      <c r="D1201" s="330">
        <v>6</v>
      </c>
      <c r="E1201" s="331">
        <v>-27.5</v>
      </c>
      <c r="F1201" s="331">
        <v>649</v>
      </c>
      <c r="G1201" s="328" t="s">
        <v>1708</v>
      </c>
      <c r="H1201" s="328" t="s">
        <v>1730</v>
      </c>
      <c r="I1201" s="328" t="s">
        <v>110</v>
      </c>
      <c r="J1201" s="328" t="s">
        <v>757</v>
      </c>
      <c r="K1201" s="328" t="s">
        <v>741</v>
      </c>
      <c r="L1201" s="329">
        <v>44165</v>
      </c>
      <c r="M1201" s="332">
        <v>0</v>
      </c>
    </row>
    <row r="1202" spans="1:13" hidden="1" x14ac:dyDescent="0.25">
      <c r="A1202" s="329">
        <v>44165</v>
      </c>
      <c r="B1202" s="328" t="s">
        <v>1709</v>
      </c>
      <c r="C1202" s="328" t="s">
        <v>769</v>
      </c>
      <c r="D1202" s="330">
        <v>6</v>
      </c>
      <c r="E1202" s="331">
        <v>27.5</v>
      </c>
      <c r="F1202" s="331">
        <v>676.5</v>
      </c>
      <c r="G1202" s="328" t="s">
        <v>1710</v>
      </c>
      <c r="H1202" s="328" t="s">
        <v>1730</v>
      </c>
      <c r="I1202" s="328" t="s">
        <v>110</v>
      </c>
      <c r="J1202" s="328" t="s">
        <v>757</v>
      </c>
      <c r="K1202" s="328" t="s">
        <v>770</v>
      </c>
      <c r="L1202" s="329">
        <v>44165</v>
      </c>
      <c r="M1202" s="332">
        <v>0</v>
      </c>
    </row>
    <row r="1203" spans="1:13" hidden="1" x14ac:dyDescent="0.25">
      <c r="A1203" s="329">
        <v>44196</v>
      </c>
      <c r="B1203" s="328" t="s">
        <v>1711</v>
      </c>
      <c r="C1203" s="328" t="s">
        <v>1060</v>
      </c>
      <c r="D1203" s="330">
        <v>6</v>
      </c>
      <c r="E1203" s="331">
        <v>33</v>
      </c>
      <c r="F1203" s="331">
        <v>709.5</v>
      </c>
      <c r="G1203" s="328" t="s">
        <v>1712</v>
      </c>
      <c r="H1203" s="328" t="s">
        <v>1730</v>
      </c>
      <c r="I1203" s="328" t="s">
        <v>110</v>
      </c>
      <c r="J1203" s="328" t="s">
        <v>757</v>
      </c>
      <c r="K1203" s="328" t="s">
        <v>741</v>
      </c>
      <c r="L1203" s="329">
        <v>44196</v>
      </c>
      <c r="M1203" s="332">
        <v>0</v>
      </c>
    </row>
    <row r="1204" spans="1:13" hidden="1" x14ac:dyDescent="0.25">
      <c r="A1204" s="329">
        <v>44196</v>
      </c>
      <c r="B1204" s="328" t="s">
        <v>1711</v>
      </c>
      <c r="C1204" s="328" t="s">
        <v>1060</v>
      </c>
      <c r="D1204" s="330">
        <v>7</v>
      </c>
      <c r="E1204" s="331">
        <v>-33</v>
      </c>
      <c r="F1204" s="331">
        <v>676.5</v>
      </c>
      <c r="G1204" s="328" t="s">
        <v>1712</v>
      </c>
      <c r="H1204" s="328" t="s">
        <v>1730</v>
      </c>
      <c r="I1204" s="328" t="s">
        <v>110</v>
      </c>
      <c r="J1204" s="328" t="s">
        <v>757</v>
      </c>
      <c r="K1204" s="328" t="s">
        <v>741</v>
      </c>
      <c r="L1204" s="329">
        <v>44196</v>
      </c>
      <c r="M1204" s="332">
        <v>0</v>
      </c>
    </row>
    <row r="1205" spans="1:13" hidden="1" x14ac:dyDescent="0.25">
      <c r="A1205" s="329">
        <v>44196</v>
      </c>
      <c r="B1205" s="328" t="s">
        <v>1713</v>
      </c>
      <c r="C1205" s="328" t="s">
        <v>769</v>
      </c>
      <c r="D1205" s="330">
        <v>7</v>
      </c>
      <c r="E1205" s="331">
        <v>33</v>
      </c>
      <c r="F1205" s="331">
        <v>709.5</v>
      </c>
      <c r="G1205" s="328" t="s">
        <v>1714</v>
      </c>
      <c r="H1205" s="328" t="s">
        <v>1730</v>
      </c>
      <c r="I1205" s="328" t="s">
        <v>110</v>
      </c>
      <c r="J1205" s="328" t="s">
        <v>757</v>
      </c>
      <c r="K1205" s="328" t="s">
        <v>770</v>
      </c>
      <c r="L1205" s="329">
        <v>44196</v>
      </c>
      <c r="M1205" s="332">
        <v>0</v>
      </c>
    </row>
    <row r="1206" spans="1:13" hidden="1" x14ac:dyDescent="0.25">
      <c r="A1206" s="329">
        <v>44227</v>
      </c>
      <c r="B1206" s="328" t="s">
        <v>1715</v>
      </c>
      <c r="C1206" s="328" t="s">
        <v>1060</v>
      </c>
      <c r="D1206" s="330">
        <v>7</v>
      </c>
      <c r="E1206" s="331">
        <v>33</v>
      </c>
      <c r="F1206" s="331">
        <v>742.5</v>
      </c>
      <c r="G1206" s="328" t="s">
        <v>1716</v>
      </c>
      <c r="H1206" s="328" t="s">
        <v>1730</v>
      </c>
      <c r="I1206" s="328" t="s">
        <v>110</v>
      </c>
      <c r="J1206" s="328" t="s">
        <v>757</v>
      </c>
      <c r="K1206" s="328" t="s">
        <v>741</v>
      </c>
      <c r="L1206" s="329">
        <v>44227</v>
      </c>
      <c r="M1206" s="332">
        <v>0</v>
      </c>
    </row>
    <row r="1207" spans="1:13" hidden="1" x14ac:dyDescent="0.25">
      <c r="A1207" s="329">
        <v>44227</v>
      </c>
      <c r="B1207" s="328" t="s">
        <v>1715</v>
      </c>
      <c r="C1207" s="328" t="s">
        <v>1060</v>
      </c>
      <c r="D1207" s="330">
        <v>8</v>
      </c>
      <c r="E1207" s="331">
        <v>-33</v>
      </c>
      <c r="F1207" s="331">
        <v>709.5</v>
      </c>
      <c r="G1207" s="328" t="s">
        <v>1716</v>
      </c>
      <c r="H1207" s="328" t="s">
        <v>1730</v>
      </c>
      <c r="I1207" s="328" t="s">
        <v>110</v>
      </c>
      <c r="J1207" s="328" t="s">
        <v>757</v>
      </c>
      <c r="K1207" s="328" t="s">
        <v>741</v>
      </c>
      <c r="L1207" s="329">
        <v>44227</v>
      </c>
      <c r="M1207" s="332">
        <v>0</v>
      </c>
    </row>
    <row r="1208" spans="1:13" hidden="1" x14ac:dyDescent="0.25">
      <c r="A1208" s="329">
        <v>44227</v>
      </c>
      <c r="B1208" s="328" t="s">
        <v>1717</v>
      </c>
      <c r="C1208" s="328" t="s">
        <v>769</v>
      </c>
      <c r="D1208" s="330">
        <v>8</v>
      </c>
      <c r="E1208" s="331">
        <v>33</v>
      </c>
      <c r="F1208" s="331">
        <v>742.5</v>
      </c>
      <c r="G1208" s="328" t="s">
        <v>1718</v>
      </c>
      <c r="H1208" s="328" t="s">
        <v>1730</v>
      </c>
      <c r="I1208" s="328" t="s">
        <v>110</v>
      </c>
      <c r="J1208" s="328" t="s">
        <v>757</v>
      </c>
      <c r="K1208" s="328" t="s">
        <v>770</v>
      </c>
      <c r="L1208" s="329">
        <v>44227</v>
      </c>
      <c r="M1208" s="332">
        <v>0</v>
      </c>
    </row>
    <row r="1209" spans="1:13" hidden="1" x14ac:dyDescent="0.25">
      <c r="A1209" s="329">
        <v>44255</v>
      </c>
      <c r="B1209" s="328" t="s">
        <v>1720</v>
      </c>
      <c r="C1209" s="328" t="s">
        <v>1060</v>
      </c>
      <c r="D1209" s="330">
        <v>8</v>
      </c>
      <c r="E1209" s="331">
        <v>33</v>
      </c>
      <c r="F1209" s="331">
        <v>775.5</v>
      </c>
      <c r="G1209" s="328" t="s">
        <v>1721</v>
      </c>
      <c r="H1209" s="328" t="s">
        <v>1730</v>
      </c>
      <c r="I1209" s="328" t="s">
        <v>110</v>
      </c>
      <c r="J1209" s="328" t="s">
        <v>757</v>
      </c>
      <c r="K1209" s="328" t="s">
        <v>741</v>
      </c>
      <c r="L1209" s="329">
        <v>44255</v>
      </c>
      <c r="M1209" s="332">
        <v>0</v>
      </c>
    </row>
    <row r="1210" spans="1:13" hidden="1" x14ac:dyDescent="0.25">
      <c r="A1210" s="329">
        <v>44255</v>
      </c>
      <c r="B1210" s="328" t="s">
        <v>1720</v>
      </c>
      <c r="C1210" s="328" t="s">
        <v>1060</v>
      </c>
      <c r="D1210" s="330">
        <v>9</v>
      </c>
      <c r="E1210" s="331">
        <v>-33</v>
      </c>
      <c r="F1210" s="331">
        <v>742.5</v>
      </c>
      <c r="G1210" s="328" t="s">
        <v>1721</v>
      </c>
      <c r="H1210" s="328" t="s">
        <v>1730</v>
      </c>
      <c r="I1210" s="328" t="s">
        <v>110</v>
      </c>
      <c r="J1210" s="328" t="s">
        <v>757</v>
      </c>
      <c r="K1210" s="328" t="s">
        <v>741</v>
      </c>
      <c r="L1210" s="329">
        <v>44255</v>
      </c>
      <c r="M1210" s="332">
        <v>0</v>
      </c>
    </row>
    <row r="1211" spans="1:13" hidden="1" x14ac:dyDescent="0.25">
      <c r="A1211" s="329">
        <v>44255</v>
      </c>
      <c r="B1211" s="328" t="s">
        <v>1722</v>
      </c>
      <c r="C1211" s="328" t="s">
        <v>769</v>
      </c>
      <c r="D1211" s="330">
        <v>9</v>
      </c>
      <c r="E1211" s="331">
        <v>33</v>
      </c>
      <c r="F1211" s="331">
        <v>775.5</v>
      </c>
      <c r="G1211" s="328" t="s">
        <v>1723</v>
      </c>
      <c r="H1211" s="328" t="s">
        <v>1730</v>
      </c>
      <c r="I1211" s="328" t="s">
        <v>110</v>
      </c>
      <c r="J1211" s="328" t="s">
        <v>757</v>
      </c>
      <c r="K1211" s="328" t="s">
        <v>770</v>
      </c>
      <c r="L1211" s="329">
        <v>44255</v>
      </c>
      <c r="M1211" s="332">
        <v>0</v>
      </c>
    </row>
    <row r="1212" spans="1:13" hidden="1" x14ac:dyDescent="0.25">
      <c r="A1212" s="329">
        <v>44286</v>
      </c>
      <c r="B1212" s="328" t="s">
        <v>1724</v>
      </c>
      <c r="C1212" s="328" t="s">
        <v>1060</v>
      </c>
      <c r="D1212" s="330">
        <v>9</v>
      </c>
      <c r="E1212" s="331">
        <v>27.5</v>
      </c>
      <c r="F1212" s="331">
        <v>803</v>
      </c>
      <c r="G1212" s="328" t="s">
        <v>1725</v>
      </c>
      <c r="H1212" s="328" t="s">
        <v>1730</v>
      </c>
      <c r="I1212" s="328" t="s">
        <v>110</v>
      </c>
      <c r="J1212" s="328" t="s">
        <v>757</v>
      </c>
      <c r="K1212" s="328" t="s">
        <v>741</v>
      </c>
      <c r="L1212" s="329">
        <v>44286</v>
      </c>
      <c r="M1212" s="332">
        <v>0</v>
      </c>
    </row>
    <row r="1213" spans="1:13" hidden="1" x14ac:dyDescent="0.25">
      <c r="A1213" s="329">
        <v>44286</v>
      </c>
      <c r="B1213" s="328" t="s">
        <v>1726</v>
      </c>
      <c r="C1213" s="328" t="s">
        <v>769</v>
      </c>
      <c r="D1213" s="330">
        <v>10</v>
      </c>
      <c r="E1213" s="331">
        <v>27.5</v>
      </c>
      <c r="F1213" s="331">
        <v>830.5</v>
      </c>
      <c r="G1213" s="328" t="s">
        <v>1727</v>
      </c>
      <c r="H1213" s="328" t="s">
        <v>1730</v>
      </c>
      <c r="I1213" s="328" t="s">
        <v>110</v>
      </c>
      <c r="J1213" s="328" t="s">
        <v>757</v>
      </c>
      <c r="K1213" s="328" t="s">
        <v>770</v>
      </c>
      <c r="L1213" s="329">
        <v>44286</v>
      </c>
      <c r="M1213" s="332">
        <v>0</v>
      </c>
    </row>
    <row r="1214" spans="1:13" hidden="1" x14ac:dyDescent="0.25">
      <c r="A1214" s="329">
        <v>44286</v>
      </c>
      <c r="B1214" s="328" t="s">
        <v>1724</v>
      </c>
      <c r="C1214" s="328" t="s">
        <v>1060</v>
      </c>
      <c r="D1214" s="330">
        <v>10</v>
      </c>
      <c r="E1214" s="331">
        <v>-27.5</v>
      </c>
      <c r="F1214" s="331">
        <v>803</v>
      </c>
      <c r="G1214" s="328" t="s">
        <v>1725</v>
      </c>
      <c r="H1214" s="328" t="s">
        <v>1730</v>
      </c>
      <c r="I1214" s="328" t="s">
        <v>110</v>
      </c>
      <c r="J1214" s="328" t="s">
        <v>757</v>
      </c>
      <c r="K1214" s="328" t="s">
        <v>741</v>
      </c>
      <c r="L1214" s="329">
        <v>44286</v>
      </c>
      <c r="M1214" s="332">
        <v>0</v>
      </c>
    </row>
    <row r="1215" spans="1:13" hidden="1" x14ac:dyDescent="0.25">
      <c r="A1215" s="329">
        <v>44316</v>
      </c>
      <c r="B1215" s="328" t="s">
        <v>1728</v>
      </c>
      <c r="C1215" s="328" t="s">
        <v>1060</v>
      </c>
      <c r="D1215" s="330">
        <v>10</v>
      </c>
      <c r="E1215" s="331">
        <v>11</v>
      </c>
      <c r="F1215" s="331">
        <v>814</v>
      </c>
      <c r="G1215" s="328" t="s">
        <v>1729</v>
      </c>
      <c r="H1215" s="328" t="s">
        <v>1730</v>
      </c>
      <c r="I1215" s="328" t="s">
        <v>110</v>
      </c>
      <c r="J1215" s="328" t="s">
        <v>757</v>
      </c>
      <c r="K1215" s="328" t="s">
        <v>741</v>
      </c>
      <c r="L1215" s="329">
        <v>44316</v>
      </c>
      <c r="M1215" s="332">
        <v>0</v>
      </c>
    </row>
    <row r="1216" spans="1:13" hidden="1" x14ac:dyDescent="0.25">
      <c r="A1216" s="329">
        <v>44012</v>
      </c>
      <c r="B1216" s="328" t="s">
        <v>1681</v>
      </c>
      <c r="C1216" s="328" t="s">
        <v>1059</v>
      </c>
      <c r="D1216" s="330">
        <v>1</v>
      </c>
      <c r="E1216" s="331">
        <v>-27.5</v>
      </c>
      <c r="F1216" s="331">
        <v>786.5</v>
      </c>
      <c r="G1216" s="328" t="s">
        <v>1682</v>
      </c>
      <c r="H1216" s="328" t="s">
        <v>1731</v>
      </c>
      <c r="I1216" s="328" t="s">
        <v>110</v>
      </c>
      <c r="J1216" s="328" t="s">
        <v>757</v>
      </c>
      <c r="K1216" s="328" t="s">
        <v>741</v>
      </c>
      <c r="L1216" s="329">
        <v>44012</v>
      </c>
      <c r="M1216" s="332">
        <v>0</v>
      </c>
    </row>
    <row r="1217" spans="1:13" hidden="1" x14ac:dyDescent="0.25">
      <c r="A1217" s="329">
        <v>44012</v>
      </c>
      <c r="B1217" s="328" t="s">
        <v>1678</v>
      </c>
      <c r="C1217" s="328" t="s">
        <v>769</v>
      </c>
      <c r="D1217" s="330">
        <v>1</v>
      </c>
      <c r="E1217" s="331">
        <v>33</v>
      </c>
      <c r="F1217" s="331">
        <v>819.5</v>
      </c>
      <c r="G1217" s="328" t="s">
        <v>1679</v>
      </c>
      <c r="H1217" s="328" t="s">
        <v>1731</v>
      </c>
      <c r="I1217" s="328" t="s">
        <v>110</v>
      </c>
      <c r="J1217" s="328" t="s">
        <v>757</v>
      </c>
      <c r="K1217" s="328" t="s">
        <v>770</v>
      </c>
      <c r="L1217" s="329">
        <v>44012</v>
      </c>
      <c r="M1217" s="332">
        <v>0</v>
      </c>
    </row>
    <row r="1218" spans="1:13" hidden="1" x14ac:dyDescent="0.25">
      <c r="A1218" s="329">
        <v>44041</v>
      </c>
      <c r="B1218" s="328" t="s">
        <v>1683</v>
      </c>
      <c r="C1218" s="328" t="s">
        <v>936</v>
      </c>
      <c r="D1218" s="330">
        <v>1</v>
      </c>
      <c r="E1218" s="331">
        <v>-5.5</v>
      </c>
      <c r="F1218" s="331">
        <v>814</v>
      </c>
      <c r="G1218" s="328" t="s">
        <v>1684</v>
      </c>
      <c r="H1218" s="328" t="s">
        <v>1731</v>
      </c>
      <c r="I1218" s="328" t="s">
        <v>110</v>
      </c>
      <c r="J1218" s="328" t="s">
        <v>757</v>
      </c>
      <c r="K1218" s="328" t="s">
        <v>770</v>
      </c>
      <c r="L1218" s="329">
        <v>44041</v>
      </c>
      <c r="M1218" s="332">
        <v>0</v>
      </c>
    </row>
    <row r="1219" spans="1:13" hidden="1" x14ac:dyDescent="0.25">
      <c r="A1219" s="329">
        <v>44043</v>
      </c>
      <c r="B1219" s="328" t="s">
        <v>1685</v>
      </c>
      <c r="C1219" s="328" t="s">
        <v>1060</v>
      </c>
      <c r="D1219" s="330">
        <v>1</v>
      </c>
      <c r="E1219" s="331">
        <v>27.5</v>
      </c>
      <c r="F1219" s="331">
        <v>841.5</v>
      </c>
      <c r="G1219" s="328" t="s">
        <v>1686</v>
      </c>
      <c r="H1219" s="328" t="s">
        <v>1731</v>
      </c>
      <c r="I1219" s="328" t="s">
        <v>110</v>
      </c>
      <c r="J1219" s="328" t="s">
        <v>757</v>
      </c>
      <c r="K1219" s="328" t="s">
        <v>741</v>
      </c>
      <c r="L1219" s="329">
        <v>44043</v>
      </c>
      <c r="M1219" s="332">
        <v>0</v>
      </c>
    </row>
    <row r="1220" spans="1:13" hidden="1" x14ac:dyDescent="0.25">
      <c r="A1220" s="329">
        <v>44043</v>
      </c>
      <c r="B1220" s="328" t="s">
        <v>1685</v>
      </c>
      <c r="C1220" s="328" t="s">
        <v>1060</v>
      </c>
      <c r="D1220" s="330">
        <v>1</v>
      </c>
      <c r="E1220" s="331">
        <v>5.5</v>
      </c>
      <c r="F1220" s="331">
        <v>847</v>
      </c>
      <c r="G1220" s="328" t="s">
        <v>1687</v>
      </c>
      <c r="H1220" s="328" t="s">
        <v>1731</v>
      </c>
      <c r="I1220" s="328" t="s">
        <v>110</v>
      </c>
      <c r="J1220" s="328" t="s">
        <v>757</v>
      </c>
      <c r="K1220" s="328" t="s">
        <v>741</v>
      </c>
      <c r="L1220" s="329">
        <v>44043</v>
      </c>
      <c r="M1220" s="332">
        <v>0</v>
      </c>
    </row>
    <row r="1221" spans="1:13" hidden="1" x14ac:dyDescent="0.25">
      <c r="A1221" s="329">
        <v>44043</v>
      </c>
      <c r="B1221" s="328" t="s">
        <v>1688</v>
      </c>
      <c r="C1221" s="328" t="s">
        <v>1060</v>
      </c>
      <c r="D1221" s="330">
        <v>1</v>
      </c>
      <c r="E1221" s="331">
        <v>-27.5</v>
      </c>
      <c r="F1221" s="331">
        <v>819.5</v>
      </c>
      <c r="G1221" s="328" t="s">
        <v>1686</v>
      </c>
      <c r="H1221" s="328" t="s">
        <v>1731</v>
      </c>
      <c r="I1221" s="328" t="s">
        <v>110</v>
      </c>
      <c r="J1221" s="328" t="s">
        <v>757</v>
      </c>
      <c r="K1221" s="328" t="s">
        <v>741</v>
      </c>
      <c r="L1221" s="329">
        <v>44043</v>
      </c>
      <c r="M1221" s="332">
        <v>0</v>
      </c>
    </row>
    <row r="1222" spans="1:13" hidden="1" x14ac:dyDescent="0.25">
      <c r="A1222" s="329">
        <v>44043</v>
      </c>
      <c r="B1222" s="328" t="s">
        <v>1688</v>
      </c>
      <c r="C1222" s="328" t="s">
        <v>1060</v>
      </c>
      <c r="D1222" s="330">
        <v>1</v>
      </c>
      <c r="E1222" s="331">
        <v>-5.5</v>
      </c>
      <c r="F1222" s="331">
        <v>814</v>
      </c>
      <c r="G1222" s="328" t="s">
        <v>1687</v>
      </c>
      <c r="H1222" s="328" t="s">
        <v>1731</v>
      </c>
      <c r="I1222" s="328" t="s">
        <v>110</v>
      </c>
      <c r="J1222" s="328" t="s">
        <v>757</v>
      </c>
      <c r="K1222" s="328" t="s">
        <v>741</v>
      </c>
      <c r="L1222" s="329">
        <v>44043</v>
      </c>
      <c r="M1222" s="332">
        <v>0</v>
      </c>
    </row>
    <row r="1223" spans="1:13" hidden="1" x14ac:dyDescent="0.25">
      <c r="A1223" s="329">
        <v>44043</v>
      </c>
      <c r="B1223" s="328" t="s">
        <v>1689</v>
      </c>
      <c r="C1223" s="328" t="s">
        <v>1060</v>
      </c>
      <c r="D1223" s="330">
        <v>1</v>
      </c>
      <c r="E1223" s="331">
        <v>27.5</v>
      </c>
      <c r="F1223" s="331">
        <v>841.5</v>
      </c>
      <c r="G1223" s="328" t="s">
        <v>1686</v>
      </c>
      <c r="H1223" s="328" t="s">
        <v>1731</v>
      </c>
      <c r="I1223" s="328" t="s">
        <v>110</v>
      </c>
      <c r="J1223" s="328" t="s">
        <v>757</v>
      </c>
      <c r="K1223" s="328" t="s">
        <v>741</v>
      </c>
      <c r="L1223" s="329">
        <v>44043</v>
      </c>
      <c r="M1223" s="332">
        <v>0</v>
      </c>
    </row>
    <row r="1224" spans="1:13" hidden="1" x14ac:dyDescent="0.25">
      <c r="A1224" s="329">
        <v>44043</v>
      </c>
      <c r="B1224" s="328" t="s">
        <v>1689</v>
      </c>
      <c r="C1224" s="328" t="s">
        <v>1060</v>
      </c>
      <c r="D1224" s="330">
        <v>1</v>
      </c>
      <c r="E1224" s="331">
        <v>-5.5</v>
      </c>
      <c r="F1224" s="331">
        <v>836</v>
      </c>
      <c r="G1224" s="328" t="s">
        <v>1690</v>
      </c>
      <c r="H1224" s="328" t="s">
        <v>1731</v>
      </c>
      <c r="I1224" s="328" t="s">
        <v>110</v>
      </c>
      <c r="J1224" s="328" t="s">
        <v>757</v>
      </c>
      <c r="K1224" s="328" t="s">
        <v>741</v>
      </c>
      <c r="L1224" s="329">
        <v>44043</v>
      </c>
      <c r="M1224" s="332">
        <v>0</v>
      </c>
    </row>
    <row r="1225" spans="1:13" hidden="1" x14ac:dyDescent="0.25">
      <c r="A1225" s="329">
        <v>44043</v>
      </c>
      <c r="B1225" s="328" t="s">
        <v>1691</v>
      </c>
      <c r="C1225" s="328" t="s">
        <v>769</v>
      </c>
      <c r="D1225" s="330">
        <v>2</v>
      </c>
      <c r="E1225" s="331">
        <v>27.5</v>
      </c>
      <c r="F1225" s="331">
        <v>863.5</v>
      </c>
      <c r="G1225" s="328" t="s">
        <v>1692</v>
      </c>
      <c r="H1225" s="328" t="s">
        <v>1731</v>
      </c>
      <c r="I1225" s="328" t="s">
        <v>110</v>
      </c>
      <c r="J1225" s="328" t="s">
        <v>757</v>
      </c>
      <c r="K1225" s="328" t="s">
        <v>770</v>
      </c>
      <c r="L1225" s="329">
        <v>44043</v>
      </c>
      <c r="M1225" s="332">
        <v>0</v>
      </c>
    </row>
    <row r="1226" spans="1:13" hidden="1" x14ac:dyDescent="0.25">
      <c r="A1226" s="329">
        <v>44043</v>
      </c>
      <c r="B1226" s="328" t="s">
        <v>1693</v>
      </c>
      <c r="C1226" s="328" t="s">
        <v>936</v>
      </c>
      <c r="D1226" s="330">
        <v>2</v>
      </c>
      <c r="E1226" s="331">
        <v>-5.5</v>
      </c>
      <c r="F1226" s="331">
        <v>858</v>
      </c>
      <c r="G1226" s="328" t="s">
        <v>1694</v>
      </c>
      <c r="H1226" s="328" t="s">
        <v>1731</v>
      </c>
      <c r="I1226" s="328" t="s">
        <v>110</v>
      </c>
      <c r="J1226" s="328" t="s">
        <v>757</v>
      </c>
      <c r="K1226" s="328" t="s">
        <v>770</v>
      </c>
      <c r="L1226" s="329">
        <v>44043</v>
      </c>
      <c r="M1226" s="332">
        <v>0</v>
      </c>
    </row>
    <row r="1227" spans="1:13" hidden="1" x14ac:dyDescent="0.25">
      <c r="A1227" s="329">
        <v>44043</v>
      </c>
      <c r="B1227" s="328" t="s">
        <v>1685</v>
      </c>
      <c r="C1227" s="328" t="s">
        <v>1060</v>
      </c>
      <c r="D1227" s="330">
        <v>2</v>
      </c>
      <c r="E1227" s="331">
        <v>-27.5</v>
      </c>
      <c r="F1227" s="331">
        <v>830.5</v>
      </c>
      <c r="G1227" s="328" t="s">
        <v>1686</v>
      </c>
      <c r="H1227" s="328" t="s">
        <v>1731</v>
      </c>
      <c r="I1227" s="328" t="s">
        <v>110</v>
      </c>
      <c r="J1227" s="328" t="s">
        <v>757</v>
      </c>
      <c r="K1227" s="328" t="s">
        <v>741</v>
      </c>
      <c r="L1227" s="329">
        <v>44043</v>
      </c>
      <c r="M1227" s="332">
        <v>0</v>
      </c>
    </row>
    <row r="1228" spans="1:13" hidden="1" x14ac:dyDescent="0.25">
      <c r="A1228" s="329">
        <v>44043</v>
      </c>
      <c r="B1228" s="328" t="s">
        <v>1685</v>
      </c>
      <c r="C1228" s="328" t="s">
        <v>1060</v>
      </c>
      <c r="D1228" s="330">
        <v>2</v>
      </c>
      <c r="E1228" s="331">
        <v>-5.5</v>
      </c>
      <c r="F1228" s="331">
        <v>825</v>
      </c>
      <c r="G1228" s="328" t="s">
        <v>1687</v>
      </c>
      <c r="H1228" s="328" t="s">
        <v>1731</v>
      </c>
      <c r="I1228" s="328" t="s">
        <v>110</v>
      </c>
      <c r="J1228" s="328" t="s">
        <v>757</v>
      </c>
      <c r="K1228" s="328" t="s">
        <v>741</v>
      </c>
      <c r="L1228" s="329">
        <v>44043</v>
      </c>
      <c r="M1228" s="332">
        <v>0</v>
      </c>
    </row>
    <row r="1229" spans="1:13" hidden="1" x14ac:dyDescent="0.25">
      <c r="A1229" s="329">
        <v>44043</v>
      </c>
      <c r="B1229" s="328" t="s">
        <v>1688</v>
      </c>
      <c r="C1229" s="328" t="s">
        <v>1060</v>
      </c>
      <c r="D1229" s="330">
        <v>2</v>
      </c>
      <c r="E1229" s="331">
        <v>27.5</v>
      </c>
      <c r="F1229" s="331">
        <v>852.5</v>
      </c>
      <c r="G1229" s="328" t="s">
        <v>1686</v>
      </c>
      <c r="H1229" s="328" t="s">
        <v>1731</v>
      </c>
      <c r="I1229" s="328" t="s">
        <v>110</v>
      </c>
      <c r="J1229" s="328" t="s">
        <v>757</v>
      </c>
      <c r="K1229" s="328" t="s">
        <v>741</v>
      </c>
      <c r="L1229" s="329">
        <v>44043</v>
      </c>
      <c r="M1229" s="332">
        <v>0</v>
      </c>
    </row>
    <row r="1230" spans="1:13" hidden="1" x14ac:dyDescent="0.25">
      <c r="A1230" s="329">
        <v>44043</v>
      </c>
      <c r="B1230" s="328" t="s">
        <v>1688</v>
      </c>
      <c r="C1230" s="328" t="s">
        <v>1060</v>
      </c>
      <c r="D1230" s="330">
        <v>2</v>
      </c>
      <c r="E1230" s="331">
        <v>5.5</v>
      </c>
      <c r="F1230" s="331">
        <v>858</v>
      </c>
      <c r="G1230" s="328" t="s">
        <v>1687</v>
      </c>
      <c r="H1230" s="328" t="s">
        <v>1731</v>
      </c>
      <c r="I1230" s="328" t="s">
        <v>110</v>
      </c>
      <c r="J1230" s="328" t="s">
        <v>757</v>
      </c>
      <c r="K1230" s="328" t="s">
        <v>741</v>
      </c>
      <c r="L1230" s="329">
        <v>44043</v>
      </c>
      <c r="M1230" s="332">
        <v>0</v>
      </c>
    </row>
    <row r="1231" spans="1:13" hidden="1" x14ac:dyDescent="0.25">
      <c r="A1231" s="329">
        <v>44043</v>
      </c>
      <c r="B1231" s="328" t="s">
        <v>1689</v>
      </c>
      <c r="C1231" s="328" t="s">
        <v>1060</v>
      </c>
      <c r="D1231" s="330">
        <v>2</v>
      </c>
      <c r="E1231" s="331">
        <v>-27.5</v>
      </c>
      <c r="F1231" s="331">
        <v>830.5</v>
      </c>
      <c r="G1231" s="328" t="s">
        <v>1686</v>
      </c>
      <c r="H1231" s="328" t="s">
        <v>1731</v>
      </c>
      <c r="I1231" s="328" t="s">
        <v>110</v>
      </c>
      <c r="J1231" s="328" t="s">
        <v>757</v>
      </c>
      <c r="K1231" s="328" t="s">
        <v>741</v>
      </c>
      <c r="L1231" s="329">
        <v>44043</v>
      </c>
      <c r="M1231" s="332">
        <v>0</v>
      </c>
    </row>
    <row r="1232" spans="1:13" hidden="1" x14ac:dyDescent="0.25">
      <c r="A1232" s="329">
        <v>44043</v>
      </c>
      <c r="B1232" s="328" t="s">
        <v>1689</v>
      </c>
      <c r="C1232" s="328" t="s">
        <v>1060</v>
      </c>
      <c r="D1232" s="330">
        <v>2</v>
      </c>
      <c r="E1232" s="331">
        <v>5.5</v>
      </c>
      <c r="F1232" s="331">
        <v>836</v>
      </c>
      <c r="G1232" s="328" t="s">
        <v>1690</v>
      </c>
      <c r="H1232" s="328" t="s">
        <v>1731</v>
      </c>
      <c r="I1232" s="328" t="s">
        <v>110</v>
      </c>
      <c r="J1232" s="328" t="s">
        <v>757</v>
      </c>
      <c r="K1232" s="328" t="s">
        <v>741</v>
      </c>
      <c r="L1232" s="329">
        <v>44043</v>
      </c>
      <c r="M1232" s="332">
        <v>0</v>
      </c>
    </row>
    <row r="1233" spans="1:13" hidden="1" x14ac:dyDescent="0.25">
      <c r="A1233" s="329">
        <v>44074</v>
      </c>
      <c r="B1233" s="328" t="s">
        <v>1695</v>
      </c>
      <c r="C1233" s="328" t="s">
        <v>1060</v>
      </c>
      <c r="D1233" s="330">
        <v>2</v>
      </c>
      <c r="E1233" s="331">
        <v>22</v>
      </c>
      <c r="F1233" s="331">
        <v>858</v>
      </c>
      <c r="G1233" s="328" t="s">
        <v>1696</v>
      </c>
      <c r="H1233" s="328" t="s">
        <v>1731</v>
      </c>
      <c r="I1233" s="328" t="s">
        <v>110</v>
      </c>
      <c r="J1233" s="328" t="s">
        <v>757</v>
      </c>
      <c r="K1233" s="328" t="s">
        <v>741</v>
      </c>
      <c r="L1233" s="329">
        <v>44074</v>
      </c>
      <c r="M1233" s="332">
        <v>0</v>
      </c>
    </row>
    <row r="1234" spans="1:13" hidden="1" x14ac:dyDescent="0.25">
      <c r="A1234" s="329">
        <v>44074</v>
      </c>
      <c r="B1234" s="328" t="s">
        <v>1697</v>
      </c>
      <c r="C1234" s="328" t="s">
        <v>769</v>
      </c>
      <c r="D1234" s="330">
        <v>3</v>
      </c>
      <c r="E1234" s="331">
        <v>22</v>
      </c>
      <c r="F1234" s="331">
        <v>880</v>
      </c>
      <c r="G1234" s="328" t="s">
        <v>1698</v>
      </c>
      <c r="H1234" s="328" t="s">
        <v>1731</v>
      </c>
      <c r="I1234" s="328" t="s">
        <v>110</v>
      </c>
      <c r="J1234" s="328" t="s">
        <v>757</v>
      </c>
      <c r="K1234" s="328" t="s">
        <v>770</v>
      </c>
      <c r="L1234" s="329">
        <v>44074</v>
      </c>
      <c r="M1234" s="332">
        <v>0</v>
      </c>
    </row>
    <row r="1235" spans="1:13" hidden="1" x14ac:dyDescent="0.25">
      <c r="A1235" s="329">
        <v>44074</v>
      </c>
      <c r="B1235" s="328" t="s">
        <v>1695</v>
      </c>
      <c r="C1235" s="328" t="s">
        <v>1060</v>
      </c>
      <c r="D1235" s="330">
        <v>3</v>
      </c>
      <c r="E1235" s="331">
        <v>-22</v>
      </c>
      <c r="F1235" s="331">
        <v>858</v>
      </c>
      <c r="G1235" s="328" t="s">
        <v>1696</v>
      </c>
      <c r="H1235" s="328" t="s">
        <v>1731</v>
      </c>
      <c r="I1235" s="328" t="s">
        <v>110</v>
      </c>
      <c r="J1235" s="328" t="s">
        <v>757</v>
      </c>
      <c r="K1235" s="328" t="s">
        <v>741</v>
      </c>
      <c r="L1235" s="329">
        <v>44074</v>
      </c>
      <c r="M1235" s="332">
        <v>0</v>
      </c>
    </row>
    <row r="1236" spans="1:13" hidden="1" x14ac:dyDescent="0.25">
      <c r="A1236" s="329">
        <v>44104</v>
      </c>
      <c r="B1236" s="328" t="s">
        <v>1699</v>
      </c>
      <c r="C1236" s="328" t="s">
        <v>1060</v>
      </c>
      <c r="D1236" s="330">
        <v>3</v>
      </c>
      <c r="E1236" s="331">
        <v>38.5</v>
      </c>
      <c r="F1236" s="331">
        <v>896.5</v>
      </c>
      <c r="G1236" s="328" t="s">
        <v>1700</v>
      </c>
      <c r="H1236" s="328" t="s">
        <v>1731</v>
      </c>
      <c r="I1236" s="328" t="s">
        <v>110</v>
      </c>
      <c r="J1236" s="328" t="s">
        <v>757</v>
      </c>
      <c r="K1236" s="328" t="s">
        <v>741</v>
      </c>
      <c r="L1236" s="329">
        <v>44104</v>
      </c>
      <c r="M1236" s="332">
        <v>0</v>
      </c>
    </row>
    <row r="1237" spans="1:13" hidden="1" x14ac:dyDescent="0.25">
      <c r="A1237" s="329">
        <v>44104</v>
      </c>
      <c r="B1237" s="328" t="s">
        <v>1699</v>
      </c>
      <c r="C1237" s="328" t="s">
        <v>1060</v>
      </c>
      <c r="D1237" s="330">
        <v>4</v>
      </c>
      <c r="E1237" s="331">
        <v>-38.5</v>
      </c>
      <c r="F1237" s="331">
        <v>858</v>
      </c>
      <c r="G1237" s="328" t="s">
        <v>1700</v>
      </c>
      <c r="H1237" s="328" t="s">
        <v>1731</v>
      </c>
      <c r="I1237" s="328" t="s">
        <v>110</v>
      </c>
      <c r="J1237" s="328" t="s">
        <v>757</v>
      </c>
      <c r="K1237" s="328" t="s">
        <v>741</v>
      </c>
      <c r="L1237" s="329">
        <v>44104</v>
      </c>
      <c r="M1237" s="332">
        <v>0</v>
      </c>
    </row>
    <row r="1238" spans="1:13" hidden="1" x14ac:dyDescent="0.25">
      <c r="A1238" s="329">
        <v>44105</v>
      </c>
      <c r="B1238" s="328" t="s">
        <v>1701</v>
      </c>
      <c r="C1238" s="328" t="s">
        <v>769</v>
      </c>
      <c r="D1238" s="330">
        <v>4</v>
      </c>
      <c r="E1238" s="331">
        <v>38.5</v>
      </c>
      <c r="F1238" s="331">
        <v>896.5</v>
      </c>
      <c r="G1238" s="328" t="s">
        <v>1702</v>
      </c>
      <c r="H1238" s="328" t="s">
        <v>1731</v>
      </c>
      <c r="I1238" s="328" t="s">
        <v>110</v>
      </c>
      <c r="J1238" s="328" t="s">
        <v>757</v>
      </c>
      <c r="K1238" s="328" t="s">
        <v>770</v>
      </c>
      <c r="L1238" s="329">
        <v>44105</v>
      </c>
      <c r="M1238" s="332">
        <v>0</v>
      </c>
    </row>
    <row r="1239" spans="1:13" hidden="1" x14ac:dyDescent="0.25">
      <c r="A1239" s="329">
        <v>44135</v>
      </c>
      <c r="B1239" s="328" t="s">
        <v>1703</v>
      </c>
      <c r="C1239" s="328" t="s">
        <v>1060</v>
      </c>
      <c r="D1239" s="330">
        <v>4</v>
      </c>
      <c r="E1239" s="331">
        <v>11</v>
      </c>
      <c r="F1239" s="331">
        <v>907.5</v>
      </c>
      <c r="G1239" s="328" t="s">
        <v>1704</v>
      </c>
      <c r="H1239" s="328" t="s">
        <v>1731</v>
      </c>
      <c r="I1239" s="328" t="s">
        <v>110</v>
      </c>
      <c r="J1239" s="328" t="s">
        <v>757</v>
      </c>
      <c r="K1239" s="328" t="s">
        <v>741</v>
      </c>
      <c r="L1239" s="329">
        <v>44135</v>
      </c>
      <c r="M1239" s="332">
        <v>0</v>
      </c>
    </row>
    <row r="1240" spans="1:13" hidden="1" x14ac:dyDescent="0.25">
      <c r="A1240" s="329">
        <v>44135</v>
      </c>
      <c r="B1240" s="328" t="s">
        <v>1703</v>
      </c>
      <c r="C1240" s="328" t="s">
        <v>1060</v>
      </c>
      <c r="D1240" s="330">
        <v>5</v>
      </c>
      <c r="E1240" s="331">
        <v>-11</v>
      </c>
      <c r="F1240" s="331">
        <v>896.5</v>
      </c>
      <c r="G1240" s="328" t="s">
        <v>1704</v>
      </c>
      <c r="H1240" s="328" t="s">
        <v>1731</v>
      </c>
      <c r="I1240" s="328" t="s">
        <v>110</v>
      </c>
      <c r="J1240" s="328" t="s">
        <v>757</v>
      </c>
      <c r="K1240" s="328" t="s">
        <v>741</v>
      </c>
      <c r="L1240" s="329">
        <v>44135</v>
      </c>
      <c r="M1240" s="332">
        <v>0</v>
      </c>
    </row>
    <row r="1241" spans="1:13" hidden="1" x14ac:dyDescent="0.25">
      <c r="A1241" s="329">
        <v>44135</v>
      </c>
      <c r="B1241" s="328" t="s">
        <v>1705</v>
      </c>
      <c r="C1241" s="328" t="s">
        <v>769</v>
      </c>
      <c r="D1241" s="330">
        <v>5</v>
      </c>
      <c r="E1241" s="331">
        <v>11</v>
      </c>
      <c r="F1241" s="331">
        <v>907.5</v>
      </c>
      <c r="G1241" s="328" t="s">
        <v>1706</v>
      </c>
      <c r="H1241" s="328" t="s">
        <v>1731</v>
      </c>
      <c r="I1241" s="328" t="s">
        <v>110</v>
      </c>
      <c r="J1241" s="328" t="s">
        <v>757</v>
      </c>
      <c r="K1241" s="328" t="s">
        <v>770</v>
      </c>
      <c r="L1241" s="329">
        <v>44135</v>
      </c>
      <c r="M1241" s="332">
        <v>0</v>
      </c>
    </row>
    <row r="1242" spans="1:13" hidden="1" x14ac:dyDescent="0.25">
      <c r="A1242" s="329">
        <v>44165</v>
      </c>
      <c r="B1242" s="328" t="s">
        <v>1707</v>
      </c>
      <c r="C1242" s="328" t="s">
        <v>1060</v>
      </c>
      <c r="D1242" s="330">
        <v>5</v>
      </c>
      <c r="E1242" s="331">
        <v>11</v>
      </c>
      <c r="F1242" s="331">
        <v>918.5</v>
      </c>
      <c r="G1242" s="328" t="s">
        <v>1708</v>
      </c>
      <c r="H1242" s="328" t="s">
        <v>1731</v>
      </c>
      <c r="I1242" s="328" t="s">
        <v>110</v>
      </c>
      <c r="J1242" s="328" t="s">
        <v>757</v>
      </c>
      <c r="K1242" s="328" t="s">
        <v>741</v>
      </c>
      <c r="L1242" s="329">
        <v>44165</v>
      </c>
      <c r="M1242" s="332">
        <v>0</v>
      </c>
    </row>
    <row r="1243" spans="1:13" hidden="1" x14ac:dyDescent="0.25">
      <c r="A1243" s="329">
        <v>44165</v>
      </c>
      <c r="B1243" s="328" t="s">
        <v>1707</v>
      </c>
      <c r="C1243" s="328" t="s">
        <v>1060</v>
      </c>
      <c r="D1243" s="330">
        <v>6</v>
      </c>
      <c r="E1243" s="331">
        <v>-11</v>
      </c>
      <c r="F1243" s="331">
        <v>907.5</v>
      </c>
      <c r="G1243" s="328" t="s">
        <v>1708</v>
      </c>
      <c r="H1243" s="328" t="s">
        <v>1731</v>
      </c>
      <c r="I1243" s="328" t="s">
        <v>110</v>
      </c>
      <c r="J1243" s="328" t="s">
        <v>757</v>
      </c>
      <c r="K1243" s="328" t="s">
        <v>741</v>
      </c>
      <c r="L1243" s="329">
        <v>44165</v>
      </c>
      <c r="M1243" s="332">
        <v>0</v>
      </c>
    </row>
    <row r="1244" spans="1:13" hidden="1" x14ac:dyDescent="0.25">
      <c r="A1244" s="329">
        <v>44165</v>
      </c>
      <c r="B1244" s="328" t="s">
        <v>1709</v>
      </c>
      <c r="C1244" s="328" t="s">
        <v>769</v>
      </c>
      <c r="D1244" s="330">
        <v>6</v>
      </c>
      <c r="E1244" s="331">
        <v>11</v>
      </c>
      <c r="F1244" s="331">
        <v>918.5</v>
      </c>
      <c r="G1244" s="328" t="s">
        <v>1710</v>
      </c>
      <c r="H1244" s="328" t="s">
        <v>1731</v>
      </c>
      <c r="I1244" s="328" t="s">
        <v>110</v>
      </c>
      <c r="J1244" s="328" t="s">
        <v>757</v>
      </c>
      <c r="K1244" s="328" t="s">
        <v>770</v>
      </c>
      <c r="L1244" s="329">
        <v>44165</v>
      </c>
      <c r="M1244" s="332">
        <v>0</v>
      </c>
    </row>
    <row r="1245" spans="1:13" hidden="1" x14ac:dyDescent="0.25">
      <c r="A1245" s="329">
        <v>44255</v>
      </c>
      <c r="B1245" s="328" t="s">
        <v>1722</v>
      </c>
      <c r="C1245" s="328" t="s">
        <v>769</v>
      </c>
      <c r="D1245" s="330">
        <v>9</v>
      </c>
      <c r="E1245" s="331">
        <v>5.5</v>
      </c>
      <c r="F1245" s="331">
        <v>924</v>
      </c>
      <c r="G1245" s="328" t="s">
        <v>1723</v>
      </c>
      <c r="H1245" s="328" t="s">
        <v>1731</v>
      </c>
      <c r="I1245" s="328" t="s">
        <v>110</v>
      </c>
      <c r="J1245" s="328" t="s">
        <v>757</v>
      </c>
      <c r="K1245" s="328" t="s">
        <v>770</v>
      </c>
      <c r="L1245" s="329">
        <v>44255</v>
      </c>
      <c r="M1245" s="332">
        <v>0</v>
      </c>
    </row>
    <row r="1246" spans="1:13" hidden="1" x14ac:dyDescent="0.25">
      <c r="A1246" s="329">
        <v>44012</v>
      </c>
      <c r="B1246" s="328" t="s">
        <v>1678</v>
      </c>
      <c r="C1246" s="328" t="s">
        <v>769</v>
      </c>
      <c r="D1246" s="330">
        <v>1</v>
      </c>
      <c r="E1246" s="331">
        <v>77</v>
      </c>
      <c r="F1246" s="331">
        <v>1001</v>
      </c>
      <c r="G1246" s="328" t="s">
        <v>1679</v>
      </c>
      <c r="H1246" s="328" t="s">
        <v>1732</v>
      </c>
      <c r="I1246" s="328" t="s">
        <v>110</v>
      </c>
      <c r="J1246" s="328" t="s">
        <v>757</v>
      </c>
      <c r="K1246" s="328" t="s">
        <v>770</v>
      </c>
      <c r="L1246" s="329">
        <v>44012</v>
      </c>
      <c r="M1246" s="332">
        <v>0</v>
      </c>
    </row>
    <row r="1247" spans="1:13" hidden="1" x14ac:dyDescent="0.25">
      <c r="A1247" s="329">
        <v>44012</v>
      </c>
      <c r="B1247" s="328" t="s">
        <v>1681</v>
      </c>
      <c r="C1247" s="328" t="s">
        <v>1059</v>
      </c>
      <c r="D1247" s="330">
        <v>1</v>
      </c>
      <c r="E1247" s="331">
        <v>-77</v>
      </c>
      <c r="F1247" s="331">
        <v>924</v>
      </c>
      <c r="G1247" s="328" t="s">
        <v>1682</v>
      </c>
      <c r="H1247" s="328" t="s">
        <v>1732</v>
      </c>
      <c r="I1247" s="328" t="s">
        <v>110</v>
      </c>
      <c r="J1247" s="328" t="s">
        <v>757</v>
      </c>
      <c r="K1247" s="328" t="s">
        <v>741</v>
      </c>
      <c r="L1247" s="329">
        <v>44012</v>
      </c>
      <c r="M1247" s="332">
        <v>0</v>
      </c>
    </row>
    <row r="1248" spans="1:13" hidden="1" x14ac:dyDescent="0.25">
      <c r="A1248" s="329">
        <v>44043</v>
      </c>
      <c r="B1248" s="328" t="s">
        <v>1685</v>
      </c>
      <c r="C1248" s="328" t="s">
        <v>1060</v>
      </c>
      <c r="D1248" s="330">
        <v>1</v>
      </c>
      <c r="E1248" s="331">
        <v>93.5</v>
      </c>
      <c r="F1248" s="331">
        <v>1017.5</v>
      </c>
      <c r="G1248" s="328" t="s">
        <v>1686</v>
      </c>
      <c r="H1248" s="328" t="s">
        <v>1732</v>
      </c>
      <c r="I1248" s="328" t="s">
        <v>110</v>
      </c>
      <c r="J1248" s="328" t="s">
        <v>757</v>
      </c>
      <c r="K1248" s="328" t="s">
        <v>741</v>
      </c>
      <c r="L1248" s="329">
        <v>44043</v>
      </c>
      <c r="M1248" s="332">
        <v>0</v>
      </c>
    </row>
    <row r="1249" spans="1:13" hidden="1" x14ac:dyDescent="0.25">
      <c r="A1249" s="329">
        <v>44043</v>
      </c>
      <c r="B1249" s="328" t="s">
        <v>1688</v>
      </c>
      <c r="C1249" s="328" t="s">
        <v>1060</v>
      </c>
      <c r="D1249" s="330">
        <v>1</v>
      </c>
      <c r="E1249" s="331">
        <v>-93.5</v>
      </c>
      <c r="F1249" s="331">
        <v>924</v>
      </c>
      <c r="G1249" s="328" t="s">
        <v>1686</v>
      </c>
      <c r="H1249" s="328" t="s">
        <v>1732</v>
      </c>
      <c r="I1249" s="328" t="s">
        <v>110</v>
      </c>
      <c r="J1249" s="328" t="s">
        <v>757</v>
      </c>
      <c r="K1249" s="328" t="s">
        <v>741</v>
      </c>
      <c r="L1249" s="329">
        <v>44043</v>
      </c>
      <c r="M1249" s="332">
        <v>0</v>
      </c>
    </row>
    <row r="1250" spans="1:13" hidden="1" x14ac:dyDescent="0.25">
      <c r="A1250" s="329">
        <v>44043</v>
      </c>
      <c r="B1250" s="328" t="s">
        <v>1689</v>
      </c>
      <c r="C1250" s="328" t="s">
        <v>1060</v>
      </c>
      <c r="D1250" s="330">
        <v>1</v>
      </c>
      <c r="E1250" s="331">
        <v>93.5</v>
      </c>
      <c r="F1250" s="331">
        <v>1017.5</v>
      </c>
      <c r="G1250" s="328" t="s">
        <v>1686</v>
      </c>
      <c r="H1250" s="328" t="s">
        <v>1732</v>
      </c>
      <c r="I1250" s="328" t="s">
        <v>110</v>
      </c>
      <c r="J1250" s="328" t="s">
        <v>757</v>
      </c>
      <c r="K1250" s="328" t="s">
        <v>741</v>
      </c>
      <c r="L1250" s="329">
        <v>44043</v>
      </c>
      <c r="M1250" s="332">
        <v>0</v>
      </c>
    </row>
    <row r="1251" spans="1:13" hidden="1" x14ac:dyDescent="0.25">
      <c r="A1251" s="329">
        <v>44043</v>
      </c>
      <c r="B1251" s="328" t="s">
        <v>1685</v>
      </c>
      <c r="C1251" s="328" t="s">
        <v>1060</v>
      </c>
      <c r="D1251" s="330">
        <v>2</v>
      </c>
      <c r="E1251" s="331">
        <v>-93.5</v>
      </c>
      <c r="F1251" s="331">
        <v>924</v>
      </c>
      <c r="G1251" s="328" t="s">
        <v>1686</v>
      </c>
      <c r="H1251" s="328" t="s">
        <v>1732</v>
      </c>
      <c r="I1251" s="328" t="s">
        <v>110</v>
      </c>
      <c r="J1251" s="328" t="s">
        <v>757</v>
      </c>
      <c r="K1251" s="328" t="s">
        <v>741</v>
      </c>
      <c r="L1251" s="329">
        <v>44043</v>
      </c>
      <c r="M1251" s="332">
        <v>0</v>
      </c>
    </row>
    <row r="1252" spans="1:13" hidden="1" x14ac:dyDescent="0.25">
      <c r="A1252" s="329">
        <v>44043</v>
      </c>
      <c r="B1252" s="328" t="s">
        <v>1691</v>
      </c>
      <c r="C1252" s="328" t="s">
        <v>769</v>
      </c>
      <c r="D1252" s="330">
        <v>2</v>
      </c>
      <c r="E1252" s="331">
        <v>93.5</v>
      </c>
      <c r="F1252" s="331">
        <v>1017.5</v>
      </c>
      <c r="G1252" s="328" t="s">
        <v>1692</v>
      </c>
      <c r="H1252" s="328" t="s">
        <v>1732</v>
      </c>
      <c r="I1252" s="328" t="s">
        <v>110</v>
      </c>
      <c r="J1252" s="328" t="s">
        <v>757</v>
      </c>
      <c r="K1252" s="328" t="s">
        <v>770</v>
      </c>
      <c r="L1252" s="329">
        <v>44043</v>
      </c>
      <c r="M1252" s="332">
        <v>0</v>
      </c>
    </row>
    <row r="1253" spans="1:13" hidden="1" x14ac:dyDescent="0.25">
      <c r="A1253" s="329">
        <v>44043</v>
      </c>
      <c r="B1253" s="328" t="s">
        <v>1688</v>
      </c>
      <c r="C1253" s="328" t="s">
        <v>1060</v>
      </c>
      <c r="D1253" s="330">
        <v>2</v>
      </c>
      <c r="E1253" s="331">
        <v>93.5</v>
      </c>
      <c r="F1253" s="331">
        <v>1111</v>
      </c>
      <c r="G1253" s="328" t="s">
        <v>1686</v>
      </c>
      <c r="H1253" s="328" t="s">
        <v>1732</v>
      </c>
      <c r="I1253" s="328" t="s">
        <v>110</v>
      </c>
      <c r="J1253" s="328" t="s">
        <v>757</v>
      </c>
      <c r="K1253" s="328" t="s">
        <v>741</v>
      </c>
      <c r="L1253" s="329">
        <v>44043</v>
      </c>
      <c r="M1253" s="332">
        <v>0</v>
      </c>
    </row>
    <row r="1254" spans="1:13" hidden="1" x14ac:dyDescent="0.25">
      <c r="A1254" s="329">
        <v>44043</v>
      </c>
      <c r="B1254" s="328" t="s">
        <v>1689</v>
      </c>
      <c r="C1254" s="328" t="s">
        <v>1060</v>
      </c>
      <c r="D1254" s="330">
        <v>2</v>
      </c>
      <c r="E1254" s="331">
        <v>-93.5</v>
      </c>
      <c r="F1254" s="331">
        <v>1017.5</v>
      </c>
      <c r="G1254" s="328" t="s">
        <v>1686</v>
      </c>
      <c r="H1254" s="328" t="s">
        <v>1732</v>
      </c>
      <c r="I1254" s="328" t="s">
        <v>110</v>
      </c>
      <c r="J1254" s="328" t="s">
        <v>757</v>
      </c>
      <c r="K1254" s="328" t="s">
        <v>741</v>
      </c>
      <c r="L1254" s="329">
        <v>44043</v>
      </c>
      <c r="M1254" s="332">
        <v>0</v>
      </c>
    </row>
    <row r="1255" spans="1:13" hidden="1" x14ac:dyDescent="0.25">
      <c r="A1255" s="329">
        <v>44074</v>
      </c>
      <c r="B1255" s="328" t="s">
        <v>1695</v>
      </c>
      <c r="C1255" s="328" t="s">
        <v>1060</v>
      </c>
      <c r="D1255" s="330">
        <v>2</v>
      </c>
      <c r="E1255" s="331">
        <v>77</v>
      </c>
      <c r="F1255" s="331">
        <v>1094.5</v>
      </c>
      <c r="G1255" s="328" t="s">
        <v>1696</v>
      </c>
      <c r="H1255" s="328" t="s">
        <v>1732</v>
      </c>
      <c r="I1255" s="328" t="s">
        <v>110</v>
      </c>
      <c r="J1255" s="328" t="s">
        <v>757</v>
      </c>
      <c r="K1255" s="328" t="s">
        <v>741</v>
      </c>
      <c r="L1255" s="329">
        <v>44074</v>
      </c>
      <c r="M1255" s="332">
        <v>0</v>
      </c>
    </row>
    <row r="1256" spans="1:13" hidden="1" x14ac:dyDescent="0.25">
      <c r="A1256" s="329">
        <v>44074</v>
      </c>
      <c r="B1256" s="328" t="s">
        <v>1697</v>
      </c>
      <c r="C1256" s="328" t="s">
        <v>769</v>
      </c>
      <c r="D1256" s="330">
        <v>3</v>
      </c>
      <c r="E1256" s="331">
        <v>77</v>
      </c>
      <c r="F1256" s="331">
        <v>1171.5</v>
      </c>
      <c r="G1256" s="328" t="s">
        <v>1698</v>
      </c>
      <c r="H1256" s="328" t="s">
        <v>1732</v>
      </c>
      <c r="I1256" s="328" t="s">
        <v>110</v>
      </c>
      <c r="J1256" s="328" t="s">
        <v>757</v>
      </c>
      <c r="K1256" s="328" t="s">
        <v>770</v>
      </c>
      <c r="L1256" s="329">
        <v>44074</v>
      </c>
      <c r="M1256" s="332">
        <v>0</v>
      </c>
    </row>
    <row r="1257" spans="1:13" hidden="1" x14ac:dyDescent="0.25">
      <c r="A1257" s="329">
        <v>44074</v>
      </c>
      <c r="B1257" s="328" t="s">
        <v>1695</v>
      </c>
      <c r="C1257" s="328" t="s">
        <v>1060</v>
      </c>
      <c r="D1257" s="330">
        <v>3</v>
      </c>
      <c r="E1257" s="331">
        <v>-77</v>
      </c>
      <c r="F1257" s="331">
        <v>1094.5</v>
      </c>
      <c r="G1257" s="328" t="s">
        <v>1696</v>
      </c>
      <c r="H1257" s="328" t="s">
        <v>1732</v>
      </c>
      <c r="I1257" s="328" t="s">
        <v>110</v>
      </c>
      <c r="J1257" s="328" t="s">
        <v>757</v>
      </c>
      <c r="K1257" s="328" t="s">
        <v>741</v>
      </c>
      <c r="L1257" s="329">
        <v>44074</v>
      </c>
      <c r="M1257" s="332">
        <v>0</v>
      </c>
    </row>
    <row r="1258" spans="1:13" hidden="1" x14ac:dyDescent="0.25">
      <c r="A1258" s="329">
        <v>44104</v>
      </c>
      <c r="B1258" s="328" t="s">
        <v>1699</v>
      </c>
      <c r="C1258" s="328" t="s">
        <v>1060</v>
      </c>
      <c r="D1258" s="330">
        <v>3</v>
      </c>
      <c r="E1258" s="331">
        <v>115.5</v>
      </c>
      <c r="F1258" s="331">
        <v>1210</v>
      </c>
      <c r="G1258" s="328" t="s">
        <v>1700</v>
      </c>
      <c r="H1258" s="328" t="s">
        <v>1732</v>
      </c>
      <c r="I1258" s="328" t="s">
        <v>110</v>
      </c>
      <c r="J1258" s="328" t="s">
        <v>757</v>
      </c>
      <c r="K1258" s="328" t="s">
        <v>741</v>
      </c>
      <c r="L1258" s="329">
        <v>44104</v>
      </c>
      <c r="M1258" s="332">
        <v>0</v>
      </c>
    </row>
    <row r="1259" spans="1:13" hidden="1" x14ac:dyDescent="0.25">
      <c r="A1259" s="329">
        <v>44104</v>
      </c>
      <c r="B1259" s="328" t="s">
        <v>1699</v>
      </c>
      <c r="C1259" s="328" t="s">
        <v>1060</v>
      </c>
      <c r="D1259" s="330">
        <v>4</v>
      </c>
      <c r="E1259" s="331">
        <v>-115.5</v>
      </c>
      <c r="F1259" s="331">
        <v>1094.5</v>
      </c>
      <c r="G1259" s="328" t="s">
        <v>1700</v>
      </c>
      <c r="H1259" s="328" t="s">
        <v>1732</v>
      </c>
      <c r="I1259" s="328" t="s">
        <v>110</v>
      </c>
      <c r="J1259" s="328" t="s">
        <v>757</v>
      </c>
      <c r="K1259" s="328" t="s">
        <v>741</v>
      </c>
      <c r="L1259" s="329">
        <v>44104</v>
      </c>
      <c r="M1259" s="332">
        <v>0</v>
      </c>
    </row>
    <row r="1260" spans="1:13" hidden="1" x14ac:dyDescent="0.25">
      <c r="A1260" s="329">
        <v>44105</v>
      </c>
      <c r="B1260" s="328" t="s">
        <v>1701</v>
      </c>
      <c r="C1260" s="328" t="s">
        <v>769</v>
      </c>
      <c r="D1260" s="330">
        <v>4</v>
      </c>
      <c r="E1260" s="331">
        <v>115.5</v>
      </c>
      <c r="F1260" s="331">
        <v>1210</v>
      </c>
      <c r="G1260" s="328" t="s">
        <v>1702</v>
      </c>
      <c r="H1260" s="328" t="s">
        <v>1732</v>
      </c>
      <c r="I1260" s="328" t="s">
        <v>110</v>
      </c>
      <c r="J1260" s="328" t="s">
        <v>757</v>
      </c>
      <c r="K1260" s="328" t="s">
        <v>770</v>
      </c>
      <c r="L1260" s="329">
        <v>44105</v>
      </c>
      <c r="M1260" s="332">
        <v>0</v>
      </c>
    </row>
    <row r="1261" spans="1:13" hidden="1" x14ac:dyDescent="0.25">
      <c r="A1261" s="329">
        <v>44135</v>
      </c>
      <c r="B1261" s="328" t="s">
        <v>1703</v>
      </c>
      <c r="C1261" s="328" t="s">
        <v>1060</v>
      </c>
      <c r="D1261" s="330">
        <v>4</v>
      </c>
      <c r="E1261" s="331">
        <v>60.5</v>
      </c>
      <c r="F1261" s="331">
        <v>1270.5</v>
      </c>
      <c r="G1261" s="328" t="s">
        <v>1704</v>
      </c>
      <c r="H1261" s="328" t="s">
        <v>1732</v>
      </c>
      <c r="I1261" s="328" t="s">
        <v>110</v>
      </c>
      <c r="J1261" s="328" t="s">
        <v>757</v>
      </c>
      <c r="K1261" s="328" t="s">
        <v>741</v>
      </c>
      <c r="L1261" s="329">
        <v>44135</v>
      </c>
      <c r="M1261" s="332">
        <v>0</v>
      </c>
    </row>
    <row r="1262" spans="1:13" hidden="1" x14ac:dyDescent="0.25">
      <c r="A1262" s="329">
        <v>44135</v>
      </c>
      <c r="B1262" s="328" t="s">
        <v>1703</v>
      </c>
      <c r="C1262" s="328" t="s">
        <v>1060</v>
      </c>
      <c r="D1262" s="330">
        <v>5</v>
      </c>
      <c r="E1262" s="331">
        <v>-60.5</v>
      </c>
      <c r="F1262" s="331">
        <v>1210</v>
      </c>
      <c r="G1262" s="328" t="s">
        <v>1704</v>
      </c>
      <c r="H1262" s="328" t="s">
        <v>1732</v>
      </c>
      <c r="I1262" s="328" t="s">
        <v>110</v>
      </c>
      <c r="J1262" s="328" t="s">
        <v>757</v>
      </c>
      <c r="K1262" s="328" t="s">
        <v>741</v>
      </c>
      <c r="L1262" s="329">
        <v>44135</v>
      </c>
      <c r="M1262" s="332">
        <v>0</v>
      </c>
    </row>
    <row r="1263" spans="1:13" hidden="1" x14ac:dyDescent="0.25">
      <c r="A1263" s="329">
        <v>44135</v>
      </c>
      <c r="B1263" s="328" t="s">
        <v>1705</v>
      </c>
      <c r="C1263" s="328" t="s">
        <v>769</v>
      </c>
      <c r="D1263" s="330">
        <v>5</v>
      </c>
      <c r="E1263" s="331">
        <v>60.5</v>
      </c>
      <c r="F1263" s="331">
        <v>1270.5</v>
      </c>
      <c r="G1263" s="328" t="s">
        <v>1706</v>
      </c>
      <c r="H1263" s="328" t="s">
        <v>1732</v>
      </c>
      <c r="I1263" s="328" t="s">
        <v>110</v>
      </c>
      <c r="J1263" s="328" t="s">
        <v>757</v>
      </c>
      <c r="K1263" s="328" t="s">
        <v>770</v>
      </c>
      <c r="L1263" s="329">
        <v>44135</v>
      </c>
      <c r="M1263" s="332">
        <v>0</v>
      </c>
    </row>
    <row r="1264" spans="1:13" hidden="1" x14ac:dyDescent="0.25">
      <c r="A1264" s="329">
        <v>44165</v>
      </c>
      <c r="B1264" s="328" t="s">
        <v>1707</v>
      </c>
      <c r="C1264" s="328" t="s">
        <v>1060</v>
      </c>
      <c r="D1264" s="330">
        <v>5</v>
      </c>
      <c r="E1264" s="331">
        <v>60.5</v>
      </c>
      <c r="F1264" s="331">
        <v>1331</v>
      </c>
      <c r="G1264" s="328" t="s">
        <v>1708</v>
      </c>
      <c r="H1264" s="328" t="s">
        <v>1732</v>
      </c>
      <c r="I1264" s="328" t="s">
        <v>110</v>
      </c>
      <c r="J1264" s="328" t="s">
        <v>757</v>
      </c>
      <c r="K1264" s="328" t="s">
        <v>741</v>
      </c>
      <c r="L1264" s="329">
        <v>44165</v>
      </c>
      <c r="M1264" s="332">
        <v>0</v>
      </c>
    </row>
    <row r="1265" spans="1:13" hidden="1" x14ac:dyDescent="0.25">
      <c r="A1265" s="329">
        <v>44165</v>
      </c>
      <c r="B1265" s="328" t="s">
        <v>1707</v>
      </c>
      <c r="C1265" s="328" t="s">
        <v>1060</v>
      </c>
      <c r="D1265" s="330">
        <v>6</v>
      </c>
      <c r="E1265" s="331">
        <v>-60.5</v>
      </c>
      <c r="F1265" s="331">
        <v>1270.5</v>
      </c>
      <c r="G1265" s="328" t="s">
        <v>1708</v>
      </c>
      <c r="H1265" s="328" t="s">
        <v>1732</v>
      </c>
      <c r="I1265" s="328" t="s">
        <v>110</v>
      </c>
      <c r="J1265" s="328" t="s">
        <v>757</v>
      </c>
      <c r="K1265" s="328" t="s">
        <v>741</v>
      </c>
      <c r="L1265" s="329">
        <v>44165</v>
      </c>
      <c r="M1265" s="332">
        <v>0</v>
      </c>
    </row>
    <row r="1266" spans="1:13" hidden="1" x14ac:dyDescent="0.25">
      <c r="A1266" s="329">
        <v>44165</v>
      </c>
      <c r="B1266" s="328" t="s">
        <v>1709</v>
      </c>
      <c r="C1266" s="328" t="s">
        <v>769</v>
      </c>
      <c r="D1266" s="330">
        <v>6</v>
      </c>
      <c r="E1266" s="331">
        <v>60.5</v>
      </c>
      <c r="F1266" s="331">
        <v>1331</v>
      </c>
      <c r="G1266" s="328" t="s">
        <v>1710</v>
      </c>
      <c r="H1266" s="328" t="s">
        <v>1732</v>
      </c>
      <c r="I1266" s="328" t="s">
        <v>110</v>
      </c>
      <c r="J1266" s="328" t="s">
        <v>757</v>
      </c>
      <c r="K1266" s="328" t="s">
        <v>770</v>
      </c>
      <c r="L1266" s="329">
        <v>44165</v>
      </c>
      <c r="M1266" s="332">
        <v>0</v>
      </c>
    </row>
    <row r="1267" spans="1:13" hidden="1" x14ac:dyDescent="0.25">
      <c r="A1267" s="329">
        <v>44196</v>
      </c>
      <c r="B1267" s="328" t="s">
        <v>1711</v>
      </c>
      <c r="C1267" s="328" t="s">
        <v>1060</v>
      </c>
      <c r="D1267" s="330">
        <v>6</v>
      </c>
      <c r="E1267" s="331">
        <v>38.5</v>
      </c>
      <c r="F1267" s="331">
        <v>1369.5</v>
      </c>
      <c r="G1267" s="328" t="s">
        <v>1712</v>
      </c>
      <c r="H1267" s="328" t="s">
        <v>1732</v>
      </c>
      <c r="I1267" s="328" t="s">
        <v>110</v>
      </c>
      <c r="J1267" s="328" t="s">
        <v>757</v>
      </c>
      <c r="K1267" s="328" t="s">
        <v>741</v>
      </c>
      <c r="L1267" s="329">
        <v>44196</v>
      </c>
      <c r="M1267" s="332">
        <v>0</v>
      </c>
    </row>
    <row r="1268" spans="1:13" hidden="1" x14ac:dyDescent="0.25">
      <c r="A1268" s="329">
        <v>44196</v>
      </c>
      <c r="B1268" s="328" t="s">
        <v>1711</v>
      </c>
      <c r="C1268" s="328" t="s">
        <v>1060</v>
      </c>
      <c r="D1268" s="330">
        <v>7</v>
      </c>
      <c r="E1268" s="331">
        <v>-38.5</v>
      </c>
      <c r="F1268" s="331">
        <v>1331</v>
      </c>
      <c r="G1268" s="328" t="s">
        <v>1712</v>
      </c>
      <c r="H1268" s="328" t="s">
        <v>1732</v>
      </c>
      <c r="I1268" s="328" t="s">
        <v>110</v>
      </c>
      <c r="J1268" s="328" t="s">
        <v>757</v>
      </c>
      <c r="K1268" s="328" t="s">
        <v>741</v>
      </c>
      <c r="L1268" s="329">
        <v>44196</v>
      </c>
      <c r="M1268" s="332">
        <v>0</v>
      </c>
    </row>
    <row r="1269" spans="1:13" hidden="1" x14ac:dyDescent="0.25">
      <c r="A1269" s="329">
        <v>44196</v>
      </c>
      <c r="B1269" s="328" t="s">
        <v>1713</v>
      </c>
      <c r="C1269" s="328" t="s">
        <v>769</v>
      </c>
      <c r="D1269" s="330">
        <v>7</v>
      </c>
      <c r="E1269" s="331">
        <v>38.5</v>
      </c>
      <c r="F1269" s="331">
        <v>1369.5</v>
      </c>
      <c r="G1269" s="328" t="s">
        <v>1714</v>
      </c>
      <c r="H1269" s="328" t="s">
        <v>1732</v>
      </c>
      <c r="I1269" s="328" t="s">
        <v>110</v>
      </c>
      <c r="J1269" s="328" t="s">
        <v>757</v>
      </c>
      <c r="K1269" s="328" t="s">
        <v>770</v>
      </c>
      <c r="L1269" s="329">
        <v>44196</v>
      </c>
      <c r="M1269" s="332">
        <v>0</v>
      </c>
    </row>
    <row r="1270" spans="1:13" hidden="1" x14ac:dyDescent="0.25">
      <c r="A1270" s="329">
        <v>44227</v>
      </c>
      <c r="B1270" s="328" t="s">
        <v>1715</v>
      </c>
      <c r="C1270" s="328" t="s">
        <v>1060</v>
      </c>
      <c r="D1270" s="330">
        <v>7</v>
      </c>
      <c r="E1270" s="331">
        <v>33</v>
      </c>
      <c r="F1270" s="331">
        <v>1402.5</v>
      </c>
      <c r="G1270" s="328" t="s">
        <v>1716</v>
      </c>
      <c r="H1270" s="328" t="s">
        <v>1732</v>
      </c>
      <c r="I1270" s="328" t="s">
        <v>110</v>
      </c>
      <c r="J1270" s="328" t="s">
        <v>757</v>
      </c>
      <c r="K1270" s="328" t="s">
        <v>741</v>
      </c>
      <c r="L1270" s="329">
        <v>44227</v>
      </c>
      <c r="M1270" s="332">
        <v>0</v>
      </c>
    </row>
    <row r="1271" spans="1:13" hidden="1" x14ac:dyDescent="0.25">
      <c r="A1271" s="329">
        <v>44227</v>
      </c>
      <c r="B1271" s="328" t="s">
        <v>1715</v>
      </c>
      <c r="C1271" s="328" t="s">
        <v>1060</v>
      </c>
      <c r="D1271" s="330">
        <v>8</v>
      </c>
      <c r="E1271" s="331">
        <v>-33</v>
      </c>
      <c r="F1271" s="331">
        <v>1369.5</v>
      </c>
      <c r="G1271" s="328" t="s">
        <v>1716</v>
      </c>
      <c r="H1271" s="328" t="s">
        <v>1732</v>
      </c>
      <c r="I1271" s="328" t="s">
        <v>110</v>
      </c>
      <c r="J1271" s="328" t="s">
        <v>757</v>
      </c>
      <c r="K1271" s="328" t="s">
        <v>741</v>
      </c>
      <c r="L1271" s="329">
        <v>44227</v>
      </c>
      <c r="M1271" s="332">
        <v>0</v>
      </c>
    </row>
    <row r="1272" spans="1:13" hidden="1" x14ac:dyDescent="0.25">
      <c r="A1272" s="329">
        <v>44227</v>
      </c>
      <c r="B1272" s="328" t="s">
        <v>1717</v>
      </c>
      <c r="C1272" s="328" t="s">
        <v>769</v>
      </c>
      <c r="D1272" s="330">
        <v>8</v>
      </c>
      <c r="E1272" s="331">
        <v>33</v>
      </c>
      <c r="F1272" s="331">
        <v>1402.5</v>
      </c>
      <c r="G1272" s="328" t="s">
        <v>1718</v>
      </c>
      <c r="H1272" s="328" t="s">
        <v>1732</v>
      </c>
      <c r="I1272" s="328" t="s">
        <v>110</v>
      </c>
      <c r="J1272" s="328" t="s">
        <v>757</v>
      </c>
      <c r="K1272" s="328" t="s">
        <v>770</v>
      </c>
      <c r="L1272" s="329">
        <v>44227</v>
      </c>
      <c r="M1272" s="332">
        <v>0</v>
      </c>
    </row>
    <row r="1273" spans="1:13" hidden="1" x14ac:dyDescent="0.25">
      <c r="A1273" s="329">
        <v>44255</v>
      </c>
      <c r="B1273" s="328" t="s">
        <v>1720</v>
      </c>
      <c r="C1273" s="328" t="s">
        <v>1060</v>
      </c>
      <c r="D1273" s="330">
        <v>8</v>
      </c>
      <c r="E1273" s="331">
        <v>33</v>
      </c>
      <c r="F1273" s="331">
        <v>1435.5</v>
      </c>
      <c r="G1273" s="328" t="s">
        <v>1721</v>
      </c>
      <c r="H1273" s="328" t="s">
        <v>1732</v>
      </c>
      <c r="I1273" s="328" t="s">
        <v>110</v>
      </c>
      <c r="J1273" s="328" t="s">
        <v>757</v>
      </c>
      <c r="K1273" s="328" t="s">
        <v>741</v>
      </c>
      <c r="L1273" s="329">
        <v>44255</v>
      </c>
      <c r="M1273" s="332">
        <v>0</v>
      </c>
    </row>
    <row r="1274" spans="1:13" hidden="1" x14ac:dyDescent="0.25">
      <c r="A1274" s="329">
        <v>44255</v>
      </c>
      <c r="B1274" s="328" t="s">
        <v>1720</v>
      </c>
      <c r="C1274" s="328" t="s">
        <v>1060</v>
      </c>
      <c r="D1274" s="330">
        <v>9</v>
      </c>
      <c r="E1274" s="331">
        <v>-33</v>
      </c>
      <c r="F1274" s="331">
        <v>1402.5</v>
      </c>
      <c r="G1274" s="328" t="s">
        <v>1721</v>
      </c>
      <c r="H1274" s="328" t="s">
        <v>1732</v>
      </c>
      <c r="I1274" s="328" t="s">
        <v>110</v>
      </c>
      <c r="J1274" s="328" t="s">
        <v>757</v>
      </c>
      <c r="K1274" s="328" t="s">
        <v>741</v>
      </c>
      <c r="L1274" s="329">
        <v>44255</v>
      </c>
      <c r="M1274" s="332">
        <v>0</v>
      </c>
    </row>
    <row r="1275" spans="1:13" hidden="1" x14ac:dyDescent="0.25">
      <c r="A1275" s="329">
        <v>44255</v>
      </c>
      <c r="B1275" s="328" t="s">
        <v>1722</v>
      </c>
      <c r="C1275" s="328" t="s">
        <v>769</v>
      </c>
      <c r="D1275" s="330">
        <v>9</v>
      </c>
      <c r="E1275" s="331">
        <v>33</v>
      </c>
      <c r="F1275" s="331">
        <v>1435.5</v>
      </c>
      <c r="G1275" s="328" t="s">
        <v>1723</v>
      </c>
      <c r="H1275" s="328" t="s">
        <v>1732</v>
      </c>
      <c r="I1275" s="328" t="s">
        <v>110</v>
      </c>
      <c r="J1275" s="328" t="s">
        <v>757</v>
      </c>
      <c r="K1275" s="328" t="s">
        <v>770</v>
      </c>
      <c r="L1275" s="329">
        <v>44255</v>
      </c>
      <c r="M1275" s="332">
        <v>0</v>
      </c>
    </row>
    <row r="1276" spans="1:13" hidden="1" x14ac:dyDescent="0.25">
      <c r="A1276" s="329">
        <v>44286</v>
      </c>
      <c r="B1276" s="328" t="s">
        <v>1724</v>
      </c>
      <c r="C1276" s="328" t="s">
        <v>1060</v>
      </c>
      <c r="D1276" s="330">
        <v>9</v>
      </c>
      <c r="E1276" s="331">
        <v>44</v>
      </c>
      <c r="F1276" s="331">
        <v>1479.5</v>
      </c>
      <c r="G1276" s="328" t="s">
        <v>1725</v>
      </c>
      <c r="H1276" s="328" t="s">
        <v>1732</v>
      </c>
      <c r="I1276" s="328" t="s">
        <v>110</v>
      </c>
      <c r="J1276" s="328" t="s">
        <v>757</v>
      </c>
      <c r="K1276" s="328" t="s">
        <v>741</v>
      </c>
      <c r="L1276" s="329">
        <v>44286</v>
      </c>
      <c r="M1276" s="332">
        <v>0</v>
      </c>
    </row>
    <row r="1277" spans="1:13" hidden="1" x14ac:dyDescent="0.25">
      <c r="A1277" s="329">
        <v>44286</v>
      </c>
      <c r="B1277" s="328" t="s">
        <v>1726</v>
      </c>
      <c r="C1277" s="328" t="s">
        <v>769</v>
      </c>
      <c r="D1277" s="330">
        <v>10</v>
      </c>
      <c r="E1277" s="331">
        <v>44</v>
      </c>
      <c r="F1277" s="331">
        <v>1523.5</v>
      </c>
      <c r="G1277" s="328" t="s">
        <v>1727</v>
      </c>
      <c r="H1277" s="328" t="s">
        <v>1732</v>
      </c>
      <c r="I1277" s="328" t="s">
        <v>110</v>
      </c>
      <c r="J1277" s="328" t="s">
        <v>757</v>
      </c>
      <c r="K1277" s="328" t="s">
        <v>770</v>
      </c>
      <c r="L1277" s="329">
        <v>44286</v>
      </c>
      <c r="M1277" s="332">
        <v>0</v>
      </c>
    </row>
    <row r="1278" spans="1:13" hidden="1" x14ac:dyDescent="0.25">
      <c r="A1278" s="329">
        <v>44286</v>
      </c>
      <c r="B1278" s="328" t="s">
        <v>1724</v>
      </c>
      <c r="C1278" s="328" t="s">
        <v>1060</v>
      </c>
      <c r="D1278" s="330">
        <v>10</v>
      </c>
      <c r="E1278" s="331">
        <v>-44</v>
      </c>
      <c r="F1278" s="331">
        <v>1479.5</v>
      </c>
      <c r="G1278" s="328" t="s">
        <v>1725</v>
      </c>
      <c r="H1278" s="328" t="s">
        <v>1732</v>
      </c>
      <c r="I1278" s="328" t="s">
        <v>110</v>
      </c>
      <c r="J1278" s="328" t="s">
        <v>757</v>
      </c>
      <c r="K1278" s="328" t="s">
        <v>741</v>
      </c>
      <c r="L1278" s="329">
        <v>44286</v>
      </c>
      <c r="M1278" s="332">
        <v>0</v>
      </c>
    </row>
    <row r="1279" spans="1:13" hidden="1" x14ac:dyDescent="0.25">
      <c r="A1279" s="329">
        <v>44316</v>
      </c>
      <c r="B1279" s="328" t="s">
        <v>1728</v>
      </c>
      <c r="C1279" s="328" t="s">
        <v>1060</v>
      </c>
      <c r="D1279" s="330">
        <v>10</v>
      </c>
      <c r="E1279" s="331">
        <v>11</v>
      </c>
      <c r="F1279" s="331">
        <v>1490.5</v>
      </c>
      <c r="G1279" s="328" t="s">
        <v>1729</v>
      </c>
      <c r="H1279" s="328" t="s">
        <v>1732</v>
      </c>
      <c r="I1279" s="328" t="s">
        <v>110</v>
      </c>
      <c r="J1279" s="328" t="s">
        <v>757</v>
      </c>
      <c r="K1279" s="328" t="s">
        <v>741</v>
      </c>
      <c r="L1279" s="329">
        <v>44316</v>
      </c>
      <c r="M1279" s="332">
        <v>0</v>
      </c>
    </row>
    <row r="1280" spans="1:13" hidden="1" x14ac:dyDescent="0.25">
      <c r="A1280" s="329">
        <v>44012</v>
      </c>
      <c r="B1280" s="328" t="s">
        <v>1678</v>
      </c>
      <c r="C1280" s="328" t="s">
        <v>769</v>
      </c>
      <c r="D1280" s="330">
        <v>1</v>
      </c>
      <c r="E1280" s="331">
        <v>154</v>
      </c>
      <c r="F1280" s="331">
        <v>1644.5</v>
      </c>
      <c r="G1280" s="328" t="s">
        <v>1679</v>
      </c>
      <c r="H1280" s="328" t="s">
        <v>1733</v>
      </c>
      <c r="I1280" s="328" t="s">
        <v>110</v>
      </c>
      <c r="J1280" s="328" t="s">
        <v>757</v>
      </c>
      <c r="K1280" s="328" t="s">
        <v>770</v>
      </c>
      <c r="L1280" s="329">
        <v>44012</v>
      </c>
      <c r="M1280" s="332">
        <v>0</v>
      </c>
    </row>
    <row r="1281" spans="1:13" hidden="1" x14ac:dyDescent="0.25">
      <c r="A1281" s="329">
        <v>44012</v>
      </c>
      <c r="B1281" s="328" t="s">
        <v>1681</v>
      </c>
      <c r="C1281" s="328" t="s">
        <v>1059</v>
      </c>
      <c r="D1281" s="330">
        <v>1</v>
      </c>
      <c r="E1281" s="331">
        <v>-104.5</v>
      </c>
      <c r="F1281" s="331">
        <v>1540</v>
      </c>
      <c r="G1281" s="328" t="s">
        <v>1682</v>
      </c>
      <c r="H1281" s="328" t="s">
        <v>1733</v>
      </c>
      <c r="I1281" s="328" t="s">
        <v>110</v>
      </c>
      <c r="J1281" s="328" t="s">
        <v>757</v>
      </c>
      <c r="K1281" s="328" t="s">
        <v>741</v>
      </c>
      <c r="L1281" s="329">
        <v>44012</v>
      </c>
      <c r="M1281" s="332">
        <v>0</v>
      </c>
    </row>
    <row r="1282" spans="1:13" hidden="1" x14ac:dyDescent="0.25">
      <c r="A1282" s="329">
        <v>44041</v>
      </c>
      <c r="B1282" s="328" t="s">
        <v>1683</v>
      </c>
      <c r="C1282" s="328" t="s">
        <v>936</v>
      </c>
      <c r="D1282" s="330">
        <v>1</v>
      </c>
      <c r="E1282" s="331">
        <v>-49.5</v>
      </c>
      <c r="F1282" s="331">
        <v>1490.5</v>
      </c>
      <c r="G1282" s="328" t="s">
        <v>1684</v>
      </c>
      <c r="H1282" s="328" t="s">
        <v>1733</v>
      </c>
      <c r="I1282" s="328" t="s">
        <v>110</v>
      </c>
      <c r="J1282" s="328" t="s">
        <v>757</v>
      </c>
      <c r="K1282" s="328" t="s">
        <v>770</v>
      </c>
      <c r="L1282" s="329">
        <v>44041</v>
      </c>
      <c r="M1282" s="332">
        <v>0</v>
      </c>
    </row>
    <row r="1283" spans="1:13" hidden="1" x14ac:dyDescent="0.25">
      <c r="A1283" s="329">
        <v>44043</v>
      </c>
      <c r="B1283" s="328" t="s">
        <v>1685</v>
      </c>
      <c r="C1283" s="328" t="s">
        <v>1060</v>
      </c>
      <c r="D1283" s="330">
        <v>1</v>
      </c>
      <c r="E1283" s="331">
        <v>115.5</v>
      </c>
      <c r="F1283" s="331">
        <v>1606</v>
      </c>
      <c r="G1283" s="328" t="s">
        <v>1686</v>
      </c>
      <c r="H1283" s="328" t="s">
        <v>1733</v>
      </c>
      <c r="I1283" s="328" t="s">
        <v>110</v>
      </c>
      <c r="J1283" s="328" t="s">
        <v>757</v>
      </c>
      <c r="K1283" s="328" t="s">
        <v>741</v>
      </c>
      <c r="L1283" s="329">
        <v>44043</v>
      </c>
      <c r="M1283" s="332">
        <v>0</v>
      </c>
    </row>
    <row r="1284" spans="1:13" hidden="1" x14ac:dyDescent="0.25">
      <c r="A1284" s="329">
        <v>44043</v>
      </c>
      <c r="B1284" s="328" t="s">
        <v>1685</v>
      </c>
      <c r="C1284" s="328" t="s">
        <v>1060</v>
      </c>
      <c r="D1284" s="330">
        <v>1</v>
      </c>
      <c r="E1284" s="331">
        <v>49.5</v>
      </c>
      <c r="F1284" s="331">
        <v>1655.5</v>
      </c>
      <c r="G1284" s="328" t="s">
        <v>1687</v>
      </c>
      <c r="H1284" s="328" t="s">
        <v>1733</v>
      </c>
      <c r="I1284" s="328" t="s">
        <v>110</v>
      </c>
      <c r="J1284" s="328" t="s">
        <v>757</v>
      </c>
      <c r="K1284" s="328" t="s">
        <v>741</v>
      </c>
      <c r="L1284" s="329">
        <v>44043</v>
      </c>
      <c r="M1284" s="332">
        <v>0</v>
      </c>
    </row>
    <row r="1285" spans="1:13" hidden="1" x14ac:dyDescent="0.25">
      <c r="A1285" s="329">
        <v>44043</v>
      </c>
      <c r="B1285" s="328" t="s">
        <v>1688</v>
      </c>
      <c r="C1285" s="328" t="s">
        <v>1060</v>
      </c>
      <c r="D1285" s="330">
        <v>1</v>
      </c>
      <c r="E1285" s="331">
        <v>-115.5</v>
      </c>
      <c r="F1285" s="331">
        <v>1540</v>
      </c>
      <c r="G1285" s="328" t="s">
        <v>1686</v>
      </c>
      <c r="H1285" s="328" t="s">
        <v>1733</v>
      </c>
      <c r="I1285" s="328" t="s">
        <v>110</v>
      </c>
      <c r="J1285" s="328" t="s">
        <v>757</v>
      </c>
      <c r="K1285" s="328" t="s">
        <v>741</v>
      </c>
      <c r="L1285" s="329">
        <v>44043</v>
      </c>
      <c r="M1285" s="332">
        <v>0</v>
      </c>
    </row>
    <row r="1286" spans="1:13" hidden="1" x14ac:dyDescent="0.25">
      <c r="A1286" s="329">
        <v>44043</v>
      </c>
      <c r="B1286" s="328" t="s">
        <v>1688</v>
      </c>
      <c r="C1286" s="328" t="s">
        <v>1060</v>
      </c>
      <c r="D1286" s="330">
        <v>1</v>
      </c>
      <c r="E1286" s="331">
        <v>-49.5</v>
      </c>
      <c r="F1286" s="331">
        <v>1490.5</v>
      </c>
      <c r="G1286" s="328" t="s">
        <v>1687</v>
      </c>
      <c r="H1286" s="328" t="s">
        <v>1733</v>
      </c>
      <c r="I1286" s="328" t="s">
        <v>110</v>
      </c>
      <c r="J1286" s="328" t="s">
        <v>757</v>
      </c>
      <c r="K1286" s="328" t="s">
        <v>741</v>
      </c>
      <c r="L1286" s="329">
        <v>44043</v>
      </c>
      <c r="M1286" s="332">
        <v>0</v>
      </c>
    </row>
    <row r="1287" spans="1:13" hidden="1" x14ac:dyDescent="0.25">
      <c r="A1287" s="329">
        <v>44043</v>
      </c>
      <c r="B1287" s="328" t="s">
        <v>1689</v>
      </c>
      <c r="C1287" s="328" t="s">
        <v>1060</v>
      </c>
      <c r="D1287" s="330">
        <v>1</v>
      </c>
      <c r="E1287" s="331">
        <v>115.5</v>
      </c>
      <c r="F1287" s="331">
        <v>1606</v>
      </c>
      <c r="G1287" s="328" t="s">
        <v>1686</v>
      </c>
      <c r="H1287" s="328" t="s">
        <v>1733</v>
      </c>
      <c r="I1287" s="328" t="s">
        <v>110</v>
      </c>
      <c r="J1287" s="328" t="s">
        <v>757</v>
      </c>
      <c r="K1287" s="328" t="s">
        <v>741</v>
      </c>
      <c r="L1287" s="329">
        <v>44043</v>
      </c>
      <c r="M1287" s="332">
        <v>0</v>
      </c>
    </row>
    <row r="1288" spans="1:13" hidden="1" x14ac:dyDescent="0.25">
      <c r="A1288" s="329">
        <v>44043</v>
      </c>
      <c r="B1288" s="328" t="s">
        <v>1689</v>
      </c>
      <c r="C1288" s="328" t="s">
        <v>1060</v>
      </c>
      <c r="D1288" s="330">
        <v>1</v>
      </c>
      <c r="E1288" s="331">
        <v>-49.5</v>
      </c>
      <c r="F1288" s="331">
        <v>1556.5</v>
      </c>
      <c r="G1288" s="328" t="s">
        <v>1690</v>
      </c>
      <c r="H1288" s="328" t="s">
        <v>1733</v>
      </c>
      <c r="I1288" s="328" t="s">
        <v>110</v>
      </c>
      <c r="J1288" s="328" t="s">
        <v>757</v>
      </c>
      <c r="K1288" s="328" t="s">
        <v>741</v>
      </c>
      <c r="L1288" s="329">
        <v>44043</v>
      </c>
      <c r="M1288" s="332">
        <v>0</v>
      </c>
    </row>
    <row r="1289" spans="1:13" hidden="1" x14ac:dyDescent="0.25">
      <c r="A1289" s="329">
        <v>44043</v>
      </c>
      <c r="B1289" s="328" t="s">
        <v>1691</v>
      </c>
      <c r="C1289" s="328" t="s">
        <v>769</v>
      </c>
      <c r="D1289" s="330">
        <v>2</v>
      </c>
      <c r="E1289" s="331">
        <v>115.5</v>
      </c>
      <c r="F1289" s="331">
        <v>1672</v>
      </c>
      <c r="G1289" s="328" t="s">
        <v>1692</v>
      </c>
      <c r="H1289" s="328" t="s">
        <v>1733</v>
      </c>
      <c r="I1289" s="328" t="s">
        <v>110</v>
      </c>
      <c r="J1289" s="328" t="s">
        <v>757</v>
      </c>
      <c r="K1289" s="328" t="s">
        <v>770</v>
      </c>
      <c r="L1289" s="329">
        <v>44043</v>
      </c>
      <c r="M1289" s="332">
        <v>0</v>
      </c>
    </row>
    <row r="1290" spans="1:13" hidden="1" x14ac:dyDescent="0.25">
      <c r="A1290" s="329">
        <v>44043</v>
      </c>
      <c r="B1290" s="328" t="s">
        <v>1693</v>
      </c>
      <c r="C1290" s="328" t="s">
        <v>936</v>
      </c>
      <c r="D1290" s="330">
        <v>2</v>
      </c>
      <c r="E1290" s="331">
        <v>-49.5</v>
      </c>
      <c r="F1290" s="331">
        <v>1622.5</v>
      </c>
      <c r="G1290" s="328" t="s">
        <v>1694</v>
      </c>
      <c r="H1290" s="328" t="s">
        <v>1733</v>
      </c>
      <c r="I1290" s="328" t="s">
        <v>110</v>
      </c>
      <c r="J1290" s="328" t="s">
        <v>757</v>
      </c>
      <c r="K1290" s="328" t="s">
        <v>770</v>
      </c>
      <c r="L1290" s="329">
        <v>44043</v>
      </c>
      <c r="M1290" s="332">
        <v>0</v>
      </c>
    </row>
    <row r="1291" spans="1:13" hidden="1" x14ac:dyDescent="0.25">
      <c r="A1291" s="329">
        <v>44043</v>
      </c>
      <c r="B1291" s="328" t="s">
        <v>1685</v>
      </c>
      <c r="C1291" s="328" t="s">
        <v>1060</v>
      </c>
      <c r="D1291" s="330">
        <v>2</v>
      </c>
      <c r="E1291" s="331">
        <v>-115.5</v>
      </c>
      <c r="F1291" s="331">
        <v>1507</v>
      </c>
      <c r="G1291" s="328" t="s">
        <v>1686</v>
      </c>
      <c r="H1291" s="328" t="s">
        <v>1733</v>
      </c>
      <c r="I1291" s="328" t="s">
        <v>110</v>
      </c>
      <c r="J1291" s="328" t="s">
        <v>757</v>
      </c>
      <c r="K1291" s="328" t="s">
        <v>741</v>
      </c>
      <c r="L1291" s="329">
        <v>44043</v>
      </c>
      <c r="M1291" s="332">
        <v>0</v>
      </c>
    </row>
    <row r="1292" spans="1:13" hidden="1" x14ac:dyDescent="0.25">
      <c r="A1292" s="329">
        <v>44043</v>
      </c>
      <c r="B1292" s="328" t="s">
        <v>1685</v>
      </c>
      <c r="C1292" s="328" t="s">
        <v>1060</v>
      </c>
      <c r="D1292" s="330">
        <v>2</v>
      </c>
      <c r="E1292" s="331">
        <v>-49.5</v>
      </c>
      <c r="F1292" s="331">
        <v>1457.5</v>
      </c>
      <c r="G1292" s="328" t="s">
        <v>1687</v>
      </c>
      <c r="H1292" s="328" t="s">
        <v>1733</v>
      </c>
      <c r="I1292" s="328" t="s">
        <v>110</v>
      </c>
      <c r="J1292" s="328" t="s">
        <v>757</v>
      </c>
      <c r="K1292" s="328" t="s">
        <v>741</v>
      </c>
      <c r="L1292" s="329">
        <v>44043</v>
      </c>
      <c r="M1292" s="332">
        <v>0</v>
      </c>
    </row>
    <row r="1293" spans="1:13" hidden="1" x14ac:dyDescent="0.25">
      <c r="A1293" s="329">
        <v>44043</v>
      </c>
      <c r="B1293" s="328" t="s">
        <v>1688</v>
      </c>
      <c r="C1293" s="328" t="s">
        <v>1060</v>
      </c>
      <c r="D1293" s="330">
        <v>2</v>
      </c>
      <c r="E1293" s="331">
        <v>115.5</v>
      </c>
      <c r="F1293" s="331">
        <v>1573</v>
      </c>
      <c r="G1293" s="328" t="s">
        <v>1686</v>
      </c>
      <c r="H1293" s="328" t="s">
        <v>1733</v>
      </c>
      <c r="I1293" s="328" t="s">
        <v>110</v>
      </c>
      <c r="J1293" s="328" t="s">
        <v>757</v>
      </c>
      <c r="K1293" s="328" t="s">
        <v>741</v>
      </c>
      <c r="L1293" s="329">
        <v>44043</v>
      </c>
      <c r="M1293" s="332">
        <v>0</v>
      </c>
    </row>
    <row r="1294" spans="1:13" hidden="1" x14ac:dyDescent="0.25">
      <c r="A1294" s="329">
        <v>44043</v>
      </c>
      <c r="B1294" s="328" t="s">
        <v>1688</v>
      </c>
      <c r="C1294" s="328" t="s">
        <v>1060</v>
      </c>
      <c r="D1294" s="330">
        <v>2</v>
      </c>
      <c r="E1294" s="331">
        <v>49.5</v>
      </c>
      <c r="F1294" s="331">
        <v>1622.5</v>
      </c>
      <c r="G1294" s="328" t="s">
        <v>1687</v>
      </c>
      <c r="H1294" s="328" t="s">
        <v>1733</v>
      </c>
      <c r="I1294" s="328" t="s">
        <v>110</v>
      </c>
      <c r="J1294" s="328" t="s">
        <v>757</v>
      </c>
      <c r="K1294" s="328" t="s">
        <v>741</v>
      </c>
      <c r="L1294" s="329">
        <v>44043</v>
      </c>
      <c r="M1294" s="332">
        <v>0</v>
      </c>
    </row>
    <row r="1295" spans="1:13" hidden="1" x14ac:dyDescent="0.25">
      <c r="A1295" s="329">
        <v>44043</v>
      </c>
      <c r="B1295" s="328" t="s">
        <v>1689</v>
      </c>
      <c r="C1295" s="328" t="s">
        <v>1060</v>
      </c>
      <c r="D1295" s="330">
        <v>2</v>
      </c>
      <c r="E1295" s="331">
        <v>-115.5</v>
      </c>
      <c r="F1295" s="331">
        <v>1507</v>
      </c>
      <c r="G1295" s="328" t="s">
        <v>1686</v>
      </c>
      <c r="H1295" s="328" t="s">
        <v>1733</v>
      </c>
      <c r="I1295" s="328" t="s">
        <v>110</v>
      </c>
      <c r="J1295" s="328" t="s">
        <v>757</v>
      </c>
      <c r="K1295" s="328" t="s">
        <v>741</v>
      </c>
      <c r="L1295" s="329">
        <v>44043</v>
      </c>
      <c r="M1295" s="332">
        <v>0</v>
      </c>
    </row>
    <row r="1296" spans="1:13" hidden="1" x14ac:dyDescent="0.25">
      <c r="A1296" s="329">
        <v>44043</v>
      </c>
      <c r="B1296" s="328" t="s">
        <v>1689</v>
      </c>
      <c r="C1296" s="328" t="s">
        <v>1060</v>
      </c>
      <c r="D1296" s="330">
        <v>2</v>
      </c>
      <c r="E1296" s="331">
        <v>49.5</v>
      </c>
      <c r="F1296" s="331">
        <v>1556.5</v>
      </c>
      <c r="G1296" s="328" t="s">
        <v>1690</v>
      </c>
      <c r="H1296" s="328" t="s">
        <v>1733</v>
      </c>
      <c r="I1296" s="328" t="s">
        <v>110</v>
      </c>
      <c r="J1296" s="328" t="s">
        <v>757</v>
      </c>
      <c r="K1296" s="328" t="s">
        <v>741</v>
      </c>
      <c r="L1296" s="329">
        <v>44043</v>
      </c>
      <c r="M1296" s="332">
        <v>0</v>
      </c>
    </row>
    <row r="1297" spans="1:13" hidden="1" x14ac:dyDescent="0.25">
      <c r="A1297" s="329">
        <v>44074</v>
      </c>
      <c r="B1297" s="328" t="s">
        <v>1695</v>
      </c>
      <c r="C1297" s="328" t="s">
        <v>1060</v>
      </c>
      <c r="D1297" s="330">
        <v>2</v>
      </c>
      <c r="E1297" s="331">
        <v>88</v>
      </c>
      <c r="F1297" s="331">
        <v>1644.5</v>
      </c>
      <c r="G1297" s="328" t="s">
        <v>1696</v>
      </c>
      <c r="H1297" s="328" t="s">
        <v>1733</v>
      </c>
      <c r="I1297" s="328" t="s">
        <v>110</v>
      </c>
      <c r="J1297" s="328" t="s">
        <v>757</v>
      </c>
      <c r="K1297" s="328" t="s">
        <v>741</v>
      </c>
      <c r="L1297" s="329">
        <v>44074</v>
      </c>
      <c r="M1297" s="332">
        <v>0</v>
      </c>
    </row>
    <row r="1298" spans="1:13" hidden="1" x14ac:dyDescent="0.25">
      <c r="A1298" s="329">
        <v>44074</v>
      </c>
      <c r="B1298" s="328" t="s">
        <v>1697</v>
      </c>
      <c r="C1298" s="328" t="s">
        <v>769</v>
      </c>
      <c r="D1298" s="330">
        <v>3</v>
      </c>
      <c r="E1298" s="331">
        <v>88</v>
      </c>
      <c r="F1298" s="331">
        <v>1732.5</v>
      </c>
      <c r="G1298" s="328" t="s">
        <v>1698</v>
      </c>
      <c r="H1298" s="328" t="s">
        <v>1733</v>
      </c>
      <c r="I1298" s="328" t="s">
        <v>110</v>
      </c>
      <c r="J1298" s="328" t="s">
        <v>757</v>
      </c>
      <c r="K1298" s="328" t="s">
        <v>770</v>
      </c>
      <c r="L1298" s="329">
        <v>44074</v>
      </c>
      <c r="M1298" s="332">
        <v>0</v>
      </c>
    </row>
    <row r="1299" spans="1:13" hidden="1" x14ac:dyDescent="0.25">
      <c r="A1299" s="329">
        <v>44074</v>
      </c>
      <c r="B1299" s="328" t="s">
        <v>1695</v>
      </c>
      <c r="C1299" s="328" t="s">
        <v>1060</v>
      </c>
      <c r="D1299" s="330">
        <v>3</v>
      </c>
      <c r="E1299" s="331">
        <v>-88</v>
      </c>
      <c r="F1299" s="331">
        <v>1644.5</v>
      </c>
      <c r="G1299" s="328" t="s">
        <v>1696</v>
      </c>
      <c r="H1299" s="328" t="s">
        <v>1733</v>
      </c>
      <c r="I1299" s="328" t="s">
        <v>110</v>
      </c>
      <c r="J1299" s="328" t="s">
        <v>757</v>
      </c>
      <c r="K1299" s="328" t="s">
        <v>741</v>
      </c>
      <c r="L1299" s="329">
        <v>44074</v>
      </c>
      <c r="M1299" s="332">
        <v>0</v>
      </c>
    </row>
    <row r="1300" spans="1:13" hidden="1" x14ac:dyDescent="0.25">
      <c r="A1300" s="329">
        <v>44104</v>
      </c>
      <c r="B1300" s="328" t="s">
        <v>1699</v>
      </c>
      <c r="C1300" s="328" t="s">
        <v>1060</v>
      </c>
      <c r="D1300" s="330">
        <v>3</v>
      </c>
      <c r="E1300" s="331">
        <v>137.5</v>
      </c>
      <c r="F1300" s="331">
        <v>1782</v>
      </c>
      <c r="G1300" s="328" t="s">
        <v>1700</v>
      </c>
      <c r="H1300" s="328" t="s">
        <v>1733</v>
      </c>
      <c r="I1300" s="328" t="s">
        <v>110</v>
      </c>
      <c r="J1300" s="328" t="s">
        <v>757</v>
      </c>
      <c r="K1300" s="328" t="s">
        <v>741</v>
      </c>
      <c r="L1300" s="329">
        <v>44104</v>
      </c>
      <c r="M1300" s="332">
        <v>0</v>
      </c>
    </row>
    <row r="1301" spans="1:13" hidden="1" x14ac:dyDescent="0.25">
      <c r="A1301" s="329">
        <v>44104</v>
      </c>
      <c r="B1301" s="328" t="s">
        <v>1699</v>
      </c>
      <c r="C1301" s="328" t="s">
        <v>1060</v>
      </c>
      <c r="D1301" s="330">
        <v>4</v>
      </c>
      <c r="E1301" s="331">
        <v>-137.5</v>
      </c>
      <c r="F1301" s="331">
        <v>1644.5</v>
      </c>
      <c r="G1301" s="328" t="s">
        <v>1700</v>
      </c>
      <c r="H1301" s="328" t="s">
        <v>1733</v>
      </c>
      <c r="I1301" s="328" t="s">
        <v>110</v>
      </c>
      <c r="J1301" s="328" t="s">
        <v>757</v>
      </c>
      <c r="K1301" s="328" t="s">
        <v>741</v>
      </c>
      <c r="L1301" s="329">
        <v>44104</v>
      </c>
      <c r="M1301" s="332">
        <v>0</v>
      </c>
    </row>
    <row r="1302" spans="1:13" hidden="1" x14ac:dyDescent="0.25">
      <c r="A1302" s="329">
        <v>44105</v>
      </c>
      <c r="B1302" s="328" t="s">
        <v>1701</v>
      </c>
      <c r="C1302" s="328" t="s">
        <v>769</v>
      </c>
      <c r="D1302" s="330">
        <v>4</v>
      </c>
      <c r="E1302" s="331">
        <v>137.5</v>
      </c>
      <c r="F1302" s="331">
        <v>1782</v>
      </c>
      <c r="G1302" s="328" t="s">
        <v>1702</v>
      </c>
      <c r="H1302" s="328" t="s">
        <v>1733</v>
      </c>
      <c r="I1302" s="328" t="s">
        <v>110</v>
      </c>
      <c r="J1302" s="328" t="s">
        <v>757</v>
      </c>
      <c r="K1302" s="328" t="s">
        <v>770</v>
      </c>
      <c r="L1302" s="329">
        <v>44105</v>
      </c>
      <c r="M1302" s="332">
        <v>0</v>
      </c>
    </row>
    <row r="1303" spans="1:13" hidden="1" x14ac:dyDescent="0.25">
      <c r="A1303" s="329">
        <v>44135</v>
      </c>
      <c r="B1303" s="328" t="s">
        <v>1703</v>
      </c>
      <c r="C1303" s="328" t="s">
        <v>1060</v>
      </c>
      <c r="D1303" s="330">
        <v>4</v>
      </c>
      <c r="E1303" s="331">
        <v>88</v>
      </c>
      <c r="F1303" s="331">
        <v>1870</v>
      </c>
      <c r="G1303" s="328" t="s">
        <v>1704</v>
      </c>
      <c r="H1303" s="328" t="s">
        <v>1733</v>
      </c>
      <c r="I1303" s="328" t="s">
        <v>110</v>
      </c>
      <c r="J1303" s="328" t="s">
        <v>757</v>
      </c>
      <c r="K1303" s="328" t="s">
        <v>741</v>
      </c>
      <c r="L1303" s="329">
        <v>44135</v>
      </c>
      <c r="M1303" s="332">
        <v>0</v>
      </c>
    </row>
    <row r="1304" spans="1:13" hidden="1" x14ac:dyDescent="0.25">
      <c r="A1304" s="329">
        <v>44135</v>
      </c>
      <c r="B1304" s="328" t="s">
        <v>1703</v>
      </c>
      <c r="C1304" s="328" t="s">
        <v>1060</v>
      </c>
      <c r="D1304" s="330">
        <v>5</v>
      </c>
      <c r="E1304" s="331">
        <v>-88</v>
      </c>
      <c r="F1304" s="331">
        <v>1782</v>
      </c>
      <c r="G1304" s="328" t="s">
        <v>1704</v>
      </c>
      <c r="H1304" s="328" t="s">
        <v>1733</v>
      </c>
      <c r="I1304" s="328" t="s">
        <v>110</v>
      </c>
      <c r="J1304" s="328" t="s">
        <v>757</v>
      </c>
      <c r="K1304" s="328" t="s">
        <v>741</v>
      </c>
      <c r="L1304" s="329">
        <v>44135</v>
      </c>
      <c r="M1304" s="332">
        <v>0</v>
      </c>
    </row>
    <row r="1305" spans="1:13" hidden="1" x14ac:dyDescent="0.25">
      <c r="A1305" s="329">
        <v>44135</v>
      </c>
      <c r="B1305" s="328" t="s">
        <v>1705</v>
      </c>
      <c r="C1305" s="328" t="s">
        <v>769</v>
      </c>
      <c r="D1305" s="330">
        <v>5</v>
      </c>
      <c r="E1305" s="331">
        <v>88</v>
      </c>
      <c r="F1305" s="331">
        <v>1870</v>
      </c>
      <c r="G1305" s="328" t="s">
        <v>1706</v>
      </c>
      <c r="H1305" s="328" t="s">
        <v>1733</v>
      </c>
      <c r="I1305" s="328" t="s">
        <v>110</v>
      </c>
      <c r="J1305" s="328" t="s">
        <v>757</v>
      </c>
      <c r="K1305" s="328" t="s">
        <v>770</v>
      </c>
      <c r="L1305" s="329">
        <v>44135</v>
      </c>
      <c r="M1305" s="332">
        <v>0</v>
      </c>
    </row>
    <row r="1306" spans="1:13" hidden="1" x14ac:dyDescent="0.25">
      <c r="A1306" s="329">
        <v>44165</v>
      </c>
      <c r="B1306" s="328" t="s">
        <v>1707</v>
      </c>
      <c r="C1306" s="328" t="s">
        <v>1060</v>
      </c>
      <c r="D1306" s="330">
        <v>5</v>
      </c>
      <c r="E1306" s="331">
        <v>88</v>
      </c>
      <c r="F1306" s="331">
        <v>1958</v>
      </c>
      <c r="G1306" s="328" t="s">
        <v>1708</v>
      </c>
      <c r="H1306" s="328" t="s">
        <v>1733</v>
      </c>
      <c r="I1306" s="328" t="s">
        <v>110</v>
      </c>
      <c r="J1306" s="328" t="s">
        <v>757</v>
      </c>
      <c r="K1306" s="328" t="s">
        <v>741</v>
      </c>
      <c r="L1306" s="329">
        <v>44165</v>
      </c>
      <c r="M1306" s="332">
        <v>0</v>
      </c>
    </row>
    <row r="1307" spans="1:13" hidden="1" x14ac:dyDescent="0.25">
      <c r="A1307" s="329">
        <v>44165</v>
      </c>
      <c r="B1307" s="328" t="s">
        <v>1707</v>
      </c>
      <c r="C1307" s="328" t="s">
        <v>1060</v>
      </c>
      <c r="D1307" s="330">
        <v>6</v>
      </c>
      <c r="E1307" s="331">
        <v>-88</v>
      </c>
      <c r="F1307" s="331">
        <v>1870</v>
      </c>
      <c r="G1307" s="328" t="s">
        <v>1708</v>
      </c>
      <c r="H1307" s="328" t="s">
        <v>1733</v>
      </c>
      <c r="I1307" s="328" t="s">
        <v>110</v>
      </c>
      <c r="J1307" s="328" t="s">
        <v>757</v>
      </c>
      <c r="K1307" s="328" t="s">
        <v>741</v>
      </c>
      <c r="L1307" s="329">
        <v>44165</v>
      </c>
      <c r="M1307" s="332">
        <v>0</v>
      </c>
    </row>
    <row r="1308" spans="1:13" hidden="1" x14ac:dyDescent="0.25">
      <c r="A1308" s="329">
        <v>44165</v>
      </c>
      <c r="B1308" s="328" t="s">
        <v>1709</v>
      </c>
      <c r="C1308" s="328" t="s">
        <v>769</v>
      </c>
      <c r="D1308" s="330">
        <v>6</v>
      </c>
      <c r="E1308" s="331">
        <v>88</v>
      </c>
      <c r="F1308" s="331">
        <v>1958</v>
      </c>
      <c r="G1308" s="328" t="s">
        <v>1710</v>
      </c>
      <c r="H1308" s="328" t="s">
        <v>1733</v>
      </c>
      <c r="I1308" s="328" t="s">
        <v>110</v>
      </c>
      <c r="J1308" s="328" t="s">
        <v>757</v>
      </c>
      <c r="K1308" s="328" t="s">
        <v>770</v>
      </c>
      <c r="L1308" s="329">
        <v>44165</v>
      </c>
      <c r="M1308" s="332">
        <v>0</v>
      </c>
    </row>
    <row r="1309" spans="1:13" hidden="1" x14ac:dyDescent="0.25">
      <c r="A1309" s="329">
        <v>44196</v>
      </c>
      <c r="B1309" s="328" t="s">
        <v>1711</v>
      </c>
      <c r="C1309" s="328" t="s">
        <v>1060</v>
      </c>
      <c r="D1309" s="330">
        <v>6</v>
      </c>
      <c r="E1309" s="331">
        <v>88</v>
      </c>
      <c r="F1309" s="331">
        <v>2046</v>
      </c>
      <c r="G1309" s="328" t="s">
        <v>1712</v>
      </c>
      <c r="H1309" s="328" t="s">
        <v>1733</v>
      </c>
      <c r="I1309" s="328" t="s">
        <v>110</v>
      </c>
      <c r="J1309" s="328" t="s">
        <v>757</v>
      </c>
      <c r="K1309" s="328" t="s">
        <v>741</v>
      </c>
      <c r="L1309" s="329">
        <v>44196</v>
      </c>
      <c r="M1309" s="332">
        <v>0</v>
      </c>
    </row>
    <row r="1310" spans="1:13" hidden="1" x14ac:dyDescent="0.25">
      <c r="A1310" s="329">
        <v>44196</v>
      </c>
      <c r="B1310" s="328" t="s">
        <v>1711</v>
      </c>
      <c r="C1310" s="328" t="s">
        <v>1060</v>
      </c>
      <c r="D1310" s="330">
        <v>7</v>
      </c>
      <c r="E1310" s="331">
        <v>-88</v>
      </c>
      <c r="F1310" s="331">
        <v>1958</v>
      </c>
      <c r="G1310" s="328" t="s">
        <v>1712</v>
      </c>
      <c r="H1310" s="328" t="s">
        <v>1733</v>
      </c>
      <c r="I1310" s="328" t="s">
        <v>110</v>
      </c>
      <c r="J1310" s="328" t="s">
        <v>757</v>
      </c>
      <c r="K1310" s="328" t="s">
        <v>741</v>
      </c>
      <c r="L1310" s="329">
        <v>44196</v>
      </c>
      <c r="M1310" s="332">
        <v>0</v>
      </c>
    </row>
    <row r="1311" spans="1:13" hidden="1" x14ac:dyDescent="0.25">
      <c r="A1311" s="329">
        <v>44196</v>
      </c>
      <c r="B1311" s="328" t="s">
        <v>1713</v>
      </c>
      <c r="C1311" s="328" t="s">
        <v>769</v>
      </c>
      <c r="D1311" s="330">
        <v>7</v>
      </c>
      <c r="E1311" s="331">
        <v>88</v>
      </c>
      <c r="F1311" s="331">
        <v>2046</v>
      </c>
      <c r="G1311" s="328" t="s">
        <v>1714</v>
      </c>
      <c r="H1311" s="328" t="s">
        <v>1733</v>
      </c>
      <c r="I1311" s="328" t="s">
        <v>110</v>
      </c>
      <c r="J1311" s="328" t="s">
        <v>757</v>
      </c>
      <c r="K1311" s="328" t="s">
        <v>770</v>
      </c>
      <c r="L1311" s="329">
        <v>44196</v>
      </c>
      <c r="M1311" s="332">
        <v>0</v>
      </c>
    </row>
    <row r="1312" spans="1:13" hidden="1" x14ac:dyDescent="0.25">
      <c r="A1312" s="329">
        <v>44227</v>
      </c>
      <c r="B1312" s="328" t="s">
        <v>1715</v>
      </c>
      <c r="C1312" s="328" t="s">
        <v>1060</v>
      </c>
      <c r="D1312" s="330">
        <v>7</v>
      </c>
      <c r="E1312" s="331">
        <v>77</v>
      </c>
      <c r="F1312" s="331">
        <v>2123</v>
      </c>
      <c r="G1312" s="328" t="s">
        <v>1716</v>
      </c>
      <c r="H1312" s="328" t="s">
        <v>1733</v>
      </c>
      <c r="I1312" s="328" t="s">
        <v>110</v>
      </c>
      <c r="J1312" s="328" t="s">
        <v>757</v>
      </c>
      <c r="K1312" s="328" t="s">
        <v>741</v>
      </c>
      <c r="L1312" s="329">
        <v>44227</v>
      </c>
      <c r="M1312" s="332">
        <v>0</v>
      </c>
    </row>
    <row r="1313" spans="1:13" hidden="1" x14ac:dyDescent="0.25">
      <c r="A1313" s="329">
        <v>44227</v>
      </c>
      <c r="B1313" s="328" t="s">
        <v>1715</v>
      </c>
      <c r="C1313" s="328" t="s">
        <v>1060</v>
      </c>
      <c r="D1313" s="330">
        <v>8</v>
      </c>
      <c r="E1313" s="331">
        <v>-77</v>
      </c>
      <c r="F1313" s="331">
        <v>2046</v>
      </c>
      <c r="G1313" s="328" t="s">
        <v>1716</v>
      </c>
      <c r="H1313" s="328" t="s">
        <v>1733</v>
      </c>
      <c r="I1313" s="328" t="s">
        <v>110</v>
      </c>
      <c r="J1313" s="328" t="s">
        <v>757</v>
      </c>
      <c r="K1313" s="328" t="s">
        <v>741</v>
      </c>
      <c r="L1313" s="329">
        <v>44227</v>
      </c>
      <c r="M1313" s="332">
        <v>0</v>
      </c>
    </row>
    <row r="1314" spans="1:13" hidden="1" x14ac:dyDescent="0.25">
      <c r="A1314" s="329">
        <v>44227</v>
      </c>
      <c r="B1314" s="328" t="s">
        <v>1717</v>
      </c>
      <c r="C1314" s="328" t="s">
        <v>769</v>
      </c>
      <c r="D1314" s="330">
        <v>8</v>
      </c>
      <c r="E1314" s="331">
        <v>77</v>
      </c>
      <c r="F1314" s="331">
        <v>2123</v>
      </c>
      <c r="G1314" s="328" t="s">
        <v>1718</v>
      </c>
      <c r="H1314" s="328" t="s">
        <v>1733</v>
      </c>
      <c r="I1314" s="328" t="s">
        <v>110</v>
      </c>
      <c r="J1314" s="328" t="s">
        <v>757</v>
      </c>
      <c r="K1314" s="328" t="s">
        <v>770</v>
      </c>
      <c r="L1314" s="329">
        <v>44227</v>
      </c>
      <c r="M1314" s="332">
        <v>0</v>
      </c>
    </row>
    <row r="1315" spans="1:13" hidden="1" x14ac:dyDescent="0.25">
      <c r="A1315" s="329">
        <v>44255</v>
      </c>
      <c r="B1315" s="328" t="s">
        <v>1720</v>
      </c>
      <c r="C1315" s="328" t="s">
        <v>1060</v>
      </c>
      <c r="D1315" s="330">
        <v>8</v>
      </c>
      <c r="E1315" s="331">
        <v>88</v>
      </c>
      <c r="F1315" s="331">
        <v>2211</v>
      </c>
      <c r="G1315" s="328" t="s">
        <v>1721</v>
      </c>
      <c r="H1315" s="328" t="s">
        <v>1733</v>
      </c>
      <c r="I1315" s="328" t="s">
        <v>110</v>
      </c>
      <c r="J1315" s="328" t="s">
        <v>757</v>
      </c>
      <c r="K1315" s="328" t="s">
        <v>741</v>
      </c>
      <c r="L1315" s="329">
        <v>44255</v>
      </c>
      <c r="M1315" s="332">
        <v>0</v>
      </c>
    </row>
    <row r="1316" spans="1:13" hidden="1" x14ac:dyDescent="0.25">
      <c r="A1316" s="329">
        <v>44255</v>
      </c>
      <c r="B1316" s="328" t="s">
        <v>1720</v>
      </c>
      <c r="C1316" s="328" t="s">
        <v>1060</v>
      </c>
      <c r="D1316" s="330">
        <v>9</v>
      </c>
      <c r="E1316" s="331">
        <v>-88</v>
      </c>
      <c r="F1316" s="331">
        <v>2123</v>
      </c>
      <c r="G1316" s="328" t="s">
        <v>1721</v>
      </c>
      <c r="H1316" s="328" t="s">
        <v>1733</v>
      </c>
      <c r="I1316" s="328" t="s">
        <v>110</v>
      </c>
      <c r="J1316" s="328" t="s">
        <v>757</v>
      </c>
      <c r="K1316" s="328" t="s">
        <v>741</v>
      </c>
      <c r="L1316" s="329">
        <v>44255</v>
      </c>
      <c r="M1316" s="332">
        <v>0</v>
      </c>
    </row>
    <row r="1317" spans="1:13" hidden="1" x14ac:dyDescent="0.25">
      <c r="A1317" s="329">
        <v>44255</v>
      </c>
      <c r="B1317" s="328" t="s">
        <v>1722</v>
      </c>
      <c r="C1317" s="328" t="s">
        <v>769</v>
      </c>
      <c r="D1317" s="330">
        <v>9</v>
      </c>
      <c r="E1317" s="331">
        <v>88</v>
      </c>
      <c r="F1317" s="331">
        <v>2211</v>
      </c>
      <c r="G1317" s="328" t="s">
        <v>1723</v>
      </c>
      <c r="H1317" s="328" t="s">
        <v>1733</v>
      </c>
      <c r="I1317" s="328" t="s">
        <v>110</v>
      </c>
      <c r="J1317" s="328" t="s">
        <v>757</v>
      </c>
      <c r="K1317" s="328" t="s">
        <v>770</v>
      </c>
      <c r="L1317" s="329">
        <v>44255</v>
      </c>
      <c r="M1317" s="332">
        <v>0</v>
      </c>
    </row>
    <row r="1318" spans="1:13" hidden="1" x14ac:dyDescent="0.25">
      <c r="A1318" s="329">
        <v>44286</v>
      </c>
      <c r="B1318" s="328" t="s">
        <v>1724</v>
      </c>
      <c r="C1318" s="328" t="s">
        <v>1060</v>
      </c>
      <c r="D1318" s="330">
        <v>9</v>
      </c>
      <c r="E1318" s="331">
        <v>110</v>
      </c>
      <c r="F1318" s="331">
        <v>2321</v>
      </c>
      <c r="G1318" s="328" t="s">
        <v>1725</v>
      </c>
      <c r="H1318" s="328" t="s">
        <v>1733</v>
      </c>
      <c r="I1318" s="328" t="s">
        <v>110</v>
      </c>
      <c r="J1318" s="328" t="s">
        <v>757</v>
      </c>
      <c r="K1318" s="328" t="s">
        <v>741</v>
      </c>
      <c r="L1318" s="329">
        <v>44286</v>
      </c>
      <c r="M1318" s="332">
        <v>0</v>
      </c>
    </row>
    <row r="1319" spans="1:13" hidden="1" x14ac:dyDescent="0.25">
      <c r="A1319" s="329">
        <v>44286</v>
      </c>
      <c r="B1319" s="328" t="s">
        <v>1726</v>
      </c>
      <c r="C1319" s="328" t="s">
        <v>769</v>
      </c>
      <c r="D1319" s="330">
        <v>10</v>
      </c>
      <c r="E1319" s="331">
        <v>110</v>
      </c>
      <c r="F1319" s="331">
        <v>2431</v>
      </c>
      <c r="G1319" s="328" t="s">
        <v>1727</v>
      </c>
      <c r="H1319" s="328" t="s">
        <v>1733</v>
      </c>
      <c r="I1319" s="328" t="s">
        <v>110</v>
      </c>
      <c r="J1319" s="328" t="s">
        <v>757</v>
      </c>
      <c r="K1319" s="328" t="s">
        <v>770</v>
      </c>
      <c r="L1319" s="329">
        <v>44286</v>
      </c>
      <c r="M1319" s="332">
        <v>0</v>
      </c>
    </row>
    <row r="1320" spans="1:13" hidden="1" x14ac:dyDescent="0.25">
      <c r="A1320" s="329">
        <v>44286</v>
      </c>
      <c r="B1320" s="328" t="s">
        <v>1724</v>
      </c>
      <c r="C1320" s="328" t="s">
        <v>1060</v>
      </c>
      <c r="D1320" s="330">
        <v>10</v>
      </c>
      <c r="E1320" s="331">
        <v>-110</v>
      </c>
      <c r="F1320" s="331">
        <v>2321</v>
      </c>
      <c r="G1320" s="328" t="s">
        <v>1725</v>
      </c>
      <c r="H1320" s="328" t="s">
        <v>1733</v>
      </c>
      <c r="I1320" s="328" t="s">
        <v>110</v>
      </c>
      <c r="J1320" s="328" t="s">
        <v>757</v>
      </c>
      <c r="K1320" s="328" t="s">
        <v>741</v>
      </c>
      <c r="L1320" s="329">
        <v>44286</v>
      </c>
      <c r="M1320" s="332">
        <v>0</v>
      </c>
    </row>
    <row r="1321" spans="1:13" hidden="1" x14ac:dyDescent="0.25">
      <c r="A1321" s="329">
        <v>44316</v>
      </c>
      <c r="B1321" s="328" t="s">
        <v>1728</v>
      </c>
      <c r="C1321" s="328" t="s">
        <v>1060</v>
      </c>
      <c r="D1321" s="330">
        <v>10</v>
      </c>
      <c r="E1321" s="331">
        <v>49.5</v>
      </c>
      <c r="F1321" s="331">
        <v>2370.5</v>
      </c>
      <c r="G1321" s="328" t="s">
        <v>1729</v>
      </c>
      <c r="H1321" s="328" t="s">
        <v>1733</v>
      </c>
      <c r="I1321" s="328" t="s">
        <v>110</v>
      </c>
      <c r="J1321" s="328" t="s">
        <v>757</v>
      </c>
      <c r="K1321" s="328" t="s">
        <v>741</v>
      </c>
      <c r="L1321" s="329">
        <v>44316</v>
      </c>
      <c r="M1321" s="332">
        <v>0</v>
      </c>
    </row>
    <row r="1322" spans="1:13" hidden="1" x14ac:dyDescent="0.25">
      <c r="A1322" s="329">
        <v>44012</v>
      </c>
      <c r="B1322" s="328" t="s">
        <v>1678</v>
      </c>
      <c r="C1322" s="328" t="s">
        <v>769</v>
      </c>
      <c r="D1322" s="330">
        <v>1</v>
      </c>
      <c r="E1322" s="331">
        <v>22</v>
      </c>
      <c r="F1322" s="331">
        <v>2392.5</v>
      </c>
      <c r="G1322" s="328" t="s">
        <v>1679</v>
      </c>
      <c r="H1322" s="328" t="s">
        <v>1734</v>
      </c>
      <c r="I1322" s="328" t="s">
        <v>110</v>
      </c>
      <c r="J1322" s="328" t="s">
        <v>757</v>
      </c>
      <c r="K1322" s="328" t="s">
        <v>770</v>
      </c>
      <c r="L1322" s="329">
        <v>44012</v>
      </c>
      <c r="M1322" s="332">
        <v>0</v>
      </c>
    </row>
    <row r="1323" spans="1:13" hidden="1" x14ac:dyDescent="0.25">
      <c r="A1323" s="329">
        <v>44012</v>
      </c>
      <c r="B1323" s="328" t="s">
        <v>1681</v>
      </c>
      <c r="C1323" s="328" t="s">
        <v>1059</v>
      </c>
      <c r="D1323" s="330">
        <v>1</v>
      </c>
      <c r="E1323" s="331">
        <v>-22</v>
      </c>
      <c r="F1323" s="331">
        <v>2370.5</v>
      </c>
      <c r="G1323" s="328" t="s">
        <v>1682</v>
      </c>
      <c r="H1323" s="328" t="s">
        <v>1734</v>
      </c>
      <c r="I1323" s="328" t="s">
        <v>110</v>
      </c>
      <c r="J1323" s="328" t="s">
        <v>757</v>
      </c>
      <c r="K1323" s="328" t="s">
        <v>741</v>
      </c>
      <c r="L1323" s="329">
        <v>44012</v>
      </c>
      <c r="M1323" s="332">
        <v>0</v>
      </c>
    </row>
    <row r="1324" spans="1:13" hidden="1" x14ac:dyDescent="0.25">
      <c r="A1324" s="329">
        <v>44043</v>
      </c>
      <c r="B1324" s="328" t="s">
        <v>1685</v>
      </c>
      <c r="C1324" s="328" t="s">
        <v>1060</v>
      </c>
      <c r="D1324" s="330">
        <v>1</v>
      </c>
      <c r="E1324" s="331">
        <v>27.5</v>
      </c>
      <c r="F1324" s="331">
        <v>2398</v>
      </c>
      <c r="G1324" s="328" t="s">
        <v>1686</v>
      </c>
      <c r="H1324" s="328" t="s">
        <v>1734</v>
      </c>
      <c r="I1324" s="328" t="s">
        <v>110</v>
      </c>
      <c r="J1324" s="328" t="s">
        <v>757</v>
      </c>
      <c r="K1324" s="328" t="s">
        <v>741</v>
      </c>
      <c r="L1324" s="329">
        <v>44043</v>
      </c>
      <c r="M1324" s="332">
        <v>0</v>
      </c>
    </row>
    <row r="1325" spans="1:13" hidden="1" x14ac:dyDescent="0.25">
      <c r="A1325" s="329">
        <v>44043</v>
      </c>
      <c r="B1325" s="328" t="s">
        <v>1688</v>
      </c>
      <c r="C1325" s="328" t="s">
        <v>1060</v>
      </c>
      <c r="D1325" s="330">
        <v>1</v>
      </c>
      <c r="E1325" s="331">
        <v>-27.5</v>
      </c>
      <c r="F1325" s="331">
        <v>2370.5</v>
      </c>
      <c r="G1325" s="328" t="s">
        <v>1686</v>
      </c>
      <c r="H1325" s="328" t="s">
        <v>1734</v>
      </c>
      <c r="I1325" s="328" t="s">
        <v>110</v>
      </c>
      <c r="J1325" s="328" t="s">
        <v>757</v>
      </c>
      <c r="K1325" s="328" t="s">
        <v>741</v>
      </c>
      <c r="L1325" s="329">
        <v>44043</v>
      </c>
      <c r="M1325" s="332">
        <v>0</v>
      </c>
    </row>
    <row r="1326" spans="1:13" hidden="1" x14ac:dyDescent="0.25">
      <c r="A1326" s="329">
        <v>44043</v>
      </c>
      <c r="B1326" s="328" t="s">
        <v>1689</v>
      </c>
      <c r="C1326" s="328" t="s">
        <v>1060</v>
      </c>
      <c r="D1326" s="330">
        <v>1</v>
      </c>
      <c r="E1326" s="331">
        <v>27.5</v>
      </c>
      <c r="F1326" s="331">
        <v>2398</v>
      </c>
      <c r="G1326" s="328" t="s">
        <v>1686</v>
      </c>
      <c r="H1326" s="328" t="s">
        <v>1734</v>
      </c>
      <c r="I1326" s="328" t="s">
        <v>110</v>
      </c>
      <c r="J1326" s="328" t="s">
        <v>757</v>
      </c>
      <c r="K1326" s="328" t="s">
        <v>741</v>
      </c>
      <c r="L1326" s="329">
        <v>44043</v>
      </c>
      <c r="M1326" s="332">
        <v>0</v>
      </c>
    </row>
    <row r="1327" spans="1:13" hidden="1" x14ac:dyDescent="0.25">
      <c r="A1327" s="329">
        <v>44043</v>
      </c>
      <c r="B1327" s="328" t="s">
        <v>1691</v>
      </c>
      <c r="C1327" s="328" t="s">
        <v>769</v>
      </c>
      <c r="D1327" s="330">
        <v>2</v>
      </c>
      <c r="E1327" s="331">
        <v>27.5</v>
      </c>
      <c r="F1327" s="331">
        <v>2425.5</v>
      </c>
      <c r="G1327" s="328" t="s">
        <v>1692</v>
      </c>
      <c r="H1327" s="328" t="s">
        <v>1734</v>
      </c>
      <c r="I1327" s="328" t="s">
        <v>110</v>
      </c>
      <c r="J1327" s="328" t="s">
        <v>757</v>
      </c>
      <c r="K1327" s="328" t="s">
        <v>770</v>
      </c>
      <c r="L1327" s="329">
        <v>44043</v>
      </c>
      <c r="M1327" s="332">
        <v>0</v>
      </c>
    </row>
    <row r="1328" spans="1:13" hidden="1" x14ac:dyDescent="0.25">
      <c r="A1328" s="329">
        <v>44043</v>
      </c>
      <c r="B1328" s="328" t="s">
        <v>1685</v>
      </c>
      <c r="C1328" s="328" t="s">
        <v>1060</v>
      </c>
      <c r="D1328" s="330">
        <v>2</v>
      </c>
      <c r="E1328" s="331">
        <v>-27.5</v>
      </c>
      <c r="F1328" s="331">
        <v>2398</v>
      </c>
      <c r="G1328" s="328" t="s">
        <v>1686</v>
      </c>
      <c r="H1328" s="328" t="s">
        <v>1734</v>
      </c>
      <c r="I1328" s="328" t="s">
        <v>110</v>
      </c>
      <c r="J1328" s="328" t="s">
        <v>757</v>
      </c>
      <c r="K1328" s="328" t="s">
        <v>741</v>
      </c>
      <c r="L1328" s="329">
        <v>44043</v>
      </c>
      <c r="M1328" s="332">
        <v>0</v>
      </c>
    </row>
    <row r="1329" spans="1:13" hidden="1" x14ac:dyDescent="0.25">
      <c r="A1329" s="329">
        <v>44043</v>
      </c>
      <c r="B1329" s="328" t="s">
        <v>1688</v>
      </c>
      <c r="C1329" s="328" t="s">
        <v>1060</v>
      </c>
      <c r="D1329" s="330">
        <v>2</v>
      </c>
      <c r="E1329" s="331">
        <v>27.5</v>
      </c>
      <c r="F1329" s="331">
        <v>2425.5</v>
      </c>
      <c r="G1329" s="328" t="s">
        <v>1686</v>
      </c>
      <c r="H1329" s="328" t="s">
        <v>1734</v>
      </c>
      <c r="I1329" s="328" t="s">
        <v>110</v>
      </c>
      <c r="J1329" s="328" t="s">
        <v>757</v>
      </c>
      <c r="K1329" s="328" t="s">
        <v>741</v>
      </c>
      <c r="L1329" s="329">
        <v>44043</v>
      </c>
      <c r="M1329" s="332">
        <v>0</v>
      </c>
    </row>
    <row r="1330" spans="1:13" hidden="1" x14ac:dyDescent="0.25">
      <c r="A1330" s="329">
        <v>44043</v>
      </c>
      <c r="B1330" s="328" t="s">
        <v>1689</v>
      </c>
      <c r="C1330" s="328" t="s">
        <v>1060</v>
      </c>
      <c r="D1330" s="330">
        <v>2</v>
      </c>
      <c r="E1330" s="331">
        <v>-27.5</v>
      </c>
      <c r="F1330" s="331">
        <v>2398</v>
      </c>
      <c r="G1330" s="328" t="s">
        <v>1686</v>
      </c>
      <c r="H1330" s="328" t="s">
        <v>1734</v>
      </c>
      <c r="I1330" s="328" t="s">
        <v>110</v>
      </c>
      <c r="J1330" s="328" t="s">
        <v>757</v>
      </c>
      <c r="K1330" s="328" t="s">
        <v>741</v>
      </c>
      <c r="L1330" s="329">
        <v>44043</v>
      </c>
      <c r="M1330" s="332">
        <v>0</v>
      </c>
    </row>
    <row r="1331" spans="1:13" hidden="1" x14ac:dyDescent="0.25">
      <c r="A1331" s="329">
        <v>44074</v>
      </c>
      <c r="B1331" s="328" t="s">
        <v>1695</v>
      </c>
      <c r="C1331" s="328" t="s">
        <v>1060</v>
      </c>
      <c r="D1331" s="330">
        <v>2</v>
      </c>
      <c r="E1331" s="331">
        <v>22</v>
      </c>
      <c r="F1331" s="331">
        <v>2420</v>
      </c>
      <c r="G1331" s="328" t="s">
        <v>1696</v>
      </c>
      <c r="H1331" s="328" t="s">
        <v>1734</v>
      </c>
      <c r="I1331" s="328" t="s">
        <v>110</v>
      </c>
      <c r="J1331" s="328" t="s">
        <v>757</v>
      </c>
      <c r="K1331" s="328" t="s">
        <v>741</v>
      </c>
      <c r="L1331" s="329">
        <v>44074</v>
      </c>
      <c r="M1331" s="332">
        <v>0</v>
      </c>
    </row>
    <row r="1332" spans="1:13" hidden="1" x14ac:dyDescent="0.25">
      <c r="A1332" s="329">
        <v>44074</v>
      </c>
      <c r="B1332" s="328" t="s">
        <v>1697</v>
      </c>
      <c r="C1332" s="328" t="s">
        <v>769</v>
      </c>
      <c r="D1332" s="330">
        <v>3</v>
      </c>
      <c r="E1332" s="331">
        <v>22</v>
      </c>
      <c r="F1332" s="331">
        <v>2442</v>
      </c>
      <c r="G1332" s="328" t="s">
        <v>1698</v>
      </c>
      <c r="H1332" s="328" t="s">
        <v>1734</v>
      </c>
      <c r="I1332" s="328" t="s">
        <v>110</v>
      </c>
      <c r="J1332" s="328" t="s">
        <v>757</v>
      </c>
      <c r="K1332" s="328" t="s">
        <v>770</v>
      </c>
      <c r="L1332" s="329">
        <v>44074</v>
      </c>
      <c r="M1332" s="332">
        <v>0</v>
      </c>
    </row>
    <row r="1333" spans="1:13" hidden="1" x14ac:dyDescent="0.25">
      <c r="A1333" s="329">
        <v>44074</v>
      </c>
      <c r="B1333" s="328" t="s">
        <v>1695</v>
      </c>
      <c r="C1333" s="328" t="s">
        <v>1060</v>
      </c>
      <c r="D1333" s="330">
        <v>3</v>
      </c>
      <c r="E1333" s="331">
        <v>-22</v>
      </c>
      <c r="F1333" s="331">
        <v>2420</v>
      </c>
      <c r="G1333" s="328" t="s">
        <v>1696</v>
      </c>
      <c r="H1333" s="328" t="s">
        <v>1734</v>
      </c>
      <c r="I1333" s="328" t="s">
        <v>110</v>
      </c>
      <c r="J1333" s="328" t="s">
        <v>757</v>
      </c>
      <c r="K1333" s="328" t="s">
        <v>741</v>
      </c>
      <c r="L1333" s="329">
        <v>44074</v>
      </c>
      <c r="M1333" s="332">
        <v>0</v>
      </c>
    </row>
    <row r="1334" spans="1:13" hidden="1" x14ac:dyDescent="0.25">
      <c r="A1334" s="329">
        <v>44104</v>
      </c>
      <c r="B1334" s="328" t="s">
        <v>1699</v>
      </c>
      <c r="C1334" s="328" t="s">
        <v>1060</v>
      </c>
      <c r="D1334" s="330">
        <v>3</v>
      </c>
      <c r="E1334" s="331">
        <v>66</v>
      </c>
      <c r="F1334" s="331">
        <v>2486</v>
      </c>
      <c r="G1334" s="328" t="s">
        <v>1700</v>
      </c>
      <c r="H1334" s="328" t="s">
        <v>1734</v>
      </c>
      <c r="I1334" s="328" t="s">
        <v>110</v>
      </c>
      <c r="J1334" s="328" t="s">
        <v>757</v>
      </c>
      <c r="K1334" s="328" t="s">
        <v>741</v>
      </c>
      <c r="L1334" s="329">
        <v>44104</v>
      </c>
      <c r="M1334" s="332">
        <v>0</v>
      </c>
    </row>
    <row r="1335" spans="1:13" hidden="1" x14ac:dyDescent="0.25">
      <c r="A1335" s="329">
        <v>44104</v>
      </c>
      <c r="B1335" s="328" t="s">
        <v>1699</v>
      </c>
      <c r="C1335" s="328" t="s">
        <v>1060</v>
      </c>
      <c r="D1335" s="330">
        <v>4</v>
      </c>
      <c r="E1335" s="331">
        <v>-66</v>
      </c>
      <c r="F1335" s="331">
        <v>2420</v>
      </c>
      <c r="G1335" s="328" t="s">
        <v>1700</v>
      </c>
      <c r="H1335" s="328" t="s">
        <v>1734</v>
      </c>
      <c r="I1335" s="328" t="s">
        <v>110</v>
      </c>
      <c r="J1335" s="328" t="s">
        <v>757</v>
      </c>
      <c r="K1335" s="328" t="s">
        <v>741</v>
      </c>
      <c r="L1335" s="329">
        <v>44104</v>
      </c>
      <c r="M1335" s="332">
        <v>0</v>
      </c>
    </row>
    <row r="1336" spans="1:13" hidden="1" x14ac:dyDescent="0.25">
      <c r="A1336" s="329">
        <v>44105</v>
      </c>
      <c r="B1336" s="328" t="s">
        <v>1701</v>
      </c>
      <c r="C1336" s="328" t="s">
        <v>769</v>
      </c>
      <c r="D1336" s="330">
        <v>4</v>
      </c>
      <c r="E1336" s="331">
        <v>66</v>
      </c>
      <c r="F1336" s="331">
        <v>2486</v>
      </c>
      <c r="G1336" s="328" t="s">
        <v>1702</v>
      </c>
      <c r="H1336" s="328" t="s">
        <v>1734</v>
      </c>
      <c r="I1336" s="328" t="s">
        <v>110</v>
      </c>
      <c r="J1336" s="328" t="s">
        <v>757</v>
      </c>
      <c r="K1336" s="328" t="s">
        <v>770</v>
      </c>
      <c r="L1336" s="329">
        <v>44105</v>
      </c>
      <c r="M1336" s="332">
        <v>0</v>
      </c>
    </row>
    <row r="1337" spans="1:13" hidden="1" x14ac:dyDescent="0.25">
      <c r="A1337" s="329">
        <v>44135</v>
      </c>
      <c r="B1337" s="328" t="s">
        <v>1703</v>
      </c>
      <c r="C1337" s="328" t="s">
        <v>1060</v>
      </c>
      <c r="D1337" s="330">
        <v>4</v>
      </c>
      <c r="E1337" s="331">
        <v>22</v>
      </c>
      <c r="F1337" s="331">
        <v>2508</v>
      </c>
      <c r="G1337" s="328" t="s">
        <v>1704</v>
      </c>
      <c r="H1337" s="328" t="s">
        <v>1734</v>
      </c>
      <c r="I1337" s="328" t="s">
        <v>110</v>
      </c>
      <c r="J1337" s="328" t="s">
        <v>757</v>
      </c>
      <c r="K1337" s="328" t="s">
        <v>741</v>
      </c>
      <c r="L1337" s="329">
        <v>44135</v>
      </c>
      <c r="M1337" s="332">
        <v>0</v>
      </c>
    </row>
    <row r="1338" spans="1:13" hidden="1" x14ac:dyDescent="0.25">
      <c r="A1338" s="329">
        <v>44135</v>
      </c>
      <c r="B1338" s="328" t="s">
        <v>1703</v>
      </c>
      <c r="C1338" s="328" t="s">
        <v>1060</v>
      </c>
      <c r="D1338" s="330">
        <v>5</v>
      </c>
      <c r="E1338" s="331">
        <v>-22</v>
      </c>
      <c r="F1338" s="331">
        <v>2486</v>
      </c>
      <c r="G1338" s="328" t="s">
        <v>1704</v>
      </c>
      <c r="H1338" s="328" t="s">
        <v>1734</v>
      </c>
      <c r="I1338" s="328" t="s">
        <v>110</v>
      </c>
      <c r="J1338" s="328" t="s">
        <v>757</v>
      </c>
      <c r="K1338" s="328" t="s">
        <v>741</v>
      </c>
      <c r="L1338" s="329">
        <v>44135</v>
      </c>
      <c r="M1338" s="332">
        <v>0</v>
      </c>
    </row>
    <row r="1339" spans="1:13" hidden="1" x14ac:dyDescent="0.25">
      <c r="A1339" s="329">
        <v>44135</v>
      </c>
      <c r="B1339" s="328" t="s">
        <v>1705</v>
      </c>
      <c r="C1339" s="328" t="s">
        <v>769</v>
      </c>
      <c r="D1339" s="330">
        <v>5</v>
      </c>
      <c r="E1339" s="331">
        <v>22</v>
      </c>
      <c r="F1339" s="331">
        <v>2508</v>
      </c>
      <c r="G1339" s="328" t="s">
        <v>1706</v>
      </c>
      <c r="H1339" s="328" t="s">
        <v>1734</v>
      </c>
      <c r="I1339" s="328" t="s">
        <v>110</v>
      </c>
      <c r="J1339" s="328" t="s">
        <v>757</v>
      </c>
      <c r="K1339" s="328" t="s">
        <v>770</v>
      </c>
      <c r="L1339" s="329">
        <v>44135</v>
      </c>
      <c r="M1339" s="332">
        <v>0</v>
      </c>
    </row>
    <row r="1340" spans="1:13" hidden="1" x14ac:dyDescent="0.25">
      <c r="A1340" s="329">
        <v>44165</v>
      </c>
      <c r="B1340" s="328" t="s">
        <v>1707</v>
      </c>
      <c r="C1340" s="328" t="s">
        <v>1060</v>
      </c>
      <c r="D1340" s="330">
        <v>5</v>
      </c>
      <c r="E1340" s="331">
        <v>22</v>
      </c>
      <c r="F1340" s="331">
        <v>2530</v>
      </c>
      <c r="G1340" s="328" t="s">
        <v>1708</v>
      </c>
      <c r="H1340" s="328" t="s">
        <v>1734</v>
      </c>
      <c r="I1340" s="328" t="s">
        <v>110</v>
      </c>
      <c r="J1340" s="328" t="s">
        <v>757</v>
      </c>
      <c r="K1340" s="328" t="s">
        <v>741</v>
      </c>
      <c r="L1340" s="329">
        <v>44165</v>
      </c>
      <c r="M1340" s="332">
        <v>0</v>
      </c>
    </row>
    <row r="1341" spans="1:13" hidden="1" x14ac:dyDescent="0.25">
      <c r="A1341" s="329">
        <v>44165</v>
      </c>
      <c r="B1341" s="328" t="s">
        <v>1707</v>
      </c>
      <c r="C1341" s="328" t="s">
        <v>1060</v>
      </c>
      <c r="D1341" s="330">
        <v>6</v>
      </c>
      <c r="E1341" s="331">
        <v>-22</v>
      </c>
      <c r="F1341" s="331">
        <v>2508</v>
      </c>
      <c r="G1341" s="328" t="s">
        <v>1708</v>
      </c>
      <c r="H1341" s="328" t="s">
        <v>1734</v>
      </c>
      <c r="I1341" s="328" t="s">
        <v>110</v>
      </c>
      <c r="J1341" s="328" t="s">
        <v>757</v>
      </c>
      <c r="K1341" s="328" t="s">
        <v>741</v>
      </c>
      <c r="L1341" s="329">
        <v>44165</v>
      </c>
      <c r="M1341" s="332">
        <v>0</v>
      </c>
    </row>
    <row r="1342" spans="1:13" hidden="1" x14ac:dyDescent="0.25">
      <c r="A1342" s="329">
        <v>44165</v>
      </c>
      <c r="B1342" s="328" t="s">
        <v>1709</v>
      </c>
      <c r="C1342" s="328" t="s">
        <v>769</v>
      </c>
      <c r="D1342" s="330">
        <v>6</v>
      </c>
      <c r="E1342" s="331">
        <v>22</v>
      </c>
      <c r="F1342" s="331">
        <v>2530</v>
      </c>
      <c r="G1342" s="328" t="s">
        <v>1710</v>
      </c>
      <c r="H1342" s="328" t="s">
        <v>1734</v>
      </c>
      <c r="I1342" s="328" t="s">
        <v>110</v>
      </c>
      <c r="J1342" s="328" t="s">
        <v>757</v>
      </c>
      <c r="K1342" s="328" t="s">
        <v>770</v>
      </c>
      <c r="L1342" s="329">
        <v>44165</v>
      </c>
      <c r="M1342" s="332">
        <v>0</v>
      </c>
    </row>
    <row r="1343" spans="1:13" hidden="1" x14ac:dyDescent="0.25">
      <c r="A1343" s="329">
        <v>44196</v>
      </c>
      <c r="B1343" s="328" t="s">
        <v>1711</v>
      </c>
      <c r="C1343" s="328" t="s">
        <v>1060</v>
      </c>
      <c r="D1343" s="330">
        <v>6</v>
      </c>
      <c r="E1343" s="331">
        <v>60.5</v>
      </c>
      <c r="F1343" s="331">
        <v>2590.5</v>
      </c>
      <c r="G1343" s="328" t="s">
        <v>1712</v>
      </c>
      <c r="H1343" s="328" t="s">
        <v>1734</v>
      </c>
      <c r="I1343" s="328" t="s">
        <v>110</v>
      </c>
      <c r="J1343" s="328" t="s">
        <v>757</v>
      </c>
      <c r="K1343" s="328" t="s">
        <v>741</v>
      </c>
      <c r="L1343" s="329">
        <v>44196</v>
      </c>
      <c r="M1343" s="332">
        <v>0</v>
      </c>
    </row>
    <row r="1344" spans="1:13" hidden="1" x14ac:dyDescent="0.25">
      <c r="A1344" s="329">
        <v>44196</v>
      </c>
      <c r="B1344" s="328" t="s">
        <v>1711</v>
      </c>
      <c r="C1344" s="328" t="s">
        <v>1060</v>
      </c>
      <c r="D1344" s="330">
        <v>7</v>
      </c>
      <c r="E1344" s="331">
        <v>-60.5</v>
      </c>
      <c r="F1344" s="331">
        <v>2530</v>
      </c>
      <c r="G1344" s="328" t="s">
        <v>1712</v>
      </c>
      <c r="H1344" s="328" t="s">
        <v>1734</v>
      </c>
      <c r="I1344" s="328" t="s">
        <v>110</v>
      </c>
      <c r="J1344" s="328" t="s">
        <v>757</v>
      </c>
      <c r="K1344" s="328" t="s">
        <v>741</v>
      </c>
      <c r="L1344" s="329">
        <v>44196</v>
      </c>
      <c r="M1344" s="332">
        <v>0</v>
      </c>
    </row>
    <row r="1345" spans="1:13" hidden="1" x14ac:dyDescent="0.25">
      <c r="A1345" s="329">
        <v>44196</v>
      </c>
      <c r="B1345" s="328" t="s">
        <v>1713</v>
      </c>
      <c r="C1345" s="328" t="s">
        <v>769</v>
      </c>
      <c r="D1345" s="330">
        <v>7</v>
      </c>
      <c r="E1345" s="331">
        <v>60.5</v>
      </c>
      <c r="F1345" s="331">
        <v>2590.5</v>
      </c>
      <c r="G1345" s="328" t="s">
        <v>1714</v>
      </c>
      <c r="H1345" s="328" t="s">
        <v>1734</v>
      </c>
      <c r="I1345" s="328" t="s">
        <v>110</v>
      </c>
      <c r="J1345" s="328" t="s">
        <v>757</v>
      </c>
      <c r="K1345" s="328" t="s">
        <v>770</v>
      </c>
      <c r="L1345" s="329">
        <v>44196</v>
      </c>
      <c r="M1345" s="332">
        <v>0</v>
      </c>
    </row>
    <row r="1346" spans="1:13" hidden="1" x14ac:dyDescent="0.25">
      <c r="A1346" s="329">
        <v>44227</v>
      </c>
      <c r="B1346" s="328" t="s">
        <v>1715</v>
      </c>
      <c r="C1346" s="328" t="s">
        <v>1060</v>
      </c>
      <c r="D1346" s="330">
        <v>7</v>
      </c>
      <c r="E1346" s="331">
        <v>60.5</v>
      </c>
      <c r="F1346" s="331">
        <v>2651</v>
      </c>
      <c r="G1346" s="328" t="s">
        <v>1716</v>
      </c>
      <c r="H1346" s="328" t="s">
        <v>1734</v>
      </c>
      <c r="I1346" s="328" t="s">
        <v>110</v>
      </c>
      <c r="J1346" s="328" t="s">
        <v>757</v>
      </c>
      <c r="K1346" s="328" t="s">
        <v>741</v>
      </c>
      <c r="L1346" s="329">
        <v>44227</v>
      </c>
      <c r="M1346" s="332">
        <v>0</v>
      </c>
    </row>
    <row r="1347" spans="1:13" hidden="1" x14ac:dyDescent="0.25">
      <c r="A1347" s="329">
        <v>44227</v>
      </c>
      <c r="B1347" s="328" t="s">
        <v>1715</v>
      </c>
      <c r="C1347" s="328" t="s">
        <v>1060</v>
      </c>
      <c r="D1347" s="330">
        <v>8</v>
      </c>
      <c r="E1347" s="331">
        <v>-60.5</v>
      </c>
      <c r="F1347" s="331">
        <v>2590.5</v>
      </c>
      <c r="G1347" s="328" t="s">
        <v>1716</v>
      </c>
      <c r="H1347" s="328" t="s">
        <v>1734</v>
      </c>
      <c r="I1347" s="328" t="s">
        <v>110</v>
      </c>
      <c r="J1347" s="328" t="s">
        <v>757</v>
      </c>
      <c r="K1347" s="328" t="s">
        <v>741</v>
      </c>
      <c r="L1347" s="329">
        <v>44227</v>
      </c>
      <c r="M1347" s="332">
        <v>0</v>
      </c>
    </row>
    <row r="1348" spans="1:13" hidden="1" x14ac:dyDescent="0.25">
      <c r="A1348" s="329">
        <v>44227</v>
      </c>
      <c r="B1348" s="328" t="s">
        <v>1717</v>
      </c>
      <c r="C1348" s="328" t="s">
        <v>769</v>
      </c>
      <c r="D1348" s="330">
        <v>8</v>
      </c>
      <c r="E1348" s="331">
        <v>60.5</v>
      </c>
      <c r="F1348" s="331">
        <v>2651</v>
      </c>
      <c r="G1348" s="328" t="s">
        <v>1718</v>
      </c>
      <c r="H1348" s="328" t="s">
        <v>1734</v>
      </c>
      <c r="I1348" s="328" t="s">
        <v>110</v>
      </c>
      <c r="J1348" s="328" t="s">
        <v>757</v>
      </c>
      <c r="K1348" s="328" t="s">
        <v>770</v>
      </c>
      <c r="L1348" s="329">
        <v>44227</v>
      </c>
      <c r="M1348" s="332">
        <v>0</v>
      </c>
    </row>
    <row r="1349" spans="1:13" hidden="1" x14ac:dyDescent="0.25">
      <c r="A1349" s="329">
        <v>44255</v>
      </c>
      <c r="B1349" s="328" t="s">
        <v>1720</v>
      </c>
      <c r="C1349" s="328" t="s">
        <v>1060</v>
      </c>
      <c r="D1349" s="330">
        <v>8</v>
      </c>
      <c r="E1349" s="331">
        <v>82.5</v>
      </c>
      <c r="F1349" s="331">
        <v>2733.5</v>
      </c>
      <c r="G1349" s="328" t="s">
        <v>1721</v>
      </c>
      <c r="H1349" s="328" t="s">
        <v>1734</v>
      </c>
      <c r="I1349" s="328" t="s">
        <v>110</v>
      </c>
      <c r="J1349" s="328" t="s">
        <v>757</v>
      </c>
      <c r="K1349" s="328" t="s">
        <v>741</v>
      </c>
      <c r="L1349" s="329">
        <v>44255</v>
      </c>
      <c r="M1349" s="332">
        <v>0</v>
      </c>
    </row>
    <row r="1350" spans="1:13" hidden="1" x14ac:dyDescent="0.25">
      <c r="A1350" s="329">
        <v>44255</v>
      </c>
      <c r="B1350" s="328" t="s">
        <v>1720</v>
      </c>
      <c r="C1350" s="328" t="s">
        <v>1060</v>
      </c>
      <c r="D1350" s="330">
        <v>9</v>
      </c>
      <c r="E1350" s="331">
        <v>-82.5</v>
      </c>
      <c r="F1350" s="331">
        <v>2651</v>
      </c>
      <c r="G1350" s="328" t="s">
        <v>1721</v>
      </c>
      <c r="H1350" s="328" t="s">
        <v>1734</v>
      </c>
      <c r="I1350" s="328" t="s">
        <v>110</v>
      </c>
      <c r="J1350" s="328" t="s">
        <v>757</v>
      </c>
      <c r="K1350" s="328" t="s">
        <v>741</v>
      </c>
      <c r="L1350" s="329">
        <v>44255</v>
      </c>
      <c r="M1350" s="332">
        <v>0</v>
      </c>
    </row>
    <row r="1351" spans="1:13" hidden="1" x14ac:dyDescent="0.25">
      <c r="A1351" s="329">
        <v>44255</v>
      </c>
      <c r="B1351" s="328" t="s">
        <v>1722</v>
      </c>
      <c r="C1351" s="328" t="s">
        <v>769</v>
      </c>
      <c r="D1351" s="330">
        <v>9</v>
      </c>
      <c r="E1351" s="331">
        <v>82.5</v>
      </c>
      <c r="F1351" s="331">
        <v>2733.5</v>
      </c>
      <c r="G1351" s="328" t="s">
        <v>1723</v>
      </c>
      <c r="H1351" s="328" t="s">
        <v>1734</v>
      </c>
      <c r="I1351" s="328" t="s">
        <v>110</v>
      </c>
      <c r="J1351" s="328" t="s">
        <v>757</v>
      </c>
      <c r="K1351" s="328" t="s">
        <v>770</v>
      </c>
      <c r="L1351" s="329">
        <v>44255</v>
      </c>
      <c r="M1351" s="332">
        <v>0</v>
      </c>
    </row>
    <row r="1352" spans="1:13" hidden="1" x14ac:dyDescent="0.25">
      <c r="A1352" s="329">
        <v>44286</v>
      </c>
      <c r="B1352" s="328" t="s">
        <v>1724</v>
      </c>
      <c r="C1352" s="328" t="s">
        <v>1060</v>
      </c>
      <c r="D1352" s="330">
        <v>9</v>
      </c>
      <c r="E1352" s="331">
        <v>121</v>
      </c>
      <c r="F1352" s="331">
        <v>2854.5</v>
      </c>
      <c r="G1352" s="328" t="s">
        <v>1725</v>
      </c>
      <c r="H1352" s="328" t="s">
        <v>1734</v>
      </c>
      <c r="I1352" s="328" t="s">
        <v>110</v>
      </c>
      <c r="J1352" s="328" t="s">
        <v>757</v>
      </c>
      <c r="K1352" s="328" t="s">
        <v>741</v>
      </c>
      <c r="L1352" s="329">
        <v>44286</v>
      </c>
      <c r="M1352" s="332">
        <v>0</v>
      </c>
    </row>
    <row r="1353" spans="1:13" hidden="1" x14ac:dyDescent="0.25">
      <c r="A1353" s="329">
        <v>44286</v>
      </c>
      <c r="B1353" s="328" t="s">
        <v>1726</v>
      </c>
      <c r="C1353" s="328" t="s">
        <v>769</v>
      </c>
      <c r="D1353" s="330">
        <v>10</v>
      </c>
      <c r="E1353" s="331">
        <v>121</v>
      </c>
      <c r="F1353" s="331">
        <v>2975.5</v>
      </c>
      <c r="G1353" s="328" t="s">
        <v>1727</v>
      </c>
      <c r="H1353" s="328" t="s">
        <v>1734</v>
      </c>
      <c r="I1353" s="328" t="s">
        <v>110</v>
      </c>
      <c r="J1353" s="328" t="s">
        <v>757</v>
      </c>
      <c r="K1353" s="328" t="s">
        <v>770</v>
      </c>
      <c r="L1353" s="329">
        <v>44286</v>
      </c>
      <c r="M1353" s="332">
        <v>0</v>
      </c>
    </row>
    <row r="1354" spans="1:13" hidden="1" x14ac:dyDescent="0.25">
      <c r="A1354" s="329">
        <v>44286</v>
      </c>
      <c r="B1354" s="328" t="s">
        <v>1724</v>
      </c>
      <c r="C1354" s="328" t="s">
        <v>1060</v>
      </c>
      <c r="D1354" s="330">
        <v>10</v>
      </c>
      <c r="E1354" s="331">
        <v>-121</v>
      </c>
      <c r="F1354" s="331">
        <v>2854.5</v>
      </c>
      <c r="G1354" s="328" t="s">
        <v>1725</v>
      </c>
      <c r="H1354" s="328" t="s">
        <v>1734</v>
      </c>
      <c r="I1354" s="328" t="s">
        <v>110</v>
      </c>
      <c r="J1354" s="328" t="s">
        <v>757</v>
      </c>
      <c r="K1354" s="328" t="s">
        <v>741</v>
      </c>
      <c r="L1354" s="329">
        <v>44286</v>
      </c>
      <c r="M1354" s="332">
        <v>0</v>
      </c>
    </row>
    <row r="1355" spans="1:13" hidden="1" x14ac:dyDescent="0.25">
      <c r="A1355" s="329">
        <v>44316</v>
      </c>
      <c r="B1355" s="328" t="s">
        <v>1728</v>
      </c>
      <c r="C1355" s="328" t="s">
        <v>1060</v>
      </c>
      <c r="D1355" s="330">
        <v>10</v>
      </c>
      <c r="E1355" s="331">
        <v>99</v>
      </c>
      <c r="F1355" s="331">
        <v>2953.5</v>
      </c>
      <c r="G1355" s="328" t="s">
        <v>1729</v>
      </c>
      <c r="H1355" s="328" t="s">
        <v>1734</v>
      </c>
      <c r="I1355" s="328" t="s">
        <v>110</v>
      </c>
      <c r="J1355" s="328" t="s">
        <v>757</v>
      </c>
      <c r="K1355" s="328" t="s">
        <v>741</v>
      </c>
      <c r="L1355" s="329">
        <v>44316</v>
      </c>
      <c r="M1355" s="332">
        <v>0</v>
      </c>
    </row>
    <row r="1356" spans="1:13" hidden="1" x14ac:dyDescent="0.25">
      <c r="A1356" s="329">
        <v>44012</v>
      </c>
      <c r="B1356" s="328" t="s">
        <v>1678</v>
      </c>
      <c r="C1356" s="328" t="s">
        <v>769</v>
      </c>
      <c r="D1356" s="330">
        <v>1</v>
      </c>
      <c r="E1356" s="331">
        <v>247.5</v>
      </c>
      <c r="F1356" s="331">
        <v>3201</v>
      </c>
      <c r="G1356" s="328" t="s">
        <v>1679</v>
      </c>
      <c r="H1356" s="328" t="s">
        <v>1735</v>
      </c>
      <c r="I1356" s="328" t="s">
        <v>110</v>
      </c>
      <c r="J1356" s="328" t="s">
        <v>757</v>
      </c>
      <c r="K1356" s="328" t="s">
        <v>770</v>
      </c>
      <c r="L1356" s="329">
        <v>44012</v>
      </c>
      <c r="M1356" s="332">
        <v>0</v>
      </c>
    </row>
    <row r="1357" spans="1:13" hidden="1" x14ac:dyDescent="0.25">
      <c r="A1357" s="329">
        <v>44012</v>
      </c>
      <c r="B1357" s="328" t="s">
        <v>1681</v>
      </c>
      <c r="C1357" s="328" t="s">
        <v>1059</v>
      </c>
      <c r="D1357" s="330">
        <v>1</v>
      </c>
      <c r="E1357" s="331">
        <v>-187</v>
      </c>
      <c r="F1357" s="331">
        <v>3014</v>
      </c>
      <c r="G1357" s="328" t="s">
        <v>1682</v>
      </c>
      <c r="H1357" s="328" t="s">
        <v>1735</v>
      </c>
      <c r="I1357" s="328" t="s">
        <v>110</v>
      </c>
      <c r="J1357" s="328" t="s">
        <v>757</v>
      </c>
      <c r="K1357" s="328" t="s">
        <v>741</v>
      </c>
      <c r="L1357" s="329">
        <v>44012</v>
      </c>
      <c r="M1357" s="332">
        <v>0</v>
      </c>
    </row>
    <row r="1358" spans="1:13" hidden="1" x14ac:dyDescent="0.25">
      <c r="A1358" s="329">
        <v>44041</v>
      </c>
      <c r="B1358" s="328" t="s">
        <v>1683</v>
      </c>
      <c r="C1358" s="328" t="s">
        <v>936</v>
      </c>
      <c r="D1358" s="330">
        <v>1</v>
      </c>
      <c r="E1358" s="331">
        <v>-60.5</v>
      </c>
      <c r="F1358" s="331">
        <v>2953.5</v>
      </c>
      <c r="G1358" s="328" t="s">
        <v>1684</v>
      </c>
      <c r="H1358" s="328" t="s">
        <v>1735</v>
      </c>
      <c r="I1358" s="328" t="s">
        <v>110</v>
      </c>
      <c r="J1358" s="328" t="s">
        <v>757</v>
      </c>
      <c r="K1358" s="328" t="s">
        <v>770</v>
      </c>
      <c r="L1358" s="329">
        <v>44041</v>
      </c>
      <c r="M1358" s="332">
        <v>0</v>
      </c>
    </row>
    <row r="1359" spans="1:13" hidden="1" x14ac:dyDescent="0.25">
      <c r="A1359" s="329">
        <v>44043</v>
      </c>
      <c r="B1359" s="328" t="s">
        <v>1685</v>
      </c>
      <c r="C1359" s="328" t="s">
        <v>1060</v>
      </c>
      <c r="D1359" s="330">
        <v>1</v>
      </c>
      <c r="E1359" s="331">
        <v>231</v>
      </c>
      <c r="F1359" s="331">
        <v>3184.5</v>
      </c>
      <c r="G1359" s="328" t="s">
        <v>1686</v>
      </c>
      <c r="H1359" s="328" t="s">
        <v>1735</v>
      </c>
      <c r="I1359" s="328" t="s">
        <v>110</v>
      </c>
      <c r="J1359" s="328" t="s">
        <v>757</v>
      </c>
      <c r="K1359" s="328" t="s">
        <v>741</v>
      </c>
      <c r="L1359" s="329">
        <v>44043</v>
      </c>
      <c r="M1359" s="332">
        <v>0</v>
      </c>
    </row>
    <row r="1360" spans="1:13" hidden="1" x14ac:dyDescent="0.25">
      <c r="A1360" s="329">
        <v>44043</v>
      </c>
      <c r="B1360" s="328" t="s">
        <v>1685</v>
      </c>
      <c r="C1360" s="328" t="s">
        <v>1060</v>
      </c>
      <c r="D1360" s="330">
        <v>1</v>
      </c>
      <c r="E1360" s="331">
        <v>60.5</v>
      </c>
      <c r="F1360" s="331">
        <v>3245</v>
      </c>
      <c r="G1360" s="328" t="s">
        <v>1687</v>
      </c>
      <c r="H1360" s="328" t="s">
        <v>1735</v>
      </c>
      <c r="I1360" s="328" t="s">
        <v>110</v>
      </c>
      <c r="J1360" s="328" t="s">
        <v>757</v>
      </c>
      <c r="K1360" s="328" t="s">
        <v>741</v>
      </c>
      <c r="L1360" s="329">
        <v>44043</v>
      </c>
      <c r="M1360" s="332">
        <v>0</v>
      </c>
    </row>
    <row r="1361" spans="1:13" hidden="1" x14ac:dyDescent="0.25">
      <c r="A1361" s="329">
        <v>44043</v>
      </c>
      <c r="B1361" s="328" t="s">
        <v>1688</v>
      </c>
      <c r="C1361" s="328" t="s">
        <v>1060</v>
      </c>
      <c r="D1361" s="330">
        <v>1</v>
      </c>
      <c r="E1361" s="331">
        <v>-231</v>
      </c>
      <c r="F1361" s="331">
        <v>3014</v>
      </c>
      <c r="G1361" s="328" t="s">
        <v>1686</v>
      </c>
      <c r="H1361" s="328" t="s">
        <v>1735</v>
      </c>
      <c r="I1361" s="328" t="s">
        <v>110</v>
      </c>
      <c r="J1361" s="328" t="s">
        <v>757</v>
      </c>
      <c r="K1361" s="328" t="s">
        <v>741</v>
      </c>
      <c r="L1361" s="329">
        <v>44043</v>
      </c>
      <c r="M1361" s="332">
        <v>0</v>
      </c>
    </row>
    <row r="1362" spans="1:13" hidden="1" x14ac:dyDescent="0.25">
      <c r="A1362" s="329">
        <v>44043</v>
      </c>
      <c r="B1362" s="328" t="s">
        <v>1688</v>
      </c>
      <c r="C1362" s="328" t="s">
        <v>1060</v>
      </c>
      <c r="D1362" s="330">
        <v>1</v>
      </c>
      <c r="E1362" s="331">
        <v>-60.5</v>
      </c>
      <c r="F1362" s="331">
        <v>2953.5</v>
      </c>
      <c r="G1362" s="328" t="s">
        <v>1687</v>
      </c>
      <c r="H1362" s="328" t="s">
        <v>1735</v>
      </c>
      <c r="I1362" s="328" t="s">
        <v>110</v>
      </c>
      <c r="J1362" s="328" t="s">
        <v>757</v>
      </c>
      <c r="K1362" s="328" t="s">
        <v>741</v>
      </c>
      <c r="L1362" s="329">
        <v>44043</v>
      </c>
      <c r="M1362" s="332">
        <v>0</v>
      </c>
    </row>
    <row r="1363" spans="1:13" hidden="1" x14ac:dyDescent="0.25">
      <c r="A1363" s="329">
        <v>44043</v>
      </c>
      <c r="B1363" s="328" t="s">
        <v>1689</v>
      </c>
      <c r="C1363" s="328" t="s">
        <v>1060</v>
      </c>
      <c r="D1363" s="330">
        <v>1</v>
      </c>
      <c r="E1363" s="331">
        <v>231</v>
      </c>
      <c r="F1363" s="331">
        <v>3184.5</v>
      </c>
      <c r="G1363" s="328" t="s">
        <v>1686</v>
      </c>
      <c r="H1363" s="328" t="s">
        <v>1735</v>
      </c>
      <c r="I1363" s="328" t="s">
        <v>110</v>
      </c>
      <c r="J1363" s="328" t="s">
        <v>757</v>
      </c>
      <c r="K1363" s="328" t="s">
        <v>741</v>
      </c>
      <c r="L1363" s="329">
        <v>44043</v>
      </c>
      <c r="M1363" s="332">
        <v>0</v>
      </c>
    </row>
    <row r="1364" spans="1:13" hidden="1" x14ac:dyDescent="0.25">
      <c r="A1364" s="329">
        <v>44043</v>
      </c>
      <c r="B1364" s="328" t="s">
        <v>1689</v>
      </c>
      <c r="C1364" s="328" t="s">
        <v>1060</v>
      </c>
      <c r="D1364" s="330">
        <v>1</v>
      </c>
      <c r="E1364" s="331">
        <v>-60.5</v>
      </c>
      <c r="F1364" s="331">
        <v>3124</v>
      </c>
      <c r="G1364" s="328" t="s">
        <v>1690</v>
      </c>
      <c r="H1364" s="328" t="s">
        <v>1735</v>
      </c>
      <c r="I1364" s="328" t="s">
        <v>110</v>
      </c>
      <c r="J1364" s="328" t="s">
        <v>757</v>
      </c>
      <c r="K1364" s="328" t="s">
        <v>741</v>
      </c>
      <c r="L1364" s="329">
        <v>44043</v>
      </c>
      <c r="M1364" s="332">
        <v>0</v>
      </c>
    </row>
    <row r="1365" spans="1:13" hidden="1" x14ac:dyDescent="0.25">
      <c r="A1365" s="329">
        <v>44043</v>
      </c>
      <c r="B1365" s="328" t="s">
        <v>1691</v>
      </c>
      <c r="C1365" s="328" t="s">
        <v>769</v>
      </c>
      <c r="D1365" s="330">
        <v>2</v>
      </c>
      <c r="E1365" s="331">
        <v>231</v>
      </c>
      <c r="F1365" s="331">
        <v>3355</v>
      </c>
      <c r="G1365" s="328" t="s">
        <v>1692</v>
      </c>
      <c r="H1365" s="328" t="s">
        <v>1735</v>
      </c>
      <c r="I1365" s="328" t="s">
        <v>110</v>
      </c>
      <c r="J1365" s="328" t="s">
        <v>757</v>
      </c>
      <c r="K1365" s="328" t="s">
        <v>770</v>
      </c>
      <c r="L1365" s="329">
        <v>44043</v>
      </c>
      <c r="M1365" s="332">
        <v>0</v>
      </c>
    </row>
    <row r="1366" spans="1:13" hidden="1" x14ac:dyDescent="0.25">
      <c r="A1366" s="329">
        <v>44043</v>
      </c>
      <c r="B1366" s="328" t="s">
        <v>1693</v>
      </c>
      <c r="C1366" s="328" t="s">
        <v>936</v>
      </c>
      <c r="D1366" s="330">
        <v>2</v>
      </c>
      <c r="E1366" s="331">
        <v>-60.5</v>
      </c>
      <c r="F1366" s="331">
        <v>3294.5</v>
      </c>
      <c r="G1366" s="328" t="s">
        <v>1694</v>
      </c>
      <c r="H1366" s="328" t="s">
        <v>1735</v>
      </c>
      <c r="I1366" s="328" t="s">
        <v>110</v>
      </c>
      <c r="J1366" s="328" t="s">
        <v>757</v>
      </c>
      <c r="K1366" s="328" t="s">
        <v>770</v>
      </c>
      <c r="L1366" s="329">
        <v>44043</v>
      </c>
      <c r="M1366" s="332">
        <v>0</v>
      </c>
    </row>
    <row r="1367" spans="1:13" hidden="1" x14ac:dyDescent="0.25">
      <c r="A1367" s="329">
        <v>44043</v>
      </c>
      <c r="B1367" s="328" t="s">
        <v>1685</v>
      </c>
      <c r="C1367" s="328" t="s">
        <v>1060</v>
      </c>
      <c r="D1367" s="330">
        <v>2</v>
      </c>
      <c r="E1367" s="331">
        <v>-231</v>
      </c>
      <c r="F1367" s="331">
        <v>3063.5</v>
      </c>
      <c r="G1367" s="328" t="s">
        <v>1686</v>
      </c>
      <c r="H1367" s="328" t="s">
        <v>1735</v>
      </c>
      <c r="I1367" s="328" t="s">
        <v>110</v>
      </c>
      <c r="J1367" s="328" t="s">
        <v>757</v>
      </c>
      <c r="K1367" s="328" t="s">
        <v>741</v>
      </c>
      <c r="L1367" s="329">
        <v>44043</v>
      </c>
      <c r="M1367" s="332">
        <v>0</v>
      </c>
    </row>
    <row r="1368" spans="1:13" hidden="1" x14ac:dyDescent="0.25">
      <c r="A1368" s="329">
        <v>44043</v>
      </c>
      <c r="B1368" s="328" t="s">
        <v>1685</v>
      </c>
      <c r="C1368" s="328" t="s">
        <v>1060</v>
      </c>
      <c r="D1368" s="330">
        <v>2</v>
      </c>
      <c r="E1368" s="331">
        <v>-60.5</v>
      </c>
      <c r="F1368" s="331">
        <v>3003</v>
      </c>
      <c r="G1368" s="328" t="s">
        <v>1687</v>
      </c>
      <c r="H1368" s="328" t="s">
        <v>1735</v>
      </c>
      <c r="I1368" s="328" t="s">
        <v>110</v>
      </c>
      <c r="J1368" s="328" t="s">
        <v>757</v>
      </c>
      <c r="K1368" s="328" t="s">
        <v>741</v>
      </c>
      <c r="L1368" s="329">
        <v>44043</v>
      </c>
      <c r="M1368" s="332">
        <v>0</v>
      </c>
    </row>
    <row r="1369" spans="1:13" hidden="1" x14ac:dyDescent="0.25">
      <c r="A1369" s="329">
        <v>44043</v>
      </c>
      <c r="B1369" s="328" t="s">
        <v>1688</v>
      </c>
      <c r="C1369" s="328" t="s">
        <v>1060</v>
      </c>
      <c r="D1369" s="330">
        <v>2</v>
      </c>
      <c r="E1369" s="331">
        <v>231</v>
      </c>
      <c r="F1369" s="331">
        <v>3234</v>
      </c>
      <c r="G1369" s="328" t="s">
        <v>1686</v>
      </c>
      <c r="H1369" s="328" t="s">
        <v>1735</v>
      </c>
      <c r="I1369" s="328" t="s">
        <v>110</v>
      </c>
      <c r="J1369" s="328" t="s">
        <v>757</v>
      </c>
      <c r="K1369" s="328" t="s">
        <v>741</v>
      </c>
      <c r="L1369" s="329">
        <v>44043</v>
      </c>
      <c r="M1369" s="332">
        <v>0</v>
      </c>
    </row>
    <row r="1370" spans="1:13" hidden="1" x14ac:dyDescent="0.25">
      <c r="A1370" s="329">
        <v>44043</v>
      </c>
      <c r="B1370" s="328" t="s">
        <v>1688</v>
      </c>
      <c r="C1370" s="328" t="s">
        <v>1060</v>
      </c>
      <c r="D1370" s="330">
        <v>2</v>
      </c>
      <c r="E1370" s="331">
        <v>60.5</v>
      </c>
      <c r="F1370" s="331">
        <v>3294.5</v>
      </c>
      <c r="G1370" s="328" t="s">
        <v>1687</v>
      </c>
      <c r="H1370" s="328" t="s">
        <v>1735</v>
      </c>
      <c r="I1370" s="328" t="s">
        <v>110</v>
      </c>
      <c r="J1370" s="328" t="s">
        <v>757</v>
      </c>
      <c r="K1370" s="328" t="s">
        <v>741</v>
      </c>
      <c r="L1370" s="329">
        <v>44043</v>
      </c>
      <c r="M1370" s="332">
        <v>0</v>
      </c>
    </row>
    <row r="1371" spans="1:13" hidden="1" x14ac:dyDescent="0.25">
      <c r="A1371" s="329">
        <v>44043</v>
      </c>
      <c r="B1371" s="328" t="s">
        <v>1689</v>
      </c>
      <c r="C1371" s="328" t="s">
        <v>1060</v>
      </c>
      <c r="D1371" s="330">
        <v>2</v>
      </c>
      <c r="E1371" s="331">
        <v>-231</v>
      </c>
      <c r="F1371" s="331">
        <v>3063.5</v>
      </c>
      <c r="G1371" s="328" t="s">
        <v>1686</v>
      </c>
      <c r="H1371" s="328" t="s">
        <v>1735</v>
      </c>
      <c r="I1371" s="328" t="s">
        <v>110</v>
      </c>
      <c r="J1371" s="328" t="s">
        <v>757</v>
      </c>
      <c r="K1371" s="328" t="s">
        <v>741</v>
      </c>
      <c r="L1371" s="329">
        <v>44043</v>
      </c>
      <c r="M1371" s="332">
        <v>0</v>
      </c>
    </row>
    <row r="1372" spans="1:13" hidden="1" x14ac:dyDescent="0.25">
      <c r="A1372" s="329">
        <v>44043</v>
      </c>
      <c r="B1372" s="328" t="s">
        <v>1689</v>
      </c>
      <c r="C1372" s="328" t="s">
        <v>1060</v>
      </c>
      <c r="D1372" s="330">
        <v>2</v>
      </c>
      <c r="E1372" s="331">
        <v>60.5</v>
      </c>
      <c r="F1372" s="331">
        <v>3124</v>
      </c>
      <c r="G1372" s="328" t="s">
        <v>1690</v>
      </c>
      <c r="H1372" s="328" t="s">
        <v>1735</v>
      </c>
      <c r="I1372" s="328" t="s">
        <v>110</v>
      </c>
      <c r="J1372" s="328" t="s">
        <v>757</v>
      </c>
      <c r="K1372" s="328" t="s">
        <v>741</v>
      </c>
      <c r="L1372" s="329">
        <v>44043</v>
      </c>
      <c r="M1372" s="332">
        <v>0</v>
      </c>
    </row>
    <row r="1373" spans="1:13" hidden="1" x14ac:dyDescent="0.25">
      <c r="A1373" s="329">
        <v>44074</v>
      </c>
      <c r="B1373" s="328" t="s">
        <v>1695</v>
      </c>
      <c r="C1373" s="328" t="s">
        <v>1060</v>
      </c>
      <c r="D1373" s="330">
        <v>2</v>
      </c>
      <c r="E1373" s="331">
        <v>181.5</v>
      </c>
      <c r="F1373" s="331">
        <v>3305.5</v>
      </c>
      <c r="G1373" s="328" t="s">
        <v>1696</v>
      </c>
      <c r="H1373" s="328" t="s">
        <v>1735</v>
      </c>
      <c r="I1373" s="328" t="s">
        <v>110</v>
      </c>
      <c r="J1373" s="328" t="s">
        <v>757</v>
      </c>
      <c r="K1373" s="328" t="s">
        <v>741</v>
      </c>
      <c r="L1373" s="329">
        <v>44074</v>
      </c>
      <c r="M1373" s="332">
        <v>0</v>
      </c>
    </row>
    <row r="1374" spans="1:13" hidden="1" x14ac:dyDescent="0.25">
      <c r="A1374" s="329">
        <v>44074</v>
      </c>
      <c r="B1374" s="328" t="s">
        <v>1695</v>
      </c>
      <c r="C1374" s="328" t="s">
        <v>1060</v>
      </c>
      <c r="D1374" s="330">
        <v>3</v>
      </c>
      <c r="E1374" s="331">
        <v>-181.5</v>
      </c>
      <c r="F1374" s="331">
        <v>3124</v>
      </c>
      <c r="G1374" s="328" t="s">
        <v>1696</v>
      </c>
      <c r="H1374" s="328" t="s">
        <v>1735</v>
      </c>
      <c r="I1374" s="328" t="s">
        <v>110</v>
      </c>
      <c r="J1374" s="328" t="s">
        <v>757</v>
      </c>
      <c r="K1374" s="328" t="s">
        <v>741</v>
      </c>
      <c r="L1374" s="329">
        <v>44074</v>
      </c>
      <c r="M1374" s="332">
        <v>0</v>
      </c>
    </row>
    <row r="1375" spans="1:13" hidden="1" x14ac:dyDescent="0.25">
      <c r="A1375" s="329">
        <v>44074</v>
      </c>
      <c r="B1375" s="328" t="s">
        <v>1697</v>
      </c>
      <c r="C1375" s="328" t="s">
        <v>769</v>
      </c>
      <c r="D1375" s="330">
        <v>3</v>
      </c>
      <c r="E1375" s="331">
        <v>181.5</v>
      </c>
      <c r="F1375" s="331">
        <v>3305.5</v>
      </c>
      <c r="G1375" s="328" t="s">
        <v>1698</v>
      </c>
      <c r="H1375" s="328" t="s">
        <v>1735</v>
      </c>
      <c r="I1375" s="328" t="s">
        <v>110</v>
      </c>
      <c r="J1375" s="328" t="s">
        <v>757</v>
      </c>
      <c r="K1375" s="328" t="s">
        <v>770</v>
      </c>
      <c r="L1375" s="329">
        <v>44074</v>
      </c>
      <c r="M1375" s="332">
        <v>0</v>
      </c>
    </row>
    <row r="1376" spans="1:13" hidden="1" x14ac:dyDescent="0.25">
      <c r="A1376" s="329">
        <v>44104</v>
      </c>
      <c r="B1376" s="328" t="s">
        <v>1699</v>
      </c>
      <c r="C1376" s="328" t="s">
        <v>1060</v>
      </c>
      <c r="D1376" s="330">
        <v>3</v>
      </c>
      <c r="E1376" s="331">
        <v>269.5</v>
      </c>
      <c r="F1376" s="331">
        <v>3575</v>
      </c>
      <c r="G1376" s="328" t="s">
        <v>1700</v>
      </c>
      <c r="H1376" s="328" t="s">
        <v>1735</v>
      </c>
      <c r="I1376" s="328" t="s">
        <v>110</v>
      </c>
      <c r="J1376" s="328" t="s">
        <v>757</v>
      </c>
      <c r="K1376" s="328" t="s">
        <v>741</v>
      </c>
      <c r="L1376" s="329">
        <v>44104</v>
      </c>
      <c r="M1376" s="332">
        <v>0</v>
      </c>
    </row>
    <row r="1377" spans="1:13" hidden="1" x14ac:dyDescent="0.25">
      <c r="A1377" s="329">
        <v>44104</v>
      </c>
      <c r="B1377" s="328" t="s">
        <v>1699</v>
      </c>
      <c r="C1377" s="328" t="s">
        <v>1060</v>
      </c>
      <c r="D1377" s="330">
        <v>4</v>
      </c>
      <c r="E1377" s="331">
        <v>-269.5</v>
      </c>
      <c r="F1377" s="331">
        <v>3305.5</v>
      </c>
      <c r="G1377" s="328" t="s">
        <v>1700</v>
      </c>
      <c r="H1377" s="328" t="s">
        <v>1735</v>
      </c>
      <c r="I1377" s="328" t="s">
        <v>110</v>
      </c>
      <c r="J1377" s="328" t="s">
        <v>757</v>
      </c>
      <c r="K1377" s="328" t="s">
        <v>741</v>
      </c>
      <c r="L1377" s="329">
        <v>44104</v>
      </c>
      <c r="M1377" s="332">
        <v>0</v>
      </c>
    </row>
    <row r="1378" spans="1:13" hidden="1" x14ac:dyDescent="0.25">
      <c r="A1378" s="329">
        <v>44105</v>
      </c>
      <c r="B1378" s="328" t="s">
        <v>1701</v>
      </c>
      <c r="C1378" s="328" t="s">
        <v>769</v>
      </c>
      <c r="D1378" s="330">
        <v>4</v>
      </c>
      <c r="E1378" s="331">
        <v>269.5</v>
      </c>
      <c r="F1378" s="331">
        <v>3575</v>
      </c>
      <c r="G1378" s="328" t="s">
        <v>1702</v>
      </c>
      <c r="H1378" s="328" t="s">
        <v>1735</v>
      </c>
      <c r="I1378" s="328" t="s">
        <v>110</v>
      </c>
      <c r="J1378" s="328" t="s">
        <v>757</v>
      </c>
      <c r="K1378" s="328" t="s">
        <v>770</v>
      </c>
      <c r="L1378" s="329">
        <v>44105</v>
      </c>
      <c r="M1378" s="332">
        <v>0</v>
      </c>
    </row>
    <row r="1379" spans="1:13" hidden="1" x14ac:dyDescent="0.25">
      <c r="A1379" s="329">
        <v>44135</v>
      </c>
      <c r="B1379" s="328" t="s">
        <v>1703</v>
      </c>
      <c r="C1379" s="328" t="s">
        <v>1060</v>
      </c>
      <c r="D1379" s="330">
        <v>4</v>
      </c>
      <c r="E1379" s="331">
        <v>126.5</v>
      </c>
      <c r="F1379" s="331">
        <v>3701.5</v>
      </c>
      <c r="G1379" s="328" t="s">
        <v>1704</v>
      </c>
      <c r="H1379" s="328" t="s">
        <v>1735</v>
      </c>
      <c r="I1379" s="328" t="s">
        <v>110</v>
      </c>
      <c r="J1379" s="328" t="s">
        <v>757</v>
      </c>
      <c r="K1379" s="328" t="s">
        <v>741</v>
      </c>
      <c r="L1379" s="329">
        <v>44135</v>
      </c>
      <c r="M1379" s="332">
        <v>0</v>
      </c>
    </row>
    <row r="1380" spans="1:13" hidden="1" x14ac:dyDescent="0.25">
      <c r="A1380" s="329">
        <v>44135</v>
      </c>
      <c r="B1380" s="328" t="s">
        <v>1705</v>
      </c>
      <c r="C1380" s="328" t="s">
        <v>769</v>
      </c>
      <c r="D1380" s="330">
        <v>5</v>
      </c>
      <c r="E1380" s="331">
        <v>126.5</v>
      </c>
      <c r="F1380" s="331">
        <v>3828</v>
      </c>
      <c r="G1380" s="328" t="s">
        <v>1706</v>
      </c>
      <c r="H1380" s="328" t="s">
        <v>1735</v>
      </c>
      <c r="I1380" s="328" t="s">
        <v>110</v>
      </c>
      <c r="J1380" s="328" t="s">
        <v>757</v>
      </c>
      <c r="K1380" s="328" t="s">
        <v>770</v>
      </c>
      <c r="L1380" s="329">
        <v>44135</v>
      </c>
      <c r="M1380" s="332">
        <v>0</v>
      </c>
    </row>
    <row r="1381" spans="1:13" hidden="1" x14ac:dyDescent="0.25">
      <c r="A1381" s="329">
        <v>44135</v>
      </c>
      <c r="B1381" s="328" t="s">
        <v>1703</v>
      </c>
      <c r="C1381" s="328" t="s">
        <v>1060</v>
      </c>
      <c r="D1381" s="330">
        <v>5</v>
      </c>
      <c r="E1381" s="331">
        <v>-126.5</v>
      </c>
      <c r="F1381" s="331">
        <v>3701.5</v>
      </c>
      <c r="G1381" s="328" t="s">
        <v>1704</v>
      </c>
      <c r="H1381" s="328" t="s">
        <v>1735</v>
      </c>
      <c r="I1381" s="328" t="s">
        <v>110</v>
      </c>
      <c r="J1381" s="328" t="s">
        <v>757</v>
      </c>
      <c r="K1381" s="328" t="s">
        <v>741</v>
      </c>
      <c r="L1381" s="329">
        <v>44135</v>
      </c>
      <c r="M1381" s="332">
        <v>0</v>
      </c>
    </row>
    <row r="1382" spans="1:13" hidden="1" x14ac:dyDescent="0.25">
      <c r="A1382" s="329">
        <v>44165</v>
      </c>
      <c r="B1382" s="328" t="s">
        <v>1707</v>
      </c>
      <c r="C1382" s="328" t="s">
        <v>1060</v>
      </c>
      <c r="D1382" s="330">
        <v>5</v>
      </c>
      <c r="E1382" s="331">
        <v>126.5</v>
      </c>
      <c r="F1382" s="331">
        <v>3828</v>
      </c>
      <c r="G1382" s="328" t="s">
        <v>1708</v>
      </c>
      <c r="H1382" s="328" t="s">
        <v>1735</v>
      </c>
      <c r="I1382" s="328" t="s">
        <v>110</v>
      </c>
      <c r="J1382" s="328" t="s">
        <v>757</v>
      </c>
      <c r="K1382" s="328" t="s">
        <v>741</v>
      </c>
      <c r="L1382" s="329">
        <v>44165</v>
      </c>
      <c r="M1382" s="332">
        <v>0</v>
      </c>
    </row>
    <row r="1383" spans="1:13" hidden="1" x14ac:dyDescent="0.25">
      <c r="A1383" s="329">
        <v>44165</v>
      </c>
      <c r="B1383" s="328" t="s">
        <v>1707</v>
      </c>
      <c r="C1383" s="328" t="s">
        <v>1060</v>
      </c>
      <c r="D1383" s="330">
        <v>6</v>
      </c>
      <c r="E1383" s="331">
        <v>-126.5</v>
      </c>
      <c r="F1383" s="331">
        <v>3701.5</v>
      </c>
      <c r="G1383" s="328" t="s">
        <v>1708</v>
      </c>
      <c r="H1383" s="328" t="s">
        <v>1735</v>
      </c>
      <c r="I1383" s="328" t="s">
        <v>110</v>
      </c>
      <c r="J1383" s="328" t="s">
        <v>757</v>
      </c>
      <c r="K1383" s="328" t="s">
        <v>741</v>
      </c>
      <c r="L1383" s="329">
        <v>44165</v>
      </c>
      <c r="M1383" s="332">
        <v>0</v>
      </c>
    </row>
    <row r="1384" spans="1:13" hidden="1" x14ac:dyDescent="0.25">
      <c r="A1384" s="329">
        <v>44165</v>
      </c>
      <c r="B1384" s="328" t="s">
        <v>1709</v>
      </c>
      <c r="C1384" s="328" t="s">
        <v>769</v>
      </c>
      <c r="D1384" s="330">
        <v>6</v>
      </c>
      <c r="E1384" s="331">
        <v>126.5</v>
      </c>
      <c r="F1384" s="331">
        <v>3828</v>
      </c>
      <c r="G1384" s="328" t="s">
        <v>1710</v>
      </c>
      <c r="H1384" s="328" t="s">
        <v>1735</v>
      </c>
      <c r="I1384" s="328" t="s">
        <v>110</v>
      </c>
      <c r="J1384" s="328" t="s">
        <v>757</v>
      </c>
      <c r="K1384" s="328" t="s">
        <v>770</v>
      </c>
      <c r="L1384" s="329">
        <v>44165</v>
      </c>
      <c r="M1384" s="332">
        <v>0</v>
      </c>
    </row>
    <row r="1385" spans="1:13" hidden="1" x14ac:dyDescent="0.25">
      <c r="A1385" s="329">
        <v>44196</v>
      </c>
      <c r="B1385" s="328" t="s">
        <v>1711</v>
      </c>
      <c r="C1385" s="328" t="s">
        <v>1060</v>
      </c>
      <c r="D1385" s="330">
        <v>6</v>
      </c>
      <c r="E1385" s="331">
        <v>121</v>
      </c>
      <c r="F1385" s="331">
        <v>3949</v>
      </c>
      <c r="G1385" s="328" t="s">
        <v>1712</v>
      </c>
      <c r="H1385" s="328" t="s">
        <v>1735</v>
      </c>
      <c r="I1385" s="328" t="s">
        <v>110</v>
      </c>
      <c r="J1385" s="328" t="s">
        <v>757</v>
      </c>
      <c r="K1385" s="328" t="s">
        <v>741</v>
      </c>
      <c r="L1385" s="329">
        <v>44196</v>
      </c>
      <c r="M1385" s="332">
        <v>0</v>
      </c>
    </row>
    <row r="1386" spans="1:13" hidden="1" x14ac:dyDescent="0.25">
      <c r="A1386" s="329">
        <v>44196</v>
      </c>
      <c r="B1386" s="328" t="s">
        <v>1711</v>
      </c>
      <c r="C1386" s="328" t="s">
        <v>1060</v>
      </c>
      <c r="D1386" s="330">
        <v>7</v>
      </c>
      <c r="E1386" s="331">
        <v>-121</v>
      </c>
      <c r="F1386" s="331">
        <v>3828</v>
      </c>
      <c r="G1386" s="328" t="s">
        <v>1712</v>
      </c>
      <c r="H1386" s="328" t="s">
        <v>1735</v>
      </c>
      <c r="I1386" s="328" t="s">
        <v>110</v>
      </c>
      <c r="J1386" s="328" t="s">
        <v>757</v>
      </c>
      <c r="K1386" s="328" t="s">
        <v>741</v>
      </c>
      <c r="L1386" s="329">
        <v>44196</v>
      </c>
      <c r="M1386" s="332">
        <v>0</v>
      </c>
    </row>
    <row r="1387" spans="1:13" hidden="1" x14ac:dyDescent="0.25">
      <c r="A1387" s="329">
        <v>44196</v>
      </c>
      <c r="B1387" s="328" t="s">
        <v>1713</v>
      </c>
      <c r="C1387" s="328" t="s">
        <v>769</v>
      </c>
      <c r="D1387" s="330">
        <v>7</v>
      </c>
      <c r="E1387" s="331">
        <v>121</v>
      </c>
      <c r="F1387" s="331">
        <v>3949</v>
      </c>
      <c r="G1387" s="328" t="s">
        <v>1714</v>
      </c>
      <c r="H1387" s="328" t="s">
        <v>1735</v>
      </c>
      <c r="I1387" s="328" t="s">
        <v>110</v>
      </c>
      <c r="J1387" s="328" t="s">
        <v>757</v>
      </c>
      <c r="K1387" s="328" t="s">
        <v>770</v>
      </c>
      <c r="L1387" s="329">
        <v>44196</v>
      </c>
      <c r="M1387" s="332">
        <v>0</v>
      </c>
    </row>
    <row r="1388" spans="1:13" hidden="1" x14ac:dyDescent="0.25">
      <c r="A1388" s="329">
        <v>44227</v>
      </c>
      <c r="B1388" s="328" t="s">
        <v>1715</v>
      </c>
      <c r="C1388" s="328" t="s">
        <v>1060</v>
      </c>
      <c r="D1388" s="330">
        <v>7</v>
      </c>
      <c r="E1388" s="331">
        <v>104.5</v>
      </c>
      <c r="F1388" s="331">
        <v>4053.5</v>
      </c>
      <c r="G1388" s="328" t="s">
        <v>1716</v>
      </c>
      <c r="H1388" s="328" t="s">
        <v>1735</v>
      </c>
      <c r="I1388" s="328" t="s">
        <v>110</v>
      </c>
      <c r="J1388" s="328" t="s">
        <v>757</v>
      </c>
      <c r="K1388" s="328" t="s">
        <v>741</v>
      </c>
      <c r="L1388" s="329">
        <v>44227</v>
      </c>
      <c r="M1388" s="332">
        <v>0</v>
      </c>
    </row>
    <row r="1389" spans="1:13" hidden="1" x14ac:dyDescent="0.25">
      <c r="A1389" s="329">
        <v>44227</v>
      </c>
      <c r="B1389" s="328" t="s">
        <v>1715</v>
      </c>
      <c r="C1389" s="328" t="s">
        <v>1060</v>
      </c>
      <c r="D1389" s="330">
        <v>8</v>
      </c>
      <c r="E1389" s="331">
        <v>-104.5</v>
      </c>
      <c r="F1389" s="331">
        <v>3949</v>
      </c>
      <c r="G1389" s="328" t="s">
        <v>1716</v>
      </c>
      <c r="H1389" s="328" t="s">
        <v>1735</v>
      </c>
      <c r="I1389" s="328" t="s">
        <v>110</v>
      </c>
      <c r="J1389" s="328" t="s">
        <v>757</v>
      </c>
      <c r="K1389" s="328" t="s">
        <v>741</v>
      </c>
      <c r="L1389" s="329">
        <v>44227</v>
      </c>
      <c r="M1389" s="332">
        <v>0</v>
      </c>
    </row>
    <row r="1390" spans="1:13" hidden="1" x14ac:dyDescent="0.25">
      <c r="A1390" s="329">
        <v>44227</v>
      </c>
      <c r="B1390" s="328" t="s">
        <v>1717</v>
      </c>
      <c r="C1390" s="328" t="s">
        <v>769</v>
      </c>
      <c r="D1390" s="330">
        <v>8</v>
      </c>
      <c r="E1390" s="331">
        <v>104.5</v>
      </c>
      <c r="F1390" s="331">
        <v>4053.5</v>
      </c>
      <c r="G1390" s="328" t="s">
        <v>1718</v>
      </c>
      <c r="H1390" s="328" t="s">
        <v>1735</v>
      </c>
      <c r="I1390" s="328" t="s">
        <v>110</v>
      </c>
      <c r="J1390" s="328" t="s">
        <v>757</v>
      </c>
      <c r="K1390" s="328" t="s">
        <v>770</v>
      </c>
      <c r="L1390" s="329">
        <v>44227</v>
      </c>
      <c r="M1390" s="332">
        <v>0</v>
      </c>
    </row>
    <row r="1391" spans="1:13" hidden="1" x14ac:dyDescent="0.25">
      <c r="A1391" s="329">
        <v>44255</v>
      </c>
      <c r="B1391" s="328" t="s">
        <v>1720</v>
      </c>
      <c r="C1391" s="328" t="s">
        <v>1060</v>
      </c>
      <c r="D1391" s="330">
        <v>8</v>
      </c>
      <c r="E1391" s="331">
        <v>99</v>
      </c>
      <c r="F1391" s="331">
        <v>4152.5</v>
      </c>
      <c r="G1391" s="328" t="s">
        <v>1721</v>
      </c>
      <c r="H1391" s="328" t="s">
        <v>1735</v>
      </c>
      <c r="I1391" s="328" t="s">
        <v>110</v>
      </c>
      <c r="J1391" s="328" t="s">
        <v>757</v>
      </c>
      <c r="K1391" s="328" t="s">
        <v>741</v>
      </c>
      <c r="L1391" s="329">
        <v>44255</v>
      </c>
      <c r="M1391" s="332">
        <v>0</v>
      </c>
    </row>
    <row r="1392" spans="1:13" hidden="1" x14ac:dyDescent="0.25">
      <c r="A1392" s="329">
        <v>44255</v>
      </c>
      <c r="B1392" s="328" t="s">
        <v>1720</v>
      </c>
      <c r="C1392" s="328" t="s">
        <v>1060</v>
      </c>
      <c r="D1392" s="330">
        <v>9</v>
      </c>
      <c r="E1392" s="331">
        <v>-99</v>
      </c>
      <c r="F1392" s="331">
        <v>4053.5</v>
      </c>
      <c r="G1392" s="328" t="s">
        <v>1721</v>
      </c>
      <c r="H1392" s="328" t="s">
        <v>1735</v>
      </c>
      <c r="I1392" s="328" t="s">
        <v>110</v>
      </c>
      <c r="J1392" s="328" t="s">
        <v>757</v>
      </c>
      <c r="K1392" s="328" t="s">
        <v>741</v>
      </c>
      <c r="L1392" s="329">
        <v>44255</v>
      </c>
      <c r="M1392" s="332">
        <v>0</v>
      </c>
    </row>
    <row r="1393" spans="1:13" hidden="1" x14ac:dyDescent="0.25">
      <c r="A1393" s="329">
        <v>44255</v>
      </c>
      <c r="B1393" s="328" t="s">
        <v>1722</v>
      </c>
      <c r="C1393" s="328" t="s">
        <v>769</v>
      </c>
      <c r="D1393" s="330">
        <v>9</v>
      </c>
      <c r="E1393" s="331">
        <v>99</v>
      </c>
      <c r="F1393" s="331">
        <v>4152.5</v>
      </c>
      <c r="G1393" s="328" t="s">
        <v>1723</v>
      </c>
      <c r="H1393" s="328" t="s">
        <v>1735</v>
      </c>
      <c r="I1393" s="328" t="s">
        <v>110</v>
      </c>
      <c r="J1393" s="328" t="s">
        <v>757</v>
      </c>
      <c r="K1393" s="328" t="s">
        <v>770</v>
      </c>
      <c r="L1393" s="329">
        <v>44255</v>
      </c>
      <c r="M1393" s="332">
        <v>0</v>
      </c>
    </row>
    <row r="1394" spans="1:13" hidden="1" x14ac:dyDescent="0.25">
      <c r="A1394" s="329">
        <v>44286</v>
      </c>
      <c r="B1394" s="328" t="s">
        <v>1724</v>
      </c>
      <c r="C1394" s="328" t="s">
        <v>1060</v>
      </c>
      <c r="D1394" s="330">
        <v>9</v>
      </c>
      <c r="E1394" s="331">
        <v>148.5</v>
      </c>
      <c r="F1394" s="331">
        <v>4301</v>
      </c>
      <c r="G1394" s="328" t="s">
        <v>1725</v>
      </c>
      <c r="H1394" s="328" t="s">
        <v>1735</v>
      </c>
      <c r="I1394" s="328" t="s">
        <v>110</v>
      </c>
      <c r="J1394" s="328" t="s">
        <v>757</v>
      </c>
      <c r="K1394" s="328" t="s">
        <v>741</v>
      </c>
      <c r="L1394" s="329">
        <v>44286</v>
      </c>
      <c r="M1394" s="332">
        <v>0</v>
      </c>
    </row>
    <row r="1395" spans="1:13" hidden="1" x14ac:dyDescent="0.25">
      <c r="A1395" s="329">
        <v>44286</v>
      </c>
      <c r="B1395" s="328" t="s">
        <v>1726</v>
      </c>
      <c r="C1395" s="328" t="s">
        <v>769</v>
      </c>
      <c r="D1395" s="330">
        <v>10</v>
      </c>
      <c r="E1395" s="331">
        <v>148.5</v>
      </c>
      <c r="F1395" s="331">
        <v>4449.5</v>
      </c>
      <c r="G1395" s="328" t="s">
        <v>1727</v>
      </c>
      <c r="H1395" s="328" t="s">
        <v>1735</v>
      </c>
      <c r="I1395" s="328" t="s">
        <v>110</v>
      </c>
      <c r="J1395" s="328" t="s">
        <v>757</v>
      </c>
      <c r="K1395" s="328" t="s">
        <v>770</v>
      </c>
      <c r="L1395" s="329">
        <v>44286</v>
      </c>
      <c r="M1395" s="332">
        <v>0</v>
      </c>
    </row>
    <row r="1396" spans="1:13" hidden="1" x14ac:dyDescent="0.25">
      <c r="A1396" s="329">
        <v>44286</v>
      </c>
      <c r="B1396" s="328" t="s">
        <v>1724</v>
      </c>
      <c r="C1396" s="328" t="s">
        <v>1060</v>
      </c>
      <c r="D1396" s="330">
        <v>10</v>
      </c>
      <c r="E1396" s="331">
        <v>-148.5</v>
      </c>
      <c r="F1396" s="331">
        <v>4301</v>
      </c>
      <c r="G1396" s="328" t="s">
        <v>1725</v>
      </c>
      <c r="H1396" s="328" t="s">
        <v>1735</v>
      </c>
      <c r="I1396" s="328" t="s">
        <v>110</v>
      </c>
      <c r="J1396" s="328" t="s">
        <v>757</v>
      </c>
      <c r="K1396" s="328" t="s">
        <v>741</v>
      </c>
      <c r="L1396" s="329">
        <v>44286</v>
      </c>
      <c r="M1396" s="332">
        <v>0</v>
      </c>
    </row>
    <row r="1397" spans="1:13" hidden="1" x14ac:dyDescent="0.25">
      <c r="A1397" s="329">
        <v>44316</v>
      </c>
      <c r="B1397" s="328" t="s">
        <v>1728</v>
      </c>
      <c r="C1397" s="328" t="s">
        <v>1060</v>
      </c>
      <c r="D1397" s="330">
        <v>10</v>
      </c>
      <c r="E1397" s="331">
        <v>88</v>
      </c>
      <c r="F1397" s="331">
        <v>4389</v>
      </c>
      <c r="G1397" s="328" t="s">
        <v>1729</v>
      </c>
      <c r="H1397" s="328" t="s">
        <v>1735</v>
      </c>
      <c r="I1397" s="328" t="s">
        <v>110</v>
      </c>
      <c r="J1397" s="328" t="s">
        <v>757</v>
      </c>
      <c r="K1397" s="328" t="s">
        <v>741</v>
      </c>
      <c r="L1397" s="329">
        <v>44316</v>
      </c>
      <c r="M1397" s="332">
        <v>0</v>
      </c>
    </row>
    <row r="1398" spans="1:13" hidden="1" x14ac:dyDescent="0.25">
      <c r="A1398" s="329">
        <v>44012</v>
      </c>
      <c r="B1398" s="328" t="s">
        <v>1678</v>
      </c>
      <c r="C1398" s="328" t="s">
        <v>769</v>
      </c>
      <c r="D1398" s="330">
        <v>1</v>
      </c>
      <c r="E1398" s="331">
        <v>121</v>
      </c>
      <c r="F1398" s="331">
        <v>4510</v>
      </c>
      <c r="G1398" s="328" t="s">
        <v>1679</v>
      </c>
      <c r="H1398" s="328" t="s">
        <v>1736</v>
      </c>
      <c r="I1398" s="328" t="s">
        <v>110</v>
      </c>
      <c r="J1398" s="328" t="s">
        <v>757</v>
      </c>
      <c r="K1398" s="328" t="s">
        <v>770</v>
      </c>
      <c r="L1398" s="329">
        <v>44012</v>
      </c>
      <c r="M1398" s="332">
        <v>0</v>
      </c>
    </row>
    <row r="1399" spans="1:13" hidden="1" x14ac:dyDescent="0.25">
      <c r="A1399" s="329">
        <v>44012</v>
      </c>
      <c r="B1399" s="328" t="s">
        <v>1681</v>
      </c>
      <c r="C1399" s="328" t="s">
        <v>1059</v>
      </c>
      <c r="D1399" s="330">
        <v>1</v>
      </c>
      <c r="E1399" s="331">
        <v>-99</v>
      </c>
      <c r="F1399" s="331">
        <v>4411</v>
      </c>
      <c r="G1399" s="328" t="s">
        <v>1682</v>
      </c>
      <c r="H1399" s="328" t="s">
        <v>1736</v>
      </c>
      <c r="I1399" s="328" t="s">
        <v>110</v>
      </c>
      <c r="J1399" s="328" t="s">
        <v>757</v>
      </c>
      <c r="K1399" s="328" t="s">
        <v>741</v>
      </c>
      <c r="L1399" s="329">
        <v>44012</v>
      </c>
      <c r="M1399" s="332">
        <v>0</v>
      </c>
    </row>
    <row r="1400" spans="1:13" hidden="1" x14ac:dyDescent="0.25">
      <c r="A1400" s="329">
        <v>44041</v>
      </c>
      <c r="B1400" s="328" t="s">
        <v>1683</v>
      </c>
      <c r="C1400" s="328" t="s">
        <v>936</v>
      </c>
      <c r="D1400" s="330">
        <v>1</v>
      </c>
      <c r="E1400" s="331">
        <v>-22</v>
      </c>
      <c r="F1400" s="331">
        <v>4389</v>
      </c>
      <c r="G1400" s="328" t="s">
        <v>1684</v>
      </c>
      <c r="H1400" s="328" t="s">
        <v>1736</v>
      </c>
      <c r="I1400" s="328" t="s">
        <v>110</v>
      </c>
      <c r="J1400" s="328" t="s">
        <v>757</v>
      </c>
      <c r="K1400" s="328" t="s">
        <v>770</v>
      </c>
      <c r="L1400" s="329">
        <v>44041</v>
      </c>
      <c r="M1400" s="332">
        <v>0</v>
      </c>
    </row>
    <row r="1401" spans="1:13" hidden="1" x14ac:dyDescent="0.25">
      <c r="A1401" s="329">
        <v>44043</v>
      </c>
      <c r="B1401" s="328" t="s">
        <v>1688</v>
      </c>
      <c r="C1401" s="328" t="s">
        <v>1060</v>
      </c>
      <c r="D1401" s="330">
        <v>1</v>
      </c>
      <c r="E1401" s="331">
        <v>-110</v>
      </c>
      <c r="F1401" s="331">
        <v>4279</v>
      </c>
      <c r="G1401" s="328" t="s">
        <v>1686</v>
      </c>
      <c r="H1401" s="328" t="s">
        <v>1736</v>
      </c>
      <c r="I1401" s="328" t="s">
        <v>110</v>
      </c>
      <c r="J1401" s="328" t="s">
        <v>757</v>
      </c>
      <c r="K1401" s="328" t="s">
        <v>741</v>
      </c>
      <c r="L1401" s="329">
        <v>44043</v>
      </c>
      <c r="M1401" s="332">
        <v>0</v>
      </c>
    </row>
    <row r="1402" spans="1:13" hidden="1" x14ac:dyDescent="0.25">
      <c r="A1402" s="329">
        <v>44043</v>
      </c>
      <c r="B1402" s="328" t="s">
        <v>1685</v>
      </c>
      <c r="C1402" s="328" t="s">
        <v>1060</v>
      </c>
      <c r="D1402" s="330">
        <v>1</v>
      </c>
      <c r="E1402" s="331">
        <v>16.5</v>
      </c>
      <c r="F1402" s="331">
        <v>4295.5</v>
      </c>
      <c r="G1402" s="328" t="s">
        <v>1687</v>
      </c>
      <c r="H1402" s="328" t="s">
        <v>1736</v>
      </c>
      <c r="I1402" s="328" t="s">
        <v>110</v>
      </c>
      <c r="J1402" s="328" t="s">
        <v>757</v>
      </c>
      <c r="K1402" s="328" t="s">
        <v>741</v>
      </c>
      <c r="L1402" s="329">
        <v>44043</v>
      </c>
      <c r="M1402" s="332">
        <v>0</v>
      </c>
    </row>
    <row r="1403" spans="1:13" hidden="1" x14ac:dyDescent="0.25">
      <c r="A1403" s="329">
        <v>44043</v>
      </c>
      <c r="B1403" s="328" t="s">
        <v>1685</v>
      </c>
      <c r="C1403" s="328" t="s">
        <v>1060</v>
      </c>
      <c r="D1403" s="330">
        <v>1</v>
      </c>
      <c r="E1403" s="331">
        <v>110</v>
      </c>
      <c r="F1403" s="331">
        <v>4405.5</v>
      </c>
      <c r="G1403" s="328" t="s">
        <v>1686</v>
      </c>
      <c r="H1403" s="328" t="s">
        <v>1736</v>
      </c>
      <c r="I1403" s="328" t="s">
        <v>110</v>
      </c>
      <c r="J1403" s="328" t="s">
        <v>757</v>
      </c>
      <c r="K1403" s="328" t="s">
        <v>741</v>
      </c>
      <c r="L1403" s="329">
        <v>44043</v>
      </c>
      <c r="M1403" s="332">
        <v>0</v>
      </c>
    </row>
    <row r="1404" spans="1:13" hidden="1" x14ac:dyDescent="0.25">
      <c r="A1404" s="329">
        <v>44043</v>
      </c>
      <c r="B1404" s="328" t="s">
        <v>1688</v>
      </c>
      <c r="C1404" s="328" t="s">
        <v>1060</v>
      </c>
      <c r="D1404" s="330">
        <v>1</v>
      </c>
      <c r="E1404" s="331">
        <v>-16.5</v>
      </c>
      <c r="F1404" s="331">
        <v>4389</v>
      </c>
      <c r="G1404" s="328" t="s">
        <v>1687</v>
      </c>
      <c r="H1404" s="328" t="s">
        <v>1736</v>
      </c>
      <c r="I1404" s="328" t="s">
        <v>110</v>
      </c>
      <c r="J1404" s="328" t="s">
        <v>757</v>
      </c>
      <c r="K1404" s="328" t="s">
        <v>741</v>
      </c>
      <c r="L1404" s="329">
        <v>44043</v>
      </c>
      <c r="M1404" s="332">
        <v>0</v>
      </c>
    </row>
    <row r="1405" spans="1:13" hidden="1" x14ac:dyDescent="0.25">
      <c r="A1405" s="329">
        <v>44043</v>
      </c>
      <c r="B1405" s="328" t="s">
        <v>1689</v>
      </c>
      <c r="C1405" s="328" t="s">
        <v>1060</v>
      </c>
      <c r="D1405" s="330">
        <v>1</v>
      </c>
      <c r="E1405" s="331">
        <v>110</v>
      </c>
      <c r="F1405" s="331">
        <v>4499</v>
      </c>
      <c r="G1405" s="328" t="s">
        <v>1686</v>
      </c>
      <c r="H1405" s="328" t="s">
        <v>1736</v>
      </c>
      <c r="I1405" s="328" t="s">
        <v>110</v>
      </c>
      <c r="J1405" s="328" t="s">
        <v>757</v>
      </c>
      <c r="K1405" s="328" t="s">
        <v>741</v>
      </c>
      <c r="L1405" s="329">
        <v>44043</v>
      </c>
      <c r="M1405" s="332">
        <v>0</v>
      </c>
    </row>
    <row r="1406" spans="1:13" hidden="1" x14ac:dyDescent="0.25">
      <c r="A1406" s="329">
        <v>44043</v>
      </c>
      <c r="B1406" s="328" t="s">
        <v>1689</v>
      </c>
      <c r="C1406" s="328" t="s">
        <v>1060</v>
      </c>
      <c r="D1406" s="330">
        <v>1</v>
      </c>
      <c r="E1406" s="331">
        <v>-16.5</v>
      </c>
      <c r="F1406" s="331">
        <v>4482.5</v>
      </c>
      <c r="G1406" s="328" t="s">
        <v>1690</v>
      </c>
      <c r="H1406" s="328" t="s">
        <v>1736</v>
      </c>
      <c r="I1406" s="328" t="s">
        <v>110</v>
      </c>
      <c r="J1406" s="328" t="s">
        <v>757</v>
      </c>
      <c r="K1406" s="328" t="s">
        <v>741</v>
      </c>
      <c r="L1406" s="329">
        <v>44043</v>
      </c>
      <c r="M1406" s="332">
        <v>0</v>
      </c>
    </row>
    <row r="1407" spans="1:13" hidden="1" x14ac:dyDescent="0.25">
      <c r="A1407" s="329">
        <v>44043</v>
      </c>
      <c r="B1407" s="328" t="s">
        <v>1691</v>
      </c>
      <c r="C1407" s="328" t="s">
        <v>769</v>
      </c>
      <c r="D1407" s="330">
        <v>2</v>
      </c>
      <c r="E1407" s="331">
        <v>110</v>
      </c>
      <c r="F1407" s="331">
        <v>4592.5</v>
      </c>
      <c r="G1407" s="328" t="s">
        <v>1692</v>
      </c>
      <c r="H1407" s="328" t="s">
        <v>1736</v>
      </c>
      <c r="I1407" s="328" t="s">
        <v>110</v>
      </c>
      <c r="J1407" s="328" t="s">
        <v>757</v>
      </c>
      <c r="K1407" s="328" t="s">
        <v>770</v>
      </c>
      <c r="L1407" s="329">
        <v>44043</v>
      </c>
      <c r="M1407" s="332">
        <v>0</v>
      </c>
    </row>
    <row r="1408" spans="1:13" hidden="1" x14ac:dyDescent="0.25">
      <c r="A1408" s="329">
        <v>44043</v>
      </c>
      <c r="B1408" s="328" t="s">
        <v>1693</v>
      </c>
      <c r="C1408" s="328" t="s">
        <v>936</v>
      </c>
      <c r="D1408" s="330">
        <v>2</v>
      </c>
      <c r="E1408" s="331">
        <v>-16.5</v>
      </c>
      <c r="F1408" s="331">
        <v>4576</v>
      </c>
      <c r="G1408" s="328" t="s">
        <v>1694</v>
      </c>
      <c r="H1408" s="328" t="s">
        <v>1736</v>
      </c>
      <c r="I1408" s="328" t="s">
        <v>110</v>
      </c>
      <c r="J1408" s="328" t="s">
        <v>757</v>
      </c>
      <c r="K1408" s="328" t="s">
        <v>770</v>
      </c>
      <c r="L1408" s="329">
        <v>44043</v>
      </c>
      <c r="M1408" s="332">
        <v>0</v>
      </c>
    </row>
    <row r="1409" spans="1:13" hidden="1" x14ac:dyDescent="0.25">
      <c r="A1409" s="329">
        <v>44043</v>
      </c>
      <c r="B1409" s="328" t="s">
        <v>1685</v>
      </c>
      <c r="C1409" s="328" t="s">
        <v>1060</v>
      </c>
      <c r="D1409" s="330">
        <v>2</v>
      </c>
      <c r="E1409" s="331">
        <v>-110</v>
      </c>
      <c r="F1409" s="331">
        <v>4466</v>
      </c>
      <c r="G1409" s="328" t="s">
        <v>1686</v>
      </c>
      <c r="H1409" s="328" t="s">
        <v>1736</v>
      </c>
      <c r="I1409" s="328" t="s">
        <v>110</v>
      </c>
      <c r="J1409" s="328" t="s">
        <v>757</v>
      </c>
      <c r="K1409" s="328" t="s">
        <v>741</v>
      </c>
      <c r="L1409" s="329">
        <v>44043</v>
      </c>
      <c r="M1409" s="332">
        <v>0</v>
      </c>
    </row>
    <row r="1410" spans="1:13" hidden="1" x14ac:dyDescent="0.25">
      <c r="A1410" s="329">
        <v>44043</v>
      </c>
      <c r="B1410" s="328" t="s">
        <v>1685</v>
      </c>
      <c r="C1410" s="328" t="s">
        <v>1060</v>
      </c>
      <c r="D1410" s="330">
        <v>2</v>
      </c>
      <c r="E1410" s="331">
        <v>-16.5</v>
      </c>
      <c r="F1410" s="331">
        <v>4449.5</v>
      </c>
      <c r="G1410" s="328" t="s">
        <v>1687</v>
      </c>
      <c r="H1410" s="328" t="s">
        <v>1736</v>
      </c>
      <c r="I1410" s="328" t="s">
        <v>110</v>
      </c>
      <c r="J1410" s="328" t="s">
        <v>757</v>
      </c>
      <c r="K1410" s="328" t="s">
        <v>741</v>
      </c>
      <c r="L1410" s="329">
        <v>44043</v>
      </c>
      <c r="M1410" s="332">
        <v>0</v>
      </c>
    </row>
    <row r="1411" spans="1:13" hidden="1" x14ac:dyDescent="0.25">
      <c r="A1411" s="329">
        <v>44043</v>
      </c>
      <c r="B1411" s="328" t="s">
        <v>1688</v>
      </c>
      <c r="C1411" s="328" t="s">
        <v>1060</v>
      </c>
      <c r="D1411" s="330">
        <v>2</v>
      </c>
      <c r="E1411" s="331">
        <v>110</v>
      </c>
      <c r="F1411" s="331">
        <v>4559.5</v>
      </c>
      <c r="G1411" s="328" t="s">
        <v>1686</v>
      </c>
      <c r="H1411" s="328" t="s">
        <v>1736</v>
      </c>
      <c r="I1411" s="328" t="s">
        <v>110</v>
      </c>
      <c r="J1411" s="328" t="s">
        <v>757</v>
      </c>
      <c r="K1411" s="328" t="s">
        <v>741</v>
      </c>
      <c r="L1411" s="329">
        <v>44043</v>
      </c>
      <c r="M1411" s="332">
        <v>0</v>
      </c>
    </row>
    <row r="1412" spans="1:13" hidden="1" x14ac:dyDescent="0.25">
      <c r="A1412" s="329">
        <v>44043</v>
      </c>
      <c r="B1412" s="328" t="s">
        <v>1688</v>
      </c>
      <c r="C1412" s="328" t="s">
        <v>1060</v>
      </c>
      <c r="D1412" s="330">
        <v>2</v>
      </c>
      <c r="E1412" s="331">
        <v>16.5</v>
      </c>
      <c r="F1412" s="331">
        <v>4576</v>
      </c>
      <c r="G1412" s="328" t="s">
        <v>1687</v>
      </c>
      <c r="H1412" s="328" t="s">
        <v>1736</v>
      </c>
      <c r="I1412" s="328" t="s">
        <v>110</v>
      </c>
      <c r="J1412" s="328" t="s">
        <v>757</v>
      </c>
      <c r="K1412" s="328" t="s">
        <v>741</v>
      </c>
      <c r="L1412" s="329">
        <v>44043</v>
      </c>
      <c r="M1412" s="332">
        <v>0</v>
      </c>
    </row>
    <row r="1413" spans="1:13" hidden="1" x14ac:dyDescent="0.25">
      <c r="A1413" s="329">
        <v>44043</v>
      </c>
      <c r="B1413" s="328" t="s">
        <v>1689</v>
      </c>
      <c r="C1413" s="328" t="s">
        <v>1060</v>
      </c>
      <c r="D1413" s="330">
        <v>2</v>
      </c>
      <c r="E1413" s="331">
        <v>-110</v>
      </c>
      <c r="F1413" s="331">
        <v>4466</v>
      </c>
      <c r="G1413" s="328" t="s">
        <v>1686</v>
      </c>
      <c r="H1413" s="328" t="s">
        <v>1736</v>
      </c>
      <c r="I1413" s="328" t="s">
        <v>110</v>
      </c>
      <c r="J1413" s="328" t="s">
        <v>757</v>
      </c>
      <c r="K1413" s="328" t="s">
        <v>741</v>
      </c>
      <c r="L1413" s="329">
        <v>44043</v>
      </c>
      <c r="M1413" s="332">
        <v>0</v>
      </c>
    </row>
    <row r="1414" spans="1:13" hidden="1" x14ac:dyDescent="0.25">
      <c r="A1414" s="329">
        <v>44043</v>
      </c>
      <c r="B1414" s="328" t="s">
        <v>1689</v>
      </c>
      <c r="C1414" s="328" t="s">
        <v>1060</v>
      </c>
      <c r="D1414" s="330">
        <v>2</v>
      </c>
      <c r="E1414" s="331">
        <v>16.5</v>
      </c>
      <c r="F1414" s="331">
        <v>4482.5</v>
      </c>
      <c r="G1414" s="328" t="s">
        <v>1690</v>
      </c>
      <c r="H1414" s="328" t="s">
        <v>1736</v>
      </c>
      <c r="I1414" s="328" t="s">
        <v>110</v>
      </c>
      <c r="J1414" s="328" t="s">
        <v>757</v>
      </c>
      <c r="K1414" s="328" t="s">
        <v>741</v>
      </c>
      <c r="L1414" s="329">
        <v>44043</v>
      </c>
      <c r="M1414" s="332">
        <v>0</v>
      </c>
    </row>
    <row r="1415" spans="1:13" hidden="1" x14ac:dyDescent="0.25">
      <c r="A1415" s="329">
        <v>44074</v>
      </c>
      <c r="B1415" s="328" t="s">
        <v>1695</v>
      </c>
      <c r="C1415" s="328" t="s">
        <v>1060</v>
      </c>
      <c r="D1415" s="330">
        <v>2</v>
      </c>
      <c r="E1415" s="331">
        <v>88</v>
      </c>
      <c r="F1415" s="331">
        <v>4570.5</v>
      </c>
      <c r="G1415" s="328" t="s">
        <v>1696</v>
      </c>
      <c r="H1415" s="328" t="s">
        <v>1736</v>
      </c>
      <c r="I1415" s="328" t="s">
        <v>110</v>
      </c>
      <c r="J1415" s="328" t="s">
        <v>757</v>
      </c>
      <c r="K1415" s="328" t="s">
        <v>741</v>
      </c>
      <c r="L1415" s="329">
        <v>44074</v>
      </c>
      <c r="M1415" s="332">
        <v>0</v>
      </c>
    </row>
    <row r="1416" spans="1:13" hidden="1" x14ac:dyDescent="0.25">
      <c r="A1416" s="329">
        <v>44074</v>
      </c>
      <c r="B1416" s="328" t="s">
        <v>1695</v>
      </c>
      <c r="C1416" s="328" t="s">
        <v>1060</v>
      </c>
      <c r="D1416" s="330">
        <v>3</v>
      </c>
      <c r="E1416" s="331">
        <v>-88</v>
      </c>
      <c r="F1416" s="331">
        <v>4482.5</v>
      </c>
      <c r="G1416" s="328" t="s">
        <v>1696</v>
      </c>
      <c r="H1416" s="328" t="s">
        <v>1736</v>
      </c>
      <c r="I1416" s="328" t="s">
        <v>110</v>
      </c>
      <c r="J1416" s="328" t="s">
        <v>757</v>
      </c>
      <c r="K1416" s="328" t="s">
        <v>741</v>
      </c>
      <c r="L1416" s="329">
        <v>44074</v>
      </c>
      <c r="M1416" s="332">
        <v>0</v>
      </c>
    </row>
    <row r="1417" spans="1:13" hidden="1" x14ac:dyDescent="0.25">
      <c r="A1417" s="329">
        <v>44074</v>
      </c>
      <c r="B1417" s="328" t="s">
        <v>1697</v>
      </c>
      <c r="C1417" s="328" t="s">
        <v>769</v>
      </c>
      <c r="D1417" s="330">
        <v>3</v>
      </c>
      <c r="E1417" s="331">
        <v>88</v>
      </c>
      <c r="F1417" s="331">
        <v>4570.5</v>
      </c>
      <c r="G1417" s="328" t="s">
        <v>1698</v>
      </c>
      <c r="H1417" s="328" t="s">
        <v>1736</v>
      </c>
      <c r="I1417" s="328" t="s">
        <v>110</v>
      </c>
      <c r="J1417" s="328" t="s">
        <v>757</v>
      </c>
      <c r="K1417" s="328" t="s">
        <v>770</v>
      </c>
      <c r="L1417" s="329">
        <v>44074</v>
      </c>
      <c r="M1417" s="332">
        <v>0</v>
      </c>
    </row>
    <row r="1418" spans="1:13" hidden="1" x14ac:dyDescent="0.25">
      <c r="A1418" s="329">
        <v>44104</v>
      </c>
      <c r="B1418" s="328" t="s">
        <v>1699</v>
      </c>
      <c r="C1418" s="328" t="s">
        <v>1060</v>
      </c>
      <c r="D1418" s="330">
        <v>3</v>
      </c>
      <c r="E1418" s="331">
        <v>148.5</v>
      </c>
      <c r="F1418" s="331">
        <v>4719</v>
      </c>
      <c r="G1418" s="328" t="s">
        <v>1700</v>
      </c>
      <c r="H1418" s="328" t="s">
        <v>1736</v>
      </c>
      <c r="I1418" s="328" t="s">
        <v>110</v>
      </c>
      <c r="J1418" s="328" t="s">
        <v>757</v>
      </c>
      <c r="K1418" s="328" t="s">
        <v>741</v>
      </c>
      <c r="L1418" s="329">
        <v>44104</v>
      </c>
      <c r="M1418" s="332">
        <v>0</v>
      </c>
    </row>
    <row r="1419" spans="1:13" hidden="1" x14ac:dyDescent="0.25">
      <c r="A1419" s="329">
        <v>44104</v>
      </c>
      <c r="B1419" s="328" t="s">
        <v>1699</v>
      </c>
      <c r="C1419" s="328" t="s">
        <v>1060</v>
      </c>
      <c r="D1419" s="330">
        <v>4</v>
      </c>
      <c r="E1419" s="331">
        <v>-148.5</v>
      </c>
      <c r="F1419" s="331">
        <v>4570.5</v>
      </c>
      <c r="G1419" s="328" t="s">
        <v>1700</v>
      </c>
      <c r="H1419" s="328" t="s">
        <v>1736</v>
      </c>
      <c r="I1419" s="328" t="s">
        <v>110</v>
      </c>
      <c r="J1419" s="328" t="s">
        <v>757</v>
      </c>
      <c r="K1419" s="328" t="s">
        <v>741</v>
      </c>
      <c r="L1419" s="329">
        <v>44104</v>
      </c>
      <c r="M1419" s="332">
        <v>0</v>
      </c>
    </row>
    <row r="1420" spans="1:13" hidden="1" x14ac:dyDescent="0.25">
      <c r="A1420" s="329">
        <v>44105</v>
      </c>
      <c r="B1420" s="328" t="s">
        <v>1701</v>
      </c>
      <c r="C1420" s="328" t="s">
        <v>769</v>
      </c>
      <c r="D1420" s="330">
        <v>4</v>
      </c>
      <c r="E1420" s="331">
        <v>148.5</v>
      </c>
      <c r="F1420" s="331">
        <v>4719</v>
      </c>
      <c r="G1420" s="328" t="s">
        <v>1702</v>
      </c>
      <c r="H1420" s="328" t="s">
        <v>1736</v>
      </c>
      <c r="I1420" s="328" t="s">
        <v>110</v>
      </c>
      <c r="J1420" s="328" t="s">
        <v>757</v>
      </c>
      <c r="K1420" s="328" t="s">
        <v>770</v>
      </c>
      <c r="L1420" s="329">
        <v>44105</v>
      </c>
      <c r="M1420" s="332">
        <v>0</v>
      </c>
    </row>
    <row r="1421" spans="1:13" hidden="1" x14ac:dyDescent="0.25">
      <c r="A1421" s="329">
        <v>44135</v>
      </c>
      <c r="B1421" s="328" t="s">
        <v>1703</v>
      </c>
      <c r="C1421" s="328" t="s">
        <v>1060</v>
      </c>
      <c r="D1421" s="330">
        <v>4</v>
      </c>
      <c r="E1421" s="331">
        <v>33</v>
      </c>
      <c r="F1421" s="331">
        <v>4752</v>
      </c>
      <c r="G1421" s="328" t="s">
        <v>1704</v>
      </c>
      <c r="H1421" s="328" t="s">
        <v>1736</v>
      </c>
      <c r="I1421" s="328" t="s">
        <v>110</v>
      </c>
      <c r="J1421" s="328" t="s">
        <v>757</v>
      </c>
      <c r="K1421" s="328" t="s">
        <v>741</v>
      </c>
      <c r="L1421" s="329">
        <v>44135</v>
      </c>
      <c r="M1421" s="332">
        <v>0</v>
      </c>
    </row>
    <row r="1422" spans="1:13" hidden="1" x14ac:dyDescent="0.25">
      <c r="A1422" s="329">
        <v>44135</v>
      </c>
      <c r="B1422" s="328" t="s">
        <v>1703</v>
      </c>
      <c r="C1422" s="328" t="s">
        <v>1060</v>
      </c>
      <c r="D1422" s="330">
        <v>5</v>
      </c>
      <c r="E1422" s="331">
        <v>-33</v>
      </c>
      <c r="F1422" s="331">
        <v>4719</v>
      </c>
      <c r="G1422" s="328" t="s">
        <v>1704</v>
      </c>
      <c r="H1422" s="328" t="s">
        <v>1736</v>
      </c>
      <c r="I1422" s="328" t="s">
        <v>110</v>
      </c>
      <c r="J1422" s="328" t="s">
        <v>757</v>
      </c>
      <c r="K1422" s="328" t="s">
        <v>741</v>
      </c>
      <c r="L1422" s="329">
        <v>44135</v>
      </c>
      <c r="M1422" s="332">
        <v>0</v>
      </c>
    </row>
    <row r="1423" spans="1:13" hidden="1" x14ac:dyDescent="0.25">
      <c r="A1423" s="329">
        <v>44135</v>
      </c>
      <c r="B1423" s="328" t="s">
        <v>1705</v>
      </c>
      <c r="C1423" s="328" t="s">
        <v>769</v>
      </c>
      <c r="D1423" s="330">
        <v>5</v>
      </c>
      <c r="E1423" s="331">
        <v>33</v>
      </c>
      <c r="F1423" s="331">
        <v>4752</v>
      </c>
      <c r="G1423" s="328" t="s">
        <v>1706</v>
      </c>
      <c r="H1423" s="328" t="s">
        <v>1736</v>
      </c>
      <c r="I1423" s="328" t="s">
        <v>110</v>
      </c>
      <c r="J1423" s="328" t="s">
        <v>757</v>
      </c>
      <c r="K1423" s="328" t="s">
        <v>770</v>
      </c>
      <c r="L1423" s="329">
        <v>44135</v>
      </c>
      <c r="M1423" s="332">
        <v>0</v>
      </c>
    </row>
    <row r="1424" spans="1:13" hidden="1" x14ac:dyDescent="0.25">
      <c r="A1424" s="329">
        <v>44165</v>
      </c>
      <c r="B1424" s="328" t="s">
        <v>1707</v>
      </c>
      <c r="C1424" s="328" t="s">
        <v>1060</v>
      </c>
      <c r="D1424" s="330">
        <v>5</v>
      </c>
      <c r="E1424" s="331">
        <v>33</v>
      </c>
      <c r="F1424" s="331">
        <v>4785</v>
      </c>
      <c r="G1424" s="328" t="s">
        <v>1708</v>
      </c>
      <c r="H1424" s="328" t="s">
        <v>1736</v>
      </c>
      <c r="I1424" s="328" t="s">
        <v>110</v>
      </c>
      <c r="J1424" s="328" t="s">
        <v>757</v>
      </c>
      <c r="K1424" s="328" t="s">
        <v>741</v>
      </c>
      <c r="L1424" s="329">
        <v>44165</v>
      </c>
      <c r="M1424" s="332">
        <v>0</v>
      </c>
    </row>
    <row r="1425" spans="1:13" hidden="1" x14ac:dyDescent="0.25">
      <c r="A1425" s="329">
        <v>44165</v>
      </c>
      <c r="B1425" s="328" t="s">
        <v>1707</v>
      </c>
      <c r="C1425" s="328" t="s">
        <v>1060</v>
      </c>
      <c r="D1425" s="330">
        <v>6</v>
      </c>
      <c r="E1425" s="331">
        <v>-33</v>
      </c>
      <c r="F1425" s="331">
        <v>4752</v>
      </c>
      <c r="G1425" s="328" t="s">
        <v>1708</v>
      </c>
      <c r="H1425" s="328" t="s">
        <v>1736</v>
      </c>
      <c r="I1425" s="328" t="s">
        <v>110</v>
      </c>
      <c r="J1425" s="328" t="s">
        <v>757</v>
      </c>
      <c r="K1425" s="328" t="s">
        <v>741</v>
      </c>
      <c r="L1425" s="329">
        <v>44165</v>
      </c>
      <c r="M1425" s="332">
        <v>0</v>
      </c>
    </row>
    <row r="1426" spans="1:13" hidden="1" x14ac:dyDescent="0.25">
      <c r="A1426" s="329">
        <v>44165</v>
      </c>
      <c r="B1426" s="328" t="s">
        <v>1709</v>
      </c>
      <c r="C1426" s="328" t="s">
        <v>769</v>
      </c>
      <c r="D1426" s="330">
        <v>6</v>
      </c>
      <c r="E1426" s="331">
        <v>33</v>
      </c>
      <c r="F1426" s="331">
        <v>4785</v>
      </c>
      <c r="G1426" s="328" t="s">
        <v>1710</v>
      </c>
      <c r="H1426" s="328" t="s">
        <v>1736</v>
      </c>
      <c r="I1426" s="328" t="s">
        <v>110</v>
      </c>
      <c r="J1426" s="328" t="s">
        <v>757</v>
      </c>
      <c r="K1426" s="328" t="s">
        <v>770</v>
      </c>
      <c r="L1426" s="329">
        <v>44165</v>
      </c>
      <c r="M1426" s="332">
        <v>0</v>
      </c>
    </row>
    <row r="1427" spans="1:13" hidden="1" x14ac:dyDescent="0.25">
      <c r="A1427" s="329">
        <v>44196</v>
      </c>
      <c r="B1427" s="328" t="s">
        <v>1711</v>
      </c>
      <c r="C1427" s="328" t="s">
        <v>1060</v>
      </c>
      <c r="D1427" s="330">
        <v>6</v>
      </c>
      <c r="E1427" s="331">
        <v>33</v>
      </c>
      <c r="F1427" s="331">
        <v>4818</v>
      </c>
      <c r="G1427" s="328" t="s">
        <v>1712</v>
      </c>
      <c r="H1427" s="328" t="s">
        <v>1736</v>
      </c>
      <c r="I1427" s="328" t="s">
        <v>110</v>
      </c>
      <c r="J1427" s="328" t="s">
        <v>757</v>
      </c>
      <c r="K1427" s="328" t="s">
        <v>741</v>
      </c>
      <c r="L1427" s="329">
        <v>44196</v>
      </c>
      <c r="M1427" s="332">
        <v>0</v>
      </c>
    </row>
    <row r="1428" spans="1:13" hidden="1" x14ac:dyDescent="0.25">
      <c r="A1428" s="329">
        <v>44196</v>
      </c>
      <c r="B1428" s="328" t="s">
        <v>1711</v>
      </c>
      <c r="C1428" s="328" t="s">
        <v>1060</v>
      </c>
      <c r="D1428" s="330">
        <v>7</v>
      </c>
      <c r="E1428" s="331">
        <v>-33</v>
      </c>
      <c r="F1428" s="331">
        <v>4785</v>
      </c>
      <c r="G1428" s="328" t="s">
        <v>1712</v>
      </c>
      <c r="H1428" s="328" t="s">
        <v>1736</v>
      </c>
      <c r="I1428" s="328" t="s">
        <v>110</v>
      </c>
      <c r="J1428" s="328" t="s">
        <v>757</v>
      </c>
      <c r="K1428" s="328" t="s">
        <v>741</v>
      </c>
      <c r="L1428" s="329">
        <v>44196</v>
      </c>
      <c r="M1428" s="332">
        <v>0</v>
      </c>
    </row>
    <row r="1429" spans="1:13" hidden="1" x14ac:dyDescent="0.25">
      <c r="A1429" s="329">
        <v>44196</v>
      </c>
      <c r="B1429" s="328" t="s">
        <v>1713</v>
      </c>
      <c r="C1429" s="328" t="s">
        <v>769</v>
      </c>
      <c r="D1429" s="330">
        <v>7</v>
      </c>
      <c r="E1429" s="331">
        <v>33</v>
      </c>
      <c r="F1429" s="331">
        <v>4818</v>
      </c>
      <c r="G1429" s="328" t="s">
        <v>1714</v>
      </c>
      <c r="H1429" s="328" t="s">
        <v>1736</v>
      </c>
      <c r="I1429" s="328" t="s">
        <v>110</v>
      </c>
      <c r="J1429" s="328" t="s">
        <v>757</v>
      </c>
      <c r="K1429" s="328" t="s">
        <v>770</v>
      </c>
      <c r="L1429" s="329">
        <v>44196</v>
      </c>
      <c r="M1429" s="332">
        <v>0</v>
      </c>
    </row>
    <row r="1430" spans="1:13" hidden="1" x14ac:dyDescent="0.25">
      <c r="A1430" s="329">
        <v>44227</v>
      </c>
      <c r="B1430" s="328" t="s">
        <v>1715</v>
      </c>
      <c r="C1430" s="328" t="s">
        <v>1060</v>
      </c>
      <c r="D1430" s="330">
        <v>7</v>
      </c>
      <c r="E1430" s="331">
        <v>33</v>
      </c>
      <c r="F1430" s="331">
        <v>4851</v>
      </c>
      <c r="G1430" s="328" t="s">
        <v>1716</v>
      </c>
      <c r="H1430" s="328" t="s">
        <v>1736</v>
      </c>
      <c r="I1430" s="328" t="s">
        <v>110</v>
      </c>
      <c r="J1430" s="328" t="s">
        <v>757</v>
      </c>
      <c r="K1430" s="328" t="s">
        <v>741</v>
      </c>
      <c r="L1430" s="329">
        <v>44227</v>
      </c>
      <c r="M1430" s="332">
        <v>0</v>
      </c>
    </row>
    <row r="1431" spans="1:13" hidden="1" x14ac:dyDescent="0.25">
      <c r="A1431" s="329">
        <v>44227</v>
      </c>
      <c r="B1431" s="328" t="s">
        <v>1715</v>
      </c>
      <c r="C1431" s="328" t="s">
        <v>1060</v>
      </c>
      <c r="D1431" s="330">
        <v>8</v>
      </c>
      <c r="E1431" s="331">
        <v>-33</v>
      </c>
      <c r="F1431" s="331">
        <v>4818</v>
      </c>
      <c r="G1431" s="328" t="s">
        <v>1716</v>
      </c>
      <c r="H1431" s="328" t="s">
        <v>1736</v>
      </c>
      <c r="I1431" s="328" t="s">
        <v>110</v>
      </c>
      <c r="J1431" s="328" t="s">
        <v>757</v>
      </c>
      <c r="K1431" s="328" t="s">
        <v>741</v>
      </c>
      <c r="L1431" s="329">
        <v>44227</v>
      </c>
      <c r="M1431" s="332">
        <v>0</v>
      </c>
    </row>
    <row r="1432" spans="1:13" hidden="1" x14ac:dyDescent="0.25">
      <c r="A1432" s="329">
        <v>44227</v>
      </c>
      <c r="B1432" s="328" t="s">
        <v>1717</v>
      </c>
      <c r="C1432" s="328" t="s">
        <v>769</v>
      </c>
      <c r="D1432" s="330">
        <v>8</v>
      </c>
      <c r="E1432" s="331">
        <v>33</v>
      </c>
      <c r="F1432" s="331">
        <v>4851</v>
      </c>
      <c r="G1432" s="328" t="s">
        <v>1718</v>
      </c>
      <c r="H1432" s="328" t="s">
        <v>1736</v>
      </c>
      <c r="I1432" s="328" t="s">
        <v>110</v>
      </c>
      <c r="J1432" s="328" t="s">
        <v>757</v>
      </c>
      <c r="K1432" s="328" t="s">
        <v>770</v>
      </c>
      <c r="L1432" s="329">
        <v>44227</v>
      </c>
      <c r="M1432" s="332">
        <v>0</v>
      </c>
    </row>
    <row r="1433" spans="1:13" hidden="1" x14ac:dyDescent="0.25">
      <c r="A1433" s="329">
        <v>44255</v>
      </c>
      <c r="B1433" s="328" t="s">
        <v>1720</v>
      </c>
      <c r="C1433" s="328" t="s">
        <v>1060</v>
      </c>
      <c r="D1433" s="330">
        <v>8</v>
      </c>
      <c r="E1433" s="331">
        <v>33</v>
      </c>
      <c r="F1433" s="331">
        <v>4884</v>
      </c>
      <c r="G1433" s="328" t="s">
        <v>1721</v>
      </c>
      <c r="H1433" s="328" t="s">
        <v>1736</v>
      </c>
      <c r="I1433" s="328" t="s">
        <v>110</v>
      </c>
      <c r="J1433" s="328" t="s">
        <v>757</v>
      </c>
      <c r="K1433" s="328" t="s">
        <v>741</v>
      </c>
      <c r="L1433" s="329">
        <v>44255</v>
      </c>
      <c r="M1433" s="332">
        <v>0</v>
      </c>
    </row>
    <row r="1434" spans="1:13" hidden="1" x14ac:dyDescent="0.25">
      <c r="A1434" s="329">
        <v>44255</v>
      </c>
      <c r="B1434" s="328" t="s">
        <v>1720</v>
      </c>
      <c r="C1434" s="328" t="s">
        <v>1060</v>
      </c>
      <c r="D1434" s="330">
        <v>9</v>
      </c>
      <c r="E1434" s="331">
        <v>-33</v>
      </c>
      <c r="F1434" s="331">
        <v>4851</v>
      </c>
      <c r="G1434" s="328" t="s">
        <v>1721</v>
      </c>
      <c r="H1434" s="328" t="s">
        <v>1736</v>
      </c>
      <c r="I1434" s="328" t="s">
        <v>110</v>
      </c>
      <c r="J1434" s="328" t="s">
        <v>757</v>
      </c>
      <c r="K1434" s="328" t="s">
        <v>741</v>
      </c>
      <c r="L1434" s="329">
        <v>44255</v>
      </c>
      <c r="M1434" s="332">
        <v>0</v>
      </c>
    </row>
    <row r="1435" spans="1:13" hidden="1" x14ac:dyDescent="0.25">
      <c r="A1435" s="329">
        <v>44255</v>
      </c>
      <c r="B1435" s="328" t="s">
        <v>1722</v>
      </c>
      <c r="C1435" s="328" t="s">
        <v>769</v>
      </c>
      <c r="D1435" s="330">
        <v>9</v>
      </c>
      <c r="E1435" s="331">
        <v>44</v>
      </c>
      <c r="F1435" s="331">
        <v>4895</v>
      </c>
      <c r="G1435" s="328" t="s">
        <v>1723</v>
      </c>
      <c r="H1435" s="328" t="s">
        <v>1736</v>
      </c>
      <c r="I1435" s="328" t="s">
        <v>110</v>
      </c>
      <c r="J1435" s="328" t="s">
        <v>757</v>
      </c>
      <c r="K1435" s="328" t="s">
        <v>770</v>
      </c>
      <c r="L1435" s="329">
        <v>44255</v>
      </c>
      <c r="M1435" s="332">
        <v>0</v>
      </c>
    </row>
    <row r="1436" spans="1:13" hidden="1" x14ac:dyDescent="0.25">
      <c r="A1436" s="329">
        <v>44286</v>
      </c>
      <c r="B1436" s="328" t="s">
        <v>1724</v>
      </c>
      <c r="C1436" s="328" t="s">
        <v>1060</v>
      </c>
      <c r="D1436" s="330">
        <v>9</v>
      </c>
      <c r="E1436" s="331">
        <v>55</v>
      </c>
      <c r="F1436" s="331">
        <v>4950</v>
      </c>
      <c r="G1436" s="328" t="s">
        <v>1725</v>
      </c>
      <c r="H1436" s="328" t="s">
        <v>1736</v>
      </c>
      <c r="I1436" s="328" t="s">
        <v>110</v>
      </c>
      <c r="J1436" s="328" t="s">
        <v>757</v>
      </c>
      <c r="K1436" s="328" t="s">
        <v>741</v>
      </c>
      <c r="L1436" s="329">
        <v>44286</v>
      </c>
      <c r="M1436" s="332">
        <v>0</v>
      </c>
    </row>
    <row r="1437" spans="1:13" hidden="1" x14ac:dyDescent="0.25">
      <c r="A1437" s="329">
        <v>44286</v>
      </c>
      <c r="B1437" s="328" t="s">
        <v>1724</v>
      </c>
      <c r="C1437" s="328" t="s">
        <v>1060</v>
      </c>
      <c r="D1437" s="330">
        <v>10</v>
      </c>
      <c r="E1437" s="331">
        <v>-55</v>
      </c>
      <c r="F1437" s="331">
        <v>4895</v>
      </c>
      <c r="G1437" s="328" t="s">
        <v>1725</v>
      </c>
      <c r="H1437" s="328" t="s">
        <v>1736</v>
      </c>
      <c r="I1437" s="328" t="s">
        <v>110</v>
      </c>
      <c r="J1437" s="328" t="s">
        <v>757</v>
      </c>
      <c r="K1437" s="328" t="s">
        <v>741</v>
      </c>
      <c r="L1437" s="329">
        <v>44286</v>
      </c>
      <c r="M1437" s="332">
        <v>0</v>
      </c>
    </row>
    <row r="1438" spans="1:13" hidden="1" x14ac:dyDescent="0.25">
      <c r="A1438" s="329">
        <v>44286</v>
      </c>
      <c r="B1438" s="328" t="s">
        <v>1726</v>
      </c>
      <c r="C1438" s="328" t="s">
        <v>769</v>
      </c>
      <c r="D1438" s="330">
        <v>10</v>
      </c>
      <c r="E1438" s="331">
        <v>55</v>
      </c>
      <c r="F1438" s="331">
        <v>4950</v>
      </c>
      <c r="G1438" s="328" t="s">
        <v>1727</v>
      </c>
      <c r="H1438" s="328" t="s">
        <v>1736</v>
      </c>
      <c r="I1438" s="328" t="s">
        <v>110</v>
      </c>
      <c r="J1438" s="328" t="s">
        <v>757</v>
      </c>
      <c r="K1438" s="328" t="s">
        <v>770</v>
      </c>
      <c r="L1438" s="329">
        <v>44286</v>
      </c>
      <c r="M1438" s="332">
        <v>0</v>
      </c>
    </row>
    <row r="1439" spans="1:13" hidden="1" x14ac:dyDescent="0.25">
      <c r="A1439" s="329">
        <v>44316</v>
      </c>
      <c r="B1439" s="328" t="s">
        <v>1728</v>
      </c>
      <c r="C1439" s="328" t="s">
        <v>1060</v>
      </c>
      <c r="D1439" s="330">
        <v>10</v>
      </c>
      <c r="E1439" s="331">
        <v>33</v>
      </c>
      <c r="F1439" s="331">
        <v>4983</v>
      </c>
      <c r="G1439" s="328" t="s">
        <v>1729</v>
      </c>
      <c r="H1439" s="328" t="s">
        <v>1736</v>
      </c>
      <c r="I1439" s="328" t="s">
        <v>110</v>
      </c>
      <c r="J1439" s="328" t="s">
        <v>757</v>
      </c>
      <c r="K1439" s="328" t="s">
        <v>741</v>
      </c>
      <c r="L1439" s="329">
        <v>44316</v>
      </c>
      <c r="M1439" s="332">
        <v>0</v>
      </c>
    </row>
    <row r="1440" spans="1:13" hidden="1" x14ac:dyDescent="0.25">
      <c r="A1440" s="329">
        <v>44012</v>
      </c>
      <c r="B1440" s="328" t="s">
        <v>1681</v>
      </c>
      <c r="C1440" s="328" t="s">
        <v>1059</v>
      </c>
      <c r="D1440" s="330">
        <v>1</v>
      </c>
      <c r="E1440" s="331">
        <v>-49.5</v>
      </c>
      <c r="F1440" s="331">
        <v>4933.5</v>
      </c>
      <c r="G1440" s="328" t="s">
        <v>1682</v>
      </c>
      <c r="H1440" s="328" t="s">
        <v>1737</v>
      </c>
      <c r="I1440" s="328" t="s">
        <v>110</v>
      </c>
      <c r="J1440" s="328" t="s">
        <v>757</v>
      </c>
      <c r="K1440" s="328" t="s">
        <v>741</v>
      </c>
      <c r="L1440" s="329">
        <v>44012</v>
      </c>
      <c r="M1440" s="332">
        <v>0</v>
      </c>
    </row>
    <row r="1441" spans="1:13" hidden="1" x14ac:dyDescent="0.25">
      <c r="A1441" s="329">
        <v>44012</v>
      </c>
      <c r="B1441" s="328" t="s">
        <v>1678</v>
      </c>
      <c r="C1441" s="328" t="s">
        <v>769</v>
      </c>
      <c r="D1441" s="330">
        <v>1</v>
      </c>
      <c r="E1441" s="331">
        <v>71.5</v>
      </c>
      <c r="F1441" s="331">
        <v>5005</v>
      </c>
      <c r="G1441" s="328" t="s">
        <v>1679</v>
      </c>
      <c r="H1441" s="328" t="s">
        <v>1737</v>
      </c>
      <c r="I1441" s="328" t="s">
        <v>110</v>
      </c>
      <c r="J1441" s="328" t="s">
        <v>757</v>
      </c>
      <c r="K1441" s="328" t="s">
        <v>770</v>
      </c>
      <c r="L1441" s="329">
        <v>44012</v>
      </c>
      <c r="M1441" s="332">
        <v>0</v>
      </c>
    </row>
    <row r="1442" spans="1:13" hidden="1" x14ac:dyDescent="0.25">
      <c r="A1442" s="329">
        <v>44041</v>
      </c>
      <c r="B1442" s="328" t="s">
        <v>1683</v>
      </c>
      <c r="C1442" s="328" t="s">
        <v>936</v>
      </c>
      <c r="D1442" s="330">
        <v>1</v>
      </c>
      <c r="E1442" s="331">
        <v>-22</v>
      </c>
      <c r="F1442" s="331">
        <v>4983</v>
      </c>
      <c r="G1442" s="328" t="s">
        <v>1684</v>
      </c>
      <c r="H1442" s="328" t="s">
        <v>1737</v>
      </c>
      <c r="I1442" s="328" t="s">
        <v>110</v>
      </c>
      <c r="J1442" s="328" t="s">
        <v>757</v>
      </c>
      <c r="K1442" s="328" t="s">
        <v>770</v>
      </c>
      <c r="L1442" s="329">
        <v>44041</v>
      </c>
      <c r="M1442" s="332">
        <v>0</v>
      </c>
    </row>
    <row r="1443" spans="1:13" hidden="1" x14ac:dyDescent="0.25">
      <c r="A1443" s="329">
        <v>44043</v>
      </c>
      <c r="B1443" s="328" t="s">
        <v>1685</v>
      </c>
      <c r="C1443" s="328" t="s">
        <v>1060</v>
      </c>
      <c r="D1443" s="330">
        <v>1</v>
      </c>
      <c r="E1443" s="331">
        <v>77</v>
      </c>
      <c r="F1443" s="331">
        <v>5060</v>
      </c>
      <c r="G1443" s="328" t="s">
        <v>1686</v>
      </c>
      <c r="H1443" s="328" t="s">
        <v>1737</v>
      </c>
      <c r="I1443" s="328" t="s">
        <v>110</v>
      </c>
      <c r="J1443" s="328" t="s">
        <v>757</v>
      </c>
      <c r="K1443" s="328" t="s">
        <v>741</v>
      </c>
      <c r="L1443" s="329">
        <v>44043</v>
      </c>
      <c r="M1443" s="332">
        <v>0</v>
      </c>
    </row>
    <row r="1444" spans="1:13" hidden="1" x14ac:dyDescent="0.25">
      <c r="A1444" s="329">
        <v>44043</v>
      </c>
      <c r="B1444" s="328" t="s">
        <v>1685</v>
      </c>
      <c r="C1444" s="328" t="s">
        <v>1060</v>
      </c>
      <c r="D1444" s="330">
        <v>1</v>
      </c>
      <c r="E1444" s="331">
        <v>16.5</v>
      </c>
      <c r="F1444" s="331">
        <v>5076.5</v>
      </c>
      <c r="G1444" s="328" t="s">
        <v>1687</v>
      </c>
      <c r="H1444" s="328" t="s">
        <v>1737</v>
      </c>
      <c r="I1444" s="328" t="s">
        <v>110</v>
      </c>
      <c r="J1444" s="328" t="s">
        <v>757</v>
      </c>
      <c r="K1444" s="328" t="s">
        <v>741</v>
      </c>
      <c r="L1444" s="329">
        <v>44043</v>
      </c>
      <c r="M1444" s="332">
        <v>0</v>
      </c>
    </row>
    <row r="1445" spans="1:13" hidden="1" x14ac:dyDescent="0.25">
      <c r="A1445" s="329">
        <v>44043</v>
      </c>
      <c r="B1445" s="328" t="s">
        <v>1688</v>
      </c>
      <c r="C1445" s="328" t="s">
        <v>1060</v>
      </c>
      <c r="D1445" s="330">
        <v>1</v>
      </c>
      <c r="E1445" s="331">
        <v>-77</v>
      </c>
      <c r="F1445" s="331">
        <v>4999.5</v>
      </c>
      <c r="G1445" s="328" t="s">
        <v>1686</v>
      </c>
      <c r="H1445" s="328" t="s">
        <v>1737</v>
      </c>
      <c r="I1445" s="328" t="s">
        <v>110</v>
      </c>
      <c r="J1445" s="328" t="s">
        <v>757</v>
      </c>
      <c r="K1445" s="328" t="s">
        <v>741</v>
      </c>
      <c r="L1445" s="329">
        <v>44043</v>
      </c>
      <c r="M1445" s="332">
        <v>0</v>
      </c>
    </row>
    <row r="1446" spans="1:13" hidden="1" x14ac:dyDescent="0.25">
      <c r="A1446" s="329">
        <v>44043</v>
      </c>
      <c r="B1446" s="328" t="s">
        <v>1688</v>
      </c>
      <c r="C1446" s="328" t="s">
        <v>1060</v>
      </c>
      <c r="D1446" s="330">
        <v>1</v>
      </c>
      <c r="E1446" s="331">
        <v>-16.5</v>
      </c>
      <c r="F1446" s="331">
        <v>4983</v>
      </c>
      <c r="G1446" s="328" t="s">
        <v>1687</v>
      </c>
      <c r="H1446" s="328" t="s">
        <v>1737</v>
      </c>
      <c r="I1446" s="328" t="s">
        <v>110</v>
      </c>
      <c r="J1446" s="328" t="s">
        <v>757</v>
      </c>
      <c r="K1446" s="328" t="s">
        <v>741</v>
      </c>
      <c r="L1446" s="329">
        <v>44043</v>
      </c>
      <c r="M1446" s="332">
        <v>0</v>
      </c>
    </row>
    <row r="1447" spans="1:13" hidden="1" x14ac:dyDescent="0.25">
      <c r="A1447" s="329">
        <v>44043</v>
      </c>
      <c r="B1447" s="328" t="s">
        <v>1689</v>
      </c>
      <c r="C1447" s="328" t="s">
        <v>1060</v>
      </c>
      <c r="D1447" s="330">
        <v>1</v>
      </c>
      <c r="E1447" s="331">
        <v>77</v>
      </c>
      <c r="F1447" s="331">
        <v>5060</v>
      </c>
      <c r="G1447" s="328" t="s">
        <v>1686</v>
      </c>
      <c r="H1447" s="328" t="s">
        <v>1737</v>
      </c>
      <c r="I1447" s="328" t="s">
        <v>110</v>
      </c>
      <c r="J1447" s="328" t="s">
        <v>757</v>
      </c>
      <c r="K1447" s="328" t="s">
        <v>741</v>
      </c>
      <c r="L1447" s="329">
        <v>44043</v>
      </c>
      <c r="M1447" s="332">
        <v>0</v>
      </c>
    </row>
    <row r="1448" spans="1:13" hidden="1" x14ac:dyDescent="0.25">
      <c r="A1448" s="329">
        <v>44043</v>
      </c>
      <c r="B1448" s="328" t="s">
        <v>1689</v>
      </c>
      <c r="C1448" s="328" t="s">
        <v>1060</v>
      </c>
      <c r="D1448" s="330">
        <v>1</v>
      </c>
      <c r="E1448" s="331">
        <v>-16.5</v>
      </c>
      <c r="F1448" s="331">
        <v>5043.5</v>
      </c>
      <c r="G1448" s="328" t="s">
        <v>1690</v>
      </c>
      <c r="H1448" s="328" t="s">
        <v>1737</v>
      </c>
      <c r="I1448" s="328" t="s">
        <v>110</v>
      </c>
      <c r="J1448" s="328" t="s">
        <v>757</v>
      </c>
      <c r="K1448" s="328" t="s">
        <v>741</v>
      </c>
      <c r="L1448" s="329">
        <v>44043</v>
      </c>
      <c r="M1448" s="332">
        <v>0</v>
      </c>
    </row>
    <row r="1449" spans="1:13" hidden="1" x14ac:dyDescent="0.25">
      <c r="A1449" s="329">
        <v>44043</v>
      </c>
      <c r="B1449" s="328" t="s">
        <v>1691</v>
      </c>
      <c r="C1449" s="328" t="s">
        <v>769</v>
      </c>
      <c r="D1449" s="330">
        <v>2</v>
      </c>
      <c r="E1449" s="331">
        <v>77</v>
      </c>
      <c r="F1449" s="331">
        <v>5120.5</v>
      </c>
      <c r="G1449" s="328" t="s">
        <v>1692</v>
      </c>
      <c r="H1449" s="328" t="s">
        <v>1737</v>
      </c>
      <c r="I1449" s="328" t="s">
        <v>110</v>
      </c>
      <c r="J1449" s="328" t="s">
        <v>757</v>
      </c>
      <c r="K1449" s="328" t="s">
        <v>770</v>
      </c>
      <c r="L1449" s="329">
        <v>44043</v>
      </c>
      <c r="M1449" s="332">
        <v>0</v>
      </c>
    </row>
    <row r="1450" spans="1:13" hidden="1" x14ac:dyDescent="0.25">
      <c r="A1450" s="329">
        <v>44043</v>
      </c>
      <c r="B1450" s="328" t="s">
        <v>1693</v>
      </c>
      <c r="C1450" s="328" t="s">
        <v>936</v>
      </c>
      <c r="D1450" s="330">
        <v>2</v>
      </c>
      <c r="E1450" s="331">
        <v>-16.5</v>
      </c>
      <c r="F1450" s="331">
        <v>5104</v>
      </c>
      <c r="G1450" s="328" t="s">
        <v>1694</v>
      </c>
      <c r="H1450" s="328" t="s">
        <v>1737</v>
      </c>
      <c r="I1450" s="328" t="s">
        <v>110</v>
      </c>
      <c r="J1450" s="328" t="s">
        <v>757</v>
      </c>
      <c r="K1450" s="328" t="s">
        <v>770</v>
      </c>
      <c r="L1450" s="329">
        <v>44043</v>
      </c>
      <c r="M1450" s="332">
        <v>0</v>
      </c>
    </row>
    <row r="1451" spans="1:13" hidden="1" x14ac:dyDescent="0.25">
      <c r="A1451" s="329">
        <v>44043</v>
      </c>
      <c r="B1451" s="328" t="s">
        <v>1685</v>
      </c>
      <c r="C1451" s="328" t="s">
        <v>1060</v>
      </c>
      <c r="D1451" s="330">
        <v>2</v>
      </c>
      <c r="E1451" s="331">
        <v>-77</v>
      </c>
      <c r="F1451" s="331">
        <v>5027</v>
      </c>
      <c r="G1451" s="328" t="s">
        <v>1686</v>
      </c>
      <c r="H1451" s="328" t="s">
        <v>1737</v>
      </c>
      <c r="I1451" s="328" t="s">
        <v>110</v>
      </c>
      <c r="J1451" s="328" t="s">
        <v>757</v>
      </c>
      <c r="K1451" s="328" t="s">
        <v>741</v>
      </c>
      <c r="L1451" s="329">
        <v>44043</v>
      </c>
      <c r="M1451" s="332">
        <v>0</v>
      </c>
    </row>
    <row r="1452" spans="1:13" hidden="1" x14ac:dyDescent="0.25">
      <c r="A1452" s="329">
        <v>44043</v>
      </c>
      <c r="B1452" s="328" t="s">
        <v>1685</v>
      </c>
      <c r="C1452" s="328" t="s">
        <v>1060</v>
      </c>
      <c r="D1452" s="330">
        <v>2</v>
      </c>
      <c r="E1452" s="331">
        <v>-16.5</v>
      </c>
      <c r="F1452" s="331">
        <v>5010.5</v>
      </c>
      <c r="G1452" s="328" t="s">
        <v>1687</v>
      </c>
      <c r="H1452" s="328" t="s">
        <v>1737</v>
      </c>
      <c r="I1452" s="328" t="s">
        <v>110</v>
      </c>
      <c r="J1452" s="328" t="s">
        <v>757</v>
      </c>
      <c r="K1452" s="328" t="s">
        <v>741</v>
      </c>
      <c r="L1452" s="329">
        <v>44043</v>
      </c>
      <c r="M1452" s="332">
        <v>0</v>
      </c>
    </row>
    <row r="1453" spans="1:13" hidden="1" x14ac:dyDescent="0.25">
      <c r="A1453" s="329">
        <v>44043</v>
      </c>
      <c r="B1453" s="328" t="s">
        <v>1688</v>
      </c>
      <c r="C1453" s="328" t="s">
        <v>1060</v>
      </c>
      <c r="D1453" s="330">
        <v>2</v>
      </c>
      <c r="E1453" s="331">
        <v>77</v>
      </c>
      <c r="F1453" s="331">
        <v>5087.5</v>
      </c>
      <c r="G1453" s="328" t="s">
        <v>1686</v>
      </c>
      <c r="H1453" s="328" t="s">
        <v>1737</v>
      </c>
      <c r="I1453" s="328" t="s">
        <v>110</v>
      </c>
      <c r="J1453" s="328" t="s">
        <v>757</v>
      </c>
      <c r="K1453" s="328" t="s">
        <v>741</v>
      </c>
      <c r="L1453" s="329">
        <v>44043</v>
      </c>
      <c r="M1453" s="332">
        <v>0</v>
      </c>
    </row>
    <row r="1454" spans="1:13" hidden="1" x14ac:dyDescent="0.25">
      <c r="A1454" s="329">
        <v>44043</v>
      </c>
      <c r="B1454" s="328" t="s">
        <v>1688</v>
      </c>
      <c r="C1454" s="328" t="s">
        <v>1060</v>
      </c>
      <c r="D1454" s="330">
        <v>2</v>
      </c>
      <c r="E1454" s="331">
        <v>16.5</v>
      </c>
      <c r="F1454" s="331">
        <v>5104</v>
      </c>
      <c r="G1454" s="328" t="s">
        <v>1687</v>
      </c>
      <c r="H1454" s="328" t="s">
        <v>1737</v>
      </c>
      <c r="I1454" s="328" t="s">
        <v>110</v>
      </c>
      <c r="J1454" s="328" t="s">
        <v>757</v>
      </c>
      <c r="K1454" s="328" t="s">
        <v>741</v>
      </c>
      <c r="L1454" s="329">
        <v>44043</v>
      </c>
      <c r="M1454" s="332">
        <v>0</v>
      </c>
    </row>
    <row r="1455" spans="1:13" hidden="1" x14ac:dyDescent="0.25">
      <c r="A1455" s="329">
        <v>44043</v>
      </c>
      <c r="B1455" s="328" t="s">
        <v>1689</v>
      </c>
      <c r="C1455" s="328" t="s">
        <v>1060</v>
      </c>
      <c r="D1455" s="330">
        <v>2</v>
      </c>
      <c r="E1455" s="331">
        <v>-77</v>
      </c>
      <c r="F1455" s="331">
        <v>5027</v>
      </c>
      <c r="G1455" s="328" t="s">
        <v>1686</v>
      </c>
      <c r="H1455" s="328" t="s">
        <v>1737</v>
      </c>
      <c r="I1455" s="328" t="s">
        <v>110</v>
      </c>
      <c r="J1455" s="328" t="s">
        <v>757</v>
      </c>
      <c r="K1455" s="328" t="s">
        <v>741</v>
      </c>
      <c r="L1455" s="329">
        <v>44043</v>
      </c>
      <c r="M1455" s="332">
        <v>0</v>
      </c>
    </row>
    <row r="1456" spans="1:13" hidden="1" x14ac:dyDescent="0.25">
      <c r="A1456" s="329">
        <v>44043</v>
      </c>
      <c r="B1456" s="328" t="s">
        <v>1689</v>
      </c>
      <c r="C1456" s="328" t="s">
        <v>1060</v>
      </c>
      <c r="D1456" s="330">
        <v>2</v>
      </c>
      <c r="E1456" s="331">
        <v>16.5</v>
      </c>
      <c r="F1456" s="331">
        <v>5043.5</v>
      </c>
      <c r="G1456" s="328" t="s">
        <v>1690</v>
      </c>
      <c r="H1456" s="328" t="s">
        <v>1737</v>
      </c>
      <c r="I1456" s="328" t="s">
        <v>110</v>
      </c>
      <c r="J1456" s="328" t="s">
        <v>757</v>
      </c>
      <c r="K1456" s="328" t="s">
        <v>741</v>
      </c>
      <c r="L1456" s="329">
        <v>44043</v>
      </c>
      <c r="M1456" s="332">
        <v>0</v>
      </c>
    </row>
    <row r="1457" spans="1:13" hidden="1" x14ac:dyDescent="0.25">
      <c r="A1457" s="329">
        <v>44074</v>
      </c>
      <c r="B1457" s="328" t="s">
        <v>1695</v>
      </c>
      <c r="C1457" s="328" t="s">
        <v>1060</v>
      </c>
      <c r="D1457" s="330">
        <v>2</v>
      </c>
      <c r="E1457" s="331">
        <v>44</v>
      </c>
      <c r="F1457" s="331">
        <v>5087.5</v>
      </c>
      <c r="G1457" s="328" t="s">
        <v>1696</v>
      </c>
      <c r="H1457" s="328" t="s">
        <v>1737</v>
      </c>
      <c r="I1457" s="328" t="s">
        <v>110</v>
      </c>
      <c r="J1457" s="328" t="s">
        <v>757</v>
      </c>
      <c r="K1457" s="328" t="s">
        <v>741</v>
      </c>
      <c r="L1457" s="329">
        <v>44074</v>
      </c>
      <c r="M1457" s="332">
        <v>0</v>
      </c>
    </row>
    <row r="1458" spans="1:13" hidden="1" x14ac:dyDescent="0.25">
      <c r="A1458" s="329">
        <v>44074</v>
      </c>
      <c r="B1458" s="328" t="s">
        <v>1697</v>
      </c>
      <c r="C1458" s="328" t="s">
        <v>769</v>
      </c>
      <c r="D1458" s="330">
        <v>3</v>
      </c>
      <c r="E1458" s="331">
        <v>44</v>
      </c>
      <c r="F1458" s="331">
        <v>5131.5</v>
      </c>
      <c r="G1458" s="328" t="s">
        <v>1698</v>
      </c>
      <c r="H1458" s="328" t="s">
        <v>1737</v>
      </c>
      <c r="I1458" s="328" t="s">
        <v>110</v>
      </c>
      <c r="J1458" s="328" t="s">
        <v>757</v>
      </c>
      <c r="K1458" s="328" t="s">
        <v>770</v>
      </c>
      <c r="L1458" s="329">
        <v>44074</v>
      </c>
      <c r="M1458" s="332">
        <v>0</v>
      </c>
    </row>
    <row r="1459" spans="1:13" hidden="1" x14ac:dyDescent="0.25">
      <c r="A1459" s="329">
        <v>44074</v>
      </c>
      <c r="B1459" s="328" t="s">
        <v>1695</v>
      </c>
      <c r="C1459" s="328" t="s">
        <v>1060</v>
      </c>
      <c r="D1459" s="330">
        <v>3</v>
      </c>
      <c r="E1459" s="331">
        <v>-44</v>
      </c>
      <c r="F1459" s="331">
        <v>5087.5</v>
      </c>
      <c r="G1459" s="328" t="s">
        <v>1696</v>
      </c>
      <c r="H1459" s="328" t="s">
        <v>1737</v>
      </c>
      <c r="I1459" s="328" t="s">
        <v>110</v>
      </c>
      <c r="J1459" s="328" t="s">
        <v>757</v>
      </c>
      <c r="K1459" s="328" t="s">
        <v>741</v>
      </c>
      <c r="L1459" s="329">
        <v>44074</v>
      </c>
      <c r="M1459" s="332">
        <v>0</v>
      </c>
    </row>
    <row r="1460" spans="1:13" hidden="1" x14ac:dyDescent="0.25">
      <c r="A1460" s="329">
        <v>44104</v>
      </c>
      <c r="B1460" s="328" t="s">
        <v>1699</v>
      </c>
      <c r="C1460" s="328" t="s">
        <v>1060</v>
      </c>
      <c r="D1460" s="330">
        <v>3</v>
      </c>
      <c r="E1460" s="331">
        <v>66</v>
      </c>
      <c r="F1460" s="331">
        <v>5153.5</v>
      </c>
      <c r="G1460" s="328" t="s">
        <v>1700</v>
      </c>
      <c r="H1460" s="328" t="s">
        <v>1737</v>
      </c>
      <c r="I1460" s="328" t="s">
        <v>110</v>
      </c>
      <c r="J1460" s="328" t="s">
        <v>757</v>
      </c>
      <c r="K1460" s="328" t="s">
        <v>741</v>
      </c>
      <c r="L1460" s="329">
        <v>44104</v>
      </c>
      <c r="M1460" s="332">
        <v>0</v>
      </c>
    </row>
    <row r="1461" spans="1:13" hidden="1" x14ac:dyDescent="0.25">
      <c r="A1461" s="329">
        <v>44104</v>
      </c>
      <c r="B1461" s="328" t="s">
        <v>1699</v>
      </c>
      <c r="C1461" s="328" t="s">
        <v>1060</v>
      </c>
      <c r="D1461" s="330">
        <v>4</v>
      </c>
      <c r="E1461" s="331">
        <v>-66</v>
      </c>
      <c r="F1461" s="331">
        <v>5087.5</v>
      </c>
      <c r="G1461" s="328" t="s">
        <v>1700</v>
      </c>
      <c r="H1461" s="328" t="s">
        <v>1737</v>
      </c>
      <c r="I1461" s="328" t="s">
        <v>110</v>
      </c>
      <c r="J1461" s="328" t="s">
        <v>757</v>
      </c>
      <c r="K1461" s="328" t="s">
        <v>741</v>
      </c>
      <c r="L1461" s="329">
        <v>44104</v>
      </c>
      <c r="M1461" s="332">
        <v>0</v>
      </c>
    </row>
    <row r="1462" spans="1:13" hidden="1" x14ac:dyDescent="0.25">
      <c r="A1462" s="329">
        <v>44105</v>
      </c>
      <c r="B1462" s="328" t="s">
        <v>1701</v>
      </c>
      <c r="C1462" s="328" t="s">
        <v>769</v>
      </c>
      <c r="D1462" s="330">
        <v>4</v>
      </c>
      <c r="E1462" s="331">
        <v>66</v>
      </c>
      <c r="F1462" s="331">
        <v>5153.5</v>
      </c>
      <c r="G1462" s="328" t="s">
        <v>1702</v>
      </c>
      <c r="H1462" s="328" t="s">
        <v>1737</v>
      </c>
      <c r="I1462" s="328" t="s">
        <v>110</v>
      </c>
      <c r="J1462" s="328" t="s">
        <v>757</v>
      </c>
      <c r="K1462" s="328" t="s">
        <v>770</v>
      </c>
      <c r="L1462" s="329">
        <v>44105</v>
      </c>
      <c r="M1462" s="332">
        <v>0</v>
      </c>
    </row>
    <row r="1463" spans="1:13" hidden="1" x14ac:dyDescent="0.25">
      <c r="A1463" s="329">
        <v>44135</v>
      </c>
      <c r="B1463" s="328" t="s">
        <v>1703</v>
      </c>
      <c r="C1463" s="328" t="s">
        <v>1060</v>
      </c>
      <c r="D1463" s="330">
        <v>4</v>
      </c>
      <c r="E1463" s="331">
        <v>33</v>
      </c>
      <c r="F1463" s="331">
        <v>5186.5</v>
      </c>
      <c r="G1463" s="328" t="s">
        <v>1704</v>
      </c>
      <c r="H1463" s="328" t="s">
        <v>1737</v>
      </c>
      <c r="I1463" s="328" t="s">
        <v>110</v>
      </c>
      <c r="J1463" s="328" t="s">
        <v>757</v>
      </c>
      <c r="K1463" s="328" t="s">
        <v>741</v>
      </c>
      <c r="L1463" s="329">
        <v>44135</v>
      </c>
      <c r="M1463" s="332">
        <v>0</v>
      </c>
    </row>
    <row r="1464" spans="1:13" hidden="1" x14ac:dyDescent="0.25">
      <c r="A1464" s="329">
        <v>44135</v>
      </c>
      <c r="B1464" s="328" t="s">
        <v>1703</v>
      </c>
      <c r="C1464" s="328" t="s">
        <v>1060</v>
      </c>
      <c r="D1464" s="330">
        <v>5</v>
      </c>
      <c r="E1464" s="331">
        <v>-33</v>
      </c>
      <c r="F1464" s="331">
        <v>5153.5</v>
      </c>
      <c r="G1464" s="328" t="s">
        <v>1704</v>
      </c>
      <c r="H1464" s="328" t="s">
        <v>1737</v>
      </c>
      <c r="I1464" s="328" t="s">
        <v>110</v>
      </c>
      <c r="J1464" s="328" t="s">
        <v>757</v>
      </c>
      <c r="K1464" s="328" t="s">
        <v>741</v>
      </c>
      <c r="L1464" s="329">
        <v>44135</v>
      </c>
      <c r="M1464" s="332">
        <v>0</v>
      </c>
    </row>
    <row r="1465" spans="1:13" hidden="1" x14ac:dyDescent="0.25">
      <c r="A1465" s="329">
        <v>44135</v>
      </c>
      <c r="B1465" s="328" t="s">
        <v>1705</v>
      </c>
      <c r="C1465" s="328" t="s">
        <v>769</v>
      </c>
      <c r="D1465" s="330">
        <v>5</v>
      </c>
      <c r="E1465" s="331">
        <v>33</v>
      </c>
      <c r="F1465" s="331">
        <v>5186.5</v>
      </c>
      <c r="G1465" s="328" t="s">
        <v>1706</v>
      </c>
      <c r="H1465" s="328" t="s">
        <v>1737</v>
      </c>
      <c r="I1465" s="328" t="s">
        <v>110</v>
      </c>
      <c r="J1465" s="328" t="s">
        <v>757</v>
      </c>
      <c r="K1465" s="328" t="s">
        <v>770</v>
      </c>
      <c r="L1465" s="329">
        <v>44135</v>
      </c>
      <c r="M1465" s="332">
        <v>0</v>
      </c>
    </row>
    <row r="1466" spans="1:13" hidden="1" x14ac:dyDescent="0.25">
      <c r="A1466" s="329">
        <v>44165</v>
      </c>
      <c r="B1466" s="328" t="s">
        <v>1707</v>
      </c>
      <c r="C1466" s="328" t="s">
        <v>1060</v>
      </c>
      <c r="D1466" s="330">
        <v>5</v>
      </c>
      <c r="E1466" s="331">
        <v>33</v>
      </c>
      <c r="F1466" s="331">
        <v>5219.5</v>
      </c>
      <c r="G1466" s="328" t="s">
        <v>1708</v>
      </c>
      <c r="H1466" s="328" t="s">
        <v>1737</v>
      </c>
      <c r="I1466" s="328" t="s">
        <v>110</v>
      </c>
      <c r="J1466" s="328" t="s">
        <v>757</v>
      </c>
      <c r="K1466" s="328" t="s">
        <v>741</v>
      </c>
      <c r="L1466" s="329">
        <v>44165</v>
      </c>
      <c r="M1466" s="332">
        <v>0</v>
      </c>
    </row>
    <row r="1467" spans="1:13" hidden="1" x14ac:dyDescent="0.25">
      <c r="A1467" s="329">
        <v>44165</v>
      </c>
      <c r="B1467" s="328" t="s">
        <v>1707</v>
      </c>
      <c r="C1467" s="328" t="s">
        <v>1060</v>
      </c>
      <c r="D1467" s="330">
        <v>6</v>
      </c>
      <c r="E1467" s="331">
        <v>-33</v>
      </c>
      <c r="F1467" s="331">
        <v>5186.5</v>
      </c>
      <c r="G1467" s="328" t="s">
        <v>1708</v>
      </c>
      <c r="H1467" s="328" t="s">
        <v>1737</v>
      </c>
      <c r="I1467" s="328" t="s">
        <v>110</v>
      </c>
      <c r="J1467" s="328" t="s">
        <v>757</v>
      </c>
      <c r="K1467" s="328" t="s">
        <v>741</v>
      </c>
      <c r="L1467" s="329">
        <v>44165</v>
      </c>
      <c r="M1467" s="332">
        <v>0</v>
      </c>
    </row>
    <row r="1468" spans="1:13" hidden="1" x14ac:dyDescent="0.25">
      <c r="A1468" s="329">
        <v>44165</v>
      </c>
      <c r="B1468" s="328" t="s">
        <v>1709</v>
      </c>
      <c r="C1468" s="328" t="s">
        <v>769</v>
      </c>
      <c r="D1468" s="330">
        <v>6</v>
      </c>
      <c r="E1468" s="331">
        <v>33</v>
      </c>
      <c r="F1468" s="331">
        <v>5219.5</v>
      </c>
      <c r="G1468" s="328" t="s">
        <v>1710</v>
      </c>
      <c r="H1468" s="328" t="s">
        <v>1737</v>
      </c>
      <c r="I1468" s="328" t="s">
        <v>110</v>
      </c>
      <c r="J1468" s="328" t="s">
        <v>757</v>
      </c>
      <c r="K1468" s="328" t="s">
        <v>770</v>
      </c>
      <c r="L1468" s="329">
        <v>44165</v>
      </c>
      <c r="M1468" s="332">
        <v>0</v>
      </c>
    </row>
    <row r="1469" spans="1:13" hidden="1" x14ac:dyDescent="0.25">
      <c r="A1469" s="329">
        <v>44196</v>
      </c>
      <c r="B1469" s="328" t="s">
        <v>1711</v>
      </c>
      <c r="C1469" s="328" t="s">
        <v>1060</v>
      </c>
      <c r="D1469" s="330">
        <v>6</v>
      </c>
      <c r="E1469" s="331">
        <v>33</v>
      </c>
      <c r="F1469" s="331">
        <v>5252.5</v>
      </c>
      <c r="G1469" s="328" t="s">
        <v>1712</v>
      </c>
      <c r="H1469" s="328" t="s">
        <v>1737</v>
      </c>
      <c r="I1469" s="328" t="s">
        <v>110</v>
      </c>
      <c r="J1469" s="328" t="s">
        <v>757</v>
      </c>
      <c r="K1469" s="328" t="s">
        <v>741</v>
      </c>
      <c r="L1469" s="329">
        <v>44196</v>
      </c>
      <c r="M1469" s="332">
        <v>0</v>
      </c>
    </row>
    <row r="1470" spans="1:13" hidden="1" x14ac:dyDescent="0.25">
      <c r="A1470" s="329">
        <v>44196</v>
      </c>
      <c r="B1470" s="328" t="s">
        <v>1711</v>
      </c>
      <c r="C1470" s="328" t="s">
        <v>1060</v>
      </c>
      <c r="D1470" s="330">
        <v>7</v>
      </c>
      <c r="E1470" s="331">
        <v>-33</v>
      </c>
      <c r="F1470" s="331">
        <v>5219.5</v>
      </c>
      <c r="G1470" s="328" t="s">
        <v>1712</v>
      </c>
      <c r="H1470" s="328" t="s">
        <v>1737</v>
      </c>
      <c r="I1470" s="328" t="s">
        <v>110</v>
      </c>
      <c r="J1470" s="328" t="s">
        <v>757</v>
      </c>
      <c r="K1470" s="328" t="s">
        <v>741</v>
      </c>
      <c r="L1470" s="329">
        <v>44196</v>
      </c>
      <c r="M1470" s="332">
        <v>0</v>
      </c>
    </row>
    <row r="1471" spans="1:13" hidden="1" x14ac:dyDescent="0.25">
      <c r="A1471" s="329">
        <v>44196</v>
      </c>
      <c r="B1471" s="328" t="s">
        <v>1713</v>
      </c>
      <c r="C1471" s="328" t="s">
        <v>769</v>
      </c>
      <c r="D1471" s="330">
        <v>7</v>
      </c>
      <c r="E1471" s="331">
        <v>33</v>
      </c>
      <c r="F1471" s="331">
        <v>5252.5</v>
      </c>
      <c r="G1471" s="328" t="s">
        <v>1714</v>
      </c>
      <c r="H1471" s="328" t="s">
        <v>1737</v>
      </c>
      <c r="I1471" s="328" t="s">
        <v>110</v>
      </c>
      <c r="J1471" s="328" t="s">
        <v>757</v>
      </c>
      <c r="K1471" s="328" t="s">
        <v>770</v>
      </c>
      <c r="L1471" s="329">
        <v>44196</v>
      </c>
      <c r="M1471" s="332">
        <v>0</v>
      </c>
    </row>
    <row r="1472" spans="1:13" hidden="1" x14ac:dyDescent="0.25">
      <c r="A1472" s="329">
        <v>44227</v>
      </c>
      <c r="B1472" s="328" t="s">
        <v>1715</v>
      </c>
      <c r="C1472" s="328" t="s">
        <v>1060</v>
      </c>
      <c r="D1472" s="330">
        <v>7</v>
      </c>
      <c r="E1472" s="331">
        <v>27.5</v>
      </c>
      <c r="F1472" s="331">
        <v>5280</v>
      </c>
      <c r="G1472" s="328" t="s">
        <v>1716</v>
      </c>
      <c r="H1472" s="328" t="s">
        <v>1737</v>
      </c>
      <c r="I1472" s="328" t="s">
        <v>110</v>
      </c>
      <c r="J1472" s="328" t="s">
        <v>757</v>
      </c>
      <c r="K1472" s="328" t="s">
        <v>741</v>
      </c>
      <c r="L1472" s="329">
        <v>44227</v>
      </c>
      <c r="M1472" s="332">
        <v>0</v>
      </c>
    </row>
    <row r="1473" spans="1:13" hidden="1" x14ac:dyDescent="0.25">
      <c r="A1473" s="329">
        <v>44227</v>
      </c>
      <c r="B1473" s="328" t="s">
        <v>1715</v>
      </c>
      <c r="C1473" s="328" t="s">
        <v>1060</v>
      </c>
      <c r="D1473" s="330">
        <v>8</v>
      </c>
      <c r="E1473" s="331">
        <v>-27.5</v>
      </c>
      <c r="F1473" s="331">
        <v>5252.5</v>
      </c>
      <c r="G1473" s="328" t="s">
        <v>1716</v>
      </c>
      <c r="H1473" s="328" t="s">
        <v>1737</v>
      </c>
      <c r="I1473" s="328" t="s">
        <v>110</v>
      </c>
      <c r="J1473" s="328" t="s">
        <v>757</v>
      </c>
      <c r="K1473" s="328" t="s">
        <v>741</v>
      </c>
      <c r="L1473" s="329">
        <v>44227</v>
      </c>
      <c r="M1473" s="332">
        <v>0</v>
      </c>
    </row>
    <row r="1474" spans="1:13" hidden="1" x14ac:dyDescent="0.25">
      <c r="A1474" s="329">
        <v>44227</v>
      </c>
      <c r="B1474" s="328" t="s">
        <v>1717</v>
      </c>
      <c r="C1474" s="328" t="s">
        <v>769</v>
      </c>
      <c r="D1474" s="330">
        <v>8</v>
      </c>
      <c r="E1474" s="331">
        <v>27.5</v>
      </c>
      <c r="F1474" s="331">
        <v>5280</v>
      </c>
      <c r="G1474" s="328" t="s">
        <v>1718</v>
      </c>
      <c r="H1474" s="328" t="s">
        <v>1737</v>
      </c>
      <c r="I1474" s="328" t="s">
        <v>110</v>
      </c>
      <c r="J1474" s="328" t="s">
        <v>757</v>
      </c>
      <c r="K1474" s="328" t="s">
        <v>770</v>
      </c>
      <c r="L1474" s="329">
        <v>44227</v>
      </c>
      <c r="M1474" s="332">
        <v>0</v>
      </c>
    </row>
    <row r="1475" spans="1:13" hidden="1" x14ac:dyDescent="0.25">
      <c r="A1475" s="329">
        <v>44255</v>
      </c>
      <c r="B1475" s="328" t="s">
        <v>1720</v>
      </c>
      <c r="C1475" s="328" t="s">
        <v>1060</v>
      </c>
      <c r="D1475" s="330">
        <v>8</v>
      </c>
      <c r="E1475" s="331">
        <v>33</v>
      </c>
      <c r="F1475" s="331">
        <v>5313</v>
      </c>
      <c r="G1475" s="328" t="s">
        <v>1721</v>
      </c>
      <c r="H1475" s="328" t="s">
        <v>1737</v>
      </c>
      <c r="I1475" s="328" t="s">
        <v>110</v>
      </c>
      <c r="J1475" s="328" t="s">
        <v>757</v>
      </c>
      <c r="K1475" s="328" t="s">
        <v>741</v>
      </c>
      <c r="L1475" s="329">
        <v>44255</v>
      </c>
      <c r="M1475" s="332">
        <v>0</v>
      </c>
    </row>
    <row r="1476" spans="1:13" hidden="1" x14ac:dyDescent="0.25">
      <c r="A1476" s="329">
        <v>44255</v>
      </c>
      <c r="B1476" s="328" t="s">
        <v>1720</v>
      </c>
      <c r="C1476" s="328" t="s">
        <v>1060</v>
      </c>
      <c r="D1476" s="330">
        <v>9</v>
      </c>
      <c r="E1476" s="331">
        <v>-33</v>
      </c>
      <c r="F1476" s="331">
        <v>5280</v>
      </c>
      <c r="G1476" s="328" t="s">
        <v>1721</v>
      </c>
      <c r="H1476" s="328" t="s">
        <v>1737</v>
      </c>
      <c r="I1476" s="328" t="s">
        <v>110</v>
      </c>
      <c r="J1476" s="328" t="s">
        <v>757</v>
      </c>
      <c r="K1476" s="328" t="s">
        <v>741</v>
      </c>
      <c r="L1476" s="329">
        <v>44255</v>
      </c>
      <c r="M1476" s="332">
        <v>0</v>
      </c>
    </row>
    <row r="1477" spans="1:13" hidden="1" x14ac:dyDescent="0.25">
      <c r="A1477" s="329">
        <v>44255</v>
      </c>
      <c r="B1477" s="328" t="s">
        <v>1722</v>
      </c>
      <c r="C1477" s="328" t="s">
        <v>769</v>
      </c>
      <c r="D1477" s="330">
        <v>9</v>
      </c>
      <c r="E1477" s="331">
        <v>33</v>
      </c>
      <c r="F1477" s="331">
        <v>5313</v>
      </c>
      <c r="G1477" s="328" t="s">
        <v>1723</v>
      </c>
      <c r="H1477" s="328" t="s">
        <v>1737</v>
      </c>
      <c r="I1477" s="328" t="s">
        <v>110</v>
      </c>
      <c r="J1477" s="328" t="s">
        <v>757</v>
      </c>
      <c r="K1477" s="328" t="s">
        <v>770</v>
      </c>
      <c r="L1477" s="329">
        <v>44255</v>
      </c>
      <c r="M1477" s="332">
        <v>0</v>
      </c>
    </row>
    <row r="1478" spans="1:13" hidden="1" x14ac:dyDescent="0.25">
      <c r="A1478" s="329">
        <v>44286</v>
      </c>
      <c r="B1478" s="328" t="s">
        <v>1724</v>
      </c>
      <c r="C1478" s="328" t="s">
        <v>1060</v>
      </c>
      <c r="D1478" s="330">
        <v>9</v>
      </c>
      <c r="E1478" s="331">
        <v>49.5</v>
      </c>
      <c r="F1478" s="331">
        <v>5362.5</v>
      </c>
      <c r="G1478" s="328" t="s">
        <v>1725</v>
      </c>
      <c r="H1478" s="328" t="s">
        <v>1737</v>
      </c>
      <c r="I1478" s="328" t="s">
        <v>110</v>
      </c>
      <c r="J1478" s="328" t="s">
        <v>757</v>
      </c>
      <c r="K1478" s="328" t="s">
        <v>741</v>
      </c>
      <c r="L1478" s="329">
        <v>44286</v>
      </c>
      <c r="M1478" s="332">
        <v>0</v>
      </c>
    </row>
    <row r="1479" spans="1:13" hidden="1" x14ac:dyDescent="0.25">
      <c r="A1479" s="329">
        <v>44286</v>
      </c>
      <c r="B1479" s="328" t="s">
        <v>1726</v>
      </c>
      <c r="C1479" s="328" t="s">
        <v>769</v>
      </c>
      <c r="D1479" s="330">
        <v>10</v>
      </c>
      <c r="E1479" s="331">
        <v>49.5</v>
      </c>
      <c r="F1479" s="331">
        <v>5412</v>
      </c>
      <c r="G1479" s="328" t="s">
        <v>1727</v>
      </c>
      <c r="H1479" s="328" t="s">
        <v>1737</v>
      </c>
      <c r="I1479" s="328" t="s">
        <v>110</v>
      </c>
      <c r="J1479" s="328" t="s">
        <v>757</v>
      </c>
      <c r="K1479" s="328" t="s">
        <v>770</v>
      </c>
      <c r="L1479" s="329">
        <v>44286</v>
      </c>
      <c r="M1479" s="332">
        <v>0</v>
      </c>
    </row>
    <row r="1480" spans="1:13" hidden="1" x14ac:dyDescent="0.25">
      <c r="A1480" s="329">
        <v>44286</v>
      </c>
      <c r="B1480" s="328" t="s">
        <v>1724</v>
      </c>
      <c r="C1480" s="328" t="s">
        <v>1060</v>
      </c>
      <c r="D1480" s="330">
        <v>10</v>
      </c>
      <c r="E1480" s="331">
        <v>-49.5</v>
      </c>
      <c r="F1480" s="331">
        <v>5362.5</v>
      </c>
      <c r="G1480" s="328" t="s">
        <v>1725</v>
      </c>
      <c r="H1480" s="328" t="s">
        <v>1737</v>
      </c>
      <c r="I1480" s="328" t="s">
        <v>110</v>
      </c>
      <c r="J1480" s="328" t="s">
        <v>757</v>
      </c>
      <c r="K1480" s="328" t="s">
        <v>741</v>
      </c>
      <c r="L1480" s="329">
        <v>44286</v>
      </c>
      <c r="M1480" s="332">
        <v>0</v>
      </c>
    </row>
    <row r="1481" spans="1:13" hidden="1" x14ac:dyDescent="0.25">
      <c r="A1481" s="329">
        <v>44316</v>
      </c>
      <c r="B1481" s="328" t="s">
        <v>1728</v>
      </c>
      <c r="C1481" s="328" t="s">
        <v>1060</v>
      </c>
      <c r="D1481" s="330">
        <v>10</v>
      </c>
      <c r="E1481" s="331">
        <v>33</v>
      </c>
      <c r="F1481" s="331">
        <v>5395.5</v>
      </c>
      <c r="G1481" s="328" t="s">
        <v>1729</v>
      </c>
      <c r="H1481" s="328" t="s">
        <v>1737</v>
      </c>
      <c r="I1481" s="328" t="s">
        <v>110</v>
      </c>
      <c r="J1481" s="328" t="s">
        <v>757</v>
      </c>
      <c r="K1481" s="328" t="s">
        <v>741</v>
      </c>
      <c r="L1481" s="329">
        <v>44316</v>
      </c>
      <c r="M1481" s="332">
        <v>0</v>
      </c>
    </row>
    <row r="1482" spans="1:13" hidden="1" x14ac:dyDescent="0.25">
      <c r="A1482" s="329">
        <v>44012</v>
      </c>
      <c r="B1482" s="328" t="s">
        <v>1678</v>
      </c>
      <c r="C1482" s="328" t="s">
        <v>769</v>
      </c>
      <c r="D1482" s="330">
        <v>1</v>
      </c>
      <c r="E1482" s="331">
        <v>99</v>
      </c>
      <c r="F1482" s="331">
        <v>5494.5</v>
      </c>
      <c r="G1482" s="328" t="s">
        <v>1679</v>
      </c>
      <c r="H1482" s="328" t="s">
        <v>1738</v>
      </c>
      <c r="I1482" s="328" t="s">
        <v>110</v>
      </c>
      <c r="J1482" s="328" t="s">
        <v>757</v>
      </c>
      <c r="K1482" s="328" t="s">
        <v>770</v>
      </c>
      <c r="L1482" s="329">
        <v>44012</v>
      </c>
      <c r="M1482" s="332">
        <v>0</v>
      </c>
    </row>
    <row r="1483" spans="1:13" hidden="1" x14ac:dyDescent="0.25">
      <c r="A1483" s="329">
        <v>44012</v>
      </c>
      <c r="B1483" s="328" t="s">
        <v>1681</v>
      </c>
      <c r="C1483" s="328" t="s">
        <v>1059</v>
      </c>
      <c r="D1483" s="330">
        <v>1</v>
      </c>
      <c r="E1483" s="331">
        <v>-88</v>
      </c>
      <c r="F1483" s="331">
        <v>5406.5</v>
      </c>
      <c r="G1483" s="328" t="s">
        <v>1682</v>
      </c>
      <c r="H1483" s="328" t="s">
        <v>1738</v>
      </c>
      <c r="I1483" s="328" t="s">
        <v>110</v>
      </c>
      <c r="J1483" s="328" t="s">
        <v>757</v>
      </c>
      <c r="K1483" s="328" t="s">
        <v>741</v>
      </c>
      <c r="L1483" s="329">
        <v>44012</v>
      </c>
      <c r="M1483" s="332">
        <v>0</v>
      </c>
    </row>
    <row r="1484" spans="1:13" hidden="1" x14ac:dyDescent="0.25">
      <c r="A1484" s="329">
        <v>44041</v>
      </c>
      <c r="B1484" s="328" t="s">
        <v>1683</v>
      </c>
      <c r="C1484" s="328" t="s">
        <v>936</v>
      </c>
      <c r="D1484" s="330">
        <v>1</v>
      </c>
      <c r="E1484" s="331">
        <v>-11</v>
      </c>
      <c r="F1484" s="331">
        <v>5395.5</v>
      </c>
      <c r="G1484" s="328" t="s">
        <v>1684</v>
      </c>
      <c r="H1484" s="328" t="s">
        <v>1738</v>
      </c>
      <c r="I1484" s="328" t="s">
        <v>110</v>
      </c>
      <c r="J1484" s="328" t="s">
        <v>757</v>
      </c>
      <c r="K1484" s="328" t="s">
        <v>770</v>
      </c>
      <c r="L1484" s="329">
        <v>44041</v>
      </c>
      <c r="M1484" s="332">
        <v>0</v>
      </c>
    </row>
    <row r="1485" spans="1:13" hidden="1" x14ac:dyDescent="0.25">
      <c r="A1485" s="329">
        <v>44043</v>
      </c>
      <c r="B1485" s="328" t="s">
        <v>1685</v>
      </c>
      <c r="C1485" s="328" t="s">
        <v>1060</v>
      </c>
      <c r="D1485" s="330">
        <v>1</v>
      </c>
      <c r="E1485" s="331">
        <v>93.5</v>
      </c>
      <c r="F1485" s="331">
        <v>5489</v>
      </c>
      <c r="G1485" s="328" t="s">
        <v>1686</v>
      </c>
      <c r="H1485" s="328" t="s">
        <v>1738</v>
      </c>
      <c r="I1485" s="328" t="s">
        <v>110</v>
      </c>
      <c r="J1485" s="328" t="s">
        <v>757</v>
      </c>
      <c r="K1485" s="328" t="s">
        <v>741</v>
      </c>
      <c r="L1485" s="329">
        <v>44043</v>
      </c>
      <c r="M1485" s="332">
        <v>0</v>
      </c>
    </row>
    <row r="1486" spans="1:13" hidden="1" x14ac:dyDescent="0.25">
      <c r="A1486" s="329">
        <v>44043</v>
      </c>
      <c r="B1486" s="328" t="s">
        <v>1685</v>
      </c>
      <c r="C1486" s="328" t="s">
        <v>1060</v>
      </c>
      <c r="D1486" s="330">
        <v>1</v>
      </c>
      <c r="E1486" s="331">
        <v>11</v>
      </c>
      <c r="F1486" s="331">
        <v>5500</v>
      </c>
      <c r="G1486" s="328" t="s">
        <v>1687</v>
      </c>
      <c r="H1486" s="328" t="s">
        <v>1738</v>
      </c>
      <c r="I1486" s="328" t="s">
        <v>110</v>
      </c>
      <c r="J1486" s="328" t="s">
        <v>757</v>
      </c>
      <c r="K1486" s="328" t="s">
        <v>741</v>
      </c>
      <c r="L1486" s="329">
        <v>44043</v>
      </c>
      <c r="M1486" s="332">
        <v>0</v>
      </c>
    </row>
    <row r="1487" spans="1:13" hidden="1" x14ac:dyDescent="0.25">
      <c r="A1487" s="329">
        <v>44043</v>
      </c>
      <c r="B1487" s="328" t="s">
        <v>1688</v>
      </c>
      <c r="C1487" s="328" t="s">
        <v>1060</v>
      </c>
      <c r="D1487" s="330">
        <v>1</v>
      </c>
      <c r="E1487" s="331">
        <v>-93.5</v>
      </c>
      <c r="F1487" s="331">
        <v>5406.5</v>
      </c>
      <c r="G1487" s="328" t="s">
        <v>1686</v>
      </c>
      <c r="H1487" s="328" t="s">
        <v>1738</v>
      </c>
      <c r="I1487" s="328" t="s">
        <v>110</v>
      </c>
      <c r="J1487" s="328" t="s">
        <v>757</v>
      </c>
      <c r="K1487" s="328" t="s">
        <v>741</v>
      </c>
      <c r="L1487" s="329">
        <v>44043</v>
      </c>
      <c r="M1487" s="332">
        <v>0</v>
      </c>
    </row>
    <row r="1488" spans="1:13" hidden="1" x14ac:dyDescent="0.25">
      <c r="A1488" s="329">
        <v>44043</v>
      </c>
      <c r="B1488" s="328" t="s">
        <v>1688</v>
      </c>
      <c r="C1488" s="328" t="s">
        <v>1060</v>
      </c>
      <c r="D1488" s="330">
        <v>1</v>
      </c>
      <c r="E1488" s="331">
        <v>-11</v>
      </c>
      <c r="F1488" s="331">
        <v>5395.5</v>
      </c>
      <c r="G1488" s="328" t="s">
        <v>1687</v>
      </c>
      <c r="H1488" s="328" t="s">
        <v>1738</v>
      </c>
      <c r="I1488" s="328" t="s">
        <v>110</v>
      </c>
      <c r="J1488" s="328" t="s">
        <v>757</v>
      </c>
      <c r="K1488" s="328" t="s">
        <v>741</v>
      </c>
      <c r="L1488" s="329">
        <v>44043</v>
      </c>
      <c r="M1488" s="332">
        <v>0</v>
      </c>
    </row>
    <row r="1489" spans="1:13" hidden="1" x14ac:dyDescent="0.25">
      <c r="A1489" s="329">
        <v>44043</v>
      </c>
      <c r="B1489" s="328" t="s">
        <v>1689</v>
      </c>
      <c r="C1489" s="328" t="s">
        <v>1060</v>
      </c>
      <c r="D1489" s="330">
        <v>1</v>
      </c>
      <c r="E1489" s="331">
        <v>93.5</v>
      </c>
      <c r="F1489" s="331">
        <v>5489</v>
      </c>
      <c r="G1489" s="328" t="s">
        <v>1686</v>
      </c>
      <c r="H1489" s="328" t="s">
        <v>1738</v>
      </c>
      <c r="I1489" s="328" t="s">
        <v>110</v>
      </c>
      <c r="J1489" s="328" t="s">
        <v>757</v>
      </c>
      <c r="K1489" s="328" t="s">
        <v>741</v>
      </c>
      <c r="L1489" s="329">
        <v>44043</v>
      </c>
      <c r="M1489" s="332">
        <v>0</v>
      </c>
    </row>
    <row r="1490" spans="1:13" hidden="1" x14ac:dyDescent="0.25">
      <c r="A1490" s="329">
        <v>44043</v>
      </c>
      <c r="B1490" s="328" t="s">
        <v>1689</v>
      </c>
      <c r="C1490" s="328" t="s">
        <v>1060</v>
      </c>
      <c r="D1490" s="330">
        <v>1</v>
      </c>
      <c r="E1490" s="331">
        <v>-11</v>
      </c>
      <c r="F1490" s="331">
        <v>5478</v>
      </c>
      <c r="G1490" s="328" t="s">
        <v>1690</v>
      </c>
      <c r="H1490" s="328" t="s">
        <v>1738</v>
      </c>
      <c r="I1490" s="328" t="s">
        <v>110</v>
      </c>
      <c r="J1490" s="328" t="s">
        <v>757</v>
      </c>
      <c r="K1490" s="328" t="s">
        <v>741</v>
      </c>
      <c r="L1490" s="329">
        <v>44043</v>
      </c>
      <c r="M1490" s="332">
        <v>0</v>
      </c>
    </row>
    <row r="1491" spans="1:13" hidden="1" x14ac:dyDescent="0.25">
      <c r="A1491" s="329">
        <v>44043</v>
      </c>
      <c r="B1491" s="328" t="s">
        <v>1691</v>
      </c>
      <c r="C1491" s="328" t="s">
        <v>769</v>
      </c>
      <c r="D1491" s="330">
        <v>2</v>
      </c>
      <c r="E1491" s="331">
        <v>93.5</v>
      </c>
      <c r="F1491" s="331">
        <v>5571.5</v>
      </c>
      <c r="G1491" s="328" t="s">
        <v>1692</v>
      </c>
      <c r="H1491" s="328" t="s">
        <v>1738</v>
      </c>
      <c r="I1491" s="328" t="s">
        <v>110</v>
      </c>
      <c r="J1491" s="328" t="s">
        <v>757</v>
      </c>
      <c r="K1491" s="328" t="s">
        <v>770</v>
      </c>
      <c r="L1491" s="329">
        <v>44043</v>
      </c>
      <c r="M1491" s="332">
        <v>0</v>
      </c>
    </row>
    <row r="1492" spans="1:13" hidden="1" x14ac:dyDescent="0.25">
      <c r="A1492" s="329">
        <v>44043</v>
      </c>
      <c r="B1492" s="328" t="s">
        <v>1693</v>
      </c>
      <c r="C1492" s="328" t="s">
        <v>936</v>
      </c>
      <c r="D1492" s="330">
        <v>2</v>
      </c>
      <c r="E1492" s="331">
        <v>-11</v>
      </c>
      <c r="F1492" s="331">
        <v>5560.5</v>
      </c>
      <c r="G1492" s="328" t="s">
        <v>1694</v>
      </c>
      <c r="H1492" s="328" t="s">
        <v>1738</v>
      </c>
      <c r="I1492" s="328" t="s">
        <v>110</v>
      </c>
      <c r="J1492" s="328" t="s">
        <v>757</v>
      </c>
      <c r="K1492" s="328" t="s">
        <v>770</v>
      </c>
      <c r="L1492" s="329">
        <v>44043</v>
      </c>
      <c r="M1492" s="332">
        <v>0</v>
      </c>
    </row>
    <row r="1493" spans="1:13" hidden="1" x14ac:dyDescent="0.25">
      <c r="A1493" s="329">
        <v>44043</v>
      </c>
      <c r="B1493" s="328" t="s">
        <v>1685</v>
      </c>
      <c r="C1493" s="328" t="s">
        <v>1060</v>
      </c>
      <c r="D1493" s="330">
        <v>2</v>
      </c>
      <c r="E1493" s="331">
        <v>-93.5</v>
      </c>
      <c r="F1493" s="331">
        <v>5467</v>
      </c>
      <c r="G1493" s="328" t="s">
        <v>1686</v>
      </c>
      <c r="H1493" s="328" t="s">
        <v>1738</v>
      </c>
      <c r="I1493" s="328" t="s">
        <v>110</v>
      </c>
      <c r="J1493" s="328" t="s">
        <v>757</v>
      </c>
      <c r="K1493" s="328" t="s">
        <v>741</v>
      </c>
      <c r="L1493" s="329">
        <v>44043</v>
      </c>
      <c r="M1493" s="332">
        <v>0</v>
      </c>
    </row>
    <row r="1494" spans="1:13" hidden="1" x14ac:dyDescent="0.25">
      <c r="A1494" s="329">
        <v>44043</v>
      </c>
      <c r="B1494" s="328" t="s">
        <v>1685</v>
      </c>
      <c r="C1494" s="328" t="s">
        <v>1060</v>
      </c>
      <c r="D1494" s="330">
        <v>2</v>
      </c>
      <c r="E1494" s="331">
        <v>-11</v>
      </c>
      <c r="F1494" s="331">
        <v>5456</v>
      </c>
      <c r="G1494" s="328" t="s">
        <v>1687</v>
      </c>
      <c r="H1494" s="328" t="s">
        <v>1738</v>
      </c>
      <c r="I1494" s="328" t="s">
        <v>110</v>
      </c>
      <c r="J1494" s="328" t="s">
        <v>757</v>
      </c>
      <c r="K1494" s="328" t="s">
        <v>741</v>
      </c>
      <c r="L1494" s="329">
        <v>44043</v>
      </c>
      <c r="M1494" s="332">
        <v>0</v>
      </c>
    </row>
    <row r="1495" spans="1:13" hidden="1" x14ac:dyDescent="0.25">
      <c r="A1495" s="329">
        <v>44043</v>
      </c>
      <c r="B1495" s="328" t="s">
        <v>1688</v>
      </c>
      <c r="C1495" s="328" t="s">
        <v>1060</v>
      </c>
      <c r="D1495" s="330">
        <v>2</v>
      </c>
      <c r="E1495" s="331">
        <v>93.5</v>
      </c>
      <c r="F1495" s="331">
        <v>5549.5</v>
      </c>
      <c r="G1495" s="328" t="s">
        <v>1686</v>
      </c>
      <c r="H1495" s="328" t="s">
        <v>1738</v>
      </c>
      <c r="I1495" s="328" t="s">
        <v>110</v>
      </c>
      <c r="J1495" s="328" t="s">
        <v>757</v>
      </c>
      <c r="K1495" s="328" t="s">
        <v>741</v>
      </c>
      <c r="L1495" s="329">
        <v>44043</v>
      </c>
      <c r="M1495" s="332">
        <v>0</v>
      </c>
    </row>
    <row r="1496" spans="1:13" hidden="1" x14ac:dyDescent="0.25">
      <c r="A1496" s="329">
        <v>44043</v>
      </c>
      <c r="B1496" s="328" t="s">
        <v>1688</v>
      </c>
      <c r="C1496" s="328" t="s">
        <v>1060</v>
      </c>
      <c r="D1496" s="330">
        <v>2</v>
      </c>
      <c r="E1496" s="331">
        <v>11</v>
      </c>
      <c r="F1496" s="331">
        <v>5560.5</v>
      </c>
      <c r="G1496" s="328" t="s">
        <v>1687</v>
      </c>
      <c r="H1496" s="328" t="s">
        <v>1738</v>
      </c>
      <c r="I1496" s="328" t="s">
        <v>110</v>
      </c>
      <c r="J1496" s="328" t="s">
        <v>757</v>
      </c>
      <c r="K1496" s="328" t="s">
        <v>741</v>
      </c>
      <c r="L1496" s="329">
        <v>44043</v>
      </c>
      <c r="M1496" s="332">
        <v>0</v>
      </c>
    </row>
    <row r="1497" spans="1:13" hidden="1" x14ac:dyDescent="0.25">
      <c r="A1497" s="329">
        <v>44043</v>
      </c>
      <c r="B1497" s="328" t="s">
        <v>1689</v>
      </c>
      <c r="C1497" s="328" t="s">
        <v>1060</v>
      </c>
      <c r="D1497" s="330">
        <v>2</v>
      </c>
      <c r="E1497" s="331">
        <v>-93.5</v>
      </c>
      <c r="F1497" s="331">
        <v>5467</v>
      </c>
      <c r="G1497" s="328" t="s">
        <v>1686</v>
      </c>
      <c r="H1497" s="328" t="s">
        <v>1738</v>
      </c>
      <c r="I1497" s="328" t="s">
        <v>110</v>
      </c>
      <c r="J1497" s="328" t="s">
        <v>757</v>
      </c>
      <c r="K1497" s="328" t="s">
        <v>741</v>
      </c>
      <c r="L1497" s="329">
        <v>44043</v>
      </c>
      <c r="M1497" s="332">
        <v>0</v>
      </c>
    </row>
    <row r="1498" spans="1:13" hidden="1" x14ac:dyDescent="0.25">
      <c r="A1498" s="329">
        <v>44043</v>
      </c>
      <c r="B1498" s="328" t="s">
        <v>1689</v>
      </c>
      <c r="C1498" s="328" t="s">
        <v>1060</v>
      </c>
      <c r="D1498" s="330">
        <v>2</v>
      </c>
      <c r="E1498" s="331">
        <v>11</v>
      </c>
      <c r="F1498" s="331">
        <v>5478</v>
      </c>
      <c r="G1498" s="328" t="s">
        <v>1690</v>
      </c>
      <c r="H1498" s="328" t="s">
        <v>1738</v>
      </c>
      <c r="I1498" s="328" t="s">
        <v>110</v>
      </c>
      <c r="J1498" s="328" t="s">
        <v>757</v>
      </c>
      <c r="K1498" s="328" t="s">
        <v>741</v>
      </c>
      <c r="L1498" s="329">
        <v>44043</v>
      </c>
      <c r="M1498" s="332">
        <v>0</v>
      </c>
    </row>
    <row r="1499" spans="1:13" hidden="1" x14ac:dyDescent="0.25">
      <c r="A1499" s="329">
        <v>44074</v>
      </c>
      <c r="B1499" s="328" t="s">
        <v>1695</v>
      </c>
      <c r="C1499" s="328" t="s">
        <v>1060</v>
      </c>
      <c r="D1499" s="330">
        <v>2</v>
      </c>
      <c r="E1499" s="331">
        <v>77</v>
      </c>
      <c r="F1499" s="331">
        <v>5555</v>
      </c>
      <c r="G1499" s="328" t="s">
        <v>1696</v>
      </c>
      <c r="H1499" s="328" t="s">
        <v>1738</v>
      </c>
      <c r="I1499" s="328" t="s">
        <v>110</v>
      </c>
      <c r="J1499" s="328" t="s">
        <v>757</v>
      </c>
      <c r="K1499" s="328" t="s">
        <v>741</v>
      </c>
      <c r="L1499" s="329">
        <v>44074</v>
      </c>
      <c r="M1499" s="332">
        <v>0</v>
      </c>
    </row>
    <row r="1500" spans="1:13" hidden="1" x14ac:dyDescent="0.25">
      <c r="A1500" s="329">
        <v>44074</v>
      </c>
      <c r="B1500" s="328" t="s">
        <v>1697</v>
      </c>
      <c r="C1500" s="328" t="s">
        <v>769</v>
      </c>
      <c r="D1500" s="330">
        <v>3</v>
      </c>
      <c r="E1500" s="331">
        <v>77</v>
      </c>
      <c r="F1500" s="331">
        <v>5632</v>
      </c>
      <c r="G1500" s="328" t="s">
        <v>1698</v>
      </c>
      <c r="H1500" s="328" t="s">
        <v>1738</v>
      </c>
      <c r="I1500" s="328" t="s">
        <v>110</v>
      </c>
      <c r="J1500" s="328" t="s">
        <v>757</v>
      </c>
      <c r="K1500" s="328" t="s">
        <v>770</v>
      </c>
      <c r="L1500" s="329">
        <v>44074</v>
      </c>
      <c r="M1500" s="332">
        <v>0</v>
      </c>
    </row>
    <row r="1501" spans="1:13" hidden="1" x14ac:dyDescent="0.25">
      <c r="A1501" s="329">
        <v>44074</v>
      </c>
      <c r="B1501" s="328" t="s">
        <v>1695</v>
      </c>
      <c r="C1501" s="328" t="s">
        <v>1060</v>
      </c>
      <c r="D1501" s="330">
        <v>3</v>
      </c>
      <c r="E1501" s="331">
        <v>-77</v>
      </c>
      <c r="F1501" s="331">
        <v>5555</v>
      </c>
      <c r="G1501" s="328" t="s">
        <v>1696</v>
      </c>
      <c r="H1501" s="328" t="s">
        <v>1738</v>
      </c>
      <c r="I1501" s="328" t="s">
        <v>110</v>
      </c>
      <c r="J1501" s="328" t="s">
        <v>757</v>
      </c>
      <c r="K1501" s="328" t="s">
        <v>741</v>
      </c>
      <c r="L1501" s="329">
        <v>44074</v>
      </c>
      <c r="M1501" s="332">
        <v>0</v>
      </c>
    </row>
    <row r="1502" spans="1:13" hidden="1" x14ac:dyDescent="0.25">
      <c r="A1502" s="329">
        <v>44104</v>
      </c>
      <c r="B1502" s="328" t="s">
        <v>1699</v>
      </c>
      <c r="C1502" s="328" t="s">
        <v>1060</v>
      </c>
      <c r="D1502" s="330">
        <v>3</v>
      </c>
      <c r="E1502" s="331">
        <v>110</v>
      </c>
      <c r="F1502" s="331">
        <v>5665</v>
      </c>
      <c r="G1502" s="328" t="s">
        <v>1700</v>
      </c>
      <c r="H1502" s="328" t="s">
        <v>1738</v>
      </c>
      <c r="I1502" s="328" t="s">
        <v>110</v>
      </c>
      <c r="J1502" s="328" t="s">
        <v>757</v>
      </c>
      <c r="K1502" s="328" t="s">
        <v>741</v>
      </c>
      <c r="L1502" s="329">
        <v>44104</v>
      </c>
      <c r="M1502" s="332">
        <v>0</v>
      </c>
    </row>
    <row r="1503" spans="1:13" hidden="1" x14ac:dyDescent="0.25">
      <c r="A1503" s="329">
        <v>44104</v>
      </c>
      <c r="B1503" s="328" t="s">
        <v>1699</v>
      </c>
      <c r="C1503" s="328" t="s">
        <v>1060</v>
      </c>
      <c r="D1503" s="330">
        <v>4</v>
      </c>
      <c r="E1503" s="331">
        <v>-110</v>
      </c>
      <c r="F1503" s="331">
        <v>5555</v>
      </c>
      <c r="G1503" s="328" t="s">
        <v>1700</v>
      </c>
      <c r="H1503" s="328" t="s">
        <v>1738</v>
      </c>
      <c r="I1503" s="328" t="s">
        <v>110</v>
      </c>
      <c r="J1503" s="328" t="s">
        <v>757</v>
      </c>
      <c r="K1503" s="328" t="s">
        <v>741</v>
      </c>
      <c r="L1503" s="329">
        <v>44104</v>
      </c>
      <c r="M1503" s="332">
        <v>0</v>
      </c>
    </row>
    <row r="1504" spans="1:13" hidden="1" x14ac:dyDescent="0.25">
      <c r="A1504" s="329">
        <v>44105</v>
      </c>
      <c r="B1504" s="328" t="s">
        <v>1701</v>
      </c>
      <c r="C1504" s="328" t="s">
        <v>769</v>
      </c>
      <c r="D1504" s="330">
        <v>4</v>
      </c>
      <c r="E1504" s="331">
        <v>110</v>
      </c>
      <c r="F1504" s="331">
        <v>5665</v>
      </c>
      <c r="G1504" s="328" t="s">
        <v>1702</v>
      </c>
      <c r="H1504" s="328" t="s">
        <v>1738</v>
      </c>
      <c r="I1504" s="328" t="s">
        <v>110</v>
      </c>
      <c r="J1504" s="328" t="s">
        <v>757</v>
      </c>
      <c r="K1504" s="328" t="s">
        <v>770</v>
      </c>
      <c r="L1504" s="329">
        <v>44105</v>
      </c>
      <c r="M1504" s="332">
        <v>0</v>
      </c>
    </row>
    <row r="1505" spans="1:13" hidden="1" x14ac:dyDescent="0.25">
      <c r="A1505" s="329">
        <v>44135</v>
      </c>
      <c r="B1505" s="328" t="s">
        <v>1703</v>
      </c>
      <c r="C1505" s="328" t="s">
        <v>1060</v>
      </c>
      <c r="D1505" s="330">
        <v>4</v>
      </c>
      <c r="E1505" s="331">
        <v>77</v>
      </c>
      <c r="F1505" s="331">
        <v>5742</v>
      </c>
      <c r="G1505" s="328" t="s">
        <v>1704</v>
      </c>
      <c r="H1505" s="328" t="s">
        <v>1738</v>
      </c>
      <c r="I1505" s="328" t="s">
        <v>110</v>
      </c>
      <c r="J1505" s="328" t="s">
        <v>757</v>
      </c>
      <c r="K1505" s="328" t="s">
        <v>741</v>
      </c>
      <c r="L1505" s="329">
        <v>44135</v>
      </c>
      <c r="M1505" s="332">
        <v>0</v>
      </c>
    </row>
    <row r="1506" spans="1:13" hidden="1" x14ac:dyDescent="0.25">
      <c r="A1506" s="329">
        <v>44135</v>
      </c>
      <c r="B1506" s="328" t="s">
        <v>1703</v>
      </c>
      <c r="C1506" s="328" t="s">
        <v>1060</v>
      </c>
      <c r="D1506" s="330">
        <v>5</v>
      </c>
      <c r="E1506" s="331">
        <v>-77</v>
      </c>
      <c r="F1506" s="331">
        <v>5665</v>
      </c>
      <c r="G1506" s="328" t="s">
        <v>1704</v>
      </c>
      <c r="H1506" s="328" t="s">
        <v>1738</v>
      </c>
      <c r="I1506" s="328" t="s">
        <v>110</v>
      </c>
      <c r="J1506" s="328" t="s">
        <v>757</v>
      </c>
      <c r="K1506" s="328" t="s">
        <v>741</v>
      </c>
      <c r="L1506" s="329">
        <v>44135</v>
      </c>
      <c r="M1506" s="332">
        <v>0</v>
      </c>
    </row>
    <row r="1507" spans="1:13" hidden="1" x14ac:dyDescent="0.25">
      <c r="A1507" s="329">
        <v>44135</v>
      </c>
      <c r="B1507" s="328" t="s">
        <v>1705</v>
      </c>
      <c r="C1507" s="328" t="s">
        <v>769</v>
      </c>
      <c r="D1507" s="330">
        <v>5</v>
      </c>
      <c r="E1507" s="331">
        <v>77</v>
      </c>
      <c r="F1507" s="331">
        <v>5742</v>
      </c>
      <c r="G1507" s="328" t="s">
        <v>1706</v>
      </c>
      <c r="H1507" s="328" t="s">
        <v>1738</v>
      </c>
      <c r="I1507" s="328" t="s">
        <v>110</v>
      </c>
      <c r="J1507" s="328" t="s">
        <v>757</v>
      </c>
      <c r="K1507" s="328" t="s">
        <v>770</v>
      </c>
      <c r="L1507" s="329">
        <v>44135</v>
      </c>
      <c r="M1507" s="332">
        <v>0</v>
      </c>
    </row>
    <row r="1508" spans="1:13" hidden="1" x14ac:dyDescent="0.25">
      <c r="A1508" s="329">
        <v>44165</v>
      </c>
      <c r="B1508" s="328" t="s">
        <v>1707</v>
      </c>
      <c r="C1508" s="328" t="s">
        <v>1060</v>
      </c>
      <c r="D1508" s="330">
        <v>5</v>
      </c>
      <c r="E1508" s="331">
        <v>77</v>
      </c>
      <c r="F1508" s="331">
        <v>5819</v>
      </c>
      <c r="G1508" s="328" t="s">
        <v>1708</v>
      </c>
      <c r="H1508" s="328" t="s">
        <v>1738</v>
      </c>
      <c r="I1508" s="328" t="s">
        <v>110</v>
      </c>
      <c r="J1508" s="328" t="s">
        <v>757</v>
      </c>
      <c r="K1508" s="328" t="s">
        <v>741</v>
      </c>
      <c r="L1508" s="329">
        <v>44165</v>
      </c>
      <c r="M1508" s="332">
        <v>0</v>
      </c>
    </row>
    <row r="1509" spans="1:13" hidden="1" x14ac:dyDescent="0.25">
      <c r="A1509" s="329">
        <v>44165</v>
      </c>
      <c r="B1509" s="328" t="s">
        <v>1707</v>
      </c>
      <c r="C1509" s="328" t="s">
        <v>1060</v>
      </c>
      <c r="D1509" s="330">
        <v>6</v>
      </c>
      <c r="E1509" s="331">
        <v>-77</v>
      </c>
      <c r="F1509" s="331">
        <v>5742</v>
      </c>
      <c r="G1509" s="328" t="s">
        <v>1708</v>
      </c>
      <c r="H1509" s="328" t="s">
        <v>1738</v>
      </c>
      <c r="I1509" s="328" t="s">
        <v>110</v>
      </c>
      <c r="J1509" s="328" t="s">
        <v>757</v>
      </c>
      <c r="K1509" s="328" t="s">
        <v>741</v>
      </c>
      <c r="L1509" s="329">
        <v>44165</v>
      </c>
      <c r="M1509" s="332">
        <v>0</v>
      </c>
    </row>
    <row r="1510" spans="1:13" hidden="1" x14ac:dyDescent="0.25">
      <c r="A1510" s="329">
        <v>44165</v>
      </c>
      <c r="B1510" s="328" t="s">
        <v>1709</v>
      </c>
      <c r="C1510" s="328" t="s">
        <v>769</v>
      </c>
      <c r="D1510" s="330">
        <v>6</v>
      </c>
      <c r="E1510" s="331">
        <v>77</v>
      </c>
      <c r="F1510" s="331">
        <v>5819</v>
      </c>
      <c r="G1510" s="328" t="s">
        <v>1710</v>
      </c>
      <c r="H1510" s="328" t="s">
        <v>1738</v>
      </c>
      <c r="I1510" s="328" t="s">
        <v>110</v>
      </c>
      <c r="J1510" s="328" t="s">
        <v>757</v>
      </c>
      <c r="K1510" s="328" t="s">
        <v>770</v>
      </c>
      <c r="L1510" s="329">
        <v>44165</v>
      </c>
      <c r="M1510" s="332">
        <v>0</v>
      </c>
    </row>
    <row r="1511" spans="1:13" hidden="1" x14ac:dyDescent="0.25">
      <c r="A1511" s="329">
        <v>44196</v>
      </c>
      <c r="B1511" s="328" t="s">
        <v>1711</v>
      </c>
      <c r="C1511" s="328" t="s">
        <v>1060</v>
      </c>
      <c r="D1511" s="330">
        <v>6</v>
      </c>
      <c r="E1511" s="331">
        <v>88</v>
      </c>
      <c r="F1511" s="331">
        <v>5907</v>
      </c>
      <c r="G1511" s="328" t="s">
        <v>1712</v>
      </c>
      <c r="H1511" s="328" t="s">
        <v>1738</v>
      </c>
      <c r="I1511" s="328" t="s">
        <v>110</v>
      </c>
      <c r="J1511" s="328" t="s">
        <v>757</v>
      </c>
      <c r="K1511" s="328" t="s">
        <v>741</v>
      </c>
      <c r="L1511" s="329">
        <v>44196</v>
      </c>
      <c r="M1511" s="332">
        <v>0</v>
      </c>
    </row>
    <row r="1512" spans="1:13" hidden="1" x14ac:dyDescent="0.25">
      <c r="A1512" s="329">
        <v>44196</v>
      </c>
      <c r="B1512" s="328" t="s">
        <v>1711</v>
      </c>
      <c r="C1512" s="328" t="s">
        <v>1060</v>
      </c>
      <c r="D1512" s="330">
        <v>7</v>
      </c>
      <c r="E1512" s="331">
        <v>-88</v>
      </c>
      <c r="F1512" s="331">
        <v>5819</v>
      </c>
      <c r="G1512" s="328" t="s">
        <v>1712</v>
      </c>
      <c r="H1512" s="328" t="s">
        <v>1738</v>
      </c>
      <c r="I1512" s="328" t="s">
        <v>110</v>
      </c>
      <c r="J1512" s="328" t="s">
        <v>757</v>
      </c>
      <c r="K1512" s="328" t="s">
        <v>741</v>
      </c>
      <c r="L1512" s="329">
        <v>44196</v>
      </c>
      <c r="M1512" s="332">
        <v>0</v>
      </c>
    </row>
    <row r="1513" spans="1:13" hidden="1" x14ac:dyDescent="0.25">
      <c r="A1513" s="329">
        <v>44196</v>
      </c>
      <c r="B1513" s="328" t="s">
        <v>1713</v>
      </c>
      <c r="C1513" s="328" t="s">
        <v>769</v>
      </c>
      <c r="D1513" s="330">
        <v>7</v>
      </c>
      <c r="E1513" s="331">
        <v>88</v>
      </c>
      <c r="F1513" s="331">
        <v>5907</v>
      </c>
      <c r="G1513" s="328" t="s">
        <v>1714</v>
      </c>
      <c r="H1513" s="328" t="s">
        <v>1738</v>
      </c>
      <c r="I1513" s="328" t="s">
        <v>110</v>
      </c>
      <c r="J1513" s="328" t="s">
        <v>757</v>
      </c>
      <c r="K1513" s="328" t="s">
        <v>770</v>
      </c>
      <c r="L1513" s="329">
        <v>44196</v>
      </c>
      <c r="M1513" s="332">
        <v>0</v>
      </c>
    </row>
    <row r="1514" spans="1:13" hidden="1" x14ac:dyDescent="0.25">
      <c r="A1514" s="329">
        <v>44227</v>
      </c>
      <c r="B1514" s="328" t="s">
        <v>1715</v>
      </c>
      <c r="C1514" s="328" t="s">
        <v>1060</v>
      </c>
      <c r="D1514" s="330">
        <v>7</v>
      </c>
      <c r="E1514" s="331">
        <v>77</v>
      </c>
      <c r="F1514" s="331">
        <v>5984</v>
      </c>
      <c r="G1514" s="328" t="s">
        <v>1716</v>
      </c>
      <c r="H1514" s="328" t="s">
        <v>1738</v>
      </c>
      <c r="I1514" s="328" t="s">
        <v>110</v>
      </c>
      <c r="J1514" s="328" t="s">
        <v>757</v>
      </c>
      <c r="K1514" s="328" t="s">
        <v>741</v>
      </c>
      <c r="L1514" s="329">
        <v>44227</v>
      </c>
      <c r="M1514" s="332">
        <v>0</v>
      </c>
    </row>
    <row r="1515" spans="1:13" hidden="1" x14ac:dyDescent="0.25">
      <c r="A1515" s="329">
        <v>44227</v>
      </c>
      <c r="B1515" s="328" t="s">
        <v>1715</v>
      </c>
      <c r="C1515" s="328" t="s">
        <v>1060</v>
      </c>
      <c r="D1515" s="330">
        <v>8</v>
      </c>
      <c r="E1515" s="331">
        <v>-77</v>
      </c>
      <c r="F1515" s="331">
        <v>5907</v>
      </c>
      <c r="G1515" s="328" t="s">
        <v>1716</v>
      </c>
      <c r="H1515" s="328" t="s">
        <v>1738</v>
      </c>
      <c r="I1515" s="328" t="s">
        <v>110</v>
      </c>
      <c r="J1515" s="328" t="s">
        <v>757</v>
      </c>
      <c r="K1515" s="328" t="s">
        <v>741</v>
      </c>
      <c r="L1515" s="329">
        <v>44227</v>
      </c>
      <c r="M1515" s="332">
        <v>0</v>
      </c>
    </row>
    <row r="1516" spans="1:13" hidden="1" x14ac:dyDescent="0.25">
      <c r="A1516" s="329">
        <v>44227</v>
      </c>
      <c r="B1516" s="328" t="s">
        <v>1717</v>
      </c>
      <c r="C1516" s="328" t="s">
        <v>769</v>
      </c>
      <c r="D1516" s="330">
        <v>8</v>
      </c>
      <c r="E1516" s="331">
        <v>77</v>
      </c>
      <c r="F1516" s="331">
        <v>5984</v>
      </c>
      <c r="G1516" s="328" t="s">
        <v>1718</v>
      </c>
      <c r="H1516" s="328" t="s">
        <v>1738</v>
      </c>
      <c r="I1516" s="328" t="s">
        <v>110</v>
      </c>
      <c r="J1516" s="328" t="s">
        <v>757</v>
      </c>
      <c r="K1516" s="328" t="s">
        <v>770</v>
      </c>
      <c r="L1516" s="329">
        <v>44227</v>
      </c>
      <c r="M1516" s="332">
        <v>0</v>
      </c>
    </row>
    <row r="1517" spans="1:13" hidden="1" x14ac:dyDescent="0.25">
      <c r="A1517" s="329">
        <v>44255</v>
      </c>
      <c r="B1517" s="328" t="s">
        <v>1720</v>
      </c>
      <c r="C1517" s="328" t="s">
        <v>1060</v>
      </c>
      <c r="D1517" s="330">
        <v>8</v>
      </c>
      <c r="E1517" s="331">
        <v>82.5</v>
      </c>
      <c r="F1517" s="331">
        <v>6066.5</v>
      </c>
      <c r="G1517" s="328" t="s">
        <v>1721</v>
      </c>
      <c r="H1517" s="328" t="s">
        <v>1738</v>
      </c>
      <c r="I1517" s="328" t="s">
        <v>110</v>
      </c>
      <c r="J1517" s="328" t="s">
        <v>757</v>
      </c>
      <c r="K1517" s="328" t="s">
        <v>741</v>
      </c>
      <c r="L1517" s="329">
        <v>44255</v>
      </c>
      <c r="M1517" s="332">
        <v>0</v>
      </c>
    </row>
    <row r="1518" spans="1:13" hidden="1" x14ac:dyDescent="0.25">
      <c r="A1518" s="329">
        <v>44255</v>
      </c>
      <c r="B1518" s="328" t="s">
        <v>1720</v>
      </c>
      <c r="C1518" s="328" t="s">
        <v>1060</v>
      </c>
      <c r="D1518" s="330">
        <v>9</v>
      </c>
      <c r="E1518" s="331">
        <v>-82.5</v>
      </c>
      <c r="F1518" s="331">
        <v>5984</v>
      </c>
      <c r="G1518" s="328" t="s">
        <v>1721</v>
      </c>
      <c r="H1518" s="328" t="s">
        <v>1738</v>
      </c>
      <c r="I1518" s="328" t="s">
        <v>110</v>
      </c>
      <c r="J1518" s="328" t="s">
        <v>757</v>
      </c>
      <c r="K1518" s="328" t="s">
        <v>741</v>
      </c>
      <c r="L1518" s="329">
        <v>44255</v>
      </c>
      <c r="M1518" s="332">
        <v>0</v>
      </c>
    </row>
    <row r="1519" spans="1:13" hidden="1" x14ac:dyDescent="0.25">
      <c r="A1519" s="329">
        <v>44255</v>
      </c>
      <c r="B1519" s="328" t="s">
        <v>1722</v>
      </c>
      <c r="C1519" s="328" t="s">
        <v>769</v>
      </c>
      <c r="D1519" s="330">
        <v>9</v>
      </c>
      <c r="E1519" s="331">
        <v>93.5</v>
      </c>
      <c r="F1519" s="331">
        <v>6077.5</v>
      </c>
      <c r="G1519" s="328" t="s">
        <v>1723</v>
      </c>
      <c r="H1519" s="328" t="s">
        <v>1738</v>
      </c>
      <c r="I1519" s="328" t="s">
        <v>110</v>
      </c>
      <c r="J1519" s="328" t="s">
        <v>757</v>
      </c>
      <c r="K1519" s="328" t="s">
        <v>770</v>
      </c>
      <c r="L1519" s="329">
        <v>44255</v>
      </c>
      <c r="M1519" s="332">
        <v>0</v>
      </c>
    </row>
    <row r="1520" spans="1:13" hidden="1" x14ac:dyDescent="0.25">
      <c r="A1520" s="329">
        <v>44286</v>
      </c>
      <c r="B1520" s="328" t="s">
        <v>1724</v>
      </c>
      <c r="C1520" s="328" t="s">
        <v>1060</v>
      </c>
      <c r="D1520" s="330">
        <v>9</v>
      </c>
      <c r="E1520" s="331">
        <v>71.5</v>
      </c>
      <c r="F1520" s="331">
        <v>6149</v>
      </c>
      <c r="G1520" s="328" t="s">
        <v>1725</v>
      </c>
      <c r="H1520" s="328" t="s">
        <v>1738</v>
      </c>
      <c r="I1520" s="328" t="s">
        <v>110</v>
      </c>
      <c r="J1520" s="328" t="s">
        <v>757</v>
      </c>
      <c r="K1520" s="328" t="s">
        <v>741</v>
      </c>
      <c r="L1520" s="329">
        <v>44286</v>
      </c>
      <c r="M1520" s="332">
        <v>0</v>
      </c>
    </row>
    <row r="1521" spans="1:13" hidden="1" x14ac:dyDescent="0.25">
      <c r="A1521" s="329">
        <v>44286</v>
      </c>
      <c r="B1521" s="328" t="s">
        <v>1726</v>
      </c>
      <c r="C1521" s="328" t="s">
        <v>769</v>
      </c>
      <c r="D1521" s="330">
        <v>10</v>
      </c>
      <c r="E1521" s="331">
        <v>71.5</v>
      </c>
      <c r="F1521" s="331">
        <v>6220.5</v>
      </c>
      <c r="G1521" s="328" t="s">
        <v>1727</v>
      </c>
      <c r="H1521" s="328" t="s">
        <v>1738</v>
      </c>
      <c r="I1521" s="328" t="s">
        <v>110</v>
      </c>
      <c r="J1521" s="328" t="s">
        <v>757</v>
      </c>
      <c r="K1521" s="328" t="s">
        <v>770</v>
      </c>
      <c r="L1521" s="329">
        <v>44286</v>
      </c>
      <c r="M1521" s="332">
        <v>0</v>
      </c>
    </row>
    <row r="1522" spans="1:13" hidden="1" x14ac:dyDescent="0.25">
      <c r="A1522" s="329">
        <v>44286</v>
      </c>
      <c r="B1522" s="328" t="s">
        <v>1724</v>
      </c>
      <c r="C1522" s="328" t="s">
        <v>1060</v>
      </c>
      <c r="D1522" s="330">
        <v>10</v>
      </c>
      <c r="E1522" s="331">
        <v>-71.5</v>
      </c>
      <c r="F1522" s="331">
        <v>6149</v>
      </c>
      <c r="G1522" s="328" t="s">
        <v>1725</v>
      </c>
      <c r="H1522" s="328" t="s">
        <v>1738</v>
      </c>
      <c r="I1522" s="328" t="s">
        <v>110</v>
      </c>
      <c r="J1522" s="328" t="s">
        <v>757</v>
      </c>
      <c r="K1522" s="328" t="s">
        <v>741</v>
      </c>
      <c r="L1522" s="329">
        <v>44286</v>
      </c>
      <c r="M1522" s="332">
        <v>0</v>
      </c>
    </row>
    <row r="1523" spans="1:13" hidden="1" x14ac:dyDescent="0.25">
      <c r="A1523" s="329">
        <v>44012</v>
      </c>
      <c r="B1523" s="328" t="s">
        <v>1678</v>
      </c>
      <c r="C1523" s="328" t="s">
        <v>769</v>
      </c>
      <c r="D1523" s="330">
        <v>1</v>
      </c>
      <c r="E1523" s="331">
        <v>88</v>
      </c>
      <c r="F1523" s="331">
        <v>6237</v>
      </c>
      <c r="G1523" s="328" t="s">
        <v>1679</v>
      </c>
      <c r="H1523" s="328" t="s">
        <v>1739</v>
      </c>
      <c r="I1523" s="328" t="s">
        <v>110</v>
      </c>
      <c r="J1523" s="328" t="s">
        <v>757</v>
      </c>
      <c r="K1523" s="328" t="s">
        <v>770</v>
      </c>
      <c r="L1523" s="329">
        <v>44012</v>
      </c>
      <c r="M1523" s="332">
        <v>0</v>
      </c>
    </row>
    <row r="1524" spans="1:13" hidden="1" x14ac:dyDescent="0.25">
      <c r="A1524" s="329">
        <v>44012</v>
      </c>
      <c r="B1524" s="328" t="s">
        <v>1681</v>
      </c>
      <c r="C1524" s="328" t="s">
        <v>1059</v>
      </c>
      <c r="D1524" s="330">
        <v>1</v>
      </c>
      <c r="E1524" s="331">
        <v>-88</v>
      </c>
      <c r="F1524" s="331">
        <v>6149</v>
      </c>
      <c r="G1524" s="328" t="s">
        <v>1682</v>
      </c>
      <c r="H1524" s="328" t="s">
        <v>1739</v>
      </c>
      <c r="I1524" s="328" t="s">
        <v>110</v>
      </c>
      <c r="J1524" s="328" t="s">
        <v>757</v>
      </c>
      <c r="K1524" s="328" t="s">
        <v>741</v>
      </c>
      <c r="L1524" s="329">
        <v>44012</v>
      </c>
      <c r="M1524" s="332">
        <v>0</v>
      </c>
    </row>
    <row r="1525" spans="1:13" hidden="1" x14ac:dyDescent="0.25">
      <c r="A1525" s="329">
        <v>44043</v>
      </c>
      <c r="B1525" s="328" t="s">
        <v>1685</v>
      </c>
      <c r="C1525" s="328" t="s">
        <v>1060</v>
      </c>
      <c r="D1525" s="330">
        <v>1</v>
      </c>
      <c r="E1525" s="331">
        <v>88</v>
      </c>
      <c r="F1525" s="331">
        <v>6237</v>
      </c>
      <c r="G1525" s="328" t="s">
        <v>1686</v>
      </c>
      <c r="H1525" s="328" t="s">
        <v>1739</v>
      </c>
      <c r="I1525" s="328" t="s">
        <v>110</v>
      </c>
      <c r="J1525" s="328" t="s">
        <v>757</v>
      </c>
      <c r="K1525" s="328" t="s">
        <v>741</v>
      </c>
      <c r="L1525" s="329">
        <v>44043</v>
      </c>
      <c r="M1525" s="332">
        <v>0</v>
      </c>
    </row>
    <row r="1526" spans="1:13" hidden="1" x14ac:dyDescent="0.25">
      <c r="A1526" s="329">
        <v>44043</v>
      </c>
      <c r="B1526" s="328" t="s">
        <v>1688</v>
      </c>
      <c r="C1526" s="328" t="s">
        <v>1060</v>
      </c>
      <c r="D1526" s="330">
        <v>1</v>
      </c>
      <c r="E1526" s="331">
        <v>-88</v>
      </c>
      <c r="F1526" s="331">
        <v>6149</v>
      </c>
      <c r="G1526" s="328" t="s">
        <v>1686</v>
      </c>
      <c r="H1526" s="328" t="s">
        <v>1739</v>
      </c>
      <c r="I1526" s="328" t="s">
        <v>110</v>
      </c>
      <c r="J1526" s="328" t="s">
        <v>757</v>
      </c>
      <c r="K1526" s="328" t="s">
        <v>741</v>
      </c>
      <c r="L1526" s="329">
        <v>44043</v>
      </c>
      <c r="M1526" s="332">
        <v>0</v>
      </c>
    </row>
    <row r="1527" spans="1:13" hidden="1" x14ac:dyDescent="0.25">
      <c r="A1527" s="329">
        <v>44043</v>
      </c>
      <c r="B1527" s="328" t="s">
        <v>1689</v>
      </c>
      <c r="C1527" s="328" t="s">
        <v>1060</v>
      </c>
      <c r="D1527" s="330">
        <v>1</v>
      </c>
      <c r="E1527" s="331">
        <v>88</v>
      </c>
      <c r="F1527" s="331">
        <v>6237</v>
      </c>
      <c r="G1527" s="328" t="s">
        <v>1686</v>
      </c>
      <c r="H1527" s="328" t="s">
        <v>1739</v>
      </c>
      <c r="I1527" s="328" t="s">
        <v>110</v>
      </c>
      <c r="J1527" s="328" t="s">
        <v>757</v>
      </c>
      <c r="K1527" s="328" t="s">
        <v>741</v>
      </c>
      <c r="L1527" s="329">
        <v>44043</v>
      </c>
      <c r="M1527" s="332">
        <v>0</v>
      </c>
    </row>
    <row r="1528" spans="1:13" hidden="1" x14ac:dyDescent="0.25">
      <c r="A1528" s="329">
        <v>44043</v>
      </c>
      <c r="B1528" s="328" t="s">
        <v>1691</v>
      </c>
      <c r="C1528" s="328" t="s">
        <v>769</v>
      </c>
      <c r="D1528" s="330">
        <v>2</v>
      </c>
      <c r="E1528" s="331">
        <v>88</v>
      </c>
      <c r="F1528" s="331">
        <v>6325</v>
      </c>
      <c r="G1528" s="328" t="s">
        <v>1692</v>
      </c>
      <c r="H1528" s="328" t="s">
        <v>1739</v>
      </c>
      <c r="I1528" s="328" t="s">
        <v>110</v>
      </c>
      <c r="J1528" s="328" t="s">
        <v>757</v>
      </c>
      <c r="K1528" s="328" t="s">
        <v>770</v>
      </c>
      <c r="L1528" s="329">
        <v>44043</v>
      </c>
      <c r="M1528" s="332">
        <v>0</v>
      </c>
    </row>
    <row r="1529" spans="1:13" hidden="1" x14ac:dyDescent="0.25">
      <c r="A1529" s="329">
        <v>44043</v>
      </c>
      <c r="B1529" s="328" t="s">
        <v>1685</v>
      </c>
      <c r="C1529" s="328" t="s">
        <v>1060</v>
      </c>
      <c r="D1529" s="330">
        <v>2</v>
      </c>
      <c r="E1529" s="331">
        <v>-88</v>
      </c>
      <c r="F1529" s="331">
        <v>6237</v>
      </c>
      <c r="G1529" s="328" t="s">
        <v>1686</v>
      </c>
      <c r="H1529" s="328" t="s">
        <v>1739</v>
      </c>
      <c r="I1529" s="328" t="s">
        <v>110</v>
      </c>
      <c r="J1529" s="328" t="s">
        <v>757</v>
      </c>
      <c r="K1529" s="328" t="s">
        <v>741</v>
      </c>
      <c r="L1529" s="329">
        <v>44043</v>
      </c>
      <c r="M1529" s="332">
        <v>0</v>
      </c>
    </row>
    <row r="1530" spans="1:13" hidden="1" x14ac:dyDescent="0.25">
      <c r="A1530" s="329">
        <v>44043</v>
      </c>
      <c r="B1530" s="328" t="s">
        <v>1688</v>
      </c>
      <c r="C1530" s="328" t="s">
        <v>1060</v>
      </c>
      <c r="D1530" s="330">
        <v>2</v>
      </c>
      <c r="E1530" s="331">
        <v>88</v>
      </c>
      <c r="F1530" s="331">
        <v>6325</v>
      </c>
      <c r="G1530" s="328" t="s">
        <v>1686</v>
      </c>
      <c r="H1530" s="328" t="s">
        <v>1739</v>
      </c>
      <c r="I1530" s="328" t="s">
        <v>110</v>
      </c>
      <c r="J1530" s="328" t="s">
        <v>757</v>
      </c>
      <c r="K1530" s="328" t="s">
        <v>741</v>
      </c>
      <c r="L1530" s="329">
        <v>44043</v>
      </c>
      <c r="M1530" s="332">
        <v>0</v>
      </c>
    </row>
    <row r="1531" spans="1:13" hidden="1" x14ac:dyDescent="0.25">
      <c r="A1531" s="329">
        <v>44043</v>
      </c>
      <c r="B1531" s="328" t="s">
        <v>1689</v>
      </c>
      <c r="C1531" s="328" t="s">
        <v>1060</v>
      </c>
      <c r="D1531" s="330">
        <v>2</v>
      </c>
      <c r="E1531" s="331">
        <v>-88</v>
      </c>
      <c r="F1531" s="331">
        <v>6237</v>
      </c>
      <c r="G1531" s="328" t="s">
        <v>1686</v>
      </c>
      <c r="H1531" s="328" t="s">
        <v>1739</v>
      </c>
      <c r="I1531" s="328" t="s">
        <v>110</v>
      </c>
      <c r="J1531" s="328" t="s">
        <v>757</v>
      </c>
      <c r="K1531" s="328" t="s">
        <v>741</v>
      </c>
      <c r="L1531" s="329">
        <v>44043</v>
      </c>
      <c r="M1531" s="332">
        <v>0</v>
      </c>
    </row>
    <row r="1532" spans="1:13" hidden="1" x14ac:dyDescent="0.25">
      <c r="A1532" s="329">
        <v>44074</v>
      </c>
      <c r="B1532" s="328" t="s">
        <v>1695</v>
      </c>
      <c r="C1532" s="328" t="s">
        <v>1060</v>
      </c>
      <c r="D1532" s="330">
        <v>2</v>
      </c>
      <c r="E1532" s="331">
        <v>88</v>
      </c>
      <c r="F1532" s="331">
        <v>6325</v>
      </c>
      <c r="G1532" s="328" t="s">
        <v>1696</v>
      </c>
      <c r="H1532" s="328" t="s">
        <v>1739</v>
      </c>
      <c r="I1532" s="328" t="s">
        <v>110</v>
      </c>
      <c r="J1532" s="328" t="s">
        <v>757</v>
      </c>
      <c r="K1532" s="328" t="s">
        <v>741</v>
      </c>
      <c r="L1532" s="329">
        <v>44074</v>
      </c>
      <c r="M1532" s="332">
        <v>0</v>
      </c>
    </row>
    <row r="1533" spans="1:13" hidden="1" x14ac:dyDescent="0.25">
      <c r="A1533" s="329">
        <v>44074</v>
      </c>
      <c r="B1533" s="328" t="s">
        <v>1697</v>
      </c>
      <c r="C1533" s="328" t="s">
        <v>769</v>
      </c>
      <c r="D1533" s="330">
        <v>3</v>
      </c>
      <c r="E1533" s="331">
        <v>88</v>
      </c>
      <c r="F1533" s="331">
        <v>6413</v>
      </c>
      <c r="G1533" s="328" t="s">
        <v>1698</v>
      </c>
      <c r="H1533" s="328" t="s">
        <v>1739</v>
      </c>
      <c r="I1533" s="328" t="s">
        <v>110</v>
      </c>
      <c r="J1533" s="328" t="s">
        <v>757</v>
      </c>
      <c r="K1533" s="328" t="s">
        <v>770</v>
      </c>
      <c r="L1533" s="329">
        <v>44074</v>
      </c>
      <c r="M1533" s="332">
        <v>0</v>
      </c>
    </row>
    <row r="1534" spans="1:13" hidden="1" x14ac:dyDescent="0.25">
      <c r="A1534" s="329">
        <v>44074</v>
      </c>
      <c r="B1534" s="328" t="s">
        <v>1695</v>
      </c>
      <c r="C1534" s="328" t="s">
        <v>1060</v>
      </c>
      <c r="D1534" s="330">
        <v>3</v>
      </c>
      <c r="E1534" s="331">
        <v>-88</v>
      </c>
      <c r="F1534" s="331">
        <v>6325</v>
      </c>
      <c r="G1534" s="328" t="s">
        <v>1696</v>
      </c>
      <c r="H1534" s="328" t="s">
        <v>1739</v>
      </c>
      <c r="I1534" s="328" t="s">
        <v>110</v>
      </c>
      <c r="J1534" s="328" t="s">
        <v>757</v>
      </c>
      <c r="K1534" s="328" t="s">
        <v>741</v>
      </c>
      <c r="L1534" s="329">
        <v>44074</v>
      </c>
      <c r="M1534" s="332">
        <v>0</v>
      </c>
    </row>
    <row r="1535" spans="1:13" hidden="1" x14ac:dyDescent="0.25">
      <c r="A1535" s="329">
        <v>44104</v>
      </c>
      <c r="B1535" s="328" t="s">
        <v>1699</v>
      </c>
      <c r="C1535" s="328" t="s">
        <v>1060</v>
      </c>
      <c r="D1535" s="330">
        <v>3</v>
      </c>
      <c r="E1535" s="331">
        <v>121</v>
      </c>
      <c r="F1535" s="331">
        <v>6446</v>
      </c>
      <c r="G1535" s="328" t="s">
        <v>1700</v>
      </c>
      <c r="H1535" s="328" t="s">
        <v>1739</v>
      </c>
      <c r="I1535" s="328" t="s">
        <v>110</v>
      </c>
      <c r="J1535" s="328" t="s">
        <v>757</v>
      </c>
      <c r="K1535" s="328" t="s">
        <v>741</v>
      </c>
      <c r="L1535" s="329">
        <v>44104</v>
      </c>
      <c r="M1535" s="332">
        <v>0</v>
      </c>
    </row>
    <row r="1536" spans="1:13" hidden="1" x14ac:dyDescent="0.25">
      <c r="A1536" s="329">
        <v>44104</v>
      </c>
      <c r="B1536" s="328" t="s">
        <v>1699</v>
      </c>
      <c r="C1536" s="328" t="s">
        <v>1060</v>
      </c>
      <c r="D1536" s="330">
        <v>4</v>
      </c>
      <c r="E1536" s="331">
        <v>-121</v>
      </c>
      <c r="F1536" s="331">
        <v>6325</v>
      </c>
      <c r="G1536" s="328" t="s">
        <v>1700</v>
      </c>
      <c r="H1536" s="328" t="s">
        <v>1739</v>
      </c>
      <c r="I1536" s="328" t="s">
        <v>110</v>
      </c>
      <c r="J1536" s="328" t="s">
        <v>757</v>
      </c>
      <c r="K1536" s="328" t="s">
        <v>741</v>
      </c>
      <c r="L1536" s="329">
        <v>44104</v>
      </c>
      <c r="M1536" s="332">
        <v>0</v>
      </c>
    </row>
    <row r="1537" spans="1:13" hidden="1" x14ac:dyDescent="0.25">
      <c r="A1537" s="329">
        <v>44105</v>
      </c>
      <c r="B1537" s="328" t="s">
        <v>1701</v>
      </c>
      <c r="C1537" s="328" t="s">
        <v>769</v>
      </c>
      <c r="D1537" s="330">
        <v>4</v>
      </c>
      <c r="E1537" s="331">
        <v>121</v>
      </c>
      <c r="F1537" s="331">
        <v>6446</v>
      </c>
      <c r="G1537" s="328" t="s">
        <v>1702</v>
      </c>
      <c r="H1537" s="328" t="s">
        <v>1739</v>
      </c>
      <c r="I1537" s="328" t="s">
        <v>110</v>
      </c>
      <c r="J1537" s="328" t="s">
        <v>757</v>
      </c>
      <c r="K1537" s="328" t="s">
        <v>770</v>
      </c>
      <c r="L1537" s="329">
        <v>44105</v>
      </c>
      <c r="M1537" s="332">
        <v>0</v>
      </c>
    </row>
    <row r="1538" spans="1:13" hidden="1" x14ac:dyDescent="0.25">
      <c r="A1538" s="329">
        <v>44135</v>
      </c>
      <c r="B1538" s="328" t="s">
        <v>1703</v>
      </c>
      <c r="C1538" s="328" t="s">
        <v>1060</v>
      </c>
      <c r="D1538" s="330">
        <v>4</v>
      </c>
      <c r="E1538" s="331">
        <v>49.5</v>
      </c>
      <c r="F1538" s="331">
        <v>6495.5</v>
      </c>
      <c r="G1538" s="328" t="s">
        <v>1704</v>
      </c>
      <c r="H1538" s="328" t="s">
        <v>1739</v>
      </c>
      <c r="I1538" s="328" t="s">
        <v>110</v>
      </c>
      <c r="J1538" s="328" t="s">
        <v>757</v>
      </c>
      <c r="K1538" s="328" t="s">
        <v>741</v>
      </c>
      <c r="L1538" s="329">
        <v>44135</v>
      </c>
      <c r="M1538" s="332">
        <v>0</v>
      </c>
    </row>
    <row r="1539" spans="1:13" hidden="1" x14ac:dyDescent="0.25">
      <c r="A1539" s="329">
        <v>44135</v>
      </c>
      <c r="B1539" s="328" t="s">
        <v>1703</v>
      </c>
      <c r="C1539" s="328" t="s">
        <v>1060</v>
      </c>
      <c r="D1539" s="330">
        <v>5</v>
      </c>
      <c r="E1539" s="331">
        <v>-49.5</v>
      </c>
      <c r="F1539" s="331">
        <v>6446</v>
      </c>
      <c r="G1539" s="328" t="s">
        <v>1704</v>
      </c>
      <c r="H1539" s="328" t="s">
        <v>1739</v>
      </c>
      <c r="I1539" s="328" t="s">
        <v>110</v>
      </c>
      <c r="J1539" s="328" t="s">
        <v>757</v>
      </c>
      <c r="K1539" s="328" t="s">
        <v>741</v>
      </c>
      <c r="L1539" s="329">
        <v>44135</v>
      </c>
      <c r="M1539" s="332">
        <v>0</v>
      </c>
    </row>
    <row r="1540" spans="1:13" hidden="1" x14ac:dyDescent="0.25">
      <c r="A1540" s="329">
        <v>44135</v>
      </c>
      <c r="B1540" s="328" t="s">
        <v>1705</v>
      </c>
      <c r="C1540" s="328" t="s">
        <v>769</v>
      </c>
      <c r="D1540" s="330">
        <v>5</v>
      </c>
      <c r="E1540" s="331">
        <v>49.5</v>
      </c>
      <c r="F1540" s="331">
        <v>6495.5</v>
      </c>
      <c r="G1540" s="328" t="s">
        <v>1706</v>
      </c>
      <c r="H1540" s="328" t="s">
        <v>1739</v>
      </c>
      <c r="I1540" s="328" t="s">
        <v>110</v>
      </c>
      <c r="J1540" s="328" t="s">
        <v>757</v>
      </c>
      <c r="K1540" s="328" t="s">
        <v>770</v>
      </c>
      <c r="L1540" s="329">
        <v>44135</v>
      </c>
      <c r="M1540" s="332">
        <v>0</v>
      </c>
    </row>
    <row r="1541" spans="1:13" hidden="1" x14ac:dyDescent="0.25">
      <c r="A1541" s="329">
        <v>44165</v>
      </c>
      <c r="B1541" s="328" t="s">
        <v>1707</v>
      </c>
      <c r="C1541" s="328" t="s">
        <v>1060</v>
      </c>
      <c r="D1541" s="330">
        <v>5</v>
      </c>
      <c r="E1541" s="331">
        <v>49.5</v>
      </c>
      <c r="F1541" s="331">
        <v>6545</v>
      </c>
      <c r="G1541" s="328" t="s">
        <v>1708</v>
      </c>
      <c r="H1541" s="328" t="s">
        <v>1739</v>
      </c>
      <c r="I1541" s="328" t="s">
        <v>110</v>
      </c>
      <c r="J1541" s="328" t="s">
        <v>757</v>
      </c>
      <c r="K1541" s="328" t="s">
        <v>741</v>
      </c>
      <c r="L1541" s="329">
        <v>44165</v>
      </c>
      <c r="M1541" s="332">
        <v>0</v>
      </c>
    </row>
    <row r="1542" spans="1:13" hidden="1" x14ac:dyDescent="0.25">
      <c r="A1542" s="329">
        <v>44165</v>
      </c>
      <c r="B1542" s="328" t="s">
        <v>1707</v>
      </c>
      <c r="C1542" s="328" t="s">
        <v>1060</v>
      </c>
      <c r="D1542" s="330">
        <v>6</v>
      </c>
      <c r="E1542" s="331">
        <v>-49.5</v>
      </c>
      <c r="F1542" s="331">
        <v>6495.5</v>
      </c>
      <c r="G1542" s="328" t="s">
        <v>1708</v>
      </c>
      <c r="H1542" s="328" t="s">
        <v>1739</v>
      </c>
      <c r="I1542" s="328" t="s">
        <v>110</v>
      </c>
      <c r="J1542" s="328" t="s">
        <v>757</v>
      </c>
      <c r="K1542" s="328" t="s">
        <v>741</v>
      </c>
      <c r="L1542" s="329">
        <v>44165</v>
      </c>
      <c r="M1542" s="332">
        <v>0</v>
      </c>
    </row>
    <row r="1543" spans="1:13" hidden="1" x14ac:dyDescent="0.25">
      <c r="A1543" s="329">
        <v>44165</v>
      </c>
      <c r="B1543" s="328" t="s">
        <v>1709</v>
      </c>
      <c r="C1543" s="328" t="s">
        <v>769</v>
      </c>
      <c r="D1543" s="330">
        <v>6</v>
      </c>
      <c r="E1543" s="331">
        <v>49.5</v>
      </c>
      <c r="F1543" s="331">
        <v>6545</v>
      </c>
      <c r="G1543" s="328" t="s">
        <v>1710</v>
      </c>
      <c r="H1543" s="328" t="s">
        <v>1739</v>
      </c>
      <c r="I1543" s="328" t="s">
        <v>110</v>
      </c>
      <c r="J1543" s="328" t="s">
        <v>757</v>
      </c>
      <c r="K1543" s="328" t="s">
        <v>770</v>
      </c>
      <c r="L1543" s="329">
        <v>44165</v>
      </c>
      <c r="M1543" s="332">
        <v>0</v>
      </c>
    </row>
    <row r="1544" spans="1:13" hidden="1" x14ac:dyDescent="0.25">
      <c r="A1544" s="329">
        <v>44196</v>
      </c>
      <c r="B1544" s="328" t="s">
        <v>1711</v>
      </c>
      <c r="C1544" s="328" t="s">
        <v>1060</v>
      </c>
      <c r="D1544" s="330">
        <v>6</v>
      </c>
      <c r="E1544" s="331">
        <v>44</v>
      </c>
      <c r="F1544" s="331">
        <v>6589</v>
      </c>
      <c r="G1544" s="328" t="s">
        <v>1712</v>
      </c>
      <c r="H1544" s="328" t="s">
        <v>1739</v>
      </c>
      <c r="I1544" s="328" t="s">
        <v>110</v>
      </c>
      <c r="J1544" s="328" t="s">
        <v>757</v>
      </c>
      <c r="K1544" s="328" t="s">
        <v>741</v>
      </c>
      <c r="L1544" s="329">
        <v>44196</v>
      </c>
      <c r="M1544" s="332">
        <v>0</v>
      </c>
    </row>
    <row r="1545" spans="1:13" hidden="1" x14ac:dyDescent="0.25">
      <c r="A1545" s="329">
        <v>44196</v>
      </c>
      <c r="B1545" s="328" t="s">
        <v>1711</v>
      </c>
      <c r="C1545" s="328" t="s">
        <v>1060</v>
      </c>
      <c r="D1545" s="330">
        <v>7</v>
      </c>
      <c r="E1545" s="331">
        <v>-44</v>
      </c>
      <c r="F1545" s="331">
        <v>6545</v>
      </c>
      <c r="G1545" s="328" t="s">
        <v>1712</v>
      </c>
      <c r="H1545" s="328" t="s">
        <v>1739</v>
      </c>
      <c r="I1545" s="328" t="s">
        <v>110</v>
      </c>
      <c r="J1545" s="328" t="s">
        <v>757</v>
      </c>
      <c r="K1545" s="328" t="s">
        <v>741</v>
      </c>
      <c r="L1545" s="329">
        <v>44196</v>
      </c>
      <c r="M1545" s="332">
        <v>0</v>
      </c>
    </row>
    <row r="1546" spans="1:13" hidden="1" x14ac:dyDescent="0.25">
      <c r="A1546" s="329">
        <v>44196</v>
      </c>
      <c r="B1546" s="328" t="s">
        <v>1713</v>
      </c>
      <c r="C1546" s="328" t="s">
        <v>769</v>
      </c>
      <c r="D1546" s="330">
        <v>7</v>
      </c>
      <c r="E1546" s="331">
        <v>44</v>
      </c>
      <c r="F1546" s="331">
        <v>6589</v>
      </c>
      <c r="G1546" s="328" t="s">
        <v>1714</v>
      </c>
      <c r="H1546" s="328" t="s">
        <v>1739</v>
      </c>
      <c r="I1546" s="328" t="s">
        <v>110</v>
      </c>
      <c r="J1546" s="328" t="s">
        <v>757</v>
      </c>
      <c r="K1546" s="328" t="s">
        <v>770</v>
      </c>
      <c r="L1546" s="329">
        <v>44196</v>
      </c>
      <c r="M1546" s="332">
        <v>0</v>
      </c>
    </row>
    <row r="1547" spans="1:13" hidden="1" x14ac:dyDescent="0.25">
      <c r="A1547" s="329">
        <v>44227</v>
      </c>
      <c r="B1547" s="328" t="s">
        <v>1715</v>
      </c>
      <c r="C1547" s="328" t="s">
        <v>1060</v>
      </c>
      <c r="D1547" s="330">
        <v>7</v>
      </c>
      <c r="E1547" s="331">
        <v>44</v>
      </c>
      <c r="F1547" s="331">
        <v>6633</v>
      </c>
      <c r="G1547" s="328" t="s">
        <v>1716</v>
      </c>
      <c r="H1547" s="328" t="s">
        <v>1739</v>
      </c>
      <c r="I1547" s="328" t="s">
        <v>110</v>
      </c>
      <c r="J1547" s="328" t="s">
        <v>757</v>
      </c>
      <c r="K1547" s="328" t="s">
        <v>741</v>
      </c>
      <c r="L1547" s="329">
        <v>44227</v>
      </c>
      <c r="M1547" s="332">
        <v>0</v>
      </c>
    </row>
    <row r="1548" spans="1:13" hidden="1" x14ac:dyDescent="0.25">
      <c r="A1548" s="329">
        <v>44227</v>
      </c>
      <c r="B1548" s="328" t="s">
        <v>1715</v>
      </c>
      <c r="C1548" s="328" t="s">
        <v>1060</v>
      </c>
      <c r="D1548" s="330">
        <v>8</v>
      </c>
      <c r="E1548" s="331">
        <v>-44</v>
      </c>
      <c r="F1548" s="331">
        <v>6589</v>
      </c>
      <c r="G1548" s="328" t="s">
        <v>1716</v>
      </c>
      <c r="H1548" s="328" t="s">
        <v>1739</v>
      </c>
      <c r="I1548" s="328" t="s">
        <v>110</v>
      </c>
      <c r="J1548" s="328" t="s">
        <v>757</v>
      </c>
      <c r="K1548" s="328" t="s">
        <v>741</v>
      </c>
      <c r="L1548" s="329">
        <v>44227</v>
      </c>
      <c r="M1548" s="332">
        <v>0</v>
      </c>
    </row>
    <row r="1549" spans="1:13" hidden="1" x14ac:dyDescent="0.25">
      <c r="A1549" s="329">
        <v>44227</v>
      </c>
      <c r="B1549" s="328" t="s">
        <v>1717</v>
      </c>
      <c r="C1549" s="328" t="s">
        <v>769</v>
      </c>
      <c r="D1549" s="330">
        <v>8</v>
      </c>
      <c r="E1549" s="331">
        <v>44</v>
      </c>
      <c r="F1549" s="331">
        <v>6633</v>
      </c>
      <c r="G1549" s="328" t="s">
        <v>1718</v>
      </c>
      <c r="H1549" s="328" t="s">
        <v>1739</v>
      </c>
      <c r="I1549" s="328" t="s">
        <v>110</v>
      </c>
      <c r="J1549" s="328" t="s">
        <v>757</v>
      </c>
      <c r="K1549" s="328" t="s">
        <v>770</v>
      </c>
      <c r="L1549" s="329">
        <v>44227</v>
      </c>
      <c r="M1549" s="332">
        <v>0</v>
      </c>
    </row>
    <row r="1550" spans="1:13" hidden="1" x14ac:dyDescent="0.25">
      <c r="A1550" s="329">
        <v>44255</v>
      </c>
      <c r="B1550" s="328" t="s">
        <v>1720</v>
      </c>
      <c r="C1550" s="328" t="s">
        <v>1060</v>
      </c>
      <c r="D1550" s="330">
        <v>8</v>
      </c>
      <c r="E1550" s="331">
        <v>44</v>
      </c>
      <c r="F1550" s="331">
        <v>6677</v>
      </c>
      <c r="G1550" s="328" t="s">
        <v>1721</v>
      </c>
      <c r="H1550" s="328" t="s">
        <v>1739</v>
      </c>
      <c r="I1550" s="328" t="s">
        <v>110</v>
      </c>
      <c r="J1550" s="328" t="s">
        <v>757</v>
      </c>
      <c r="K1550" s="328" t="s">
        <v>741</v>
      </c>
      <c r="L1550" s="329">
        <v>44255</v>
      </c>
      <c r="M1550" s="332">
        <v>0</v>
      </c>
    </row>
    <row r="1551" spans="1:13" hidden="1" x14ac:dyDescent="0.25">
      <c r="A1551" s="329">
        <v>44255</v>
      </c>
      <c r="B1551" s="328" t="s">
        <v>1720</v>
      </c>
      <c r="C1551" s="328" t="s">
        <v>1060</v>
      </c>
      <c r="D1551" s="330">
        <v>9</v>
      </c>
      <c r="E1551" s="331">
        <v>-44</v>
      </c>
      <c r="F1551" s="331">
        <v>6633</v>
      </c>
      <c r="G1551" s="328" t="s">
        <v>1721</v>
      </c>
      <c r="H1551" s="328" t="s">
        <v>1739</v>
      </c>
      <c r="I1551" s="328" t="s">
        <v>110</v>
      </c>
      <c r="J1551" s="328" t="s">
        <v>757</v>
      </c>
      <c r="K1551" s="328" t="s">
        <v>741</v>
      </c>
      <c r="L1551" s="329">
        <v>44255</v>
      </c>
      <c r="M1551" s="332">
        <v>0</v>
      </c>
    </row>
    <row r="1552" spans="1:13" hidden="1" x14ac:dyDescent="0.25">
      <c r="A1552" s="329">
        <v>44255</v>
      </c>
      <c r="B1552" s="328" t="s">
        <v>1722</v>
      </c>
      <c r="C1552" s="328" t="s">
        <v>769</v>
      </c>
      <c r="D1552" s="330">
        <v>9</v>
      </c>
      <c r="E1552" s="331">
        <v>49.5</v>
      </c>
      <c r="F1552" s="331">
        <v>6682.5</v>
      </c>
      <c r="G1552" s="328" t="s">
        <v>1723</v>
      </c>
      <c r="H1552" s="328" t="s">
        <v>1739</v>
      </c>
      <c r="I1552" s="328" t="s">
        <v>110</v>
      </c>
      <c r="J1552" s="328" t="s">
        <v>757</v>
      </c>
      <c r="K1552" s="328" t="s">
        <v>770</v>
      </c>
      <c r="L1552" s="329">
        <v>44255</v>
      </c>
      <c r="M1552" s="332">
        <v>0</v>
      </c>
    </row>
    <row r="1553" spans="1:13" hidden="1" x14ac:dyDescent="0.25">
      <c r="A1553" s="329">
        <v>44286</v>
      </c>
      <c r="B1553" s="328" t="s">
        <v>1724</v>
      </c>
      <c r="C1553" s="328" t="s">
        <v>1060</v>
      </c>
      <c r="D1553" s="330">
        <v>9</v>
      </c>
      <c r="E1553" s="331">
        <v>60.5</v>
      </c>
      <c r="F1553" s="331">
        <v>6743</v>
      </c>
      <c r="G1553" s="328" t="s">
        <v>1725</v>
      </c>
      <c r="H1553" s="328" t="s">
        <v>1739</v>
      </c>
      <c r="I1553" s="328" t="s">
        <v>110</v>
      </c>
      <c r="J1553" s="328" t="s">
        <v>757</v>
      </c>
      <c r="K1553" s="328" t="s">
        <v>741</v>
      </c>
      <c r="L1553" s="329">
        <v>44286</v>
      </c>
      <c r="M1553" s="332">
        <v>0</v>
      </c>
    </row>
    <row r="1554" spans="1:13" hidden="1" x14ac:dyDescent="0.25">
      <c r="A1554" s="329">
        <v>44286</v>
      </c>
      <c r="B1554" s="328" t="s">
        <v>1726</v>
      </c>
      <c r="C1554" s="328" t="s">
        <v>769</v>
      </c>
      <c r="D1554" s="330">
        <v>10</v>
      </c>
      <c r="E1554" s="331">
        <v>60.5</v>
      </c>
      <c r="F1554" s="331">
        <v>6803.5</v>
      </c>
      <c r="G1554" s="328" t="s">
        <v>1727</v>
      </c>
      <c r="H1554" s="328" t="s">
        <v>1739</v>
      </c>
      <c r="I1554" s="328" t="s">
        <v>110</v>
      </c>
      <c r="J1554" s="328" t="s">
        <v>757</v>
      </c>
      <c r="K1554" s="328" t="s">
        <v>770</v>
      </c>
      <c r="L1554" s="329">
        <v>44286</v>
      </c>
      <c r="M1554" s="332">
        <v>0</v>
      </c>
    </row>
    <row r="1555" spans="1:13" hidden="1" x14ac:dyDescent="0.25">
      <c r="A1555" s="329">
        <v>44286</v>
      </c>
      <c r="B1555" s="328" t="s">
        <v>1724</v>
      </c>
      <c r="C1555" s="328" t="s">
        <v>1060</v>
      </c>
      <c r="D1555" s="330">
        <v>10</v>
      </c>
      <c r="E1555" s="331">
        <v>-60.5</v>
      </c>
      <c r="F1555" s="331">
        <v>6743</v>
      </c>
      <c r="G1555" s="328" t="s">
        <v>1725</v>
      </c>
      <c r="H1555" s="328" t="s">
        <v>1739</v>
      </c>
      <c r="I1555" s="328" t="s">
        <v>110</v>
      </c>
      <c r="J1555" s="328" t="s">
        <v>757</v>
      </c>
      <c r="K1555" s="328" t="s">
        <v>741</v>
      </c>
      <c r="L1555" s="329">
        <v>44286</v>
      </c>
      <c r="M1555" s="332">
        <v>0</v>
      </c>
    </row>
    <row r="1556" spans="1:13" hidden="1" x14ac:dyDescent="0.25">
      <c r="A1556" s="329">
        <v>44316</v>
      </c>
      <c r="B1556" s="328" t="s">
        <v>1728</v>
      </c>
      <c r="C1556" s="328" t="s">
        <v>1060</v>
      </c>
      <c r="D1556" s="330">
        <v>10</v>
      </c>
      <c r="E1556" s="331">
        <v>33</v>
      </c>
      <c r="F1556" s="331">
        <v>6776</v>
      </c>
      <c r="G1556" s="328" t="s">
        <v>1729</v>
      </c>
      <c r="H1556" s="328" t="s">
        <v>1739</v>
      </c>
      <c r="I1556" s="328" t="s">
        <v>110</v>
      </c>
      <c r="J1556" s="328" t="s">
        <v>757</v>
      </c>
      <c r="K1556" s="328" t="s">
        <v>741</v>
      </c>
      <c r="L1556" s="329">
        <v>44316</v>
      </c>
      <c r="M1556" s="332">
        <v>0</v>
      </c>
    </row>
    <row r="1557" spans="1:13" hidden="1" x14ac:dyDescent="0.25">
      <c r="A1557" s="329">
        <v>44012</v>
      </c>
      <c r="B1557" s="328" t="s">
        <v>1678</v>
      </c>
      <c r="C1557" s="328" t="s">
        <v>769</v>
      </c>
      <c r="D1557" s="330">
        <v>1</v>
      </c>
      <c r="E1557" s="331">
        <v>66</v>
      </c>
      <c r="F1557" s="331">
        <v>6842</v>
      </c>
      <c r="G1557" s="328" t="s">
        <v>1679</v>
      </c>
      <c r="H1557" s="328" t="s">
        <v>1740</v>
      </c>
      <c r="I1557" s="328" t="s">
        <v>110</v>
      </c>
      <c r="J1557" s="328" t="s">
        <v>757</v>
      </c>
      <c r="K1557" s="328" t="s">
        <v>770</v>
      </c>
      <c r="L1557" s="329">
        <v>44012</v>
      </c>
      <c r="M1557" s="332">
        <v>0</v>
      </c>
    </row>
    <row r="1558" spans="1:13" hidden="1" x14ac:dyDescent="0.25">
      <c r="A1558" s="329">
        <v>44012</v>
      </c>
      <c r="B1558" s="328" t="s">
        <v>1681</v>
      </c>
      <c r="C1558" s="328" t="s">
        <v>1059</v>
      </c>
      <c r="D1558" s="330">
        <v>1</v>
      </c>
      <c r="E1558" s="331">
        <v>-66</v>
      </c>
      <c r="F1558" s="331">
        <v>6776</v>
      </c>
      <c r="G1558" s="328" t="s">
        <v>1682</v>
      </c>
      <c r="H1558" s="328" t="s">
        <v>1740</v>
      </c>
      <c r="I1558" s="328" t="s">
        <v>110</v>
      </c>
      <c r="J1558" s="328" t="s">
        <v>757</v>
      </c>
      <c r="K1558" s="328" t="s">
        <v>741</v>
      </c>
      <c r="L1558" s="329">
        <v>44012</v>
      </c>
      <c r="M1558" s="332">
        <v>0</v>
      </c>
    </row>
    <row r="1559" spans="1:13" hidden="1" x14ac:dyDescent="0.25">
      <c r="A1559" s="329">
        <v>44043</v>
      </c>
      <c r="B1559" s="328" t="s">
        <v>1685</v>
      </c>
      <c r="C1559" s="328" t="s">
        <v>1060</v>
      </c>
      <c r="D1559" s="330">
        <v>1</v>
      </c>
      <c r="E1559" s="331">
        <v>110</v>
      </c>
      <c r="F1559" s="331">
        <v>6886</v>
      </c>
      <c r="G1559" s="328" t="s">
        <v>1686</v>
      </c>
      <c r="H1559" s="328" t="s">
        <v>1740</v>
      </c>
      <c r="I1559" s="328" t="s">
        <v>110</v>
      </c>
      <c r="J1559" s="328" t="s">
        <v>757</v>
      </c>
      <c r="K1559" s="328" t="s">
        <v>741</v>
      </c>
      <c r="L1559" s="329">
        <v>44043</v>
      </c>
      <c r="M1559" s="332">
        <v>0</v>
      </c>
    </row>
    <row r="1560" spans="1:13" hidden="1" x14ac:dyDescent="0.25">
      <c r="A1560" s="329">
        <v>44043</v>
      </c>
      <c r="B1560" s="328" t="s">
        <v>1688</v>
      </c>
      <c r="C1560" s="328" t="s">
        <v>1060</v>
      </c>
      <c r="D1560" s="330">
        <v>1</v>
      </c>
      <c r="E1560" s="331">
        <v>-110</v>
      </c>
      <c r="F1560" s="331">
        <v>6776</v>
      </c>
      <c r="G1560" s="328" t="s">
        <v>1686</v>
      </c>
      <c r="H1560" s="328" t="s">
        <v>1740</v>
      </c>
      <c r="I1560" s="328" t="s">
        <v>110</v>
      </c>
      <c r="J1560" s="328" t="s">
        <v>757</v>
      </c>
      <c r="K1560" s="328" t="s">
        <v>741</v>
      </c>
      <c r="L1560" s="329">
        <v>44043</v>
      </c>
      <c r="M1560" s="332">
        <v>0</v>
      </c>
    </row>
    <row r="1561" spans="1:13" hidden="1" x14ac:dyDescent="0.25">
      <c r="A1561" s="329">
        <v>44043</v>
      </c>
      <c r="B1561" s="328" t="s">
        <v>1689</v>
      </c>
      <c r="C1561" s="328" t="s">
        <v>1060</v>
      </c>
      <c r="D1561" s="330">
        <v>1</v>
      </c>
      <c r="E1561" s="331">
        <v>110</v>
      </c>
      <c r="F1561" s="331">
        <v>6886</v>
      </c>
      <c r="G1561" s="328" t="s">
        <v>1686</v>
      </c>
      <c r="H1561" s="328" t="s">
        <v>1740</v>
      </c>
      <c r="I1561" s="328" t="s">
        <v>110</v>
      </c>
      <c r="J1561" s="328" t="s">
        <v>757</v>
      </c>
      <c r="K1561" s="328" t="s">
        <v>741</v>
      </c>
      <c r="L1561" s="329">
        <v>44043</v>
      </c>
      <c r="M1561" s="332">
        <v>0</v>
      </c>
    </row>
    <row r="1562" spans="1:13" hidden="1" x14ac:dyDescent="0.25">
      <c r="A1562" s="329">
        <v>44043</v>
      </c>
      <c r="B1562" s="328" t="s">
        <v>1691</v>
      </c>
      <c r="C1562" s="328" t="s">
        <v>769</v>
      </c>
      <c r="D1562" s="330">
        <v>2</v>
      </c>
      <c r="E1562" s="331">
        <v>110</v>
      </c>
      <c r="F1562" s="331">
        <v>6996</v>
      </c>
      <c r="G1562" s="328" t="s">
        <v>1692</v>
      </c>
      <c r="H1562" s="328" t="s">
        <v>1740</v>
      </c>
      <c r="I1562" s="328" t="s">
        <v>110</v>
      </c>
      <c r="J1562" s="328" t="s">
        <v>757</v>
      </c>
      <c r="K1562" s="328" t="s">
        <v>770</v>
      </c>
      <c r="L1562" s="329">
        <v>44043</v>
      </c>
      <c r="M1562" s="332">
        <v>0</v>
      </c>
    </row>
    <row r="1563" spans="1:13" hidden="1" x14ac:dyDescent="0.25">
      <c r="A1563" s="329">
        <v>44043</v>
      </c>
      <c r="B1563" s="328" t="s">
        <v>1685</v>
      </c>
      <c r="C1563" s="328" t="s">
        <v>1060</v>
      </c>
      <c r="D1563" s="330">
        <v>2</v>
      </c>
      <c r="E1563" s="331">
        <v>-110</v>
      </c>
      <c r="F1563" s="331">
        <v>6886</v>
      </c>
      <c r="G1563" s="328" t="s">
        <v>1686</v>
      </c>
      <c r="H1563" s="328" t="s">
        <v>1740</v>
      </c>
      <c r="I1563" s="328" t="s">
        <v>110</v>
      </c>
      <c r="J1563" s="328" t="s">
        <v>757</v>
      </c>
      <c r="K1563" s="328" t="s">
        <v>741</v>
      </c>
      <c r="L1563" s="329">
        <v>44043</v>
      </c>
      <c r="M1563" s="332">
        <v>0</v>
      </c>
    </row>
    <row r="1564" spans="1:13" hidden="1" x14ac:dyDescent="0.25">
      <c r="A1564" s="329">
        <v>44043</v>
      </c>
      <c r="B1564" s="328" t="s">
        <v>1688</v>
      </c>
      <c r="C1564" s="328" t="s">
        <v>1060</v>
      </c>
      <c r="D1564" s="330">
        <v>2</v>
      </c>
      <c r="E1564" s="331">
        <v>110</v>
      </c>
      <c r="F1564" s="331">
        <v>6996</v>
      </c>
      <c r="G1564" s="328" t="s">
        <v>1686</v>
      </c>
      <c r="H1564" s="328" t="s">
        <v>1740</v>
      </c>
      <c r="I1564" s="328" t="s">
        <v>110</v>
      </c>
      <c r="J1564" s="328" t="s">
        <v>757</v>
      </c>
      <c r="K1564" s="328" t="s">
        <v>741</v>
      </c>
      <c r="L1564" s="329">
        <v>44043</v>
      </c>
      <c r="M1564" s="332">
        <v>0</v>
      </c>
    </row>
    <row r="1565" spans="1:13" hidden="1" x14ac:dyDescent="0.25">
      <c r="A1565" s="329">
        <v>44043</v>
      </c>
      <c r="B1565" s="328" t="s">
        <v>1689</v>
      </c>
      <c r="C1565" s="328" t="s">
        <v>1060</v>
      </c>
      <c r="D1565" s="330">
        <v>2</v>
      </c>
      <c r="E1565" s="331">
        <v>-110</v>
      </c>
      <c r="F1565" s="331">
        <v>6886</v>
      </c>
      <c r="G1565" s="328" t="s">
        <v>1686</v>
      </c>
      <c r="H1565" s="328" t="s">
        <v>1740</v>
      </c>
      <c r="I1565" s="328" t="s">
        <v>110</v>
      </c>
      <c r="J1565" s="328" t="s">
        <v>757</v>
      </c>
      <c r="K1565" s="328" t="s">
        <v>741</v>
      </c>
      <c r="L1565" s="329">
        <v>44043</v>
      </c>
      <c r="M1565" s="332">
        <v>0</v>
      </c>
    </row>
    <row r="1566" spans="1:13" hidden="1" x14ac:dyDescent="0.25">
      <c r="A1566" s="329">
        <v>44074</v>
      </c>
      <c r="B1566" s="328" t="s">
        <v>1695</v>
      </c>
      <c r="C1566" s="328" t="s">
        <v>1060</v>
      </c>
      <c r="D1566" s="330">
        <v>2</v>
      </c>
      <c r="E1566" s="331">
        <v>66</v>
      </c>
      <c r="F1566" s="331">
        <v>6952</v>
      </c>
      <c r="G1566" s="328" t="s">
        <v>1696</v>
      </c>
      <c r="H1566" s="328" t="s">
        <v>1740</v>
      </c>
      <c r="I1566" s="328" t="s">
        <v>110</v>
      </c>
      <c r="J1566" s="328" t="s">
        <v>757</v>
      </c>
      <c r="K1566" s="328" t="s">
        <v>741</v>
      </c>
      <c r="L1566" s="329">
        <v>44074</v>
      </c>
      <c r="M1566" s="332">
        <v>0</v>
      </c>
    </row>
    <row r="1567" spans="1:13" hidden="1" x14ac:dyDescent="0.25">
      <c r="A1567" s="329">
        <v>44074</v>
      </c>
      <c r="B1567" s="328" t="s">
        <v>1697</v>
      </c>
      <c r="C1567" s="328" t="s">
        <v>769</v>
      </c>
      <c r="D1567" s="330">
        <v>3</v>
      </c>
      <c r="E1567" s="331">
        <v>66</v>
      </c>
      <c r="F1567" s="331">
        <v>7018</v>
      </c>
      <c r="G1567" s="328" t="s">
        <v>1698</v>
      </c>
      <c r="H1567" s="328" t="s">
        <v>1740</v>
      </c>
      <c r="I1567" s="328" t="s">
        <v>110</v>
      </c>
      <c r="J1567" s="328" t="s">
        <v>757</v>
      </c>
      <c r="K1567" s="328" t="s">
        <v>770</v>
      </c>
      <c r="L1567" s="329">
        <v>44074</v>
      </c>
      <c r="M1567" s="332">
        <v>0</v>
      </c>
    </row>
    <row r="1568" spans="1:13" hidden="1" x14ac:dyDescent="0.25">
      <c r="A1568" s="329">
        <v>44074</v>
      </c>
      <c r="B1568" s="328" t="s">
        <v>1695</v>
      </c>
      <c r="C1568" s="328" t="s">
        <v>1060</v>
      </c>
      <c r="D1568" s="330">
        <v>3</v>
      </c>
      <c r="E1568" s="331">
        <v>-66</v>
      </c>
      <c r="F1568" s="331">
        <v>6952</v>
      </c>
      <c r="G1568" s="328" t="s">
        <v>1696</v>
      </c>
      <c r="H1568" s="328" t="s">
        <v>1740</v>
      </c>
      <c r="I1568" s="328" t="s">
        <v>110</v>
      </c>
      <c r="J1568" s="328" t="s">
        <v>757</v>
      </c>
      <c r="K1568" s="328" t="s">
        <v>741</v>
      </c>
      <c r="L1568" s="329">
        <v>44074</v>
      </c>
      <c r="M1568" s="332">
        <v>0</v>
      </c>
    </row>
    <row r="1569" spans="1:13" hidden="1" x14ac:dyDescent="0.25">
      <c r="A1569" s="329">
        <v>44104</v>
      </c>
      <c r="B1569" s="328" t="s">
        <v>1699</v>
      </c>
      <c r="C1569" s="328" t="s">
        <v>1060</v>
      </c>
      <c r="D1569" s="330">
        <v>3</v>
      </c>
      <c r="E1569" s="331">
        <v>99</v>
      </c>
      <c r="F1569" s="331">
        <v>7051</v>
      </c>
      <c r="G1569" s="328" t="s">
        <v>1700</v>
      </c>
      <c r="H1569" s="328" t="s">
        <v>1740</v>
      </c>
      <c r="I1569" s="328" t="s">
        <v>110</v>
      </c>
      <c r="J1569" s="328" t="s">
        <v>757</v>
      </c>
      <c r="K1569" s="328" t="s">
        <v>741</v>
      </c>
      <c r="L1569" s="329">
        <v>44104</v>
      </c>
      <c r="M1569" s="332">
        <v>0</v>
      </c>
    </row>
    <row r="1570" spans="1:13" hidden="1" x14ac:dyDescent="0.25">
      <c r="A1570" s="329">
        <v>44104</v>
      </c>
      <c r="B1570" s="328" t="s">
        <v>1699</v>
      </c>
      <c r="C1570" s="328" t="s">
        <v>1060</v>
      </c>
      <c r="D1570" s="330">
        <v>4</v>
      </c>
      <c r="E1570" s="331">
        <v>-99</v>
      </c>
      <c r="F1570" s="331">
        <v>6952</v>
      </c>
      <c r="G1570" s="328" t="s">
        <v>1700</v>
      </c>
      <c r="H1570" s="328" t="s">
        <v>1740</v>
      </c>
      <c r="I1570" s="328" t="s">
        <v>110</v>
      </c>
      <c r="J1570" s="328" t="s">
        <v>757</v>
      </c>
      <c r="K1570" s="328" t="s">
        <v>741</v>
      </c>
      <c r="L1570" s="329">
        <v>44104</v>
      </c>
      <c r="M1570" s="332">
        <v>0</v>
      </c>
    </row>
    <row r="1571" spans="1:13" hidden="1" x14ac:dyDescent="0.25">
      <c r="A1571" s="329">
        <v>44105</v>
      </c>
      <c r="B1571" s="328" t="s">
        <v>1701</v>
      </c>
      <c r="C1571" s="328" t="s">
        <v>769</v>
      </c>
      <c r="D1571" s="330">
        <v>4</v>
      </c>
      <c r="E1571" s="331">
        <v>99</v>
      </c>
      <c r="F1571" s="331">
        <v>7051</v>
      </c>
      <c r="G1571" s="328" t="s">
        <v>1702</v>
      </c>
      <c r="H1571" s="328" t="s">
        <v>1740</v>
      </c>
      <c r="I1571" s="328" t="s">
        <v>110</v>
      </c>
      <c r="J1571" s="328" t="s">
        <v>757</v>
      </c>
      <c r="K1571" s="328" t="s">
        <v>770</v>
      </c>
      <c r="L1571" s="329">
        <v>44105</v>
      </c>
      <c r="M1571" s="332">
        <v>0</v>
      </c>
    </row>
    <row r="1572" spans="1:13" hidden="1" x14ac:dyDescent="0.25">
      <c r="A1572" s="329">
        <v>44135</v>
      </c>
      <c r="B1572" s="328" t="s">
        <v>1703</v>
      </c>
      <c r="C1572" s="328" t="s">
        <v>1060</v>
      </c>
      <c r="D1572" s="330">
        <v>4</v>
      </c>
      <c r="E1572" s="331">
        <v>66</v>
      </c>
      <c r="F1572" s="331">
        <v>7117</v>
      </c>
      <c r="G1572" s="328" t="s">
        <v>1704</v>
      </c>
      <c r="H1572" s="328" t="s">
        <v>1740</v>
      </c>
      <c r="I1572" s="328" t="s">
        <v>110</v>
      </c>
      <c r="J1572" s="328" t="s">
        <v>757</v>
      </c>
      <c r="K1572" s="328" t="s">
        <v>741</v>
      </c>
      <c r="L1572" s="329">
        <v>44135</v>
      </c>
      <c r="M1572" s="332">
        <v>0</v>
      </c>
    </row>
    <row r="1573" spans="1:13" hidden="1" x14ac:dyDescent="0.25">
      <c r="A1573" s="329">
        <v>44135</v>
      </c>
      <c r="B1573" s="328" t="s">
        <v>1703</v>
      </c>
      <c r="C1573" s="328" t="s">
        <v>1060</v>
      </c>
      <c r="D1573" s="330">
        <v>5</v>
      </c>
      <c r="E1573" s="331">
        <v>-66</v>
      </c>
      <c r="F1573" s="331">
        <v>7051</v>
      </c>
      <c r="G1573" s="328" t="s">
        <v>1704</v>
      </c>
      <c r="H1573" s="328" t="s">
        <v>1740</v>
      </c>
      <c r="I1573" s="328" t="s">
        <v>110</v>
      </c>
      <c r="J1573" s="328" t="s">
        <v>757</v>
      </c>
      <c r="K1573" s="328" t="s">
        <v>741</v>
      </c>
      <c r="L1573" s="329">
        <v>44135</v>
      </c>
      <c r="M1573" s="332">
        <v>0</v>
      </c>
    </row>
    <row r="1574" spans="1:13" hidden="1" x14ac:dyDescent="0.25">
      <c r="A1574" s="329">
        <v>44135</v>
      </c>
      <c r="B1574" s="328" t="s">
        <v>1705</v>
      </c>
      <c r="C1574" s="328" t="s">
        <v>769</v>
      </c>
      <c r="D1574" s="330">
        <v>5</v>
      </c>
      <c r="E1574" s="331">
        <v>66</v>
      </c>
      <c r="F1574" s="331">
        <v>7117</v>
      </c>
      <c r="G1574" s="328" t="s">
        <v>1706</v>
      </c>
      <c r="H1574" s="328" t="s">
        <v>1740</v>
      </c>
      <c r="I1574" s="328" t="s">
        <v>110</v>
      </c>
      <c r="J1574" s="328" t="s">
        <v>757</v>
      </c>
      <c r="K1574" s="328" t="s">
        <v>770</v>
      </c>
      <c r="L1574" s="329">
        <v>44135</v>
      </c>
      <c r="M1574" s="332">
        <v>0</v>
      </c>
    </row>
    <row r="1575" spans="1:13" hidden="1" x14ac:dyDescent="0.25">
      <c r="A1575" s="329">
        <v>44165</v>
      </c>
      <c r="B1575" s="328" t="s">
        <v>1707</v>
      </c>
      <c r="C1575" s="328" t="s">
        <v>1060</v>
      </c>
      <c r="D1575" s="330">
        <v>5</v>
      </c>
      <c r="E1575" s="331">
        <v>66</v>
      </c>
      <c r="F1575" s="331">
        <v>7183</v>
      </c>
      <c r="G1575" s="328" t="s">
        <v>1708</v>
      </c>
      <c r="H1575" s="328" t="s">
        <v>1740</v>
      </c>
      <c r="I1575" s="328" t="s">
        <v>110</v>
      </c>
      <c r="J1575" s="328" t="s">
        <v>757</v>
      </c>
      <c r="K1575" s="328" t="s">
        <v>741</v>
      </c>
      <c r="L1575" s="329">
        <v>44165</v>
      </c>
      <c r="M1575" s="332">
        <v>0</v>
      </c>
    </row>
    <row r="1576" spans="1:13" hidden="1" x14ac:dyDescent="0.25">
      <c r="A1576" s="329">
        <v>44165</v>
      </c>
      <c r="B1576" s="328" t="s">
        <v>1707</v>
      </c>
      <c r="C1576" s="328" t="s">
        <v>1060</v>
      </c>
      <c r="D1576" s="330">
        <v>6</v>
      </c>
      <c r="E1576" s="331">
        <v>-66</v>
      </c>
      <c r="F1576" s="331">
        <v>7117</v>
      </c>
      <c r="G1576" s="328" t="s">
        <v>1708</v>
      </c>
      <c r="H1576" s="328" t="s">
        <v>1740</v>
      </c>
      <c r="I1576" s="328" t="s">
        <v>110</v>
      </c>
      <c r="J1576" s="328" t="s">
        <v>757</v>
      </c>
      <c r="K1576" s="328" t="s">
        <v>741</v>
      </c>
      <c r="L1576" s="329">
        <v>44165</v>
      </c>
      <c r="M1576" s="332">
        <v>0</v>
      </c>
    </row>
    <row r="1577" spans="1:13" hidden="1" x14ac:dyDescent="0.25">
      <c r="A1577" s="329">
        <v>44165</v>
      </c>
      <c r="B1577" s="328" t="s">
        <v>1709</v>
      </c>
      <c r="C1577" s="328" t="s">
        <v>769</v>
      </c>
      <c r="D1577" s="330">
        <v>6</v>
      </c>
      <c r="E1577" s="331">
        <v>66</v>
      </c>
      <c r="F1577" s="331">
        <v>7183</v>
      </c>
      <c r="G1577" s="328" t="s">
        <v>1710</v>
      </c>
      <c r="H1577" s="328" t="s">
        <v>1740</v>
      </c>
      <c r="I1577" s="328" t="s">
        <v>110</v>
      </c>
      <c r="J1577" s="328" t="s">
        <v>757</v>
      </c>
      <c r="K1577" s="328" t="s">
        <v>770</v>
      </c>
      <c r="L1577" s="329">
        <v>44165</v>
      </c>
      <c r="M1577" s="332">
        <v>0</v>
      </c>
    </row>
    <row r="1578" spans="1:13" hidden="1" x14ac:dyDescent="0.25">
      <c r="A1578" s="329">
        <v>44196</v>
      </c>
      <c r="B1578" s="328" t="s">
        <v>1711</v>
      </c>
      <c r="C1578" s="328" t="s">
        <v>1060</v>
      </c>
      <c r="D1578" s="330">
        <v>6</v>
      </c>
      <c r="E1578" s="331">
        <v>66</v>
      </c>
      <c r="F1578" s="331">
        <v>7249</v>
      </c>
      <c r="G1578" s="328" t="s">
        <v>1712</v>
      </c>
      <c r="H1578" s="328" t="s">
        <v>1740</v>
      </c>
      <c r="I1578" s="328" t="s">
        <v>110</v>
      </c>
      <c r="J1578" s="328" t="s">
        <v>757</v>
      </c>
      <c r="K1578" s="328" t="s">
        <v>741</v>
      </c>
      <c r="L1578" s="329">
        <v>44196</v>
      </c>
      <c r="M1578" s="332">
        <v>0</v>
      </c>
    </row>
    <row r="1579" spans="1:13" hidden="1" x14ac:dyDescent="0.25">
      <c r="A1579" s="329">
        <v>44196</v>
      </c>
      <c r="B1579" s="328" t="s">
        <v>1711</v>
      </c>
      <c r="C1579" s="328" t="s">
        <v>1060</v>
      </c>
      <c r="D1579" s="330">
        <v>7</v>
      </c>
      <c r="E1579" s="331">
        <v>-66</v>
      </c>
      <c r="F1579" s="331">
        <v>7183</v>
      </c>
      <c r="G1579" s="328" t="s">
        <v>1712</v>
      </c>
      <c r="H1579" s="328" t="s">
        <v>1740</v>
      </c>
      <c r="I1579" s="328" t="s">
        <v>110</v>
      </c>
      <c r="J1579" s="328" t="s">
        <v>757</v>
      </c>
      <c r="K1579" s="328" t="s">
        <v>741</v>
      </c>
      <c r="L1579" s="329">
        <v>44196</v>
      </c>
      <c r="M1579" s="332">
        <v>0</v>
      </c>
    </row>
    <row r="1580" spans="1:13" hidden="1" x14ac:dyDescent="0.25">
      <c r="A1580" s="329">
        <v>44196</v>
      </c>
      <c r="B1580" s="328" t="s">
        <v>1713</v>
      </c>
      <c r="C1580" s="328" t="s">
        <v>769</v>
      </c>
      <c r="D1580" s="330">
        <v>7</v>
      </c>
      <c r="E1580" s="331">
        <v>66</v>
      </c>
      <c r="F1580" s="331">
        <v>7249</v>
      </c>
      <c r="G1580" s="328" t="s">
        <v>1714</v>
      </c>
      <c r="H1580" s="328" t="s">
        <v>1740</v>
      </c>
      <c r="I1580" s="328" t="s">
        <v>110</v>
      </c>
      <c r="J1580" s="328" t="s">
        <v>757</v>
      </c>
      <c r="K1580" s="328" t="s">
        <v>770</v>
      </c>
      <c r="L1580" s="329">
        <v>44196</v>
      </c>
      <c r="M1580" s="332">
        <v>0</v>
      </c>
    </row>
    <row r="1581" spans="1:13" hidden="1" x14ac:dyDescent="0.25">
      <c r="A1581" s="329">
        <v>44227</v>
      </c>
      <c r="B1581" s="328" t="s">
        <v>1715</v>
      </c>
      <c r="C1581" s="328" t="s">
        <v>1060</v>
      </c>
      <c r="D1581" s="330">
        <v>7</v>
      </c>
      <c r="E1581" s="331">
        <v>66</v>
      </c>
      <c r="F1581" s="331">
        <v>7315</v>
      </c>
      <c r="G1581" s="328" t="s">
        <v>1716</v>
      </c>
      <c r="H1581" s="328" t="s">
        <v>1740</v>
      </c>
      <c r="I1581" s="328" t="s">
        <v>110</v>
      </c>
      <c r="J1581" s="328" t="s">
        <v>757</v>
      </c>
      <c r="K1581" s="328" t="s">
        <v>741</v>
      </c>
      <c r="L1581" s="329">
        <v>44227</v>
      </c>
      <c r="M1581" s="332">
        <v>0</v>
      </c>
    </row>
    <row r="1582" spans="1:13" hidden="1" x14ac:dyDescent="0.25">
      <c r="A1582" s="329">
        <v>44227</v>
      </c>
      <c r="B1582" s="328" t="s">
        <v>1715</v>
      </c>
      <c r="C1582" s="328" t="s">
        <v>1060</v>
      </c>
      <c r="D1582" s="330">
        <v>8</v>
      </c>
      <c r="E1582" s="331">
        <v>-66</v>
      </c>
      <c r="F1582" s="331">
        <v>7249</v>
      </c>
      <c r="G1582" s="328" t="s">
        <v>1716</v>
      </c>
      <c r="H1582" s="328" t="s">
        <v>1740</v>
      </c>
      <c r="I1582" s="328" t="s">
        <v>110</v>
      </c>
      <c r="J1582" s="328" t="s">
        <v>757</v>
      </c>
      <c r="K1582" s="328" t="s">
        <v>741</v>
      </c>
      <c r="L1582" s="329">
        <v>44227</v>
      </c>
      <c r="M1582" s="332">
        <v>0</v>
      </c>
    </row>
    <row r="1583" spans="1:13" hidden="1" x14ac:dyDescent="0.25">
      <c r="A1583" s="329">
        <v>44227</v>
      </c>
      <c r="B1583" s="328" t="s">
        <v>1717</v>
      </c>
      <c r="C1583" s="328" t="s">
        <v>769</v>
      </c>
      <c r="D1583" s="330">
        <v>8</v>
      </c>
      <c r="E1583" s="331">
        <v>66</v>
      </c>
      <c r="F1583" s="331">
        <v>7315</v>
      </c>
      <c r="G1583" s="328" t="s">
        <v>1718</v>
      </c>
      <c r="H1583" s="328" t="s">
        <v>1740</v>
      </c>
      <c r="I1583" s="328" t="s">
        <v>110</v>
      </c>
      <c r="J1583" s="328" t="s">
        <v>757</v>
      </c>
      <c r="K1583" s="328" t="s">
        <v>770</v>
      </c>
      <c r="L1583" s="329">
        <v>44227</v>
      </c>
      <c r="M1583" s="332">
        <v>0</v>
      </c>
    </row>
    <row r="1584" spans="1:13" hidden="1" x14ac:dyDescent="0.25">
      <c r="A1584" s="329">
        <v>44255</v>
      </c>
      <c r="B1584" s="328" t="s">
        <v>1720</v>
      </c>
      <c r="C1584" s="328" t="s">
        <v>1060</v>
      </c>
      <c r="D1584" s="330">
        <v>8</v>
      </c>
      <c r="E1584" s="331">
        <v>66</v>
      </c>
      <c r="F1584" s="331">
        <v>7381</v>
      </c>
      <c r="G1584" s="328" t="s">
        <v>1721</v>
      </c>
      <c r="H1584" s="328" t="s">
        <v>1740</v>
      </c>
      <c r="I1584" s="328" t="s">
        <v>110</v>
      </c>
      <c r="J1584" s="328" t="s">
        <v>757</v>
      </c>
      <c r="K1584" s="328" t="s">
        <v>741</v>
      </c>
      <c r="L1584" s="329">
        <v>44255</v>
      </c>
      <c r="M1584" s="332">
        <v>0</v>
      </c>
    </row>
    <row r="1585" spans="1:13" hidden="1" x14ac:dyDescent="0.25">
      <c r="A1585" s="329">
        <v>44255</v>
      </c>
      <c r="B1585" s="328" t="s">
        <v>1720</v>
      </c>
      <c r="C1585" s="328" t="s">
        <v>1060</v>
      </c>
      <c r="D1585" s="330">
        <v>9</v>
      </c>
      <c r="E1585" s="331">
        <v>-66</v>
      </c>
      <c r="F1585" s="331">
        <v>7315</v>
      </c>
      <c r="G1585" s="328" t="s">
        <v>1721</v>
      </c>
      <c r="H1585" s="328" t="s">
        <v>1740</v>
      </c>
      <c r="I1585" s="328" t="s">
        <v>110</v>
      </c>
      <c r="J1585" s="328" t="s">
        <v>757</v>
      </c>
      <c r="K1585" s="328" t="s">
        <v>741</v>
      </c>
      <c r="L1585" s="329">
        <v>44255</v>
      </c>
      <c r="M1585" s="332">
        <v>0</v>
      </c>
    </row>
    <row r="1586" spans="1:13" hidden="1" x14ac:dyDescent="0.25">
      <c r="A1586" s="329">
        <v>44255</v>
      </c>
      <c r="B1586" s="328" t="s">
        <v>1722</v>
      </c>
      <c r="C1586" s="328" t="s">
        <v>769</v>
      </c>
      <c r="D1586" s="330">
        <v>9</v>
      </c>
      <c r="E1586" s="331">
        <v>66</v>
      </c>
      <c r="F1586" s="331">
        <v>7381</v>
      </c>
      <c r="G1586" s="328" t="s">
        <v>1723</v>
      </c>
      <c r="H1586" s="328" t="s">
        <v>1740</v>
      </c>
      <c r="I1586" s="328" t="s">
        <v>110</v>
      </c>
      <c r="J1586" s="328" t="s">
        <v>757</v>
      </c>
      <c r="K1586" s="328" t="s">
        <v>770</v>
      </c>
      <c r="L1586" s="329">
        <v>44255</v>
      </c>
      <c r="M1586" s="332">
        <v>0</v>
      </c>
    </row>
    <row r="1587" spans="1:13" hidden="1" x14ac:dyDescent="0.25">
      <c r="A1587" s="329">
        <v>44286</v>
      </c>
      <c r="B1587" s="328" t="s">
        <v>1724</v>
      </c>
      <c r="C1587" s="328" t="s">
        <v>1060</v>
      </c>
      <c r="D1587" s="330">
        <v>9</v>
      </c>
      <c r="E1587" s="331">
        <v>99</v>
      </c>
      <c r="F1587" s="331">
        <v>7480</v>
      </c>
      <c r="G1587" s="328" t="s">
        <v>1725</v>
      </c>
      <c r="H1587" s="328" t="s">
        <v>1740</v>
      </c>
      <c r="I1587" s="328" t="s">
        <v>110</v>
      </c>
      <c r="J1587" s="328" t="s">
        <v>757</v>
      </c>
      <c r="K1587" s="328" t="s">
        <v>741</v>
      </c>
      <c r="L1587" s="329">
        <v>44286</v>
      </c>
      <c r="M1587" s="332">
        <v>0</v>
      </c>
    </row>
    <row r="1588" spans="1:13" hidden="1" x14ac:dyDescent="0.25">
      <c r="A1588" s="329">
        <v>44286</v>
      </c>
      <c r="B1588" s="328" t="s">
        <v>1726</v>
      </c>
      <c r="C1588" s="328" t="s">
        <v>769</v>
      </c>
      <c r="D1588" s="330">
        <v>10</v>
      </c>
      <c r="E1588" s="331">
        <v>99</v>
      </c>
      <c r="F1588" s="331">
        <v>7579</v>
      </c>
      <c r="G1588" s="328" t="s">
        <v>1727</v>
      </c>
      <c r="H1588" s="328" t="s">
        <v>1740</v>
      </c>
      <c r="I1588" s="328" t="s">
        <v>110</v>
      </c>
      <c r="J1588" s="328" t="s">
        <v>757</v>
      </c>
      <c r="K1588" s="328" t="s">
        <v>770</v>
      </c>
      <c r="L1588" s="329">
        <v>44286</v>
      </c>
      <c r="M1588" s="332">
        <v>0</v>
      </c>
    </row>
    <row r="1589" spans="1:13" hidden="1" x14ac:dyDescent="0.25">
      <c r="A1589" s="329">
        <v>44286</v>
      </c>
      <c r="B1589" s="328" t="s">
        <v>1724</v>
      </c>
      <c r="C1589" s="328" t="s">
        <v>1060</v>
      </c>
      <c r="D1589" s="330">
        <v>10</v>
      </c>
      <c r="E1589" s="331">
        <v>-99</v>
      </c>
      <c r="F1589" s="331">
        <v>7480</v>
      </c>
      <c r="G1589" s="328" t="s">
        <v>1725</v>
      </c>
      <c r="H1589" s="328" t="s">
        <v>1740</v>
      </c>
      <c r="I1589" s="328" t="s">
        <v>110</v>
      </c>
      <c r="J1589" s="328" t="s">
        <v>757</v>
      </c>
      <c r="K1589" s="328" t="s">
        <v>741</v>
      </c>
      <c r="L1589" s="329">
        <v>44286</v>
      </c>
      <c r="M1589" s="332">
        <v>0</v>
      </c>
    </row>
    <row r="1590" spans="1:13" hidden="1" x14ac:dyDescent="0.25">
      <c r="A1590" s="329">
        <v>44316</v>
      </c>
      <c r="B1590" s="328" t="s">
        <v>1728</v>
      </c>
      <c r="C1590" s="328" t="s">
        <v>1060</v>
      </c>
      <c r="D1590" s="330">
        <v>10</v>
      </c>
      <c r="E1590" s="331">
        <v>66</v>
      </c>
      <c r="F1590" s="331">
        <v>7546</v>
      </c>
      <c r="G1590" s="328" t="s">
        <v>1729</v>
      </c>
      <c r="H1590" s="328" t="s">
        <v>1740</v>
      </c>
      <c r="I1590" s="328" t="s">
        <v>110</v>
      </c>
      <c r="J1590" s="328" t="s">
        <v>757</v>
      </c>
      <c r="K1590" s="328" t="s">
        <v>741</v>
      </c>
      <c r="L1590" s="329">
        <v>44316</v>
      </c>
      <c r="M1590" s="332">
        <v>0</v>
      </c>
    </row>
    <row r="1591" spans="1:13" hidden="1" x14ac:dyDescent="0.25">
      <c r="A1591" s="329">
        <v>44012</v>
      </c>
      <c r="B1591" s="328" t="s">
        <v>1678</v>
      </c>
      <c r="C1591" s="328" t="s">
        <v>769</v>
      </c>
      <c r="D1591" s="330">
        <v>1</v>
      </c>
      <c r="E1591" s="331">
        <v>121</v>
      </c>
      <c r="F1591" s="331">
        <v>7667</v>
      </c>
      <c r="G1591" s="328" t="s">
        <v>1679</v>
      </c>
      <c r="H1591" s="328" t="s">
        <v>1741</v>
      </c>
      <c r="I1591" s="328" t="s">
        <v>110</v>
      </c>
      <c r="J1591" s="328" t="s">
        <v>757</v>
      </c>
      <c r="K1591" s="328" t="s">
        <v>770</v>
      </c>
      <c r="L1591" s="329">
        <v>44012</v>
      </c>
      <c r="M1591" s="332">
        <v>0</v>
      </c>
    </row>
    <row r="1592" spans="1:13" hidden="1" x14ac:dyDescent="0.25">
      <c r="A1592" s="329">
        <v>44012</v>
      </c>
      <c r="B1592" s="328" t="s">
        <v>1681</v>
      </c>
      <c r="C1592" s="328" t="s">
        <v>1059</v>
      </c>
      <c r="D1592" s="330">
        <v>1</v>
      </c>
      <c r="E1592" s="331">
        <v>-88</v>
      </c>
      <c r="F1592" s="331">
        <v>7579</v>
      </c>
      <c r="G1592" s="328" t="s">
        <v>1682</v>
      </c>
      <c r="H1592" s="328" t="s">
        <v>1741</v>
      </c>
      <c r="I1592" s="328" t="s">
        <v>110</v>
      </c>
      <c r="J1592" s="328" t="s">
        <v>757</v>
      </c>
      <c r="K1592" s="328" t="s">
        <v>741</v>
      </c>
      <c r="L1592" s="329">
        <v>44012</v>
      </c>
      <c r="M1592" s="332">
        <v>0</v>
      </c>
    </row>
    <row r="1593" spans="1:13" hidden="1" x14ac:dyDescent="0.25">
      <c r="A1593" s="329">
        <v>44041</v>
      </c>
      <c r="B1593" s="328" t="s">
        <v>1683</v>
      </c>
      <c r="C1593" s="328" t="s">
        <v>936</v>
      </c>
      <c r="D1593" s="330">
        <v>1</v>
      </c>
      <c r="E1593" s="331">
        <v>-33</v>
      </c>
      <c r="F1593" s="331">
        <v>7546</v>
      </c>
      <c r="G1593" s="328" t="s">
        <v>1684</v>
      </c>
      <c r="H1593" s="328" t="s">
        <v>1741</v>
      </c>
      <c r="I1593" s="328" t="s">
        <v>110</v>
      </c>
      <c r="J1593" s="328" t="s">
        <v>757</v>
      </c>
      <c r="K1593" s="328" t="s">
        <v>770</v>
      </c>
      <c r="L1593" s="329">
        <v>44041</v>
      </c>
      <c r="M1593" s="332">
        <v>0</v>
      </c>
    </row>
    <row r="1594" spans="1:13" hidden="1" x14ac:dyDescent="0.25">
      <c r="A1594" s="329">
        <v>44043</v>
      </c>
      <c r="B1594" s="328" t="s">
        <v>1685</v>
      </c>
      <c r="C1594" s="328" t="s">
        <v>1060</v>
      </c>
      <c r="D1594" s="330">
        <v>1</v>
      </c>
      <c r="E1594" s="331">
        <v>93.5</v>
      </c>
      <c r="F1594" s="331">
        <v>7639.5</v>
      </c>
      <c r="G1594" s="328" t="s">
        <v>1686</v>
      </c>
      <c r="H1594" s="328" t="s">
        <v>1741</v>
      </c>
      <c r="I1594" s="328" t="s">
        <v>110</v>
      </c>
      <c r="J1594" s="328" t="s">
        <v>757</v>
      </c>
      <c r="K1594" s="328" t="s">
        <v>741</v>
      </c>
      <c r="L1594" s="329">
        <v>44043</v>
      </c>
      <c r="M1594" s="332">
        <v>0</v>
      </c>
    </row>
    <row r="1595" spans="1:13" hidden="1" x14ac:dyDescent="0.25">
      <c r="A1595" s="329">
        <v>44043</v>
      </c>
      <c r="B1595" s="328" t="s">
        <v>1685</v>
      </c>
      <c r="C1595" s="328" t="s">
        <v>1060</v>
      </c>
      <c r="D1595" s="330">
        <v>1</v>
      </c>
      <c r="E1595" s="331">
        <v>33</v>
      </c>
      <c r="F1595" s="331">
        <v>7672.5</v>
      </c>
      <c r="G1595" s="328" t="s">
        <v>1687</v>
      </c>
      <c r="H1595" s="328" t="s">
        <v>1741</v>
      </c>
      <c r="I1595" s="328" t="s">
        <v>110</v>
      </c>
      <c r="J1595" s="328" t="s">
        <v>757</v>
      </c>
      <c r="K1595" s="328" t="s">
        <v>741</v>
      </c>
      <c r="L1595" s="329">
        <v>44043</v>
      </c>
      <c r="M1595" s="332">
        <v>0</v>
      </c>
    </row>
    <row r="1596" spans="1:13" hidden="1" x14ac:dyDescent="0.25">
      <c r="A1596" s="329">
        <v>44043</v>
      </c>
      <c r="B1596" s="328" t="s">
        <v>1688</v>
      </c>
      <c r="C1596" s="328" t="s">
        <v>1060</v>
      </c>
      <c r="D1596" s="330">
        <v>1</v>
      </c>
      <c r="E1596" s="331">
        <v>-93.5</v>
      </c>
      <c r="F1596" s="331">
        <v>7579</v>
      </c>
      <c r="G1596" s="328" t="s">
        <v>1686</v>
      </c>
      <c r="H1596" s="328" t="s">
        <v>1741</v>
      </c>
      <c r="I1596" s="328" t="s">
        <v>110</v>
      </c>
      <c r="J1596" s="328" t="s">
        <v>757</v>
      </c>
      <c r="K1596" s="328" t="s">
        <v>741</v>
      </c>
      <c r="L1596" s="329">
        <v>44043</v>
      </c>
      <c r="M1596" s="332">
        <v>0</v>
      </c>
    </row>
    <row r="1597" spans="1:13" hidden="1" x14ac:dyDescent="0.25">
      <c r="A1597" s="329">
        <v>44043</v>
      </c>
      <c r="B1597" s="328" t="s">
        <v>1689</v>
      </c>
      <c r="C1597" s="328" t="s">
        <v>1060</v>
      </c>
      <c r="D1597" s="330">
        <v>1</v>
      </c>
      <c r="E1597" s="331">
        <v>-33</v>
      </c>
      <c r="F1597" s="331">
        <v>7546</v>
      </c>
      <c r="G1597" s="328" t="s">
        <v>1690</v>
      </c>
      <c r="H1597" s="328" t="s">
        <v>1741</v>
      </c>
      <c r="I1597" s="328" t="s">
        <v>110</v>
      </c>
      <c r="J1597" s="328" t="s">
        <v>757</v>
      </c>
      <c r="K1597" s="328" t="s">
        <v>741</v>
      </c>
      <c r="L1597" s="329">
        <v>44043</v>
      </c>
      <c r="M1597" s="332">
        <v>0</v>
      </c>
    </row>
    <row r="1598" spans="1:13" hidden="1" x14ac:dyDescent="0.25">
      <c r="A1598" s="329">
        <v>44043</v>
      </c>
      <c r="B1598" s="328" t="s">
        <v>1689</v>
      </c>
      <c r="C1598" s="328" t="s">
        <v>1060</v>
      </c>
      <c r="D1598" s="330">
        <v>1</v>
      </c>
      <c r="E1598" s="331">
        <v>93.5</v>
      </c>
      <c r="F1598" s="331">
        <v>7639.5</v>
      </c>
      <c r="G1598" s="328" t="s">
        <v>1686</v>
      </c>
      <c r="H1598" s="328" t="s">
        <v>1741</v>
      </c>
      <c r="I1598" s="328" t="s">
        <v>110</v>
      </c>
      <c r="J1598" s="328" t="s">
        <v>757</v>
      </c>
      <c r="K1598" s="328" t="s">
        <v>741</v>
      </c>
      <c r="L1598" s="329">
        <v>44043</v>
      </c>
      <c r="M1598" s="332">
        <v>0</v>
      </c>
    </row>
    <row r="1599" spans="1:13" hidden="1" x14ac:dyDescent="0.25">
      <c r="A1599" s="329">
        <v>44043</v>
      </c>
      <c r="B1599" s="328" t="s">
        <v>1688</v>
      </c>
      <c r="C1599" s="328" t="s">
        <v>1060</v>
      </c>
      <c r="D1599" s="330">
        <v>1</v>
      </c>
      <c r="E1599" s="331">
        <v>-33</v>
      </c>
      <c r="F1599" s="331">
        <v>7606.5</v>
      </c>
      <c r="G1599" s="328" t="s">
        <v>1687</v>
      </c>
      <c r="H1599" s="328" t="s">
        <v>1741</v>
      </c>
      <c r="I1599" s="328" t="s">
        <v>110</v>
      </c>
      <c r="J1599" s="328" t="s">
        <v>757</v>
      </c>
      <c r="K1599" s="328" t="s">
        <v>741</v>
      </c>
      <c r="L1599" s="329">
        <v>44043</v>
      </c>
      <c r="M1599" s="332">
        <v>0</v>
      </c>
    </row>
    <row r="1600" spans="1:13" hidden="1" x14ac:dyDescent="0.25">
      <c r="A1600" s="329">
        <v>44043</v>
      </c>
      <c r="B1600" s="328" t="s">
        <v>1689</v>
      </c>
      <c r="C1600" s="328" t="s">
        <v>1060</v>
      </c>
      <c r="D1600" s="330">
        <v>2</v>
      </c>
      <c r="E1600" s="331">
        <v>-93.5</v>
      </c>
      <c r="F1600" s="331">
        <v>7513</v>
      </c>
      <c r="G1600" s="328" t="s">
        <v>1686</v>
      </c>
      <c r="H1600" s="328" t="s">
        <v>1741</v>
      </c>
      <c r="I1600" s="328" t="s">
        <v>110</v>
      </c>
      <c r="J1600" s="328" t="s">
        <v>757</v>
      </c>
      <c r="K1600" s="328" t="s">
        <v>741</v>
      </c>
      <c r="L1600" s="329">
        <v>44043</v>
      </c>
      <c r="M1600" s="332">
        <v>0</v>
      </c>
    </row>
    <row r="1601" spans="1:13" hidden="1" x14ac:dyDescent="0.25">
      <c r="A1601" s="329">
        <v>44043</v>
      </c>
      <c r="B1601" s="328" t="s">
        <v>1688</v>
      </c>
      <c r="C1601" s="328" t="s">
        <v>1060</v>
      </c>
      <c r="D1601" s="330">
        <v>2</v>
      </c>
      <c r="E1601" s="331">
        <v>33</v>
      </c>
      <c r="F1601" s="331">
        <v>7546</v>
      </c>
      <c r="G1601" s="328" t="s">
        <v>1687</v>
      </c>
      <c r="H1601" s="328" t="s">
        <v>1741</v>
      </c>
      <c r="I1601" s="328" t="s">
        <v>110</v>
      </c>
      <c r="J1601" s="328" t="s">
        <v>757</v>
      </c>
      <c r="K1601" s="328" t="s">
        <v>741</v>
      </c>
      <c r="L1601" s="329">
        <v>44043</v>
      </c>
      <c r="M1601" s="332">
        <v>0</v>
      </c>
    </row>
    <row r="1602" spans="1:13" hidden="1" x14ac:dyDescent="0.25">
      <c r="A1602" s="329">
        <v>44043</v>
      </c>
      <c r="B1602" s="328" t="s">
        <v>1688</v>
      </c>
      <c r="C1602" s="328" t="s">
        <v>1060</v>
      </c>
      <c r="D1602" s="330">
        <v>2</v>
      </c>
      <c r="E1602" s="331">
        <v>93.5</v>
      </c>
      <c r="F1602" s="331">
        <v>7639.5</v>
      </c>
      <c r="G1602" s="328" t="s">
        <v>1686</v>
      </c>
      <c r="H1602" s="328" t="s">
        <v>1741</v>
      </c>
      <c r="I1602" s="328" t="s">
        <v>110</v>
      </c>
      <c r="J1602" s="328" t="s">
        <v>757</v>
      </c>
      <c r="K1602" s="328" t="s">
        <v>741</v>
      </c>
      <c r="L1602" s="329">
        <v>44043</v>
      </c>
      <c r="M1602" s="332">
        <v>0</v>
      </c>
    </row>
    <row r="1603" spans="1:13" hidden="1" x14ac:dyDescent="0.25">
      <c r="A1603" s="329">
        <v>44043</v>
      </c>
      <c r="B1603" s="328" t="s">
        <v>1685</v>
      </c>
      <c r="C1603" s="328" t="s">
        <v>1060</v>
      </c>
      <c r="D1603" s="330">
        <v>2</v>
      </c>
      <c r="E1603" s="331">
        <v>-33</v>
      </c>
      <c r="F1603" s="331">
        <v>7606.5</v>
      </c>
      <c r="G1603" s="328" t="s">
        <v>1687</v>
      </c>
      <c r="H1603" s="328" t="s">
        <v>1741</v>
      </c>
      <c r="I1603" s="328" t="s">
        <v>110</v>
      </c>
      <c r="J1603" s="328" t="s">
        <v>757</v>
      </c>
      <c r="K1603" s="328" t="s">
        <v>741</v>
      </c>
      <c r="L1603" s="329">
        <v>44043</v>
      </c>
      <c r="M1603" s="332">
        <v>0</v>
      </c>
    </row>
    <row r="1604" spans="1:13" hidden="1" x14ac:dyDescent="0.25">
      <c r="A1604" s="329">
        <v>44043</v>
      </c>
      <c r="B1604" s="328" t="s">
        <v>1685</v>
      </c>
      <c r="C1604" s="328" t="s">
        <v>1060</v>
      </c>
      <c r="D1604" s="330">
        <v>2</v>
      </c>
      <c r="E1604" s="331">
        <v>-93.5</v>
      </c>
      <c r="F1604" s="331">
        <v>7513</v>
      </c>
      <c r="G1604" s="328" t="s">
        <v>1686</v>
      </c>
      <c r="H1604" s="328" t="s">
        <v>1741</v>
      </c>
      <c r="I1604" s="328" t="s">
        <v>110</v>
      </c>
      <c r="J1604" s="328" t="s">
        <v>757</v>
      </c>
      <c r="K1604" s="328" t="s">
        <v>741</v>
      </c>
      <c r="L1604" s="329">
        <v>44043</v>
      </c>
      <c r="M1604" s="332">
        <v>0</v>
      </c>
    </row>
    <row r="1605" spans="1:13" hidden="1" x14ac:dyDescent="0.25">
      <c r="A1605" s="329">
        <v>44043</v>
      </c>
      <c r="B1605" s="328" t="s">
        <v>1693</v>
      </c>
      <c r="C1605" s="328" t="s">
        <v>936</v>
      </c>
      <c r="D1605" s="330">
        <v>2</v>
      </c>
      <c r="E1605" s="331">
        <v>-33</v>
      </c>
      <c r="F1605" s="331">
        <v>7480</v>
      </c>
      <c r="G1605" s="328" t="s">
        <v>1694</v>
      </c>
      <c r="H1605" s="328" t="s">
        <v>1741</v>
      </c>
      <c r="I1605" s="328" t="s">
        <v>110</v>
      </c>
      <c r="J1605" s="328" t="s">
        <v>757</v>
      </c>
      <c r="K1605" s="328" t="s">
        <v>770</v>
      </c>
      <c r="L1605" s="329">
        <v>44043</v>
      </c>
      <c r="M1605" s="332">
        <v>0</v>
      </c>
    </row>
    <row r="1606" spans="1:13" hidden="1" x14ac:dyDescent="0.25">
      <c r="A1606" s="329">
        <v>44043</v>
      </c>
      <c r="B1606" s="328" t="s">
        <v>1691</v>
      </c>
      <c r="C1606" s="328" t="s">
        <v>769</v>
      </c>
      <c r="D1606" s="330">
        <v>2</v>
      </c>
      <c r="E1606" s="331">
        <v>93.5</v>
      </c>
      <c r="F1606" s="331">
        <v>7573.5</v>
      </c>
      <c r="G1606" s="328" t="s">
        <v>1692</v>
      </c>
      <c r="H1606" s="328" t="s">
        <v>1741</v>
      </c>
      <c r="I1606" s="328" t="s">
        <v>110</v>
      </c>
      <c r="J1606" s="328" t="s">
        <v>757</v>
      </c>
      <c r="K1606" s="328" t="s">
        <v>770</v>
      </c>
      <c r="L1606" s="329">
        <v>44043</v>
      </c>
      <c r="M1606" s="332">
        <v>0</v>
      </c>
    </row>
    <row r="1607" spans="1:13" hidden="1" x14ac:dyDescent="0.25">
      <c r="A1607" s="329">
        <v>44043</v>
      </c>
      <c r="B1607" s="328" t="s">
        <v>1689</v>
      </c>
      <c r="C1607" s="328" t="s">
        <v>1060</v>
      </c>
      <c r="D1607" s="330">
        <v>2</v>
      </c>
      <c r="E1607" s="331">
        <v>33</v>
      </c>
      <c r="F1607" s="331">
        <v>7606.5</v>
      </c>
      <c r="G1607" s="328" t="s">
        <v>1690</v>
      </c>
      <c r="H1607" s="328" t="s">
        <v>1741</v>
      </c>
      <c r="I1607" s="328" t="s">
        <v>110</v>
      </c>
      <c r="J1607" s="328" t="s">
        <v>757</v>
      </c>
      <c r="K1607" s="328" t="s">
        <v>741</v>
      </c>
      <c r="L1607" s="329">
        <v>44043</v>
      </c>
      <c r="M1607" s="332">
        <v>0</v>
      </c>
    </row>
    <row r="1608" spans="1:13" hidden="1" x14ac:dyDescent="0.25">
      <c r="A1608" s="329">
        <v>44074</v>
      </c>
      <c r="B1608" s="328" t="s">
        <v>1695</v>
      </c>
      <c r="C1608" s="328" t="s">
        <v>1060</v>
      </c>
      <c r="D1608" s="330">
        <v>2</v>
      </c>
      <c r="E1608" s="331">
        <v>88</v>
      </c>
      <c r="F1608" s="331">
        <v>7694.5</v>
      </c>
      <c r="G1608" s="328" t="s">
        <v>1696</v>
      </c>
      <c r="H1608" s="328" t="s">
        <v>1741</v>
      </c>
      <c r="I1608" s="328" t="s">
        <v>110</v>
      </c>
      <c r="J1608" s="328" t="s">
        <v>757</v>
      </c>
      <c r="K1608" s="328" t="s">
        <v>741</v>
      </c>
      <c r="L1608" s="329">
        <v>44074</v>
      </c>
      <c r="M1608" s="332">
        <v>0</v>
      </c>
    </row>
    <row r="1609" spans="1:13" hidden="1" x14ac:dyDescent="0.25">
      <c r="A1609" s="329">
        <v>44074</v>
      </c>
      <c r="B1609" s="328" t="s">
        <v>1697</v>
      </c>
      <c r="C1609" s="328" t="s">
        <v>769</v>
      </c>
      <c r="D1609" s="330">
        <v>3</v>
      </c>
      <c r="E1609" s="331">
        <v>88</v>
      </c>
      <c r="F1609" s="331">
        <v>7782.5</v>
      </c>
      <c r="G1609" s="328" t="s">
        <v>1698</v>
      </c>
      <c r="H1609" s="328" t="s">
        <v>1741</v>
      </c>
      <c r="I1609" s="328" t="s">
        <v>110</v>
      </c>
      <c r="J1609" s="328" t="s">
        <v>757</v>
      </c>
      <c r="K1609" s="328" t="s">
        <v>770</v>
      </c>
      <c r="L1609" s="329">
        <v>44074</v>
      </c>
      <c r="M1609" s="332">
        <v>0</v>
      </c>
    </row>
    <row r="1610" spans="1:13" hidden="1" x14ac:dyDescent="0.25">
      <c r="A1610" s="329">
        <v>44074</v>
      </c>
      <c r="B1610" s="328" t="s">
        <v>1695</v>
      </c>
      <c r="C1610" s="328" t="s">
        <v>1060</v>
      </c>
      <c r="D1610" s="330">
        <v>3</v>
      </c>
      <c r="E1610" s="331">
        <v>-88</v>
      </c>
      <c r="F1610" s="331">
        <v>7694.5</v>
      </c>
      <c r="G1610" s="328" t="s">
        <v>1696</v>
      </c>
      <c r="H1610" s="328" t="s">
        <v>1741</v>
      </c>
      <c r="I1610" s="328" t="s">
        <v>110</v>
      </c>
      <c r="J1610" s="328" t="s">
        <v>757</v>
      </c>
      <c r="K1610" s="328" t="s">
        <v>741</v>
      </c>
      <c r="L1610" s="329">
        <v>44074</v>
      </c>
      <c r="M1610" s="332">
        <v>0</v>
      </c>
    </row>
    <row r="1611" spans="1:13" hidden="1" x14ac:dyDescent="0.25">
      <c r="A1611" s="329">
        <v>44104</v>
      </c>
      <c r="B1611" s="328" t="s">
        <v>1699</v>
      </c>
      <c r="C1611" s="328" t="s">
        <v>1060</v>
      </c>
      <c r="D1611" s="330">
        <v>3</v>
      </c>
      <c r="E1611" s="331">
        <v>132</v>
      </c>
      <c r="F1611" s="331">
        <v>7826.5</v>
      </c>
      <c r="G1611" s="328" t="s">
        <v>1700</v>
      </c>
      <c r="H1611" s="328" t="s">
        <v>1741</v>
      </c>
      <c r="I1611" s="328" t="s">
        <v>110</v>
      </c>
      <c r="J1611" s="328" t="s">
        <v>757</v>
      </c>
      <c r="K1611" s="328" t="s">
        <v>741</v>
      </c>
      <c r="L1611" s="329">
        <v>44104</v>
      </c>
      <c r="M1611" s="332">
        <v>0</v>
      </c>
    </row>
    <row r="1612" spans="1:13" hidden="1" x14ac:dyDescent="0.25">
      <c r="A1612" s="329">
        <v>44104</v>
      </c>
      <c r="B1612" s="328" t="s">
        <v>1699</v>
      </c>
      <c r="C1612" s="328" t="s">
        <v>1060</v>
      </c>
      <c r="D1612" s="330">
        <v>4</v>
      </c>
      <c r="E1612" s="331">
        <v>-132</v>
      </c>
      <c r="F1612" s="331">
        <v>7694.5</v>
      </c>
      <c r="G1612" s="328" t="s">
        <v>1700</v>
      </c>
      <c r="H1612" s="328" t="s">
        <v>1741</v>
      </c>
      <c r="I1612" s="328" t="s">
        <v>110</v>
      </c>
      <c r="J1612" s="328" t="s">
        <v>757</v>
      </c>
      <c r="K1612" s="328" t="s">
        <v>741</v>
      </c>
      <c r="L1612" s="329">
        <v>44104</v>
      </c>
      <c r="M1612" s="332">
        <v>0</v>
      </c>
    </row>
    <row r="1613" spans="1:13" hidden="1" x14ac:dyDescent="0.25">
      <c r="A1613" s="329">
        <v>44105</v>
      </c>
      <c r="B1613" s="328" t="s">
        <v>1701</v>
      </c>
      <c r="C1613" s="328" t="s">
        <v>769</v>
      </c>
      <c r="D1613" s="330">
        <v>4</v>
      </c>
      <c r="E1613" s="331">
        <v>132</v>
      </c>
      <c r="F1613" s="331">
        <v>7826.5</v>
      </c>
      <c r="G1613" s="328" t="s">
        <v>1702</v>
      </c>
      <c r="H1613" s="328" t="s">
        <v>1741</v>
      </c>
      <c r="I1613" s="328" t="s">
        <v>110</v>
      </c>
      <c r="J1613" s="328" t="s">
        <v>757</v>
      </c>
      <c r="K1613" s="328" t="s">
        <v>770</v>
      </c>
      <c r="L1613" s="329">
        <v>44105</v>
      </c>
      <c r="M1613" s="332">
        <v>0</v>
      </c>
    </row>
    <row r="1614" spans="1:13" hidden="1" x14ac:dyDescent="0.25">
      <c r="A1614" s="329">
        <v>44135</v>
      </c>
      <c r="B1614" s="328" t="s">
        <v>1703</v>
      </c>
      <c r="C1614" s="328" t="s">
        <v>1060</v>
      </c>
      <c r="D1614" s="330">
        <v>4</v>
      </c>
      <c r="E1614" s="331">
        <v>88</v>
      </c>
      <c r="F1614" s="331">
        <v>7914.5</v>
      </c>
      <c r="G1614" s="328" t="s">
        <v>1704</v>
      </c>
      <c r="H1614" s="328" t="s">
        <v>1741</v>
      </c>
      <c r="I1614" s="328" t="s">
        <v>110</v>
      </c>
      <c r="J1614" s="328" t="s">
        <v>757</v>
      </c>
      <c r="K1614" s="328" t="s">
        <v>741</v>
      </c>
      <c r="L1614" s="329">
        <v>44135</v>
      </c>
      <c r="M1614" s="332">
        <v>0</v>
      </c>
    </row>
    <row r="1615" spans="1:13" hidden="1" x14ac:dyDescent="0.25">
      <c r="A1615" s="329">
        <v>44135</v>
      </c>
      <c r="B1615" s="328" t="s">
        <v>1703</v>
      </c>
      <c r="C1615" s="328" t="s">
        <v>1060</v>
      </c>
      <c r="D1615" s="330">
        <v>5</v>
      </c>
      <c r="E1615" s="331">
        <v>-88</v>
      </c>
      <c r="F1615" s="331">
        <v>7826.5</v>
      </c>
      <c r="G1615" s="328" t="s">
        <v>1704</v>
      </c>
      <c r="H1615" s="328" t="s">
        <v>1741</v>
      </c>
      <c r="I1615" s="328" t="s">
        <v>110</v>
      </c>
      <c r="J1615" s="328" t="s">
        <v>757</v>
      </c>
      <c r="K1615" s="328" t="s">
        <v>741</v>
      </c>
      <c r="L1615" s="329">
        <v>44135</v>
      </c>
      <c r="M1615" s="332">
        <v>0</v>
      </c>
    </row>
    <row r="1616" spans="1:13" hidden="1" x14ac:dyDescent="0.25">
      <c r="A1616" s="329">
        <v>44135</v>
      </c>
      <c r="B1616" s="328" t="s">
        <v>1705</v>
      </c>
      <c r="C1616" s="328" t="s">
        <v>769</v>
      </c>
      <c r="D1616" s="330">
        <v>5</v>
      </c>
      <c r="E1616" s="331">
        <v>88</v>
      </c>
      <c r="F1616" s="331">
        <v>7914.5</v>
      </c>
      <c r="G1616" s="328" t="s">
        <v>1706</v>
      </c>
      <c r="H1616" s="328" t="s">
        <v>1741</v>
      </c>
      <c r="I1616" s="328" t="s">
        <v>110</v>
      </c>
      <c r="J1616" s="328" t="s">
        <v>757</v>
      </c>
      <c r="K1616" s="328" t="s">
        <v>770</v>
      </c>
      <c r="L1616" s="329">
        <v>44135</v>
      </c>
      <c r="M1616" s="332">
        <v>0</v>
      </c>
    </row>
    <row r="1617" spans="1:13" hidden="1" x14ac:dyDescent="0.25">
      <c r="A1617" s="329">
        <v>44165</v>
      </c>
      <c r="B1617" s="328" t="s">
        <v>1707</v>
      </c>
      <c r="C1617" s="328" t="s">
        <v>1060</v>
      </c>
      <c r="D1617" s="330">
        <v>5</v>
      </c>
      <c r="E1617" s="331">
        <v>88</v>
      </c>
      <c r="F1617" s="331">
        <v>8002.5</v>
      </c>
      <c r="G1617" s="328" t="s">
        <v>1708</v>
      </c>
      <c r="H1617" s="328" t="s">
        <v>1741</v>
      </c>
      <c r="I1617" s="328" t="s">
        <v>110</v>
      </c>
      <c r="J1617" s="328" t="s">
        <v>757</v>
      </c>
      <c r="K1617" s="328" t="s">
        <v>741</v>
      </c>
      <c r="L1617" s="329">
        <v>44165</v>
      </c>
      <c r="M1617" s="332">
        <v>0</v>
      </c>
    </row>
    <row r="1618" spans="1:13" hidden="1" x14ac:dyDescent="0.25">
      <c r="A1618" s="329">
        <v>44165</v>
      </c>
      <c r="B1618" s="328" t="s">
        <v>1707</v>
      </c>
      <c r="C1618" s="328" t="s">
        <v>1060</v>
      </c>
      <c r="D1618" s="330">
        <v>6</v>
      </c>
      <c r="E1618" s="331">
        <v>-88</v>
      </c>
      <c r="F1618" s="331">
        <v>7914.5</v>
      </c>
      <c r="G1618" s="328" t="s">
        <v>1708</v>
      </c>
      <c r="H1618" s="328" t="s">
        <v>1741</v>
      </c>
      <c r="I1618" s="328" t="s">
        <v>110</v>
      </c>
      <c r="J1618" s="328" t="s">
        <v>757</v>
      </c>
      <c r="K1618" s="328" t="s">
        <v>741</v>
      </c>
      <c r="L1618" s="329">
        <v>44165</v>
      </c>
      <c r="M1618" s="332">
        <v>0</v>
      </c>
    </row>
    <row r="1619" spans="1:13" hidden="1" x14ac:dyDescent="0.25">
      <c r="A1619" s="329">
        <v>44165</v>
      </c>
      <c r="B1619" s="328" t="s">
        <v>1709</v>
      </c>
      <c r="C1619" s="328" t="s">
        <v>769</v>
      </c>
      <c r="D1619" s="330">
        <v>6</v>
      </c>
      <c r="E1619" s="331">
        <v>88</v>
      </c>
      <c r="F1619" s="331">
        <v>8002.5</v>
      </c>
      <c r="G1619" s="328" t="s">
        <v>1710</v>
      </c>
      <c r="H1619" s="328" t="s">
        <v>1741</v>
      </c>
      <c r="I1619" s="328" t="s">
        <v>110</v>
      </c>
      <c r="J1619" s="328" t="s">
        <v>757</v>
      </c>
      <c r="K1619" s="328" t="s">
        <v>770</v>
      </c>
      <c r="L1619" s="329">
        <v>44165</v>
      </c>
      <c r="M1619" s="332">
        <v>0</v>
      </c>
    </row>
    <row r="1620" spans="1:13" hidden="1" x14ac:dyDescent="0.25">
      <c r="A1620" s="329">
        <v>44196</v>
      </c>
      <c r="B1620" s="328" t="s">
        <v>1711</v>
      </c>
      <c r="C1620" s="328" t="s">
        <v>1060</v>
      </c>
      <c r="D1620" s="330">
        <v>6</v>
      </c>
      <c r="E1620" s="331">
        <v>88</v>
      </c>
      <c r="F1620" s="331">
        <v>8090.5</v>
      </c>
      <c r="G1620" s="328" t="s">
        <v>1712</v>
      </c>
      <c r="H1620" s="328" t="s">
        <v>1741</v>
      </c>
      <c r="I1620" s="328" t="s">
        <v>110</v>
      </c>
      <c r="J1620" s="328" t="s">
        <v>757</v>
      </c>
      <c r="K1620" s="328" t="s">
        <v>741</v>
      </c>
      <c r="L1620" s="329">
        <v>44196</v>
      </c>
      <c r="M1620" s="332">
        <v>0</v>
      </c>
    </row>
    <row r="1621" spans="1:13" hidden="1" x14ac:dyDescent="0.25">
      <c r="A1621" s="329">
        <v>44196</v>
      </c>
      <c r="B1621" s="328" t="s">
        <v>1711</v>
      </c>
      <c r="C1621" s="328" t="s">
        <v>1060</v>
      </c>
      <c r="D1621" s="330">
        <v>7</v>
      </c>
      <c r="E1621" s="331">
        <v>-88</v>
      </c>
      <c r="F1621" s="331">
        <v>8002.5</v>
      </c>
      <c r="G1621" s="328" t="s">
        <v>1712</v>
      </c>
      <c r="H1621" s="328" t="s">
        <v>1741</v>
      </c>
      <c r="I1621" s="328" t="s">
        <v>110</v>
      </c>
      <c r="J1621" s="328" t="s">
        <v>757</v>
      </c>
      <c r="K1621" s="328" t="s">
        <v>741</v>
      </c>
      <c r="L1621" s="329">
        <v>44196</v>
      </c>
      <c r="M1621" s="332">
        <v>0</v>
      </c>
    </row>
    <row r="1622" spans="1:13" hidden="1" x14ac:dyDescent="0.25">
      <c r="A1622" s="329">
        <v>44196</v>
      </c>
      <c r="B1622" s="328" t="s">
        <v>1713</v>
      </c>
      <c r="C1622" s="328" t="s">
        <v>769</v>
      </c>
      <c r="D1622" s="330">
        <v>7</v>
      </c>
      <c r="E1622" s="331">
        <v>88</v>
      </c>
      <c r="F1622" s="331">
        <v>8090.5</v>
      </c>
      <c r="G1622" s="328" t="s">
        <v>1714</v>
      </c>
      <c r="H1622" s="328" t="s">
        <v>1741</v>
      </c>
      <c r="I1622" s="328" t="s">
        <v>110</v>
      </c>
      <c r="J1622" s="328" t="s">
        <v>757</v>
      </c>
      <c r="K1622" s="328" t="s">
        <v>770</v>
      </c>
      <c r="L1622" s="329">
        <v>44196</v>
      </c>
      <c r="M1622" s="332">
        <v>0</v>
      </c>
    </row>
    <row r="1623" spans="1:13" hidden="1" x14ac:dyDescent="0.25">
      <c r="A1623" s="329">
        <v>44227</v>
      </c>
      <c r="B1623" s="328" t="s">
        <v>1715</v>
      </c>
      <c r="C1623" s="328" t="s">
        <v>1060</v>
      </c>
      <c r="D1623" s="330">
        <v>7</v>
      </c>
      <c r="E1623" s="331">
        <v>88</v>
      </c>
      <c r="F1623" s="331">
        <v>8178.5</v>
      </c>
      <c r="G1623" s="328" t="s">
        <v>1716</v>
      </c>
      <c r="H1623" s="328" t="s">
        <v>1741</v>
      </c>
      <c r="I1623" s="328" t="s">
        <v>110</v>
      </c>
      <c r="J1623" s="328" t="s">
        <v>757</v>
      </c>
      <c r="K1623" s="328" t="s">
        <v>741</v>
      </c>
      <c r="L1623" s="329">
        <v>44227</v>
      </c>
      <c r="M1623" s="332">
        <v>0</v>
      </c>
    </row>
    <row r="1624" spans="1:13" hidden="1" x14ac:dyDescent="0.25">
      <c r="A1624" s="329">
        <v>44227</v>
      </c>
      <c r="B1624" s="328" t="s">
        <v>1715</v>
      </c>
      <c r="C1624" s="328" t="s">
        <v>1060</v>
      </c>
      <c r="D1624" s="330">
        <v>8</v>
      </c>
      <c r="E1624" s="331">
        <v>-88</v>
      </c>
      <c r="F1624" s="331">
        <v>8090.5</v>
      </c>
      <c r="G1624" s="328" t="s">
        <v>1716</v>
      </c>
      <c r="H1624" s="328" t="s">
        <v>1741</v>
      </c>
      <c r="I1624" s="328" t="s">
        <v>110</v>
      </c>
      <c r="J1624" s="328" t="s">
        <v>757</v>
      </c>
      <c r="K1624" s="328" t="s">
        <v>741</v>
      </c>
      <c r="L1624" s="329">
        <v>44227</v>
      </c>
      <c r="M1624" s="332">
        <v>0</v>
      </c>
    </row>
    <row r="1625" spans="1:13" hidden="1" x14ac:dyDescent="0.25">
      <c r="A1625" s="329">
        <v>44227</v>
      </c>
      <c r="B1625" s="328" t="s">
        <v>1717</v>
      </c>
      <c r="C1625" s="328" t="s">
        <v>769</v>
      </c>
      <c r="D1625" s="330">
        <v>8</v>
      </c>
      <c r="E1625" s="331">
        <v>88</v>
      </c>
      <c r="F1625" s="331">
        <v>8178.5</v>
      </c>
      <c r="G1625" s="328" t="s">
        <v>1718</v>
      </c>
      <c r="H1625" s="328" t="s">
        <v>1741</v>
      </c>
      <c r="I1625" s="328" t="s">
        <v>110</v>
      </c>
      <c r="J1625" s="328" t="s">
        <v>757</v>
      </c>
      <c r="K1625" s="328" t="s">
        <v>770</v>
      </c>
      <c r="L1625" s="329">
        <v>44227</v>
      </c>
      <c r="M1625" s="332">
        <v>0</v>
      </c>
    </row>
    <row r="1626" spans="1:13" hidden="1" x14ac:dyDescent="0.25">
      <c r="A1626" s="329">
        <v>44255</v>
      </c>
      <c r="B1626" s="328" t="s">
        <v>1720</v>
      </c>
      <c r="C1626" s="328" t="s">
        <v>1060</v>
      </c>
      <c r="D1626" s="330">
        <v>8</v>
      </c>
      <c r="E1626" s="331">
        <v>88</v>
      </c>
      <c r="F1626" s="331">
        <v>8266.5</v>
      </c>
      <c r="G1626" s="328" t="s">
        <v>1721</v>
      </c>
      <c r="H1626" s="328" t="s">
        <v>1741</v>
      </c>
      <c r="I1626" s="328" t="s">
        <v>110</v>
      </c>
      <c r="J1626" s="328" t="s">
        <v>757</v>
      </c>
      <c r="K1626" s="328" t="s">
        <v>741</v>
      </c>
      <c r="L1626" s="329">
        <v>44255</v>
      </c>
      <c r="M1626" s="332">
        <v>0</v>
      </c>
    </row>
    <row r="1627" spans="1:13" hidden="1" x14ac:dyDescent="0.25">
      <c r="A1627" s="329">
        <v>44255</v>
      </c>
      <c r="B1627" s="328" t="s">
        <v>1720</v>
      </c>
      <c r="C1627" s="328" t="s">
        <v>1060</v>
      </c>
      <c r="D1627" s="330">
        <v>9</v>
      </c>
      <c r="E1627" s="331">
        <v>-88</v>
      </c>
      <c r="F1627" s="331">
        <v>8178.5</v>
      </c>
      <c r="G1627" s="328" t="s">
        <v>1721</v>
      </c>
      <c r="H1627" s="328" t="s">
        <v>1741</v>
      </c>
      <c r="I1627" s="328" t="s">
        <v>110</v>
      </c>
      <c r="J1627" s="328" t="s">
        <v>757</v>
      </c>
      <c r="K1627" s="328" t="s">
        <v>741</v>
      </c>
      <c r="L1627" s="329">
        <v>44255</v>
      </c>
      <c r="M1627" s="332">
        <v>0</v>
      </c>
    </row>
    <row r="1628" spans="1:13" hidden="1" x14ac:dyDescent="0.25">
      <c r="A1628" s="329">
        <v>44255</v>
      </c>
      <c r="B1628" s="328" t="s">
        <v>1722</v>
      </c>
      <c r="C1628" s="328" t="s">
        <v>769</v>
      </c>
      <c r="D1628" s="330">
        <v>9</v>
      </c>
      <c r="E1628" s="331">
        <v>88</v>
      </c>
      <c r="F1628" s="331">
        <v>8266.5</v>
      </c>
      <c r="G1628" s="328" t="s">
        <v>1723</v>
      </c>
      <c r="H1628" s="328" t="s">
        <v>1741</v>
      </c>
      <c r="I1628" s="328" t="s">
        <v>110</v>
      </c>
      <c r="J1628" s="328" t="s">
        <v>757</v>
      </c>
      <c r="K1628" s="328" t="s">
        <v>770</v>
      </c>
      <c r="L1628" s="329">
        <v>44255</v>
      </c>
      <c r="M1628" s="332">
        <v>0</v>
      </c>
    </row>
    <row r="1629" spans="1:13" hidden="1" x14ac:dyDescent="0.25">
      <c r="A1629" s="329">
        <v>44286</v>
      </c>
      <c r="B1629" s="328" t="s">
        <v>1724</v>
      </c>
      <c r="C1629" s="328" t="s">
        <v>1060</v>
      </c>
      <c r="D1629" s="330">
        <v>9</v>
      </c>
      <c r="E1629" s="331">
        <v>93.5</v>
      </c>
      <c r="F1629" s="331">
        <v>8360</v>
      </c>
      <c r="G1629" s="328" t="s">
        <v>1725</v>
      </c>
      <c r="H1629" s="328" t="s">
        <v>1741</v>
      </c>
      <c r="I1629" s="328" t="s">
        <v>110</v>
      </c>
      <c r="J1629" s="328" t="s">
        <v>757</v>
      </c>
      <c r="K1629" s="328" t="s">
        <v>741</v>
      </c>
      <c r="L1629" s="329">
        <v>44286</v>
      </c>
      <c r="M1629" s="332">
        <v>0</v>
      </c>
    </row>
    <row r="1630" spans="1:13" hidden="1" x14ac:dyDescent="0.25">
      <c r="A1630" s="329">
        <v>44286</v>
      </c>
      <c r="B1630" s="328" t="s">
        <v>1726</v>
      </c>
      <c r="C1630" s="328" t="s">
        <v>769</v>
      </c>
      <c r="D1630" s="330">
        <v>10</v>
      </c>
      <c r="E1630" s="331">
        <v>93.5</v>
      </c>
      <c r="F1630" s="331">
        <v>8453.5</v>
      </c>
      <c r="G1630" s="328" t="s">
        <v>1727</v>
      </c>
      <c r="H1630" s="328" t="s">
        <v>1741</v>
      </c>
      <c r="I1630" s="328" t="s">
        <v>110</v>
      </c>
      <c r="J1630" s="328" t="s">
        <v>757</v>
      </c>
      <c r="K1630" s="328" t="s">
        <v>770</v>
      </c>
      <c r="L1630" s="329">
        <v>44286</v>
      </c>
      <c r="M1630" s="332">
        <v>0</v>
      </c>
    </row>
    <row r="1631" spans="1:13" hidden="1" x14ac:dyDescent="0.25">
      <c r="A1631" s="329">
        <v>44286</v>
      </c>
      <c r="B1631" s="328" t="s">
        <v>1724</v>
      </c>
      <c r="C1631" s="328" t="s">
        <v>1060</v>
      </c>
      <c r="D1631" s="330">
        <v>10</v>
      </c>
      <c r="E1631" s="331">
        <v>-93.5</v>
      </c>
      <c r="F1631" s="331">
        <v>8360</v>
      </c>
      <c r="G1631" s="328" t="s">
        <v>1725</v>
      </c>
      <c r="H1631" s="328" t="s">
        <v>1741</v>
      </c>
      <c r="I1631" s="328" t="s">
        <v>110</v>
      </c>
      <c r="J1631" s="328" t="s">
        <v>757</v>
      </c>
      <c r="K1631" s="328" t="s">
        <v>741</v>
      </c>
      <c r="L1631" s="329">
        <v>44286</v>
      </c>
      <c r="M1631" s="332">
        <v>0</v>
      </c>
    </row>
    <row r="1632" spans="1:13" hidden="1" x14ac:dyDescent="0.25">
      <c r="A1632" s="329">
        <v>44316</v>
      </c>
      <c r="B1632" s="328" t="s">
        <v>1728</v>
      </c>
      <c r="C1632" s="328" t="s">
        <v>1060</v>
      </c>
      <c r="D1632" s="330">
        <v>10</v>
      </c>
      <c r="E1632" s="331">
        <v>38.5</v>
      </c>
      <c r="F1632" s="331">
        <v>8398.5</v>
      </c>
      <c r="G1632" s="328" t="s">
        <v>1729</v>
      </c>
      <c r="H1632" s="328" t="s">
        <v>1741</v>
      </c>
      <c r="I1632" s="328" t="s">
        <v>110</v>
      </c>
      <c r="J1632" s="328" t="s">
        <v>757</v>
      </c>
      <c r="K1632" s="328" t="s">
        <v>741</v>
      </c>
      <c r="L1632" s="329">
        <v>44316</v>
      </c>
      <c r="M1632" s="332">
        <v>0</v>
      </c>
    </row>
    <row r="1633" spans="1:13" hidden="1" x14ac:dyDescent="0.25">
      <c r="A1633" s="329">
        <v>44012</v>
      </c>
      <c r="B1633" s="328" t="s">
        <v>1681</v>
      </c>
      <c r="C1633" s="328" t="s">
        <v>1059</v>
      </c>
      <c r="D1633" s="330">
        <v>1</v>
      </c>
      <c r="E1633" s="331">
        <v>-143</v>
      </c>
      <c r="F1633" s="331">
        <v>8255.5</v>
      </c>
      <c r="G1633" s="328" t="s">
        <v>1682</v>
      </c>
      <c r="H1633" s="328" t="s">
        <v>1742</v>
      </c>
      <c r="I1633" s="328" t="s">
        <v>110</v>
      </c>
      <c r="J1633" s="328" t="s">
        <v>757</v>
      </c>
      <c r="K1633" s="328" t="s">
        <v>741</v>
      </c>
      <c r="L1633" s="329">
        <v>44012</v>
      </c>
      <c r="M1633" s="332">
        <v>0</v>
      </c>
    </row>
    <row r="1634" spans="1:13" hidden="1" x14ac:dyDescent="0.25">
      <c r="A1634" s="329">
        <v>44012</v>
      </c>
      <c r="B1634" s="328" t="s">
        <v>1678</v>
      </c>
      <c r="C1634" s="328" t="s">
        <v>769</v>
      </c>
      <c r="D1634" s="330">
        <v>1</v>
      </c>
      <c r="E1634" s="331">
        <v>143</v>
      </c>
      <c r="F1634" s="331">
        <v>8398.5</v>
      </c>
      <c r="G1634" s="328" t="s">
        <v>1679</v>
      </c>
      <c r="H1634" s="328" t="s">
        <v>1742</v>
      </c>
      <c r="I1634" s="328" t="s">
        <v>110</v>
      </c>
      <c r="J1634" s="328" t="s">
        <v>757</v>
      </c>
      <c r="K1634" s="328" t="s">
        <v>770</v>
      </c>
      <c r="L1634" s="329">
        <v>44012</v>
      </c>
      <c r="M1634" s="332">
        <v>0</v>
      </c>
    </row>
    <row r="1635" spans="1:13" hidden="1" x14ac:dyDescent="0.25">
      <c r="A1635" s="329">
        <v>44043</v>
      </c>
      <c r="B1635" s="328" t="s">
        <v>1689</v>
      </c>
      <c r="C1635" s="328" t="s">
        <v>1060</v>
      </c>
      <c r="D1635" s="330">
        <v>1</v>
      </c>
      <c r="E1635" s="331">
        <v>143</v>
      </c>
      <c r="F1635" s="331">
        <v>8541.5</v>
      </c>
      <c r="G1635" s="328" t="s">
        <v>1686</v>
      </c>
      <c r="H1635" s="328" t="s">
        <v>1742</v>
      </c>
      <c r="I1635" s="328" t="s">
        <v>110</v>
      </c>
      <c r="J1635" s="328" t="s">
        <v>757</v>
      </c>
      <c r="K1635" s="328" t="s">
        <v>741</v>
      </c>
      <c r="L1635" s="329">
        <v>44043</v>
      </c>
      <c r="M1635" s="332">
        <v>0</v>
      </c>
    </row>
    <row r="1636" spans="1:13" hidden="1" x14ac:dyDescent="0.25">
      <c r="A1636" s="329">
        <v>44043</v>
      </c>
      <c r="B1636" s="328" t="s">
        <v>1688</v>
      </c>
      <c r="C1636" s="328" t="s">
        <v>1060</v>
      </c>
      <c r="D1636" s="330">
        <v>1</v>
      </c>
      <c r="E1636" s="331">
        <v>-143</v>
      </c>
      <c r="F1636" s="331">
        <v>8398.5</v>
      </c>
      <c r="G1636" s="328" t="s">
        <v>1686</v>
      </c>
      <c r="H1636" s="328" t="s">
        <v>1742</v>
      </c>
      <c r="I1636" s="328" t="s">
        <v>110</v>
      </c>
      <c r="J1636" s="328" t="s">
        <v>757</v>
      </c>
      <c r="K1636" s="328" t="s">
        <v>741</v>
      </c>
      <c r="L1636" s="329">
        <v>44043</v>
      </c>
      <c r="M1636" s="332">
        <v>0</v>
      </c>
    </row>
    <row r="1637" spans="1:13" hidden="1" x14ac:dyDescent="0.25">
      <c r="A1637" s="329">
        <v>44043</v>
      </c>
      <c r="B1637" s="328" t="s">
        <v>1685</v>
      </c>
      <c r="C1637" s="328" t="s">
        <v>1060</v>
      </c>
      <c r="D1637" s="330">
        <v>1</v>
      </c>
      <c r="E1637" s="331">
        <v>143</v>
      </c>
      <c r="F1637" s="331">
        <v>8541.5</v>
      </c>
      <c r="G1637" s="328" t="s">
        <v>1686</v>
      </c>
      <c r="H1637" s="328" t="s">
        <v>1742</v>
      </c>
      <c r="I1637" s="328" t="s">
        <v>110</v>
      </c>
      <c r="J1637" s="328" t="s">
        <v>757</v>
      </c>
      <c r="K1637" s="328" t="s">
        <v>741</v>
      </c>
      <c r="L1637" s="329">
        <v>44043</v>
      </c>
      <c r="M1637" s="332">
        <v>0</v>
      </c>
    </row>
    <row r="1638" spans="1:13" hidden="1" x14ac:dyDescent="0.25">
      <c r="A1638" s="329">
        <v>44043</v>
      </c>
      <c r="B1638" s="328" t="s">
        <v>1685</v>
      </c>
      <c r="C1638" s="328" t="s">
        <v>1060</v>
      </c>
      <c r="D1638" s="330">
        <v>2</v>
      </c>
      <c r="E1638" s="331">
        <v>-143</v>
      </c>
      <c r="F1638" s="331">
        <v>8398.5</v>
      </c>
      <c r="G1638" s="328" t="s">
        <v>1686</v>
      </c>
      <c r="H1638" s="328" t="s">
        <v>1742</v>
      </c>
      <c r="I1638" s="328" t="s">
        <v>110</v>
      </c>
      <c r="J1638" s="328" t="s">
        <v>757</v>
      </c>
      <c r="K1638" s="328" t="s">
        <v>741</v>
      </c>
      <c r="L1638" s="329">
        <v>44043</v>
      </c>
      <c r="M1638" s="332">
        <v>0</v>
      </c>
    </row>
    <row r="1639" spans="1:13" hidden="1" x14ac:dyDescent="0.25">
      <c r="A1639" s="329">
        <v>44043</v>
      </c>
      <c r="B1639" s="328" t="s">
        <v>1691</v>
      </c>
      <c r="C1639" s="328" t="s">
        <v>769</v>
      </c>
      <c r="D1639" s="330">
        <v>2</v>
      </c>
      <c r="E1639" s="331">
        <v>143</v>
      </c>
      <c r="F1639" s="331">
        <v>8541.5</v>
      </c>
      <c r="G1639" s="328" t="s">
        <v>1692</v>
      </c>
      <c r="H1639" s="328" t="s">
        <v>1742</v>
      </c>
      <c r="I1639" s="328" t="s">
        <v>110</v>
      </c>
      <c r="J1639" s="328" t="s">
        <v>757</v>
      </c>
      <c r="K1639" s="328" t="s">
        <v>770</v>
      </c>
      <c r="L1639" s="329">
        <v>44043</v>
      </c>
      <c r="M1639" s="332">
        <v>0</v>
      </c>
    </row>
    <row r="1640" spans="1:13" hidden="1" x14ac:dyDescent="0.25">
      <c r="A1640" s="329">
        <v>44043</v>
      </c>
      <c r="B1640" s="328" t="s">
        <v>1689</v>
      </c>
      <c r="C1640" s="328" t="s">
        <v>1060</v>
      </c>
      <c r="D1640" s="330">
        <v>2</v>
      </c>
      <c r="E1640" s="331">
        <v>-143</v>
      </c>
      <c r="F1640" s="331">
        <v>8398.5</v>
      </c>
      <c r="G1640" s="328" t="s">
        <v>1686</v>
      </c>
      <c r="H1640" s="328" t="s">
        <v>1742</v>
      </c>
      <c r="I1640" s="328" t="s">
        <v>110</v>
      </c>
      <c r="J1640" s="328" t="s">
        <v>757</v>
      </c>
      <c r="K1640" s="328" t="s">
        <v>741</v>
      </c>
      <c r="L1640" s="329">
        <v>44043</v>
      </c>
      <c r="M1640" s="332">
        <v>0</v>
      </c>
    </row>
    <row r="1641" spans="1:13" hidden="1" x14ac:dyDescent="0.25">
      <c r="A1641" s="329">
        <v>44043</v>
      </c>
      <c r="B1641" s="328" t="s">
        <v>1688</v>
      </c>
      <c r="C1641" s="328" t="s">
        <v>1060</v>
      </c>
      <c r="D1641" s="330">
        <v>2</v>
      </c>
      <c r="E1641" s="331">
        <v>143</v>
      </c>
      <c r="F1641" s="331">
        <v>8541.5</v>
      </c>
      <c r="G1641" s="328" t="s">
        <v>1686</v>
      </c>
      <c r="H1641" s="328" t="s">
        <v>1742</v>
      </c>
      <c r="I1641" s="328" t="s">
        <v>110</v>
      </c>
      <c r="J1641" s="328" t="s">
        <v>757</v>
      </c>
      <c r="K1641" s="328" t="s">
        <v>741</v>
      </c>
      <c r="L1641" s="329">
        <v>44043</v>
      </c>
      <c r="M1641" s="332">
        <v>0</v>
      </c>
    </row>
    <row r="1642" spans="1:13" hidden="1" x14ac:dyDescent="0.25">
      <c r="A1642" s="329">
        <v>44074</v>
      </c>
      <c r="B1642" s="328" t="s">
        <v>1695</v>
      </c>
      <c r="C1642" s="328" t="s">
        <v>1060</v>
      </c>
      <c r="D1642" s="330">
        <v>2</v>
      </c>
      <c r="E1642" s="331">
        <v>143</v>
      </c>
      <c r="F1642" s="331">
        <v>8684.5</v>
      </c>
      <c r="G1642" s="328" t="s">
        <v>1696</v>
      </c>
      <c r="H1642" s="328" t="s">
        <v>1742</v>
      </c>
      <c r="I1642" s="328" t="s">
        <v>110</v>
      </c>
      <c r="J1642" s="328" t="s">
        <v>757</v>
      </c>
      <c r="K1642" s="328" t="s">
        <v>741</v>
      </c>
      <c r="L1642" s="329">
        <v>44074</v>
      </c>
      <c r="M1642" s="332">
        <v>0</v>
      </c>
    </row>
    <row r="1643" spans="1:13" hidden="1" x14ac:dyDescent="0.25">
      <c r="A1643" s="329">
        <v>44074</v>
      </c>
      <c r="B1643" s="328" t="s">
        <v>1695</v>
      </c>
      <c r="C1643" s="328" t="s">
        <v>1060</v>
      </c>
      <c r="D1643" s="330">
        <v>3</v>
      </c>
      <c r="E1643" s="331">
        <v>-143</v>
      </c>
      <c r="F1643" s="331">
        <v>8541.5</v>
      </c>
      <c r="G1643" s="328" t="s">
        <v>1696</v>
      </c>
      <c r="H1643" s="328" t="s">
        <v>1742</v>
      </c>
      <c r="I1643" s="328" t="s">
        <v>110</v>
      </c>
      <c r="J1643" s="328" t="s">
        <v>757</v>
      </c>
      <c r="K1643" s="328" t="s">
        <v>741</v>
      </c>
      <c r="L1643" s="329">
        <v>44074</v>
      </c>
      <c r="M1643" s="332">
        <v>0</v>
      </c>
    </row>
    <row r="1644" spans="1:13" hidden="1" x14ac:dyDescent="0.25">
      <c r="A1644" s="329">
        <v>44074</v>
      </c>
      <c r="B1644" s="328" t="s">
        <v>1697</v>
      </c>
      <c r="C1644" s="328" t="s">
        <v>769</v>
      </c>
      <c r="D1644" s="330">
        <v>3</v>
      </c>
      <c r="E1644" s="331">
        <v>143</v>
      </c>
      <c r="F1644" s="331">
        <v>8684.5</v>
      </c>
      <c r="G1644" s="328" t="s">
        <v>1698</v>
      </c>
      <c r="H1644" s="328" t="s">
        <v>1742</v>
      </c>
      <c r="I1644" s="328" t="s">
        <v>110</v>
      </c>
      <c r="J1644" s="328" t="s">
        <v>757</v>
      </c>
      <c r="K1644" s="328" t="s">
        <v>770</v>
      </c>
      <c r="L1644" s="329">
        <v>44074</v>
      </c>
      <c r="M1644" s="332">
        <v>0</v>
      </c>
    </row>
    <row r="1645" spans="1:13" hidden="1" x14ac:dyDescent="0.25">
      <c r="A1645" s="329">
        <v>44104</v>
      </c>
      <c r="B1645" s="328" t="s">
        <v>1699</v>
      </c>
      <c r="C1645" s="328" t="s">
        <v>1060</v>
      </c>
      <c r="D1645" s="330">
        <v>3</v>
      </c>
      <c r="E1645" s="331">
        <v>214.5</v>
      </c>
      <c r="F1645" s="331">
        <v>8899</v>
      </c>
      <c r="G1645" s="328" t="s">
        <v>1700</v>
      </c>
      <c r="H1645" s="328" t="s">
        <v>1742</v>
      </c>
      <c r="I1645" s="328" t="s">
        <v>110</v>
      </c>
      <c r="J1645" s="328" t="s">
        <v>757</v>
      </c>
      <c r="K1645" s="328" t="s">
        <v>741</v>
      </c>
      <c r="L1645" s="329">
        <v>44104</v>
      </c>
      <c r="M1645" s="332">
        <v>0</v>
      </c>
    </row>
    <row r="1646" spans="1:13" hidden="1" x14ac:dyDescent="0.25">
      <c r="A1646" s="329">
        <v>44104</v>
      </c>
      <c r="B1646" s="328" t="s">
        <v>1699</v>
      </c>
      <c r="C1646" s="328" t="s">
        <v>1060</v>
      </c>
      <c r="D1646" s="330">
        <v>4</v>
      </c>
      <c r="E1646" s="331">
        <v>-214.5</v>
      </c>
      <c r="F1646" s="331">
        <v>8684.5</v>
      </c>
      <c r="G1646" s="328" t="s">
        <v>1700</v>
      </c>
      <c r="H1646" s="328" t="s">
        <v>1742</v>
      </c>
      <c r="I1646" s="328" t="s">
        <v>110</v>
      </c>
      <c r="J1646" s="328" t="s">
        <v>757</v>
      </c>
      <c r="K1646" s="328" t="s">
        <v>741</v>
      </c>
      <c r="L1646" s="329">
        <v>44104</v>
      </c>
      <c r="M1646" s="332">
        <v>0</v>
      </c>
    </row>
    <row r="1647" spans="1:13" hidden="1" x14ac:dyDescent="0.25">
      <c r="A1647" s="329">
        <v>44105</v>
      </c>
      <c r="B1647" s="328" t="s">
        <v>1701</v>
      </c>
      <c r="C1647" s="328" t="s">
        <v>769</v>
      </c>
      <c r="D1647" s="330">
        <v>4</v>
      </c>
      <c r="E1647" s="331">
        <v>214.5</v>
      </c>
      <c r="F1647" s="331">
        <v>8899</v>
      </c>
      <c r="G1647" s="328" t="s">
        <v>1702</v>
      </c>
      <c r="H1647" s="328" t="s">
        <v>1742</v>
      </c>
      <c r="I1647" s="328" t="s">
        <v>110</v>
      </c>
      <c r="J1647" s="328" t="s">
        <v>757</v>
      </c>
      <c r="K1647" s="328" t="s">
        <v>770</v>
      </c>
      <c r="L1647" s="329">
        <v>44105</v>
      </c>
      <c r="M1647" s="332">
        <v>0</v>
      </c>
    </row>
    <row r="1648" spans="1:13" hidden="1" x14ac:dyDescent="0.25">
      <c r="A1648" s="329">
        <v>44135</v>
      </c>
      <c r="B1648" s="328" t="s">
        <v>1703</v>
      </c>
      <c r="C1648" s="328" t="s">
        <v>1060</v>
      </c>
      <c r="D1648" s="330">
        <v>4</v>
      </c>
      <c r="E1648" s="331">
        <v>77</v>
      </c>
      <c r="F1648" s="331">
        <v>8976</v>
      </c>
      <c r="G1648" s="328" t="s">
        <v>1704</v>
      </c>
      <c r="H1648" s="328" t="s">
        <v>1742</v>
      </c>
      <c r="I1648" s="328" t="s">
        <v>110</v>
      </c>
      <c r="J1648" s="328" t="s">
        <v>757</v>
      </c>
      <c r="K1648" s="328" t="s">
        <v>741</v>
      </c>
      <c r="L1648" s="329">
        <v>44135</v>
      </c>
      <c r="M1648" s="332">
        <v>0</v>
      </c>
    </row>
    <row r="1649" spans="1:13" hidden="1" x14ac:dyDescent="0.25">
      <c r="A1649" s="329">
        <v>44135</v>
      </c>
      <c r="B1649" s="328" t="s">
        <v>1703</v>
      </c>
      <c r="C1649" s="328" t="s">
        <v>1060</v>
      </c>
      <c r="D1649" s="330">
        <v>5</v>
      </c>
      <c r="E1649" s="331">
        <v>-77</v>
      </c>
      <c r="F1649" s="331">
        <v>8899</v>
      </c>
      <c r="G1649" s="328" t="s">
        <v>1704</v>
      </c>
      <c r="H1649" s="328" t="s">
        <v>1742</v>
      </c>
      <c r="I1649" s="328" t="s">
        <v>110</v>
      </c>
      <c r="J1649" s="328" t="s">
        <v>757</v>
      </c>
      <c r="K1649" s="328" t="s">
        <v>741</v>
      </c>
      <c r="L1649" s="329">
        <v>44135</v>
      </c>
      <c r="M1649" s="332">
        <v>0</v>
      </c>
    </row>
    <row r="1650" spans="1:13" hidden="1" x14ac:dyDescent="0.25">
      <c r="A1650" s="329">
        <v>44135</v>
      </c>
      <c r="B1650" s="328" t="s">
        <v>1705</v>
      </c>
      <c r="C1650" s="328" t="s">
        <v>769</v>
      </c>
      <c r="D1650" s="330">
        <v>5</v>
      </c>
      <c r="E1650" s="331">
        <v>77</v>
      </c>
      <c r="F1650" s="331">
        <v>8976</v>
      </c>
      <c r="G1650" s="328" t="s">
        <v>1706</v>
      </c>
      <c r="H1650" s="328" t="s">
        <v>1742</v>
      </c>
      <c r="I1650" s="328" t="s">
        <v>110</v>
      </c>
      <c r="J1650" s="328" t="s">
        <v>757</v>
      </c>
      <c r="K1650" s="328" t="s">
        <v>770</v>
      </c>
      <c r="L1650" s="329">
        <v>44135</v>
      </c>
      <c r="M1650" s="332">
        <v>0</v>
      </c>
    </row>
    <row r="1651" spans="1:13" hidden="1" x14ac:dyDescent="0.25">
      <c r="A1651" s="329">
        <v>44165</v>
      </c>
      <c r="B1651" s="328" t="s">
        <v>1707</v>
      </c>
      <c r="C1651" s="328" t="s">
        <v>1060</v>
      </c>
      <c r="D1651" s="330">
        <v>5</v>
      </c>
      <c r="E1651" s="331">
        <v>77</v>
      </c>
      <c r="F1651" s="331">
        <v>9053</v>
      </c>
      <c r="G1651" s="328" t="s">
        <v>1708</v>
      </c>
      <c r="H1651" s="328" t="s">
        <v>1742</v>
      </c>
      <c r="I1651" s="328" t="s">
        <v>110</v>
      </c>
      <c r="J1651" s="328" t="s">
        <v>757</v>
      </c>
      <c r="K1651" s="328" t="s">
        <v>741</v>
      </c>
      <c r="L1651" s="329">
        <v>44165</v>
      </c>
      <c r="M1651" s="332">
        <v>0</v>
      </c>
    </row>
    <row r="1652" spans="1:13" hidden="1" x14ac:dyDescent="0.25">
      <c r="A1652" s="329">
        <v>44165</v>
      </c>
      <c r="B1652" s="328" t="s">
        <v>1707</v>
      </c>
      <c r="C1652" s="328" t="s">
        <v>1060</v>
      </c>
      <c r="D1652" s="330">
        <v>6</v>
      </c>
      <c r="E1652" s="331">
        <v>-77</v>
      </c>
      <c r="F1652" s="331">
        <v>8976</v>
      </c>
      <c r="G1652" s="328" t="s">
        <v>1708</v>
      </c>
      <c r="H1652" s="328" t="s">
        <v>1742</v>
      </c>
      <c r="I1652" s="328" t="s">
        <v>110</v>
      </c>
      <c r="J1652" s="328" t="s">
        <v>757</v>
      </c>
      <c r="K1652" s="328" t="s">
        <v>741</v>
      </c>
      <c r="L1652" s="329">
        <v>44165</v>
      </c>
      <c r="M1652" s="332">
        <v>0</v>
      </c>
    </row>
    <row r="1653" spans="1:13" hidden="1" x14ac:dyDescent="0.25">
      <c r="A1653" s="329">
        <v>44165</v>
      </c>
      <c r="B1653" s="328" t="s">
        <v>1709</v>
      </c>
      <c r="C1653" s="328" t="s">
        <v>769</v>
      </c>
      <c r="D1653" s="330">
        <v>6</v>
      </c>
      <c r="E1653" s="331">
        <v>77</v>
      </c>
      <c r="F1653" s="331">
        <v>9053</v>
      </c>
      <c r="G1653" s="328" t="s">
        <v>1710</v>
      </c>
      <c r="H1653" s="328" t="s">
        <v>1742</v>
      </c>
      <c r="I1653" s="328" t="s">
        <v>110</v>
      </c>
      <c r="J1653" s="328" t="s">
        <v>757</v>
      </c>
      <c r="K1653" s="328" t="s">
        <v>770</v>
      </c>
      <c r="L1653" s="329">
        <v>44165</v>
      </c>
      <c r="M1653" s="332">
        <v>0</v>
      </c>
    </row>
    <row r="1654" spans="1:13" hidden="1" x14ac:dyDescent="0.25">
      <c r="A1654" s="329">
        <v>44196</v>
      </c>
      <c r="B1654" s="328" t="s">
        <v>1711</v>
      </c>
      <c r="C1654" s="328" t="s">
        <v>1060</v>
      </c>
      <c r="D1654" s="330">
        <v>6</v>
      </c>
      <c r="E1654" s="331">
        <v>55</v>
      </c>
      <c r="F1654" s="331">
        <v>9108</v>
      </c>
      <c r="G1654" s="328" t="s">
        <v>1712</v>
      </c>
      <c r="H1654" s="328" t="s">
        <v>1742</v>
      </c>
      <c r="I1654" s="328" t="s">
        <v>110</v>
      </c>
      <c r="J1654" s="328" t="s">
        <v>757</v>
      </c>
      <c r="K1654" s="328" t="s">
        <v>741</v>
      </c>
      <c r="L1654" s="329">
        <v>44196</v>
      </c>
      <c r="M1654" s="332">
        <v>0</v>
      </c>
    </row>
    <row r="1655" spans="1:13" hidden="1" x14ac:dyDescent="0.25">
      <c r="A1655" s="329">
        <v>44196</v>
      </c>
      <c r="B1655" s="328" t="s">
        <v>1711</v>
      </c>
      <c r="C1655" s="328" t="s">
        <v>1060</v>
      </c>
      <c r="D1655" s="330">
        <v>7</v>
      </c>
      <c r="E1655" s="331">
        <v>-55</v>
      </c>
      <c r="F1655" s="331">
        <v>9053</v>
      </c>
      <c r="G1655" s="328" t="s">
        <v>1712</v>
      </c>
      <c r="H1655" s="328" t="s">
        <v>1742</v>
      </c>
      <c r="I1655" s="328" t="s">
        <v>110</v>
      </c>
      <c r="J1655" s="328" t="s">
        <v>757</v>
      </c>
      <c r="K1655" s="328" t="s">
        <v>741</v>
      </c>
      <c r="L1655" s="329">
        <v>44196</v>
      </c>
      <c r="M1655" s="332">
        <v>0</v>
      </c>
    </row>
    <row r="1656" spans="1:13" hidden="1" x14ac:dyDescent="0.25">
      <c r="A1656" s="329">
        <v>44196</v>
      </c>
      <c r="B1656" s="328" t="s">
        <v>1713</v>
      </c>
      <c r="C1656" s="328" t="s">
        <v>769</v>
      </c>
      <c r="D1656" s="330">
        <v>7</v>
      </c>
      <c r="E1656" s="331">
        <v>55</v>
      </c>
      <c r="F1656" s="331">
        <v>9108</v>
      </c>
      <c r="G1656" s="328" t="s">
        <v>1714</v>
      </c>
      <c r="H1656" s="328" t="s">
        <v>1742</v>
      </c>
      <c r="I1656" s="328" t="s">
        <v>110</v>
      </c>
      <c r="J1656" s="328" t="s">
        <v>757</v>
      </c>
      <c r="K1656" s="328" t="s">
        <v>770</v>
      </c>
      <c r="L1656" s="329">
        <v>44196</v>
      </c>
      <c r="M1656" s="332">
        <v>0</v>
      </c>
    </row>
    <row r="1657" spans="1:13" hidden="1" x14ac:dyDescent="0.25">
      <c r="A1657" s="329">
        <v>44227</v>
      </c>
      <c r="B1657" s="328" t="s">
        <v>1715</v>
      </c>
      <c r="C1657" s="328" t="s">
        <v>1060</v>
      </c>
      <c r="D1657" s="330">
        <v>7</v>
      </c>
      <c r="E1657" s="331">
        <v>55</v>
      </c>
      <c r="F1657" s="331">
        <v>9163</v>
      </c>
      <c r="G1657" s="328" t="s">
        <v>1716</v>
      </c>
      <c r="H1657" s="328" t="s">
        <v>1742</v>
      </c>
      <c r="I1657" s="328" t="s">
        <v>110</v>
      </c>
      <c r="J1657" s="328" t="s">
        <v>757</v>
      </c>
      <c r="K1657" s="328" t="s">
        <v>741</v>
      </c>
      <c r="L1657" s="329">
        <v>44227</v>
      </c>
      <c r="M1657" s="332">
        <v>0</v>
      </c>
    </row>
    <row r="1658" spans="1:13" hidden="1" x14ac:dyDescent="0.25">
      <c r="A1658" s="329">
        <v>44227</v>
      </c>
      <c r="B1658" s="328" t="s">
        <v>1717</v>
      </c>
      <c r="C1658" s="328" t="s">
        <v>769</v>
      </c>
      <c r="D1658" s="330">
        <v>8</v>
      </c>
      <c r="E1658" s="331">
        <v>55</v>
      </c>
      <c r="F1658" s="331">
        <v>9218</v>
      </c>
      <c r="G1658" s="328" t="s">
        <v>1718</v>
      </c>
      <c r="H1658" s="328" t="s">
        <v>1742</v>
      </c>
      <c r="I1658" s="328" t="s">
        <v>110</v>
      </c>
      <c r="J1658" s="328" t="s">
        <v>757</v>
      </c>
      <c r="K1658" s="328" t="s">
        <v>770</v>
      </c>
      <c r="L1658" s="329">
        <v>44227</v>
      </c>
      <c r="M1658" s="332">
        <v>0</v>
      </c>
    </row>
    <row r="1659" spans="1:13" hidden="1" x14ac:dyDescent="0.25">
      <c r="A1659" s="329">
        <v>44227</v>
      </c>
      <c r="B1659" s="328" t="s">
        <v>1715</v>
      </c>
      <c r="C1659" s="328" t="s">
        <v>1060</v>
      </c>
      <c r="D1659" s="330">
        <v>8</v>
      </c>
      <c r="E1659" s="331">
        <v>-55</v>
      </c>
      <c r="F1659" s="331">
        <v>9163</v>
      </c>
      <c r="G1659" s="328" t="s">
        <v>1716</v>
      </c>
      <c r="H1659" s="328" t="s">
        <v>1742</v>
      </c>
      <c r="I1659" s="328" t="s">
        <v>110</v>
      </c>
      <c r="J1659" s="328" t="s">
        <v>757</v>
      </c>
      <c r="K1659" s="328" t="s">
        <v>741</v>
      </c>
      <c r="L1659" s="329">
        <v>44227</v>
      </c>
      <c r="M1659" s="332">
        <v>0</v>
      </c>
    </row>
    <row r="1660" spans="1:13" hidden="1" x14ac:dyDescent="0.25">
      <c r="A1660" s="329">
        <v>44255</v>
      </c>
      <c r="B1660" s="328" t="s">
        <v>1720</v>
      </c>
      <c r="C1660" s="328" t="s">
        <v>1060</v>
      </c>
      <c r="D1660" s="330">
        <v>8</v>
      </c>
      <c r="E1660" s="331">
        <v>99</v>
      </c>
      <c r="F1660" s="331">
        <v>9262</v>
      </c>
      <c r="G1660" s="328" t="s">
        <v>1721</v>
      </c>
      <c r="H1660" s="328" t="s">
        <v>1742</v>
      </c>
      <c r="I1660" s="328" t="s">
        <v>110</v>
      </c>
      <c r="J1660" s="328" t="s">
        <v>757</v>
      </c>
      <c r="K1660" s="328" t="s">
        <v>741</v>
      </c>
      <c r="L1660" s="329">
        <v>44255</v>
      </c>
      <c r="M1660" s="332">
        <v>0</v>
      </c>
    </row>
    <row r="1661" spans="1:13" hidden="1" x14ac:dyDescent="0.25">
      <c r="A1661" s="329">
        <v>44255</v>
      </c>
      <c r="B1661" s="328" t="s">
        <v>1720</v>
      </c>
      <c r="C1661" s="328" t="s">
        <v>1060</v>
      </c>
      <c r="D1661" s="330">
        <v>9</v>
      </c>
      <c r="E1661" s="331">
        <v>-99</v>
      </c>
      <c r="F1661" s="331">
        <v>9163</v>
      </c>
      <c r="G1661" s="328" t="s">
        <v>1721</v>
      </c>
      <c r="H1661" s="328" t="s">
        <v>1742</v>
      </c>
      <c r="I1661" s="328" t="s">
        <v>110</v>
      </c>
      <c r="J1661" s="328" t="s">
        <v>757</v>
      </c>
      <c r="K1661" s="328" t="s">
        <v>741</v>
      </c>
      <c r="L1661" s="329">
        <v>44255</v>
      </c>
      <c r="M1661" s="332">
        <v>0</v>
      </c>
    </row>
    <row r="1662" spans="1:13" hidden="1" x14ac:dyDescent="0.25">
      <c r="A1662" s="329">
        <v>44255</v>
      </c>
      <c r="B1662" s="328" t="s">
        <v>1722</v>
      </c>
      <c r="C1662" s="328" t="s">
        <v>769</v>
      </c>
      <c r="D1662" s="330">
        <v>9</v>
      </c>
      <c r="E1662" s="331">
        <v>99</v>
      </c>
      <c r="F1662" s="331">
        <v>9262</v>
      </c>
      <c r="G1662" s="328" t="s">
        <v>1723</v>
      </c>
      <c r="H1662" s="328" t="s">
        <v>1742</v>
      </c>
      <c r="I1662" s="328" t="s">
        <v>110</v>
      </c>
      <c r="J1662" s="328" t="s">
        <v>757</v>
      </c>
      <c r="K1662" s="328" t="s">
        <v>770</v>
      </c>
      <c r="L1662" s="329">
        <v>44255</v>
      </c>
      <c r="M1662" s="332">
        <v>0</v>
      </c>
    </row>
    <row r="1663" spans="1:13" hidden="1" x14ac:dyDescent="0.25">
      <c r="A1663" s="329">
        <v>44286</v>
      </c>
      <c r="B1663" s="328" t="s">
        <v>1724</v>
      </c>
      <c r="C1663" s="328" t="s">
        <v>1060</v>
      </c>
      <c r="D1663" s="330">
        <v>9</v>
      </c>
      <c r="E1663" s="331">
        <v>137.5</v>
      </c>
      <c r="F1663" s="331">
        <v>9399.5</v>
      </c>
      <c r="G1663" s="328" t="s">
        <v>1725</v>
      </c>
      <c r="H1663" s="328" t="s">
        <v>1742</v>
      </c>
      <c r="I1663" s="328" t="s">
        <v>110</v>
      </c>
      <c r="J1663" s="328" t="s">
        <v>757</v>
      </c>
      <c r="K1663" s="328" t="s">
        <v>741</v>
      </c>
      <c r="L1663" s="329">
        <v>44286</v>
      </c>
      <c r="M1663" s="332">
        <v>0</v>
      </c>
    </row>
    <row r="1664" spans="1:13" hidden="1" x14ac:dyDescent="0.25">
      <c r="A1664" s="329">
        <v>44286</v>
      </c>
      <c r="B1664" s="328" t="s">
        <v>1726</v>
      </c>
      <c r="C1664" s="328" t="s">
        <v>769</v>
      </c>
      <c r="D1664" s="330">
        <v>10</v>
      </c>
      <c r="E1664" s="331">
        <v>137.5</v>
      </c>
      <c r="F1664" s="331">
        <v>9537</v>
      </c>
      <c r="G1664" s="328" t="s">
        <v>1727</v>
      </c>
      <c r="H1664" s="328" t="s">
        <v>1742</v>
      </c>
      <c r="I1664" s="328" t="s">
        <v>110</v>
      </c>
      <c r="J1664" s="328" t="s">
        <v>757</v>
      </c>
      <c r="K1664" s="328" t="s">
        <v>770</v>
      </c>
      <c r="L1664" s="329">
        <v>44286</v>
      </c>
      <c r="M1664" s="332">
        <v>0</v>
      </c>
    </row>
    <row r="1665" spans="1:13" hidden="1" x14ac:dyDescent="0.25">
      <c r="A1665" s="329">
        <v>44286</v>
      </c>
      <c r="B1665" s="328" t="s">
        <v>1724</v>
      </c>
      <c r="C1665" s="328" t="s">
        <v>1060</v>
      </c>
      <c r="D1665" s="330">
        <v>10</v>
      </c>
      <c r="E1665" s="331">
        <v>-137.5</v>
      </c>
      <c r="F1665" s="331">
        <v>9399.5</v>
      </c>
      <c r="G1665" s="328" t="s">
        <v>1725</v>
      </c>
      <c r="H1665" s="328" t="s">
        <v>1742</v>
      </c>
      <c r="I1665" s="328" t="s">
        <v>110</v>
      </c>
      <c r="J1665" s="328" t="s">
        <v>757</v>
      </c>
      <c r="K1665" s="328" t="s">
        <v>741</v>
      </c>
      <c r="L1665" s="329">
        <v>44286</v>
      </c>
      <c r="M1665" s="332">
        <v>0</v>
      </c>
    </row>
    <row r="1666" spans="1:13" hidden="1" x14ac:dyDescent="0.25">
      <c r="A1666" s="329">
        <v>44316</v>
      </c>
      <c r="B1666" s="328" t="s">
        <v>1728</v>
      </c>
      <c r="C1666" s="328" t="s">
        <v>1060</v>
      </c>
      <c r="D1666" s="330">
        <v>10</v>
      </c>
      <c r="E1666" s="331">
        <v>71.5</v>
      </c>
      <c r="F1666" s="331">
        <v>9471</v>
      </c>
      <c r="G1666" s="328" t="s">
        <v>1729</v>
      </c>
      <c r="H1666" s="328" t="s">
        <v>1742</v>
      </c>
      <c r="I1666" s="328" t="s">
        <v>110</v>
      </c>
      <c r="J1666" s="328" t="s">
        <v>757</v>
      </c>
      <c r="K1666" s="328" t="s">
        <v>741</v>
      </c>
      <c r="L1666" s="329">
        <v>44316</v>
      </c>
      <c r="M1666" s="332">
        <v>0</v>
      </c>
    </row>
    <row r="1667" spans="1:13" hidden="1" x14ac:dyDescent="0.25">
      <c r="A1667" s="329">
        <v>44012</v>
      </c>
      <c r="B1667" s="328" t="s">
        <v>1678</v>
      </c>
      <c r="C1667" s="328" t="s">
        <v>769</v>
      </c>
      <c r="D1667" s="330">
        <v>1</v>
      </c>
      <c r="E1667" s="331">
        <v>22</v>
      </c>
      <c r="F1667" s="331">
        <v>9493</v>
      </c>
      <c r="G1667" s="328" t="s">
        <v>1679</v>
      </c>
      <c r="H1667" s="328" t="s">
        <v>1743</v>
      </c>
      <c r="I1667" s="328" t="s">
        <v>110</v>
      </c>
      <c r="J1667" s="328" t="s">
        <v>757</v>
      </c>
      <c r="K1667" s="328" t="s">
        <v>770</v>
      </c>
      <c r="L1667" s="329">
        <v>44012</v>
      </c>
      <c r="M1667" s="332">
        <v>0</v>
      </c>
    </row>
    <row r="1668" spans="1:13" hidden="1" x14ac:dyDescent="0.25">
      <c r="A1668" s="329">
        <v>44012</v>
      </c>
      <c r="B1668" s="328" t="s">
        <v>1681</v>
      </c>
      <c r="C1668" s="328" t="s">
        <v>1059</v>
      </c>
      <c r="D1668" s="330">
        <v>1</v>
      </c>
      <c r="E1668" s="331">
        <v>-22</v>
      </c>
      <c r="F1668" s="331">
        <v>9471</v>
      </c>
      <c r="G1668" s="328" t="s">
        <v>1682</v>
      </c>
      <c r="H1668" s="328" t="s">
        <v>1743</v>
      </c>
      <c r="I1668" s="328" t="s">
        <v>110</v>
      </c>
      <c r="J1668" s="328" t="s">
        <v>757</v>
      </c>
      <c r="K1668" s="328" t="s">
        <v>741</v>
      </c>
      <c r="L1668" s="329">
        <v>44012</v>
      </c>
      <c r="M1668" s="332">
        <v>0</v>
      </c>
    </row>
    <row r="1669" spans="1:13" hidden="1" x14ac:dyDescent="0.25">
      <c r="A1669" s="329">
        <v>44043</v>
      </c>
      <c r="B1669" s="328" t="s">
        <v>1685</v>
      </c>
      <c r="C1669" s="328" t="s">
        <v>1060</v>
      </c>
      <c r="D1669" s="330">
        <v>1</v>
      </c>
      <c r="E1669" s="331">
        <v>16.5</v>
      </c>
      <c r="F1669" s="331">
        <v>9487.5</v>
      </c>
      <c r="G1669" s="328" t="s">
        <v>1686</v>
      </c>
      <c r="H1669" s="328" t="s">
        <v>1743</v>
      </c>
      <c r="I1669" s="328" t="s">
        <v>110</v>
      </c>
      <c r="J1669" s="328" t="s">
        <v>757</v>
      </c>
      <c r="K1669" s="328" t="s">
        <v>741</v>
      </c>
      <c r="L1669" s="329">
        <v>44043</v>
      </c>
      <c r="M1669" s="332">
        <v>0</v>
      </c>
    </row>
    <row r="1670" spans="1:13" hidden="1" x14ac:dyDescent="0.25">
      <c r="A1670" s="329">
        <v>44043</v>
      </c>
      <c r="B1670" s="328" t="s">
        <v>1688</v>
      </c>
      <c r="C1670" s="328" t="s">
        <v>1060</v>
      </c>
      <c r="D1670" s="330">
        <v>1</v>
      </c>
      <c r="E1670" s="331">
        <v>-16.5</v>
      </c>
      <c r="F1670" s="331">
        <v>9471</v>
      </c>
      <c r="G1670" s="328" t="s">
        <v>1686</v>
      </c>
      <c r="H1670" s="328" t="s">
        <v>1743</v>
      </c>
      <c r="I1670" s="328" t="s">
        <v>110</v>
      </c>
      <c r="J1670" s="328" t="s">
        <v>757</v>
      </c>
      <c r="K1670" s="328" t="s">
        <v>741</v>
      </c>
      <c r="L1670" s="329">
        <v>44043</v>
      </c>
      <c r="M1670" s="332">
        <v>0</v>
      </c>
    </row>
    <row r="1671" spans="1:13" hidden="1" x14ac:dyDescent="0.25">
      <c r="A1671" s="329">
        <v>44043</v>
      </c>
      <c r="B1671" s="328" t="s">
        <v>1689</v>
      </c>
      <c r="C1671" s="328" t="s">
        <v>1060</v>
      </c>
      <c r="D1671" s="330">
        <v>1</v>
      </c>
      <c r="E1671" s="331">
        <v>16.5</v>
      </c>
      <c r="F1671" s="331">
        <v>9487.5</v>
      </c>
      <c r="G1671" s="328" t="s">
        <v>1686</v>
      </c>
      <c r="H1671" s="328" t="s">
        <v>1743</v>
      </c>
      <c r="I1671" s="328" t="s">
        <v>110</v>
      </c>
      <c r="J1671" s="328" t="s">
        <v>757</v>
      </c>
      <c r="K1671" s="328" t="s">
        <v>741</v>
      </c>
      <c r="L1671" s="329">
        <v>44043</v>
      </c>
      <c r="M1671" s="332">
        <v>0</v>
      </c>
    </row>
    <row r="1672" spans="1:13" hidden="1" x14ac:dyDescent="0.25">
      <c r="A1672" s="329">
        <v>44043</v>
      </c>
      <c r="B1672" s="328" t="s">
        <v>1689</v>
      </c>
      <c r="C1672" s="328" t="s">
        <v>1060</v>
      </c>
      <c r="D1672" s="330">
        <v>2</v>
      </c>
      <c r="E1672" s="331">
        <v>-16.5</v>
      </c>
      <c r="F1672" s="331">
        <v>9471</v>
      </c>
      <c r="G1672" s="328" t="s">
        <v>1686</v>
      </c>
      <c r="H1672" s="328" t="s">
        <v>1743</v>
      </c>
      <c r="I1672" s="328" t="s">
        <v>110</v>
      </c>
      <c r="J1672" s="328" t="s">
        <v>757</v>
      </c>
      <c r="K1672" s="328" t="s">
        <v>741</v>
      </c>
      <c r="L1672" s="329">
        <v>44043</v>
      </c>
      <c r="M1672" s="332">
        <v>0</v>
      </c>
    </row>
    <row r="1673" spans="1:13" hidden="1" x14ac:dyDescent="0.25">
      <c r="A1673" s="329">
        <v>44043</v>
      </c>
      <c r="B1673" s="328" t="s">
        <v>1688</v>
      </c>
      <c r="C1673" s="328" t="s">
        <v>1060</v>
      </c>
      <c r="D1673" s="330">
        <v>2</v>
      </c>
      <c r="E1673" s="331">
        <v>16.5</v>
      </c>
      <c r="F1673" s="331">
        <v>9487.5</v>
      </c>
      <c r="G1673" s="328" t="s">
        <v>1686</v>
      </c>
      <c r="H1673" s="328" t="s">
        <v>1743</v>
      </c>
      <c r="I1673" s="328" t="s">
        <v>110</v>
      </c>
      <c r="J1673" s="328" t="s">
        <v>757</v>
      </c>
      <c r="K1673" s="328" t="s">
        <v>741</v>
      </c>
      <c r="L1673" s="329">
        <v>44043</v>
      </c>
      <c r="M1673" s="332">
        <v>0</v>
      </c>
    </row>
    <row r="1674" spans="1:13" hidden="1" x14ac:dyDescent="0.25">
      <c r="A1674" s="329">
        <v>44043</v>
      </c>
      <c r="B1674" s="328" t="s">
        <v>1685</v>
      </c>
      <c r="C1674" s="328" t="s">
        <v>1060</v>
      </c>
      <c r="D1674" s="330">
        <v>2</v>
      </c>
      <c r="E1674" s="331">
        <v>-16.5</v>
      </c>
      <c r="F1674" s="331">
        <v>9471</v>
      </c>
      <c r="G1674" s="328" t="s">
        <v>1686</v>
      </c>
      <c r="H1674" s="328" t="s">
        <v>1743</v>
      </c>
      <c r="I1674" s="328" t="s">
        <v>110</v>
      </c>
      <c r="J1674" s="328" t="s">
        <v>757</v>
      </c>
      <c r="K1674" s="328" t="s">
        <v>741</v>
      </c>
      <c r="L1674" s="329">
        <v>44043</v>
      </c>
      <c r="M1674" s="332">
        <v>0</v>
      </c>
    </row>
    <row r="1675" spans="1:13" hidden="1" x14ac:dyDescent="0.25">
      <c r="A1675" s="329">
        <v>44043</v>
      </c>
      <c r="B1675" s="328" t="s">
        <v>1691</v>
      </c>
      <c r="C1675" s="328" t="s">
        <v>769</v>
      </c>
      <c r="D1675" s="330">
        <v>2</v>
      </c>
      <c r="E1675" s="331">
        <v>16.5</v>
      </c>
      <c r="F1675" s="331">
        <v>9487.5</v>
      </c>
      <c r="G1675" s="328" t="s">
        <v>1692</v>
      </c>
      <c r="H1675" s="328" t="s">
        <v>1743</v>
      </c>
      <c r="I1675" s="328" t="s">
        <v>110</v>
      </c>
      <c r="J1675" s="328" t="s">
        <v>757</v>
      </c>
      <c r="K1675" s="328" t="s">
        <v>770</v>
      </c>
      <c r="L1675" s="329">
        <v>44043</v>
      </c>
      <c r="M1675" s="332">
        <v>0</v>
      </c>
    </row>
    <row r="1676" spans="1:13" hidden="1" x14ac:dyDescent="0.25">
      <c r="A1676" s="329">
        <v>44074</v>
      </c>
      <c r="B1676" s="328" t="s">
        <v>1695</v>
      </c>
      <c r="C1676" s="328" t="s">
        <v>1060</v>
      </c>
      <c r="D1676" s="330">
        <v>2</v>
      </c>
      <c r="E1676" s="331">
        <v>11</v>
      </c>
      <c r="F1676" s="331">
        <v>9498.5</v>
      </c>
      <c r="G1676" s="328" t="s">
        <v>1696</v>
      </c>
      <c r="H1676" s="328" t="s">
        <v>1743</v>
      </c>
      <c r="I1676" s="328" t="s">
        <v>110</v>
      </c>
      <c r="J1676" s="328" t="s">
        <v>757</v>
      </c>
      <c r="K1676" s="328" t="s">
        <v>741</v>
      </c>
      <c r="L1676" s="329">
        <v>44074</v>
      </c>
      <c r="M1676" s="332">
        <v>0</v>
      </c>
    </row>
    <row r="1677" spans="1:13" hidden="1" x14ac:dyDescent="0.25">
      <c r="A1677" s="329">
        <v>44074</v>
      </c>
      <c r="B1677" s="328" t="s">
        <v>1695</v>
      </c>
      <c r="C1677" s="328" t="s">
        <v>1060</v>
      </c>
      <c r="D1677" s="330">
        <v>3</v>
      </c>
      <c r="E1677" s="331">
        <v>-11</v>
      </c>
      <c r="F1677" s="331">
        <v>9487.5</v>
      </c>
      <c r="G1677" s="328" t="s">
        <v>1696</v>
      </c>
      <c r="H1677" s="328" t="s">
        <v>1743</v>
      </c>
      <c r="I1677" s="328" t="s">
        <v>110</v>
      </c>
      <c r="J1677" s="328" t="s">
        <v>757</v>
      </c>
      <c r="K1677" s="328" t="s">
        <v>741</v>
      </c>
      <c r="L1677" s="329">
        <v>44074</v>
      </c>
      <c r="M1677" s="332">
        <v>0</v>
      </c>
    </row>
    <row r="1678" spans="1:13" hidden="1" x14ac:dyDescent="0.25">
      <c r="A1678" s="329">
        <v>44074</v>
      </c>
      <c r="B1678" s="328" t="s">
        <v>1697</v>
      </c>
      <c r="C1678" s="328" t="s">
        <v>769</v>
      </c>
      <c r="D1678" s="330">
        <v>3</v>
      </c>
      <c r="E1678" s="331">
        <v>11</v>
      </c>
      <c r="F1678" s="331">
        <v>9498.5</v>
      </c>
      <c r="G1678" s="328" t="s">
        <v>1698</v>
      </c>
      <c r="H1678" s="328" t="s">
        <v>1743</v>
      </c>
      <c r="I1678" s="328" t="s">
        <v>110</v>
      </c>
      <c r="J1678" s="328" t="s">
        <v>757</v>
      </c>
      <c r="K1678" s="328" t="s">
        <v>770</v>
      </c>
      <c r="L1678" s="329">
        <v>44074</v>
      </c>
      <c r="M1678" s="332">
        <v>0</v>
      </c>
    </row>
    <row r="1679" spans="1:13" hidden="1" x14ac:dyDescent="0.25">
      <c r="A1679" s="329">
        <v>44104</v>
      </c>
      <c r="B1679" s="328" t="s">
        <v>1699</v>
      </c>
      <c r="C1679" s="328" t="s">
        <v>1060</v>
      </c>
      <c r="D1679" s="330">
        <v>3</v>
      </c>
      <c r="E1679" s="331">
        <v>16.5</v>
      </c>
      <c r="F1679" s="331">
        <v>9515</v>
      </c>
      <c r="G1679" s="328" t="s">
        <v>1700</v>
      </c>
      <c r="H1679" s="328" t="s">
        <v>1743</v>
      </c>
      <c r="I1679" s="328" t="s">
        <v>110</v>
      </c>
      <c r="J1679" s="328" t="s">
        <v>757</v>
      </c>
      <c r="K1679" s="328" t="s">
        <v>741</v>
      </c>
      <c r="L1679" s="329">
        <v>44104</v>
      </c>
      <c r="M1679" s="332">
        <v>0</v>
      </c>
    </row>
    <row r="1680" spans="1:13" hidden="1" x14ac:dyDescent="0.25">
      <c r="A1680" s="329">
        <v>44104</v>
      </c>
      <c r="B1680" s="328" t="s">
        <v>1699</v>
      </c>
      <c r="C1680" s="328" t="s">
        <v>1060</v>
      </c>
      <c r="D1680" s="330">
        <v>4</v>
      </c>
      <c r="E1680" s="331">
        <v>-16.5</v>
      </c>
      <c r="F1680" s="331">
        <v>9498.5</v>
      </c>
      <c r="G1680" s="328" t="s">
        <v>1700</v>
      </c>
      <c r="H1680" s="328" t="s">
        <v>1743</v>
      </c>
      <c r="I1680" s="328" t="s">
        <v>110</v>
      </c>
      <c r="J1680" s="328" t="s">
        <v>757</v>
      </c>
      <c r="K1680" s="328" t="s">
        <v>741</v>
      </c>
      <c r="L1680" s="329">
        <v>44104</v>
      </c>
      <c r="M1680" s="332">
        <v>0</v>
      </c>
    </row>
    <row r="1681" spans="1:13" hidden="1" x14ac:dyDescent="0.25">
      <c r="A1681" s="329">
        <v>44105</v>
      </c>
      <c r="B1681" s="328" t="s">
        <v>1701</v>
      </c>
      <c r="C1681" s="328" t="s">
        <v>769</v>
      </c>
      <c r="D1681" s="330">
        <v>4</v>
      </c>
      <c r="E1681" s="331">
        <v>16.5</v>
      </c>
      <c r="F1681" s="331">
        <v>9515</v>
      </c>
      <c r="G1681" s="328" t="s">
        <v>1702</v>
      </c>
      <c r="H1681" s="328" t="s">
        <v>1743</v>
      </c>
      <c r="I1681" s="328" t="s">
        <v>110</v>
      </c>
      <c r="J1681" s="328" t="s">
        <v>757</v>
      </c>
      <c r="K1681" s="328" t="s">
        <v>770</v>
      </c>
      <c r="L1681" s="329">
        <v>44105</v>
      </c>
      <c r="M1681" s="332">
        <v>0</v>
      </c>
    </row>
    <row r="1682" spans="1:13" hidden="1" x14ac:dyDescent="0.25">
      <c r="A1682" s="329">
        <v>44135</v>
      </c>
      <c r="B1682" s="328" t="s">
        <v>1703</v>
      </c>
      <c r="C1682" s="328" t="s">
        <v>1060</v>
      </c>
      <c r="D1682" s="330">
        <v>4</v>
      </c>
      <c r="E1682" s="331">
        <v>33</v>
      </c>
      <c r="F1682" s="331">
        <v>9548</v>
      </c>
      <c r="G1682" s="328" t="s">
        <v>1704</v>
      </c>
      <c r="H1682" s="328" t="s">
        <v>1743</v>
      </c>
      <c r="I1682" s="328" t="s">
        <v>110</v>
      </c>
      <c r="J1682" s="328" t="s">
        <v>757</v>
      </c>
      <c r="K1682" s="328" t="s">
        <v>741</v>
      </c>
      <c r="L1682" s="329">
        <v>44135</v>
      </c>
      <c r="M1682" s="332">
        <v>0</v>
      </c>
    </row>
    <row r="1683" spans="1:13" hidden="1" x14ac:dyDescent="0.25">
      <c r="A1683" s="329">
        <v>44135</v>
      </c>
      <c r="B1683" s="328" t="s">
        <v>1705</v>
      </c>
      <c r="C1683" s="328" t="s">
        <v>769</v>
      </c>
      <c r="D1683" s="330">
        <v>5</v>
      </c>
      <c r="E1683" s="331">
        <v>33</v>
      </c>
      <c r="F1683" s="331">
        <v>9581</v>
      </c>
      <c r="G1683" s="328" t="s">
        <v>1706</v>
      </c>
      <c r="H1683" s="328" t="s">
        <v>1743</v>
      </c>
      <c r="I1683" s="328" t="s">
        <v>110</v>
      </c>
      <c r="J1683" s="328" t="s">
        <v>757</v>
      </c>
      <c r="K1683" s="328" t="s">
        <v>770</v>
      </c>
      <c r="L1683" s="329">
        <v>44135</v>
      </c>
      <c r="M1683" s="332">
        <v>0</v>
      </c>
    </row>
    <row r="1684" spans="1:13" hidden="1" x14ac:dyDescent="0.25">
      <c r="A1684" s="329">
        <v>44135</v>
      </c>
      <c r="B1684" s="328" t="s">
        <v>1703</v>
      </c>
      <c r="C1684" s="328" t="s">
        <v>1060</v>
      </c>
      <c r="D1684" s="330">
        <v>5</v>
      </c>
      <c r="E1684" s="331">
        <v>-33</v>
      </c>
      <c r="F1684" s="331">
        <v>9548</v>
      </c>
      <c r="G1684" s="328" t="s">
        <v>1704</v>
      </c>
      <c r="H1684" s="328" t="s">
        <v>1743</v>
      </c>
      <c r="I1684" s="328" t="s">
        <v>110</v>
      </c>
      <c r="J1684" s="328" t="s">
        <v>757</v>
      </c>
      <c r="K1684" s="328" t="s">
        <v>741</v>
      </c>
      <c r="L1684" s="329">
        <v>44135</v>
      </c>
      <c r="M1684" s="332">
        <v>0</v>
      </c>
    </row>
    <row r="1685" spans="1:13" hidden="1" x14ac:dyDescent="0.25">
      <c r="A1685" s="329">
        <v>44165</v>
      </c>
      <c r="B1685" s="328" t="s">
        <v>1707</v>
      </c>
      <c r="C1685" s="328" t="s">
        <v>1060</v>
      </c>
      <c r="D1685" s="330">
        <v>5</v>
      </c>
      <c r="E1685" s="331">
        <v>33</v>
      </c>
      <c r="F1685" s="331">
        <v>9581</v>
      </c>
      <c r="G1685" s="328" t="s">
        <v>1708</v>
      </c>
      <c r="H1685" s="328" t="s">
        <v>1743</v>
      </c>
      <c r="I1685" s="328" t="s">
        <v>110</v>
      </c>
      <c r="J1685" s="328" t="s">
        <v>757</v>
      </c>
      <c r="K1685" s="328" t="s">
        <v>741</v>
      </c>
      <c r="L1685" s="329">
        <v>44165</v>
      </c>
      <c r="M1685" s="332">
        <v>0</v>
      </c>
    </row>
    <row r="1686" spans="1:13" hidden="1" x14ac:dyDescent="0.25">
      <c r="A1686" s="329">
        <v>44165</v>
      </c>
      <c r="B1686" s="328" t="s">
        <v>1707</v>
      </c>
      <c r="C1686" s="328" t="s">
        <v>1060</v>
      </c>
      <c r="D1686" s="330">
        <v>6</v>
      </c>
      <c r="E1686" s="331">
        <v>-33</v>
      </c>
      <c r="F1686" s="331">
        <v>9548</v>
      </c>
      <c r="G1686" s="328" t="s">
        <v>1708</v>
      </c>
      <c r="H1686" s="328" t="s">
        <v>1743</v>
      </c>
      <c r="I1686" s="328" t="s">
        <v>110</v>
      </c>
      <c r="J1686" s="328" t="s">
        <v>757</v>
      </c>
      <c r="K1686" s="328" t="s">
        <v>741</v>
      </c>
      <c r="L1686" s="329">
        <v>44165</v>
      </c>
      <c r="M1686" s="332">
        <v>0</v>
      </c>
    </row>
    <row r="1687" spans="1:13" hidden="1" x14ac:dyDescent="0.25">
      <c r="A1687" s="329">
        <v>44165</v>
      </c>
      <c r="B1687" s="328" t="s">
        <v>1709</v>
      </c>
      <c r="C1687" s="328" t="s">
        <v>769</v>
      </c>
      <c r="D1687" s="330">
        <v>6</v>
      </c>
      <c r="E1687" s="331">
        <v>33</v>
      </c>
      <c r="F1687" s="331">
        <v>9581</v>
      </c>
      <c r="G1687" s="328" t="s">
        <v>1710</v>
      </c>
      <c r="H1687" s="328" t="s">
        <v>1743</v>
      </c>
      <c r="I1687" s="328" t="s">
        <v>110</v>
      </c>
      <c r="J1687" s="328" t="s">
        <v>757</v>
      </c>
      <c r="K1687" s="328" t="s">
        <v>770</v>
      </c>
      <c r="L1687" s="329">
        <v>44165</v>
      </c>
      <c r="M1687" s="332">
        <v>0</v>
      </c>
    </row>
    <row r="1688" spans="1:13" hidden="1" x14ac:dyDescent="0.25">
      <c r="A1688" s="329">
        <v>44196</v>
      </c>
      <c r="B1688" s="328" t="s">
        <v>1711</v>
      </c>
      <c r="C1688" s="328" t="s">
        <v>1060</v>
      </c>
      <c r="D1688" s="330">
        <v>6</v>
      </c>
      <c r="E1688" s="331">
        <v>55</v>
      </c>
      <c r="F1688" s="331">
        <v>9636</v>
      </c>
      <c r="G1688" s="328" t="s">
        <v>1712</v>
      </c>
      <c r="H1688" s="328" t="s">
        <v>1743</v>
      </c>
      <c r="I1688" s="328" t="s">
        <v>110</v>
      </c>
      <c r="J1688" s="328" t="s">
        <v>757</v>
      </c>
      <c r="K1688" s="328" t="s">
        <v>741</v>
      </c>
      <c r="L1688" s="329">
        <v>44196</v>
      </c>
      <c r="M1688" s="332">
        <v>0</v>
      </c>
    </row>
    <row r="1689" spans="1:13" hidden="1" x14ac:dyDescent="0.25">
      <c r="A1689" s="329">
        <v>44196</v>
      </c>
      <c r="B1689" s="328" t="s">
        <v>1711</v>
      </c>
      <c r="C1689" s="328" t="s">
        <v>1060</v>
      </c>
      <c r="D1689" s="330">
        <v>7</v>
      </c>
      <c r="E1689" s="331">
        <v>-55</v>
      </c>
      <c r="F1689" s="331">
        <v>9581</v>
      </c>
      <c r="G1689" s="328" t="s">
        <v>1712</v>
      </c>
      <c r="H1689" s="328" t="s">
        <v>1743</v>
      </c>
      <c r="I1689" s="328" t="s">
        <v>110</v>
      </c>
      <c r="J1689" s="328" t="s">
        <v>757</v>
      </c>
      <c r="K1689" s="328" t="s">
        <v>741</v>
      </c>
      <c r="L1689" s="329">
        <v>44196</v>
      </c>
      <c r="M1689" s="332">
        <v>0</v>
      </c>
    </row>
    <row r="1690" spans="1:13" hidden="1" x14ac:dyDescent="0.25">
      <c r="A1690" s="329">
        <v>44196</v>
      </c>
      <c r="B1690" s="328" t="s">
        <v>1713</v>
      </c>
      <c r="C1690" s="328" t="s">
        <v>769</v>
      </c>
      <c r="D1690" s="330">
        <v>7</v>
      </c>
      <c r="E1690" s="331">
        <v>55</v>
      </c>
      <c r="F1690" s="331">
        <v>9636</v>
      </c>
      <c r="G1690" s="328" t="s">
        <v>1714</v>
      </c>
      <c r="H1690" s="328" t="s">
        <v>1743</v>
      </c>
      <c r="I1690" s="328" t="s">
        <v>110</v>
      </c>
      <c r="J1690" s="328" t="s">
        <v>757</v>
      </c>
      <c r="K1690" s="328" t="s">
        <v>770</v>
      </c>
      <c r="L1690" s="329">
        <v>44196</v>
      </c>
      <c r="M1690" s="332">
        <v>0</v>
      </c>
    </row>
    <row r="1691" spans="1:13" hidden="1" x14ac:dyDescent="0.25">
      <c r="A1691" s="329">
        <v>44227</v>
      </c>
      <c r="B1691" s="328" t="s">
        <v>1715</v>
      </c>
      <c r="C1691" s="328" t="s">
        <v>1060</v>
      </c>
      <c r="D1691" s="330">
        <v>7</v>
      </c>
      <c r="E1691" s="331">
        <v>55</v>
      </c>
      <c r="F1691" s="331">
        <v>9691</v>
      </c>
      <c r="G1691" s="328" t="s">
        <v>1716</v>
      </c>
      <c r="H1691" s="328" t="s">
        <v>1743</v>
      </c>
      <c r="I1691" s="328" t="s">
        <v>110</v>
      </c>
      <c r="J1691" s="328" t="s">
        <v>757</v>
      </c>
      <c r="K1691" s="328" t="s">
        <v>741</v>
      </c>
      <c r="L1691" s="329">
        <v>44227</v>
      </c>
      <c r="M1691" s="332">
        <v>0</v>
      </c>
    </row>
    <row r="1692" spans="1:13" hidden="1" x14ac:dyDescent="0.25">
      <c r="A1692" s="329">
        <v>44227</v>
      </c>
      <c r="B1692" s="328" t="s">
        <v>1715</v>
      </c>
      <c r="C1692" s="328" t="s">
        <v>1060</v>
      </c>
      <c r="D1692" s="330">
        <v>8</v>
      </c>
      <c r="E1692" s="331">
        <v>-55</v>
      </c>
      <c r="F1692" s="331">
        <v>9636</v>
      </c>
      <c r="G1692" s="328" t="s">
        <v>1716</v>
      </c>
      <c r="H1692" s="328" t="s">
        <v>1743</v>
      </c>
      <c r="I1692" s="328" t="s">
        <v>110</v>
      </c>
      <c r="J1692" s="328" t="s">
        <v>757</v>
      </c>
      <c r="K1692" s="328" t="s">
        <v>741</v>
      </c>
      <c r="L1692" s="329">
        <v>44227</v>
      </c>
      <c r="M1692" s="332">
        <v>0</v>
      </c>
    </row>
    <row r="1693" spans="1:13" hidden="1" x14ac:dyDescent="0.25">
      <c r="A1693" s="329">
        <v>44227</v>
      </c>
      <c r="B1693" s="328" t="s">
        <v>1717</v>
      </c>
      <c r="C1693" s="328" t="s">
        <v>769</v>
      </c>
      <c r="D1693" s="330">
        <v>8</v>
      </c>
      <c r="E1693" s="331">
        <v>55</v>
      </c>
      <c r="F1693" s="331">
        <v>9691</v>
      </c>
      <c r="G1693" s="328" t="s">
        <v>1718</v>
      </c>
      <c r="H1693" s="328" t="s">
        <v>1743</v>
      </c>
      <c r="I1693" s="328" t="s">
        <v>110</v>
      </c>
      <c r="J1693" s="328" t="s">
        <v>757</v>
      </c>
      <c r="K1693" s="328" t="s">
        <v>770</v>
      </c>
      <c r="L1693" s="329">
        <v>44227</v>
      </c>
      <c r="M1693" s="332">
        <v>0</v>
      </c>
    </row>
    <row r="1694" spans="1:13" hidden="1" x14ac:dyDescent="0.25">
      <c r="A1694" s="329">
        <v>44255</v>
      </c>
      <c r="B1694" s="328" t="s">
        <v>1722</v>
      </c>
      <c r="C1694" s="328" t="s">
        <v>769</v>
      </c>
      <c r="D1694" s="330">
        <v>9</v>
      </c>
      <c r="E1694" s="331">
        <v>5.5</v>
      </c>
      <c r="F1694" s="331">
        <v>9696.5</v>
      </c>
      <c r="G1694" s="328" t="s">
        <v>1723</v>
      </c>
      <c r="H1694" s="328" t="s">
        <v>1743</v>
      </c>
      <c r="I1694" s="328" t="s">
        <v>110</v>
      </c>
      <c r="J1694" s="328" t="s">
        <v>757</v>
      </c>
      <c r="K1694" s="328" t="s">
        <v>770</v>
      </c>
      <c r="L1694" s="329">
        <v>44255</v>
      </c>
      <c r="M1694" s="332">
        <v>0</v>
      </c>
    </row>
    <row r="1695" spans="1:13" hidden="1" x14ac:dyDescent="0.25">
      <c r="A1695" s="329">
        <v>44012</v>
      </c>
      <c r="B1695" s="328" t="s">
        <v>1678</v>
      </c>
      <c r="C1695" s="328" t="s">
        <v>769</v>
      </c>
      <c r="D1695" s="330">
        <v>1</v>
      </c>
      <c r="E1695" s="331">
        <v>16.5</v>
      </c>
      <c r="F1695" s="331">
        <v>9713</v>
      </c>
      <c r="G1695" s="328" t="s">
        <v>1679</v>
      </c>
      <c r="H1695" s="328" t="s">
        <v>1744</v>
      </c>
      <c r="I1695" s="328" t="s">
        <v>110</v>
      </c>
      <c r="J1695" s="328" t="s">
        <v>757</v>
      </c>
      <c r="K1695" s="328" t="s">
        <v>770</v>
      </c>
      <c r="L1695" s="329">
        <v>44012</v>
      </c>
      <c r="M1695" s="332">
        <v>0</v>
      </c>
    </row>
    <row r="1696" spans="1:13" hidden="1" x14ac:dyDescent="0.25">
      <c r="A1696" s="329">
        <v>44012</v>
      </c>
      <c r="B1696" s="328" t="s">
        <v>1681</v>
      </c>
      <c r="C1696" s="328" t="s">
        <v>1059</v>
      </c>
      <c r="D1696" s="330">
        <v>1</v>
      </c>
      <c r="E1696" s="331">
        <v>-16.5</v>
      </c>
      <c r="F1696" s="331">
        <v>9696.5</v>
      </c>
      <c r="G1696" s="328" t="s">
        <v>1682</v>
      </c>
      <c r="H1696" s="328" t="s">
        <v>1744</v>
      </c>
      <c r="I1696" s="328" t="s">
        <v>110</v>
      </c>
      <c r="J1696" s="328" t="s">
        <v>757</v>
      </c>
      <c r="K1696" s="328" t="s">
        <v>741</v>
      </c>
      <c r="L1696" s="329">
        <v>44012</v>
      </c>
      <c r="M1696" s="332">
        <v>0</v>
      </c>
    </row>
    <row r="1697" spans="1:13" hidden="1" x14ac:dyDescent="0.25">
      <c r="A1697" s="329">
        <v>44043</v>
      </c>
      <c r="B1697" s="328" t="s">
        <v>1685</v>
      </c>
      <c r="C1697" s="328" t="s">
        <v>1060</v>
      </c>
      <c r="D1697" s="330">
        <v>1</v>
      </c>
      <c r="E1697" s="331">
        <v>16.5</v>
      </c>
      <c r="F1697" s="331">
        <v>9713</v>
      </c>
      <c r="G1697" s="328" t="s">
        <v>1686</v>
      </c>
      <c r="H1697" s="328" t="s">
        <v>1744</v>
      </c>
      <c r="I1697" s="328" t="s">
        <v>110</v>
      </c>
      <c r="J1697" s="328" t="s">
        <v>757</v>
      </c>
      <c r="K1697" s="328" t="s">
        <v>741</v>
      </c>
      <c r="L1697" s="329">
        <v>44043</v>
      </c>
      <c r="M1697" s="332">
        <v>0</v>
      </c>
    </row>
    <row r="1698" spans="1:13" hidden="1" x14ac:dyDescent="0.25">
      <c r="A1698" s="329">
        <v>44043</v>
      </c>
      <c r="B1698" s="328" t="s">
        <v>1688</v>
      </c>
      <c r="C1698" s="328" t="s">
        <v>1060</v>
      </c>
      <c r="D1698" s="330">
        <v>1</v>
      </c>
      <c r="E1698" s="331">
        <v>-16.5</v>
      </c>
      <c r="F1698" s="331">
        <v>9696.5</v>
      </c>
      <c r="G1698" s="328" t="s">
        <v>1686</v>
      </c>
      <c r="H1698" s="328" t="s">
        <v>1744</v>
      </c>
      <c r="I1698" s="328" t="s">
        <v>110</v>
      </c>
      <c r="J1698" s="328" t="s">
        <v>757</v>
      </c>
      <c r="K1698" s="328" t="s">
        <v>741</v>
      </c>
      <c r="L1698" s="329">
        <v>44043</v>
      </c>
      <c r="M1698" s="332">
        <v>0</v>
      </c>
    </row>
    <row r="1699" spans="1:13" hidden="1" x14ac:dyDescent="0.25">
      <c r="A1699" s="329">
        <v>44043</v>
      </c>
      <c r="B1699" s="328" t="s">
        <v>1689</v>
      </c>
      <c r="C1699" s="328" t="s">
        <v>1060</v>
      </c>
      <c r="D1699" s="330">
        <v>1</v>
      </c>
      <c r="E1699" s="331">
        <v>16.5</v>
      </c>
      <c r="F1699" s="331">
        <v>9713</v>
      </c>
      <c r="G1699" s="328" t="s">
        <v>1686</v>
      </c>
      <c r="H1699" s="328" t="s">
        <v>1744</v>
      </c>
      <c r="I1699" s="328" t="s">
        <v>110</v>
      </c>
      <c r="J1699" s="328" t="s">
        <v>757</v>
      </c>
      <c r="K1699" s="328" t="s">
        <v>741</v>
      </c>
      <c r="L1699" s="329">
        <v>44043</v>
      </c>
      <c r="M1699" s="332">
        <v>0</v>
      </c>
    </row>
    <row r="1700" spans="1:13" hidden="1" x14ac:dyDescent="0.25">
      <c r="A1700" s="329">
        <v>44043</v>
      </c>
      <c r="B1700" s="328" t="s">
        <v>1691</v>
      </c>
      <c r="C1700" s="328" t="s">
        <v>769</v>
      </c>
      <c r="D1700" s="330">
        <v>2</v>
      </c>
      <c r="E1700" s="331">
        <v>16.5</v>
      </c>
      <c r="F1700" s="331">
        <v>9729.5</v>
      </c>
      <c r="G1700" s="328" t="s">
        <v>1692</v>
      </c>
      <c r="H1700" s="328" t="s">
        <v>1744</v>
      </c>
      <c r="I1700" s="328" t="s">
        <v>110</v>
      </c>
      <c r="J1700" s="328" t="s">
        <v>757</v>
      </c>
      <c r="K1700" s="328" t="s">
        <v>770</v>
      </c>
      <c r="L1700" s="329">
        <v>44043</v>
      </c>
      <c r="M1700" s="332">
        <v>0</v>
      </c>
    </row>
    <row r="1701" spans="1:13" hidden="1" x14ac:dyDescent="0.25">
      <c r="A1701" s="329">
        <v>44043</v>
      </c>
      <c r="B1701" s="328" t="s">
        <v>1685</v>
      </c>
      <c r="C1701" s="328" t="s">
        <v>1060</v>
      </c>
      <c r="D1701" s="330">
        <v>2</v>
      </c>
      <c r="E1701" s="331">
        <v>-16.5</v>
      </c>
      <c r="F1701" s="331">
        <v>9713</v>
      </c>
      <c r="G1701" s="328" t="s">
        <v>1686</v>
      </c>
      <c r="H1701" s="328" t="s">
        <v>1744</v>
      </c>
      <c r="I1701" s="328" t="s">
        <v>110</v>
      </c>
      <c r="J1701" s="328" t="s">
        <v>757</v>
      </c>
      <c r="K1701" s="328" t="s">
        <v>741</v>
      </c>
      <c r="L1701" s="329">
        <v>44043</v>
      </c>
      <c r="M1701" s="332">
        <v>0</v>
      </c>
    </row>
    <row r="1702" spans="1:13" hidden="1" x14ac:dyDescent="0.25">
      <c r="A1702" s="329">
        <v>44043</v>
      </c>
      <c r="B1702" s="328" t="s">
        <v>1689</v>
      </c>
      <c r="C1702" s="328" t="s">
        <v>1060</v>
      </c>
      <c r="D1702" s="330">
        <v>2</v>
      </c>
      <c r="E1702" s="331">
        <v>-16.5</v>
      </c>
      <c r="F1702" s="331">
        <v>9696.5</v>
      </c>
      <c r="G1702" s="328" t="s">
        <v>1686</v>
      </c>
      <c r="H1702" s="328" t="s">
        <v>1744</v>
      </c>
      <c r="I1702" s="328" t="s">
        <v>110</v>
      </c>
      <c r="J1702" s="328" t="s">
        <v>757</v>
      </c>
      <c r="K1702" s="328" t="s">
        <v>741</v>
      </c>
      <c r="L1702" s="329">
        <v>44043</v>
      </c>
      <c r="M1702" s="332">
        <v>0</v>
      </c>
    </row>
    <row r="1703" spans="1:13" hidden="1" x14ac:dyDescent="0.25">
      <c r="A1703" s="329">
        <v>44043</v>
      </c>
      <c r="B1703" s="328" t="s">
        <v>1688</v>
      </c>
      <c r="C1703" s="328" t="s">
        <v>1060</v>
      </c>
      <c r="D1703" s="330">
        <v>2</v>
      </c>
      <c r="E1703" s="331">
        <v>16.5</v>
      </c>
      <c r="F1703" s="331">
        <v>9713</v>
      </c>
      <c r="G1703" s="328" t="s">
        <v>1686</v>
      </c>
      <c r="H1703" s="328" t="s">
        <v>1744</v>
      </c>
      <c r="I1703" s="328" t="s">
        <v>110</v>
      </c>
      <c r="J1703" s="328" t="s">
        <v>757</v>
      </c>
      <c r="K1703" s="328" t="s">
        <v>741</v>
      </c>
      <c r="L1703" s="329">
        <v>44043</v>
      </c>
      <c r="M1703" s="332">
        <v>0</v>
      </c>
    </row>
    <row r="1704" spans="1:13" hidden="1" x14ac:dyDescent="0.25">
      <c r="A1704" s="329">
        <v>44074</v>
      </c>
      <c r="B1704" s="328" t="s">
        <v>1695</v>
      </c>
      <c r="C1704" s="328" t="s">
        <v>1060</v>
      </c>
      <c r="D1704" s="330">
        <v>2</v>
      </c>
      <c r="E1704" s="331">
        <v>11</v>
      </c>
      <c r="F1704" s="331">
        <v>9724</v>
      </c>
      <c r="G1704" s="328" t="s">
        <v>1696</v>
      </c>
      <c r="H1704" s="328" t="s">
        <v>1744</v>
      </c>
      <c r="I1704" s="328" t="s">
        <v>110</v>
      </c>
      <c r="J1704" s="328" t="s">
        <v>757</v>
      </c>
      <c r="K1704" s="328" t="s">
        <v>741</v>
      </c>
      <c r="L1704" s="329">
        <v>44074</v>
      </c>
      <c r="M1704" s="332">
        <v>0</v>
      </c>
    </row>
    <row r="1705" spans="1:13" hidden="1" x14ac:dyDescent="0.25">
      <c r="A1705" s="329">
        <v>44074</v>
      </c>
      <c r="B1705" s="328" t="s">
        <v>1695</v>
      </c>
      <c r="C1705" s="328" t="s">
        <v>1060</v>
      </c>
      <c r="D1705" s="330">
        <v>3</v>
      </c>
      <c r="E1705" s="331">
        <v>-11</v>
      </c>
      <c r="F1705" s="331">
        <v>9713</v>
      </c>
      <c r="G1705" s="328" t="s">
        <v>1696</v>
      </c>
      <c r="H1705" s="328" t="s">
        <v>1744</v>
      </c>
      <c r="I1705" s="328" t="s">
        <v>110</v>
      </c>
      <c r="J1705" s="328" t="s">
        <v>757</v>
      </c>
      <c r="K1705" s="328" t="s">
        <v>741</v>
      </c>
      <c r="L1705" s="329">
        <v>44074</v>
      </c>
      <c r="M1705" s="332">
        <v>0</v>
      </c>
    </row>
    <row r="1706" spans="1:13" hidden="1" x14ac:dyDescent="0.25">
      <c r="A1706" s="329">
        <v>44074</v>
      </c>
      <c r="B1706" s="328" t="s">
        <v>1697</v>
      </c>
      <c r="C1706" s="328" t="s">
        <v>769</v>
      </c>
      <c r="D1706" s="330">
        <v>3</v>
      </c>
      <c r="E1706" s="331">
        <v>11</v>
      </c>
      <c r="F1706" s="331">
        <v>9724</v>
      </c>
      <c r="G1706" s="328" t="s">
        <v>1698</v>
      </c>
      <c r="H1706" s="328" t="s">
        <v>1744</v>
      </c>
      <c r="I1706" s="328" t="s">
        <v>110</v>
      </c>
      <c r="J1706" s="328" t="s">
        <v>757</v>
      </c>
      <c r="K1706" s="328" t="s">
        <v>770</v>
      </c>
      <c r="L1706" s="329">
        <v>44074</v>
      </c>
      <c r="M1706" s="332">
        <v>0</v>
      </c>
    </row>
    <row r="1707" spans="1:13" hidden="1" x14ac:dyDescent="0.25">
      <c r="A1707" s="329">
        <v>44104</v>
      </c>
      <c r="B1707" s="328" t="s">
        <v>1699</v>
      </c>
      <c r="C1707" s="328" t="s">
        <v>1060</v>
      </c>
      <c r="D1707" s="330">
        <v>3</v>
      </c>
      <c r="E1707" s="331">
        <v>16.5</v>
      </c>
      <c r="F1707" s="331">
        <v>9740.5</v>
      </c>
      <c r="G1707" s="328" t="s">
        <v>1700</v>
      </c>
      <c r="H1707" s="328" t="s">
        <v>1744</v>
      </c>
      <c r="I1707" s="328" t="s">
        <v>110</v>
      </c>
      <c r="J1707" s="328" t="s">
        <v>757</v>
      </c>
      <c r="K1707" s="328" t="s">
        <v>741</v>
      </c>
      <c r="L1707" s="329">
        <v>44104</v>
      </c>
      <c r="M1707" s="332">
        <v>0</v>
      </c>
    </row>
    <row r="1708" spans="1:13" hidden="1" x14ac:dyDescent="0.25">
      <c r="A1708" s="329">
        <v>44104</v>
      </c>
      <c r="B1708" s="328" t="s">
        <v>1699</v>
      </c>
      <c r="C1708" s="328" t="s">
        <v>1060</v>
      </c>
      <c r="D1708" s="330">
        <v>4</v>
      </c>
      <c r="E1708" s="331">
        <v>-16.5</v>
      </c>
      <c r="F1708" s="331">
        <v>9724</v>
      </c>
      <c r="G1708" s="328" t="s">
        <v>1700</v>
      </c>
      <c r="H1708" s="328" t="s">
        <v>1744</v>
      </c>
      <c r="I1708" s="328" t="s">
        <v>110</v>
      </c>
      <c r="J1708" s="328" t="s">
        <v>757</v>
      </c>
      <c r="K1708" s="328" t="s">
        <v>741</v>
      </c>
      <c r="L1708" s="329">
        <v>44104</v>
      </c>
      <c r="M1708" s="332">
        <v>0</v>
      </c>
    </row>
    <row r="1709" spans="1:13" hidden="1" x14ac:dyDescent="0.25">
      <c r="A1709" s="329">
        <v>44105</v>
      </c>
      <c r="B1709" s="328" t="s">
        <v>1701</v>
      </c>
      <c r="C1709" s="328" t="s">
        <v>769</v>
      </c>
      <c r="D1709" s="330">
        <v>4</v>
      </c>
      <c r="E1709" s="331">
        <v>16.5</v>
      </c>
      <c r="F1709" s="331">
        <v>9740.5</v>
      </c>
      <c r="G1709" s="328" t="s">
        <v>1702</v>
      </c>
      <c r="H1709" s="328" t="s">
        <v>1744</v>
      </c>
      <c r="I1709" s="328" t="s">
        <v>110</v>
      </c>
      <c r="J1709" s="328" t="s">
        <v>757</v>
      </c>
      <c r="K1709" s="328" t="s">
        <v>770</v>
      </c>
      <c r="L1709" s="329">
        <v>44105</v>
      </c>
      <c r="M1709" s="332">
        <v>0</v>
      </c>
    </row>
    <row r="1710" spans="1:13" hidden="1" x14ac:dyDescent="0.25">
      <c r="A1710" s="329">
        <v>44135</v>
      </c>
      <c r="B1710" s="328" t="s">
        <v>1703</v>
      </c>
      <c r="C1710" s="328" t="s">
        <v>1060</v>
      </c>
      <c r="D1710" s="330">
        <v>4</v>
      </c>
      <c r="E1710" s="331">
        <v>33</v>
      </c>
      <c r="F1710" s="331">
        <v>9773.5</v>
      </c>
      <c r="G1710" s="328" t="s">
        <v>1704</v>
      </c>
      <c r="H1710" s="328" t="s">
        <v>1744</v>
      </c>
      <c r="I1710" s="328" t="s">
        <v>110</v>
      </c>
      <c r="J1710" s="328" t="s">
        <v>757</v>
      </c>
      <c r="K1710" s="328" t="s">
        <v>741</v>
      </c>
      <c r="L1710" s="329">
        <v>44135</v>
      </c>
      <c r="M1710" s="332">
        <v>0</v>
      </c>
    </row>
    <row r="1711" spans="1:13" hidden="1" x14ac:dyDescent="0.25">
      <c r="A1711" s="329">
        <v>44135</v>
      </c>
      <c r="B1711" s="328" t="s">
        <v>1703</v>
      </c>
      <c r="C1711" s="328" t="s">
        <v>1060</v>
      </c>
      <c r="D1711" s="330">
        <v>5</v>
      </c>
      <c r="E1711" s="331">
        <v>-33</v>
      </c>
      <c r="F1711" s="331">
        <v>9740.5</v>
      </c>
      <c r="G1711" s="328" t="s">
        <v>1704</v>
      </c>
      <c r="H1711" s="328" t="s">
        <v>1744</v>
      </c>
      <c r="I1711" s="328" t="s">
        <v>110</v>
      </c>
      <c r="J1711" s="328" t="s">
        <v>757</v>
      </c>
      <c r="K1711" s="328" t="s">
        <v>741</v>
      </c>
      <c r="L1711" s="329">
        <v>44135</v>
      </c>
      <c r="M1711" s="332">
        <v>0</v>
      </c>
    </row>
    <row r="1712" spans="1:13" hidden="1" x14ac:dyDescent="0.25">
      <c r="A1712" s="329">
        <v>44135</v>
      </c>
      <c r="B1712" s="328" t="s">
        <v>1705</v>
      </c>
      <c r="C1712" s="328" t="s">
        <v>769</v>
      </c>
      <c r="D1712" s="330">
        <v>5</v>
      </c>
      <c r="E1712" s="331">
        <v>33</v>
      </c>
      <c r="F1712" s="331">
        <v>9773.5</v>
      </c>
      <c r="G1712" s="328" t="s">
        <v>1706</v>
      </c>
      <c r="H1712" s="328" t="s">
        <v>1744</v>
      </c>
      <c r="I1712" s="328" t="s">
        <v>110</v>
      </c>
      <c r="J1712" s="328" t="s">
        <v>757</v>
      </c>
      <c r="K1712" s="328" t="s">
        <v>770</v>
      </c>
      <c r="L1712" s="329">
        <v>44135</v>
      </c>
      <c r="M1712" s="332">
        <v>0</v>
      </c>
    </row>
    <row r="1713" spans="1:13" hidden="1" x14ac:dyDescent="0.25">
      <c r="A1713" s="329">
        <v>44165</v>
      </c>
      <c r="B1713" s="328" t="s">
        <v>1707</v>
      </c>
      <c r="C1713" s="328" t="s">
        <v>1060</v>
      </c>
      <c r="D1713" s="330">
        <v>5</v>
      </c>
      <c r="E1713" s="331">
        <v>33</v>
      </c>
      <c r="F1713" s="331">
        <v>9806.5</v>
      </c>
      <c r="G1713" s="328" t="s">
        <v>1708</v>
      </c>
      <c r="H1713" s="328" t="s">
        <v>1744</v>
      </c>
      <c r="I1713" s="328" t="s">
        <v>110</v>
      </c>
      <c r="J1713" s="328" t="s">
        <v>757</v>
      </c>
      <c r="K1713" s="328" t="s">
        <v>741</v>
      </c>
      <c r="L1713" s="329">
        <v>44165</v>
      </c>
      <c r="M1713" s="332">
        <v>0</v>
      </c>
    </row>
    <row r="1714" spans="1:13" hidden="1" x14ac:dyDescent="0.25">
      <c r="A1714" s="329">
        <v>44165</v>
      </c>
      <c r="B1714" s="328" t="s">
        <v>1707</v>
      </c>
      <c r="C1714" s="328" t="s">
        <v>1060</v>
      </c>
      <c r="D1714" s="330">
        <v>6</v>
      </c>
      <c r="E1714" s="331">
        <v>-33</v>
      </c>
      <c r="F1714" s="331">
        <v>9773.5</v>
      </c>
      <c r="G1714" s="328" t="s">
        <v>1708</v>
      </c>
      <c r="H1714" s="328" t="s">
        <v>1744</v>
      </c>
      <c r="I1714" s="328" t="s">
        <v>110</v>
      </c>
      <c r="J1714" s="328" t="s">
        <v>757</v>
      </c>
      <c r="K1714" s="328" t="s">
        <v>741</v>
      </c>
      <c r="L1714" s="329">
        <v>44165</v>
      </c>
      <c r="M1714" s="332">
        <v>0</v>
      </c>
    </row>
    <row r="1715" spans="1:13" hidden="1" x14ac:dyDescent="0.25">
      <c r="A1715" s="329">
        <v>44165</v>
      </c>
      <c r="B1715" s="328" t="s">
        <v>1709</v>
      </c>
      <c r="C1715" s="328" t="s">
        <v>769</v>
      </c>
      <c r="D1715" s="330">
        <v>6</v>
      </c>
      <c r="E1715" s="331">
        <v>33</v>
      </c>
      <c r="F1715" s="331">
        <v>9806.5</v>
      </c>
      <c r="G1715" s="328" t="s">
        <v>1710</v>
      </c>
      <c r="H1715" s="328" t="s">
        <v>1744</v>
      </c>
      <c r="I1715" s="328" t="s">
        <v>110</v>
      </c>
      <c r="J1715" s="328" t="s">
        <v>757</v>
      </c>
      <c r="K1715" s="328" t="s">
        <v>770</v>
      </c>
      <c r="L1715" s="329">
        <v>44165</v>
      </c>
      <c r="M1715" s="332">
        <v>0</v>
      </c>
    </row>
    <row r="1716" spans="1:13" hidden="1" x14ac:dyDescent="0.25">
      <c r="A1716" s="329">
        <v>44196</v>
      </c>
      <c r="B1716" s="328" t="s">
        <v>1711</v>
      </c>
      <c r="C1716" s="328" t="s">
        <v>1060</v>
      </c>
      <c r="D1716" s="330">
        <v>6</v>
      </c>
      <c r="E1716" s="331">
        <v>55</v>
      </c>
      <c r="F1716" s="331">
        <v>9861.5</v>
      </c>
      <c r="G1716" s="328" t="s">
        <v>1712</v>
      </c>
      <c r="H1716" s="328" t="s">
        <v>1744</v>
      </c>
      <c r="I1716" s="328" t="s">
        <v>110</v>
      </c>
      <c r="J1716" s="328" t="s">
        <v>757</v>
      </c>
      <c r="K1716" s="328" t="s">
        <v>741</v>
      </c>
      <c r="L1716" s="329">
        <v>44196</v>
      </c>
      <c r="M1716" s="332">
        <v>0</v>
      </c>
    </row>
    <row r="1717" spans="1:13" hidden="1" x14ac:dyDescent="0.25">
      <c r="A1717" s="329">
        <v>44196</v>
      </c>
      <c r="B1717" s="328" t="s">
        <v>1711</v>
      </c>
      <c r="C1717" s="328" t="s">
        <v>1060</v>
      </c>
      <c r="D1717" s="330">
        <v>7</v>
      </c>
      <c r="E1717" s="331">
        <v>-55</v>
      </c>
      <c r="F1717" s="331">
        <v>9806.5</v>
      </c>
      <c r="G1717" s="328" t="s">
        <v>1712</v>
      </c>
      <c r="H1717" s="328" t="s">
        <v>1744</v>
      </c>
      <c r="I1717" s="328" t="s">
        <v>110</v>
      </c>
      <c r="J1717" s="328" t="s">
        <v>757</v>
      </c>
      <c r="K1717" s="328" t="s">
        <v>741</v>
      </c>
      <c r="L1717" s="329">
        <v>44196</v>
      </c>
      <c r="M1717" s="332">
        <v>0</v>
      </c>
    </row>
    <row r="1718" spans="1:13" hidden="1" x14ac:dyDescent="0.25">
      <c r="A1718" s="329">
        <v>44196</v>
      </c>
      <c r="B1718" s="328" t="s">
        <v>1713</v>
      </c>
      <c r="C1718" s="328" t="s">
        <v>769</v>
      </c>
      <c r="D1718" s="330">
        <v>7</v>
      </c>
      <c r="E1718" s="331">
        <v>55</v>
      </c>
      <c r="F1718" s="331">
        <v>9861.5</v>
      </c>
      <c r="G1718" s="328" t="s">
        <v>1714</v>
      </c>
      <c r="H1718" s="328" t="s">
        <v>1744</v>
      </c>
      <c r="I1718" s="328" t="s">
        <v>110</v>
      </c>
      <c r="J1718" s="328" t="s">
        <v>757</v>
      </c>
      <c r="K1718" s="328" t="s">
        <v>770</v>
      </c>
      <c r="L1718" s="329">
        <v>44196</v>
      </c>
      <c r="M1718" s="332">
        <v>0</v>
      </c>
    </row>
    <row r="1719" spans="1:13" hidden="1" x14ac:dyDescent="0.25">
      <c r="A1719" s="329">
        <v>44227</v>
      </c>
      <c r="B1719" s="328" t="s">
        <v>1715</v>
      </c>
      <c r="C1719" s="328" t="s">
        <v>1060</v>
      </c>
      <c r="D1719" s="330">
        <v>7</v>
      </c>
      <c r="E1719" s="331">
        <v>55</v>
      </c>
      <c r="F1719" s="331">
        <v>9916.5</v>
      </c>
      <c r="G1719" s="328" t="s">
        <v>1716</v>
      </c>
      <c r="H1719" s="328" t="s">
        <v>1744</v>
      </c>
      <c r="I1719" s="328" t="s">
        <v>110</v>
      </c>
      <c r="J1719" s="328" t="s">
        <v>757</v>
      </c>
      <c r="K1719" s="328" t="s">
        <v>741</v>
      </c>
      <c r="L1719" s="329">
        <v>44227</v>
      </c>
      <c r="M1719" s="332">
        <v>0</v>
      </c>
    </row>
    <row r="1720" spans="1:13" hidden="1" x14ac:dyDescent="0.25">
      <c r="A1720" s="329">
        <v>44227</v>
      </c>
      <c r="B1720" s="328" t="s">
        <v>1715</v>
      </c>
      <c r="C1720" s="328" t="s">
        <v>1060</v>
      </c>
      <c r="D1720" s="330">
        <v>8</v>
      </c>
      <c r="E1720" s="331">
        <v>-55</v>
      </c>
      <c r="F1720" s="331">
        <v>9861.5</v>
      </c>
      <c r="G1720" s="328" t="s">
        <v>1716</v>
      </c>
      <c r="H1720" s="328" t="s">
        <v>1744</v>
      </c>
      <c r="I1720" s="328" t="s">
        <v>110</v>
      </c>
      <c r="J1720" s="328" t="s">
        <v>757</v>
      </c>
      <c r="K1720" s="328" t="s">
        <v>741</v>
      </c>
      <c r="L1720" s="329">
        <v>44227</v>
      </c>
      <c r="M1720" s="332">
        <v>0</v>
      </c>
    </row>
    <row r="1721" spans="1:13" hidden="1" x14ac:dyDescent="0.25">
      <c r="A1721" s="329">
        <v>44227</v>
      </c>
      <c r="B1721" s="328" t="s">
        <v>1717</v>
      </c>
      <c r="C1721" s="328" t="s">
        <v>769</v>
      </c>
      <c r="D1721" s="330">
        <v>8</v>
      </c>
      <c r="E1721" s="331">
        <v>55</v>
      </c>
      <c r="F1721" s="331">
        <v>9916.5</v>
      </c>
      <c r="G1721" s="328" t="s">
        <v>1718</v>
      </c>
      <c r="H1721" s="328" t="s">
        <v>1744</v>
      </c>
      <c r="I1721" s="328" t="s">
        <v>110</v>
      </c>
      <c r="J1721" s="328" t="s">
        <v>757</v>
      </c>
      <c r="K1721" s="328" t="s">
        <v>770</v>
      </c>
      <c r="L1721" s="329">
        <v>44227</v>
      </c>
      <c r="M1721" s="332">
        <v>0</v>
      </c>
    </row>
    <row r="1722" spans="1:13" hidden="1" x14ac:dyDescent="0.25">
      <c r="A1722" s="329">
        <v>44255</v>
      </c>
      <c r="B1722" s="328" t="s">
        <v>1720</v>
      </c>
      <c r="C1722" s="328" t="s">
        <v>1060</v>
      </c>
      <c r="D1722" s="330">
        <v>8</v>
      </c>
      <c r="E1722" s="331">
        <v>88</v>
      </c>
      <c r="F1722" s="331">
        <v>10004.5</v>
      </c>
      <c r="G1722" s="328" t="s">
        <v>1721</v>
      </c>
      <c r="H1722" s="328" t="s">
        <v>1744</v>
      </c>
      <c r="I1722" s="328" t="s">
        <v>110</v>
      </c>
      <c r="J1722" s="328" t="s">
        <v>757</v>
      </c>
      <c r="K1722" s="328" t="s">
        <v>741</v>
      </c>
      <c r="L1722" s="329">
        <v>44255</v>
      </c>
      <c r="M1722" s="332">
        <v>0</v>
      </c>
    </row>
    <row r="1723" spans="1:13" hidden="1" x14ac:dyDescent="0.25">
      <c r="A1723" s="329">
        <v>44255</v>
      </c>
      <c r="B1723" s="328" t="s">
        <v>1720</v>
      </c>
      <c r="C1723" s="328" t="s">
        <v>1060</v>
      </c>
      <c r="D1723" s="330">
        <v>9</v>
      </c>
      <c r="E1723" s="331">
        <v>-88</v>
      </c>
      <c r="F1723" s="331">
        <v>9916.5</v>
      </c>
      <c r="G1723" s="328" t="s">
        <v>1721</v>
      </c>
      <c r="H1723" s="328" t="s">
        <v>1744</v>
      </c>
      <c r="I1723" s="328" t="s">
        <v>110</v>
      </c>
      <c r="J1723" s="328" t="s">
        <v>757</v>
      </c>
      <c r="K1723" s="328" t="s">
        <v>741</v>
      </c>
      <c r="L1723" s="329">
        <v>44255</v>
      </c>
      <c r="M1723" s="332">
        <v>0</v>
      </c>
    </row>
    <row r="1724" spans="1:13" hidden="1" x14ac:dyDescent="0.25">
      <c r="A1724" s="329">
        <v>44255</v>
      </c>
      <c r="B1724" s="328" t="s">
        <v>1722</v>
      </c>
      <c r="C1724" s="328" t="s">
        <v>769</v>
      </c>
      <c r="D1724" s="330">
        <v>9</v>
      </c>
      <c r="E1724" s="331">
        <v>88</v>
      </c>
      <c r="F1724" s="331">
        <v>10004.5</v>
      </c>
      <c r="G1724" s="328" t="s">
        <v>1723</v>
      </c>
      <c r="H1724" s="328" t="s">
        <v>1744</v>
      </c>
      <c r="I1724" s="328" t="s">
        <v>110</v>
      </c>
      <c r="J1724" s="328" t="s">
        <v>757</v>
      </c>
      <c r="K1724" s="328" t="s">
        <v>770</v>
      </c>
      <c r="L1724" s="329">
        <v>44255</v>
      </c>
      <c r="M1724" s="332">
        <v>0</v>
      </c>
    </row>
    <row r="1725" spans="1:13" hidden="1" x14ac:dyDescent="0.25">
      <c r="A1725" s="329">
        <v>44286</v>
      </c>
      <c r="B1725" s="328" t="s">
        <v>1724</v>
      </c>
      <c r="C1725" s="328" t="s">
        <v>1060</v>
      </c>
      <c r="D1725" s="330">
        <v>9</v>
      </c>
      <c r="E1725" s="331">
        <v>88</v>
      </c>
      <c r="F1725" s="331">
        <v>10092.5</v>
      </c>
      <c r="G1725" s="328" t="s">
        <v>1725</v>
      </c>
      <c r="H1725" s="328" t="s">
        <v>1744</v>
      </c>
      <c r="I1725" s="328" t="s">
        <v>110</v>
      </c>
      <c r="J1725" s="328" t="s">
        <v>757</v>
      </c>
      <c r="K1725" s="328" t="s">
        <v>741</v>
      </c>
      <c r="L1725" s="329">
        <v>44286</v>
      </c>
      <c r="M1725" s="332">
        <v>0</v>
      </c>
    </row>
    <row r="1726" spans="1:13" hidden="1" x14ac:dyDescent="0.25">
      <c r="A1726" s="329">
        <v>44286</v>
      </c>
      <c r="B1726" s="328" t="s">
        <v>1726</v>
      </c>
      <c r="C1726" s="328" t="s">
        <v>769</v>
      </c>
      <c r="D1726" s="330">
        <v>10</v>
      </c>
      <c r="E1726" s="331">
        <v>88</v>
      </c>
      <c r="F1726" s="331">
        <v>10180.5</v>
      </c>
      <c r="G1726" s="328" t="s">
        <v>1727</v>
      </c>
      <c r="H1726" s="328" t="s">
        <v>1744</v>
      </c>
      <c r="I1726" s="328" t="s">
        <v>110</v>
      </c>
      <c r="J1726" s="328" t="s">
        <v>757</v>
      </c>
      <c r="K1726" s="328" t="s">
        <v>770</v>
      </c>
      <c r="L1726" s="329">
        <v>44286</v>
      </c>
      <c r="M1726" s="332">
        <v>0</v>
      </c>
    </row>
    <row r="1727" spans="1:13" hidden="1" x14ac:dyDescent="0.25">
      <c r="A1727" s="329">
        <v>44286</v>
      </c>
      <c r="B1727" s="328" t="s">
        <v>1724</v>
      </c>
      <c r="C1727" s="328" t="s">
        <v>1060</v>
      </c>
      <c r="D1727" s="330">
        <v>10</v>
      </c>
      <c r="E1727" s="331">
        <v>-88</v>
      </c>
      <c r="F1727" s="331">
        <v>10092.5</v>
      </c>
      <c r="G1727" s="328" t="s">
        <v>1725</v>
      </c>
      <c r="H1727" s="328" t="s">
        <v>1744</v>
      </c>
      <c r="I1727" s="328" t="s">
        <v>110</v>
      </c>
      <c r="J1727" s="328" t="s">
        <v>757</v>
      </c>
      <c r="K1727" s="328" t="s">
        <v>741</v>
      </c>
      <c r="L1727" s="329">
        <v>44286</v>
      </c>
      <c r="M1727" s="332">
        <v>0</v>
      </c>
    </row>
    <row r="1728" spans="1:13" hidden="1" x14ac:dyDescent="0.25">
      <c r="A1728" s="329">
        <v>44012</v>
      </c>
      <c r="B1728" s="328" t="s">
        <v>1678</v>
      </c>
      <c r="C1728" s="328" t="s">
        <v>769</v>
      </c>
      <c r="D1728" s="330">
        <v>1</v>
      </c>
      <c r="E1728" s="331">
        <v>187</v>
      </c>
      <c r="F1728" s="331">
        <v>10279.5</v>
      </c>
      <c r="G1728" s="328" t="s">
        <v>1679</v>
      </c>
      <c r="H1728" s="328" t="s">
        <v>1745</v>
      </c>
      <c r="I1728" s="328" t="s">
        <v>110</v>
      </c>
      <c r="J1728" s="328" t="s">
        <v>757</v>
      </c>
      <c r="K1728" s="328" t="s">
        <v>770</v>
      </c>
      <c r="L1728" s="329">
        <v>44012</v>
      </c>
      <c r="M1728" s="332">
        <v>0</v>
      </c>
    </row>
    <row r="1729" spans="1:13" hidden="1" x14ac:dyDescent="0.25">
      <c r="A1729" s="329">
        <v>44012</v>
      </c>
      <c r="B1729" s="328" t="s">
        <v>1681</v>
      </c>
      <c r="C1729" s="328" t="s">
        <v>1059</v>
      </c>
      <c r="D1729" s="330">
        <v>1</v>
      </c>
      <c r="E1729" s="331">
        <v>-181.5</v>
      </c>
      <c r="F1729" s="331">
        <v>10098</v>
      </c>
      <c r="G1729" s="328" t="s">
        <v>1682</v>
      </c>
      <c r="H1729" s="328" t="s">
        <v>1745</v>
      </c>
      <c r="I1729" s="328" t="s">
        <v>110</v>
      </c>
      <c r="J1729" s="328" t="s">
        <v>757</v>
      </c>
      <c r="K1729" s="328" t="s">
        <v>741</v>
      </c>
      <c r="L1729" s="329">
        <v>44012</v>
      </c>
      <c r="M1729" s="332">
        <v>0</v>
      </c>
    </row>
    <row r="1730" spans="1:13" hidden="1" x14ac:dyDescent="0.25">
      <c r="A1730" s="329">
        <v>44041</v>
      </c>
      <c r="B1730" s="328" t="s">
        <v>1683</v>
      </c>
      <c r="C1730" s="328" t="s">
        <v>936</v>
      </c>
      <c r="D1730" s="330">
        <v>1</v>
      </c>
      <c r="E1730" s="331">
        <v>-5.5</v>
      </c>
      <c r="F1730" s="331">
        <v>10092.5</v>
      </c>
      <c r="G1730" s="328" t="s">
        <v>1684</v>
      </c>
      <c r="H1730" s="328" t="s">
        <v>1745</v>
      </c>
      <c r="I1730" s="328" t="s">
        <v>110</v>
      </c>
      <c r="J1730" s="328" t="s">
        <v>757</v>
      </c>
      <c r="K1730" s="328" t="s">
        <v>770</v>
      </c>
      <c r="L1730" s="329">
        <v>44041</v>
      </c>
      <c r="M1730" s="332">
        <v>0</v>
      </c>
    </row>
    <row r="1731" spans="1:13" hidden="1" x14ac:dyDescent="0.25">
      <c r="A1731" s="329">
        <v>44043</v>
      </c>
      <c r="B1731" s="328" t="s">
        <v>1685</v>
      </c>
      <c r="C1731" s="328" t="s">
        <v>1060</v>
      </c>
      <c r="D1731" s="330">
        <v>1</v>
      </c>
      <c r="E1731" s="331">
        <v>187</v>
      </c>
      <c r="F1731" s="331">
        <v>10279.5</v>
      </c>
      <c r="G1731" s="328" t="s">
        <v>1686</v>
      </c>
      <c r="H1731" s="328" t="s">
        <v>1745</v>
      </c>
      <c r="I1731" s="328" t="s">
        <v>110</v>
      </c>
      <c r="J1731" s="328" t="s">
        <v>757</v>
      </c>
      <c r="K1731" s="328" t="s">
        <v>741</v>
      </c>
      <c r="L1731" s="329">
        <v>44043</v>
      </c>
      <c r="M1731" s="332">
        <v>0</v>
      </c>
    </row>
    <row r="1732" spans="1:13" hidden="1" x14ac:dyDescent="0.25">
      <c r="A1732" s="329">
        <v>44043</v>
      </c>
      <c r="B1732" s="328" t="s">
        <v>1685</v>
      </c>
      <c r="C1732" s="328" t="s">
        <v>1060</v>
      </c>
      <c r="D1732" s="330">
        <v>1</v>
      </c>
      <c r="E1732" s="331">
        <v>5.5</v>
      </c>
      <c r="F1732" s="331">
        <v>10285</v>
      </c>
      <c r="G1732" s="328" t="s">
        <v>1687</v>
      </c>
      <c r="H1732" s="328" t="s">
        <v>1745</v>
      </c>
      <c r="I1732" s="328" t="s">
        <v>110</v>
      </c>
      <c r="J1732" s="328" t="s">
        <v>757</v>
      </c>
      <c r="K1732" s="328" t="s">
        <v>741</v>
      </c>
      <c r="L1732" s="329">
        <v>44043</v>
      </c>
      <c r="M1732" s="332">
        <v>0</v>
      </c>
    </row>
    <row r="1733" spans="1:13" hidden="1" x14ac:dyDescent="0.25">
      <c r="A1733" s="329">
        <v>44043</v>
      </c>
      <c r="B1733" s="328" t="s">
        <v>1689</v>
      </c>
      <c r="C1733" s="328" t="s">
        <v>1060</v>
      </c>
      <c r="D1733" s="330">
        <v>1</v>
      </c>
      <c r="E1733" s="331">
        <v>-5.5</v>
      </c>
      <c r="F1733" s="331">
        <v>10279.5</v>
      </c>
      <c r="G1733" s="328" t="s">
        <v>1690</v>
      </c>
      <c r="H1733" s="328" t="s">
        <v>1745</v>
      </c>
      <c r="I1733" s="328" t="s">
        <v>110</v>
      </c>
      <c r="J1733" s="328" t="s">
        <v>757</v>
      </c>
      <c r="K1733" s="328" t="s">
        <v>741</v>
      </c>
      <c r="L1733" s="329">
        <v>44043</v>
      </c>
      <c r="M1733" s="332">
        <v>0</v>
      </c>
    </row>
    <row r="1734" spans="1:13" hidden="1" x14ac:dyDescent="0.25">
      <c r="A1734" s="329">
        <v>44043</v>
      </c>
      <c r="B1734" s="328" t="s">
        <v>1689</v>
      </c>
      <c r="C1734" s="328" t="s">
        <v>1060</v>
      </c>
      <c r="D1734" s="330">
        <v>1</v>
      </c>
      <c r="E1734" s="331">
        <v>187</v>
      </c>
      <c r="F1734" s="331">
        <v>10466.5</v>
      </c>
      <c r="G1734" s="328" t="s">
        <v>1686</v>
      </c>
      <c r="H1734" s="328" t="s">
        <v>1745</v>
      </c>
      <c r="I1734" s="328" t="s">
        <v>110</v>
      </c>
      <c r="J1734" s="328" t="s">
        <v>757</v>
      </c>
      <c r="K1734" s="328" t="s">
        <v>741</v>
      </c>
      <c r="L1734" s="329">
        <v>44043</v>
      </c>
      <c r="M1734" s="332">
        <v>0</v>
      </c>
    </row>
    <row r="1735" spans="1:13" hidden="1" x14ac:dyDescent="0.25">
      <c r="A1735" s="329">
        <v>44043</v>
      </c>
      <c r="B1735" s="328" t="s">
        <v>1688</v>
      </c>
      <c r="C1735" s="328" t="s">
        <v>1060</v>
      </c>
      <c r="D1735" s="330">
        <v>1</v>
      </c>
      <c r="E1735" s="331">
        <v>-5.5</v>
      </c>
      <c r="F1735" s="331">
        <v>10461</v>
      </c>
      <c r="G1735" s="328" t="s">
        <v>1687</v>
      </c>
      <c r="H1735" s="328" t="s">
        <v>1745</v>
      </c>
      <c r="I1735" s="328" t="s">
        <v>110</v>
      </c>
      <c r="J1735" s="328" t="s">
        <v>757</v>
      </c>
      <c r="K1735" s="328" t="s">
        <v>741</v>
      </c>
      <c r="L1735" s="329">
        <v>44043</v>
      </c>
      <c r="M1735" s="332">
        <v>0</v>
      </c>
    </row>
    <row r="1736" spans="1:13" hidden="1" x14ac:dyDescent="0.25">
      <c r="A1736" s="329">
        <v>44043</v>
      </c>
      <c r="B1736" s="328" t="s">
        <v>1688</v>
      </c>
      <c r="C1736" s="328" t="s">
        <v>1060</v>
      </c>
      <c r="D1736" s="330">
        <v>1</v>
      </c>
      <c r="E1736" s="331">
        <v>-187</v>
      </c>
      <c r="F1736" s="331">
        <v>10274</v>
      </c>
      <c r="G1736" s="328" t="s">
        <v>1686</v>
      </c>
      <c r="H1736" s="328" t="s">
        <v>1745</v>
      </c>
      <c r="I1736" s="328" t="s">
        <v>110</v>
      </c>
      <c r="J1736" s="328" t="s">
        <v>757</v>
      </c>
      <c r="K1736" s="328" t="s">
        <v>741</v>
      </c>
      <c r="L1736" s="329">
        <v>44043</v>
      </c>
      <c r="M1736" s="332">
        <v>0</v>
      </c>
    </row>
    <row r="1737" spans="1:13" hidden="1" x14ac:dyDescent="0.25">
      <c r="A1737" s="329">
        <v>44043</v>
      </c>
      <c r="B1737" s="328" t="s">
        <v>1685</v>
      </c>
      <c r="C1737" s="328" t="s">
        <v>1060</v>
      </c>
      <c r="D1737" s="330">
        <v>2</v>
      </c>
      <c r="E1737" s="331">
        <v>-5.5</v>
      </c>
      <c r="F1737" s="331">
        <v>10268.5</v>
      </c>
      <c r="G1737" s="328" t="s">
        <v>1687</v>
      </c>
      <c r="H1737" s="328" t="s">
        <v>1745</v>
      </c>
      <c r="I1737" s="328" t="s">
        <v>110</v>
      </c>
      <c r="J1737" s="328" t="s">
        <v>757</v>
      </c>
      <c r="K1737" s="328" t="s">
        <v>741</v>
      </c>
      <c r="L1737" s="329">
        <v>44043</v>
      </c>
      <c r="M1737" s="332">
        <v>0</v>
      </c>
    </row>
    <row r="1738" spans="1:13" hidden="1" x14ac:dyDescent="0.25">
      <c r="A1738" s="329">
        <v>44043</v>
      </c>
      <c r="B1738" s="328" t="s">
        <v>1685</v>
      </c>
      <c r="C1738" s="328" t="s">
        <v>1060</v>
      </c>
      <c r="D1738" s="330">
        <v>2</v>
      </c>
      <c r="E1738" s="331">
        <v>-187</v>
      </c>
      <c r="F1738" s="331">
        <v>10081.5</v>
      </c>
      <c r="G1738" s="328" t="s">
        <v>1686</v>
      </c>
      <c r="H1738" s="328" t="s">
        <v>1745</v>
      </c>
      <c r="I1738" s="328" t="s">
        <v>110</v>
      </c>
      <c r="J1738" s="328" t="s">
        <v>757</v>
      </c>
      <c r="K1738" s="328" t="s">
        <v>741</v>
      </c>
      <c r="L1738" s="329">
        <v>44043</v>
      </c>
      <c r="M1738" s="332">
        <v>0</v>
      </c>
    </row>
    <row r="1739" spans="1:13" hidden="1" x14ac:dyDescent="0.25">
      <c r="A1739" s="329">
        <v>44043</v>
      </c>
      <c r="B1739" s="328" t="s">
        <v>1693</v>
      </c>
      <c r="C1739" s="328" t="s">
        <v>936</v>
      </c>
      <c r="D1739" s="330">
        <v>2</v>
      </c>
      <c r="E1739" s="331">
        <v>-5.5</v>
      </c>
      <c r="F1739" s="331">
        <v>10076</v>
      </c>
      <c r="G1739" s="328" t="s">
        <v>1694</v>
      </c>
      <c r="H1739" s="328" t="s">
        <v>1745</v>
      </c>
      <c r="I1739" s="328" t="s">
        <v>110</v>
      </c>
      <c r="J1739" s="328" t="s">
        <v>757</v>
      </c>
      <c r="K1739" s="328" t="s">
        <v>770</v>
      </c>
      <c r="L1739" s="329">
        <v>44043</v>
      </c>
      <c r="M1739" s="332">
        <v>0</v>
      </c>
    </row>
    <row r="1740" spans="1:13" hidden="1" x14ac:dyDescent="0.25">
      <c r="A1740" s="329">
        <v>44043</v>
      </c>
      <c r="B1740" s="328" t="s">
        <v>1691</v>
      </c>
      <c r="C1740" s="328" t="s">
        <v>769</v>
      </c>
      <c r="D1740" s="330">
        <v>2</v>
      </c>
      <c r="E1740" s="331">
        <v>187</v>
      </c>
      <c r="F1740" s="331">
        <v>10263</v>
      </c>
      <c r="G1740" s="328" t="s">
        <v>1692</v>
      </c>
      <c r="H1740" s="328" t="s">
        <v>1745</v>
      </c>
      <c r="I1740" s="328" t="s">
        <v>110</v>
      </c>
      <c r="J1740" s="328" t="s">
        <v>757</v>
      </c>
      <c r="K1740" s="328" t="s">
        <v>770</v>
      </c>
      <c r="L1740" s="329">
        <v>44043</v>
      </c>
      <c r="M1740" s="332">
        <v>0</v>
      </c>
    </row>
    <row r="1741" spans="1:13" hidden="1" x14ac:dyDescent="0.25">
      <c r="A1741" s="329">
        <v>44043</v>
      </c>
      <c r="B1741" s="328" t="s">
        <v>1689</v>
      </c>
      <c r="C1741" s="328" t="s">
        <v>1060</v>
      </c>
      <c r="D1741" s="330">
        <v>2</v>
      </c>
      <c r="E1741" s="331">
        <v>5.5</v>
      </c>
      <c r="F1741" s="331">
        <v>10268.5</v>
      </c>
      <c r="G1741" s="328" t="s">
        <v>1690</v>
      </c>
      <c r="H1741" s="328" t="s">
        <v>1745</v>
      </c>
      <c r="I1741" s="328" t="s">
        <v>110</v>
      </c>
      <c r="J1741" s="328" t="s">
        <v>757</v>
      </c>
      <c r="K1741" s="328" t="s">
        <v>741</v>
      </c>
      <c r="L1741" s="329">
        <v>44043</v>
      </c>
      <c r="M1741" s="332">
        <v>0</v>
      </c>
    </row>
    <row r="1742" spans="1:13" hidden="1" x14ac:dyDescent="0.25">
      <c r="A1742" s="329">
        <v>44043</v>
      </c>
      <c r="B1742" s="328" t="s">
        <v>1689</v>
      </c>
      <c r="C1742" s="328" t="s">
        <v>1060</v>
      </c>
      <c r="D1742" s="330">
        <v>2</v>
      </c>
      <c r="E1742" s="331">
        <v>-187</v>
      </c>
      <c r="F1742" s="331">
        <v>10081.5</v>
      </c>
      <c r="G1742" s="328" t="s">
        <v>1686</v>
      </c>
      <c r="H1742" s="328" t="s">
        <v>1745</v>
      </c>
      <c r="I1742" s="328" t="s">
        <v>110</v>
      </c>
      <c r="J1742" s="328" t="s">
        <v>757</v>
      </c>
      <c r="K1742" s="328" t="s">
        <v>741</v>
      </c>
      <c r="L1742" s="329">
        <v>44043</v>
      </c>
      <c r="M1742" s="332">
        <v>0</v>
      </c>
    </row>
    <row r="1743" spans="1:13" hidden="1" x14ac:dyDescent="0.25">
      <c r="A1743" s="329">
        <v>44043</v>
      </c>
      <c r="B1743" s="328" t="s">
        <v>1688</v>
      </c>
      <c r="C1743" s="328" t="s">
        <v>1060</v>
      </c>
      <c r="D1743" s="330">
        <v>2</v>
      </c>
      <c r="E1743" s="331">
        <v>5.5</v>
      </c>
      <c r="F1743" s="331">
        <v>10087</v>
      </c>
      <c r="G1743" s="328" t="s">
        <v>1687</v>
      </c>
      <c r="H1743" s="328" t="s">
        <v>1745</v>
      </c>
      <c r="I1743" s="328" t="s">
        <v>110</v>
      </c>
      <c r="J1743" s="328" t="s">
        <v>757</v>
      </c>
      <c r="K1743" s="328" t="s">
        <v>741</v>
      </c>
      <c r="L1743" s="329">
        <v>44043</v>
      </c>
      <c r="M1743" s="332">
        <v>0</v>
      </c>
    </row>
    <row r="1744" spans="1:13" hidden="1" x14ac:dyDescent="0.25">
      <c r="A1744" s="329">
        <v>44043</v>
      </c>
      <c r="B1744" s="328" t="s">
        <v>1688</v>
      </c>
      <c r="C1744" s="328" t="s">
        <v>1060</v>
      </c>
      <c r="D1744" s="330">
        <v>2</v>
      </c>
      <c r="E1744" s="331">
        <v>187</v>
      </c>
      <c r="F1744" s="331">
        <v>10274</v>
      </c>
      <c r="G1744" s="328" t="s">
        <v>1686</v>
      </c>
      <c r="H1744" s="328" t="s">
        <v>1745</v>
      </c>
      <c r="I1744" s="328" t="s">
        <v>110</v>
      </c>
      <c r="J1744" s="328" t="s">
        <v>757</v>
      </c>
      <c r="K1744" s="328" t="s">
        <v>741</v>
      </c>
      <c r="L1744" s="329">
        <v>44043</v>
      </c>
      <c r="M1744" s="332">
        <v>0</v>
      </c>
    </row>
    <row r="1745" spans="1:13" hidden="1" x14ac:dyDescent="0.25">
      <c r="A1745" s="329">
        <v>44074</v>
      </c>
      <c r="B1745" s="328" t="s">
        <v>1695</v>
      </c>
      <c r="C1745" s="328" t="s">
        <v>1060</v>
      </c>
      <c r="D1745" s="330">
        <v>2</v>
      </c>
      <c r="E1745" s="331">
        <v>165</v>
      </c>
      <c r="F1745" s="331">
        <v>10439</v>
      </c>
      <c r="G1745" s="328" t="s">
        <v>1696</v>
      </c>
      <c r="H1745" s="328" t="s">
        <v>1745</v>
      </c>
      <c r="I1745" s="328" t="s">
        <v>110</v>
      </c>
      <c r="J1745" s="328" t="s">
        <v>757</v>
      </c>
      <c r="K1745" s="328" t="s">
        <v>741</v>
      </c>
      <c r="L1745" s="329">
        <v>44074</v>
      </c>
      <c r="M1745" s="332">
        <v>0</v>
      </c>
    </row>
    <row r="1746" spans="1:13" hidden="1" x14ac:dyDescent="0.25">
      <c r="A1746" s="329">
        <v>44074</v>
      </c>
      <c r="B1746" s="328" t="s">
        <v>1695</v>
      </c>
      <c r="C1746" s="328" t="s">
        <v>1060</v>
      </c>
      <c r="D1746" s="330">
        <v>3</v>
      </c>
      <c r="E1746" s="331">
        <v>-165</v>
      </c>
      <c r="F1746" s="331">
        <v>10274</v>
      </c>
      <c r="G1746" s="328" t="s">
        <v>1696</v>
      </c>
      <c r="H1746" s="328" t="s">
        <v>1745</v>
      </c>
      <c r="I1746" s="328" t="s">
        <v>110</v>
      </c>
      <c r="J1746" s="328" t="s">
        <v>757</v>
      </c>
      <c r="K1746" s="328" t="s">
        <v>741</v>
      </c>
      <c r="L1746" s="329">
        <v>44074</v>
      </c>
      <c r="M1746" s="332">
        <v>0</v>
      </c>
    </row>
    <row r="1747" spans="1:13" hidden="1" x14ac:dyDescent="0.25">
      <c r="A1747" s="329">
        <v>44074</v>
      </c>
      <c r="B1747" s="328" t="s">
        <v>1697</v>
      </c>
      <c r="C1747" s="328" t="s">
        <v>769</v>
      </c>
      <c r="D1747" s="330">
        <v>3</v>
      </c>
      <c r="E1747" s="331">
        <v>165</v>
      </c>
      <c r="F1747" s="331">
        <v>10439</v>
      </c>
      <c r="G1747" s="328" t="s">
        <v>1698</v>
      </c>
      <c r="H1747" s="328" t="s">
        <v>1745</v>
      </c>
      <c r="I1747" s="328" t="s">
        <v>110</v>
      </c>
      <c r="J1747" s="328" t="s">
        <v>757</v>
      </c>
      <c r="K1747" s="328" t="s">
        <v>770</v>
      </c>
      <c r="L1747" s="329">
        <v>44074</v>
      </c>
      <c r="M1747" s="332">
        <v>0</v>
      </c>
    </row>
    <row r="1748" spans="1:13" hidden="1" x14ac:dyDescent="0.25">
      <c r="A1748" s="329">
        <v>44104</v>
      </c>
      <c r="B1748" s="328" t="s">
        <v>1699</v>
      </c>
      <c r="C1748" s="328" t="s">
        <v>1060</v>
      </c>
      <c r="D1748" s="330">
        <v>3</v>
      </c>
      <c r="E1748" s="331">
        <v>253</v>
      </c>
      <c r="F1748" s="331">
        <v>10692</v>
      </c>
      <c r="G1748" s="328" t="s">
        <v>1700</v>
      </c>
      <c r="H1748" s="328" t="s">
        <v>1745</v>
      </c>
      <c r="I1748" s="328" t="s">
        <v>110</v>
      </c>
      <c r="J1748" s="328" t="s">
        <v>757</v>
      </c>
      <c r="K1748" s="328" t="s">
        <v>741</v>
      </c>
      <c r="L1748" s="329">
        <v>44104</v>
      </c>
      <c r="M1748" s="332">
        <v>0</v>
      </c>
    </row>
    <row r="1749" spans="1:13" hidden="1" x14ac:dyDescent="0.25">
      <c r="A1749" s="329">
        <v>44104</v>
      </c>
      <c r="B1749" s="328" t="s">
        <v>1699</v>
      </c>
      <c r="C1749" s="328" t="s">
        <v>1060</v>
      </c>
      <c r="D1749" s="330">
        <v>4</v>
      </c>
      <c r="E1749" s="331">
        <v>-253</v>
      </c>
      <c r="F1749" s="331">
        <v>10439</v>
      </c>
      <c r="G1749" s="328" t="s">
        <v>1700</v>
      </c>
      <c r="H1749" s="328" t="s">
        <v>1745</v>
      </c>
      <c r="I1749" s="328" t="s">
        <v>110</v>
      </c>
      <c r="J1749" s="328" t="s">
        <v>757</v>
      </c>
      <c r="K1749" s="328" t="s">
        <v>741</v>
      </c>
      <c r="L1749" s="329">
        <v>44104</v>
      </c>
      <c r="M1749" s="332">
        <v>0</v>
      </c>
    </row>
    <row r="1750" spans="1:13" hidden="1" x14ac:dyDescent="0.25">
      <c r="A1750" s="329">
        <v>44105</v>
      </c>
      <c r="B1750" s="328" t="s">
        <v>1701</v>
      </c>
      <c r="C1750" s="328" t="s">
        <v>769</v>
      </c>
      <c r="D1750" s="330">
        <v>4</v>
      </c>
      <c r="E1750" s="331">
        <v>253</v>
      </c>
      <c r="F1750" s="331">
        <v>10692</v>
      </c>
      <c r="G1750" s="328" t="s">
        <v>1702</v>
      </c>
      <c r="H1750" s="328" t="s">
        <v>1745</v>
      </c>
      <c r="I1750" s="328" t="s">
        <v>110</v>
      </c>
      <c r="J1750" s="328" t="s">
        <v>757</v>
      </c>
      <c r="K1750" s="328" t="s">
        <v>770</v>
      </c>
      <c r="L1750" s="329">
        <v>44105</v>
      </c>
      <c r="M1750" s="332">
        <v>0</v>
      </c>
    </row>
    <row r="1751" spans="1:13" hidden="1" x14ac:dyDescent="0.25">
      <c r="A1751" s="329">
        <v>44135</v>
      </c>
      <c r="B1751" s="328" t="s">
        <v>1703</v>
      </c>
      <c r="C1751" s="328" t="s">
        <v>1060</v>
      </c>
      <c r="D1751" s="330">
        <v>4</v>
      </c>
      <c r="E1751" s="331">
        <v>121</v>
      </c>
      <c r="F1751" s="331">
        <v>10813</v>
      </c>
      <c r="G1751" s="328" t="s">
        <v>1704</v>
      </c>
      <c r="H1751" s="328" t="s">
        <v>1745</v>
      </c>
      <c r="I1751" s="328" t="s">
        <v>110</v>
      </c>
      <c r="J1751" s="328" t="s">
        <v>757</v>
      </c>
      <c r="K1751" s="328" t="s">
        <v>741</v>
      </c>
      <c r="L1751" s="329">
        <v>44135</v>
      </c>
      <c r="M1751" s="332">
        <v>0</v>
      </c>
    </row>
    <row r="1752" spans="1:13" hidden="1" x14ac:dyDescent="0.25">
      <c r="A1752" s="329">
        <v>44135</v>
      </c>
      <c r="B1752" s="328" t="s">
        <v>1703</v>
      </c>
      <c r="C1752" s="328" t="s">
        <v>1060</v>
      </c>
      <c r="D1752" s="330">
        <v>5</v>
      </c>
      <c r="E1752" s="331">
        <v>-121</v>
      </c>
      <c r="F1752" s="331">
        <v>10692</v>
      </c>
      <c r="G1752" s="328" t="s">
        <v>1704</v>
      </c>
      <c r="H1752" s="328" t="s">
        <v>1745</v>
      </c>
      <c r="I1752" s="328" t="s">
        <v>110</v>
      </c>
      <c r="J1752" s="328" t="s">
        <v>757</v>
      </c>
      <c r="K1752" s="328" t="s">
        <v>741</v>
      </c>
      <c r="L1752" s="329">
        <v>44135</v>
      </c>
      <c r="M1752" s="332">
        <v>0</v>
      </c>
    </row>
    <row r="1753" spans="1:13" hidden="1" x14ac:dyDescent="0.25">
      <c r="A1753" s="329">
        <v>44135</v>
      </c>
      <c r="B1753" s="328" t="s">
        <v>1705</v>
      </c>
      <c r="C1753" s="328" t="s">
        <v>769</v>
      </c>
      <c r="D1753" s="330">
        <v>5</v>
      </c>
      <c r="E1753" s="331">
        <v>121</v>
      </c>
      <c r="F1753" s="331">
        <v>10813</v>
      </c>
      <c r="G1753" s="328" t="s">
        <v>1706</v>
      </c>
      <c r="H1753" s="328" t="s">
        <v>1745</v>
      </c>
      <c r="I1753" s="328" t="s">
        <v>110</v>
      </c>
      <c r="J1753" s="328" t="s">
        <v>757</v>
      </c>
      <c r="K1753" s="328" t="s">
        <v>770</v>
      </c>
      <c r="L1753" s="329">
        <v>44135</v>
      </c>
      <c r="M1753" s="332">
        <v>0</v>
      </c>
    </row>
    <row r="1754" spans="1:13" hidden="1" x14ac:dyDescent="0.25">
      <c r="A1754" s="329">
        <v>44165</v>
      </c>
      <c r="B1754" s="328" t="s">
        <v>1707</v>
      </c>
      <c r="C1754" s="328" t="s">
        <v>1060</v>
      </c>
      <c r="D1754" s="330">
        <v>5</v>
      </c>
      <c r="E1754" s="331">
        <v>121</v>
      </c>
      <c r="F1754" s="331">
        <v>10934</v>
      </c>
      <c r="G1754" s="328" t="s">
        <v>1708</v>
      </c>
      <c r="H1754" s="328" t="s">
        <v>1745</v>
      </c>
      <c r="I1754" s="328" t="s">
        <v>110</v>
      </c>
      <c r="J1754" s="328" t="s">
        <v>757</v>
      </c>
      <c r="K1754" s="328" t="s">
        <v>741</v>
      </c>
      <c r="L1754" s="329">
        <v>44165</v>
      </c>
      <c r="M1754" s="332">
        <v>0</v>
      </c>
    </row>
    <row r="1755" spans="1:13" hidden="1" x14ac:dyDescent="0.25">
      <c r="A1755" s="329">
        <v>44165</v>
      </c>
      <c r="B1755" s="328" t="s">
        <v>1707</v>
      </c>
      <c r="C1755" s="328" t="s">
        <v>1060</v>
      </c>
      <c r="D1755" s="330">
        <v>6</v>
      </c>
      <c r="E1755" s="331">
        <v>-121</v>
      </c>
      <c r="F1755" s="331">
        <v>10813</v>
      </c>
      <c r="G1755" s="328" t="s">
        <v>1708</v>
      </c>
      <c r="H1755" s="328" t="s">
        <v>1745</v>
      </c>
      <c r="I1755" s="328" t="s">
        <v>110</v>
      </c>
      <c r="J1755" s="328" t="s">
        <v>757</v>
      </c>
      <c r="K1755" s="328" t="s">
        <v>741</v>
      </c>
      <c r="L1755" s="329">
        <v>44165</v>
      </c>
      <c r="M1755" s="332">
        <v>0</v>
      </c>
    </row>
    <row r="1756" spans="1:13" hidden="1" x14ac:dyDescent="0.25">
      <c r="A1756" s="329">
        <v>44165</v>
      </c>
      <c r="B1756" s="328" t="s">
        <v>1709</v>
      </c>
      <c r="C1756" s="328" t="s">
        <v>769</v>
      </c>
      <c r="D1756" s="330">
        <v>6</v>
      </c>
      <c r="E1756" s="331">
        <v>121</v>
      </c>
      <c r="F1756" s="331">
        <v>10934</v>
      </c>
      <c r="G1756" s="328" t="s">
        <v>1710</v>
      </c>
      <c r="H1756" s="328" t="s">
        <v>1745</v>
      </c>
      <c r="I1756" s="328" t="s">
        <v>110</v>
      </c>
      <c r="J1756" s="328" t="s">
        <v>757</v>
      </c>
      <c r="K1756" s="328" t="s">
        <v>770</v>
      </c>
      <c r="L1756" s="329">
        <v>44165</v>
      </c>
      <c r="M1756" s="332">
        <v>0</v>
      </c>
    </row>
    <row r="1757" spans="1:13" hidden="1" x14ac:dyDescent="0.25">
      <c r="A1757" s="329">
        <v>44196</v>
      </c>
      <c r="B1757" s="328" t="s">
        <v>1711</v>
      </c>
      <c r="C1757" s="328" t="s">
        <v>1060</v>
      </c>
      <c r="D1757" s="330">
        <v>6</v>
      </c>
      <c r="E1757" s="331">
        <v>93.5</v>
      </c>
      <c r="F1757" s="331">
        <v>11027.5</v>
      </c>
      <c r="G1757" s="328" t="s">
        <v>1712</v>
      </c>
      <c r="H1757" s="328" t="s">
        <v>1745</v>
      </c>
      <c r="I1757" s="328" t="s">
        <v>110</v>
      </c>
      <c r="J1757" s="328" t="s">
        <v>757</v>
      </c>
      <c r="K1757" s="328" t="s">
        <v>741</v>
      </c>
      <c r="L1757" s="329">
        <v>44196</v>
      </c>
      <c r="M1757" s="332">
        <v>0</v>
      </c>
    </row>
    <row r="1758" spans="1:13" hidden="1" x14ac:dyDescent="0.25">
      <c r="A1758" s="329">
        <v>44196</v>
      </c>
      <c r="B1758" s="328" t="s">
        <v>1713</v>
      </c>
      <c r="C1758" s="328" t="s">
        <v>769</v>
      </c>
      <c r="D1758" s="330">
        <v>7</v>
      </c>
      <c r="E1758" s="331">
        <v>93.5</v>
      </c>
      <c r="F1758" s="331">
        <v>11121</v>
      </c>
      <c r="G1758" s="328" t="s">
        <v>1714</v>
      </c>
      <c r="H1758" s="328" t="s">
        <v>1745</v>
      </c>
      <c r="I1758" s="328" t="s">
        <v>110</v>
      </c>
      <c r="J1758" s="328" t="s">
        <v>757</v>
      </c>
      <c r="K1758" s="328" t="s">
        <v>770</v>
      </c>
      <c r="L1758" s="329">
        <v>44196</v>
      </c>
      <c r="M1758" s="332">
        <v>0</v>
      </c>
    </row>
    <row r="1759" spans="1:13" hidden="1" x14ac:dyDescent="0.25">
      <c r="A1759" s="329">
        <v>44196</v>
      </c>
      <c r="B1759" s="328" t="s">
        <v>1711</v>
      </c>
      <c r="C1759" s="328" t="s">
        <v>1060</v>
      </c>
      <c r="D1759" s="330">
        <v>7</v>
      </c>
      <c r="E1759" s="331">
        <v>-93.5</v>
      </c>
      <c r="F1759" s="331">
        <v>11027.5</v>
      </c>
      <c r="G1759" s="328" t="s">
        <v>1712</v>
      </c>
      <c r="H1759" s="328" t="s">
        <v>1745</v>
      </c>
      <c r="I1759" s="328" t="s">
        <v>110</v>
      </c>
      <c r="J1759" s="328" t="s">
        <v>757</v>
      </c>
      <c r="K1759" s="328" t="s">
        <v>741</v>
      </c>
      <c r="L1759" s="329">
        <v>44196</v>
      </c>
      <c r="M1759" s="332">
        <v>0</v>
      </c>
    </row>
    <row r="1760" spans="1:13" hidden="1" x14ac:dyDescent="0.25">
      <c r="A1760" s="329">
        <v>44227</v>
      </c>
      <c r="B1760" s="328" t="s">
        <v>1715</v>
      </c>
      <c r="C1760" s="328" t="s">
        <v>1060</v>
      </c>
      <c r="D1760" s="330">
        <v>7</v>
      </c>
      <c r="E1760" s="331">
        <v>93.5</v>
      </c>
      <c r="F1760" s="331">
        <v>11121</v>
      </c>
      <c r="G1760" s="328" t="s">
        <v>1716</v>
      </c>
      <c r="H1760" s="328" t="s">
        <v>1745</v>
      </c>
      <c r="I1760" s="328" t="s">
        <v>110</v>
      </c>
      <c r="J1760" s="328" t="s">
        <v>757</v>
      </c>
      <c r="K1760" s="328" t="s">
        <v>741</v>
      </c>
      <c r="L1760" s="329">
        <v>44227</v>
      </c>
      <c r="M1760" s="332">
        <v>0</v>
      </c>
    </row>
    <row r="1761" spans="1:13" hidden="1" x14ac:dyDescent="0.25">
      <c r="A1761" s="329">
        <v>44227</v>
      </c>
      <c r="B1761" s="328" t="s">
        <v>1717</v>
      </c>
      <c r="C1761" s="328" t="s">
        <v>769</v>
      </c>
      <c r="D1761" s="330">
        <v>8</v>
      </c>
      <c r="E1761" s="331">
        <v>93.5</v>
      </c>
      <c r="F1761" s="331">
        <v>11214.5</v>
      </c>
      <c r="G1761" s="328" t="s">
        <v>1718</v>
      </c>
      <c r="H1761" s="328" t="s">
        <v>1745</v>
      </c>
      <c r="I1761" s="328" t="s">
        <v>110</v>
      </c>
      <c r="J1761" s="328" t="s">
        <v>757</v>
      </c>
      <c r="K1761" s="328" t="s">
        <v>770</v>
      </c>
      <c r="L1761" s="329">
        <v>44227</v>
      </c>
      <c r="M1761" s="332">
        <v>0</v>
      </c>
    </row>
    <row r="1762" spans="1:13" hidden="1" x14ac:dyDescent="0.25">
      <c r="A1762" s="329">
        <v>44227</v>
      </c>
      <c r="B1762" s="328" t="s">
        <v>1715</v>
      </c>
      <c r="C1762" s="328" t="s">
        <v>1060</v>
      </c>
      <c r="D1762" s="330">
        <v>8</v>
      </c>
      <c r="E1762" s="331">
        <v>-93.5</v>
      </c>
      <c r="F1762" s="331">
        <v>11121</v>
      </c>
      <c r="G1762" s="328" t="s">
        <v>1716</v>
      </c>
      <c r="H1762" s="328" t="s">
        <v>1745</v>
      </c>
      <c r="I1762" s="328" t="s">
        <v>110</v>
      </c>
      <c r="J1762" s="328" t="s">
        <v>757</v>
      </c>
      <c r="K1762" s="328" t="s">
        <v>741</v>
      </c>
      <c r="L1762" s="329">
        <v>44227</v>
      </c>
      <c r="M1762" s="332">
        <v>0</v>
      </c>
    </row>
    <row r="1763" spans="1:13" hidden="1" x14ac:dyDescent="0.25">
      <c r="A1763" s="329">
        <v>44255</v>
      </c>
      <c r="B1763" s="328" t="s">
        <v>1720</v>
      </c>
      <c r="C1763" s="328" t="s">
        <v>1060</v>
      </c>
      <c r="D1763" s="330">
        <v>8</v>
      </c>
      <c r="E1763" s="331">
        <v>77</v>
      </c>
      <c r="F1763" s="331">
        <v>11198</v>
      </c>
      <c r="G1763" s="328" t="s">
        <v>1721</v>
      </c>
      <c r="H1763" s="328" t="s">
        <v>1745</v>
      </c>
      <c r="I1763" s="328" t="s">
        <v>110</v>
      </c>
      <c r="J1763" s="328" t="s">
        <v>757</v>
      </c>
      <c r="K1763" s="328" t="s">
        <v>741</v>
      </c>
      <c r="L1763" s="329">
        <v>44255</v>
      </c>
      <c r="M1763" s="332">
        <v>0</v>
      </c>
    </row>
    <row r="1764" spans="1:13" hidden="1" x14ac:dyDescent="0.25">
      <c r="A1764" s="329">
        <v>44255</v>
      </c>
      <c r="B1764" s="328" t="s">
        <v>1722</v>
      </c>
      <c r="C1764" s="328" t="s">
        <v>769</v>
      </c>
      <c r="D1764" s="330">
        <v>9</v>
      </c>
      <c r="E1764" s="331">
        <v>82.5</v>
      </c>
      <c r="F1764" s="331">
        <v>11280.5</v>
      </c>
      <c r="G1764" s="328" t="s">
        <v>1723</v>
      </c>
      <c r="H1764" s="328" t="s">
        <v>1745</v>
      </c>
      <c r="I1764" s="328" t="s">
        <v>110</v>
      </c>
      <c r="J1764" s="328" t="s">
        <v>757</v>
      </c>
      <c r="K1764" s="328" t="s">
        <v>770</v>
      </c>
      <c r="L1764" s="329">
        <v>44255</v>
      </c>
      <c r="M1764" s="332">
        <v>0</v>
      </c>
    </row>
    <row r="1765" spans="1:13" hidden="1" x14ac:dyDescent="0.25">
      <c r="A1765" s="329">
        <v>44255</v>
      </c>
      <c r="B1765" s="328" t="s">
        <v>1720</v>
      </c>
      <c r="C1765" s="328" t="s">
        <v>1060</v>
      </c>
      <c r="D1765" s="330">
        <v>9</v>
      </c>
      <c r="E1765" s="331">
        <v>-77</v>
      </c>
      <c r="F1765" s="331">
        <v>11203.5</v>
      </c>
      <c r="G1765" s="328" t="s">
        <v>1721</v>
      </c>
      <c r="H1765" s="328" t="s">
        <v>1745</v>
      </c>
      <c r="I1765" s="328" t="s">
        <v>110</v>
      </c>
      <c r="J1765" s="328" t="s">
        <v>757</v>
      </c>
      <c r="K1765" s="328" t="s">
        <v>741</v>
      </c>
      <c r="L1765" s="329">
        <v>44255</v>
      </c>
      <c r="M1765" s="332">
        <v>0</v>
      </c>
    </row>
    <row r="1766" spans="1:13" hidden="1" x14ac:dyDescent="0.25">
      <c r="A1766" s="329">
        <v>44286</v>
      </c>
      <c r="B1766" s="328" t="s">
        <v>1724</v>
      </c>
      <c r="C1766" s="328" t="s">
        <v>1060</v>
      </c>
      <c r="D1766" s="330">
        <v>9</v>
      </c>
      <c r="E1766" s="331">
        <v>104.5</v>
      </c>
      <c r="F1766" s="331">
        <v>11308</v>
      </c>
      <c r="G1766" s="328" t="s">
        <v>1725</v>
      </c>
      <c r="H1766" s="328" t="s">
        <v>1745</v>
      </c>
      <c r="I1766" s="328" t="s">
        <v>110</v>
      </c>
      <c r="J1766" s="328" t="s">
        <v>757</v>
      </c>
      <c r="K1766" s="328" t="s">
        <v>741</v>
      </c>
      <c r="L1766" s="329">
        <v>44286</v>
      </c>
      <c r="M1766" s="332">
        <v>0</v>
      </c>
    </row>
    <row r="1767" spans="1:13" hidden="1" x14ac:dyDescent="0.25">
      <c r="A1767" s="329">
        <v>44286</v>
      </c>
      <c r="B1767" s="328" t="s">
        <v>1724</v>
      </c>
      <c r="C1767" s="328" t="s">
        <v>1060</v>
      </c>
      <c r="D1767" s="330">
        <v>10</v>
      </c>
      <c r="E1767" s="331">
        <v>-104.5</v>
      </c>
      <c r="F1767" s="331">
        <v>11203.5</v>
      </c>
      <c r="G1767" s="328" t="s">
        <v>1725</v>
      </c>
      <c r="H1767" s="328" t="s">
        <v>1745</v>
      </c>
      <c r="I1767" s="328" t="s">
        <v>110</v>
      </c>
      <c r="J1767" s="328" t="s">
        <v>757</v>
      </c>
      <c r="K1767" s="328" t="s">
        <v>741</v>
      </c>
      <c r="L1767" s="329">
        <v>44286</v>
      </c>
      <c r="M1767" s="332">
        <v>0</v>
      </c>
    </row>
    <row r="1768" spans="1:13" hidden="1" x14ac:dyDescent="0.25">
      <c r="A1768" s="329">
        <v>44286</v>
      </c>
      <c r="B1768" s="328" t="s">
        <v>1726</v>
      </c>
      <c r="C1768" s="328" t="s">
        <v>769</v>
      </c>
      <c r="D1768" s="330">
        <v>10</v>
      </c>
      <c r="E1768" s="331">
        <v>104.5</v>
      </c>
      <c r="F1768" s="331">
        <v>11308</v>
      </c>
      <c r="G1768" s="328" t="s">
        <v>1727</v>
      </c>
      <c r="H1768" s="328" t="s">
        <v>1745</v>
      </c>
      <c r="I1768" s="328" t="s">
        <v>110</v>
      </c>
      <c r="J1768" s="328" t="s">
        <v>757</v>
      </c>
      <c r="K1768" s="328" t="s">
        <v>770</v>
      </c>
      <c r="L1768" s="329">
        <v>44286</v>
      </c>
      <c r="M1768" s="332">
        <v>0</v>
      </c>
    </row>
    <row r="1769" spans="1:13" hidden="1" x14ac:dyDescent="0.25">
      <c r="A1769" s="329">
        <v>44012</v>
      </c>
      <c r="B1769" s="328" t="s">
        <v>1681</v>
      </c>
      <c r="C1769" s="328" t="s">
        <v>1059</v>
      </c>
      <c r="D1769" s="330">
        <v>1</v>
      </c>
      <c r="E1769" s="331">
        <v>-33</v>
      </c>
      <c r="F1769" s="331">
        <v>11275</v>
      </c>
      <c r="G1769" s="328" t="s">
        <v>1682</v>
      </c>
      <c r="H1769" s="328" t="s">
        <v>1746</v>
      </c>
      <c r="I1769" s="328" t="s">
        <v>110</v>
      </c>
      <c r="J1769" s="328" t="s">
        <v>757</v>
      </c>
      <c r="K1769" s="328" t="s">
        <v>741</v>
      </c>
      <c r="L1769" s="329">
        <v>44012</v>
      </c>
      <c r="M1769" s="332">
        <v>0</v>
      </c>
    </row>
    <row r="1770" spans="1:13" hidden="1" x14ac:dyDescent="0.25">
      <c r="A1770" s="329">
        <v>44012</v>
      </c>
      <c r="B1770" s="328" t="s">
        <v>1678</v>
      </c>
      <c r="C1770" s="328" t="s">
        <v>769</v>
      </c>
      <c r="D1770" s="330">
        <v>1</v>
      </c>
      <c r="E1770" s="331">
        <v>33</v>
      </c>
      <c r="F1770" s="331">
        <v>11308</v>
      </c>
      <c r="G1770" s="328" t="s">
        <v>1679</v>
      </c>
      <c r="H1770" s="328" t="s">
        <v>1746</v>
      </c>
      <c r="I1770" s="328" t="s">
        <v>110</v>
      </c>
      <c r="J1770" s="328" t="s">
        <v>757</v>
      </c>
      <c r="K1770" s="328" t="s">
        <v>770</v>
      </c>
      <c r="L1770" s="329">
        <v>44012</v>
      </c>
      <c r="M1770" s="332">
        <v>0</v>
      </c>
    </row>
    <row r="1771" spans="1:13" hidden="1" x14ac:dyDescent="0.25">
      <c r="A1771" s="329">
        <v>44043</v>
      </c>
      <c r="B1771" s="328" t="s">
        <v>1685</v>
      </c>
      <c r="C1771" s="328" t="s">
        <v>1060</v>
      </c>
      <c r="D1771" s="330">
        <v>1</v>
      </c>
      <c r="E1771" s="331">
        <v>33</v>
      </c>
      <c r="F1771" s="331">
        <v>11341</v>
      </c>
      <c r="G1771" s="328" t="s">
        <v>1686</v>
      </c>
      <c r="H1771" s="328" t="s">
        <v>1746</v>
      </c>
      <c r="I1771" s="328" t="s">
        <v>110</v>
      </c>
      <c r="J1771" s="328" t="s">
        <v>757</v>
      </c>
      <c r="K1771" s="328" t="s">
        <v>741</v>
      </c>
      <c r="L1771" s="329">
        <v>44043</v>
      </c>
      <c r="M1771" s="332">
        <v>0</v>
      </c>
    </row>
    <row r="1772" spans="1:13" hidden="1" x14ac:dyDescent="0.25">
      <c r="A1772" s="329">
        <v>44043</v>
      </c>
      <c r="B1772" s="328" t="s">
        <v>1688</v>
      </c>
      <c r="C1772" s="328" t="s">
        <v>1060</v>
      </c>
      <c r="D1772" s="330">
        <v>1</v>
      </c>
      <c r="E1772" s="331">
        <v>-33</v>
      </c>
      <c r="F1772" s="331">
        <v>11308</v>
      </c>
      <c r="G1772" s="328" t="s">
        <v>1686</v>
      </c>
      <c r="H1772" s="328" t="s">
        <v>1746</v>
      </c>
      <c r="I1772" s="328" t="s">
        <v>110</v>
      </c>
      <c r="J1772" s="328" t="s">
        <v>757</v>
      </c>
      <c r="K1772" s="328" t="s">
        <v>741</v>
      </c>
      <c r="L1772" s="329">
        <v>44043</v>
      </c>
      <c r="M1772" s="332">
        <v>0</v>
      </c>
    </row>
    <row r="1773" spans="1:13" hidden="1" x14ac:dyDescent="0.25">
      <c r="A1773" s="329">
        <v>44043</v>
      </c>
      <c r="B1773" s="328" t="s">
        <v>1689</v>
      </c>
      <c r="C1773" s="328" t="s">
        <v>1060</v>
      </c>
      <c r="D1773" s="330">
        <v>1</v>
      </c>
      <c r="E1773" s="331">
        <v>33</v>
      </c>
      <c r="F1773" s="331">
        <v>11341</v>
      </c>
      <c r="G1773" s="328" t="s">
        <v>1686</v>
      </c>
      <c r="H1773" s="328" t="s">
        <v>1746</v>
      </c>
      <c r="I1773" s="328" t="s">
        <v>110</v>
      </c>
      <c r="J1773" s="328" t="s">
        <v>757</v>
      </c>
      <c r="K1773" s="328" t="s">
        <v>741</v>
      </c>
      <c r="L1773" s="329">
        <v>44043</v>
      </c>
      <c r="M1773" s="332">
        <v>0</v>
      </c>
    </row>
    <row r="1774" spans="1:13" hidden="1" x14ac:dyDescent="0.25">
      <c r="A1774" s="329">
        <v>44043</v>
      </c>
      <c r="B1774" s="328" t="s">
        <v>1691</v>
      </c>
      <c r="C1774" s="328" t="s">
        <v>769</v>
      </c>
      <c r="D1774" s="330">
        <v>2</v>
      </c>
      <c r="E1774" s="331">
        <v>33</v>
      </c>
      <c r="F1774" s="331">
        <v>11374</v>
      </c>
      <c r="G1774" s="328" t="s">
        <v>1692</v>
      </c>
      <c r="H1774" s="328" t="s">
        <v>1746</v>
      </c>
      <c r="I1774" s="328" t="s">
        <v>110</v>
      </c>
      <c r="J1774" s="328" t="s">
        <v>757</v>
      </c>
      <c r="K1774" s="328" t="s">
        <v>770</v>
      </c>
      <c r="L1774" s="329">
        <v>44043</v>
      </c>
      <c r="M1774" s="332">
        <v>0</v>
      </c>
    </row>
    <row r="1775" spans="1:13" hidden="1" x14ac:dyDescent="0.25">
      <c r="A1775" s="329">
        <v>44043</v>
      </c>
      <c r="B1775" s="328" t="s">
        <v>1685</v>
      </c>
      <c r="C1775" s="328" t="s">
        <v>1060</v>
      </c>
      <c r="D1775" s="330">
        <v>2</v>
      </c>
      <c r="E1775" s="331">
        <v>-33</v>
      </c>
      <c r="F1775" s="331">
        <v>11341</v>
      </c>
      <c r="G1775" s="328" t="s">
        <v>1686</v>
      </c>
      <c r="H1775" s="328" t="s">
        <v>1746</v>
      </c>
      <c r="I1775" s="328" t="s">
        <v>110</v>
      </c>
      <c r="J1775" s="328" t="s">
        <v>757</v>
      </c>
      <c r="K1775" s="328" t="s">
        <v>741</v>
      </c>
      <c r="L1775" s="329">
        <v>44043</v>
      </c>
      <c r="M1775" s="332">
        <v>0</v>
      </c>
    </row>
    <row r="1776" spans="1:13" hidden="1" x14ac:dyDescent="0.25">
      <c r="A1776" s="329">
        <v>44043</v>
      </c>
      <c r="B1776" s="328" t="s">
        <v>1688</v>
      </c>
      <c r="C1776" s="328" t="s">
        <v>1060</v>
      </c>
      <c r="D1776" s="330">
        <v>2</v>
      </c>
      <c r="E1776" s="331">
        <v>33</v>
      </c>
      <c r="F1776" s="331">
        <v>11374</v>
      </c>
      <c r="G1776" s="328" t="s">
        <v>1686</v>
      </c>
      <c r="H1776" s="328" t="s">
        <v>1746</v>
      </c>
      <c r="I1776" s="328" t="s">
        <v>110</v>
      </c>
      <c r="J1776" s="328" t="s">
        <v>757</v>
      </c>
      <c r="K1776" s="328" t="s">
        <v>741</v>
      </c>
      <c r="L1776" s="329">
        <v>44043</v>
      </c>
      <c r="M1776" s="332">
        <v>0</v>
      </c>
    </row>
    <row r="1777" spans="1:13" hidden="1" x14ac:dyDescent="0.25">
      <c r="A1777" s="329">
        <v>44043</v>
      </c>
      <c r="B1777" s="328" t="s">
        <v>1689</v>
      </c>
      <c r="C1777" s="328" t="s">
        <v>1060</v>
      </c>
      <c r="D1777" s="330">
        <v>2</v>
      </c>
      <c r="E1777" s="331">
        <v>-33</v>
      </c>
      <c r="F1777" s="331">
        <v>11341</v>
      </c>
      <c r="G1777" s="328" t="s">
        <v>1686</v>
      </c>
      <c r="H1777" s="328" t="s">
        <v>1746</v>
      </c>
      <c r="I1777" s="328" t="s">
        <v>110</v>
      </c>
      <c r="J1777" s="328" t="s">
        <v>757</v>
      </c>
      <c r="K1777" s="328" t="s">
        <v>741</v>
      </c>
      <c r="L1777" s="329">
        <v>44043</v>
      </c>
      <c r="M1777" s="332">
        <v>0</v>
      </c>
    </row>
    <row r="1778" spans="1:13" hidden="1" x14ac:dyDescent="0.25">
      <c r="A1778" s="329">
        <v>44074</v>
      </c>
      <c r="B1778" s="328" t="s">
        <v>1695</v>
      </c>
      <c r="C1778" s="328" t="s">
        <v>1060</v>
      </c>
      <c r="D1778" s="330">
        <v>2</v>
      </c>
      <c r="E1778" s="331">
        <v>33</v>
      </c>
      <c r="F1778" s="331">
        <v>11374</v>
      </c>
      <c r="G1778" s="328" t="s">
        <v>1696</v>
      </c>
      <c r="H1778" s="328" t="s">
        <v>1746</v>
      </c>
      <c r="I1778" s="328" t="s">
        <v>110</v>
      </c>
      <c r="J1778" s="328" t="s">
        <v>757</v>
      </c>
      <c r="K1778" s="328" t="s">
        <v>741</v>
      </c>
      <c r="L1778" s="329">
        <v>44074</v>
      </c>
      <c r="M1778" s="332">
        <v>0</v>
      </c>
    </row>
    <row r="1779" spans="1:13" hidden="1" x14ac:dyDescent="0.25">
      <c r="A1779" s="329">
        <v>44074</v>
      </c>
      <c r="B1779" s="328" t="s">
        <v>1697</v>
      </c>
      <c r="C1779" s="328" t="s">
        <v>769</v>
      </c>
      <c r="D1779" s="330">
        <v>3</v>
      </c>
      <c r="E1779" s="331">
        <v>33</v>
      </c>
      <c r="F1779" s="331">
        <v>11407</v>
      </c>
      <c r="G1779" s="328" t="s">
        <v>1698</v>
      </c>
      <c r="H1779" s="328" t="s">
        <v>1746</v>
      </c>
      <c r="I1779" s="328" t="s">
        <v>110</v>
      </c>
      <c r="J1779" s="328" t="s">
        <v>757</v>
      </c>
      <c r="K1779" s="328" t="s">
        <v>770</v>
      </c>
      <c r="L1779" s="329">
        <v>44074</v>
      </c>
      <c r="M1779" s="332">
        <v>0</v>
      </c>
    </row>
    <row r="1780" spans="1:13" hidden="1" x14ac:dyDescent="0.25">
      <c r="A1780" s="329">
        <v>44074</v>
      </c>
      <c r="B1780" s="328" t="s">
        <v>1695</v>
      </c>
      <c r="C1780" s="328" t="s">
        <v>1060</v>
      </c>
      <c r="D1780" s="330">
        <v>3</v>
      </c>
      <c r="E1780" s="331">
        <v>-33</v>
      </c>
      <c r="F1780" s="331">
        <v>11374</v>
      </c>
      <c r="G1780" s="328" t="s">
        <v>1696</v>
      </c>
      <c r="H1780" s="328" t="s">
        <v>1746</v>
      </c>
      <c r="I1780" s="328" t="s">
        <v>110</v>
      </c>
      <c r="J1780" s="328" t="s">
        <v>757</v>
      </c>
      <c r="K1780" s="328" t="s">
        <v>741</v>
      </c>
      <c r="L1780" s="329">
        <v>44074</v>
      </c>
      <c r="M1780" s="332">
        <v>0</v>
      </c>
    </row>
    <row r="1781" spans="1:13" hidden="1" x14ac:dyDescent="0.25">
      <c r="A1781" s="329">
        <v>44104</v>
      </c>
      <c r="B1781" s="328" t="s">
        <v>1699</v>
      </c>
      <c r="C1781" s="328" t="s">
        <v>1060</v>
      </c>
      <c r="D1781" s="330">
        <v>3</v>
      </c>
      <c r="E1781" s="331">
        <v>49.5</v>
      </c>
      <c r="F1781" s="331">
        <v>11423.5</v>
      </c>
      <c r="G1781" s="328" t="s">
        <v>1700</v>
      </c>
      <c r="H1781" s="328" t="s">
        <v>1746</v>
      </c>
      <c r="I1781" s="328" t="s">
        <v>110</v>
      </c>
      <c r="J1781" s="328" t="s">
        <v>757</v>
      </c>
      <c r="K1781" s="328" t="s">
        <v>741</v>
      </c>
      <c r="L1781" s="329">
        <v>44104</v>
      </c>
      <c r="M1781" s="332">
        <v>0</v>
      </c>
    </row>
    <row r="1782" spans="1:13" hidden="1" x14ac:dyDescent="0.25">
      <c r="A1782" s="329">
        <v>44104</v>
      </c>
      <c r="B1782" s="328" t="s">
        <v>1699</v>
      </c>
      <c r="C1782" s="328" t="s">
        <v>1060</v>
      </c>
      <c r="D1782" s="330">
        <v>4</v>
      </c>
      <c r="E1782" s="331">
        <v>-49.5</v>
      </c>
      <c r="F1782" s="331">
        <v>11374</v>
      </c>
      <c r="G1782" s="328" t="s">
        <v>1700</v>
      </c>
      <c r="H1782" s="328" t="s">
        <v>1746</v>
      </c>
      <c r="I1782" s="328" t="s">
        <v>110</v>
      </c>
      <c r="J1782" s="328" t="s">
        <v>757</v>
      </c>
      <c r="K1782" s="328" t="s">
        <v>741</v>
      </c>
      <c r="L1782" s="329">
        <v>44104</v>
      </c>
      <c r="M1782" s="332">
        <v>0</v>
      </c>
    </row>
    <row r="1783" spans="1:13" hidden="1" x14ac:dyDescent="0.25">
      <c r="A1783" s="329">
        <v>44105</v>
      </c>
      <c r="B1783" s="328" t="s">
        <v>1701</v>
      </c>
      <c r="C1783" s="328" t="s">
        <v>769</v>
      </c>
      <c r="D1783" s="330">
        <v>4</v>
      </c>
      <c r="E1783" s="331">
        <v>49.5</v>
      </c>
      <c r="F1783" s="331">
        <v>11423.5</v>
      </c>
      <c r="G1783" s="328" t="s">
        <v>1702</v>
      </c>
      <c r="H1783" s="328" t="s">
        <v>1746</v>
      </c>
      <c r="I1783" s="328" t="s">
        <v>110</v>
      </c>
      <c r="J1783" s="328" t="s">
        <v>757</v>
      </c>
      <c r="K1783" s="328" t="s">
        <v>770</v>
      </c>
      <c r="L1783" s="329">
        <v>44105</v>
      </c>
      <c r="M1783" s="332">
        <v>0</v>
      </c>
    </row>
    <row r="1784" spans="1:13" hidden="1" x14ac:dyDescent="0.25">
      <c r="A1784" s="329">
        <v>44135</v>
      </c>
      <c r="B1784" s="328" t="s">
        <v>1703</v>
      </c>
      <c r="C1784" s="328" t="s">
        <v>1060</v>
      </c>
      <c r="D1784" s="330">
        <v>4</v>
      </c>
      <c r="E1784" s="331">
        <v>33</v>
      </c>
      <c r="F1784" s="331">
        <v>11456.5</v>
      </c>
      <c r="G1784" s="328" t="s">
        <v>1704</v>
      </c>
      <c r="H1784" s="328" t="s">
        <v>1746</v>
      </c>
      <c r="I1784" s="328" t="s">
        <v>110</v>
      </c>
      <c r="J1784" s="328" t="s">
        <v>757</v>
      </c>
      <c r="K1784" s="328" t="s">
        <v>741</v>
      </c>
      <c r="L1784" s="329">
        <v>44135</v>
      </c>
      <c r="M1784" s="332">
        <v>0</v>
      </c>
    </row>
    <row r="1785" spans="1:13" hidden="1" x14ac:dyDescent="0.25">
      <c r="A1785" s="329">
        <v>44135</v>
      </c>
      <c r="B1785" s="328" t="s">
        <v>1705</v>
      </c>
      <c r="C1785" s="328" t="s">
        <v>769</v>
      </c>
      <c r="D1785" s="330">
        <v>5</v>
      </c>
      <c r="E1785" s="331">
        <v>33</v>
      </c>
      <c r="F1785" s="331">
        <v>11489.5</v>
      </c>
      <c r="G1785" s="328" t="s">
        <v>1706</v>
      </c>
      <c r="H1785" s="328" t="s">
        <v>1746</v>
      </c>
      <c r="I1785" s="328" t="s">
        <v>110</v>
      </c>
      <c r="J1785" s="328" t="s">
        <v>757</v>
      </c>
      <c r="K1785" s="328" t="s">
        <v>770</v>
      </c>
      <c r="L1785" s="329">
        <v>44135</v>
      </c>
      <c r="M1785" s="332">
        <v>0</v>
      </c>
    </row>
    <row r="1786" spans="1:13" hidden="1" x14ac:dyDescent="0.25">
      <c r="A1786" s="329">
        <v>44135</v>
      </c>
      <c r="B1786" s="328" t="s">
        <v>1703</v>
      </c>
      <c r="C1786" s="328" t="s">
        <v>1060</v>
      </c>
      <c r="D1786" s="330">
        <v>5</v>
      </c>
      <c r="E1786" s="331">
        <v>-33</v>
      </c>
      <c r="F1786" s="331">
        <v>11456.5</v>
      </c>
      <c r="G1786" s="328" t="s">
        <v>1704</v>
      </c>
      <c r="H1786" s="328" t="s">
        <v>1746</v>
      </c>
      <c r="I1786" s="328" t="s">
        <v>110</v>
      </c>
      <c r="J1786" s="328" t="s">
        <v>757</v>
      </c>
      <c r="K1786" s="328" t="s">
        <v>741</v>
      </c>
      <c r="L1786" s="329">
        <v>44135</v>
      </c>
      <c r="M1786" s="332">
        <v>0</v>
      </c>
    </row>
    <row r="1787" spans="1:13" hidden="1" x14ac:dyDescent="0.25">
      <c r="A1787" s="329">
        <v>44165</v>
      </c>
      <c r="B1787" s="328" t="s">
        <v>1707</v>
      </c>
      <c r="C1787" s="328" t="s">
        <v>1060</v>
      </c>
      <c r="D1787" s="330">
        <v>5</v>
      </c>
      <c r="E1787" s="331">
        <v>33</v>
      </c>
      <c r="F1787" s="331">
        <v>11489.5</v>
      </c>
      <c r="G1787" s="328" t="s">
        <v>1708</v>
      </c>
      <c r="H1787" s="328" t="s">
        <v>1746</v>
      </c>
      <c r="I1787" s="328" t="s">
        <v>110</v>
      </c>
      <c r="J1787" s="328" t="s">
        <v>757</v>
      </c>
      <c r="K1787" s="328" t="s">
        <v>741</v>
      </c>
      <c r="L1787" s="329">
        <v>44165</v>
      </c>
      <c r="M1787" s="332">
        <v>0</v>
      </c>
    </row>
    <row r="1788" spans="1:13" hidden="1" x14ac:dyDescent="0.25">
      <c r="A1788" s="329">
        <v>44165</v>
      </c>
      <c r="B1788" s="328" t="s">
        <v>1709</v>
      </c>
      <c r="C1788" s="328" t="s">
        <v>769</v>
      </c>
      <c r="D1788" s="330">
        <v>6</v>
      </c>
      <c r="E1788" s="331">
        <v>33</v>
      </c>
      <c r="F1788" s="331">
        <v>11522.5</v>
      </c>
      <c r="G1788" s="328" t="s">
        <v>1710</v>
      </c>
      <c r="H1788" s="328" t="s">
        <v>1746</v>
      </c>
      <c r="I1788" s="328" t="s">
        <v>110</v>
      </c>
      <c r="J1788" s="328" t="s">
        <v>757</v>
      </c>
      <c r="K1788" s="328" t="s">
        <v>770</v>
      </c>
      <c r="L1788" s="329">
        <v>44165</v>
      </c>
      <c r="M1788" s="332">
        <v>0</v>
      </c>
    </row>
    <row r="1789" spans="1:13" hidden="1" x14ac:dyDescent="0.25">
      <c r="A1789" s="329">
        <v>44165</v>
      </c>
      <c r="B1789" s="328" t="s">
        <v>1707</v>
      </c>
      <c r="C1789" s="328" t="s">
        <v>1060</v>
      </c>
      <c r="D1789" s="330">
        <v>6</v>
      </c>
      <c r="E1789" s="331">
        <v>-33</v>
      </c>
      <c r="F1789" s="331">
        <v>11489.5</v>
      </c>
      <c r="G1789" s="328" t="s">
        <v>1708</v>
      </c>
      <c r="H1789" s="328" t="s">
        <v>1746</v>
      </c>
      <c r="I1789" s="328" t="s">
        <v>110</v>
      </c>
      <c r="J1789" s="328" t="s">
        <v>757</v>
      </c>
      <c r="K1789" s="328" t="s">
        <v>741</v>
      </c>
      <c r="L1789" s="329">
        <v>44165</v>
      </c>
      <c r="M1789" s="332">
        <v>0</v>
      </c>
    </row>
    <row r="1790" spans="1:13" hidden="1" x14ac:dyDescent="0.25">
      <c r="A1790" s="329">
        <v>44196</v>
      </c>
      <c r="B1790" s="328" t="s">
        <v>1711</v>
      </c>
      <c r="C1790" s="328" t="s">
        <v>1060</v>
      </c>
      <c r="D1790" s="330">
        <v>6</v>
      </c>
      <c r="E1790" s="331">
        <v>33</v>
      </c>
      <c r="F1790" s="331">
        <v>11522.5</v>
      </c>
      <c r="G1790" s="328" t="s">
        <v>1712</v>
      </c>
      <c r="H1790" s="328" t="s">
        <v>1746</v>
      </c>
      <c r="I1790" s="328" t="s">
        <v>110</v>
      </c>
      <c r="J1790" s="328" t="s">
        <v>757</v>
      </c>
      <c r="K1790" s="328" t="s">
        <v>741</v>
      </c>
      <c r="L1790" s="329">
        <v>44196</v>
      </c>
      <c r="M1790" s="332">
        <v>0</v>
      </c>
    </row>
    <row r="1791" spans="1:13" hidden="1" x14ac:dyDescent="0.25">
      <c r="A1791" s="329">
        <v>44196</v>
      </c>
      <c r="B1791" s="328" t="s">
        <v>1711</v>
      </c>
      <c r="C1791" s="328" t="s">
        <v>1060</v>
      </c>
      <c r="D1791" s="330">
        <v>7</v>
      </c>
      <c r="E1791" s="331">
        <v>-33</v>
      </c>
      <c r="F1791" s="331">
        <v>11489.5</v>
      </c>
      <c r="G1791" s="328" t="s">
        <v>1712</v>
      </c>
      <c r="H1791" s="328" t="s">
        <v>1746</v>
      </c>
      <c r="I1791" s="328" t="s">
        <v>110</v>
      </c>
      <c r="J1791" s="328" t="s">
        <v>757</v>
      </c>
      <c r="K1791" s="328" t="s">
        <v>741</v>
      </c>
      <c r="L1791" s="329">
        <v>44196</v>
      </c>
      <c r="M1791" s="332">
        <v>0</v>
      </c>
    </row>
    <row r="1792" spans="1:13" hidden="1" x14ac:dyDescent="0.25">
      <c r="A1792" s="329">
        <v>44196</v>
      </c>
      <c r="B1792" s="328" t="s">
        <v>1713</v>
      </c>
      <c r="C1792" s="328" t="s">
        <v>769</v>
      </c>
      <c r="D1792" s="330">
        <v>7</v>
      </c>
      <c r="E1792" s="331">
        <v>33</v>
      </c>
      <c r="F1792" s="331">
        <v>11522.5</v>
      </c>
      <c r="G1792" s="328" t="s">
        <v>1714</v>
      </c>
      <c r="H1792" s="328" t="s">
        <v>1746</v>
      </c>
      <c r="I1792" s="328" t="s">
        <v>110</v>
      </c>
      <c r="J1792" s="328" t="s">
        <v>757</v>
      </c>
      <c r="K1792" s="328" t="s">
        <v>770</v>
      </c>
      <c r="L1792" s="329">
        <v>44196</v>
      </c>
      <c r="M1792" s="332">
        <v>0</v>
      </c>
    </row>
    <row r="1793" spans="1:13" hidden="1" x14ac:dyDescent="0.25">
      <c r="A1793" s="329">
        <v>44227</v>
      </c>
      <c r="B1793" s="328" t="s">
        <v>1715</v>
      </c>
      <c r="C1793" s="328" t="s">
        <v>1060</v>
      </c>
      <c r="D1793" s="330">
        <v>7</v>
      </c>
      <c r="E1793" s="331">
        <v>33</v>
      </c>
      <c r="F1793" s="331">
        <v>11555.5</v>
      </c>
      <c r="G1793" s="328" t="s">
        <v>1716</v>
      </c>
      <c r="H1793" s="328" t="s">
        <v>1746</v>
      </c>
      <c r="I1793" s="328" t="s">
        <v>110</v>
      </c>
      <c r="J1793" s="328" t="s">
        <v>757</v>
      </c>
      <c r="K1793" s="328" t="s">
        <v>741</v>
      </c>
      <c r="L1793" s="329">
        <v>44227</v>
      </c>
      <c r="M1793" s="332">
        <v>0</v>
      </c>
    </row>
    <row r="1794" spans="1:13" hidden="1" x14ac:dyDescent="0.25">
      <c r="A1794" s="329">
        <v>44227</v>
      </c>
      <c r="B1794" s="328" t="s">
        <v>1715</v>
      </c>
      <c r="C1794" s="328" t="s">
        <v>1060</v>
      </c>
      <c r="D1794" s="330">
        <v>8</v>
      </c>
      <c r="E1794" s="331">
        <v>-33</v>
      </c>
      <c r="F1794" s="331">
        <v>11522.5</v>
      </c>
      <c r="G1794" s="328" t="s">
        <v>1716</v>
      </c>
      <c r="H1794" s="328" t="s">
        <v>1746</v>
      </c>
      <c r="I1794" s="328" t="s">
        <v>110</v>
      </c>
      <c r="J1794" s="328" t="s">
        <v>757</v>
      </c>
      <c r="K1794" s="328" t="s">
        <v>741</v>
      </c>
      <c r="L1794" s="329">
        <v>44227</v>
      </c>
      <c r="M1794" s="332">
        <v>0</v>
      </c>
    </row>
    <row r="1795" spans="1:13" hidden="1" x14ac:dyDescent="0.25">
      <c r="A1795" s="329">
        <v>44227</v>
      </c>
      <c r="B1795" s="328" t="s">
        <v>1717</v>
      </c>
      <c r="C1795" s="328" t="s">
        <v>769</v>
      </c>
      <c r="D1795" s="330">
        <v>8</v>
      </c>
      <c r="E1795" s="331">
        <v>33</v>
      </c>
      <c r="F1795" s="331">
        <v>11555.5</v>
      </c>
      <c r="G1795" s="328" t="s">
        <v>1718</v>
      </c>
      <c r="H1795" s="328" t="s">
        <v>1746</v>
      </c>
      <c r="I1795" s="328" t="s">
        <v>110</v>
      </c>
      <c r="J1795" s="328" t="s">
        <v>757</v>
      </c>
      <c r="K1795" s="328" t="s">
        <v>770</v>
      </c>
      <c r="L1795" s="329">
        <v>44227</v>
      </c>
      <c r="M1795" s="332">
        <v>0</v>
      </c>
    </row>
    <row r="1796" spans="1:13" hidden="1" x14ac:dyDescent="0.25">
      <c r="A1796" s="329">
        <v>44012</v>
      </c>
      <c r="B1796" s="328" t="s">
        <v>1681</v>
      </c>
      <c r="C1796" s="328" t="s">
        <v>1059</v>
      </c>
      <c r="D1796" s="330">
        <v>1</v>
      </c>
      <c r="E1796" s="331">
        <v>-11</v>
      </c>
      <c r="F1796" s="331">
        <v>11544.5</v>
      </c>
      <c r="G1796" s="328" t="s">
        <v>1682</v>
      </c>
      <c r="H1796" s="328" t="s">
        <v>1747</v>
      </c>
      <c r="I1796" s="328" t="s">
        <v>110</v>
      </c>
      <c r="J1796" s="328" t="s">
        <v>757</v>
      </c>
      <c r="K1796" s="328" t="s">
        <v>741</v>
      </c>
      <c r="L1796" s="329">
        <v>44012</v>
      </c>
      <c r="M1796" s="332">
        <v>0</v>
      </c>
    </row>
    <row r="1797" spans="1:13" hidden="1" x14ac:dyDescent="0.25">
      <c r="A1797" s="329">
        <v>44012</v>
      </c>
      <c r="B1797" s="328" t="s">
        <v>1678</v>
      </c>
      <c r="C1797" s="328" t="s">
        <v>769</v>
      </c>
      <c r="D1797" s="330">
        <v>1</v>
      </c>
      <c r="E1797" s="331">
        <v>11</v>
      </c>
      <c r="F1797" s="331">
        <v>11555.5</v>
      </c>
      <c r="G1797" s="328" t="s">
        <v>1679</v>
      </c>
      <c r="H1797" s="328" t="s">
        <v>1747</v>
      </c>
      <c r="I1797" s="328" t="s">
        <v>110</v>
      </c>
      <c r="J1797" s="328" t="s">
        <v>757</v>
      </c>
      <c r="K1797" s="328" t="s">
        <v>770</v>
      </c>
      <c r="L1797" s="329">
        <v>44012</v>
      </c>
      <c r="M1797" s="332">
        <v>0</v>
      </c>
    </row>
    <row r="1798" spans="1:13" hidden="1" x14ac:dyDescent="0.25">
      <c r="A1798" s="329">
        <v>44043</v>
      </c>
      <c r="B1798" s="328" t="s">
        <v>1689</v>
      </c>
      <c r="C1798" s="328" t="s">
        <v>1060</v>
      </c>
      <c r="D1798" s="330">
        <v>1</v>
      </c>
      <c r="E1798" s="331">
        <v>11</v>
      </c>
      <c r="F1798" s="331">
        <v>11566.5</v>
      </c>
      <c r="G1798" s="328" t="s">
        <v>1686</v>
      </c>
      <c r="H1798" s="328" t="s">
        <v>1747</v>
      </c>
      <c r="I1798" s="328" t="s">
        <v>110</v>
      </c>
      <c r="J1798" s="328" t="s">
        <v>757</v>
      </c>
      <c r="K1798" s="328" t="s">
        <v>741</v>
      </c>
      <c r="L1798" s="329">
        <v>44043</v>
      </c>
      <c r="M1798" s="332">
        <v>0</v>
      </c>
    </row>
    <row r="1799" spans="1:13" hidden="1" x14ac:dyDescent="0.25">
      <c r="A1799" s="329">
        <v>44043</v>
      </c>
      <c r="B1799" s="328" t="s">
        <v>1688</v>
      </c>
      <c r="C1799" s="328" t="s">
        <v>1060</v>
      </c>
      <c r="D1799" s="330">
        <v>1</v>
      </c>
      <c r="E1799" s="331">
        <v>-11</v>
      </c>
      <c r="F1799" s="331">
        <v>11555.5</v>
      </c>
      <c r="G1799" s="328" t="s">
        <v>1686</v>
      </c>
      <c r="H1799" s="328" t="s">
        <v>1747</v>
      </c>
      <c r="I1799" s="328" t="s">
        <v>110</v>
      </c>
      <c r="J1799" s="328" t="s">
        <v>757</v>
      </c>
      <c r="K1799" s="328" t="s">
        <v>741</v>
      </c>
      <c r="L1799" s="329">
        <v>44043</v>
      </c>
      <c r="M1799" s="332">
        <v>0</v>
      </c>
    </row>
    <row r="1800" spans="1:13" hidden="1" x14ac:dyDescent="0.25">
      <c r="A1800" s="329">
        <v>44043</v>
      </c>
      <c r="B1800" s="328" t="s">
        <v>1685</v>
      </c>
      <c r="C1800" s="328" t="s">
        <v>1060</v>
      </c>
      <c r="D1800" s="330">
        <v>1</v>
      </c>
      <c r="E1800" s="331">
        <v>11</v>
      </c>
      <c r="F1800" s="331">
        <v>11566.5</v>
      </c>
      <c r="G1800" s="328" t="s">
        <v>1686</v>
      </c>
      <c r="H1800" s="328" t="s">
        <v>1747</v>
      </c>
      <c r="I1800" s="328" t="s">
        <v>110</v>
      </c>
      <c r="J1800" s="328" t="s">
        <v>757</v>
      </c>
      <c r="K1800" s="328" t="s">
        <v>741</v>
      </c>
      <c r="L1800" s="329">
        <v>44043</v>
      </c>
      <c r="M1800" s="332">
        <v>0</v>
      </c>
    </row>
    <row r="1801" spans="1:13" hidden="1" x14ac:dyDescent="0.25">
      <c r="A1801" s="329">
        <v>44043</v>
      </c>
      <c r="B1801" s="328" t="s">
        <v>1685</v>
      </c>
      <c r="C1801" s="328" t="s">
        <v>1060</v>
      </c>
      <c r="D1801" s="330">
        <v>2</v>
      </c>
      <c r="E1801" s="331">
        <v>-11</v>
      </c>
      <c r="F1801" s="331">
        <v>11555.5</v>
      </c>
      <c r="G1801" s="328" t="s">
        <v>1686</v>
      </c>
      <c r="H1801" s="328" t="s">
        <v>1747</v>
      </c>
      <c r="I1801" s="328" t="s">
        <v>110</v>
      </c>
      <c r="J1801" s="328" t="s">
        <v>757</v>
      </c>
      <c r="K1801" s="328" t="s">
        <v>741</v>
      </c>
      <c r="L1801" s="329">
        <v>44043</v>
      </c>
      <c r="M1801" s="332">
        <v>0</v>
      </c>
    </row>
    <row r="1802" spans="1:13" hidden="1" x14ac:dyDescent="0.25">
      <c r="A1802" s="329">
        <v>44043</v>
      </c>
      <c r="B1802" s="328" t="s">
        <v>1691</v>
      </c>
      <c r="C1802" s="328" t="s">
        <v>769</v>
      </c>
      <c r="D1802" s="330">
        <v>2</v>
      </c>
      <c r="E1802" s="331">
        <v>11</v>
      </c>
      <c r="F1802" s="331">
        <v>11566.5</v>
      </c>
      <c r="G1802" s="328" t="s">
        <v>1692</v>
      </c>
      <c r="H1802" s="328" t="s">
        <v>1747</v>
      </c>
      <c r="I1802" s="328" t="s">
        <v>110</v>
      </c>
      <c r="J1802" s="328" t="s">
        <v>757</v>
      </c>
      <c r="K1802" s="328" t="s">
        <v>770</v>
      </c>
      <c r="L1802" s="329">
        <v>44043</v>
      </c>
      <c r="M1802" s="332">
        <v>0</v>
      </c>
    </row>
    <row r="1803" spans="1:13" hidden="1" x14ac:dyDescent="0.25">
      <c r="A1803" s="329">
        <v>44043</v>
      </c>
      <c r="B1803" s="328" t="s">
        <v>1688</v>
      </c>
      <c r="C1803" s="328" t="s">
        <v>1060</v>
      </c>
      <c r="D1803" s="330">
        <v>2</v>
      </c>
      <c r="E1803" s="331">
        <v>11</v>
      </c>
      <c r="F1803" s="331">
        <v>11577.5</v>
      </c>
      <c r="G1803" s="328" t="s">
        <v>1686</v>
      </c>
      <c r="H1803" s="328" t="s">
        <v>1747</v>
      </c>
      <c r="I1803" s="328" t="s">
        <v>110</v>
      </c>
      <c r="J1803" s="328" t="s">
        <v>757</v>
      </c>
      <c r="K1803" s="328" t="s">
        <v>741</v>
      </c>
      <c r="L1803" s="329">
        <v>44043</v>
      </c>
      <c r="M1803" s="332">
        <v>0</v>
      </c>
    </row>
    <row r="1804" spans="1:13" hidden="1" x14ac:dyDescent="0.25">
      <c r="A1804" s="329">
        <v>44043</v>
      </c>
      <c r="B1804" s="328" t="s">
        <v>1689</v>
      </c>
      <c r="C1804" s="328" t="s">
        <v>1060</v>
      </c>
      <c r="D1804" s="330">
        <v>2</v>
      </c>
      <c r="E1804" s="331">
        <v>-11</v>
      </c>
      <c r="F1804" s="331">
        <v>11566.5</v>
      </c>
      <c r="G1804" s="328" t="s">
        <v>1686</v>
      </c>
      <c r="H1804" s="328" t="s">
        <v>1747</v>
      </c>
      <c r="I1804" s="328" t="s">
        <v>110</v>
      </c>
      <c r="J1804" s="328" t="s">
        <v>757</v>
      </c>
      <c r="K1804" s="328" t="s">
        <v>741</v>
      </c>
      <c r="L1804" s="329">
        <v>44043</v>
      </c>
      <c r="M1804" s="332">
        <v>0</v>
      </c>
    </row>
    <row r="1805" spans="1:13" hidden="1" x14ac:dyDescent="0.25">
      <c r="A1805" s="329">
        <v>44074</v>
      </c>
      <c r="B1805" s="328" t="s">
        <v>1695</v>
      </c>
      <c r="C1805" s="328" t="s">
        <v>1060</v>
      </c>
      <c r="D1805" s="330">
        <v>2</v>
      </c>
      <c r="E1805" s="331">
        <v>11</v>
      </c>
      <c r="F1805" s="331">
        <v>11577.5</v>
      </c>
      <c r="G1805" s="328" t="s">
        <v>1696</v>
      </c>
      <c r="H1805" s="328" t="s">
        <v>1747</v>
      </c>
      <c r="I1805" s="328" t="s">
        <v>110</v>
      </c>
      <c r="J1805" s="328" t="s">
        <v>757</v>
      </c>
      <c r="K1805" s="328" t="s">
        <v>741</v>
      </c>
      <c r="L1805" s="329">
        <v>44074</v>
      </c>
      <c r="M1805" s="332">
        <v>0</v>
      </c>
    </row>
    <row r="1806" spans="1:13" hidden="1" x14ac:dyDescent="0.25">
      <c r="A1806" s="329">
        <v>44074</v>
      </c>
      <c r="B1806" s="328" t="s">
        <v>1697</v>
      </c>
      <c r="C1806" s="328" t="s">
        <v>769</v>
      </c>
      <c r="D1806" s="330">
        <v>3</v>
      </c>
      <c r="E1806" s="331">
        <v>11</v>
      </c>
      <c r="F1806" s="331">
        <v>11588.5</v>
      </c>
      <c r="G1806" s="328" t="s">
        <v>1698</v>
      </c>
      <c r="H1806" s="328" t="s">
        <v>1747</v>
      </c>
      <c r="I1806" s="328" t="s">
        <v>110</v>
      </c>
      <c r="J1806" s="328" t="s">
        <v>757</v>
      </c>
      <c r="K1806" s="328" t="s">
        <v>770</v>
      </c>
      <c r="L1806" s="329">
        <v>44074</v>
      </c>
      <c r="M1806" s="332">
        <v>0</v>
      </c>
    </row>
    <row r="1807" spans="1:13" hidden="1" x14ac:dyDescent="0.25">
      <c r="A1807" s="329">
        <v>44074</v>
      </c>
      <c r="B1807" s="328" t="s">
        <v>1695</v>
      </c>
      <c r="C1807" s="328" t="s">
        <v>1060</v>
      </c>
      <c r="D1807" s="330">
        <v>3</v>
      </c>
      <c r="E1807" s="331">
        <v>-11</v>
      </c>
      <c r="F1807" s="331">
        <v>11577.5</v>
      </c>
      <c r="G1807" s="328" t="s">
        <v>1696</v>
      </c>
      <c r="H1807" s="328" t="s">
        <v>1747</v>
      </c>
      <c r="I1807" s="328" t="s">
        <v>110</v>
      </c>
      <c r="J1807" s="328" t="s">
        <v>757</v>
      </c>
      <c r="K1807" s="328" t="s">
        <v>741</v>
      </c>
      <c r="L1807" s="329">
        <v>44074</v>
      </c>
      <c r="M1807" s="332">
        <v>0</v>
      </c>
    </row>
    <row r="1808" spans="1:13" hidden="1" x14ac:dyDescent="0.25">
      <c r="A1808" s="329">
        <v>44104</v>
      </c>
      <c r="B1808" s="328" t="s">
        <v>1699</v>
      </c>
      <c r="C1808" s="328" t="s">
        <v>1060</v>
      </c>
      <c r="D1808" s="330">
        <v>3</v>
      </c>
      <c r="E1808" s="331">
        <v>33</v>
      </c>
      <c r="F1808" s="331">
        <v>11610.5</v>
      </c>
      <c r="G1808" s="328" t="s">
        <v>1700</v>
      </c>
      <c r="H1808" s="328" t="s">
        <v>1747</v>
      </c>
      <c r="I1808" s="328" t="s">
        <v>110</v>
      </c>
      <c r="J1808" s="328" t="s">
        <v>757</v>
      </c>
      <c r="K1808" s="328" t="s">
        <v>741</v>
      </c>
      <c r="L1808" s="329">
        <v>44104</v>
      </c>
      <c r="M1808" s="332">
        <v>0</v>
      </c>
    </row>
    <row r="1809" spans="1:13" hidden="1" x14ac:dyDescent="0.25">
      <c r="A1809" s="329">
        <v>44104</v>
      </c>
      <c r="B1809" s="328" t="s">
        <v>1699</v>
      </c>
      <c r="C1809" s="328" t="s">
        <v>1060</v>
      </c>
      <c r="D1809" s="330">
        <v>4</v>
      </c>
      <c r="E1809" s="331">
        <v>-33</v>
      </c>
      <c r="F1809" s="331">
        <v>11577.5</v>
      </c>
      <c r="G1809" s="328" t="s">
        <v>1700</v>
      </c>
      <c r="H1809" s="328" t="s">
        <v>1747</v>
      </c>
      <c r="I1809" s="328" t="s">
        <v>110</v>
      </c>
      <c r="J1809" s="328" t="s">
        <v>757</v>
      </c>
      <c r="K1809" s="328" t="s">
        <v>741</v>
      </c>
      <c r="L1809" s="329">
        <v>44104</v>
      </c>
      <c r="M1809" s="332">
        <v>0</v>
      </c>
    </row>
    <row r="1810" spans="1:13" hidden="1" x14ac:dyDescent="0.25">
      <c r="A1810" s="329">
        <v>44105</v>
      </c>
      <c r="B1810" s="328" t="s">
        <v>1701</v>
      </c>
      <c r="C1810" s="328" t="s">
        <v>769</v>
      </c>
      <c r="D1810" s="330">
        <v>4</v>
      </c>
      <c r="E1810" s="331">
        <v>33</v>
      </c>
      <c r="F1810" s="331">
        <v>11610.5</v>
      </c>
      <c r="G1810" s="328" t="s">
        <v>1702</v>
      </c>
      <c r="H1810" s="328" t="s">
        <v>1747</v>
      </c>
      <c r="I1810" s="328" t="s">
        <v>110</v>
      </c>
      <c r="J1810" s="328" t="s">
        <v>757</v>
      </c>
      <c r="K1810" s="328" t="s">
        <v>770</v>
      </c>
      <c r="L1810" s="329">
        <v>44105</v>
      </c>
      <c r="M1810" s="332">
        <v>0</v>
      </c>
    </row>
    <row r="1811" spans="1:13" hidden="1" x14ac:dyDescent="0.25">
      <c r="A1811" s="329">
        <v>44135</v>
      </c>
      <c r="B1811" s="328" t="s">
        <v>1703</v>
      </c>
      <c r="C1811" s="328" t="s">
        <v>1060</v>
      </c>
      <c r="D1811" s="330">
        <v>4</v>
      </c>
      <c r="E1811" s="331">
        <v>11</v>
      </c>
      <c r="F1811" s="331">
        <v>11621.5</v>
      </c>
      <c r="G1811" s="328" t="s">
        <v>1704</v>
      </c>
      <c r="H1811" s="328" t="s">
        <v>1747</v>
      </c>
      <c r="I1811" s="328" t="s">
        <v>110</v>
      </c>
      <c r="J1811" s="328" t="s">
        <v>757</v>
      </c>
      <c r="K1811" s="328" t="s">
        <v>741</v>
      </c>
      <c r="L1811" s="329">
        <v>44135</v>
      </c>
      <c r="M1811" s="332">
        <v>0</v>
      </c>
    </row>
    <row r="1812" spans="1:13" hidden="1" x14ac:dyDescent="0.25">
      <c r="A1812" s="329">
        <v>44135</v>
      </c>
      <c r="B1812" s="328" t="s">
        <v>1703</v>
      </c>
      <c r="C1812" s="328" t="s">
        <v>1060</v>
      </c>
      <c r="D1812" s="330">
        <v>5</v>
      </c>
      <c r="E1812" s="331">
        <v>-11</v>
      </c>
      <c r="F1812" s="331">
        <v>11610.5</v>
      </c>
      <c r="G1812" s="328" t="s">
        <v>1704</v>
      </c>
      <c r="H1812" s="328" t="s">
        <v>1747</v>
      </c>
      <c r="I1812" s="328" t="s">
        <v>110</v>
      </c>
      <c r="J1812" s="328" t="s">
        <v>757</v>
      </c>
      <c r="K1812" s="328" t="s">
        <v>741</v>
      </c>
      <c r="L1812" s="329">
        <v>44135</v>
      </c>
      <c r="M1812" s="332">
        <v>0</v>
      </c>
    </row>
    <row r="1813" spans="1:13" hidden="1" x14ac:dyDescent="0.25">
      <c r="A1813" s="329">
        <v>44135</v>
      </c>
      <c r="B1813" s="328" t="s">
        <v>1705</v>
      </c>
      <c r="C1813" s="328" t="s">
        <v>769</v>
      </c>
      <c r="D1813" s="330">
        <v>5</v>
      </c>
      <c r="E1813" s="331">
        <v>11</v>
      </c>
      <c r="F1813" s="331">
        <v>11621.5</v>
      </c>
      <c r="G1813" s="328" t="s">
        <v>1706</v>
      </c>
      <c r="H1813" s="328" t="s">
        <v>1747</v>
      </c>
      <c r="I1813" s="328" t="s">
        <v>110</v>
      </c>
      <c r="J1813" s="328" t="s">
        <v>757</v>
      </c>
      <c r="K1813" s="328" t="s">
        <v>770</v>
      </c>
      <c r="L1813" s="329">
        <v>44135</v>
      </c>
      <c r="M1813" s="332">
        <v>0</v>
      </c>
    </row>
    <row r="1814" spans="1:13" hidden="1" x14ac:dyDescent="0.25">
      <c r="A1814" s="329">
        <v>44165</v>
      </c>
      <c r="B1814" s="328" t="s">
        <v>1707</v>
      </c>
      <c r="C1814" s="328" t="s">
        <v>1060</v>
      </c>
      <c r="D1814" s="330">
        <v>5</v>
      </c>
      <c r="E1814" s="331">
        <v>11</v>
      </c>
      <c r="F1814" s="331">
        <v>11632.5</v>
      </c>
      <c r="G1814" s="328" t="s">
        <v>1708</v>
      </c>
      <c r="H1814" s="328" t="s">
        <v>1747</v>
      </c>
      <c r="I1814" s="328" t="s">
        <v>110</v>
      </c>
      <c r="J1814" s="328" t="s">
        <v>757</v>
      </c>
      <c r="K1814" s="328" t="s">
        <v>741</v>
      </c>
      <c r="L1814" s="329">
        <v>44165</v>
      </c>
      <c r="M1814" s="332">
        <v>0</v>
      </c>
    </row>
    <row r="1815" spans="1:13" hidden="1" x14ac:dyDescent="0.25">
      <c r="A1815" s="329">
        <v>44165</v>
      </c>
      <c r="B1815" s="328" t="s">
        <v>1707</v>
      </c>
      <c r="C1815" s="328" t="s">
        <v>1060</v>
      </c>
      <c r="D1815" s="330">
        <v>6</v>
      </c>
      <c r="E1815" s="331">
        <v>-11</v>
      </c>
      <c r="F1815" s="331">
        <v>11621.5</v>
      </c>
      <c r="G1815" s="328" t="s">
        <v>1708</v>
      </c>
      <c r="H1815" s="328" t="s">
        <v>1747</v>
      </c>
      <c r="I1815" s="328" t="s">
        <v>110</v>
      </c>
      <c r="J1815" s="328" t="s">
        <v>757</v>
      </c>
      <c r="K1815" s="328" t="s">
        <v>741</v>
      </c>
      <c r="L1815" s="329">
        <v>44165</v>
      </c>
      <c r="M1815" s="332">
        <v>0</v>
      </c>
    </row>
    <row r="1816" spans="1:13" hidden="1" x14ac:dyDescent="0.25">
      <c r="A1816" s="329">
        <v>44165</v>
      </c>
      <c r="B1816" s="328" t="s">
        <v>1709</v>
      </c>
      <c r="C1816" s="328" t="s">
        <v>769</v>
      </c>
      <c r="D1816" s="330">
        <v>6</v>
      </c>
      <c r="E1816" s="331">
        <v>11</v>
      </c>
      <c r="F1816" s="331">
        <v>11632.5</v>
      </c>
      <c r="G1816" s="328" t="s">
        <v>1710</v>
      </c>
      <c r="H1816" s="328" t="s">
        <v>1747</v>
      </c>
      <c r="I1816" s="328" t="s">
        <v>110</v>
      </c>
      <c r="J1816" s="328" t="s">
        <v>757</v>
      </c>
      <c r="K1816" s="328" t="s">
        <v>770</v>
      </c>
      <c r="L1816" s="329">
        <v>44165</v>
      </c>
      <c r="M1816" s="332">
        <v>0</v>
      </c>
    </row>
    <row r="1817" spans="1:13" hidden="1" x14ac:dyDescent="0.25">
      <c r="A1817" s="329">
        <v>44196</v>
      </c>
      <c r="B1817" s="328" t="s">
        <v>1711</v>
      </c>
      <c r="C1817" s="328" t="s">
        <v>1060</v>
      </c>
      <c r="D1817" s="330">
        <v>6</v>
      </c>
      <c r="E1817" s="331">
        <v>11</v>
      </c>
      <c r="F1817" s="331">
        <v>11643.5</v>
      </c>
      <c r="G1817" s="328" t="s">
        <v>1712</v>
      </c>
      <c r="H1817" s="328" t="s">
        <v>1747</v>
      </c>
      <c r="I1817" s="328" t="s">
        <v>110</v>
      </c>
      <c r="J1817" s="328" t="s">
        <v>757</v>
      </c>
      <c r="K1817" s="328" t="s">
        <v>741</v>
      </c>
      <c r="L1817" s="329">
        <v>44196</v>
      </c>
      <c r="M1817" s="332">
        <v>0</v>
      </c>
    </row>
    <row r="1818" spans="1:13" hidden="1" x14ac:dyDescent="0.25">
      <c r="A1818" s="329">
        <v>44196</v>
      </c>
      <c r="B1818" s="328" t="s">
        <v>1711</v>
      </c>
      <c r="C1818" s="328" t="s">
        <v>1060</v>
      </c>
      <c r="D1818" s="330">
        <v>7</v>
      </c>
      <c r="E1818" s="331">
        <v>-11</v>
      </c>
      <c r="F1818" s="331">
        <v>11632.5</v>
      </c>
      <c r="G1818" s="328" t="s">
        <v>1712</v>
      </c>
      <c r="H1818" s="328" t="s">
        <v>1747</v>
      </c>
      <c r="I1818" s="328" t="s">
        <v>110</v>
      </c>
      <c r="J1818" s="328" t="s">
        <v>757</v>
      </c>
      <c r="K1818" s="328" t="s">
        <v>741</v>
      </c>
      <c r="L1818" s="329">
        <v>44196</v>
      </c>
      <c r="M1818" s="332">
        <v>0</v>
      </c>
    </row>
    <row r="1819" spans="1:13" hidden="1" x14ac:dyDescent="0.25">
      <c r="A1819" s="329">
        <v>44196</v>
      </c>
      <c r="B1819" s="328" t="s">
        <v>1713</v>
      </c>
      <c r="C1819" s="328" t="s">
        <v>769</v>
      </c>
      <c r="D1819" s="330">
        <v>7</v>
      </c>
      <c r="E1819" s="331">
        <v>11</v>
      </c>
      <c r="F1819" s="331">
        <v>11643.5</v>
      </c>
      <c r="G1819" s="328" t="s">
        <v>1714</v>
      </c>
      <c r="H1819" s="328" t="s">
        <v>1747</v>
      </c>
      <c r="I1819" s="328" t="s">
        <v>110</v>
      </c>
      <c r="J1819" s="328" t="s">
        <v>757</v>
      </c>
      <c r="K1819" s="328" t="s">
        <v>770</v>
      </c>
      <c r="L1819" s="329">
        <v>44196</v>
      </c>
      <c r="M1819" s="332">
        <v>0</v>
      </c>
    </row>
    <row r="1820" spans="1:13" hidden="1" x14ac:dyDescent="0.25">
      <c r="A1820" s="329">
        <v>44227</v>
      </c>
      <c r="B1820" s="328" t="s">
        <v>1715</v>
      </c>
      <c r="C1820" s="328" t="s">
        <v>1060</v>
      </c>
      <c r="D1820" s="330">
        <v>7</v>
      </c>
      <c r="E1820" s="331">
        <v>11</v>
      </c>
      <c r="F1820" s="331">
        <v>11654.5</v>
      </c>
      <c r="G1820" s="328" t="s">
        <v>1716</v>
      </c>
      <c r="H1820" s="328" t="s">
        <v>1747</v>
      </c>
      <c r="I1820" s="328" t="s">
        <v>110</v>
      </c>
      <c r="J1820" s="328" t="s">
        <v>757</v>
      </c>
      <c r="K1820" s="328" t="s">
        <v>741</v>
      </c>
      <c r="L1820" s="329">
        <v>44227</v>
      </c>
      <c r="M1820" s="332">
        <v>0</v>
      </c>
    </row>
    <row r="1821" spans="1:13" hidden="1" x14ac:dyDescent="0.25">
      <c r="A1821" s="329">
        <v>44227</v>
      </c>
      <c r="B1821" s="328" t="s">
        <v>1715</v>
      </c>
      <c r="C1821" s="328" t="s">
        <v>1060</v>
      </c>
      <c r="D1821" s="330">
        <v>8</v>
      </c>
      <c r="E1821" s="331">
        <v>-11</v>
      </c>
      <c r="F1821" s="331">
        <v>11643.5</v>
      </c>
      <c r="G1821" s="328" t="s">
        <v>1716</v>
      </c>
      <c r="H1821" s="328" t="s">
        <v>1747</v>
      </c>
      <c r="I1821" s="328" t="s">
        <v>110</v>
      </c>
      <c r="J1821" s="328" t="s">
        <v>757</v>
      </c>
      <c r="K1821" s="328" t="s">
        <v>741</v>
      </c>
      <c r="L1821" s="329">
        <v>44227</v>
      </c>
      <c r="M1821" s="332">
        <v>0</v>
      </c>
    </row>
    <row r="1822" spans="1:13" hidden="1" x14ac:dyDescent="0.25">
      <c r="A1822" s="329">
        <v>44227</v>
      </c>
      <c r="B1822" s="328" t="s">
        <v>1717</v>
      </c>
      <c r="C1822" s="328" t="s">
        <v>769</v>
      </c>
      <c r="D1822" s="330">
        <v>8</v>
      </c>
      <c r="E1822" s="331">
        <v>11</v>
      </c>
      <c r="F1822" s="331">
        <v>11654.5</v>
      </c>
      <c r="G1822" s="328" t="s">
        <v>1718</v>
      </c>
      <c r="H1822" s="328" t="s">
        <v>1747</v>
      </c>
      <c r="I1822" s="328" t="s">
        <v>110</v>
      </c>
      <c r="J1822" s="328" t="s">
        <v>757</v>
      </c>
      <c r="K1822" s="328" t="s">
        <v>770</v>
      </c>
      <c r="L1822" s="329">
        <v>44227</v>
      </c>
      <c r="M1822" s="332">
        <v>0</v>
      </c>
    </row>
    <row r="1823" spans="1:13" hidden="1" x14ac:dyDescent="0.25">
      <c r="A1823" s="329">
        <v>44255</v>
      </c>
      <c r="B1823" s="328" t="s">
        <v>1720</v>
      </c>
      <c r="C1823" s="328" t="s">
        <v>1060</v>
      </c>
      <c r="D1823" s="330">
        <v>8</v>
      </c>
      <c r="E1823" s="331">
        <v>11</v>
      </c>
      <c r="F1823" s="331">
        <v>11665.5</v>
      </c>
      <c r="G1823" s="328" t="s">
        <v>1721</v>
      </c>
      <c r="H1823" s="328" t="s">
        <v>1747</v>
      </c>
      <c r="I1823" s="328" t="s">
        <v>110</v>
      </c>
      <c r="J1823" s="328" t="s">
        <v>757</v>
      </c>
      <c r="K1823" s="328" t="s">
        <v>741</v>
      </c>
      <c r="L1823" s="329">
        <v>44255</v>
      </c>
      <c r="M1823" s="332">
        <v>0</v>
      </c>
    </row>
    <row r="1824" spans="1:13" hidden="1" x14ac:dyDescent="0.25">
      <c r="A1824" s="329">
        <v>44255</v>
      </c>
      <c r="B1824" s="328" t="s">
        <v>1720</v>
      </c>
      <c r="C1824" s="328" t="s">
        <v>1060</v>
      </c>
      <c r="D1824" s="330">
        <v>9</v>
      </c>
      <c r="E1824" s="331">
        <v>-11</v>
      </c>
      <c r="F1824" s="331">
        <v>11654.5</v>
      </c>
      <c r="G1824" s="328" t="s">
        <v>1721</v>
      </c>
      <c r="H1824" s="328" t="s">
        <v>1747</v>
      </c>
      <c r="I1824" s="328" t="s">
        <v>110</v>
      </c>
      <c r="J1824" s="328" t="s">
        <v>757</v>
      </c>
      <c r="K1824" s="328" t="s">
        <v>741</v>
      </c>
      <c r="L1824" s="329">
        <v>44255</v>
      </c>
      <c r="M1824" s="332">
        <v>0</v>
      </c>
    </row>
    <row r="1825" spans="1:13" hidden="1" x14ac:dyDescent="0.25">
      <c r="A1825" s="329">
        <v>44255</v>
      </c>
      <c r="B1825" s="328" t="s">
        <v>1722</v>
      </c>
      <c r="C1825" s="328" t="s">
        <v>769</v>
      </c>
      <c r="D1825" s="330">
        <v>9</v>
      </c>
      <c r="E1825" s="331">
        <v>11</v>
      </c>
      <c r="F1825" s="331">
        <v>11665.5</v>
      </c>
      <c r="G1825" s="328" t="s">
        <v>1723</v>
      </c>
      <c r="H1825" s="328" t="s">
        <v>1747</v>
      </c>
      <c r="I1825" s="328" t="s">
        <v>110</v>
      </c>
      <c r="J1825" s="328" t="s">
        <v>757</v>
      </c>
      <c r="K1825" s="328" t="s">
        <v>770</v>
      </c>
      <c r="L1825" s="329">
        <v>44255</v>
      </c>
      <c r="M1825" s="332">
        <v>0</v>
      </c>
    </row>
    <row r="1826" spans="1:13" hidden="1" x14ac:dyDescent="0.25">
      <c r="A1826" s="329">
        <v>44286</v>
      </c>
      <c r="B1826" s="328" t="s">
        <v>1724</v>
      </c>
      <c r="C1826" s="328" t="s">
        <v>1060</v>
      </c>
      <c r="D1826" s="330">
        <v>9</v>
      </c>
      <c r="E1826" s="331">
        <v>33</v>
      </c>
      <c r="F1826" s="331">
        <v>11698.5</v>
      </c>
      <c r="G1826" s="328" t="s">
        <v>1725</v>
      </c>
      <c r="H1826" s="328" t="s">
        <v>1747</v>
      </c>
      <c r="I1826" s="328" t="s">
        <v>110</v>
      </c>
      <c r="J1826" s="328" t="s">
        <v>757</v>
      </c>
      <c r="K1826" s="328" t="s">
        <v>741</v>
      </c>
      <c r="L1826" s="329">
        <v>44286</v>
      </c>
      <c r="M1826" s="332">
        <v>0</v>
      </c>
    </row>
    <row r="1827" spans="1:13" hidden="1" x14ac:dyDescent="0.25">
      <c r="A1827" s="329">
        <v>44286</v>
      </c>
      <c r="B1827" s="328" t="s">
        <v>1726</v>
      </c>
      <c r="C1827" s="328" t="s">
        <v>769</v>
      </c>
      <c r="D1827" s="330">
        <v>10</v>
      </c>
      <c r="E1827" s="331">
        <v>33</v>
      </c>
      <c r="F1827" s="331">
        <v>11731.5</v>
      </c>
      <c r="G1827" s="328" t="s">
        <v>1727</v>
      </c>
      <c r="H1827" s="328" t="s">
        <v>1747</v>
      </c>
      <c r="I1827" s="328" t="s">
        <v>110</v>
      </c>
      <c r="J1827" s="328" t="s">
        <v>757</v>
      </c>
      <c r="K1827" s="328" t="s">
        <v>770</v>
      </c>
      <c r="L1827" s="329">
        <v>44286</v>
      </c>
      <c r="M1827" s="332">
        <v>0</v>
      </c>
    </row>
    <row r="1828" spans="1:13" hidden="1" x14ac:dyDescent="0.25">
      <c r="A1828" s="329">
        <v>44286</v>
      </c>
      <c r="B1828" s="328" t="s">
        <v>1724</v>
      </c>
      <c r="C1828" s="328" t="s">
        <v>1060</v>
      </c>
      <c r="D1828" s="330">
        <v>10</v>
      </c>
      <c r="E1828" s="331">
        <v>-33</v>
      </c>
      <c r="F1828" s="331">
        <v>11698.5</v>
      </c>
      <c r="G1828" s="328" t="s">
        <v>1725</v>
      </c>
      <c r="H1828" s="328" t="s">
        <v>1747</v>
      </c>
      <c r="I1828" s="328" t="s">
        <v>110</v>
      </c>
      <c r="J1828" s="328" t="s">
        <v>757</v>
      </c>
      <c r="K1828" s="328" t="s">
        <v>741</v>
      </c>
      <c r="L1828" s="329">
        <v>44286</v>
      </c>
      <c r="M1828" s="332">
        <v>0</v>
      </c>
    </row>
    <row r="1829" spans="1:13" hidden="1" x14ac:dyDescent="0.25">
      <c r="A1829" s="329">
        <v>44316</v>
      </c>
      <c r="B1829" s="328" t="s">
        <v>1728</v>
      </c>
      <c r="C1829" s="328" t="s">
        <v>1060</v>
      </c>
      <c r="D1829" s="330">
        <v>10</v>
      </c>
      <c r="E1829" s="331">
        <v>22</v>
      </c>
      <c r="F1829" s="331">
        <v>11720.5</v>
      </c>
      <c r="G1829" s="328" t="s">
        <v>1729</v>
      </c>
      <c r="H1829" s="328" t="s">
        <v>1747</v>
      </c>
      <c r="I1829" s="328" t="s">
        <v>110</v>
      </c>
      <c r="J1829" s="328" t="s">
        <v>757</v>
      </c>
      <c r="K1829" s="328" t="s">
        <v>741</v>
      </c>
      <c r="L1829" s="329">
        <v>44316</v>
      </c>
      <c r="M1829" s="332">
        <v>0</v>
      </c>
    </row>
    <row r="1830" spans="1:13" hidden="1" x14ac:dyDescent="0.25">
      <c r="A1830" s="329">
        <v>44012</v>
      </c>
      <c r="B1830" s="328" t="s">
        <v>1678</v>
      </c>
      <c r="C1830" s="328" t="s">
        <v>769</v>
      </c>
      <c r="D1830" s="330">
        <v>1</v>
      </c>
      <c r="E1830" s="331">
        <v>33</v>
      </c>
      <c r="F1830" s="331">
        <v>11753.5</v>
      </c>
      <c r="G1830" s="328" t="s">
        <v>1679</v>
      </c>
      <c r="H1830" s="328" t="s">
        <v>1748</v>
      </c>
      <c r="I1830" s="328" t="s">
        <v>110</v>
      </c>
      <c r="J1830" s="328" t="s">
        <v>757</v>
      </c>
      <c r="K1830" s="328" t="s">
        <v>770</v>
      </c>
      <c r="L1830" s="329">
        <v>44012</v>
      </c>
      <c r="M1830" s="332">
        <v>0</v>
      </c>
    </row>
    <row r="1831" spans="1:13" hidden="1" x14ac:dyDescent="0.25">
      <c r="A1831" s="329">
        <v>44012</v>
      </c>
      <c r="B1831" s="328" t="s">
        <v>1681</v>
      </c>
      <c r="C1831" s="328" t="s">
        <v>1059</v>
      </c>
      <c r="D1831" s="330">
        <v>1</v>
      </c>
      <c r="E1831" s="331">
        <v>-33</v>
      </c>
      <c r="F1831" s="331">
        <v>11720.5</v>
      </c>
      <c r="G1831" s="328" t="s">
        <v>1682</v>
      </c>
      <c r="H1831" s="328" t="s">
        <v>1748</v>
      </c>
      <c r="I1831" s="328" t="s">
        <v>110</v>
      </c>
      <c r="J1831" s="328" t="s">
        <v>757</v>
      </c>
      <c r="K1831" s="328" t="s">
        <v>741</v>
      </c>
      <c r="L1831" s="329">
        <v>44012</v>
      </c>
      <c r="M1831" s="332">
        <v>0</v>
      </c>
    </row>
    <row r="1832" spans="1:13" hidden="1" x14ac:dyDescent="0.25">
      <c r="A1832" s="329">
        <v>44043</v>
      </c>
      <c r="B1832" s="328" t="s">
        <v>1689</v>
      </c>
      <c r="C1832" s="328" t="s">
        <v>1060</v>
      </c>
      <c r="D1832" s="330">
        <v>1</v>
      </c>
      <c r="E1832" s="331">
        <v>33</v>
      </c>
      <c r="F1832" s="331">
        <v>11753.5</v>
      </c>
      <c r="G1832" s="328" t="s">
        <v>1686</v>
      </c>
      <c r="H1832" s="328" t="s">
        <v>1748</v>
      </c>
      <c r="I1832" s="328" t="s">
        <v>110</v>
      </c>
      <c r="J1832" s="328" t="s">
        <v>757</v>
      </c>
      <c r="K1832" s="328" t="s">
        <v>741</v>
      </c>
      <c r="L1832" s="329">
        <v>44043</v>
      </c>
      <c r="M1832" s="332">
        <v>0</v>
      </c>
    </row>
    <row r="1833" spans="1:13" hidden="1" x14ac:dyDescent="0.25">
      <c r="A1833" s="329">
        <v>44043</v>
      </c>
      <c r="B1833" s="328" t="s">
        <v>1688</v>
      </c>
      <c r="C1833" s="328" t="s">
        <v>1060</v>
      </c>
      <c r="D1833" s="330">
        <v>1</v>
      </c>
      <c r="E1833" s="331">
        <v>-33</v>
      </c>
      <c r="F1833" s="331">
        <v>11720.5</v>
      </c>
      <c r="G1833" s="328" t="s">
        <v>1686</v>
      </c>
      <c r="H1833" s="328" t="s">
        <v>1748</v>
      </c>
      <c r="I1833" s="328" t="s">
        <v>110</v>
      </c>
      <c r="J1833" s="328" t="s">
        <v>757</v>
      </c>
      <c r="K1833" s="328" t="s">
        <v>741</v>
      </c>
      <c r="L1833" s="329">
        <v>44043</v>
      </c>
      <c r="M1833" s="332">
        <v>0</v>
      </c>
    </row>
    <row r="1834" spans="1:13" hidden="1" x14ac:dyDescent="0.25">
      <c r="A1834" s="329">
        <v>44043</v>
      </c>
      <c r="B1834" s="328" t="s">
        <v>1685</v>
      </c>
      <c r="C1834" s="328" t="s">
        <v>1060</v>
      </c>
      <c r="D1834" s="330">
        <v>1</v>
      </c>
      <c r="E1834" s="331">
        <v>33</v>
      </c>
      <c r="F1834" s="331">
        <v>11753.5</v>
      </c>
      <c r="G1834" s="328" t="s">
        <v>1686</v>
      </c>
      <c r="H1834" s="328" t="s">
        <v>1748</v>
      </c>
      <c r="I1834" s="328" t="s">
        <v>110</v>
      </c>
      <c r="J1834" s="328" t="s">
        <v>757</v>
      </c>
      <c r="K1834" s="328" t="s">
        <v>741</v>
      </c>
      <c r="L1834" s="329">
        <v>44043</v>
      </c>
      <c r="M1834" s="332">
        <v>0</v>
      </c>
    </row>
    <row r="1835" spans="1:13" hidden="1" x14ac:dyDescent="0.25">
      <c r="A1835" s="329">
        <v>44043</v>
      </c>
      <c r="B1835" s="328" t="s">
        <v>1685</v>
      </c>
      <c r="C1835" s="328" t="s">
        <v>1060</v>
      </c>
      <c r="D1835" s="330">
        <v>2</v>
      </c>
      <c r="E1835" s="331">
        <v>-33</v>
      </c>
      <c r="F1835" s="331">
        <v>11720.5</v>
      </c>
      <c r="G1835" s="328" t="s">
        <v>1686</v>
      </c>
      <c r="H1835" s="328" t="s">
        <v>1748</v>
      </c>
      <c r="I1835" s="328" t="s">
        <v>110</v>
      </c>
      <c r="J1835" s="328" t="s">
        <v>757</v>
      </c>
      <c r="K1835" s="328" t="s">
        <v>741</v>
      </c>
      <c r="L1835" s="329">
        <v>44043</v>
      </c>
      <c r="M1835" s="332">
        <v>0</v>
      </c>
    </row>
    <row r="1836" spans="1:13" hidden="1" x14ac:dyDescent="0.25">
      <c r="A1836" s="329">
        <v>44043</v>
      </c>
      <c r="B1836" s="328" t="s">
        <v>1691</v>
      </c>
      <c r="C1836" s="328" t="s">
        <v>769</v>
      </c>
      <c r="D1836" s="330">
        <v>2</v>
      </c>
      <c r="E1836" s="331">
        <v>33</v>
      </c>
      <c r="F1836" s="331">
        <v>11753.5</v>
      </c>
      <c r="G1836" s="328" t="s">
        <v>1692</v>
      </c>
      <c r="H1836" s="328" t="s">
        <v>1748</v>
      </c>
      <c r="I1836" s="328" t="s">
        <v>110</v>
      </c>
      <c r="J1836" s="328" t="s">
        <v>757</v>
      </c>
      <c r="K1836" s="328" t="s">
        <v>770</v>
      </c>
      <c r="L1836" s="329">
        <v>44043</v>
      </c>
      <c r="M1836" s="332">
        <v>0</v>
      </c>
    </row>
    <row r="1837" spans="1:13" hidden="1" x14ac:dyDescent="0.25">
      <c r="A1837" s="329">
        <v>44043</v>
      </c>
      <c r="B1837" s="328" t="s">
        <v>1688</v>
      </c>
      <c r="C1837" s="328" t="s">
        <v>1060</v>
      </c>
      <c r="D1837" s="330">
        <v>2</v>
      </c>
      <c r="E1837" s="331">
        <v>33</v>
      </c>
      <c r="F1837" s="331">
        <v>11786.5</v>
      </c>
      <c r="G1837" s="328" t="s">
        <v>1686</v>
      </c>
      <c r="H1837" s="328" t="s">
        <v>1748</v>
      </c>
      <c r="I1837" s="328" t="s">
        <v>110</v>
      </c>
      <c r="J1837" s="328" t="s">
        <v>757</v>
      </c>
      <c r="K1837" s="328" t="s">
        <v>741</v>
      </c>
      <c r="L1837" s="329">
        <v>44043</v>
      </c>
      <c r="M1837" s="332">
        <v>0</v>
      </c>
    </row>
    <row r="1838" spans="1:13" hidden="1" x14ac:dyDescent="0.25">
      <c r="A1838" s="329">
        <v>44043</v>
      </c>
      <c r="B1838" s="328" t="s">
        <v>1689</v>
      </c>
      <c r="C1838" s="328" t="s">
        <v>1060</v>
      </c>
      <c r="D1838" s="330">
        <v>2</v>
      </c>
      <c r="E1838" s="331">
        <v>-33</v>
      </c>
      <c r="F1838" s="331">
        <v>11753.5</v>
      </c>
      <c r="G1838" s="328" t="s">
        <v>1686</v>
      </c>
      <c r="H1838" s="328" t="s">
        <v>1748</v>
      </c>
      <c r="I1838" s="328" t="s">
        <v>110</v>
      </c>
      <c r="J1838" s="328" t="s">
        <v>757</v>
      </c>
      <c r="K1838" s="328" t="s">
        <v>741</v>
      </c>
      <c r="L1838" s="329">
        <v>44043</v>
      </c>
      <c r="M1838" s="332">
        <v>0</v>
      </c>
    </row>
    <row r="1839" spans="1:13" hidden="1" x14ac:dyDescent="0.25">
      <c r="A1839" s="329">
        <v>44074</v>
      </c>
      <c r="B1839" s="328" t="s">
        <v>1695</v>
      </c>
      <c r="C1839" s="328" t="s">
        <v>1060</v>
      </c>
      <c r="D1839" s="330">
        <v>2</v>
      </c>
      <c r="E1839" s="331">
        <v>33</v>
      </c>
      <c r="F1839" s="331">
        <v>11786.5</v>
      </c>
      <c r="G1839" s="328" t="s">
        <v>1696</v>
      </c>
      <c r="H1839" s="328" t="s">
        <v>1748</v>
      </c>
      <c r="I1839" s="328" t="s">
        <v>110</v>
      </c>
      <c r="J1839" s="328" t="s">
        <v>757</v>
      </c>
      <c r="K1839" s="328" t="s">
        <v>741</v>
      </c>
      <c r="L1839" s="329">
        <v>44074</v>
      </c>
      <c r="M1839" s="332">
        <v>0</v>
      </c>
    </row>
    <row r="1840" spans="1:13" hidden="1" x14ac:dyDescent="0.25">
      <c r="A1840" s="329">
        <v>44074</v>
      </c>
      <c r="B1840" s="328" t="s">
        <v>1697</v>
      </c>
      <c r="C1840" s="328" t="s">
        <v>769</v>
      </c>
      <c r="D1840" s="330">
        <v>3</v>
      </c>
      <c r="E1840" s="331">
        <v>33</v>
      </c>
      <c r="F1840" s="331">
        <v>11819.5</v>
      </c>
      <c r="G1840" s="328" t="s">
        <v>1698</v>
      </c>
      <c r="H1840" s="328" t="s">
        <v>1748</v>
      </c>
      <c r="I1840" s="328" t="s">
        <v>110</v>
      </c>
      <c r="J1840" s="328" t="s">
        <v>757</v>
      </c>
      <c r="K1840" s="328" t="s">
        <v>770</v>
      </c>
      <c r="L1840" s="329">
        <v>44074</v>
      </c>
      <c r="M1840" s="332">
        <v>0</v>
      </c>
    </row>
    <row r="1841" spans="1:13" hidden="1" x14ac:dyDescent="0.25">
      <c r="A1841" s="329">
        <v>44074</v>
      </c>
      <c r="B1841" s="328" t="s">
        <v>1695</v>
      </c>
      <c r="C1841" s="328" t="s">
        <v>1060</v>
      </c>
      <c r="D1841" s="330">
        <v>3</v>
      </c>
      <c r="E1841" s="331">
        <v>-33</v>
      </c>
      <c r="F1841" s="331">
        <v>11786.5</v>
      </c>
      <c r="G1841" s="328" t="s">
        <v>1696</v>
      </c>
      <c r="H1841" s="328" t="s">
        <v>1748</v>
      </c>
      <c r="I1841" s="328" t="s">
        <v>110</v>
      </c>
      <c r="J1841" s="328" t="s">
        <v>757</v>
      </c>
      <c r="K1841" s="328" t="s">
        <v>741</v>
      </c>
      <c r="L1841" s="329">
        <v>44074</v>
      </c>
      <c r="M1841" s="332">
        <v>0</v>
      </c>
    </row>
    <row r="1842" spans="1:13" hidden="1" x14ac:dyDescent="0.25">
      <c r="A1842" s="329">
        <v>44104</v>
      </c>
      <c r="B1842" s="328" t="s">
        <v>1699</v>
      </c>
      <c r="C1842" s="328" t="s">
        <v>1060</v>
      </c>
      <c r="D1842" s="330">
        <v>3</v>
      </c>
      <c r="E1842" s="331">
        <v>49.5</v>
      </c>
      <c r="F1842" s="331">
        <v>11836</v>
      </c>
      <c r="G1842" s="328" t="s">
        <v>1700</v>
      </c>
      <c r="H1842" s="328" t="s">
        <v>1748</v>
      </c>
      <c r="I1842" s="328" t="s">
        <v>110</v>
      </c>
      <c r="J1842" s="328" t="s">
        <v>757</v>
      </c>
      <c r="K1842" s="328" t="s">
        <v>741</v>
      </c>
      <c r="L1842" s="329">
        <v>44104</v>
      </c>
      <c r="M1842" s="332">
        <v>0</v>
      </c>
    </row>
    <row r="1843" spans="1:13" hidden="1" x14ac:dyDescent="0.25">
      <c r="A1843" s="329">
        <v>44104</v>
      </c>
      <c r="B1843" s="328" t="s">
        <v>1699</v>
      </c>
      <c r="C1843" s="328" t="s">
        <v>1060</v>
      </c>
      <c r="D1843" s="330">
        <v>4</v>
      </c>
      <c r="E1843" s="331">
        <v>-49.5</v>
      </c>
      <c r="F1843" s="331">
        <v>11786.5</v>
      </c>
      <c r="G1843" s="328" t="s">
        <v>1700</v>
      </c>
      <c r="H1843" s="328" t="s">
        <v>1748</v>
      </c>
      <c r="I1843" s="328" t="s">
        <v>110</v>
      </c>
      <c r="J1843" s="328" t="s">
        <v>757</v>
      </c>
      <c r="K1843" s="328" t="s">
        <v>741</v>
      </c>
      <c r="L1843" s="329">
        <v>44104</v>
      </c>
      <c r="M1843" s="332">
        <v>0</v>
      </c>
    </row>
    <row r="1844" spans="1:13" hidden="1" x14ac:dyDescent="0.25">
      <c r="A1844" s="329">
        <v>44105</v>
      </c>
      <c r="B1844" s="328" t="s">
        <v>1701</v>
      </c>
      <c r="C1844" s="328" t="s">
        <v>769</v>
      </c>
      <c r="D1844" s="330">
        <v>4</v>
      </c>
      <c r="E1844" s="331">
        <v>49.5</v>
      </c>
      <c r="F1844" s="331">
        <v>11836</v>
      </c>
      <c r="G1844" s="328" t="s">
        <v>1702</v>
      </c>
      <c r="H1844" s="328" t="s">
        <v>1748</v>
      </c>
      <c r="I1844" s="328" t="s">
        <v>110</v>
      </c>
      <c r="J1844" s="328" t="s">
        <v>757</v>
      </c>
      <c r="K1844" s="328" t="s">
        <v>770</v>
      </c>
      <c r="L1844" s="329">
        <v>44105</v>
      </c>
      <c r="M1844" s="332">
        <v>0</v>
      </c>
    </row>
    <row r="1845" spans="1:13" hidden="1" x14ac:dyDescent="0.25">
      <c r="A1845" s="329">
        <v>44012</v>
      </c>
      <c r="B1845" s="328" t="s">
        <v>1678</v>
      </c>
      <c r="C1845" s="328" t="s">
        <v>769</v>
      </c>
      <c r="D1845" s="330">
        <v>1</v>
      </c>
      <c r="E1845" s="331">
        <v>49.5</v>
      </c>
      <c r="F1845" s="331">
        <v>11922.34</v>
      </c>
      <c r="G1845" s="328" t="s">
        <v>1679</v>
      </c>
      <c r="H1845" s="328" t="s">
        <v>1749</v>
      </c>
      <c r="I1845" s="328" t="s">
        <v>110</v>
      </c>
      <c r="J1845" s="328" t="s">
        <v>757</v>
      </c>
      <c r="K1845" s="328" t="s">
        <v>770</v>
      </c>
      <c r="L1845" s="329">
        <v>44012</v>
      </c>
      <c r="M1845" s="332">
        <v>0</v>
      </c>
    </row>
    <row r="1846" spans="1:13" hidden="1" x14ac:dyDescent="0.25">
      <c r="A1846" s="329">
        <v>44012</v>
      </c>
      <c r="B1846" s="328" t="s">
        <v>1681</v>
      </c>
      <c r="C1846" s="328" t="s">
        <v>1059</v>
      </c>
      <c r="D1846" s="330">
        <v>1</v>
      </c>
      <c r="E1846" s="331">
        <v>-38.5</v>
      </c>
      <c r="F1846" s="331">
        <v>11883.84</v>
      </c>
      <c r="G1846" s="328" t="s">
        <v>1682</v>
      </c>
      <c r="H1846" s="328" t="s">
        <v>1749</v>
      </c>
      <c r="I1846" s="328" t="s">
        <v>110</v>
      </c>
      <c r="J1846" s="328" t="s">
        <v>757</v>
      </c>
      <c r="K1846" s="328" t="s">
        <v>741</v>
      </c>
      <c r="L1846" s="329">
        <v>44012</v>
      </c>
      <c r="M1846" s="332">
        <v>0</v>
      </c>
    </row>
    <row r="1847" spans="1:13" hidden="1" x14ac:dyDescent="0.25">
      <c r="A1847" s="329">
        <v>44041</v>
      </c>
      <c r="B1847" s="328" t="s">
        <v>1683</v>
      </c>
      <c r="C1847" s="328" t="s">
        <v>936</v>
      </c>
      <c r="D1847" s="330">
        <v>1</v>
      </c>
      <c r="E1847" s="331">
        <v>-11</v>
      </c>
      <c r="F1847" s="331">
        <v>11872.84</v>
      </c>
      <c r="G1847" s="328" t="s">
        <v>1684</v>
      </c>
      <c r="H1847" s="328" t="s">
        <v>1749</v>
      </c>
      <c r="I1847" s="328" t="s">
        <v>110</v>
      </c>
      <c r="J1847" s="328" t="s">
        <v>757</v>
      </c>
      <c r="K1847" s="328" t="s">
        <v>770</v>
      </c>
      <c r="L1847" s="329">
        <v>44041</v>
      </c>
      <c r="M1847" s="332">
        <v>0</v>
      </c>
    </row>
    <row r="1848" spans="1:13" hidden="1" x14ac:dyDescent="0.25">
      <c r="A1848" s="329">
        <v>44043</v>
      </c>
      <c r="B1848" s="328" t="s">
        <v>1689</v>
      </c>
      <c r="C1848" s="328" t="s">
        <v>1060</v>
      </c>
      <c r="D1848" s="330">
        <v>1</v>
      </c>
      <c r="E1848" s="331">
        <v>-11</v>
      </c>
      <c r="F1848" s="331">
        <v>11861.84</v>
      </c>
      <c r="G1848" s="328" t="s">
        <v>1690</v>
      </c>
      <c r="H1848" s="328" t="s">
        <v>1749</v>
      </c>
      <c r="I1848" s="328" t="s">
        <v>110</v>
      </c>
      <c r="J1848" s="328" t="s">
        <v>757</v>
      </c>
      <c r="K1848" s="328" t="s">
        <v>741</v>
      </c>
      <c r="L1848" s="329">
        <v>44043</v>
      </c>
      <c r="M1848" s="332">
        <v>0</v>
      </c>
    </row>
    <row r="1849" spans="1:13" hidden="1" x14ac:dyDescent="0.25">
      <c r="A1849" s="329">
        <v>44043</v>
      </c>
      <c r="B1849" s="328" t="s">
        <v>1689</v>
      </c>
      <c r="C1849" s="328" t="s">
        <v>1060</v>
      </c>
      <c r="D1849" s="330">
        <v>1</v>
      </c>
      <c r="E1849" s="331">
        <v>44</v>
      </c>
      <c r="F1849" s="331">
        <v>11905.84</v>
      </c>
      <c r="G1849" s="328" t="s">
        <v>1686</v>
      </c>
      <c r="H1849" s="328" t="s">
        <v>1749</v>
      </c>
      <c r="I1849" s="328" t="s">
        <v>110</v>
      </c>
      <c r="J1849" s="328" t="s">
        <v>757</v>
      </c>
      <c r="K1849" s="328" t="s">
        <v>741</v>
      </c>
      <c r="L1849" s="329">
        <v>44043</v>
      </c>
      <c r="M1849" s="332">
        <v>0</v>
      </c>
    </row>
    <row r="1850" spans="1:13" hidden="1" x14ac:dyDescent="0.25">
      <c r="A1850" s="329">
        <v>44043</v>
      </c>
      <c r="B1850" s="328" t="s">
        <v>1688</v>
      </c>
      <c r="C1850" s="328" t="s">
        <v>1060</v>
      </c>
      <c r="D1850" s="330">
        <v>1</v>
      </c>
      <c r="E1850" s="331">
        <v>-11</v>
      </c>
      <c r="F1850" s="331">
        <v>11894.84</v>
      </c>
      <c r="G1850" s="328" t="s">
        <v>1687</v>
      </c>
      <c r="H1850" s="328" t="s">
        <v>1749</v>
      </c>
      <c r="I1850" s="328" t="s">
        <v>110</v>
      </c>
      <c r="J1850" s="328" t="s">
        <v>757</v>
      </c>
      <c r="K1850" s="328" t="s">
        <v>741</v>
      </c>
      <c r="L1850" s="329">
        <v>44043</v>
      </c>
      <c r="M1850" s="332">
        <v>0</v>
      </c>
    </row>
    <row r="1851" spans="1:13" hidden="1" x14ac:dyDescent="0.25">
      <c r="A1851" s="329">
        <v>44043</v>
      </c>
      <c r="B1851" s="328" t="s">
        <v>1688</v>
      </c>
      <c r="C1851" s="328" t="s">
        <v>1060</v>
      </c>
      <c r="D1851" s="330">
        <v>1</v>
      </c>
      <c r="E1851" s="331">
        <v>-44</v>
      </c>
      <c r="F1851" s="331">
        <v>11850.84</v>
      </c>
      <c r="G1851" s="328" t="s">
        <v>1686</v>
      </c>
      <c r="H1851" s="328" t="s">
        <v>1749</v>
      </c>
      <c r="I1851" s="328" t="s">
        <v>110</v>
      </c>
      <c r="J1851" s="328" t="s">
        <v>757</v>
      </c>
      <c r="K1851" s="328" t="s">
        <v>741</v>
      </c>
      <c r="L1851" s="329">
        <v>44043</v>
      </c>
      <c r="M1851" s="332">
        <v>0</v>
      </c>
    </row>
    <row r="1852" spans="1:13" hidden="1" x14ac:dyDescent="0.25">
      <c r="A1852" s="329">
        <v>44043</v>
      </c>
      <c r="B1852" s="328" t="s">
        <v>1685</v>
      </c>
      <c r="C1852" s="328" t="s">
        <v>1060</v>
      </c>
      <c r="D1852" s="330">
        <v>1</v>
      </c>
      <c r="E1852" s="331">
        <v>11</v>
      </c>
      <c r="F1852" s="331">
        <v>11861.84</v>
      </c>
      <c r="G1852" s="328" t="s">
        <v>1687</v>
      </c>
      <c r="H1852" s="328" t="s">
        <v>1749</v>
      </c>
      <c r="I1852" s="328" t="s">
        <v>110</v>
      </c>
      <c r="J1852" s="328" t="s">
        <v>757</v>
      </c>
      <c r="K1852" s="328" t="s">
        <v>741</v>
      </c>
      <c r="L1852" s="329">
        <v>44043</v>
      </c>
      <c r="M1852" s="332">
        <v>0</v>
      </c>
    </row>
    <row r="1853" spans="1:13" hidden="1" x14ac:dyDescent="0.25">
      <c r="A1853" s="329">
        <v>44043</v>
      </c>
      <c r="B1853" s="328" t="s">
        <v>1685</v>
      </c>
      <c r="C1853" s="328" t="s">
        <v>1060</v>
      </c>
      <c r="D1853" s="330">
        <v>1</v>
      </c>
      <c r="E1853" s="331">
        <v>44</v>
      </c>
      <c r="F1853" s="331">
        <v>11905.84</v>
      </c>
      <c r="G1853" s="328" t="s">
        <v>1686</v>
      </c>
      <c r="H1853" s="328" t="s">
        <v>1749</v>
      </c>
      <c r="I1853" s="328" t="s">
        <v>110</v>
      </c>
      <c r="J1853" s="328" t="s">
        <v>757</v>
      </c>
      <c r="K1853" s="328" t="s">
        <v>741</v>
      </c>
      <c r="L1853" s="329">
        <v>44043</v>
      </c>
      <c r="M1853" s="332">
        <v>0</v>
      </c>
    </row>
    <row r="1854" spans="1:13" hidden="1" x14ac:dyDescent="0.25">
      <c r="A1854" s="329">
        <v>44043</v>
      </c>
      <c r="B1854" s="328" t="s">
        <v>1685</v>
      </c>
      <c r="C1854" s="328" t="s">
        <v>1060</v>
      </c>
      <c r="D1854" s="330">
        <v>2</v>
      </c>
      <c r="E1854" s="331">
        <v>-11</v>
      </c>
      <c r="F1854" s="331">
        <v>11894.84</v>
      </c>
      <c r="G1854" s="328" t="s">
        <v>1687</v>
      </c>
      <c r="H1854" s="328" t="s">
        <v>1749</v>
      </c>
      <c r="I1854" s="328" t="s">
        <v>110</v>
      </c>
      <c r="J1854" s="328" t="s">
        <v>757</v>
      </c>
      <c r="K1854" s="328" t="s">
        <v>741</v>
      </c>
      <c r="L1854" s="329">
        <v>44043</v>
      </c>
      <c r="M1854" s="332">
        <v>0</v>
      </c>
    </row>
    <row r="1855" spans="1:13" hidden="1" x14ac:dyDescent="0.25">
      <c r="A1855" s="329">
        <v>44043</v>
      </c>
      <c r="B1855" s="328" t="s">
        <v>1685</v>
      </c>
      <c r="C1855" s="328" t="s">
        <v>1060</v>
      </c>
      <c r="D1855" s="330">
        <v>2</v>
      </c>
      <c r="E1855" s="331">
        <v>-44</v>
      </c>
      <c r="F1855" s="331">
        <v>11850.84</v>
      </c>
      <c r="G1855" s="328" t="s">
        <v>1686</v>
      </c>
      <c r="H1855" s="328" t="s">
        <v>1749</v>
      </c>
      <c r="I1855" s="328" t="s">
        <v>110</v>
      </c>
      <c r="J1855" s="328" t="s">
        <v>757</v>
      </c>
      <c r="K1855" s="328" t="s">
        <v>741</v>
      </c>
      <c r="L1855" s="329">
        <v>44043</v>
      </c>
      <c r="M1855" s="332">
        <v>0</v>
      </c>
    </row>
    <row r="1856" spans="1:13" hidden="1" x14ac:dyDescent="0.25">
      <c r="A1856" s="329">
        <v>44043</v>
      </c>
      <c r="B1856" s="328" t="s">
        <v>1693</v>
      </c>
      <c r="C1856" s="328" t="s">
        <v>936</v>
      </c>
      <c r="D1856" s="330">
        <v>2</v>
      </c>
      <c r="E1856" s="331">
        <v>-11</v>
      </c>
      <c r="F1856" s="331">
        <v>11839.84</v>
      </c>
      <c r="G1856" s="328" t="s">
        <v>1694</v>
      </c>
      <c r="H1856" s="328" t="s">
        <v>1749</v>
      </c>
      <c r="I1856" s="328" t="s">
        <v>110</v>
      </c>
      <c r="J1856" s="328" t="s">
        <v>757</v>
      </c>
      <c r="K1856" s="328" t="s">
        <v>770</v>
      </c>
      <c r="L1856" s="329">
        <v>44043</v>
      </c>
      <c r="M1856" s="332">
        <v>0</v>
      </c>
    </row>
    <row r="1857" spans="1:13" hidden="1" x14ac:dyDescent="0.25">
      <c r="A1857" s="329">
        <v>44043</v>
      </c>
      <c r="B1857" s="328" t="s">
        <v>1691</v>
      </c>
      <c r="C1857" s="328" t="s">
        <v>769</v>
      </c>
      <c r="D1857" s="330">
        <v>2</v>
      </c>
      <c r="E1857" s="331">
        <v>44</v>
      </c>
      <c r="F1857" s="331">
        <v>11883.84</v>
      </c>
      <c r="G1857" s="328" t="s">
        <v>1692</v>
      </c>
      <c r="H1857" s="328" t="s">
        <v>1749</v>
      </c>
      <c r="I1857" s="328" t="s">
        <v>110</v>
      </c>
      <c r="J1857" s="328" t="s">
        <v>757</v>
      </c>
      <c r="K1857" s="328" t="s">
        <v>770</v>
      </c>
      <c r="L1857" s="329">
        <v>44043</v>
      </c>
      <c r="M1857" s="332">
        <v>0</v>
      </c>
    </row>
    <row r="1858" spans="1:13" hidden="1" x14ac:dyDescent="0.25">
      <c r="A1858" s="329">
        <v>44043</v>
      </c>
      <c r="B1858" s="328" t="s">
        <v>1689</v>
      </c>
      <c r="C1858" s="328" t="s">
        <v>1060</v>
      </c>
      <c r="D1858" s="330">
        <v>2</v>
      </c>
      <c r="E1858" s="331">
        <v>11</v>
      </c>
      <c r="F1858" s="331">
        <v>11894.84</v>
      </c>
      <c r="G1858" s="328" t="s">
        <v>1690</v>
      </c>
      <c r="H1858" s="328" t="s">
        <v>1749</v>
      </c>
      <c r="I1858" s="328" t="s">
        <v>110</v>
      </c>
      <c r="J1858" s="328" t="s">
        <v>757</v>
      </c>
      <c r="K1858" s="328" t="s">
        <v>741</v>
      </c>
      <c r="L1858" s="329">
        <v>44043</v>
      </c>
      <c r="M1858" s="332">
        <v>0</v>
      </c>
    </row>
    <row r="1859" spans="1:13" hidden="1" x14ac:dyDescent="0.25">
      <c r="A1859" s="329">
        <v>44043</v>
      </c>
      <c r="B1859" s="328" t="s">
        <v>1689</v>
      </c>
      <c r="C1859" s="328" t="s">
        <v>1060</v>
      </c>
      <c r="D1859" s="330">
        <v>2</v>
      </c>
      <c r="E1859" s="331">
        <v>-44</v>
      </c>
      <c r="F1859" s="331">
        <v>11850.84</v>
      </c>
      <c r="G1859" s="328" t="s">
        <v>1686</v>
      </c>
      <c r="H1859" s="328" t="s">
        <v>1749</v>
      </c>
      <c r="I1859" s="328" t="s">
        <v>110</v>
      </c>
      <c r="J1859" s="328" t="s">
        <v>757</v>
      </c>
      <c r="K1859" s="328" t="s">
        <v>741</v>
      </c>
      <c r="L1859" s="329">
        <v>44043</v>
      </c>
      <c r="M1859" s="332">
        <v>0</v>
      </c>
    </row>
    <row r="1860" spans="1:13" hidden="1" x14ac:dyDescent="0.25">
      <c r="A1860" s="329">
        <v>44043</v>
      </c>
      <c r="B1860" s="328" t="s">
        <v>1688</v>
      </c>
      <c r="C1860" s="328" t="s">
        <v>1060</v>
      </c>
      <c r="D1860" s="330">
        <v>2</v>
      </c>
      <c r="E1860" s="331">
        <v>11</v>
      </c>
      <c r="F1860" s="331">
        <v>11861.84</v>
      </c>
      <c r="G1860" s="328" t="s">
        <v>1687</v>
      </c>
      <c r="H1860" s="328" t="s">
        <v>1749</v>
      </c>
      <c r="I1860" s="328" t="s">
        <v>110</v>
      </c>
      <c r="J1860" s="328" t="s">
        <v>757</v>
      </c>
      <c r="K1860" s="328" t="s">
        <v>741</v>
      </c>
      <c r="L1860" s="329">
        <v>44043</v>
      </c>
      <c r="M1860" s="332">
        <v>0</v>
      </c>
    </row>
    <row r="1861" spans="1:13" hidden="1" x14ac:dyDescent="0.25">
      <c r="A1861" s="329">
        <v>44043</v>
      </c>
      <c r="B1861" s="328" t="s">
        <v>1688</v>
      </c>
      <c r="C1861" s="328" t="s">
        <v>1060</v>
      </c>
      <c r="D1861" s="330">
        <v>2</v>
      </c>
      <c r="E1861" s="331">
        <v>44</v>
      </c>
      <c r="F1861" s="331">
        <v>11905.84</v>
      </c>
      <c r="G1861" s="328" t="s">
        <v>1686</v>
      </c>
      <c r="H1861" s="328" t="s">
        <v>1749</v>
      </c>
      <c r="I1861" s="328" t="s">
        <v>110</v>
      </c>
      <c r="J1861" s="328" t="s">
        <v>757</v>
      </c>
      <c r="K1861" s="328" t="s">
        <v>741</v>
      </c>
      <c r="L1861" s="329">
        <v>44043</v>
      </c>
      <c r="M1861" s="332">
        <v>0</v>
      </c>
    </row>
    <row r="1862" spans="1:13" hidden="1" x14ac:dyDescent="0.25">
      <c r="A1862" s="329">
        <v>44074</v>
      </c>
      <c r="B1862" s="328" t="s">
        <v>1695</v>
      </c>
      <c r="C1862" s="328" t="s">
        <v>1060</v>
      </c>
      <c r="D1862" s="330">
        <v>2</v>
      </c>
      <c r="E1862" s="331">
        <v>44</v>
      </c>
      <c r="F1862" s="331">
        <v>11949.84</v>
      </c>
      <c r="G1862" s="328" t="s">
        <v>1696</v>
      </c>
      <c r="H1862" s="328" t="s">
        <v>1749</v>
      </c>
      <c r="I1862" s="328" t="s">
        <v>110</v>
      </c>
      <c r="J1862" s="328" t="s">
        <v>757</v>
      </c>
      <c r="K1862" s="328" t="s">
        <v>741</v>
      </c>
      <c r="L1862" s="329">
        <v>44074</v>
      </c>
      <c r="M1862" s="332">
        <v>0</v>
      </c>
    </row>
    <row r="1863" spans="1:13" hidden="1" x14ac:dyDescent="0.25">
      <c r="A1863" s="329">
        <v>44074</v>
      </c>
      <c r="B1863" s="328" t="s">
        <v>1697</v>
      </c>
      <c r="C1863" s="328" t="s">
        <v>769</v>
      </c>
      <c r="D1863" s="330">
        <v>3</v>
      </c>
      <c r="E1863" s="331">
        <v>44</v>
      </c>
      <c r="F1863" s="331">
        <v>11993.84</v>
      </c>
      <c r="G1863" s="328" t="s">
        <v>1698</v>
      </c>
      <c r="H1863" s="328" t="s">
        <v>1749</v>
      </c>
      <c r="I1863" s="328" t="s">
        <v>110</v>
      </c>
      <c r="J1863" s="328" t="s">
        <v>757</v>
      </c>
      <c r="K1863" s="328" t="s">
        <v>770</v>
      </c>
      <c r="L1863" s="329">
        <v>44074</v>
      </c>
      <c r="M1863" s="332">
        <v>0</v>
      </c>
    </row>
    <row r="1864" spans="1:13" hidden="1" x14ac:dyDescent="0.25">
      <c r="A1864" s="329">
        <v>44074</v>
      </c>
      <c r="B1864" s="328" t="s">
        <v>1695</v>
      </c>
      <c r="C1864" s="328" t="s">
        <v>1060</v>
      </c>
      <c r="D1864" s="330">
        <v>3</v>
      </c>
      <c r="E1864" s="331">
        <v>-44</v>
      </c>
      <c r="F1864" s="331">
        <v>11949.84</v>
      </c>
      <c r="G1864" s="328" t="s">
        <v>1696</v>
      </c>
      <c r="H1864" s="328" t="s">
        <v>1749</v>
      </c>
      <c r="I1864" s="328" t="s">
        <v>110</v>
      </c>
      <c r="J1864" s="328" t="s">
        <v>757</v>
      </c>
      <c r="K1864" s="328" t="s">
        <v>741</v>
      </c>
      <c r="L1864" s="329">
        <v>44074</v>
      </c>
      <c r="M1864" s="332">
        <v>0</v>
      </c>
    </row>
    <row r="1865" spans="1:13" hidden="1" x14ac:dyDescent="0.25">
      <c r="A1865" s="329">
        <v>44104</v>
      </c>
      <c r="B1865" s="328" t="s">
        <v>1699</v>
      </c>
      <c r="C1865" s="328" t="s">
        <v>1060</v>
      </c>
      <c r="D1865" s="330">
        <v>3</v>
      </c>
      <c r="E1865" s="331">
        <v>66</v>
      </c>
      <c r="F1865" s="331">
        <v>12015.84</v>
      </c>
      <c r="G1865" s="328" t="s">
        <v>1700</v>
      </c>
      <c r="H1865" s="328" t="s">
        <v>1749</v>
      </c>
      <c r="I1865" s="328" t="s">
        <v>110</v>
      </c>
      <c r="J1865" s="328" t="s">
        <v>757</v>
      </c>
      <c r="K1865" s="328" t="s">
        <v>741</v>
      </c>
      <c r="L1865" s="329">
        <v>44104</v>
      </c>
      <c r="M1865" s="332">
        <v>0</v>
      </c>
    </row>
    <row r="1866" spans="1:13" hidden="1" x14ac:dyDescent="0.25">
      <c r="A1866" s="329">
        <v>44104</v>
      </c>
      <c r="B1866" s="328" t="s">
        <v>1699</v>
      </c>
      <c r="C1866" s="328" t="s">
        <v>1060</v>
      </c>
      <c r="D1866" s="330">
        <v>4</v>
      </c>
      <c r="E1866" s="331">
        <v>-66</v>
      </c>
      <c r="F1866" s="331">
        <v>11949.84</v>
      </c>
      <c r="G1866" s="328" t="s">
        <v>1700</v>
      </c>
      <c r="H1866" s="328" t="s">
        <v>1749</v>
      </c>
      <c r="I1866" s="328" t="s">
        <v>110</v>
      </c>
      <c r="J1866" s="328" t="s">
        <v>757</v>
      </c>
      <c r="K1866" s="328" t="s">
        <v>741</v>
      </c>
      <c r="L1866" s="329">
        <v>44104</v>
      </c>
      <c r="M1866" s="332">
        <v>0</v>
      </c>
    </row>
    <row r="1867" spans="1:13" hidden="1" x14ac:dyDescent="0.25">
      <c r="A1867" s="329">
        <v>44105</v>
      </c>
      <c r="B1867" s="328" t="s">
        <v>1701</v>
      </c>
      <c r="C1867" s="328" t="s">
        <v>769</v>
      </c>
      <c r="D1867" s="330">
        <v>4</v>
      </c>
      <c r="E1867" s="331">
        <v>66</v>
      </c>
      <c r="F1867" s="331">
        <v>12015.84</v>
      </c>
      <c r="G1867" s="328" t="s">
        <v>1702</v>
      </c>
      <c r="H1867" s="328" t="s">
        <v>1749</v>
      </c>
      <c r="I1867" s="328" t="s">
        <v>110</v>
      </c>
      <c r="J1867" s="328" t="s">
        <v>757</v>
      </c>
      <c r="K1867" s="328" t="s">
        <v>770</v>
      </c>
      <c r="L1867" s="329">
        <v>44105</v>
      </c>
      <c r="M1867" s="332">
        <v>0</v>
      </c>
    </row>
    <row r="1868" spans="1:13" hidden="1" x14ac:dyDescent="0.25">
      <c r="A1868" s="329">
        <v>44135</v>
      </c>
      <c r="B1868" s="328" t="s">
        <v>1703</v>
      </c>
      <c r="C1868" s="328" t="s">
        <v>1060</v>
      </c>
      <c r="D1868" s="330">
        <v>4</v>
      </c>
      <c r="E1868" s="331">
        <v>16.5</v>
      </c>
      <c r="F1868" s="331">
        <v>12032.34</v>
      </c>
      <c r="G1868" s="328" t="s">
        <v>1704</v>
      </c>
      <c r="H1868" s="328" t="s">
        <v>1749</v>
      </c>
      <c r="I1868" s="328" t="s">
        <v>110</v>
      </c>
      <c r="J1868" s="328" t="s">
        <v>757</v>
      </c>
      <c r="K1868" s="328" t="s">
        <v>741</v>
      </c>
      <c r="L1868" s="329">
        <v>44135</v>
      </c>
      <c r="M1868" s="332">
        <v>0</v>
      </c>
    </row>
    <row r="1869" spans="1:13" hidden="1" x14ac:dyDescent="0.25">
      <c r="A1869" s="329">
        <v>44135</v>
      </c>
      <c r="B1869" s="328" t="s">
        <v>1703</v>
      </c>
      <c r="C1869" s="328" t="s">
        <v>1060</v>
      </c>
      <c r="D1869" s="330">
        <v>5</v>
      </c>
      <c r="E1869" s="331">
        <v>-16.5</v>
      </c>
      <c r="F1869" s="331">
        <v>12015.84</v>
      </c>
      <c r="G1869" s="328" t="s">
        <v>1704</v>
      </c>
      <c r="H1869" s="328" t="s">
        <v>1749</v>
      </c>
      <c r="I1869" s="328" t="s">
        <v>110</v>
      </c>
      <c r="J1869" s="328" t="s">
        <v>757</v>
      </c>
      <c r="K1869" s="328" t="s">
        <v>741</v>
      </c>
      <c r="L1869" s="329">
        <v>44135</v>
      </c>
      <c r="M1869" s="332">
        <v>0</v>
      </c>
    </row>
    <row r="1870" spans="1:13" hidden="1" x14ac:dyDescent="0.25">
      <c r="A1870" s="329">
        <v>44135</v>
      </c>
      <c r="B1870" s="328" t="s">
        <v>1705</v>
      </c>
      <c r="C1870" s="328" t="s">
        <v>769</v>
      </c>
      <c r="D1870" s="330">
        <v>5</v>
      </c>
      <c r="E1870" s="331">
        <v>16.5</v>
      </c>
      <c r="F1870" s="331">
        <v>12032.34</v>
      </c>
      <c r="G1870" s="328" t="s">
        <v>1706</v>
      </c>
      <c r="H1870" s="328" t="s">
        <v>1749</v>
      </c>
      <c r="I1870" s="328" t="s">
        <v>110</v>
      </c>
      <c r="J1870" s="328" t="s">
        <v>757</v>
      </c>
      <c r="K1870" s="328" t="s">
        <v>770</v>
      </c>
      <c r="L1870" s="329">
        <v>44135</v>
      </c>
      <c r="M1870" s="332">
        <v>0</v>
      </c>
    </row>
    <row r="1871" spans="1:13" hidden="1" x14ac:dyDescent="0.25">
      <c r="A1871" s="329">
        <v>44165</v>
      </c>
      <c r="B1871" s="328" t="s">
        <v>1707</v>
      </c>
      <c r="C1871" s="328" t="s">
        <v>1060</v>
      </c>
      <c r="D1871" s="330">
        <v>5</v>
      </c>
      <c r="E1871" s="331">
        <v>16.5</v>
      </c>
      <c r="F1871" s="331">
        <v>12048.84</v>
      </c>
      <c r="G1871" s="328" t="s">
        <v>1708</v>
      </c>
      <c r="H1871" s="328" t="s">
        <v>1749</v>
      </c>
      <c r="I1871" s="328" t="s">
        <v>110</v>
      </c>
      <c r="J1871" s="328" t="s">
        <v>757</v>
      </c>
      <c r="K1871" s="328" t="s">
        <v>741</v>
      </c>
      <c r="L1871" s="329">
        <v>44165</v>
      </c>
      <c r="M1871" s="332">
        <v>0</v>
      </c>
    </row>
    <row r="1872" spans="1:13" hidden="1" x14ac:dyDescent="0.25">
      <c r="A1872" s="329">
        <v>44165</v>
      </c>
      <c r="B1872" s="328" t="s">
        <v>1709</v>
      </c>
      <c r="C1872" s="328" t="s">
        <v>769</v>
      </c>
      <c r="D1872" s="330">
        <v>6</v>
      </c>
      <c r="E1872" s="331">
        <v>16.5</v>
      </c>
      <c r="F1872" s="331">
        <v>12065.34</v>
      </c>
      <c r="G1872" s="328" t="s">
        <v>1710</v>
      </c>
      <c r="H1872" s="328" t="s">
        <v>1749</v>
      </c>
      <c r="I1872" s="328" t="s">
        <v>110</v>
      </c>
      <c r="J1872" s="328" t="s">
        <v>757</v>
      </c>
      <c r="K1872" s="328" t="s">
        <v>770</v>
      </c>
      <c r="L1872" s="329">
        <v>44165</v>
      </c>
      <c r="M1872" s="332">
        <v>0</v>
      </c>
    </row>
    <row r="1873" spans="1:13" hidden="1" x14ac:dyDescent="0.25">
      <c r="A1873" s="329">
        <v>44165</v>
      </c>
      <c r="B1873" s="328" t="s">
        <v>1707</v>
      </c>
      <c r="C1873" s="328" t="s">
        <v>1060</v>
      </c>
      <c r="D1873" s="330">
        <v>6</v>
      </c>
      <c r="E1873" s="331">
        <v>-16.5</v>
      </c>
      <c r="F1873" s="331">
        <v>12048.84</v>
      </c>
      <c r="G1873" s="328" t="s">
        <v>1708</v>
      </c>
      <c r="H1873" s="328" t="s">
        <v>1749</v>
      </c>
      <c r="I1873" s="328" t="s">
        <v>110</v>
      </c>
      <c r="J1873" s="328" t="s">
        <v>757</v>
      </c>
      <c r="K1873" s="328" t="s">
        <v>741</v>
      </c>
      <c r="L1873" s="329">
        <v>44165</v>
      </c>
      <c r="M1873" s="332">
        <v>0</v>
      </c>
    </row>
    <row r="1874" spans="1:13" hidden="1" x14ac:dyDescent="0.25">
      <c r="A1874" s="329">
        <v>44012</v>
      </c>
      <c r="B1874" s="328" t="s">
        <v>1681</v>
      </c>
      <c r="C1874" s="328" t="s">
        <v>1059</v>
      </c>
      <c r="D1874" s="330">
        <v>1</v>
      </c>
      <c r="E1874" s="331">
        <v>-77</v>
      </c>
      <c r="F1874" s="331">
        <v>12008.68</v>
      </c>
      <c r="G1874" s="328" t="s">
        <v>1682</v>
      </c>
      <c r="H1874" s="328" t="s">
        <v>1750</v>
      </c>
      <c r="I1874" s="328" t="s">
        <v>110</v>
      </c>
      <c r="J1874" s="328" t="s">
        <v>757</v>
      </c>
      <c r="K1874" s="328" t="s">
        <v>741</v>
      </c>
      <c r="L1874" s="329">
        <v>44012</v>
      </c>
      <c r="M1874" s="332">
        <v>0</v>
      </c>
    </row>
    <row r="1875" spans="1:13" hidden="1" x14ac:dyDescent="0.25">
      <c r="A1875" s="329">
        <v>44012</v>
      </c>
      <c r="B1875" s="328" t="s">
        <v>1678</v>
      </c>
      <c r="C1875" s="328" t="s">
        <v>769</v>
      </c>
      <c r="D1875" s="330">
        <v>1</v>
      </c>
      <c r="E1875" s="331">
        <v>77</v>
      </c>
      <c r="F1875" s="331">
        <v>12085.68</v>
      </c>
      <c r="G1875" s="328" t="s">
        <v>1679</v>
      </c>
      <c r="H1875" s="328" t="s">
        <v>1750</v>
      </c>
      <c r="I1875" s="328" t="s">
        <v>110</v>
      </c>
      <c r="J1875" s="328" t="s">
        <v>757</v>
      </c>
      <c r="K1875" s="328" t="s">
        <v>770</v>
      </c>
      <c r="L1875" s="329">
        <v>44012</v>
      </c>
      <c r="M1875" s="332">
        <v>0</v>
      </c>
    </row>
    <row r="1876" spans="1:13" hidden="1" x14ac:dyDescent="0.25">
      <c r="A1876" s="329">
        <v>44043</v>
      </c>
      <c r="B1876" s="328" t="s">
        <v>1688</v>
      </c>
      <c r="C1876" s="328" t="s">
        <v>1060</v>
      </c>
      <c r="D1876" s="330">
        <v>1</v>
      </c>
      <c r="E1876" s="331">
        <v>-77</v>
      </c>
      <c r="F1876" s="331">
        <v>12008.68</v>
      </c>
      <c r="G1876" s="328" t="s">
        <v>1686</v>
      </c>
      <c r="H1876" s="328" t="s">
        <v>1750</v>
      </c>
      <c r="I1876" s="328" t="s">
        <v>110</v>
      </c>
      <c r="J1876" s="328" t="s">
        <v>757</v>
      </c>
      <c r="K1876" s="328" t="s">
        <v>741</v>
      </c>
      <c r="L1876" s="329">
        <v>44043</v>
      </c>
      <c r="M1876" s="332">
        <v>0</v>
      </c>
    </row>
    <row r="1877" spans="1:13" hidden="1" x14ac:dyDescent="0.25">
      <c r="A1877" s="329">
        <v>44043</v>
      </c>
      <c r="B1877" s="328" t="s">
        <v>1685</v>
      </c>
      <c r="C1877" s="328" t="s">
        <v>1060</v>
      </c>
      <c r="D1877" s="330">
        <v>1</v>
      </c>
      <c r="E1877" s="331">
        <v>5.5</v>
      </c>
      <c r="F1877" s="331">
        <v>12014.18</v>
      </c>
      <c r="G1877" s="328" t="s">
        <v>1687</v>
      </c>
      <c r="H1877" s="328" t="s">
        <v>1750</v>
      </c>
      <c r="I1877" s="328" t="s">
        <v>110</v>
      </c>
      <c r="J1877" s="328" t="s">
        <v>757</v>
      </c>
      <c r="K1877" s="328" t="s">
        <v>741</v>
      </c>
      <c r="L1877" s="329">
        <v>44043</v>
      </c>
      <c r="M1877" s="332">
        <v>0</v>
      </c>
    </row>
    <row r="1878" spans="1:13" hidden="1" x14ac:dyDescent="0.25">
      <c r="A1878" s="329">
        <v>44043</v>
      </c>
      <c r="B1878" s="328" t="s">
        <v>1685</v>
      </c>
      <c r="C1878" s="328" t="s">
        <v>1060</v>
      </c>
      <c r="D1878" s="330">
        <v>1</v>
      </c>
      <c r="E1878" s="331">
        <v>77</v>
      </c>
      <c r="F1878" s="331">
        <v>12091.18</v>
      </c>
      <c r="G1878" s="328" t="s">
        <v>1686</v>
      </c>
      <c r="H1878" s="328" t="s">
        <v>1750</v>
      </c>
      <c r="I1878" s="328" t="s">
        <v>110</v>
      </c>
      <c r="J1878" s="328" t="s">
        <v>757</v>
      </c>
      <c r="K1878" s="328" t="s">
        <v>741</v>
      </c>
      <c r="L1878" s="329">
        <v>44043</v>
      </c>
      <c r="M1878" s="332">
        <v>0</v>
      </c>
    </row>
    <row r="1879" spans="1:13" hidden="1" x14ac:dyDescent="0.25">
      <c r="A1879" s="329">
        <v>44043</v>
      </c>
      <c r="B1879" s="328" t="s">
        <v>1688</v>
      </c>
      <c r="C1879" s="328" t="s">
        <v>1060</v>
      </c>
      <c r="D1879" s="330">
        <v>1</v>
      </c>
      <c r="E1879" s="331">
        <v>-5.5</v>
      </c>
      <c r="F1879" s="331">
        <v>12085.68</v>
      </c>
      <c r="G1879" s="328" t="s">
        <v>1687</v>
      </c>
      <c r="H1879" s="328" t="s">
        <v>1750</v>
      </c>
      <c r="I1879" s="328" t="s">
        <v>110</v>
      </c>
      <c r="J1879" s="328" t="s">
        <v>757</v>
      </c>
      <c r="K1879" s="328" t="s">
        <v>741</v>
      </c>
      <c r="L1879" s="329">
        <v>44043</v>
      </c>
      <c r="M1879" s="332">
        <v>0</v>
      </c>
    </row>
    <row r="1880" spans="1:13" hidden="1" x14ac:dyDescent="0.25">
      <c r="A1880" s="329">
        <v>44043</v>
      </c>
      <c r="B1880" s="328" t="s">
        <v>1689</v>
      </c>
      <c r="C1880" s="328" t="s">
        <v>1060</v>
      </c>
      <c r="D1880" s="330">
        <v>1</v>
      </c>
      <c r="E1880" s="331">
        <v>77</v>
      </c>
      <c r="F1880" s="331">
        <v>12162.68</v>
      </c>
      <c r="G1880" s="328" t="s">
        <v>1686</v>
      </c>
      <c r="H1880" s="328" t="s">
        <v>1750</v>
      </c>
      <c r="I1880" s="328" t="s">
        <v>110</v>
      </c>
      <c r="J1880" s="328" t="s">
        <v>757</v>
      </c>
      <c r="K1880" s="328" t="s">
        <v>741</v>
      </c>
      <c r="L1880" s="329">
        <v>44043</v>
      </c>
      <c r="M1880" s="332">
        <v>0</v>
      </c>
    </row>
    <row r="1881" spans="1:13" hidden="1" x14ac:dyDescent="0.25">
      <c r="A1881" s="329">
        <v>44043</v>
      </c>
      <c r="B1881" s="328" t="s">
        <v>1691</v>
      </c>
      <c r="C1881" s="328" t="s">
        <v>769</v>
      </c>
      <c r="D1881" s="330">
        <v>2</v>
      </c>
      <c r="E1881" s="331">
        <v>77</v>
      </c>
      <c r="F1881" s="331">
        <v>12239.68</v>
      </c>
      <c r="G1881" s="328" t="s">
        <v>1692</v>
      </c>
      <c r="H1881" s="328" t="s">
        <v>1750</v>
      </c>
      <c r="I1881" s="328" t="s">
        <v>110</v>
      </c>
      <c r="J1881" s="328" t="s">
        <v>757</v>
      </c>
      <c r="K1881" s="328" t="s">
        <v>770</v>
      </c>
      <c r="L1881" s="329">
        <v>44043</v>
      </c>
      <c r="M1881" s="332">
        <v>0</v>
      </c>
    </row>
    <row r="1882" spans="1:13" hidden="1" x14ac:dyDescent="0.25">
      <c r="A1882" s="329">
        <v>44043</v>
      </c>
      <c r="B1882" s="328" t="s">
        <v>1693</v>
      </c>
      <c r="C1882" s="328" t="s">
        <v>936</v>
      </c>
      <c r="D1882" s="330">
        <v>2</v>
      </c>
      <c r="E1882" s="331">
        <v>-5.5</v>
      </c>
      <c r="F1882" s="331">
        <v>12234.18</v>
      </c>
      <c r="G1882" s="328" t="s">
        <v>1694</v>
      </c>
      <c r="H1882" s="328" t="s">
        <v>1750</v>
      </c>
      <c r="I1882" s="328" t="s">
        <v>110</v>
      </c>
      <c r="J1882" s="328" t="s">
        <v>757</v>
      </c>
      <c r="K1882" s="328" t="s">
        <v>770</v>
      </c>
      <c r="L1882" s="329">
        <v>44043</v>
      </c>
      <c r="M1882" s="332">
        <v>0</v>
      </c>
    </row>
    <row r="1883" spans="1:13" hidden="1" x14ac:dyDescent="0.25">
      <c r="A1883" s="329">
        <v>44043</v>
      </c>
      <c r="B1883" s="328" t="s">
        <v>1685</v>
      </c>
      <c r="C1883" s="328" t="s">
        <v>1060</v>
      </c>
      <c r="D1883" s="330">
        <v>2</v>
      </c>
      <c r="E1883" s="331">
        <v>-77</v>
      </c>
      <c r="F1883" s="331">
        <v>12157.18</v>
      </c>
      <c r="G1883" s="328" t="s">
        <v>1686</v>
      </c>
      <c r="H1883" s="328" t="s">
        <v>1750</v>
      </c>
      <c r="I1883" s="328" t="s">
        <v>110</v>
      </c>
      <c r="J1883" s="328" t="s">
        <v>757</v>
      </c>
      <c r="K1883" s="328" t="s">
        <v>741</v>
      </c>
      <c r="L1883" s="329">
        <v>44043</v>
      </c>
      <c r="M1883" s="332">
        <v>0</v>
      </c>
    </row>
    <row r="1884" spans="1:13" hidden="1" x14ac:dyDescent="0.25">
      <c r="A1884" s="329">
        <v>44043</v>
      </c>
      <c r="B1884" s="328" t="s">
        <v>1685</v>
      </c>
      <c r="C1884" s="328" t="s">
        <v>1060</v>
      </c>
      <c r="D1884" s="330">
        <v>2</v>
      </c>
      <c r="E1884" s="331">
        <v>-5.5</v>
      </c>
      <c r="F1884" s="331">
        <v>12151.68</v>
      </c>
      <c r="G1884" s="328" t="s">
        <v>1687</v>
      </c>
      <c r="H1884" s="328" t="s">
        <v>1750</v>
      </c>
      <c r="I1884" s="328" t="s">
        <v>110</v>
      </c>
      <c r="J1884" s="328" t="s">
        <v>757</v>
      </c>
      <c r="K1884" s="328" t="s">
        <v>741</v>
      </c>
      <c r="L1884" s="329">
        <v>44043</v>
      </c>
      <c r="M1884" s="332">
        <v>0</v>
      </c>
    </row>
    <row r="1885" spans="1:13" hidden="1" x14ac:dyDescent="0.25">
      <c r="A1885" s="329">
        <v>44043</v>
      </c>
      <c r="B1885" s="328" t="s">
        <v>1688</v>
      </c>
      <c r="C1885" s="328" t="s">
        <v>1060</v>
      </c>
      <c r="D1885" s="330">
        <v>2</v>
      </c>
      <c r="E1885" s="331">
        <v>77</v>
      </c>
      <c r="F1885" s="331">
        <v>12228.68</v>
      </c>
      <c r="G1885" s="328" t="s">
        <v>1686</v>
      </c>
      <c r="H1885" s="328" t="s">
        <v>1750</v>
      </c>
      <c r="I1885" s="328" t="s">
        <v>110</v>
      </c>
      <c r="J1885" s="328" t="s">
        <v>757</v>
      </c>
      <c r="K1885" s="328" t="s">
        <v>741</v>
      </c>
      <c r="L1885" s="329">
        <v>44043</v>
      </c>
      <c r="M1885" s="332">
        <v>0</v>
      </c>
    </row>
    <row r="1886" spans="1:13" hidden="1" x14ac:dyDescent="0.25">
      <c r="A1886" s="329">
        <v>44043</v>
      </c>
      <c r="B1886" s="328" t="s">
        <v>1688</v>
      </c>
      <c r="C1886" s="328" t="s">
        <v>1060</v>
      </c>
      <c r="D1886" s="330">
        <v>2</v>
      </c>
      <c r="E1886" s="331">
        <v>5.5</v>
      </c>
      <c r="F1886" s="331">
        <v>12234.18</v>
      </c>
      <c r="G1886" s="328" t="s">
        <v>1687</v>
      </c>
      <c r="H1886" s="328" t="s">
        <v>1750</v>
      </c>
      <c r="I1886" s="328" t="s">
        <v>110</v>
      </c>
      <c r="J1886" s="328" t="s">
        <v>757</v>
      </c>
      <c r="K1886" s="328" t="s">
        <v>741</v>
      </c>
      <c r="L1886" s="329">
        <v>44043</v>
      </c>
      <c r="M1886" s="332">
        <v>0</v>
      </c>
    </row>
    <row r="1887" spans="1:13" hidden="1" x14ac:dyDescent="0.25">
      <c r="A1887" s="329">
        <v>44043</v>
      </c>
      <c r="B1887" s="328" t="s">
        <v>1689</v>
      </c>
      <c r="C1887" s="328" t="s">
        <v>1060</v>
      </c>
      <c r="D1887" s="330">
        <v>2</v>
      </c>
      <c r="E1887" s="331">
        <v>-77</v>
      </c>
      <c r="F1887" s="331">
        <v>12157.18</v>
      </c>
      <c r="G1887" s="328" t="s">
        <v>1686</v>
      </c>
      <c r="H1887" s="328" t="s">
        <v>1750</v>
      </c>
      <c r="I1887" s="328" t="s">
        <v>110</v>
      </c>
      <c r="J1887" s="328" t="s">
        <v>757</v>
      </c>
      <c r="K1887" s="328" t="s">
        <v>741</v>
      </c>
      <c r="L1887" s="329">
        <v>44043</v>
      </c>
      <c r="M1887" s="332">
        <v>0</v>
      </c>
    </row>
    <row r="1888" spans="1:13" hidden="1" x14ac:dyDescent="0.25">
      <c r="A1888" s="329">
        <v>44074</v>
      </c>
      <c r="B1888" s="328" t="s">
        <v>1695</v>
      </c>
      <c r="C1888" s="328" t="s">
        <v>1060</v>
      </c>
      <c r="D1888" s="330">
        <v>2</v>
      </c>
      <c r="E1888" s="331">
        <v>55</v>
      </c>
      <c r="F1888" s="331">
        <v>12212.18</v>
      </c>
      <c r="G1888" s="328" t="s">
        <v>1696</v>
      </c>
      <c r="H1888" s="328" t="s">
        <v>1750</v>
      </c>
      <c r="I1888" s="328" t="s">
        <v>110</v>
      </c>
      <c r="J1888" s="328" t="s">
        <v>757</v>
      </c>
      <c r="K1888" s="328" t="s">
        <v>741</v>
      </c>
      <c r="L1888" s="329">
        <v>44074</v>
      </c>
      <c r="M1888" s="332">
        <v>0</v>
      </c>
    </row>
    <row r="1889" spans="1:13" hidden="1" x14ac:dyDescent="0.25">
      <c r="A1889" s="329">
        <v>44074</v>
      </c>
      <c r="B1889" s="328" t="s">
        <v>1697</v>
      </c>
      <c r="C1889" s="328" t="s">
        <v>769</v>
      </c>
      <c r="D1889" s="330">
        <v>3</v>
      </c>
      <c r="E1889" s="331">
        <v>55</v>
      </c>
      <c r="F1889" s="331">
        <v>12267.18</v>
      </c>
      <c r="G1889" s="328" t="s">
        <v>1698</v>
      </c>
      <c r="H1889" s="328" t="s">
        <v>1750</v>
      </c>
      <c r="I1889" s="328" t="s">
        <v>110</v>
      </c>
      <c r="J1889" s="328" t="s">
        <v>757</v>
      </c>
      <c r="K1889" s="328" t="s">
        <v>770</v>
      </c>
      <c r="L1889" s="329">
        <v>44074</v>
      </c>
      <c r="M1889" s="332">
        <v>0</v>
      </c>
    </row>
    <row r="1890" spans="1:13" hidden="1" x14ac:dyDescent="0.25">
      <c r="A1890" s="329">
        <v>44074</v>
      </c>
      <c r="B1890" s="328" t="s">
        <v>1695</v>
      </c>
      <c r="C1890" s="328" t="s">
        <v>1060</v>
      </c>
      <c r="D1890" s="330">
        <v>3</v>
      </c>
      <c r="E1890" s="331">
        <v>-55</v>
      </c>
      <c r="F1890" s="331">
        <v>12212.18</v>
      </c>
      <c r="G1890" s="328" t="s">
        <v>1696</v>
      </c>
      <c r="H1890" s="328" t="s">
        <v>1750</v>
      </c>
      <c r="I1890" s="328" t="s">
        <v>110</v>
      </c>
      <c r="J1890" s="328" t="s">
        <v>757</v>
      </c>
      <c r="K1890" s="328" t="s">
        <v>741</v>
      </c>
      <c r="L1890" s="329">
        <v>44074</v>
      </c>
      <c r="M1890" s="332">
        <v>0</v>
      </c>
    </row>
    <row r="1891" spans="1:13" hidden="1" x14ac:dyDescent="0.25">
      <c r="A1891" s="329">
        <v>44104</v>
      </c>
      <c r="B1891" s="328" t="s">
        <v>1699</v>
      </c>
      <c r="C1891" s="328" t="s">
        <v>1060</v>
      </c>
      <c r="D1891" s="330">
        <v>3</v>
      </c>
      <c r="E1891" s="331">
        <v>82.5</v>
      </c>
      <c r="F1891" s="331">
        <v>12294.68</v>
      </c>
      <c r="G1891" s="328" t="s">
        <v>1700</v>
      </c>
      <c r="H1891" s="328" t="s">
        <v>1750</v>
      </c>
      <c r="I1891" s="328" t="s">
        <v>110</v>
      </c>
      <c r="J1891" s="328" t="s">
        <v>757</v>
      </c>
      <c r="K1891" s="328" t="s">
        <v>741</v>
      </c>
      <c r="L1891" s="329">
        <v>44104</v>
      </c>
      <c r="M1891" s="332">
        <v>0</v>
      </c>
    </row>
    <row r="1892" spans="1:13" hidden="1" x14ac:dyDescent="0.25">
      <c r="A1892" s="329">
        <v>44104</v>
      </c>
      <c r="B1892" s="328" t="s">
        <v>1699</v>
      </c>
      <c r="C1892" s="328" t="s">
        <v>1060</v>
      </c>
      <c r="D1892" s="330">
        <v>4</v>
      </c>
      <c r="E1892" s="331">
        <v>-82.5</v>
      </c>
      <c r="F1892" s="331">
        <v>12212.18</v>
      </c>
      <c r="G1892" s="328" t="s">
        <v>1700</v>
      </c>
      <c r="H1892" s="328" t="s">
        <v>1750</v>
      </c>
      <c r="I1892" s="328" t="s">
        <v>110</v>
      </c>
      <c r="J1892" s="328" t="s">
        <v>757</v>
      </c>
      <c r="K1892" s="328" t="s">
        <v>741</v>
      </c>
      <c r="L1892" s="329">
        <v>44104</v>
      </c>
      <c r="M1892" s="332">
        <v>0</v>
      </c>
    </row>
    <row r="1893" spans="1:13" hidden="1" x14ac:dyDescent="0.25">
      <c r="A1893" s="329">
        <v>44105</v>
      </c>
      <c r="B1893" s="328" t="s">
        <v>1701</v>
      </c>
      <c r="C1893" s="328" t="s">
        <v>769</v>
      </c>
      <c r="D1893" s="330">
        <v>4</v>
      </c>
      <c r="E1893" s="331">
        <v>82.5</v>
      </c>
      <c r="F1893" s="331">
        <v>12294.68</v>
      </c>
      <c r="G1893" s="328" t="s">
        <v>1702</v>
      </c>
      <c r="H1893" s="328" t="s">
        <v>1750</v>
      </c>
      <c r="I1893" s="328" t="s">
        <v>110</v>
      </c>
      <c r="J1893" s="328" t="s">
        <v>757</v>
      </c>
      <c r="K1893" s="328" t="s">
        <v>770</v>
      </c>
      <c r="L1893" s="329">
        <v>44105</v>
      </c>
      <c r="M1893" s="332">
        <v>0</v>
      </c>
    </row>
    <row r="1894" spans="1:13" hidden="1" x14ac:dyDescent="0.25">
      <c r="A1894" s="329">
        <v>44135</v>
      </c>
      <c r="B1894" s="328" t="s">
        <v>1703</v>
      </c>
      <c r="C1894" s="328" t="s">
        <v>1060</v>
      </c>
      <c r="D1894" s="330">
        <v>4</v>
      </c>
      <c r="E1894" s="331">
        <v>66</v>
      </c>
      <c r="F1894" s="331">
        <v>12360.68</v>
      </c>
      <c r="G1894" s="328" t="s">
        <v>1704</v>
      </c>
      <c r="H1894" s="328" t="s">
        <v>1750</v>
      </c>
      <c r="I1894" s="328" t="s">
        <v>110</v>
      </c>
      <c r="J1894" s="328" t="s">
        <v>757</v>
      </c>
      <c r="K1894" s="328" t="s">
        <v>741</v>
      </c>
      <c r="L1894" s="329">
        <v>44135</v>
      </c>
      <c r="M1894" s="332">
        <v>0</v>
      </c>
    </row>
    <row r="1895" spans="1:13" hidden="1" x14ac:dyDescent="0.25">
      <c r="A1895" s="329">
        <v>44135</v>
      </c>
      <c r="B1895" s="328" t="s">
        <v>1703</v>
      </c>
      <c r="C1895" s="328" t="s">
        <v>1060</v>
      </c>
      <c r="D1895" s="330">
        <v>5</v>
      </c>
      <c r="E1895" s="331">
        <v>-66</v>
      </c>
      <c r="F1895" s="331">
        <v>12294.68</v>
      </c>
      <c r="G1895" s="328" t="s">
        <v>1704</v>
      </c>
      <c r="H1895" s="328" t="s">
        <v>1750</v>
      </c>
      <c r="I1895" s="328" t="s">
        <v>110</v>
      </c>
      <c r="J1895" s="328" t="s">
        <v>757</v>
      </c>
      <c r="K1895" s="328" t="s">
        <v>741</v>
      </c>
      <c r="L1895" s="329">
        <v>44135</v>
      </c>
      <c r="M1895" s="332">
        <v>0</v>
      </c>
    </row>
    <row r="1896" spans="1:13" hidden="1" x14ac:dyDescent="0.25">
      <c r="A1896" s="329">
        <v>44135</v>
      </c>
      <c r="B1896" s="328" t="s">
        <v>1705</v>
      </c>
      <c r="C1896" s="328" t="s">
        <v>769</v>
      </c>
      <c r="D1896" s="330">
        <v>5</v>
      </c>
      <c r="E1896" s="331">
        <v>66</v>
      </c>
      <c r="F1896" s="331">
        <v>12360.68</v>
      </c>
      <c r="G1896" s="328" t="s">
        <v>1706</v>
      </c>
      <c r="H1896" s="328" t="s">
        <v>1750</v>
      </c>
      <c r="I1896" s="328" t="s">
        <v>110</v>
      </c>
      <c r="J1896" s="328" t="s">
        <v>757</v>
      </c>
      <c r="K1896" s="328" t="s">
        <v>770</v>
      </c>
      <c r="L1896" s="329">
        <v>44135</v>
      </c>
      <c r="M1896" s="332">
        <v>0</v>
      </c>
    </row>
    <row r="1897" spans="1:13" hidden="1" x14ac:dyDescent="0.25">
      <c r="A1897" s="329">
        <v>44165</v>
      </c>
      <c r="B1897" s="328" t="s">
        <v>1707</v>
      </c>
      <c r="C1897" s="328" t="s">
        <v>1060</v>
      </c>
      <c r="D1897" s="330">
        <v>5</v>
      </c>
      <c r="E1897" s="331">
        <v>66</v>
      </c>
      <c r="F1897" s="331">
        <v>12426.68</v>
      </c>
      <c r="G1897" s="328" t="s">
        <v>1708</v>
      </c>
      <c r="H1897" s="328" t="s">
        <v>1750</v>
      </c>
      <c r="I1897" s="328" t="s">
        <v>110</v>
      </c>
      <c r="J1897" s="328" t="s">
        <v>757</v>
      </c>
      <c r="K1897" s="328" t="s">
        <v>741</v>
      </c>
      <c r="L1897" s="329">
        <v>44165</v>
      </c>
      <c r="M1897" s="332">
        <v>0</v>
      </c>
    </row>
    <row r="1898" spans="1:13" hidden="1" x14ac:dyDescent="0.25">
      <c r="A1898" s="329">
        <v>44165</v>
      </c>
      <c r="B1898" s="328" t="s">
        <v>1707</v>
      </c>
      <c r="C1898" s="328" t="s">
        <v>1060</v>
      </c>
      <c r="D1898" s="330">
        <v>6</v>
      </c>
      <c r="E1898" s="331">
        <v>-66</v>
      </c>
      <c r="F1898" s="331">
        <v>12360.68</v>
      </c>
      <c r="G1898" s="328" t="s">
        <v>1708</v>
      </c>
      <c r="H1898" s="328" t="s">
        <v>1750</v>
      </c>
      <c r="I1898" s="328" t="s">
        <v>110</v>
      </c>
      <c r="J1898" s="328" t="s">
        <v>757</v>
      </c>
      <c r="K1898" s="328" t="s">
        <v>741</v>
      </c>
      <c r="L1898" s="329">
        <v>44165</v>
      </c>
      <c r="M1898" s="332">
        <v>0</v>
      </c>
    </row>
    <row r="1899" spans="1:13" hidden="1" x14ac:dyDescent="0.25">
      <c r="A1899" s="329">
        <v>44165</v>
      </c>
      <c r="B1899" s="328" t="s">
        <v>1709</v>
      </c>
      <c r="C1899" s="328" t="s">
        <v>769</v>
      </c>
      <c r="D1899" s="330">
        <v>6</v>
      </c>
      <c r="E1899" s="331">
        <v>66</v>
      </c>
      <c r="F1899" s="331">
        <v>12426.68</v>
      </c>
      <c r="G1899" s="328" t="s">
        <v>1710</v>
      </c>
      <c r="H1899" s="328" t="s">
        <v>1750</v>
      </c>
      <c r="I1899" s="328" t="s">
        <v>110</v>
      </c>
      <c r="J1899" s="328" t="s">
        <v>757</v>
      </c>
      <c r="K1899" s="328" t="s">
        <v>770</v>
      </c>
      <c r="L1899" s="329">
        <v>44165</v>
      </c>
      <c r="M1899" s="332">
        <v>0</v>
      </c>
    </row>
    <row r="1900" spans="1:13" hidden="1" x14ac:dyDescent="0.25">
      <c r="A1900" s="329">
        <v>44196</v>
      </c>
      <c r="B1900" s="328" t="s">
        <v>1711</v>
      </c>
      <c r="C1900" s="328" t="s">
        <v>1060</v>
      </c>
      <c r="D1900" s="330">
        <v>6</v>
      </c>
      <c r="E1900" s="331">
        <v>66</v>
      </c>
      <c r="F1900" s="331">
        <v>12492.68</v>
      </c>
      <c r="G1900" s="328" t="s">
        <v>1712</v>
      </c>
      <c r="H1900" s="328" t="s">
        <v>1750</v>
      </c>
      <c r="I1900" s="328" t="s">
        <v>110</v>
      </c>
      <c r="J1900" s="328" t="s">
        <v>757</v>
      </c>
      <c r="K1900" s="328" t="s">
        <v>741</v>
      </c>
      <c r="L1900" s="329">
        <v>44196</v>
      </c>
      <c r="M1900" s="332">
        <v>0</v>
      </c>
    </row>
    <row r="1901" spans="1:13" hidden="1" x14ac:dyDescent="0.25">
      <c r="A1901" s="329">
        <v>44196</v>
      </c>
      <c r="B1901" s="328" t="s">
        <v>1711</v>
      </c>
      <c r="C1901" s="328" t="s">
        <v>1060</v>
      </c>
      <c r="D1901" s="330">
        <v>7</v>
      </c>
      <c r="E1901" s="331">
        <v>-66</v>
      </c>
      <c r="F1901" s="331">
        <v>12426.68</v>
      </c>
      <c r="G1901" s="328" t="s">
        <v>1712</v>
      </c>
      <c r="H1901" s="328" t="s">
        <v>1750</v>
      </c>
      <c r="I1901" s="328" t="s">
        <v>110</v>
      </c>
      <c r="J1901" s="328" t="s">
        <v>757</v>
      </c>
      <c r="K1901" s="328" t="s">
        <v>741</v>
      </c>
      <c r="L1901" s="329">
        <v>44196</v>
      </c>
      <c r="M1901" s="332">
        <v>0</v>
      </c>
    </row>
    <row r="1902" spans="1:13" hidden="1" x14ac:dyDescent="0.25">
      <c r="A1902" s="329">
        <v>44196</v>
      </c>
      <c r="B1902" s="328" t="s">
        <v>1713</v>
      </c>
      <c r="C1902" s="328" t="s">
        <v>769</v>
      </c>
      <c r="D1902" s="330">
        <v>7</v>
      </c>
      <c r="E1902" s="331">
        <v>66</v>
      </c>
      <c r="F1902" s="331">
        <v>12492.68</v>
      </c>
      <c r="G1902" s="328" t="s">
        <v>1714</v>
      </c>
      <c r="H1902" s="328" t="s">
        <v>1750</v>
      </c>
      <c r="I1902" s="328" t="s">
        <v>110</v>
      </c>
      <c r="J1902" s="328" t="s">
        <v>757</v>
      </c>
      <c r="K1902" s="328" t="s">
        <v>770</v>
      </c>
      <c r="L1902" s="329">
        <v>44196</v>
      </c>
      <c r="M1902" s="332">
        <v>0</v>
      </c>
    </row>
    <row r="1903" spans="1:13" hidden="1" x14ac:dyDescent="0.25">
      <c r="A1903" s="329">
        <v>44227</v>
      </c>
      <c r="B1903" s="328" t="s">
        <v>1715</v>
      </c>
      <c r="C1903" s="328" t="s">
        <v>1060</v>
      </c>
      <c r="D1903" s="330">
        <v>7</v>
      </c>
      <c r="E1903" s="331">
        <v>66</v>
      </c>
      <c r="F1903" s="331">
        <v>12558.68</v>
      </c>
      <c r="G1903" s="328" t="s">
        <v>1716</v>
      </c>
      <c r="H1903" s="328" t="s">
        <v>1750</v>
      </c>
      <c r="I1903" s="328" t="s">
        <v>110</v>
      </c>
      <c r="J1903" s="328" t="s">
        <v>757</v>
      </c>
      <c r="K1903" s="328" t="s">
        <v>741</v>
      </c>
      <c r="L1903" s="329">
        <v>44227</v>
      </c>
      <c r="M1903" s="332">
        <v>0</v>
      </c>
    </row>
    <row r="1904" spans="1:13" hidden="1" x14ac:dyDescent="0.25">
      <c r="A1904" s="329">
        <v>44227</v>
      </c>
      <c r="B1904" s="328" t="s">
        <v>1715</v>
      </c>
      <c r="C1904" s="328" t="s">
        <v>1060</v>
      </c>
      <c r="D1904" s="330">
        <v>8</v>
      </c>
      <c r="E1904" s="331">
        <v>-66</v>
      </c>
      <c r="F1904" s="331">
        <v>12492.68</v>
      </c>
      <c r="G1904" s="328" t="s">
        <v>1716</v>
      </c>
      <c r="H1904" s="328" t="s">
        <v>1750</v>
      </c>
      <c r="I1904" s="328" t="s">
        <v>110</v>
      </c>
      <c r="J1904" s="328" t="s">
        <v>757</v>
      </c>
      <c r="K1904" s="328" t="s">
        <v>741</v>
      </c>
      <c r="L1904" s="329">
        <v>44227</v>
      </c>
      <c r="M1904" s="332">
        <v>0</v>
      </c>
    </row>
    <row r="1905" spans="1:13" hidden="1" x14ac:dyDescent="0.25">
      <c r="A1905" s="329">
        <v>44227</v>
      </c>
      <c r="B1905" s="328" t="s">
        <v>1717</v>
      </c>
      <c r="C1905" s="328" t="s">
        <v>769</v>
      </c>
      <c r="D1905" s="330">
        <v>8</v>
      </c>
      <c r="E1905" s="331">
        <v>66</v>
      </c>
      <c r="F1905" s="331">
        <v>12558.68</v>
      </c>
      <c r="G1905" s="328" t="s">
        <v>1718</v>
      </c>
      <c r="H1905" s="328" t="s">
        <v>1750</v>
      </c>
      <c r="I1905" s="328" t="s">
        <v>110</v>
      </c>
      <c r="J1905" s="328" t="s">
        <v>757</v>
      </c>
      <c r="K1905" s="328" t="s">
        <v>770</v>
      </c>
      <c r="L1905" s="329">
        <v>44227</v>
      </c>
      <c r="M1905" s="332">
        <v>0</v>
      </c>
    </row>
    <row r="1906" spans="1:13" hidden="1" x14ac:dyDescent="0.25">
      <c r="A1906" s="329">
        <v>44255</v>
      </c>
      <c r="B1906" s="328" t="s">
        <v>1720</v>
      </c>
      <c r="C1906" s="328" t="s">
        <v>1060</v>
      </c>
      <c r="D1906" s="330">
        <v>8</v>
      </c>
      <c r="E1906" s="331">
        <v>66</v>
      </c>
      <c r="F1906" s="331">
        <v>12624.68</v>
      </c>
      <c r="G1906" s="328" t="s">
        <v>1721</v>
      </c>
      <c r="H1906" s="328" t="s">
        <v>1750</v>
      </c>
      <c r="I1906" s="328" t="s">
        <v>110</v>
      </c>
      <c r="J1906" s="328" t="s">
        <v>757</v>
      </c>
      <c r="K1906" s="328" t="s">
        <v>741</v>
      </c>
      <c r="L1906" s="329">
        <v>44255</v>
      </c>
      <c r="M1906" s="332">
        <v>0</v>
      </c>
    </row>
    <row r="1907" spans="1:13" hidden="1" x14ac:dyDescent="0.25">
      <c r="A1907" s="329">
        <v>44255</v>
      </c>
      <c r="B1907" s="328" t="s">
        <v>1720</v>
      </c>
      <c r="C1907" s="328" t="s">
        <v>1060</v>
      </c>
      <c r="D1907" s="330">
        <v>9</v>
      </c>
      <c r="E1907" s="331">
        <v>-66</v>
      </c>
      <c r="F1907" s="331">
        <v>12558.68</v>
      </c>
      <c r="G1907" s="328" t="s">
        <v>1721</v>
      </c>
      <c r="H1907" s="328" t="s">
        <v>1750</v>
      </c>
      <c r="I1907" s="328" t="s">
        <v>110</v>
      </c>
      <c r="J1907" s="328" t="s">
        <v>757</v>
      </c>
      <c r="K1907" s="328" t="s">
        <v>741</v>
      </c>
      <c r="L1907" s="329">
        <v>44255</v>
      </c>
      <c r="M1907" s="332">
        <v>0</v>
      </c>
    </row>
    <row r="1908" spans="1:13" hidden="1" x14ac:dyDescent="0.25">
      <c r="A1908" s="329">
        <v>44255</v>
      </c>
      <c r="B1908" s="328" t="s">
        <v>1722</v>
      </c>
      <c r="C1908" s="328" t="s">
        <v>769</v>
      </c>
      <c r="D1908" s="330">
        <v>9</v>
      </c>
      <c r="E1908" s="331">
        <v>77</v>
      </c>
      <c r="F1908" s="331">
        <v>12635.68</v>
      </c>
      <c r="G1908" s="328" t="s">
        <v>1723</v>
      </c>
      <c r="H1908" s="328" t="s">
        <v>1750</v>
      </c>
      <c r="I1908" s="328" t="s">
        <v>110</v>
      </c>
      <c r="J1908" s="328" t="s">
        <v>757</v>
      </c>
      <c r="K1908" s="328" t="s">
        <v>770</v>
      </c>
      <c r="L1908" s="329">
        <v>44255</v>
      </c>
      <c r="M1908" s="332">
        <v>0</v>
      </c>
    </row>
    <row r="1909" spans="1:13" hidden="1" x14ac:dyDescent="0.25">
      <c r="A1909" s="329">
        <v>44286</v>
      </c>
      <c r="B1909" s="328" t="s">
        <v>1724</v>
      </c>
      <c r="C1909" s="328" t="s">
        <v>1060</v>
      </c>
      <c r="D1909" s="330">
        <v>9</v>
      </c>
      <c r="E1909" s="331">
        <v>110</v>
      </c>
      <c r="F1909" s="331">
        <v>12745.68</v>
      </c>
      <c r="G1909" s="328" t="s">
        <v>1725</v>
      </c>
      <c r="H1909" s="328" t="s">
        <v>1750</v>
      </c>
      <c r="I1909" s="328" t="s">
        <v>110</v>
      </c>
      <c r="J1909" s="328" t="s">
        <v>757</v>
      </c>
      <c r="K1909" s="328" t="s">
        <v>741</v>
      </c>
      <c r="L1909" s="329">
        <v>44286</v>
      </c>
      <c r="M1909" s="332">
        <v>0</v>
      </c>
    </row>
    <row r="1910" spans="1:13" hidden="1" x14ac:dyDescent="0.25">
      <c r="A1910" s="329">
        <v>44286</v>
      </c>
      <c r="B1910" s="328" t="s">
        <v>1726</v>
      </c>
      <c r="C1910" s="328" t="s">
        <v>769</v>
      </c>
      <c r="D1910" s="330">
        <v>10</v>
      </c>
      <c r="E1910" s="331">
        <v>110</v>
      </c>
      <c r="F1910" s="331">
        <v>12855.68</v>
      </c>
      <c r="G1910" s="328" t="s">
        <v>1727</v>
      </c>
      <c r="H1910" s="328" t="s">
        <v>1750</v>
      </c>
      <c r="I1910" s="328" t="s">
        <v>110</v>
      </c>
      <c r="J1910" s="328" t="s">
        <v>757</v>
      </c>
      <c r="K1910" s="328" t="s">
        <v>770</v>
      </c>
      <c r="L1910" s="329">
        <v>44286</v>
      </c>
      <c r="M1910" s="332">
        <v>0</v>
      </c>
    </row>
    <row r="1911" spans="1:13" hidden="1" x14ac:dyDescent="0.25">
      <c r="A1911" s="329">
        <v>44286</v>
      </c>
      <c r="B1911" s="328" t="s">
        <v>1724</v>
      </c>
      <c r="C1911" s="328" t="s">
        <v>1060</v>
      </c>
      <c r="D1911" s="330">
        <v>10</v>
      </c>
      <c r="E1911" s="331">
        <v>-110</v>
      </c>
      <c r="F1911" s="331">
        <v>12745.68</v>
      </c>
      <c r="G1911" s="328" t="s">
        <v>1725</v>
      </c>
      <c r="H1911" s="328" t="s">
        <v>1750</v>
      </c>
      <c r="I1911" s="328" t="s">
        <v>110</v>
      </c>
      <c r="J1911" s="328" t="s">
        <v>757</v>
      </c>
      <c r="K1911" s="328" t="s">
        <v>741</v>
      </c>
      <c r="L1911" s="329">
        <v>44286</v>
      </c>
      <c r="M1911" s="332">
        <v>0</v>
      </c>
    </row>
    <row r="1912" spans="1:13" hidden="1" x14ac:dyDescent="0.25">
      <c r="A1912" s="329">
        <v>44316</v>
      </c>
      <c r="B1912" s="328" t="s">
        <v>1728</v>
      </c>
      <c r="C1912" s="328" t="s">
        <v>1060</v>
      </c>
      <c r="D1912" s="330">
        <v>10</v>
      </c>
      <c r="E1912" s="331">
        <v>66</v>
      </c>
      <c r="F1912" s="331">
        <v>12811.68</v>
      </c>
      <c r="G1912" s="328" t="s">
        <v>1729</v>
      </c>
      <c r="H1912" s="328" t="s">
        <v>1750</v>
      </c>
      <c r="I1912" s="328" t="s">
        <v>110</v>
      </c>
      <c r="J1912" s="328" t="s">
        <v>757</v>
      </c>
      <c r="K1912" s="328" t="s">
        <v>741</v>
      </c>
      <c r="L1912" s="329">
        <v>44316</v>
      </c>
      <c r="M1912" s="332">
        <v>0</v>
      </c>
    </row>
    <row r="1913" spans="1:13" hidden="1" x14ac:dyDescent="0.25">
      <c r="A1913" s="329">
        <v>44012</v>
      </c>
      <c r="B1913" s="328" t="s">
        <v>1678</v>
      </c>
      <c r="C1913" s="328" t="s">
        <v>769</v>
      </c>
      <c r="D1913" s="330">
        <v>1</v>
      </c>
      <c r="E1913" s="331">
        <v>121</v>
      </c>
      <c r="F1913" s="331">
        <v>12932.68</v>
      </c>
      <c r="G1913" s="328" t="s">
        <v>1679</v>
      </c>
      <c r="H1913" s="328" t="s">
        <v>1751</v>
      </c>
      <c r="I1913" s="328" t="s">
        <v>110</v>
      </c>
      <c r="J1913" s="328" t="s">
        <v>757</v>
      </c>
      <c r="K1913" s="328" t="s">
        <v>770</v>
      </c>
      <c r="L1913" s="329">
        <v>44012</v>
      </c>
      <c r="M1913" s="332">
        <v>0</v>
      </c>
    </row>
    <row r="1914" spans="1:13" hidden="1" x14ac:dyDescent="0.25">
      <c r="A1914" s="329">
        <v>44012</v>
      </c>
      <c r="B1914" s="328" t="s">
        <v>1681</v>
      </c>
      <c r="C1914" s="328" t="s">
        <v>1059</v>
      </c>
      <c r="D1914" s="330">
        <v>1</v>
      </c>
      <c r="E1914" s="331">
        <v>-88</v>
      </c>
      <c r="F1914" s="331">
        <v>12844.68</v>
      </c>
      <c r="G1914" s="328" t="s">
        <v>1682</v>
      </c>
      <c r="H1914" s="328" t="s">
        <v>1751</v>
      </c>
      <c r="I1914" s="328" t="s">
        <v>110</v>
      </c>
      <c r="J1914" s="328" t="s">
        <v>757</v>
      </c>
      <c r="K1914" s="328" t="s">
        <v>741</v>
      </c>
      <c r="L1914" s="329">
        <v>44012</v>
      </c>
      <c r="M1914" s="332">
        <v>0</v>
      </c>
    </row>
    <row r="1915" spans="1:13" hidden="1" x14ac:dyDescent="0.25">
      <c r="A1915" s="329">
        <v>44041</v>
      </c>
      <c r="B1915" s="328" t="s">
        <v>1683</v>
      </c>
      <c r="C1915" s="328" t="s">
        <v>936</v>
      </c>
      <c r="D1915" s="330">
        <v>1</v>
      </c>
      <c r="E1915" s="331">
        <v>-33</v>
      </c>
      <c r="F1915" s="331">
        <v>12811.68</v>
      </c>
      <c r="G1915" s="328" t="s">
        <v>1684</v>
      </c>
      <c r="H1915" s="328" t="s">
        <v>1751</v>
      </c>
      <c r="I1915" s="328" t="s">
        <v>110</v>
      </c>
      <c r="J1915" s="328" t="s">
        <v>757</v>
      </c>
      <c r="K1915" s="328" t="s">
        <v>770</v>
      </c>
      <c r="L1915" s="329">
        <v>44041</v>
      </c>
      <c r="M1915" s="332">
        <v>0</v>
      </c>
    </row>
    <row r="1916" spans="1:13" hidden="1" x14ac:dyDescent="0.25">
      <c r="A1916" s="329">
        <v>44043</v>
      </c>
      <c r="B1916" s="328" t="s">
        <v>1685</v>
      </c>
      <c r="C1916" s="328" t="s">
        <v>1060</v>
      </c>
      <c r="D1916" s="330">
        <v>1</v>
      </c>
      <c r="E1916" s="331">
        <v>110</v>
      </c>
      <c r="F1916" s="331">
        <v>12921.68</v>
      </c>
      <c r="G1916" s="328" t="s">
        <v>1686</v>
      </c>
      <c r="H1916" s="328" t="s">
        <v>1751</v>
      </c>
      <c r="I1916" s="328" t="s">
        <v>110</v>
      </c>
      <c r="J1916" s="328" t="s">
        <v>757</v>
      </c>
      <c r="K1916" s="328" t="s">
        <v>741</v>
      </c>
      <c r="L1916" s="329">
        <v>44043</v>
      </c>
      <c r="M1916" s="332">
        <v>0</v>
      </c>
    </row>
    <row r="1917" spans="1:13" hidden="1" x14ac:dyDescent="0.25">
      <c r="A1917" s="329">
        <v>44043</v>
      </c>
      <c r="B1917" s="328" t="s">
        <v>1685</v>
      </c>
      <c r="C1917" s="328" t="s">
        <v>1060</v>
      </c>
      <c r="D1917" s="330">
        <v>1</v>
      </c>
      <c r="E1917" s="331">
        <v>27.5</v>
      </c>
      <c r="F1917" s="331">
        <v>12949.18</v>
      </c>
      <c r="G1917" s="328" t="s">
        <v>1687</v>
      </c>
      <c r="H1917" s="328" t="s">
        <v>1751</v>
      </c>
      <c r="I1917" s="328" t="s">
        <v>110</v>
      </c>
      <c r="J1917" s="328" t="s">
        <v>757</v>
      </c>
      <c r="K1917" s="328" t="s">
        <v>741</v>
      </c>
      <c r="L1917" s="329">
        <v>44043</v>
      </c>
      <c r="M1917" s="332">
        <v>0</v>
      </c>
    </row>
    <row r="1918" spans="1:13" hidden="1" x14ac:dyDescent="0.25">
      <c r="A1918" s="329">
        <v>44043</v>
      </c>
      <c r="B1918" s="328" t="s">
        <v>1688</v>
      </c>
      <c r="C1918" s="328" t="s">
        <v>1060</v>
      </c>
      <c r="D1918" s="330">
        <v>1</v>
      </c>
      <c r="E1918" s="331">
        <v>-110</v>
      </c>
      <c r="F1918" s="331">
        <v>12839.18</v>
      </c>
      <c r="G1918" s="328" t="s">
        <v>1686</v>
      </c>
      <c r="H1918" s="328" t="s">
        <v>1751</v>
      </c>
      <c r="I1918" s="328" t="s">
        <v>110</v>
      </c>
      <c r="J1918" s="328" t="s">
        <v>757</v>
      </c>
      <c r="K1918" s="328" t="s">
        <v>741</v>
      </c>
      <c r="L1918" s="329">
        <v>44043</v>
      </c>
      <c r="M1918" s="332">
        <v>0</v>
      </c>
    </row>
    <row r="1919" spans="1:13" hidden="1" x14ac:dyDescent="0.25">
      <c r="A1919" s="329">
        <v>44043</v>
      </c>
      <c r="B1919" s="328" t="s">
        <v>1688</v>
      </c>
      <c r="C1919" s="328" t="s">
        <v>1060</v>
      </c>
      <c r="D1919" s="330">
        <v>1</v>
      </c>
      <c r="E1919" s="331">
        <v>-27.5</v>
      </c>
      <c r="F1919" s="331">
        <v>12811.68</v>
      </c>
      <c r="G1919" s="328" t="s">
        <v>1687</v>
      </c>
      <c r="H1919" s="328" t="s">
        <v>1751</v>
      </c>
      <c r="I1919" s="328" t="s">
        <v>110</v>
      </c>
      <c r="J1919" s="328" t="s">
        <v>757</v>
      </c>
      <c r="K1919" s="328" t="s">
        <v>741</v>
      </c>
      <c r="L1919" s="329">
        <v>44043</v>
      </c>
      <c r="M1919" s="332">
        <v>0</v>
      </c>
    </row>
    <row r="1920" spans="1:13" hidden="1" x14ac:dyDescent="0.25">
      <c r="A1920" s="329">
        <v>44043</v>
      </c>
      <c r="B1920" s="328" t="s">
        <v>1689</v>
      </c>
      <c r="C1920" s="328" t="s">
        <v>1060</v>
      </c>
      <c r="D1920" s="330">
        <v>1</v>
      </c>
      <c r="E1920" s="331">
        <v>110</v>
      </c>
      <c r="F1920" s="331">
        <v>12921.68</v>
      </c>
      <c r="G1920" s="328" t="s">
        <v>1686</v>
      </c>
      <c r="H1920" s="328" t="s">
        <v>1751</v>
      </c>
      <c r="I1920" s="328" t="s">
        <v>110</v>
      </c>
      <c r="J1920" s="328" t="s">
        <v>757</v>
      </c>
      <c r="K1920" s="328" t="s">
        <v>741</v>
      </c>
      <c r="L1920" s="329">
        <v>44043</v>
      </c>
      <c r="M1920" s="332">
        <v>0</v>
      </c>
    </row>
    <row r="1921" spans="1:13" hidden="1" x14ac:dyDescent="0.25">
      <c r="A1921" s="329">
        <v>44043</v>
      </c>
      <c r="B1921" s="328" t="s">
        <v>1689</v>
      </c>
      <c r="C1921" s="328" t="s">
        <v>1060</v>
      </c>
      <c r="D1921" s="330">
        <v>1</v>
      </c>
      <c r="E1921" s="331">
        <v>-27.5</v>
      </c>
      <c r="F1921" s="331">
        <v>12894.18</v>
      </c>
      <c r="G1921" s="328" t="s">
        <v>1690</v>
      </c>
      <c r="H1921" s="328" t="s">
        <v>1751</v>
      </c>
      <c r="I1921" s="328" t="s">
        <v>110</v>
      </c>
      <c r="J1921" s="328" t="s">
        <v>757</v>
      </c>
      <c r="K1921" s="328" t="s">
        <v>741</v>
      </c>
      <c r="L1921" s="329">
        <v>44043</v>
      </c>
      <c r="M1921" s="332">
        <v>0</v>
      </c>
    </row>
    <row r="1922" spans="1:13" hidden="1" x14ac:dyDescent="0.25">
      <c r="A1922" s="329">
        <v>44043</v>
      </c>
      <c r="B1922" s="328" t="s">
        <v>1691</v>
      </c>
      <c r="C1922" s="328" t="s">
        <v>769</v>
      </c>
      <c r="D1922" s="330">
        <v>2</v>
      </c>
      <c r="E1922" s="331">
        <v>110</v>
      </c>
      <c r="F1922" s="331">
        <v>13004.18</v>
      </c>
      <c r="G1922" s="328" t="s">
        <v>1692</v>
      </c>
      <c r="H1922" s="328" t="s">
        <v>1751</v>
      </c>
      <c r="I1922" s="328" t="s">
        <v>110</v>
      </c>
      <c r="J1922" s="328" t="s">
        <v>757</v>
      </c>
      <c r="K1922" s="328" t="s">
        <v>770</v>
      </c>
      <c r="L1922" s="329">
        <v>44043</v>
      </c>
      <c r="M1922" s="332">
        <v>0</v>
      </c>
    </row>
    <row r="1923" spans="1:13" hidden="1" x14ac:dyDescent="0.25">
      <c r="A1923" s="329">
        <v>44043</v>
      </c>
      <c r="B1923" s="328" t="s">
        <v>1693</v>
      </c>
      <c r="C1923" s="328" t="s">
        <v>936</v>
      </c>
      <c r="D1923" s="330">
        <v>2</v>
      </c>
      <c r="E1923" s="331">
        <v>-27.5</v>
      </c>
      <c r="F1923" s="331">
        <v>12976.68</v>
      </c>
      <c r="G1923" s="328" t="s">
        <v>1694</v>
      </c>
      <c r="H1923" s="328" t="s">
        <v>1751</v>
      </c>
      <c r="I1923" s="328" t="s">
        <v>110</v>
      </c>
      <c r="J1923" s="328" t="s">
        <v>757</v>
      </c>
      <c r="K1923" s="328" t="s">
        <v>770</v>
      </c>
      <c r="L1923" s="329">
        <v>44043</v>
      </c>
      <c r="M1923" s="332">
        <v>0</v>
      </c>
    </row>
    <row r="1924" spans="1:13" hidden="1" x14ac:dyDescent="0.25">
      <c r="A1924" s="329">
        <v>44043</v>
      </c>
      <c r="B1924" s="328" t="s">
        <v>1685</v>
      </c>
      <c r="C1924" s="328" t="s">
        <v>1060</v>
      </c>
      <c r="D1924" s="330">
        <v>2</v>
      </c>
      <c r="E1924" s="331">
        <v>-110</v>
      </c>
      <c r="F1924" s="331">
        <v>12866.68</v>
      </c>
      <c r="G1924" s="328" t="s">
        <v>1686</v>
      </c>
      <c r="H1924" s="328" t="s">
        <v>1751</v>
      </c>
      <c r="I1924" s="328" t="s">
        <v>110</v>
      </c>
      <c r="J1924" s="328" t="s">
        <v>757</v>
      </c>
      <c r="K1924" s="328" t="s">
        <v>741</v>
      </c>
      <c r="L1924" s="329">
        <v>44043</v>
      </c>
      <c r="M1924" s="332">
        <v>0</v>
      </c>
    </row>
    <row r="1925" spans="1:13" hidden="1" x14ac:dyDescent="0.25">
      <c r="A1925" s="329">
        <v>44043</v>
      </c>
      <c r="B1925" s="328" t="s">
        <v>1685</v>
      </c>
      <c r="C1925" s="328" t="s">
        <v>1060</v>
      </c>
      <c r="D1925" s="330">
        <v>2</v>
      </c>
      <c r="E1925" s="331">
        <v>-27.5</v>
      </c>
      <c r="F1925" s="331">
        <v>12839.18</v>
      </c>
      <c r="G1925" s="328" t="s">
        <v>1687</v>
      </c>
      <c r="H1925" s="328" t="s">
        <v>1751</v>
      </c>
      <c r="I1925" s="328" t="s">
        <v>110</v>
      </c>
      <c r="J1925" s="328" t="s">
        <v>757</v>
      </c>
      <c r="K1925" s="328" t="s">
        <v>741</v>
      </c>
      <c r="L1925" s="329">
        <v>44043</v>
      </c>
      <c r="M1925" s="332">
        <v>0</v>
      </c>
    </row>
    <row r="1926" spans="1:13" hidden="1" x14ac:dyDescent="0.25">
      <c r="A1926" s="329">
        <v>44043</v>
      </c>
      <c r="B1926" s="328" t="s">
        <v>1688</v>
      </c>
      <c r="C1926" s="328" t="s">
        <v>1060</v>
      </c>
      <c r="D1926" s="330">
        <v>2</v>
      </c>
      <c r="E1926" s="331">
        <v>110</v>
      </c>
      <c r="F1926" s="331">
        <v>12949.18</v>
      </c>
      <c r="G1926" s="328" t="s">
        <v>1686</v>
      </c>
      <c r="H1926" s="328" t="s">
        <v>1751</v>
      </c>
      <c r="I1926" s="328" t="s">
        <v>110</v>
      </c>
      <c r="J1926" s="328" t="s">
        <v>757</v>
      </c>
      <c r="K1926" s="328" t="s">
        <v>741</v>
      </c>
      <c r="L1926" s="329">
        <v>44043</v>
      </c>
      <c r="M1926" s="332">
        <v>0</v>
      </c>
    </row>
    <row r="1927" spans="1:13" hidden="1" x14ac:dyDescent="0.25">
      <c r="A1927" s="329">
        <v>44043</v>
      </c>
      <c r="B1927" s="328" t="s">
        <v>1688</v>
      </c>
      <c r="C1927" s="328" t="s">
        <v>1060</v>
      </c>
      <c r="D1927" s="330">
        <v>2</v>
      </c>
      <c r="E1927" s="331">
        <v>27.5</v>
      </c>
      <c r="F1927" s="331">
        <v>12976.68</v>
      </c>
      <c r="G1927" s="328" t="s">
        <v>1687</v>
      </c>
      <c r="H1927" s="328" t="s">
        <v>1751</v>
      </c>
      <c r="I1927" s="328" t="s">
        <v>110</v>
      </c>
      <c r="J1927" s="328" t="s">
        <v>757</v>
      </c>
      <c r="K1927" s="328" t="s">
        <v>741</v>
      </c>
      <c r="L1927" s="329">
        <v>44043</v>
      </c>
      <c r="M1927" s="332">
        <v>0</v>
      </c>
    </row>
    <row r="1928" spans="1:13" hidden="1" x14ac:dyDescent="0.25">
      <c r="A1928" s="329">
        <v>44043</v>
      </c>
      <c r="B1928" s="328" t="s">
        <v>1689</v>
      </c>
      <c r="C1928" s="328" t="s">
        <v>1060</v>
      </c>
      <c r="D1928" s="330">
        <v>2</v>
      </c>
      <c r="E1928" s="331">
        <v>-110</v>
      </c>
      <c r="F1928" s="331">
        <v>12866.68</v>
      </c>
      <c r="G1928" s="328" t="s">
        <v>1686</v>
      </c>
      <c r="H1928" s="328" t="s">
        <v>1751</v>
      </c>
      <c r="I1928" s="328" t="s">
        <v>110</v>
      </c>
      <c r="J1928" s="328" t="s">
        <v>757</v>
      </c>
      <c r="K1928" s="328" t="s">
        <v>741</v>
      </c>
      <c r="L1928" s="329">
        <v>44043</v>
      </c>
      <c r="M1928" s="332">
        <v>0</v>
      </c>
    </row>
    <row r="1929" spans="1:13" hidden="1" x14ac:dyDescent="0.25">
      <c r="A1929" s="329">
        <v>44043</v>
      </c>
      <c r="B1929" s="328" t="s">
        <v>1689</v>
      </c>
      <c r="C1929" s="328" t="s">
        <v>1060</v>
      </c>
      <c r="D1929" s="330">
        <v>2</v>
      </c>
      <c r="E1929" s="331">
        <v>27.5</v>
      </c>
      <c r="F1929" s="331">
        <v>12894.18</v>
      </c>
      <c r="G1929" s="328" t="s">
        <v>1690</v>
      </c>
      <c r="H1929" s="328" t="s">
        <v>1751</v>
      </c>
      <c r="I1929" s="328" t="s">
        <v>110</v>
      </c>
      <c r="J1929" s="328" t="s">
        <v>757</v>
      </c>
      <c r="K1929" s="328" t="s">
        <v>741</v>
      </c>
      <c r="L1929" s="329">
        <v>44043</v>
      </c>
      <c r="M1929" s="332">
        <v>0</v>
      </c>
    </row>
    <row r="1930" spans="1:13" hidden="1" x14ac:dyDescent="0.25">
      <c r="A1930" s="329">
        <v>44074</v>
      </c>
      <c r="B1930" s="328" t="s">
        <v>1695</v>
      </c>
      <c r="C1930" s="328" t="s">
        <v>1060</v>
      </c>
      <c r="D1930" s="330">
        <v>2</v>
      </c>
      <c r="E1930" s="331">
        <v>88</v>
      </c>
      <c r="F1930" s="331">
        <v>12982.18</v>
      </c>
      <c r="G1930" s="328" t="s">
        <v>1696</v>
      </c>
      <c r="H1930" s="328" t="s">
        <v>1751</v>
      </c>
      <c r="I1930" s="328" t="s">
        <v>110</v>
      </c>
      <c r="J1930" s="328" t="s">
        <v>757</v>
      </c>
      <c r="K1930" s="328" t="s">
        <v>741</v>
      </c>
      <c r="L1930" s="329">
        <v>44074</v>
      </c>
      <c r="M1930" s="332">
        <v>0</v>
      </c>
    </row>
    <row r="1931" spans="1:13" hidden="1" x14ac:dyDescent="0.25">
      <c r="A1931" s="329">
        <v>44074</v>
      </c>
      <c r="B1931" s="328" t="s">
        <v>1697</v>
      </c>
      <c r="C1931" s="328" t="s">
        <v>769</v>
      </c>
      <c r="D1931" s="330">
        <v>3</v>
      </c>
      <c r="E1931" s="331">
        <v>88</v>
      </c>
      <c r="F1931" s="331">
        <v>13070.18</v>
      </c>
      <c r="G1931" s="328" t="s">
        <v>1698</v>
      </c>
      <c r="H1931" s="328" t="s">
        <v>1751</v>
      </c>
      <c r="I1931" s="328" t="s">
        <v>110</v>
      </c>
      <c r="J1931" s="328" t="s">
        <v>757</v>
      </c>
      <c r="K1931" s="328" t="s">
        <v>770</v>
      </c>
      <c r="L1931" s="329">
        <v>44074</v>
      </c>
      <c r="M1931" s="332">
        <v>0</v>
      </c>
    </row>
    <row r="1932" spans="1:13" hidden="1" x14ac:dyDescent="0.25">
      <c r="A1932" s="329">
        <v>44074</v>
      </c>
      <c r="B1932" s="328" t="s">
        <v>1695</v>
      </c>
      <c r="C1932" s="328" t="s">
        <v>1060</v>
      </c>
      <c r="D1932" s="330">
        <v>3</v>
      </c>
      <c r="E1932" s="331">
        <v>-88</v>
      </c>
      <c r="F1932" s="331">
        <v>12982.18</v>
      </c>
      <c r="G1932" s="328" t="s">
        <v>1696</v>
      </c>
      <c r="H1932" s="328" t="s">
        <v>1751</v>
      </c>
      <c r="I1932" s="328" t="s">
        <v>110</v>
      </c>
      <c r="J1932" s="328" t="s">
        <v>757</v>
      </c>
      <c r="K1932" s="328" t="s">
        <v>741</v>
      </c>
      <c r="L1932" s="329">
        <v>44074</v>
      </c>
      <c r="M1932" s="332">
        <v>0</v>
      </c>
    </row>
    <row r="1933" spans="1:13" hidden="1" x14ac:dyDescent="0.25">
      <c r="A1933" s="329">
        <v>44104</v>
      </c>
      <c r="B1933" s="328" t="s">
        <v>1699</v>
      </c>
      <c r="C1933" s="328" t="s">
        <v>1060</v>
      </c>
      <c r="D1933" s="330">
        <v>3</v>
      </c>
      <c r="E1933" s="331">
        <v>132</v>
      </c>
      <c r="F1933" s="331">
        <v>13114.18</v>
      </c>
      <c r="G1933" s="328" t="s">
        <v>1700</v>
      </c>
      <c r="H1933" s="328" t="s">
        <v>1751</v>
      </c>
      <c r="I1933" s="328" t="s">
        <v>110</v>
      </c>
      <c r="J1933" s="328" t="s">
        <v>757</v>
      </c>
      <c r="K1933" s="328" t="s">
        <v>741</v>
      </c>
      <c r="L1933" s="329">
        <v>44104</v>
      </c>
      <c r="M1933" s="332">
        <v>0</v>
      </c>
    </row>
    <row r="1934" spans="1:13" hidden="1" x14ac:dyDescent="0.25">
      <c r="A1934" s="329">
        <v>44104</v>
      </c>
      <c r="B1934" s="328" t="s">
        <v>1699</v>
      </c>
      <c r="C1934" s="328" t="s">
        <v>1060</v>
      </c>
      <c r="D1934" s="330">
        <v>4</v>
      </c>
      <c r="E1934" s="331">
        <v>-132</v>
      </c>
      <c r="F1934" s="331">
        <v>12982.18</v>
      </c>
      <c r="G1934" s="328" t="s">
        <v>1700</v>
      </c>
      <c r="H1934" s="328" t="s">
        <v>1751</v>
      </c>
      <c r="I1934" s="328" t="s">
        <v>110</v>
      </c>
      <c r="J1934" s="328" t="s">
        <v>757</v>
      </c>
      <c r="K1934" s="328" t="s">
        <v>741</v>
      </c>
      <c r="L1934" s="329">
        <v>44104</v>
      </c>
      <c r="M1934" s="332">
        <v>0</v>
      </c>
    </row>
    <row r="1935" spans="1:13" hidden="1" x14ac:dyDescent="0.25">
      <c r="A1935" s="329">
        <v>44105</v>
      </c>
      <c r="B1935" s="328" t="s">
        <v>1701</v>
      </c>
      <c r="C1935" s="328" t="s">
        <v>769</v>
      </c>
      <c r="D1935" s="330">
        <v>4</v>
      </c>
      <c r="E1935" s="331">
        <v>132</v>
      </c>
      <c r="F1935" s="331">
        <v>13114.18</v>
      </c>
      <c r="G1935" s="328" t="s">
        <v>1702</v>
      </c>
      <c r="H1935" s="328" t="s">
        <v>1751</v>
      </c>
      <c r="I1935" s="328" t="s">
        <v>110</v>
      </c>
      <c r="J1935" s="328" t="s">
        <v>757</v>
      </c>
      <c r="K1935" s="328" t="s">
        <v>770</v>
      </c>
      <c r="L1935" s="329">
        <v>44105</v>
      </c>
      <c r="M1935" s="332">
        <v>0</v>
      </c>
    </row>
    <row r="1936" spans="1:13" hidden="1" x14ac:dyDescent="0.25">
      <c r="A1936" s="329">
        <v>44135</v>
      </c>
      <c r="B1936" s="328" t="s">
        <v>1703</v>
      </c>
      <c r="C1936" s="328" t="s">
        <v>1060</v>
      </c>
      <c r="D1936" s="330">
        <v>4</v>
      </c>
      <c r="E1936" s="331">
        <v>143</v>
      </c>
      <c r="F1936" s="331">
        <v>13257.18</v>
      </c>
      <c r="G1936" s="328" t="s">
        <v>1704</v>
      </c>
      <c r="H1936" s="328" t="s">
        <v>1751</v>
      </c>
      <c r="I1936" s="328" t="s">
        <v>110</v>
      </c>
      <c r="J1936" s="328" t="s">
        <v>757</v>
      </c>
      <c r="K1936" s="328" t="s">
        <v>741</v>
      </c>
      <c r="L1936" s="329">
        <v>44135</v>
      </c>
      <c r="M1936" s="332">
        <v>0</v>
      </c>
    </row>
    <row r="1937" spans="1:13" hidden="1" x14ac:dyDescent="0.25">
      <c r="A1937" s="329">
        <v>44135</v>
      </c>
      <c r="B1937" s="328" t="s">
        <v>1703</v>
      </c>
      <c r="C1937" s="328" t="s">
        <v>1060</v>
      </c>
      <c r="D1937" s="330">
        <v>5</v>
      </c>
      <c r="E1937" s="331">
        <v>-143</v>
      </c>
      <c r="F1937" s="331">
        <v>13114.18</v>
      </c>
      <c r="G1937" s="328" t="s">
        <v>1704</v>
      </c>
      <c r="H1937" s="328" t="s">
        <v>1751</v>
      </c>
      <c r="I1937" s="328" t="s">
        <v>110</v>
      </c>
      <c r="J1937" s="328" t="s">
        <v>757</v>
      </c>
      <c r="K1937" s="328" t="s">
        <v>741</v>
      </c>
      <c r="L1937" s="329">
        <v>44135</v>
      </c>
      <c r="M1937" s="332">
        <v>0</v>
      </c>
    </row>
    <row r="1938" spans="1:13" hidden="1" x14ac:dyDescent="0.25">
      <c r="A1938" s="329">
        <v>44135</v>
      </c>
      <c r="B1938" s="328" t="s">
        <v>1705</v>
      </c>
      <c r="C1938" s="328" t="s">
        <v>769</v>
      </c>
      <c r="D1938" s="330">
        <v>5</v>
      </c>
      <c r="E1938" s="331">
        <v>143</v>
      </c>
      <c r="F1938" s="331">
        <v>13257.18</v>
      </c>
      <c r="G1938" s="328" t="s">
        <v>1706</v>
      </c>
      <c r="H1938" s="328" t="s">
        <v>1751</v>
      </c>
      <c r="I1938" s="328" t="s">
        <v>110</v>
      </c>
      <c r="J1938" s="328" t="s">
        <v>757</v>
      </c>
      <c r="K1938" s="328" t="s">
        <v>770</v>
      </c>
      <c r="L1938" s="329">
        <v>44135</v>
      </c>
      <c r="M1938" s="332">
        <v>0</v>
      </c>
    </row>
    <row r="1939" spans="1:13" hidden="1" x14ac:dyDescent="0.25">
      <c r="A1939" s="329">
        <v>44165</v>
      </c>
      <c r="B1939" s="328" t="s">
        <v>1707</v>
      </c>
      <c r="C1939" s="328" t="s">
        <v>1060</v>
      </c>
      <c r="D1939" s="330">
        <v>5</v>
      </c>
      <c r="E1939" s="331">
        <v>143</v>
      </c>
      <c r="F1939" s="331">
        <v>13400.18</v>
      </c>
      <c r="G1939" s="328" t="s">
        <v>1708</v>
      </c>
      <c r="H1939" s="328" t="s">
        <v>1751</v>
      </c>
      <c r="I1939" s="328" t="s">
        <v>110</v>
      </c>
      <c r="J1939" s="328" t="s">
        <v>757</v>
      </c>
      <c r="K1939" s="328" t="s">
        <v>741</v>
      </c>
      <c r="L1939" s="329">
        <v>44165</v>
      </c>
      <c r="M1939" s="332">
        <v>0</v>
      </c>
    </row>
    <row r="1940" spans="1:13" hidden="1" x14ac:dyDescent="0.25">
      <c r="A1940" s="329">
        <v>44165</v>
      </c>
      <c r="B1940" s="328" t="s">
        <v>1707</v>
      </c>
      <c r="C1940" s="328" t="s">
        <v>1060</v>
      </c>
      <c r="D1940" s="330">
        <v>6</v>
      </c>
      <c r="E1940" s="331">
        <v>-143</v>
      </c>
      <c r="F1940" s="331">
        <v>13257.18</v>
      </c>
      <c r="G1940" s="328" t="s">
        <v>1708</v>
      </c>
      <c r="H1940" s="328" t="s">
        <v>1751</v>
      </c>
      <c r="I1940" s="328" t="s">
        <v>110</v>
      </c>
      <c r="J1940" s="328" t="s">
        <v>757</v>
      </c>
      <c r="K1940" s="328" t="s">
        <v>741</v>
      </c>
      <c r="L1940" s="329">
        <v>44165</v>
      </c>
      <c r="M1940" s="332">
        <v>0</v>
      </c>
    </row>
    <row r="1941" spans="1:13" hidden="1" x14ac:dyDescent="0.25">
      <c r="A1941" s="329">
        <v>44165</v>
      </c>
      <c r="B1941" s="328" t="s">
        <v>1709</v>
      </c>
      <c r="C1941" s="328" t="s">
        <v>769</v>
      </c>
      <c r="D1941" s="330">
        <v>6</v>
      </c>
      <c r="E1941" s="331">
        <v>143</v>
      </c>
      <c r="F1941" s="331">
        <v>13400.18</v>
      </c>
      <c r="G1941" s="328" t="s">
        <v>1710</v>
      </c>
      <c r="H1941" s="328" t="s">
        <v>1751</v>
      </c>
      <c r="I1941" s="328" t="s">
        <v>110</v>
      </c>
      <c r="J1941" s="328" t="s">
        <v>757</v>
      </c>
      <c r="K1941" s="328" t="s">
        <v>770</v>
      </c>
      <c r="L1941" s="329">
        <v>44165</v>
      </c>
      <c r="M1941" s="332">
        <v>0</v>
      </c>
    </row>
    <row r="1942" spans="1:13" hidden="1" x14ac:dyDescent="0.25">
      <c r="A1942" s="329">
        <v>44196</v>
      </c>
      <c r="B1942" s="328" t="s">
        <v>1711</v>
      </c>
      <c r="C1942" s="328" t="s">
        <v>1060</v>
      </c>
      <c r="D1942" s="330">
        <v>6</v>
      </c>
      <c r="E1942" s="331">
        <v>198</v>
      </c>
      <c r="F1942" s="331">
        <v>13598.18</v>
      </c>
      <c r="G1942" s="328" t="s">
        <v>1712</v>
      </c>
      <c r="H1942" s="328" t="s">
        <v>1751</v>
      </c>
      <c r="I1942" s="328" t="s">
        <v>110</v>
      </c>
      <c r="J1942" s="328" t="s">
        <v>757</v>
      </c>
      <c r="K1942" s="328" t="s">
        <v>741</v>
      </c>
      <c r="L1942" s="329">
        <v>44196</v>
      </c>
      <c r="M1942" s="332">
        <v>0</v>
      </c>
    </row>
    <row r="1943" spans="1:13" hidden="1" x14ac:dyDescent="0.25">
      <c r="A1943" s="329">
        <v>44196</v>
      </c>
      <c r="B1943" s="328" t="s">
        <v>1711</v>
      </c>
      <c r="C1943" s="328" t="s">
        <v>1060</v>
      </c>
      <c r="D1943" s="330">
        <v>7</v>
      </c>
      <c r="E1943" s="331">
        <v>-198</v>
      </c>
      <c r="F1943" s="331">
        <v>13400.18</v>
      </c>
      <c r="G1943" s="328" t="s">
        <v>1712</v>
      </c>
      <c r="H1943" s="328" t="s">
        <v>1751</v>
      </c>
      <c r="I1943" s="328" t="s">
        <v>110</v>
      </c>
      <c r="J1943" s="328" t="s">
        <v>757</v>
      </c>
      <c r="K1943" s="328" t="s">
        <v>741</v>
      </c>
      <c r="L1943" s="329">
        <v>44196</v>
      </c>
      <c r="M1943" s="332">
        <v>0</v>
      </c>
    </row>
    <row r="1944" spans="1:13" hidden="1" x14ac:dyDescent="0.25">
      <c r="A1944" s="329">
        <v>44196</v>
      </c>
      <c r="B1944" s="328" t="s">
        <v>1713</v>
      </c>
      <c r="C1944" s="328" t="s">
        <v>769</v>
      </c>
      <c r="D1944" s="330">
        <v>7</v>
      </c>
      <c r="E1944" s="331">
        <v>198</v>
      </c>
      <c r="F1944" s="331">
        <v>13598.18</v>
      </c>
      <c r="G1944" s="328" t="s">
        <v>1714</v>
      </c>
      <c r="H1944" s="328" t="s">
        <v>1751</v>
      </c>
      <c r="I1944" s="328" t="s">
        <v>110</v>
      </c>
      <c r="J1944" s="328" t="s">
        <v>757</v>
      </c>
      <c r="K1944" s="328" t="s">
        <v>770</v>
      </c>
      <c r="L1944" s="329">
        <v>44196</v>
      </c>
      <c r="M1944" s="332">
        <v>0</v>
      </c>
    </row>
    <row r="1945" spans="1:13" hidden="1" x14ac:dyDescent="0.25">
      <c r="A1945" s="329">
        <v>44227</v>
      </c>
      <c r="B1945" s="328" t="s">
        <v>1715</v>
      </c>
      <c r="C1945" s="328" t="s">
        <v>1060</v>
      </c>
      <c r="D1945" s="330">
        <v>7</v>
      </c>
      <c r="E1945" s="331">
        <v>176</v>
      </c>
      <c r="F1945" s="331">
        <v>13774.18</v>
      </c>
      <c r="G1945" s="328" t="s">
        <v>1716</v>
      </c>
      <c r="H1945" s="328" t="s">
        <v>1751</v>
      </c>
      <c r="I1945" s="328" t="s">
        <v>110</v>
      </c>
      <c r="J1945" s="328" t="s">
        <v>757</v>
      </c>
      <c r="K1945" s="328" t="s">
        <v>741</v>
      </c>
      <c r="L1945" s="329">
        <v>44227</v>
      </c>
      <c r="M1945" s="332">
        <v>0</v>
      </c>
    </row>
    <row r="1946" spans="1:13" hidden="1" x14ac:dyDescent="0.25">
      <c r="A1946" s="329">
        <v>44227</v>
      </c>
      <c r="B1946" s="328" t="s">
        <v>1715</v>
      </c>
      <c r="C1946" s="328" t="s">
        <v>1060</v>
      </c>
      <c r="D1946" s="330">
        <v>8</v>
      </c>
      <c r="E1946" s="331">
        <v>-176</v>
      </c>
      <c r="F1946" s="331">
        <v>13598.18</v>
      </c>
      <c r="G1946" s="328" t="s">
        <v>1716</v>
      </c>
      <c r="H1946" s="328" t="s">
        <v>1751</v>
      </c>
      <c r="I1946" s="328" t="s">
        <v>110</v>
      </c>
      <c r="J1946" s="328" t="s">
        <v>757</v>
      </c>
      <c r="K1946" s="328" t="s">
        <v>741</v>
      </c>
      <c r="L1946" s="329">
        <v>44227</v>
      </c>
      <c r="M1946" s="332">
        <v>0</v>
      </c>
    </row>
    <row r="1947" spans="1:13" hidden="1" x14ac:dyDescent="0.25">
      <c r="A1947" s="329">
        <v>44227</v>
      </c>
      <c r="B1947" s="328" t="s">
        <v>1717</v>
      </c>
      <c r="C1947" s="328" t="s">
        <v>769</v>
      </c>
      <c r="D1947" s="330">
        <v>8</v>
      </c>
      <c r="E1947" s="331">
        <v>176</v>
      </c>
      <c r="F1947" s="331">
        <v>13774.18</v>
      </c>
      <c r="G1947" s="328" t="s">
        <v>1718</v>
      </c>
      <c r="H1947" s="328" t="s">
        <v>1751</v>
      </c>
      <c r="I1947" s="328" t="s">
        <v>110</v>
      </c>
      <c r="J1947" s="328" t="s">
        <v>757</v>
      </c>
      <c r="K1947" s="328" t="s">
        <v>770</v>
      </c>
      <c r="L1947" s="329">
        <v>44227</v>
      </c>
      <c r="M1947" s="332">
        <v>0</v>
      </c>
    </row>
    <row r="1948" spans="1:13" hidden="1" x14ac:dyDescent="0.25">
      <c r="A1948" s="329">
        <v>44255</v>
      </c>
      <c r="B1948" s="328" t="s">
        <v>1720</v>
      </c>
      <c r="C1948" s="328" t="s">
        <v>1060</v>
      </c>
      <c r="D1948" s="330">
        <v>8</v>
      </c>
      <c r="E1948" s="331">
        <v>165</v>
      </c>
      <c r="F1948" s="331">
        <v>13939.18</v>
      </c>
      <c r="G1948" s="328" t="s">
        <v>1721</v>
      </c>
      <c r="H1948" s="328" t="s">
        <v>1751</v>
      </c>
      <c r="I1948" s="328" t="s">
        <v>110</v>
      </c>
      <c r="J1948" s="328" t="s">
        <v>757</v>
      </c>
      <c r="K1948" s="328" t="s">
        <v>741</v>
      </c>
      <c r="L1948" s="329">
        <v>44255</v>
      </c>
      <c r="M1948" s="332">
        <v>0</v>
      </c>
    </row>
    <row r="1949" spans="1:13" hidden="1" x14ac:dyDescent="0.25">
      <c r="A1949" s="329">
        <v>44255</v>
      </c>
      <c r="B1949" s="328" t="s">
        <v>1720</v>
      </c>
      <c r="C1949" s="328" t="s">
        <v>1060</v>
      </c>
      <c r="D1949" s="330">
        <v>9</v>
      </c>
      <c r="E1949" s="331">
        <v>-165</v>
      </c>
      <c r="F1949" s="331">
        <v>13774.18</v>
      </c>
      <c r="G1949" s="328" t="s">
        <v>1721</v>
      </c>
      <c r="H1949" s="328" t="s">
        <v>1751</v>
      </c>
      <c r="I1949" s="328" t="s">
        <v>110</v>
      </c>
      <c r="J1949" s="328" t="s">
        <v>757</v>
      </c>
      <c r="K1949" s="328" t="s">
        <v>741</v>
      </c>
      <c r="L1949" s="329">
        <v>44255</v>
      </c>
      <c r="M1949" s="332">
        <v>0</v>
      </c>
    </row>
    <row r="1950" spans="1:13" hidden="1" x14ac:dyDescent="0.25">
      <c r="A1950" s="329">
        <v>44255</v>
      </c>
      <c r="B1950" s="328" t="s">
        <v>1722</v>
      </c>
      <c r="C1950" s="328" t="s">
        <v>769</v>
      </c>
      <c r="D1950" s="330">
        <v>9</v>
      </c>
      <c r="E1950" s="331">
        <v>159.5</v>
      </c>
      <c r="F1950" s="331">
        <v>13933.68</v>
      </c>
      <c r="G1950" s="328" t="s">
        <v>1723</v>
      </c>
      <c r="H1950" s="328" t="s">
        <v>1751</v>
      </c>
      <c r="I1950" s="328" t="s">
        <v>110</v>
      </c>
      <c r="J1950" s="328" t="s">
        <v>757</v>
      </c>
      <c r="K1950" s="328" t="s">
        <v>770</v>
      </c>
      <c r="L1950" s="329">
        <v>44255</v>
      </c>
      <c r="M1950" s="332">
        <v>0</v>
      </c>
    </row>
    <row r="1951" spans="1:13" hidden="1" x14ac:dyDescent="0.25">
      <c r="A1951" s="329">
        <v>44286</v>
      </c>
      <c r="B1951" s="328" t="s">
        <v>1724</v>
      </c>
      <c r="C1951" s="328" t="s">
        <v>1060</v>
      </c>
      <c r="D1951" s="330">
        <v>9</v>
      </c>
      <c r="E1951" s="331">
        <v>198</v>
      </c>
      <c r="F1951" s="331">
        <v>14131.68</v>
      </c>
      <c r="G1951" s="328" t="s">
        <v>1725</v>
      </c>
      <c r="H1951" s="328" t="s">
        <v>1751</v>
      </c>
      <c r="I1951" s="328" t="s">
        <v>110</v>
      </c>
      <c r="J1951" s="328" t="s">
        <v>757</v>
      </c>
      <c r="K1951" s="328" t="s">
        <v>741</v>
      </c>
      <c r="L1951" s="329">
        <v>44286</v>
      </c>
      <c r="M1951" s="332">
        <v>0</v>
      </c>
    </row>
    <row r="1952" spans="1:13" hidden="1" x14ac:dyDescent="0.25">
      <c r="A1952" s="329">
        <v>44286</v>
      </c>
      <c r="B1952" s="328" t="s">
        <v>1726</v>
      </c>
      <c r="C1952" s="328" t="s">
        <v>769</v>
      </c>
      <c r="D1952" s="330">
        <v>10</v>
      </c>
      <c r="E1952" s="331">
        <v>198</v>
      </c>
      <c r="F1952" s="331">
        <v>14329.68</v>
      </c>
      <c r="G1952" s="328" t="s">
        <v>1727</v>
      </c>
      <c r="H1952" s="328" t="s">
        <v>1751</v>
      </c>
      <c r="I1952" s="328" t="s">
        <v>110</v>
      </c>
      <c r="J1952" s="328" t="s">
        <v>757</v>
      </c>
      <c r="K1952" s="328" t="s">
        <v>770</v>
      </c>
      <c r="L1952" s="329">
        <v>44286</v>
      </c>
      <c r="M1952" s="332">
        <v>0</v>
      </c>
    </row>
    <row r="1953" spans="1:13" hidden="1" x14ac:dyDescent="0.25">
      <c r="A1953" s="329">
        <v>44286</v>
      </c>
      <c r="B1953" s="328" t="s">
        <v>1724</v>
      </c>
      <c r="C1953" s="328" t="s">
        <v>1060</v>
      </c>
      <c r="D1953" s="330">
        <v>10</v>
      </c>
      <c r="E1953" s="331">
        <v>-198</v>
      </c>
      <c r="F1953" s="331">
        <v>14131.68</v>
      </c>
      <c r="G1953" s="328" t="s">
        <v>1725</v>
      </c>
      <c r="H1953" s="328" t="s">
        <v>1751</v>
      </c>
      <c r="I1953" s="328" t="s">
        <v>110</v>
      </c>
      <c r="J1953" s="328" t="s">
        <v>757</v>
      </c>
      <c r="K1953" s="328" t="s">
        <v>741</v>
      </c>
      <c r="L1953" s="329">
        <v>44286</v>
      </c>
      <c r="M1953" s="332">
        <v>0</v>
      </c>
    </row>
    <row r="1954" spans="1:13" hidden="1" x14ac:dyDescent="0.25">
      <c r="A1954" s="329">
        <v>44316</v>
      </c>
      <c r="B1954" s="328" t="s">
        <v>1728</v>
      </c>
      <c r="C1954" s="328" t="s">
        <v>1060</v>
      </c>
      <c r="D1954" s="330">
        <v>10</v>
      </c>
      <c r="E1954" s="331">
        <v>115.5</v>
      </c>
      <c r="F1954" s="331">
        <v>14247.18</v>
      </c>
      <c r="G1954" s="328" t="s">
        <v>1729</v>
      </c>
      <c r="H1954" s="328" t="s">
        <v>1751</v>
      </c>
      <c r="I1954" s="328" t="s">
        <v>110</v>
      </c>
      <c r="J1954" s="328" t="s">
        <v>757</v>
      </c>
      <c r="K1954" s="328" t="s">
        <v>741</v>
      </c>
      <c r="L1954" s="329">
        <v>44316</v>
      </c>
      <c r="M1954" s="332">
        <v>0</v>
      </c>
    </row>
    <row r="1955" spans="1:13" hidden="1" x14ac:dyDescent="0.25">
      <c r="A1955" s="329">
        <v>44012</v>
      </c>
      <c r="B1955" s="328" t="s">
        <v>1678</v>
      </c>
      <c r="C1955" s="328" t="s">
        <v>769</v>
      </c>
      <c r="D1955" s="330">
        <v>1</v>
      </c>
      <c r="E1955" s="331">
        <v>71.5</v>
      </c>
      <c r="F1955" s="331">
        <v>14355.53</v>
      </c>
      <c r="G1955" s="328" t="s">
        <v>1679</v>
      </c>
      <c r="H1955" s="328" t="s">
        <v>1752</v>
      </c>
      <c r="I1955" s="328" t="s">
        <v>110</v>
      </c>
      <c r="J1955" s="328" t="s">
        <v>757</v>
      </c>
      <c r="K1955" s="328" t="s">
        <v>770</v>
      </c>
      <c r="L1955" s="329">
        <v>44012</v>
      </c>
      <c r="M1955" s="332">
        <v>0</v>
      </c>
    </row>
    <row r="1956" spans="1:13" hidden="1" x14ac:dyDescent="0.25">
      <c r="A1956" s="329">
        <v>44012</v>
      </c>
      <c r="B1956" s="328" t="s">
        <v>1681</v>
      </c>
      <c r="C1956" s="328" t="s">
        <v>1059</v>
      </c>
      <c r="D1956" s="330">
        <v>1</v>
      </c>
      <c r="E1956" s="331">
        <v>-60.5</v>
      </c>
      <c r="F1956" s="331">
        <v>14295.03</v>
      </c>
      <c r="G1956" s="328" t="s">
        <v>1682</v>
      </c>
      <c r="H1956" s="328" t="s">
        <v>1752</v>
      </c>
      <c r="I1956" s="328" t="s">
        <v>110</v>
      </c>
      <c r="J1956" s="328" t="s">
        <v>757</v>
      </c>
      <c r="K1956" s="328" t="s">
        <v>741</v>
      </c>
      <c r="L1956" s="329">
        <v>44012</v>
      </c>
      <c r="M1956" s="332">
        <v>0</v>
      </c>
    </row>
    <row r="1957" spans="1:13" hidden="1" x14ac:dyDescent="0.25">
      <c r="A1957" s="329">
        <v>44041</v>
      </c>
      <c r="B1957" s="328" t="s">
        <v>1683</v>
      </c>
      <c r="C1957" s="328" t="s">
        <v>936</v>
      </c>
      <c r="D1957" s="330">
        <v>1</v>
      </c>
      <c r="E1957" s="331">
        <v>-11</v>
      </c>
      <c r="F1957" s="331">
        <v>14284.03</v>
      </c>
      <c r="G1957" s="328" t="s">
        <v>1684</v>
      </c>
      <c r="H1957" s="328" t="s">
        <v>1752</v>
      </c>
      <c r="I1957" s="328" t="s">
        <v>110</v>
      </c>
      <c r="J1957" s="328" t="s">
        <v>757</v>
      </c>
      <c r="K1957" s="328" t="s">
        <v>770</v>
      </c>
      <c r="L1957" s="329">
        <v>44041</v>
      </c>
      <c r="M1957" s="332">
        <v>0</v>
      </c>
    </row>
    <row r="1958" spans="1:13" hidden="1" x14ac:dyDescent="0.25">
      <c r="A1958" s="329">
        <v>44043</v>
      </c>
      <c r="B1958" s="328" t="s">
        <v>1685</v>
      </c>
      <c r="C1958" s="328" t="s">
        <v>1060</v>
      </c>
      <c r="D1958" s="330">
        <v>1</v>
      </c>
      <c r="E1958" s="331">
        <v>88</v>
      </c>
      <c r="F1958" s="331">
        <v>14372.03</v>
      </c>
      <c r="G1958" s="328" t="s">
        <v>1686</v>
      </c>
      <c r="H1958" s="328" t="s">
        <v>1752</v>
      </c>
      <c r="I1958" s="328" t="s">
        <v>110</v>
      </c>
      <c r="J1958" s="328" t="s">
        <v>757</v>
      </c>
      <c r="K1958" s="328" t="s">
        <v>741</v>
      </c>
      <c r="L1958" s="329">
        <v>44043</v>
      </c>
      <c r="M1958" s="332">
        <v>0</v>
      </c>
    </row>
    <row r="1959" spans="1:13" hidden="1" x14ac:dyDescent="0.25">
      <c r="A1959" s="329">
        <v>44043</v>
      </c>
      <c r="B1959" s="328" t="s">
        <v>1685</v>
      </c>
      <c r="C1959" s="328" t="s">
        <v>1060</v>
      </c>
      <c r="D1959" s="330">
        <v>1</v>
      </c>
      <c r="E1959" s="331">
        <v>11</v>
      </c>
      <c r="F1959" s="331">
        <v>14383.03</v>
      </c>
      <c r="G1959" s="328" t="s">
        <v>1687</v>
      </c>
      <c r="H1959" s="328" t="s">
        <v>1752</v>
      </c>
      <c r="I1959" s="328" t="s">
        <v>110</v>
      </c>
      <c r="J1959" s="328" t="s">
        <v>757</v>
      </c>
      <c r="K1959" s="328" t="s">
        <v>741</v>
      </c>
      <c r="L1959" s="329">
        <v>44043</v>
      </c>
      <c r="M1959" s="332">
        <v>0</v>
      </c>
    </row>
    <row r="1960" spans="1:13" hidden="1" x14ac:dyDescent="0.25">
      <c r="A1960" s="329">
        <v>44043</v>
      </c>
      <c r="B1960" s="328" t="s">
        <v>1688</v>
      </c>
      <c r="C1960" s="328" t="s">
        <v>1060</v>
      </c>
      <c r="D1960" s="330">
        <v>1</v>
      </c>
      <c r="E1960" s="331">
        <v>-88</v>
      </c>
      <c r="F1960" s="331">
        <v>14295.03</v>
      </c>
      <c r="G1960" s="328" t="s">
        <v>1686</v>
      </c>
      <c r="H1960" s="328" t="s">
        <v>1752</v>
      </c>
      <c r="I1960" s="328" t="s">
        <v>110</v>
      </c>
      <c r="J1960" s="328" t="s">
        <v>757</v>
      </c>
      <c r="K1960" s="328" t="s">
        <v>741</v>
      </c>
      <c r="L1960" s="329">
        <v>44043</v>
      </c>
      <c r="M1960" s="332">
        <v>0</v>
      </c>
    </row>
    <row r="1961" spans="1:13" hidden="1" x14ac:dyDescent="0.25">
      <c r="A1961" s="329">
        <v>44043</v>
      </c>
      <c r="B1961" s="328" t="s">
        <v>1688</v>
      </c>
      <c r="C1961" s="328" t="s">
        <v>1060</v>
      </c>
      <c r="D1961" s="330">
        <v>1</v>
      </c>
      <c r="E1961" s="331">
        <v>-11</v>
      </c>
      <c r="F1961" s="331">
        <v>14284.03</v>
      </c>
      <c r="G1961" s="328" t="s">
        <v>1687</v>
      </c>
      <c r="H1961" s="328" t="s">
        <v>1752</v>
      </c>
      <c r="I1961" s="328" t="s">
        <v>110</v>
      </c>
      <c r="J1961" s="328" t="s">
        <v>757</v>
      </c>
      <c r="K1961" s="328" t="s">
        <v>741</v>
      </c>
      <c r="L1961" s="329">
        <v>44043</v>
      </c>
      <c r="M1961" s="332">
        <v>0</v>
      </c>
    </row>
    <row r="1962" spans="1:13" hidden="1" x14ac:dyDescent="0.25">
      <c r="A1962" s="329">
        <v>44043</v>
      </c>
      <c r="B1962" s="328" t="s">
        <v>1689</v>
      </c>
      <c r="C1962" s="328" t="s">
        <v>1060</v>
      </c>
      <c r="D1962" s="330">
        <v>1</v>
      </c>
      <c r="E1962" s="331">
        <v>88</v>
      </c>
      <c r="F1962" s="331">
        <v>14372.03</v>
      </c>
      <c r="G1962" s="328" t="s">
        <v>1686</v>
      </c>
      <c r="H1962" s="328" t="s">
        <v>1752</v>
      </c>
      <c r="I1962" s="328" t="s">
        <v>110</v>
      </c>
      <c r="J1962" s="328" t="s">
        <v>757</v>
      </c>
      <c r="K1962" s="328" t="s">
        <v>741</v>
      </c>
      <c r="L1962" s="329">
        <v>44043</v>
      </c>
      <c r="M1962" s="332">
        <v>0</v>
      </c>
    </row>
    <row r="1963" spans="1:13" hidden="1" x14ac:dyDescent="0.25">
      <c r="A1963" s="329">
        <v>44043</v>
      </c>
      <c r="B1963" s="328" t="s">
        <v>1689</v>
      </c>
      <c r="C1963" s="328" t="s">
        <v>1060</v>
      </c>
      <c r="D1963" s="330">
        <v>1</v>
      </c>
      <c r="E1963" s="331">
        <v>-11</v>
      </c>
      <c r="F1963" s="331">
        <v>14361.03</v>
      </c>
      <c r="G1963" s="328" t="s">
        <v>1690</v>
      </c>
      <c r="H1963" s="328" t="s">
        <v>1752</v>
      </c>
      <c r="I1963" s="328" t="s">
        <v>110</v>
      </c>
      <c r="J1963" s="328" t="s">
        <v>757</v>
      </c>
      <c r="K1963" s="328" t="s">
        <v>741</v>
      </c>
      <c r="L1963" s="329">
        <v>44043</v>
      </c>
      <c r="M1963" s="332">
        <v>0</v>
      </c>
    </row>
    <row r="1964" spans="1:13" hidden="1" x14ac:dyDescent="0.25">
      <c r="A1964" s="329">
        <v>44043</v>
      </c>
      <c r="B1964" s="328" t="s">
        <v>1691</v>
      </c>
      <c r="C1964" s="328" t="s">
        <v>769</v>
      </c>
      <c r="D1964" s="330">
        <v>2</v>
      </c>
      <c r="E1964" s="331">
        <v>88</v>
      </c>
      <c r="F1964" s="331">
        <v>14449.03</v>
      </c>
      <c r="G1964" s="328" t="s">
        <v>1692</v>
      </c>
      <c r="H1964" s="328" t="s">
        <v>1752</v>
      </c>
      <c r="I1964" s="328" t="s">
        <v>110</v>
      </c>
      <c r="J1964" s="328" t="s">
        <v>757</v>
      </c>
      <c r="K1964" s="328" t="s">
        <v>770</v>
      </c>
      <c r="L1964" s="329">
        <v>44043</v>
      </c>
      <c r="M1964" s="332">
        <v>0</v>
      </c>
    </row>
    <row r="1965" spans="1:13" hidden="1" x14ac:dyDescent="0.25">
      <c r="A1965" s="329">
        <v>44043</v>
      </c>
      <c r="B1965" s="328" t="s">
        <v>1693</v>
      </c>
      <c r="C1965" s="328" t="s">
        <v>936</v>
      </c>
      <c r="D1965" s="330">
        <v>2</v>
      </c>
      <c r="E1965" s="331">
        <v>-11</v>
      </c>
      <c r="F1965" s="331">
        <v>14438.03</v>
      </c>
      <c r="G1965" s="328" t="s">
        <v>1694</v>
      </c>
      <c r="H1965" s="328" t="s">
        <v>1752</v>
      </c>
      <c r="I1965" s="328" t="s">
        <v>110</v>
      </c>
      <c r="J1965" s="328" t="s">
        <v>757</v>
      </c>
      <c r="K1965" s="328" t="s">
        <v>770</v>
      </c>
      <c r="L1965" s="329">
        <v>44043</v>
      </c>
      <c r="M1965" s="332">
        <v>0</v>
      </c>
    </row>
    <row r="1966" spans="1:13" hidden="1" x14ac:dyDescent="0.25">
      <c r="A1966" s="329">
        <v>44043</v>
      </c>
      <c r="B1966" s="328" t="s">
        <v>1685</v>
      </c>
      <c r="C1966" s="328" t="s">
        <v>1060</v>
      </c>
      <c r="D1966" s="330">
        <v>2</v>
      </c>
      <c r="E1966" s="331">
        <v>-88</v>
      </c>
      <c r="F1966" s="331">
        <v>14350.03</v>
      </c>
      <c r="G1966" s="328" t="s">
        <v>1686</v>
      </c>
      <c r="H1966" s="328" t="s">
        <v>1752</v>
      </c>
      <c r="I1966" s="328" t="s">
        <v>110</v>
      </c>
      <c r="J1966" s="328" t="s">
        <v>757</v>
      </c>
      <c r="K1966" s="328" t="s">
        <v>741</v>
      </c>
      <c r="L1966" s="329">
        <v>44043</v>
      </c>
      <c r="M1966" s="332">
        <v>0</v>
      </c>
    </row>
    <row r="1967" spans="1:13" hidden="1" x14ac:dyDescent="0.25">
      <c r="A1967" s="329">
        <v>44043</v>
      </c>
      <c r="B1967" s="328" t="s">
        <v>1685</v>
      </c>
      <c r="C1967" s="328" t="s">
        <v>1060</v>
      </c>
      <c r="D1967" s="330">
        <v>2</v>
      </c>
      <c r="E1967" s="331">
        <v>-11</v>
      </c>
      <c r="F1967" s="331">
        <v>14339.03</v>
      </c>
      <c r="G1967" s="328" t="s">
        <v>1687</v>
      </c>
      <c r="H1967" s="328" t="s">
        <v>1752</v>
      </c>
      <c r="I1967" s="328" t="s">
        <v>110</v>
      </c>
      <c r="J1967" s="328" t="s">
        <v>757</v>
      </c>
      <c r="K1967" s="328" t="s">
        <v>741</v>
      </c>
      <c r="L1967" s="329">
        <v>44043</v>
      </c>
      <c r="M1967" s="332">
        <v>0</v>
      </c>
    </row>
    <row r="1968" spans="1:13" hidden="1" x14ac:dyDescent="0.25">
      <c r="A1968" s="329">
        <v>44043</v>
      </c>
      <c r="B1968" s="328" t="s">
        <v>1688</v>
      </c>
      <c r="C1968" s="328" t="s">
        <v>1060</v>
      </c>
      <c r="D1968" s="330">
        <v>2</v>
      </c>
      <c r="E1968" s="331">
        <v>88</v>
      </c>
      <c r="F1968" s="331">
        <v>14427.03</v>
      </c>
      <c r="G1968" s="328" t="s">
        <v>1686</v>
      </c>
      <c r="H1968" s="328" t="s">
        <v>1752</v>
      </c>
      <c r="I1968" s="328" t="s">
        <v>110</v>
      </c>
      <c r="J1968" s="328" t="s">
        <v>757</v>
      </c>
      <c r="K1968" s="328" t="s">
        <v>741</v>
      </c>
      <c r="L1968" s="329">
        <v>44043</v>
      </c>
      <c r="M1968" s="332">
        <v>0</v>
      </c>
    </row>
    <row r="1969" spans="1:13" hidden="1" x14ac:dyDescent="0.25">
      <c r="A1969" s="329">
        <v>44043</v>
      </c>
      <c r="B1969" s="328" t="s">
        <v>1688</v>
      </c>
      <c r="C1969" s="328" t="s">
        <v>1060</v>
      </c>
      <c r="D1969" s="330">
        <v>2</v>
      </c>
      <c r="E1969" s="331">
        <v>11</v>
      </c>
      <c r="F1969" s="331">
        <v>14438.03</v>
      </c>
      <c r="G1969" s="328" t="s">
        <v>1687</v>
      </c>
      <c r="H1969" s="328" t="s">
        <v>1752</v>
      </c>
      <c r="I1969" s="328" t="s">
        <v>110</v>
      </c>
      <c r="J1969" s="328" t="s">
        <v>757</v>
      </c>
      <c r="K1969" s="328" t="s">
        <v>741</v>
      </c>
      <c r="L1969" s="329">
        <v>44043</v>
      </c>
      <c r="M1969" s="332">
        <v>0</v>
      </c>
    </row>
    <row r="1970" spans="1:13" hidden="1" x14ac:dyDescent="0.25">
      <c r="A1970" s="329">
        <v>44043</v>
      </c>
      <c r="B1970" s="328" t="s">
        <v>1689</v>
      </c>
      <c r="C1970" s="328" t="s">
        <v>1060</v>
      </c>
      <c r="D1970" s="330">
        <v>2</v>
      </c>
      <c r="E1970" s="331">
        <v>-88</v>
      </c>
      <c r="F1970" s="331">
        <v>14350.03</v>
      </c>
      <c r="G1970" s="328" t="s">
        <v>1686</v>
      </c>
      <c r="H1970" s="328" t="s">
        <v>1752</v>
      </c>
      <c r="I1970" s="328" t="s">
        <v>110</v>
      </c>
      <c r="J1970" s="328" t="s">
        <v>757</v>
      </c>
      <c r="K1970" s="328" t="s">
        <v>741</v>
      </c>
      <c r="L1970" s="329">
        <v>44043</v>
      </c>
      <c r="M1970" s="332">
        <v>0</v>
      </c>
    </row>
    <row r="1971" spans="1:13" hidden="1" x14ac:dyDescent="0.25">
      <c r="A1971" s="329">
        <v>44043</v>
      </c>
      <c r="B1971" s="328" t="s">
        <v>1689</v>
      </c>
      <c r="C1971" s="328" t="s">
        <v>1060</v>
      </c>
      <c r="D1971" s="330">
        <v>2</v>
      </c>
      <c r="E1971" s="331">
        <v>11</v>
      </c>
      <c r="F1971" s="331">
        <v>14361.03</v>
      </c>
      <c r="G1971" s="328" t="s">
        <v>1690</v>
      </c>
      <c r="H1971" s="328" t="s">
        <v>1752</v>
      </c>
      <c r="I1971" s="328" t="s">
        <v>110</v>
      </c>
      <c r="J1971" s="328" t="s">
        <v>757</v>
      </c>
      <c r="K1971" s="328" t="s">
        <v>741</v>
      </c>
      <c r="L1971" s="329">
        <v>44043</v>
      </c>
      <c r="M1971" s="332">
        <v>0</v>
      </c>
    </row>
    <row r="1972" spans="1:13" hidden="1" x14ac:dyDescent="0.25">
      <c r="A1972" s="329">
        <v>44074</v>
      </c>
      <c r="B1972" s="328" t="s">
        <v>1695</v>
      </c>
      <c r="C1972" s="328" t="s">
        <v>1060</v>
      </c>
      <c r="D1972" s="330">
        <v>2</v>
      </c>
      <c r="E1972" s="331">
        <v>66</v>
      </c>
      <c r="F1972" s="331">
        <v>14427.03</v>
      </c>
      <c r="G1972" s="328" t="s">
        <v>1696</v>
      </c>
      <c r="H1972" s="328" t="s">
        <v>1752</v>
      </c>
      <c r="I1972" s="328" t="s">
        <v>110</v>
      </c>
      <c r="J1972" s="328" t="s">
        <v>757</v>
      </c>
      <c r="K1972" s="328" t="s">
        <v>741</v>
      </c>
      <c r="L1972" s="329">
        <v>44074</v>
      </c>
      <c r="M1972" s="332">
        <v>0</v>
      </c>
    </row>
    <row r="1973" spans="1:13" hidden="1" x14ac:dyDescent="0.25">
      <c r="A1973" s="329">
        <v>44074</v>
      </c>
      <c r="B1973" s="328" t="s">
        <v>1697</v>
      </c>
      <c r="C1973" s="328" t="s">
        <v>769</v>
      </c>
      <c r="D1973" s="330">
        <v>3</v>
      </c>
      <c r="E1973" s="331">
        <v>66</v>
      </c>
      <c r="F1973" s="331">
        <v>14493.03</v>
      </c>
      <c r="G1973" s="328" t="s">
        <v>1698</v>
      </c>
      <c r="H1973" s="328" t="s">
        <v>1752</v>
      </c>
      <c r="I1973" s="328" t="s">
        <v>110</v>
      </c>
      <c r="J1973" s="328" t="s">
        <v>757</v>
      </c>
      <c r="K1973" s="328" t="s">
        <v>770</v>
      </c>
      <c r="L1973" s="329">
        <v>44074</v>
      </c>
      <c r="M1973" s="332">
        <v>0</v>
      </c>
    </row>
    <row r="1974" spans="1:13" hidden="1" x14ac:dyDescent="0.25">
      <c r="A1974" s="329">
        <v>44074</v>
      </c>
      <c r="B1974" s="328" t="s">
        <v>1695</v>
      </c>
      <c r="C1974" s="328" t="s">
        <v>1060</v>
      </c>
      <c r="D1974" s="330">
        <v>3</v>
      </c>
      <c r="E1974" s="331">
        <v>-66</v>
      </c>
      <c r="F1974" s="331">
        <v>14427.03</v>
      </c>
      <c r="G1974" s="328" t="s">
        <v>1696</v>
      </c>
      <c r="H1974" s="328" t="s">
        <v>1752</v>
      </c>
      <c r="I1974" s="328" t="s">
        <v>110</v>
      </c>
      <c r="J1974" s="328" t="s">
        <v>757</v>
      </c>
      <c r="K1974" s="328" t="s">
        <v>741</v>
      </c>
      <c r="L1974" s="329">
        <v>44074</v>
      </c>
      <c r="M1974" s="332">
        <v>0</v>
      </c>
    </row>
    <row r="1975" spans="1:13" hidden="1" x14ac:dyDescent="0.25">
      <c r="A1975" s="329">
        <v>44104</v>
      </c>
      <c r="B1975" s="328" t="s">
        <v>1699</v>
      </c>
      <c r="C1975" s="328" t="s">
        <v>1060</v>
      </c>
      <c r="D1975" s="330">
        <v>3</v>
      </c>
      <c r="E1975" s="331">
        <v>88</v>
      </c>
      <c r="F1975" s="331">
        <v>14515.03</v>
      </c>
      <c r="G1975" s="328" t="s">
        <v>1700</v>
      </c>
      <c r="H1975" s="328" t="s">
        <v>1752</v>
      </c>
      <c r="I1975" s="328" t="s">
        <v>110</v>
      </c>
      <c r="J1975" s="328" t="s">
        <v>757</v>
      </c>
      <c r="K1975" s="328" t="s">
        <v>741</v>
      </c>
      <c r="L1975" s="329">
        <v>44104</v>
      </c>
      <c r="M1975" s="332">
        <v>0</v>
      </c>
    </row>
    <row r="1976" spans="1:13" hidden="1" x14ac:dyDescent="0.25">
      <c r="A1976" s="329">
        <v>44104</v>
      </c>
      <c r="B1976" s="328" t="s">
        <v>1699</v>
      </c>
      <c r="C1976" s="328" t="s">
        <v>1060</v>
      </c>
      <c r="D1976" s="330">
        <v>4</v>
      </c>
      <c r="E1976" s="331">
        <v>-88</v>
      </c>
      <c r="F1976" s="331">
        <v>14427.03</v>
      </c>
      <c r="G1976" s="328" t="s">
        <v>1700</v>
      </c>
      <c r="H1976" s="328" t="s">
        <v>1752</v>
      </c>
      <c r="I1976" s="328" t="s">
        <v>110</v>
      </c>
      <c r="J1976" s="328" t="s">
        <v>757</v>
      </c>
      <c r="K1976" s="328" t="s">
        <v>741</v>
      </c>
      <c r="L1976" s="329">
        <v>44104</v>
      </c>
      <c r="M1976" s="332">
        <v>0</v>
      </c>
    </row>
    <row r="1977" spans="1:13" hidden="1" x14ac:dyDescent="0.25">
      <c r="A1977" s="329">
        <v>44105</v>
      </c>
      <c r="B1977" s="328" t="s">
        <v>1701</v>
      </c>
      <c r="C1977" s="328" t="s">
        <v>769</v>
      </c>
      <c r="D1977" s="330">
        <v>4</v>
      </c>
      <c r="E1977" s="331">
        <v>88</v>
      </c>
      <c r="F1977" s="331">
        <v>14515.03</v>
      </c>
      <c r="G1977" s="328" t="s">
        <v>1702</v>
      </c>
      <c r="H1977" s="328" t="s">
        <v>1752</v>
      </c>
      <c r="I1977" s="328" t="s">
        <v>110</v>
      </c>
      <c r="J1977" s="328" t="s">
        <v>757</v>
      </c>
      <c r="K1977" s="328" t="s">
        <v>770</v>
      </c>
      <c r="L1977" s="329">
        <v>44105</v>
      </c>
      <c r="M1977" s="332">
        <v>0</v>
      </c>
    </row>
    <row r="1978" spans="1:13" hidden="1" x14ac:dyDescent="0.25">
      <c r="A1978" s="329">
        <v>44135</v>
      </c>
      <c r="B1978" s="328" t="s">
        <v>1703</v>
      </c>
      <c r="C1978" s="328" t="s">
        <v>1060</v>
      </c>
      <c r="D1978" s="330">
        <v>4</v>
      </c>
      <c r="E1978" s="331">
        <v>49.5</v>
      </c>
      <c r="F1978" s="331">
        <v>14564.53</v>
      </c>
      <c r="G1978" s="328" t="s">
        <v>1704</v>
      </c>
      <c r="H1978" s="328" t="s">
        <v>1752</v>
      </c>
      <c r="I1978" s="328" t="s">
        <v>110</v>
      </c>
      <c r="J1978" s="328" t="s">
        <v>757</v>
      </c>
      <c r="K1978" s="328" t="s">
        <v>741</v>
      </c>
      <c r="L1978" s="329">
        <v>44135</v>
      </c>
      <c r="M1978" s="332">
        <v>0</v>
      </c>
    </row>
    <row r="1979" spans="1:13" hidden="1" x14ac:dyDescent="0.25">
      <c r="A1979" s="329">
        <v>44135</v>
      </c>
      <c r="B1979" s="328" t="s">
        <v>1703</v>
      </c>
      <c r="C1979" s="328" t="s">
        <v>1060</v>
      </c>
      <c r="D1979" s="330">
        <v>5</v>
      </c>
      <c r="E1979" s="331">
        <v>-49.5</v>
      </c>
      <c r="F1979" s="331">
        <v>14515.03</v>
      </c>
      <c r="G1979" s="328" t="s">
        <v>1704</v>
      </c>
      <c r="H1979" s="328" t="s">
        <v>1752</v>
      </c>
      <c r="I1979" s="328" t="s">
        <v>110</v>
      </c>
      <c r="J1979" s="328" t="s">
        <v>757</v>
      </c>
      <c r="K1979" s="328" t="s">
        <v>741</v>
      </c>
      <c r="L1979" s="329">
        <v>44135</v>
      </c>
      <c r="M1979" s="332">
        <v>0</v>
      </c>
    </row>
    <row r="1980" spans="1:13" hidden="1" x14ac:dyDescent="0.25">
      <c r="A1980" s="329">
        <v>44135</v>
      </c>
      <c r="B1980" s="328" t="s">
        <v>1705</v>
      </c>
      <c r="C1980" s="328" t="s">
        <v>769</v>
      </c>
      <c r="D1980" s="330">
        <v>5</v>
      </c>
      <c r="E1980" s="331">
        <v>49.5</v>
      </c>
      <c r="F1980" s="331">
        <v>14564.53</v>
      </c>
      <c r="G1980" s="328" t="s">
        <v>1706</v>
      </c>
      <c r="H1980" s="328" t="s">
        <v>1752</v>
      </c>
      <c r="I1980" s="328" t="s">
        <v>110</v>
      </c>
      <c r="J1980" s="328" t="s">
        <v>757</v>
      </c>
      <c r="K1980" s="328" t="s">
        <v>770</v>
      </c>
      <c r="L1980" s="329">
        <v>44135</v>
      </c>
      <c r="M1980" s="332">
        <v>0</v>
      </c>
    </row>
    <row r="1981" spans="1:13" hidden="1" x14ac:dyDescent="0.25">
      <c r="A1981" s="329">
        <v>44165</v>
      </c>
      <c r="B1981" s="328" t="s">
        <v>1707</v>
      </c>
      <c r="C1981" s="328" t="s">
        <v>1060</v>
      </c>
      <c r="D1981" s="330">
        <v>5</v>
      </c>
      <c r="E1981" s="331">
        <v>49.5</v>
      </c>
      <c r="F1981" s="331">
        <v>14614.03</v>
      </c>
      <c r="G1981" s="328" t="s">
        <v>1708</v>
      </c>
      <c r="H1981" s="328" t="s">
        <v>1752</v>
      </c>
      <c r="I1981" s="328" t="s">
        <v>110</v>
      </c>
      <c r="J1981" s="328" t="s">
        <v>757</v>
      </c>
      <c r="K1981" s="328" t="s">
        <v>741</v>
      </c>
      <c r="L1981" s="329">
        <v>44165</v>
      </c>
      <c r="M1981" s="332">
        <v>0</v>
      </c>
    </row>
    <row r="1982" spans="1:13" hidden="1" x14ac:dyDescent="0.25">
      <c r="A1982" s="329">
        <v>44165</v>
      </c>
      <c r="B1982" s="328" t="s">
        <v>1707</v>
      </c>
      <c r="C1982" s="328" t="s">
        <v>1060</v>
      </c>
      <c r="D1982" s="330">
        <v>6</v>
      </c>
      <c r="E1982" s="331">
        <v>-49.5</v>
      </c>
      <c r="F1982" s="331">
        <v>14564.53</v>
      </c>
      <c r="G1982" s="328" t="s">
        <v>1708</v>
      </c>
      <c r="H1982" s="328" t="s">
        <v>1752</v>
      </c>
      <c r="I1982" s="328" t="s">
        <v>110</v>
      </c>
      <c r="J1982" s="328" t="s">
        <v>757</v>
      </c>
      <c r="K1982" s="328" t="s">
        <v>741</v>
      </c>
      <c r="L1982" s="329">
        <v>44165</v>
      </c>
      <c r="M1982" s="332">
        <v>0</v>
      </c>
    </row>
    <row r="1983" spans="1:13" hidden="1" x14ac:dyDescent="0.25">
      <c r="A1983" s="329">
        <v>44165</v>
      </c>
      <c r="B1983" s="328" t="s">
        <v>1709</v>
      </c>
      <c r="C1983" s="328" t="s">
        <v>769</v>
      </c>
      <c r="D1983" s="330">
        <v>6</v>
      </c>
      <c r="E1983" s="331">
        <v>49.5</v>
      </c>
      <c r="F1983" s="331">
        <v>14614.03</v>
      </c>
      <c r="G1983" s="328" t="s">
        <v>1710</v>
      </c>
      <c r="H1983" s="328" t="s">
        <v>1752</v>
      </c>
      <c r="I1983" s="328" t="s">
        <v>110</v>
      </c>
      <c r="J1983" s="328" t="s">
        <v>757</v>
      </c>
      <c r="K1983" s="328" t="s">
        <v>770</v>
      </c>
      <c r="L1983" s="329">
        <v>44165</v>
      </c>
      <c r="M1983" s="332">
        <v>0</v>
      </c>
    </row>
    <row r="1984" spans="1:13" hidden="1" x14ac:dyDescent="0.25">
      <c r="A1984" s="329">
        <v>44196</v>
      </c>
      <c r="B1984" s="328" t="s">
        <v>1711</v>
      </c>
      <c r="C1984" s="328" t="s">
        <v>1060</v>
      </c>
      <c r="D1984" s="330">
        <v>6</v>
      </c>
      <c r="E1984" s="331">
        <v>44</v>
      </c>
      <c r="F1984" s="331">
        <v>14658.03</v>
      </c>
      <c r="G1984" s="328" t="s">
        <v>1712</v>
      </c>
      <c r="H1984" s="328" t="s">
        <v>1752</v>
      </c>
      <c r="I1984" s="328" t="s">
        <v>110</v>
      </c>
      <c r="J1984" s="328" t="s">
        <v>757</v>
      </c>
      <c r="K1984" s="328" t="s">
        <v>741</v>
      </c>
      <c r="L1984" s="329">
        <v>44196</v>
      </c>
      <c r="M1984" s="332">
        <v>0</v>
      </c>
    </row>
    <row r="1985" spans="1:13" hidden="1" x14ac:dyDescent="0.25">
      <c r="A1985" s="329">
        <v>44196</v>
      </c>
      <c r="B1985" s="328" t="s">
        <v>1711</v>
      </c>
      <c r="C1985" s="328" t="s">
        <v>1060</v>
      </c>
      <c r="D1985" s="330">
        <v>7</v>
      </c>
      <c r="E1985" s="331">
        <v>-44</v>
      </c>
      <c r="F1985" s="331">
        <v>14614.03</v>
      </c>
      <c r="G1985" s="328" t="s">
        <v>1712</v>
      </c>
      <c r="H1985" s="328" t="s">
        <v>1752</v>
      </c>
      <c r="I1985" s="328" t="s">
        <v>110</v>
      </c>
      <c r="J1985" s="328" t="s">
        <v>757</v>
      </c>
      <c r="K1985" s="328" t="s">
        <v>741</v>
      </c>
      <c r="L1985" s="329">
        <v>44196</v>
      </c>
      <c r="M1985" s="332">
        <v>0</v>
      </c>
    </row>
    <row r="1986" spans="1:13" hidden="1" x14ac:dyDescent="0.25">
      <c r="A1986" s="329">
        <v>44196</v>
      </c>
      <c r="B1986" s="328" t="s">
        <v>1713</v>
      </c>
      <c r="C1986" s="328" t="s">
        <v>769</v>
      </c>
      <c r="D1986" s="330">
        <v>7</v>
      </c>
      <c r="E1986" s="331">
        <v>44</v>
      </c>
      <c r="F1986" s="331">
        <v>14658.03</v>
      </c>
      <c r="G1986" s="328" t="s">
        <v>1714</v>
      </c>
      <c r="H1986" s="328" t="s">
        <v>1752</v>
      </c>
      <c r="I1986" s="328" t="s">
        <v>110</v>
      </c>
      <c r="J1986" s="328" t="s">
        <v>757</v>
      </c>
      <c r="K1986" s="328" t="s">
        <v>770</v>
      </c>
      <c r="L1986" s="329">
        <v>44196</v>
      </c>
      <c r="M1986" s="332">
        <v>0</v>
      </c>
    </row>
    <row r="1987" spans="1:13" hidden="1" x14ac:dyDescent="0.25">
      <c r="A1987" s="329">
        <v>44227</v>
      </c>
      <c r="B1987" s="328" t="s">
        <v>1715</v>
      </c>
      <c r="C1987" s="328" t="s">
        <v>1060</v>
      </c>
      <c r="D1987" s="330">
        <v>7</v>
      </c>
      <c r="E1987" s="331">
        <v>44</v>
      </c>
      <c r="F1987" s="331">
        <v>14702.03</v>
      </c>
      <c r="G1987" s="328" t="s">
        <v>1716</v>
      </c>
      <c r="H1987" s="328" t="s">
        <v>1752</v>
      </c>
      <c r="I1987" s="328" t="s">
        <v>110</v>
      </c>
      <c r="J1987" s="328" t="s">
        <v>757</v>
      </c>
      <c r="K1987" s="328" t="s">
        <v>741</v>
      </c>
      <c r="L1987" s="329">
        <v>44227</v>
      </c>
      <c r="M1987" s="332">
        <v>0</v>
      </c>
    </row>
    <row r="1988" spans="1:13" hidden="1" x14ac:dyDescent="0.25">
      <c r="A1988" s="329">
        <v>44227</v>
      </c>
      <c r="B1988" s="328" t="s">
        <v>1715</v>
      </c>
      <c r="C1988" s="328" t="s">
        <v>1060</v>
      </c>
      <c r="D1988" s="330">
        <v>8</v>
      </c>
      <c r="E1988" s="331">
        <v>-44</v>
      </c>
      <c r="F1988" s="331">
        <v>14658.03</v>
      </c>
      <c r="G1988" s="328" t="s">
        <v>1716</v>
      </c>
      <c r="H1988" s="328" t="s">
        <v>1752</v>
      </c>
      <c r="I1988" s="328" t="s">
        <v>110</v>
      </c>
      <c r="J1988" s="328" t="s">
        <v>757</v>
      </c>
      <c r="K1988" s="328" t="s">
        <v>741</v>
      </c>
      <c r="L1988" s="329">
        <v>44227</v>
      </c>
      <c r="M1988" s="332">
        <v>0</v>
      </c>
    </row>
    <row r="1989" spans="1:13" hidden="1" x14ac:dyDescent="0.25">
      <c r="A1989" s="329">
        <v>44227</v>
      </c>
      <c r="B1989" s="328" t="s">
        <v>1717</v>
      </c>
      <c r="C1989" s="328" t="s">
        <v>769</v>
      </c>
      <c r="D1989" s="330">
        <v>8</v>
      </c>
      <c r="E1989" s="331">
        <v>44</v>
      </c>
      <c r="F1989" s="331">
        <v>14702.03</v>
      </c>
      <c r="G1989" s="328" t="s">
        <v>1718</v>
      </c>
      <c r="H1989" s="328" t="s">
        <v>1752</v>
      </c>
      <c r="I1989" s="328" t="s">
        <v>110</v>
      </c>
      <c r="J1989" s="328" t="s">
        <v>757</v>
      </c>
      <c r="K1989" s="328" t="s">
        <v>770</v>
      </c>
      <c r="L1989" s="329">
        <v>44227</v>
      </c>
      <c r="M1989" s="332">
        <v>0</v>
      </c>
    </row>
    <row r="1990" spans="1:13" hidden="1" x14ac:dyDescent="0.25">
      <c r="A1990" s="329">
        <v>44255</v>
      </c>
      <c r="B1990" s="328" t="s">
        <v>1720</v>
      </c>
      <c r="C1990" s="328" t="s">
        <v>1060</v>
      </c>
      <c r="D1990" s="330">
        <v>8</v>
      </c>
      <c r="E1990" s="331">
        <v>44</v>
      </c>
      <c r="F1990" s="331">
        <v>14746.03</v>
      </c>
      <c r="G1990" s="328" t="s">
        <v>1721</v>
      </c>
      <c r="H1990" s="328" t="s">
        <v>1752</v>
      </c>
      <c r="I1990" s="328" t="s">
        <v>110</v>
      </c>
      <c r="J1990" s="328" t="s">
        <v>757</v>
      </c>
      <c r="K1990" s="328" t="s">
        <v>741</v>
      </c>
      <c r="L1990" s="329">
        <v>44255</v>
      </c>
      <c r="M1990" s="332">
        <v>0</v>
      </c>
    </row>
    <row r="1991" spans="1:13" hidden="1" x14ac:dyDescent="0.25">
      <c r="A1991" s="329">
        <v>44255</v>
      </c>
      <c r="B1991" s="328" t="s">
        <v>1720</v>
      </c>
      <c r="C1991" s="328" t="s">
        <v>1060</v>
      </c>
      <c r="D1991" s="330">
        <v>9</v>
      </c>
      <c r="E1991" s="331">
        <v>-44</v>
      </c>
      <c r="F1991" s="331">
        <v>14702.03</v>
      </c>
      <c r="G1991" s="328" t="s">
        <v>1721</v>
      </c>
      <c r="H1991" s="328" t="s">
        <v>1752</v>
      </c>
      <c r="I1991" s="328" t="s">
        <v>110</v>
      </c>
      <c r="J1991" s="328" t="s">
        <v>757</v>
      </c>
      <c r="K1991" s="328" t="s">
        <v>741</v>
      </c>
      <c r="L1991" s="329">
        <v>44255</v>
      </c>
      <c r="M1991" s="332">
        <v>0</v>
      </c>
    </row>
    <row r="1992" spans="1:13" hidden="1" x14ac:dyDescent="0.25">
      <c r="A1992" s="329">
        <v>44255</v>
      </c>
      <c r="B1992" s="328" t="s">
        <v>1722</v>
      </c>
      <c r="C1992" s="328" t="s">
        <v>769</v>
      </c>
      <c r="D1992" s="330">
        <v>9</v>
      </c>
      <c r="E1992" s="331">
        <v>55</v>
      </c>
      <c r="F1992" s="331">
        <v>14757.03</v>
      </c>
      <c r="G1992" s="328" t="s">
        <v>1723</v>
      </c>
      <c r="H1992" s="328" t="s">
        <v>1752</v>
      </c>
      <c r="I1992" s="328" t="s">
        <v>110</v>
      </c>
      <c r="J1992" s="328" t="s">
        <v>757</v>
      </c>
      <c r="K1992" s="328" t="s">
        <v>770</v>
      </c>
      <c r="L1992" s="329">
        <v>44255</v>
      </c>
      <c r="M1992" s="332">
        <v>0</v>
      </c>
    </row>
    <row r="1993" spans="1:13" hidden="1" x14ac:dyDescent="0.25">
      <c r="A1993" s="329">
        <v>44286</v>
      </c>
      <c r="B1993" s="328" t="s">
        <v>1724</v>
      </c>
      <c r="C1993" s="328" t="s">
        <v>1060</v>
      </c>
      <c r="D1993" s="330">
        <v>9</v>
      </c>
      <c r="E1993" s="331">
        <v>66</v>
      </c>
      <c r="F1993" s="331">
        <v>14823.03</v>
      </c>
      <c r="G1993" s="328" t="s">
        <v>1725</v>
      </c>
      <c r="H1993" s="328" t="s">
        <v>1752</v>
      </c>
      <c r="I1993" s="328" t="s">
        <v>110</v>
      </c>
      <c r="J1993" s="328" t="s">
        <v>757</v>
      </c>
      <c r="K1993" s="328" t="s">
        <v>741</v>
      </c>
      <c r="L1993" s="329">
        <v>44286</v>
      </c>
      <c r="M1993" s="332">
        <v>0</v>
      </c>
    </row>
    <row r="1994" spans="1:13" hidden="1" x14ac:dyDescent="0.25">
      <c r="A1994" s="329">
        <v>44286</v>
      </c>
      <c r="B1994" s="328" t="s">
        <v>1726</v>
      </c>
      <c r="C1994" s="328" t="s">
        <v>769</v>
      </c>
      <c r="D1994" s="330">
        <v>10</v>
      </c>
      <c r="E1994" s="331">
        <v>66</v>
      </c>
      <c r="F1994" s="331">
        <v>14889.03</v>
      </c>
      <c r="G1994" s="328" t="s">
        <v>1727</v>
      </c>
      <c r="H1994" s="328" t="s">
        <v>1752</v>
      </c>
      <c r="I1994" s="328" t="s">
        <v>110</v>
      </c>
      <c r="J1994" s="328" t="s">
        <v>757</v>
      </c>
      <c r="K1994" s="328" t="s">
        <v>770</v>
      </c>
      <c r="L1994" s="329">
        <v>44286</v>
      </c>
      <c r="M1994" s="332">
        <v>0</v>
      </c>
    </row>
    <row r="1995" spans="1:13" hidden="1" x14ac:dyDescent="0.25">
      <c r="A1995" s="329">
        <v>44286</v>
      </c>
      <c r="B1995" s="328" t="s">
        <v>1724</v>
      </c>
      <c r="C1995" s="328" t="s">
        <v>1060</v>
      </c>
      <c r="D1995" s="330">
        <v>10</v>
      </c>
      <c r="E1995" s="331">
        <v>-66</v>
      </c>
      <c r="F1995" s="331">
        <v>14823.03</v>
      </c>
      <c r="G1995" s="328" t="s">
        <v>1725</v>
      </c>
      <c r="H1995" s="328" t="s">
        <v>1752</v>
      </c>
      <c r="I1995" s="328" t="s">
        <v>110</v>
      </c>
      <c r="J1995" s="328" t="s">
        <v>757</v>
      </c>
      <c r="K1995" s="328" t="s">
        <v>741</v>
      </c>
      <c r="L1995" s="329">
        <v>44286</v>
      </c>
      <c r="M1995" s="332">
        <v>0</v>
      </c>
    </row>
    <row r="1996" spans="1:13" hidden="1" x14ac:dyDescent="0.25">
      <c r="A1996" s="329">
        <v>44316</v>
      </c>
      <c r="B1996" s="328" t="s">
        <v>1728</v>
      </c>
      <c r="C1996" s="328" t="s">
        <v>1060</v>
      </c>
      <c r="D1996" s="330">
        <v>10</v>
      </c>
      <c r="E1996" s="331">
        <v>44</v>
      </c>
      <c r="F1996" s="331">
        <v>14867.03</v>
      </c>
      <c r="G1996" s="328" t="s">
        <v>1729</v>
      </c>
      <c r="H1996" s="328" t="s">
        <v>1752</v>
      </c>
      <c r="I1996" s="328" t="s">
        <v>110</v>
      </c>
      <c r="J1996" s="328" t="s">
        <v>757</v>
      </c>
      <c r="K1996" s="328" t="s">
        <v>741</v>
      </c>
      <c r="L1996" s="329">
        <v>44316</v>
      </c>
      <c r="M1996" s="332">
        <v>0</v>
      </c>
    </row>
    <row r="1997" spans="1:13" hidden="1" x14ac:dyDescent="0.25">
      <c r="A1997" s="329">
        <v>44012</v>
      </c>
      <c r="B1997" s="328" t="s">
        <v>1678</v>
      </c>
      <c r="C1997" s="328" t="s">
        <v>769</v>
      </c>
      <c r="D1997" s="330">
        <v>1</v>
      </c>
      <c r="E1997" s="331">
        <v>16.5</v>
      </c>
      <c r="F1997" s="331">
        <v>14920.38</v>
      </c>
      <c r="G1997" s="328" t="s">
        <v>1679</v>
      </c>
      <c r="H1997" s="328" t="s">
        <v>1753</v>
      </c>
      <c r="I1997" s="328" t="s">
        <v>110</v>
      </c>
      <c r="J1997" s="328" t="s">
        <v>757</v>
      </c>
      <c r="K1997" s="328" t="s">
        <v>770</v>
      </c>
      <c r="L1997" s="329">
        <v>44012</v>
      </c>
      <c r="M1997" s="332">
        <v>0</v>
      </c>
    </row>
    <row r="1998" spans="1:13" hidden="1" x14ac:dyDescent="0.25">
      <c r="A1998" s="329">
        <v>44012</v>
      </c>
      <c r="B1998" s="328" t="s">
        <v>1681</v>
      </c>
      <c r="C1998" s="328" t="s">
        <v>1059</v>
      </c>
      <c r="D1998" s="330">
        <v>1</v>
      </c>
      <c r="E1998" s="331">
        <v>-11</v>
      </c>
      <c r="F1998" s="331">
        <v>14909.38</v>
      </c>
      <c r="G1998" s="328" t="s">
        <v>1682</v>
      </c>
      <c r="H1998" s="328" t="s">
        <v>1753</v>
      </c>
      <c r="I1998" s="328" t="s">
        <v>110</v>
      </c>
      <c r="J1998" s="328" t="s">
        <v>757</v>
      </c>
      <c r="K1998" s="328" t="s">
        <v>741</v>
      </c>
      <c r="L1998" s="329">
        <v>44012</v>
      </c>
      <c r="M1998" s="332">
        <v>0</v>
      </c>
    </row>
    <row r="1999" spans="1:13" hidden="1" x14ac:dyDescent="0.25">
      <c r="A1999" s="329">
        <v>44041</v>
      </c>
      <c r="B1999" s="328" t="s">
        <v>1683</v>
      </c>
      <c r="C1999" s="328" t="s">
        <v>936</v>
      </c>
      <c r="D1999" s="330">
        <v>1</v>
      </c>
      <c r="E1999" s="331">
        <v>-5.5</v>
      </c>
      <c r="F1999" s="331">
        <v>14903.88</v>
      </c>
      <c r="G1999" s="328" t="s">
        <v>1684</v>
      </c>
      <c r="H1999" s="328" t="s">
        <v>1753</v>
      </c>
      <c r="I1999" s="328" t="s">
        <v>110</v>
      </c>
      <c r="J1999" s="328" t="s">
        <v>757</v>
      </c>
      <c r="K1999" s="328" t="s">
        <v>770</v>
      </c>
      <c r="L1999" s="329">
        <v>44041</v>
      </c>
      <c r="M1999" s="332">
        <v>0</v>
      </c>
    </row>
    <row r="2000" spans="1:13" hidden="1" x14ac:dyDescent="0.25">
      <c r="A2000" s="329">
        <v>44043</v>
      </c>
      <c r="B2000" s="328" t="s">
        <v>1685</v>
      </c>
      <c r="C2000" s="328" t="s">
        <v>1060</v>
      </c>
      <c r="D2000" s="330">
        <v>1</v>
      </c>
      <c r="E2000" s="331">
        <v>5.5</v>
      </c>
      <c r="F2000" s="331">
        <v>14909.38</v>
      </c>
      <c r="G2000" s="328" t="s">
        <v>1687</v>
      </c>
      <c r="H2000" s="328" t="s">
        <v>1753</v>
      </c>
      <c r="I2000" s="328" t="s">
        <v>110</v>
      </c>
      <c r="J2000" s="328" t="s">
        <v>757</v>
      </c>
      <c r="K2000" s="328" t="s">
        <v>741</v>
      </c>
      <c r="L2000" s="329">
        <v>44043</v>
      </c>
      <c r="M2000" s="332">
        <v>0</v>
      </c>
    </row>
    <row r="2001" spans="1:13" hidden="1" x14ac:dyDescent="0.25">
      <c r="A2001" s="329">
        <v>44043</v>
      </c>
      <c r="B2001" s="328" t="s">
        <v>1688</v>
      </c>
      <c r="C2001" s="328" t="s">
        <v>1060</v>
      </c>
      <c r="D2001" s="330">
        <v>1</v>
      </c>
      <c r="E2001" s="331">
        <v>-16.5</v>
      </c>
      <c r="F2001" s="331">
        <v>14892.88</v>
      </c>
      <c r="G2001" s="328" t="s">
        <v>1686</v>
      </c>
      <c r="H2001" s="328" t="s">
        <v>1753</v>
      </c>
      <c r="I2001" s="328" t="s">
        <v>110</v>
      </c>
      <c r="J2001" s="328" t="s">
        <v>757</v>
      </c>
      <c r="K2001" s="328" t="s">
        <v>741</v>
      </c>
      <c r="L2001" s="329">
        <v>44043</v>
      </c>
      <c r="M2001" s="332">
        <v>0</v>
      </c>
    </row>
    <row r="2002" spans="1:13" hidden="1" x14ac:dyDescent="0.25">
      <c r="A2002" s="329">
        <v>44043</v>
      </c>
      <c r="B2002" s="328" t="s">
        <v>1688</v>
      </c>
      <c r="C2002" s="328" t="s">
        <v>1060</v>
      </c>
      <c r="D2002" s="330">
        <v>1</v>
      </c>
      <c r="E2002" s="331">
        <v>-5.5</v>
      </c>
      <c r="F2002" s="331">
        <v>14887.38</v>
      </c>
      <c r="G2002" s="328" t="s">
        <v>1687</v>
      </c>
      <c r="H2002" s="328" t="s">
        <v>1753</v>
      </c>
      <c r="I2002" s="328" t="s">
        <v>110</v>
      </c>
      <c r="J2002" s="328" t="s">
        <v>757</v>
      </c>
      <c r="K2002" s="328" t="s">
        <v>741</v>
      </c>
      <c r="L2002" s="329">
        <v>44043</v>
      </c>
      <c r="M2002" s="332">
        <v>0</v>
      </c>
    </row>
    <row r="2003" spans="1:13" hidden="1" x14ac:dyDescent="0.25">
      <c r="A2003" s="329">
        <v>44043</v>
      </c>
      <c r="B2003" s="328" t="s">
        <v>1689</v>
      </c>
      <c r="C2003" s="328" t="s">
        <v>1060</v>
      </c>
      <c r="D2003" s="330">
        <v>1</v>
      </c>
      <c r="E2003" s="331">
        <v>16.5</v>
      </c>
      <c r="F2003" s="331">
        <v>14903.88</v>
      </c>
      <c r="G2003" s="328" t="s">
        <v>1686</v>
      </c>
      <c r="H2003" s="328" t="s">
        <v>1753</v>
      </c>
      <c r="I2003" s="328" t="s">
        <v>110</v>
      </c>
      <c r="J2003" s="328" t="s">
        <v>757</v>
      </c>
      <c r="K2003" s="328" t="s">
        <v>741</v>
      </c>
      <c r="L2003" s="329">
        <v>44043</v>
      </c>
      <c r="M2003" s="332">
        <v>0</v>
      </c>
    </row>
    <row r="2004" spans="1:13" hidden="1" x14ac:dyDescent="0.25">
      <c r="A2004" s="329">
        <v>44043</v>
      </c>
      <c r="B2004" s="328" t="s">
        <v>1689</v>
      </c>
      <c r="C2004" s="328" t="s">
        <v>1060</v>
      </c>
      <c r="D2004" s="330">
        <v>1</v>
      </c>
      <c r="E2004" s="331">
        <v>-5.5</v>
      </c>
      <c r="F2004" s="331">
        <v>14898.38</v>
      </c>
      <c r="G2004" s="328" t="s">
        <v>1690</v>
      </c>
      <c r="H2004" s="328" t="s">
        <v>1753</v>
      </c>
      <c r="I2004" s="328" t="s">
        <v>110</v>
      </c>
      <c r="J2004" s="328" t="s">
        <v>757</v>
      </c>
      <c r="K2004" s="328" t="s">
        <v>741</v>
      </c>
      <c r="L2004" s="329">
        <v>44043</v>
      </c>
      <c r="M2004" s="332">
        <v>0</v>
      </c>
    </row>
    <row r="2005" spans="1:13" hidden="1" x14ac:dyDescent="0.25">
      <c r="A2005" s="329">
        <v>44043</v>
      </c>
      <c r="B2005" s="328" t="s">
        <v>1685</v>
      </c>
      <c r="C2005" s="328" t="s">
        <v>1060</v>
      </c>
      <c r="D2005" s="330">
        <v>1</v>
      </c>
      <c r="E2005" s="331">
        <v>16.5</v>
      </c>
      <c r="F2005" s="331">
        <v>14914.88</v>
      </c>
      <c r="G2005" s="328" t="s">
        <v>1686</v>
      </c>
      <c r="H2005" s="328" t="s">
        <v>1753</v>
      </c>
      <c r="I2005" s="328" t="s">
        <v>110</v>
      </c>
      <c r="J2005" s="328" t="s">
        <v>757</v>
      </c>
      <c r="K2005" s="328" t="s">
        <v>741</v>
      </c>
      <c r="L2005" s="329">
        <v>44043</v>
      </c>
      <c r="M2005" s="332">
        <v>0</v>
      </c>
    </row>
    <row r="2006" spans="1:13" hidden="1" x14ac:dyDescent="0.25">
      <c r="A2006" s="329">
        <v>44043</v>
      </c>
      <c r="B2006" s="328" t="s">
        <v>1691</v>
      </c>
      <c r="C2006" s="328" t="s">
        <v>769</v>
      </c>
      <c r="D2006" s="330">
        <v>2</v>
      </c>
      <c r="E2006" s="331">
        <v>16.5</v>
      </c>
      <c r="F2006" s="331">
        <v>14931.38</v>
      </c>
      <c r="G2006" s="328" t="s">
        <v>1692</v>
      </c>
      <c r="H2006" s="328" t="s">
        <v>1753</v>
      </c>
      <c r="I2006" s="328" t="s">
        <v>110</v>
      </c>
      <c r="J2006" s="328" t="s">
        <v>757</v>
      </c>
      <c r="K2006" s="328" t="s">
        <v>770</v>
      </c>
      <c r="L2006" s="329">
        <v>44043</v>
      </c>
      <c r="M2006" s="332">
        <v>0</v>
      </c>
    </row>
    <row r="2007" spans="1:13" hidden="1" x14ac:dyDescent="0.25">
      <c r="A2007" s="329">
        <v>44043</v>
      </c>
      <c r="B2007" s="328" t="s">
        <v>1693</v>
      </c>
      <c r="C2007" s="328" t="s">
        <v>936</v>
      </c>
      <c r="D2007" s="330">
        <v>2</v>
      </c>
      <c r="E2007" s="331">
        <v>-5.5</v>
      </c>
      <c r="F2007" s="331">
        <v>14925.88</v>
      </c>
      <c r="G2007" s="328" t="s">
        <v>1694</v>
      </c>
      <c r="H2007" s="328" t="s">
        <v>1753</v>
      </c>
      <c r="I2007" s="328" t="s">
        <v>110</v>
      </c>
      <c r="J2007" s="328" t="s">
        <v>757</v>
      </c>
      <c r="K2007" s="328" t="s">
        <v>770</v>
      </c>
      <c r="L2007" s="329">
        <v>44043</v>
      </c>
      <c r="M2007" s="332">
        <v>0</v>
      </c>
    </row>
    <row r="2008" spans="1:13" hidden="1" x14ac:dyDescent="0.25">
      <c r="A2008" s="329">
        <v>44043</v>
      </c>
      <c r="B2008" s="328" t="s">
        <v>1685</v>
      </c>
      <c r="C2008" s="328" t="s">
        <v>1060</v>
      </c>
      <c r="D2008" s="330">
        <v>2</v>
      </c>
      <c r="E2008" s="331">
        <v>-16.5</v>
      </c>
      <c r="F2008" s="331">
        <v>14909.38</v>
      </c>
      <c r="G2008" s="328" t="s">
        <v>1686</v>
      </c>
      <c r="H2008" s="328" t="s">
        <v>1753</v>
      </c>
      <c r="I2008" s="328" t="s">
        <v>110</v>
      </c>
      <c r="J2008" s="328" t="s">
        <v>757</v>
      </c>
      <c r="K2008" s="328" t="s">
        <v>741</v>
      </c>
      <c r="L2008" s="329">
        <v>44043</v>
      </c>
      <c r="M2008" s="332">
        <v>0</v>
      </c>
    </row>
    <row r="2009" spans="1:13" hidden="1" x14ac:dyDescent="0.25">
      <c r="A2009" s="329">
        <v>44043</v>
      </c>
      <c r="B2009" s="328" t="s">
        <v>1685</v>
      </c>
      <c r="C2009" s="328" t="s">
        <v>1060</v>
      </c>
      <c r="D2009" s="330">
        <v>2</v>
      </c>
      <c r="E2009" s="331">
        <v>-5.5</v>
      </c>
      <c r="F2009" s="331">
        <v>14903.88</v>
      </c>
      <c r="G2009" s="328" t="s">
        <v>1687</v>
      </c>
      <c r="H2009" s="328" t="s">
        <v>1753</v>
      </c>
      <c r="I2009" s="328" t="s">
        <v>110</v>
      </c>
      <c r="J2009" s="328" t="s">
        <v>757</v>
      </c>
      <c r="K2009" s="328" t="s">
        <v>741</v>
      </c>
      <c r="L2009" s="329">
        <v>44043</v>
      </c>
      <c r="M2009" s="332">
        <v>0</v>
      </c>
    </row>
    <row r="2010" spans="1:13" hidden="1" x14ac:dyDescent="0.25">
      <c r="A2010" s="329">
        <v>44043</v>
      </c>
      <c r="B2010" s="328" t="s">
        <v>1688</v>
      </c>
      <c r="C2010" s="328" t="s">
        <v>1060</v>
      </c>
      <c r="D2010" s="330">
        <v>2</v>
      </c>
      <c r="E2010" s="331">
        <v>16.5</v>
      </c>
      <c r="F2010" s="331">
        <v>14920.38</v>
      </c>
      <c r="G2010" s="328" t="s">
        <v>1686</v>
      </c>
      <c r="H2010" s="328" t="s">
        <v>1753</v>
      </c>
      <c r="I2010" s="328" t="s">
        <v>110</v>
      </c>
      <c r="J2010" s="328" t="s">
        <v>757</v>
      </c>
      <c r="K2010" s="328" t="s">
        <v>741</v>
      </c>
      <c r="L2010" s="329">
        <v>44043</v>
      </c>
      <c r="M2010" s="332">
        <v>0</v>
      </c>
    </row>
    <row r="2011" spans="1:13" hidden="1" x14ac:dyDescent="0.25">
      <c r="A2011" s="329">
        <v>44043</v>
      </c>
      <c r="B2011" s="328" t="s">
        <v>1688</v>
      </c>
      <c r="C2011" s="328" t="s">
        <v>1060</v>
      </c>
      <c r="D2011" s="330">
        <v>2</v>
      </c>
      <c r="E2011" s="331">
        <v>5.5</v>
      </c>
      <c r="F2011" s="331">
        <v>14925.88</v>
      </c>
      <c r="G2011" s="328" t="s">
        <v>1687</v>
      </c>
      <c r="H2011" s="328" t="s">
        <v>1753</v>
      </c>
      <c r="I2011" s="328" t="s">
        <v>110</v>
      </c>
      <c r="J2011" s="328" t="s">
        <v>757</v>
      </c>
      <c r="K2011" s="328" t="s">
        <v>741</v>
      </c>
      <c r="L2011" s="329">
        <v>44043</v>
      </c>
      <c r="M2011" s="332">
        <v>0</v>
      </c>
    </row>
    <row r="2012" spans="1:13" hidden="1" x14ac:dyDescent="0.25">
      <c r="A2012" s="329">
        <v>44043</v>
      </c>
      <c r="B2012" s="328" t="s">
        <v>1689</v>
      </c>
      <c r="C2012" s="328" t="s">
        <v>1060</v>
      </c>
      <c r="D2012" s="330">
        <v>2</v>
      </c>
      <c r="E2012" s="331">
        <v>-16.5</v>
      </c>
      <c r="F2012" s="331">
        <v>14909.38</v>
      </c>
      <c r="G2012" s="328" t="s">
        <v>1686</v>
      </c>
      <c r="H2012" s="328" t="s">
        <v>1753</v>
      </c>
      <c r="I2012" s="328" t="s">
        <v>110</v>
      </c>
      <c r="J2012" s="328" t="s">
        <v>757</v>
      </c>
      <c r="K2012" s="328" t="s">
        <v>741</v>
      </c>
      <c r="L2012" s="329">
        <v>44043</v>
      </c>
      <c r="M2012" s="332">
        <v>0</v>
      </c>
    </row>
    <row r="2013" spans="1:13" hidden="1" x14ac:dyDescent="0.25">
      <c r="A2013" s="329">
        <v>44043</v>
      </c>
      <c r="B2013" s="328" t="s">
        <v>1689</v>
      </c>
      <c r="C2013" s="328" t="s">
        <v>1060</v>
      </c>
      <c r="D2013" s="330">
        <v>2</v>
      </c>
      <c r="E2013" s="331">
        <v>5.5</v>
      </c>
      <c r="F2013" s="331">
        <v>14914.88</v>
      </c>
      <c r="G2013" s="328" t="s">
        <v>1690</v>
      </c>
      <c r="H2013" s="328" t="s">
        <v>1753</v>
      </c>
      <c r="I2013" s="328" t="s">
        <v>110</v>
      </c>
      <c r="J2013" s="328" t="s">
        <v>757</v>
      </c>
      <c r="K2013" s="328" t="s">
        <v>741</v>
      </c>
      <c r="L2013" s="329">
        <v>44043</v>
      </c>
      <c r="M2013" s="332">
        <v>0</v>
      </c>
    </row>
    <row r="2014" spans="1:13" hidden="1" x14ac:dyDescent="0.25">
      <c r="A2014" s="329">
        <v>44074</v>
      </c>
      <c r="B2014" s="328" t="s">
        <v>1695</v>
      </c>
      <c r="C2014" s="328" t="s">
        <v>1060</v>
      </c>
      <c r="D2014" s="330">
        <v>2</v>
      </c>
      <c r="E2014" s="331">
        <v>11</v>
      </c>
      <c r="F2014" s="331">
        <v>14925.88</v>
      </c>
      <c r="G2014" s="328" t="s">
        <v>1696</v>
      </c>
      <c r="H2014" s="328" t="s">
        <v>1753</v>
      </c>
      <c r="I2014" s="328" t="s">
        <v>110</v>
      </c>
      <c r="J2014" s="328" t="s">
        <v>757</v>
      </c>
      <c r="K2014" s="328" t="s">
        <v>741</v>
      </c>
      <c r="L2014" s="329">
        <v>44074</v>
      </c>
      <c r="M2014" s="332">
        <v>0</v>
      </c>
    </row>
    <row r="2015" spans="1:13" hidden="1" x14ac:dyDescent="0.25">
      <c r="A2015" s="329">
        <v>44074</v>
      </c>
      <c r="B2015" s="328" t="s">
        <v>1697</v>
      </c>
      <c r="C2015" s="328" t="s">
        <v>769</v>
      </c>
      <c r="D2015" s="330">
        <v>3</v>
      </c>
      <c r="E2015" s="331">
        <v>11</v>
      </c>
      <c r="F2015" s="331">
        <v>14936.88</v>
      </c>
      <c r="G2015" s="328" t="s">
        <v>1698</v>
      </c>
      <c r="H2015" s="328" t="s">
        <v>1753</v>
      </c>
      <c r="I2015" s="328" t="s">
        <v>110</v>
      </c>
      <c r="J2015" s="328" t="s">
        <v>757</v>
      </c>
      <c r="K2015" s="328" t="s">
        <v>770</v>
      </c>
      <c r="L2015" s="329">
        <v>44074</v>
      </c>
      <c r="M2015" s="332">
        <v>0</v>
      </c>
    </row>
    <row r="2016" spans="1:13" hidden="1" x14ac:dyDescent="0.25">
      <c r="A2016" s="329">
        <v>44074</v>
      </c>
      <c r="B2016" s="328" t="s">
        <v>1695</v>
      </c>
      <c r="C2016" s="328" t="s">
        <v>1060</v>
      </c>
      <c r="D2016" s="330">
        <v>3</v>
      </c>
      <c r="E2016" s="331">
        <v>-11</v>
      </c>
      <c r="F2016" s="331">
        <v>14925.88</v>
      </c>
      <c r="G2016" s="328" t="s">
        <v>1696</v>
      </c>
      <c r="H2016" s="328" t="s">
        <v>1753</v>
      </c>
      <c r="I2016" s="328" t="s">
        <v>110</v>
      </c>
      <c r="J2016" s="328" t="s">
        <v>757</v>
      </c>
      <c r="K2016" s="328" t="s">
        <v>741</v>
      </c>
      <c r="L2016" s="329">
        <v>44074</v>
      </c>
      <c r="M2016" s="332">
        <v>0</v>
      </c>
    </row>
    <row r="2017" spans="1:13" hidden="1" x14ac:dyDescent="0.25">
      <c r="A2017" s="329">
        <v>44104</v>
      </c>
      <c r="B2017" s="328" t="s">
        <v>1699</v>
      </c>
      <c r="C2017" s="328" t="s">
        <v>1060</v>
      </c>
      <c r="D2017" s="330">
        <v>3</v>
      </c>
      <c r="E2017" s="331">
        <v>16.5</v>
      </c>
      <c r="F2017" s="331">
        <v>14942.38</v>
      </c>
      <c r="G2017" s="328" t="s">
        <v>1700</v>
      </c>
      <c r="H2017" s="328" t="s">
        <v>1753</v>
      </c>
      <c r="I2017" s="328" t="s">
        <v>110</v>
      </c>
      <c r="J2017" s="328" t="s">
        <v>757</v>
      </c>
      <c r="K2017" s="328" t="s">
        <v>741</v>
      </c>
      <c r="L2017" s="329">
        <v>44104</v>
      </c>
      <c r="M2017" s="332">
        <v>0</v>
      </c>
    </row>
    <row r="2018" spans="1:13" hidden="1" x14ac:dyDescent="0.25">
      <c r="A2018" s="329">
        <v>44104</v>
      </c>
      <c r="B2018" s="328" t="s">
        <v>1699</v>
      </c>
      <c r="C2018" s="328" t="s">
        <v>1060</v>
      </c>
      <c r="D2018" s="330">
        <v>4</v>
      </c>
      <c r="E2018" s="331">
        <v>-16.5</v>
      </c>
      <c r="F2018" s="331">
        <v>14925.88</v>
      </c>
      <c r="G2018" s="328" t="s">
        <v>1700</v>
      </c>
      <c r="H2018" s="328" t="s">
        <v>1753</v>
      </c>
      <c r="I2018" s="328" t="s">
        <v>110</v>
      </c>
      <c r="J2018" s="328" t="s">
        <v>757</v>
      </c>
      <c r="K2018" s="328" t="s">
        <v>741</v>
      </c>
      <c r="L2018" s="329">
        <v>44104</v>
      </c>
      <c r="M2018" s="332">
        <v>0</v>
      </c>
    </row>
    <row r="2019" spans="1:13" hidden="1" x14ac:dyDescent="0.25">
      <c r="A2019" s="329">
        <v>44105</v>
      </c>
      <c r="B2019" s="328" t="s">
        <v>1701</v>
      </c>
      <c r="C2019" s="328" t="s">
        <v>769</v>
      </c>
      <c r="D2019" s="330">
        <v>4</v>
      </c>
      <c r="E2019" s="331">
        <v>16.5</v>
      </c>
      <c r="F2019" s="331">
        <v>14942.38</v>
      </c>
      <c r="G2019" s="328" t="s">
        <v>1702</v>
      </c>
      <c r="H2019" s="328" t="s">
        <v>1753</v>
      </c>
      <c r="I2019" s="328" t="s">
        <v>110</v>
      </c>
      <c r="J2019" s="328" t="s">
        <v>757</v>
      </c>
      <c r="K2019" s="328" t="s">
        <v>770</v>
      </c>
      <c r="L2019" s="329">
        <v>44105</v>
      </c>
      <c r="M2019" s="332">
        <v>0</v>
      </c>
    </row>
    <row r="2020" spans="1:13" hidden="1" x14ac:dyDescent="0.25">
      <c r="A2020" s="329">
        <v>44135</v>
      </c>
      <c r="B2020" s="328" t="s">
        <v>1703</v>
      </c>
      <c r="C2020" s="328" t="s">
        <v>1060</v>
      </c>
      <c r="D2020" s="330">
        <v>4</v>
      </c>
      <c r="E2020" s="331">
        <v>5.5</v>
      </c>
      <c r="F2020" s="331">
        <v>14947.88</v>
      </c>
      <c r="G2020" s="328" t="s">
        <v>1704</v>
      </c>
      <c r="H2020" s="328" t="s">
        <v>1753</v>
      </c>
      <c r="I2020" s="328" t="s">
        <v>110</v>
      </c>
      <c r="J2020" s="328" t="s">
        <v>757</v>
      </c>
      <c r="K2020" s="328" t="s">
        <v>741</v>
      </c>
      <c r="L2020" s="329">
        <v>44135</v>
      </c>
      <c r="M2020" s="332">
        <v>0</v>
      </c>
    </row>
    <row r="2021" spans="1:13" hidden="1" x14ac:dyDescent="0.25">
      <c r="A2021" s="329">
        <v>44135</v>
      </c>
      <c r="B2021" s="328" t="s">
        <v>1703</v>
      </c>
      <c r="C2021" s="328" t="s">
        <v>1060</v>
      </c>
      <c r="D2021" s="330">
        <v>5</v>
      </c>
      <c r="E2021" s="331">
        <v>-5.5</v>
      </c>
      <c r="F2021" s="331">
        <v>14942.38</v>
      </c>
      <c r="G2021" s="328" t="s">
        <v>1704</v>
      </c>
      <c r="H2021" s="328" t="s">
        <v>1753</v>
      </c>
      <c r="I2021" s="328" t="s">
        <v>110</v>
      </c>
      <c r="J2021" s="328" t="s">
        <v>757</v>
      </c>
      <c r="K2021" s="328" t="s">
        <v>741</v>
      </c>
      <c r="L2021" s="329">
        <v>44135</v>
      </c>
      <c r="M2021" s="332">
        <v>0</v>
      </c>
    </row>
    <row r="2022" spans="1:13" hidden="1" x14ac:dyDescent="0.25">
      <c r="A2022" s="329">
        <v>44135</v>
      </c>
      <c r="B2022" s="328" t="s">
        <v>1705</v>
      </c>
      <c r="C2022" s="328" t="s">
        <v>769</v>
      </c>
      <c r="D2022" s="330">
        <v>5</v>
      </c>
      <c r="E2022" s="331">
        <v>5.5</v>
      </c>
      <c r="F2022" s="331">
        <v>14947.88</v>
      </c>
      <c r="G2022" s="328" t="s">
        <v>1706</v>
      </c>
      <c r="H2022" s="328" t="s">
        <v>1753</v>
      </c>
      <c r="I2022" s="328" t="s">
        <v>110</v>
      </c>
      <c r="J2022" s="328" t="s">
        <v>757</v>
      </c>
      <c r="K2022" s="328" t="s">
        <v>770</v>
      </c>
      <c r="L2022" s="329">
        <v>44135</v>
      </c>
      <c r="M2022" s="332">
        <v>0</v>
      </c>
    </row>
    <row r="2023" spans="1:13" hidden="1" x14ac:dyDescent="0.25">
      <c r="A2023" s="329">
        <v>44165</v>
      </c>
      <c r="B2023" s="328" t="s">
        <v>1707</v>
      </c>
      <c r="C2023" s="328" t="s">
        <v>1060</v>
      </c>
      <c r="D2023" s="330">
        <v>5</v>
      </c>
      <c r="E2023" s="331">
        <v>5.5</v>
      </c>
      <c r="F2023" s="331">
        <v>14953.38</v>
      </c>
      <c r="G2023" s="328" t="s">
        <v>1708</v>
      </c>
      <c r="H2023" s="328" t="s">
        <v>1753</v>
      </c>
      <c r="I2023" s="328" t="s">
        <v>110</v>
      </c>
      <c r="J2023" s="328" t="s">
        <v>757</v>
      </c>
      <c r="K2023" s="328" t="s">
        <v>741</v>
      </c>
      <c r="L2023" s="329">
        <v>44165</v>
      </c>
      <c r="M2023" s="332">
        <v>0</v>
      </c>
    </row>
    <row r="2024" spans="1:13" hidden="1" x14ac:dyDescent="0.25">
      <c r="A2024" s="329">
        <v>44165</v>
      </c>
      <c r="B2024" s="328" t="s">
        <v>1707</v>
      </c>
      <c r="C2024" s="328" t="s">
        <v>1060</v>
      </c>
      <c r="D2024" s="330">
        <v>6</v>
      </c>
      <c r="E2024" s="331">
        <v>-5.5</v>
      </c>
      <c r="F2024" s="331">
        <v>14947.88</v>
      </c>
      <c r="G2024" s="328" t="s">
        <v>1708</v>
      </c>
      <c r="H2024" s="328" t="s">
        <v>1753</v>
      </c>
      <c r="I2024" s="328" t="s">
        <v>110</v>
      </c>
      <c r="J2024" s="328" t="s">
        <v>757</v>
      </c>
      <c r="K2024" s="328" t="s">
        <v>741</v>
      </c>
      <c r="L2024" s="329">
        <v>44165</v>
      </c>
      <c r="M2024" s="332">
        <v>0</v>
      </c>
    </row>
    <row r="2025" spans="1:13" hidden="1" x14ac:dyDescent="0.25">
      <c r="A2025" s="329">
        <v>44165</v>
      </c>
      <c r="B2025" s="328" t="s">
        <v>1709</v>
      </c>
      <c r="C2025" s="328" t="s">
        <v>769</v>
      </c>
      <c r="D2025" s="330">
        <v>6</v>
      </c>
      <c r="E2025" s="331">
        <v>5.5</v>
      </c>
      <c r="F2025" s="331">
        <v>14953.38</v>
      </c>
      <c r="G2025" s="328" t="s">
        <v>1710</v>
      </c>
      <c r="H2025" s="328" t="s">
        <v>1753</v>
      </c>
      <c r="I2025" s="328" t="s">
        <v>110</v>
      </c>
      <c r="J2025" s="328" t="s">
        <v>757</v>
      </c>
      <c r="K2025" s="328" t="s">
        <v>770</v>
      </c>
      <c r="L2025" s="329">
        <v>44165</v>
      </c>
      <c r="M2025" s="332">
        <v>0</v>
      </c>
    </row>
    <row r="2026" spans="1:13" hidden="1" x14ac:dyDescent="0.25">
      <c r="A2026" s="329">
        <v>44255</v>
      </c>
      <c r="B2026" s="328" t="s">
        <v>1720</v>
      </c>
      <c r="C2026" s="328" t="s">
        <v>1060</v>
      </c>
      <c r="D2026" s="330">
        <v>8</v>
      </c>
      <c r="E2026" s="331">
        <v>11</v>
      </c>
      <c r="F2026" s="331">
        <v>14964.38</v>
      </c>
      <c r="G2026" s="328" t="s">
        <v>1721</v>
      </c>
      <c r="H2026" s="328" t="s">
        <v>1753</v>
      </c>
      <c r="I2026" s="328" t="s">
        <v>110</v>
      </c>
      <c r="J2026" s="328" t="s">
        <v>757</v>
      </c>
      <c r="K2026" s="328" t="s">
        <v>741</v>
      </c>
      <c r="L2026" s="329">
        <v>44255</v>
      </c>
      <c r="M2026" s="332">
        <v>0</v>
      </c>
    </row>
    <row r="2027" spans="1:13" hidden="1" x14ac:dyDescent="0.25">
      <c r="A2027" s="329">
        <v>44255</v>
      </c>
      <c r="B2027" s="328" t="s">
        <v>1720</v>
      </c>
      <c r="C2027" s="328" t="s">
        <v>1060</v>
      </c>
      <c r="D2027" s="330">
        <v>9</v>
      </c>
      <c r="E2027" s="331">
        <v>-11</v>
      </c>
      <c r="F2027" s="331">
        <v>14953.38</v>
      </c>
      <c r="G2027" s="328" t="s">
        <v>1721</v>
      </c>
      <c r="H2027" s="328" t="s">
        <v>1753</v>
      </c>
      <c r="I2027" s="328" t="s">
        <v>110</v>
      </c>
      <c r="J2027" s="328" t="s">
        <v>757</v>
      </c>
      <c r="K2027" s="328" t="s">
        <v>741</v>
      </c>
      <c r="L2027" s="329">
        <v>44255</v>
      </c>
      <c r="M2027" s="332">
        <v>0</v>
      </c>
    </row>
    <row r="2028" spans="1:13" hidden="1" x14ac:dyDescent="0.25">
      <c r="A2028" s="329">
        <v>44255</v>
      </c>
      <c r="B2028" s="328" t="s">
        <v>1722</v>
      </c>
      <c r="C2028" s="328" t="s">
        <v>769</v>
      </c>
      <c r="D2028" s="330">
        <v>9</v>
      </c>
      <c r="E2028" s="331">
        <v>11</v>
      </c>
      <c r="F2028" s="331">
        <v>14964.38</v>
      </c>
      <c r="G2028" s="328" t="s">
        <v>1723</v>
      </c>
      <c r="H2028" s="328" t="s">
        <v>1753</v>
      </c>
      <c r="I2028" s="328" t="s">
        <v>110</v>
      </c>
      <c r="J2028" s="328" t="s">
        <v>757</v>
      </c>
      <c r="K2028" s="328" t="s">
        <v>770</v>
      </c>
      <c r="L2028" s="329">
        <v>44255</v>
      </c>
      <c r="M2028" s="332">
        <v>0</v>
      </c>
    </row>
    <row r="2029" spans="1:13" hidden="1" x14ac:dyDescent="0.25">
      <c r="A2029" s="329">
        <v>44286</v>
      </c>
      <c r="B2029" s="328" t="s">
        <v>1724</v>
      </c>
      <c r="C2029" s="328" t="s">
        <v>1060</v>
      </c>
      <c r="D2029" s="330">
        <v>9</v>
      </c>
      <c r="E2029" s="331">
        <v>16.5</v>
      </c>
      <c r="F2029" s="331">
        <v>14980.88</v>
      </c>
      <c r="G2029" s="328" t="s">
        <v>1725</v>
      </c>
      <c r="H2029" s="328" t="s">
        <v>1753</v>
      </c>
      <c r="I2029" s="328" t="s">
        <v>110</v>
      </c>
      <c r="J2029" s="328" t="s">
        <v>757</v>
      </c>
      <c r="K2029" s="328" t="s">
        <v>741</v>
      </c>
      <c r="L2029" s="329">
        <v>44286</v>
      </c>
      <c r="M2029" s="332">
        <v>0</v>
      </c>
    </row>
    <row r="2030" spans="1:13" hidden="1" x14ac:dyDescent="0.25">
      <c r="A2030" s="329">
        <v>44286</v>
      </c>
      <c r="B2030" s="328" t="s">
        <v>1724</v>
      </c>
      <c r="C2030" s="328" t="s">
        <v>1060</v>
      </c>
      <c r="D2030" s="330">
        <v>10</v>
      </c>
      <c r="E2030" s="331">
        <v>-16.5</v>
      </c>
      <c r="F2030" s="331">
        <v>14964.38</v>
      </c>
      <c r="G2030" s="328" t="s">
        <v>1725</v>
      </c>
      <c r="H2030" s="328" t="s">
        <v>1753</v>
      </c>
      <c r="I2030" s="328" t="s">
        <v>110</v>
      </c>
      <c r="J2030" s="328" t="s">
        <v>757</v>
      </c>
      <c r="K2030" s="328" t="s">
        <v>741</v>
      </c>
      <c r="L2030" s="329">
        <v>44286</v>
      </c>
      <c r="M2030" s="332">
        <v>0</v>
      </c>
    </row>
    <row r="2031" spans="1:13" hidden="1" x14ac:dyDescent="0.25">
      <c r="A2031" s="329">
        <v>44286</v>
      </c>
      <c r="B2031" s="328" t="s">
        <v>1726</v>
      </c>
      <c r="C2031" s="328" t="s">
        <v>769</v>
      </c>
      <c r="D2031" s="330">
        <v>10</v>
      </c>
      <c r="E2031" s="331">
        <v>16.5</v>
      </c>
      <c r="F2031" s="331">
        <v>14980.88</v>
      </c>
      <c r="G2031" s="328" t="s">
        <v>1727</v>
      </c>
      <c r="H2031" s="328" t="s">
        <v>1753</v>
      </c>
      <c r="I2031" s="328" t="s">
        <v>110</v>
      </c>
      <c r="J2031" s="328" t="s">
        <v>757</v>
      </c>
      <c r="K2031" s="328" t="s">
        <v>770</v>
      </c>
      <c r="L2031" s="329">
        <v>44286</v>
      </c>
      <c r="M2031" s="332">
        <v>0</v>
      </c>
    </row>
    <row r="2032" spans="1:13" hidden="1" x14ac:dyDescent="0.25">
      <c r="A2032" s="329">
        <v>44316</v>
      </c>
      <c r="B2032" s="328" t="s">
        <v>1728</v>
      </c>
      <c r="C2032" s="328" t="s">
        <v>1060</v>
      </c>
      <c r="D2032" s="330">
        <v>10</v>
      </c>
      <c r="E2032" s="331">
        <v>11</v>
      </c>
      <c r="F2032" s="331">
        <v>14991.88</v>
      </c>
      <c r="G2032" s="328" t="s">
        <v>1729</v>
      </c>
      <c r="H2032" s="328" t="s">
        <v>1753</v>
      </c>
      <c r="I2032" s="328" t="s">
        <v>110</v>
      </c>
      <c r="J2032" s="328" t="s">
        <v>757</v>
      </c>
      <c r="K2032" s="328" t="s">
        <v>741</v>
      </c>
      <c r="L2032" s="329">
        <v>44316</v>
      </c>
      <c r="M2032" s="332">
        <v>0</v>
      </c>
    </row>
    <row r="2033" spans="1:13" hidden="1" x14ac:dyDescent="0.25">
      <c r="A2033" s="329">
        <v>44012</v>
      </c>
      <c r="B2033" s="328" t="s">
        <v>1681</v>
      </c>
      <c r="C2033" s="328" t="s">
        <v>1059</v>
      </c>
      <c r="D2033" s="330">
        <v>1</v>
      </c>
      <c r="E2033" s="331">
        <v>-16.5</v>
      </c>
      <c r="F2033" s="331">
        <v>15012.23</v>
      </c>
      <c r="G2033" s="328" t="s">
        <v>1682</v>
      </c>
      <c r="H2033" s="328" t="s">
        <v>1754</v>
      </c>
      <c r="I2033" s="328" t="s">
        <v>110</v>
      </c>
      <c r="J2033" s="328" t="s">
        <v>757</v>
      </c>
      <c r="K2033" s="328" t="s">
        <v>741</v>
      </c>
      <c r="L2033" s="329">
        <v>44012</v>
      </c>
      <c r="M2033" s="332">
        <v>0</v>
      </c>
    </row>
    <row r="2034" spans="1:13" hidden="1" x14ac:dyDescent="0.25">
      <c r="A2034" s="329">
        <v>44012</v>
      </c>
      <c r="B2034" s="328" t="s">
        <v>1678</v>
      </c>
      <c r="C2034" s="328" t="s">
        <v>769</v>
      </c>
      <c r="D2034" s="330">
        <v>1</v>
      </c>
      <c r="E2034" s="331">
        <v>22</v>
      </c>
      <c r="F2034" s="331">
        <v>15034.23</v>
      </c>
      <c r="G2034" s="328" t="s">
        <v>1679</v>
      </c>
      <c r="H2034" s="328" t="s">
        <v>1754</v>
      </c>
      <c r="I2034" s="328" t="s">
        <v>110</v>
      </c>
      <c r="J2034" s="328" t="s">
        <v>757</v>
      </c>
      <c r="K2034" s="328" t="s">
        <v>770</v>
      </c>
      <c r="L2034" s="329">
        <v>44012</v>
      </c>
      <c r="M2034" s="332">
        <v>0</v>
      </c>
    </row>
    <row r="2035" spans="1:13" hidden="1" x14ac:dyDescent="0.25">
      <c r="A2035" s="329">
        <v>44041</v>
      </c>
      <c r="B2035" s="328" t="s">
        <v>1683</v>
      </c>
      <c r="C2035" s="328" t="s">
        <v>936</v>
      </c>
      <c r="D2035" s="330">
        <v>1</v>
      </c>
      <c r="E2035" s="331">
        <v>-5.5</v>
      </c>
      <c r="F2035" s="331">
        <v>15028.73</v>
      </c>
      <c r="G2035" s="328" t="s">
        <v>1684</v>
      </c>
      <c r="H2035" s="328" t="s">
        <v>1754</v>
      </c>
      <c r="I2035" s="328" t="s">
        <v>110</v>
      </c>
      <c r="J2035" s="328" t="s">
        <v>757</v>
      </c>
      <c r="K2035" s="328" t="s">
        <v>770</v>
      </c>
      <c r="L2035" s="329">
        <v>44041</v>
      </c>
      <c r="M2035" s="332">
        <v>0</v>
      </c>
    </row>
    <row r="2036" spans="1:13" hidden="1" x14ac:dyDescent="0.25">
      <c r="A2036" s="329">
        <v>44043</v>
      </c>
      <c r="B2036" s="328" t="s">
        <v>1689</v>
      </c>
      <c r="C2036" s="328" t="s">
        <v>1060</v>
      </c>
      <c r="D2036" s="330">
        <v>1</v>
      </c>
      <c r="E2036" s="331">
        <v>-5.5</v>
      </c>
      <c r="F2036" s="331">
        <v>15023.23</v>
      </c>
      <c r="G2036" s="328" t="s">
        <v>1690</v>
      </c>
      <c r="H2036" s="328" t="s">
        <v>1754</v>
      </c>
      <c r="I2036" s="328" t="s">
        <v>110</v>
      </c>
      <c r="J2036" s="328" t="s">
        <v>757</v>
      </c>
      <c r="K2036" s="328" t="s">
        <v>741</v>
      </c>
      <c r="L2036" s="329">
        <v>44043</v>
      </c>
      <c r="M2036" s="332">
        <v>0</v>
      </c>
    </row>
    <row r="2037" spans="1:13" hidden="1" x14ac:dyDescent="0.25">
      <c r="A2037" s="329">
        <v>44043</v>
      </c>
      <c r="B2037" s="328" t="s">
        <v>1689</v>
      </c>
      <c r="C2037" s="328" t="s">
        <v>1060</v>
      </c>
      <c r="D2037" s="330">
        <v>1</v>
      </c>
      <c r="E2037" s="331">
        <v>44</v>
      </c>
      <c r="F2037" s="331">
        <v>15067.23</v>
      </c>
      <c r="G2037" s="328" t="s">
        <v>1686</v>
      </c>
      <c r="H2037" s="328" t="s">
        <v>1754</v>
      </c>
      <c r="I2037" s="328" t="s">
        <v>110</v>
      </c>
      <c r="J2037" s="328" t="s">
        <v>757</v>
      </c>
      <c r="K2037" s="328" t="s">
        <v>741</v>
      </c>
      <c r="L2037" s="329">
        <v>44043</v>
      </c>
      <c r="M2037" s="332">
        <v>0</v>
      </c>
    </row>
    <row r="2038" spans="1:13" hidden="1" x14ac:dyDescent="0.25">
      <c r="A2038" s="329">
        <v>44043</v>
      </c>
      <c r="B2038" s="328" t="s">
        <v>1688</v>
      </c>
      <c r="C2038" s="328" t="s">
        <v>1060</v>
      </c>
      <c r="D2038" s="330">
        <v>1</v>
      </c>
      <c r="E2038" s="331">
        <v>-5.5</v>
      </c>
      <c r="F2038" s="331">
        <v>15061.73</v>
      </c>
      <c r="G2038" s="328" t="s">
        <v>1687</v>
      </c>
      <c r="H2038" s="328" t="s">
        <v>1754</v>
      </c>
      <c r="I2038" s="328" t="s">
        <v>110</v>
      </c>
      <c r="J2038" s="328" t="s">
        <v>757</v>
      </c>
      <c r="K2038" s="328" t="s">
        <v>741</v>
      </c>
      <c r="L2038" s="329">
        <v>44043</v>
      </c>
      <c r="M2038" s="332">
        <v>0</v>
      </c>
    </row>
    <row r="2039" spans="1:13" hidden="1" x14ac:dyDescent="0.25">
      <c r="A2039" s="329">
        <v>44043</v>
      </c>
      <c r="B2039" s="328" t="s">
        <v>1688</v>
      </c>
      <c r="C2039" s="328" t="s">
        <v>1060</v>
      </c>
      <c r="D2039" s="330">
        <v>1</v>
      </c>
      <c r="E2039" s="331">
        <v>-44</v>
      </c>
      <c r="F2039" s="331">
        <v>15017.73</v>
      </c>
      <c r="G2039" s="328" t="s">
        <v>1686</v>
      </c>
      <c r="H2039" s="328" t="s">
        <v>1754</v>
      </c>
      <c r="I2039" s="328" t="s">
        <v>110</v>
      </c>
      <c r="J2039" s="328" t="s">
        <v>757</v>
      </c>
      <c r="K2039" s="328" t="s">
        <v>741</v>
      </c>
      <c r="L2039" s="329">
        <v>44043</v>
      </c>
      <c r="M2039" s="332">
        <v>0</v>
      </c>
    </row>
    <row r="2040" spans="1:13" hidden="1" x14ac:dyDescent="0.25">
      <c r="A2040" s="329">
        <v>44043</v>
      </c>
      <c r="B2040" s="328" t="s">
        <v>1685</v>
      </c>
      <c r="C2040" s="328" t="s">
        <v>1060</v>
      </c>
      <c r="D2040" s="330">
        <v>1</v>
      </c>
      <c r="E2040" s="331">
        <v>5.5</v>
      </c>
      <c r="F2040" s="331">
        <v>15023.23</v>
      </c>
      <c r="G2040" s="328" t="s">
        <v>1687</v>
      </c>
      <c r="H2040" s="328" t="s">
        <v>1754</v>
      </c>
      <c r="I2040" s="328" t="s">
        <v>110</v>
      </c>
      <c r="J2040" s="328" t="s">
        <v>757</v>
      </c>
      <c r="K2040" s="328" t="s">
        <v>741</v>
      </c>
      <c r="L2040" s="329">
        <v>44043</v>
      </c>
      <c r="M2040" s="332">
        <v>0</v>
      </c>
    </row>
    <row r="2041" spans="1:13" hidden="1" x14ac:dyDescent="0.25">
      <c r="A2041" s="329">
        <v>44043</v>
      </c>
      <c r="B2041" s="328" t="s">
        <v>1685</v>
      </c>
      <c r="C2041" s="328" t="s">
        <v>1060</v>
      </c>
      <c r="D2041" s="330">
        <v>1</v>
      </c>
      <c r="E2041" s="331">
        <v>44</v>
      </c>
      <c r="F2041" s="331">
        <v>15067.23</v>
      </c>
      <c r="G2041" s="328" t="s">
        <v>1686</v>
      </c>
      <c r="H2041" s="328" t="s">
        <v>1754</v>
      </c>
      <c r="I2041" s="328" t="s">
        <v>110</v>
      </c>
      <c r="J2041" s="328" t="s">
        <v>757</v>
      </c>
      <c r="K2041" s="328" t="s">
        <v>741</v>
      </c>
      <c r="L2041" s="329">
        <v>44043</v>
      </c>
      <c r="M2041" s="332">
        <v>0</v>
      </c>
    </row>
    <row r="2042" spans="1:13" hidden="1" x14ac:dyDescent="0.25">
      <c r="A2042" s="329">
        <v>44043</v>
      </c>
      <c r="B2042" s="328" t="s">
        <v>1689</v>
      </c>
      <c r="C2042" s="328" t="s">
        <v>1060</v>
      </c>
      <c r="D2042" s="330">
        <v>2</v>
      </c>
      <c r="E2042" s="331">
        <v>5.5</v>
      </c>
      <c r="F2042" s="331">
        <v>15072.73</v>
      </c>
      <c r="G2042" s="328" t="s">
        <v>1690</v>
      </c>
      <c r="H2042" s="328" t="s">
        <v>1754</v>
      </c>
      <c r="I2042" s="328" t="s">
        <v>110</v>
      </c>
      <c r="J2042" s="328" t="s">
        <v>757</v>
      </c>
      <c r="K2042" s="328" t="s">
        <v>741</v>
      </c>
      <c r="L2042" s="329">
        <v>44043</v>
      </c>
      <c r="M2042" s="332">
        <v>0</v>
      </c>
    </row>
    <row r="2043" spans="1:13" hidden="1" x14ac:dyDescent="0.25">
      <c r="A2043" s="329">
        <v>44043</v>
      </c>
      <c r="B2043" s="328" t="s">
        <v>1689</v>
      </c>
      <c r="C2043" s="328" t="s">
        <v>1060</v>
      </c>
      <c r="D2043" s="330">
        <v>2</v>
      </c>
      <c r="E2043" s="331">
        <v>-44</v>
      </c>
      <c r="F2043" s="331">
        <v>15028.73</v>
      </c>
      <c r="G2043" s="328" t="s">
        <v>1686</v>
      </c>
      <c r="H2043" s="328" t="s">
        <v>1754</v>
      </c>
      <c r="I2043" s="328" t="s">
        <v>110</v>
      </c>
      <c r="J2043" s="328" t="s">
        <v>757</v>
      </c>
      <c r="K2043" s="328" t="s">
        <v>741</v>
      </c>
      <c r="L2043" s="329">
        <v>44043</v>
      </c>
      <c r="M2043" s="332">
        <v>0</v>
      </c>
    </row>
    <row r="2044" spans="1:13" hidden="1" x14ac:dyDescent="0.25">
      <c r="A2044" s="329">
        <v>44043</v>
      </c>
      <c r="B2044" s="328" t="s">
        <v>1688</v>
      </c>
      <c r="C2044" s="328" t="s">
        <v>1060</v>
      </c>
      <c r="D2044" s="330">
        <v>2</v>
      </c>
      <c r="E2044" s="331">
        <v>5.5</v>
      </c>
      <c r="F2044" s="331">
        <v>15034.23</v>
      </c>
      <c r="G2044" s="328" t="s">
        <v>1687</v>
      </c>
      <c r="H2044" s="328" t="s">
        <v>1754</v>
      </c>
      <c r="I2044" s="328" t="s">
        <v>110</v>
      </c>
      <c r="J2044" s="328" t="s">
        <v>757</v>
      </c>
      <c r="K2044" s="328" t="s">
        <v>741</v>
      </c>
      <c r="L2044" s="329">
        <v>44043</v>
      </c>
      <c r="M2044" s="332">
        <v>0</v>
      </c>
    </row>
    <row r="2045" spans="1:13" hidden="1" x14ac:dyDescent="0.25">
      <c r="A2045" s="329">
        <v>44043</v>
      </c>
      <c r="B2045" s="328" t="s">
        <v>1688</v>
      </c>
      <c r="C2045" s="328" t="s">
        <v>1060</v>
      </c>
      <c r="D2045" s="330">
        <v>2</v>
      </c>
      <c r="E2045" s="331">
        <v>44</v>
      </c>
      <c r="F2045" s="331">
        <v>15078.23</v>
      </c>
      <c r="G2045" s="328" t="s">
        <v>1686</v>
      </c>
      <c r="H2045" s="328" t="s">
        <v>1754</v>
      </c>
      <c r="I2045" s="328" t="s">
        <v>110</v>
      </c>
      <c r="J2045" s="328" t="s">
        <v>757</v>
      </c>
      <c r="K2045" s="328" t="s">
        <v>741</v>
      </c>
      <c r="L2045" s="329">
        <v>44043</v>
      </c>
      <c r="M2045" s="332">
        <v>0</v>
      </c>
    </row>
    <row r="2046" spans="1:13" hidden="1" x14ac:dyDescent="0.25">
      <c r="A2046" s="329">
        <v>44043</v>
      </c>
      <c r="B2046" s="328" t="s">
        <v>1685</v>
      </c>
      <c r="C2046" s="328" t="s">
        <v>1060</v>
      </c>
      <c r="D2046" s="330">
        <v>2</v>
      </c>
      <c r="E2046" s="331">
        <v>-5.5</v>
      </c>
      <c r="F2046" s="331">
        <v>15072.73</v>
      </c>
      <c r="G2046" s="328" t="s">
        <v>1687</v>
      </c>
      <c r="H2046" s="328" t="s">
        <v>1754</v>
      </c>
      <c r="I2046" s="328" t="s">
        <v>110</v>
      </c>
      <c r="J2046" s="328" t="s">
        <v>757</v>
      </c>
      <c r="K2046" s="328" t="s">
        <v>741</v>
      </c>
      <c r="L2046" s="329">
        <v>44043</v>
      </c>
      <c r="M2046" s="332">
        <v>0</v>
      </c>
    </row>
    <row r="2047" spans="1:13" hidden="1" x14ac:dyDescent="0.25">
      <c r="A2047" s="329">
        <v>44043</v>
      </c>
      <c r="B2047" s="328" t="s">
        <v>1685</v>
      </c>
      <c r="C2047" s="328" t="s">
        <v>1060</v>
      </c>
      <c r="D2047" s="330">
        <v>2</v>
      </c>
      <c r="E2047" s="331">
        <v>-44</v>
      </c>
      <c r="F2047" s="331">
        <v>15028.73</v>
      </c>
      <c r="G2047" s="328" t="s">
        <v>1686</v>
      </c>
      <c r="H2047" s="328" t="s">
        <v>1754</v>
      </c>
      <c r="I2047" s="328" t="s">
        <v>110</v>
      </c>
      <c r="J2047" s="328" t="s">
        <v>757</v>
      </c>
      <c r="K2047" s="328" t="s">
        <v>741</v>
      </c>
      <c r="L2047" s="329">
        <v>44043</v>
      </c>
      <c r="M2047" s="332">
        <v>0</v>
      </c>
    </row>
    <row r="2048" spans="1:13" hidden="1" x14ac:dyDescent="0.25">
      <c r="A2048" s="329">
        <v>44043</v>
      </c>
      <c r="B2048" s="328" t="s">
        <v>1693</v>
      </c>
      <c r="C2048" s="328" t="s">
        <v>936</v>
      </c>
      <c r="D2048" s="330">
        <v>2</v>
      </c>
      <c r="E2048" s="331">
        <v>-5.5</v>
      </c>
      <c r="F2048" s="331">
        <v>15023.23</v>
      </c>
      <c r="G2048" s="328" t="s">
        <v>1694</v>
      </c>
      <c r="H2048" s="328" t="s">
        <v>1754</v>
      </c>
      <c r="I2048" s="328" t="s">
        <v>110</v>
      </c>
      <c r="J2048" s="328" t="s">
        <v>757</v>
      </c>
      <c r="K2048" s="328" t="s">
        <v>770</v>
      </c>
      <c r="L2048" s="329">
        <v>44043</v>
      </c>
      <c r="M2048" s="332">
        <v>0</v>
      </c>
    </row>
    <row r="2049" spans="1:13" hidden="1" x14ac:dyDescent="0.25">
      <c r="A2049" s="329">
        <v>44043</v>
      </c>
      <c r="B2049" s="328" t="s">
        <v>1691</v>
      </c>
      <c r="C2049" s="328" t="s">
        <v>769</v>
      </c>
      <c r="D2049" s="330">
        <v>2</v>
      </c>
      <c r="E2049" s="331">
        <v>44</v>
      </c>
      <c r="F2049" s="331">
        <v>15067.23</v>
      </c>
      <c r="G2049" s="328" t="s">
        <v>1692</v>
      </c>
      <c r="H2049" s="328" t="s">
        <v>1754</v>
      </c>
      <c r="I2049" s="328" t="s">
        <v>110</v>
      </c>
      <c r="J2049" s="328" t="s">
        <v>757</v>
      </c>
      <c r="K2049" s="328" t="s">
        <v>770</v>
      </c>
      <c r="L2049" s="329">
        <v>44043</v>
      </c>
      <c r="M2049" s="332">
        <v>0</v>
      </c>
    </row>
    <row r="2050" spans="1:13" hidden="1" x14ac:dyDescent="0.25">
      <c r="A2050" s="329">
        <v>44135</v>
      </c>
      <c r="B2050" s="328" t="s">
        <v>1703</v>
      </c>
      <c r="C2050" s="328" t="s">
        <v>1060</v>
      </c>
      <c r="D2050" s="330">
        <v>4</v>
      </c>
      <c r="E2050" s="331">
        <v>33</v>
      </c>
      <c r="F2050" s="331">
        <v>15100.23</v>
      </c>
      <c r="G2050" s="328" t="s">
        <v>1704</v>
      </c>
      <c r="H2050" s="328" t="s">
        <v>1754</v>
      </c>
      <c r="I2050" s="328" t="s">
        <v>110</v>
      </c>
      <c r="J2050" s="328" t="s">
        <v>757</v>
      </c>
      <c r="K2050" s="328" t="s">
        <v>741</v>
      </c>
      <c r="L2050" s="329">
        <v>44135</v>
      </c>
      <c r="M2050" s="332">
        <v>0</v>
      </c>
    </row>
    <row r="2051" spans="1:13" hidden="1" x14ac:dyDescent="0.25">
      <c r="A2051" s="329">
        <v>44135</v>
      </c>
      <c r="B2051" s="328" t="s">
        <v>1705</v>
      </c>
      <c r="C2051" s="328" t="s">
        <v>769</v>
      </c>
      <c r="D2051" s="330">
        <v>5</v>
      </c>
      <c r="E2051" s="331">
        <v>33</v>
      </c>
      <c r="F2051" s="331">
        <v>15133.23</v>
      </c>
      <c r="G2051" s="328" t="s">
        <v>1706</v>
      </c>
      <c r="H2051" s="328" t="s">
        <v>1754</v>
      </c>
      <c r="I2051" s="328" t="s">
        <v>110</v>
      </c>
      <c r="J2051" s="328" t="s">
        <v>757</v>
      </c>
      <c r="K2051" s="328" t="s">
        <v>770</v>
      </c>
      <c r="L2051" s="329">
        <v>44135</v>
      </c>
      <c r="M2051" s="332">
        <v>0</v>
      </c>
    </row>
    <row r="2052" spans="1:13" hidden="1" x14ac:dyDescent="0.25">
      <c r="A2052" s="329">
        <v>44135</v>
      </c>
      <c r="B2052" s="328" t="s">
        <v>1703</v>
      </c>
      <c r="C2052" s="328" t="s">
        <v>1060</v>
      </c>
      <c r="D2052" s="330">
        <v>5</v>
      </c>
      <c r="E2052" s="331">
        <v>-33</v>
      </c>
      <c r="F2052" s="331">
        <v>15100.23</v>
      </c>
      <c r="G2052" s="328" t="s">
        <v>1704</v>
      </c>
      <c r="H2052" s="328" t="s">
        <v>1754</v>
      </c>
      <c r="I2052" s="328" t="s">
        <v>110</v>
      </c>
      <c r="J2052" s="328" t="s">
        <v>757</v>
      </c>
      <c r="K2052" s="328" t="s">
        <v>741</v>
      </c>
      <c r="L2052" s="329">
        <v>44135</v>
      </c>
      <c r="M2052" s="332">
        <v>0</v>
      </c>
    </row>
    <row r="2053" spans="1:13" hidden="1" x14ac:dyDescent="0.25">
      <c r="A2053" s="329">
        <v>44165</v>
      </c>
      <c r="B2053" s="328" t="s">
        <v>1707</v>
      </c>
      <c r="C2053" s="328" t="s">
        <v>1060</v>
      </c>
      <c r="D2053" s="330">
        <v>5</v>
      </c>
      <c r="E2053" s="331">
        <v>33</v>
      </c>
      <c r="F2053" s="331">
        <v>15133.23</v>
      </c>
      <c r="G2053" s="328" t="s">
        <v>1708</v>
      </c>
      <c r="H2053" s="328" t="s">
        <v>1754</v>
      </c>
      <c r="I2053" s="328" t="s">
        <v>110</v>
      </c>
      <c r="J2053" s="328" t="s">
        <v>757</v>
      </c>
      <c r="K2053" s="328" t="s">
        <v>741</v>
      </c>
      <c r="L2053" s="329">
        <v>44165</v>
      </c>
      <c r="M2053" s="332">
        <v>0</v>
      </c>
    </row>
    <row r="2054" spans="1:13" hidden="1" x14ac:dyDescent="0.25">
      <c r="A2054" s="329">
        <v>44165</v>
      </c>
      <c r="B2054" s="328" t="s">
        <v>1707</v>
      </c>
      <c r="C2054" s="328" t="s">
        <v>1060</v>
      </c>
      <c r="D2054" s="330">
        <v>6</v>
      </c>
      <c r="E2054" s="331">
        <v>-33</v>
      </c>
      <c r="F2054" s="331">
        <v>15100.23</v>
      </c>
      <c r="G2054" s="328" t="s">
        <v>1708</v>
      </c>
      <c r="H2054" s="328" t="s">
        <v>1754</v>
      </c>
      <c r="I2054" s="328" t="s">
        <v>110</v>
      </c>
      <c r="J2054" s="328" t="s">
        <v>757</v>
      </c>
      <c r="K2054" s="328" t="s">
        <v>741</v>
      </c>
      <c r="L2054" s="329">
        <v>44165</v>
      </c>
      <c r="M2054" s="332">
        <v>0</v>
      </c>
    </row>
    <row r="2055" spans="1:13" hidden="1" x14ac:dyDescent="0.25">
      <c r="A2055" s="329">
        <v>44165</v>
      </c>
      <c r="B2055" s="328" t="s">
        <v>1709</v>
      </c>
      <c r="C2055" s="328" t="s">
        <v>769</v>
      </c>
      <c r="D2055" s="330">
        <v>6</v>
      </c>
      <c r="E2055" s="331">
        <v>33</v>
      </c>
      <c r="F2055" s="331">
        <v>15133.23</v>
      </c>
      <c r="G2055" s="328" t="s">
        <v>1710</v>
      </c>
      <c r="H2055" s="328" t="s">
        <v>1754</v>
      </c>
      <c r="I2055" s="328" t="s">
        <v>110</v>
      </c>
      <c r="J2055" s="328" t="s">
        <v>757</v>
      </c>
      <c r="K2055" s="328" t="s">
        <v>770</v>
      </c>
      <c r="L2055" s="329">
        <v>44165</v>
      </c>
      <c r="M2055" s="332">
        <v>0</v>
      </c>
    </row>
    <row r="2056" spans="1:13" hidden="1" x14ac:dyDescent="0.25">
      <c r="A2056" s="329">
        <v>44196</v>
      </c>
      <c r="B2056" s="328" t="s">
        <v>1711</v>
      </c>
      <c r="C2056" s="328" t="s">
        <v>1060</v>
      </c>
      <c r="D2056" s="330">
        <v>6</v>
      </c>
      <c r="E2056" s="331">
        <v>55</v>
      </c>
      <c r="F2056" s="331">
        <v>15188.23</v>
      </c>
      <c r="G2056" s="328" t="s">
        <v>1712</v>
      </c>
      <c r="H2056" s="328" t="s">
        <v>1754</v>
      </c>
      <c r="I2056" s="328" t="s">
        <v>110</v>
      </c>
      <c r="J2056" s="328" t="s">
        <v>757</v>
      </c>
      <c r="K2056" s="328" t="s">
        <v>741</v>
      </c>
      <c r="L2056" s="329">
        <v>44196</v>
      </c>
      <c r="M2056" s="332">
        <v>0</v>
      </c>
    </row>
    <row r="2057" spans="1:13" hidden="1" x14ac:dyDescent="0.25">
      <c r="A2057" s="329">
        <v>44196</v>
      </c>
      <c r="B2057" s="328" t="s">
        <v>1711</v>
      </c>
      <c r="C2057" s="328" t="s">
        <v>1060</v>
      </c>
      <c r="D2057" s="330">
        <v>7</v>
      </c>
      <c r="E2057" s="331">
        <v>-55</v>
      </c>
      <c r="F2057" s="331">
        <v>15133.23</v>
      </c>
      <c r="G2057" s="328" t="s">
        <v>1712</v>
      </c>
      <c r="H2057" s="328" t="s">
        <v>1754</v>
      </c>
      <c r="I2057" s="328" t="s">
        <v>110</v>
      </c>
      <c r="J2057" s="328" t="s">
        <v>757</v>
      </c>
      <c r="K2057" s="328" t="s">
        <v>741</v>
      </c>
      <c r="L2057" s="329">
        <v>44196</v>
      </c>
      <c r="M2057" s="332">
        <v>0</v>
      </c>
    </row>
    <row r="2058" spans="1:13" hidden="1" x14ac:dyDescent="0.25">
      <c r="A2058" s="329">
        <v>44196</v>
      </c>
      <c r="B2058" s="328" t="s">
        <v>1713</v>
      </c>
      <c r="C2058" s="328" t="s">
        <v>769</v>
      </c>
      <c r="D2058" s="330">
        <v>7</v>
      </c>
      <c r="E2058" s="331">
        <v>55</v>
      </c>
      <c r="F2058" s="331">
        <v>15188.23</v>
      </c>
      <c r="G2058" s="328" t="s">
        <v>1714</v>
      </c>
      <c r="H2058" s="328" t="s">
        <v>1754</v>
      </c>
      <c r="I2058" s="328" t="s">
        <v>110</v>
      </c>
      <c r="J2058" s="328" t="s">
        <v>757</v>
      </c>
      <c r="K2058" s="328" t="s">
        <v>770</v>
      </c>
      <c r="L2058" s="329">
        <v>44196</v>
      </c>
      <c r="M2058" s="332">
        <v>0</v>
      </c>
    </row>
    <row r="2059" spans="1:13" hidden="1" x14ac:dyDescent="0.25">
      <c r="A2059" s="329">
        <v>44227</v>
      </c>
      <c r="B2059" s="328" t="s">
        <v>1715</v>
      </c>
      <c r="C2059" s="328" t="s">
        <v>1060</v>
      </c>
      <c r="D2059" s="330">
        <v>7</v>
      </c>
      <c r="E2059" s="331">
        <v>55</v>
      </c>
      <c r="F2059" s="331">
        <v>15243.23</v>
      </c>
      <c r="G2059" s="328" t="s">
        <v>1716</v>
      </c>
      <c r="H2059" s="328" t="s">
        <v>1754</v>
      </c>
      <c r="I2059" s="328" t="s">
        <v>110</v>
      </c>
      <c r="J2059" s="328" t="s">
        <v>757</v>
      </c>
      <c r="K2059" s="328" t="s">
        <v>741</v>
      </c>
      <c r="L2059" s="329">
        <v>44227</v>
      </c>
      <c r="M2059" s="332">
        <v>0</v>
      </c>
    </row>
    <row r="2060" spans="1:13" hidden="1" x14ac:dyDescent="0.25">
      <c r="A2060" s="329">
        <v>44227</v>
      </c>
      <c r="B2060" s="328" t="s">
        <v>1715</v>
      </c>
      <c r="C2060" s="328" t="s">
        <v>1060</v>
      </c>
      <c r="D2060" s="330">
        <v>8</v>
      </c>
      <c r="E2060" s="331">
        <v>-55</v>
      </c>
      <c r="F2060" s="331">
        <v>15188.23</v>
      </c>
      <c r="G2060" s="328" t="s">
        <v>1716</v>
      </c>
      <c r="H2060" s="328" t="s">
        <v>1754</v>
      </c>
      <c r="I2060" s="328" t="s">
        <v>110</v>
      </c>
      <c r="J2060" s="328" t="s">
        <v>757</v>
      </c>
      <c r="K2060" s="328" t="s">
        <v>741</v>
      </c>
      <c r="L2060" s="329">
        <v>44227</v>
      </c>
      <c r="M2060" s="332">
        <v>0</v>
      </c>
    </row>
    <row r="2061" spans="1:13" hidden="1" x14ac:dyDescent="0.25">
      <c r="A2061" s="329">
        <v>44227</v>
      </c>
      <c r="B2061" s="328" t="s">
        <v>1717</v>
      </c>
      <c r="C2061" s="328" t="s">
        <v>769</v>
      </c>
      <c r="D2061" s="330">
        <v>8</v>
      </c>
      <c r="E2061" s="331">
        <v>55</v>
      </c>
      <c r="F2061" s="331">
        <v>15243.23</v>
      </c>
      <c r="G2061" s="328" t="s">
        <v>1718</v>
      </c>
      <c r="H2061" s="328" t="s">
        <v>1754</v>
      </c>
      <c r="I2061" s="328" t="s">
        <v>110</v>
      </c>
      <c r="J2061" s="328" t="s">
        <v>757</v>
      </c>
      <c r="K2061" s="328" t="s">
        <v>770</v>
      </c>
      <c r="L2061" s="329">
        <v>44227</v>
      </c>
      <c r="M2061" s="332">
        <v>0</v>
      </c>
    </row>
    <row r="2062" spans="1:13" hidden="1" x14ac:dyDescent="0.25">
      <c r="A2062" s="329">
        <v>44255</v>
      </c>
      <c r="B2062" s="328" t="s">
        <v>1720</v>
      </c>
      <c r="C2062" s="328" t="s">
        <v>1060</v>
      </c>
      <c r="D2062" s="330">
        <v>8</v>
      </c>
      <c r="E2062" s="331">
        <v>49.5</v>
      </c>
      <c r="F2062" s="331">
        <v>15292.73</v>
      </c>
      <c r="G2062" s="328" t="s">
        <v>1721</v>
      </c>
      <c r="H2062" s="328" t="s">
        <v>1754</v>
      </c>
      <c r="I2062" s="328" t="s">
        <v>110</v>
      </c>
      <c r="J2062" s="328" t="s">
        <v>757</v>
      </c>
      <c r="K2062" s="328" t="s">
        <v>741</v>
      </c>
      <c r="L2062" s="329">
        <v>44255</v>
      </c>
      <c r="M2062" s="332">
        <v>0</v>
      </c>
    </row>
    <row r="2063" spans="1:13" hidden="1" x14ac:dyDescent="0.25">
      <c r="A2063" s="329">
        <v>44255</v>
      </c>
      <c r="B2063" s="328" t="s">
        <v>1720</v>
      </c>
      <c r="C2063" s="328" t="s">
        <v>1060</v>
      </c>
      <c r="D2063" s="330">
        <v>9</v>
      </c>
      <c r="E2063" s="331">
        <v>-49.5</v>
      </c>
      <c r="F2063" s="331">
        <v>15243.23</v>
      </c>
      <c r="G2063" s="328" t="s">
        <v>1721</v>
      </c>
      <c r="H2063" s="328" t="s">
        <v>1754</v>
      </c>
      <c r="I2063" s="328" t="s">
        <v>110</v>
      </c>
      <c r="J2063" s="328" t="s">
        <v>757</v>
      </c>
      <c r="K2063" s="328" t="s">
        <v>741</v>
      </c>
      <c r="L2063" s="329">
        <v>44255</v>
      </c>
      <c r="M2063" s="332">
        <v>0</v>
      </c>
    </row>
    <row r="2064" spans="1:13" hidden="1" x14ac:dyDescent="0.25">
      <c r="A2064" s="329">
        <v>44255</v>
      </c>
      <c r="B2064" s="328" t="s">
        <v>1722</v>
      </c>
      <c r="C2064" s="328" t="s">
        <v>769</v>
      </c>
      <c r="D2064" s="330">
        <v>9</v>
      </c>
      <c r="E2064" s="331">
        <v>55</v>
      </c>
      <c r="F2064" s="331">
        <v>15298.23</v>
      </c>
      <c r="G2064" s="328" t="s">
        <v>1723</v>
      </c>
      <c r="H2064" s="328" t="s">
        <v>1754</v>
      </c>
      <c r="I2064" s="328" t="s">
        <v>110</v>
      </c>
      <c r="J2064" s="328" t="s">
        <v>757</v>
      </c>
      <c r="K2064" s="328" t="s">
        <v>770</v>
      </c>
      <c r="L2064" s="329">
        <v>44255</v>
      </c>
      <c r="M2064" s="332">
        <v>0</v>
      </c>
    </row>
    <row r="2065" spans="1:13" hidden="1" x14ac:dyDescent="0.25">
      <c r="A2065" s="329">
        <v>44286</v>
      </c>
      <c r="B2065" s="328" t="s">
        <v>1724</v>
      </c>
      <c r="C2065" s="328" t="s">
        <v>1060</v>
      </c>
      <c r="D2065" s="330">
        <v>9</v>
      </c>
      <c r="E2065" s="331">
        <v>60.5</v>
      </c>
      <c r="F2065" s="331">
        <v>15358.73</v>
      </c>
      <c r="G2065" s="328" t="s">
        <v>1725</v>
      </c>
      <c r="H2065" s="328" t="s">
        <v>1754</v>
      </c>
      <c r="I2065" s="328" t="s">
        <v>110</v>
      </c>
      <c r="J2065" s="328" t="s">
        <v>757</v>
      </c>
      <c r="K2065" s="328" t="s">
        <v>741</v>
      </c>
      <c r="L2065" s="329">
        <v>44286</v>
      </c>
      <c r="M2065" s="332">
        <v>0</v>
      </c>
    </row>
    <row r="2066" spans="1:13" hidden="1" x14ac:dyDescent="0.25">
      <c r="A2066" s="329">
        <v>44286</v>
      </c>
      <c r="B2066" s="328" t="s">
        <v>1726</v>
      </c>
      <c r="C2066" s="328" t="s">
        <v>769</v>
      </c>
      <c r="D2066" s="330">
        <v>10</v>
      </c>
      <c r="E2066" s="331">
        <v>60.5</v>
      </c>
      <c r="F2066" s="331">
        <v>15419.23</v>
      </c>
      <c r="G2066" s="328" t="s">
        <v>1727</v>
      </c>
      <c r="H2066" s="328" t="s">
        <v>1754</v>
      </c>
      <c r="I2066" s="328" t="s">
        <v>110</v>
      </c>
      <c r="J2066" s="328" t="s">
        <v>757</v>
      </c>
      <c r="K2066" s="328" t="s">
        <v>770</v>
      </c>
      <c r="L2066" s="329">
        <v>44286</v>
      </c>
      <c r="M2066" s="332">
        <v>0</v>
      </c>
    </row>
    <row r="2067" spans="1:13" hidden="1" x14ac:dyDescent="0.25">
      <c r="A2067" s="329">
        <v>44286</v>
      </c>
      <c r="B2067" s="328" t="s">
        <v>1724</v>
      </c>
      <c r="C2067" s="328" t="s">
        <v>1060</v>
      </c>
      <c r="D2067" s="330">
        <v>10</v>
      </c>
      <c r="E2067" s="331">
        <v>-60.5</v>
      </c>
      <c r="F2067" s="331">
        <v>15358.73</v>
      </c>
      <c r="G2067" s="328" t="s">
        <v>1725</v>
      </c>
      <c r="H2067" s="328" t="s">
        <v>1754</v>
      </c>
      <c r="I2067" s="328" t="s">
        <v>110</v>
      </c>
      <c r="J2067" s="328" t="s">
        <v>757</v>
      </c>
      <c r="K2067" s="328" t="s">
        <v>741</v>
      </c>
      <c r="L2067" s="329">
        <v>44286</v>
      </c>
      <c r="M2067" s="332">
        <v>0</v>
      </c>
    </row>
    <row r="2068" spans="1:13" hidden="1" x14ac:dyDescent="0.25">
      <c r="A2068" s="329">
        <v>44316</v>
      </c>
      <c r="B2068" s="328" t="s">
        <v>1728</v>
      </c>
      <c r="C2068" s="328" t="s">
        <v>1060</v>
      </c>
      <c r="D2068" s="330">
        <v>10</v>
      </c>
      <c r="E2068" s="331">
        <v>33</v>
      </c>
      <c r="F2068" s="331">
        <v>15391.73</v>
      </c>
      <c r="G2068" s="328" t="s">
        <v>1729</v>
      </c>
      <c r="H2068" s="328" t="s">
        <v>1754</v>
      </c>
      <c r="I2068" s="328" t="s">
        <v>110</v>
      </c>
      <c r="J2068" s="328" t="s">
        <v>757</v>
      </c>
      <c r="K2068" s="328" t="s">
        <v>741</v>
      </c>
      <c r="L2068" s="329">
        <v>44316</v>
      </c>
      <c r="M2068" s="332">
        <v>0</v>
      </c>
    </row>
    <row r="2069" spans="1:13" hidden="1" x14ac:dyDescent="0.25">
      <c r="A2069" s="329">
        <v>44012</v>
      </c>
      <c r="B2069" s="328" t="s">
        <v>1678</v>
      </c>
      <c r="C2069" s="328" t="s">
        <v>769</v>
      </c>
      <c r="D2069" s="330">
        <v>1</v>
      </c>
      <c r="E2069" s="331">
        <v>110</v>
      </c>
      <c r="F2069" s="331">
        <v>15538.58</v>
      </c>
      <c r="G2069" s="328" t="s">
        <v>1679</v>
      </c>
      <c r="H2069" s="328" t="s">
        <v>1755</v>
      </c>
      <c r="I2069" s="328" t="s">
        <v>110</v>
      </c>
      <c r="J2069" s="328" t="s">
        <v>757</v>
      </c>
      <c r="K2069" s="328" t="s">
        <v>770</v>
      </c>
      <c r="L2069" s="329">
        <v>44012</v>
      </c>
      <c r="M2069" s="332">
        <v>0</v>
      </c>
    </row>
    <row r="2070" spans="1:13" hidden="1" x14ac:dyDescent="0.25">
      <c r="A2070" s="329">
        <v>44012</v>
      </c>
      <c r="B2070" s="328" t="s">
        <v>1681</v>
      </c>
      <c r="C2070" s="328" t="s">
        <v>1059</v>
      </c>
      <c r="D2070" s="330">
        <v>1</v>
      </c>
      <c r="E2070" s="331">
        <v>-22</v>
      </c>
      <c r="F2070" s="331">
        <v>15516.58</v>
      </c>
      <c r="G2070" s="328" t="s">
        <v>1682</v>
      </c>
      <c r="H2070" s="328" t="s">
        <v>1755</v>
      </c>
      <c r="I2070" s="328" t="s">
        <v>110</v>
      </c>
      <c r="J2070" s="328" t="s">
        <v>757</v>
      </c>
      <c r="K2070" s="328" t="s">
        <v>741</v>
      </c>
      <c r="L2070" s="329">
        <v>44012</v>
      </c>
      <c r="M2070" s="332">
        <v>0</v>
      </c>
    </row>
    <row r="2071" spans="1:13" hidden="1" x14ac:dyDescent="0.25">
      <c r="A2071" s="329">
        <v>44041</v>
      </c>
      <c r="B2071" s="328" t="s">
        <v>1683</v>
      </c>
      <c r="C2071" s="328" t="s">
        <v>936</v>
      </c>
      <c r="D2071" s="330">
        <v>1</v>
      </c>
      <c r="E2071" s="331">
        <v>-88</v>
      </c>
      <c r="F2071" s="331">
        <v>15428.58</v>
      </c>
      <c r="G2071" s="328" t="s">
        <v>1684</v>
      </c>
      <c r="H2071" s="328" t="s">
        <v>1755</v>
      </c>
      <c r="I2071" s="328" t="s">
        <v>110</v>
      </c>
      <c r="J2071" s="328" t="s">
        <v>757</v>
      </c>
      <c r="K2071" s="328" t="s">
        <v>770</v>
      </c>
      <c r="L2071" s="329">
        <v>44041</v>
      </c>
      <c r="M2071" s="332">
        <v>0</v>
      </c>
    </row>
    <row r="2072" spans="1:13" hidden="1" x14ac:dyDescent="0.25">
      <c r="A2072" s="329">
        <v>44043</v>
      </c>
      <c r="B2072" s="328" t="s">
        <v>1689</v>
      </c>
      <c r="C2072" s="328" t="s">
        <v>1060</v>
      </c>
      <c r="D2072" s="330">
        <v>1</v>
      </c>
      <c r="E2072" s="331">
        <v>-88</v>
      </c>
      <c r="F2072" s="331">
        <v>15340.58</v>
      </c>
      <c r="G2072" s="328" t="s">
        <v>1690</v>
      </c>
      <c r="H2072" s="328" t="s">
        <v>1755</v>
      </c>
      <c r="I2072" s="328" t="s">
        <v>110</v>
      </c>
      <c r="J2072" s="328" t="s">
        <v>757</v>
      </c>
      <c r="K2072" s="328" t="s">
        <v>741</v>
      </c>
      <c r="L2072" s="329">
        <v>44043</v>
      </c>
      <c r="M2072" s="332">
        <v>0</v>
      </c>
    </row>
    <row r="2073" spans="1:13" hidden="1" x14ac:dyDescent="0.25">
      <c r="A2073" s="329">
        <v>44043</v>
      </c>
      <c r="B2073" s="328" t="s">
        <v>1689</v>
      </c>
      <c r="C2073" s="328" t="s">
        <v>1060</v>
      </c>
      <c r="D2073" s="330">
        <v>1</v>
      </c>
      <c r="E2073" s="331">
        <v>49.5</v>
      </c>
      <c r="F2073" s="331">
        <v>15390.08</v>
      </c>
      <c r="G2073" s="328" t="s">
        <v>1686</v>
      </c>
      <c r="H2073" s="328" t="s">
        <v>1755</v>
      </c>
      <c r="I2073" s="328" t="s">
        <v>110</v>
      </c>
      <c r="J2073" s="328" t="s">
        <v>757</v>
      </c>
      <c r="K2073" s="328" t="s">
        <v>741</v>
      </c>
      <c r="L2073" s="329">
        <v>44043</v>
      </c>
      <c r="M2073" s="332">
        <v>0</v>
      </c>
    </row>
    <row r="2074" spans="1:13" hidden="1" x14ac:dyDescent="0.25">
      <c r="A2074" s="329">
        <v>44043</v>
      </c>
      <c r="B2074" s="328" t="s">
        <v>1688</v>
      </c>
      <c r="C2074" s="328" t="s">
        <v>1060</v>
      </c>
      <c r="D2074" s="330">
        <v>1</v>
      </c>
      <c r="E2074" s="331">
        <v>-88</v>
      </c>
      <c r="F2074" s="331">
        <v>15302.08</v>
      </c>
      <c r="G2074" s="328" t="s">
        <v>1687</v>
      </c>
      <c r="H2074" s="328" t="s">
        <v>1755</v>
      </c>
      <c r="I2074" s="328" t="s">
        <v>110</v>
      </c>
      <c r="J2074" s="328" t="s">
        <v>757</v>
      </c>
      <c r="K2074" s="328" t="s">
        <v>741</v>
      </c>
      <c r="L2074" s="329">
        <v>44043</v>
      </c>
      <c r="M2074" s="332">
        <v>0</v>
      </c>
    </row>
    <row r="2075" spans="1:13" hidden="1" x14ac:dyDescent="0.25">
      <c r="A2075" s="329">
        <v>44043</v>
      </c>
      <c r="B2075" s="328" t="s">
        <v>1688</v>
      </c>
      <c r="C2075" s="328" t="s">
        <v>1060</v>
      </c>
      <c r="D2075" s="330">
        <v>1</v>
      </c>
      <c r="E2075" s="331">
        <v>-49.5</v>
      </c>
      <c r="F2075" s="331">
        <v>15252.58</v>
      </c>
      <c r="G2075" s="328" t="s">
        <v>1686</v>
      </c>
      <c r="H2075" s="328" t="s">
        <v>1755</v>
      </c>
      <c r="I2075" s="328" t="s">
        <v>110</v>
      </c>
      <c r="J2075" s="328" t="s">
        <v>757</v>
      </c>
      <c r="K2075" s="328" t="s">
        <v>741</v>
      </c>
      <c r="L2075" s="329">
        <v>44043</v>
      </c>
      <c r="M2075" s="332">
        <v>0</v>
      </c>
    </row>
    <row r="2076" spans="1:13" hidden="1" x14ac:dyDescent="0.25">
      <c r="A2076" s="329">
        <v>44043</v>
      </c>
      <c r="B2076" s="328" t="s">
        <v>1685</v>
      </c>
      <c r="C2076" s="328" t="s">
        <v>1060</v>
      </c>
      <c r="D2076" s="330">
        <v>1</v>
      </c>
      <c r="E2076" s="331">
        <v>88</v>
      </c>
      <c r="F2076" s="331">
        <v>15340.58</v>
      </c>
      <c r="G2076" s="328" t="s">
        <v>1687</v>
      </c>
      <c r="H2076" s="328" t="s">
        <v>1755</v>
      </c>
      <c r="I2076" s="328" t="s">
        <v>110</v>
      </c>
      <c r="J2076" s="328" t="s">
        <v>757</v>
      </c>
      <c r="K2076" s="328" t="s">
        <v>741</v>
      </c>
      <c r="L2076" s="329">
        <v>44043</v>
      </c>
      <c r="M2076" s="332">
        <v>0</v>
      </c>
    </row>
    <row r="2077" spans="1:13" hidden="1" x14ac:dyDescent="0.25">
      <c r="A2077" s="329">
        <v>44043</v>
      </c>
      <c r="B2077" s="328" t="s">
        <v>1685</v>
      </c>
      <c r="C2077" s="328" t="s">
        <v>1060</v>
      </c>
      <c r="D2077" s="330">
        <v>1</v>
      </c>
      <c r="E2077" s="331">
        <v>49.5</v>
      </c>
      <c r="F2077" s="331">
        <v>15390.08</v>
      </c>
      <c r="G2077" s="328" t="s">
        <v>1686</v>
      </c>
      <c r="H2077" s="328" t="s">
        <v>1755</v>
      </c>
      <c r="I2077" s="328" t="s">
        <v>110</v>
      </c>
      <c r="J2077" s="328" t="s">
        <v>757</v>
      </c>
      <c r="K2077" s="328" t="s">
        <v>741</v>
      </c>
      <c r="L2077" s="329">
        <v>44043</v>
      </c>
      <c r="M2077" s="332">
        <v>0</v>
      </c>
    </row>
    <row r="2078" spans="1:13" hidden="1" x14ac:dyDescent="0.25">
      <c r="A2078" s="329">
        <v>44043</v>
      </c>
      <c r="B2078" s="328" t="s">
        <v>1689</v>
      </c>
      <c r="C2078" s="328" t="s">
        <v>1060</v>
      </c>
      <c r="D2078" s="330">
        <v>2</v>
      </c>
      <c r="E2078" s="331">
        <v>88</v>
      </c>
      <c r="F2078" s="331">
        <v>15478.08</v>
      </c>
      <c r="G2078" s="328" t="s">
        <v>1690</v>
      </c>
      <c r="H2078" s="328" t="s">
        <v>1755</v>
      </c>
      <c r="I2078" s="328" t="s">
        <v>110</v>
      </c>
      <c r="J2078" s="328" t="s">
        <v>757</v>
      </c>
      <c r="K2078" s="328" t="s">
        <v>741</v>
      </c>
      <c r="L2078" s="329">
        <v>44043</v>
      </c>
      <c r="M2078" s="332">
        <v>0</v>
      </c>
    </row>
    <row r="2079" spans="1:13" hidden="1" x14ac:dyDescent="0.25">
      <c r="A2079" s="329">
        <v>44043</v>
      </c>
      <c r="B2079" s="328" t="s">
        <v>1689</v>
      </c>
      <c r="C2079" s="328" t="s">
        <v>1060</v>
      </c>
      <c r="D2079" s="330">
        <v>2</v>
      </c>
      <c r="E2079" s="331">
        <v>-49.5</v>
      </c>
      <c r="F2079" s="331">
        <v>15428.58</v>
      </c>
      <c r="G2079" s="328" t="s">
        <v>1686</v>
      </c>
      <c r="H2079" s="328" t="s">
        <v>1755</v>
      </c>
      <c r="I2079" s="328" t="s">
        <v>110</v>
      </c>
      <c r="J2079" s="328" t="s">
        <v>757</v>
      </c>
      <c r="K2079" s="328" t="s">
        <v>741</v>
      </c>
      <c r="L2079" s="329">
        <v>44043</v>
      </c>
      <c r="M2079" s="332">
        <v>0</v>
      </c>
    </row>
    <row r="2080" spans="1:13" hidden="1" x14ac:dyDescent="0.25">
      <c r="A2080" s="329">
        <v>44043</v>
      </c>
      <c r="B2080" s="328" t="s">
        <v>1688</v>
      </c>
      <c r="C2080" s="328" t="s">
        <v>1060</v>
      </c>
      <c r="D2080" s="330">
        <v>2</v>
      </c>
      <c r="E2080" s="331">
        <v>88</v>
      </c>
      <c r="F2080" s="331">
        <v>15516.58</v>
      </c>
      <c r="G2080" s="328" t="s">
        <v>1687</v>
      </c>
      <c r="H2080" s="328" t="s">
        <v>1755</v>
      </c>
      <c r="I2080" s="328" t="s">
        <v>110</v>
      </c>
      <c r="J2080" s="328" t="s">
        <v>757</v>
      </c>
      <c r="K2080" s="328" t="s">
        <v>741</v>
      </c>
      <c r="L2080" s="329">
        <v>44043</v>
      </c>
      <c r="M2080" s="332">
        <v>0</v>
      </c>
    </row>
    <row r="2081" spans="1:13" hidden="1" x14ac:dyDescent="0.25">
      <c r="A2081" s="329">
        <v>44043</v>
      </c>
      <c r="B2081" s="328" t="s">
        <v>1688</v>
      </c>
      <c r="C2081" s="328" t="s">
        <v>1060</v>
      </c>
      <c r="D2081" s="330">
        <v>2</v>
      </c>
      <c r="E2081" s="331">
        <v>49.5</v>
      </c>
      <c r="F2081" s="331">
        <v>15566.08</v>
      </c>
      <c r="G2081" s="328" t="s">
        <v>1686</v>
      </c>
      <c r="H2081" s="328" t="s">
        <v>1755</v>
      </c>
      <c r="I2081" s="328" t="s">
        <v>110</v>
      </c>
      <c r="J2081" s="328" t="s">
        <v>757</v>
      </c>
      <c r="K2081" s="328" t="s">
        <v>741</v>
      </c>
      <c r="L2081" s="329">
        <v>44043</v>
      </c>
      <c r="M2081" s="332">
        <v>0</v>
      </c>
    </row>
    <row r="2082" spans="1:13" hidden="1" x14ac:dyDescent="0.25">
      <c r="A2082" s="329">
        <v>44043</v>
      </c>
      <c r="B2082" s="328" t="s">
        <v>1685</v>
      </c>
      <c r="C2082" s="328" t="s">
        <v>1060</v>
      </c>
      <c r="D2082" s="330">
        <v>2</v>
      </c>
      <c r="E2082" s="331">
        <v>-88</v>
      </c>
      <c r="F2082" s="331">
        <v>15478.08</v>
      </c>
      <c r="G2082" s="328" t="s">
        <v>1687</v>
      </c>
      <c r="H2082" s="328" t="s">
        <v>1755</v>
      </c>
      <c r="I2082" s="328" t="s">
        <v>110</v>
      </c>
      <c r="J2082" s="328" t="s">
        <v>757</v>
      </c>
      <c r="K2082" s="328" t="s">
        <v>741</v>
      </c>
      <c r="L2082" s="329">
        <v>44043</v>
      </c>
      <c r="M2082" s="332">
        <v>0</v>
      </c>
    </row>
    <row r="2083" spans="1:13" hidden="1" x14ac:dyDescent="0.25">
      <c r="A2083" s="329">
        <v>44043</v>
      </c>
      <c r="B2083" s="328" t="s">
        <v>1685</v>
      </c>
      <c r="C2083" s="328" t="s">
        <v>1060</v>
      </c>
      <c r="D2083" s="330">
        <v>2</v>
      </c>
      <c r="E2083" s="331">
        <v>-49.5</v>
      </c>
      <c r="F2083" s="331">
        <v>15428.58</v>
      </c>
      <c r="G2083" s="328" t="s">
        <v>1686</v>
      </c>
      <c r="H2083" s="328" t="s">
        <v>1755</v>
      </c>
      <c r="I2083" s="328" t="s">
        <v>110</v>
      </c>
      <c r="J2083" s="328" t="s">
        <v>757</v>
      </c>
      <c r="K2083" s="328" t="s">
        <v>741</v>
      </c>
      <c r="L2083" s="329">
        <v>44043</v>
      </c>
      <c r="M2083" s="332">
        <v>0</v>
      </c>
    </row>
    <row r="2084" spans="1:13" hidden="1" x14ac:dyDescent="0.25">
      <c r="A2084" s="329">
        <v>44043</v>
      </c>
      <c r="B2084" s="328" t="s">
        <v>1693</v>
      </c>
      <c r="C2084" s="328" t="s">
        <v>936</v>
      </c>
      <c r="D2084" s="330">
        <v>2</v>
      </c>
      <c r="E2084" s="331">
        <v>-88</v>
      </c>
      <c r="F2084" s="331">
        <v>15340.58</v>
      </c>
      <c r="G2084" s="328" t="s">
        <v>1694</v>
      </c>
      <c r="H2084" s="328" t="s">
        <v>1755</v>
      </c>
      <c r="I2084" s="328" t="s">
        <v>110</v>
      </c>
      <c r="J2084" s="328" t="s">
        <v>757</v>
      </c>
      <c r="K2084" s="328" t="s">
        <v>770</v>
      </c>
      <c r="L2084" s="329">
        <v>44043</v>
      </c>
      <c r="M2084" s="332">
        <v>0</v>
      </c>
    </row>
    <row r="2085" spans="1:13" hidden="1" x14ac:dyDescent="0.25">
      <c r="A2085" s="329">
        <v>44043</v>
      </c>
      <c r="B2085" s="328" t="s">
        <v>1691</v>
      </c>
      <c r="C2085" s="328" t="s">
        <v>769</v>
      </c>
      <c r="D2085" s="330">
        <v>2</v>
      </c>
      <c r="E2085" s="331">
        <v>49.5</v>
      </c>
      <c r="F2085" s="331">
        <v>15390.08</v>
      </c>
      <c r="G2085" s="328" t="s">
        <v>1692</v>
      </c>
      <c r="H2085" s="328" t="s">
        <v>1755</v>
      </c>
      <c r="I2085" s="328" t="s">
        <v>110</v>
      </c>
      <c r="J2085" s="328" t="s">
        <v>757</v>
      </c>
      <c r="K2085" s="328" t="s">
        <v>770</v>
      </c>
      <c r="L2085" s="329">
        <v>44043</v>
      </c>
      <c r="M2085" s="332">
        <v>0</v>
      </c>
    </row>
    <row r="2086" spans="1:13" hidden="1" x14ac:dyDescent="0.25">
      <c r="A2086" s="329">
        <v>44074</v>
      </c>
      <c r="B2086" s="328" t="s">
        <v>1695</v>
      </c>
      <c r="C2086" s="328" t="s">
        <v>1060</v>
      </c>
      <c r="D2086" s="330">
        <v>2</v>
      </c>
      <c r="E2086" s="331">
        <v>22</v>
      </c>
      <c r="F2086" s="331">
        <v>15412.08</v>
      </c>
      <c r="G2086" s="328" t="s">
        <v>1696</v>
      </c>
      <c r="H2086" s="328" t="s">
        <v>1755</v>
      </c>
      <c r="I2086" s="328" t="s">
        <v>110</v>
      </c>
      <c r="J2086" s="328" t="s">
        <v>757</v>
      </c>
      <c r="K2086" s="328" t="s">
        <v>741</v>
      </c>
      <c r="L2086" s="329">
        <v>44074</v>
      </c>
      <c r="M2086" s="332">
        <v>0</v>
      </c>
    </row>
    <row r="2087" spans="1:13" hidden="1" x14ac:dyDescent="0.25">
      <c r="A2087" s="329">
        <v>44074</v>
      </c>
      <c r="B2087" s="328" t="s">
        <v>1697</v>
      </c>
      <c r="C2087" s="328" t="s">
        <v>769</v>
      </c>
      <c r="D2087" s="330">
        <v>3</v>
      </c>
      <c r="E2087" s="331">
        <v>22</v>
      </c>
      <c r="F2087" s="331">
        <v>15434.08</v>
      </c>
      <c r="G2087" s="328" t="s">
        <v>1698</v>
      </c>
      <c r="H2087" s="328" t="s">
        <v>1755</v>
      </c>
      <c r="I2087" s="328" t="s">
        <v>110</v>
      </c>
      <c r="J2087" s="328" t="s">
        <v>757</v>
      </c>
      <c r="K2087" s="328" t="s">
        <v>770</v>
      </c>
      <c r="L2087" s="329">
        <v>44074</v>
      </c>
      <c r="M2087" s="332">
        <v>0</v>
      </c>
    </row>
    <row r="2088" spans="1:13" hidden="1" x14ac:dyDescent="0.25">
      <c r="A2088" s="329">
        <v>44074</v>
      </c>
      <c r="B2088" s="328" t="s">
        <v>1695</v>
      </c>
      <c r="C2088" s="328" t="s">
        <v>1060</v>
      </c>
      <c r="D2088" s="330">
        <v>3</v>
      </c>
      <c r="E2088" s="331">
        <v>-22</v>
      </c>
      <c r="F2088" s="331">
        <v>15412.08</v>
      </c>
      <c r="G2088" s="328" t="s">
        <v>1696</v>
      </c>
      <c r="H2088" s="328" t="s">
        <v>1755</v>
      </c>
      <c r="I2088" s="328" t="s">
        <v>110</v>
      </c>
      <c r="J2088" s="328" t="s">
        <v>757</v>
      </c>
      <c r="K2088" s="328" t="s">
        <v>741</v>
      </c>
      <c r="L2088" s="329">
        <v>44074</v>
      </c>
      <c r="M2088" s="332">
        <v>0</v>
      </c>
    </row>
    <row r="2089" spans="1:13" hidden="1" x14ac:dyDescent="0.25">
      <c r="A2089" s="329">
        <v>44104</v>
      </c>
      <c r="B2089" s="328" t="s">
        <v>1699</v>
      </c>
      <c r="C2089" s="328" t="s">
        <v>1060</v>
      </c>
      <c r="D2089" s="330">
        <v>3</v>
      </c>
      <c r="E2089" s="331">
        <v>33</v>
      </c>
      <c r="F2089" s="331">
        <v>15445.08</v>
      </c>
      <c r="G2089" s="328" t="s">
        <v>1700</v>
      </c>
      <c r="H2089" s="328" t="s">
        <v>1755</v>
      </c>
      <c r="I2089" s="328" t="s">
        <v>110</v>
      </c>
      <c r="J2089" s="328" t="s">
        <v>757</v>
      </c>
      <c r="K2089" s="328" t="s">
        <v>741</v>
      </c>
      <c r="L2089" s="329">
        <v>44104</v>
      </c>
      <c r="M2089" s="332">
        <v>0</v>
      </c>
    </row>
    <row r="2090" spans="1:13" hidden="1" x14ac:dyDescent="0.25">
      <c r="A2090" s="329">
        <v>44104</v>
      </c>
      <c r="B2090" s="328" t="s">
        <v>1699</v>
      </c>
      <c r="C2090" s="328" t="s">
        <v>1060</v>
      </c>
      <c r="D2090" s="330">
        <v>4</v>
      </c>
      <c r="E2090" s="331">
        <v>-33</v>
      </c>
      <c r="F2090" s="331">
        <v>15412.08</v>
      </c>
      <c r="G2090" s="328" t="s">
        <v>1700</v>
      </c>
      <c r="H2090" s="328" t="s">
        <v>1755</v>
      </c>
      <c r="I2090" s="328" t="s">
        <v>110</v>
      </c>
      <c r="J2090" s="328" t="s">
        <v>757</v>
      </c>
      <c r="K2090" s="328" t="s">
        <v>741</v>
      </c>
      <c r="L2090" s="329">
        <v>44104</v>
      </c>
      <c r="M2090" s="332">
        <v>0</v>
      </c>
    </row>
    <row r="2091" spans="1:13" hidden="1" x14ac:dyDescent="0.25">
      <c r="A2091" s="329">
        <v>44105</v>
      </c>
      <c r="B2091" s="328" t="s">
        <v>1701</v>
      </c>
      <c r="C2091" s="328" t="s">
        <v>769</v>
      </c>
      <c r="D2091" s="330">
        <v>4</v>
      </c>
      <c r="E2091" s="331">
        <v>33</v>
      </c>
      <c r="F2091" s="331">
        <v>15445.08</v>
      </c>
      <c r="G2091" s="328" t="s">
        <v>1702</v>
      </c>
      <c r="H2091" s="328" t="s">
        <v>1755</v>
      </c>
      <c r="I2091" s="328" t="s">
        <v>110</v>
      </c>
      <c r="J2091" s="328" t="s">
        <v>757</v>
      </c>
      <c r="K2091" s="328" t="s">
        <v>770</v>
      </c>
      <c r="L2091" s="329">
        <v>44105</v>
      </c>
      <c r="M2091" s="332">
        <v>0</v>
      </c>
    </row>
    <row r="2092" spans="1:13" hidden="1" x14ac:dyDescent="0.25">
      <c r="A2092" s="329">
        <v>44135</v>
      </c>
      <c r="B2092" s="328" t="s">
        <v>1703</v>
      </c>
      <c r="C2092" s="328" t="s">
        <v>1060</v>
      </c>
      <c r="D2092" s="330">
        <v>4</v>
      </c>
      <c r="E2092" s="331">
        <v>93.5</v>
      </c>
      <c r="F2092" s="331">
        <v>15538.58</v>
      </c>
      <c r="G2092" s="328" t="s">
        <v>1704</v>
      </c>
      <c r="H2092" s="328" t="s">
        <v>1755</v>
      </c>
      <c r="I2092" s="328" t="s">
        <v>110</v>
      </c>
      <c r="J2092" s="328" t="s">
        <v>757</v>
      </c>
      <c r="K2092" s="328" t="s">
        <v>741</v>
      </c>
      <c r="L2092" s="329">
        <v>44135</v>
      </c>
      <c r="M2092" s="332">
        <v>0</v>
      </c>
    </row>
    <row r="2093" spans="1:13" hidden="1" x14ac:dyDescent="0.25">
      <c r="A2093" s="329">
        <v>44135</v>
      </c>
      <c r="B2093" s="328" t="s">
        <v>1703</v>
      </c>
      <c r="C2093" s="328" t="s">
        <v>1060</v>
      </c>
      <c r="D2093" s="330">
        <v>5</v>
      </c>
      <c r="E2093" s="331">
        <v>-93.5</v>
      </c>
      <c r="F2093" s="331">
        <v>15445.08</v>
      </c>
      <c r="G2093" s="328" t="s">
        <v>1704</v>
      </c>
      <c r="H2093" s="328" t="s">
        <v>1755</v>
      </c>
      <c r="I2093" s="328" t="s">
        <v>110</v>
      </c>
      <c r="J2093" s="328" t="s">
        <v>757</v>
      </c>
      <c r="K2093" s="328" t="s">
        <v>741</v>
      </c>
      <c r="L2093" s="329">
        <v>44135</v>
      </c>
      <c r="M2093" s="332">
        <v>0</v>
      </c>
    </row>
    <row r="2094" spans="1:13" hidden="1" x14ac:dyDescent="0.25">
      <c r="A2094" s="329">
        <v>44135</v>
      </c>
      <c r="B2094" s="328" t="s">
        <v>1705</v>
      </c>
      <c r="C2094" s="328" t="s">
        <v>769</v>
      </c>
      <c r="D2094" s="330">
        <v>5</v>
      </c>
      <c r="E2094" s="331">
        <v>93.5</v>
      </c>
      <c r="F2094" s="331">
        <v>15538.58</v>
      </c>
      <c r="G2094" s="328" t="s">
        <v>1706</v>
      </c>
      <c r="H2094" s="328" t="s">
        <v>1755</v>
      </c>
      <c r="I2094" s="328" t="s">
        <v>110</v>
      </c>
      <c r="J2094" s="328" t="s">
        <v>757</v>
      </c>
      <c r="K2094" s="328" t="s">
        <v>770</v>
      </c>
      <c r="L2094" s="329">
        <v>44135</v>
      </c>
      <c r="M2094" s="332">
        <v>0</v>
      </c>
    </row>
    <row r="2095" spans="1:13" hidden="1" x14ac:dyDescent="0.25">
      <c r="A2095" s="329">
        <v>44165</v>
      </c>
      <c r="B2095" s="328" t="s">
        <v>1707</v>
      </c>
      <c r="C2095" s="328" t="s">
        <v>1060</v>
      </c>
      <c r="D2095" s="330">
        <v>5</v>
      </c>
      <c r="E2095" s="331">
        <v>88</v>
      </c>
      <c r="F2095" s="331">
        <v>15626.58</v>
      </c>
      <c r="G2095" s="328" t="s">
        <v>1708</v>
      </c>
      <c r="H2095" s="328" t="s">
        <v>1755</v>
      </c>
      <c r="I2095" s="328" t="s">
        <v>110</v>
      </c>
      <c r="J2095" s="328" t="s">
        <v>757</v>
      </c>
      <c r="K2095" s="328" t="s">
        <v>741</v>
      </c>
      <c r="L2095" s="329">
        <v>44165</v>
      </c>
      <c r="M2095" s="332">
        <v>0</v>
      </c>
    </row>
    <row r="2096" spans="1:13" hidden="1" x14ac:dyDescent="0.25">
      <c r="A2096" s="329">
        <v>44165</v>
      </c>
      <c r="B2096" s="328" t="s">
        <v>1707</v>
      </c>
      <c r="C2096" s="328" t="s">
        <v>1060</v>
      </c>
      <c r="D2096" s="330">
        <v>6</v>
      </c>
      <c r="E2096" s="331">
        <v>-88</v>
      </c>
      <c r="F2096" s="331">
        <v>15538.58</v>
      </c>
      <c r="G2096" s="328" t="s">
        <v>1708</v>
      </c>
      <c r="H2096" s="328" t="s">
        <v>1755</v>
      </c>
      <c r="I2096" s="328" t="s">
        <v>110</v>
      </c>
      <c r="J2096" s="328" t="s">
        <v>757</v>
      </c>
      <c r="K2096" s="328" t="s">
        <v>741</v>
      </c>
      <c r="L2096" s="329">
        <v>44165</v>
      </c>
      <c r="M2096" s="332">
        <v>0</v>
      </c>
    </row>
    <row r="2097" spans="1:13" hidden="1" x14ac:dyDescent="0.25">
      <c r="A2097" s="329">
        <v>44165</v>
      </c>
      <c r="B2097" s="328" t="s">
        <v>1709</v>
      </c>
      <c r="C2097" s="328" t="s">
        <v>769</v>
      </c>
      <c r="D2097" s="330">
        <v>6</v>
      </c>
      <c r="E2097" s="331">
        <v>88</v>
      </c>
      <c r="F2097" s="331">
        <v>15626.58</v>
      </c>
      <c r="G2097" s="328" t="s">
        <v>1710</v>
      </c>
      <c r="H2097" s="328" t="s">
        <v>1755</v>
      </c>
      <c r="I2097" s="328" t="s">
        <v>110</v>
      </c>
      <c r="J2097" s="328" t="s">
        <v>757</v>
      </c>
      <c r="K2097" s="328" t="s">
        <v>770</v>
      </c>
      <c r="L2097" s="329">
        <v>44165</v>
      </c>
      <c r="M2097" s="332">
        <v>0</v>
      </c>
    </row>
    <row r="2098" spans="1:13" hidden="1" x14ac:dyDescent="0.25">
      <c r="A2098" s="329">
        <v>44196</v>
      </c>
      <c r="B2098" s="328" t="s">
        <v>1711</v>
      </c>
      <c r="C2098" s="328" t="s">
        <v>1060</v>
      </c>
      <c r="D2098" s="330">
        <v>6</v>
      </c>
      <c r="E2098" s="331">
        <v>154</v>
      </c>
      <c r="F2098" s="331">
        <v>15780.58</v>
      </c>
      <c r="G2098" s="328" t="s">
        <v>1712</v>
      </c>
      <c r="H2098" s="328" t="s">
        <v>1755</v>
      </c>
      <c r="I2098" s="328" t="s">
        <v>110</v>
      </c>
      <c r="J2098" s="328" t="s">
        <v>757</v>
      </c>
      <c r="K2098" s="328" t="s">
        <v>741</v>
      </c>
      <c r="L2098" s="329">
        <v>44196</v>
      </c>
      <c r="M2098" s="332">
        <v>0</v>
      </c>
    </row>
    <row r="2099" spans="1:13" hidden="1" x14ac:dyDescent="0.25">
      <c r="A2099" s="329">
        <v>44196</v>
      </c>
      <c r="B2099" s="328" t="s">
        <v>1711</v>
      </c>
      <c r="C2099" s="328" t="s">
        <v>1060</v>
      </c>
      <c r="D2099" s="330">
        <v>7</v>
      </c>
      <c r="E2099" s="331">
        <v>-154</v>
      </c>
      <c r="F2099" s="331">
        <v>15626.58</v>
      </c>
      <c r="G2099" s="328" t="s">
        <v>1712</v>
      </c>
      <c r="H2099" s="328" t="s">
        <v>1755</v>
      </c>
      <c r="I2099" s="328" t="s">
        <v>110</v>
      </c>
      <c r="J2099" s="328" t="s">
        <v>757</v>
      </c>
      <c r="K2099" s="328" t="s">
        <v>741</v>
      </c>
      <c r="L2099" s="329">
        <v>44196</v>
      </c>
      <c r="M2099" s="332">
        <v>0</v>
      </c>
    </row>
    <row r="2100" spans="1:13" hidden="1" x14ac:dyDescent="0.25">
      <c r="A2100" s="329">
        <v>44196</v>
      </c>
      <c r="B2100" s="328" t="s">
        <v>1713</v>
      </c>
      <c r="C2100" s="328" t="s">
        <v>769</v>
      </c>
      <c r="D2100" s="330">
        <v>7</v>
      </c>
      <c r="E2100" s="331">
        <v>154</v>
      </c>
      <c r="F2100" s="331">
        <v>15780.58</v>
      </c>
      <c r="G2100" s="328" t="s">
        <v>1714</v>
      </c>
      <c r="H2100" s="328" t="s">
        <v>1755</v>
      </c>
      <c r="I2100" s="328" t="s">
        <v>110</v>
      </c>
      <c r="J2100" s="328" t="s">
        <v>757</v>
      </c>
      <c r="K2100" s="328" t="s">
        <v>770</v>
      </c>
      <c r="L2100" s="329">
        <v>44196</v>
      </c>
      <c r="M2100" s="332">
        <v>0</v>
      </c>
    </row>
    <row r="2101" spans="1:13" hidden="1" x14ac:dyDescent="0.25">
      <c r="A2101" s="329">
        <v>44227</v>
      </c>
      <c r="B2101" s="328" t="s">
        <v>1715</v>
      </c>
      <c r="C2101" s="328" t="s">
        <v>1060</v>
      </c>
      <c r="D2101" s="330">
        <v>7</v>
      </c>
      <c r="E2101" s="331">
        <v>154</v>
      </c>
      <c r="F2101" s="331">
        <v>15934.58</v>
      </c>
      <c r="G2101" s="328" t="s">
        <v>1716</v>
      </c>
      <c r="H2101" s="328" t="s">
        <v>1755</v>
      </c>
      <c r="I2101" s="328" t="s">
        <v>110</v>
      </c>
      <c r="J2101" s="328" t="s">
        <v>757</v>
      </c>
      <c r="K2101" s="328" t="s">
        <v>741</v>
      </c>
      <c r="L2101" s="329">
        <v>44227</v>
      </c>
      <c r="M2101" s="332">
        <v>0</v>
      </c>
    </row>
    <row r="2102" spans="1:13" hidden="1" x14ac:dyDescent="0.25">
      <c r="A2102" s="329">
        <v>44227</v>
      </c>
      <c r="B2102" s="328" t="s">
        <v>1715</v>
      </c>
      <c r="C2102" s="328" t="s">
        <v>1060</v>
      </c>
      <c r="D2102" s="330">
        <v>8</v>
      </c>
      <c r="E2102" s="331">
        <v>-154</v>
      </c>
      <c r="F2102" s="331">
        <v>15780.58</v>
      </c>
      <c r="G2102" s="328" t="s">
        <v>1716</v>
      </c>
      <c r="H2102" s="328" t="s">
        <v>1755</v>
      </c>
      <c r="I2102" s="328" t="s">
        <v>110</v>
      </c>
      <c r="J2102" s="328" t="s">
        <v>757</v>
      </c>
      <c r="K2102" s="328" t="s">
        <v>741</v>
      </c>
      <c r="L2102" s="329">
        <v>44227</v>
      </c>
      <c r="M2102" s="332">
        <v>0</v>
      </c>
    </row>
    <row r="2103" spans="1:13" hidden="1" x14ac:dyDescent="0.25">
      <c r="A2103" s="329">
        <v>44227</v>
      </c>
      <c r="B2103" s="328" t="s">
        <v>1717</v>
      </c>
      <c r="C2103" s="328" t="s">
        <v>769</v>
      </c>
      <c r="D2103" s="330">
        <v>8</v>
      </c>
      <c r="E2103" s="331">
        <v>154</v>
      </c>
      <c r="F2103" s="331">
        <v>15934.58</v>
      </c>
      <c r="G2103" s="328" t="s">
        <v>1718</v>
      </c>
      <c r="H2103" s="328" t="s">
        <v>1755</v>
      </c>
      <c r="I2103" s="328" t="s">
        <v>110</v>
      </c>
      <c r="J2103" s="328" t="s">
        <v>757</v>
      </c>
      <c r="K2103" s="328" t="s">
        <v>770</v>
      </c>
      <c r="L2103" s="329">
        <v>44227</v>
      </c>
      <c r="M2103" s="332">
        <v>0</v>
      </c>
    </row>
    <row r="2104" spans="1:13" hidden="1" x14ac:dyDescent="0.25">
      <c r="A2104" s="329">
        <v>44255</v>
      </c>
      <c r="B2104" s="328" t="s">
        <v>1720</v>
      </c>
      <c r="C2104" s="328" t="s">
        <v>1060</v>
      </c>
      <c r="D2104" s="330">
        <v>8</v>
      </c>
      <c r="E2104" s="331">
        <v>154</v>
      </c>
      <c r="F2104" s="331">
        <v>16088.58</v>
      </c>
      <c r="G2104" s="328" t="s">
        <v>1721</v>
      </c>
      <c r="H2104" s="328" t="s">
        <v>1755</v>
      </c>
      <c r="I2104" s="328" t="s">
        <v>110</v>
      </c>
      <c r="J2104" s="328" t="s">
        <v>757</v>
      </c>
      <c r="K2104" s="328" t="s">
        <v>741</v>
      </c>
      <c r="L2104" s="329">
        <v>44255</v>
      </c>
      <c r="M2104" s="332">
        <v>0</v>
      </c>
    </row>
    <row r="2105" spans="1:13" hidden="1" x14ac:dyDescent="0.25">
      <c r="A2105" s="329">
        <v>44255</v>
      </c>
      <c r="B2105" s="328" t="s">
        <v>1720</v>
      </c>
      <c r="C2105" s="328" t="s">
        <v>1060</v>
      </c>
      <c r="D2105" s="330">
        <v>9</v>
      </c>
      <c r="E2105" s="331">
        <v>-154</v>
      </c>
      <c r="F2105" s="331">
        <v>15934.58</v>
      </c>
      <c r="G2105" s="328" t="s">
        <v>1721</v>
      </c>
      <c r="H2105" s="328" t="s">
        <v>1755</v>
      </c>
      <c r="I2105" s="328" t="s">
        <v>110</v>
      </c>
      <c r="J2105" s="328" t="s">
        <v>757</v>
      </c>
      <c r="K2105" s="328" t="s">
        <v>741</v>
      </c>
      <c r="L2105" s="329">
        <v>44255</v>
      </c>
      <c r="M2105" s="332">
        <v>0</v>
      </c>
    </row>
    <row r="2106" spans="1:13" hidden="1" x14ac:dyDescent="0.25">
      <c r="A2106" s="329">
        <v>44255</v>
      </c>
      <c r="B2106" s="328" t="s">
        <v>1722</v>
      </c>
      <c r="C2106" s="328" t="s">
        <v>769</v>
      </c>
      <c r="D2106" s="330">
        <v>9</v>
      </c>
      <c r="E2106" s="331">
        <v>154</v>
      </c>
      <c r="F2106" s="331">
        <v>16088.58</v>
      </c>
      <c r="G2106" s="328" t="s">
        <v>1723</v>
      </c>
      <c r="H2106" s="328" t="s">
        <v>1755</v>
      </c>
      <c r="I2106" s="328" t="s">
        <v>110</v>
      </c>
      <c r="J2106" s="328" t="s">
        <v>757</v>
      </c>
      <c r="K2106" s="328" t="s">
        <v>770</v>
      </c>
      <c r="L2106" s="329">
        <v>44255</v>
      </c>
      <c r="M2106" s="332">
        <v>0</v>
      </c>
    </row>
    <row r="2107" spans="1:13" hidden="1" x14ac:dyDescent="0.25">
      <c r="A2107" s="329">
        <v>44286</v>
      </c>
      <c r="B2107" s="328" t="s">
        <v>1724</v>
      </c>
      <c r="C2107" s="328" t="s">
        <v>1060</v>
      </c>
      <c r="D2107" s="330">
        <v>9</v>
      </c>
      <c r="E2107" s="331">
        <v>225.5</v>
      </c>
      <c r="F2107" s="331">
        <v>16314.08</v>
      </c>
      <c r="G2107" s="328" t="s">
        <v>1725</v>
      </c>
      <c r="H2107" s="328" t="s">
        <v>1755</v>
      </c>
      <c r="I2107" s="328" t="s">
        <v>110</v>
      </c>
      <c r="J2107" s="328" t="s">
        <v>757</v>
      </c>
      <c r="K2107" s="328" t="s">
        <v>741</v>
      </c>
      <c r="L2107" s="329">
        <v>44286</v>
      </c>
      <c r="M2107" s="332">
        <v>0</v>
      </c>
    </row>
    <row r="2108" spans="1:13" hidden="1" x14ac:dyDescent="0.25">
      <c r="A2108" s="329">
        <v>44286</v>
      </c>
      <c r="B2108" s="328" t="s">
        <v>1726</v>
      </c>
      <c r="C2108" s="328" t="s">
        <v>769</v>
      </c>
      <c r="D2108" s="330">
        <v>10</v>
      </c>
      <c r="E2108" s="331">
        <v>225.5</v>
      </c>
      <c r="F2108" s="331">
        <v>16539.580000000002</v>
      </c>
      <c r="G2108" s="328" t="s">
        <v>1727</v>
      </c>
      <c r="H2108" s="328" t="s">
        <v>1755</v>
      </c>
      <c r="I2108" s="328" t="s">
        <v>110</v>
      </c>
      <c r="J2108" s="328" t="s">
        <v>757</v>
      </c>
      <c r="K2108" s="328" t="s">
        <v>770</v>
      </c>
      <c r="L2108" s="329">
        <v>44286</v>
      </c>
      <c r="M2108" s="332">
        <v>0</v>
      </c>
    </row>
    <row r="2109" spans="1:13" hidden="1" x14ac:dyDescent="0.25">
      <c r="A2109" s="329">
        <v>44286</v>
      </c>
      <c r="B2109" s="328" t="s">
        <v>1724</v>
      </c>
      <c r="C2109" s="328" t="s">
        <v>1060</v>
      </c>
      <c r="D2109" s="330">
        <v>10</v>
      </c>
      <c r="E2109" s="331">
        <v>-225.5</v>
      </c>
      <c r="F2109" s="331">
        <v>16314.08</v>
      </c>
      <c r="G2109" s="328" t="s">
        <v>1725</v>
      </c>
      <c r="H2109" s="328" t="s">
        <v>1755</v>
      </c>
      <c r="I2109" s="328" t="s">
        <v>110</v>
      </c>
      <c r="J2109" s="328" t="s">
        <v>757</v>
      </c>
      <c r="K2109" s="328" t="s">
        <v>741</v>
      </c>
      <c r="L2109" s="329">
        <v>44286</v>
      </c>
      <c r="M2109" s="332">
        <v>0</v>
      </c>
    </row>
    <row r="2110" spans="1:13" hidden="1" x14ac:dyDescent="0.25">
      <c r="A2110" s="329">
        <v>44316</v>
      </c>
      <c r="B2110" s="328" t="s">
        <v>1728</v>
      </c>
      <c r="C2110" s="328" t="s">
        <v>1060</v>
      </c>
      <c r="D2110" s="330">
        <v>10</v>
      </c>
      <c r="E2110" s="331">
        <v>154</v>
      </c>
      <c r="F2110" s="331">
        <v>16468.080000000002</v>
      </c>
      <c r="G2110" s="328" t="s">
        <v>1729</v>
      </c>
      <c r="H2110" s="328" t="s">
        <v>1755</v>
      </c>
      <c r="I2110" s="328" t="s">
        <v>110</v>
      </c>
      <c r="J2110" s="328" t="s">
        <v>757</v>
      </c>
      <c r="K2110" s="328" t="s">
        <v>741</v>
      </c>
      <c r="L2110" s="329">
        <v>44316</v>
      </c>
      <c r="M2110" s="332">
        <v>0</v>
      </c>
    </row>
    <row r="2111" spans="1:13" hidden="1" x14ac:dyDescent="0.25">
      <c r="A2111" s="329">
        <v>44012</v>
      </c>
      <c r="B2111" s="328" t="s">
        <v>1678</v>
      </c>
      <c r="C2111" s="328" t="s">
        <v>769</v>
      </c>
      <c r="D2111" s="330">
        <v>1</v>
      </c>
      <c r="E2111" s="331">
        <v>71.5</v>
      </c>
      <c r="F2111" s="331">
        <v>16576.43</v>
      </c>
      <c r="G2111" s="328" t="s">
        <v>1679</v>
      </c>
      <c r="H2111" s="328" t="s">
        <v>1756</v>
      </c>
      <c r="I2111" s="328" t="s">
        <v>110</v>
      </c>
      <c r="J2111" s="328" t="s">
        <v>757</v>
      </c>
      <c r="K2111" s="328" t="s">
        <v>770</v>
      </c>
      <c r="L2111" s="329">
        <v>44012</v>
      </c>
      <c r="M2111" s="332">
        <v>0</v>
      </c>
    </row>
    <row r="2112" spans="1:13" hidden="1" x14ac:dyDescent="0.25">
      <c r="A2112" s="329">
        <v>44012</v>
      </c>
      <c r="B2112" s="328" t="s">
        <v>1681</v>
      </c>
      <c r="C2112" s="328" t="s">
        <v>1059</v>
      </c>
      <c r="D2112" s="330">
        <v>1</v>
      </c>
      <c r="E2112" s="331">
        <v>-33</v>
      </c>
      <c r="F2112" s="331">
        <v>16543.43</v>
      </c>
      <c r="G2112" s="328" t="s">
        <v>1682</v>
      </c>
      <c r="H2112" s="328" t="s">
        <v>1756</v>
      </c>
      <c r="I2112" s="328" t="s">
        <v>110</v>
      </c>
      <c r="J2112" s="328" t="s">
        <v>757</v>
      </c>
      <c r="K2112" s="328" t="s">
        <v>741</v>
      </c>
      <c r="L2112" s="329">
        <v>44012</v>
      </c>
      <c r="M2112" s="332">
        <v>0</v>
      </c>
    </row>
    <row r="2113" spans="1:13" hidden="1" x14ac:dyDescent="0.25">
      <c r="A2113" s="329">
        <v>44041</v>
      </c>
      <c r="B2113" s="328" t="s">
        <v>1683</v>
      </c>
      <c r="C2113" s="328" t="s">
        <v>936</v>
      </c>
      <c r="D2113" s="330">
        <v>1</v>
      </c>
      <c r="E2113" s="331">
        <v>-38.5</v>
      </c>
      <c r="F2113" s="331">
        <v>16504.93</v>
      </c>
      <c r="G2113" s="328" t="s">
        <v>1684</v>
      </c>
      <c r="H2113" s="328" t="s">
        <v>1756</v>
      </c>
      <c r="I2113" s="328" t="s">
        <v>110</v>
      </c>
      <c r="J2113" s="328" t="s">
        <v>757</v>
      </c>
      <c r="K2113" s="328" t="s">
        <v>770</v>
      </c>
      <c r="L2113" s="329">
        <v>44041</v>
      </c>
      <c r="M2113" s="332">
        <v>0</v>
      </c>
    </row>
    <row r="2114" spans="1:13" hidden="1" x14ac:dyDescent="0.25">
      <c r="A2114" s="329">
        <v>44043</v>
      </c>
      <c r="B2114" s="328" t="s">
        <v>1689</v>
      </c>
      <c r="C2114" s="328" t="s">
        <v>1060</v>
      </c>
      <c r="D2114" s="330">
        <v>1</v>
      </c>
      <c r="E2114" s="331">
        <v>-38.5</v>
      </c>
      <c r="F2114" s="331">
        <v>16466.43</v>
      </c>
      <c r="G2114" s="328" t="s">
        <v>1690</v>
      </c>
      <c r="H2114" s="328" t="s">
        <v>1756</v>
      </c>
      <c r="I2114" s="328" t="s">
        <v>110</v>
      </c>
      <c r="J2114" s="328" t="s">
        <v>757</v>
      </c>
      <c r="K2114" s="328" t="s">
        <v>741</v>
      </c>
      <c r="L2114" s="329">
        <v>44043</v>
      </c>
      <c r="M2114" s="332">
        <v>0</v>
      </c>
    </row>
    <row r="2115" spans="1:13" hidden="1" x14ac:dyDescent="0.25">
      <c r="A2115" s="329">
        <v>44043</v>
      </c>
      <c r="B2115" s="328" t="s">
        <v>1689</v>
      </c>
      <c r="C2115" s="328" t="s">
        <v>1060</v>
      </c>
      <c r="D2115" s="330">
        <v>1</v>
      </c>
      <c r="E2115" s="331">
        <v>60.5</v>
      </c>
      <c r="F2115" s="331">
        <v>16526.93</v>
      </c>
      <c r="G2115" s="328" t="s">
        <v>1686</v>
      </c>
      <c r="H2115" s="328" t="s">
        <v>1756</v>
      </c>
      <c r="I2115" s="328" t="s">
        <v>110</v>
      </c>
      <c r="J2115" s="328" t="s">
        <v>757</v>
      </c>
      <c r="K2115" s="328" t="s">
        <v>741</v>
      </c>
      <c r="L2115" s="329">
        <v>44043</v>
      </c>
      <c r="M2115" s="332">
        <v>0</v>
      </c>
    </row>
    <row r="2116" spans="1:13" hidden="1" x14ac:dyDescent="0.25">
      <c r="A2116" s="329">
        <v>44043</v>
      </c>
      <c r="B2116" s="328" t="s">
        <v>1688</v>
      </c>
      <c r="C2116" s="328" t="s">
        <v>1060</v>
      </c>
      <c r="D2116" s="330">
        <v>1</v>
      </c>
      <c r="E2116" s="331">
        <v>-38.5</v>
      </c>
      <c r="F2116" s="331">
        <v>16488.43</v>
      </c>
      <c r="G2116" s="328" t="s">
        <v>1687</v>
      </c>
      <c r="H2116" s="328" t="s">
        <v>1756</v>
      </c>
      <c r="I2116" s="328" t="s">
        <v>110</v>
      </c>
      <c r="J2116" s="328" t="s">
        <v>757</v>
      </c>
      <c r="K2116" s="328" t="s">
        <v>741</v>
      </c>
      <c r="L2116" s="329">
        <v>44043</v>
      </c>
      <c r="M2116" s="332">
        <v>0</v>
      </c>
    </row>
    <row r="2117" spans="1:13" hidden="1" x14ac:dyDescent="0.25">
      <c r="A2117" s="329">
        <v>44043</v>
      </c>
      <c r="B2117" s="328" t="s">
        <v>1688</v>
      </c>
      <c r="C2117" s="328" t="s">
        <v>1060</v>
      </c>
      <c r="D2117" s="330">
        <v>1</v>
      </c>
      <c r="E2117" s="331">
        <v>-60.5</v>
      </c>
      <c r="F2117" s="331">
        <v>16427.93</v>
      </c>
      <c r="G2117" s="328" t="s">
        <v>1686</v>
      </c>
      <c r="H2117" s="328" t="s">
        <v>1756</v>
      </c>
      <c r="I2117" s="328" t="s">
        <v>110</v>
      </c>
      <c r="J2117" s="328" t="s">
        <v>757</v>
      </c>
      <c r="K2117" s="328" t="s">
        <v>741</v>
      </c>
      <c r="L2117" s="329">
        <v>44043</v>
      </c>
      <c r="M2117" s="332">
        <v>0</v>
      </c>
    </row>
    <row r="2118" spans="1:13" hidden="1" x14ac:dyDescent="0.25">
      <c r="A2118" s="329">
        <v>44043</v>
      </c>
      <c r="B2118" s="328" t="s">
        <v>1685</v>
      </c>
      <c r="C2118" s="328" t="s">
        <v>1060</v>
      </c>
      <c r="D2118" s="330">
        <v>1</v>
      </c>
      <c r="E2118" s="331">
        <v>38.5</v>
      </c>
      <c r="F2118" s="331">
        <v>16466.43</v>
      </c>
      <c r="G2118" s="328" t="s">
        <v>1687</v>
      </c>
      <c r="H2118" s="328" t="s">
        <v>1756</v>
      </c>
      <c r="I2118" s="328" t="s">
        <v>110</v>
      </c>
      <c r="J2118" s="328" t="s">
        <v>757</v>
      </c>
      <c r="K2118" s="328" t="s">
        <v>741</v>
      </c>
      <c r="L2118" s="329">
        <v>44043</v>
      </c>
      <c r="M2118" s="332">
        <v>0</v>
      </c>
    </row>
    <row r="2119" spans="1:13" hidden="1" x14ac:dyDescent="0.25">
      <c r="A2119" s="329">
        <v>44043</v>
      </c>
      <c r="B2119" s="328" t="s">
        <v>1685</v>
      </c>
      <c r="C2119" s="328" t="s">
        <v>1060</v>
      </c>
      <c r="D2119" s="330">
        <v>1</v>
      </c>
      <c r="E2119" s="331">
        <v>60.5</v>
      </c>
      <c r="F2119" s="331">
        <v>16526.93</v>
      </c>
      <c r="G2119" s="328" t="s">
        <v>1686</v>
      </c>
      <c r="H2119" s="328" t="s">
        <v>1756</v>
      </c>
      <c r="I2119" s="328" t="s">
        <v>110</v>
      </c>
      <c r="J2119" s="328" t="s">
        <v>757</v>
      </c>
      <c r="K2119" s="328" t="s">
        <v>741</v>
      </c>
      <c r="L2119" s="329">
        <v>44043</v>
      </c>
      <c r="M2119" s="332">
        <v>0</v>
      </c>
    </row>
    <row r="2120" spans="1:13" hidden="1" x14ac:dyDescent="0.25">
      <c r="A2120" s="329">
        <v>44043</v>
      </c>
      <c r="B2120" s="328" t="s">
        <v>1689</v>
      </c>
      <c r="C2120" s="328" t="s">
        <v>1060</v>
      </c>
      <c r="D2120" s="330">
        <v>2</v>
      </c>
      <c r="E2120" s="331">
        <v>38.5</v>
      </c>
      <c r="F2120" s="331">
        <v>16565.43</v>
      </c>
      <c r="G2120" s="328" t="s">
        <v>1690</v>
      </c>
      <c r="H2120" s="328" t="s">
        <v>1756</v>
      </c>
      <c r="I2120" s="328" t="s">
        <v>110</v>
      </c>
      <c r="J2120" s="328" t="s">
        <v>757</v>
      </c>
      <c r="K2120" s="328" t="s">
        <v>741</v>
      </c>
      <c r="L2120" s="329">
        <v>44043</v>
      </c>
      <c r="M2120" s="332">
        <v>0</v>
      </c>
    </row>
    <row r="2121" spans="1:13" hidden="1" x14ac:dyDescent="0.25">
      <c r="A2121" s="329">
        <v>44043</v>
      </c>
      <c r="B2121" s="328" t="s">
        <v>1689</v>
      </c>
      <c r="C2121" s="328" t="s">
        <v>1060</v>
      </c>
      <c r="D2121" s="330">
        <v>2</v>
      </c>
      <c r="E2121" s="331">
        <v>-60.5</v>
      </c>
      <c r="F2121" s="331">
        <v>16504.93</v>
      </c>
      <c r="G2121" s="328" t="s">
        <v>1686</v>
      </c>
      <c r="H2121" s="328" t="s">
        <v>1756</v>
      </c>
      <c r="I2121" s="328" t="s">
        <v>110</v>
      </c>
      <c r="J2121" s="328" t="s">
        <v>757</v>
      </c>
      <c r="K2121" s="328" t="s">
        <v>741</v>
      </c>
      <c r="L2121" s="329">
        <v>44043</v>
      </c>
      <c r="M2121" s="332">
        <v>0</v>
      </c>
    </row>
    <row r="2122" spans="1:13" hidden="1" x14ac:dyDescent="0.25">
      <c r="A2122" s="329">
        <v>44043</v>
      </c>
      <c r="B2122" s="328" t="s">
        <v>1688</v>
      </c>
      <c r="C2122" s="328" t="s">
        <v>1060</v>
      </c>
      <c r="D2122" s="330">
        <v>2</v>
      </c>
      <c r="E2122" s="331">
        <v>38.5</v>
      </c>
      <c r="F2122" s="331">
        <v>16543.43</v>
      </c>
      <c r="G2122" s="328" t="s">
        <v>1687</v>
      </c>
      <c r="H2122" s="328" t="s">
        <v>1756</v>
      </c>
      <c r="I2122" s="328" t="s">
        <v>110</v>
      </c>
      <c r="J2122" s="328" t="s">
        <v>757</v>
      </c>
      <c r="K2122" s="328" t="s">
        <v>741</v>
      </c>
      <c r="L2122" s="329">
        <v>44043</v>
      </c>
      <c r="M2122" s="332">
        <v>0</v>
      </c>
    </row>
    <row r="2123" spans="1:13" hidden="1" x14ac:dyDescent="0.25">
      <c r="A2123" s="329">
        <v>44043</v>
      </c>
      <c r="B2123" s="328" t="s">
        <v>1688</v>
      </c>
      <c r="C2123" s="328" t="s">
        <v>1060</v>
      </c>
      <c r="D2123" s="330">
        <v>2</v>
      </c>
      <c r="E2123" s="331">
        <v>60.5</v>
      </c>
      <c r="F2123" s="331">
        <v>16603.93</v>
      </c>
      <c r="G2123" s="328" t="s">
        <v>1686</v>
      </c>
      <c r="H2123" s="328" t="s">
        <v>1756</v>
      </c>
      <c r="I2123" s="328" t="s">
        <v>110</v>
      </c>
      <c r="J2123" s="328" t="s">
        <v>757</v>
      </c>
      <c r="K2123" s="328" t="s">
        <v>741</v>
      </c>
      <c r="L2123" s="329">
        <v>44043</v>
      </c>
      <c r="M2123" s="332">
        <v>0</v>
      </c>
    </row>
    <row r="2124" spans="1:13" hidden="1" x14ac:dyDescent="0.25">
      <c r="A2124" s="329">
        <v>44043</v>
      </c>
      <c r="B2124" s="328" t="s">
        <v>1685</v>
      </c>
      <c r="C2124" s="328" t="s">
        <v>1060</v>
      </c>
      <c r="D2124" s="330">
        <v>2</v>
      </c>
      <c r="E2124" s="331">
        <v>-38.5</v>
      </c>
      <c r="F2124" s="331">
        <v>16565.43</v>
      </c>
      <c r="G2124" s="328" t="s">
        <v>1687</v>
      </c>
      <c r="H2124" s="328" t="s">
        <v>1756</v>
      </c>
      <c r="I2124" s="328" t="s">
        <v>110</v>
      </c>
      <c r="J2124" s="328" t="s">
        <v>757</v>
      </c>
      <c r="K2124" s="328" t="s">
        <v>741</v>
      </c>
      <c r="L2124" s="329">
        <v>44043</v>
      </c>
      <c r="M2124" s="332">
        <v>0</v>
      </c>
    </row>
    <row r="2125" spans="1:13" hidden="1" x14ac:dyDescent="0.25">
      <c r="A2125" s="329">
        <v>44043</v>
      </c>
      <c r="B2125" s="328" t="s">
        <v>1685</v>
      </c>
      <c r="C2125" s="328" t="s">
        <v>1060</v>
      </c>
      <c r="D2125" s="330">
        <v>2</v>
      </c>
      <c r="E2125" s="331">
        <v>-60.5</v>
      </c>
      <c r="F2125" s="331">
        <v>16504.93</v>
      </c>
      <c r="G2125" s="328" t="s">
        <v>1686</v>
      </c>
      <c r="H2125" s="328" t="s">
        <v>1756</v>
      </c>
      <c r="I2125" s="328" t="s">
        <v>110</v>
      </c>
      <c r="J2125" s="328" t="s">
        <v>757</v>
      </c>
      <c r="K2125" s="328" t="s">
        <v>741</v>
      </c>
      <c r="L2125" s="329">
        <v>44043</v>
      </c>
      <c r="M2125" s="332">
        <v>0</v>
      </c>
    </row>
    <row r="2126" spans="1:13" hidden="1" x14ac:dyDescent="0.25">
      <c r="A2126" s="329">
        <v>44043</v>
      </c>
      <c r="B2126" s="328" t="s">
        <v>1693</v>
      </c>
      <c r="C2126" s="328" t="s">
        <v>936</v>
      </c>
      <c r="D2126" s="330">
        <v>2</v>
      </c>
      <c r="E2126" s="331">
        <v>-38.5</v>
      </c>
      <c r="F2126" s="331">
        <v>16466.43</v>
      </c>
      <c r="G2126" s="328" t="s">
        <v>1694</v>
      </c>
      <c r="H2126" s="328" t="s">
        <v>1756</v>
      </c>
      <c r="I2126" s="328" t="s">
        <v>110</v>
      </c>
      <c r="J2126" s="328" t="s">
        <v>757</v>
      </c>
      <c r="K2126" s="328" t="s">
        <v>770</v>
      </c>
      <c r="L2126" s="329">
        <v>44043</v>
      </c>
      <c r="M2126" s="332">
        <v>0</v>
      </c>
    </row>
    <row r="2127" spans="1:13" hidden="1" x14ac:dyDescent="0.25">
      <c r="A2127" s="329">
        <v>44043</v>
      </c>
      <c r="B2127" s="328" t="s">
        <v>1691</v>
      </c>
      <c r="C2127" s="328" t="s">
        <v>769</v>
      </c>
      <c r="D2127" s="330">
        <v>2</v>
      </c>
      <c r="E2127" s="331">
        <v>60.5</v>
      </c>
      <c r="F2127" s="331">
        <v>16526.93</v>
      </c>
      <c r="G2127" s="328" t="s">
        <v>1692</v>
      </c>
      <c r="H2127" s="328" t="s">
        <v>1756</v>
      </c>
      <c r="I2127" s="328" t="s">
        <v>110</v>
      </c>
      <c r="J2127" s="328" t="s">
        <v>757</v>
      </c>
      <c r="K2127" s="328" t="s">
        <v>770</v>
      </c>
      <c r="L2127" s="329">
        <v>44043</v>
      </c>
      <c r="M2127" s="332">
        <v>0</v>
      </c>
    </row>
    <row r="2128" spans="1:13" hidden="1" x14ac:dyDescent="0.25">
      <c r="A2128" s="329">
        <v>44074</v>
      </c>
      <c r="B2128" s="328" t="s">
        <v>1695</v>
      </c>
      <c r="C2128" s="328" t="s">
        <v>1060</v>
      </c>
      <c r="D2128" s="330">
        <v>2</v>
      </c>
      <c r="E2128" s="331">
        <v>33</v>
      </c>
      <c r="F2128" s="331">
        <v>16559.93</v>
      </c>
      <c r="G2128" s="328" t="s">
        <v>1696</v>
      </c>
      <c r="H2128" s="328" t="s">
        <v>1756</v>
      </c>
      <c r="I2128" s="328" t="s">
        <v>110</v>
      </c>
      <c r="J2128" s="328" t="s">
        <v>757</v>
      </c>
      <c r="K2128" s="328" t="s">
        <v>741</v>
      </c>
      <c r="L2128" s="329">
        <v>44074</v>
      </c>
      <c r="M2128" s="332">
        <v>0</v>
      </c>
    </row>
    <row r="2129" spans="1:13" hidden="1" x14ac:dyDescent="0.25">
      <c r="A2129" s="329">
        <v>44074</v>
      </c>
      <c r="B2129" s="328" t="s">
        <v>1695</v>
      </c>
      <c r="C2129" s="328" t="s">
        <v>1060</v>
      </c>
      <c r="D2129" s="330">
        <v>3</v>
      </c>
      <c r="E2129" s="331">
        <v>-33</v>
      </c>
      <c r="F2129" s="331">
        <v>16526.93</v>
      </c>
      <c r="G2129" s="328" t="s">
        <v>1696</v>
      </c>
      <c r="H2129" s="328" t="s">
        <v>1756</v>
      </c>
      <c r="I2129" s="328" t="s">
        <v>110</v>
      </c>
      <c r="J2129" s="328" t="s">
        <v>757</v>
      </c>
      <c r="K2129" s="328" t="s">
        <v>741</v>
      </c>
      <c r="L2129" s="329">
        <v>44074</v>
      </c>
      <c r="M2129" s="332">
        <v>0</v>
      </c>
    </row>
    <row r="2130" spans="1:13" hidden="1" x14ac:dyDescent="0.25">
      <c r="A2130" s="329">
        <v>44074</v>
      </c>
      <c r="B2130" s="328" t="s">
        <v>1697</v>
      </c>
      <c r="C2130" s="328" t="s">
        <v>769</v>
      </c>
      <c r="D2130" s="330">
        <v>3</v>
      </c>
      <c r="E2130" s="331">
        <v>33</v>
      </c>
      <c r="F2130" s="331">
        <v>16559.93</v>
      </c>
      <c r="G2130" s="328" t="s">
        <v>1698</v>
      </c>
      <c r="H2130" s="328" t="s">
        <v>1756</v>
      </c>
      <c r="I2130" s="328" t="s">
        <v>110</v>
      </c>
      <c r="J2130" s="328" t="s">
        <v>757</v>
      </c>
      <c r="K2130" s="328" t="s">
        <v>770</v>
      </c>
      <c r="L2130" s="329">
        <v>44074</v>
      </c>
      <c r="M2130" s="332">
        <v>0</v>
      </c>
    </row>
    <row r="2131" spans="1:13" hidden="1" x14ac:dyDescent="0.25">
      <c r="A2131" s="329">
        <v>44104</v>
      </c>
      <c r="B2131" s="328" t="s">
        <v>1699</v>
      </c>
      <c r="C2131" s="328" t="s">
        <v>1060</v>
      </c>
      <c r="D2131" s="330">
        <v>3</v>
      </c>
      <c r="E2131" s="331">
        <v>49.5</v>
      </c>
      <c r="F2131" s="331">
        <v>16609.43</v>
      </c>
      <c r="G2131" s="328" t="s">
        <v>1700</v>
      </c>
      <c r="H2131" s="328" t="s">
        <v>1756</v>
      </c>
      <c r="I2131" s="328" t="s">
        <v>110</v>
      </c>
      <c r="J2131" s="328" t="s">
        <v>757</v>
      </c>
      <c r="K2131" s="328" t="s">
        <v>741</v>
      </c>
      <c r="L2131" s="329">
        <v>44104</v>
      </c>
      <c r="M2131" s="332">
        <v>0</v>
      </c>
    </row>
    <row r="2132" spans="1:13" hidden="1" x14ac:dyDescent="0.25">
      <c r="A2132" s="329">
        <v>44104</v>
      </c>
      <c r="B2132" s="328" t="s">
        <v>1699</v>
      </c>
      <c r="C2132" s="328" t="s">
        <v>1060</v>
      </c>
      <c r="D2132" s="330">
        <v>4</v>
      </c>
      <c r="E2132" s="331">
        <v>-49.5</v>
      </c>
      <c r="F2132" s="331">
        <v>16559.93</v>
      </c>
      <c r="G2132" s="328" t="s">
        <v>1700</v>
      </c>
      <c r="H2132" s="328" t="s">
        <v>1756</v>
      </c>
      <c r="I2132" s="328" t="s">
        <v>110</v>
      </c>
      <c r="J2132" s="328" t="s">
        <v>757</v>
      </c>
      <c r="K2132" s="328" t="s">
        <v>741</v>
      </c>
      <c r="L2132" s="329">
        <v>44104</v>
      </c>
      <c r="M2132" s="332">
        <v>0</v>
      </c>
    </row>
    <row r="2133" spans="1:13" hidden="1" x14ac:dyDescent="0.25">
      <c r="A2133" s="329">
        <v>44105</v>
      </c>
      <c r="B2133" s="328" t="s">
        <v>1701</v>
      </c>
      <c r="C2133" s="328" t="s">
        <v>769</v>
      </c>
      <c r="D2133" s="330">
        <v>4</v>
      </c>
      <c r="E2133" s="331">
        <v>49.5</v>
      </c>
      <c r="F2133" s="331">
        <v>16609.43</v>
      </c>
      <c r="G2133" s="328" t="s">
        <v>1702</v>
      </c>
      <c r="H2133" s="328" t="s">
        <v>1756</v>
      </c>
      <c r="I2133" s="328" t="s">
        <v>110</v>
      </c>
      <c r="J2133" s="328" t="s">
        <v>757</v>
      </c>
      <c r="K2133" s="328" t="s">
        <v>770</v>
      </c>
      <c r="L2133" s="329">
        <v>44105</v>
      </c>
      <c r="M2133" s="332">
        <v>0</v>
      </c>
    </row>
    <row r="2134" spans="1:13" hidden="1" x14ac:dyDescent="0.25">
      <c r="A2134" s="329">
        <v>44135</v>
      </c>
      <c r="B2134" s="328" t="s">
        <v>1703</v>
      </c>
      <c r="C2134" s="328" t="s">
        <v>1060</v>
      </c>
      <c r="D2134" s="330">
        <v>4</v>
      </c>
      <c r="E2134" s="331">
        <v>44</v>
      </c>
      <c r="F2134" s="331">
        <v>16653.43</v>
      </c>
      <c r="G2134" s="328" t="s">
        <v>1704</v>
      </c>
      <c r="H2134" s="328" t="s">
        <v>1756</v>
      </c>
      <c r="I2134" s="328" t="s">
        <v>110</v>
      </c>
      <c r="J2134" s="328" t="s">
        <v>757</v>
      </c>
      <c r="K2134" s="328" t="s">
        <v>741</v>
      </c>
      <c r="L2134" s="329">
        <v>44135</v>
      </c>
      <c r="M2134" s="332">
        <v>0</v>
      </c>
    </row>
    <row r="2135" spans="1:13" hidden="1" x14ac:dyDescent="0.25">
      <c r="A2135" s="329">
        <v>44135</v>
      </c>
      <c r="B2135" s="328" t="s">
        <v>1705</v>
      </c>
      <c r="C2135" s="328" t="s">
        <v>769</v>
      </c>
      <c r="D2135" s="330">
        <v>5</v>
      </c>
      <c r="E2135" s="331">
        <v>44</v>
      </c>
      <c r="F2135" s="331">
        <v>16697.43</v>
      </c>
      <c r="G2135" s="328" t="s">
        <v>1706</v>
      </c>
      <c r="H2135" s="328" t="s">
        <v>1756</v>
      </c>
      <c r="I2135" s="328" t="s">
        <v>110</v>
      </c>
      <c r="J2135" s="328" t="s">
        <v>757</v>
      </c>
      <c r="K2135" s="328" t="s">
        <v>770</v>
      </c>
      <c r="L2135" s="329">
        <v>44135</v>
      </c>
      <c r="M2135" s="332">
        <v>0</v>
      </c>
    </row>
    <row r="2136" spans="1:13" hidden="1" x14ac:dyDescent="0.25">
      <c r="A2136" s="329">
        <v>44135</v>
      </c>
      <c r="B2136" s="328" t="s">
        <v>1703</v>
      </c>
      <c r="C2136" s="328" t="s">
        <v>1060</v>
      </c>
      <c r="D2136" s="330">
        <v>5</v>
      </c>
      <c r="E2136" s="331">
        <v>-44</v>
      </c>
      <c r="F2136" s="331">
        <v>16653.43</v>
      </c>
      <c r="G2136" s="328" t="s">
        <v>1704</v>
      </c>
      <c r="H2136" s="328" t="s">
        <v>1756</v>
      </c>
      <c r="I2136" s="328" t="s">
        <v>110</v>
      </c>
      <c r="J2136" s="328" t="s">
        <v>757</v>
      </c>
      <c r="K2136" s="328" t="s">
        <v>741</v>
      </c>
      <c r="L2136" s="329">
        <v>44135</v>
      </c>
      <c r="M2136" s="332">
        <v>0</v>
      </c>
    </row>
    <row r="2137" spans="1:13" hidden="1" x14ac:dyDescent="0.25">
      <c r="A2137" s="329">
        <v>44165</v>
      </c>
      <c r="B2137" s="328" t="s">
        <v>1707</v>
      </c>
      <c r="C2137" s="328" t="s">
        <v>1060</v>
      </c>
      <c r="D2137" s="330">
        <v>5</v>
      </c>
      <c r="E2137" s="331">
        <v>44</v>
      </c>
      <c r="F2137" s="331">
        <v>16697.43</v>
      </c>
      <c r="G2137" s="328" t="s">
        <v>1708</v>
      </c>
      <c r="H2137" s="328" t="s">
        <v>1756</v>
      </c>
      <c r="I2137" s="328" t="s">
        <v>110</v>
      </c>
      <c r="J2137" s="328" t="s">
        <v>757</v>
      </c>
      <c r="K2137" s="328" t="s">
        <v>741</v>
      </c>
      <c r="L2137" s="329">
        <v>44165</v>
      </c>
      <c r="M2137" s="332">
        <v>0</v>
      </c>
    </row>
    <row r="2138" spans="1:13" hidden="1" x14ac:dyDescent="0.25">
      <c r="A2138" s="329">
        <v>44165</v>
      </c>
      <c r="B2138" s="328" t="s">
        <v>1709</v>
      </c>
      <c r="C2138" s="328" t="s">
        <v>769</v>
      </c>
      <c r="D2138" s="330">
        <v>6</v>
      </c>
      <c r="E2138" s="331">
        <v>44</v>
      </c>
      <c r="F2138" s="331">
        <v>16741.43</v>
      </c>
      <c r="G2138" s="328" t="s">
        <v>1710</v>
      </c>
      <c r="H2138" s="328" t="s">
        <v>1756</v>
      </c>
      <c r="I2138" s="328" t="s">
        <v>110</v>
      </c>
      <c r="J2138" s="328" t="s">
        <v>757</v>
      </c>
      <c r="K2138" s="328" t="s">
        <v>770</v>
      </c>
      <c r="L2138" s="329">
        <v>44165</v>
      </c>
      <c r="M2138" s="332">
        <v>0</v>
      </c>
    </row>
    <row r="2139" spans="1:13" hidden="1" x14ac:dyDescent="0.25">
      <c r="A2139" s="329">
        <v>44165</v>
      </c>
      <c r="B2139" s="328" t="s">
        <v>1707</v>
      </c>
      <c r="C2139" s="328" t="s">
        <v>1060</v>
      </c>
      <c r="D2139" s="330">
        <v>6</v>
      </c>
      <c r="E2139" s="331">
        <v>-44</v>
      </c>
      <c r="F2139" s="331">
        <v>16697.43</v>
      </c>
      <c r="G2139" s="328" t="s">
        <v>1708</v>
      </c>
      <c r="H2139" s="328" t="s">
        <v>1756</v>
      </c>
      <c r="I2139" s="328" t="s">
        <v>110</v>
      </c>
      <c r="J2139" s="328" t="s">
        <v>757</v>
      </c>
      <c r="K2139" s="328" t="s">
        <v>741</v>
      </c>
      <c r="L2139" s="329">
        <v>44165</v>
      </c>
      <c r="M2139" s="332">
        <v>0</v>
      </c>
    </row>
    <row r="2140" spans="1:13" hidden="1" x14ac:dyDescent="0.25">
      <c r="A2140" s="329">
        <v>44196</v>
      </c>
      <c r="B2140" s="328" t="s">
        <v>1711</v>
      </c>
      <c r="C2140" s="328" t="s">
        <v>1060</v>
      </c>
      <c r="D2140" s="330">
        <v>6</v>
      </c>
      <c r="E2140" s="331">
        <v>66</v>
      </c>
      <c r="F2140" s="331">
        <v>16763.43</v>
      </c>
      <c r="G2140" s="328" t="s">
        <v>1712</v>
      </c>
      <c r="H2140" s="328" t="s">
        <v>1756</v>
      </c>
      <c r="I2140" s="328" t="s">
        <v>110</v>
      </c>
      <c r="J2140" s="328" t="s">
        <v>757</v>
      </c>
      <c r="K2140" s="328" t="s">
        <v>741</v>
      </c>
      <c r="L2140" s="329">
        <v>44196</v>
      </c>
      <c r="M2140" s="332">
        <v>0</v>
      </c>
    </row>
    <row r="2141" spans="1:13" hidden="1" x14ac:dyDescent="0.25">
      <c r="A2141" s="329">
        <v>44196</v>
      </c>
      <c r="B2141" s="328" t="s">
        <v>1713</v>
      </c>
      <c r="C2141" s="328" t="s">
        <v>769</v>
      </c>
      <c r="D2141" s="330">
        <v>7</v>
      </c>
      <c r="E2141" s="331">
        <v>66</v>
      </c>
      <c r="F2141" s="331">
        <v>16829.43</v>
      </c>
      <c r="G2141" s="328" t="s">
        <v>1714</v>
      </c>
      <c r="H2141" s="328" t="s">
        <v>1756</v>
      </c>
      <c r="I2141" s="328" t="s">
        <v>110</v>
      </c>
      <c r="J2141" s="328" t="s">
        <v>757</v>
      </c>
      <c r="K2141" s="328" t="s">
        <v>770</v>
      </c>
      <c r="L2141" s="329">
        <v>44196</v>
      </c>
      <c r="M2141" s="332">
        <v>0</v>
      </c>
    </row>
    <row r="2142" spans="1:13" hidden="1" x14ac:dyDescent="0.25">
      <c r="A2142" s="329">
        <v>44196</v>
      </c>
      <c r="B2142" s="328" t="s">
        <v>1711</v>
      </c>
      <c r="C2142" s="328" t="s">
        <v>1060</v>
      </c>
      <c r="D2142" s="330">
        <v>7</v>
      </c>
      <c r="E2142" s="331">
        <v>-66</v>
      </c>
      <c r="F2142" s="331">
        <v>16763.43</v>
      </c>
      <c r="G2142" s="328" t="s">
        <v>1712</v>
      </c>
      <c r="H2142" s="328" t="s">
        <v>1756</v>
      </c>
      <c r="I2142" s="328" t="s">
        <v>110</v>
      </c>
      <c r="J2142" s="328" t="s">
        <v>757</v>
      </c>
      <c r="K2142" s="328" t="s">
        <v>741</v>
      </c>
      <c r="L2142" s="329">
        <v>44196</v>
      </c>
      <c r="M2142" s="332">
        <v>0</v>
      </c>
    </row>
    <row r="2143" spans="1:13" hidden="1" x14ac:dyDescent="0.25">
      <c r="A2143" s="329">
        <v>44227</v>
      </c>
      <c r="B2143" s="328" t="s">
        <v>1715</v>
      </c>
      <c r="C2143" s="328" t="s">
        <v>1060</v>
      </c>
      <c r="D2143" s="330">
        <v>7</v>
      </c>
      <c r="E2143" s="331">
        <v>66</v>
      </c>
      <c r="F2143" s="331">
        <v>16829.43</v>
      </c>
      <c r="G2143" s="328" t="s">
        <v>1716</v>
      </c>
      <c r="H2143" s="328" t="s">
        <v>1756</v>
      </c>
      <c r="I2143" s="328" t="s">
        <v>110</v>
      </c>
      <c r="J2143" s="328" t="s">
        <v>757</v>
      </c>
      <c r="K2143" s="328" t="s">
        <v>741</v>
      </c>
      <c r="L2143" s="329">
        <v>44227</v>
      </c>
      <c r="M2143" s="332">
        <v>0</v>
      </c>
    </row>
    <row r="2144" spans="1:13" hidden="1" x14ac:dyDescent="0.25">
      <c r="A2144" s="329">
        <v>44227</v>
      </c>
      <c r="B2144" s="328" t="s">
        <v>1715</v>
      </c>
      <c r="C2144" s="328" t="s">
        <v>1060</v>
      </c>
      <c r="D2144" s="330">
        <v>8</v>
      </c>
      <c r="E2144" s="331">
        <v>-66</v>
      </c>
      <c r="F2144" s="331">
        <v>16763.43</v>
      </c>
      <c r="G2144" s="328" t="s">
        <v>1716</v>
      </c>
      <c r="H2144" s="328" t="s">
        <v>1756</v>
      </c>
      <c r="I2144" s="328" t="s">
        <v>110</v>
      </c>
      <c r="J2144" s="328" t="s">
        <v>757</v>
      </c>
      <c r="K2144" s="328" t="s">
        <v>741</v>
      </c>
      <c r="L2144" s="329">
        <v>44227</v>
      </c>
      <c r="M2144" s="332">
        <v>0</v>
      </c>
    </row>
    <row r="2145" spans="1:13" hidden="1" x14ac:dyDescent="0.25">
      <c r="A2145" s="329">
        <v>44227</v>
      </c>
      <c r="B2145" s="328" t="s">
        <v>1717</v>
      </c>
      <c r="C2145" s="328" t="s">
        <v>769</v>
      </c>
      <c r="D2145" s="330">
        <v>8</v>
      </c>
      <c r="E2145" s="331">
        <v>66</v>
      </c>
      <c r="F2145" s="331">
        <v>16829.43</v>
      </c>
      <c r="G2145" s="328" t="s">
        <v>1718</v>
      </c>
      <c r="H2145" s="328" t="s">
        <v>1756</v>
      </c>
      <c r="I2145" s="328" t="s">
        <v>110</v>
      </c>
      <c r="J2145" s="328" t="s">
        <v>757</v>
      </c>
      <c r="K2145" s="328" t="s">
        <v>770</v>
      </c>
      <c r="L2145" s="329">
        <v>44227</v>
      </c>
      <c r="M2145" s="332">
        <v>0</v>
      </c>
    </row>
    <row r="2146" spans="1:13" hidden="1" x14ac:dyDescent="0.25">
      <c r="A2146" s="329">
        <v>44255</v>
      </c>
      <c r="B2146" s="328" t="s">
        <v>1720</v>
      </c>
      <c r="C2146" s="328" t="s">
        <v>1060</v>
      </c>
      <c r="D2146" s="330">
        <v>8</v>
      </c>
      <c r="E2146" s="331">
        <v>66</v>
      </c>
      <c r="F2146" s="331">
        <v>16895.43</v>
      </c>
      <c r="G2146" s="328" t="s">
        <v>1721</v>
      </c>
      <c r="H2146" s="328" t="s">
        <v>1756</v>
      </c>
      <c r="I2146" s="328" t="s">
        <v>110</v>
      </c>
      <c r="J2146" s="328" t="s">
        <v>757</v>
      </c>
      <c r="K2146" s="328" t="s">
        <v>741</v>
      </c>
      <c r="L2146" s="329">
        <v>44255</v>
      </c>
      <c r="M2146" s="332">
        <v>0</v>
      </c>
    </row>
    <row r="2147" spans="1:13" hidden="1" x14ac:dyDescent="0.25">
      <c r="A2147" s="329">
        <v>44255</v>
      </c>
      <c r="B2147" s="328" t="s">
        <v>1720</v>
      </c>
      <c r="C2147" s="328" t="s">
        <v>1060</v>
      </c>
      <c r="D2147" s="330">
        <v>9</v>
      </c>
      <c r="E2147" s="331">
        <v>-66</v>
      </c>
      <c r="F2147" s="331">
        <v>16829.43</v>
      </c>
      <c r="G2147" s="328" t="s">
        <v>1721</v>
      </c>
      <c r="H2147" s="328" t="s">
        <v>1756</v>
      </c>
      <c r="I2147" s="328" t="s">
        <v>110</v>
      </c>
      <c r="J2147" s="328" t="s">
        <v>757</v>
      </c>
      <c r="K2147" s="328" t="s">
        <v>741</v>
      </c>
      <c r="L2147" s="329">
        <v>44255</v>
      </c>
      <c r="M2147" s="332">
        <v>0</v>
      </c>
    </row>
    <row r="2148" spans="1:13" hidden="1" x14ac:dyDescent="0.25">
      <c r="A2148" s="329">
        <v>44255</v>
      </c>
      <c r="B2148" s="328" t="s">
        <v>1722</v>
      </c>
      <c r="C2148" s="328" t="s">
        <v>769</v>
      </c>
      <c r="D2148" s="330">
        <v>9</v>
      </c>
      <c r="E2148" s="331">
        <v>71.5</v>
      </c>
      <c r="F2148" s="331">
        <v>16900.93</v>
      </c>
      <c r="G2148" s="328" t="s">
        <v>1723</v>
      </c>
      <c r="H2148" s="328" t="s">
        <v>1756</v>
      </c>
      <c r="I2148" s="328" t="s">
        <v>110</v>
      </c>
      <c r="J2148" s="328" t="s">
        <v>757</v>
      </c>
      <c r="K2148" s="328" t="s">
        <v>770</v>
      </c>
      <c r="L2148" s="329">
        <v>44255</v>
      </c>
      <c r="M2148" s="332">
        <v>0</v>
      </c>
    </row>
    <row r="2149" spans="1:13" hidden="1" x14ac:dyDescent="0.25">
      <c r="A2149" s="329">
        <v>44286</v>
      </c>
      <c r="B2149" s="328" t="s">
        <v>1724</v>
      </c>
      <c r="C2149" s="328" t="s">
        <v>1060</v>
      </c>
      <c r="D2149" s="330">
        <v>9</v>
      </c>
      <c r="E2149" s="331">
        <v>93.5</v>
      </c>
      <c r="F2149" s="331">
        <v>16994.43</v>
      </c>
      <c r="G2149" s="328" t="s">
        <v>1725</v>
      </c>
      <c r="H2149" s="328" t="s">
        <v>1756</v>
      </c>
      <c r="I2149" s="328" t="s">
        <v>110</v>
      </c>
      <c r="J2149" s="328" t="s">
        <v>757</v>
      </c>
      <c r="K2149" s="328" t="s">
        <v>741</v>
      </c>
      <c r="L2149" s="329">
        <v>44286</v>
      </c>
      <c r="M2149" s="332">
        <v>0</v>
      </c>
    </row>
    <row r="2150" spans="1:13" hidden="1" x14ac:dyDescent="0.25">
      <c r="A2150" s="329">
        <v>44286</v>
      </c>
      <c r="B2150" s="328" t="s">
        <v>1726</v>
      </c>
      <c r="C2150" s="328" t="s">
        <v>769</v>
      </c>
      <c r="D2150" s="330">
        <v>10</v>
      </c>
      <c r="E2150" s="331">
        <v>93.5</v>
      </c>
      <c r="F2150" s="331">
        <v>17087.93</v>
      </c>
      <c r="G2150" s="328" t="s">
        <v>1727</v>
      </c>
      <c r="H2150" s="328" t="s">
        <v>1756</v>
      </c>
      <c r="I2150" s="328" t="s">
        <v>110</v>
      </c>
      <c r="J2150" s="328" t="s">
        <v>757</v>
      </c>
      <c r="K2150" s="328" t="s">
        <v>770</v>
      </c>
      <c r="L2150" s="329">
        <v>44286</v>
      </c>
      <c r="M2150" s="332">
        <v>0</v>
      </c>
    </row>
    <row r="2151" spans="1:13" hidden="1" x14ac:dyDescent="0.25">
      <c r="A2151" s="329">
        <v>44286</v>
      </c>
      <c r="B2151" s="328" t="s">
        <v>1724</v>
      </c>
      <c r="C2151" s="328" t="s">
        <v>1060</v>
      </c>
      <c r="D2151" s="330">
        <v>10</v>
      </c>
      <c r="E2151" s="331">
        <v>-93.5</v>
      </c>
      <c r="F2151" s="331">
        <v>16994.43</v>
      </c>
      <c r="G2151" s="328" t="s">
        <v>1725</v>
      </c>
      <c r="H2151" s="328" t="s">
        <v>1756</v>
      </c>
      <c r="I2151" s="328" t="s">
        <v>110</v>
      </c>
      <c r="J2151" s="328" t="s">
        <v>757</v>
      </c>
      <c r="K2151" s="328" t="s">
        <v>741</v>
      </c>
      <c r="L2151" s="329">
        <v>44286</v>
      </c>
      <c r="M2151" s="332">
        <v>0</v>
      </c>
    </row>
    <row r="2152" spans="1:13" hidden="1" x14ac:dyDescent="0.25">
      <c r="A2152" s="329">
        <v>44316</v>
      </c>
      <c r="B2152" s="328" t="s">
        <v>1728</v>
      </c>
      <c r="C2152" s="328" t="s">
        <v>1060</v>
      </c>
      <c r="D2152" s="330">
        <v>10</v>
      </c>
      <c r="E2152" s="331">
        <v>55</v>
      </c>
      <c r="F2152" s="331">
        <v>17049.43</v>
      </c>
      <c r="G2152" s="328" t="s">
        <v>1729</v>
      </c>
      <c r="H2152" s="328" t="s">
        <v>1756</v>
      </c>
      <c r="I2152" s="328" t="s">
        <v>110</v>
      </c>
      <c r="J2152" s="328" t="s">
        <v>757</v>
      </c>
      <c r="K2152" s="328" t="s">
        <v>741</v>
      </c>
      <c r="L2152" s="329">
        <v>44316</v>
      </c>
      <c r="M2152" s="332">
        <v>0</v>
      </c>
    </row>
    <row r="2153" spans="1:13" hidden="1" x14ac:dyDescent="0.25">
      <c r="A2153" s="329">
        <v>44012</v>
      </c>
      <c r="B2153" s="328" t="s">
        <v>1678</v>
      </c>
      <c r="C2153" s="328" t="s">
        <v>769</v>
      </c>
      <c r="D2153" s="330">
        <v>1</v>
      </c>
      <c r="E2153" s="331">
        <v>22</v>
      </c>
      <c r="F2153" s="331">
        <v>17145.13</v>
      </c>
      <c r="G2153" s="328" t="s">
        <v>1679</v>
      </c>
      <c r="H2153" s="328" t="s">
        <v>1757</v>
      </c>
      <c r="I2153" s="328" t="s">
        <v>110</v>
      </c>
      <c r="J2153" s="328" t="s">
        <v>757</v>
      </c>
      <c r="K2153" s="328" t="s">
        <v>770</v>
      </c>
      <c r="L2153" s="329">
        <v>44012</v>
      </c>
      <c r="M2153" s="332">
        <v>0</v>
      </c>
    </row>
    <row r="2154" spans="1:13" hidden="1" x14ac:dyDescent="0.25">
      <c r="A2154" s="329">
        <v>44012</v>
      </c>
      <c r="B2154" s="328" t="s">
        <v>1681</v>
      </c>
      <c r="C2154" s="328" t="s">
        <v>1059</v>
      </c>
      <c r="D2154" s="330">
        <v>1</v>
      </c>
      <c r="E2154" s="331">
        <v>-22</v>
      </c>
      <c r="F2154" s="331">
        <v>17123.13</v>
      </c>
      <c r="G2154" s="328" t="s">
        <v>1682</v>
      </c>
      <c r="H2154" s="328" t="s">
        <v>1757</v>
      </c>
      <c r="I2154" s="328" t="s">
        <v>110</v>
      </c>
      <c r="J2154" s="328" t="s">
        <v>757</v>
      </c>
      <c r="K2154" s="328" t="s">
        <v>741</v>
      </c>
      <c r="L2154" s="329">
        <v>44012</v>
      </c>
      <c r="M2154" s="332">
        <v>0</v>
      </c>
    </row>
    <row r="2155" spans="1:13" hidden="1" x14ac:dyDescent="0.25">
      <c r="A2155" s="329">
        <v>44043</v>
      </c>
      <c r="B2155" s="328" t="s">
        <v>1685</v>
      </c>
      <c r="C2155" s="328" t="s">
        <v>1060</v>
      </c>
      <c r="D2155" s="330">
        <v>1</v>
      </c>
      <c r="E2155" s="331">
        <v>11</v>
      </c>
      <c r="F2155" s="331">
        <v>17134.13</v>
      </c>
      <c r="G2155" s="328" t="s">
        <v>1686</v>
      </c>
      <c r="H2155" s="328" t="s">
        <v>1757</v>
      </c>
      <c r="I2155" s="328" t="s">
        <v>110</v>
      </c>
      <c r="J2155" s="328" t="s">
        <v>757</v>
      </c>
      <c r="K2155" s="328" t="s">
        <v>741</v>
      </c>
      <c r="L2155" s="329">
        <v>44043</v>
      </c>
      <c r="M2155" s="332">
        <v>0</v>
      </c>
    </row>
    <row r="2156" spans="1:13" hidden="1" x14ac:dyDescent="0.25">
      <c r="A2156" s="329">
        <v>44043</v>
      </c>
      <c r="B2156" s="328" t="s">
        <v>1688</v>
      </c>
      <c r="C2156" s="328" t="s">
        <v>1060</v>
      </c>
      <c r="D2156" s="330">
        <v>1</v>
      </c>
      <c r="E2156" s="331">
        <v>-11</v>
      </c>
      <c r="F2156" s="331">
        <v>17123.13</v>
      </c>
      <c r="G2156" s="328" t="s">
        <v>1686</v>
      </c>
      <c r="H2156" s="328" t="s">
        <v>1757</v>
      </c>
      <c r="I2156" s="328" t="s">
        <v>110</v>
      </c>
      <c r="J2156" s="328" t="s">
        <v>757</v>
      </c>
      <c r="K2156" s="328" t="s">
        <v>741</v>
      </c>
      <c r="L2156" s="329">
        <v>44043</v>
      </c>
      <c r="M2156" s="332">
        <v>0</v>
      </c>
    </row>
    <row r="2157" spans="1:13" hidden="1" x14ac:dyDescent="0.25">
      <c r="A2157" s="329">
        <v>44043</v>
      </c>
      <c r="B2157" s="328" t="s">
        <v>1689</v>
      </c>
      <c r="C2157" s="328" t="s">
        <v>1060</v>
      </c>
      <c r="D2157" s="330">
        <v>1</v>
      </c>
      <c r="E2157" s="331">
        <v>11</v>
      </c>
      <c r="F2157" s="331">
        <v>17134.13</v>
      </c>
      <c r="G2157" s="328" t="s">
        <v>1686</v>
      </c>
      <c r="H2157" s="328" t="s">
        <v>1757</v>
      </c>
      <c r="I2157" s="328" t="s">
        <v>110</v>
      </c>
      <c r="J2157" s="328" t="s">
        <v>757</v>
      </c>
      <c r="K2157" s="328" t="s">
        <v>741</v>
      </c>
      <c r="L2157" s="329">
        <v>44043</v>
      </c>
      <c r="M2157" s="332">
        <v>0</v>
      </c>
    </row>
    <row r="2158" spans="1:13" hidden="1" x14ac:dyDescent="0.25">
      <c r="A2158" s="329">
        <v>44043</v>
      </c>
      <c r="B2158" s="328" t="s">
        <v>1691</v>
      </c>
      <c r="C2158" s="328" t="s">
        <v>769</v>
      </c>
      <c r="D2158" s="330">
        <v>2</v>
      </c>
      <c r="E2158" s="331">
        <v>11</v>
      </c>
      <c r="F2158" s="331">
        <v>17145.13</v>
      </c>
      <c r="G2158" s="328" t="s">
        <v>1692</v>
      </c>
      <c r="H2158" s="328" t="s">
        <v>1757</v>
      </c>
      <c r="I2158" s="328" t="s">
        <v>110</v>
      </c>
      <c r="J2158" s="328" t="s">
        <v>757</v>
      </c>
      <c r="K2158" s="328" t="s">
        <v>770</v>
      </c>
      <c r="L2158" s="329">
        <v>44043</v>
      </c>
      <c r="M2158" s="332">
        <v>0</v>
      </c>
    </row>
    <row r="2159" spans="1:13" hidden="1" x14ac:dyDescent="0.25">
      <c r="A2159" s="329">
        <v>44043</v>
      </c>
      <c r="B2159" s="328" t="s">
        <v>1685</v>
      </c>
      <c r="C2159" s="328" t="s">
        <v>1060</v>
      </c>
      <c r="D2159" s="330">
        <v>2</v>
      </c>
      <c r="E2159" s="331">
        <v>-11</v>
      </c>
      <c r="F2159" s="331">
        <v>17134.13</v>
      </c>
      <c r="G2159" s="328" t="s">
        <v>1686</v>
      </c>
      <c r="H2159" s="328" t="s">
        <v>1757</v>
      </c>
      <c r="I2159" s="328" t="s">
        <v>110</v>
      </c>
      <c r="J2159" s="328" t="s">
        <v>757</v>
      </c>
      <c r="K2159" s="328" t="s">
        <v>741</v>
      </c>
      <c r="L2159" s="329">
        <v>44043</v>
      </c>
      <c r="M2159" s="332">
        <v>0</v>
      </c>
    </row>
    <row r="2160" spans="1:13" hidden="1" x14ac:dyDescent="0.25">
      <c r="A2160" s="329">
        <v>44043</v>
      </c>
      <c r="B2160" s="328" t="s">
        <v>1689</v>
      </c>
      <c r="C2160" s="328" t="s">
        <v>1060</v>
      </c>
      <c r="D2160" s="330">
        <v>2</v>
      </c>
      <c r="E2160" s="331">
        <v>-11</v>
      </c>
      <c r="F2160" s="331">
        <v>17123.13</v>
      </c>
      <c r="G2160" s="328" t="s">
        <v>1686</v>
      </c>
      <c r="H2160" s="328" t="s">
        <v>1757</v>
      </c>
      <c r="I2160" s="328" t="s">
        <v>110</v>
      </c>
      <c r="J2160" s="328" t="s">
        <v>757</v>
      </c>
      <c r="K2160" s="328" t="s">
        <v>741</v>
      </c>
      <c r="L2160" s="329">
        <v>44043</v>
      </c>
      <c r="M2160" s="332">
        <v>0</v>
      </c>
    </row>
    <row r="2161" spans="1:13" hidden="1" x14ac:dyDescent="0.25">
      <c r="A2161" s="329">
        <v>44043</v>
      </c>
      <c r="B2161" s="328" t="s">
        <v>1688</v>
      </c>
      <c r="C2161" s="328" t="s">
        <v>1060</v>
      </c>
      <c r="D2161" s="330">
        <v>2</v>
      </c>
      <c r="E2161" s="331">
        <v>11</v>
      </c>
      <c r="F2161" s="331">
        <v>17134.13</v>
      </c>
      <c r="G2161" s="328" t="s">
        <v>1686</v>
      </c>
      <c r="H2161" s="328" t="s">
        <v>1757</v>
      </c>
      <c r="I2161" s="328" t="s">
        <v>110</v>
      </c>
      <c r="J2161" s="328" t="s">
        <v>757</v>
      </c>
      <c r="K2161" s="328" t="s">
        <v>741</v>
      </c>
      <c r="L2161" s="329">
        <v>44043</v>
      </c>
      <c r="M2161" s="332">
        <v>0</v>
      </c>
    </row>
    <row r="2162" spans="1:13" hidden="1" x14ac:dyDescent="0.25">
      <c r="A2162" s="329">
        <v>44074</v>
      </c>
      <c r="B2162" s="328" t="s">
        <v>1695</v>
      </c>
      <c r="C2162" s="328" t="s">
        <v>1060</v>
      </c>
      <c r="D2162" s="330">
        <v>2</v>
      </c>
      <c r="E2162" s="331">
        <v>11</v>
      </c>
      <c r="F2162" s="331">
        <v>17145.13</v>
      </c>
      <c r="G2162" s="328" t="s">
        <v>1696</v>
      </c>
      <c r="H2162" s="328" t="s">
        <v>1757</v>
      </c>
      <c r="I2162" s="328" t="s">
        <v>110</v>
      </c>
      <c r="J2162" s="328" t="s">
        <v>757</v>
      </c>
      <c r="K2162" s="328" t="s">
        <v>741</v>
      </c>
      <c r="L2162" s="329">
        <v>44074</v>
      </c>
      <c r="M2162" s="332">
        <v>0</v>
      </c>
    </row>
    <row r="2163" spans="1:13" hidden="1" x14ac:dyDescent="0.25">
      <c r="A2163" s="329">
        <v>44074</v>
      </c>
      <c r="B2163" s="328" t="s">
        <v>1697</v>
      </c>
      <c r="C2163" s="328" t="s">
        <v>769</v>
      </c>
      <c r="D2163" s="330">
        <v>3</v>
      </c>
      <c r="E2163" s="331">
        <v>11</v>
      </c>
      <c r="F2163" s="331">
        <v>17156.13</v>
      </c>
      <c r="G2163" s="328" t="s">
        <v>1698</v>
      </c>
      <c r="H2163" s="328" t="s">
        <v>1757</v>
      </c>
      <c r="I2163" s="328" t="s">
        <v>110</v>
      </c>
      <c r="J2163" s="328" t="s">
        <v>757</v>
      </c>
      <c r="K2163" s="328" t="s">
        <v>770</v>
      </c>
      <c r="L2163" s="329">
        <v>44074</v>
      </c>
      <c r="M2163" s="332">
        <v>0</v>
      </c>
    </row>
    <row r="2164" spans="1:13" hidden="1" x14ac:dyDescent="0.25">
      <c r="A2164" s="329">
        <v>44074</v>
      </c>
      <c r="B2164" s="328" t="s">
        <v>1695</v>
      </c>
      <c r="C2164" s="328" t="s">
        <v>1060</v>
      </c>
      <c r="D2164" s="330">
        <v>3</v>
      </c>
      <c r="E2164" s="331">
        <v>-11</v>
      </c>
      <c r="F2164" s="331">
        <v>17145.13</v>
      </c>
      <c r="G2164" s="328" t="s">
        <v>1696</v>
      </c>
      <c r="H2164" s="328" t="s">
        <v>1757</v>
      </c>
      <c r="I2164" s="328" t="s">
        <v>110</v>
      </c>
      <c r="J2164" s="328" t="s">
        <v>757</v>
      </c>
      <c r="K2164" s="328" t="s">
        <v>741</v>
      </c>
      <c r="L2164" s="329">
        <v>44074</v>
      </c>
      <c r="M2164" s="332">
        <v>0</v>
      </c>
    </row>
    <row r="2165" spans="1:13" hidden="1" x14ac:dyDescent="0.25">
      <c r="A2165" s="329">
        <v>44104</v>
      </c>
      <c r="B2165" s="328" t="s">
        <v>1699</v>
      </c>
      <c r="C2165" s="328" t="s">
        <v>1060</v>
      </c>
      <c r="D2165" s="330">
        <v>3</v>
      </c>
      <c r="E2165" s="331">
        <v>27.5</v>
      </c>
      <c r="F2165" s="331">
        <v>17172.63</v>
      </c>
      <c r="G2165" s="328" t="s">
        <v>1700</v>
      </c>
      <c r="H2165" s="328" t="s">
        <v>1757</v>
      </c>
      <c r="I2165" s="328" t="s">
        <v>110</v>
      </c>
      <c r="J2165" s="328" t="s">
        <v>757</v>
      </c>
      <c r="K2165" s="328" t="s">
        <v>741</v>
      </c>
      <c r="L2165" s="329">
        <v>44104</v>
      </c>
      <c r="M2165" s="332">
        <v>0</v>
      </c>
    </row>
    <row r="2166" spans="1:13" hidden="1" x14ac:dyDescent="0.25">
      <c r="A2166" s="329">
        <v>44104</v>
      </c>
      <c r="B2166" s="328" t="s">
        <v>1699</v>
      </c>
      <c r="C2166" s="328" t="s">
        <v>1060</v>
      </c>
      <c r="D2166" s="330">
        <v>4</v>
      </c>
      <c r="E2166" s="331">
        <v>-27.5</v>
      </c>
      <c r="F2166" s="331">
        <v>17145.13</v>
      </c>
      <c r="G2166" s="328" t="s">
        <v>1700</v>
      </c>
      <c r="H2166" s="328" t="s">
        <v>1757</v>
      </c>
      <c r="I2166" s="328" t="s">
        <v>110</v>
      </c>
      <c r="J2166" s="328" t="s">
        <v>757</v>
      </c>
      <c r="K2166" s="328" t="s">
        <v>741</v>
      </c>
      <c r="L2166" s="329">
        <v>44104</v>
      </c>
      <c r="M2166" s="332">
        <v>0</v>
      </c>
    </row>
    <row r="2167" spans="1:13" hidden="1" x14ac:dyDescent="0.25">
      <c r="A2167" s="329">
        <v>44105</v>
      </c>
      <c r="B2167" s="328" t="s">
        <v>1701</v>
      </c>
      <c r="C2167" s="328" t="s">
        <v>769</v>
      </c>
      <c r="D2167" s="330">
        <v>4</v>
      </c>
      <c r="E2167" s="331">
        <v>27.5</v>
      </c>
      <c r="F2167" s="331">
        <v>17172.63</v>
      </c>
      <c r="G2167" s="328" t="s">
        <v>1702</v>
      </c>
      <c r="H2167" s="328" t="s">
        <v>1757</v>
      </c>
      <c r="I2167" s="328" t="s">
        <v>110</v>
      </c>
      <c r="J2167" s="328" t="s">
        <v>757</v>
      </c>
      <c r="K2167" s="328" t="s">
        <v>770</v>
      </c>
      <c r="L2167" s="329">
        <v>44105</v>
      </c>
      <c r="M2167" s="332">
        <v>0</v>
      </c>
    </row>
    <row r="2168" spans="1:13" hidden="1" x14ac:dyDescent="0.25">
      <c r="A2168" s="329">
        <v>44012</v>
      </c>
      <c r="B2168" s="328" t="s">
        <v>1678</v>
      </c>
      <c r="C2168" s="328" t="s">
        <v>769</v>
      </c>
      <c r="D2168" s="330">
        <v>1</v>
      </c>
      <c r="E2168" s="331">
        <v>22</v>
      </c>
      <c r="F2168" s="331">
        <v>17268.25</v>
      </c>
      <c r="G2168" s="328" t="s">
        <v>1679</v>
      </c>
      <c r="H2168" s="328" t="s">
        <v>1758</v>
      </c>
      <c r="I2168" s="328" t="s">
        <v>110</v>
      </c>
      <c r="J2168" s="328" t="s">
        <v>757</v>
      </c>
      <c r="K2168" s="328" t="s">
        <v>770</v>
      </c>
      <c r="L2168" s="329">
        <v>44012</v>
      </c>
      <c r="M2168" s="332">
        <v>0</v>
      </c>
    </row>
    <row r="2169" spans="1:13" hidden="1" x14ac:dyDescent="0.25">
      <c r="A2169" s="329">
        <v>44012</v>
      </c>
      <c r="B2169" s="328" t="s">
        <v>1681</v>
      </c>
      <c r="C2169" s="328" t="s">
        <v>1059</v>
      </c>
      <c r="D2169" s="330">
        <v>1</v>
      </c>
      <c r="E2169" s="331">
        <v>-22</v>
      </c>
      <c r="F2169" s="331">
        <v>17246.25</v>
      </c>
      <c r="G2169" s="328" t="s">
        <v>1682</v>
      </c>
      <c r="H2169" s="328" t="s">
        <v>1758</v>
      </c>
      <c r="I2169" s="328" t="s">
        <v>110</v>
      </c>
      <c r="J2169" s="328" t="s">
        <v>757</v>
      </c>
      <c r="K2169" s="328" t="s">
        <v>741</v>
      </c>
      <c r="L2169" s="329">
        <v>44012</v>
      </c>
      <c r="M2169" s="332">
        <v>0</v>
      </c>
    </row>
    <row r="2170" spans="1:13" hidden="1" x14ac:dyDescent="0.25">
      <c r="A2170" s="329">
        <v>44043</v>
      </c>
      <c r="B2170" s="328" t="s">
        <v>1685</v>
      </c>
      <c r="C2170" s="328" t="s">
        <v>1060</v>
      </c>
      <c r="D2170" s="330">
        <v>1</v>
      </c>
      <c r="E2170" s="331">
        <v>22</v>
      </c>
      <c r="F2170" s="331">
        <v>17268.25</v>
      </c>
      <c r="G2170" s="328" t="s">
        <v>1686</v>
      </c>
      <c r="H2170" s="328" t="s">
        <v>1758</v>
      </c>
      <c r="I2170" s="328" t="s">
        <v>110</v>
      </c>
      <c r="J2170" s="328" t="s">
        <v>757</v>
      </c>
      <c r="K2170" s="328" t="s">
        <v>741</v>
      </c>
      <c r="L2170" s="329">
        <v>44043</v>
      </c>
      <c r="M2170" s="332">
        <v>0</v>
      </c>
    </row>
    <row r="2171" spans="1:13" hidden="1" x14ac:dyDescent="0.25">
      <c r="A2171" s="329">
        <v>44043</v>
      </c>
      <c r="B2171" s="328" t="s">
        <v>1688</v>
      </c>
      <c r="C2171" s="328" t="s">
        <v>1060</v>
      </c>
      <c r="D2171" s="330">
        <v>1</v>
      </c>
      <c r="E2171" s="331">
        <v>-22</v>
      </c>
      <c r="F2171" s="331">
        <v>17246.25</v>
      </c>
      <c r="G2171" s="328" t="s">
        <v>1686</v>
      </c>
      <c r="H2171" s="328" t="s">
        <v>1758</v>
      </c>
      <c r="I2171" s="328" t="s">
        <v>110</v>
      </c>
      <c r="J2171" s="328" t="s">
        <v>757</v>
      </c>
      <c r="K2171" s="328" t="s">
        <v>741</v>
      </c>
      <c r="L2171" s="329">
        <v>44043</v>
      </c>
      <c r="M2171" s="332">
        <v>0</v>
      </c>
    </row>
    <row r="2172" spans="1:13" hidden="1" x14ac:dyDescent="0.25">
      <c r="A2172" s="329">
        <v>44043</v>
      </c>
      <c r="B2172" s="328" t="s">
        <v>1689</v>
      </c>
      <c r="C2172" s="328" t="s">
        <v>1060</v>
      </c>
      <c r="D2172" s="330">
        <v>1</v>
      </c>
      <c r="E2172" s="331">
        <v>22</v>
      </c>
      <c r="F2172" s="331">
        <v>17268.25</v>
      </c>
      <c r="G2172" s="328" t="s">
        <v>1686</v>
      </c>
      <c r="H2172" s="328" t="s">
        <v>1758</v>
      </c>
      <c r="I2172" s="328" t="s">
        <v>110</v>
      </c>
      <c r="J2172" s="328" t="s">
        <v>757</v>
      </c>
      <c r="K2172" s="328" t="s">
        <v>741</v>
      </c>
      <c r="L2172" s="329">
        <v>44043</v>
      </c>
      <c r="M2172" s="332">
        <v>0</v>
      </c>
    </row>
    <row r="2173" spans="1:13" hidden="1" x14ac:dyDescent="0.25">
      <c r="A2173" s="329">
        <v>44043</v>
      </c>
      <c r="B2173" s="328" t="s">
        <v>1689</v>
      </c>
      <c r="C2173" s="328" t="s">
        <v>1060</v>
      </c>
      <c r="D2173" s="330">
        <v>2</v>
      </c>
      <c r="E2173" s="331">
        <v>-22</v>
      </c>
      <c r="F2173" s="331">
        <v>17246.25</v>
      </c>
      <c r="G2173" s="328" t="s">
        <v>1686</v>
      </c>
      <c r="H2173" s="328" t="s">
        <v>1758</v>
      </c>
      <c r="I2173" s="328" t="s">
        <v>110</v>
      </c>
      <c r="J2173" s="328" t="s">
        <v>757</v>
      </c>
      <c r="K2173" s="328" t="s">
        <v>741</v>
      </c>
      <c r="L2173" s="329">
        <v>44043</v>
      </c>
      <c r="M2173" s="332">
        <v>0</v>
      </c>
    </row>
    <row r="2174" spans="1:13" hidden="1" x14ac:dyDescent="0.25">
      <c r="A2174" s="329">
        <v>44043</v>
      </c>
      <c r="B2174" s="328" t="s">
        <v>1688</v>
      </c>
      <c r="C2174" s="328" t="s">
        <v>1060</v>
      </c>
      <c r="D2174" s="330">
        <v>2</v>
      </c>
      <c r="E2174" s="331">
        <v>22</v>
      </c>
      <c r="F2174" s="331">
        <v>17268.25</v>
      </c>
      <c r="G2174" s="328" t="s">
        <v>1686</v>
      </c>
      <c r="H2174" s="328" t="s">
        <v>1758</v>
      </c>
      <c r="I2174" s="328" t="s">
        <v>110</v>
      </c>
      <c r="J2174" s="328" t="s">
        <v>757</v>
      </c>
      <c r="K2174" s="328" t="s">
        <v>741</v>
      </c>
      <c r="L2174" s="329">
        <v>44043</v>
      </c>
      <c r="M2174" s="332">
        <v>0</v>
      </c>
    </row>
    <row r="2175" spans="1:13" hidden="1" x14ac:dyDescent="0.25">
      <c r="A2175" s="329">
        <v>44043</v>
      </c>
      <c r="B2175" s="328" t="s">
        <v>1685</v>
      </c>
      <c r="C2175" s="328" t="s">
        <v>1060</v>
      </c>
      <c r="D2175" s="330">
        <v>2</v>
      </c>
      <c r="E2175" s="331">
        <v>-22</v>
      </c>
      <c r="F2175" s="331">
        <v>17246.25</v>
      </c>
      <c r="G2175" s="328" t="s">
        <v>1686</v>
      </c>
      <c r="H2175" s="328" t="s">
        <v>1758</v>
      </c>
      <c r="I2175" s="328" t="s">
        <v>110</v>
      </c>
      <c r="J2175" s="328" t="s">
        <v>757</v>
      </c>
      <c r="K2175" s="328" t="s">
        <v>741</v>
      </c>
      <c r="L2175" s="329">
        <v>44043</v>
      </c>
      <c r="M2175" s="332">
        <v>0</v>
      </c>
    </row>
    <row r="2176" spans="1:13" hidden="1" x14ac:dyDescent="0.25">
      <c r="A2176" s="329">
        <v>44043</v>
      </c>
      <c r="B2176" s="328" t="s">
        <v>1691</v>
      </c>
      <c r="C2176" s="328" t="s">
        <v>769</v>
      </c>
      <c r="D2176" s="330">
        <v>2</v>
      </c>
      <c r="E2176" s="331">
        <v>22</v>
      </c>
      <c r="F2176" s="331">
        <v>17268.25</v>
      </c>
      <c r="G2176" s="328" t="s">
        <v>1692</v>
      </c>
      <c r="H2176" s="328" t="s">
        <v>1758</v>
      </c>
      <c r="I2176" s="328" t="s">
        <v>110</v>
      </c>
      <c r="J2176" s="328" t="s">
        <v>757</v>
      </c>
      <c r="K2176" s="328" t="s">
        <v>770</v>
      </c>
      <c r="L2176" s="329">
        <v>44043</v>
      </c>
      <c r="M2176" s="332">
        <v>0</v>
      </c>
    </row>
    <row r="2177" spans="1:13" hidden="1" x14ac:dyDescent="0.25">
      <c r="A2177" s="329">
        <v>44074</v>
      </c>
      <c r="B2177" s="328" t="s">
        <v>1695</v>
      </c>
      <c r="C2177" s="328" t="s">
        <v>1060</v>
      </c>
      <c r="D2177" s="330">
        <v>2</v>
      </c>
      <c r="E2177" s="331">
        <v>22</v>
      </c>
      <c r="F2177" s="331">
        <v>17290.25</v>
      </c>
      <c r="G2177" s="328" t="s">
        <v>1696</v>
      </c>
      <c r="H2177" s="328" t="s">
        <v>1758</v>
      </c>
      <c r="I2177" s="328" t="s">
        <v>110</v>
      </c>
      <c r="J2177" s="328" t="s">
        <v>757</v>
      </c>
      <c r="K2177" s="328" t="s">
        <v>741</v>
      </c>
      <c r="L2177" s="329">
        <v>44074</v>
      </c>
      <c r="M2177" s="332">
        <v>0</v>
      </c>
    </row>
    <row r="2178" spans="1:13" hidden="1" x14ac:dyDescent="0.25">
      <c r="A2178" s="329">
        <v>44074</v>
      </c>
      <c r="B2178" s="328" t="s">
        <v>1695</v>
      </c>
      <c r="C2178" s="328" t="s">
        <v>1060</v>
      </c>
      <c r="D2178" s="330">
        <v>3</v>
      </c>
      <c r="E2178" s="331">
        <v>-22</v>
      </c>
      <c r="F2178" s="331">
        <v>17268.25</v>
      </c>
      <c r="G2178" s="328" t="s">
        <v>1696</v>
      </c>
      <c r="H2178" s="328" t="s">
        <v>1758</v>
      </c>
      <c r="I2178" s="328" t="s">
        <v>110</v>
      </c>
      <c r="J2178" s="328" t="s">
        <v>757</v>
      </c>
      <c r="K2178" s="328" t="s">
        <v>741</v>
      </c>
      <c r="L2178" s="329">
        <v>44074</v>
      </c>
      <c r="M2178" s="332">
        <v>0</v>
      </c>
    </row>
    <row r="2179" spans="1:13" hidden="1" x14ac:dyDescent="0.25">
      <c r="A2179" s="329">
        <v>44074</v>
      </c>
      <c r="B2179" s="328" t="s">
        <v>1697</v>
      </c>
      <c r="C2179" s="328" t="s">
        <v>769</v>
      </c>
      <c r="D2179" s="330">
        <v>3</v>
      </c>
      <c r="E2179" s="331">
        <v>22</v>
      </c>
      <c r="F2179" s="331">
        <v>17290.25</v>
      </c>
      <c r="G2179" s="328" t="s">
        <v>1698</v>
      </c>
      <c r="H2179" s="328" t="s">
        <v>1758</v>
      </c>
      <c r="I2179" s="328" t="s">
        <v>110</v>
      </c>
      <c r="J2179" s="328" t="s">
        <v>757</v>
      </c>
      <c r="K2179" s="328" t="s">
        <v>770</v>
      </c>
      <c r="L2179" s="329">
        <v>44074</v>
      </c>
      <c r="M2179" s="332">
        <v>0</v>
      </c>
    </row>
    <row r="2180" spans="1:13" hidden="1" x14ac:dyDescent="0.25">
      <c r="A2180" s="329">
        <v>44104</v>
      </c>
      <c r="B2180" s="328" t="s">
        <v>1699</v>
      </c>
      <c r="C2180" s="328" t="s">
        <v>1060</v>
      </c>
      <c r="D2180" s="330">
        <v>3</v>
      </c>
      <c r="E2180" s="331">
        <v>33</v>
      </c>
      <c r="F2180" s="331">
        <v>17323.25</v>
      </c>
      <c r="G2180" s="328" t="s">
        <v>1700</v>
      </c>
      <c r="H2180" s="328" t="s">
        <v>1758</v>
      </c>
      <c r="I2180" s="328" t="s">
        <v>110</v>
      </c>
      <c r="J2180" s="328" t="s">
        <v>757</v>
      </c>
      <c r="K2180" s="328" t="s">
        <v>741</v>
      </c>
      <c r="L2180" s="329">
        <v>44104</v>
      </c>
      <c r="M2180" s="332">
        <v>0</v>
      </c>
    </row>
    <row r="2181" spans="1:13" hidden="1" x14ac:dyDescent="0.25">
      <c r="A2181" s="329">
        <v>44104</v>
      </c>
      <c r="B2181" s="328" t="s">
        <v>1699</v>
      </c>
      <c r="C2181" s="328" t="s">
        <v>1060</v>
      </c>
      <c r="D2181" s="330">
        <v>4</v>
      </c>
      <c r="E2181" s="331">
        <v>-33</v>
      </c>
      <c r="F2181" s="331">
        <v>17290.25</v>
      </c>
      <c r="G2181" s="328" t="s">
        <v>1700</v>
      </c>
      <c r="H2181" s="328" t="s">
        <v>1758</v>
      </c>
      <c r="I2181" s="328" t="s">
        <v>110</v>
      </c>
      <c r="J2181" s="328" t="s">
        <v>757</v>
      </c>
      <c r="K2181" s="328" t="s">
        <v>741</v>
      </c>
      <c r="L2181" s="329">
        <v>44104</v>
      </c>
      <c r="M2181" s="332">
        <v>0</v>
      </c>
    </row>
    <row r="2182" spans="1:13" hidden="1" x14ac:dyDescent="0.25">
      <c r="A2182" s="329">
        <v>44105</v>
      </c>
      <c r="B2182" s="328" t="s">
        <v>1701</v>
      </c>
      <c r="C2182" s="328" t="s">
        <v>769</v>
      </c>
      <c r="D2182" s="330">
        <v>4</v>
      </c>
      <c r="E2182" s="331">
        <v>33</v>
      </c>
      <c r="F2182" s="331">
        <v>17323.25</v>
      </c>
      <c r="G2182" s="328" t="s">
        <v>1702</v>
      </c>
      <c r="H2182" s="328" t="s">
        <v>1758</v>
      </c>
      <c r="I2182" s="328" t="s">
        <v>110</v>
      </c>
      <c r="J2182" s="328" t="s">
        <v>757</v>
      </c>
      <c r="K2182" s="328" t="s">
        <v>770</v>
      </c>
      <c r="L2182" s="329">
        <v>44105</v>
      </c>
      <c r="M2182" s="332">
        <v>0</v>
      </c>
    </row>
    <row r="2183" spans="1:13" hidden="1" x14ac:dyDescent="0.25">
      <c r="A2183" s="329">
        <v>44135</v>
      </c>
      <c r="B2183" s="328" t="s">
        <v>1703</v>
      </c>
      <c r="C2183" s="328" t="s">
        <v>1060</v>
      </c>
      <c r="D2183" s="330">
        <v>4</v>
      </c>
      <c r="E2183" s="331">
        <v>5.5</v>
      </c>
      <c r="F2183" s="331">
        <v>17328.75</v>
      </c>
      <c r="G2183" s="328" t="s">
        <v>1704</v>
      </c>
      <c r="H2183" s="328" t="s">
        <v>1758</v>
      </c>
      <c r="I2183" s="328" t="s">
        <v>110</v>
      </c>
      <c r="J2183" s="328" t="s">
        <v>757</v>
      </c>
      <c r="K2183" s="328" t="s">
        <v>741</v>
      </c>
      <c r="L2183" s="329">
        <v>44135</v>
      </c>
      <c r="M2183" s="332">
        <v>0</v>
      </c>
    </row>
    <row r="2184" spans="1:13" hidden="1" x14ac:dyDescent="0.25">
      <c r="A2184" s="329">
        <v>44135</v>
      </c>
      <c r="B2184" s="328" t="s">
        <v>1705</v>
      </c>
      <c r="C2184" s="328" t="s">
        <v>769</v>
      </c>
      <c r="D2184" s="330">
        <v>5</v>
      </c>
      <c r="E2184" s="331">
        <v>5.5</v>
      </c>
      <c r="F2184" s="331">
        <v>17334.25</v>
      </c>
      <c r="G2184" s="328" t="s">
        <v>1706</v>
      </c>
      <c r="H2184" s="328" t="s">
        <v>1758</v>
      </c>
      <c r="I2184" s="328" t="s">
        <v>110</v>
      </c>
      <c r="J2184" s="328" t="s">
        <v>757</v>
      </c>
      <c r="K2184" s="328" t="s">
        <v>770</v>
      </c>
      <c r="L2184" s="329">
        <v>44135</v>
      </c>
      <c r="M2184" s="332">
        <v>0</v>
      </c>
    </row>
    <row r="2185" spans="1:13" hidden="1" x14ac:dyDescent="0.25">
      <c r="A2185" s="329">
        <v>44135</v>
      </c>
      <c r="B2185" s="328" t="s">
        <v>1703</v>
      </c>
      <c r="C2185" s="328" t="s">
        <v>1060</v>
      </c>
      <c r="D2185" s="330">
        <v>5</v>
      </c>
      <c r="E2185" s="331">
        <v>-5.5</v>
      </c>
      <c r="F2185" s="331">
        <v>17328.75</v>
      </c>
      <c r="G2185" s="328" t="s">
        <v>1704</v>
      </c>
      <c r="H2185" s="328" t="s">
        <v>1758</v>
      </c>
      <c r="I2185" s="328" t="s">
        <v>110</v>
      </c>
      <c r="J2185" s="328" t="s">
        <v>757</v>
      </c>
      <c r="K2185" s="328" t="s">
        <v>741</v>
      </c>
      <c r="L2185" s="329">
        <v>44135</v>
      </c>
      <c r="M2185" s="332">
        <v>0</v>
      </c>
    </row>
    <row r="2186" spans="1:13" hidden="1" x14ac:dyDescent="0.25">
      <c r="A2186" s="329">
        <v>44012</v>
      </c>
      <c r="B2186" s="328" t="s">
        <v>1678</v>
      </c>
      <c r="C2186" s="328" t="s">
        <v>769</v>
      </c>
      <c r="D2186" s="330">
        <v>1</v>
      </c>
      <c r="E2186" s="331">
        <v>5.5</v>
      </c>
      <c r="F2186" s="331">
        <v>17371.09</v>
      </c>
      <c r="G2186" s="328" t="s">
        <v>1679</v>
      </c>
      <c r="H2186" s="328" t="s">
        <v>1759</v>
      </c>
      <c r="I2186" s="328" t="s">
        <v>110</v>
      </c>
      <c r="J2186" s="328" t="s">
        <v>757</v>
      </c>
      <c r="K2186" s="328" t="s">
        <v>770</v>
      </c>
      <c r="L2186" s="329">
        <v>44012</v>
      </c>
      <c r="M2186" s="332">
        <v>0</v>
      </c>
    </row>
    <row r="2187" spans="1:13" hidden="1" x14ac:dyDescent="0.25">
      <c r="A2187" s="329">
        <v>44041</v>
      </c>
      <c r="B2187" s="328" t="s">
        <v>1683</v>
      </c>
      <c r="C2187" s="328" t="s">
        <v>936</v>
      </c>
      <c r="D2187" s="330">
        <v>1</v>
      </c>
      <c r="E2187" s="331">
        <v>-5.5</v>
      </c>
      <c r="F2187" s="331">
        <v>17365.59</v>
      </c>
      <c r="G2187" s="328" t="s">
        <v>1684</v>
      </c>
      <c r="H2187" s="328" t="s">
        <v>1759</v>
      </c>
      <c r="I2187" s="328" t="s">
        <v>110</v>
      </c>
      <c r="J2187" s="328" t="s">
        <v>757</v>
      </c>
      <c r="K2187" s="328" t="s">
        <v>770</v>
      </c>
      <c r="L2187" s="329">
        <v>44041</v>
      </c>
      <c r="M2187" s="332">
        <v>0</v>
      </c>
    </row>
    <row r="2188" spans="1:13" hidden="1" x14ac:dyDescent="0.25">
      <c r="A2188" s="329">
        <v>44043</v>
      </c>
      <c r="B2188" s="328" t="s">
        <v>1689</v>
      </c>
      <c r="C2188" s="328" t="s">
        <v>1060</v>
      </c>
      <c r="D2188" s="330">
        <v>1</v>
      </c>
      <c r="E2188" s="331">
        <v>-5.5</v>
      </c>
      <c r="F2188" s="331">
        <v>17360.09</v>
      </c>
      <c r="G2188" s="328" t="s">
        <v>1690</v>
      </c>
      <c r="H2188" s="328" t="s">
        <v>1759</v>
      </c>
      <c r="I2188" s="328" t="s">
        <v>110</v>
      </c>
      <c r="J2188" s="328" t="s">
        <v>757</v>
      </c>
      <c r="K2188" s="328" t="s">
        <v>741</v>
      </c>
      <c r="L2188" s="329">
        <v>44043</v>
      </c>
      <c r="M2188" s="332">
        <v>0</v>
      </c>
    </row>
    <row r="2189" spans="1:13" hidden="1" x14ac:dyDescent="0.25">
      <c r="A2189" s="329">
        <v>44043</v>
      </c>
      <c r="B2189" s="328" t="s">
        <v>1689</v>
      </c>
      <c r="C2189" s="328" t="s">
        <v>1060</v>
      </c>
      <c r="D2189" s="330">
        <v>2</v>
      </c>
      <c r="E2189" s="331">
        <v>5.5</v>
      </c>
      <c r="F2189" s="331">
        <v>17365.59</v>
      </c>
      <c r="G2189" s="328" t="s">
        <v>1690</v>
      </c>
      <c r="H2189" s="328" t="s">
        <v>1759</v>
      </c>
      <c r="I2189" s="328" t="s">
        <v>110</v>
      </c>
      <c r="J2189" s="328" t="s">
        <v>757</v>
      </c>
      <c r="K2189" s="328" t="s">
        <v>741</v>
      </c>
      <c r="L2189" s="329">
        <v>44043</v>
      </c>
      <c r="M2189" s="332">
        <v>0</v>
      </c>
    </row>
    <row r="2190" spans="1:13" hidden="1" x14ac:dyDescent="0.25">
      <c r="A2190" s="329">
        <v>44012</v>
      </c>
      <c r="B2190" s="328" t="s">
        <v>1678</v>
      </c>
      <c r="C2190" s="328" t="s">
        <v>769</v>
      </c>
      <c r="D2190" s="330">
        <v>1</v>
      </c>
      <c r="E2190" s="331">
        <v>198</v>
      </c>
      <c r="F2190" s="331">
        <v>17563.59</v>
      </c>
      <c r="G2190" s="328" t="s">
        <v>1679</v>
      </c>
      <c r="H2190" s="328" t="s">
        <v>1760</v>
      </c>
      <c r="I2190" s="328" t="s">
        <v>110</v>
      </c>
      <c r="J2190" s="328" t="s">
        <v>757</v>
      </c>
      <c r="K2190" s="328" t="s">
        <v>770</v>
      </c>
      <c r="L2190" s="329">
        <v>44012</v>
      </c>
      <c r="M2190" s="332">
        <v>0</v>
      </c>
    </row>
    <row r="2191" spans="1:13" hidden="1" x14ac:dyDescent="0.25">
      <c r="A2191" s="329">
        <v>44012</v>
      </c>
      <c r="B2191" s="328" t="s">
        <v>1681</v>
      </c>
      <c r="C2191" s="328" t="s">
        <v>1059</v>
      </c>
      <c r="D2191" s="330">
        <v>1</v>
      </c>
      <c r="E2191" s="331">
        <v>-165</v>
      </c>
      <c r="F2191" s="331">
        <v>17398.59</v>
      </c>
      <c r="G2191" s="328" t="s">
        <v>1682</v>
      </c>
      <c r="H2191" s="328" t="s">
        <v>1760</v>
      </c>
      <c r="I2191" s="328" t="s">
        <v>110</v>
      </c>
      <c r="J2191" s="328" t="s">
        <v>757</v>
      </c>
      <c r="K2191" s="328" t="s">
        <v>741</v>
      </c>
      <c r="L2191" s="329">
        <v>44012</v>
      </c>
      <c r="M2191" s="332">
        <v>0</v>
      </c>
    </row>
    <row r="2192" spans="1:13" hidden="1" x14ac:dyDescent="0.25">
      <c r="A2192" s="329">
        <v>44041</v>
      </c>
      <c r="B2192" s="328" t="s">
        <v>1683</v>
      </c>
      <c r="C2192" s="328" t="s">
        <v>936</v>
      </c>
      <c r="D2192" s="330">
        <v>1</v>
      </c>
      <c r="E2192" s="331">
        <v>-33</v>
      </c>
      <c r="F2192" s="331">
        <v>17365.59</v>
      </c>
      <c r="G2192" s="328" t="s">
        <v>1684</v>
      </c>
      <c r="H2192" s="328" t="s">
        <v>1760</v>
      </c>
      <c r="I2192" s="328" t="s">
        <v>110</v>
      </c>
      <c r="J2192" s="328" t="s">
        <v>757</v>
      </c>
      <c r="K2192" s="328" t="s">
        <v>770</v>
      </c>
      <c r="L2192" s="329">
        <v>44041</v>
      </c>
      <c r="M2192" s="332">
        <v>0</v>
      </c>
    </row>
    <row r="2193" spans="1:13" hidden="1" x14ac:dyDescent="0.25">
      <c r="A2193" s="329">
        <v>44043</v>
      </c>
      <c r="B2193" s="328" t="s">
        <v>1689</v>
      </c>
      <c r="C2193" s="328" t="s">
        <v>1060</v>
      </c>
      <c r="D2193" s="330">
        <v>1</v>
      </c>
      <c r="E2193" s="331">
        <v>-33</v>
      </c>
      <c r="F2193" s="331">
        <v>17332.59</v>
      </c>
      <c r="G2193" s="328" t="s">
        <v>1690</v>
      </c>
      <c r="H2193" s="328" t="s">
        <v>1760</v>
      </c>
      <c r="I2193" s="328" t="s">
        <v>110</v>
      </c>
      <c r="J2193" s="328" t="s">
        <v>757</v>
      </c>
      <c r="K2193" s="328" t="s">
        <v>741</v>
      </c>
      <c r="L2193" s="329">
        <v>44043</v>
      </c>
      <c r="M2193" s="332">
        <v>0</v>
      </c>
    </row>
    <row r="2194" spans="1:13" hidden="1" x14ac:dyDescent="0.25">
      <c r="A2194" s="329">
        <v>44043</v>
      </c>
      <c r="B2194" s="328" t="s">
        <v>1689</v>
      </c>
      <c r="C2194" s="328" t="s">
        <v>1060</v>
      </c>
      <c r="D2194" s="330">
        <v>1</v>
      </c>
      <c r="E2194" s="331">
        <v>187</v>
      </c>
      <c r="F2194" s="331">
        <v>17519.59</v>
      </c>
      <c r="G2194" s="328" t="s">
        <v>1686</v>
      </c>
      <c r="H2194" s="328" t="s">
        <v>1760</v>
      </c>
      <c r="I2194" s="328" t="s">
        <v>110</v>
      </c>
      <c r="J2194" s="328" t="s">
        <v>757</v>
      </c>
      <c r="K2194" s="328" t="s">
        <v>741</v>
      </c>
      <c r="L2194" s="329">
        <v>44043</v>
      </c>
      <c r="M2194" s="332">
        <v>0</v>
      </c>
    </row>
    <row r="2195" spans="1:13" hidden="1" x14ac:dyDescent="0.25">
      <c r="A2195" s="329">
        <v>44043</v>
      </c>
      <c r="B2195" s="328" t="s">
        <v>1688</v>
      </c>
      <c r="C2195" s="328" t="s">
        <v>1060</v>
      </c>
      <c r="D2195" s="330">
        <v>1</v>
      </c>
      <c r="E2195" s="331">
        <v>-33</v>
      </c>
      <c r="F2195" s="331">
        <v>17486.59</v>
      </c>
      <c r="G2195" s="328" t="s">
        <v>1687</v>
      </c>
      <c r="H2195" s="328" t="s">
        <v>1760</v>
      </c>
      <c r="I2195" s="328" t="s">
        <v>110</v>
      </c>
      <c r="J2195" s="328" t="s">
        <v>757</v>
      </c>
      <c r="K2195" s="328" t="s">
        <v>741</v>
      </c>
      <c r="L2195" s="329">
        <v>44043</v>
      </c>
      <c r="M2195" s="332">
        <v>0</v>
      </c>
    </row>
    <row r="2196" spans="1:13" hidden="1" x14ac:dyDescent="0.25">
      <c r="A2196" s="329">
        <v>44043</v>
      </c>
      <c r="B2196" s="328" t="s">
        <v>1688</v>
      </c>
      <c r="C2196" s="328" t="s">
        <v>1060</v>
      </c>
      <c r="D2196" s="330">
        <v>1</v>
      </c>
      <c r="E2196" s="331">
        <v>-187</v>
      </c>
      <c r="F2196" s="331">
        <v>17299.59</v>
      </c>
      <c r="G2196" s="328" t="s">
        <v>1686</v>
      </c>
      <c r="H2196" s="328" t="s">
        <v>1760</v>
      </c>
      <c r="I2196" s="328" t="s">
        <v>110</v>
      </c>
      <c r="J2196" s="328" t="s">
        <v>757</v>
      </c>
      <c r="K2196" s="328" t="s">
        <v>741</v>
      </c>
      <c r="L2196" s="329">
        <v>44043</v>
      </c>
      <c r="M2196" s="332">
        <v>0</v>
      </c>
    </row>
    <row r="2197" spans="1:13" hidden="1" x14ac:dyDescent="0.25">
      <c r="A2197" s="329">
        <v>44043</v>
      </c>
      <c r="B2197" s="328" t="s">
        <v>1685</v>
      </c>
      <c r="C2197" s="328" t="s">
        <v>1060</v>
      </c>
      <c r="D2197" s="330">
        <v>1</v>
      </c>
      <c r="E2197" s="331">
        <v>33</v>
      </c>
      <c r="F2197" s="331">
        <v>17332.59</v>
      </c>
      <c r="G2197" s="328" t="s">
        <v>1687</v>
      </c>
      <c r="H2197" s="328" t="s">
        <v>1760</v>
      </c>
      <c r="I2197" s="328" t="s">
        <v>110</v>
      </c>
      <c r="J2197" s="328" t="s">
        <v>757</v>
      </c>
      <c r="K2197" s="328" t="s">
        <v>741</v>
      </c>
      <c r="L2197" s="329">
        <v>44043</v>
      </c>
      <c r="M2197" s="332">
        <v>0</v>
      </c>
    </row>
    <row r="2198" spans="1:13" hidden="1" x14ac:dyDescent="0.25">
      <c r="A2198" s="329">
        <v>44043</v>
      </c>
      <c r="B2198" s="328" t="s">
        <v>1685</v>
      </c>
      <c r="C2198" s="328" t="s">
        <v>1060</v>
      </c>
      <c r="D2198" s="330">
        <v>1</v>
      </c>
      <c r="E2198" s="331">
        <v>187</v>
      </c>
      <c r="F2198" s="331">
        <v>17519.59</v>
      </c>
      <c r="G2198" s="328" t="s">
        <v>1686</v>
      </c>
      <c r="H2198" s="328" t="s">
        <v>1760</v>
      </c>
      <c r="I2198" s="328" t="s">
        <v>110</v>
      </c>
      <c r="J2198" s="328" t="s">
        <v>757</v>
      </c>
      <c r="K2198" s="328" t="s">
        <v>741</v>
      </c>
      <c r="L2198" s="329">
        <v>44043</v>
      </c>
      <c r="M2198" s="332">
        <v>0</v>
      </c>
    </row>
    <row r="2199" spans="1:13" hidden="1" x14ac:dyDescent="0.25">
      <c r="A2199" s="329">
        <v>44043</v>
      </c>
      <c r="B2199" s="328" t="s">
        <v>1685</v>
      </c>
      <c r="C2199" s="328" t="s">
        <v>1060</v>
      </c>
      <c r="D2199" s="330">
        <v>2</v>
      </c>
      <c r="E2199" s="331">
        <v>-33</v>
      </c>
      <c r="F2199" s="331">
        <v>17486.59</v>
      </c>
      <c r="G2199" s="328" t="s">
        <v>1687</v>
      </c>
      <c r="H2199" s="328" t="s">
        <v>1760</v>
      </c>
      <c r="I2199" s="328" t="s">
        <v>110</v>
      </c>
      <c r="J2199" s="328" t="s">
        <v>757</v>
      </c>
      <c r="K2199" s="328" t="s">
        <v>741</v>
      </c>
      <c r="L2199" s="329">
        <v>44043</v>
      </c>
      <c r="M2199" s="332">
        <v>0</v>
      </c>
    </row>
    <row r="2200" spans="1:13" hidden="1" x14ac:dyDescent="0.25">
      <c r="A2200" s="329">
        <v>44043</v>
      </c>
      <c r="B2200" s="328" t="s">
        <v>1685</v>
      </c>
      <c r="C2200" s="328" t="s">
        <v>1060</v>
      </c>
      <c r="D2200" s="330">
        <v>2</v>
      </c>
      <c r="E2200" s="331">
        <v>-187</v>
      </c>
      <c r="F2200" s="331">
        <v>17299.59</v>
      </c>
      <c r="G2200" s="328" t="s">
        <v>1686</v>
      </c>
      <c r="H2200" s="328" t="s">
        <v>1760</v>
      </c>
      <c r="I2200" s="328" t="s">
        <v>110</v>
      </c>
      <c r="J2200" s="328" t="s">
        <v>757</v>
      </c>
      <c r="K2200" s="328" t="s">
        <v>741</v>
      </c>
      <c r="L2200" s="329">
        <v>44043</v>
      </c>
      <c r="M2200" s="332">
        <v>0</v>
      </c>
    </row>
    <row r="2201" spans="1:13" hidden="1" x14ac:dyDescent="0.25">
      <c r="A2201" s="329">
        <v>44043</v>
      </c>
      <c r="B2201" s="328" t="s">
        <v>1693</v>
      </c>
      <c r="C2201" s="328" t="s">
        <v>936</v>
      </c>
      <c r="D2201" s="330">
        <v>2</v>
      </c>
      <c r="E2201" s="331">
        <v>-33</v>
      </c>
      <c r="F2201" s="331">
        <v>17266.59</v>
      </c>
      <c r="G2201" s="328" t="s">
        <v>1694</v>
      </c>
      <c r="H2201" s="328" t="s">
        <v>1760</v>
      </c>
      <c r="I2201" s="328" t="s">
        <v>110</v>
      </c>
      <c r="J2201" s="328" t="s">
        <v>757</v>
      </c>
      <c r="K2201" s="328" t="s">
        <v>770</v>
      </c>
      <c r="L2201" s="329">
        <v>44043</v>
      </c>
      <c r="M2201" s="332">
        <v>0</v>
      </c>
    </row>
    <row r="2202" spans="1:13" hidden="1" x14ac:dyDescent="0.25">
      <c r="A2202" s="329">
        <v>44043</v>
      </c>
      <c r="B2202" s="328" t="s">
        <v>1691</v>
      </c>
      <c r="C2202" s="328" t="s">
        <v>769</v>
      </c>
      <c r="D2202" s="330">
        <v>2</v>
      </c>
      <c r="E2202" s="331">
        <v>187</v>
      </c>
      <c r="F2202" s="331">
        <v>17453.59</v>
      </c>
      <c r="G2202" s="328" t="s">
        <v>1692</v>
      </c>
      <c r="H2202" s="328" t="s">
        <v>1760</v>
      </c>
      <c r="I2202" s="328" t="s">
        <v>110</v>
      </c>
      <c r="J2202" s="328" t="s">
        <v>757</v>
      </c>
      <c r="K2202" s="328" t="s">
        <v>770</v>
      </c>
      <c r="L2202" s="329">
        <v>44043</v>
      </c>
      <c r="M2202" s="332">
        <v>0</v>
      </c>
    </row>
    <row r="2203" spans="1:13" hidden="1" x14ac:dyDescent="0.25">
      <c r="A2203" s="329">
        <v>44043</v>
      </c>
      <c r="B2203" s="328" t="s">
        <v>1689</v>
      </c>
      <c r="C2203" s="328" t="s">
        <v>1060</v>
      </c>
      <c r="D2203" s="330">
        <v>2</v>
      </c>
      <c r="E2203" s="331">
        <v>33</v>
      </c>
      <c r="F2203" s="331">
        <v>17486.59</v>
      </c>
      <c r="G2203" s="328" t="s">
        <v>1690</v>
      </c>
      <c r="H2203" s="328" t="s">
        <v>1760</v>
      </c>
      <c r="I2203" s="328" t="s">
        <v>110</v>
      </c>
      <c r="J2203" s="328" t="s">
        <v>757</v>
      </c>
      <c r="K2203" s="328" t="s">
        <v>741</v>
      </c>
      <c r="L2203" s="329">
        <v>44043</v>
      </c>
      <c r="M2203" s="332">
        <v>0</v>
      </c>
    </row>
    <row r="2204" spans="1:13" hidden="1" x14ac:dyDescent="0.25">
      <c r="A2204" s="329">
        <v>44043</v>
      </c>
      <c r="B2204" s="328" t="s">
        <v>1689</v>
      </c>
      <c r="C2204" s="328" t="s">
        <v>1060</v>
      </c>
      <c r="D2204" s="330">
        <v>2</v>
      </c>
      <c r="E2204" s="331">
        <v>-187</v>
      </c>
      <c r="F2204" s="331">
        <v>17299.59</v>
      </c>
      <c r="G2204" s="328" t="s">
        <v>1686</v>
      </c>
      <c r="H2204" s="328" t="s">
        <v>1760</v>
      </c>
      <c r="I2204" s="328" t="s">
        <v>110</v>
      </c>
      <c r="J2204" s="328" t="s">
        <v>757</v>
      </c>
      <c r="K2204" s="328" t="s">
        <v>741</v>
      </c>
      <c r="L2204" s="329">
        <v>44043</v>
      </c>
      <c r="M2204" s="332">
        <v>0</v>
      </c>
    </row>
    <row r="2205" spans="1:13" hidden="1" x14ac:dyDescent="0.25">
      <c r="A2205" s="329">
        <v>44043</v>
      </c>
      <c r="B2205" s="328" t="s">
        <v>1688</v>
      </c>
      <c r="C2205" s="328" t="s">
        <v>1060</v>
      </c>
      <c r="D2205" s="330">
        <v>2</v>
      </c>
      <c r="E2205" s="331">
        <v>33</v>
      </c>
      <c r="F2205" s="331">
        <v>17332.59</v>
      </c>
      <c r="G2205" s="328" t="s">
        <v>1687</v>
      </c>
      <c r="H2205" s="328" t="s">
        <v>1760</v>
      </c>
      <c r="I2205" s="328" t="s">
        <v>110</v>
      </c>
      <c r="J2205" s="328" t="s">
        <v>757</v>
      </c>
      <c r="K2205" s="328" t="s">
        <v>741</v>
      </c>
      <c r="L2205" s="329">
        <v>44043</v>
      </c>
      <c r="M2205" s="332">
        <v>0</v>
      </c>
    </row>
    <row r="2206" spans="1:13" hidden="1" x14ac:dyDescent="0.25">
      <c r="A2206" s="329">
        <v>44043</v>
      </c>
      <c r="B2206" s="328" t="s">
        <v>1688</v>
      </c>
      <c r="C2206" s="328" t="s">
        <v>1060</v>
      </c>
      <c r="D2206" s="330">
        <v>2</v>
      </c>
      <c r="E2206" s="331">
        <v>187</v>
      </c>
      <c r="F2206" s="331">
        <v>17519.59</v>
      </c>
      <c r="G2206" s="328" t="s">
        <v>1686</v>
      </c>
      <c r="H2206" s="328" t="s">
        <v>1760</v>
      </c>
      <c r="I2206" s="328" t="s">
        <v>110</v>
      </c>
      <c r="J2206" s="328" t="s">
        <v>757</v>
      </c>
      <c r="K2206" s="328" t="s">
        <v>741</v>
      </c>
      <c r="L2206" s="329">
        <v>44043</v>
      </c>
      <c r="M2206" s="332">
        <v>0</v>
      </c>
    </row>
    <row r="2207" spans="1:13" hidden="1" x14ac:dyDescent="0.25">
      <c r="A2207" s="329">
        <v>44074</v>
      </c>
      <c r="B2207" s="328" t="s">
        <v>1695</v>
      </c>
      <c r="C2207" s="328" t="s">
        <v>1060</v>
      </c>
      <c r="D2207" s="330">
        <v>2</v>
      </c>
      <c r="E2207" s="331">
        <v>165</v>
      </c>
      <c r="F2207" s="331">
        <v>17684.59</v>
      </c>
      <c r="G2207" s="328" t="s">
        <v>1696</v>
      </c>
      <c r="H2207" s="328" t="s">
        <v>1760</v>
      </c>
      <c r="I2207" s="328" t="s">
        <v>110</v>
      </c>
      <c r="J2207" s="328" t="s">
        <v>757</v>
      </c>
      <c r="K2207" s="328" t="s">
        <v>741</v>
      </c>
      <c r="L2207" s="329">
        <v>44074</v>
      </c>
      <c r="M2207" s="332">
        <v>0</v>
      </c>
    </row>
    <row r="2208" spans="1:13" hidden="1" x14ac:dyDescent="0.25">
      <c r="A2208" s="329">
        <v>44074</v>
      </c>
      <c r="B2208" s="328" t="s">
        <v>1697</v>
      </c>
      <c r="C2208" s="328" t="s">
        <v>769</v>
      </c>
      <c r="D2208" s="330">
        <v>3</v>
      </c>
      <c r="E2208" s="331">
        <v>165</v>
      </c>
      <c r="F2208" s="331">
        <v>17849.59</v>
      </c>
      <c r="G2208" s="328" t="s">
        <v>1698</v>
      </c>
      <c r="H2208" s="328" t="s">
        <v>1760</v>
      </c>
      <c r="I2208" s="328" t="s">
        <v>110</v>
      </c>
      <c r="J2208" s="328" t="s">
        <v>757</v>
      </c>
      <c r="K2208" s="328" t="s">
        <v>770</v>
      </c>
      <c r="L2208" s="329">
        <v>44074</v>
      </c>
      <c r="M2208" s="332">
        <v>0</v>
      </c>
    </row>
    <row r="2209" spans="1:13" hidden="1" x14ac:dyDescent="0.25">
      <c r="A2209" s="329">
        <v>44074</v>
      </c>
      <c r="B2209" s="328" t="s">
        <v>1695</v>
      </c>
      <c r="C2209" s="328" t="s">
        <v>1060</v>
      </c>
      <c r="D2209" s="330">
        <v>3</v>
      </c>
      <c r="E2209" s="331">
        <v>-165</v>
      </c>
      <c r="F2209" s="331">
        <v>17684.59</v>
      </c>
      <c r="G2209" s="328" t="s">
        <v>1696</v>
      </c>
      <c r="H2209" s="328" t="s">
        <v>1760</v>
      </c>
      <c r="I2209" s="328" t="s">
        <v>110</v>
      </c>
      <c r="J2209" s="328" t="s">
        <v>757</v>
      </c>
      <c r="K2209" s="328" t="s">
        <v>741</v>
      </c>
      <c r="L2209" s="329">
        <v>44074</v>
      </c>
      <c r="M2209" s="332">
        <v>0</v>
      </c>
    </row>
    <row r="2210" spans="1:13" hidden="1" x14ac:dyDescent="0.25">
      <c r="A2210" s="329">
        <v>44104</v>
      </c>
      <c r="B2210" s="328" t="s">
        <v>1699</v>
      </c>
      <c r="C2210" s="328" t="s">
        <v>1060</v>
      </c>
      <c r="D2210" s="330">
        <v>3</v>
      </c>
      <c r="E2210" s="331">
        <v>247.5</v>
      </c>
      <c r="F2210" s="331">
        <v>17932.09</v>
      </c>
      <c r="G2210" s="328" t="s">
        <v>1700</v>
      </c>
      <c r="H2210" s="328" t="s">
        <v>1760</v>
      </c>
      <c r="I2210" s="328" t="s">
        <v>110</v>
      </c>
      <c r="J2210" s="328" t="s">
        <v>757</v>
      </c>
      <c r="K2210" s="328" t="s">
        <v>741</v>
      </c>
      <c r="L2210" s="329">
        <v>44104</v>
      </c>
      <c r="M2210" s="332">
        <v>0</v>
      </c>
    </row>
    <row r="2211" spans="1:13" hidden="1" x14ac:dyDescent="0.25">
      <c r="A2211" s="329">
        <v>44104</v>
      </c>
      <c r="B2211" s="328" t="s">
        <v>1699</v>
      </c>
      <c r="C2211" s="328" t="s">
        <v>1060</v>
      </c>
      <c r="D2211" s="330">
        <v>4</v>
      </c>
      <c r="E2211" s="331">
        <v>-247.5</v>
      </c>
      <c r="F2211" s="331">
        <v>17684.59</v>
      </c>
      <c r="G2211" s="328" t="s">
        <v>1700</v>
      </c>
      <c r="H2211" s="328" t="s">
        <v>1760</v>
      </c>
      <c r="I2211" s="328" t="s">
        <v>110</v>
      </c>
      <c r="J2211" s="328" t="s">
        <v>757</v>
      </c>
      <c r="K2211" s="328" t="s">
        <v>741</v>
      </c>
      <c r="L2211" s="329">
        <v>44104</v>
      </c>
      <c r="M2211" s="332">
        <v>0</v>
      </c>
    </row>
    <row r="2212" spans="1:13" hidden="1" x14ac:dyDescent="0.25">
      <c r="A2212" s="329">
        <v>44105</v>
      </c>
      <c r="B2212" s="328" t="s">
        <v>1701</v>
      </c>
      <c r="C2212" s="328" t="s">
        <v>769</v>
      </c>
      <c r="D2212" s="330">
        <v>4</v>
      </c>
      <c r="E2212" s="331">
        <v>247.5</v>
      </c>
      <c r="F2212" s="331">
        <v>17932.09</v>
      </c>
      <c r="G2212" s="328" t="s">
        <v>1702</v>
      </c>
      <c r="H2212" s="328" t="s">
        <v>1760</v>
      </c>
      <c r="I2212" s="328" t="s">
        <v>110</v>
      </c>
      <c r="J2212" s="328" t="s">
        <v>757</v>
      </c>
      <c r="K2212" s="328" t="s">
        <v>770</v>
      </c>
      <c r="L2212" s="329">
        <v>44105</v>
      </c>
      <c r="M2212" s="332">
        <v>0</v>
      </c>
    </row>
    <row r="2213" spans="1:13" hidden="1" x14ac:dyDescent="0.25">
      <c r="A2213" s="329">
        <v>44135</v>
      </c>
      <c r="B2213" s="328" t="s">
        <v>1703</v>
      </c>
      <c r="C2213" s="328" t="s">
        <v>1060</v>
      </c>
      <c r="D2213" s="330">
        <v>4</v>
      </c>
      <c r="E2213" s="331">
        <v>55</v>
      </c>
      <c r="F2213" s="331">
        <v>17987.09</v>
      </c>
      <c r="G2213" s="328" t="s">
        <v>1704</v>
      </c>
      <c r="H2213" s="328" t="s">
        <v>1760</v>
      </c>
      <c r="I2213" s="328" t="s">
        <v>110</v>
      </c>
      <c r="J2213" s="328" t="s">
        <v>757</v>
      </c>
      <c r="K2213" s="328" t="s">
        <v>741</v>
      </c>
      <c r="L2213" s="329">
        <v>44135</v>
      </c>
      <c r="M2213" s="332">
        <v>0</v>
      </c>
    </row>
    <row r="2214" spans="1:13" hidden="1" x14ac:dyDescent="0.25">
      <c r="A2214" s="329">
        <v>44135</v>
      </c>
      <c r="B2214" s="328" t="s">
        <v>1703</v>
      </c>
      <c r="C2214" s="328" t="s">
        <v>1060</v>
      </c>
      <c r="D2214" s="330">
        <v>5</v>
      </c>
      <c r="E2214" s="331">
        <v>-55</v>
      </c>
      <c r="F2214" s="331">
        <v>17932.09</v>
      </c>
      <c r="G2214" s="328" t="s">
        <v>1704</v>
      </c>
      <c r="H2214" s="328" t="s">
        <v>1760</v>
      </c>
      <c r="I2214" s="328" t="s">
        <v>110</v>
      </c>
      <c r="J2214" s="328" t="s">
        <v>757</v>
      </c>
      <c r="K2214" s="328" t="s">
        <v>741</v>
      </c>
      <c r="L2214" s="329">
        <v>44135</v>
      </c>
      <c r="M2214" s="332">
        <v>0</v>
      </c>
    </row>
    <row r="2215" spans="1:13" hidden="1" x14ac:dyDescent="0.25">
      <c r="A2215" s="329">
        <v>44135</v>
      </c>
      <c r="B2215" s="328" t="s">
        <v>1705</v>
      </c>
      <c r="C2215" s="328" t="s">
        <v>769</v>
      </c>
      <c r="D2215" s="330">
        <v>5</v>
      </c>
      <c r="E2215" s="331">
        <v>55</v>
      </c>
      <c r="F2215" s="331">
        <v>17987.09</v>
      </c>
      <c r="G2215" s="328" t="s">
        <v>1706</v>
      </c>
      <c r="H2215" s="328" t="s">
        <v>1760</v>
      </c>
      <c r="I2215" s="328" t="s">
        <v>110</v>
      </c>
      <c r="J2215" s="328" t="s">
        <v>757</v>
      </c>
      <c r="K2215" s="328" t="s">
        <v>770</v>
      </c>
      <c r="L2215" s="329">
        <v>44135</v>
      </c>
      <c r="M2215" s="332">
        <v>0</v>
      </c>
    </row>
    <row r="2216" spans="1:13" hidden="1" x14ac:dyDescent="0.25">
      <c r="A2216" s="329">
        <v>44165</v>
      </c>
      <c r="B2216" s="328" t="s">
        <v>1707</v>
      </c>
      <c r="C2216" s="328" t="s">
        <v>1060</v>
      </c>
      <c r="D2216" s="330">
        <v>5</v>
      </c>
      <c r="E2216" s="331">
        <v>49.5</v>
      </c>
      <c r="F2216" s="331">
        <v>18036.59</v>
      </c>
      <c r="G2216" s="328" t="s">
        <v>1708</v>
      </c>
      <c r="H2216" s="328" t="s">
        <v>1760</v>
      </c>
      <c r="I2216" s="328" t="s">
        <v>110</v>
      </c>
      <c r="J2216" s="328" t="s">
        <v>757</v>
      </c>
      <c r="K2216" s="328" t="s">
        <v>741</v>
      </c>
      <c r="L2216" s="329">
        <v>44165</v>
      </c>
      <c r="M2216" s="332">
        <v>0</v>
      </c>
    </row>
    <row r="2217" spans="1:13" hidden="1" x14ac:dyDescent="0.25">
      <c r="A2217" s="329">
        <v>44165</v>
      </c>
      <c r="B2217" s="328" t="s">
        <v>1707</v>
      </c>
      <c r="C2217" s="328" t="s">
        <v>1060</v>
      </c>
      <c r="D2217" s="330">
        <v>6</v>
      </c>
      <c r="E2217" s="331">
        <v>-49.5</v>
      </c>
      <c r="F2217" s="331">
        <v>17987.09</v>
      </c>
      <c r="G2217" s="328" t="s">
        <v>1708</v>
      </c>
      <c r="H2217" s="328" t="s">
        <v>1760</v>
      </c>
      <c r="I2217" s="328" t="s">
        <v>110</v>
      </c>
      <c r="J2217" s="328" t="s">
        <v>757</v>
      </c>
      <c r="K2217" s="328" t="s">
        <v>741</v>
      </c>
      <c r="L2217" s="329">
        <v>44165</v>
      </c>
      <c r="M2217" s="332">
        <v>0</v>
      </c>
    </row>
    <row r="2218" spans="1:13" hidden="1" x14ac:dyDescent="0.25">
      <c r="A2218" s="329">
        <v>44165</v>
      </c>
      <c r="B2218" s="328" t="s">
        <v>1709</v>
      </c>
      <c r="C2218" s="328" t="s">
        <v>769</v>
      </c>
      <c r="D2218" s="330">
        <v>6</v>
      </c>
      <c r="E2218" s="331">
        <v>49.5</v>
      </c>
      <c r="F2218" s="331">
        <v>18036.59</v>
      </c>
      <c r="G2218" s="328" t="s">
        <v>1710</v>
      </c>
      <c r="H2218" s="328" t="s">
        <v>1760</v>
      </c>
      <c r="I2218" s="328" t="s">
        <v>110</v>
      </c>
      <c r="J2218" s="328" t="s">
        <v>757</v>
      </c>
      <c r="K2218" s="328" t="s">
        <v>770</v>
      </c>
      <c r="L2218" s="329">
        <v>44165</v>
      </c>
      <c r="M2218" s="332">
        <v>0</v>
      </c>
    </row>
    <row r="2219" spans="1:13" hidden="1" x14ac:dyDescent="0.25">
      <c r="A2219" s="329">
        <v>44012</v>
      </c>
      <c r="B2219" s="328" t="s">
        <v>1681</v>
      </c>
      <c r="C2219" s="328" t="s">
        <v>1059</v>
      </c>
      <c r="D2219" s="330">
        <v>1</v>
      </c>
      <c r="E2219" s="331">
        <v>-88</v>
      </c>
      <c r="F2219" s="331">
        <v>17985.43</v>
      </c>
      <c r="G2219" s="328" t="s">
        <v>1682</v>
      </c>
      <c r="H2219" s="328" t="s">
        <v>1761</v>
      </c>
      <c r="I2219" s="328" t="s">
        <v>110</v>
      </c>
      <c r="J2219" s="328" t="s">
        <v>757</v>
      </c>
      <c r="K2219" s="328" t="s">
        <v>741</v>
      </c>
      <c r="L2219" s="329">
        <v>44012</v>
      </c>
      <c r="M2219" s="332">
        <v>0</v>
      </c>
    </row>
    <row r="2220" spans="1:13" hidden="1" x14ac:dyDescent="0.25">
      <c r="A2220" s="329">
        <v>44012</v>
      </c>
      <c r="B2220" s="328" t="s">
        <v>1678</v>
      </c>
      <c r="C2220" s="328" t="s">
        <v>769</v>
      </c>
      <c r="D2220" s="330">
        <v>1</v>
      </c>
      <c r="E2220" s="331">
        <v>132</v>
      </c>
      <c r="F2220" s="331">
        <v>18117.43</v>
      </c>
      <c r="G2220" s="328" t="s">
        <v>1679</v>
      </c>
      <c r="H2220" s="328" t="s">
        <v>1761</v>
      </c>
      <c r="I2220" s="328" t="s">
        <v>110</v>
      </c>
      <c r="J2220" s="328" t="s">
        <v>757</v>
      </c>
      <c r="K2220" s="328" t="s">
        <v>770</v>
      </c>
      <c r="L2220" s="329">
        <v>44012</v>
      </c>
      <c r="M2220" s="332">
        <v>0</v>
      </c>
    </row>
    <row r="2221" spans="1:13" hidden="1" x14ac:dyDescent="0.25">
      <c r="A2221" s="329">
        <v>44041</v>
      </c>
      <c r="B2221" s="328" t="s">
        <v>1683</v>
      </c>
      <c r="C2221" s="328" t="s">
        <v>936</v>
      </c>
      <c r="D2221" s="330">
        <v>1</v>
      </c>
      <c r="E2221" s="331">
        <v>-44</v>
      </c>
      <c r="F2221" s="331">
        <v>18073.43</v>
      </c>
      <c r="G2221" s="328" t="s">
        <v>1684</v>
      </c>
      <c r="H2221" s="328" t="s">
        <v>1761</v>
      </c>
      <c r="I2221" s="328" t="s">
        <v>110</v>
      </c>
      <c r="J2221" s="328" t="s">
        <v>757</v>
      </c>
      <c r="K2221" s="328" t="s">
        <v>770</v>
      </c>
      <c r="L2221" s="329">
        <v>44041</v>
      </c>
      <c r="M2221" s="332">
        <v>0</v>
      </c>
    </row>
    <row r="2222" spans="1:13" hidden="1" x14ac:dyDescent="0.25">
      <c r="A2222" s="329">
        <v>44043</v>
      </c>
      <c r="B2222" s="328" t="s">
        <v>1689</v>
      </c>
      <c r="C2222" s="328" t="s">
        <v>1060</v>
      </c>
      <c r="D2222" s="330">
        <v>1</v>
      </c>
      <c r="E2222" s="331">
        <v>-44</v>
      </c>
      <c r="F2222" s="331">
        <v>18029.43</v>
      </c>
      <c r="G2222" s="328" t="s">
        <v>1690</v>
      </c>
      <c r="H2222" s="328" t="s">
        <v>1761</v>
      </c>
      <c r="I2222" s="328" t="s">
        <v>110</v>
      </c>
      <c r="J2222" s="328" t="s">
        <v>757</v>
      </c>
      <c r="K2222" s="328" t="s">
        <v>741</v>
      </c>
      <c r="L2222" s="329">
        <v>44043</v>
      </c>
      <c r="M2222" s="332">
        <v>0</v>
      </c>
    </row>
    <row r="2223" spans="1:13" hidden="1" x14ac:dyDescent="0.25">
      <c r="A2223" s="329">
        <v>44043</v>
      </c>
      <c r="B2223" s="328" t="s">
        <v>1689</v>
      </c>
      <c r="C2223" s="328" t="s">
        <v>1060</v>
      </c>
      <c r="D2223" s="330">
        <v>1</v>
      </c>
      <c r="E2223" s="331">
        <v>93.5</v>
      </c>
      <c r="F2223" s="331">
        <v>18122.93</v>
      </c>
      <c r="G2223" s="328" t="s">
        <v>1686</v>
      </c>
      <c r="H2223" s="328" t="s">
        <v>1761</v>
      </c>
      <c r="I2223" s="328" t="s">
        <v>110</v>
      </c>
      <c r="J2223" s="328" t="s">
        <v>757</v>
      </c>
      <c r="K2223" s="328" t="s">
        <v>741</v>
      </c>
      <c r="L2223" s="329">
        <v>44043</v>
      </c>
      <c r="M2223" s="332">
        <v>0</v>
      </c>
    </row>
    <row r="2224" spans="1:13" hidden="1" x14ac:dyDescent="0.25">
      <c r="A2224" s="329">
        <v>44043</v>
      </c>
      <c r="B2224" s="328" t="s">
        <v>1688</v>
      </c>
      <c r="C2224" s="328" t="s">
        <v>1060</v>
      </c>
      <c r="D2224" s="330">
        <v>1</v>
      </c>
      <c r="E2224" s="331">
        <v>-44</v>
      </c>
      <c r="F2224" s="331">
        <v>18078.93</v>
      </c>
      <c r="G2224" s="328" t="s">
        <v>1687</v>
      </c>
      <c r="H2224" s="328" t="s">
        <v>1761</v>
      </c>
      <c r="I2224" s="328" t="s">
        <v>110</v>
      </c>
      <c r="J2224" s="328" t="s">
        <v>757</v>
      </c>
      <c r="K2224" s="328" t="s">
        <v>741</v>
      </c>
      <c r="L2224" s="329">
        <v>44043</v>
      </c>
      <c r="M2224" s="332">
        <v>0</v>
      </c>
    </row>
    <row r="2225" spans="1:13" hidden="1" x14ac:dyDescent="0.25">
      <c r="A2225" s="329">
        <v>44043</v>
      </c>
      <c r="B2225" s="328" t="s">
        <v>1688</v>
      </c>
      <c r="C2225" s="328" t="s">
        <v>1060</v>
      </c>
      <c r="D2225" s="330">
        <v>1</v>
      </c>
      <c r="E2225" s="331">
        <v>-93.5</v>
      </c>
      <c r="F2225" s="331">
        <v>17985.43</v>
      </c>
      <c r="G2225" s="328" t="s">
        <v>1686</v>
      </c>
      <c r="H2225" s="328" t="s">
        <v>1761</v>
      </c>
      <c r="I2225" s="328" t="s">
        <v>110</v>
      </c>
      <c r="J2225" s="328" t="s">
        <v>757</v>
      </c>
      <c r="K2225" s="328" t="s">
        <v>741</v>
      </c>
      <c r="L2225" s="329">
        <v>44043</v>
      </c>
      <c r="M2225" s="332">
        <v>0</v>
      </c>
    </row>
    <row r="2226" spans="1:13" hidden="1" x14ac:dyDescent="0.25">
      <c r="A2226" s="329">
        <v>44043</v>
      </c>
      <c r="B2226" s="328" t="s">
        <v>1685</v>
      </c>
      <c r="C2226" s="328" t="s">
        <v>1060</v>
      </c>
      <c r="D2226" s="330">
        <v>1</v>
      </c>
      <c r="E2226" s="331">
        <v>44</v>
      </c>
      <c r="F2226" s="331">
        <v>18029.43</v>
      </c>
      <c r="G2226" s="328" t="s">
        <v>1687</v>
      </c>
      <c r="H2226" s="328" t="s">
        <v>1761</v>
      </c>
      <c r="I2226" s="328" t="s">
        <v>110</v>
      </c>
      <c r="J2226" s="328" t="s">
        <v>757</v>
      </c>
      <c r="K2226" s="328" t="s">
        <v>741</v>
      </c>
      <c r="L2226" s="329">
        <v>44043</v>
      </c>
      <c r="M2226" s="332">
        <v>0</v>
      </c>
    </row>
    <row r="2227" spans="1:13" hidden="1" x14ac:dyDescent="0.25">
      <c r="A2227" s="329">
        <v>44043</v>
      </c>
      <c r="B2227" s="328" t="s">
        <v>1685</v>
      </c>
      <c r="C2227" s="328" t="s">
        <v>1060</v>
      </c>
      <c r="D2227" s="330">
        <v>1</v>
      </c>
      <c r="E2227" s="331">
        <v>93.5</v>
      </c>
      <c r="F2227" s="331">
        <v>18122.93</v>
      </c>
      <c r="G2227" s="328" t="s">
        <v>1686</v>
      </c>
      <c r="H2227" s="328" t="s">
        <v>1761</v>
      </c>
      <c r="I2227" s="328" t="s">
        <v>110</v>
      </c>
      <c r="J2227" s="328" t="s">
        <v>757</v>
      </c>
      <c r="K2227" s="328" t="s">
        <v>741</v>
      </c>
      <c r="L2227" s="329">
        <v>44043</v>
      </c>
      <c r="M2227" s="332">
        <v>0</v>
      </c>
    </row>
    <row r="2228" spans="1:13" hidden="1" x14ac:dyDescent="0.25">
      <c r="A2228" s="329">
        <v>44043</v>
      </c>
      <c r="B2228" s="328" t="s">
        <v>1685</v>
      </c>
      <c r="C2228" s="328" t="s">
        <v>1060</v>
      </c>
      <c r="D2228" s="330">
        <v>2</v>
      </c>
      <c r="E2228" s="331">
        <v>-44</v>
      </c>
      <c r="F2228" s="331">
        <v>18078.93</v>
      </c>
      <c r="G2228" s="328" t="s">
        <v>1687</v>
      </c>
      <c r="H2228" s="328" t="s">
        <v>1761</v>
      </c>
      <c r="I2228" s="328" t="s">
        <v>110</v>
      </c>
      <c r="J2228" s="328" t="s">
        <v>757</v>
      </c>
      <c r="K2228" s="328" t="s">
        <v>741</v>
      </c>
      <c r="L2228" s="329">
        <v>44043</v>
      </c>
      <c r="M2228" s="332">
        <v>0</v>
      </c>
    </row>
    <row r="2229" spans="1:13" hidden="1" x14ac:dyDescent="0.25">
      <c r="A2229" s="329">
        <v>44043</v>
      </c>
      <c r="B2229" s="328" t="s">
        <v>1685</v>
      </c>
      <c r="C2229" s="328" t="s">
        <v>1060</v>
      </c>
      <c r="D2229" s="330">
        <v>2</v>
      </c>
      <c r="E2229" s="331">
        <v>-93.5</v>
      </c>
      <c r="F2229" s="331">
        <v>17985.43</v>
      </c>
      <c r="G2229" s="328" t="s">
        <v>1686</v>
      </c>
      <c r="H2229" s="328" t="s">
        <v>1761</v>
      </c>
      <c r="I2229" s="328" t="s">
        <v>110</v>
      </c>
      <c r="J2229" s="328" t="s">
        <v>757</v>
      </c>
      <c r="K2229" s="328" t="s">
        <v>741</v>
      </c>
      <c r="L2229" s="329">
        <v>44043</v>
      </c>
      <c r="M2229" s="332">
        <v>0</v>
      </c>
    </row>
    <row r="2230" spans="1:13" hidden="1" x14ac:dyDescent="0.25">
      <c r="A2230" s="329">
        <v>44043</v>
      </c>
      <c r="B2230" s="328" t="s">
        <v>1693</v>
      </c>
      <c r="C2230" s="328" t="s">
        <v>936</v>
      </c>
      <c r="D2230" s="330">
        <v>2</v>
      </c>
      <c r="E2230" s="331">
        <v>-44</v>
      </c>
      <c r="F2230" s="331">
        <v>17941.43</v>
      </c>
      <c r="G2230" s="328" t="s">
        <v>1694</v>
      </c>
      <c r="H2230" s="328" t="s">
        <v>1761</v>
      </c>
      <c r="I2230" s="328" t="s">
        <v>110</v>
      </c>
      <c r="J2230" s="328" t="s">
        <v>757</v>
      </c>
      <c r="K2230" s="328" t="s">
        <v>770</v>
      </c>
      <c r="L2230" s="329">
        <v>44043</v>
      </c>
      <c r="M2230" s="332">
        <v>0</v>
      </c>
    </row>
    <row r="2231" spans="1:13" hidden="1" x14ac:dyDescent="0.25">
      <c r="A2231" s="329">
        <v>44043</v>
      </c>
      <c r="B2231" s="328" t="s">
        <v>1691</v>
      </c>
      <c r="C2231" s="328" t="s">
        <v>769</v>
      </c>
      <c r="D2231" s="330">
        <v>2</v>
      </c>
      <c r="E2231" s="331">
        <v>93.5</v>
      </c>
      <c r="F2231" s="331">
        <v>18034.93</v>
      </c>
      <c r="G2231" s="328" t="s">
        <v>1692</v>
      </c>
      <c r="H2231" s="328" t="s">
        <v>1761</v>
      </c>
      <c r="I2231" s="328" t="s">
        <v>110</v>
      </c>
      <c r="J2231" s="328" t="s">
        <v>757</v>
      </c>
      <c r="K2231" s="328" t="s">
        <v>770</v>
      </c>
      <c r="L2231" s="329">
        <v>44043</v>
      </c>
      <c r="M2231" s="332">
        <v>0</v>
      </c>
    </row>
    <row r="2232" spans="1:13" hidden="1" x14ac:dyDescent="0.25">
      <c r="A2232" s="329">
        <v>44043</v>
      </c>
      <c r="B2232" s="328" t="s">
        <v>1689</v>
      </c>
      <c r="C2232" s="328" t="s">
        <v>1060</v>
      </c>
      <c r="D2232" s="330">
        <v>2</v>
      </c>
      <c r="E2232" s="331">
        <v>44</v>
      </c>
      <c r="F2232" s="331">
        <v>18078.93</v>
      </c>
      <c r="G2232" s="328" t="s">
        <v>1690</v>
      </c>
      <c r="H2232" s="328" t="s">
        <v>1761</v>
      </c>
      <c r="I2232" s="328" t="s">
        <v>110</v>
      </c>
      <c r="J2232" s="328" t="s">
        <v>757</v>
      </c>
      <c r="K2232" s="328" t="s">
        <v>741</v>
      </c>
      <c r="L2232" s="329">
        <v>44043</v>
      </c>
      <c r="M2232" s="332">
        <v>0</v>
      </c>
    </row>
    <row r="2233" spans="1:13" hidden="1" x14ac:dyDescent="0.25">
      <c r="A2233" s="329">
        <v>44043</v>
      </c>
      <c r="B2233" s="328" t="s">
        <v>1689</v>
      </c>
      <c r="C2233" s="328" t="s">
        <v>1060</v>
      </c>
      <c r="D2233" s="330">
        <v>2</v>
      </c>
      <c r="E2233" s="331">
        <v>-93.5</v>
      </c>
      <c r="F2233" s="331">
        <v>17985.43</v>
      </c>
      <c r="G2233" s="328" t="s">
        <v>1686</v>
      </c>
      <c r="H2233" s="328" t="s">
        <v>1761</v>
      </c>
      <c r="I2233" s="328" t="s">
        <v>110</v>
      </c>
      <c r="J2233" s="328" t="s">
        <v>757</v>
      </c>
      <c r="K2233" s="328" t="s">
        <v>741</v>
      </c>
      <c r="L2233" s="329">
        <v>44043</v>
      </c>
      <c r="M2233" s="332">
        <v>0</v>
      </c>
    </row>
    <row r="2234" spans="1:13" hidden="1" x14ac:dyDescent="0.25">
      <c r="A2234" s="329">
        <v>44043</v>
      </c>
      <c r="B2234" s="328" t="s">
        <v>1688</v>
      </c>
      <c r="C2234" s="328" t="s">
        <v>1060</v>
      </c>
      <c r="D2234" s="330">
        <v>2</v>
      </c>
      <c r="E2234" s="331">
        <v>44</v>
      </c>
      <c r="F2234" s="331">
        <v>18029.43</v>
      </c>
      <c r="G2234" s="328" t="s">
        <v>1687</v>
      </c>
      <c r="H2234" s="328" t="s">
        <v>1761</v>
      </c>
      <c r="I2234" s="328" t="s">
        <v>110</v>
      </c>
      <c r="J2234" s="328" t="s">
        <v>757</v>
      </c>
      <c r="K2234" s="328" t="s">
        <v>741</v>
      </c>
      <c r="L2234" s="329">
        <v>44043</v>
      </c>
      <c r="M2234" s="332">
        <v>0</v>
      </c>
    </row>
    <row r="2235" spans="1:13" hidden="1" x14ac:dyDescent="0.25">
      <c r="A2235" s="329">
        <v>44043</v>
      </c>
      <c r="B2235" s="328" t="s">
        <v>1688</v>
      </c>
      <c r="C2235" s="328" t="s">
        <v>1060</v>
      </c>
      <c r="D2235" s="330">
        <v>2</v>
      </c>
      <c r="E2235" s="331">
        <v>93.5</v>
      </c>
      <c r="F2235" s="331">
        <v>18122.93</v>
      </c>
      <c r="G2235" s="328" t="s">
        <v>1686</v>
      </c>
      <c r="H2235" s="328" t="s">
        <v>1761</v>
      </c>
      <c r="I2235" s="328" t="s">
        <v>110</v>
      </c>
      <c r="J2235" s="328" t="s">
        <v>757</v>
      </c>
      <c r="K2235" s="328" t="s">
        <v>741</v>
      </c>
      <c r="L2235" s="329">
        <v>44043</v>
      </c>
      <c r="M2235" s="332">
        <v>0</v>
      </c>
    </row>
    <row r="2236" spans="1:13" hidden="1" x14ac:dyDescent="0.25">
      <c r="A2236" s="329">
        <v>44074</v>
      </c>
      <c r="B2236" s="328" t="s">
        <v>1695</v>
      </c>
      <c r="C2236" s="328" t="s">
        <v>1060</v>
      </c>
      <c r="D2236" s="330">
        <v>2</v>
      </c>
      <c r="E2236" s="331">
        <v>93.5</v>
      </c>
      <c r="F2236" s="331">
        <v>18216.43</v>
      </c>
      <c r="G2236" s="328" t="s">
        <v>1696</v>
      </c>
      <c r="H2236" s="328" t="s">
        <v>1761</v>
      </c>
      <c r="I2236" s="328" t="s">
        <v>110</v>
      </c>
      <c r="J2236" s="328" t="s">
        <v>757</v>
      </c>
      <c r="K2236" s="328" t="s">
        <v>741</v>
      </c>
      <c r="L2236" s="329">
        <v>44074</v>
      </c>
      <c r="M2236" s="332">
        <v>0</v>
      </c>
    </row>
    <row r="2237" spans="1:13" hidden="1" x14ac:dyDescent="0.25">
      <c r="A2237" s="329">
        <v>44074</v>
      </c>
      <c r="B2237" s="328" t="s">
        <v>1695</v>
      </c>
      <c r="C2237" s="328" t="s">
        <v>1060</v>
      </c>
      <c r="D2237" s="330">
        <v>3</v>
      </c>
      <c r="E2237" s="331">
        <v>-93.5</v>
      </c>
      <c r="F2237" s="331">
        <v>18122.93</v>
      </c>
      <c r="G2237" s="328" t="s">
        <v>1696</v>
      </c>
      <c r="H2237" s="328" t="s">
        <v>1761</v>
      </c>
      <c r="I2237" s="328" t="s">
        <v>110</v>
      </c>
      <c r="J2237" s="328" t="s">
        <v>757</v>
      </c>
      <c r="K2237" s="328" t="s">
        <v>741</v>
      </c>
      <c r="L2237" s="329">
        <v>44074</v>
      </c>
      <c r="M2237" s="332">
        <v>0</v>
      </c>
    </row>
    <row r="2238" spans="1:13" hidden="1" x14ac:dyDescent="0.25">
      <c r="A2238" s="329">
        <v>44074</v>
      </c>
      <c r="B2238" s="328" t="s">
        <v>1697</v>
      </c>
      <c r="C2238" s="328" t="s">
        <v>769</v>
      </c>
      <c r="D2238" s="330">
        <v>3</v>
      </c>
      <c r="E2238" s="331">
        <v>93.5</v>
      </c>
      <c r="F2238" s="331">
        <v>18216.43</v>
      </c>
      <c r="G2238" s="328" t="s">
        <v>1698</v>
      </c>
      <c r="H2238" s="328" t="s">
        <v>1761</v>
      </c>
      <c r="I2238" s="328" t="s">
        <v>110</v>
      </c>
      <c r="J2238" s="328" t="s">
        <v>757</v>
      </c>
      <c r="K2238" s="328" t="s">
        <v>770</v>
      </c>
      <c r="L2238" s="329">
        <v>44074</v>
      </c>
      <c r="M2238" s="332">
        <v>0</v>
      </c>
    </row>
    <row r="2239" spans="1:13" hidden="1" x14ac:dyDescent="0.25">
      <c r="A2239" s="329">
        <v>44104</v>
      </c>
      <c r="B2239" s="328" t="s">
        <v>1699</v>
      </c>
      <c r="C2239" s="328" t="s">
        <v>1060</v>
      </c>
      <c r="D2239" s="330">
        <v>3</v>
      </c>
      <c r="E2239" s="331">
        <v>110</v>
      </c>
      <c r="F2239" s="331">
        <v>18326.43</v>
      </c>
      <c r="G2239" s="328" t="s">
        <v>1700</v>
      </c>
      <c r="H2239" s="328" t="s">
        <v>1761</v>
      </c>
      <c r="I2239" s="328" t="s">
        <v>110</v>
      </c>
      <c r="J2239" s="328" t="s">
        <v>757</v>
      </c>
      <c r="K2239" s="328" t="s">
        <v>741</v>
      </c>
      <c r="L2239" s="329">
        <v>44104</v>
      </c>
      <c r="M2239" s="332">
        <v>0</v>
      </c>
    </row>
    <row r="2240" spans="1:13" hidden="1" x14ac:dyDescent="0.25">
      <c r="A2240" s="329">
        <v>44104</v>
      </c>
      <c r="B2240" s="328" t="s">
        <v>1699</v>
      </c>
      <c r="C2240" s="328" t="s">
        <v>1060</v>
      </c>
      <c r="D2240" s="330">
        <v>4</v>
      </c>
      <c r="E2240" s="331">
        <v>-110</v>
      </c>
      <c r="F2240" s="331">
        <v>18216.43</v>
      </c>
      <c r="G2240" s="328" t="s">
        <v>1700</v>
      </c>
      <c r="H2240" s="328" t="s">
        <v>1761</v>
      </c>
      <c r="I2240" s="328" t="s">
        <v>110</v>
      </c>
      <c r="J2240" s="328" t="s">
        <v>757</v>
      </c>
      <c r="K2240" s="328" t="s">
        <v>741</v>
      </c>
      <c r="L2240" s="329">
        <v>44104</v>
      </c>
      <c r="M2240" s="332">
        <v>0</v>
      </c>
    </row>
    <row r="2241" spans="1:13" hidden="1" x14ac:dyDescent="0.25">
      <c r="A2241" s="329">
        <v>44105</v>
      </c>
      <c r="B2241" s="328" t="s">
        <v>1701</v>
      </c>
      <c r="C2241" s="328" t="s">
        <v>769</v>
      </c>
      <c r="D2241" s="330">
        <v>4</v>
      </c>
      <c r="E2241" s="331">
        <v>110</v>
      </c>
      <c r="F2241" s="331">
        <v>18326.43</v>
      </c>
      <c r="G2241" s="328" t="s">
        <v>1702</v>
      </c>
      <c r="H2241" s="328" t="s">
        <v>1761</v>
      </c>
      <c r="I2241" s="328" t="s">
        <v>110</v>
      </c>
      <c r="J2241" s="328" t="s">
        <v>757</v>
      </c>
      <c r="K2241" s="328" t="s">
        <v>770</v>
      </c>
      <c r="L2241" s="329">
        <v>44105</v>
      </c>
      <c r="M2241" s="332">
        <v>0</v>
      </c>
    </row>
    <row r="2242" spans="1:13" hidden="1" x14ac:dyDescent="0.25">
      <c r="A2242" s="329">
        <v>44135</v>
      </c>
      <c r="B2242" s="328" t="s">
        <v>1703</v>
      </c>
      <c r="C2242" s="328" t="s">
        <v>1060</v>
      </c>
      <c r="D2242" s="330">
        <v>4</v>
      </c>
      <c r="E2242" s="331">
        <v>27.5</v>
      </c>
      <c r="F2242" s="331">
        <v>18353.93</v>
      </c>
      <c r="G2242" s="328" t="s">
        <v>1704</v>
      </c>
      <c r="H2242" s="328" t="s">
        <v>1761</v>
      </c>
      <c r="I2242" s="328" t="s">
        <v>110</v>
      </c>
      <c r="J2242" s="328" t="s">
        <v>757</v>
      </c>
      <c r="K2242" s="328" t="s">
        <v>741</v>
      </c>
      <c r="L2242" s="329">
        <v>44135</v>
      </c>
      <c r="M2242" s="332">
        <v>0</v>
      </c>
    </row>
    <row r="2243" spans="1:13" hidden="1" x14ac:dyDescent="0.25">
      <c r="A2243" s="329">
        <v>44135</v>
      </c>
      <c r="B2243" s="328" t="s">
        <v>1703</v>
      </c>
      <c r="C2243" s="328" t="s">
        <v>1060</v>
      </c>
      <c r="D2243" s="330">
        <v>5</v>
      </c>
      <c r="E2243" s="331">
        <v>-27.5</v>
      </c>
      <c r="F2243" s="331">
        <v>18326.43</v>
      </c>
      <c r="G2243" s="328" t="s">
        <v>1704</v>
      </c>
      <c r="H2243" s="328" t="s">
        <v>1761</v>
      </c>
      <c r="I2243" s="328" t="s">
        <v>110</v>
      </c>
      <c r="J2243" s="328" t="s">
        <v>757</v>
      </c>
      <c r="K2243" s="328" t="s">
        <v>741</v>
      </c>
      <c r="L2243" s="329">
        <v>44135</v>
      </c>
      <c r="M2243" s="332">
        <v>0</v>
      </c>
    </row>
    <row r="2244" spans="1:13" hidden="1" x14ac:dyDescent="0.25">
      <c r="A2244" s="329">
        <v>44135</v>
      </c>
      <c r="B2244" s="328" t="s">
        <v>1705</v>
      </c>
      <c r="C2244" s="328" t="s">
        <v>769</v>
      </c>
      <c r="D2244" s="330">
        <v>5</v>
      </c>
      <c r="E2244" s="331">
        <v>27.5</v>
      </c>
      <c r="F2244" s="331">
        <v>18353.93</v>
      </c>
      <c r="G2244" s="328" t="s">
        <v>1706</v>
      </c>
      <c r="H2244" s="328" t="s">
        <v>1761</v>
      </c>
      <c r="I2244" s="328" t="s">
        <v>110</v>
      </c>
      <c r="J2244" s="328" t="s">
        <v>757</v>
      </c>
      <c r="K2244" s="328" t="s">
        <v>770</v>
      </c>
      <c r="L2244" s="329">
        <v>44135</v>
      </c>
      <c r="M2244" s="332">
        <v>0</v>
      </c>
    </row>
    <row r="2245" spans="1:13" hidden="1" x14ac:dyDescent="0.25">
      <c r="A2245" s="329">
        <v>44165</v>
      </c>
      <c r="B2245" s="328" t="s">
        <v>1707</v>
      </c>
      <c r="C2245" s="328" t="s">
        <v>1060</v>
      </c>
      <c r="D2245" s="330">
        <v>5</v>
      </c>
      <c r="E2245" s="331">
        <v>27.5</v>
      </c>
      <c r="F2245" s="331">
        <v>18381.43</v>
      </c>
      <c r="G2245" s="328" t="s">
        <v>1708</v>
      </c>
      <c r="H2245" s="328" t="s">
        <v>1761</v>
      </c>
      <c r="I2245" s="328" t="s">
        <v>110</v>
      </c>
      <c r="J2245" s="328" t="s">
        <v>757</v>
      </c>
      <c r="K2245" s="328" t="s">
        <v>741</v>
      </c>
      <c r="L2245" s="329">
        <v>44165</v>
      </c>
      <c r="M2245" s="332">
        <v>0</v>
      </c>
    </row>
    <row r="2246" spans="1:13" hidden="1" x14ac:dyDescent="0.25">
      <c r="A2246" s="329">
        <v>44165</v>
      </c>
      <c r="B2246" s="328" t="s">
        <v>1707</v>
      </c>
      <c r="C2246" s="328" t="s">
        <v>1060</v>
      </c>
      <c r="D2246" s="330">
        <v>6</v>
      </c>
      <c r="E2246" s="331">
        <v>-27.5</v>
      </c>
      <c r="F2246" s="331">
        <v>18353.93</v>
      </c>
      <c r="G2246" s="328" t="s">
        <v>1708</v>
      </c>
      <c r="H2246" s="328" t="s">
        <v>1761</v>
      </c>
      <c r="I2246" s="328" t="s">
        <v>110</v>
      </c>
      <c r="J2246" s="328" t="s">
        <v>757</v>
      </c>
      <c r="K2246" s="328" t="s">
        <v>741</v>
      </c>
      <c r="L2246" s="329">
        <v>44165</v>
      </c>
      <c r="M2246" s="332">
        <v>0</v>
      </c>
    </row>
    <row r="2247" spans="1:13" hidden="1" x14ac:dyDescent="0.25">
      <c r="A2247" s="329">
        <v>44165</v>
      </c>
      <c r="B2247" s="328" t="s">
        <v>1709</v>
      </c>
      <c r="C2247" s="328" t="s">
        <v>769</v>
      </c>
      <c r="D2247" s="330">
        <v>6</v>
      </c>
      <c r="E2247" s="331">
        <v>27.5</v>
      </c>
      <c r="F2247" s="331">
        <v>18381.43</v>
      </c>
      <c r="G2247" s="328" t="s">
        <v>1710</v>
      </c>
      <c r="H2247" s="328" t="s">
        <v>1761</v>
      </c>
      <c r="I2247" s="328" t="s">
        <v>110</v>
      </c>
      <c r="J2247" s="328" t="s">
        <v>757</v>
      </c>
      <c r="K2247" s="328" t="s">
        <v>770</v>
      </c>
      <c r="L2247" s="329">
        <v>44165</v>
      </c>
      <c r="M2247" s="332">
        <v>0</v>
      </c>
    </row>
    <row r="2248" spans="1:13" hidden="1" x14ac:dyDescent="0.25">
      <c r="A2248" s="329">
        <v>44255</v>
      </c>
      <c r="B2248" s="328" t="s">
        <v>1722</v>
      </c>
      <c r="C2248" s="328" t="s">
        <v>769</v>
      </c>
      <c r="D2248" s="330">
        <v>9</v>
      </c>
      <c r="E2248" s="331">
        <v>11</v>
      </c>
      <c r="F2248" s="331">
        <v>18392.43</v>
      </c>
      <c r="G2248" s="328" t="s">
        <v>1723</v>
      </c>
      <c r="H2248" s="328" t="s">
        <v>1761</v>
      </c>
      <c r="I2248" s="328" t="s">
        <v>110</v>
      </c>
      <c r="J2248" s="328" t="s">
        <v>757</v>
      </c>
      <c r="K2248" s="328" t="s">
        <v>770</v>
      </c>
      <c r="L2248" s="329">
        <v>44255</v>
      </c>
      <c r="M2248" s="332">
        <v>0</v>
      </c>
    </row>
    <row r="2249" spans="1:13" hidden="1" x14ac:dyDescent="0.25">
      <c r="A2249" s="329">
        <v>44012</v>
      </c>
      <c r="B2249" s="328" t="s">
        <v>1678</v>
      </c>
      <c r="C2249" s="328" t="s">
        <v>769</v>
      </c>
      <c r="D2249" s="330">
        <v>1</v>
      </c>
      <c r="E2249" s="331">
        <v>88</v>
      </c>
      <c r="F2249" s="331">
        <v>18517.27</v>
      </c>
      <c r="G2249" s="328" t="s">
        <v>1679</v>
      </c>
      <c r="H2249" s="328" t="s">
        <v>1762</v>
      </c>
      <c r="I2249" s="328" t="s">
        <v>110</v>
      </c>
      <c r="J2249" s="328" t="s">
        <v>757</v>
      </c>
      <c r="K2249" s="328" t="s">
        <v>770</v>
      </c>
      <c r="L2249" s="329">
        <v>44012</v>
      </c>
      <c r="M2249" s="332">
        <v>0</v>
      </c>
    </row>
    <row r="2250" spans="1:13" hidden="1" x14ac:dyDescent="0.25">
      <c r="A2250" s="329">
        <v>44012</v>
      </c>
      <c r="B2250" s="328" t="s">
        <v>1681</v>
      </c>
      <c r="C2250" s="328" t="s">
        <v>1059</v>
      </c>
      <c r="D2250" s="330">
        <v>1</v>
      </c>
      <c r="E2250" s="331">
        <v>-55</v>
      </c>
      <c r="F2250" s="331">
        <v>18462.27</v>
      </c>
      <c r="G2250" s="328" t="s">
        <v>1682</v>
      </c>
      <c r="H2250" s="328" t="s">
        <v>1762</v>
      </c>
      <c r="I2250" s="328" t="s">
        <v>110</v>
      </c>
      <c r="J2250" s="328" t="s">
        <v>757</v>
      </c>
      <c r="K2250" s="328" t="s">
        <v>741</v>
      </c>
      <c r="L2250" s="329">
        <v>44012</v>
      </c>
      <c r="M2250" s="332">
        <v>0</v>
      </c>
    </row>
    <row r="2251" spans="1:13" hidden="1" x14ac:dyDescent="0.25">
      <c r="A2251" s="329">
        <v>44041</v>
      </c>
      <c r="B2251" s="328" t="s">
        <v>1683</v>
      </c>
      <c r="C2251" s="328" t="s">
        <v>936</v>
      </c>
      <c r="D2251" s="330">
        <v>1</v>
      </c>
      <c r="E2251" s="331">
        <v>-33</v>
      </c>
      <c r="F2251" s="331">
        <v>18429.27</v>
      </c>
      <c r="G2251" s="328" t="s">
        <v>1684</v>
      </c>
      <c r="H2251" s="328" t="s">
        <v>1762</v>
      </c>
      <c r="I2251" s="328" t="s">
        <v>110</v>
      </c>
      <c r="J2251" s="328" t="s">
        <v>757</v>
      </c>
      <c r="K2251" s="328" t="s">
        <v>770</v>
      </c>
      <c r="L2251" s="329">
        <v>44041</v>
      </c>
      <c r="M2251" s="332">
        <v>0</v>
      </c>
    </row>
    <row r="2252" spans="1:13" hidden="1" x14ac:dyDescent="0.25">
      <c r="A2252" s="329">
        <v>44043</v>
      </c>
      <c r="B2252" s="328" t="s">
        <v>1689</v>
      </c>
      <c r="C2252" s="328" t="s">
        <v>1060</v>
      </c>
      <c r="D2252" s="330">
        <v>1</v>
      </c>
      <c r="E2252" s="331">
        <v>-33</v>
      </c>
      <c r="F2252" s="331">
        <v>18396.27</v>
      </c>
      <c r="G2252" s="328" t="s">
        <v>1690</v>
      </c>
      <c r="H2252" s="328" t="s">
        <v>1762</v>
      </c>
      <c r="I2252" s="328" t="s">
        <v>110</v>
      </c>
      <c r="J2252" s="328" t="s">
        <v>757</v>
      </c>
      <c r="K2252" s="328" t="s">
        <v>741</v>
      </c>
      <c r="L2252" s="329">
        <v>44043</v>
      </c>
      <c r="M2252" s="332">
        <v>0</v>
      </c>
    </row>
    <row r="2253" spans="1:13" hidden="1" x14ac:dyDescent="0.25">
      <c r="A2253" s="329">
        <v>44043</v>
      </c>
      <c r="B2253" s="328" t="s">
        <v>1689</v>
      </c>
      <c r="C2253" s="328" t="s">
        <v>1060</v>
      </c>
      <c r="D2253" s="330">
        <v>1</v>
      </c>
      <c r="E2253" s="331">
        <v>99</v>
      </c>
      <c r="F2253" s="331">
        <v>18495.27</v>
      </c>
      <c r="G2253" s="328" t="s">
        <v>1686</v>
      </c>
      <c r="H2253" s="328" t="s">
        <v>1762</v>
      </c>
      <c r="I2253" s="328" t="s">
        <v>110</v>
      </c>
      <c r="J2253" s="328" t="s">
        <v>757</v>
      </c>
      <c r="K2253" s="328" t="s">
        <v>741</v>
      </c>
      <c r="L2253" s="329">
        <v>44043</v>
      </c>
      <c r="M2253" s="332">
        <v>0</v>
      </c>
    </row>
    <row r="2254" spans="1:13" hidden="1" x14ac:dyDescent="0.25">
      <c r="A2254" s="329">
        <v>44043</v>
      </c>
      <c r="B2254" s="328" t="s">
        <v>1688</v>
      </c>
      <c r="C2254" s="328" t="s">
        <v>1060</v>
      </c>
      <c r="D2254" s="330">
        <v>1</v>
      </c>
      <c r="E2254" s="331">
        <v>-33</v>
      </c>
      <c r="F2254" s="331">
        <v>18462.27</v>
      </c>
      <c r="G2254" s="328" t="s">
        <v>1687</v>
      </c>
      <c r="H2254" s="328" t="s">
        <v>1762</v>
      </c>
      <c r="I2254" s="328" t="s">
        <v>110</v>
      </c>
      <c r="J2254" s="328" t="s">
        <v>757</v>
      </c>
      <c r="K2254" s="328" t="s">
        <v>741</v>
      </c>
      <c r="L2254" s="329">
        <v>44043</v>
      </c>
      <c r="M2254" s="332">
        <v>0</v>
      </c>
    </row>
    <row r="2255" spans="1:13" hidden="1" x14ac:dyDescent="0.25">
      <c r="A2255" s="329">
        <v>44043</v>
      </c>
      <c r="B2255" s="328" t="s">
        <v>1688</v>
      </c>
      <c r="C2255" s="328" t="s">
        <v>1060</v>
      </c>
      <c r="D2255" s="330">
        <v>1</v>
      </c>
      <c r="E2255" s="331">
        <v>-99</v>
      </c>
      <c r="F2255" s="331">
        <v>18363.27</v>
      </c>
      <c r="G2255" s="328" t="s">
        <v>1686</v>
      </c>
      <c r="H2255" s="328" t="s">
        <v>1762</v>
      </c>
      <c r="I2255" s="328" t="s">
        <v>110</v>
      </c>
      <c r="J2255" s="328" t="s">
        <v>757</v>
      </c>
      <c r="K2255" s="328" t="s">
        <v>741</v>
      </c>
      <c r="L2255" s="329">
        <v>44043</v>
      </c>
      <c r="M2255" s="332">
        <v>0</v>
      </c>
    </row>
    <row r="2256" spans="1:13" hidden="1" x14ac:dyDescent="0.25">
      <c r="A2256" s="329">
        <v>44043</v>
      </c>
      <c r="B2256" s="328" t="s">
        <v>1685</v>
      </c>
      <c r="C2256" s="328" t="s">
        <v>1060</v>
      </c>
      <c r="D2256" s="330">
        <v>1</v>
      </c>
      <c r="E2256" s="331">
        <v>33</v>
      </c>
      <c r="F2256" s="331">
        <v>18396.27</v>
      </c>
      <c r="G2256" s="328" t="s">
        <v>1687</v>
      </c>
      <c r="H2256" s="328" t="s">
        <v>1762</v>
      </c>
      <c r="I2256" s="328" t="s">
        <v>110</v>
      </c>
      <c r="J2256" s="328" t="s">
        <v>757</v>
      </c>
      <c r="K2256" s="328" t="s">
        <v>741</v>
      </c>
      <c r="L2256" s="329">
        <v>44043</v>
      </c>
      <c r="M2256" s="332">
        <v>0</v>
      </c>
    </row>
    <row r="2257" spans="1:13" hidden="1" x14ac:dyDescent="0.25">
      <c r="A2257" s="329">
        <v>44043</v>
      </c>
      <c r="B2257" s="328" t="s">
        <v>1685</v>
      </c>
      <c r="C2257" s="328" t="s">
        <v>1060</v>
      </c>
      <c r="D2257" s="330">
        <v>1</v>
      </c>
      <c r="E2257" s="331">
        <v>99</v>
      </c>
      <c r="F2257" s="331">
        <v>18495.27</v>
      </c>
      <c r="G2257" s="328" t="s">
        <v>1686</v>
      </c>
      <c r="H2257" s="328" t="s">
        <v>1762</v>
      </c>
      <c r="I2257" s="328" t="s">
        <v>110</v>
      </c>
      <c r="J2257" s="328" t="s">
        <v>757</v>
      </c>
      <c r="K2257" s="328" t="s">
        <v>741</v>
      </c>
      <c r="L2257" s="329">
        <v>44043</v>
      </c>
      <c r="M2257" s="332">
        <v>0</v>
      </c>
    </row>
    <row r="2258" spans="1:13" hidden="1" x14ac:dyDescent="0.25">
      <c r="A2258" s="329">
        <v>44043</v>
      </c>
      <c r="B2258" s="328" t="s">
        <v>1685</v>
      </c>
      <c r="C2258" s="328" t="s">
        <v>1060</v>
      </c>
      <c r="D2258" s="330">
        <v>2</v>
      </c>
      <c r="E2258" s="331">
        <v>-33</v>
      </c>
      <c r="F2258" s="331">
        <v>18462.27</v>
      </c>
      <c r="G2258" s="328" t="s">
        <v>1687</v>
      </c>
      <c r="H2258" s="328" t="s">
        <v>1762</v>
      </c>
      <c r="I2258" s="328" t="s">
        <v>110</v>
      </c>
      <c r="J2258" s="328" t="s">
        <v>757</v>
      </c>
      <c r="K2258" s="328" t="s">
        <v>741</v>
      </c>
      <c r="L2258" s="329">
        <v>44043</v>
      </c>
      <c r="M2258" s="332">
        <v>0</v>
      </c>
    </row>
    <row r="2259" spans="1:13" hidden="1" x14ac:dyDescent="0.25">
      <c r="A2259" s="329">
        <v>44043</v>
      </c>
      <c r="B2259" s="328" t="s">
        <v>1685</v>
      </c>
      <c r="C2259" s="328" t="s">
        <v>1060</v>
      </c>
      <c r="D2259" s="330">
        <v>2</v>
      </c>
      <c r="E2259" s="331">
        <v>-99</v>
      </c>
      <c r="F2259" s="331">
        <v>18363.27</v>
      </c>
      <c r="G2259" s="328" t="s">
        <v>1686</v>
      </c>
      <c r="H2259" s="328" t="s">
        <v>1762</v>
      </c>
      <c r="I2259" s="328" t="s">
        <v>110</v>
      </c>
      <c r="J2259" s="328" t="s">
        <v>757</v>
      </c>
      <c r="K2259" s="328" t="s">
        <v>741</v>
      </c>
      <c r="L2259" s="329">
        <v>44043</v>
      </c>
      <c r="M2259" s="332">
        <v>0</v>
      </c>
    </row>
    <row r="2260" spans="1:13" hidden="1" x14ac:dyDescent="0.25">
      <c r="A2260" s="329">
        <v>44043</v>
      </c>
      <c r="B2260" s="328" t="s">
        <v>1693</v>
      </c>
      <c r="C2260" s="328" t="s">
        <v>936</v>
      </c>
      <c r="D2260" s="330">
        <v>2</v>
      </c>
      <c r="E2260" s="331">
        <v>-33</v>
      </c>
      <c r="F2260" s="331">
        <v>18330.27</v>
      </c>
      <c r="G2260" s="328" t="s">
        <v>1694</v>
      </c>
      <c r="H2260" s="328" t="s">
        <v>1762</v>
      </c>
      <c r="I2260" s="328" t="s">
        <v>110</v>
      </c>
      <c r="J2260" s="328" t="s">
        <v>757</v>
      </c>
      <c r="K2260" s="328" t="s">
        <v>770</v>
      </c>
      <c r="L2260" s="329">
        <v>44043</v>
      </c>
      <c r="M2260" s="332">
        <v>0</v>
      </c>
    </row>
    <row r="2261" spans="1:13" hidden="1" x14ac:dyDescent="0.25">
      <c r="A2261" s="329">
        <v>44043</v>
      </c>
      <c r="B2261" s="328" t="s">
        <v>1691</v>
      </c>
      <c r="C2261" s="328" t="s">
        <v>769</v>
      </c>
      <c r="D2261" s="330">
        <v>2</v>
      </c>
      <c r="E2261" s="331">
        <v>99</v>
      </c>
      <c r="F2261" s="331">
        <v>18429.27</v>
      </c>
      <c r="G2261" s="328" t="s">
        <v>1692</v>
      </c>
      <c r="H2261" s="328" t="s">
        <v>1762</v>
      </c>
      <c r="I2261" s="328" t="s">
        <v>110</v>
      </c>
      <c r="J2261" s="328" t="s">
        <v>757</v>
      </c>
      <c r="K2261" s="328" t="s">
        <v>770</v>
      </c>
      <c r="L2261" s="329">
        <v>44043</v>
      </c>
      <c r="M2261" s="332">
        <v>0</v>
      </c>
    </row>
    <row r="2262" spans="1:13" hidden="1" x14ac:dyDescent="0.25">
      <c r="A2262" s="329">
        <v>44043</v>
      </c>
      <c r="B2262" s="328" t="s">
        <v>1689</v>
      </c>
      <c r="C2262" s="328" t="s">
        <v>1060</v>
      </c>
      <c r="D2262" s="330">
        <v>2</v>
      </c>
      <c r="E2262" s="331">
        <v>33</v>
      </c>
      <c r="F2262" s="331">
        <v>18462.27</v>
      </c>
      <c r="G2262" s="328" t="s">
        <v>1690</v>
      </c>
      <c r="H2262" s="328" t="s">
        <v>1762</v>
      </c>
      <c r="I2262" s="328" t="s">
        <v>110</v>
      </c>
      <c r="J2262" s="328" t="s">
        <v>757</v>
      </c>
      <c r="K2262" s="328" t="s">
        <v>741</v>
      </c>
      <c r="L2262" s="329">
        <v>44043</v>
      </c>
      <c r="M2262" s="332">
        <v>0</v>
      </c>
    </row>
    <row r="2263" spans="1:13" hidden="1" x14ac:dyDescent="0.25">
      <c r="A2263" s="329">
        <v>44043</v>
      </c>
      <c r="B2263" s="328" t="s">
        <v>1689</v>
      </c>
      <c r="C2263" s="328" t="s">
        <v>1060</v>
      </c>
      <c r="D2263" s="330">
        <v>2</v>
      </c>
      <c r="E2263" s="331">
        <v>-99</v>
      </c>
      <c r="F2263" s="331">
        <v>18363.27</v>
      </c>
      <c r="G2263" s="328" t="s">
        <v>1686</v>
      </c>
      <c r="H2263" s="328" t="s">
        <v>1762</v>
      </c>
      <c r="I2263" s="328" t="s">
        <v>110</v>
      </c>
      <c r="J2263" s="328" t="s">
        <v>757</v>
      </c>
      <c r="K2263" s="328" t="s">
        <v>741</v>
      </c>
      <c r="L2263" s="329">
        <v>44043</v>
      </c>
      <c r="M2263" s="332">
        <v>0</v>
      </c>
    </row>
    <row r="2264" spans="1:13" hidden="1" x14ac:dyDescent="0.25">
      <c r="A2264" s="329">
        <v>44043</v>
      </c>
      <c r="B2264" s="328" t="s">
        <v>1688</v>
      </c>
      <c r="C2264" s="328" t="s">
        <v>1060</v>
      </c>
      <c r="D2264" s="330">
        <v>2</v>
      </c>
      <c r="E2264" s="331">
        <v>33</v>
      </c>
      <c r="F2264" s="331">
        <v>18396.27</v>
      </c>
      <c r="G2264" s="328" t="s">
        <v>1687</v>
      </c>
      <c r="H2264" s="328" t="s">
        <v>1762</v>
      </c>
      <c r="I2264" s="328" t="s">
        <v>110</v>
      </c>
      <c r="J2264" s="328" t="s">
        <v>757</v>
      </c>
      <c r="K2264" s="328" t="s">
        <v>741</v>
      </c>
      <c r="L2264" s="329">
        <v>44043</v>
      </c>
      <c r="M2264" s="332">
        <v>0</v>
      </c>
    </row>
    <row r="2265" spans="1:13" hidden="1" x14ac:dyDescent="0.25">
      <c r="A2265" s="329">
        <v>44043</v>
      </c>
      <c r="B2265" s="328" t="s">
        <v>1688</v>
      </c>
      <c r="C2265" s="328" t="s">
        <v>1060</v>
      </c>
      <c r="D2265" s="330">
        <v>2</v>
      </c>
      <c r="E2265" s="331">
        <v>99</v>
      </c>
      <c r="F2265" s="331">
        <v>18495.27</v>
      </c>
      <c r="G2265" s="328" t="s">
        <v>1686</v>
      </c>
      <c r="H2265" s="328" t="s">
        <v>1762</v>
      </c>
      <c r="I2265" s="328" t="s">
        <v>110</v>
      </c>
      <c r="J2265" s="328" t="s">
        <v>757</v>
      </c>
      <c r="K2265" s="328" t="s">
        <v>741</v>
      </c>
      <c r="L2265" s="329">
        <v>44043</v>
      </c>
      <c r="M2265" s="332">
        <v>0</v>
      </c>
    </row>
    <row r="2266" spans="1:13" hidden="1" x14ac:dyDescent="0.25">
      <c r="A2266" s="329">
        <v>44074</v>
      </c>
      <c r="B2266" s="328" t="s">
        <v>1695</v>
      </c>
      <c r="C2266" s="328" t="s">
        <v>1060</v>
      </c>
      <c r="D2266" s="330">
        <v>2</v>
      </c>
      <c r="E2266" s="331">
        <v>60.5</v>
      </c>
      <c r="F2266" s="331">
        <v>18555.77</v>
      </c>
      <c r="G2266" s="328" t="s">
        <v>1696</v>
      </c>
      <c r="H2266" s="328" t="s">
        <v>1762</v>
      </c>
      <c r="I2266" s="328" t="s">
        <v>110</v>
      </c>
      <c r="J2266" s="328" t="s">
        <v>757</v>
      </c>
      <c r="K2266" s="328" t="s">
        <v>741</v>
      </c>
      <c r="L2266" s="329">
        <v>44074</v>
      </c>
      <c r="M2266" s="332">
        <v>0</v>
      </c>
    </row>
    <row r="2267" spans="1:13" hidden="1" x14ac:dyDescent="0.25">
      <c r="A2267" s="329">
        <v>44074</v>
      </c>
      <c r="B2267" s="328" t="s">
        <v>1695</v>
      </c>
      <c r="C2267" s="328" t="s">
        <v>1060</v>
      </c>
      <c r="D2267" s="330">
        <v>3</v>
      </c>
      <c r="E2267" s="331">
        <v>-60.5</v>
      </c>
      <c r="F2267" s="331">
        <v>18495.27</v>
      </c>
      <c r="G2267" s="328" t="s">
        <v>1696</v>
      </c>
      <c r="H2267" s="328" t="s">
        <v>1762</v>
      </c>
      <c r="I2267" s="328" t="s">
        <v>110</v>
      </c>
      <c r="J2267" s="328" t="s">
        <v>757</v>
      </c>
      <c r="K2267" s="328" t="s">
        <v>741</v>
      </c>
      <c r="L2267" s="329">
        <v>44074</v>
      </c>
      <c r="M2267" s="332">
        <v>0</v>
      </c>
    </row>
    <row r="2268" spans="1:13" hidden="1" x14ac:dyDescent="0.25">
      <c r="A2268" s="329">
        <v>44074</v>
      </c>
      <c r="B2268" s="328" t="s">
        <v>1697</v>
      </c>
      <c r="C2268" s="328" t="s">
        <v>769</v>
      </c>
      <c r="D2268" s="330">
        <v>3</v>
      </c>
      <c r="E2268" s="331">
        <v>60.5</v>
      </c>
      <c r="F2268" s="331">
        <v>18555.77</v>
      </c>
      <c r="G2268" s="328" t="s">
        <v>1698</v>
      </c>
      <c r="H2268" s="328" t="s">
        <v>1762</v>
      </c>
      <c r="I2268" s="328" t="s">
        <v>110</v>
      </c>
      <c r="J2268" s="328" t="s">
        <v>757</v>
      </c>
      <c r="K2268" s="328" t="s">
        <v>770</v>
      </c>
      <c r="L2268" s="329">
        <v>44074</v>
      </c>
      <c r="M2268" s="332">
        <v>0</v>
      </c>
    </row>
    <row r="2269" spans="1:13" hidden="1" x14ac:dyDescent="0.25">
      <c r="A2269" s="329">
        <v>44104</v>
      </c>
      <c r="B2269" s="328" t="s">
        <v>1699</v>
      </c>
      <c r="C2269" s="328" t="s">
        <v>1060</v>
      </c>
      <c r="D2269" s="330">
        <v>3</v>
      </c>
      <c r="E2269" s="331">
        <v>88</v>
      </c>
      <c r="F2269" s="331">
        <v>18643.77</v>
      </c>
      <c r="G2269" s="328" t="s">
        <v>1700</v>
      </c>
      <c r="H2269" s="328" t="s">
        <v>1762</v>
      </c>
      <c r="I2269" s="328" t="s">
        <v>110</v>
      </c>
      <c r="J2269" s="328" t="s">
        <v>757</v>
      </c>
      <c r="K2269" s="328" t="s">
        <v>741</v>
      </c>
      <c r="L2269" s="329">
        <v>44104</v>
      </c>
      <c r="M2269" s="332">
        <v>0</v>
      </c>
    </row>
    <row r="2270" spans="1:13" hidden="1" x14ac:dyDescent="0.25">
      <c r="A2270" s="329">
        <v>44104</v>
      </c>
      <c r="B2270" s="328" t="s">
        <v>1699</v>
      </c>
      <c r="C2270" s="328" t="s">
        <v>1060</v>
      </c>
      <c r="D2270" s="330">
        <v>4</v>
      </c>
      <c r="E2270" s="331">
        <v>-88</v>
      </c>
      <c r="F2270" s="331">
        <v>18555.77</v>
      </c>
      <c r="G2270" s="328" t="s">
        <v>1700</v>
      </c>
      <c r="H2270" s="328" t="s">
        <v>1762</v>
      </c>
      <c r="I2270" s="328" t="s">
        <v>110</v>
      </c>
      <c r="J2270" s="328" t="s">
        <v>757</v>
      </c>
      <c r="K2270" s="328" t="s">
        <v>741</v>
      </c>
      <c r="L2270" s="329">
        <v>44104</v>
      </c>
      <c r="M2270" s="332">
        <v>0</v>
      </c>
    </row>
    <row r="2271" spans="1:13" hidden="1" x14ac:dyDescent="0.25">
      <c r="A2271" s="329">
        <v>44105</v>
      </c>
      <c r="B2271" s="328" t="s">
        <v>1701</v>
      </c>
      <c r="C2271" s="328" t="s">
        <v>769</v>
      </c>
      <c r="D2271" s="330">
        <v>4</v>
      </c>
      <c r="E2271" s="331">
        <v>88</v>
      </c>
      <c r="F2271" s="331">
        <v>18643.77</v>
      </c>
      <c r="G2271" s="328" t="s">
        <v>1702</v>
      </c>
      <c r="H2271" s="328" t="s">
        <v>1762</v>
      </c>
      <c r="I2271" s="328" t="s">
        <v>110</v>
      </c>
      <c r="J2271" s="328" t="s">
        <v>757</v>
      </c>
      <c r="K2271" s="328" t="s">
        <v>770</v>
      </c>
      <c r="L2271" s="329">
        <v>44105</v>
      </c>
      <c r="M2271" s="332">
        <v>0</v>
      </c>
    </row>
    <row r="2272" spans="1:13" hidden="1" x14ac:dyDescent="0.25">
      <c r="A2272" s="329">
        <v>44135</v>
      </c>
      <c r="B2272" s="328" t="s">
        <v>1703</v>
      </c>
      <c r="C2272" s="328" t="s">
        <v>1060</v>
      </c>
      <c r="D2272" s="330">
        <v>4</v>
      </c>
      <c r="E2272" s="331">
        <v>33</v>
      </c>
      <c r="F2272" s="331">
        <v>18676.77</v>
      </c>
      <c r="G2272" s="328" t="s">
        <v>1704</v>
      </c>
      <c r="H2272" s="328" t="s">
        <v>1762</v>
      </c>
      <c r="I2272" s="328" t="s">
        <v>110</v>
      </c>
      <c r="J2272" s="328" t="s">
        <v>757</v>
      </c>
      <c r="K2272" s="328" t="s">
        <v>741</v>
      </c>
      <c r="L2272" s="329">
        <v>44135</v>
      </c>
      <c r="M2272" s="332">
        <v>0</v>
      </c>
    </row>
    <row r="2273" spans="1:13" hidden="1" x14ac:dyDescent="0.25">
      <c r="A2273" s="329">
        <v>44135</v>
      </c>
      <c r="B2273" s="328" t="s">
        <v>1703</v>
      </c>
      <c r="C2273" s="328" t="s">
        <v>1060</v>
      </c>
      <c r="D2273" s="330">
        <v>5</v>
      </c>
      <c r="E2273" s="331">
        <v>-33</v>
      </c>
      <c r="F2273" s="331">
        <v>18643.77</v>
      </c>
      <c r="G2273" s="328" t="s">
        <v>1704</v>
      </c>
      <c r="H2273" s="328" t="s">
        <v>1762</v>
      </c>
      <c r="I2273" s="328" t="s">
        <v>110</v>
      </c>
      <c r="J2273" s="328" t="s">
        <v>757</v>
      </c>
      <c r="K2273" s="328" t="s">
        <v>741</v>
      </c>
      <c r="L2273" s="329">
        <v>44135</v>
      </c>
      <c r="M2273" s="332">
        <v>0</v>
      </c>
    </row>
    <row r="2274" spans="1:13" hidden="1" x14ac:dyDescent="0.25">
      <c r="A2274" s="329">
        <v>44135</v>
      </c>
      <c r="B2274" s="328" t="s">
        <v>1705</v>
      </c>
      <c r="C2274" s="328" t="s">
        <v>769</v>
      </c>
      <c r="D2274" s="330">
        <v>5</v>
      </c>
      <c r="E2274" s="331">
        <v>33</v>
      </c>
      <c r="F2274" s="331">
        <v>18676.77</v>
      </c>
      <c r="G2274" s="328" t="s">
        <v>1706</v>
      </c>
      <c r="H2274" s="328" t="s">
        <v>1762</v>
      </c>
      <c r="I2274" s="328" t="s">
        <v>110</v>
      </c>
      <c r="J2274" s="328" t="s">
        <v>757</v>
      </c>
      <c r="K2274" s="328" t="s">
        <v>770</v>
      </c>
      <c r="L2274" s="329">
        <v>44135</v>
      </c>
      <c r="M2274" s="332">
        <v>0</v>
      </c>
    </row>
    <row r="2275" spans="1:13" hidden="1" x14ac:dyDescent="0.25">
      <c r="A2275" s="329">
        <v>44165</v>
      </c>
      <c r="B2275" s="328" t="s">
        <v>1707</v>
      </c>
      <c r="C2275" s="328" t="s">
        <v>1060</v>
      </c>
      <c r="D2275" s="330">
        <v>5</v>
      </c>
      <c r="E2275" s="331">
        <v>33</v>
      </c>
      <c r="F2275" s="331">
        <v>18709.77</v>
      </c>
      <c r="G2275" s="328" t="s">
        <v>1708</v>
      </c>
      <c r="H2275" s="328" t="s">
        <v>1762</v>
      </c>
      <c r="I2275" s="328" t="s">
        <v>110</v>
      </c>
      <c r="J2275" s="328" t="s">
        <v>757</v>
      </c>
      <c r="K2275" s="328" t="s">
        <v>741</v>
      </c>
      <c r="L2275" s="329">
        <v>44165</v>
      </c>
      <c r="M2275" s="332">
        <v>0</v>
      </c>
    </row>
    <row r="2276" spans="1:13" hidden="1" x14ac:dyDescent="0.25">
      <c r="A2276" s="329">
        <v>44165</v>
      </c>
      <c r="B2276" s="328" t="s">
        <v>1707</v>
      </c>
      <c r="C2276" s="328" t="s">
        <v>1060</v>
      </c>
      <c r="D2276" s="330">
        <v>6</v>
      </c>
      <c r="E2276" s="331">
        <v>-33</v>
      </c>
      <c r="F2276" s="331">
        <v>18676.77</v>
      </c>
      <c r="G2276" s="328" t="s">
        <v>1708</v>
      </c>
      <c r="H2276" s="328" t="s">
        <v>1762</v>
      </c>
      <c r="I2276" s="328" t="s">
        <v>110</v>
      </c>
      <c r="J2276" s="328" t="s">
        <v>757</v>
      </c>
      <c r="K2276" s="328" t="s">
        <v>741</v>
      </c>
      <c r="L2276" s="329">
        <v>44165</v>
      </c>
      <c r="M2276" s="332">
        <v>0</v>
      </c>
    </row>
    <row r="2277" spans="1:13" hidden="1" x14ac:dyDescent="0.25">
      <c r="A2277" s="329">
        <v>44165</v>
      </c>
      <c r="B2277" s="328" t="s">
        <v>1709</v>
      </c>
      <c r="C2277" s="328" t="s">
        <v>769</v>
      </c>
      <c r="D2277" s="330">
        <v>6</v>
      </c>
      <c r="E2277" s="331">
        <v>33</v>
      </c>
      <c r="F2277" s="331">
        <v>18709.77</v>
      </c>
      <c r="G2277" s="328" t="s">
        <v>1710</v>
      </c>
      <c r="H2277" s="328" t="s">
        <v>1762</v>
      </c>
      <c r="I2277" s="328" t="s">
        <v>110</v>
      </c>
      <c r="J2277" s="328" t="s">
        <v>757</v>
      </c>
      <c r="K2277" s="328" t="s">
        <v>770</v>
      </c>
      <c r="L2277" s="329">
        <v>44165</v>
      </c>
      <c r="M2277" s="332">
        <v>0</v>
      </c>
    </row>
    <row r="2278" spans="1:13" hidden="1" x14ac:dyDescent="0.25">
      <c r="A2278" s="329">
        <v>44255</v>
      </c>
      <c r="B2278" s="328" t="s">
        <v>1720</v>
      </c>
      <c r="C2278" s="328" t="s">
        <v>1060</v>
      </c>
      <c r="D2278" s="330">
        <v>8</v>
      </c>
      <c r="E2278" s="331">
        <v>5.5</v>
      </c>
      <c r="F2278" s="331">
        <v>18715.27</v>
      </c>
      <c r="G2278" s="328" t="s">
        <v>1721</v>
      </c>
      <c r="H2278" s="328" t="s">
        <v>1762</v>
      </c>
      <c r="I2278" s="328" t="s">
        <v>110</v>
      </c>
      <c r="J2278" s="328" t="s">
        <v>757</v>
      </c>
      <c r="K2278" s="328" t="s">
        <v>741</v>
      </c>
      <c r="L2278" s="329">
        <v>44255</v>
      </c>
      <c r="M2278" s="332">
        <v>0</v>
      </c>
    </row>
    <row r="2279" spans="1:13" hidden="1" x14ac:dyDescent="0.25">
      <c r="A2279" s="329">
        <v>44255</v>
      </c>
      <c r="B2279" s="328" t="s">
        <v>1720</v>
      </c>
      <c r="C2279" s="328" t="s">
        <v>1060</v>
      </c>
      <c r="D2279" s="330">
        <v>9</v>
      </c>
      <c r="E2279" s="331">
        <v>-5.5</v>
      </c>
      <c r="F2279" s="331">
        <v>18709.77</v>
      </c>
      <c r="G2279" s="328" t="s">
        <v>1721</v>
      </c>
      <c r="H2279" s="328" t="s">
        <v>1762</v>
      </c>
      <c r="I2279" s="328" t="s">
        <v>110</v>
      </c>
      <c r="J2279" s="328" t="s">
        <v>757</v>
      </c>
      <c r="K2279" s="328" t="s">
        <v>741</v>
      </c>
      <c r="L2279" s="329">
        <v>44255</v>
      </c>
      <c r="M2279" s="332">
        <v>0</v>
      </c>
    </row>
    <row r="2280" spans="1:13" hidden="1" x14ac:dyDescent="0.25">
      <c r="A2280" s="329">
        <v>44255</v>
      </c>
      <c r="B2280" s="328" t="s">
        <v>1722</v>
      </c>
      <c r="C2280" s="328" t="s">
        <v>769</v>
      </c>
      <c r="D2280" s="330">
        <v>9</v>
      </c>
      <c r="E2280" s="331">
        <v>5.5</v>
      </c>
      <c r="F2280" s="331">
        <v>18715.27</v>
      </c>
      <c r="G2280" s="328" t="s">
        <v>1723</v>
      </c>
      <c r="H2280" s="328" t="s">
        <v>1762</v>
      </c>
      <c r="I2280" s="328" t="s">
        <v>110</v>
      </c>
      <c r="J2280" s="328" t="s">
        <v>757</v>
      </c>
      <c r="K2280" s="328" t="s">
        <v>770</v>
      </c>
      <c r="L2280" s="329">
        <v>44255</v>
      </c>
      <c r="M2280" s="332">
        <v>0</v>
      </c>
    </row>
    <row r="2281" spans="1:13" hidden="1" x14ac:dyDescent="0.25">
      <c r="A2281" s="329">
        <v>44286</v>
      </c>
      <c r="B2281" s="328" t="s">
        <v>1724</v>
      </c>
      <c r="C2281" s="328" t="s">
        <v>1060</v>
      </c>
      <c r="D2281" s="330">
        <v>9</v>
      </c>
      <c r="E2281" s="331">
        <v>16.5</v>
      </c>
      <c r="F2281" s="331">
        <v>18731.77</v>
      </c>
      <c r="G2281" s="328" t="s">
        <v>1725</v>
      </c>
      <c r="H2281" s="328" t="s">
        <v>1762</v>
      </c>
      <c r="I2281" s="328" t="s">
        <v>110</v>
      </c>
      <c r="J2281" s="328" t="s">
        <v>757</v>
      </c>
      <c r="K2281" s="328" t="s">
        <v>741</v>
      </c>
      <c r="L2281" s="329">
        <v>44286</v>
      </c>
      <c r="M2281" s="332">
        <v>0</v>
      </c>
    </row>
    <row r="2282" spans="1:13" hidden="1" x14ac:dyDescent="0.25">
      <c r="A2282" s="329">
        <v>44286</v>
      </c>
      <c r="B2282" s="328" t="s">
        <v>1726</v>
      </c>
      <c r="C2282" s="328" t="s">
        <v>769</v>
      </c>
      <c r="D2282" s="330">
        <v>10</v>
      </c>
      <c r="E2282" s="331">
        <v>16.5</v>
      </c>
      <c r="F2282" s="331">
        <v>18748.27</v>
      </c>
      <c r="G2282" s="328" t="s">
        <v>1727</v>
      </c>
      <c r="H2282" s="328" t="s">
        <v>1762</v>
      </c>
      <c r="I2282" s="328" t="s">
        <v>110</v>
      </c>
      <c r="J2282" s="328" t="s">
        <v>757</v>
      </c>
      <c r="K2282" s="328" t="s">
        <v>770</v>
      </c>
      <c r="L2282" s="329">
        <v>44286</v>
      </c>
      <c r="M2282" s="332">
        <v>0</v>
      </c>
    </row>
    <row r="2283" spans="1:13" hidden="1" x14ac:dyDescent="0.25">
      <c r="A2283" s="329">
        <v>44286</v>
      </c>
      <c r="B2283" s="328" t="s">
        <v>1724</v>
      </c>
      <c r="C2283" s="328" t="s">
        <v>1060</v>
      </c>
      <c r="D2283" s="330">
        <v>10</v>
      </c>
      <c r="E2283" s="331">
        <v>-16.5</v>
      </c>
      <c r="F2283" s="331">
        <v>18731.77</v>
      </c>
      <c r="G2283" s="328" t="s">
        <v>1725</v>
      </c>
      <c r="H2283" s="328" t="s">
        <v>1762</v>
      </c>
      <c r="I2283" s="328" t="s">
        <v>110</v>
      </c>
      <c r="J2283" s="328" t="s">
        <v>757</v>
      </c>
      <c r="K2283" s="328" t="s">
        <v>741</v>
      </c>
      <c r="L2283" s="329">
        <v>44286</v>
      </c>
      <c r="M2283" s="332">
        <v>0</v>
      </c>
    </row>
    <row r="2284" spans="1:13" hidden="1" x14ac:dyDescent="0.25">
      <c r="A2284" s="329">
        <v>44316</v>
      </c>
      <c r="B2284" s="328" t="s">
        <v>1728</v>
      </c>
      <c r="C2284" s="328" t="s">
        <v>1060</v>
      </c>
      <c r="D2284" s="330">
        <v>10</v>
      </c>
      <c r="E2284" s="331">
        <v>11</v>
      </c>
      <c r="F2284" s="331">
        <v>18742.77</v>
      </c>
      <c r="G2284" s="328" t="s">
        <v>1729</v>
      </c>
      <c r="H2284" s="328" t="s">
        <v>1762</v>
      </c>
      <c r="I2284" s="328" t="s">
        <v>110</v>
      </c>
      <c r="J2284" s="328" t="s">
        <v>757</v>
      </c>
      <c r="K2284" s="328" t="s">
        <v>741</v>
      </c>
      <c r="L2284" s="329">
        <v>44316</v>
      </c>
      <c r="M2284" s="332">
        <v>0</v>
      </c>
    </row>
    <row r="2285" spans="1:13" hidden="1" x14ac:dyDescent="0.25">
      <c r="A2285" s="329">
        <v>44012</v>
      </c>
      <c r="B2285" s="328" t="s">
        <v>1681</v>
      </c>
      <c r="C2285" s="328" t="s">
        <v>1059</v>
      </c>
      <c r="D2285" s="330">
        <v>1</v>
      </c>
      <c r="E2285" s="331">
        <v>-11</v>
      </c>
      <c r="F2285" s="331">
        <v>18768.61</v>
      </c>
      <c r="G2285" s="328" t="s">
        <v>1682</v>
      </c>
      <c r="H2285" s="328" t="s">
        <v>1763</v>
      </c>
      <c r="I2285" s="328" t="s">
        <v>110</v>
      </c>
      <c r="J2285" s="328" t="s">
        <v>757</v>
      </c>
      <c r="K2285" s="328" t="s">
        <v>741</v>
      </c>
      <c r="L2285" s="329">
        <v>44012</v>
      </c>
      <c r="M2285" s="332">
        <v>0</v>
      </c>
    </row>
    <row r="2286" spans="1:13" hidden="1" x14ac:dyDescent="0.25">
      <c r="A2286" s="329">
        <v>44012</v>
      </c>
      <c r="B2286" s="328" t="s">
        <v>1678</v>
      </c>
      <c r="C2286" s="328" t="s">
        <v>769</v>
      </c>
      <c r="D2286" s="330">
        <v>1</v>
      </c>
      <c r="E2286" s="331">
        <v>11</v>
      </c>
      <c r="F2286" s="331">
        <v>18779.61</v>
      </c>
      <c r="G2286" s="328" t="s">
        <v>1679</v>
      </c>
      <c r="H2286" s="328" t="s">
        <v>1763</v>
      </c>
      <c r="I2286" s="328" t="s">
        <v>110</v>
      </c>
      <c r="J2286" s="328" t="s">
        <v>757</v>
      </c>
      <c r="K2286" s="328" t="s">
        <v>770</v>
      </c>
      <c r="L2286" s="329">
        <v>44012</v>
      </c>
      <c r="M2286" s="332">
        <v>0</v>
      </c>
    </row>
    <row r="2287" spans="1:13" hidden="1" x14ac:dyDescent="0.25">
      <c r="A2287" s="329">
        <v>44043</v>
      </c>
      <c r="B2287" s="328" t="s">
        <v>1689</v>
      </c>
      <c r="C2287" s="328" t="s">
        <v>1060</v>
      </c>
      <c r="D2287" s="330">
        <v>1</v>
      </c>
      <c r="E2287" s="331">
        <v>16.5</v>
      </c>
      <c r="F2287" s="331">
        <v>18796.11</v>
      </c>
      <c r="G2287" s="328" t="s">
        <v>1686</v>
      </c>
      <c r="H2287" s="328" t="s">
        <v>1763</v>
      </c>
      <c r="I2287" s="328" t="s">
        <v>110</v>
      </c>
      <c r="J2287" s="328" t="s">
        <v>757</v>
      </c>
      <c r="K2287" s="328" t="s">
        <v>741</v>
      </c>
      <c r="L2287" s="329">
        <v>44043</v>
      </c>
      <c r="M2287" s="332">
        <v>0</v>
      </c>
    </row>
    <row r="2288" spans="1:13" hidden="1" x14ac:dyDescent="0.25">
      <c r="A2288" s="329">
        <v>44043</v>
      </c>
      <c r="B2288" s="328" t="s">
        <v>1688</v>
      </c>
      <c r="C2288" s="328" t="s">
        <v>1060</v>
      </c>
      <c r="D2288" s="330">
        <v>1</v>
      </c>
      <c r="E2288" s="331">
        <v>-16.5</v>
      </c>
      <c r="F2288" s="331">
        <v>18779.61</v>
      </c>
      <c r="G2288" s="328" t="s">
        <v>1686</v>
      </c>
      <c r="H2288" s="328" t="s">
        <v>1763</v>
      </c>
      <c r="I2288" s="328" t="s">
        <v>110</v>
      </c>
      <c r="J2288" s="328" t="s">
        <v>757</v>
      </c>
      <c r="K2288" s="328" t="s">
        <v>741</v>
      </c>
      <c r="L2288" s="329">
        <v>44043</v>
      </c>
      <c r="M2288" s="332">
        <v>0</v>
      </c>
    </row>
    <row r="2289" spans="1:13" hidden="1" x14ac:dyDescent="0.25">
      <c r="A2289" s="329">
        <v>44043</v>
      </c>
      <c r="B2289" s="328" t="s">
        <v>1685</v>
      </c>
      <c r="C2289" s="328" t="s">
        <v>1060</v>
      </c>
      <c r="D2289" s="330">
        <v>1</v>
      </c>
      <c r="E2289" s="331">
        <v>16.5</v>
      </c>
      <c r="F2289" s="331">
        <v>18796.11</v>
      </c>
      <c r="G2289" s="328" t="s">
        <v>1686</v>
      </c>
      <c r="H2289" s="328" t="s">
        <v>1763</v>
      </c>
      <c r="I2289" s="328" t="s">
        <v>110</v>
      </c>
      <c r="J2289" s="328" t="s">
        <v>757</v>
      </c>
      <c r="K2289" s="328" t="s">
        <v>741</v>
      </c>
      <c r="L2289" s="329">
        <v>44043</v>
      </c>
      <c r="M2289" s="332">
        <v>0</v>
      </c>
    </row>
    <row r="2290" spans="1:13" hidden="1" x14ac:dyDescent="0.25">
      <c r="A2290" s="329">
        <v>44043</v>
      </c>
      <c r="B2290" s="328" t="s">
        <v>1688</v>
      </c>
      <c r="C2290" s="328" t="s">
        <v>1060</v>
      </c>
      <c r="D2290" s="330">
        <v>2</v>
      </c>
      <c r="E2290" s="331">
        <v>16.5</v>
      </c>
      <c r="F2290" s="331">
        <v>18812.61</v>
      </c>
      <c r="G2290" s="328" t="s">
        <v>1686</v>
      </c>
      <c r="H2290" s="328" t="s">
        <v>1763</v>
      </c>
      <c r="I2290" s="328" t="s">
        <v>110</v>
      </c>
      <c r="J2290" s="328" t="s">
        <v>757</v>
      </c>
      <c r="K2290" s="328" t="s">
        <v>741</v>
      </c>
      <c r="L2290" s="329">
        <v>44043</v>
      </c>
      <c r="M2290" s="332">
        <v>0</v>
      </c>
    </row>
    <row r="2291" spans="1:13" hidden="1" x14ac:dyDescent="0.25">
      <c r="A2291" s="329">
        <v>44043</v>
      </c>
      <c r="B2291" s="328" t="s">
        <v>1685</v>
      </c>
      <c r="C2291" s="328" t="s">
        <v>1060</v>
      </c>
      <c r="D2291" s="330">
        <v>2</v>
      </c>
      <c r="E2291" s="331">
        <v>-16.5</v>
      </c>
      <c r="F2291" s="331">
        <v>18796.11</v>
      </c>
      <c r="G2291" s="328" t="s">
        <v>1686</v>
      </c>
      <c r="H2291" s="328" t="s">
        <v>1763</v>
      </c>
      <c r="I2291" s="328" t="s">
        <v>110</v>
      </c>
      <c r="J2291" s="328" t="s">
        <v>757</v>
      </c>
      <c r="K2291" s="328" t="s">
        <v>741</v>
      </c>
      <c r="L2291" s="329">
        <v>44043</v>
      </c>
      <c r="M2291" s="332">
        <v>0</v>
      </c>
    </row>
    <row r="2292" spans="1:13" hidden="1" x14ac:dyDescent="0.25">
      <c r="A2292" s="329">
        <v>44043</v>
      </c>
      <c r="B2292" s="328" t="s">
        <v>1691</v>
      </c>
      <c r="C2292" s="328" t="s">
        <v>769</v>
      </c>
      <c r="D2292" s="330">
        <v>2</v>
      </c>
      <c r="E2292" s="331">
        <v>16.5</v>
      </c>
      <c r="F2292" s="331">
        <v>18812.61</v>
      </c>
      <c r="G2292" s="328" t="s">
        <v>1692</v>
      </c>
      <c r="H2292" s="328" t="s">
        <v>1763</v>
      </c>
      <c r="I2292" s="328" t="s">
        <v>110</v>
      </c>
      <c r="J2292" s="328" t="s">
        <v>757</v>
      </c>
      <c r="K2292" s="328" t="s">
        <v>770</v>
      </c>
      <c r="L2292" s="329">
        <v>44043</v>
      </c>
      <c r="M2292" s="332">
        <v>0</v>
      </c>
    </row>
    <row r="2293" spans="1:13" hidden="1" x14ac:dyDescent="0.25">
      <c r="A2293" s="329">
        <v>44043</v>
      </c>
      <c r="B2293" s="328" t="s">
        <v>1689</v>
      </c>
      <c r="C2293" s="328" t="s">
        <v>1060</v>
      </c>
      <c r="D2293" s="330">
        <v>2</v>
      </c>
      <c r="E2293" s="331">
        <v>-16.5</v>
      </c>
      <c r="F2293" s="331">
        <v>18796.11</v>
      </c>
      <c r="G2293" s="328" t="s">
        <v>1686</v>
      </c>
      <c r="H2293" s="328" t="s">
        <v>1763</v>
      </c>
      <c r="I2293" s="328" t="s">
        <v>110</v>
      </c>
      <c r="J2293" s="328" t="s">
        <v>757</v>
      </c>
      <c r="K2293" s="328" t="s">
        <v>741</v>
      </c>
      <c r="L2293" s="329">
        <v>44043</v>
      </c>
      <c r="M2293" s="332">
        <v>0</v>
      </c>
    </row>
    <row r="2294" spans="1:13" hidden="1" x14ac:dyDescent="0.25">
      <c r="A2294" s="329">
        <v>44074</v>
      </c>
      <c r="B2294" s="328" t="s">
        <v>1695</v>
      </c>
      <c r="C2294" s="328" t="s">
        <v>1060</v>
      </c>
      <c r="D2294" s="330">
        <v>2</v>
      </c>
      <c r="E2294" s="331">
        <v>11</v>
      </c>
      <c r="F2294" s="331">
        <v>18807.11</v>
      </c>
      <c r="G2294" s="328" t="s">
        <v>1696</v>
      </c>
      <c r="H2294" s="328" t="s">
        <v>1763</v>
      </c>
      <c r="I2294" s="328" t="s">
        <v>110</v>
      </c>
      <c r="J2294" s="328" t="s">
        <v>757</v>
      </c>
      <c r="K2294" s="328" t="s">
        <v>741</v>
      </c>
      <c r="L2294" s="329">
        <v>44074</v>
      </c>
      <c r="M2294" s="332">
        <v>0</v>
      </c>
    </row>
    <row r="2295" spans="1:13" hidden="1" x14ac:dyDescent="0.25">
      <c r="A2295" s="329">
        <v>44074</v>
      </c>
      <c r="B2295" s="328" t="s">
        <v>1697</v>
      </c>
      <c r="C2295" s="328" t="s">
        <v>769</v>
      </c>
      <c r="D2295" s="330">
        <v>3</v>
      </c>
      <c r="E2295" s="331">
        <v>11</v>
      </c>
      <c r="F2295" s="331">
        <v>18818.11</v>
      </c>
      <c r="G2295" s="328" t="s">
        <v>1698</v>
      </c>
      <c r="H2295" s="328" t="s">
        <v>1763</v>
      </c>
      <c r="I2295" s="328" t="s">
        <v>110</v>
      </c>
      <c r="J2295" s="328" t="s">
        <v>757</v>
      </c>
      <c r="K2295" s="328" t="s">
        <v>770</v>
      </c>
      <c r="L2295" s="329">
        <v>44074</v>
      </c>
      <c r="M2295" s="332">
        <v>0</v>
      </c>
    </row>
    <row r="2296" spans="1:13" hidden="1" x14ac:dyDescent="0.25">
      <c r="A2296" s="329">
        <v>44074</v>
      </c>
      <c r="B2296" s="328" t="s">
        <v>1695</v>
      </c>
      <c r="C2296" s="328" t="s">
        <v>1060</v>
      </c>
      <c r="D2296" s="330">
        <v>3</v>
      </c>
      <c r="E2296" s="331">
        <v>-11</v>
      </c>
      <c r="F2296" s="331">
        <v>18807.11</v>
      </c>
      <c r="G2296" s="328" t="s">
        <v>1696</v>
      </c>
      <c r="H2296" s="328" t="s">
        <v>1763</v>
      </c>
      <c r="I2296" s="328" t="s">
        <v>110</v>
      </c>
      <c r="J2296" s="328" t="s">
        <v>757</v>
      </c>
      <c r="K2296" s="328" t="s">
        <v>741</v>
      </c>
      <c r="L2296" s="329">
        <v>44074</v>
      </c>
      <c r="M2296" s="332">
        <v>0</v>
      </c>
    </row>
    <row r="2297" spans="1:13" hidden="1" x14ac:dyDescent="0.25">
      <c r="A2297" s="329">
        <v>44104</v>
      </c>
      <c r="B2297" s="328" t="s">
        <v>1699</v>
      </c>
      <c r="C2297" s="328" t="s">
        <v>1060</v>
      </c>
      <c r="D2297" s="330">
        <v>3</v>
      </c>
      <c r="E2297" s="331">
        <v>16.5</v>
      </c>
      <c r="F2297" s="331">
        <v>18823.61</v>
      </c>
      <c r="G2297" s="328" t="s">
        <v>1700</v>
      </c>
      <c r="H2297" s="328" t="s">
        <v>1763</v>
      </c>
      <c r="I2297" s="328" t="s">
        <v>110</v>
      </c>
      <c r="J2297" s="328" t="s">
        <v>757</v>
      </c>
      <c r="K2297" s="328" t="s">
        <v>741</v>
      </c>
      <c r="L2297" s="329">
        <v>44104</v>
      </c>
      <c r="M2297" s="332">
        <v>0</v>
      </c>
    </row>
    <row r="2298" spans="1:13" hidden="1" x14ac:dyDescent="0.25">
      <c r="A2298" s="329">
        <v>44104</v>
      </c>
      <c r="B2298" s="328" t="s">
        <v>1699</v>
      </c>
      <c r="C2298" s="328" t="s">
        <v>1060</v>
      </c>
      <c r="D2298" s="330">
        <v>4</v>
      </c>
      <c r="E2298" s="331">
        <v>-16.5</v>
      </c>
      <c r="F2298" s="331">
        <v>18807.11</v>
      </c>
      <c r="G2298" s="328" t="s">
        <v>1700</v>
      </c>
      <c r="H2298" s="328" t="s">
        <v>1763</v>
      </c>
      <c r="I2298" s="328" t="s">
        <v>110</v>
      </c>
      <c r="J2298" s="328" t="s">
        <v>757</v>
      </c>
      <c r="K2298" s="328" t="s">
        <v>741</v>
      </c>
      <c r="L2298" s="329">
        <v>44104</v>
      </c>
      <c r="M2298" s="332">
        <v>0</v>
      </c>
    </row>
    <row r="2299" spans="1:13" hidden="1" x14ac:dyDescent="0.25">
      <c r="A2299" s="329">
        <v>44105</v>
      </c>
      <c r="B2299" s="328" t="s">
        <v>1701</v>
      </c>
      <c r="C2299" s="328" t="s">
        <v>769</v>
      </c>
      <c r="D2299" s="330">
        <v>4</v>
      </c>
      <c r="E2299" s="331">
        <v>16.5</v>
      </c>
      <c r="F2299" s="331">
        <v>18823.61</v>
      </c>
      <c r="G2299" s="328" t="s">
        <v>1702</v>
      </c>
      <c r="H2299" s="328" t="s">
        <v>1763</v>
      </c>
      <c r="I2299" s="328" t="s">
        <v>110</v>
      </c>
      <c r="J2299" s="328" t="s">
        <v>757</v>
      </c>
      <c r="K2299" s="328" t="s">
        <v>770</v>
      </c>
      <c r="L2299" s="329">
        <v>44105</v>
      </c>
      <c r="M2299" s="332">
        <v>0</v>
      </c>
    </row>
    <row r="2300" spans="1:13" hidden="1" x14ac:dyDescent="0.25">
      <c r="A2300" s="329">
        <v>44012</v>
      </c>
      <c r="B2300" s="328" t="s">
        <v>1678</v>
      </c>
      <c r="C2300" s="328" t="s">
        <v>769</v>
      </c>
      <c r="D2300" s="330">
        <v>1</v>
      </c>
      <c r="E2300" s="331">
        <v>11</v>
      </c>
      <c r="F2300" s="331">
        <v>18834.61</v>
      </c>
      <c r="G2300" s="328" t="s">
        <v>1679</v>
      </c>
      <c r="H2300" s="328" t="s">
        <v>1764</v>
      </c>
      <c r="I2300" s="328" t="s">
        <v>110</v>
      </c>
      <c r="J2300" s="328" t="s">
        <v>757</v>
      </c>
      <c r="K2300" s="328" t="s">
        <v>770</v>
      </c>
      <c r="L2300" s="329">
        <v>44012</v>
      </c>
      <c r="M2300" s="332">
        <v>0</v>
      </c>
    </row>
    <row r="2301" spans="1:13" hidden="1" x14ac:dyDescent="0.25">
      <c r="A2301" s="329">
        <v>44012</v>
      </c>
      <c r="B2301" s="328" t="s">
        <v>1681</v>
      </c>
      <c r="C2301" s="328" t="s">
        <v>1059</v>
      </c>
      <c r="D2301" s="330">
        <v>1</v>
      </c>
      <c r="E2301" s="331">
        <v>-11</v>
      </c>
      <c r="F2301" s="331">
        <v>18823.61</v>
      </c>
      <c r="G2301" s="328" t="s">
        <v>1682</v>
      </c>
      <c r="H2301" s="328" t="s">
        <v>1764</v>
      </c>
      <c r="I2301" s="328" t="s">
        <v>110</v>
      </c>
      <c r="J2301" s="328" t="s">
        <v>757</v>
      </c>
      <c r="K2301" s="328" t="s">
        <v>741</v>
      </c>
      <c r="L2301" s="329">
        <v>44012</v>
      </c>
      <c r="M2301" s="332">
        <v>0</v>
      </c>
    </row>
    <row r="2302" spans="1:13" hidden="1" x14ac:dyDescent="0.25">
      <c r="A2302" s="329">
        <v>44043</v>
      </c>
      <c r="B2302" s="328" t="s">
        <v>1689</v>
      </c>
      <c r="C2302" s="328" t="s">
        <v>1060</v>
      </c>
      <c r="D2302" s="330">
        <v>1</v>
      </c>
      <c r="E2302" s="331">
        <v>22</v>
      </c>
      <c r="F2302" s="331">
        <v>18845.61</v>
      </c>
      <c r="G2302" s="328" t="s">
        <v>1686</v>
      </c>
      <c r="H2302" s="328" t="s">
        <v>1764</v>
      </c>
      <c r="I2302" s="328" t="s">
        <v>110</v>
      </c>
      <c r="J2302" s="328" t="s">
        <v>757</v>
      </c>
      <c r="K2302" s="328" t="s">
        <v>741</v>
      </c>
      <c r="L2302" s="329">
        <v>44043</v>
      </c>
      <c r="M2302" s="332">
        <v>0</v>
      </c>
    </row>
    <row r="2303" spans="1:13" hidden="1" x14ac:dyDescent="0.25">
      <c r="A2303" s="329">
        <v>44043</v>
      </c>
      <c r="B2303" s="328" t="s">
        <v>1688</v>
      </c>
      <c r="C2303" s="328" t="s">
        <v>1060</v>
      </c>
      <c r="D2303" s="330">
        <v>1</v>
      </c>
      <c r="E2303" s="331">
        <v>-22</v>
      </c>
      <c r="F2303" s="331">
        <v>18823.61</v>
      </c>
      <c r="G2303" s="328" t="s">
        <v>1686</v>
      </c>
      <c r="H2303" s="328" t="s">
        <v>1764</v>
      </c>
      <c r="I2303" s="328" t="s">
        <v>110</v>
      </c>
      <c r="J2303" s="328" t="s">
        <v>757</v>
      </c>
      <c r="K2303" s="328" t="s">
        <v>741</v>
      </c>
      <c r="L2303" s="329">
        <v>44043</v>
      </c>
      <c r="M2303" s="332">
        <v>0</v>
      </c>
    </row>
    <row r="2304" spans="1:13" hidden="1" x14ac:dyDescent="0.25">
      <c r="A2304" s="329">
        <v>44043</v>
      </c>
      <c r="B2304" s="328" t="s">
        <v>1685</v>
      </c>
      <c r="C2304" s="328" t="s">
        <v>1060</v>
      </c>
      <c r="D2304" s="330">
        <v>1</v>
      </c>
      <c r="E2304" s="331">
        <v>22</v>
      </c>
      <c r="F2304" s="331">
        <v>18845.61</v>
      </c>
      <c r="G2304" s="328" t="s">
        <v>1686</v>
      </c>
      <c r="H2304" s="328" t="s">
        <v>1764</v>
      </c>
      <c r="I2304" s="328" t="s">
        <v>110</v>
      </c>
      <c r="J2304" s="328" t="s">
        <v>757</v>
      </c>
      <c r="K2304" s="328" t="s">
        <v>741</v>
      </c>
      <c r="L2304" s="329">
        <v>44043</v>
      </c>
      <c r="M2304" s="332">
        <v>0</v>
      </c>
    </row>
    <row r="2305" spans="1:13" hidden="1" x14ac:dyDescent="0.25">
      <c r="A2305" s="329">
        <v>44043</v>
      </c>
      <c r="B2305" s="328" t="s">
        <v>1689</v>
      </c>
      <c r="C2305" s="328" t="s">
        <v>1060</v>
      </c>
      <c r="D2305" s="330">
        <v>2</v>
      </c>
      <c r="E2305" s="331">
        <v>-22</v>
      </c>
      <c r="F2305" s="331">
        <v>18823.61</v>
      </c>
      <c r="G2305" s="328" t="s">
        <v>1686</v>
      </c>
      <c r="H2305" s="328" t="s">
        <v>1764</v>
      </c>
      <c r="I2305" s="328" t="s">
        <v>110</v>
      </c>
      <c r="J2305" s="328" t="s">
        <v>757</v>
      </c>
      <c r="K2305" s="328" t="s">
        <v>741</v>
      </c>
      <c r="L2305" s="329">
        <v>44043</v>
      </c>
      <c r="M2305" s="332">
        <v>0</v>
      </c>
    </row>
    <row r="2306" spans="1:13" hidden="1" x14ac:dyDescent="0.25">
      <c r="A2306" s="329">
        <v>44043</v>
      </c>
      <c r="B2306" s="328" t="s">
        <v>1688</v>
      </c>
      <c r="C2306" s="328" t="s">
        <v>1060</v>
      </c>
      <c r="D2306" s="330">
        <v>2</v>
      </c>
      <c r="E2306" s="331">
        <v>22</v>
      </c>
      <c r="F2306" s="331">
        <v>18845.61</v>
      </c>
      <c r="G2306" s="328" t="s">
        <v>1686</v>
      </c>
      <c r="H2306" s="328" t="s">
        <v>1764</v>
      </c>
      <c r="I2306" s="328" t="s">
        <v>110</v>
      </c>
      <c r="J2306" s="328" t="s">
        <v>757</v>
      </c>
      <c r="K2306" s="328" t="s">
        <v>741</v>
      </c>
      <c r="L2306" s="329">
        <v>44043</v>
      </c>
      <c r="M2306" s="332">
        <v>0</v>
      </c>
    </row>
    <row r="2307" spans="1:13" hidden="1" x14ac:dyDescent="0.25">
      <c r="A2307" s="329">
        <v>44043</v>
      </c>
      <c r="B2307" s="328" t="s">
        <v>1685</v>
      </c>
      <c r="C2307" s="328" t="s">
        <v>1060</v>
      </c>
      <c r="D2307" s="330">
        <v>2</v>
      </c>
      <c r="E2307" s="331">
        <v>-22</v>
      </c>
      <c r="F2307" s="331">
        <v>18823.61</v>
      </c>
      <c r="G2307" s="328" t="s">
        <v>1686</v>
      </c>
      <c r="H2307" s="328" t="s">
        <v>1764</v>
      </c>
      <c r="I2307" s="328" t="s">
        <v>110</v>
      </c>
      <c r="J2307" s="328" t="s">
        <v>757</v>
      </c>
      <c r="K2307" s="328" t="s">
        <v>741</v>
      </c>
      <c r="L2307" s="329">
        <v>44043</v>
      </c>
      <c r="M2307" s="332">
        <v>0</v>
      </c>
    </row>
    <row r="2308" spans="1:13" hidden="1" x14ac:dyDescent="0.25">
      <c r="A2308" s="329">
        <v>44043</v>
      </c>
      <c r="B2308" s="328" t="s">
        <v>1691</v>
      </c>
      <c r="C2308" s="328" t="s">
        <v>769</v>
      </c>
      <c r="D2308" s="330">
        <v>2</v>
      </c>
      <c r="E2308" s="331">
        <v>22</v>
      </c>
      <c r="F2308" s="331">
        <v>18845.61</v>
      </c>
      <c r="G2308" s="328" t="s">
        <v>1692</v>
      </c>
      <c r="H2308" s="328" t="s">
        <v>1764</v>
      </c>
      <c r="I2308" s="328" t="s">
        <v>110</v>
      </c>
      <c r="J2308" s="328" t="s">
        <v>757</v>
      </c>
      <c r="K2308" s="328" t="s">
        <v>770</v>
      </c>
      <c r="L2308" s="329">
        <v>44043</v>
      </c>
      <c r="M2308" s="332">
        <v>0</v>
      </c>
    </row>
    <row r="2309" spans="1:13" hidden="1" x14ac:dyDescent="0.25">
      <c r="A2309" s="329">
        <v>44074</v>
      </c>
      <c r="B2309" s="328" t="s">
        <v>1695</v>
      </c>
      <c r="C2309" s="328" t="s">
        <v>1060</v>
      </c>
      <c r="D2309" s="330">
        <v>2</v>
      </c>
      <c r="E2309" s="331">
        <v>11</v>
      </c>
      <c r="F2309" s="331">
        <v>18856.61</v>
      </c>
      <c r="G2309" s="328" t="s">
        <v>1696</v>
      </c>
      <c r="H2309" s="328" t="s">
        <v>1764</v>
      </c>
      <c r="I2309" s="328" t="s">
        <v>110</v>
      </c>
      <c r="J2309" s="328" t="s">
        <v>757</v>
      </c>
      <c r="K2309" s="328" t="s">
        <v>741</v>
      </c>
      <c r="L2309" s="329">
        <v>44074</v>
      </c>
      <c r="M2309" s="332">
        <v>0</v>
      </c>
    </row>
    <row r="2310" spans="1:13" hidden="1" x14ac:dyDescent="0.25">
      <c r="A2310" s="329">
        <v>44074</v>
      </c>
      <c r="B2310" s="328" t="s">
        <v>1695</v>
      </c>
      <c r="C2310" s="328" t="s">
        <v>1060</v>
      </c>
      <c r="D2310" s="330">
        <v>3</v>
      </c>
      <c r="E2310" s="331">
        <v>-11</v>
      </c>
      <c r="F2310" s="331">
        <v>18845.61</v>
      </c>
      <c r="G2310" s="328" t="s">
        <v>1696</v>
      </c>
      <c r="H2310" s="328" t="s">
        <v>1764</v>
      </c>
      <c r="I2310" s="328" t="s">
        <v>110</v>
      </c>
      <c r="J2310" s="328" t="s">
        <v>757</v>
      </c>
      <c r="K2310" s="328" t="s">
        <v>741</v>
      </c>
      <c r="L2310" s="329">
        <v>44074</v>
      </c>
      <c r="M2310" s="332">
        <v>0</v>
      </c>
    </row>
    <row r="2311" spans="1:13" hidden="1" x14ac:dyDescent="0.25">
      <c r="A2311" s="329">
        <v>44074</v>
      </c>
      <c r="B2311" s="328" t="s">
        <v>1697</v>
      </c>
      <c r="C2311" s="328" t="s">
        <v>769</v>
      </c>
      <c r="D2311" s="330">
        <v>3</v>
      </c>
      <c r="E2311" s="331">
        <v>11</v>
      </c>
      <c r="F2311" s="331">
        <v>18856.61</v>
      </c>
      <c r="G2311" s="328" t="s">
        <v>1698</v>
      </c>
      <c r="H2311" s="328" t="s">
        <v>1764</v>
      </c>
      <c r="I2311" s="328" t="s">
        <v>110</v>
      </c>
      <c r="J2311" s="328" t="s">
        <v>757</v>
      </c>
      <c r="K2311" s="328" t="s">
        <v>770</v>
      </c>
      <c r="L2311" s="329">
        <v>44074</v>
      </c>
      <c r="M2311" s="332">
        <v>0</v>
      </c>
    </row>
    <row r="2312" spans="1:13" hidden="1" x14ac:dyDescent="0.25">
      <c r="A2312" s="329">
        <v>44104</v>
      </c>
      <c r="B2312" s="328" t="s">
        <v>1699</v>
      </c>
      <c r="C2312" s="328" t="s">
        <v>1060</v>
      </c>
      <c r="D2312" s="330">
        <v>3</v>
      </c>
      <c r="E2312" s="331">
        <v>16.5</v>
      </c>
      <c r="F2312" s="331">
        <v>18873.11</v>
      </c>
      <c r="G2312" s="328" t="s">
        <v>1700</v>
      </c>
      <c r="H2312" s="328" t="s">
        <v>1764</v>
      </c>
      <c r="I2312" s="328" t="s">
        <v>110</v>
      </c>
      <c r="J2312" s="328" t="s">
        <v>757</v>
      </c>
      <c r="K2312" s="328" t="s">
        <v>741</v>
      </c>
      <c r="L2312" s="329">
        <v>44104</v>
      </c>
      <c r="M2312" s="332">
        <v>0</v>
      </c>
    </row>
    <row r="2313" spans="1:13" hidden="1" x14ac:dyDescent="0.25">
      <c r="A2313" s="329">
        <v>44104</v>
      </c>
      <c r="B2313" s="328" t="s">
        <v>1699</v>
      </c>
      <c r="C2313" s="328" t="s">
        <v>1060</v>
      </c>
      <c r="D2313" s="330">
        <v>4</v>
      </c>
      <c r="E2313" s="331">
        <v>-16.5</v>
      </c>
      <c r="F2313" s="331">
        <v>18856.61</v>
      </c>
      <c r="G2313" s="328" t="s">
        <v>1700</v>
      </c>
      <c r="H2313" s="328" t="s">
        <v>1764</v>
      </c>
      <c r="I2313" s="328" t="s">
        <v>110</v>
      </c>
      <c r="J2313" s="328" t="s">
        <v>757</v>
      </c>
      <c r="K2313" s="328" t="s">
        <v>741</v>
      </c>
      <c r="L2313" s="329">
        <v>44104</v>
      </c>
      <c r="M2313" s="332">
        <v>0</v>
      </c>
    </row>
    <row r="2314" spans="1:13" hidden="1" x14ac:dyDescent="0.25">
      <c r="A2314" s="329">
        <v>44105</v>
      </c>
      <c r="B2314" s="328" t="s">
        <v>1701</v>
      </c>
      <c r="C2314" s="328" t="s">
        <v>769</v>
      </c>
      <c r="D2314" s="330">
        <v>4</v>
      </c>
      <c r="E2314" s="331">
        <v>16.5</v>
      </c>
      <c r="F2314" s="331">
        <v>18873.11</v>
      </c>
      <c r="G2314" s="328" t="s">
        <v>1702</v>
      </c>
      <c r="H2314" s="328" t="s">
        <v>1764</v>
      </c>
      <c r="I2314" s="328" t="s">
        <v>110</v>
      </c>
      <c r="J2314" s="328" t="s">
        <v>757</v>
      </c>
      <c r="K2314" s="328" t="s">
        <v>770</v>
      </c>
      <c r="L2314" s="329">
        <v>44105</v>
      </c>
      <c r="M2314" s="332">
        <v>0</v>
      </c>
    </row>
    <row r="2315" spans="1:13" hidden="1" x14ac:dyDescent="0.25">
      <c r="A2315" s="329">
        <v>44135</v>
      </c>
      <c r="B2315" s="328" t="s">
        <v>1703</v>
      </c>
      <c r="C2315" s="328" t="s">
        <v>1060</v>
      </c>
      <c r="D2315" s="330">
        <v>4</v>
      </c>
      <c r="E2315" s="331">
        <v>5.5</v>
      </c>
      <c r="F2315" s="331">
        <v>18878.61</v>
      </c>
      <c r="G2315" s="328" t="s">
        <v>1704</v>
      </c>
      <c r="H2315" s="328" t="s">
        <v>1764</v>
      </c>
      <c r="I2315" s="328" t="s">
        <v>110</v>
      </c>
      <c r="J2315" s="328" t="s">
        <v>757</v>
      </c>
      <c r="K2315" s="328" t="s">
        <v>741</v>
      </c>
      <c r="L2315" s="329">
        <v>44135</v>
      </c>
      <c r="M2315" s="332">
        <v>0</v>
      </c>
    </row>
    <row r="2316" spans="1:13" hidden="1" x14ac:dyDescent="0.25">
      <c r="A2316" s="329">
        <v>44135</v>
      </c>
      <c r="B2316" s="328" t="s">
        <v>1703</v>
      </c>
      <c r="C2316" s="328" t="s">
        <v>1060</v>
      </c>
      <c r="D2316" s="330">
        <v>5</v>
      </c>
      <c r="E2316" s="331">
        <v>-5.5</v>
      </c>
      <c r="F2316" s="331">
        <v>18873.11</v>
      </c>
      <c r="G2316" s="328" t="s">
        <v>1704</v>
      </c>
      <c r="H2316" s="328" t="s">
        <v>1764</v>
      </c>
      <c r="I2316" s="328" t="s">
        <v>110</v>
      </c>
      <c r="J2316" s="328" t="s">
        <v>757</v>
      </c>
      <c r="K2316" s="328" t="s">
        <v>741</v>
      </c>
      <c r="L2316" s="329">
        <v>44135</v>
      </c>
      <c r="M2316" s="332">
        <v>0</v>
      </c>
    </row>
    <row r="2317" spans="1:13" hidden="1" x14ac:dyDescent="0.25">
      <c r="A2317" s="329">
        <v>44135</v>
      </c>
      <c r="B2317" s="328" t="s">
        <v>1705</v>
      </c>
      <c r="C2317" s="328" t="s">
        <v>769</v>
      </c>
      <c r="D2317" s="330">
        <v>5</v>
      </c>
      <c r="E2317" s="331">
        <v>5.5</v>
      </c>
      <c r="F2317" s="331">
        <v>18878.61</v>
      </c>
      <c r="G2317" s="328" t="s">
        <v>1706</v>
      </c>
      <c r="H2317" s="328" t="s">
        <v>1764</v>
      </c>
      <c r="I2317" s="328" t="s">
        <v>110</v>
      </c>
      <c r="J2317" s="328" t="s">
        <v>757</v>
      </c>
      <c r="K2317" s="328" t="s">
        <v>770</v>
      </c>
      <c r="L2317" s="329">
        <v>44135</v>
      </c>
      <c r="M2317" s="332">
        <v>0</v>
      </c>
    </row>
    <row r="2318" spans="1:13" hidden="1" x14ac:dyDescent="0.25">
      <c r="A2318" s="329">
        <v>44165</v>
      </c>
      <c r="B2318" s="328" t="s">
        <v>1707</v>
      </c>
      <c r="C2318" s="328" t="s">
        <v>1060</v>
      </c>
      <c r="D2318" s="330">
        <v>5</v>
      </c>
      <c r="E2318" s="331">
        <v>5.5</v>
      </c>
      <c r="F2318" s="331">
        <v>18884.11</v>
      </c>
      <c r="G2318" s="328" t="s">
        <v>1708</v>
      </c>
      <c r="H2318" s="328" t="s">
        <v>1764</v>
      </c>
      <c r="I2318" s="328" t="s">
        <v>110</v>
      </c>
      <c r="J2318" s="328" t="s">
        <v>757</v>
      </c>
      <c r="K2318" s="328" t="s">
        <v>741</v>
      </c>
      <c r="L2318" s="329">
        <v>44165</v>
      </c>
      <c r="M2318" s="332">
        <v>0</v>
      </c>
    </row>
    <row r="2319" spans="1:13" hidden="1" x14ac:dyDescent="0.25">
      <c r="A2319" s="329">
        <v>44165</v>
      </c>
      <c r="B2319" s="328" t="s">
        <v>1707</v>
      </c>
      <c r="C2319" s="328" t="s">
        <v>1060</v>
      </c>
      <c r="D2319" s="330">
        <v>6</v>
      </c>
      <c r="E2319" s="331">
        <v>-5.5</v>
      </c>
      <c r="F2319" s="331">
        <v>18878.61</v>
      </c>
      <c r="G2319" s="328" t="s">
        <v>1708</v>
      </c>
      <c r="H2319" s="328" t="s">
        <v>1764</v>
      </c>
      <c r="I2319" s="328" t="s">
        <v>110</v>
      </c>
      <c r="J2319" s="328" t="s">
        <v>757</v>
      </c>
      <c r="K2319" s="328" t="s">
        <v>741</v>
      </c>
      <c r="L2319" s="329">
        <v>44165</v>
      </c>
      <c r="M2319" s="332">
        <v>0</v>
      </c>
    </row>
    <row r="2320" spans="1:13" hidden="1" x14ac:dyDescent="0.25">
      <c r="A2320" s="329">
        <v>44165</v>
      </c>
      <c r="B2320" s="328" t="s">
        <v>1709</v>
      </c>
      <c r="C2320" s="328" t="s">
        <v>769</v>
      </c>
      <c r="D2320" s="330">
        <v>6</v>
      </c>
      <c r="E2320" s="331">
        <v>5.5</v>
      </c>
      <c r="F2320" s="331">
        <v>18884.11</v>
      </c>
      <c r="G2320" s="328" t="s">
        <v>1710</v>
      </c>
      <c r="H2320" s="328" t="s">
        <v>1764</v>
      </c>
      <c r="I2320" s="328" t="s">
        <v>110</v>
      </c>
      <c r="J2320" s="328" t="s">
        <v>757</v>
      </c>
      <c r="K2320" s="328" t="s">
        <v>770</v>
      </c>
      <c r="L2320" s="329">
        <v>44165</v>
      </c>
      <c r="M2320" s="332">
        <v>0</v>
      </c>
    </row>
    <row r="2321" spans="1:13" hidden="1" x14ac:dyDescent="0.25">
      <c r="A2321" s="329">
        <v>44012</v>
      </c>
      <c r="B2321" s="328" t="s">
        <v>1681</v>
      </c>
      <c r="C2321" s="328" t="s">
        <v>1059</v>
      </c>
      <c r="D2321" s="330">
        <v>1</v>
      </c>
      <c r="E2321" s="331">
        <v>-297</v>
      </c>
      <c r="F2321" s="331">
        <v>18623.95</v>
      </c>
      <c r="G2321" s="328" t="s">
        <v>1682</v>
      </c>
      <c r="H2321" s="328" t="s">
        <v>1765</v>
      </c>
      <c r="I2321" s="328" t="s">
        <v>110</v>
      </c>
      <c r="J2321" s="328" t="s">
        <v>757</v>
      </c>
      <c r="K2321" s="328" t="s">
        <v>741</v>
      </c>
      <c r="L2321" s="329">
        <v>44012</v>
      </c>
      <c r="M2321" s="332">
        <v>0</v>
      </c>
    </row>
    <row r="2322" spans="1:13" hidden="1" x14ac:dyDescent="0.25">
      <c r="A2322" s="329">
        <v>44012</v>
      </c>
      <c r="B2322" s="328" t="s">
        <v>1678</v>
      </c>
      <c r="C2322" s="328" t="s">
        <v>769</v>
      </c>
      <c r="D2322" s="330">
        <v>1</v>
      </c>
      <c r="E2322" s="331">
        <v>335.5</v>
      </c>
      <c r="F2322" s="331">
        <v>18959.45</v>
      </c>
      <c r="G2322" s="328" t="s">
        <v>1679</v>
      </c>
      <c r="H2322" s="328" t="s">
        <v>1765</v>
      </c>
      <c r="I2322" s="328" t="s">
        <v>110</v>
      </c>
      <c r="J2322" s="328" t="s">
        <v>757</v>
      </c>
      <c r="K2322" s="328" t="s">
        <v>770</v>
      </c>
      <c r="L2322" s="329">
        <v>44012</v>
      </c>
      <c r="M2322" s="332">
        <v>0</v>
      </c>
    </row>
    <row r="2323" spans="1:13" hidden="1" x14ac:dyDescent="0.25">
      <c r="A2323" s="329">
        <v>44041</v>
      </c>
      <c r="B2323" s="328" t="s">
        <v>1683</v>
      </c>
      <c r="C2323" s="328" t="s">
        <v>936</v>
      </c>
      <c r="D2323" s="330">
        <v>1</v>
      </c>
      <c r="E2323" s="331">
        <v>-38.5</v>
      </c>
      <c r="F2323" s="331">
        <v>18920.95</v>
      </c>
      <c r="G2323" s="328" t="s">
        <v>1684</v>
      </c>
      <c r="H2323" s="328" t="s">
        <v>1765</v>
      </c>
      <c r="I2323" s="328" t="s">
        <v>110</v>
      </c>
      <c r="J2323" s="328" t="s">
        <v>757</v>
      </c>
      <c r="K2323" s="328" t="s">
        <v>770</v>
      </c>
      <c r="L2323" s="329">
        <v>44041</v>
      </c>
      <c r="M2323" s="332">
        <v>0</v>
      </c>
    </row>
    <row r="2324" spans="1:13" hidden="1" x14ac:dyDescent="0.25">
      <c r="A2324" s="329">
        <v>44043</v>
      </c>
      <c r="B2324" s="328" t="s">
        <v>1689</v>
      </c>
      <c r="C2324" s="328" t="s">
        <v>1060</v>
      </c>
      <c r="D2324" s="330">
        <v>1</v>
      </c>
      <c r="E2324" s="331">
        <v>-38.5</v>
      </c>
      <c r="F2324" s="331">
        <v>18882.45</v>
      </c>
      <c r="G2324" s="328" t="s">
        <v>1690</v>
      </c>
      <c r="H2324" s="328" t="s">
        <v>1765</v>
      </c>
      <c r="I2324" s="328" t="s">
        <v>110</v>
      </c>
      <c r="J2324" s="328" t="s">
        <v>757</v>
      </c>
      <c r="K2324" s="328" t="s">
        <v>741</v>
      </c>
      <c r="L2324" s="329">
        <v>44043</v>
      </c>
      <c r="M2324" s="332">
        <v>0</v>
      </c>
    </row>
    <row r="2325" spans="1:13" hidden="1" x14ac:dyDescent="0.25">
      <c r="A2325" s="329">
        <v>44043</v>
      </c>
      <c r="B2325" s="328" t="s">
        <v>1689</v>
      </c>
      <c r="C2325" s="328" t="s">
        <v>1060</v>
      </c>
      <c r="D2325" s="330">
        <v>1</v>
      </c>
      <c r="E2325" s="331">
        <v>308</v>
      </c>
      <c r="F2325" s="331">
        <v>19190.45</v>
      </c>
      <c r="G2325" s="328" t="s">
        <v>1686</v>
      </c>
      <c r="H2325" s="328" t="s">
        <v>1765</v>
      </c>
      <c r="I2325" s="328" t="s">
        <v>110</v>
      </c>
      <c r="J2325" s="328" t="s">
        <v>757</v>
      </c>
      <c r="K2325" s="328" t="s">
        <v>741</v>
      </c>
      <c r="L2325" s="329">
        <v>44043</v>
      </c>
      <c r="M2325" s="332">
        <v>0</v>
      </c>
    </row>
    <row r="2326" spans="1:13" hidden="1" x14ac:dyDescent="0.25">
      <c r="A2326" s="329">
        <v>44043</v>
      </c>
      <c r="B2326" s="328" t="s">
        <v>1688</v>
      </c>
      <c r="C2326" s="328" t="s">
        <v>1060</v>
      </c>
      <c r="D2326" s="330">
        <v>1</v>
      </c>
      <c r="E2326" s="331">
        <v>-38.5</v>
      </c>
      <c r="F2326" s="331">
        <v>19151.95</v>
      </c>
      <c r="G2326" s="328" t="s">
        <v>1687</v>
      </c>
      <c r="H2326" s="328" t="s">
        <v>1765</v>
      </c>
      <c r="I2326" s="328" t="s">
        <v>110</v>
      </c>
      <c r="J2326" s="328" t="s">
        <v>757</v>
      </c>
      <c r="K2326" s="328" t="s">
        <v>741</v>
      </c>
      <c r="L2326" s="329">
        <v>44043</v>
      </c>
      <c r="M2326" s="332">
        <v>0</v>
      </c>
    </row>
    <row r="2327" spans="1:13" hidden="1" x14ac:dyDescent="0.25">
      <c r="A2327" s="329">
        <v>44043</v>
      </c>
      <c r="B2327" s="328" t="s">
        <v>1688</v>
      </c>
      <c r="C2327" s="328" t="s">
        <v>1060</v>
      </c>
      <c r="D2327" s="330">
        <v>1</v>
      </c>
      <c r="E2327" s="331">
        <v>-308</v>
      </c>
      <c r="F2327" s="331">
        <v>18843.95</v>
      </c>
      <c r="G2327" s="328" t="s">
        <v>1686</v>
      </c>
      <c r="H2327" s="328" t="s">
        <v>1765</v>
      </c>
      <c r="I2327" s="328" t="s">
        <v>110</v>
      </c>
      <c r="J2327" s="328" t="s">
        <v>757</v>
      </c>
      <c r="K2327" s="328" t="s">
        <v>741</v>
      </c>
      <c r="L2327" s="329">
        <v>44043</v>
      </c>
      <c r="M2327" s="332">
        <v>0</v>
      </c>
    </row>
    <row r="2328" spans="1:13" hidden="1" x14ac:dyDescent="0.25">
      <c r="A2328" s="329">
        <v>44043</v>
      </c>
      <c r="B2328" s="328" t="s">
        <v>1685</v>
      </c>
      <c r="C2328" s="328" t="s">
        <v>1060</v>
      </c>
      <c r="D2328" s="330">
        <v>1</v>
      </c>
      <c r="E2328" s="331">
        <v>38.5</v>
      </c>
      <c r="F2328" s="331">
        <v>18882.45</v>
      </c>
      <c r="G2328" s="328" t="s">
        <v>1687</v>
      </c>
      <c r="H2328" s="328" t="s">
        <v>1765</v>
      </c>
      <c r="I2328" s="328" t="s">
        <v>110</v>
      </c>
      <c r="J2328" s="328" t="s">
        <v>757</v>
      </c>
      <c r="K2328" s="328" t="s">
        <v>741</v>
      </c>
      <c r="L2328" s="329">
        <v>44043</v>
      </c>
      <c r="M2328" s="332">
        <v>0</v>
      </c>
    </row>
    <row r="2329" spans="1:13" hidden="1" x14ac:dyDescent="0.25">
      <c r="A2329" s="329">
        <v>44043</v>
      </c>
      <c r="B2329" s="328" t="s">
        <v>1685</v>
      </c>
      <c r="C2329" s="328" t="s">
        <v>1060</v>
      </c>
      <c r="D2329" s="330">
        <v>1</v>
      </c>
      <c r="E2329" s="331">
        <v>308</v>
      </c>
      <c r="F2329" s="331">
        <v>19190.45</v>
      </c>
      <c r="G2329" s="328" t="s">
        <v>1686</v>
      </c>
      <c r="H2329" s="328" t="s">
        <v>1765</v>
      </c>
      <c r="I2329" s="328" t="s">
        <v>110</v>
      </c>
      <c r="J2329" s="328" t="s">
        <v>757</v>
      </c>
      <c r="K2329" s="328" t="s">
        <v>741</v>
      </c>
      <c r="L2329" s="329">
        <v>44043</v>
      </c>
      <c r="M2329" s="332">
        <v>0</v>
      </c>
    </row>
    <row r="2330" spans="1:13" hidden="1" x14ac:dyDescent="0.25">
      <c r="A2330" s="329">
        <v>44043</v>
      </c>
      <c r="B2330" s="328" t="s">
        <v>1688</v>
      </c>
      <c r="C2330" s="328" t="s">
        <v>1060</v>
      </c>
      <c r="D2330" s="330">
        <v>2</v>
      </c>
      <c r="E2330" s="331">
        <v>308</v>
      </c>
      <c r="F2330" s="331">
        <v>19498.45</v>
      </c>
      <c r="G2330" s="328" t="s">
        <v>1686</v>
      </c>
      <c r="H2330" s="328" t="s">
        <v>1765</v>
      </c>
      <c r="I2330" s="328" t="s">
        <v>110</v>
      </c>
      <c r="J2330" s="328" t="s">
        <v>757</v>
      </c>
      <c r="K2330" s="328" t="s">
        <v>741</v>
      </c>
      <c r="L2330" s="329">
        <v>44043</v>
      </c>
      <c r="M2330" s="332">
        <v>0</v>
      </c>
    </row>
    <row r="2331" spans="1:13" hidden="1" x14ac:dyDescent="0.25">
      <c r="A2331" s="329">
        <v>44043</v>
      </c>
      <c r="B2331" s="328" t="s">
        <v>1688</v>
      </c>
      <c r="C2331" s="328" t="s">
        <v>1060</v>
      </c>
      <c r="D2331" s="330">
        <v>2</v>
      </c>
      <c r="E2331" s="331">
        <v>38.5</v>
      </c>
      <c r="F2331" s="331">
        <v>19536.95</v>
      </c>
      <c r="G2331" s="328" t="s">
        <v>1687</v>
      </c>
      <c r="H2331" s="328" t="s">
        <v>1765</v>
      </c>
      <c r="I2331" s="328" t="s">
        <v>110</v>
      </c>
      <c r="J2331" s="328" t="s">
        <v>757</v>
      </c>
      <c r="K2331" s="328" t="s">
        <v>741</v>
      </c>
      <c r="L2331" s="329">
        <v>44043</v>
      </c>
      <c r="M2331" s="332">
        <v>0</v>
      </c>
    </row>
    <row r="2332" spans="1:13" hidden="1" x14ac:dyDescent="0.25">
      <c r="A2332" s="329">
        <v>44043</v>
      </c>
      <c r="B2332" s="328" t="s">
        <v>1689</v>
      </c>
      <c r="C2332" s="328" t="s">
        <v>1060</v>
      </c>
      <c r="D2332" s="330">
        <v>2</v>
      </c>
      <c r="E2332" s="331">
        <v>-308</v>
      </c>
      <c r="F2332" s="331">
        <v>19228.95</v>
      </c>
      <c r="G2332" s="328" t="s">
        <v>1686</v>
      </c>
      <c r="H2332" s="328" t="s">
        <v>1765</v>
      </c>
      <c r="I2332" s="328" t="s">
        <v>110</v>
      </c>
      <c r="J2332" s="328" t="s">
        <v>757</v>
      </c>
      <c r="K2332" s="328" t="s">
        <v>741</v>
      </c>
      <c r="L2332" s="329">
        <v>44043</v>
      </c>
      <c r="M2332" s="332">
        <v>0</v>
      </c>
    </row>
    <row r="2333" spans="1:13" hidden="1" x14ac:dyDescent="0.25">
      <c r="A2333" s="329">
        <v>44043</v>
      </c>
      <c r="B2333" s="328" t="s">
        <v>1689</v>
      </c>
      <c r="C2333" s="328" t="s">
        <v>1060</v>
      </c>
      <c r="D2333" s="330">
        <v>2</v>
      </c>
      <c r="E2333" s="331">
        <v>38.5</v>
      </c>
      <c r="F2333" s="331">
        <v>19267.45</v>
      </c>
      <c r="G2333" s="328" t="s">
        <v>1690</v>
      </c>
      <c r="H2333" s="328" t="s">
        <v>1765</v>
      </c>
      <c r="I2333" s="328" t="s">
        <v>110</v>
      </c>
      <c r="J2333" s="328" t="s">
        <v>757</v>
      </c>
      <c r="K2333" s="328" t="s">
        <v>741</v>
      </c>
      <c r="L2333" s="329">
        <v>44043</v>
      </c>
      <c r="M2333" s="332">
        <v>0</v>
      </c>
    </row>
    <row r="2334" spans="1:13" hidden="1" x14ac:dyDescent="0.25">
      <c r="A2334" s="329">
        <v>44043</v>
      </c>
      <c r="B2334" s="328" t="s">
        <v>1685</v>
      </c>
      <c r="C2334" s="328" t="s">
        <v>1060</v>
      </c>
      <c r="D2334" s="330">
        <v>2</v>
      </c>
      <c r="E2334" s="331">
        <v>-38.5</v>
      </c>
      <c r="F2334" s="331">
        <v>19228.95</v>
      </c>
      <c r="G2334" s="328" t="s">
        <v>1687</v>
      </c>
      <c r="H2334" s="328" t="s">
        <v>1765</v>
      </c>
      <c r="I2334" s="328" t="s">
        <v>110</v>
      </c>
      <c r="J2334" s="328" t="s">
        <v>757</v>
      </c>
      <c r="K2334" s="328" t="s">
        <v>741</v>
      </c>
      <c r="L2334" s="329">
        <v>44043</v>
      </c>
      <c r="M2334" s="332">
        <v>0</v>
      </c>
    </row>
    <row r="2335" spans="1:13" hidden="1" x14ac:dyDescent="0.25">
      <c r="A2335" s="329">
        <v>44043</v>
      </c>
      <c r="B2335" s="328" t="s">
        <v>1685</v>
      </c>
      <c r="C2335" s="328" t="s">
        <v>1060</v>
      </c>
      <c r="D2335" s="330">
        <v>2</v>
      </c>
      <c r="E2335" s="331">
        <v>-308</v>
      </c>
      <c r="F2335" s="331">
        <v>18920.95</v>
      </c>
      <c r="G2335" s="328" t="s">
        <v>1686</v>
      </c>
      <c r="H2335" s="328" t="s">
        <v>1765</v>
      </c>
      <c r="I2335" s="328" t="s">
        <v>110</v>
      </c>
      <c r="J2335" s="328" t="s">
        <v>757</v>
      </c>
      <c r="K2335" s="328" t="s">
        <v>741</v>
      </c>
      <c r="L2335" s="329">
        <v>44043</v>
      </c>
      <c r="M2335" s="332">
        <v>0</v>
      </c>
    </row>
    <row r="2336" spans="1:13" hidden="1" x14ac:dyDescent="0.25">
      <c r="A2336" s="329">
        <v>44043</v>
      </c>
      <c r="B2336" s="328" t="s">
        <v>1693</v>
      </c>
      <c r="C2336" s="328" t="s">
        <v>936</v>
      </c>
      <c r="D2336" s="330">
        <v>2</v>
      </c>
      <c r="E2336" s="331">
        <v>-38.5</v>
      </c>
      <c r="F2336" s="331">
        <v>18882.45</v>
      </c>
      <c r="G2336" s="328" t="s">
        <v>1694</v>
      </c>
      <c r="H2336" s="328" t="s">
        <v>1765</v>
      </c>
      <c r="I2336" s="328" t="s">
        <v>110</v>
      </c>
      <c r="J2336" s="328" t="s">
        <v>757</v>
      </c>
      <c r="K2336" s="328" t="s">
        <v>770</v>
      </c>
      <c r="L2336" s="329">
        <v>44043</v>
      </c>
      <c r="M2336" s="332">
        <v>0</v>
      </c>
    </row>
    <row r="2337" spans="1:13" hidden="1" x14ac:dyDescent="0.25">
      <c r="A2337" s="329">
        <v>44043</v>
      </c>
      <c r="B2337" s="328" t="s">
        <v>1691</v>
      </c>
      <c r="C2337" s="328" t="s">
        <v>769</v>
      </c>
      <c r="D2337" s="330">
        <v>2</v>
      </c>
      <c r="E2337" s="331">
        <v>308</v>
      </c>
      <c r="F2337" s="331">
        <v>19190.45</v>
      </c>
      <c r="G2337" s="328" t="s">
        <v>1692</v>
      </c>
      <c r="H2337" s="328" t="s">
        <v>1765</v>
      </c>
      <c r="I2337" s="328" t="s">
        <v>110</v>
      </c>
      <c r="J2337" s="328" t="s">
        <v>757</v>
      </c>
      <c r="K2337" s="328" t="s">
        <v>770</v>
      </c>
      <c r="L2337" s="329">
        <v>44043</v>
      </c>
      <c r="M2337" s="332">
        <v>0</v>
      </c>
    </row>
    <row r="2338" spans="1:13" hidden="1" x14ac:dyDescent="0.25">
      <c r="A2338" s="329">
        <v>44074</v>
      </c>
      <c r="B2338" s="328" t="s">
        <v>1695</v>
      </c>
      <c r="C2338" s="328" t="s">
        <v>1060</v>
      </c>
      <c r="D2338" s="330">
        <v>2</v>
      </c>
      <c r="E2338" s="331">
        <v>280.5</v>
      </c>
      <c r="F2338" s="331">
        <v>19470.95</v>
      </c>
      <c r="G2338" s="328" t="s">
        <v>1696</v>
      </c>
      <c r="H2338" s="328" t="s">
        <v>1765</v>
      </c>
      <c r="I2338" s="328" t="s">
        <v>110</v>
      </c>
      <c r="J2338" s="328" t="s">
        <v>757</v>
      </c>
      <c r="K2338" s="328" t="s">
        <v>741</v>
      </c>
      <c r="L2338" s="329">
        <v>44074</v>
      </c>
      <c r="M2338" s="332">
        <v>0</v>
      </c>
    </row>
    <row r="2339" spans="1:13" hidden="1" x14ac:dyDescent="0.25">
      <c r="A2339" s="329">
        <v>44074</v>
      </c>
      <c r="B2339" s="328" t="s">
        <v>1697</v>
      </c>
      <c r="C2339" s="328" t="s">
        <v>769</v>
      </c>
      <c r="D2339" s="330">
        <v>3</v>
      </c>
      <c r="E2339" s="331">
        <v>280.5</v>
      </c>
      <c r="F2339" s="331">
        <v>19751.45</v>
      </c>
      <c r="G2339" s="328" t="s">
        <v>1698</v>
      </c>
      <c r="H2339" s="328" t="s">
        <v>1765</v>
      </c>
      <c r="I2339" s="328" t="s">
        <v>110</v>
      </c>
      <c r="J2339" s="328" t="s">
        <v>757</v>
      </c>
      <c r="K2339" s="328" t="s">
        <v>770</v>
      </c>
      <c r="L2339" s="329">
        <v>44074</v>
      </c>
      <c r="M2339" s="332">
        <v>0</v>
      </c>
    </row>
    <row r="2340" spans="1:13" hidden="1" x14ac:dyDescent="0.25">
      <c r="A2340" s="329">
        <v>44074</v>
      </c>
      <c r="B2340" s="328" t="s">
        <v>1695</v>
      </c>
      <c r="C2340" s="328" t="s">
        <v>1060</v>
      </c>
      <c r="D2340" s="330">
        <v>3</v>
      </c>
      <c r="E2340" s="331">
        <v>-280.5</v>
      </c>
      <c r="F2340" s="331">
        <v>19470.95</v>
      </c>
      <c r="G2340" s="328" t="s">
        <v>1696</v>
      </c>
      <c r="H2340" s="328" t="s">
        <v>1765</v>
      </c>
      <c r="I2340" s="328" t="s">
        <v>110</v>
      </c>
      <c r="J2340" s="328" t="s">
        <v>757</v>
      </c>
      <c r="K2340" s="328" t="s">
        <v>741</v>
      </c>
      <c r="L2340" s="329">
        <v>44074</v>
      </c>
      <c r="M2340" s="332">
        <v>0</v>
      </c>
    </row>
    <row r="2341" spans="1:13" hidden="1" x14ac:dyDescent="0.25">
      <c r="A2341" s="329">
        <v>44104</v>
      </c>
      <c r="B2341" s="328" t="s">
        <v>1699</v>
      </c>
      <c r="C2341" s="328" t="s">
        <v>1060</v>
      </c>
      <c r="D2341" s="330">
        <v>3</v>
      </c>
      <c r="E2341" s="331">
        <v>401.5</v>
      </c>
      <c r="F2341" s="331">
        <v>19872.45</v>
      </c>
      <c r="G2341" s="328" t="s">
        <v>1700</v>
      </c>
      <c r="H2341" s="328" t="s">
        <v>1765</v>
      </c>
      <c r="I2341" s="328" t="s">
        <v>110</v>
      </c>
      <c r="J2341" s="328" t="s">
        <v>757</v>
      </c>
      <c r="K2341" s="328" t="s">
        <v>741</v>
      </c>
      <c r="L2341" s="329">
        <v>44104</v>
      </c>
      <c r="M2341" s="332">
        <v>0</v>
      </c>
    </row>
    <row r="2342" spans="1:13" hidden="1" x14ac:dyDescent="0.25">
      <c r="A2342" s="329">
        <v>44104</v>
      </c>
      <c r="B2342" s="328" t="s">
        <v>1699</v>
      </c>
      <c r="C2342" s="328" t="s">
        <v>1060</v>
      </c>
      <c r="D2342" s="330">
        <v>4</v>
      </c>
      <c r="E2342" s="331">
        <v>-401.5</v>
      </c>
      <c r="F2342" s="331">
        <v>19470.95</v>
      </c>
      <c r="G2342" s="328" t="s">
        <v>1700</v>
      </c>
      <c r="H2342" s="328" t="s">
        <v>1765</v>
      </c>
      <c r="I2342" s="328" t="s">
        <v>110</v>
      </c>
      <c r="J2342" s="328" t="s">
        <v>757</v>
      </c>
      <c r="K2342" s="328" t="s">
        <v>741</v>
      </c>
      <c r="L2342" s="329">
        <v>44104</v>
      </c>
      <c r="M2342" s="332">
        <v>0</v>
      </c>
    </row>
    <row r="2343" spans="1:13" hidden="1" x14ac:dyDescent="0.25">
      <c r="A2343" s="329">
        <v>44105</v>
      </c>
      <c r="B2343" s="328" t="s">
        <v>1701</v>
      </c>
      <c r="C2343" s="328" t="s">
        <v>769</v>
      </c>
      <c r="D2343" s="330">
        <v>4</v>
      </c>
      <c r="E2343" s="331">
        <v>401.5</v>
      </c>
      <c r="F2343" s="331">
        <v>19872.45</v>
      </c>
      <c r="G2343" s="328" t="s">
        <v>1702</v>
      </c>
      <c r="H2343" s="328" t="s">
        <v>1765</v>
      </c>
      <c r="I2343" s="328" t="s">
        <v>110</v>
      </c>
      <c r="J2343" s="328" t="s">
        <v>757</v>
      </c>
      <c r="K2343" s="328" t="s">
        <v>770</v>
      </c>
      <c r="L2343" s="329">
        <v>44105</v>
      </c>
      <c r="M2343" s="332">
        <v>0</v>
      </c>
    </row>
    <row r="2344" spans="1:13" hidden="1" x14ac:dyDescent="0.25">
      <c r="A2344" s="329">
        <v>44135</v>
      </c>
      <c r="B2344" s="328" t="s">
        <v>1703</v>
      </c>
      <c r="C2344" s="328" t="s">
        <v>1060</v>
      </c>
      <c r="D2344" s="330">
        <v>4</v>
      </c>
      <c r="E2344" s="331">
        <v>104.5</v>
      </c>
      <c r="F2344" s="331">
        <v>19976.95</v>
      </c>
      <c r="G2344" s="328" t="s">
        <v>1704</v>
      </c>
      <c r="H2344" s="328" t="s">
        <v>1765</v>
      </c>
      <c r="I2344" s="328" t="s">
        <v>110</v>
      </c>
      <c r="J2344" s="328" t="s">
        <v>757</v>
      </c>
      <c r="K2344" s="328" t="s">
        <v>741</v>
      </c>
      <c r="L2344" s="329">
        <v>44135</v>
      </c>
      <c r="M2344" s="332">
        <v>0</v>
      </c>
    </row>
    <row r="2345" spans="1:13" hidden="1" x14ac:dyDescent="0.25">
      <c r="A2345" s="329">
        <v>44135</v>
      </c>
      <c r="B2345" s="328" t="s">
        <v>1703</v>
      </c>
      <c r="C2345" s="328" t="s">
        <v>1060</v>
      </c>
      <c r="D2345" s="330">
        <v>5</v>
      </c>
      <c r="E2345" s="331">
        <v>-104.5</v>
      </c>
      <c r="F2345" s="331">
        <v>19872.45</v>
      </c>
      <c r="G2345" s="328" t="s">
        <v>1704</v>
      </c>
      <c r="H2345" s="328" t="s">
        <v>1765</v>
      </c>
      <c r="I2345" s="328" t="s">
        <v>110</v>
      </c>
      <c r="J2345" s="328" t="s">
        <v>757</v>
      </c>
      <c r="K2345" s="328" t="s">
        <v>741</v>
      </c>
      <c r="L2345" s="329">
        <v>44135</v>
      </c>
      <c r="M2345" s="332">
        <v>0</v>
      </c>
    </row>
    <row r="2346" spans="1:13" hidden="1" x14ac:dyDescent="0.25">
      <c r="A2346" s="329">
        <v>44135</v>
      </c>
      <c r="B2346" s="328" t="s">
        <v>1705</v>
      </c>
      <c r="C2346" s="328" t="s">
        <v>769</v>
      </c>
      <c r="D2346" s="330">
        <v>5</v>
      </c>
      <c r="E2346" s="331">
        <v>104.5</v>
      </c>
      <c r="F2346" s="331">
        <v>19976.95</v>
      </c>
      <c r="G2346" s="328" t="s">
        <v>1706</v>
      </c>
      <c r="H2346" s="328" t="s">
        <v>1765</v>
      </c>
      <c r="I2346" s="328" t="s">
        <v>110</v>
      </c>
      <c r="J2346" s="328" t="s">
        <v>757</v>
      </c>
      <c r="K2346" s="328" t="s">
        <v>770</v>
      </c>
      <c r="L2346" s="329">
        <v>44135</v>
      </c>
      <c r="M2346" s="332">
        <v>0</v>
      </c>
    </row>
    <row r="2347" spans="1:13" hidden="1" x14ac:dyDescent="0.25">
      <c r="A2347" s="329">
        <v>44165</v>
      </c>
      <c r="B2347" s="328" t="s">
        <v>1707</v>
      </c>
      <c r="C2347" s="328" t="s">
        <v>1060</v>
      </c>
      <c r="D2347" s="330">
        <v>5</v>
      </c>
      <c r="E2347" s="331">
        <v>99</v>
      </c>
      <c r="F2347" s="331">
        <v>20075.95</v>
      </c>
      <c r="G2347" s="328" t="s">
        <v>1708</v>
      </c>
      <c r="H2347" s="328" t="s">
        <v>1765</v>
      </c>
      <c r="I2347" s="328" t="s">
        <v>110</v>
      </c>
      <c r="J2347" s="328" t="s">
        <v>757</v>
      </c>
      <c r="K2347" s="328" t="s">
        <v>741</v>
      </c>
      <c r="L2347" s="329">
        <v>44165</v>
      </c>
      <c r="M2347" s="332">
        <v>0</v>
      </c>
    </row>
    <row r="2348" spans="1:13" hidden="1" x14ac:dyDescent="0.25">
      <c r="A2348" s="329">
        <v>44165</v>
      </c>
      <c r="B2348" s="328" t="s">
        <v>1707</v>
      </c>
      <c r="C2348" s="328" t="s">
        <v>1060</v>
      </c>
      <c r="D2348" s="330">
        <v>6</v>
      </c>
      <c r="E2348" s="331">
        <v>-99</v>
      </c>
      <c r="F2348" s="331">
        <v>19976.95</v>
      </c>
      <c r="G2348" s="328" t="s">
        <v>1708</v>
      </c>
      <c r="H2348" s="328" t="s">
        <v>1765</v>
      </c>
      <c r="I2348" s="328" t="s">
        <v>110</v>
      </c>
      <c r="J2348" s="328" t="s">
        <v>757</v>
      </c>
      <c r="K2348" s="328" t="s">
        <v>741</v>
      </c>
      <c r="L2348" s="329">
        <v>44165</v>
      </c>
      <c r="M2348" s="332">
        <v>0</v>
      </c>
    </row>
    <row r="2349" spans="1:13" hidden="1" x14ac:dyDescent="0.25">
      <c r="A2349" s="329">
        <v>44165</v>
      </c>
      <c r="B2349" s="328" t="s">
        <v>1709</v>
      </c>
      <c r="C2349" s="328" t="s">
        <v>769</v>
      </c>
      <c r="D2349" s="330">
        <v>6</v>
      </c>
      <c r="E2349" s="331">
        <v>99</v>
      </c>
      <c r="F2349" s="331">
        <v>20075.95</v>
      </c>
      <c r="G2349" s="328" t="s">
        <v>1710</v>
      </c>
      <c r="H2349" s="328" t="s">
        <v>1765</v>
      </c>
      <c r="I2349" s="328" t="s">
        <v>110</v>
      </c>
      <c r="J2349" s="328" t="s">
        <v>757</v>
      </c>
      <c r="K2349" s="328" t="s">
        <v>770</v>
      </c>
      <c r="L2349" s="329">
        <v>44165</v>
      </c>
      <c r="M2349" s="332">
        <v>0</v>
      </c>
    </row>
    <row r="2350" spans="1:13" hidden="1" x14ac:dyDescent="0.25">
      <c r="A2350" s="329">
        <v>44196</v>
      </c>
      <c r="B2350" s="328" t="s">
        <v>1711</v>
      </c>
      <c r="C2350" s="328" t="s">
        <v>1060</v>
      </c>
      <c r="D2350" s="330">
        <v>6</v>
      </c>
      <c r="E2350" s="331">
        <v>66</v>
      </c>
      <c r="F2350" s="331">
        <v>20141.95</v>
      </c>
      <c r="G2350" s="328" t="s">
        <v>1712</v>
      </c>
      <c r="H2350" s="328" t="s">
        <v>1765</v>
      </c>
      <c r="I2350" s="328" t="s">
        <v>110</v>
      </c>
      <c r="J2350" s="328" t="s">
        <v>757</v>
      </c>
      <c r="K2350" s="328" t="s">
        <v>741</v>
      </c>
      <c r="L2350" s="329">
        <v>44196</v>
      </c>
      <c r="M2350" s="332">
        <v>0</v>
      </c>
    </row>
    <row r="2351" spans="1:13" hidden="1" x14ac:dyDescent="0.25">
      <c r="A2351" s="329">
        <v>44196</v>
      </c>
      <c r="B2351" s="328" t="s">
        <v>1711</v>
      </c>
      <c r="C2351" s="328" t="s">
        <v>1060</v>
      </c>
      <c r="D2351" s="330">
        <v>7</v>
      </c>
      <c r="E2351" s="331">
        <v>-66</v>
      </c>
      <c r="F2351" s="331">
        <v>20075.95</v>
      </c>
      <c r="G2351" s="328" t="s">
        <v>1712</v>
      </c>
      <c r="H2351" s="328" t="s">
        <v>1765</v>
      </c>
      <c r="I2351" s="328" t="s">
        <v>110</v>
      </c>
      <c r="J2351" s="328" t="s">
        <v>757</v>
      </c>
      <c r="K2351" s="328" t="s">
        <v>741</v>
      </c>
      <c r="L2351" s="329">
        <v>44196</v>
      </c>
      <c r="M2351" s="332">
        <v>0</v>
      </c>
    </row>
    <row r="2352" spans="1:13" hidden="1" x14ac:dyDescent="0.25">
      <c r="A2352" s="329">
        <v>44196</v>
      </c>
      <c r="B2352" s="328" t="s">
        <v>1713</v>
      </c>
      <c r="C2352" s="328" t="s">
        <v>769</v>
      </c>
      <c r="D2352" s="330">
        <v>7</v>
      </c>
      <c r="E2352" s="331">
        <v>66</v>
      </c>
      <c r="F2352" s="331">
        <v>20141.95</v>
      </c>
      <c r="G2352" s="328" t="s">
        <v>1714</v>
      </c>
      <c r="H2352" s="328" t="s">
        <v>1765</v>
      </c>
      <c r="I2352" s="328" t="s">
        <v>110</v>
      </c>
      <c r="J2352" s="328" t="s">
        <v>757</v>
      </c>
      <c r="K2352" s="328" t="s">
        <v>770</v>
      </c>
      <c r="L2352" s="329">
        <v>44196</v>
      </c>
      <c r="M2352" s="332">
        <v>0</v>
      </c>
    </row>
    <row r="2353" spans="1:13" hidden="1" x14ac:dyDescent="0.25">
      <c r="A2353" s="329">
        <v>44227</v>
      </c>
      <c r="B2353" s="328" t="s">
        <v>1715</v>
      </c>
      <c r="C2353" s="328" t="s">
        <v>1060</v>
      </c>
      <c r="D2353" s="330">
        <v>7</v>
      </c>
      <c r="E2353" s="331">
        <v>66</v>
      </c>
      <c r="F2353" s="331">
        <v>20207.95</v>
      </c>
      <c r="G2353" s="328" t="s">
        <v>1716</v>
      </c>
      <c r="H2353" s="328" t="s">
        <v>1765</v>
      </c>
      <c r="I2353" s="328" t="s">
        <v>110</v>
      </c>
      <c r="J2353" s="328" t="s">
        <v>757</v>
      </c>
      <c r="K2353" s="328" t="s">
        <v>741</v>
      </c>
      <c r="L2353" s="329">
        <v>44227</v>
      </c>
      <c r="M2353" s="332">
        <v>0</v>
      </c>
    </row>
    <row r="2354" spans="1:13" hidden="1" x14ac:dyDescent="0.25">
      <c r="A2354" s="329">
        <v>44227</v>
      </c>
      <c r="B2354" s="328" t="s">
        <v>1715</v>
      </c>
      <c r="C2354" s="328" t="s">
        <v>1060</v>
      </c>
      <c r="D2354" s="330">
        <v>8</v>
      </c>
      <c r="E2354" s="331">
        <v>-66</v>
      </c>
      <c r="F2354" s="331">
        <v>20141.95</v>
      </c>
      <c r="G2354" s="328" t="s">
        <v>1716</v>
      </c>
      <c r="H2354" s="328" t="s">
        <v>1765</v>
      </c>
      <c r="I2354" s="328" t="s">
        <v>110</v>
      </c>
      <c r="J2354" s="328" t="s">
        <v>757</v>
      </c>
      <c r="K2354" s="328" t="s">
        <v>741</v>
      </c>
      <c r="L2354" s="329">
        <v>44227</v>
      </c>
      <c r="M2354" s="332">
        <v>0</v>
      </c>
    </row>
    <row r="2355" spans="1:13" hidden="1" x14ac:dyDescent="0.25">
      <c r="A2355" s="329">
        <v>44227</v>
      </c>
      <c r="B2355" s="328" t="s">
        <v>1717</v>
      </c>
      <c r="C2355" s="328" t="s">
        <v>769</v>
      </c>
      <c r="D2355" s="330">
        <v>8</v>
      </c>
      <c r="E2355" s="331">
        <v>66</v>
      </c>
      <c r="F2355" s="331">
        <v>20207.95</v>
      </c>
      <c r="G2355" s="328" t="s">
        <v>1718</v>
      </c>
      <c r="H2355" s="328" t="s">
        <v>1765</v>
      </c>
      <c r="I2355" s="328" t="s">
        <v>110</v>
      </c>
      <c r="J2355" s="328" t="s">
        <v>757</v>
      </c>
      <c r="K2355" s="328" t="s">
        <v>770</v>
      </c>
      <c r="L2355" s="329">
        <v>44227</v>
      </c>
      <c r="M2355" s="332">
        <v>0</v>
      </c>
    </row>
    <row r="2356" spans="1:13" hidden="1" x14ac:dyDescent="0.25">
      <c r="A2356" s="329">
        <v>44255</v>
      </c>
      <c r="B2356" s="328" t="s">
        <v>1720</v>
      </c>
      <c r="C2356" s="328" t="s">
        <v>1060</v>
      </c>
      <c r="D2356" s="330">
        <v>8</v>
      </c>
      <c r="E2356" s="331">
        <v>66</v>
      </c>
      <c r="F2356" s="331">
        <v>20273.95</v>
      </c>
      <c r="G2356" s="328" t="s">
        <v>1721</v>
      </c>
      <c r="H2356" s="328" t="s">
        <v>1765</v>
      </c>
      <c r="I2356" s="328" t="s">
        <v>110</v>
      </c>
      <c r="J2356" s="328" t="s">
        <v>757</v>
      </c>
      <c r="K2356" s="328" t="s">
        <v>741</v>
      </c>
      <c r="L2356" s="329">
        <v>44255</v>
      </c>
      <c r="M2356" s="332">
        <v>0</v>
      </c>
    </row>
    <row r="2357" spans="1:13" hidden="1" x14ac:dyDescent="0.25">
      <c r="A2357" s="329">
        <v>44255</v>
      </c>
      <c r="B2357" s="328" t="s">
        <v>1720</v>
      </c>
      <c r="C2357" s="328" t="s">
        <v>1060</v>
      </c>
      <c r="D2357" s="330">
        <v>9</v>
      </c>
      <c r="E2357" s="331">
        <v>-66</v>
      </c>
      <c r="F2357" s="331">
        <v>20207.95</v>
      </c>
      <c r="G2357" s="328" t="s">
        <v>1721</v>
      </c>
      <c r="H2357" s="328" t="s">
        <v>1765</v>
      </c>
      <c r="I2357" s="328" t="s">
        <v>110</v>
      </c>
      <c r="J2357" s="328" t="s">
        <v>757</v>
      </c>
      <c r="K2357" s="328" t="s">
        <v>741</v>
      </c>
      <c r="L2357" s="329">
        <v>44255</v>
      </c>
      <c r="M2357" s="332">
        <v>0</v>
      </c>
    </row>
    <row r="2358" spans="1:13" hidden="1" x14ac:dyDescent="0.25">
      <c r="A2358" s="329">
        <v>44255</v>
      </c>
      <c r="B2358" s="328" t="s">
        <v>1722</v>
      </c>
      <c r="C2358" s="328" t="s">
        <v>769</v>
      </c>
      <c r="D2358" s="330">
        <v>9</v>
      </c>
      <c r="E2358" s="331">
        <v>99</v>
      </c>
      <c r="F2358" s="331">
        <v>20306.95</v>
      </c>
      <c r="G2358" s="328" t="s">
        <v>1723</v>
      </c>
      <c r="H2358" s="328" t="s">
        <v>1765</v>
      </c>
      <c r="I2358" s="328" t="s">
        <v>110</v>
      </c>
      <c r="J2358" s="328" t="s">
        <v>757</v>
      </c>
      <c r="K2358" s="328" t="s">
        <v>770</v>
      </c>
      <c r="L2358" s="329">
        <v>44255</v>
      </c>
      <c r="M2358" s="332">
        <v>0</v>
      </c>
    </row>
    <row r="2359" spans="1:13" hidden="1" x14ac:dyDescent="0.25">
      <c r="A2359" s="329">
        <v>44286</v>
      </c>
      <c r="B2359" s="328" t="s">
        <v>1724</v>
      </c>
      <c r="C2359" s="328" t="s">
        <v>1060</v>
      </c>
      <c r="D2359" s="330">
        <v>9</v>
      </c>
      <c r="E2359" s="331">
        <v>93.5</v>
      </c>
      <c r="F2359" s="331">
        <v>20400.45</v>
      </c>
      <c r="G2359" s="328" t="s">
        <v>1725</v>
      </c>
      <c r="H2359" s="328" t="s">
        <v>1765</v>
      </c>
      <c r="I2359" s="328" t="s">
        <v>110</v>
      </c>
      <c r="J2359" s="328" t="s">
        <v>757</v>
      </c>
      <c r="K2359" s="328" t="s">
        <v>741</v>
      </c>
      <c r="L2359" s="329">
        <v>44286</v>
      </c>
      <c r="M2359" s="332">
        <v>0</v>
      </c>
    </row>
    <row r="2360" spans="1:13" hidden="1" x14ac:dyDescent="0.25">
      <c r="A2360" s="329">
        <v>44286</v>
      </c>
      <c r="B2360" s="328" t="s">
        <v>1726</v>
      </c>
      <c r="C2360" s="328" t="s">
        <v>769</v>
      </c>
      <c r="D2360" s="330">
        <v>10</v>
      </c>
      <c r="E2360" s="331">
        <v>93.5</v>
      </c>
      <c r="F2360" s="331">
        <v>20493.95</v>
      </c>
      <c r="G2360" s="328" t="s">
        <v>1727</v>
      </c>
      <c r="H2360" s="328" t="s">
        <v>1765</v>
      </c>
      <c r="I2360" s="328" t="s">
        <v>110</v>
      </c>
      <c r="J2360" s="328" t="s">
        <v>757</v>
      </c>
      <c r="K2360" s="328" t="s">
        <v>770</v>
      </c>
      <c r="L2360" s="329">
        <v>44286</v>
      </c>
      <c r="M2360" s="332">
        <v>0</v>
      </c>
    </row>
    <row r="2361" spans="1:13" hidden="1" x14ac:dyDescent="0.25">
      <c r="A2361" s="329">
        <v>44286</v>
      </c>
      <c r="B2361" s="328" t="s">
        <v>1724</v>
      </c>
      <c r="C2361" s="328" t="s">
        <v>1060</v>
      </c>
      <c r="D2361" s="330">
        <v>10</v>
      </c>
      <c r="E2361" s="331">
        <v>-93.5</v>
      </c>
      <c r="F2361" s="331">
        <v>20400.45</v>
      </c>
      <c r="G2361" s="328" t="s">
        <v>1725</v>
      </c>
      <c r="H2361" s="328" t="s">
        <v>1765</v>
      </c>
      <c r="I2361" s="328" t="s">
        <v>110</v>
      </c>
      <c r="J2361" s="328" t="s">
        <v>757</v>
      </c>
      <c r="K2361" s="328" t="s">
        <v>741</v>
      </c>
      <c r="L2361" s="329">
        <v>44286</v>
      </c>
      <c r="M2361" s="332">
        <v>0</v>
      </c>
    </row>
    <row r="2362" spans="1:13" hidden="1" x14ac:dyDescent="0.25">
      <c r="A2362" s="329">
        <v>44316</v>
      </c>
      <c r="B2362" s="328" t="s">
        <v>1728</v>
      </c>
      <c r="C2362" s="328" t="s">
        <v>1060</v>
      </c>
      <c r="D2362" s="330">
        <v>10</v>
      </c>
      <c r="E2362" s="331">
        <v>55</v>
      </c>
      <c r="F2362" s="331">
        <v>20455.45</v>
      </c>
      <c r="G2362" s="328" t="s">
        <v>1729</v>
      </c>
      <c r="H2362" s="328" t="s">
        <v>1765</v>
      </c>
      <c r="I2362" s="328" t="s">
        <v>110</v>
      </c>
      <c r="J2362" s="328" t="s">
        <v>757</v>
      </c>
      <c r="K2362" s="328" t="s">
        <v>741</v>
      </c>
      <c r="L2362" s="329">
        <v>44316</v>
      </c>
      <c r="M2362" s="332">
        <v>0</v>
      </c>
    </row>
    <row r="2363" spans="1:13" hidden="1" x14ac:dyDescent="0.25">
      <c r="A2363" s="329">
        <v>44012</v>
      </c>
      <c r="B2363" s="328" t="s">
        <v>1681</v>
      </c>
      <c r="C2363" s="328" t="s">
        <v>1059</v>
      </c>
      <c r="D2363" s="330">
        <v>1</v>
      </c>
      <c r="E2363" s="331">
        <v>-55</v>
      </c>
      <c r="F2363" s="331">
        <v>20437.3</v>
      </c>
      <c r="G2363" s="328" t="s">
        <v>1682</v>
      </c>
      <c r="H2363" s="328" t="s">
        <v>1766</v>
      </c>
      <c r="I2363" s="328" t="s">
        <v>110</v>
      </c>
      <c r="J2363" s="328" t="s">
        <v>757</v>
      </c>
      <c r="K2363" s="328" t="s">
        <v>741</v>
      </c>
      <c r="L2363" s="329">
        <v>44012</v>
      </c>
      <c r="M2363" s="332">
        <v>0</v>
      </c>
    </row>
    <row r="2364" spans="1:13" hidden="1" x14ac:dyDescent="0.25">
      <c r="A2364" s="329">
        <v>44012</v>
      </c>
      <c r="B2364" s="328" t="s">
        <v>1678</v>
      </c>
      <c r="C2364" s="328" t="s">
        <v>769</v>
      </c>
      <c r="D2364" s="330">
        <v>1</v>
      </c>
      <c r="E2364" s="331">
        <v>104.5</v>
      </c>
      <c r="F2364" s="331">
        <v>20541.8</v>
      </c>
      <c r="G2364" s="328" t="s">
        <v>1679</v>
      </c>
      <c r="H2364" s="328" t="s">
        <v>1766</v>
      </c>
      <c r="I2364" s="328" t="s">
        <v>110</v>
      </c>
      <c r="J2364" s="328" t="s">
        <v>757</v>
      </c>
      <c r="K2364" s="328" t="s">
        <v>770</v>
      </c>
      <c r="L2364" s="329">
        <v>44012</v>
      </c>
      <c r="M2364" s="332">
        <v>0</v>
      </c>
    </row>
    <row r="2365" spans="1:13" hidden="1" x14ac:dyDescent="0.25">
      <c r="A2365" s="329">
        <v>44041</v>
      </c>
      <c r="B2365" s="328" t="s">
        <v>1683</v>
      </c>
      <c r="C2365" s="328" t="s">
        <v>936</v>
      </c>
      <c r="D2365" s="330">
        <v>1</v>
      </c>
      <c r="E2365" s="331">
        <v>-49.5</v>
      </c>
      <c r="F2365" s="331">
        <v>20492.3</v>
      </c>
      <c r="G2365" s="328" t="s">
        <v>1684</v>
      </c>
      <c r="H2365" s="328" t="s">
        <v>1766</v>
      </c>
      <c r="I2365" s="328" t="s">
        <v>110</v>
      </c>
      <c r="J2365" s="328" t="s">
        <v>757</v>
      </c>
      <c r="K2365" s="328" t="s">
        <v>770</v>
      </c>
      <c r="L2365" s="329">
        <v>44041</v>
      </c>
      <c r="M2365" s="332">
        <v>0</v>
      </c>
    </row>
    <row r="2366" spans="1:13" hidden="1" x14ac:dyDescent="0.25">
      <c r="A2366" s="329">
        <v>44043</v>
      </c>
      <c r="B2366" s="328" t="s">
        <v>1685</v>
      </c>
      <c r="C2366" s="328" t="s">
        <v>1060</v>
      </c>
      <c r="D2366" s="330">
        <v>1</v>
      </c>
      <c r="E2366" s="331">
        <v>71.5</v>
      </c>
      <c r="F2366" s="331">
        <v>20563.8</v>
      </c>
      <c r="G2366" s="328" t="s">
        <v>1686</v>
      </c>
      <c r="H2366" s="328" t="s">
        <v>1766</v>
      </c>
      <c r="I2366" s="328" t="s">
        <v>110</v>
      </c>
      <c r="J2366" s="328" t="s">
        <v>757</v>
      </c>
      <c r="K2366" s="328" t="s">
        <v>741</v>
      </c>
      <c r="L2366" s="329">
        <v>44043</v>
      </c>
      <c r="M2366" s="332">
        <v>0</v>
      </c>
    </row>
    <row r="2367" spans="1:13" hidden="1" x14ac:dyDescent="0.25">
      <c r="A2367" s="329">
        <v>44043</v>
      </c>
      <c r="B2367" s="328" t="s">
        <v>1685</v>
      </c>
      <c r="C2367" s="328" t="s">
        <v>1060</v>
      </c>
      <c r="D2367" s="330">
        <v>1</v>
      </c>
      <c r="E2367" s="331">
        <v>49.5</v>
      </c>
      <c r="F2367" s="331">
        <v>20613.3</v>
      </c>
      <c r="G2367" s="328" t="s">
        <v>1687</v>
      </c>
      <c r="H2367" s="328" t="s">
        <v>1766</v>
      </c>
      <c r="I2367" s="328" t="s">
        <v>110</v>
      </c>
      <c r="J2367" s="328" t="s">
        <v>757</v>
      </c>
      <c r="K2367" s="328" t="s">
        <v>741</v>
      </c>
      <c r="L2367" s="329">
        <v>44043</v>
      </c>
      <c r="M2367" s="332">
        <v>0</v>
      </c>
    </row>
    <row r="2368" spans="1:13" hidden="1" x14ac:dyDescent="0.25">
      <c r="A2368" s="329">
        <v>44043</v>
      </c>
      <c r="B2368" s="328" t="s">
        <v>1688</v>
      </c>
      <c r="C2368" s="328" t="s">
        <v>1060</v>
      </c>
      <c r="D2368" s="330">
        <v>1</v>
      </c>
      <c r="E2368" s="331">
        <v>-71.5</v>
      </c>
      <c r="F2368" s="331">
        <v>20541.8</v>
      </c>
      <c r="G2368" s="328" t="s">
        <v>1686</v>
      </c>
      <c r="H2368" s="328" t="s">
        <v>1766</v>
      </c>
      <c r="I2368" s="328" t="s">
        <v>110</v>
      </c>
      <c r="J2368" s="328" t="s">
        <v>757</v>
      </c>
      <c r="K2368" s="328" t="s">
        <v>741</v>
      </c>
      <c r="L2368" s="329">
        <v>44043</v>
      </c>
      <c r="M2368" s="332">
        <v>0</v>
      </c>
    </row>
    <row r="2369" spans="1:13" hidden="1" x14ac:dyDescent="0.25">
      <c r="A2369" s="329">
        <v>44043</v>
      </c>
      <c r="B2369" s="328" t="s">
        <v>1688</v>
      </c>
      <c r="C2369" s="328" t="s">
        <v>1060</v>
      </c>
      <c r="D2369" s="330">
        <v>1</v>
      </c>
      <c r="E2369" s="331">
        <v>-49.5</v>
      </c>
      <c r="F2369" s="331">
        <v>20492.3</v>
      </c>
      <c r="G2369" s="328" t="s">
        <v>1687</v>
      </c>
      <c r="H2369" s="328" t="s">
        <v>1766</v>
      </c>
      <c r="I2369" s="328" t="s">
        <v>110</v>
      </c>
      <c r="J2369" s="328" t="s">
        <v>757</v>
      </c>
      <c r="K2369" s="328" t="s">
        <v>741</v>
      </c>
      <c r="L2369" s="329">
        <v>44043</v>
      </c>
      <c r="M2369" s="332">
        <v>0</v>
      </c>
    </row>
    <row r="2370" spans="1:13" hidden="1" x14ac:dyDescent="0.25">
      <c r="A2370" s="329">
        <v>44043</v>
      </c>
      <c r="B2370" s="328" t="s">
        <v>1689</v>
      </c>
      <c r="C2370" s="328" t="s">
        <v>1060</v>
      </c>
      <c r="D2370" s="330">
        <v>1</v>
      </c>
      <c r="E2370" s="331">
        <v>71.5</v>
      </c>
      <c r="F2370" s="331">
        <v>20563.8</v>
      </c>
      <c r="G2370" s="328" t="s">
        <v>1686</v>
      </c>
      <c r="H2370" s="328" t="s">
        <v>1766</v>
      </c>
      <c r="I2370" s="328" t="s">
        <v>110</v>
      </c>
      <c r="J2370" s="328" t="s">
        <v>757</v>
      </c>
      <c r="K2370" s="328" t="s">
        <v>741</v>
      </c>
      <c r="L2370" s="329">
        <v>44043</v>
      </c>
      <c r="M2370" s="332">
        <v>0</v>
      </c>
    </row>
    <row r="2371" spans="1:13" hidden="1" x14ac:dyDescent="0.25">
      <c r="A2371" s="329">
        <v>44043</v>
      </c>
      <c r="B2371" s="328" t="s">
        <v>1689</v>
      </c>
      <c r="C2371" s="328" t="s">
        <v>1060</v>
      </c>
      <c r="D2371" s="330">
        <v>1</v>
      </c>
      <c r="E2371" s="331">
        <v>-49.5</v>
      </c>
      <c r="F2371" s="331">
        <v>20514.3</v>
      </c>
      <c r="G2371" s="328" t="s">
        <v>1690</v>
      </c>
      <c r="H2371" s="328" t="s">
        <v>1766</v>
      </c>
      <c r="I2371" s="328" t="s">
        <v>110</v>
      </c>
      <c r="J2371" s="328" t="s">
        <v>757</v>
      </c>
      <c r="K2371" s="328" t="s">
        <v>741</v>
      </c>
      <c r="L2371" s="329">
        <v>44043</v>
      </c>
      <c r="M2371" s="332">
        <v>0</v>
      </c>
    </row>
    <row r="2372" spans="1:13" hidden="1" x14ac:dyDescent="0.25">
      <c r="A2372" s="329">
        <v>44043</v>
      </c>
      <c r="B2372" s="328" t="s">
        <v>1691</v>
      </c>
      <c r="C2372" s="328" t="s">
        <v>769</v>
      </c>
      <c r="D2372" s="330">
        <v>2</v>
      </c>
      <c r="E2372" s="331">
        <v>71.5</v>
      </c>
      <c r="F2372" s="331">
        <v>20585.8</v>
      </c>
      <c r="G2372" s="328" t="s">
        <v>1692</v>
      </c>
      <c r="H2372" s="328" t="s">
        <v>1766</v>
      </c>
      <c r="I2372" s="328" t="s">
        <v>110</v>
      </c>
      <c r="J2372" s="328" t="s">
        <v>757</v>
      </c>
      <c r="K2372" s="328" t="s">
        <v>770</v>
      </c>
      <c r="L2372" s="329">
        <v>44043</v>
      </c>
      <c r="M2372" s="332">
        <v>0</v>
      </c>
    </row>
    <row r="2373" spans="1:13" hidden="1" x14ac:dyDescent="0.25">
      <c r="A2373" s="329">
        <v>44043</v>
      </c>
      <c r="B2373" s="328" t="s">
        <v>1693</v>
      </c>
      <c r="C2373" s="328" t="s">
        <v>936</v>
      </c>
      <c r="D2373" s="330">
        <v>2</v>
      </c>
      <c r="E2373" s="331">
        <v>-49.5</v>
      </c>
      <c r="F2373" s="331">
        <v>20536.3</v>
      </c>
      <c r="G2373" s="328" t="s">
        <v>1694</v>
      </c>
      <c r="H2373" s="328" t="s">
        <v>1766</v>
      </c>
      <c r="I2373" s="328" t="s">
        <v>110</v>
      </c>
      <c r="J2373" s="328" t="s">
        <v>757</v>
      </c>
      <c r="K2373" s="328" t="s">
        <v>770</v>
      </c>
      <c r="L2373" s="329">
        <v>44043</v>
      </c>
      <c r="M2373" s="332">
        <v>0</v>
      </c>
    </row>
    <row r="2374" spans="1:13" hidden="1" x14ac:dyDescent="0.25">
      <c r="A2374" s="329">
        <v>44043</v>
      </c>
      <c r="B2374" s="328" t="s">
        <v>1685</v>
      </c>
      <c r="C2374" s="328" t="s">
        <v>1060</v>
      </c>
      <c r="D2374" s="330">
        <v>2</v>
      </c>
      <c r="E2374" s="331">
        <v>-71.5</v>
      </c>
      <c r="F2374" s="331">
        <v>20464.8</v>
      </c>
      <c r="G2374" s="328" t="s">
        <v>1686</v>
      </c>
      <c r="H2374" s="328" t="s">
        <v>1766</v>
      </c>
      <c r="I2374" s="328" t="s">
        <v>110</v>
      </c>
      <c r="J2374" s="328" t="s">
        <v>757</v>
      </c>
      <c r="K2374" s="328" t="s">
        <v>741</v>
      </c>
      <c r="L2374" s="329">
        <v>44043</v>
      </c>
      <c r="M2374" s="332">
        <v>0</v>
      </c>
    </row>
    <row r="2375" spans="1:13" hidden="1" x14ac:dyDescent="0.25">
      <c r="A2375" s="329">
        <v>44043</v>
      </c>
      <c r="B2375" s="328" t="s">
        <v>1685</v>
      </c>
      <c r="C2375" s="328" t="s">
        <v>1060</v>
      </c>
      <c r="D2375" s="330">
        <v>2</v>
      </c>
      <c r="E2375" s="331">
        <v>-49.5</v>
      </c>
      <c r="F2375" s="331">
        <v>20415.3</v>
      </c>
      <c r="G2375" s="328" t="s">
        <v>1687</v>
      </c>
      <c r="H2375" s="328" t="s">
        <v>1766</v>
      </c>
      <c r="I2375" s="328" t="s">
        <v>110</v>
      </c>
      <c r="J2375" s="328" t="s">
        <v>757</v>
      </c>
      <c r="K2375" s="328" t="s">
        <v>741</v>
      </c>
      <c r="L2375" s="329">
        <v>44043</v>
      </c>
      <c r="M2375" s="332">
        <v>0</v>
      </c>
    </row>
    <row r="2376" spans="1:13" hidden="1" x14ac:dyDescent="0.25">
      <c r="A2376" s="329">
        <v>44043</v>
      </c>
      <c r="B2376" s="328" t="s">
        <v>1688</v>
      </c>
      <c r="C2376" s="328" t="s">
        <v>1060</v>
      </c>
      <c r="D2376" s="330">
        <v>2</v>
      </c>
      <c r="E2376" s="331">
        <v>71.5</v>
      </c>
      <c r="F2376" s="331">
        <v>20486.8</v>
      </c>
      <c r="G2376" s="328" t="s">
        <v>1686</v>
      </c>
      <c r="H2376" s="328" t="s">
        <v>1766</v>
      </c>
      <c r="I2376" s="328" t="s">
        <v>110</v>
      </c>
      <c r="J2376" s="328" t="s">
        <v>757</v>
      </c>
      <c r="K2376" s="328" t="s">
        <v>741</v>
      </c>
      <c r="L2376" s="329">
        <v>44043</v>
      </c>
      <c r="M2376" s="332">
        <v>0</v>
      </c>
    </row>
    <row r="2377" spans="1:13" hidden="1" x14ac:dyDescent="0.25">
      <c r="A2377" s="329">
        <v>44043</v>
      </c>
      <c r="B2377" s="328" t="s">
        <v>1688</v>
      </c>
      <c r="C2377" s="328" t="s">
        <v>1060</v>
      </c>
      <c r="D2377" s="330">
        <v>2</v>
      </c>
      <c r="E2377" s="331">
        <v>49.5</v>
      </c>
      <c r="F2377" s="331">
        <v>20536.3</v>
      </c>
      <c r="G2377" s="328" t="s">
        <v>1687</v>
      </c>
      <c r="H2377" s="328" t="s">
        <v>1766</v>
      </c>
      <c r="I2377" s="328" t="s">
        <v>110</v>
      </c>
      <c r="J2377" s="328" t="s">
        <v>757</v>
      </c>
      <c r="K2377" s="328" t="s">
        <v>741</v>
      </c>
      <c r="L2377" s="329">
        <v>44043</v>
      </c>
      <c r="M2377" s="332">
        <v>0</v>
      </c>
    </row>
    <row r="2378" spans="1:13" hidden="1" x14ac:dyDescent="0.25">
      <c r="A2378" s="329">
        <v>44043</v>
      </c>
      <c r="B2378" s="328" t="s">
        <v>1689</v>
      </c>
      <c r="C2378" s="328" t="s">
        <v>1060</v>
      </c>
      <c r="D2378" s="330">
        <v>2</v>
      </c>
      <c r="E2378" s="331">
        <v>-71.5</v>
      </c>
      <c r="F2378" s="331">
        <v>20464.8</v>
      </c>
      <c r="G2378" s="328" t="s">
        <v>1686</v>
      </c>
      <c r="H2378" s="328" t="s">
        <v>1766</v>
      </c>
      <c r="I2378" s="328" t="s">
        <v>110</v>
      </c>
      <c r="J2378" s="328" t="s">
        <v>757</v>
      </c>
      <c r="K2378" s="328" t="s">
        <v>741</v>
      </c>
      <c r="L2378" s="329">
        <v>44043</v>
      </c>
      <c r="M2378" s="332">
        <v>0</v>
      </c>
    </row>
    <row r="2379" spans="1:13" hidden="1" x14ac:dyDescent="0.25">
      <c r="A2379" s="329">
        <v>44043</v>
      </c>
      <c r="B2379" s="328" t="s">
        <v>1689</v>
      </c>
      <c r="C2379" s="328" t="s">
        <v>1060</v>
      </c>
      <c r="D2379" s="330">
        <v>2</v>
      </c>
      <c r="E2379" s="331">
        <v>49.5</v>
      </c>
      <c r="F2379" s="331">
        <v>20514.3</v>
      </c>
      <c r="G2379" s="328" t="s">
        <v>1690</v>
      </c>
      <c r="H2379" s="328" t="s">
        <v>1766</v>
      </c>
      <c r="I2379" s="328" t="s">
        <v>110</v>
      </c>
      <c r="J2379" s="328" t="s">
        <v>757</v>
      </c>
      <c r="K2379" s="328" t="s">
        <v>741</v>
      </c>
      <c r="L2379" s="329">
        <v>44043</v>
      </c>
      <c r="M2379" s="332">
        <v>0</v>
      </c>
    </row>
    <row r="2380" spans="1:13" hidden="1" x14ac:dyDescent="0.25">
      <c r="A2380" s="329">
        <v>44074</v>
      </c>
      <c r="B2380" s="328" t="s">
        <v>1695</v>
      </c>
      <c r="C2380" s="328" t="s">
        <v>1060</v>
      </c>
      <c r="D2380" s="330">
        <v>2</v>
      </c>
      <c r="E2380" s="331">
        <v>55</v>
      </c>
      <c r="F2380" s="331">
        <v>20569.3</v>
      </c>
      <c r="G2380" s="328" t="s">
        <v>1696</v>
      </c>
      <c r="H2380" s="328" t="s">
        <v>1766</v>
      </c>
      <c r="I2380" s="328" t="s">
        <v>110</v>
      </c>
      <c r="J2380" s="328" t="s">
        <v>757</v>
      </c>
      <c r="K2380" s="328" t="s">
        <v>741</v>
      </c>
      <c r="L2380" s="329">
        <v>44074</v>
      </c>
      <c r="M2380" s="332">
        <v>0</v>
      </c>
    </row>
    <row r="2381" spans="1:13" hidden="1" x14ac:dyDescent="0.25">
      <c r="A2381" s="329">
        <v>44074</v>
      </c>
      <c r="B2381" s="328" t="s">
        <v>1697</v>
      </c>
      <c r="C2381" s="328" t="s">
        <v>769</v>
      </c>
      <c r="D2381" s="330">
        <v>3</v>
      </c>
      <c r="E2381" s="331">
        <v>55</v>
      </c>
      <c r="F2381" s="331">
        <v>20624.3</v>
      </c>
      <c r="G2381" s="328" t="s">
        <v>1698</v>
      </c>
      <c r="H2381" s="328" t="s">
        <v>1766</v>
      </c>
      <c r="I2381" s="328" t="s">
        <v>110</v>
      </c>
      <c r="J2381" s="328" t="s">
        <v>757</v>
      </c>
      <c r="K2381" s="328" t="s">
        <v>770</v>
      </c>
      <c r="L2381" s="329">
        <v>44074</v>
      </c>
      <c r="M2381" s="332">
        <v>0</v>
      </c>
    </row>
    <row r="2382" spans="1:13" hidden="1" x14ac:dyDescent="0.25">
      <c r="A2382" s="329">
        <v>44074</v>
      </c>
      <c r="B2382" s="328" t="s">
        <v>1695</v>
      </c>
      <c r="C2382" s="328" t="s">
        <v>1060</v>
      </c>
      <c r="D2382" s="330">
        <v>3</v>
      </c>
      <c r="E2382" s="331">
        <v>-55</v>
      </c>
      <c r="F2382" s="331">
        <v>20569.3</v>
      </c>
      <c r="G2382" s="328" t="s">
        <v>1696</v>
      </c>
      <c r="H2382" s="328" t="s">
        <v>1766</v>
      </c>
      <c r="I2382" s="328" t="s">
        <v>110</v>
      </c>
      <c r="J2382" s="328" t="s">
        <v>757</v>
      </c>
      <c r="K2382" s="328" t="s">
        <v>741</v>
      </c>
      <c r="L2382" s="329">
        <v>44074</v>
      </c>
      <c r="M2382" s="332">
        <v>0</v>
      </c>
    </row>
    <row r="2383" spans="1:13" hidden="1" x14ac:dyDescent="0.25">
      <c r="A2383" s="329">
        <v>44104</v>
      </c>
      <c r="B2383" s="328" t="s">
        <v>1699</v>
      </c>
      <c r="C2383" s="328" t="s">
        <v>1060</v>
      </c>
      <c r="D2383" s="330">
        <v>3</v>
      </c>
      <c r="E2383" s="331">
        <v>82.5</v>
      </c>
      <c r="F2383" s="331">
        <v>20651.8</v>
      </c>
      <c r="G2383" s="328" t="s">
        <v>1700</v>
      </c>
      <c r="H2383" s="328" t="s">
        <v>1766</v>
      </c>
      <c r="I2383" s="328" t="s">
        <v>110</v>
      </c>
      <c r="J2383" s="328" t="s">
        <v>757</v>
      </c>
      <c r="K2383" s="328" t="s">
        <v>741</v>
      </c>
      <c r="L2383" s="329">
        <v>44104</v>
      </c>
      <c r="M2383" s="332">
        <v>0</v>
      </c>
    </row>
    <row r="2384" spans="1:13" hidden="1" x14ac:dyDescent="0.25">
      <c r="A2384" s="329">
        <v>44104</v>
      </c>
      <c r="B2384" s="328" t="s">
        <v>1699</v>
      </c>
      <c r="C2384" s="328" t="s">
        <v>1060</v>
      </c>
      <c r="D2384" s="330">
        <v>4</v>
      </c>
      <c r="E2384" s="331">
        <v>-82.5</v>
      </c>
      <c r="F2384" s="331">
        <v>20569.3</v>
      </c>
      <c r="G2384" s="328" t="s">
        <v>1700</v>
      </c>
      <c r="H2384" s="328" t="s">
        <v>1766</v>
      </c>
      <c r="I2384" s="328" t="s">
        <v>110</v>
      </c>
      <c r="J2384" s="328" t="s">
        <v>757</v>
      </c>
      <c r="K2384" s="328" t="s">
        <v>741</v>
      </c>
      <c r="L2384" s="329">
        <v>44104</v>
      </c>
      <c r="M2384" s="332">
        <v>0</v>
      </c>
    </row>
    <row r="2385" spans="1:13" hidden="1" x14ac:dyDescent="0.25">
      <c r="A2385" s="329">
        <v>44105</v>
      </c>
      <c r="B2385" s="328" t="s">
        <v>1701</v>
      </c>
      <c r="C2385" s="328" t="s">
        <v>769</v>
      </c>
      <c r="D2385" s="330">
        <v>4</v>
      </c>
      <c r="E2385" s="331">
        <v>82.5</v>
      </c>
      <c r="F2385" s="331">
        <v>20651.8</v>
      </c>
      <c r="G2385" s="328" t="s">
        <v>1702</v>
      </c>
      <c r="H2385" s="328" t="s">
        <v>1766</v>
      </c>
      <c r="I2385" s="328" t="s">
        <v>110</v>
      </c>
      <c r="J2385" s="328" t="s">
        <v>757</v>
      </c>
      <c r="K2385" s="328" t="s">
        <v>770</v>
      </c>
      <c r="L2385" s="329">
        <v>44105</v>
      </c>
      <c r="M2385" s="332">
        <v>0</v>
      </c>
    </row>
    <row r="2386" spans="1:13" hidden="1" x14ac:dyDescent="0.25">
      <c r="A2386" s="329">
        <v>44135</v>
      </c>
      <c r="B2386" s="328" t="s">
        <v>1703</v>
      </c>
      <c r="C2386" s="328" t="s">
        <v>1060</v>
      </c>
      <c r="D2386" s="330">
        <v>4</v>
      </c>
      <c r="E2386" s="331">
        <v>88</v>
      </c>
      <c r="F2386" s="331">
        <v>20739.8</v>
      </c>
      <c r="G2386" s="328" t="s">
        <v>1704</v>
      </c>
      <c r="H2386" s="328" t="s">
        <v>1766</v>
      </c>
      <c r="I2386" s="328" t="s">
        <v>110</v>
      </c>
      <c r="J2386" s="328" t="s">
        <v>757</v>
      </c>
      <c r="K2386" s="328" t="s">
        <v>741</v>
      </c>
      <c r="L2386" s="329">
        <v>44135</v>
      </c>
      <c r="M2386" s="332">
        <v>0</v>
      </c>
    </row>
    <row r="2387" spans="1:13" hidden="1" x14ac:dyDescent="0.25">
      <c r="A2387" s="329">
        <v>44135</v>
      </c>
      <c r="B2387" s="328" t="s">
        <v>1703</v>
      </c>
      <c r="C2387" s="328" t="s">
        <v>1060</v>
      </c>
      <c r="D2387" s="330">
        <v>5</v>
      </c>
      <c r="E2387" s="331">
        <v>-88</v>
      </c>
      <c r="F2387" s="331">
        <v>20651.8</v>
      </c>
      <c r="G2387" s="328" t="s">
        <v>1704</v>
      </c>
      <c r="H2387" s="328" t="s">
        <v>1766</v>
      </c>
      <c r="I2387" s="328" t="s">
        <v>110</v>
      </c>
      <c r="J2387" s="328" t="s">
        <v>757</v>
      </c>
      <c r="K2387" s="328" t="s">
        <v>741</v>
      </c>
      <c r="L2387" s="329">
        <v>44135</v>
      </c>
      <c r="M2387" s="332">
        <v>0</v>
      </c>
    </row>
    <row r="2388" spans="1:13" hidden="1" x14ac:dyDescent="0.25">
      <c r="A2388" s="329">
        <v>44135</v>
      </c>
      <c r="B2388" s="328" t="s">
        <v>1705</v>
      </c>
      <c r="C2388" s="328" t="s">
        <v>769</v>
      </c>
      <c r="D2388" s="330">
        <v>5</v>
      </c>
      <c r="E2388" s="331">
        <v>88</v>
      </c>
      <c r="F2388" s="331">
        <v>20739.8</v>
      </c>
      <c r="G2388" s="328" t="s">
        <v>1706</v>
      </c>
      <c r="H2388" s="328" t="s">
        <v>1766</v>
      </c>
      <c r="I2388" s="328" t="s">
        <v>110</v>
      </c>
      <c r="J2388" s="328" t="s">
        <v>757</v>
      </c>
      <c r="K2388" s="328" t="s">
        <v>770</v>
      </c>
      <c r="L2388" s="329">
        <v>44135</v>
      </c>
      <c r="M2388" s="332">
        <v>0</v>
      </c>
    </row>
    <row r="2389" spans="1:13" hidden="1" x14ac:dyDescent="0.25">
      <c r="A2389" s="329">
        <v>44165</v>
      </c>
      <c r="B2389" s="328" t="s">
        <v>1707</v>
      </c>
      <c r="C2389" s="328" t="s">
        <v>1060</v>
      </c>
      <c r="D2389" s="330">
        <v>5</v>
      </c>
      <c r="E2389" s="331">
        <v>88</v>
      </c>
      <c r="F2389" s="331">
        <v>20827.8</v>
      </c>
      <c r="G2389" s="328" t="s">
        <v>1708</v>
      </c>
      <c r="H2389" s="328" t="s">
        <v>1766</v>
      </c>
      <c r="I2389" s="328" t="s">
        <v>110</v>
      </c>
      <c r="J2389" s="328" t="s">
        <v>757</v>
      </c>
      <c r="K2389" s="328" t="s">
        <v>741</v>
      </c>
      <c r="L2389" s="329">
        <v>44165</v>
      </c>
      <c r="M2389" s="332">
        <v>0</v>
      </c>
    </row>
    <row r="2390" spans="1:13" hidden="1" x14ac:dyDescent="0.25">
      <c r="A2390" s="329">
        <v>44165</v>
      </c>
      <c r="B2390" s="328" t="s">
        <v>1707</v>
      </c>
      <c r="C2390" s="328" t="s">
        <v>1060</v>
      </c>
      <c r="D2390" s="330">
        <v>6</v>
      </c>
      <c r="E2390" s="331">
        <v>-88</v>
      </c>
      <c r="F2390" s="331">
        <v>20739.8</v>
      </c>
      <c r="G2390" s="328" t="s">
        <v>1708</v>
      </c>
      <c r="H2390" s="328" t="s">
        <v>1766</v>
      </c>
      <c r="I2390" s="328" t="s">
        <v>110</v>
      </c>
      <c r="J2390" s="328" t="s">
        <v>757</v>
      </c>
      <c r="K2390" s="328" t="s">
        <v>741</v>
      </c>
      <c r="L2390" s="329">
        <v>44165</v>
      </c>
      <c r="M2390" s="332">
        <v>0</v>
      </c>
    </row>
    <row r="2391" spans="1:13" hidden="1" x14ac:dyDescent="0.25">
      <c r="A2391" s="329">
        <v>44165</v>
      </c>
      <c r="B2391" s="328" t="s">
        <v>1709</v>
      </c>
      <c r="C2391" s="328" t="s">
        <v>769</v>
      </c>
      <c r="D2391" s="330">
        <v>6</v>
      </c>
      <c r="E2391" s="331">
        <v>88</v>
      </c>
      <c r="F2391" s="331">
        <v>20827.8</v>
      </c>
      <c r="G2391" s="328" t="s">
        <v>1710</v>
      </c>
      <c r="H2391" s="328" t="s">
        <v>1766</v>
      </c>
      <c r="I2391" s="328" t="s">
        <v>110</v>
      </c>
      <c r="J2391" s="328" t="s">
        <v>757</v>
      </c>
      <c r="K2391" s="328" t="s">
        <v>770</v>
      </c>
      <c r="L2391" s="329">
        <v>44165</v>
      </c>
      <c r="M2391" s="332">
        <v>0</v>
      </c>
    </row>
    <row r="2392" spans="1:13" hidden="1" x14ac:dyDescent="0.25">
      <c r="A2392" s="329">
        <v>44196</v>
      </c>
      <c r="B2392" s="328" t="s">
        <v>1711</v>
      </c>
      <c r="C2392" s="328" t="s">
        <v>1060</v>
      </c>
      <c r="D2392" s="330">
        <v>6</v>
      </c>
      <c r="E2392" s="331">
        <v>132</v>
      </c>
      <c r="F2392" s="331">
        <v>20959.8</v>
      </c>
      <c r="G2392" s="328" t="s">
        <v>1712</v>
      </c>
      <c r="H2392" s="328" t="s">
        <v>1766</v>
      </c>
      <c r="I2392" s="328" t="s">
        <v>110</v>
      </c>
      <c r="J2392" s="328" t="s">
        <v>757</v>
      </c>
      <c r="K2392" s="328" t="s">
        <v>741</v>
      </c>
      <c r="L2392" s="329">
        <v>44196</v>
      </c>
      <c r="M2392" s="332">
        <v>0</v>
      </c>
    </row>
    <row r="2393" spans="1:13" hidden="1" x14ac:dyDescent="0.25">
      <c r="A2393" s="329">
        <v>44196</v>
      </c>
      <c r="B2393" s="328" t="s">
        <v>1711</v>
      </c>
      <c r="C2393" s="328" t="s">
        <v>1060</v>
      </c>
      <c r="D2393" s="330">
        <v>7</v>
      </c>
      <c r="E2393" s="331">
        <v>-132</v>
      </c>
      <c r="F2393" s="331">
        <v>20827.8</v>
      </c>
      <c r="G2393" s="328" t="s">
        <v>1712</v>
      </c>
      <c r="H2393" s="328" t="s">
        <v>1766</v>
      </c>
      <c r="I2393" s="328" t="s">
        <v>110</v>
      </c>
      <c r="J2393" s="328" t="s">
        <v>757</v>
      </c>
      <c r="K2393" s="328" t="s">
        <v>741</v>
      </c>
      <c r="L2393" s="329">
        <v>44196</v>
      </c>
      <c r="M2393" s="332">
        <v>0</v>
      </c>
    </row>
    <row r="2394" spans="1:13" hidden="1" x14ac:dyDescent="0.25">
      <c r="A2394" s="329">
        <v>44196</v>
      </c>
      <c r="B2394" s="328" t="s">
        <v>1713</v>
      </c>
      <c r="C2394" s="328" t="s">
        <v>769</v>
      </c>
      <c r="D2394" s="330">
        <v>7</v>
      </c>
      <c r="E2394" s="331">
        <v>132</v>
      </c>
      <c r="F2394" s="331">
        <v>20959.8</v>
      </c>
      <c r="G2394" s="328" t="s">
        <v>1714</v>
      </c>
      <c r="H2394" s="328" t="s">
        <v>1766</v>
      </c>
      <c r="I2394" s="328" t="s">
        <v>110</v>
      </c>
      <c r="J2394" s="328" t="s">
        <v>757</v>
      </c>
      <c r="K2394" s="328" t="s">
        <v>770</v>
      </c>
      <c r="L2394" s="329">
        <v>44196</v>
      </c>
      <c r="M2394" s="332">
        <v>0</v>
      </c>
    </row>
    <row r="2395" spans="1:13" hidden="1" x14ac:dyDescent="0.25">
      <c r="A2395" s="329">
        <v>44227</v>
      </c>
      <c r="B2395" s="328" t="s">
        <v>1715</v>
      </c>
      <c r="C2395" s="328" t="s">
        <v>1060</v>
      </c>
      <c r="D2395" s="330">
        <v>7</v>
      </c>
      <c r="E2395" s="331">
        <v>126.5</v>
      </c>
      <c r="F2395" s="331">
        <v>21086.3</v>
      </c>
      <c r="G2395" s="328" t="s">
        <v>1716</v>
      </c>
      <c r="H2395" s="328" t="s">
        <v>1766</v>
      </c>
      <c r="I2395" s="328" t="s">
        <v>110</v>
      </c>
      <c r="J2395" s="328" t="s">
        <v>757</v>
      </c>
      <c r="K2395" s="328" t="s">
        <v>741</v>
      </c>
      <c r="L2395" s="329">
        <v>44227</v>
      </c>
      <c r="M2395" s="332">
        <v>0</v>
      </c>
    </row>
    <row r="2396" spans="1:13" hidden="1" x14ac:dyDescent="0.25">
      <c r="A2396" s="329">
        <v>44227</v>
      </c>
      <c r="B2396" s="328" t="s">
        <v>1715</v>
      </c>
      <c r="C2396" s="328" t="s">
        <v>1060</v>
      </c>
      <c r="D2396" s="330">
        <v>8</v>
      </c>
      <c r="E2396" s="331">
        <v>-126.5</v>
      </c>
      <c r="F2396" s="331">
        <v>20959.8</v>
      </c>
      <c r="G2396" s="328" t="s">
        <v>1716</v>
      </c>
      <c r="H2396" s="328" t="s">
        <v>1766</v>
      </c>
      <c r="I2396" s="328" t="s">
        <v>110</v>
      </c>
      <c r="J2396" s="328" t="s">
        <v>757</v>
      </c>
      <c r="K2396" s="328" t="s">
        <v>741</v>
      </c>
      <c r="L2396" s="329">
        <v>44227</v>
      </c>
      <c r="M2396" s="332">
        <v>0</v>
      </c>
    </row>
    <row r="2397" spans="1:13" hidden="1" x14ac:dyDescent="0.25">
      <c r="A2397" s="329">
        <v>44227</v>
      </c>
      <c r="B2397" s="328" t="s">
        <v>1717</v>
      </c>
      <c r="C2397" s="328" t="s">
        <v>769</v>
      </c>
      <c r="D2397" s="330">
        <v>8</v>
      </c>
      <c r="E2397" s="331">
        <v>126.5</v>
      </c>
      <c r="F2397" s="331">
        <v>21086.3</v>
      </c>
      <c r="G2397" s="328" t="s">
        <v>1718</v>
      </c>
      <c r="H2397" s="328" t="s">
        <v>1766</v>
      </c>
      <c r="I2397" s="328" t="s">
        <v>110</v>
      </c>
      <c r="J2397" s="328" t="s">
        <v>757</v>
      </c>
      <c r="K2397" s="328" t="s">
        <v>770</v>
      </c>
      <c r="L2397" s="329">
        <v>44227</v>
      </c>
      <c r="M2397" s="332">
        <v>0</v>
      </c>
    </row>
    <row r="2398" spans="1:13" hidden="1" x14ac:dyDescent="0.25">
      <c r="A2398" s="329">
        <v>44255</v>
      </c>
      <c r="B2398" s="328" t="s">
        <v>1720</v>
      </c>
      <c r="C2398" s="328" t="s">
        <v>1060</v>
      </c>
      <c r="D2398" s="330">
        <v>8</v>
      </c>
      <c r="E2398" s="331">
        <v>132</v>
      </c>
      <c r="F2398" s="331">
        <v>21218.3</v>
      </c>
      <c r="G2398" s="328" t="s">
        <v>1721</v>
      </c>
      <c r="H2398" s="328" t="s">
        <v>1766</v>
      </c>
      <c r="I2398" s="328" t="s">
        <v>110</v>
      </c>
      <c r="J2398" s="328" t="s">
        <v>757</v>
      </c>
      <c r="K2398" s="328" t="s">
        <v>741</v>
      </c>
      <c r="L2398" s="329">
        <v>44255</v>
      </c>
      <c r="M2398" s="332">
        <v>0</v>
      </c>
    </row>
    <row r="2399" spans="1:13" hidden="1" x14ac:dyDescent="0.25">
      <c r="A2399" s="329">
        <v>44255</v>
      </c>
      <c r="B2399" s="328" t="s">
        <v>1720</v>
      </c>
      <c r="C2399" s="328" t="s">
        <v>1060</v>
      </c>
      <c r="D2399" s="330">
        <v>9</v>
      </c>
      <c r="E2399" s="331">
        <v>-132</v>
      </c>
      <c r="F2399" s="331">
        <v>21086.3</v>
      </c>
      <c r="G2399" s="328" t="s">
        <v>1721</v>
      </c>
      <c r="H2399" s="328" t="s">
        <v>1766</v>
      </c>
      <c r="I2399" s="328" t="s">
        <v>110</v>
      </c>
      <c r="J2399" s="328" t="s">
        <v>757</v>
      </c>
      <c r="K2399" s="328" t="s">
        <v>741</v>
      </c>
      <c r="L2399" s="329">
        <v>44255</v>
      </c>
      <c r="M2399" s="332">
        <v>0</v>
      </c>
    </row>
    <row r="2400" spans="1:13" hidden="1" x14ac:dyDescent="0.25">
      <c r="A2400" s="329">
        <v>44255</v>
      </c>
      <c r="B2400" s="328" t="s">
        <v>1722</v>
      </c>
      <c r="C2400" s="328" t="s">
        <v>769</v>
      </c>
      <c r="D2400" s="330">
        <v>9</v>
      </c>
      <c r="E2400" s="331">
        <v>132</v>
      </c>
      <c r="F2400" s="331">
        <v>21218.3</v>
      </c>
      <c r="G2400" s="328" t="s">
        <v>1723</v>
      </c>
      <c r="H2400" s="328" t="s">
        <v>1766</v>
      </c>
      <c r="I2400" s="328" t="s">
        <v>110</v>
      </c>
      <c r="J2400" s="328" t="s">
        <v>757</v>
      </c>
      <c r="K2400" s="328" t="s">
        <v>770</v>
      </c>
      <c r="L2400" s="329">
        <v>44255</v>
      </c>
      <c r="M2400" s="332">
        <v>0</v>
      </c>
    </row>
    <row r="2401" spans="1:13" hidden="1" x14ac:dyDescent="0.25">
      <c r="A2401" s="329">
        <v>44286</v>
      </c>
      <c r="B2401" s="328" t="s">
        <v>1724</v>
      </c>
      <c r="C2401" s="328" t="s">
        <v>1060</v>
      </c>
      <c r="D2401" s="330">
        <v>9</v>
      </c>
      <c r="E2401" s="331">
        <v>198</v>
      </c>
      <c r="F2401" s="331">
        <v>21416.3</v>
      </c>
      <c r="G2401" s="328" t="s">
        <v>1725</v>
      </c>
      <c r="H2401" s="328" t="s">
        <v>1766</v>
      </c>
      <c r="I2401" s="328" t="s">
        <v>110</v>
      </c>
      <c r="J2401" s="328" t="s">
        <v>757</v>
      </c>
      <c r="K2401" s="328" t="s">
        <v>741</v>
      </c>
      <c r="L2401" s="329">
        <v>44286</v>
      </c>
      <c r="M2401" s="332">
        <v>0</v>
      </c>
    </row>
    <row r="2402" spans="1:13" hidden="1" x14ac:dyDescent="0.25">
      <c r="A2402" s="329">
        <v>44286</v>
      </c>
      <c r="B2402" s="328" t="s">
        <v>1726</v>
      </c>
      <c r="C2402" s="328" t="s">
        <v>769</v>
      </c>
      <c r="D2402" s="330">
        <v>10</v>
      </c>
      <c r="E2402" s="331">
        <v>198</v>
      </c>
      <c r="F2402" s="331">
        <v>21614.3</v>
      </c>
      <c r="G2402" s="328" t="s">
        <v>1727</v>
      </c>
      <c r="H2402" s="328" t="s">
        <v>1766</v>
      </c>
      <c r="I2402" s="328" t="s">
        <v>110</v>
      </c>
      <c r="J2402" s="328" t="s">
        <v>757</v>
      </c>
      <c r="K2402" s="328" t="s">
        <v>770</v>
      </c>
      <c r="L2402" s="329">
        <v>44286</v>
      </c>
      <c r="M2402" s="332">
        <v>0</v>
      </c>
    </row>
    <row r="2403" spans="1:13" hidden="1" x14ac:dyDescent="0.25">
      <c r="A2403" s="329">
        <v>44286</v>
      </c>
      <c r="B2403" s="328" t="s">
        <v>1724</v>
      </c>
      <c r="C2403" s="328" t="s">
        <v>1060</v>
      </c>
      <c r="D2403" s="330">
        <v>10</v>
      </c>
      <c r="E2403" s="331">
        <v>-198</v>
      </c>
      <c r="F2403" s="331">
        <v>21416.3</v>
      </c>
      <c r="G2403" s="328" t="s">
        <v>1725</v>
      </c>
      <c r="H2403" s="328" t="s">
        <v>1766</v>
      </c>
      <c r="I2403" s="328" t="s">
        <v>110</v>
      </c>
      <c r="J2403" s="328" t="s">
        <v>757</v>
      </c>
      <c r="K2403" s="328" t="s">
        <v>741</v>
      </c>
      <c r="L2403" s="329">
        <v>44286</v>
      </c>
      <c r="M2403" s="332">
        <v>0</v>
      </c>
    </row>
    <row r="2404" spans="1:13" hidden="1" x14ac:dyDescent="0.25">
      <c r="A2404" s="329">
        <v>44316</v>
      </c>
      <c r="B2404" s="328" t="s">
        <v>1728</v>
      </c>
      <c r="C2404" s="328" t="s">
        <v>1060</v>
      </c>
      <c r="D2404" s="330">
        <v>10</v>
      </c>
      <c r="E2404" s="331">
        <v>132</v>
      </c>
      <c r="F2404" s="331">
        <v>21548.3</v>
      </c>
      <c r="G2404" s="328" t="s">
        <v>1729</v>
      </c>
      <c r="H2404" s="328" t="s">
        <v>1766</v>
      </c>
      <c r="I2404" s="328" t="s">
        <v>110</v>
      </c>
      <c r="J2404" s="328" t="s">
        <v>757</v>
      </c>
      <c r="K2404" s="328" t="s">
        <v>741</v>
      </c>
      <c r="L2404" s="329">
        <v>44316</v>
      </c>
      <c r="M2404" s="332">
        <v>0</v>
      </c>
    </row>
    <row r="2405" spans="1:13" hidden="1" x14ac:dyDescent="0.25">
      <c r="A2405" s="329">
        <v>44012</v>
      </c>
      <c r="B2405" s="328" t="s">
        <v>1681</v>
      </c>
      <c r="C2405" s="328" t="s">
        <v>1059</v>
      </c>
      <c r="D2405" s="330">
        <v>1</v>
      </c>
      <c r="E2405" s="331">
        <v>-203.5</v>
      </c>
      <c r="F2405" s="331">
        <v>21381.65</v>
      </c>
      <c r="G2405" s="328" t="s">
        <v>1682</v>
      </c>
      <c r="H2405" s="328" t="s">
        <v>1767</v>
      </c>
      <c r="I2405" s="328" t="s">
        <v>110</v>
      </c>
      <c r="J2405" s="328" t="s">
        <v>757</v>
      </c>
      <c r="K2405" s="328" t="s">
        <v>741</v>
      </c>
      <c r="L2405" s="329">
        <v>44012</v>
      </c>
      <c r="M2405" s="332">
        <v>0</v>
      </c>
    </row>
    <row r="2406" spans="1:13" hidden="1" x14ac:dyDescent="0.25">
      <c r="A2406" s="329">
        <v>44012</v>
      </c>
      <c r="B2406" s="328" t="s">
        <v>1678</v>
      </c>
      <c r="C2406" s="328" t="s">
        <v>769</v>
      </c>
      <c r="D2406" s="330">
        <v>1</v>
      </c>
      <c r="E2406" s="331">
        <v>220</v>
      </c>
      <c r="F2406" s="331">
        <v>21601.65</v>
      </c>
      <c r="G2406" s="328" t="s">
        <v>1679</v>
      </c>
      <c r="H2406" s="328" t="s">
        <v>1767</v>
      </c>
      <c r="I2406" s="328" t="s">
        <v>110</v>
      </c>
      <c r="J2406" s="328" t="s">
        <v>757</v>
      </c>
      <c r="K2406" s="328" t="s">
        <v>770</v>
      </c>
      <c r="L2406" s="329">
        <v>44012</v>
      </c>
      <c r="M2406" s="332">
        <v>0</v>
      </c>
    </row>
    <row r="2407" spans="1:13" hidden="1" x14ac:dyDescent="0.25">
      <c r="A2407" s="329">
        <v>44041</v>
      </c>
      <c r="B2407" s="328" t="s">
        <v>1683</v>
      </c>
      <c r="C2407" s="328" t="s">
        <v>936</v>
      </c>
      <c r="D2407" s="330">
        <v>1</v>
      </c>
      <c r="E2407" s="331">
        <v>-16.5</v>
      </c>
      <c r="F2407" s="331">
        <v>21585.15</v>
      </c>
      <c r="G2407" s="328" t="s">
        <v>1684</v>
      </c>
      <c r="H2407" s="328" t="s">
        <v>1767</v>
      </c>
      <c r="I2407" s="328" t="s">
        <v>110</v>
      </c>
      <c r="J2407" s="328" t="s">
        <v>757</v>
      </c>
      <c r="K2407" s="328" t="s">
        <v>770</v>
      </c>
      <c r="L2407" s="329">
        <v>44041</v>
      </c>
      <c r="M2407" s="332">
        <v>0</v>
      </c>
    </row>
    <row r="2408" spans="1:13" hidden="1" x14ac:dyDescent="0.25">
      <c r="A2408" s="329">
        <v>44043</v>
      </c>
      <c r="B2408" s="328" t="s">
        <v>1685</v>
      </c>
      <c r="C2408" s="328" t="s">
        <v>1060</v>
      </c>
      <c r="D2408" s="330">
        <v>1</v>
      </c>
      <c r="E2408" s="331">
        <v>253</v>
      </c>
      <c r="F2408" s="331">
        <v>21838.15</v>
      </c>
      <c r="G2408" s="328" t="s">
        <v>1686</v>
      </c>
      <c r="H2408" s="328" t="s">
        <v>1767</v>
      </c>
      <c r="I2408" s="328" t="s">
        <v>110</v>
      </c>
      <c r="J2408" s="328" t="s">
        <v>757</v>
      </c>
      <c r="K2408" s="328" t="s">
        <v>741</v>
      </c>
      <c r="L2408" s="329">
        <v>44043</v>
      </c>
      <c r="M2408" s="332">
        <v>0</v>
      </c>
    </row>
    <row r="2409" spans="1:13" hidden="1" x14ac:dyDescent="0.25">
      <c r="A2409" s="329">
        <v>44043</v>
      </c>
      <c r="B2409" s="328" t="s">
        <v>1685</v>
      </c>
      <c r="C2409" s="328" t="s">
        <v>1060</v>
      </c>
      <c r="D2409" s="330">
        <v>1</v>
      </c>
      <c r="E2409" s="331">
        <v>16.5</v>
      </c>
      <c r="F2409" s="331">
        <v>21854.65</v>
      </c>
      <c r="G2409" s="328" t="s">
        <v>1687</v>
      </c>
      <c r="H2409" s="328" t="s">
        <v>1767</v>
      </c>
      <c r="I2409" s="328" t="s">
        <v>110</v>
      </c>
      <c r="J2409" s="328" t="s">
        <v>757</v>
      </c>
      <c r="K2409" s="328" t="s">
        <v>741</v>
      </c>
      <c r="L2409" s="329">
        <v>44043</v>
      </c>
      <c r="M2409" s="332">
        <v>0</v>
      </c>
    </row>
    <row r="2410" spans="1:13" hidden="1" x14ac:dyDescent="0.25">
      <c r="A2410" s="329">
        <v>44043</v>
      </c>
      <c r="B2410" s="328" t="s">
        <v>1688</v>
      </c>
      <c r="C2410" s="328" t="s">
        <v>1060</v>
      </c>
      <c r="D2410" s="330">
        <v>1</v>
      </c>
      <c r="E2410" s="331">
        <v>-253</v>
      </c>
      <c r="F2410" s="331">
        <v>21601.65</v>
      </c>
      <c r="G2410" s="328" t="s">
        <v>1686</v>
      </c>
      <c r="H2410" s="328" t="s">
        <v>1767</v>
      </c>
      <c r="I2410" s="328" t="s">
        <v>110</v>
      </c>
      <c r="J2410" s="328" t="s">
        <v>757</v>
      </c>
      <c r="K2410" s="328" t="s">
        <v>741</v>
      </c>
      <c r="L2410" s="329">
        <v>44043</v>
      </c>
      <c r="M2410" s="332">
        <v>0</v>
      </c>
    </row>
    <row r="2411" spans="1:13" hidden="1" x14ac:dyDescent="0.25">
      <c r="A2411" s="329">
        <v>44043</v>
      </c>
      <c r="B2411" s="328" t="s">
        <v>1688</v>
      </c>
      <c r="C2411" s="328" t="s">
        <v>1060</v>
      </c>
      <c r="D2411" s="330">
        <v>1</v>
      </c>
      <c r="E2411" s="331">
        <v>-16.5</v>
      </c>
      <c r="F2411" s="331">
        <v>21585.15</v>
      </c>
      <c r="G2411" s="328" t="s">
        <v>1687</v>
      </c>
      <c r="H2411" s="328" t="s">
        <v>1767</v>
      </c>
      <c r="I2411" s="328" t="s">
        <v>110</v>
      </c>
      <c r="J2411" s="328" t="s">
        <v>757</v>
      </c>
      <c r="K2411" s="328" t="s">
        <v>741</v>
      </c>
      <c r="L2411" s="329">
        <v>44043</v>
      </c>
      <c r="M2411" s="332">
        <v>0</v>
      </c>
    </row>
    <row r="2412" spans="1:13" hidden="1" x14ac:dyDescent="0.25">
      <c r="A2412" s="329">
        <v>44043</v>
      </c>
      <c r="B2412" s="328" t="s">
        <v>1689</v>
      </c>
      <c r="C2412" s="328" t="s">
        <v>1060</v>
      </c>
      <c r="D2412" s="330">
        <v>1</v>
      </c>
      <c r="E2412" s="331">
        <v>253</v>
      </c>
      <c r="F2412" s="331">
        <v>21838.15</v>
      </c>
      <c r="G2412" s="328" t="s">
        <v>1686</v>
      </c>
      <c r="H2412" s="328" t="s">
        <v>1767</v>
      </c>
      <c r="I2412" s="328" t="s">
        <v>110</v>
      </c>
      <c r="J2412" s="328" t="s">
        <v>757</v>
      </c>
      <c r="K2412" s="328" t="s">
        <v>741</v>
      </c>
      <c r="L2412" s="329">
        <v>44043</v>
      </c>
      <c r="M2412" s="332">
        <v>0</v>
      </c>
    </row>
    <row r="2413" spans="1:13" hidden="1" x14ac:dyDescent="0.25">
      <c r="A2413" s="329">
        <v>44043</v>
      </c>
      <c r="B2413" s="328" t="s">
        <v>1689</v>
      </c>
      <c r="C2413" s="328" t="s">
        <v>1060</v>
      </c>
      <c r="D2413" s="330">
        <v>1</v>
      </c>
      <c r="E2413" s="331">
        <v>-16.5</v>
      </c>
      <c r="F2413" s="331">
        <v>21821.65</v>
      </c>
      <c r="G2413" s="328" t="s">
        <v>1690</v>
      </c>
      <c r="H2413" s="328" t="s">
        <v>1767</v>
      </c>
      <c r="I2413" s="328" t="s">
        <v>110</v>
      </c>
      <c r="J2413" s="328" t="s">
        <v>757</v>
      </c>
      <c r="K2413" s="328" t="s">
        <v>741</v>
      </c>
      <c r="L2413" s="329">
        <v>44043</v>
      </c>
      <c r="M2413" s="332">
        <v>0</v>
      </c>
    </row>
    <row r="2414" spans="1:13" hidden="1" x14ac:dyDescent="0.25">
      <c r="A2414" s="329">
        <v>44043</v>
      </c>
      <c r="B2414" s="328" t="s">
        <v>1691</v>
      </c>
      <c r="C2414" s="328" t="s">
        <v>769</v>
      </c>
      <c r="D2414" s="330">
        <v>2</v>
      </c>
      <c r="E2414" s="331">
        <v>253</v>
      </c>
      <c r="F2414" s="331">
        <v>22074.65</v>
      </c>
      <c r="G2414" s="328" t="s">
        <v>1692</v>
      </c>
      <c r="H2414" s="328" t="s">
        <v>1767</v>
      </c>
      <c r="I2414" s="328" t="s">
        <v>110</v>
      </c>
      <c r="J2414" s="328" t="s">
        <v>757</v>
      </c>
      <c r="K2414" s="328" t="s">
        <v>770</v>
      </c>
      <c r="L2414" s="329">
        <v>44043</v>
      </c>
      <c r="M2414" s="332">
        <v>0</v>
      </c>
    </row>
    <row r="2415" spans="1:13" hidden="1" x14ac:dyDescent="0.25">
      <c r="A2415" s="329">
        <v>44043</v>
      </c>
      <c r="B2415" s="328" t="s">
        <v>1693</v>
      </c>
      <c r="C2415" s="328" t="s">
        <v>936</v>
      </c>
      <c r="D2415" s="330">
        <v>2</v>
      </c>
      <c r="E2415" s="331">
        <v>-16.5</v>
      </c>
      <c r="F2415" s="331">
        <v>22058.15</v>
      </c>
      <c r="G2415" s="328" t="s">
        <v>1694</v>
      </c>
      <c r="H2415" s="328" t="s">
        <v>1767</v>
      </c>
      <c r="I2415" s="328" t="s">
        <v>110</v>
      </c>
      <c r="J2415" s="328" t="s">
        <v>757</v>
      </c>
      <c r="K2415" s="328" t="s">
        <v>770</v>
      </c>
      <c r="L2415" s="329">
        <v>44043</v>
      </c>
      <c r="M2415" s="332">
        <v>0</v>
      </c>
    </row>
    <row r="2416" spans="1:13" hidden="1" x14ac:dyDescent="0.25">
      <c r="A2416" s="329">
        <v>44043</v>
      </c>
      <c r="B2416" s="328" t="s">
        <v>1685</v>
      </c>
      <c r="C2416" s="328" t="s">
        <v>1060</v>
      </c>
      <c r="D2416" s="330">
        <v>2</v>
      </c>
      <c r="E2416" s="331">
        <v>-253</v>
      </c>
      <c r="F2416" s="331">
        <v>21805.15</v>
      </c>
      <c r="G2416" s="328" t="s">
        <v>1686</v>
      </c>
      <c r="H2416" s="328" t="s">
        <v>1767</v>
      </c>
      <c r="I2416" s="328" t="s">
        <v>110</v>
      </c>
      <c r="J2416" s="328" t="s">
        <v>757</v>
      </c>
      <c r="K2416" s="328" t="s">
        <v>741</v>
      </c>
      <c r="L2416" s="329">
        <v>44043</v>
      </c>
      <c r="M2416" s="332">
        <v>0</v>
      </c>
    </row>
    <row r="2417" spans="1:13" hidden="1" x14ac:dyDescent="0.25">
      <c r="A2417" s="329">
        <v>44043</v>
      </c>
      <c r="B2417" s="328" t="s">
        <v>1685</v>
      </c>
      <c r="C2417" s="328" t="s">
        <v>1060</v>
      </c>
      <c r="D2417" s="330">
        <v>2</v>
      </c>
      <c r="E2417" s="331">
        <v>-16.5</v>
      </c>
      <c r="F2417" s="331">
        <v>21788.65</v>
      </c>
      <c r="G2417" s="328" t="s">
        <v>1687</v>
      </c>
      <c r="H2417" s="328" t="s">
        <v>1767</v>
      </c>
      <c r="I2417" s="328" t="s">
        <v>110</v>
      </c>
      <c r="J2417" s="328" t="s">
        <v>757</v>
      </c>
      <c r="K2417" s="328" t="s">
        <v>741</v>
      </c>
      <c r="L2417" s="329">
        <v>44043</v>
      </c>
      <c r="M2417" s="332">
        <v>0</v>
      </c>
    </row>
    <row r="2418" spans="1:13" hidden="1" x14ac:dyDescent="0.25">
      <c r="A2418" s="329">
        <v>44043</v>
      </c>
      <c r="B2418" s="328" t="s">
        <v>1688</v>
      </c>
      <c r="C2418" s="328" t="s">
        <v>1060</v>
      </c>
      <c r="D2418" s="330">
        <v>2</v>
      </c>
      <c r="E2418" s="331">
        <v>253</v>
      </c>
      <c r="F2418" s="331">
        <v>22041.65</v>
      </c>
      <c r="G2418" s="328" t="s">
        <v>1686</v>
      </c>
      <c r="H2418" s="328" t="s">
        <v>1767</v>
      </c>
      <c r="I2418" s="328" t="s">
        <v>110</v>
      </c>
      <c r="J2418" s="328" t="s">
        <v>757</v>
      </c>
      <c r="K2418" s="328" t="s">
        <v>741</v>
      </c>
      <c r="L2418" s="329">
        <v>44043</v>
      </c>
      <c r="M2418" s="332">
        <v>0</v>
      </c>
    </row>
    <row r="2419" spans="1:13" hidden="1" x14ac:dyDescent="0.25">
      <c r="A2419" s="329">
        <v>44043</v>
      </c>
      <c r="B2419" s="328" t="s">
        <v>1688</v>
      </c>
      <c r="C2419" s="328" t="s">
        <v>1060</v>
      </c>
      <c r="D2419" s="330">
        <v>2</v>
      </c>
      <c r="E2419" s="331">
        <v>16.5</v>
      </c>
      <c r="F2419" s="331">
        <v>22058.15</v>
      </c>
      <c r="G2419" s="328" t="s">
        <v>1687</v>
      </c>
      <c r="H2419" s="328" t="s">
        <v>1767</v>
      </c>
      <c r="I2419" s="328" t="s">
        <v>110</v>
      </c>
      <c r="J2419" s="328" t="s">
        <v>757</v>
      </c>
      <c r="K2419" s="328" t="s">
        <v>741</v>
      </c>
      <c r="L2419" s="329">
        <v>44043</v>
      </c>
      <c r="M2419" s="332">
        <v>0</v>
      </c>
    </row>
    <row r="2420" spans="1:13" hidden="1" x14ac:dyDescent="0.25">
      <c r="A2420" s="329">
        <v>44043</v>
      </c>
      <c r="B2420" s="328" t="s">
        <v>1689</v>
      </c>
      <c r="C2420" s="328" t="s">
        <v>1060</v>
      </c>
      <c r="D2420" s="330">
        <v>2</v>
      </c>
      <c r="E2420" s="331">
        <v>-253</v>
      </c>
      <c r="F2420" s="331">
        <v>21805.15</v>
      </c>
      <c r="G2420" s="328" t="s">
        <v>1686</v>
      </c>
      <c r="H2420" s="328" t="s">
        <v>1767</v>
      </c>
      <c r="I2420" s="328" t="s">
        <v>110</v>
      </c>
      <c r="J2420" s="328" t="s">
        <v>757</v>
      </c>
      <c r="K2420" s="328" t="s">
        <v>741</v>
      </c>
      <c r="L2420" s="329">
        <v>44043</v>
      </c>
      <c r="M2420" s="332">
        <v>0</v>
      </c>
    </row>
    <row r="2421" spans="1:13" hidden="1" x14ac:dyDescent="0.25">
      <c r="A2421" s="329">
        <v>44043</v>
      </c>
      <c r="B2421" s="328" t="s">
        <v>1689</v>
      </c>
      <c r="C2421" s="328" t="s">
        <v>1060</v>
      </c>
      <c r="D2421" s="330">
        <v>2</v>
      </c>
      <c r="E2421" s="331">
        <v>16.5</v>
      </c>
      <c r="F2421" s="331">
        <v>21821.65</v>
      </c>
      <c r="G2421" s="328" t="s">
        <v>1690</v>
      </c>
      <c r="H2421" s="328" t="s">
        <v>1767</v>
      </c>
      <c r="I2421" s="328" t="s">
        <v>110</v>
      </c>
      <c r="J2421" s="328" t="s">
        <v>757</v>
      </c>
      <c r="K2421" s="328" t="s">
        <v>741</v>
      </c>
      <c r="L2421" s="329">
        <v>44043</v>
      </c>
      <c r="M2421" s="332">
        <v>0</v>
      </c>
    </row>
    <row r="2422" spans="1:13" hidden="1" x14ac:dyDescent="0.25">
      <c r="A2422" s="329">
        <v>44074</v>
      </c>
      <c r="B2422" s="328" t="s">
        <v>1695</v>
      </c>
      <c r="C2422" s="328" t="s">
        <v>1060</v>
      </c>
      <c r="D2422" s="330">
        <v>2</v>
      </c>
      <c r="E2422" s="331">
        <v>209</v>
      </c>
      <c r="F2422" s="331">
        <v>22030.65</v>
      </c>
      <c r="G2422" s="328" t="s">
        <v>1696</v>
      </c>
      <c r="H2422" s="328" t="s">
        <v>1767</v>
      </c>
      <c r="I2422" s="328" t="s">
        <v>110</v>
      </c>
      <c r="J2422" s="328" t="s">
        <v>757</v>
      </c>
      <c r="K2422" s="328" t="s">
        <v>741</v>
      </c>
      <c r="L2422" s="329">
        <v>44074</v>
      </c>
      <c r="M2422" s="332">
        <v>0</v>
      </c>
    </row>
    <row r="2423" spans="1:13" hidden="1" x14ac:dyDescent="0.25">
      <c r="A2423" s="329">
        <v>44074</v>
      </c>
      <c r="B2423" s="328" t="s">
        <v>1697</v>
      </c>
      <c r="C2423" s="328" t="s">
        <v>769</v>
      </c>
      <c r="D2423" s="330">
        <v>3</v>
      </c>
      <c r="E2423" s="331">
        <v>209</v>
      </c>
      <c r="F2423" s="331">
        <v>22239.65</v>
      </c>
      <c r="G2423" s="328" t="s">
        <v>1698</v>
      </c>
      <c r="H2423" s="328" t="s">
        <v>1767</v>
      </c>
      <c r="I2423" s="328" t="s">
        <v>110</v>
      </c>
      <c r="J2423" s="328" t="s">
        <v>757</v>
      </c>
      <c r="K2423" s="328" t="s">
        <v>770</v>
      </c>
      <c r="L2423" s="329">
        <v>44074</v>
      </c>
      <c r="M2423" s="332">
        <v>0</v>
      </c>
    </row>
    <row r="2424" spans="1:13" hidden="1" x14ac:dyDescent="0.25">
      <c r="A2424" s="329">
        <v>44074</v>
      </c>
      <c r="B2424" s="328" t="s">
        <v>1695</v>
      </c>
      <c r="C2424" s="328" t="s">
        <v>1060</v>
      </c>
      <c r="D2424" s="330">
        <v>3</v>
      </c>
      <c r="E2424" s="331">
        <v>-209</v>
      </c>
      <c r="F2424" s="331">
        <v>22030.65</v>
      </c>
      <c r="G2424" s="328" t="s">
        <v>1696</v>
      </c>
      <c r="H2424" s="328" t="s">
        <v>1767</v>
      </c>
      <c r="I2424" s="328" t="s">
        <v>110</v>
      </c>
      <c r="J2424" s="328" t="s">
        <v>757</v>
      </c>
      <c r="K2424" s="328" t="s">
        <v>741</v>
      </c>
      <c r="L2424" s="329">
        <v>44074</v>
      </c>
      <c r="M2424" s="332">
        <v>0</v>
      </c>
    </row>
    <row r="2425" spans="1:13" hidden="1" x14ac:dyDescent="0.25">
      <c r="A2425" s="329">
        <v>44104</v>
      </c>
      <c r="B2425" s="328" t="s">
        <v>1699</v>
      </c>
      <c r="C2425" s="328" t="s">
        <v>1060</v>
      </c>
      <c r="D2425" s="330">
        <v>3</v>
      </c>
      <c r="E2425" s="331">
        <v>313.5</v>
      </c>
      <c r="F2425" s="331">
        <v>22344.15</v>
      </c>
      <c r="G2425" s="328" t="s">
        <v>1700</v>
      </c>
      <c r="H2425" s="328" t="s">
        <v>1767</v>
      </c>
      <c r="I2425" s="328" t="s">
        <v>110</v>
      </c>
      <c r="J2425" s="328" t="s">
        <v>757</v>
      </c>
      <c r="K2425" s="328" t="s">
        <v>741</v>
      </c>
      <c r="L2425" s="329">
        <v>44104</v>
      </c>
      <c r="M2425" s="332">
        <v>0</v>
      </c>
    </row>
    <row r="2426" spans="1:13" hidden="1" x14ac:dyDescent="0.25">
      <c r="A2426" s="329">
        <v>44104</v>
      </c>
      <c r="B2426" s="328" t="s">
        <v>1699</v>
      </c>
      <c r="C2426" s="328" t="s">
        <v>1060</v>
      </c>
      <c r="D2426" s="330">
        <v>4</v>
      </c>
      <c r="E2426" s="331">
        <v>-313.5</v>
      </c>
      <c r="F2426" s="331">
        <v>22030.65</v>
      </c>
      <c r="G2426" s="328" t="s">
        <v>1700</v>
      </c>
      <c r="H2426" s="328" t="s">
        <v>1767</v>
      </c>
      <c r="I2426" s="328" t="s">
        <v>110</v>
      </c>
      <c r="J2426" s="328" t="s">
        <v>757</v>
      </c>
      <c r="K2426" s="328" t="s">
        <v>741</v>
      </c>
      <c r="L2426" s="329">
        <v>44104</v>
      </c>
      <c r="M2426" s="332">
        <v>0</v>
      </c>
    </row>
    <row r="2427" spans="1:13" hidden="1" x14ac:dyDescent="0.25">
      <c r="A2427" s="329">
        <v>44105</v>
      </c>
      <c r="B2427" s="328" t="s">
        <v>1701</v>
      </c>
      <c r="C2427" s="328" t="s">
        <v>769</v>
      </c>
      <c r="D2427" s="330">
        <v>4</v>
      </c>
      <c r="E2427" s="331">
        <v>313.5</v>
      </c>
      <c r="F2427" s="331">
        <v>22344.15</v>
      </c>
      <c r="G2427" s="328" t="s">
        <v>1702</v>
      </c>
      <c r="H2427" s="328" t="s">
        <v>1767</v>
      </c>
      <c r="I2427" s="328" t="s">
        <v>110</v>
      </c>
      <c r="J2427" s="328" t="s">
        <v>757</v>
      </c>
      <c r="K2427" s="328" t="s">
        <v>770</v>
      </c>
      <c r="L2427" s="329">
        <v>44105</v>
      </c>
      <c r="M2427" s="332">
        <v>0</v>
      </c>
    </row>
    <row r="2428" spans="1:13" hidden="1" x14ac:dyDescent="0.25">
      <c r="A2428" s="329">
        <v>44135</v>
      </c>
      <c r="B2428" s="328" t="s">
        <v>1703</v>
      </c>
      <c r="C2428" s="328" t="s">
        <v>1060</v>
      </c>
      <c r="D2428" s="330">
        <v>4</v>
      </c>
      <c r="E2428" s="331">
        <v>77</v>
      </c>
      <c r="F2428" s="331">
        <v>22421.15</v>
      </c>
      <c r="G2428" s="328" t="s">
        <v>1704</v>
      </c>
      <c r="H2428" s="328" t="s">
        <v>1767</v>
      </c>
      <c r="I2428" s="328" t="s">
        <v>110</v>
      </c>
      <c r="J2428" s="328" t="s">
        <v>757</v>
      </c>
      <c r="K2428" s="328" t="s">
        <v>741</v>
      </c>
      <c r="L2428" s="329">
        <v>44135</v>
      </c>
      <c r="M2428" s="332">
        <v>0</v>
      </c>
    </row>
    <row r="2429" spans="1:13" hidden="1" x14ac:dyDescent="0.25">
      <c r="A2429" s="329">
        <v>44135</v>
      </c>
      <c r="B2429" s="328" t="s">
        <v>1703</v>
      </c>
      <c r="C2429" s="328" t="s">
        <v>1060</v>
      </c>
      <c r="D2429" s="330">
        <v>5</v>
      </c>
      <c r="E2429" s="331">
        <v>-77</v>
      </c>
      <c r="F2429" s="331">
        <v>22344.15</v>
      </c>
      <c r="G2429" s="328" t="s">
        <v>1704</v>
      </c>
      <c r="H2429" s="328" t="s">
        <v>1767</v>
      </c>
      <c r="I2429" s="328" t="s">
        <v>110</v>
      </c>
      <c r="J2429" s="328" t="s">
        <v>757</v>
      </c>
      <c r="K2429" s="328" t="s">
        <v>741</v>
      </c>
      <c r="L2429" s="329">
        <v>44135</v>
      </c>
      <c r="M2429" s="332">
        <v>0</v>
      </c>
    </row>
    <row r="2430" spans="1:13" hidden="1" x14ac:dyDescent="0.25">
      <c r="A2430" s="329">
        <v>44135</v>
      </c>
      <c r="B2430" s="328" t="s">
        <v>1705</v>
      </c>
      <c r="C2430" s="328" t="s">
        <v>769</v>
      </c>
      <c r="D2430" s="330">
        <v>5</v>
      </c>
      <c r="E2430" s="331">
        <v>77</v>
      </c>
      <c r="F2430" s="331">
        <v>22421.15</v>
      </c>
      <c r="G2430" s="328" t="s">
        <v>1706</v>
      </c>
      <c r="H2430" s="328" t="s">
        <v>1767</v>
      </c>
      <c r="I2430" s="328" t="s">
        <v>110</v>
      </c>
      <c r="J2430" s="328" t="s">
        <v>757</v>
      </c>
      <c r="K2430" s="328" t="s">
        <v>770</v>
      </c>
      <c r="L2430" s="329">
        <v>44135</v>
      </c>
      <c r="M2430" s="332">
        <v>0</v>
      </c>
    </row>
    <row r="2431" spans="1:13" hidden="1" x14ac:dyDescent="0.25">
      <c r="A2431" s="329">
        <v>44165</v>
      </c>
      <c r="B2431" s="328" t="s">
        <v>1707</v>
      </c>
      <c r="C2431" s="328" t="s">
        <v>1060</v>
      </c>
      <c r="D2431" s="330">
        <v>5</v>
      </c>
      <c r="E2431" s="331">
        <v>71.5</v>
      </c>
      <c r="F2431" s="331">
        <v>22492.65</v>
      </c>
      <c r="G2431" s="328" t="s">
        <v>1708</v>
      </c>
      <c r="H2431" s="328" t="s">
        <v>1767</v>
      </c>
      <c r="I2431" s="328" t="s">
        <v>110</v>
      </c>
      <c r="J2431" s="328" t="s">
        <v>757</v>
      </c>
      <c r="K2431" s="328" t="s">
        <v>741</v>
      </c>
      <c r="L2431" s="329">
        <v>44165</v>
      </c>
      <c r="M2431" s="332">
        <v>0</v>
      </c>
    </row>
    <row r="2432" spans="1:13" hidden="1" x14ac:dyDescent="0.25">
      <c r="A2432" s="329">
        <v>44165</v>
      </c>
      <c r="B2432" s="328" t="s">
        <v>1707</v>
      </c>
      <c r="C2432" s="328" t="s">
        <v>1060</v>
      </c>
      <c r="D2432" s="330">
        <v>6</v>
      </c>
      <c r="E2432" s="331">
        <v>-71.5</v>
      </c>
      <c r="F2432" s="331">
        <v>22421.15</v>
      </c>
      <c r="G2432" s="328" t="s">
        <v>1708</v>
      </c>
      <c r="H2432" s="328" t="s">
        <v>1767</v>
      </c>
      <c r="I2432" s="328" t="s">
        <v>110</v>
      </c>
      <c r="J2432" s="328" t="s">
        <v>757</v>
      </c>
      <c r="K2432" s="328" t="s">
        <v>741</v>
      </c>
      <c r="L2432" s="329">
        <v>44165</v>
      </c>
      <c r="M2432" s="332">
        <v>0</v>
      </c>
    </row>
    <row r="2433" spans="1:13" hidden="1" x14ac:dyDescent="0.25">
      <c r="A2433" s="329">
        <v>44165</v>
      </c>
      <c r="B2433" s="328" t="s">
        <v>1709</v>
      </c>
      <c r="C2433" s="328" t="s">
        <v>769</v>
      </c>
      <c r="D2433" s="330">
        <v>6</v>
      </c>
      <c r="E2433" s="331">
        <v>71.5</v>
      </c>
      <c r="F2433" s="331">
        <v>22492.65</v>
      </c>
      <c r="G2433" s="328" t="s">
        <v>1710</v>
      </c>
      <c r="H2433" s="328" t="s">
        <v>1767</v>
      </c>
      <c r="I2433" s="328" t="s">
        <v>110</v>
      </c>
      <c r="J2433" s="328" t="s">
        <v>757</v>
      </c>
      <c r="K2433" s="328" t="s">
        <v>770</v>
      </c>
      <c r="L2433" s="329">
        <v>44165</v>
      </c>
      <c r="M2433" s="332">
        <v>0</v>
      </c>
    </row>
    <row r="2434" spans="1:13" hidden="1" x14ac:dyDescent="0.25">
      <c r="A2434" s="329">
        <v>44255</v>
      </c>
      <c r="B2434" s="328" t="s">
        <v>1722</v>
      </c>
      <c r="C2434" s="328" t="s">
        <v>769</v>
      </c>
      <c r="D2434" s="330">
        <v>9</v>
      </c>
      <c r="E2434" s="331">
        <v>11</v>
      </c>
      <c r="F2434" s="331">
        <v>22503.65</v>
      </c>
      <c r="G2434" s="328" t="s">
        <v>1723</v>
      </c>
      <c r="H2434" s="328" t="s">
        <v>1767</v>
      </c>
      <c r="I2434" s="328" t="s">
        <v>110</v>
      </c>
      <c r="J2434" s="328" t="s">
        <v>757</v>
      </c>
      <c r="K2434" s="328" t="s">
        <v>770</v>
      </c>
      <c r="L2434" s="329">
        <v>44255</v>
      </c>
      <c r="M2434" s="332">
        <v>0</v>
      </c>
    </row>
    <row r="2435" spans="1:13" hidden="1" x14ac:dyDescent="0.25">
      <c r="A2435" s="329">
        <v>44012</v>
      </c>
      <c r="B2435" s="328" t="s">
        <v>1678</v>
      </c>
      <c r="C2435" s="328" t="s">
        <v>769</v>
      </c>
      <c r="D2435" s="330">
        <v>1</v>
      </c>
      <c r="E2435" s="331">
        <v>137.5</v>
      </c>
      <c r="F2435" s="331">
        <v>22678</v>
      </c>
      <c r="G2435" s="328" t="s">
        <v>1679</v>
      </c>
      <c r="H2435" s="328" t="s">
        <v>1768</v>
      </c>
      <c r="I2435" s="328" t="s">
        <v>110</v>
      </c>
      <c r="J2435" s="328" t="s">
        <v>757</v>
      </c>
      <c r="K2435" s="328" t="s">
        <v>770</v>
      </c>
      <c r="L2435" s="329">
        <v>44012</v>
      </c>
      <c r="M2435" s="332">
        <v>0</v>
      </c>
    </row>
    <row r="2436" spans="1:13" hidden="1" x14ac:dyDescent="0.25">
      <c r="A2436" s="329">
        <v>44012</v>
      </c>
      <c r="B2436" s="328" t="s">
        <v>1681</v>
      </c>
      <c r="C2436" s="328" t="s">
        <v>1059</v>
      </c>
      <c r="D2436" s="330">
        <v>1</v>
      </c>
      <c r="E2436" s="331">
        <v>-137.5</v>
      </c>
      <c r="F2436" s="331">
        <v>22540.5</v>
      </c>
      <c r="G2436" s="328" t="s">
        <v>1682</v>
      </c>
      <c r="H2436" s="328" t="s">
        <v>1768</v>
      </c>
      <c r="I2436" s="328" t="s">
        <v>110</v>
      </c>
      <c r="J2436" s="328" t="s">
        <v>757</v>
      </c>
      <c r="K2436" s="328" t="s">
        <v>741</v>
      </c>
      <c r="L2436" s="329">
        <v>44012</v>
      </c>
      <c r="M2436" s="332">
        <v>0</v>
      </c>
    </row>
    <row r="2437" spans="1:13" hidden="1" x14ac:dyDescent="0.25">
      <c r="A2437" s="329">
        <v>44043</v>
      </c>
      <c r="B2437" s="328" t="s">
        <v>1685</v>
      </c>
      <c r="C2437" s="328" t="s">
        <v>1060</v>
      </c>
      <c r="D2437" s="330">
        <v>1</v>
      </c>
      <c r="E2437" s="331">
        <v>132</v>
      </c>
      <c r="F2437" s="331">
        <v>22672.5</v>
      </c>
      <c r="G2437" s="328" t="s">
        <v>1686</v>
      </c>
      <c r="H2437" s="328" t="s">
        <v>1768</v>
      </c>
      <c r="I2437" s="328" t="s">
        <v>110</v>
      </c>
      <c r="J2437" s="328" t="s">
        <v>757</v>
      </c>
      <c r="K2437" s="328" t="s">
        <v>741</v>
      </c>
      <c r="L2437" s="329">
        <v>44043</v>
      </c>
      <c r="M2437" s="332">
        <v>0</v>
      </c>
    </row>
    <row r="2438" spans="1:13" hidden="1" x14ac:dyDescent="0.25">
      <c r="A2438" s="329">
        <v>44043</v>
      </c>
      <c r="B2438" s="328" t="s">
        <v>1688</v>
      </c>
      <c r="C2438" s="328" t="s">
        <v>1060</v>
      </c>
      <c r="D2438" s="330">
        <v>1</v>
      </c>
      <c r="E2438" s="331">
        <v>-132</v>
      </c>
      <c r="F2438" s="331">
        <v>22540.5</v>
      </c>
      <c r="G2438" s="328" t="s">
        <v>1686</v>
      </c>
      <c r="H2438" s="328" t="s">
        <v>1768</v>
      </c>
      <c r="I2438" s="328" t="s">
        <v>110</v>
      </c>
      <c r="J2438" s="328" t="s">
        <v>757</v>
      </c>
      <c r="K2438" s="328" t="s">
        <v>741</v>
      </c>
      <c r="L2438" s="329">
        <v>44043</v>
      </c>
      <c r="M2438" s="332">
        <v>0</v>
      </c>
    </row>
    <row r="2439" spans="1:13" hidden="1" x14ac:dyDescent="0.25">
      <c r="A2439" s="329">
        <v>44043</v>
      </c>
      <c r="B2439" s="328" t="s">
        <v>1689</v>
      </c>
      <c r="C2439" s="328" t="s">
        <v>1060</v>
      </c>
      <c r="D2439" s="330">
        <v>1</v>
      </c>
      <c r="E2439" s="331">
        <v>132</v>
      </c>
      <c r="F2439" s="331">
        <v>22672.5</v>
      </c>
      <c r="G2439" s="328" t="s">
        <v>1686</v>
      </c>
      <c r="H2439" s="328" t="s">
        <v>1768</v>
      </c>
      <c r="I2439" s="328" t="s">
        <v>110</v>
      </c>
      <c r="J2439" s="328" t="s">
        <v>757</v>
      </c>
      <c r="K2439" s="328" t="s">
        <v>741</v>
      </c>
      <c r="L2439" s="329">
        <v>44043</v>
      </c>
      <c r="M2439" s="332">
        <v>0</v>
      </c>
    </row>
    <row r="2440" spans="1:13" hidden="1" x14ac:dyDescent="0.25">
      <c r="A2440" s="329">
        <v>44043</v>
      </c>
      <c r="B2440" s="328" t="s">
        <v>1691</v>
      </c>
      <c r="C2440" s="328" t="s">
        <v>769</v>
      </c>
      <c r="D2440" s="330">
        <v>2</v>
      </c>
      <c r="E2440" s="331">
        <v>132</v>
      </c>
      <c r="F2440" s="331">
        <v>22804.5</v>
      </c>
      <c r="G2440" s="328" t="s">
        <v>1692</v>
      </c>
      <c r="H2440" s="328" t="s">
        <v>1768</v>
      </c>
      <c r="I2440" s="328" t="s">
        <v>110</v>
      </c>
      <c r="J2440" s="328" t="s">
        <v>757</v>
      </c>
      <c r="K2440" s="328" t="s">
        <v>770</v>
      </c>
      <c r="L2440" s="329">
        <v>44043</v>
      </c>
      <c r="M2440" s="332">
        <v>0</v>
      </c>
    </row>
    <row r="2441" spans="1:13" hidden="1" x14ac:dyDescent="0.25">
      <c r="A2441" s="329">
        <v>44043</v>
      </c>
      <c r="B2441" s="328" t="s">
        <v>1685</v>
      </c>
      <c r="C2441" s="328" t="s">
        <v>1060</v>
      </c>
      <c r="D2441" s="330">
        <v>2</v>
      </c>
      <c r="E2441" s="331">
        <v>-132</v>
      </c>
      <c r="F2441" s="331">
        <v>22672.5</v>
      </c>
      <c r="G2441" s="328" t="s">
        <v>1686</v>
      </c>
      <c r="H2441" s="328" t="s">
        <v>1768</v>
      </c>
      <c r="I2441" s="328" t="s">
        <v>110</v>
      </c>
      <c r="J2441" s="328" t="s">
        <v>757</v>
      </c>
      <c r="K2441" s="328" t="s">
        <v>741</v>
      </c>
      <c r="L2441" s="329">
        <v>44043</v>
      </c>
      <c r="M2441" s="332">
        <v>0</v>
      </c>
    </row>
    <row r="2442" spans="1:13" hidden="1" x14ac:dyDescent="0.25">
      <c r="A2442" s="329">
        <v>44043</v>
      </c>
      <c r="B2442" s="328" t="s">
        <v>1688</v>
      </c>
      <c r="C2442" s="328" t="s">
        <v>1060</v>
      </c>
      <c r="D2442" s="330">
        <v>2</v>
      </c>
      <c r="E2442" s="331">
        <v>132</v>
      </c>
      <c r="F2442" s="331">
        <v>22804.5</v>
      </c>
      <c r="G2442" s="328" t="s">
        <v>1686</v>
      </c>
      <c r="H2442" s="328" t="s">
        <v>1768</v>
      </c>
      <c r="I2442" s="328" t="s">
        <v>110</v>
      </c>
      <c r="J2442" s="328" t="s">
        <v>757</v>
      </c>
      <c r="K2442" s="328" t="s">
        <v>741</v>
      </c>
      <c r="L2442" s="329">
        <v>44043</v>
      </c>
      <c r="M2442" s="332">
        <v>0</v>
      </c>
    </row>
    <row r="2443" spans="1:13" hidden="1" x14ac:dyDescent="0.25">
      <c r="A2443" s="329">
        <v>44043</v>
      </c>
      <c r="B2443" s="328" t="s">
        <v>1689</v>
      </c>
      <c r="C2443" s="328" t="s">
        <v>1060</v>
      </c>
      <c r="D2443" s="330">
        <v>2</v>
      </c>
      <c r="E2443" s="331">
        <v>-132</v>
      </c>
      <c r="F2443" s="331">
        <v>22672.5</v>
      </c>
      <c r="G2443" s="328" t="s">
        <v>1686</v>
      </c>
      <c r="H2443" s="328" t="s">
        <v>1768</v>
      </c>
      <c r="I2443" s="328" t="s">
        <v>110</v>
      </c>
      <c r="J2443" s="328" t="s">
        <v>757</v>
      </c>
      <c r="K2443" s="328" t="s">
        <v>741</v>
      </c>
      <c r="L2443" s="329">
        <v>44043</v>
      </c>
      <c r="M2443" s="332">
        <v>0</v>
      </c>
    </row>
    <row r="2444" spans="1:13" hidden="1" x14ac:dyDescent="0.25">
      <c r="A2444" s="329">
        <v>44074</v>
      </c>
      <c r="B2444" s="328" t="s">
        <v>1695</v>
      </c>
      <c r="C2444" s="328" t="s">
        <v>1060</v>
      </c>
      <c r="D2444" s="330">
        <v>2</v>
      </c>
      <c r="E2444" s="331">
        <v>132</v>
      </c>
      <c r="F2444" s="331">
        <v>22804.5</v>
      </c>
      <c r="G2444" s="328" t="s">
        <v>1696</v>
      </c>
      <c r="H2444" s="328" t="s">
        <v>1768</v>
      </c>
      <c r="I2444" s="328" t="s">
        <v>110</v>
      </c>
      <c r="J2444" s="328" t="s">
        <v>757</v>
      </c>
      <c r="K2444" s="328" t="s">
        <v>741</v>
      </c>
      <c r="L2444" s="329">
        <v>44074</v>
      </c>
      <c r="M2444" s="332">
        <v>0</v>
      </c>
    </row>
    <row r="2445" spans="1:13" hidden="1" x14ac:dyDescent="0.25">
      <c r="A2445" s="329">
        <v>44074</v>
      </c>
      <c r="B2445" s="328" t="s">
        <v>1697</v>
      </c>
      <c r="C2445" s="328" t="s">
        <v>769</v>
      </c>
      <c r="D2445" s="330">
        <v>3</v>
      </c>
      <c r="E2445" s="331">
        <v>132</v>
      </c>
      <c r="F2445" s="331">
        <v>22936.5</v>
      </c>
      <c r="G2445" s="328" t="s">
        <v>1698</v>
      </c>
      <c r="H2445" s="328" t="s">
        <v>1768</v>
      </c>
      <c r="I2445" s="328" t="s">
        <v>110</v>
      </c>
      <c r="J2445" s="328" t="s">
        <v>757</v>
      </c>
      <c r="K2445" s="328" t="s">
        <v>770</v>
      </c>
      <c r="L2445" s="329">
        <v>44074</v>
      </c>
      <c r="M2445" s="332">
        <v>0</v>
      </c>
    </row>
    <row r="2446" spans="1:13" hidden="1" x14ac:dyDescent="0.25">
      <c r="A2446" s="329">
        <v>44074</v>
      </c>
      <c r="B2446" s="328" t="s">
        <v>1695</v>
      </c>
      <c r="C2446" s="328" t="s">
        <v>1060</v>
      </c>
      <c r="D2446" s="330">
        <v>3</v>
      </c>
      <c r="E2446" s="331">
        <v>-132</v>
      </c>
      <c r="F2446" s="331">
        <v>22804.5</v>
      </c>
      <c r="G2446" s="328" t="s">
        <v>1696</v>
      </c>
      <c r="H2446" s="328" t="s">
        <v>1768</v>
      </c>
      <c r="I2446" s="328" t="s">
        <v>110</v>
      </c>
      <c r="J2446" s="328" t="s">
        <v>757</v>
      </c>
      <c r="K2446" s="328" t="s">
        <v>741</v>
      </c>
      <c r="L2446" s="329">
        <v>44074</v>
      </c>
      <c r="M2446" s="332">
        <v>0</v>
      </c>
    </row>
    <row r="2447" spans="1:13" hidden="1" x14ac:dyDescent="0.25">
      <c r="A2447" s="329">
        <v>44104</v>
      </c>
      <c r="B2447" s="328" t="s">
        <v>1699</v>
      </c>
      <c r="C2447" s="328" t="s">
        <v>1060</v>
      </c>
      <c r="D2447" s="330">
        <v>3</v>
      </c>
      <c r="E2447" s="331">
        <v>198</v>
      </c>
      <c r="F2447" s="331">
        <v>23002.5</v>
      </c>
      <c r="G2447" s="328" t="s">
        <v>1700</v>
      </c>
      <c r="H2447" s="328" t="s">
        <v>1768</v>
      </c>
      <c r="I2447" s="328" t="s">
        <v>110</v>
      </c>
      <c r="J2447" s="328" t="s">
        <v>757</v>
      </c>
      <c r="K2447" s="328" t="s">
        <v>741</v>
      </c>
      <c r="L2447" s="329">
        <v>44104</v>
      </c>
      <c r="M2447" s="332">
        <v>0</v>
      </c>
    </row>
    <row r="2448" spans="1:13" hidden="1" x14ac:dyDescent="0.25">
      <c r="A2448" s="329">
        <v>44104</v>
      </c>
      <c r="B2448" s="328" t="s">
        <v>1699</v>
      </c>
      <c r="C2448" s="328" t="s">
        <v>1060</v>
      </c>
      <c r="D2448" s="330">
        <v>4</v>
      </c>
      <c r="E2448" s="331">
        <v>-198</v>
      </c>
      <c r="F2448" s="331">
        <v>22804.5</v>
      </c>
      <c r="G2448" s="328" t="s">
        <v>1700</v>
      </c>
      <c r="H2448" s="328" t="s">
        <v>1768</v>
      </c>
      <c r="I2448" s="328" t="s">
        <v>110</v>
      </c>
      <c r="J2448" s="328" t="s">
        <v>757</v>
      </c>
      <c r="K2448" s="328" t="s">
        <v>741</v>
      </c>
      <c r="L2448" s="329">
        <v>44104</v>
      </c>
      <c r="M2448" s="332">
        <v>0</v>
      </c>
    </row>
    <row r="2449" spans="1:13" hidden="1" x14ac:dyDescent="0.25">
      <c r="A2449" s="329">
        <v>44105</v>
      </c>
      <c r="B2449" s="328" t="s">
        <v>1701</v>
      </c>
      <c r="C2449" s="328" t="s">
        <v>769</v>
      </c>
      <c r="D2449" s="330">
        <v>4</v>
      </c>
      <c r="E2449" s="331">
        <v>198</v>
      </c>
      <c r="F2449" s="331">
        <v>23002.5</v>
      </c>
      <c r="G2449" s="328" t="s">
        <v>1702</v>
      </c>
      <c r="H2449" s="328" t="s">
        <v>1768</v>
      </c>
      <c r="I2449" s="328" t="s">
        <v>110</v>
      </c>
      <c r="J2449" s="328" t="s">
        <v>757</v>
      </c>
      <c r="K2449" s="328" t="s">
        <v>770</v>
      </c>
      <c r="L2449" s="329">
        <v>44105</v>
      </c>
      <c r="M2449" s="332">
        <v>0</v>
      </c>
    </row>
    <row r="2450" spans="1:13" hidden="1" x14ac:dyDescent="0.25">
      <c r="A2450" s="329">
        <v>44135</v>
      </c>
      <c r="B2450" s="328" t="s">
        <v>1703</v>
      </c>
      <c r="C2450" s="328" t="s">
        <v>1060</v>
      </c>
      <c r="D2450" s="330">
        <v>4</v>
      </c>
      <c r="E2450" s="331">
        <v>104.5</v>
      </c>
      <c r="F2450" s="331">
        <v>23107</v>
      </c>
      <c r="G2450" s="328" t="s">
        <v>1704</v>
      </c>
      <c r="H2450" s="328" t="s">
        <v>1768</v>
      </c>
      <c r="I2450" s="328" t="s">
        <v>110</v>
      </c>
      <c r="J2450" s="328" t="s">
        <v>757</v>
      </c>
      <c r="K2450" s="328" t="s">
        <v>741</v>
      </c>
      <c r="L2450" s="329">
        <v>44135</v>
      </c>
      <c r="M2450" s="332">
        <v>0</v>
      </c>
    </row>
    <row r="2451" spans="1:13" hidden="1" x14ac:dyDescent="0.25">
      <c r="A2451" s="329">
        <v>44135</v>
      </c>
      <c r="B2451" s="328" t="s">
        <v>1703</v>
      </c>
      <c r="C2451" s="328" t="s">
        <v>1060</v>
      </c>
      <c r="D2451" s="330">
        <v>5</v>
      </c>
      <c r="E2451" s="331">
        <v>-104.5</v>
      </c>
      <c r="F2451" s="331">
        <v>23002.5</v>
      </c>
      <c r="G2451" s="328" t="s">
        <v>1704</v>
      </c>
      <c r="H2451" s="328" t="s">
        <v>1768</v>
      </c>
      <c r="I2451" s="328" t="s">
        <v>110</v>
      </c>
      <c r="J2451" s="328" t="s">
        <v>757</v>
      </c>
      <c r="K2451" s="328" t="s">
        <v>741</v>
      </c>
      <c r="L2451" s="329">
        <v>44135</v>
      </c>
      <c r="M2451" s="332">
        <v>0</v>
      </c>
    </row>
    <row r="2452" spans="1:13" hidden="1" x14ac:dyDescent="0.25">
      <c r="A2452" s="329">
        <v>44135</v>
      </c>
      <c r="B2452" s="328" t="s">
        <v>1705</v>
      </c>
      <c r="C2452" s="328" t="s">
        <v>769</v>
      </c>
      <c r="D2452" s="330">
        <v>5</v>
      </c>
      <c r="E2452" s="331">
        <v>104.5</v>
      </c>
      <c r="F2452" s="331">
        <v>23107</v>
      </c>
      <c r="G2452" s="328" t="s">
        <v>1706</v>
      </c>
      <c r="H2452" s="328" t="s">
        <v>1768</v>
      </c>
      <c r="I2452" s="328" t="s">
        <v>110</v>
      </c>
      <c r="J2452" s="328" t="s">
        <v>757</v>
      </c>
      <c r="K2452" s="328" t="s">
        <v>770</v>
      </c>
      <c r="L2452" s="329">
        <v>44135</v>
      </c>
      <c r="M2452" s="332">
        <v>0</v>
      </c>
    </row>
    <row r="2453" spans="1:13" hidden="1" x14ac:dyDescent="0.25">
      <c r="A2453" s="329">
        <v>44165</v>
      </c>
      <c r="B2453" s="328" t="s">
        <v>1707</v>
      </c>
      <c r="C2453" s="328" t="s">
        <v>1060</v>
      </c>
      <c r="D2453" s="330">
        <v>5</v>
      </c>
      <c r="E2453" s="331">
        <v>104.5</v>
      </c>
      <c r="F2453" s="331">
        <v>23211.5</v>
      </c>
      <c r="G2453" s="328" t="s">
        <v>1708</v>
      </c>
      <c r="H2453" s="328" t="s">
        <v>1768</v>
      </c>
      <c r="I2453" s="328" t="s">
        <v>110</v>
      </c>
      <c r="J2453" s="328" t="s">
        <v>757</v>
      </c>
      <c r="K2453" s="328" t="s">
        <v>741</v>
      </c>
      <c r="L2453" s="329">
        <v>44165</v>
      </c>
      <c r="M2453" s="332">
        <v>0</v>
      </c>
    </row>
    <row r="2454" spans="1:13" hidden="1" x14ac:dyDescent="0.25">
      <c r="A2454" s="329">
        <v>44165</v>
      </c>
      <c r="B2454" s="328" t="s">
        <v>1707</v>
      </c>
      <c r="C2454" s="328" t="s">
        <v>1060</v>
      </c>
      <c r="D2454" s="330">
        <v>6</v>
      </c>
      <c r="E2454" s="331">
        <v>-104.5</v>
      </c>
      <c r="F2454" s="331">
        <v>23107</v>
      </c>
      <c r="G2454" s="328" t="s">
        <v>1708</v>
      </c>
      <c r="H2454" s="328" t="s">
        <v>1768</v>
      </c>
      <c r="I2454" s="328" t="s">
        <v>110</v>
      </c>
      <c r="J2454" s="328" t="s">
        <v>757</v>
      </c>
      <c r="K2454" s="328" t="s">
        <v>741</v>
      </c>
      <c r="L2454" s="329">
        <v>44165</v>
      </c>
      <c r="M2454" s="332">
        <v>0</v>
      </c>
    </row>
    <row r="2455" spans="1:13" hidden="1" x14ac:dyDescent="0.25">
      <c r="A2455" s="329">
        <v>44165</v>
      </c>
      <c r="B2455" s="328" t="s">
        <v>1709</v>
      </c>
      <c r="C2455" s="328" t="s">
        <v>769</v>
      </c>
      <c r="D2455" s="330">
        <v>6</v>
      </c>
      <c r="E2455" s="331">
        <v>104.5</v>
      </c>
      <c r="F2455" s="331">
        <v>23211.5</v>
      </c>
      <c r="G2455" s="328" t="s">
        <v>1710</v>
      </c>
      <c r="H2455" s="328" t="s">
        <v>1768</v>
      </c>
      <c r="I2455" s="328" t="s">
        <v>110</v>
      </c>
      <c r="J2455" s="328" t="s">
        <v>757</v>
      </c>
      <c r="K2455" s="328" t="s">
        <v>770</v>
      </c>
      <c r="L2455" s="329">
        <v>44165</v>
      </c>
      <c r="M2455" s="332">
        <v>0</v>
      </c>
    </row>
    <row r="2456" spans="1:13" hidden="1" x14ac:dyDescent="0.25">
      <c r="A2456" s="329">
        <v>44196</v>
      </c>
      <c r="B2456" s="328" t="s">
        <v>1711</v>
      </c>
      <c r="C2456" s="328" t="s">
        <v>1060</v>
      </c>
      <c r="D2456" s="330">
        <v>6</v>
      </c>
      <c r="E2456" s="331">
        <v>66</v>
      </c>
      <c r="F2456" s="331">
        <v>23277.5</v>
      </c>
      <c r="G2456" s="328" t="s">
        <v>1712</v>
      </c>
      <c r="H2456" s="328" t="s">
        <v>1768</v>
      </c>
      <c r="I2456" s="328" t="s">
        <v>110</v>
      </c>
      <c r="J2456" s="328" t="s">
        <v>757</v>
      </c>
      <c r="K2456" s="328" t="s">
        <v>741</v>
      </c>
      <c r="L2456" s="329">
        <v>44196</v>
      </c>
      <c r="M2456" s="332">
        <v>0</v>
      </c>
    </row>
    <row r="2457" spans="1:13" hidden="1" x14ac:dyDescent="0.25">
      <c r="A2457" s="329">
        <v>44196</v>
      </c>
      <c r="B2457" s="328" t="s">
        <v>1711</v>
      </c>
      <c r="C2457" s="328" t="s">
        <v>1060</v>
      </c>
      <c r="D2457" s="330">
        <v>7</v>
      </c>
      <c r="E2457" s="331">
        <v>-66</v>
      </c>
      <c r="F2457" s="331">
        <v>23211.5</v>
      </c>
      <c r="G2457" s="328" t="s">
        <v>1712</v>
      </c>
      <c r="H2457" s="328" t="s">
        <v>1768</v>
      </c>
      <c r="I2457" s="328" t="s">
        <v>110</v>
      </c>
      <c r="J2457" s="328" t="s">
        <v>757</v>
      </c>
      <c r="K2457" s="328" t="s">
        <v>741</v>
      </c>
      <c r="L2457" s="329">
        <v>44196</v>
      </c>
      <c r="M2457" s="332">
        <v>0</v>
      </c>
    </row>
    <row r="2458" spans="1:13" hidden="1" x14ac:dyDescent="0.25">
      <c r="A2458" s="329">
        <v>44196</v>
      </c>
      <c r="B2458" s="328" t="s">
        <v>1713</v>
      </c>
      <c r="C2458" s="328" t="s">
        <v>769</v>
      </c>
      <c r="D2458" s="330">
        <v>7</v>
      </c>
      <c r="E2458" s="331">
        <v>66</v>
      </c>
      <c r="F2458" s="331">
        <v>23277.5</v>
      </c>
      <c r="G2458" s="328" t="s">
        <v>1714</v>
      </c>
      <c r="H2458" s="328" t="s">
        <v>1768</v>
      </c>
      <c r="I2458" s="328" t="s">
        <v>110</v>
      </c>
      <c r="J2458" s="328" t="s">
        <v>757</v>
      </c>
      <c r="K2458" s="328" t="s">
        <v>770</v>
      </c>
      <c r="L2458" s="329">
        <v>44196</v>
      </c>
      <c r="M2458" s="332">
        <v>0</v>
      </c>
    </row>
    <row r="2459" spans="1:13" hidden="1" x14ac:dyDescent="0.25">
      <c r="A2459" s="329">
        <v>44227</v>
      </c>
      <c r="B2459" s="328" t="s">
        <v>1715</v>
      </c>
      <c r="C2459" s="328" t="s">
        <v>1060</v>
      </c>
      <c r="D2459" s="330">
        <v>7</v>
      </c>
      <c r="E2459" s="331">
        <v>66</v>
      </c>
      <c r="F2459" s="331">
        <v>23343.5</v>
      </c>
      <c r="G2459" s="328" t="s">
        <v>1716</v>
      </c>
      <c r="H2459" s="328" t="s">
        <v>1768</v>
      </c>
      <c r="I2459" s="328" t="s">
        <v>110</v>
      </c>
      <c r="J2459" s="328" t="s">
        <v>757</v>
      </c>
      <c r="K2459" s="328" t="s">
        <v>741</v>
      </c>
      <c r="L2459" s="329">
        <v>44227</v>
      </c>
      <c r="M2459" s="332">
        <v>0</v>
      </c>
    </row>
    <row r="2460" spans="1:13" hidden="1" x14ac:dyDescent="0.25">
      <c r="A2460" s="329">
        <v>44227</v>
      </c>
      <c r="B2460" s="328" t="s">
        <v>1715</v>
      </c>
      <c r="C2460" s="328" t="s">
        <v>1060</v>
      </c>
      <c r="D2460" s="330">
        <v>8</v>
      </c>
      <c r="E2460" s="331">
        <v>-66</v>
      </c>
      <c r="F2460" s="331">
        <v>23277.5</v>
      </c>
      <c r="G2460" s="328" t="s">
        <v>1716</v>
      </c>
      <c r="H2460" s="328" t="s">
        <v>1768</v>
      </c>
      <c r="I2460" s="328" t="s">
        <v>110</v>
      </c>
      <c r="J2460" s="328" t="s">
        <v>757</v>
      </c>
      <c r="K2460" s="328" t="s">
        <v>741</v>
      </c>
      <c r="L2460" s="329">
        <v>44227</v>
      </c>
      <c r="M2460" s="332">
        <v>0</v>
      </c>
    </row>
    <row r="2461" spans="1:13" hidden="1" x14ac:dyDescent="0.25">
      <c r="A2461" s="329">
        <v>44227</v>
      </c>
      <c r="B2461" s="328" t="s">
        <v>1717</v>
      </c>
      <c r="C2461" s="328" t="s">
        <v>769</v>
      </c>
      <c r="D2461" s="330">
        <v>8</v>
      </c>
      <c r="E2461" s="331">
        <v>66</v>
      </c>
      <c r="F2461" s="331">
        <v>23343.5</v>
      </c>
      <c r="G2461" s="328" t="s">
        <v>1718</v>
      </c>
      <c r="H2461" s="328" t="s">
        <v>1768</v>
      </c>
      <c r="I2461" s="328" t="s">
        <v>110</v>
      </c>
      <c r="J2461" s="328" t="s">
        <v>757</v>
      </c>
      <c r="K2461" s="328" t="s">
        <v>770</v>
      </c>
      <c r="L2461" s="329">
        <v>44227</v>
      </c>
      <c r="M2461" s="332">
        <v>0</v>
      </c>
    </row>
    <row r="2462" spans="1:13" hidden="1" x14ac:dyDescent="0.25">
      <c r="A2462" s="329">
        <v>44255</v>
      </c>
      <c r="B2462" s="328" t="s">
        <v>1720</v>
      </c>
      <c r="C2462" s="328" t="s">
        <v>1060</v>
      </c>
      <c r="D2462" s="330">
        <v>8</v>
      </c>
      <c r="E2462" s="331">
        <v>66</v>
      </c>
      <c r="F2462" s="331">
        <v>23409.5</v>
      </c>
      <c r="G2462" s="328" t="s">
        <v>1721</v>
      </c>
      <c r="H2462" s="328" t="s">
        <v>1768</v>
      </c>
      <c r="I2462" s="328" t="s">
        <v>110</v>
      </c>
      <c r="J2462" s="328" t="s">
        <v>757</v>
      </c>
      <c r="K2462" s="328" t="s">
        <v>741</v>
      </c>
      <c r="L2462" s="329">
        <v>44255</v>
      </c>
      <c r="M2462" s="332">
        <v>0</v>
      </c>
    </row>
    <row r="2463" spans="1:13" hidden="1" x14ac:dyDescent="0.25">
      <c r="A2463" s="329">
        <v>44255</v>
      </c>
      <c r="B2463" s="328" t="s">
        <v>1720</v>
      </c>
      <c r="C2463" s="328" t="s">
        <v>1060</v>
      </c>
      <c r="D2463" s="330">
        <v>9</v>
      </c>
      <c r="E2463" s="331">
        <v>-66</v>
      </c>
      <c r="F2463" s="331">
        <v>23343.5</v>
      </c>
      <c r="G2463" s="328" t="s">
        <v>1721</v>
      </c>
      <c r="H2463" s="328" t="s">
        <v>1768</v>
      </c>
      <c r="I2463" s="328" t="s">
        <v>110</v>
      </c>
      <c r="J2463" s="328" t="s">
        <v>757</v>
      </c>
      <c r="K2463" s="328" t="s">
        <v>741</v>
      </c>
      <c r="L2463" s="329">
        <v>44255</v>
      </c>
      <c r="M2463" s="332">
        <v>0</v>
      </c>
    </row>
    <row r="2464" spans="1:13" hidden="1" x14ac:dyDescent="0.25">
      <c r="A2464" s="329">
        <v>44255</v>
      </c>
      <c r="B2464" s="328" t="s">
        <v>1722</v>
      </c>
      <c r="C2464" s="328" t="s">
        <v>769</v>
      </c>
      <c r="D2464" s="330">
        <v>9</v>
      </c>
      <c r="E2464" s="331">
        <v>71.5</v>
      </c>
      <c r="F2464" s="331">
        <v>23415</v>
      </c>
      <c r="G2464" s="328" t="s">
        <v>1723</v>
      </c>
      <c r="H2464" s="328" t="s">
        <v>1768</v>
      </c>
      <c r="I2464" s="328" t="s">
        <v>110</v>
      </c>
      <c r="J2464" s="328" t="s">
        <v>757</v>
      </c>
      <c r="K2464" s="328" t="s">
        <v>770</v>
      </c>
      <c r="L2464" s="329">
        <v>44255</v>
      </c>
      <c r="M2464" s="332">
        <v>0</v>
      </c>
    </row>
    <row r="2465" spans="1:13" hidden="1" x14ac:dyDescent="0.25">
      <c r="A2465" s="329">
        <v>44286</v>
      </c>
      <c r="B2465" s="328" t="s">
        <v>1724</v>
      </c>
      <c r="C2465" s="328" t="s">
        <v>1060</v>
      </c>
      <c r="D2465" s="330">
        <v>9</v>
      </c>
      <c r="E2465" s="331">
        <v>77</v>
      </c>
      <c r="F2465" s="331">
        <v>23492</v>
      </c>
      <c r="G2465" s="328" t="s">
        <v>1725</v>
      </c>
      <c r="H2465" s="328" t="s">
        <v>1768</v>
      </c>
      <c r="I2465" s="328" t="s">
        <v>110</v>
      </c>
      <c r="J2465" s="328" t="s">
        <v>757</v>
      </c>
      <c r="K2465" s="328" t="s">
        <v>741</v>
      </c>
      <c r="L2465" s="329">
        <v>44286</v>
      </c>
      <c r="M2465" s="332">
        <v>0</v>
      </c>
    </row>
    <row r="2466" spans="1:13" hidden="1" x14ac:dyDescent="0.25">
      <c r="A2466" s="329">
        <v>44286</v>
      </c>
      <c r="B2466" s="328" t="s">
        <v>1726</v>
      </c>
      <c r="C2466" s="328" t="s">
        <v>769</v>
      </c>
      <c r="D2466" s="330">
        <v>10</v>
      </c>
      <c r="E2466" s="331">
        <v>77</v>
      </c>
      <c r="F2466" s="331">
        <v>23569</v>
      </c>
      <c r="G2466" s="328" t="s">
        <v>1727</v>
      </c>
      <c r="H2466" s="328" t="s">
        <v>1768</v>
      </c>
      <c r="I2466" s="328" t="s">
        <v>110</v>
      </c>
      <c r="J2466" s="328" t="s">
        <v>757</v>
      </c>
      <c r="K2466" s="328" t="s">
        <v>770</v>
      </c>
      <c r="L2466" s="329">
        <v>44286</v>
      </c>
      <c r="M2466" s="332">
        <v>0</v>
      </c>
    </row>
    <row r="2467" spans="1:13" hidden="1" x14ac:dyDescent="0.25">
      <c r="A2467" s="329">
        <v>44286</v>
      </c>
      <c r="B2467" s="328" t="s">
        <v>1724</v>
      </c>
      <c r="C2467" s="328" t="s">
        <v>1060</v>
      </c>
      <c r="D2467" s="330">
        <v>10</v>
      </c>
      <c r="E2467" s="331">
        <v>-77</v>
      </c>
      <c r="F2467" s="331">
        <v>23492</v>
      </c>
      <c r="G2467" s="328" t="s">
        <v>1725</v>
      </c>
      <c r="H2467" s="328" t="s">
        <v>1768</v>
      </c>
      <c r="I2467" s="328" t="s">
        <v>110</v>
      </c>
      <c r="J2467" s="328" t="s">
        <v>757</v>
      </c>
      <c r="K2467" s="328" t="s">
        <v>741</v>
      </c>
      <c r="L2467" s="329">
        <v>44286</v>
      </c>
      <c r="M2467" s="332">
        <v>0</v>
      </c>
    </row>
    <row r="2468" spans="1:13" hidden="1" x14ac:dyDescent="0.25">
      <c r="A2468" s="329">
        <v>44316</v>
      </c>
      <c r="B2468" s="328" t="s">
        <v>1728</v>
      </c>
      <c r="C2468" s="328" t="s">
        <v>1060</v>
      </c>
      <c r="D2468" s="330">
        <v>10</v>
      </c>
      <c r="E2468" s="331">
        <v>33</v>
      </c>
      <c r="F2468" s="331">
        <v>23525</v>
      </c>
      <c r="G2468" s="328" t="s">
        <v>1729</v>
      </c>
      <c r="H2468" s="328" t="s">
        <v>1768</v>
      </c>
      <c r="I2468" s="328" t="s">
        <v>110</v>
      </c>
      <c r="J2468" s="328" t="s">
        <v>757</v>
      </c>
      <c r="K2468" s="328" t="s">
        <v>741</v>
      </c>
      <c r="L2468" s="329">
        <v>44316</v>
      </c>
      <c r="M2468" s="332">
        <v>0</v>
      </c>
    </row>
    <row r="2469" spans="1:13" hidden="1" x14ac:dyDescent="0.25">
      <c r="A2469" s="329">
        <v>44012</v>
      </c>
      <c r="B2469" s="328" t="s">
        <v>1678</v>
      </c>
      <c r="C2469" s="328" t="s">
        <v>769</v>
      </c>
      <c r="D2469" s="330">
        <v>1</v>
      </c>
      <c r="E2469" s="331">
        <v>137.5</v>
      </c>
      <c r="F2469" s="331">
        <v>23662.5</v>
      </c>
      <c r="G2469" s="328" t="s">
        <v>1679</v>
      </c>
      <c r="H2469" s="328" t="s">
        <v>1769</v>
      </c>
      <c r="I2469" s="328" t="s">
        <v>110</v>
      </c>
      <c r="J2469" s="328" t="s">
        <v>757</v>
      </c>
      <c r="K2469" s="328" t="s">
        <v>770</v>
      </c>
      <c r="L2469" s="329">
        <v>44012</v>
      </c>
      <c r="M2469" s="332">
        <v>0</v>
      </c>
    </row>
    <row r="2470" spans="1:13" hidden="1" x14ac:dyDescent="0.25">
      <c r="A2470" s="329">
        <v>44012</v>
      </c>
      <c r="B2470" s="328" t="s">
        <v>1681</v>
      </c>
      <c r="C2470" s="328" t="s">
        <v>1059</v>
      </c>
      <c r="D2470" s="330">
        <v>1</v>
      </c>
      <c r="E2470" s="331">
        <v>-132</v>
      </c>
      <c r="F2470" s="331">
        <v>23530.5</v>
      </c>
      <c r="G2470" s="328" t="s">
        <v>1682</v>
      </c>
      <c r="H2470" s="328" t="s">
        <v>1769</v>
      </c>
      <c r="I2470" s="328" t="s">
        <v>110</v>
      </c>
      <c r="J2470" s="328" t="s">
        <v>757</v>
      </c>
      <c r="K2470" s="328" t="s">
        <v>741</v>
      </c>
      <c r="L2470" s="329">
        <v>44012</v>
      </c>
      <c r="M2470" s="332">
        <v>0</v>
      </c>
    </row>
    <row r="2471" spans="1:13" hidden="1" x14ac:dyDescent="0.25">
      <c r="A2471" s="329">
        <v>44041</v>
      </c>
      <c r="B2471" s="328" t="s">
        <v>1683</v>
      </c>
      <c r="C2471" s="328" t="s">
        <v>936</v>
      </c>
      <c r="D2471" s="330">
        <v>1</v>
      </c>
      <c r="E2471" s="331">
        <v>-5.5</v>
      </c>
      <c r="F2471" s="331">
        <v>23525</v>
      </c>
      <c r="G2471" s="328" t="s">
        <v>1684</v>
      </c>
      <c r="H2471" s="328" t="s">
        <v>1769</v>
      </c>
      <c r="I2471" s="328" t="s">
        <v>110</v>
      </c>
      <c r="J2471" s="328" t="s">
        <v>757</v>
      </c>
      <c r="K2471" s="328" t="s">
        <v>770</v>
      </c>
      <c r="L2471" s="329">
        <v>44041</v>
      </c>
      <c r="M2471" s="332">
        <v>0</v>
      </c>
    </row>
    <row r="2472" spans="1:13" hidden="1" x14ac:dyDescent="0.25">
      <c r="A2472" s="329">
        <v>44043</v>
      </c>
      <c r="B2472" s="328" t="s">
        <v>1685</v>
      </c>
      <c r="C2472" s="328" t="s">
        <v>1060</v>
      </c>
      <c r="D2472" s="330">
        <v>1</v>
      </c>
      <c r="E2472" s="331">
        <v>154</v>
      </c>
      <c r="F2472" s="331">
        <v>23679</v>
      </c>
      <c r="G2472" s="328" t="s">
        <v>1686</v>
      </c>
      <c r="H2472" s="328" t="s">
        <v>1769</v>
      </c>
      <c r="I2472" s="328" t="s">
        <v>110</v>
      </c>
      <c r="J2472" s="328" t="s">
        <v>757</v>
      </c>
      <c r="K2472" s="328" t="s">
        <v>741</v>
      </c>
      <c r="L2472" s="329">
        <v>44043</v>
      </c>
      <c r="M2472" s="332">
        <v>0</v>
      </c>
    </row>
    <row r="2473" spans="1:13" hidden="1" x14ac:dyDescent="0.25">
      <c r="A2473" s="329">
        <v>44043</v>
      </c>
      <c r="B2473" s="328" t="s">
        <v>1685</v>
      </c>
      <c r="C2473" s="328" t="s">
        <v>1060</v>
      </c>
      <c r="D2473" s="330">
        <v>1</v>
      </c>
      <c r="E2473" s="331">
        <v>5.5</v>
      </c>
      <c r="F2473" s="331">
        <v>23684.5</v>
      </c>
      <c r="G2473" s="328" t="s">
        <v>1687</v>
      </c>
      <c r="H2473" s="328" t="s">
        <v>1769</v>
      </c>
      <c r="I2473" s="328" t="s">
        <v>110</v>
      </c>
      <c r="J2473" s="328" t="s">
        <v>757</v>
      </c>
      <c r="K2473" s="328" t="s">
        <v>741</v>
      </c>
      <c r="L2473" s="329">
        <v>44043</v>
      </c>
      <c r="M2473" s="332">
        <v>0</v>
      </c>
    </row>
    <row r="2474" spans="1:13" hidden="1" x14ac:dyDescent="0.25">
      <c r="A2474" s="329">
        <v>44043</v>
      </c>
      <c r="B2474" s="328" t="s">
        <v>1688</v>
      </c>
      <c r="C2474" s="328" t="s">
        <v>1060</v>
      </c>
      <c r="D2474" s="330">
        <v>1</v>
      </c>
      <c r="E2474" s="331">
        <v>-154</v>
      </c>
      <c r="F2474" s="331">
        <v>23530.5</v>
      </c>
      <c r="G2474" s="328" t="s">
        <v>1686</v>
      </c>
      <c r="H2474" s="328" t="s">
        <v>1769</v>
      </c>
      <c r="I2474" s="328" t="s">
        <v>110</v>
      </c>
      <c r="J2474" s="328" t="s">
        <v>757</v>
      </c>
      <c r="K2474" s="328" t="s">
        <v>741</v>
      </c>
      <c r="L2474" s="329">
        <v>44043</v>
      </c>
      <c r="M2474" s="332">
        <v>0</v>
      </c>
    </row>
    <row r="2475" spans="1:13" hidden="1" x14ac:dyDescent="0.25">
      <c r="A2475" s="329">
        <v>44043</v>
      </c>
      <c r="B2475" s="328" t="s">
        <v>1688</v>
      </c>
      <c r="C2475" s="328" t="s">
        <v>1060</v>
      </c>
      <c r="D2475" s="330">
        <v>1</v>
      </c>
      <c r="E2475" s="331">
        <v>-5.5</v>
      </c>
      <c r="F2475" s="331">
        <v>23525</v>
      </c>
      <c r="G2475" s="328" t="s">
        <v>1687</v>
      </c>
      <c r="H2475" s="328" t="s">
        <v>1769</v>
      </c>
      <c r="I2475" s="328" t="s">
        <v>110</v>
      </c>
      <c r="J2475" s="328" t="s">
        <v>757</v>
      </c>
      <c r="K2475" s="328" t="s">
        <v>741</v>
      </c>
      <c r="L2475" s="329">
        <v>44043</v>
      </c>
      <c r="M2475" s="332">
        <v>0</v>
      </c>
    </row>
    <row r="2476" spans="1:13" hidden="1" x14ac:dyDescent="0.25">
      <c r="A2476" s="329">
        <v>44043</v>
      </c>
      <c r="B2476" s="328" t="s">
        <v>1689</v>
      </c>
      <c r="C2476" s="328" t="s">
        <v>1060</v>
      </c>
      <c r="D2476" s="330">
        <v>1</v>
      </c>
      <c r="E2476" s="331">
        <v>154</v>
      </c>
      <c r="F2476" s="331">
        <v>23679</v>
      </c>
      <c r="G2476" s="328" t="s">
        <v>1686</v>
      </c>
      <c r="H2476" s="328" t="s">
        <v>1769</v>
      </c>
      <c r="I2476" s="328" t="s">
        <v>110</v>
      </c>
      <c r="J2476" s="328" t="s">
        <v>757</v>
      </c>
      <c r="K2476" s="328" t="s">
        <v>741</v>
      </c>
      <c r="L2476" s="329">
        <v>44043</v>
      </c>
      <c r="M2476" s="332">
        <v>0</v>
      </c>
    </row>
    <row r="2477" spans="1:13" hidden="1" x14ac:dyDescent="0.25">
      <c r="A2477" s="329">
        <v>44043</v>
      </c>
      <c r="B2477" s="328" t="s">
        <v>1689</v>
      </c>
      <c r="C2477" s="328" t="s">
        <v>1060</v>
      </c>
      <c r="D2477" s="330">
        <v>1</v>
      </c>
      <c r="E2477" s="331">
        <v>-5.5</v>
      </c>
      <c r="F2477" s="331">
        <v>23673.5</v>
      </c>
      <c r="G2477" s="328" t="s">
        <v>1690</v>
      </c>
      <c r="H2477" s="328" t="s">
        <v>1769</v>
      </c>
      <c r="I2477" s="328" t="s">
        <v>110</v>
      </c>
      <c r="J2477" s="328" t="s">
        <v>757</v>
      </c>
      <c r="K2477" s="328" t="s">
        <v>741</v>
      </c>
      <c r="L2477" s="329">
        <v>44043</v>
      </c>
      <c r="M2477" s="332">
        <v>0</v>
      </c>
    </row>
    <row r="2478" spans="1:13" hidden="1" x14ac:dyDescent="0.25">
      <c r="A2478" s="329">
        <v>44043</v>
      </c>
      <c r="B2478" s="328" t="s">
        <v>1691</v>
      </c>
      <c r="C2478" s="328" t="s">
        <v>769</v>
      </c>
      <c r="D2478" s="330">
        <v>2</v>
      </c>
      <c r="E2478" s="331">
        <v>154</v>
      </c>
      <c r="F2478" s="331">
        <v>23827.5</v>
      </c>
      <c r="G2478" s="328" t="s">
        <v>1692</v>
      </c>
      <c r="H2478" s="328" t="s">
        <v>1769</v>
      </c>
      <c r="I2478" s="328" t="s">
        <v>110</v>
      </c>
      <c r="J2478" s="328" t="s">
        <v>757</v>
      </c>
      <c r="K2478" s="328" t="s">
        <v>770</v>
      </c>
      <c r="L2478" s="329">
        <v>44043</v>
      </c>
      <c r="M2478" s="332">
        <v>0</v>
      </c>
    </row>
    <row r="2479" spans="1:13" hidden="1" x14ac:dyDescent="0.25">
      <c r="A2479" s="329">
        <v>44043</v>
      </c>
      <c r="B2479" s="328" t="s">
        <v>1693</v>
      </c>
      <c r="C2479" s="328" t="s">
        <v>936</v>
      </c>
      <c r="D2479" s="330">
        <v>2</v>
      </c>
      <c r="E2479" s="331">
        <v>-5.5</v>
      </c>
      <c r="F2479" s="331">
        <v>23822</v>
      </c>
      <c r="G2479" s="328" t="s">
        <v>1694</v>
      </c>
      <c r="H2479" s="328" t="s">
        <v>1769</v>
      </c>
      <c r="I2479" s="328" t="s">
        <v>110</v>
      </c>
      <c r="J2479" s="328" t="s">
        <v>757</v>
      </c>
      <c r="K2479" s="328" t="s">
        <v>770</v>
      </c>
      <c r="L2479" s="329">
        <v>44043</v>
      </c>
      <c r="M2479" s="332">
        <v>0</v>
      </c>
    </row>
    <row r="2480" spans="1:13" hidden="1" x14ac:dyDescent="0.25">
      <c r="A2480" s="329">
        <v>44043</v>
      </c>
      <c r="B2480" s="328" t="s">
        <v>1685</v>
      </c>
      <c r="C2480" s="328" t="s">
        <v>1060</v>
      </c>
      <c r="D2480" s="330">
        <v>2</v>
      </c>
      <c r="E2480" s="331">
        <v>-154</v>
      </c>
      <c r="F2480" s="331">
        <v>23668</v>
      </c>
      <c r="G2480" s="328" t="s">
        <v>1686</v>
      </c>
      <c r="H2480" s="328" t="s">
        <v>1769</v>
      </c>
      <c r="I2480" s="328" t="s">
        <v>110</v>
      </c>
      <c r="J2480" s="328" t="s">
        <v>757</v>
      </c>
      <c r="K2480" s="328" t="s">
        <v>741</v>
      </c>
      <c r="L2480" s="329">
        <v>44043</v>
      </c>
      <c r="M2480" s="332">
        <v>0</v>
      </c>
    </row>
    <row r="2481" spans="1:13" hidden="1" x14ac:dyDescent="0.25">
      <c r="A2481" s="329">
        <v>44043</v>
      </c>
      <c r="B2481" s="328" t="s">
        <v>1685</v>
      </c>
      <c r="C2481" s="328" t="s">
        <v>1060</v>
      </c>
      <c r="D2481" s="330">
        <v>2</v>
      </c>
      <c r="E2481" s="331">
        <v>-5.5</v>
      </c>
      <c r="F2481" s="331">
        <v>23662.5</v>
      </c>
      <c r="G2481" s="328" t="s">
        <v>1687</v>
      </c>
      <c r="H2481" s="328" t="s">
        <v>1769</v>
      </c>
      <c r="I2481" s="328" t="s">
        <v>110</v>
      </c>
      <c r="J2481" s="328" t="s">
        <v>757</v>
      </c>
      <c r="K2481" s="328" t="s">
        <v>741</v>
      </c>
      <c r="L2481" s="329">
        <v>44043</v>
      </c>
      <c r="M2481" s="332">
        <v>0</v>
      </c>
    </row>
    <row r="2482" spans="1:13" hidden="1" x14ac:dyDescent="0.25">
      <c r="A2482" s="329">
        <v>44043</v>
      </c>
      <c r="B2482" s="328" t="s">
        <v>1688</v>
      </c>
      <c r="C2482" s="328" t="s">
        <v>1060</v>
      </c>
      <c r="D2482" s="330">
        <v>2</v>
      </c>
      <c r="E2482" s="331">
        <v>154</v>
      </c>
      <c r="F2482" s="331">
        <v>23816.5</v>
      </c>
      <c r="G2482" s="328" t="s">
        <v>1686</v>
      </c>
      <c r="H2482" s="328" t="s">
        <v>1769</v>
      </c>
      <c r="I2482" s="328" t="s">
        <v>110</v>
      </c>
      <c r="J2482" s="328" t="s">
        <v>757</v>
      </c>
      <c r="K2482" s="328" t="s">
        <v>741</v>
      </c>
      <c r="L2482" s="329">
        <v>44043</v>
      </c>
      <c r="M2482" s="332">
        <v>0</v>
      </c>
    </row>
    <row r="2483" spans="1:13" hidden="1" x14ac:dyDescent="0.25">
      <c r="A2483" s="329">
        <v>44043</v>
      </c>
      <c r="B2483" s="328" t="s">
        <v>1688</v>
      </c>
      <c r="C2483" s="328" t="s">
        <v>1060</v>
      </c>
      <c r="D2483" s="330">
        <v>2</v>
      </c>
      <c r="E2483" s="331">
        <v>5.5</v>
      </c>
      <c r="F2483" s="331">
        <v>23822</v>
      </c>
      <c r="G2483" s="328" t="s">
        <v>1687</v>
      </c>
      <c r="H2483" s="328" t="s">
        <v>1769</v>
      </c>
      <c r="I2483" s="328" t="s">
        <v>110</v>
      </c>
      <c r="J2483" s="328" t="s">
        <v>757</v>
      </c>
      <c r="K2483" s="328" t="s">
        <v>741</v>
      </c>
      <c r="L2483" s="329">
        <v>44043</v>
      </c>
      <c r="M2483" s="332">
        <v>0</v>
      </c>
    </row>
    <row r="2484" spans="1:13" hidden="1" x14ac:dyDescent="0.25">
      <c r="A2484" s="329">
        <v>44043</v>
      </c>
      <c r="B2484" s="328" t="s">
        <v>1689</v>
      </c>
      <c r="C2484" s="328" t="s">
        <v>1060</v>
      </c>
      <c r="D2484" s="330">
        <v>2</v>
      </c>
      <c r="E2484" s="331">
        <v>-154</v>
      </c>
      <c r="F2484" s="331">
        <v>23668</v>
      </c>
      <c r="G2484" s="328" t="s">
        <v>1686</v>
      </c>
      <c r="H2484" s="328" t="s">
        <v>1769</v>
      </c>
      <c r="I2484" s="328" t="s">
        <v>110</v>
      </c>
      <c r="J2484" s="328" t="s">
        <v>757</v>
      </c>
      <c r="K2484" s="328" t="s">
        <v>741</v>
      </c>
      <c r="L2484" s="329">
        <v>44043</v>
      </c>
      <c r="M2484" s="332">
        <v>0</v>
      </c>
    </row>
    <row r="2485" spans="1:13" hidden="1" x14ac:dyDescent="0.25">
      <c r="A2485" s="329">
        <v>44043</v>
      </c>
      <c r="B2485" s="328" t="s">
        <v>1689</v>
      </c>
      <c r="C2485" s="328" t="s">
        <v>1060</v>
      </c>
      <c r="D2485" s="330">
        <v>2</v>
      </c>
      <c r="E2485" s="331">
        <v>5.5</v>
      </c>
      <c r="F2485" s="331">
        <v>23673.5</v>
      </c>
      <c r="G2485" s="328" t="s">
        <v>1690</v>
      </c>
      <c r="H2485" s="328" t="s">
        <v>1769</v>
      </c>
      <c r="I2485" s="328" t="s">
        <v>110</v>
      </c>
      <c r="J2485" s="328" t="s">
        <v>757</v>
      </c>
      <c r="K2485" s="328" t="s">
        <v>741</v>
      </c>
      <c r="L2485" s="329">
        <v>44043</v>
      </c>
      <c r="M2485" s="332">
        <v>0</v>
      </c>
    </row>
    <row r="2486" spans="1:13" hidden="1" x14ac:dyDescent="0.25">
      <c r="A2486" s="329">
        <v>44074</v>
      </c>
      <c r="B2486" s="328" t="s">
        <v>1695</v>
      </c>
      <c r="C2486" s="328" t="s">
        <v>1060</v>
      </c>
      <c r="D2486" s="330">
        <v>2</v>
      </c>
      <c r="E2486" s="331">
        <v>132</v>
      </c>
      <c r="F2486" s="331">
        <v>23805.5</v>
      </c>
      <c r="G2486" s="328" t="s">
        <v>1696</v>
      </c>
      <c r="H2486" s="328" t="s">
        <v>1769</v>
      </c>
      <c r="I2486" s="328" t="s">
        <v>110</v>
      </c>
      <c r="J2486" s="328" t="s">
        <v>757</v>
      </c>
      <c r="K2486" s="328" t="s">
        <v>741</v>
      </c>
      <c r="L2486" s="329">
        <v>44074</v>
      </c>
      <c r="M2486" s="332">
        <v>0</v>
      </c>
    </row>
    <row r="2487" spans="1:13" hidden="1" x14ac:dyDescent="0.25">
      <c r="A2487" s="329">
        <v>44074</v>
      </c>
      <c r="B2487" s="328" t="s">
        <v>1697</v>
      </c>
      <c r="C2487" s="328" t="s">
        <v>769</v>
      </c>
      <c r="D2487" s="330">
        <v>3</v>
      </c>
      <c r="E2487" s="331">
        <v>132</v>
      </c>
      <c r="F2487" s="331">
        <v>23937.5</v>
      </c>
      <c r="G2487" s="328" t="s">
        <v>1698</v>
      </c>
      <c r="H2487" s="328" t="s">
        <v>1769</v>
      </c>
      <c r="I2487" s="328" t="s">
        <v>110</v>
      </c>
      <c r="J2487" s="328" t="s">
        <v>757</v>
      </c>
      <c r="K2487" s="328" t="s">
        <v>770</v>
      </c>
      <c r="L2487" s="329">
        <v>44074</v>
      </c>
      <c r="M2487" s="332">
        <v>0</v>
      </c>
    </row>
    <row r="2488" spans="1:13" hidden="1" x14ac:dyDescent="0.25">
      <c r="A2488" s="329">
        <v>44074</v>
      </c>
      <c r="B2488" s="328" t="s">
        <v>1695</v>
      </c>
      <c r="C2488" s="328" t="s">
        <v>1060</v>
      </c>
      <c r="D2488" s="330">
        <v>3</v>
      </c>
      <c r="E2488" s="331">
        <v>-132</v>
      </c>
      <c r="F2488" s="331">
        <v>23805.5</v>
      </c>
      <c r="G2488" s="328" t="s">
        <v>1696</v>
      </c>
      <c r="H2488" s="328" t="s">
        <v>1769</v>
      </c>
      <c r="I2488" s="328" t="s">
        <v>110</v>
      </c>
      <c r="J2488" s="328" t="s">
        <v>757</v>
      </c>
      <c r="K2488" s="328" t="s">
        <v>741</v>
      </c>
      <c r="L2488" s="329">
        <v>44074</v>
      </c>
      <c r="M2488" s="332">
        <v>0</v>
      </c>
    </row>
    <row r="2489" spans="1:13" hidden="1" x14ac:dyDescent="0.25">
      <c r="A2489" s="329">
        <v>44104</v>
      </c>
      <c r="B2489" s="328" t="s">
        <v>1699</v>
      </c>
      <c r="C2489" s="328" t="s">
        <v>1060</v>
      </c>
      <c r="D2489" s="330">
        <v>3</v>
      </c>
      <c r="E2489" s="331">
        <v>198</v>
      </c>
      <c r="F2489" s="331">
        <v>24003.5</v>
      </c>
      <c r="G2489" s="328" t="s">
        <v>1700</v>
      </c>
      <c r="H2489" s="328" t="s">
        <v>1769</v>
      </c>
      <c r="I2489" s="328" t="s">
        <v>110</v>
      </c>
      <c r="J2489" s="328" t="s">
        <v>757</v>
      </c>
      <c r="K2489" s="328" t="s">
        <v>741</v>
      </c>
      <c r="L2489" s="329">
        <v>44104</v>
      </c>
      <c r="M2489" s="332">
        <v>0</v>
      </c>
    </row>
    <row r="2490" spans="1:13" hidden="1" x14ac:dyDescent="0.25">
      <c r="A2490" s="329">
        <v>44104</v>
      </c>
      <c r="B2490" s="328" t="s">
        <v>1699</v>
      </c>
      <c r="C2490" s="328" t="s">
        <v>1060</v>
      </c>
      <c r="D2490" s="330">
        <v>4</v>
      </c>
      <c r="E2490" s="331">
        <v>-198</v>
      </c>
      <c r="F2490" s="331">
        <v>23805.5</v>
      </c>
      <c r="G2490" s="328" t="s">
        <v>1700</v>
      </c>
      <c r="H2490" s="328" t="s">
        <v>1769</v>
      </c>
      <c r="I2490" s="328" t="s">
        <v>110</v>
      </c>
      <c r="J2490" s="328" t="s">
        <v>757</v>
      </c>
      <c r="K2490" s="328" t="s">
        <v>741</v>
      </c>
      <c r="L2490" s="329">
        <v>44104</v>
      </c>
      <c r="M2490" s="332">
        <v>0</v>
      </c>
    </row>
    <row r="2491" spans="1:13" hidden="1" x14ac:dyDescent="0.25">
      <c r="A2491" s="329">
        <v>44105</v>
      </c>
      <c r="B2491" s="328" t="s">
        <v>1701</v>
      </c>
      <c r="C2491" s="328" t="s">
        <v>769</v>
      </c>
      <c r="D2491" s="330">
        <v>4</v>
      </c>
      <c r="E2491" s="331">
        <v>198</v>
      </c>
      <c r="F2491" s="331">
        <v>24003.5</v>
      </c>
      <c r="G2491" s="328" t="s">
        <v>1702</v>
      </c>
      <c r="H2491" s="328" t="s">
        <v>1769</v>
      </c>
      <c r="I2491" s="328" t="s">
        <v>110</v>
      </c>
      <c r="J2491" s="328" t="s">
        <v>757</v>
      </c>
      <c r="K2491" s="328" t="s">
        <v>770</v>
      </c>
      <c r="L2491" s="329">
        <v>44105</v>
      </c>
      <c r="M2491" s="332">
        <v>0</v>
      </c>
    </row>
    <row r="2492" spans="1:13" hidden="1" x14ac:dyDescent="0.25">
      <c r="A2492" s="329">
        <v>44135</v>
      </c>
      <c r="B2492" s="328" t="s">
        <v>1703</v>
      </c>
      <c r="C2492" s="328" t="s">
        <v>1060</v>
      </c>
      <c r="D2492" s="330">
        <v>4</v>
      </c>
      <c r="E2492" s="331">
        <v>121</v>
      </c>
      <c r="F2492" s="331">
        <v>24124.5</v>
      </c>
      <c r="G2492" s="328" t="s">
        <v>1704</v>
      </c>
      <c r="H2492" s="328" t="s">
        <v>1769</v>
      </c>
      <c r="I2492" s="328" t="s">
        <v>110</v>
      </c>
      <c r="J2492" s="328" t="s">
        <v>757</v>
      </c>
      <c r="K2492" s="328" t="s">
        <v>741</v>
      </c>
      <c r="L2492" s="329">
        <v>44135</v>
      </c>
      <c r="M2492" s="332">
        <v>0</v>
      </c>
    </row>
    <row r="2493" spans="1:13" hidden="1" x14ac:dyDescent="0.25">
      <c r="A2493" s="329">
        <v>44135</v>
      </c>
      <c r="B2493" s="328" t="s">
        <v>1703</v>
      </c>
      <c r="C2493" s="328" t="s">
        <v>1060</v>
      </c>
      <c r="D2493" s="330">
        <v>5</v>
      </c>
      <c r="E2493" s="331">
        <v>-121</v>
      </c>
      <c r="F2493" s="331">
        <v>24003.5</v>
      </c>
      <c r="G2493" s="328" t="s">
        <v>1704</v>
      </c>
      <c r="H2493" s="328" t="s">
        <v>1769</v>
      </c>
      <c r="I2493" s="328" t="s">
        <v>110</v>
      </c>
      <c r="J2493" s="328" t="s">
        <v>757</v>
      </c>
      <c r="K2493" s="328" t="s">
        <v>741</v>
      </c>
      <c r="L2493" s="329">
        <v>44135</v>
      </c>
      <c r="M2493" s="332">
        <v>0</v>
      </c>
    </row>
    <row r="2494" spans="1:13" hidden="1" x14ac:dyDescent="0.25">
      <c r="A2494" s="329">
        <v>44135</v>
      </c>
      <c r="B2494" s="328" t="s">
        <v>1705</v>
      </c>
      <c r="C2494" s="328" t="s">
        <v>769</v>
      </c>
      <c r="D2494" s="330">
        <v>5</v>
      </c>
      <c r="E2494" s="331">
        <v>121</v>
      </c>
      <c r="F2494" s="331">
        <v>24124.5</v>
      </c>
      <c r="G2494" s="328" t="s">
        <v>1706</v>
      </c>
      <c r="H2494" s="328" t="s">
        <v>1769</v>
      </c>
      <c r="I2494" s="328" t="s">
        <v>110</v>
      </c>
      <c r="J2494" s="328" t="s">
        <v>757</v>
      </c>
      <c r="K2494" s="328" t="s">
        <v>770</v>
      </c>
      <c r="L2494" s="329">
        <v>44135</v>
      </c>
      <c r="M2494" s="332">
        <v>0</v>
      </c>
    </row>
    <row r="2495" spans="1:13" hidden="1" x14ac:dyDescent="0.25">
      <c r="A2495" s="329">
        <v>44165</v>
      </c>
      <c r="B2495" s="328" t="s">
        <v>1707</v>
      </c>
      <c r="C2495" s="328" t="s">
        <v>1060</v>
      </c>
      <c r="D2495" s="330">
        <v>5</v>
      </c>
      <c r="E2495" s="331">
        <v>121</v>
      </c>
      <c r="F2495" s="331">
        <v>24245.5</v>
      </c>
      <c r="G2495" s="328" t="s">
        <v>1708</v>
      </c>
      <c r="H2495" s="328" t="s">
        <v>1769</v>
      </c>
      <c r="I2495" s="328" t="s">
        <v>110</v>
      </c>
      <c r="J2495" s="328" t="s">
        <v>757</v>
      </c>
      <c r="K2495" s="328" t="s">
        <v>741</v>
      </c>
      <c r="L2495" s="329">
        <v>44165</v>
      </c>
      <c r="M2495" s="332">
        <v>0</v>
      </c>
    </row>
    <row r="2496" spans="1:13" hidden="1" x14ac:dyDescent="0.25">
      <c r="A2496" s="329">
        <v>44165</v>
      </c>
      <c r="B2496" s="328" t="s">
        <v>1707</v>
      </c>
      <c r="C2496" s="328" t="s">
        <v>1060</v>
      </c>
      <c r="D2496" s="330">
        <v>6</v>
      </c>
      <c r="E2496" s="331">
        <v>-121</v>
      </c>
      <c r="F2496" s="331">
        <v>24124.5</v>
      </c>
      <c r="G2496" s="328" t="s">
        <v>1708</v>
      </c>
      <c r="H2496" s="328" t="s">
        <v>1769</v>
      </c>
      <c r="I2496" s="328" t="s">
        <v>110</v>
      </c>
      <c r="J2496" s="328" t="s">
        <v>757</v>
      </c>
      <c r="K2496" s="328" t="s">
        <v>741</v>
      </c>
      <c r="L2496" s="329">
        <v>44165</v>
      </c>
      <c r="M2496" s="332">
        <v>0</v>
      </c>
    </row>
    <row r="2497" spans="1:13" hidden="1" x14ac:dyDescent="0.25">
      <c r="A2497" s="329">
        <v>44165</v>
      </c>
      <c r="B2497" s="328" t="s">
        <v>1709</v>
      </c>
      <c r="C2497" s="328" t="s">
        <v>769</v>
      </c>
      <c r="D2497" s="330">
        <v>6</v>
      </c>
      <c r="E2497" s="331">
        <v>121</v>
      </c>
      <c r="F2497" s="331">
        <v>24245.5</v>
      </c>
      <c r="G2497" s="328" t="s">
        <v>1710</v>
      </c>
      <c r="H2497" s="328" t="s">
        <v>1769</v>
      </c>
      <c r="I2497" s="328" t="s">
        <v>110</v>
      </c>
      <c r="J2497" s="328" t="s">
        <v>757</v>
      </c>
      <c r="K2497" s="328" t="s">
        <v>770</v>
      </c>
      <c r="L2497" s="329">
        <v>44165</v>
      </c>
      <c r="M2497" s="332">
        <v>0</v>
      </c>
    </row>
    <row r="2498" spans="1:13" hidden="1" x14ac:dyDescent="0.25">
      <c r="A2498" s="329">
        <v>44196</v>
      </c>
      <c r="B2498" s="328" t="s">
        <v>1711</v>
      </c>
      <c r="C2498" s="328" t="s">
        <v>1060</v>
      </c>
      <c r="D2498" s="330">
        <v>6</v>
      </c>
      <c r="E2498" s="331">
        <v>88</v>
      </c>
      <c r="F2498" s="331">
        <v>24333.5</v>
      </c>
      <c r="G2498" s="328" t="s">
        <v>1712</v>
      </c>
      <c r="H2498" s="328" t="s">
        <v>1769</v>
      </c>
      <c r="I2498" s="328" t="s">
        <v>110</v>
      </c>
      <c r="J2498" s="328" t="s">
        <v>757</v>
      </c>
      <c r="K2498" s="328" t="s">
        <v>741</v>
      </c>
      <c r="L2498" s="329">
        <v>44196</v>
      </c>
      <c r="M2498" s="332">
        <v>0</v>
      </c>
    </row>
    <row r="2499" spans="1:13" hidden="1" x14ac:dyDescent="0.25">
      <c r="A2499" s="329">
        <v>44196</v>
      </c>
      <c r="B2499" s="328" t="s">
        <v>1711</v>
      </c>
      <c r="C2499" s="328" t="s">
        <v>1060</v>
      </c>
      <c r="D2499" s="330">
        <v>7</v>
      </c>
      <c r="E2499" s="331">
        <v>-88</v>
      </c>
      <c r="F2499" s="331">
        <v>24245.5</v>
      </c>
      <c r="G2499" s="328" t="s">
        <v>1712</v>
      </c>
      <c r="H2499" s="328" t="s">
        <v>1769</v>
      </c>
      <c r="I2499" s="328" t="s">
        <v>110</v>
      </c>
      <c r="J2499" s="328" t="s">
        <v>757</v>
      </c>
      <c r="K2499" s="328" t="s">
        <v>741</v>
      </c>
      <c r="L2499" s="329">
        <v>44196</v>
      </c>
      <c r="M2499" s="332">
        <v>0</v>
      </c>
    </row>
    <row r="2500" spans="1:13" hidden="1" x14ac:dyDescent="0.25">
      <c r="A2500" s="329">
        <v>44196</v>
      </c>
      <c r="B2500" s="328" t="s">
        <v>1713</v>
      </c>
      <c r="C2500" s="328" t="s">
        <v>769</v>
      </c>
      <c r="D2500" s="330">
        <v>7</v>
      </c>
      <c r="E2500" s="331">
        <v>88</v>
      </c>
      <c r="F2500" s="331">
        <v>24333.5</v>
      </c>
      <c r="G2500" s="328" t="s">
        <v>1714</v>
      </c>
      <c r="H2500" s="328" t="s">
        <v>1769</v>
      </c>
      <c r="I2500" s="328" t="s">
        <v>110</v>
      </c>
      <c r="J2500" s="328" t="s">
        <v>757</v>
      </c>
      <c r="K2500" s="328" t="s">
        <v>770</v>
      </c>
      <c r="L2500" s="329">
        <v>44196</v>
      </c>
      <c r="M2500" s="332">
        <v>0</v>
      </c>
    </row>
    <row r="2501" spans="1:13" hidden="1" x14ac:dyDescent="0.25">
      <c r="A2501" s="329">
        <v>44227</v>
      </c>
      <c r="B2501" s="328" t="s">
        <v>1715</v>
      </c>
      <c r="C2501" s="328" t="s">
        <v>1060</v>
      </c>
      <c r="D2501" s="330">
        <v>7</v>
      </c>
      <c r="E2501" s="331">
        <v>82.5</v>
      </c>
      <c r="F2501" s="331">
        <v>24416</v>
      </c>
      <c r="G2501" s="328" t="s">
        <v>1716</v>
      </c>
      <c r="H2501" s="328" t="s">
        <v>1769</v>
      </c>
      <c r="I2501" s="328" t="s">
        <v>110</v>
      </c>
      <c r="J2501" s="328" t="s">
        <v>757</v>
      </c>
      <c r="K2501" s="328" t="s">
        <v>741</v>
      </c>
      <c r="L2501" s="329">
        <v>44227</v>
      </c>
      <c r="M2501" s="332">
        <v>0</v>
      </c>
    </row>
    <row r="2502" spans="1:13" hidden="1" x14ac:dyDescent="0.25">
      <c r="A2502" s="329">
        <v>44227</v>
      </c>
      <c r="B2502" s="328" t="s">
        <v>1715</v>
      </c>
      <c r="C2502" s="328" t="s">
        <v>1060</v>
      </c>
      <c r="D2502" s="330">
        <v>8</v>
      </c>
      <c r="E2502" s="331">
        <v>-82.5</v>
      </c>
      <c r="F2502" s="331">
        <v>24333.5</v>
      </c>
      <c r="G2502" s="328" t="s">
        <v>1716</v>
      </c>
      <c r="H2502" s="328" t="s">
        <v>1769</v>
      </c>
      <c r="I2502" s="328" t="s">
        <v>110</v>
      </c>
      <c r="J2502" s="328" t="s">
        <v>757</v>
      </c>
      <c r="K2502" s="328" t="s">
        <v>741</v>
      </c>
      <c r="L2502" s="329">
        <v>44227</v>
      </c>
      <c r="M2502" s="332">
        <v>0</v>
      </c>
    </row>
    <row r="2503" spans="1:13" hidden="1" x14ac:dyDescent="0.25">
      <c r="A2503" s="329">
        <v>44227</v>
      </c>
      <c r="B2503" s="328" t="s">
        <v>1717</v>
      </c>
      <c r="C2503" s="328" t="s">
        <v>769</v>
      </c>
      <c r="D2503" s="330">
        <v>8</v>
      </c>
      <c r="E2503" s="331">
        <v>82.5</v>
      </c>
      <c r="F2503" s="331">
        <v>24416</v>
      </c>
      <c r="G2503" s="328" t="s">
        <v>1718</v>
      </c>
      <c r="H2503" s="328" t="s">
        <v>1769</v>
      </c>
      <c r="I2503" s="328" t="s">
        <v>110</v>
      </c>
      <c r="J2503" s="328" t="s">
        <v>757</v>
      </c>
      <c r="K2503" s="328" t="s">
        <v>770</v>
      </c>
      <c r="L2503" s="329">
        <v>44227</v>
      </c>
      <c r="M2503" s="332">
        <v>0</v>
      </c>
    </row>
    <row r="2504" spans="1:13" hidden="1" x14ac:dyDescent="0.25">
      <c r="A2504" s="329">
        <v>44255</v>
      </c>
      <c r="B2504" s="328" t="s">
        <v>1720</v>
      </c>
      <c r="C2504" s="328" t="s">
        <v>1060</v>
      </c>
      <c r="D2504" s="330">
        <v>8</v>
      </c>
      <c r="E2504" s="331">
        <v>88</v>
      </c>
      <c r="F2504" s="331">
        <v>24504</v>
      </c>
      <c r="G2504" s="328" t="s">
        <v>1721</v>
      </c>
      <c r="H2504" s="328" t="s">
        <v>1769</v>
      </c>
      <c r="I2504" s="328" t="s">
        <v>110</v>
      </c>
      <c r="J2504" s="328" t="s">
        <v>757</v>
      </c>
      <c r="K2504" s="328" t="s">
        <v>741</v>
      </c>
      <c r="L2504" s="329">
        <v>44255</v>
      </c>
      <c r="M2504" s="332">
        <v>0</v>
      </c>
    </row>
    <row r="2505" spans="1:13" hidden="1" x14ac:dyDescent="0.25">
      <c r="A2505" s="329">
        <v>44255</v>
      </c>
      <c r="B2505" s="328" t="s">
        <v>1720</v>
      </c>
      <c r="C2505" s="328" t="s">
        <v>1060</v>
      </c>
      <c r="D2505" s="330">
        <v>9</v>
      </c>
      <c r="E2505" s="331">
        <v>-88</v>
      </c>
      <c r="F2505" s="331">
        <v>24416</v>
      </c>
      <c r="G2505" s="328" t="s">
        <v>1721</v>
      </c>
      <c r="H2505" s="328" t="s">
        <v>1769</v>
      </c>
      <c r="I2505" s="328" t="s">
        <v>110</v>
      </c>
      <c r="J2505" s="328" t="s">
        <v>757</v>
      </c>
      <c r="K2505" s="328" t="s">
        <v>741</v>
      </c>
      <c r="L2505" s="329">
        <v>44255</v>
      </c>
      <c r="M2505" s="332">
        <v>0</v>
      </c>
    </row>
    <row r="2506" spans="1:13" hidden="1" x14ac:dyDescent="0.25">
      <c r="A2506" s="329">
        <v>44255</v>
      </c>
      <c r="B2506" s="328" t="s">
        <v>1722</v>
      </c>
      <c r="C2506" s="328" t="s">
        <v>769</v>
      </c>
      <c r="D2506" s="330">
        <v>9</v>
      </c>
      <c r="E2506" s="331">
        <v>93.5</v>
      </c>
      <c r="F2506" s="331">
        <v>24509.5</v>
      </c>
      <c r="G2506" s="328" t="s">
        <v>1723</v>
      </c>
      <c r="H2506" s="328" t="s">
        <v>1769</v>
      </c>
      <c r="I2506" s="328" t="s">
        <v>110</v>
      </c>
      <c r="J2506" s="328" t="s">
        <v>757</v>
      </c>
      <c r="K2506" s="328" t="s">
        <v>770</v>
      </c>
      <c r="L2506" s="329">
        <v>44255</v>
      </c>
      <c r="M2506" s="332">
        <v>0</v>
      </c>
    </row>
    <row r="2507" spans="1:13" hidden="1" x14ac:dyDescent="0.25">
      <c r="A2507" s="329">
        <v>44286</v>
      </c>
      <c r="B2507" s="328" t="s">
        <v>1724</v>
      </c>
      <c r="C2507" s="328" t="s">
        <v>1060</v>
      </c>
      <c r="D2507" s="330">
        <v>9</v>
      </c>
      <c r="E2507" s="331">
        <v>99</v>
      </c>
      <c r="F2507" s="331">
        <v>24608.5</v>
      </c>
      <c r="G2507" s="328" t="s">
        <v>1725</v>
      </c>
      <c r="H2507" s="328" t="s">
        <v>1769</v>
      </c>
      <c r="I2507" s="328" t="s">
        <v>110</v>
      </c>
      <c r="J2507" s="328" t="s">
        <v>757</v>
      </c>
      <c r="K2507" s="328" t="s">
        <v>741</v>
      </c>
      <c r="L2507" s="329">
        <v>44286</v>
      </c>
      <c r="M2507" s="332">
        <v>0</v>
      </c>
    </row>
    <row r="2508" spans="1:13" hidden="1" x14ac:dyDescent="0.25">
      <c r="A2508" s="329">
        <v>44286</v>
      </c>
      <c r="B2508" s="328" t="s">
        <v>1726</v>
      </c>
      <c r="C2508" s="328" t="s">
        <v>769</v>
      </c>
      <c r="D2508" s="330">
        <v>10</v>
      </c>
      <c r="E2508" s="331">
        <v>99</v>
      </c>
      <c r="F2508" s="331">
        <v>24707.5</v>
      </c>
      <c r="G2508" s="328" t="s">
        <v>1727</v>
      </c>
      <c r="H2508" s="328" t="s">
        <v>1769</v>
      </c>
      <c r="I2508" s="328" t="s">
        <v>110</v>
      </c>
      <c r="J2508" s="328" t="s">
        <v>757</v>
      </c>
      <c r="K2508" s="328" t="s">
        <v>770</v>
      </c>
      <c r="L2508" s="329">
        <v>44286</v>
      </c>
      <c r="M2508" s="332">
        <v>0</v>
      </c>
    </row>
    <row r="2509" spans="1:13" hidden="1" x14ac:dyDescent="0.25">
      <c r="A2509" s="329">
        <v>44286</v>
      </c>
      <c r="B2509" s="328" t="s">
        <v>1724</v>
      </c>
      <c r="C2509" s="328" t="s">
        <v>1060</v>
      </c>
      <c r="D2509" s="330">
        <v>10</v>
      </c>
      <c r="E2509" s="331">
        <v>-99</v>
      </c>
      <c r="F2509" s="331">
        <v>24608.5</v>
      </c>
      <c r="G2509" s="328" t="s">
        <v>1725</v>
      </c>
      <c r="H2509" s="328" t="s">
        <v>1769</v>
      </c>
      <c r="I2509" s="328" t="s">
        <v>110</v>
      </c>
      <c r="J2509" s="328" t="s">
        <v>757</v>
      </c>
      <c r="K2509" s="328" t="s">
        <v>741</v>
      </c>
      <c r="L2509" s="329">
        <v>44286</v>
      </c>
      <c r="M2509" s="332">
        <v>0</v>
      </c>
    </row>
    <row r="2510" spans="1:13" hidden="1" x14ac:dyDescent="0.25">
      <c r="A2510" s="329">
        <v>44316</v>
      </c>
      <c r="B2510" s="328" t="s">
        <v>1728</v>
      </c>
      <c r="C2510" s="328" t="s">
        <v>1060</v>
      </c>
      <c r="D2510" s="330">
        <v>10</v>
      </c>
      <c r="E2510" s="331">
        <v>11</v>
      </c>
      <c r="F2510" s="331">
        <v>24619.5</v>
      </c>
      <c r="G2510" s="328" t="s">
        <v>1729</v>
      </c>
      <c r="H2510" s="328" t="s">
        <v>1769</v>
      </c>
      <c r="I2510" s="328" t="s">
        <v>110</v>
      </c>
      <c r="J2510" s="328" t="s">
        <v>757</v>
      </c>
      <c r="K2510" s="328" t="s">
        <v>741</v>
      </c>
      <c r="L2510" s="329">
        <v>44316</v>
      </c>
      <c r="M2510" s="332">
        <v>0</v>
      </c>
    </row>
    <row r="2511" spans="1:13" hidden="1" x14ac:dyDescent="0.25">
      <c r="A2511" s="329">
        <v>44012</v>
      </c>
      <c r="B2511" s="328" t="s">
        <v>1678</v>
      </c>
      <c r="C2511" s="328" t="s">
        <v>769</v>
      </c>
      <c r="D2511" s="330">
        <v>1</v>
      </c>
      <c r="E2511" s="331">
        <v>22</v>
      </c>
      <c r="F2511" s="331">
        <v>24641.5</v>
      </c>
      <c r="G2511" s="328" t="s">
        <v>1679</v>
      </c>
      <c r="H2511" s="328" t="s">
        <v>1770</v>
      </c>
      <c r="I2511" s="328" t="s">
        <v>110</v>
      </c>
      <c r="J2511" s="328" t="s">
        <v>757</v>
      </c>
      <c r="K2511" s="328" t="s">
        <v>770</v>
      </c>
      <c r="L2511" s="329">
        <v>44012</v>
      </c>
      <c r="M2511" s="332">
        <v>0</v>
      </c>
    </row>
    <row r="2512" spans="1:13" hidden="1" x14ac:dyDescent="0.25">
      <c r="A2512" s="329">
        <v>44012</v>
      </c>
      <c r="B2512" s="328" t="s">
        <v>1681</v>
      </c>
      <c r="C2512" s="328" t="s">
        <v>1059</v>
      </c>
      <c r="D2512" s="330">
        <v>1</v>
      </c>
      <c r="E2512" s="331">
        <v>-22</v>
      </c>
      <c r="F2512" s="331">
        <v>24619.5</v>
      </c>
      <c r="G2512" s="328" t="s">
        <v>1682</v>
      </c>
      <c r="H2512" s="328" t="s">
        <v>1770</v>
      </c>
      <c r="I2512" s="328" t="s">
        <v>110</v>
      </c>
      <c r="J2512" s="328" t="s">
        <v>757</v>
      </c>
      <c r="K2512" s="328" t="s">
        <v>741</v>
      </c>
      <c r="L2512" s="329">
        <v>44012</v>
      </c>
      <c r="M2512" s="332">
        <v>0</v>
      </c>
    </row>
    <row r="2513" spans="1:13" hidden="1" x14ac:dyDescent="0.25">
      <c r="A2513" s="329">
        <v>44043</v>
      </c>
      <c r="B2513" s="328" t="s">
        <v>1685</v>
      </c>
      <c r="C2513" s="328" t="s">
        <v>1060</v>
      </c>
      <c r="D2513" s="330">
        <v>1</v>
      </c>
      <c r="E2513" s="331">
        <v>33</v>
      </c>
      <c r="F2513" s="331">
        <v>24652.5</v>
      </c>
      <c r="G2513" s="328" t="s">
        <v>1686</v>
      </c>
      <c r="H2513" s="328" t="s">
        <v>1770</v>
      </c>
      <c r="I2513" s="328" t="s">
        <v>110</v>
      </c>
      <c r="J2513" s="328" t="s">
        <v>757</v>
      </c>
      <c r="K2513" s="328" t="s">
        <v>741</v>
      </c>
      <c r="L2513" s="329">
        <v>44043</v>
      </c>
      <c r="M2513" s="332">
        <v>0</v>
      </c>
    </row>
    <row r="2514" spans="1:13" hidden="1" x14ac:dyDescent="0.25">
      <c r="A2514" s="329">
        <v>44043</v>
      </c>
      <c r="B2514" s="328" t="s">
        <v>1688</v>
      </c>
      <c r="C2514" s="328" t="s">
        <v>1060</v>
      </c>
      <c r="D2514" s="330">
        <v>1</v>
      </c>
      <c r="E2514" s="331">
        <v>-33</v>
      </c>
      <c r="F2514" s="331">
        <v>24619.5</v>
      </c>
      <c r="G2514" s="328" t="s">
        <v>1686</v>
      </c>
      <c r="H2514" s="328" t="s">
        <v>1770</v>
      </c>
      <c r="I2514" s="328" t="s">
        <v>110</v>
      </c>
      <c r="J2514" s="328" t="s">
        <v>757</v>
      </c>
      <c r="K2514" s="328" t="s">
        <v>741</v>
      </c>
      <c r="L2514" s="329">
        <v>44043</v>
      </c>
      <c r="M2514" s="332">
        <v>0</v>
      </c>
    </row>
    <row r="2515" spans="1:13" hidden="1" x14ac:dyDescent="0.25">
      <c r="A2515" s="329">
        <v>44043</v>
      </c>
      <c r="B2515" s="328" t="s">
        <v>1689</v>
      </c>
      <c r="C2515" s="328" t="s">
        <v>1060</v>
      </c>
      <c r="D2515" s="330">
        <v>1</v>
      </c>
      <c r="E2515" s="331">
        <v>33</v>
      </c>
      <c r="F2515" s="331">
        <v>24652.5</v>
      </c>
      <c r="G2515" s="328" t="s">
        <v>1686</v>
      </c>
      <c r="H2515" s="328" t="s">
        <v>1770</v>
      </c>
      <c r="I2515" s="328" t="s">
        <v>110</v>
      </c>
      <c r="J2515" s="328" t="s">
        <v>757</v>
      </c>
      <c r="K2515" s="328" t="s">
        <v>741</v>
      </c>
      <c r="L2515" s="329">
        <v>44043</v>
      </c>
      <c r="M2515" s="332">
        <v>0</v>
      </c>
    </row>
    <row r="2516" spans="1:13" hidden="1" x14ac:dyDescent="0.25">
      <c r="A2516" s="329">
        <v>44043</v>
      </c>
      <c r="B2516" s="328" t="s">
        <v>1691</v>
      </c>
      <c r="C2516" s="328" t="s">
        <v>769</v>
      </c>
      <c r="D2516" s="330">
        <v>2</v>
      </c>
      <c r="E2516" s="331">
        <v>33</v>
      </c>
      <c r="F2516" s="331">
        <v>24685.5</v>
      </c>
      <c r="G2516" s="328" t="s">
        <v>1692</v>
      </c>
      <c r="H2516" s="328" t="s">
        <v>1770</v>
      </c>
      <c r="I2516" s="328" t="s">
        <v>110</v>
      </c>
      <c r="J2516" s="328" t="s">
        <v>757</v>
      </c>
      <c r="K2516" s="328" t="s">
        <v>770</v>
      </c>
      <c r="L2516" s="329">
        <v>44043</v>
      </c>
      <c r="M2516" s="332">
        <v>0</v>
      </c>
    </row>
    <row r="2517" spans="1:13" hidden="1" x14ac:dyDescent="0.25">
      <c r="A2517" s="329">
        <v>44043</v>
      </c>
      <c r="B2517" s="328" t="s">
        <v>1685</v>
      </c>
      <c r="C2517" s="328" t="s">
        <v>1060</v>
      </c>
      <c r="D2517" s="330">
        <v>2</v>
      </c>
      <c r="E2517" s="331">
        <v>-33</v>
      </c>
      <c r="F2517" s="331">
        <v>24652.5</v>
      </c>
      <c r="G2517" s="328" t="s">
        <v>1686</v>
      </c>
      <c r="H2517" s="328" t="s">
        <v>1770</v>
      </c>
      <c r="I2517" s="328" t="s">
        <v>110</v>
      </c>
      <c r="J2517" s="328" t="s">
        <v>757</v>
      </c>
      <c r="K2517" s="328" t="s">
        <v>741</v>
      </c>
      <c r="L2517" s="329">
        <v>44043</v>
      </c>
      <c r="M2517" s="332">
        <v>0</v>
      </c>
    </row>
    <row r="2518" spans="1:13" hidden="1" x14ac:dyDescent="0.25">
      <c r="A2518" s="329">
        <v>44043</v>
      </c>
      <c r="B2518" s="328" t="s">
        <v>1688</v>
      </c>
      <c r="C2518" s="328" t="s">
        <v>1060</v>
      </c>
      <c r="D2518" s="330">
        <v>2</v>
      </c>
      <c r="E2518" s="331">
        <v>33</v>
      </c>
      <c r="F2518" s="331">
        <v>24685.5</v>
      </c>
      <c r="G2518" s="328" t="s">
        <v>1686</v>
      </c>
      <c r="H2518" s="328" t="s">
        <v>1770</v>
      </c>
      <c r="I2518" s="328" t="s">
        <v>110</v>
      </c>
      <c r="J2518" s="328" t="s">
        <v>757</v>
      </c>
      <c r="K2518" s="328" t="s">
        <v>741</v>
      </c>
      <c r="L2518" s="329">
        <v>44043</v>
      </c>
      <c r="M2518" s="332">
        <v>0</v>
      </c>
    </row>
    <row r="2519" spans="1:13" hidden="1" x14ac:dyDescent="0.25">
      <c r="A2519" s="329">
        <v>44043</v>
      </c>
      <c r="B2519" s="328" t="s">
        <v>1689</v>
      </c>
      <c r="C2519" s="328" t="s">
        <v>1060</v>
      </c>
      <c r="D2519" s="330">
        <v>2</v>
      </c>
      <c r="E2519" s="331">
        <v>-33</v>
      </c>
      <c r="F2519" s="331">
        <v>24652.5</v>
      </c>
      <c r="G2519" s="328" t="s">
        <v>1686</v>
      </c>
      <c r="H2519" s="328" t="s">
        <v>1770</v>
      </c>
      <c r="I2519" s="328" t="s">
        <v>110</v>
      </c>
      <c r="J2519" s="328" t="s">
        <v>757</v>
      </c>
      <c r="K2519" s="328" t="s">
        <v>741</v>
      </c>
      <c r="L2519" s="329">
        <v>44043</v>
      </c>
      <c r="M2519" s="332">
        <v>0</v>
      </c>
    </row>
    <row r="2520" spans="1:13" hidden="1" x14ac:dyDescent="0.25">
      <c r="A2520" s="329">
        <v>44074</v>
      </c>
      <c r="B2520" s="328" t="s">
        <v>1695</v>
      </c>
      <c r="C2520" s="328" t="s">
        <v>1060</v>
      </c>
      <c r="D2520" s="330">
        <v>2</v>
      </c>
      <c r="E2520" s="331">
        <v>22</v>
      </c>
      <c r="F2520" s="331">
        <v>24674.5</v>
      </c>
      <c r="G2520" s="328" t="s">
        <v>1696</v>
      </c>
      <c r="H2520" s="328" t="s">
        <v>1770</v>
      </c>
      <c r="I2520" s="328" t="s">
        <v>110</v>
      </c>
      <c r="J2520" s="328" t="s">
        <v>757</v>
      </c>
      <c r="K2520" s="328" t="s">
        <v>741</v>
      </c>
      <c r="L2520" s="329">
        <v>44074</v>
      </c>
      <c r="M2520" s="332">
        <v>0</v>
      </c>
    </row>
    <row r="2521" spans="1:13" hidden="1" x14ac:dyDescent="0.25">
      <c r="A2521" s="329">
        <v>44074</v>
      </c>
      <c r="B2521" s="328" t="s">
        <v>1697</v>
      </c>
      <c r="C2521" s="328" t="s">
        <v>769</v>
      </c>
      <c r="D2521" s="330">
        <v>3</v>
      </c>
      <c r="E2521" s="331">
        <v>22</v>
      </c>
      <c r="F2521" s="331">
        <v>24696.5</v>
      </c>
      <c r="G2521" s="328" t="s">
        <v>1698</v>
      </c>
      <c r="H2521" s="328" t="s">
        <v>1770</v>
      </c>
      <c r="I2521" s="328" t="s">
        <v>110</v>
      </c>
      <c r="J2521" s="328" t="s">
        <v>757</v>
      </c>
      <c r="K2521" s="328" t="s">
        <v>770</v>
      </c>
      <c r="L2521" s="329">
        <v>44074</v>
      </c>
      <c r="M2521" s="332">
        <v>0</v>
      </c>
    </row>
    <row r="2522" spans="1:13" hidden="1" x14ac:dyDescent="0.25">
      <c r="A2522" s="329">
        <v>44074</v>
      </c>
      <c r="B2522" s="328" t="s">
        <v>1695</v>
      </c>
      <c r="C2522" s="328" t="s">
        <v>1060</v>
      </c>
      <c r="D2522" s="330">
        <v>3</v>
      </c>
      <c r="E2522" s="331">
        <v>-22</v>
      </c>
      <c r="F2522" s="331">
        <v>24674.5</v>
      </c>
      <c r="G2522" s="328" t="s">
        <v>1696</v>
      </c>
      <c r="H2522" s="328" t="s">
        <v>1770</v>
      </c>
      <c r="I2522" s="328" t="s">
        <v>110</v>
      </c>
      <c r="J2522" s="328" t="s">
        <v>757</v>
      </c>
      <c r="K2522" s="328" t="s">
        <v>741</v>
      </c>
      <c r="L2522" s="329">
        <v>44074</v>
      </c>
      <c r="M2522" s="332">
        <v>0</v>
      </c>
    </row>
    <row r="2523" spans="1:13" hidden="1" x14ac:dyDescent="0.25">
      <c r="A2523" s="329">
        <v>44104</v>
      </c>
      <c r="B2523" s="328" t="s">
        <v>1699</v>
      </c>
      <c r="C2523" s="328" t="s">
        <v>1060</v>
      </c>
      <c r="D2523" s="330">
        <v>3</v>
      </c>
      <c r="E2523" s="331">
        <v>33</v>
      </c>
      <c r="F2523" s="331">
        <v>24707.5</v>
      </c>
      <c r="G2523" s="328" t="s">
        <v>1700</v>
      </c>
      <c r="H2523" s="328" t="s">
        <v>1770</v>
      </c>
      <c r="I2523" s="328" t="s">
        <v>110</v>
      </c>
      <c r="J2523" s="328" t="s">
        <v>757</v>
      </c>
      <c r="K2523" s="328" t="s">
        <v>741</v>
      </c>
      <c r="L2523" s="329">
        <v>44104</v>
      </c>
      <c r="M2523" s="332">
        <v>0</v>
      </c>
    </row>
    <row r="2524" spans="1:13" hidden="1" x14ac:dyDescent="0.25">
      <c r="A2524" s="329">
        <v>44104</v>
      </c>
      <c r="B2524" s="328" t="s">
        <v>1699</v>
      </c>
      <c r="C2524" s="328" t="s">
        <v>1060</v>
      </c>
      <c r="D2524" s="330">
        <v>4</v>
      </c>
      <c r="E2524" s="331">
        <v>-33</v>
      </c>
      <c r="F2524" s="331">
        <v>24674.5</v>
      </c>
      <c r="G2524" s="328" t="s">
        <v>1700</v>
      </c>
      <c r="H2524" s="328" t="s">
        <v>1770</v>
      </c>
      <c r="I2524" s="328" t="s">
        <v>110</v>
      </c>
      <c r="J2524" s="328" t="s">
        <v>757</v>
      </c>
      <c r="K2524" s="328" t="s">
        <v>741</v>
      </c>
      <c r="L2524" s="329">
        <v>44104</v>
      </c>
      <c r="M2524" s="332">
        <v>0</v>
      </c>
    </row>
    <row r="2525" spans="1:13" hidden="1" x14ac:dyDescent="0.25">
      <c r="A2525" s="329">
        <v>44105</v>
      </c>
      <c r="B2525" s="328" t="s">
        <v>1701</v>
      </c>
      <c r="C2525" s="328" t="s">
        <v>769</v>
      </c>
      <c r="D2525" s="330">
        <v>4</v>
      </c>
      <c r="E2525" s="331">
        <v>33</v>
      </c>
      <c r="F2525" s="331">
        <v>24707.5</v>
      </c>
      <c r="G2525" s="328" t="s">
        <v>1702</v>
      </c>
      <c r="H2525" s="328" t="s">
        <v>1770</v>
      </c>
      <c r="I2525" s="328" t="s">
        <v>110</v>
      </c>
      <c r="J2525" s="328" t="s">
        <v>757</v>
      </c>
      <c r="K2525" s="328" t="s">
        <v>770</v>
      </c>
      <c r="L2525" s="329">
        <v>44105</v>
      </c>
      <c r="M2525" s="332">
        <v>0</v>
      </c>
    </row>
    <row r="2526" spans="1:13" hidden="1" x14ac:dyDescent="0.25">
      <c r="A2526" s="329">
        <v>44135</v>
      </c>
      <c r="B2526" s="328" t="s">
        <v>1703</v>
      </c>
      <c r="C2526" s="328" t="s">
        <v>1060</v>
      </c>
      <c r="D2526" s="330">
        <v>4</v>
      </c>
      <c r="E2526" s="331">
        <v>11</v>
      </c>
      <c r="F2526" s="331">
        <v>24718.5</v>
      </c>
      <c r="G2526" s="328" t="s">
        <v>1704</v>
      </c>
      <c r="H2526" s="328" t="s">
        <v>1770</v>
      </c>
      <c r="I2526" s="328" t="s">
        <v>110</v>
      </c>
      <c r="J2526" s="328" t="s">
        <v>757</v>
      </c>
      <c r="K2526" s="328" t="s">
        <v>741</v>
      </c>
      <c r="L2526" s="329">
        <v>44135</v>
      </c>
      <c r="M2526" s="332">
        <v>0</v>
      </c>
    </row>
    <row r="2527" spans="1:13" hidden="1" x14ac:dyDescent="0.25">
      <c r="A2527" s="329">
        <v>44135</v>
      </c>
      <c r="B2527" s="328" t="s">
        <v>1703</v>
      </c>
      <c r="C2527" s="328" t="s">
        <v>1060</v>
      </c>
      <c r="D2527" s="330">
        <v>5</v>
      </c>
      <c r="E2527" s="331">
        <v>-11</v>
      </c>
      <c r="F2527" s="331">
        <v>24707.5</v>
      </c>
      <c r="G2527" s="328" t="s">
        <v>1704</v>
      </c>
      <c r="H2527" s="328" t="s">
        <v>1770</v>
      </c>
      <c r="I2527" s="328" t="s">
        <v>110</v>
      </c>
      <c r="J2527" s="328" t="s">
        <v>757</v>
      </c>
      <c r="K2527" s="328" t="s">
        <v>741</v>
      </c>
      <c r="L2527" s="329">
        <v>44135</v>
      </c>
      <c r="M2527" s="332">
        <v>0</v>
      </c>
    </row>
    <row r="2528" spans="1:13" hidden="1" x14ac:dyDescent="0.25">
      <c r="A2528" s="329">
        <v>44135</v>
      </c>
      <c r="B2528" s="328" t="s">
        <v>1705</v>
      </c>
      <c r="C2528" s="328" t="s">
        <v>769</v>
      </c>
      <c r="D2528" s="330">
        <v>5</v>
      </c>
      <c r="E2528" s="331">
        <v>11</v>
      </c>
      <c r="F2528" s="331">
        <v>24718.5</v>
      </c>
      <c r="G2528" s="328" t="s">
        <v>1706</v>
      </c>
      <c r="H2528" s="328" t="s">
        <v>1770</v>
      </c>
      <c r="I2528" s="328" t="s">
        <v>110</v>
      </c>
      <c r="J2528" s="328" t="s">
        <v>757</v>
      </c>
      <c r="K2528" s="328" t="s">
        <v>770</v>
      </c>
      <c r="L2528" s="329">
        <v>44135</v>
      </c>
      <c r="M2528" s="332">
        <v>0</v>
      </c>
    </row>
    <row r="2529" spans="1:13" hidden="1" x14ac:dyDescent="0.25">
      <c r="A2529" s="329">
        <v>44165</v>
      </c>
      <c r="B2529" s="328" t="s">
        <v>1707</v>
      </c>
      <c r="C2529" s="328" t="s">
        <v>1060</v>
      </c>
      <c r="D2529" s="330">
        <v>5</v>
      </c>
      <c r="E2529" s="331">
        <v>11</v>
      </c>
      <c r="F2529" s="331">
        <v>24729.5</v>
      </c>
      <c r="G2529" s="328" t="s">
        <v>1708</v>
      </c>
      <c r="H2529" s="328" t="s">
        <v>1770</v>
      </c>
      <c r="I2529" s="328" t="s">
        <v>110</v>
      </c>
      <c r="J2529" s="328" t="s">
        <v>757</v>
      </c>
      <c r="K2529" s="328" t="s">
        <v>741</v>
      </c>
      <c r="L2529" s="329">
        <v>44165</v>
      </c>
      <c r="M2529" s="332">
        <v>0</v>
      </c>
    </row>
    <row r="2530" spans="1:13" hidden="1" x14ac:dyDescent="0.25">
      <c r="A2530" s="329">
        <v>44165</v>
      </c>
      <c r="B2530" s="328" t="s">
        <v>1707</v>
      </c>
      <c r="C2530" s="328" t="s">
        <v>1060</v>
      </c>
      <c r="D2530" s="330">
        <v>6</v>
      </c>
      <c r="E2530" s="331">
        <v>-11</v>
      </c>
      <c r="F2530" s="331">
        <v>24718.5</v>
      </c>
      <c r="G2530" s="328" t="s">
        <v>1708</v>
      </c>
      <c r="H2530" s="328" t="s">
        <v>1770</v>
      </c>
      <c r="I2530" s="328" t="s">
        <v>110</v>
      </c>
      <c r="J2530" s="328" t="s">
        <v>757</v>
      </c>
      <c r="K2530" s="328" t="s">
        <v>741</v>
      </c>
      <c r="L2530" s="329">
        <v>44165</v>
      </c>
      <c r="M2530" s="332">
        <v>0</v>
      </c>
    </row>
    <row r="2531" spans="1:13" hidden="1" x14ac:dyDescent="0.25">
      <c r="A2531" s="329">
        <v>44165</v>
      </c>
      <c r="B2531" s="328" t="s">
        <v>1709</v>
      </c>
      <c r="C2531" s="328" t="s">
        <v>769</v>
      </c>
      <c r="D2531" s="330">
        <v>6</v>
      </c>
      <c r="E2531" s="331">
        <v>11</v>
      </c>
      <c r="F2531" s="331">
        <v>24729.5</v>
      </c>
      <c r="G2531" s="328" t="s">
        <v>1710</v>
      </c>
      <c r="H2531" s="328" t="s">
        <v>1770</v>
      </c>
      <c r="I2531" s="328" t="s">
        <v>110</v>
      </c>
      <c r="J2531" s="328" t="s">
        <v>757</v>
      </c>
      <c r="K2531" s="328" t="s">
        <v>770</v>
      </c>
      <c r="L2531" s="329">
        <v>44165</v>
      </c>
      <c r="M2531" s="332">
        <v>0</v>
      </c>
    </row>
    <row r="2532" spans="1:13" hidden="1" x14ac:dyDescent="0.25">
      <c r="A2532" s="329">
        <v>44012</v>
      </c>
      <c r="B2532" s="328" t="s">
        <v>1678</v>
      </c>
      <c r="C2532" s="328" t="s">
        <v>769</v>
      </c>
      <c r="D2532" s="330">
        <v>1</v>
      </c>
      <c r="E2532" s="331">
        <v>77</v>
      </c>
      <c r="F2532" s="331">
        <v>24806.5</v>
      </c>
      <c r="G2532" s="328" t="s">
        <v>1679</v>
      </c>
      <c r="H2532" s="328" t="s">
        <v>1771</v>
      </c>
      <c r="I2532" s="328" t="s">
        <v>110</v>
      </c>
      <c r="J2532" s="328" t="s">
        <v>757</v>
      </c>
      <c r="K2532" s="328" t="s">
        <v>770</v>
      </c>
      <c r="L2532" s="329">
        <v>44012</v>
      </c>
      <c r="M2532" s="332">
        <v>0</v>
      </c>
    </row>
    <row r="2533" spans="1:13" hidden="1" x14ac:dyDescent="0.25">
      <c r="A2533" s="329">
        <v>44012</v>
      </c>
      <c r="B2533" s="328" t="s">
        <v>1681</v>
      </c>
      <c r="C2533" s="328" t="s">
        <v>1059</v>
      </c>
      <c r="D2533" s="330">
        <v>1</v>
      </c>
      <c r="E2533" s="331">
        <v>-77</v>
      </c>
      <c r="F2533" s="331">
        <v>24729.5</v>
      </c>
      <c r="G2533" s="328" t="s">
        <v>1682</v>
      </c>
      <c r="H2533" s="328" t="s">
        <v>1771</v>
      </c>
      <c r="I2533" s="328" t="s">
        <v>110</v>
      </c>
      <c r="J2533" s="328" t="s">
        <v>757</v>
      </c>
      <c r="K2533" s="328" t="s">
        <v>741</v>
      </c>
      <c r="L2533" s="329">
        <v>44012</v>
      </c>
      <c r="M2533" s="332">
        <v>0</v>
      </c>
    </row>
    <row r="2534" spans="1:13" hidden="1" x14ac:dyDescent="0.25">
      <c r="A2534" s="329">
        <v>44043</v>
      </c>
      <c r="B2534" s="328" t="s">
        <v>1685</v>
      </c>
      <c r="C2534" s="328" t="s">
        <v>1060</v>
      </c>
      <c r="D2534" s="330">
        <v>1</v>
      </c>
      <c r="E2534" s="331">
        <v>71.5</v>
      </c>
      <c r="F2534" s="331">
        <v>24801</v>
      </c>
      <c r="G2534" s="328" t="s">
        <v>1686</v>
      </c>
      <c r="H2534" s="328" t="s">
        <v>1771</v>
      </c>
      <c r="I2534" s="328" t="s">
        <v>110</v>
      </c>
      <c r="J2534" s="328" t="s">
        <v>757</v>
      </c>
      <c r="K2534" s="328" t="s">
        <v>741</v>
      </c>
      <c r="L2534" s="329">
        <v>44043</v>
      </c>
      <c r="M2534" s="332">
        <v>0</v>
      </c>
    </row>
    <row r="2535" spans="1:13" hidden="1" x14ac:dyDescent="0.25">
      <c r="A2535" s="329">
        <v>44043</v>
      </c>
      <c r="B2535" s="328" t="s">
        <v>1688</v>
      </c>
      <c r="C2535" s="328" t="s">
        <v>1060</v>
      </c>
      <c r="D2535" s="330">
        <v>1</v>
      </c>
      <c r="E2535" s="331">
        <v>-71.5</v>
      </c>
      <c r="F2535" s="331">
        <v>24729.5</v>
      </c>
      <c r="G2535" s="328" t="s">
        <v>1686</v>
      </c>
      <c r="H2535" s="328" t="s">
        <v>1771</v>
      </c>
      <c r="I2535" s="328" t="s">
        <v>110</v>
      </c>
      <c r="J2535" s="328" t="s">
        <v>757</v>
      </c>
      <c r="K2535" s="328" t="s">
        <v>741</v>
      </c>
      <c r="L2535" s="329">
        <v>44043</v>
      </c>
      <c r="M2535" s="332">
        <v>0</v>
      </c>
    </row>
    <row r="2536" spans="1:13" hidden="1" x14ac:dyDescent="0.25">
      <c r="A2536" s="329">
        <v>44043</v>
      </c>
      <c r="B2536" s="328" t="s">
        <v>1689</v>
      </c>
      <c r="C2536" s="328" t="s">
        <v>1060</v>
      </c>
      <c r="D2536" s="330">
        <v>1</v>
      </c>
      <c r="E2536" s="331">
        <v>71.5</v>
      </c>
      <c r="F2536" s="331">
        <v>24801</v>
      </c>
      <c r="G2536" s="328" t="s">
        <v>1686</v>
      </c>
      <c r="H2536" s="328" t="s">
        <v>1771</v>
      </c>
      <c r="I2536" s="328" t="s">
        <v>110</v>
      </c>
      <c r="J2536" s="328" t="s">
        <v>757</v>
      </c>
      <c r="K2536" s="328" t="s">
        <v>741</v>
      </c>
      <c r="L2536" s="329">
        <v>44043</v>
      </c>
      <c r="M2536" s="332">
        <v>0</v>
      </c>
    </row>
    <row r="2537" spans="1:13" hidden="1" x14ac:dyDescent="0.25">
      <c r="A2537" s="329">
        <v>44043</v>
      </c>
      <c r="B2537" s="328" t="s">
        <v>1691</v>
      </c>
      <c r="C2537" s="328" t="s">
        <v>769</v>
      </c>
      <c r="D2537" s="330">
        <v>2</v>
      </c>
      <c r="E2537" s="331">
        <v>71.5</v>
      </c>
      <c r="F2537" s="331">
        <v>24872.5</v>
      </c>
      <c r="G2537" s="328" t="s">
        <v>1692</v>
      </c>
      <c r="H2537" s="328" t="s">
        <v>1771</v>
      </c>
      <c r="I2537" s="328" t="s">
        <v>110</v>
      </c>
      <c r="J2537" s="328" t="s">
        <v>757</v>
      </c>
      <c r="K2537" s="328" t="s">
        <v>770</v>
      </c>
      <c r="L2537" s="329">
        <v>44043</v>
      </c>
      <c r="M2537" s="332">
        <v>0</v>
      </c>
    </row>
    <row r="2538" spans="1:13" hidden="1" x14ac:dyDescent="0.25">
      <c r="A2538" s="329">
        <v>44043</v>
      </c>
      <c r="B2538" s="328" t="s">
        <v>1685</v>
      </c>
      <c r="C2538" s="328" t="s">
        <v>1060</v>
      </c>
      <c r="D2538" s="330">
        <v>2</v>
      </c>
      <c r="E2538" s="331">
        <v>-71.5</v>
      </c>
      <c r="F2538" s="331">
        <v>24801</v>
      </c>
      <c r="G2538" s="328" t="s">
        <v>1686</v>
      </c>
      <c r="H2538" s="328" t="s">
        <v>1771</v>
      </c>
      <c r="I2538" s="328" t="s">
        <v>110</v>
      </c>
      <c r="J2538" s="328" t="s">
        <v>757</v>
      </c>
      <c r="K2538" s="328" t="s">
        <v>741</v>
      </c>
      <c r="L2538" s="329">
        <v>44043</v>
      </c>
      <c r="M2538" s="332">
        <v>0</v>
      </c>
    </row>
    <row r="2539" spans="1:13" hidden="1" x14ac:dyDescent="0.25">
      <c r="A2539" s="329">
        <v>44043</v>
      </c>
      <c r="B2539" s="328" t="s">
        <v>1688</v>
      </c>
      <c r="C2539" s="328" t="s">
        <v>1060</v>
      </c>
      <c r="D2539" s="330">
        <v>2</v>
      </c>
      <c r="E2539" s="331">
        <v>71.5</v>
      </c>
      <c r="F2539" s="331">
        <v>24872.5</v>
      </c>
      <c r="G2539" s="328" t="s">
        <v>1686</v>
      </c>
      <c r="H2539" s="328" t="s">
        <v>1771</v>
      </c>
      <c r="I2539" s="328" t="s">
        <v>110</v>
      </c>
      <c r="J2539" s="328" t="s">
        <v>757</v>
      </c>
      <c r="K2539" s="328" t="s">
        <v>741</v>
      </c>
      <c r="L2539" s="329">
        <v>44043</v>
      </c>
      <c r="M2539" s="332">
        <v>0</v>
      </c>
    </row>
    <row r="2540" spans="1:13" hidden="1" x14ac:dyDescent="0.25">
      <c r="A2540" s="329">
        <v>44043</v>
      </c>
      <c r="B2540" s="328" t="s">
        <v>1689</v>
      </c>
      <c r="C2540" s="328" t="s">
        <v>1060</v>
      </c>
      <c r="D2540" s="330">
        <v>2</v>
      </c>
      <c r="E2540" s="331">
        <v>-71.5</v>
      </c>
      <c r="F2540" s="331">
        <v>24801</v>
      </c>
      <c r="G2540" s="328" t="s">
        <v>1686</v>
      </c>
      <c r="H2540" s="328" t="s">
        <v>1771</v>
      </c>
      <c r="I2540" s="328" t="s">
        <v>110</v>
      </c>
      <c r="J2540" s="328" t="s">
        <v>757</v>
      </c>
      <c r="K2540" s="328" t="s">
        <v>741</v>
      </c>
      <c r="L2540" s="329">
        <v>44043</v>
      </c>
      <c r="M2540" s="332">
        <v>0</v>
      </c>
    </row>
    <row r="2541" spans="1:13" hidden="1" x14ac:dyDescent="0.25">
      <c r="A2541" s="329">
        <v>44074</v>
      </c>
      <c r="B2541" s="328" t="s">
        <v>1695</v>
      </c>
      <c r="C2541" s="328" t="s">
        <v>1060</v>
      </c>
      <c r="D2541" s="330">
        <v>2</v>
      </c>
      <c r="E2541" s="331">
        <v>66</v>
      </c>
      <c r="F2541" s="331">
        <v>24867</v>
      </c>
      <c r="G2541" s="328" t="s">
        <v>1696</v>
      </c>
      <c r="H2541" s="328" t="s">
        <v>1771</v>
      </c>
      <c r="I2541" s="328" t="s">
        <v>110</v>
      </c>
      <c r="J2541" s="328" t="s">
        <v>757</v>
      </c>
      <c r="K2541" s="328" t="s">
        <v>741</v>
      </c>
      <c r="L2541" s="329">
        <v>44074</v>
      </c>
      <c r="M2541" s="332">
        <v>0</v>
      </c>
    </row>
    <row r="2542" spans="1:13" hidden="1" x14ac:dyDescent="0.25">
      <c r="A2542" s="329">
        <v>44074</v>
      </c>
      <c r="B2542" s="328" t="s">
        <v>1697</v>
      </c>
      <c r="C2542" s="328" t="s">
        <v>769</v>
      </c>
      <c r="D2542" s="330">
        <v>3</v>
      </c>
      <c r="E2542" s="331">
        <v>66</v>
      </c>
      <c r="F2542" s="331">
        <v>24933</v>
      </c>
      <c r="G2542" s="328" t="s">
        <v>1698</v>
      </c>
      <c r="H2542" s="328" t="s">
        <v>1771</v>
      </c>
      <c r="I2542" s="328" t="s">
        <v>110</v>
      </c>
      <c r="J2542" s="328" t="s">
        <v>757</v>
      </c>
      <c r="K2542" s="328" t="s">
        <v>770</v>
      </c>
      <c r="L2542" s="329">
        <v>44074</v>
      </c>
      <c r="M2542" s="332">
        <v>0</v>
      </c>
    </row>
    <row r="2543" spans="1:13" hidden="1" x14ac:dyDescent="0.25">
      <c r="A2543" s="329">
        <v>44074</v>
      </c>
      <c r="B2543" s="328" t="s">
        <v>1695</v>
      </c>
      <c r="C2543" s="328" t="s">
        <v>1060</v>
      </c>
      <c r="D2543" s="330">
        <v>3</v>
      </c>
      <c r="E2543" s="331">
        <v>-66</v>
      </c>
      <c r="F2543" s="331">
        <v>24867</v>
      </c>
      <c r="G2543" s="328" t="s">
        <v>1696</v>
      </c>
      <c r="H2543" s="328" t="s">
        <v>1771</v>
      </c>
      <c r="I2543" s="328" t="s">
        <v>110</v>
      </c>
      <c r="J2543" s="328" t="s">
        <v>757</v>
      </c>
      <c r="K2543" s="328" t="s">
        <v>741</v>
      </c>
      <c r="L2543" s="329">
        <v>44074</v>
      </c>
      <c r="M2543" s="332">
        <v>0</v>
      </c>
    </row>
    <row r="2544" spans="1:13" hidden="1" x14ac:dyDescent="0.25">
      <c r="A2544" s="329">
        <v>44104</v>
      </c>
      <c r="B2544" s="328" t="s">
        <v>1699</v>
      </c>
      <c r="C2544" s="328" t="s">
        <v>1060</v>
      </c>
      <c r="D2544" s="330">
        <v>3</v>
      </c>
      <c r="E2544" s="331">
        <v>99</v>
      </c>
      <c r="F2544" s="331">
        <v>24966</v>
      </c>
      <c r="G2544" s="328" t="s">
        <v>1700</v>
      </c>
      <c r="H2544" s="328" t="s">
        <v>1771</v>
      </c>
      <c r="I2544" s="328" t="s">
        <v>110</v>
      </c>
      <c r="J2544" s="328" t="s">
        <v>757</v>
      </c>
      <c r="K2544" s="328" t="s">
        <v>741</v>
      </c>
      <c r="L2544" s="329">
        <v>44104</v>
      </c>
      <c r="M2544" s="332">
        <v>0</v>
      </c>
    </row>
    <row r="2545" spans="1:13" hidden="1" x14ac:dyDescent="0.25">
      <c r="A2545" s="329">
        <v>44104</v>
      </c>
      <c r="B2545" s="328" t="s">
        <v>1699</v>
      </c>
      <c r="C2545" s="328" t="s">
        <v>1060</v>
      </c>
      <c r="D2545" s="330">
        <v>4</v>
      </c>
      <c r="E2545" s="331">
        <v>-99</v>
      </c>
      <c r="F2545" s="331">
        <v>24867</v>
      </c>
      <c r="G2545" s="328" t="s">
        <v>1700</v>
      </c>
      <c r="H2545" s="328" t="s">
        <v>1771</v>
      </c>
      <c r="I2545" s="328" t="s">
        <v>110</v>
      </c>
      <c r="J2545" s="328" t="s">
        <v>757</v>
      </c>
      <c r="K2545" s="328" t="s">
        <v>741</v>
      </c>
      <c r="L2545" s="329">
        <v>44104</v>
      </c>
      <c r="M2545" s="332">
        <v>0</v>
      </c>
    </row>
    <row r="2546" spans="1:13" hidden="1" x14ac:dyDescent="0.25">
      <c r="A2546" s="329">
        <v>44105</v>
      </c>
      <c r="B2546" s="328" t="s">
        <v>1701</v>
      </c>
      <c r="C2546" s="328" t="s">
        <v>769</v>
      </c>
      <c r="D2546" s="330">
        <v>4</v>
      </c>
      <c r="E2546" s="331">
        <v>99</v>
      </c>
      <c r="F2546" s="331">
        <v>24966</v>
      </c>
      <c r="G2546" s="328" t="s">
        <v>1702</v>
      </c>
      <c r="H2546" s="328" t="s">
        <v>1771</v>
      </c>
      <c r="I2546" s="328" t="s">
        <v>110</v>
      </c>
      <c r="J2546" s="328" t="s">
        <v>757</v>
      </c>
      <c r="K2546" s="328" t="s">
        <v>770</v>
      </c>
      <c r="L2546" s="329">
        <v>44105</v>
      </c>
      <c r="M2546" s="332">
        <v>0</v>
      </c>
    </row>
    <row r="2547" spans="1:13" hidden="1" x14ac:dyDescent="0.25">
      <c r="A2547" s="329">
        <v>44135</v>
      </c>
      <c r="B2547" s="328" t="s">
        <v>1703</v>
      </c>
      <c r="C2547" s="328" t="s">
        <v>1060</v>
      </c>
      <c r="D2547" s="330">
        <v>4</v>
      </c>
      <c r="E2547" s="331">
        <v>121</v>
      </c>
      <c r="F2547" s="331">
        <v>25087</v>
      </c>
      <c r="G2547" s="328" t="s">
        <v>1704</v>
      </c>
      <c r="H2547" s="328" t="s">
        <v>1771</v>
      </c>
      <c r="I2547" s="328" t="s">
        <v>110</v>
      </c>
      <c r="J2547" s="328" t="s">
        <v>757</v>
      </c>
      <c r="K2547" s="328" t="s">
        <v>741</v>
      </c>
      <c r="L2547" s="329">
        <v>44135</v>
      </c>
      <c r="M2547" s="332">
        <v>0</v>
      </c>
    </row>
    <row r="2548" spans="1:13" hidden="1" x14ac:dyDescent="0.25">
      <c r="A2548" s="329">
        <v>44135</v>
      </c>
      <c r="B2548" s="328" t="s">
        <v>1703</v>
      </c>
      <c r="C2548" s="328" t="s">
        <v>1060</v>
      </c>
      <c r="D2548" s="330">
        <v>5</v>
      </c>
      <c r="E2548" s="331">
        <v>-121</v>
      </c>
      <c r="F2548" s="331">
        <v>24966</v>
      </c>
      <c r="G2548" s="328" t="s">
        <v>1704</v>
      </c>
      <c r="H2548" s="328" t="s">
        <v>1771</v>
      </c>
      <c r="I2548" s="328" t="s">
        <v>110</v>
      </c>
      <c r="J2548" s="328" t="s">
        <v>757</v>
      </c>
      <c r="K2548" s="328" t="s">
        <v>741</v>
      </c>
      <c r="L2548" s="329">
        <v>44135</v>
      </c>
      <c r="M2548" s="332">
        <v>0</v>
      </c>
    </row>
    <row r="2549" spans="1:13" hidden="1" x14ac:dyDescent="0.25">
      <c r="A2549" s="329">
        <v>44135</v>
      </c>
      <c r="B2549" s="328" t="s">
        <v>1705</v>
      </c>
      <c r="C2549" s="328" t="s">
        <v>769</v>
      </c>
      <c r="D2549" s="330">
        <v>5</v>
      </c>
      <c r="E2549" s="331">
        <v>121</v>
      </c>
      <c r="F2549" s="331">
        <v>25087</v>
      </c>
      <c r="G2549" s="328" t="s">
        <v>1706</v>
      </c>
      <c r="H2549" s="328" t="s">
        <v>1771</v>
      </c>
      <c r="I2549" s="328" t="s">
        <v>110</v>
      </c>
      <c r="J2549" s="328" t="s">
        <v>757</v>
      </c>
      <c r="K2549" s="328" t="s">
        <v>770</v>
      </c>
      <c r="L2549" s="329">
        <v>44135</v>
      </c>
      <c r="M2549" s="332">
        <v>0</v>
      </c>
    </row>
    <row r="2550" spans="1:13" hidden="1" x14ac:dyDescent="0.25">
      <c r="A2550" s="329">
        <v>44165</v>
      </c>
      <c r="B2550" s="328" t="s">
        <v>1707</v>
      </c>
      <c r="C2550" s="328" t="s">
        <v>1060</v>
      </c>
      <c r="D2550" s="330">
        <v>5</v>
      </c>
      <c r="E2550" s="331">
        <v>115.5</v>
      </c>
      <c r="F2550" s="331">
        <v>25202.5</v>
      </c>
      <c r="G2550" s="328" t="s">
        <v>1708</v>
      </c>
      <c r="H2550" s="328" t="s">
        <v>1771</v>
      </c>
      <c r="I2550" s="328" t="s">
        <v>110</v>
      </c>
      <c r="J2550" s="328" t="s">
        <v>757</v>
      </c>
      <c r="K2550" s="328" t="s">
        <v>741</v>
      </c>
      <c r="L2550" s="329">
        <v>44165</v>
      </c>
      <c r="M2550" s="332">
        <v>0</v>
      </c>
    </row>
    <row r="2551" spans="1:13" hidden="1" x14ac:dyDescent="0.25">
      <c r="A2551" s="329">
        <v>44165</v>
      </c>
      <c r="B2551" s="328" t="s">
        <v>1707</v>
      </c>
      <c r="C2551" s="328" t="s">
        <v>1060</v>
      </c>
      <c r="D2551" s="330">
        <v>6</v>
      </c>
      <c r="E2551" s="331">
        <v>-115.5</v>
      </c>
      <c r="F2551" s="331">
        <v>25087</v>
      </c>
      <c r="G2551" s="328" t="s">
        <v>1708</v>
      </c>
      <c r="H2551" s="328" t="s">
        <v>1771</v>
      </c>
      <c r="I2551" s="328" t="s">
        <v>110</v>
      </c>
      <c r="J2551" s="328" t="s">
        <v>757</v>
      </c>
      <c r="K2551" s="328" t="s">
        <v>741</v>
      </c>
      <c r="L2551" s="329">
        <v>44165</v>
      </c>
      <c r="M2551" s="332">
        <v>0</v>
      </c>
    </row>
    <row r="2552" spans="1:13" hidden="1" x14ac:dyDescent="0.25">
      <c r="A2552" s="329">
        <v>44165</v>
      </c>
      <c r="B2552" s="328" t="s">
        <v>1709</v>
      </c>
      <c r="C2552" s="328" t="s">
        <v>769</v>
      </c>
      <c r="D2552" s="330">
        <v>6</v>
      </c>
      <c r="E2552" s="331">
        <v>115.5</v>
      </c>
      <c r="F2552" s="331">
        <v>25202.5</v>
      </c>
      <c r="G2552" s="328" t="s">
        <v>1710</v>
      </c>
      <c r="H2552" s="328" t="s">
        <v>1771</v>
      </c>
      <c r="I2552" s="328" t="s">
        <v>110</v>
      </c>
      <c r="J2552" s="328" t="s">
        <v>757</v>
      </c>
      <c r="K2552" s="328" t="s">
        <v>770</v>
      </c>
      <c r="L2552" s="329">
        <v>44165</v>
      </c>
      <c r="M2552" s="332">
        <v>0</v>
      </c>
    </row>
    <row r="2553" spans="1:13" hidden="1" x14ac:dyDescent="0.25">
      <c r="A2553" s="329">
        <v>44196</v>
      </c>
      <c r="B2553" s="328" t="s">
        <v>1711</v>
      </c>
      <c r="C2553" s="328" t="s">
        <v>1060</v>
      </c>
      <c r="D2553" s="330">
        <v>6</v>
      </c>
      <c r="E2553" s="331">
        <v>143</v>
      </c>
      <c r="F2553" s="331">
        <v>25345.5</v>
      </c>
      <c r="G2553" s="328" t="s">
        <v>1712</v>
      </c>
      <c r="H2553" s="328" t="s">
        <v>1771</v>
      </c>
      <c r="I2553" s="328" t="s">
        <v>110</v>
      </c>
      <c r="J2553" s="328" t="s">
        <v>757</v>
      </c>
      <c r="K2553" s="328" t="s">
        <v>741</v>
      </c>
      <c r="L2553" s="329">
        <v>44196</v>
      </c>
      <c r="M2553" s="332">
        <v>0</v>
      </c>
    </row>
    <row r="2554" spans="1:13" hidden="1" x14ac:dyDescent="0.25">
      <c r="A2554" s="329">
        <v>44196</v>
      </c>
      <c r="B2554" s="328" t="s">
        <v>1711</v>
      </c>
      <c r="C2554" s="328" t="s">
        <v>1060</v>
      </c>
      <c r="D2554" s="330">
        <v>7</v>
      </c>
      <c r="E2554" s="331">
        <v>-143</v>
      </c>
      <c r="F2554" s="331">
        <v>25202.5</v>
      </c>
      <c r="G2554" s="328" t="s">
        <v>1712</v>
      </c>
      <c r="H2554" s="328" t="s">
        <v>1771</v>
      </c>
      <c r="I2554" s="328" t="s">
        <v>110</v>
      </c>
      <c r="J2554" s="328" t="s">
        <v>757</v>
      </c>
      <c r="K2554" s="328" t="s">
        <v>741</v>
      </c>
      <c r="L2554" s="329">
        <v>44196</v>
      </c>
      <c r="M2554" s="332">
        <v>0</v>
      </c>
    </row>
    <row r="2555" spans="1:13" hidden="1" x14ac:dyDescent="0.25">
      <c r="A2555" s="329">
        <v>44196</v>
      </c>
      <c r="B2555" s="328" t="s">
        <v>1713</v>
      </c>
      <c r="C2555" s="328" t="s">
        <v>769</v>
      </c>
      <c r="D2555" s="330">
        <v>7</v>
      </c>
      <c r="E2555" s="331">
        <v>143</v>
      </c>
      <c r="F2555" s="331">
        <v>25345.5</v>
      </c>
      <c r="G2555" s="328" t="s">
        <v>1714</v>
      </c>
      <c r="H2555" s="328" t="s">
        <v>1771</v>
      </c>
      <c r="I2555" s="328" t="s">
        <v>110</v>
      </c>
      <c r="J2555" s="328" t="s">
        <v>757</v>
      </c>
      <c r="K2555" s="328" t="s">
        <v>770</v>
      </c>
      <c r="L2555" s="329">
        <v>44196</v>
      </c>
      <c r="M2555" s="332">
        <v>0</v>
      </c>
    </row>
    <row r="2556" spans="1:13" hidden="1" x14ac:dyDescent="0.25">
      <c r="A2556" s="329">
        <v>44227</v>
      </c>
      <c r="B2556" s="328" t="s">
        <v>1715</v>
      </c>
      <c r="C2556" s="328" t="s">
        <v>1060</v>
      </c>
      <c r="D2556" s="330">
        <v>7</v>
      </c>
      <c r="E2556" s="331">
        <v>137.5</v>
      </c>
      <c r="F2556" s="331">
        <v>25483</v>
      </c>
      <c r="G2556" s="328" t="s">
        <v>1716</v>
      </c>
      <c r="H2556" s="328" t="s">
        <v>1771</v>
      </c>
      <c r="I2556" s="328" t="s">
        <v>110</v>
      </c>
      <c r="J2556" s="328" t="s">
        <v>757</v>
      </c>
      <c r="K2556" s="328" t="s">
        <v>741</v>
      </c>
      <c r="L2556" s="329">
        <v>44227</v>
      </c>
      <c r="M2556" s="332">
        <v>0</v>
      </c>
    </row>
    <row r="2557" spans="1:13" hidden="1" x14ac:dyDescent="0.25">
      <c r="A2557" s="329">
        <v>44227</v>
      </c>
      <c r="B2557" s="328" t="s">
        <v>1715</v>
      </c>
      <c r="C2557" s="328" t="s">
        <v>1060</v>
      </c>
      <c r="D2557" s="330">
        <v>8</v>
      </c>
      <c r="E2557" s="331">
        <v>-137.5</v>
      </c>
      <c r="F2557" s="331">
        <v>25345.5</v>
      </c>
      <c r="G2557" s="328" t="s">
        <v>1716</v>
      </c>
      <c r="H2557" s="328" t="s">
        <v>1771</v>
      </c>
      <c r="I2557" s="328" t="s">
        <v>110</v>
      </c>
      <c r="J2557" s="328" t="s">
        <v>757</v>
      </c>
      <c r="K2557" s="328" t="s">
        <v>741</v>
      </c>
      <c r="L2557" s="329">
        <v>44227</v>
      </c>
      <c r="M2557" s="332">
        <v>0</v>
      </c>
    </row>
    <row r="2558" spans="1:13" hidden="1" x14ac:dyDescent="0.25">
      <c r="A2558" s="329">
        <v>44227</v>
      </c>
      <c r="B2558" s="328" t="s">
        <v>1717</v>
      </c>
      <c r="C2558" s="328" t="s">
        <v>769</v>
      </c>
      <c r="D2558" s="330">
        <v>8</v>
      </c>
      <c r="E2558" s="331">
        <v>137.5</v>
      </c>
      <c r="F2558" s="331">
        <v>25483</v>
      </c>
      <c r="G2558" s="328" t="s">
        <v>1718</v>
      </c>
      <c r="H2558" s="328" t="s">
        <v>1771</v>
      </c>
      <c r="I2558" s="328" t="s">
        <v>110</v>
      </c>
      <c r="J2558" s="328" t="s">
        <v>757</v>
      </c>
      <c r="K2558" s="328" t="s">
        <v>770</v>
      </c>
      <c r="L2558" s="329">
        <v>44227</v>
      </c>
      <c r="M2558" s="332">
        <v>0</v>
      </c>
    </row>
    <row r="2559" spans="1:13" hidden="1" x14ac:dyDescent="0.25">
      <c r="A2559" s="329">
        <v>44255</v>
      </c>
      <c r="B2559" s="328" t="s">
        <v>1720</v>
      </c>
      <c r="C2559" s="328" t="s">
        <v>1060</v>
      </c>
      <c r="D2559" s="330">
        <v>8</v>
      </c>
      <c r="E2559" s="331">
        <v>143</v>
      </c>
      <c r="F2559" s="331">
        <v>25626</v>
      </c>
      <c r="G2559" s="328" t="s">
        <v>1721</v>
      </c>
      <c r="H2559" s="328" t="s">
        <v>1771</v>
      </c>
      <c r="I2559" s="328" t="s">
        <v>110</v>
      </c>
      <c r="J2559" s="328" t="s">
        <v>757</v>
      </c>
      <c r="K2559" s="328" t="s">
        <v>741</v>
      </c>
      <c r="L2559" s="329">
        <v>44255</v>
      </c>
      <c r="M2559" s="332">
        <v>0</v>
      </c>
    </row>
    <row r="2560" spans="1:13" hidden="1" x14ac:dyDescent="0.25">
      <c r="A2560" s="329">
        <v>44255</v>
      </c>
      <c r="B2560" s="328" t="s">
        <v>1720</v>
      </c>
      <c r="C2560" s="328" t="s">
        <v>1060</v>
      </c>
      <c r="D2560" s="330">
        <v>9</v>
      </c>
      <c r="E2560" s="331">
        <v>-143</v>
      </c>
      <c r="F2560" s="331">
        <v>25483</v>
      </c>
      <c r="G2560" s="328" t="s">
        <v>1721</v>
      </c>
      <c r="H2560" s="328" t="s">
        <v>1771</v>
      </c>
      <c r="I2560" s="328" t="s">
        <v>110</v>
      </c>
      <c r="J2560" s="328" t="s">
        <v>757</v>
      </c>
      <c r="K2560" s="328" t="s">
        <v>741</v>
      </c>
      <c r="L2560" s="329">
        <v>44255</v>
      </c>
      <c r="M2560" s="332">
        <v>0</v>
      </c>
    </row>
    <row r="2561" spans="1:13" hidden="1" x14ac:dyDescent="0.25">
      <c r="A2561" s="329">
        <v>44255</v>
      </c>
      <c r="B2561" s="328" t="s">
        <v>1722</v>
      </c>
      <c r="C2561" s="328" t="s">
        <v>769</v>
      </c>
      <c r="D2561" s="330">
        <v>9</v>
      </c>
      <c r="E2561" s="331">
        <v>148.5</v>
      </c>
      <c r="F2561" s="331">
        <v>25631.5</v>
      </c>
      <c r="G2561" s="328" t="s">
        <v>1723</v>
      </c>
      <c r="H2561" s="328" t="s">
        <v>1771</v>
      </c>
      <c r="I2561" s="328" t="s">
        <v>110</v>
      </c>
      <c r="J2561" s="328" t="s">
        <v>757</v>
      </c>
      <c r="K2561" s="328" t="s">
        <v>770</v>
      </c>
      <c r="L2561" s="329">
        <v>44255</v>
      </c>
      <c r="M2561" s="332">
        <v>0</v>
      </c>
    </row>
    <row r="2562" spans="1:13" hidden="1" x14ac:dyDescent="0.25">
      <c r="A2562" s="329">
        <v>44286</v>
      </c>
      <c r="B2562" s="328" t="s">
        <v>1724</v>
      </c>
      <c r="C2562" s="328" t="s">
        <v>1060</v>
      </c>
      <c r="D2562" s="330">
        <v>9</v>
      </c>
      <c r="E2562" s="331">
        <v>181.5</v>
      </c>
      <c r="F2562" s="331">
        <v>25813</v>
      </c>
      <c r="G2562" s="328" t="s">
        <v>1725</v>
      </c>
      <c r="H2562" s="328" t="s">
        <v>1771</v>
      </c>
      <c r="I2562" s="328" t="s">
        <v>110</v>
      </c>
      <c r="J2562" s="328" t="s">
        <v>757</v>
      </c>
      <c r="K2562" s="328" t="s">
        <v>741</v>
      </c>
      <c r="L2562" s="329">
        <v>44286</v>
      </c>
      <c r="M2562" s="332">
        <v>0</v>
      </c>
    </row>
    <row r="2563" spans="1:13" hidden="1" x14ac:dyDescent="0.25">
      <c r="A2563" s="329">
        <v>44286</v>
      </c>
      <c r="B2563" s="328" t="s">
        <v>1726</v>
      </c>
      <c r="C2563" s="328" t="s">
        <v>769</v>
      </c>
      <c r="D2563" s="330">
        <v>10</v>
      </c>
      <c r="E2563" s="331">
        <v>181.5</v>
      </c>
      <c r="F2563" s="331">
        <v>25994.5</v>
      </c>
      <c r="G2563" s="328" t="s">
        <v>1727</v>
      </c>
      <c r="H2563" s="328" t="s">
        <v>1771</v>
      </c>
      <c r="I2563" s="328" t="s">
        <v>110</v>
      </c>
      <c r="J2563" s="328" t="s">
        <v>757</v>
      </c>
      <c r="K2563" s="328" t="s">
        <v>770</v>
      </c>
      <c r="L2563" s="329">
        <v>44286</v>
      </c>
      <c r="M2563" s="332">
        <v>0</v>
      </c>
    </row>
    <row r="2564" spans="1:13" hidden="1" x14ac:dyDescent="0.25">
      <c r="A2564" s="329">
        <v>44286</v>
      </c>
      <c r="B2564" s="328" t="s">
        <v>1724</v>
      </c>
      <c r="C2564" s="328" t="s">
        <v>1060</v>
      </c>
      <c r="D2564" s="330">
        <v>10</v>
      </c>
      <c r="E2564" s="331">
        <v>-181.5</v>
      </c>
      <c r="F2564" s="331">
        <v>25813</v>
      </c>
      <c r="G2564" s="328" t="s">
        <v>1725</v>
      </c>
      <c r="H2564" s="328" t="s">
        <v>1771</v>
      </c>
      <c r="I2564" s="328" t="s">
        <v>110</v>
      </c>
      <c r="J2564" s="328" t="s">
        <v>757</v>
      </c>
      <c r="K2564" s="328" t="s">
        <v>741</v>
      </c>
      <c r="L2564" s="329">
        <v>44286</v>
      </c>
      <c r="M2564" s="332">
        <v>0</v>
      </c>
    </row>
    <row r="2565" spans="1:13" hidden="1" x14ac:dyDescent="0.25">
      <c r="A2565" s="329">
        <v>44316</v>
      </c>
      <c r="B2565" s="328" t="s">
        <v>1728</v>
      </c>
      <c r="C2565" s="328" t="s">
        <v>1060</v>
      </c>
      <c r="D2565" s="330">
        <v>10</v>
      </c>
      <c r="E2565" s="331">
        <v>104.5</v>
      </c>
      <c r="F2565" s="331">
        <v>25917.5</v>
      </c>
      <c r="G2565" s="328" t="s">
        <v>1729</v>
      </c>
      <c r="H2565" s="328" t="s">
        <v>1771</v>
      </c>
      <c r="I2565" s="328" t="s">
        <v>110</v>
      </c>
      <c r="J2565" s="328" t="s">
        <v>757</v>
      </c>
      <c r="K2565" s="328" t="s">
        <v>741</v>
      </c>
      <c r="L2565" s="329">
        <v>44316</v>
      </c>
      <c r="M2565" s="332">
        <v>0</v>
      </c>
    </row>
    <row r="2566" spans="1:13" hidden="1" x14ac:dyDescent="0.25">
      <c r="A2566" s="329">
        <v>44012</v>
      </c>
      <c r="B2566" s="328" t="s">
        <v>1678</v>
      </c>
      <c r="C2566" s="328" t="s">
        <v>769</v>
      </c>
      <c r="D2566" s="330">
        <v>1</v>
      </c>
      <c r="E2566" s="331">
        <v>33</v>
      </c>
      <c r="F2566" s="331">
        <v>25950.5</v>
      </c>
      <c r="G2566" s="328" t="s">
        <v>1679</v>
      </c>
      <c r="H2566" s="328" t="s">
        <v>1772</v>
      </c>
      <c r="I2566" s="328" t="s">
        <v>110</v>
      </c>
      <c r="J2566" s="328" t="s">
        <v>757</v>
      </c>
      <c r="K2566" s="328" t="s">
        <v>770</v>
      </c>
      <c r="L2566" s="329">
        <v>44012</v>
      </c>
      <c r="M2566" s="332">
        <v>0</v>
      </c>
    </row>
    <row r="2567" spans="1:13" hidden="1" x14ac:dyDescent="0.25">
      <c r="A2567" s="329">
        <v>44012</v>
      </c>
      <c r="B2567" s="328" t="s">
        <v>1681</v>
      </c>
      <c r="C2567" s="328" t="s">
        <v>1059</v>
      </c>
      <c r="D2567" s="330">
        <v>1</v>
      </c>
      <c r="E2567" s="331">
        <v>-33</v>
      </c>
      <c r="F2567" s="331">
        <v>25917.5</v>
      </c>
      <c r="G2567" s="328" t="s">
        <v>1682</v>
      </c>
      <c r="H2567" s="328" t="s">
        <v>1772</v>
      </c>
      <c r="I2567" s="328" t="s">
        <v>110</v>
      </c>
      <c r="J2567" s="328" t="s">
        <v>757</v>
      </c>
      <c r="K2567" s="328" t="s">
        <v>741</v>
      </c>
      <c r="L2567" s="329">
        <v>44012</v>
      </c>
      <c r="M2567" s="332">
        <v>0</v>
      </c>
    </row>
    <row r="2568" spans="1:13" hidden="1" x14ac:dyDescent="0.25">
      <c r="A2568" s="329">
        <v>44043</v>
      </c>
      <c r="B2568" s="328" t="s">
        <v>1685</v>
      </c>
      <c r="C2568" s="328" t="s">
        <v>1060</v>
      </c>
      <c r="D2568" s="330">
        <v>1</v>
      </c>
      <c r="E2568" s="331">
        <v>11</v>
      </c>
      <c r="F2568" s="331">
        <v>25928.5</v>
      </c>
      <c r="G2568" s="328" t="s">
        <v>1686</v>
      </c>
      <c r="H2568" s="328" t="s">
        <v>1772</v>
      </c>
      <c r="I2568" s="328" t="s">
        <v>110</v>
      </c>
      <c r="J2568" s="328" t="s">
        <v>757</v>
      </c>
      <c r="K2568" s="328" t="s">
        <v>741</v>
      </c>
      <c r="L2568" s="329">
        <v>44043</v>
      </c>
      <c r="M2568" s="332">
        <v>0</v>
      </c>
    </row>
    <row r="2569" spans="1:13" hidden="1" x14ac:dyDescent="0.25">
      <c r="A2569" s="329">
        <v>44043</v>
      </c>
      <c r="B2569" s="328" t="s">
        <v>1688</v>
      </c>
      <c r="C2569" s="328" t="s">
        <v>1060</v>
      </c>
      <c r="D2569" s="330">
        <v>1</v>
      </c>
      <c r="E2569" s="331">
        <v>-11</v>
      </c>
      <c r="F2569" s="331">
        <v>25917.5</v>
      </c>
      <c r="G2569" s="328" t="s">
        <v>1686</v>
      </c>
      <c r="H2569" s="328" t="s">
        <v>1772</v>
      </c>
      <c r="I2569" s="328" t="s">
        <v>110</v>
      </c>
      <c r="J2569" s="328" t="s">
        <v>757</v>
      </c>
      <c r="K2569" s="328" t="s">
        <v>741</v>
      </c>
      <c r="L2569" s="329">
        <v>44043</v>
      </c>
      <c r="M2569" s="332">
        <v>0</v>
      </c>
    </row>
    <row r="2570" spans="1:13" hidden="1" x14ac:dyDescent="0.25">
      <c r="A2570" s="329">
        <v>44043</v>
      </c>
      <c r="B2570" s="328" t="s">
        <v>1689</v>
      </c>
      <c r="C2570" s="328" t="s">
        <v>1060</v>
      </c>
      <c r="D2570" s="330">
        <v>1</v>
      </c>
      <c r="E2570" s="331">
        <v>11</v>
      </c>
      <c r="F2570" s="331">
        <v>25928.5</v>
      </c>
      <c r="G2570" s="328" t="s">
        <v>1686</v>
      </c>
      <c r="H2570" s="328" t="s">
        <v>1772</v>
      </c>
      <c r="I2570" s="328" t="s">
        <v>110</v>
      </c>
      <c r="J2570" s="328" t="s">
        <v>757</v>
      </c>
      <c r="K2570" s="328" t="s">
        <v>741</v>
      </c>
      <c r="L2570" s="329">
        <v>44043</v>
      </c>
      <c r="M2570" s="332">
        <v>0</v>
      </c>
    </row>
    <row r="2571" spans="1:13" hidden="1" x14ac:dyDescent="0.25">
      <c r="A2571" s="329">
        <v>44043</v>
      </c>
      <c r="B2571" s="328" t="s">
        <v>1691</v>
      </c>
      <c r="C2571" s="328" t="s">
        <v>769</v>
      </c>
      <c r="D2571" s="330">
        <v>2</v>
      </c>
      <c r="E2571" s="331">
        <v>11</v>
      </c>
      <c r="F2571" s="331">
        <v>25939.5</v>
      </c>
      <c r="G2571" s="328" t="s">
        <v>1692</v>
      </c>
      <c r="H2571" s="328" t="s">
        <v>1772</v>
      </c>
      <c r="I2571" s="328" t="s">
        <v>110</v>
      </c>
      <c r="J2571" s="328" t="s">
        <v>757</v>
      </c>
      <c r="K2571" s="328" t="s">
        <v>770</v>
      </c>
      <c r="L2571" s="329">
        <v>44043</v>
      </c>
      <c r="M2571" s="332">
        <v>0</v>
      </c>
    </row>
    <row r="2572" spans="1:13" hidden="1" x14ac:dyDescent="0.25">
      <c r="A2572" s="329">
        <v>44043</v>
      </c>
      <c r="B2572" s="328" t="s">
        <v>1685</v>
      </c>
      <c r="C2572" s="328" t="s">
        <v>1060</v>
      </c>
      <c r="D2572" s="330">
        <v>2</v>
      </c>
      <c r="E2572" s="331">
        <v>-11</v>
      </c>
      <c r="F2572" s="331">
        <v>25928.5</v>
      </c>
      <c r="G2572" s="328" t="s">
        <v>1686</v>
      </c>
      <c r="H2572" s="328" t="s">
        <v>1772</v>
      </c>
      <c r="I2572" s="328" t="s">
        <v>110</v>
      </c>
      <c r="J2572" s="328" t="s">
        <v>757</v>
      </c>
      <c r="K2572" s="328" t="s">
        <v>741</v>
      </c>
      <c r="L2572" s="329">
        <v>44043</v>
      </c>
      <c r="M2572" s="332">
        <v>0</v>
      </c>
    </row>
    <row r="2573" spans="1:13" hidden="1" x14ac:dyDescent="0.25">
      <c r="A2573" s="329">
        <v>44043</v>
      </c>
      <c r="B2573" s="328" t="s">
        <v>1688</v>
      </c>
      <c r="C2573" s="328" t="s">
        <v>1060</v>
      </c>
      <c r="D2573" s="330">
        <v>2</v>
      </c>
      <c r="E2573" s="331">
        <v>11</v>
      </c>
      <c r="F2573" s="331">
        <v>25939.5</v>
      </c>
      <c r="G2573" s="328" t="s">
        <v>1686</v>
      </c>
      <c r="H2573" s="328" t="s">
        <v>1772</v>
      </c>
      <c r="I2573" s="328" t="s">
        <v>110</v>
      </c>
      <c r="J2573" s="328" t="s">
        <v>757</v>
      </c>
      <c r="K2573" s="328" t="s">
        <v>741</v>
      </c>
      <c r="L2573" s="329">
        <v>44043</v>
      </c>
      <c r="M2573" s="332">
        <v>0</v>
      </c>
    </row>
    <row r="2574" spans="1:13" hidden="1" x14ac:dyDescent="0.25">
      <c r="A2574" s="329">
        <v>44043</v>
      </c>
      <c r="B2574" s="328" t="s">
        <v>1689</v>
      </c>
      <c r="C2574" s="328" t="s">
        <v>1060</v>
      </c>
      <c r="D2574" s="330">
        <v>2</v>
      </c>
      <c r="E2574" s="331">
        <v>-11</v>
      </c>
      <c r="F2574" s="331">
        <v>25928.5</v>
      </c>
      <c r="G2574" s="328" t="s">
        <v>1686</v>
      </c>
      <c r="H2574" s="328" t="s">
        <v>1772</v>
      </c>
      <c r="I2574" s="328" t="s">
        <v>110</v>
      </c>
      <c r="J2574" s="328" t="s">
        <v>757</v>
      </c>
      <c r="K2574" s="328" t="s">
        <v>741</v>
      </c>
      <c r="L2574" s="329">
        <v>44043</v>
      </c>
      <c r="M2574" s="332">
        <v>0</v>
      </c>
    </row>
    <row r="2575" spans="1:13" hidden="1" x14ac:dyDescent="0.25">
      <c r="A2575" s="329">
        <v>44074</v>
      </c>
      <c r="B2575" s="328" t="s">
        <v>1695</v>
      </c>
      <c r="C2575" s="328" t="s">
        <v>1060</v>
      </c>
      <c r="D2575" s="330">
        <v>2</v>
      </c>
      <c r="E2575" s="331">
        <v>11</v>
      </c>
      <c r="F2575" s="331">
        <v>25939.5</v>
      </c>
      <c r="G2575" s="328" t="s">
        <v>1696</v>
      </c>
      <c r="H2575" s="328" t="s">
        <v>1772</v>
      </c>
      <c r="I2575" s="328" t="s">
        <v>110</v>
      </c>
      <c r="J2575" s="328" t="s">
        <v>757</v>
      </c>
      <c r="K2575" s="328" t="s">
        <v>741</v>
      </c>
      <c r="L2575" s="329">
        <v>44074</v>
      </c>
      <c r="M2575" s="332">
        <v>0</v>
      </c>
    </row>
    <row r="2576" spans="1:13" hidden="1" x14ac:dyDescent="0.25">
      <c r="A2576" s="329">
        <v>44074</v>
      </c>
      <c r="B2576" s="328" t="s">
        <v>1697</v>
      </c>
      <c r="C2576" s="328" t="s">
        <v>769</v>
      </c>
      <c r="D2576" s="330">
        <v>3</v>
      </c>
      <c r="E2576" s="331">
        <v>11</v>
      </c>
      <c r="F2576" s="331">
        <v>25950.5</v>
      </c>
      <c r="G2576" s="328" t="s">
        <v>1698</v>
      </c>
      <c r="H2576" s="328" t="s">
        <v>1772</v>
      </c>
      <c r="I2576" s="328" t="s">
        <v>110</v>
      </c>
      <c r="J2576" s="328" t="s">
        <v>757</v>
      </c>
      <c r="K2576" s="328" t="s">
        <v>770</v>
      </c>
      <c r="L2576" s="329">
        <v>44074</v>
      </c>
      <c r="M2576" s="332">
        <v>0</v>
      </c>
    </row>
    <row r="2577" spans="1:13" hidden="1" x14ac:dyDescent="0.25">
      <c r="A2577" s="329">
        <v>44074</v>
      </c>
      <c r="B2577" s="328" t="s">
        <v>1695</v>
      </c>
      <c r="C2577" s="328" t="s">
        <v>1060</v>
      </c>
      <c r="D2577" s="330">
        <v>3</v>
      </c>
      <c r="E2577" s="331">
        <v>-11</v>
      </c>
      <c r="F2577" s="331">
        <v>25939.5</v>
      </c>
      <c r="G2577" s="328" t="s">
        <v>1696</v>
      </c>
      <c r="H2577" s="328" t="s">
        <v>1772</v>
      </c>
      <c r="I2577" s="328" t="s">
        <v>110</v>
      </c>
      <c r="J2577" s="328" t="s">
        <v>757</v>
      </c>
      <c r="K2577" s="328" t="s">
        <v>741</v>
      </c>
      <c r="L2577" s="329">
        <v>44074</v>
      </c>
      <c r="M2577" s="332">
        <v>0</v>
      </c>
    </row>
    <row r="2578" spans="1:13" hidden="1" x14ac:dyDescent="0.25">
      <c r="A2578" s="329">
        <v>44104</v>
      </c>
      <c r="B2578" s="328" t="s">
        <v>1699</v>
      </c>
      <c r="C2578" s="328" t="s">
        <v>1060</v>
      </c>
      <c r="D2578" s="330">
        <v>3</v>
      </c>
      <c r="E2578" s="331">
        <v>16.5</v>
      </c>
      <c r="F2578" s="331">
        <v>25956</v>
      </c>
      <c r="G2578" s="328" t="s">
        <v>1700</v>
      </c>
      <c r="H2578" s="328" t="s">
        <v>1772</v>
      </c>
      <c r="I2578" s="328" t="s">
        <v>110</v>
      </c>
      <c r="J2578" s="328" t="s">
        <v>757</v>
      </c>
      <c r="K2578" s="328" t="s">
        <v>741</v>
      </c>
      <c r="L2578" s="329">
        <v>44104</v>
      </c>
      <c r="M2578" s="332">
        <v>0</v>
      </c>
    </row>
    <row r="2579" spans="1:13" hidden="1" x14ac:dyDescent="0.25">
      <c r="A2579" s="329">
        <v>44104</v>
      </c>
      <c r="B2579" s="328" t="s">
        <v>1699</v>
      </c>
      <c r="C2579" s="328" t="s">
        <v>1060</v>
      </c>
      <c r="D2579" s="330">
        <v>4</v>
      </c>
      <c r="E2579" s="331">
        <v>-16.5</v>
      </c>
      <c r="F2579" s="331">
        <v>25939.5</v>
      </c>
      <c r="G2579" s="328" t="s">
        <v>1700</v>
      </c>
      <c r="H2579" s="328" t="s">
        <v>1772</v>
      </c>
      <c r="I2579" s="328" t="s">
        <v>110</v>
      </c>
      <c r="J2579" s="328" t="s">
        <v>757</v>
      </c>
      <c r="K2579" s="328" t="s">
        <v>741</v>
      </c>
      <c r="L2579" s="329">
        <v>44104</v>
      </c>
      <c r="M2579" s="332">
        <v>0</v>
      </c>
    </row>
    <row r="2580" spans="1:13" hidden="1" x14ac:dyDescent="0.25">
      <c r="A2580" s="329">
        <v>44105</v>
      </c>
      <c r="B2580" s="328" t="s">
        <v>1701</v>
      </c>
      <c r="C2580" s="328" t="s">
        <v>769</v>
      </c>
      <c r="D2580" s="330">
        <v>4</v>
      </c>
      <c r="E2580" s="331">
        <v>16.5</v>
      </c>
      <c r="F2580" s="331">
        <v>25956</v>
      </c>
      <c r="G2580" s="328" t="s">
        <v>1702</v>
      </c>
      <c r="H2580" s="328" t="s">
        <v>1772</v>
      </c>
      <c r="I2580" s="328" t="s">
        <v>110</v>
      </c>
      <c r="J2580" s="328" t="s">
        <v>757</v>
      </c>
      <c r="K2580" s="328" t="s">
        <v>770</v>
      </c>
      <c r="L2580" s="329">
        <v>44105</v>
      </c>
      <c r="M2580" s="332">
        <v>0</v>
      </c>
    </row>
    <row r="2581" spans="1:13" hidden="1" x14ac:dyDescent="0.25">
      <c r="A2581" s="329">
        <v>44135</v>
      </c>
      <c r="B2581" s="328" t="s">
        <v>1703</v>
      </c>
      <c r="C2581" s="328" t="s">
        <v>1060</v>
      </c>
      <c r="D2581" s="330">
        <v>4</v>
      </c>
      <c r="E2581" s="331">
        <v>11</v>
      </c>
      <c r="F2581" s="331">
        <v>25967</v>
      </c>
      <c r="G2581" s="328" t="s">
        <v>1704</v>
      </c>
      <c r="H2581" s="328" t="s">
        <v>1772</v>
      </c>
      <c r="I2581" s="328" t="s">
        <v>110</v>
      </c>
      <c r="J2581" s="328" t="s">
        <v>757</v>
      </c>
      <c r="K2581" s="328" t="s">
        <v>741</v>
      </c>
      <c r="L2581" s="329">
        <v>44135</v>
      </c>
      <c r="M2581" s="332">
        <v>0</v>
      </c>
    </row>
    <row r="2582" spans="1:13" hidden="1" x14ac:dyDescent="0.25">
      <c r="A2582" s="329">
        <v>44135</v>
      </c>
      <c r="B2582" s="328" t="s">
        <v>1703</v>
      </c>
      <c r="C2582" s="328" t="s">
        <v>1060</v>
      </c>
      <c r="D2582" s="330">
        <v>5</v>
      </c>
      <c r="E2582" s="331">
        <v>-11</v>
      </c>
      <c r="F2582" s="331">
        <v>25956</v>
      </c>
      <c r="G2582" s="328" t="s">
        <v>1704</v>
      </c>
      <c r="H2582" s="328" t="s">
        <v>1772</v>
      </c>
      <c r="I2582" s="328" t="s">
        <v>110</v>
      </c>
      <c r="J2582" s="328" t="s">
        <v>757</v>
      </c>
      <c r="K2582" s="328" t="s">
        <v>741</v>
      </c>
      <c r="L2582" s="329">
        <v>44135</v>
      </c>
      <c r="M2582" s="332">
        <v>0</v>
      </c>
    </row>
    <row r="2583" spans="1:13" hidden="1" x14ac:dyDescent="0.25">
      <c r="A2583" s="329">
        <v>44135</v>
      </c>
      <c r="B2583" s="328" t="s">
        <v>1705</v>
      </c>
      <c r="C2583" s="328" t="s">
        <v>769</v>
      </c>
      <c r="D2583" s="330">
        <v>5</v>
      </c>
      <c r="E2583" s="331">
        <v>11</v>
      </c>
      <c r="F2583" s="331">
        <v>25967</v>
      </c>
      <c r="G2583" s="328" t="s">
        <v>1706</v>
      </c>
      <c r="H2583" s="328" t="s">
        <v>1772</v>
      </c>
      <c r="I2583" s="328" t="s">
        <v>110</v>
      </c>
      <c r="J2583" s="328" t="s">
        <v>757</v>
      </c>
      <c r="K2583" s="328" t="s">
        <v>770</v>
      </c>
      <c r="L2583" s="329">
        <v>44135</v>
      </c>
      <c r="M2583" s="332">
        <v>0</v>
      </c>
    </row>
    <row r="2584" spans="1:13" hidden="1" x14ac:dyDescent="0.25">
      <c r="A2584" s="329">
        <v>44165</v>
      </c>
      <c r="B2584" s="328" t="s">
        <v>1707</v>
      </c>
      <c r="C2584" s="328" t="s">
        <v>1060</v>
      </c>
      <c r="D2584" s="330">
        <v>5</v>
      </c>
      <c r="E2584" s="331">
        <v>11</v>
      </c>
      <c r="F2584" s="331">
        <v>25978</v>
      </c>
      <c r="G2584" s="328" t="s">
        <v>1708</v>
      </c>
      <c r="H2584" s="328" t="s">
        <v>1772</v>
      </c>
      <c r="I2584" s="328" t="s">
        <v>110</v>
      </c>
      <c r="J2584" s="328" t="s">
        <v>757</v>
      </c>
      <c r="K2584" s="328" t="s">
        <v>741</v>
      </c>
      <c r="L2584" s="329">
        <v>44165</v>
      </c>
      <c r="M2584" s="332">
        <v>0</v>
      </c>
    </row>
    <row r="2585" spans="1:13" hidden="1" x14ac:dyDescent="0.25">
      <c r="A2585" s="329">
        <v>44165</v>
      </c>
      <c r="B2585" s="328" t="s">
        <v>1707</v>
      </c>
      <c r="C2585" s="328" t="s">
        <v>1060</v>
      </c>
      <c r="D2585" s="330">
        <v>6</v>
      </c>
      <c r="E2585" s="331">
        <v>-11</v>
      </c>
      <c r="F2585" s="331">
        <v>25967</v>
      </c>
      <c r="G2585" s="328" t="s">
        <v>1708</v>
      </c>
      <c r="H2585" s="328" t="s">
        <v>1772</v>
      </c>
      <c r="I2585" s="328" t="s">
        <v>110</v>
      </c>
      <c r="J2585" s="328" t="s">
        <v>757</v>
      </c>
      <c r="K2585" s="328" t="s">
        <v>741</v>
      </c>
      <c r="L2585" s="329">
        <v>44165</v>
      </c>
      <c r="M2585" s="332">
        <v>0</v>
      </c>
    </row>
    <row r="2586" spans="1:13" hidden="1" x14ac:dyDescent="0.25">
      <c r="A2586" s="329">
        <v>44165</v>
      </c>
      <c r="B2586" s="328" t="s">
        <v>1709</v>
      </c>
      <c r="C2586" s="328" t="s">
        <v>769</v>
      </c>
      <c r="D2586" s="330">
        <v>6</v>
      </c>
      <c r="E2586" s="331">
        <v>11</v>
      </c>
      <c r="F2586" s="331">
        <v>25978</v>
      </c>
      <c r="G2586" s="328" t="s">
        <v>1710</v>
      </c>
      <c r="H2586" s="328" t="s">
        <v>1772</v>
      </c>
      <c r="I2586" s="328" t="s">
        <v>110</v>
      </c>
      <c r="J2586" s="328" t="s">
        <v>757</v>
      </c>
      <c r="K2586" s="328" t="s">
        <v>770</v>
      </c>
      <c r="L2586" s="329">
        <v>44165</v>
      </c>
      <c r="M2586" s="332">
        <v>0</v>
      </c>
    </row>
    <row r="2587" spans="1:13" hidden="1" x14ac:dyDescent="0.25">
      <c r="A2587" s="329">
        <v>44196</v>
      </c>
      <c r="B2587" s="328" t="s">
        <v>1711</v>
      </c>
      <c r="C2587" s="328" t="s">
        <v>1060</v>
      </c>
      <c r="D2587" s="330">
        <v>6</v>
      </c>
      <c r="E2587" s="331">
        <v>11</v>
      </c>
      <c r="F2587" s="331">
        <v>25989</v>
      </c>
      <c r="G2587" s="328" t="s">
        <v>1712</v>
      </c>
      <c r="H2587" s="328" t="s">
        <v>1772</v>
      </c>
      <c r="I2587" s="328" t="s">
        <v>110</v>
      </c>
      <c r="J2587" s="328" t="s">
        <v>757</v>
      </c>
      <c r="K2587" s="328" t="s">
        <v>741</v>
      </c>
      <c r="L2587" s="329">
        <v>44196</v>
      </c>
      <c r="M2587" s="332">
        <v>0</v>
      </c>
    </row>
    <row r="2588" spans="1:13" hidden="1" x14ac:dyDescent="0.25">
      <c r="A2588" s="329">
        <v>44196</v>
      </c>
      <c r="B2588" s="328" t="s">
        <v>1711</v>
      </c>
      <c r="C2588" s="328" t="s">
        <v>1060</v>
      </c>
      <c r="D2588" s="330">
        <v>7</v>
      </c>
      <c r="E2588" s="331">
        <v>-11</v>
      </c>
      <c r="F2588" s="331">
        <v>25978</v>
      </c>
      <c r="G2588" s="328" t="s">
        <v>1712</v>
      </c>
      <c r="H2588" s="328" t="s">
        <v>1772</v>
      </c>
      <c r="I2588" s="328" t="s">
        <v>110</v>
      </c>
      <c r="J2588" s="328" t="s">
        <v>757</v>
      </c>
      <c r="K2588" s="328" t="s">
        <v>741</v>
      </c>
      <c r="L2588" s="329">
        <v>44196</v>
      </c>
      <c r="M2588" s="332">
        <v>0</v>
      </c>
    </row>
    <row r="2589" spans="1:13" hidden="1" x14ac:dyDescent="0.25">
      <c r="A2589" s="329">
        <v>44196</v>
      </c>
      <c r="B2589" s="328" t="s">
        <v>1713</v>
      </c>
      <c r="C2589" s="328" t="s">
        <v>769</v>
      </c>
      <c r="D2589" s="330">
        <v>7</v>
      </c>
      <c r="E2589" s="331">
        <v>11</v>
      </c>
      <c r="F2589" s="331">
        <v>25989</v>
      </c>
      <c r="G2589" s="328" t="s">
        <v>1714</v>
      </c>
      <c r="H2589" s="328" t="s">
        <v>1772</v>
      </c>
      <c r="I2589" s="328" t="s">
        <v>110</v>
      </c>
      <c r="J2589" s="328" t="s">
        <v>757</v>
      </c>
      <c r="K2589" s="328" t="s">
        <v>770</v>
      </c>
      <c r="L2589" s="329">
        <v>44196</v>
      </c>
      <c r="M2589" s="332">
        <v>0</v>
      </c>
    </row>
    <row r="2590" spans="1:13" hidden="1" x14ac:dyDescent="0.25">
      <c r="A2590" s="329">
        <v>44227</v>
      </c>
      <c r="B2590" s="328" t="s">
        <v>1715</v>
      </c>
      <c r="C2590" s="328" t="s">
        <v>1060</v>
      </c>
      <c r="D2590" s="330">
        <v>7</v>
      </c>
      <c r="E2590" s="331">
        <v>11</v>
      </c>
      <c r="F2590" s="331">
        <v>26000</v>
      </c>
      <c r="G2590" s="328" t="s">
        <v>1716</v>
      </c>
      <c r="H2590" s="328" t="s">
        <v>1772</v>
      </c>
      <c r="I2590" s="328" t="s">
        <v>110</v>
      </c>
      <c r="J2590" s="328" t="s">
        <v>757</v>
      </c>
      <c r="K2590" s="328" t="s">
        <v>741</v>
      </c>
      <c r="L2590" s="329">
        <v>44227</v>
      </c>
      <c r="M2590" s="332">
        <v>0</v>
      </c>
    </row>
    <row r="2591" spans="1:13" hidden="1" x14ac:dyDescent="0.25">
      <c r="A2591" s="329">
        <v>44227</v>
      </c>
      <c r="B2591" s="328" t="s">
        <v>1715</v>
      </c>
      <c r="C2591" s="328" t="s">
        <v>1060</v>
      </c>
      <c r="D2591" s="330">
        <v>8</v>
      </c>
      <c r="E2591" s="331">
        <v>-11</v>
      </c>
      <c r="F2591" s="331">
        <v>25989</v>
      </c>
      <c r="G2591" s="328" t="s">
        <v>1716</v>
      </c>
      <c r="H2591" s="328" t="s">
        <v>1772</v>
      </c>
      <c r="I2591" s="328" t="s">
        <v>110</v>
      </c>
      <c r="J2591" s="328" t="s">
        <v>757</v>
      </c>
      <c r="K2591" s="328" t="s">
        <v>741</v>
      </c>
      <c r="L2591" s="329">
        <v>44227</v>
      </c>
      <c r="M2591" s="332">
        <v>0</v>
      </c>
    </row>
    <row r="2592" spans="1:13" hidden="1" x14ac:dyDescent="0.25">
      <c r="A2592" s="329">
        <v>44227</v>
      </c>
      <c r="B2592" s="328" t="s">
        <v>1717</v>
      </c>
      <c r="C2592" s="328" t="s">
        <v>769</v>
      </c>
      <c r="D2592" s="330">
        <v>8</v>
      </c>
      <c r="E2592" s="331">
        <v>11</v>
      </c>
      <c r="F2592" s="331">
        <v>26000</v>
      </c>
      <c r="G2592" s="328" t="s">
        <v>1718</v>
      </c>
      <c r="H2592" s="328" t="s">
        <v>1772</v>
      </c>
      <c r="I2592" s="328" t="s">
        <v>110</v>
      </c>
      <c r="J2592" s="328" t="s">
        <v>757</v>
      </c>
      <c r="K2592" s="328" t="s">
        <v>770</v>
      </c>
      <c r="L2592" s="329">
        <v>44227</v>
      </c>
      <c r="M2592" s="332">
        <v>0</v>
      </c>
    </row>
    <row r="2593" spans="1:13" hidden="1" x14ac:dyDescent="0.25">
      <c r="A2593" s="329">
        <v>44255</v>
      </c>
      <c r="B2593" s="328" t="s">
        <v>1720</v>
      </c>
      <c r="C2593" s="328" t="s">
        <v>1060</v>
      </c>
      <c r="D2593" s="330">
        <v>8</v>
      </c>
      <c r="E2593" s="331">
        <v>11</v>
      </c>
      <c r="F2593" s="331">
        <v>26011</v>
      </c>
      <c r="G2593" s="328" t="s">
        <v>1721</v>
      </c>
      <c r="H2593" s="328" t="s">
        <v>1772</v>
      </c>
      <c r="I2593" s="328" t="s">
        <v>110</v>
      </c>
      <c r="J2593" s="328" t="s">
        <v>757</v>
      </c>
      <c r="K2593" s="328" t="s">
        <v>741</v>
      </c>
      <c r="L2593" s="329">
        <v>44255</v>
      </c>
      <c r="M2593" s="332">
        <v>0</v>
      </c>
    </row>
    <row r="2594" spans="1:13" hidden="1" x14ac:dyDescent="0.25">
      <c r="A2594" s="329">
        <v>44255</v>
      </c>
      <c r="B2594" s="328" t="s">
        <v>1720</v>
      </c>
      <c r="C2594" s="328" t="s">
        <v>1060</v>
      </c>
      <c r="D2594" s="330">
        <v>9</v>
      </c>
      <c r="E2594" s="331">
        <v>-11</v>
      </c>
      <c r="F2594" s="331">
        <v>26000</v>
      </c>
      <c r="G2594" s="328" t="s">
        <v>1721</v>
      </c>
      <c r="H2594" s="328" t="s">
        <v>1772</v>
      </c>
      <c r="I2594" s="328" t="s">
        <v>110</v>
      </c>
      <c r="J2594" s="328" t="s">
        <v>757</v>
      </c>
      <c r="K2594" s="328" t="s">
        <v>741</v>
      </c>
      <c r="L2594" s="329">
        <v>44255</v>
      </c>
      <c r="M2594" s="332">
        <v>0</v>
      </c>
    </row>
    <row r="2595" spans="1:13" hidden="1" x14ac:dyDescent="0.25">
      <c r="A2595" s="329">
        <v>44255</v>
      </c>
      <c r="B2595" s="328" t="s">
        <v>1722</v>
      </c>
      <c r="C2595" s="328" t="s">
        <v>769</v>
      </c>
      <c r="D2595" s="330">
        <v>9</v>
      </c>
      <c r="E2595" s="331">
        <v>16.5</v>
      </c>
      <c r="F2595" s="331">
        <v>26016.5</v>
      </c>
      <c r="G2595" s="328" t="s">
        <v>1723</v>
      </c>
      <c r="H2595" s="328" t="s">
        <v>1772</v>
      </c>
      <c r="I2595" s="328" t="s">
        <v>110</v>
      </c>
      <c r="J2595" s="328" t="s">
        <v>757</v>
      </c>
      <c r="K2595" s="328" t="s">
        <v>770</v>
      </c>
      <c r="L2595" s="329">
        <v>44255</v>
      </c>
      <c r="M2595" s="332">
        <v>0</v>
      </c>
    </row>
    <row r="2596" spans="1:13" hidden="1" x14ac:dyDescent="0.25">
      <c r="A2596" s="329">
        <v>44286</v>
      </c>
      <c r="B2596" s="328" t="s">
        <v>1724</v>
      </c>
      <c r="C2596" s="328" t="s">
        <v>1060</v>
      </c>
      <c r="D2596" s="330">
        <v>9</v>
      </c>
      <c r="E2596" s="331">
        <v>11</v>
      </c>
      <c r="F2596" s="331">
        <v>26027.5</v>
      </c>
      <c r="G2596" s="328" t="s">
        <v>1725</v>
      </c>
      <c r="H2596" s="328" t="s">
        <v>1772</v>
      </c>
      <c r="I2596" s="328" t="s">
        <v>110</v>
      </c>
      <c r="J2596" s="328" t="s">
        <v>757</v>
      </c>
      <c r="K2596" s="328" t="s">
        <v>741</v>
      </c>
      <c r="L2596" s="329">
        <v>44286</v>
      </c>
      <c r="M2596" s="332">
        <v>0</v>
      </c>
    </row>
    <row r="2597" spans="1:13" hidden="1" x14ac:dyDescent="0.25">
      <c r="A2597" s="329">
        <v>44286</v>
      </c>
      <c r="B2597" s="328" t="s">
        <v>1726</v>
      </c>
      <c r="C2597" s="328" t="s">
        <v>769</v>
      </c>
      <c r="D2597" s="330">
        <v>10</v>
      </c>
      <c r="E2597" s="331">
        <v>11</v>
      </c>
      <c r="F2597" s="331">
        <v>26038.5</v>
      </c>
      <c r="G2597" s="328" t="s">
        <v>1727</v>
      </c>
      <c r="H2597" s="328" t="s">
        <v>1772</v>
      </c>
      <c r="I2597" s="328" t="s">
        <v>110</v>
      </c>
      <c r="J2597" s="328" t="s">
        <v>757</v>
      </c>
      <c r="K2597" s="328" t="s">
        <v>770</v>
      </c>
      <c r="L2597" s="329">
        <v>44286</v>
      </c>
      <c r="M2597" s="332">
        <v>0</v>
      </c>
    </row>
    <row r="2598" spans="1:13" hidden="1" x14ac:dyDescent="0.25">
      <c r="A2598" s="329">
        <v>44286</v>
      </c>
      <c r="B2598" s="328" t="s">
        <v>1724</v>
      </c>
      <c r="C2598" s="328" t="s">
        <v>1060</v>
      </c>
      <c r="D2598" s="330">
        <v>10</v>
      </c>
      <c r="E2598" s="331">
        <v>-11</v>
      </c>
      <c r="F2598" s="331">
        <v>26027.5</v>
      </c>
      <c r="G2598" s="328" t="s">
        <v>1725</v>
      </c>
      <c r="H2598" s="328" t="s">
        <v>1772</v>
      </c>
      <c r="I2598" s="328" t="s">
        <v>110</v>
      </c>
      <c r="J2598" s="328" t="s">
        <v>757</v>
      </c>
      <c r="K2598" s="328" t="s">
        <v>741</v>
      </c>
      <c r="L2598" s="329">
        <v>44286</v>
      </c>
      <c r="M2598" s="332">
        <v>0</v>
      </c>
    </row>
    <row r="2599" spans="1:13" hidden="1" x14ac:dyDescent="0.25">
      <c r="A2599" s="329">
        <v>44135</v>
      </c>
      <c r="B2599" s="328" t="s">
        <v>1703</v>
      </c>
      <c r="C2599" s="328" t="s">
        <v>1060</v>
      </c>
      <c r="D2599" s="330">
        <v>4</v>
      </c>
      <c r="E2599" s="331">
        <v>16.5</v>
      </c>
      <c r="F2599" s="331">
        <v>26044</v>
      </c>
      <c r="G2599" s="328" t="s">
        <v>1704</v>
      </c>
      <c r="H2599" s="328" t="s">
        <v>1773</v>
      </c>
      <c r="I2599" s="328" t="s">
        <v>110</v>
      </c>
      <c r="J2599" s="328" t="s">
        <v>757</v>
      </c>
      <c r="K2599" s="328" t="s">
        <v>741</v>
      </c>
      <c r="L2599" s="329">
        <v>44135</v>
      </c>
      <c r="M2599" s="332">
        <v>0</v>
      </c>
    </row>
    <row r="2600" spans="1:13" hidden="1" x14ac:dyDescent="0.25">
      <c r="A2600" s="329">
        <v>44135</v>
      </c>
      <c r="B2600" s="328" t="s">
        <v>1703</v>
      </c>
      <c r="C2600" s="328" t="s">
        <v>1060</v>
      </c>
      <c r="D2600" s="330">
        <v>5</v>
      </c>
      <c r="E2600" s="331">
        <v>-16.5</v>
      </c>
      <c r="F2600" s="331">
        <v>26027.5</v>
      </c>
      <c r="G2600" s="328" t="s">
        <v>1704</v>
      </c>
      <c r="H2600" s="328" t="s">
        <v>1773</v>
      </c>
      <c r="I2600" s="328" t="s">
        <v>110</v>
      </c>
      <c r="J2600" s="328" t="s">
        <v>757</v>
      </c>
      <c r="K2600" s="328" t="s">
        <v>741</v>
      </c>
      <c r="L2600" s="329">
        <v>44135</v>
      </c>
      <c r="M2600" s="332">
        <v>0</v>
      </c>
    </row>
    <row r="2601" spans="1:13" hidden="1" x14ac:dyDescent="0.25">
      <c r="A2601" s="329">
        <v>44135</v>
      </c>
      <c r="B2601" s="328" t="s">
        <v>1705</v>
      </c>
      <c r="C2601" s="328" t="s">
        <v>769</v>
      </c>
      <c r="D2601" s="330">
        <v>5</v>
      </c>
      <c r="E2601" s="331">
        <v>16.5</v>
      </c>
      <c r="F2601" s="331">
        <v>26044</v>
      </c>
      <c r="G2601" s="328" t="s">
        <v>1706</v>
      </c>
      <c r="H2601" s="328" t="s">
        <v>1773</v>
      </c>
      <c r="I2601" s="328" t="s">
        <v>110</v>
      </c>
      <c r="J2601" s="328" t="s">
        <v>757</v>
      </c>
      <c r="K2601" s="328" t="s">
        <v>770</v>
      </c>
      <c r="L2601" s="329">
        <v>44135</v>
      </c>
      <c r="M2601" s="332">
        <v>0</v>
      </c>
    </row>
    <row r="2602" spans="1:13" hidden="1" x14ac:dyDescent="0.25">
      <c r="A2602" s="329">
        <v>44165</v>
      </c>
      <c r="B2602" s="328" t="s">
        <v>1707</v>
      </c>
      <c r="C2602" s="328" t="s">
        <v>1060</v>
      </c>
      <c r="D2602" s="330">
        <v>5</v>
      </c>
      <c r="E2602" s="331">
        <v>16.5</v>
      </c>
      <c r="F2602" s="331">
        <v>26060.5</v>
      </c>
      <c r="G2602" s="328" t="s">
        <v>1708</v>
      </c>
      <c r="H2602" s="328" t="s">
        <v>1773</v>
      </c>
      <c r="I2602" s="328" t="s">
        <v>110</v>
      </c>
      <c r="J2602" s="328" t="s">
        <v>757</v>
      </c>
      <c r="K2602" s="328" t="s">
        <v>741</v>
      </c>
      <c r="L2602" s="329">
        <v>44165</v>
      </c>
      <c r="M2602" s="332">
        <v>0</v>
      </c>
    </row>
    <row r="2603" spans="1:13" hidden="1" x14ac:dyDescent="0.25">
      <c r="A2603" s="329">
        <v>44165</v>
      </c>
      <c r="B2603" s="328" t="s">
        <v>1707</v>
      </c>
      <c r="C2603" s="328" t="s">
        <v>1060</v>
      </c>
      <c r="D2603" s="330">
        <v>6</v>
      </c>
      <c r="E2603" s="331">
        <v>-16.5</v>
      </c>
      <c r="F2603" s="331">
        <v>26044</v>
      </c>
      <c r="G2603" s="328" t="s">
        <v>1708</v>
      </c>
      <c r="H2603" s="328" t="s">
        <v>1773</v>
      </c>
      <c r="I2603" s="328" t="s">
        <v>110</v>
      </c>
      <c r="J2603" s="328" t="s">
        <v>757</v>
      </c>
      <c r="K2603" s="328" t="s">
        <v>741</v>
      </c>
      <c r="L2603" s="329">
        <v>44165</v>
      </c>
      <c r="M2603" s="332">
        <v>0</v>
      </c>
    </row>
    <row r="2604" spans="1:13" hidden="1" x14ac:dyDescent="0.25">
      <c r="A2604" s="329">
        <v>44165</v>
      </c>
      <c r="B2604" s="328" t="s">
        <v>1709</v>
      </c>
      <c r="C2604" s="328" t="s">
        <v>769</v>
      </c>
      <c r="D2604" s="330">
        <v>6</v>
      </c>
      <c r="E2604" s="331">
        <v>16.5</v>
      </c>
      <c r="F2604" s="331">
        <v>26060.5</v>
      </c>
      <c r="G2604" s="328" t="s">
        <v>1710</v>
      </c>
      <c r="H2604" s="328" t="s">
        <v>1773</v>
      </c>
      <c r="I2604" s="328" t="s">
        <v>110</v>
      </c>
      <c r="J2604" s="328" t="s">
        <v>757</v>
      </c>
      <c r="K2604" s="328" t="s">
        <v>770</v>
      </c>
      <c r="L2604" s="329">
        <v>44165</v>
      </c>
      <c r="M2604" s="332">
        <v>0</v>
      </c>
    </row>
    <row r="2605" spans="1:13" hidden="1" x14ac:dyDescent="0.25">
      <c r="A2605" s="329">
        <v>44196</v>
      </c>
      <c r="B2605" s="328" t="s">
        <v>1711</v>
      </c>
      <c r="C2605" s="328" t="s">
        <v>1060</v>
      </c>
      <c r="D2605" s="330">
        <v>6</v>
      </c>
      <c r="E2605" s="331">
        <v>33</v>
      </c>
      <c r="F2605" s="331">
        <v>26093.5</v>
      </c>
      <c r="G2605" s="328" t="s">
        <v>1712</v>
      </c>
      <c r="H2605" s="328" t="s">
        <v>1773</v>
      </c>
      <c r="I2605" s="328" t="s">
        <v>110</v>
      </c>
      <c r="J2605" s="328" t="s">
        <v>757</v>
      </c>
      <c r="K2605" s="328" t="s">
        <v>741</v>
      </c>
      <c r="L2605" s="329">
        <v>44196</v>
      </c>
      <c r="M2605" s="332">
        <v>0</v>
      </c>
    </row>
    <row r="2606" spans="1:13" hidden="1" x14ac:dyDescent="0.25">
      <c r="A2606" s="329">
        <v>44196</v>
      </c>
      <c r="B2606" s="328" t="s">
        <v>1711</v>
      </c>
      <c r="C2606" s="328" t="s">
        <v>1060</v>
      </c>
      <c r="D2606" s="330">
        <v>7</v>
      </c>
      <c r="E2606" s="331">
        <v>-33</v>
      </c>
      <c r="F2606" s="331">
        <v>26060.5</v>
      </c>
      <c r="G2606" s="328" t="s">
        <v>1712</v>
      </c>
      <c r="H2606" s="328" t="s">
        <v>1773</v>
      </c>
      <c r="I2606" s="328" t="s">
        <v>110</v>
      </c>
      <c r="J2606" s="328" t="s">
        <v>757</v>
      </c>
      <c r="K2606" s="328" t="s">
        <v>741</v>
      </c>
      <c r="L2606" s="329">
        <v>44196</v>
      </c>
      <c r="M2606" s="332">
        <v>0</v>
      </c>
    </row>
    <row r="2607" spans="1:13" hidden="1" x14ac:dyDescent="0.25">
      <c r="A2607" s="329">
        <v>44196</v>
      </c>
      <c r="B2607" s="328" t="s">
        <v>1713</v>
      </c>
      <c r="C2607" s="328" t="s">
        <v>769</v>
      </c>
      <c r="D2607" s="330">
        <v>7</v>
      </c>
      <c r="E2607" s="331">
        <v>33</v>
      </c>
      <c r="F2607" s="331">
        <v>26093.5</v>
      </c>
      <c r="G2607" s="328" t="s">
        <v>1714</v>
      </c>
      <c r="H2607" s="328" t="s">
        <v>1773</v>
      </c>
      <c r="I2607" s="328" t="s">
        <v>110</v>
      </c>
      <c r="J2607" s="328" t="s">
        <v>757</v>
      </c>
      <c r="K2607" s="328" t="s">
        <v>770</v>
      </c>
      <c r="L2607" s="329">
        <v>44196</v>
      </c>
      <c r="M2607" s="332">
        <v>0</v>
      </c>
    </row>
    <row r="2608" spans="1:13" hidden="1" x14ac:dyDescent="0.25">
      <c r="A2608" s="329">
        <v>44227</v>
      </c>
      <c r="B2608" s="328" t="s">
        <v>1715</v>
      </c>
      <c r="C2608" s="328" t="s">
        <v>1060</v>
      </c>
      <c r="D2608" s="330">
        <v>7</v>
      </c>
      <c r="E2608" s="331">
        <v>27.5</v>
      </c>
      <c r="F2608" s="331">
        <v>26121</v>
      </c>
      <c r="G2608" s="328" t="s">
        <v>1716</v>
      </c>
      <c r="H2608" s="328" t="s">
        <v>1773</v>
      </c>
      <c r="I2608" s="328" t="s">
        <v>110</v>
      </c>
      <c r="J2608" s="328" t="s">
        <v>757</v>
      </c>
      <c r="K2608" s="328" t="s">
        <v>741</v>
      </c>
      <c r="L2608" s="329">
        <v>44227</v>
      </c>
      <c r="M2608" s="332">
        <v>0</v>
      </c>
    </row>
    <row r="2609" spans="1:13" hidden="1" x14ac:dyDescent="0.25">
      <c r="A2609" s="329">
        <v>44227</v>
      </c>
      <c r="B2609" s="328" t="s">
        <v>1715</v>
      </c>
      <c r="C2609" s="328" t="s">
        <v>1060</v>
      </c>
      <c r="D2609" s="330">
        <v>8</v>
      </c>
      <c r="E2609" s="331">
        <v>-27.5</v>
      </c>
      <c r="F2609" s="331">
        <v>26093.5</v>
      </c>
      <c r="G2609" s="328" t="s">
        <v>1716</v>
      </c>
      <c r="H2609" s="328" t="s">
        <v>1773</v>
      </c>
      <c r="I2609" s="328" t="s">
        <v>110</v>
      </c>
      <c r="J2609" s="328" t="s">
        <v>757</v>
      </c>
      <c r="K2609" s="328" t="s">
        <v>741</v>
      </c>
      <c r="L2609" s="329">
        <v>44227</v>
      </c>
      <c r="M2609" s="332">
        <v>0</v>
      </c>
    </row>
    <row r="2610" spans="1:13" hidden="1" x14ac:dyDescent="0.25">
      <c r="A2610" s="329">
        <v>44227</v>
      </c>
      <c r="B2610" s="328" t="s">
        <v>1717</v>
      </c>
      <c r="C2610" s="328" t="s">
        <v>769</v>
      </c>
      <c r="D2610" s="330">
        <v>8</v>
      </c>
      <c r="E2610" s="331">
        <v>27.5</v>
      </c>
      <c r="F2610" s="331">
        <v>26121</v>
      </c>
      <c r="G2610" s="328" t="s">
        <v>1718</v>
      </c>
      <c r="H2610" s="328" t="s">
        <v>1773</v>
      </c>
      <c r="I2610" s="328" t="s">
        <v>110</v>
      </c>
      <c r="J2610" s="328" t="s">
        <v>757</v>
      </c>
      <c r="K2610" s="328" t="s">
        <v>770</v>
      </c>
      <c r="L2610" s="329">
        <v>44227</v>
      </c>
      <c r="M2610" s="332">
        <v>0</v>
      </c>
    </row>
    <row r="2611" spans="1:13" hidden="1" x14ac:dyDescent="0.25">
      <c r="A2611" s="329">
        <v>44255</v>
      </c>
      <c r="B2611" s="328" t="s">
        <v>1720</v>
      </c>
      <c r="C2611" s="328" t="s">
        <v>1060</v>
      </c>
      <c r="D2611" s="330">
        <v>8</v>
      </c>
      <c r="E2611" s="331">
        <v>33</v>
      </c>
      <c r="F2611" s="331">
        <v>26154</v>
      </c>
      <c r="G2611" s="328" t="s">
        <v>1721</v>
      </c>
      <c r="H2611" s="328" t="s">
        <v>1773</v>
      </c>
      <c r="I2611" s="328" t="s">
        <v>110</v>
      </c>
      <c r="J2611" s="328" t="s">
        <v>757</v>
      </c>
      <c r="K2611" s="328" t="s">
        <v>741</v>
      </c>
      <c r="L2611" s="329">
        <v>44255</v>
      </c>
      <c r="M2611" s="332">
        <v>0</v>
      </c>
    </row>
    <row r="2612" spans="1:13" hidden="1" x14ac:dyDescent="0.25">
      <c r="A2612" s="329">
        <v>44255</v>
      </c>
      <c r="B2612" s="328" t="s">
        <v>1720</v>
      </c>
      <c r="C2612" s="328" t="s">
        <v>1060</v>
      </c>
      <c r="D2612" s="330">
        <v>9</v>
      </c>
      <c r="E2612" s="331">
        <v>-33</v>
      </c>
      <c r="F2612" s="331">
        <v>26121</v>
      </c>
      <c r="G2612" s="328" t="s">
        <v>1721</v>
      </c>
      <c r="H2612" s="328" t="s">
        <v>1773</v>
      </c>
      <c r="I2612" s="328" t="s">
        <v>110</v>
      </c>
      <c r="J2612" s="328" t="s">
        <v>757</v>
      </c>
      <c r="K2612" s="328" t="s">
        <v>741</v>
      </c>
      <c r="L2612" s="329">
        <v>44255</v>
      </c>
      <c r="M2612" s="332">
        <v>0</v>
      </c>
    </row>
    <row r="2613" spans="1:13" hidden="1" x14ac:dyDescent="0.25">
      <c r="A2613" s="329">
        <v>44255</v>
      </c>
      <c r="B2613" s="328" t="s">
        <v>1722</v>
      </c>
      <c r="C2613" s="328" t="s">
        <v>769</v>
      </c>
      <c r="D2613" s="330">
        <v>9</v>
      </c>
      <c r="E2613" s="331">
        <v>38.5</v>
      </c>
      <c r="F2613" s="331">
        <v>26159.5</v>
      </c>
      <c r="G2613" s="328" t="s">
        <v>1723</v>
      </c>
      <c r="H2613" s="328" t="s">
        <v>1773</v>
      </c>
      <c r="I2613" s="328" t="s">
        <v>110</v>
      </c>
      <c r="J2613" s="328" t="s">
        <v>757</v>
      </c>
      <c r="K2613" s="328" t="s">
        <v>770</v>
      </c>
      <c r="L2613" s="329">
        <v>44255</v>
      </c>
      <c r="M2613" s="332">
        <v>0</v>
      </c>
    </row>
    <row r="2614" spans="1:13" hidden="1" x14ac:dyDescent="0.25">
      <c r="A2614" s="329">
        <v>44286</v>
      </c>
      <c r="B2614" s="328" t="s">
        <v>1724</v>
      </c>
      <c r="C2614" s="328" t="s">
        <v>1060</v>
      </c>
      <c r="D2614" s="330">
        <v>9</v>
      </c>
      <c r="E2614" s="331">
        <v>49.5</v>
      </c>
      <c r="F2614" s="331">
        <v>26209</v>
      </c>
      <c r="G2614" s="328" t="s">
        <v>1725</v>
      </c>
      <c r="H2614" s="328" t="s">
        <v>1773</v>
      </c>
      <c r="I2614" s="328" t="s">
        <v>110</v>
      </c>
      <c r="J2614" s="328" t="s">
        <v>757</v>
      </c>
      <c r="K2614" s="328" t="s">
        <v>741</v>
      </c>
      <c r="L2614" s="329">
        <v>44286</v>
      </c>
      <c r="M2614" s="332">
        <v>0</v>
      </c>
    </row>
    <row r="2615" spans="1:13" hidden="1" x14ac:dyDescent="0.25">
      <c r="A2615" s="329">
        <v>44286</v>
      </c>
      <c r="B2615" s="328" t="s">
        <v>1726</v>
      </c>
      <c r="C2615" s="328" t="s">
        <v>769</v>
      </c>
      <c r="D2615" s="330">
        <v>10</v>
      </c>
      <c r="E2615" s="331">
        <v>49.5</v>
      </c>
      <c r="F2615" s="331">
        <v>26258.5</v>
      </c>
      <c r="G2615" s="328" t="s">
        <v>1727</v>
      </c>
      <c r="H2615" s="328" t="s">
        <v>1773</v>
      </c>
      <c r="I2615" s="328" t="s">
        <v>110</v>
      </c>
      <c r="J2615" s="328" t="s">
        <v>757</v>
      </c>
      <c r="K2615" s="328" t="s">
        <v>770</v>
      </c>
      <c r="L2615" s="329">
        <v>44286</v>
      </c>
      <c r="M2615" s="332">
        <v>0</v>
      </c>
    </row>
    <row r="2616" spans="1:13" hidden="1" x14ac:dyDescent="0.25">
      <c r="A2616" s="329">
        <v>44286</v>
      </c>
      <c r="B2616" s="328" t="s">
        <v>1724</v>
      </c>
      <c r="C2616" s="328" t="s">
        <v>1060</v>
      </c>
      <c r="D2616" s="330">
        <v>10</v>
      </c>
      <c r="E2616" s="331">
        <v>-49.5</v>
      </c>
      <c r="F2616" s="331">
        <v>26209</v>
      </c>
      <c r="G2616" s="328" t="s">
        <v>1725</v>
      </c>
      <c r="H2616" s="328" t="s">
        <v>1773</v>
      </c>
      <c r="I2616" s="328" t="s">
        <v>110</v>
      </c>
      <c r="J2616" s="328" t="s">
        <v>757</v>
      </c>
      <c r="K2616" s="328" t="s">
        <v>741</v>
      </c>
      <c r="L2616" s="329">
        <v>44286</v>
      </c>
      <c r="M2616" s="332">
        <v>0</v>
      </c>
    </row>
    <row r="2617" spans="1:13" hidden="1" x14ac:dyDescent="0.25">
      <c r="A2617" s="329">
        <v>44316</v>
      </c>
      <c r="B2617" s="328" t="s">
        <v>1728</v>
      </c>
      <c r="C2617" s="328" t="s">
        <v>1060</v>
      </c>
      <c r="D2617" s="330">
        <v>10</v>
      </c>
      <c r="E2617" s="331">
        <v>27.5</v>
      </c>
      <c r="F2617" s="331">
        <v>26236.5</v>
      </c>
      <c r="G2617" s="328" t="s">
        <v>1729</v>
      </c>
      <c r="H2617" s="328" t="s">
        <v>1773</v>
      </c>
      <c r="I2617" s="328" t="s">
        <v>110</v>
      </c>
      <c r="J2617" s="328" t="s">
        <v>757</v>
      </c>
      <c r="K2617" s="328" t="s">
        <v>741</v>
      </c>
      <c r="L2617" s="329">
        <v>44316</v>
      </c>
      <c r="M2617" s="332">
        <v>0</v>
      </c>
    </row>
    <row r="2618" spans="1:13" hidden="1" x14ac:dyDescent="0.25">
      <c r="A2618" s="329">
        <v>44012</v>
      </c>
      <c r="B2618" s="328" t="s">
        <v>1678</v>
      </c>
      <c r="C2618" s="328" t="s">
        <v>769</v>
      </c>
      <c r="D2618" s="330">
        <v>1</v>
      </c>
      <c r="E2618" s="331">
        <v>165</v>
      </c>
      <c r="F2618" s="331">
        <v>26401.5</v>
      </c>
      <c r="G2618" s="328" t="s">
        <v>1679</v>
      </c>
      <c r="H2618" s="328" t="s">
        <v>1774</v>
      </c>
      <c r="I2618" s="328" t="s">
        <v>110</v>
      </c>
      <c r="J2618" s="328" t="s">
        <v>757</v>
      </c>
      <c r="K2618" s="328" t="s">
        <v>770</v>
      </c>
      <c r="L2618" s="329">
        <v>44012</v>
      </c>
      <c r="M2618" s="332">
        <v>0</v>
      </c>
    </row>
    <row r="2619" spans="1:13" hidden="1" x14ac:dyDescent="0.25">
      <c r="A2619" s="329">
        <v>44012</v>
      </c>
      <c r="B2619" s="328" t="s">
        <v>1681</v>
      </c>
      <c r="C2619" s="328" t="s">
        <v>1059</v>
      </c>
      <c r="D2619" s="330">
        <v>1</v>
      </c>
      <c r="E2619" s="331">
        <v>-165</v>
      </c>
      <c r="F2619" s="331">
        <v>26236.5</v>
      </c>
      <c r="G2619" s="328" t="s">
        <v>1682</v>
      </c>
      <c r="H2619" s="328" t="s">
        <v>1774</v>
      </c>
      <c r="I2619" s="328" t="s">
        <v>110</v>
      </c>
      <c r="J2619" s="328" t="s">
        <v>757</v>
      </c>
      <c r="K2619" s="328" t="s">
        <v>741</v>
      </c>
      <c r="L2619" s="329">
        <v>44012</v>
      </c>
      <c r="M2619" s="332">
        <v>0</v>
      </c>
    </row>
    <row r="2620" spans="1:13" hidden="1" x14ac:dyDescent="0.25">
      <c r="A2620" s="329">
        <v>44043</v>
      </c>
      <c r="B2620" s="328" t="s">
        <v>1685</v>
      </c>
      <c r="C2620" s="328" t="s">
        <v>1060</v>
      </c>
      <c r="D2620" s="330">
        <v>1</v>
      </c>
      <c r="E2620" s="331">
        <v>170.5</v>
      </c>
      <c r="F2620" s="331">
        <v>26407</v>
      </c>
      <c r="G2620" s="328" t="s">
        <v>1686</v>
      </c>
      <c r="H2620" s="328" t="s">
        <v>1774</v>
      </c>
      <c r="I2620" s="328" t="s">
        <v>110</v>
      </c>
      <c r="J2620" s="328" t="s">
        <v>757</v>
      </c>
      <c r="K2620" s="328" t="s">
        <v>741</v>
      </c>
      <c r="L2620" s="329">
        <v>44043</v>
      </c>
      <c r="M2620" s="332">
        <v>0</v>
      </c>
    </row>
    <row r="2621" spans="1:13" hidden="1" x14ac:dyDescent="0.25">
      <c r="A2621" s="329">
        <v>44043</v>
      </c>
      <c r="B2621" s="328" t="s">
        <v>1688</v>
      </c>
      <c r="C2621" s="328" t="s">
        <v>1060</v>
      </c>
      <c r="D2621" s="330">
        <v>1</v>
      </c>
      <c r="E2621" s="331">
        <v>-170.5</v>
      </c>
      <c r="F2621" s="331">
        <v>26236.5</v>
      </c>
      <c r="G2621" s="328" t="s">
        <v>1686</v>
      </c>
      <c r="H2621" s="328" t="s">
        <v>1774</v>
      </c>
      <c r="I2621" s="328" t="s">
        <v>110</v>
      </c>
      <c r="J2621" s="328" t="s">
        <v>757</v>
      </c>
      <c r="K2621" s="328" t="s">
        <v>741</v>
      </c>
      <c r="L2621" s="329">
        <v>44043</v>
      </c>
      <c r="M2621" s="332">
        <v>0</v>
      </c>
    </row>
    <row r="2622" spans="1:13" hidden="1" x14ac:dyDescent="0.25">
      <c r="A2622" s="329">
        <v>44043</v>
      </c>
      <c r="B2622" s="328" t="s">
        <v>1689</v>
      </c>
      <c r="C2622" s="328" t="s">
        <v>1060</v>
      </c>
      <c r="D2622" s="330">
        <v>1</v>
      </c>
      <c r="E2622" s="331">
        <v>170.5</v>
      </c>
      <c r="F2622" s="331">
        <v>26407</v>
      </c>
      <c r="G2622" s="328" t="s">
        <v>1686</v>
      </c>
      <c r="H2622" s="328" t="s">
        <v>1774</v>
      </c>
      <c r="I2622" s="328" t="s">
        <v>110</v>
      </c>
      <c r="J2622" s="328" t="s">
        <v>757</v>
      </c>
      <c r="K2622" s="328" t="s">
        <v>741</v>
      </c>
      <c r="L2622" s="329">
        <v>44043</v>
      </c>
      <c r="M2622" s="332">
        <v>0</v>
      </c>
    </row>
    <row r="2623" spans="1:13" hidden="1" x14ac:dyDescent="0.25">
      <c r="A2623" s="329">
        <v>44043</v>
      </c>
      <c r="B2623" s="328" t="s">
        <v>1691</v>
      </c>
      <c r="C2623" s="328" t="s">
        <v>769</v>
      </c>
      <c r="D2623" s="330">
        <v>2</v>
      </c>
      <c r="E2623" s="331">
        <v>170.5</v>
      </c>
      <c r="F2623" s="331">
        <v>26577.5</v>
      </c>
      <c r="G2623" s="328" t="s">
        <v>1692</v>
      </c>
      <c r="H2623" s="328" t="s">
        <v>1774</v>
      </c>
      <c r="I2623" s="328" t="s">
        <v>110</v>
      </c>
      <c r="J2623" s="328" t="s">
        <v>757</v>
      </c>
      <c r="K2623" s="328" t="s">
        <v>770</v>
      </c>
      <c r="L2623" s="329">
        <v>44043</v>
      </c>
      <c r="M2623" s="332">
        <v>0</v>
      </c>
    </row>
    <row r="2624" spans="1:13" hidden="1" x14ac:dyDescent="0.25">
      <c r="A2624" s="329">
        <v>44043</v>
      </c>
      <c r="B2624" s="328" t="s">
        <v>1685</v>
      </c>
      <c r="C2624" s="328" t="s">
        <v>1060</v>
      </c>
      <c r="D2624" s="330">
        <v>2</v>
      </c>
      <c r="E2624" s="331">
        <v>-170.5</v>
      </c>
      <c r="F2624" s="331">
        <v>26407</v>
      </c>
      <c r="G2624" s="328" t="s">
        <v>1686</v>
      </c>
      <c r="H2624" s="328" t="s">
        <v>1774</v>
      </c>
      <c r="I2624" s="328" t="s">
        <v>110</v>
      </c>
      <c r="J2624" s="328" t="s">
        <v>757</v>
      </c>
      <c r="K2624" s="328" t="s">
        <v>741</v>
      </c>
      <c r="L2624" s="329">
        <v>44043</v>
      </c>
      <c r="M2624" s="332">
        <v>0</v>
      </c>
    </row>
    <row r="2625" spans="1:13" hidden="1" x14ac:dyDescent="0.25">
      <c r="A2625" s="329">
        <v>44043</v>
      </c>
      <c r="B2625" s="328" t="s">
        <v>1688</v>
      </c>
      <c r="C2625" s="328" t="s">
        <v>1060</v>
      </c>
      <c r="D2625" s="330">
        <v>2</v>
      </c>
      <c r="E2625" s="331">
        <v>170.5</v>
      </c>
      <c r="F2625" s="331">
        <v>26577.5</v>
      </c>
      <c r="G2625" s="328" t="s">
        <v>1686</v>
      </c>
      <c r="H2625" s="328" t="s">
        <v>1774</v>
      </c>
      <c r="I2625" s="328" t="s">
        <v>110</v>
      </c>
      <c r="J2625" s="328" t="s">
        <v>757</v>
      </c>
      <c r="K2625" s="328" t="s">
        <v>741</v>
      </c>
      <c r="L2625" s="329">
        <v>44043</v>
      </c>
      <c r="M2625" s="332">
        <v>0</v>
      </c>
    </row>
    <row r="2626" spans="1:13" hidden="1" x14ac:dyDescent="0.25">
      <c r="A2626" s="329">
        <v>44043</v>
      </c>
      <c r="B2626" s="328" t="s">
        <v>1689</v>
      </c>
      <c r="C2626" s="328" t="s">
        <v>1060</v>
      </c>
      <c r="D2626" s="330">
        <v>2</v>
      </c>
      <c r="E2626" s="331">
        <v>-170.5</v>
      </c>
      <c r="F2626" s="331">
        <v>26407</v>
      </c>
      <c r="G2626" s="328" t="s">
        <v>1686</v>
      </c>
      <c r="H2626" s="328" t="s">
        <v>1774</v>
      </c>
      <c r="I2626" s="328" t="s">
        <v>110</v>
      </c>
      <c r="J2626" s="328" t="s">
        <v>757</v>
      </c>
      <c r="K2626" s="328" t="s">
        <v>741</v>
      </c>
      <c r="L2626" s="329">
        <v>44043</v>
      </c>
      <c r="M2626" s="332">
        <v>0</v>
      </c>
    </row>
    <row r="2627" spans="1:13" hidden="1" x14ac:dyDescent="0.25">
      <c r="A2627" s="329">
        <v>44074</v>
      </c>
      <c r="B2627" s="328" t="s">
        <v>1695</v>
      </c>
      <c r="C2627" s="328" t="s">
        <v>1060</v>
      </c>
      <c r="D2627" s="330">
        <v>2</v>
      </c>
      <c r="E2627" s="331">
        <v>159.5</v>
      </c>
      <c r="F2627" s="331">
        <v>26566.5</v>
      </c>
      <c r="G2627" s="328" t="s">
        <v>1696</v>
      </c>
      <c r="H2627" s="328" t="s">
        <v>1774</v>
      </c>
      <c r="I2627" s="328" t="s">
        <v>110</v>
      </c>
      <c r="J2627" s="328" t="s">
        <v>757</v>
      </c>
      <c r="K2627" s="328" t="s">
        <v>741</v>
      </c>
      <c r="L2627" s="329">
        <v>44074</v>
      </c>
      <c r="M2627" s="332">
        <v>0</v>
      </c>
    </row>
    <row r="2628" spans="1:13" hidden="1" x14ac:dyDescent="0.25">
      <c r="A2628" s="329">
        <v>44074</v>
      </c>
      <c r="B2628" s="328" t="s">
        <v>1697</v>
      </c>
      <c r="C2628" s="328" t="s">
        <v>769</v>
      </c>
      <c r="D2628" s="330">
        <v>3</v>
      </c>
      <c r="E2628" s="331">
        <v>159.5</v>
      </c>
      <c r="F2628" s="331">
        <v>26726</v>
      </c>
      <c r="G2628" s="328" t="s">
        <v>1698</v>
      </c>
      <c r="H2628" s="328" t="s">
        <v>1774</v>
      </c>
      <c r="I2628" s="328" t="s">
        <v>110</v>
      </c>
      <c r="J2628" s="328" t="s">
        <v>757</v>
      </c>
      <c r="K2628" s="328" t="s">
        <v>770</v>
      </c>
      <c r="L2628" s="329">
        <v>44074</v>
      </c>
      <c r="M2628" s="332">
        <v>0</v>
      </c>
    </row>
    <row r="2629" spans="1:13" hidden="1" x14ac:dyDescent="0.25">
      <c r="A2629" s="329">
        <v>44074</v>
      </c>
      <c r="B2629" s="328" t="s">
        <v>1695</v>
      </c>
      <c r="C2629" s="328" t="s">
        <v>1060</v>
      </c>
      <c r="D2629" s="330">
        <v>3</v>
      </c>
      <c r="E2629" s="331">
        <v>-159.5</v>
      </c>
      <c r="F2629" s="331">
        <v>26566.5</v>
      </c>
      <c r="G2629" s="328" t="s">
        <v>1696</v>
      </c>
      <c r="H2629" s="328" t="s">
        <v>1774</v>
      </c>
      <c r="I2629" s="328" t="s">
        <v>110</v>
      </c>
      <c r="J2629" s="328" t="s">
        <v>757</v>
      </c>
      <c r="K2629" s="328" t="s">
        <v>741</v>
      </c>
      <c r="L2629" s="329">
        <v>44074</v>
      </c>
      <c r="M2629" s="332">
        <v>0</v>
      </c>
    </row>
    <row r="2630" spans="1:13" hidden="1" x14ac:dyDescent="0.25">
      <c r="A2630" s="329">
        <v>44104</v>
      </c>
      <c r="B2630" s="328" t="s">
        <v>1699</v>
      </c>
      <c r="C2630" s="328" t="s">
        <v>1060</v>
      </c>
      <c r="D2630" s="330">
        <v>3</v>
      </c>
      <c r="E2630" s="331">
        <v>247.5</v>
      </c>
      <c r="F2630" s="331">
        <v>26814</v>
      </c>
      <c r="G2630" s="328" t="s">
        <v>1700</v>
      </c>
      <c r="H2630" s="328" t="s">
        <v>1774</v>
      </c>
      <c r="I2630" s="328" t="s">
        <v>110</v>
      </c>
      <c r="J2630" s="328" t="s">
        <v>757</v>
      </c>
      <c r="K2630" s="328" t="s">
        <v>741</v>
      </c>
      <c r="L2630" s="329">
        <v>44104</v>
      </c>
      <c r="M2630" s="332">
        <v>0</v>
      </c>
    </row>
    <row r="2631" spans="1:13" hidden="1" x14ac:dyDescent="0.25">
      <c r="A2631" s="329">
        <v>44104</v>
      </c>
      <c r="B2631" s="328" t="s">
        <v>1699</v>
      </c>
      <c r="C2631" s="328" t="s">
        <v>1060</v>
      </c>
      <c r="D2631" s="330">
        <v>4</v>
      </c>
      <c r="E2631" s="331">
        <v>-247.5</v>
      </c>
      <c r="F2631" s="331">
        <v>26566.5</v>
      </c>
      <c r="G2631" s="328" t="s">
        <v>1700</v>
      </c>
      <c r="H2631" s="328" t="s">
        <v>1774</v>
      </c>
      <c r="I2631" s="328" t="s">
        <v>110</v>
      </c>
      <c r="J2631" s="328" t="s">
        <v>757</v>
      </c>
      <c r="K2631" s="328" t="s">
        <v>741</v>
      </c>
      <c r="L2631" s="329">
        <v>44104</v>
      </c>
      <c r="M2631" s="332">
        <v>0</v>
      </c>
    </row>
    <row r="2632" spans="1:13" hidden="1" x14ac:dyDescent="0.25">
      <c r="A2632" s="329">
        <v>44105</v>
      </c>
      <c r="B2632" s="328" t="s">
        <v>1701</v>
      </c>
      <c r="C2632" s="328" t="s">
        <v>769</v>
      </c>
      <c r="D2632" s="330">
        <v>4</v>
      </c>
      <c r="E2632" s="331">
        <v>247.5</v>
      </c>
      <c r="F2632" s="331">
        <v>26814</v>
      </c>
      <c r="G2632" s="328" t="s">
        <v>1702</v>
      </c>
      <c r="H2632" s="328" t="s">
        <v>1774</v>
      </c>
      <c r="I2632" s="328" t="s">
        <v>110</v>
      </c>
      <c r="J2632" s="328" t="s">
        <v>757</v>
      </c>
      <c r="K2632" s="328" t="s">
        <v>770</v>
      </c>
      <c r="L2632" s="329">
        <v>44105</v>
      </c>
      <c r="M2632" s="332">
        <v>0</v>
      </c>
    </row>
    <row r="2633" spans="1:13" hidden="1" x14ac:dyDescent="0.25">
      <c r="A2633" s="329">
        <v>44135</v>
      </c>
      <c r="B2633" s="328" t="s">
        <v>1703</v>
      </c>
      <c r="C2633" s="328" t="s">
        <v>1060</v>
      </c>
      <c r="D2633" s="330">
        <v>4</v>
      </c>
      <c r="E2633" s="331">
        <v>137.5</v>
      </c>
      <c r="F2633" s="331">
        <v>26951.5</v>
      </c>
      <c r="G2633" s="328" t="s">
        <v>1704</v>
      </c>
      <c r="H2633" s="328" t="s">
        <v>1774</v>
      </c>
      <c r="I2633" s="328" t="s">
        <v>110</v>
      </c>
      <c r="J2633" s="328" t="s">
        <v>757</v>
      </c>
      <c r="K2633" s="328" t="s">
        <v>741</v>
      </c>
      <c r="L2633" s="329">
        <v>44135</v>
      </c>
      <c r="M2633" s="332">
        <v>0</v>
      </c>
    </row>
    <row r="2634" spans="1:13" hidden="1" x14ac:dyDescent="0.25">
      <c r="A2634" s="329">
        <v>44135</v>
      </c>
      <c r="B2634" s="328" t="s">
        <v>1703</v>
      </c>
      <c r="C2634" s="328" t="s">
        <v>1060</v>
      </c>
      <c r="D2634" s="330">
        <v>5</v>
      </c>
      <c r="E2634" s="331">
        <v>-137.5</v>
      </c>
      <c r="F2634" s="331">
        <v>26814</v>
      </c>
      <c r="G2634" s="328" t="s">
        <v>1704</v>
      </c>
      <c r="H2634" s="328" t="s">
        <v>1774</v>
      </c>
      <c r="I2634" s="328" t="s">
        <v>110</v>
      </c>
      <c r="J2634" s="328" t="s">
        <v>757</v>
      </c>
      <c r="K2634" s="328" t="s">
        <v>741</v>
      </c>
      <c r="L2634" s="329">
        <v>44135</v>
      </c>
      <c r="M2634" s="332">
        <v>0</v>
      </c>
    </row>
    <row r="2635" spans="1:13" hidden="1" x14ac:dyDescent="0.25">
      <c r="A2635" s="329">
        <v>44135</v>
      </c>
      <c r="B2635" s="328" t="s">
        <v>1705</v>
      </c>
      <c r="C2635" s="328" t="s">
        <v>769</v>
      </c>
      <c r="D2635" s="330">
        <v>5</v>
      </c>
      <c r="E2635" s="331">
        <v>137.5</v>
      </c>
      <c r="F2635" s="331">
        <v>26951.5</v>
      </c>
      <c r="G2635" s="328" t="s">
        <v>1706</v>
      </c>
      <c r="H2635" s="328" t="s">
        <v>1774</v>
      </c>
      <c r="I2635" s="328" t="s">
        <v>110</v>
      </c>
      <c r="J2635" s="328" t="s">
        <v>757</v>
      </c>
      <c r="K2635" s="328" t="s">
        <v>770</v>
      </c>
      <c r="L2635" s="329">
        <v>44135</v>
      </c>
      <c r="M2635" s="332">
        <v>0</v>
      </c>
    </row>
    <row r="2636" spans="1:13" hidden="1" x14ac:dyDescent="0.25">
      <c r="A2636" s="329">
        <v>44165</v>
      </c>
      <c r="B2636" s="328" t="s">
        <v>1707</v>
      </c>
      <c r="C2636" s="328" t="s">
        <v>1060</v>
      </c>
      <c r="D2636" s="330">
        <v>5</v>
      </c>
      <c r="E2636" s="331">
        <v>137.5</v>
      </c>
      <c r="F2636" s="331">
        <v>27089</v>
      </c>
      <c r="G2636" s="328" t="s">
        <v>1708</v>
      </c>
      <c r="H2636" s="328" t="s">
        <v>1774</v>
      </c>
      <c r="I2636" s="328" t="s">
        <v>110</v>
      </c>
      <c r="J2636" s="328" t="s">
        <v>757</v>
      </c>
      <c r="K2636" s="328" t="s">
        <v>741</v>
      </c>
      <c r="L2636" s="329">
        <v>44165</v>
      </c>
      <c r="M2636" s="332">
        <v>0</v>
      </c>
    </row>
    <row r="2637" spans="1:13" hidden="1" x14ac:dyDescent="0.25">
      <c r="A2637" s="329">
        <v>44165</v>
      </c>
      <c r="B2637" s="328" t="s">
        <v>1707</v>
      </c>
      <c r="C2637" s="328" t="s">
        <v>1060</v>
      </c>
      <c r="D2637" s="330">
        <v>6</v>
      </c>
      <c r="E2637" s="331">
        <v>-137.5</v>
      </c>
      <c r="F2637" s="331">
        <v>26951.5</v>
      </c>
      <c r="G2637" s="328" t="s">
        <v>1708</v>
      </c>
      <c r="H2637" s="328" t="s">
        <v>1774</v>
      </c>
      <c r="I2637" s="328" t="s">
        <v>110</v>
      </c>
      <c r="J2637" s="328" t="s">
        <v>757</v>
      </c>
      <c r="K2637" s="328" t="s">
        <v>741</v>
      </c>
      <c r="L2637" s="329">
        <v>44165</v>
      </c>
      <c r="M2637" s="332">
        <v>0</v>
      </c>
    </row>
    <row r="2638" spans="1:13" hidden="1" x14ac:dyDescent="0.25">
      <c r="A2638" s="329">
        <v>44165</v>
      </c>
      <c r="B2638" s="328" t="s">
        <v>1709</v>
      </c>
      <c r="C2638" s="328" t="s">
        <v>769</v>
      </c>
      <c r="D2638" s="330">
        <v>6</v>
      </c>
      <c r="E2638" s="331">
        <v>137.5</v>
      </c>
      <c r="F2638" s="331">
        <v>27089</v>
      </c>
      <c r="G2638" s="328" t="s">
        <v>1710</v>
      </c>
      <c r="H2638" s="328" t="s">
        <v>1774</v>
      </c>
      <c r="I2638" s="328" t="s">
        <v>110</v>
      </c>
      <c r="J2638" s="328" t="s">
        <v>757</v>
      </c>
      <c r="K2638" s="328" t="s">
        <v>770</v>
      </c>
      <c r="L2638" s="329">
        <v>44165</v>
      </c>
      <c r="M2638" s="332">
        <v>0</v>
      </c>
    </row>
    <row r="2639" spans="1:13" hidden="1" x14ac:dyDescent="0.25">
      <c r="A2639" s="329">
        <v>44196</v>
      </c>
      <c r="B2639" s="328" t="s">
        <v>1711</v>
      </c>
      <c r="C2639" s="328" t="s">
        <v>1060</v>
      </c>
      <c r="D2639" s="330">
        <v>6</v>
      </c>
      <c r="E2639" s="331">
        <v>77</v>
      </c>
      <c r="F2639" s="331">
        <v>27166</v>
      </c>
      <c r="G2639" s="328" t="s">
        <v>1712</v>
      </c>
      <c r="H2639" s="328" t="s">
        <v>1774</v>
      </c>
      <c r="I2639" s="328" t="s">
        <v>110</v>
      </c>
      <c r="J2639" s="328" t="s">
        <v>757</v>
      </c>
      <c r="K2639" s="328" t="s">
        <v>741</v>
      </c>
      <c r="L2639" s="329">
        <v>44196</v>
      </c>
      <c r="M2639" s="332">
        <v>0</v>
      </c>
    </row>
    <row r="2640" spans="1:13" hidden="1" x14ac:dyDescent="0.25">
      <c r="A2640" s="329">
        <v>44196</v>
      </c>
      <c r="B2640" s="328" t="s">
        <v>1711</v>
      </c>
      <c r="C2640" s="328" t="s">
        <v>1060</v>
      </c>
      <c r="D2640" s="330">
        <v>7</v>
      </c>
      <c r="E2640" s="331">
        <v>-77</v>
      </c>
      <c r="F2640" s="331">
        <v>27089</v>
      </c>
      <c r="G2640" s="328" t="s">
        <v>1712</v>
      </c>
      <c r="H2640" s="328" t="s">
        <v>1774</v>
      </c>
      <c r="I2640" s="328" t="s">
        <v>110</v>
      </c>
      <c r="J2640" s="328" t="s">
        <v>757</v>
      </c>
      <c r="K2640" s="328" t="s">
        <v>741</v>
      </c>
      <c r="L2640" s="329">
        <v>44196</v>
      </c>
      <c r="M2640" s="332">
        <v>0</v>
      </c>
    </row>
    <row r="2641" spans="1:13" hidden="1" x14ac:dyDescent="0.25">
      <c r="A2641" s="329">
        <v>44196</v>
      </c>
      <c r="B2641" s="328" t="s">
        <v>1713</v>
      </c>
      <c r="C2641" s="328" t="s">
        <v>769</v>
      </c>
      <c r="D2641" s="330">
        <v>7</v>
      </c>
      <c r="E2641" s="331">
        <v>77</v>
      </c>
      <c r="F2641" s="331">
        <v>27166</v>
      </c>
      <c r="G2641" s="328" t="s">
        <v>1714</v>
      </c>
      <c r="H2641" s="328" t="s">
        <v>1774</v>
      </c>
      <c r="I2641" s="328" t="s">
        <v>110</v>
      </c>
      <c r="J2641" s="328" t="s">
        <v>757</v>
      </c>
      <c r="K2641" s="328" t="s">
        <v>770</v>
      </c>
      <c r="L2641" s="329">
        <v>44196</v>
      </c>
      <c r="M2641" s="332">
        <v>0</v>
      </c>
    </row>
    <row r="2642" spans="1:13" hidden="1" x14ac:dyDescent="0.25">
      <c r="A2642" s="329">
        <v>44227</v>
      </c>
      <c r="B2642" s="328" t="s">
        <v>1715</v>
      </c>
      <c r="C2642" s="328" t="s">
        <v>1060</v>
      </c>
      <c r="D2642" s="330">
        <v>7</v>
      </c>
      <c r="E2642" s="331">
        <v>71.5</v>
      </c>
      <c r="F2642" s="331">
        <v>27237.5</v>
      </c>
      <c r="G2642" s="328" t="s">
        <v>1716</v>
      </c>
      <c r="H2642" s="328" t="s">
        <v>1774</v>
      </c>
      <c r="I2642" s="328" t="s">
        <v>110</v>
      </c>
      <c r="J2642" s="328" t="s">
        <v>757</v>
      </c>
      <c r="K2642" s="328" t="s">
        <v>741</v>
      </c>
      <c r="L2642" s="329">
        <v>44227</v>
      </c>
      <c r="M2642" s="332">
        <v>0</v>
      </c>
    </row>
    <row r="2643" spans="1:13" hidden="1" x14ac:dyDescent="0.25">
      <c r="A2643" s="329">
        <v>44227</v>
      </c>
      <c r="B2643" s="328" t="s">
        <v>1715</v>
      </c>
      <c r="C2643" s="328" t="s">
        <v>1060</v>
      </c>
      <c r="D2643" s="330">
        <v>8</v>
      </c>
      <c r="E2643" s="331">
        <v>-71.5</v>
      </c>
      <c r="F2643" s="331">
        <v>27166</v>
      </c>
      <c r="G2643" s="328" t="s">
        <v>1716</v>
      </c>
      <c r="H2643" s="328" t="s">
        <v>1774</v>
      </c>
      <c r="I2643" s="328" t="s">
        <v>110</v>
      </c>
      <c r="J2643" s="328" t="s">
        <v>757</v>
      </c>
      <c r="K2643" s="328" t="s">
        <v>741</v>
      </c>
      <c r="L2643" s="329">
        <v>44227</v>
      </c>
      <c r="M2643" s="332">
        <v>0</v>
      </c>
    </row>
    <row r="2644" spans="1:13" hidden="1" x14ac:dyDescent="0.25">
      <c r="A2644" s="329">
        <v>44227</v>
      </c>
      <c r="B2644" s="328" t="s">
        <v>1717</v>
      </c>
      <c r="C2644" s="328" t="s">
        <v>769</v>
      </c>
      <c r="D2644" s="330">
        <v>8</v>
      </c>
      <c r="E2644" s="331">
        <v>71.5</v>
      </c>
      <c r="F2644" s="331">
        <v>27237.5</v>
      </c>
      <c r="G2644" s="328" t="s">
        <v>1718</v>
      </c>
      <c r="H2644" s="328" t="s">
        <v>1774</v>
      </c>
      <c r="I2644" s="328" t="s">
        <v>110</v>
      </c>
      <c r="J2644" s="328" t="s">
        <v>757</v>
      </c>
      <c r="K2644" s="328" t="s">
        <v>770</v>
      </c>
      <c r="L2644" s="329">
        <v>44227</v>
      </c>
      <c r="M2644" s="332">
        <v>0</v>
      </c>
    </row>
    <row r="2645" spans="1:13" hidden="1" x14ac:dyDescent="0.25">
      <c r="A2645" s="329">
        <v>44255</v>
      </c>
      <c r="B2645" s="328" t="s">
        <v>1720</v>
      </c>
      <c r="C2645" s="328" t="s">
        <v>1060</v>
      </c>
      <c r="D2645" s="330">
        <v>8</v>
      </c>
      <c r="E2645" s="331">
        <v>82.5</v>
      </c>
      <c r="F2645" s="331">
        <v>27320</v>
      </c>
      <c r="G2645" s="328" t="s">
        <v>1721</v>
      </c>
      <c r="H2645" s="328" t="s">
        <v>1774</v>
      </c>
      <c r="I2645" s="328" t="s">
        <v>110</v>
      </c>
      <c r="J2645" s="328" t="s">
        <v>757</v>
      </c>
      <c r="K2645" s="328" t="s">
        <v>741</v>
      </c>
      <c r="L2645" s="329">
        <v>44255</v>
      </c>
      <c r="M2645" s="332">
        <v>0</v>
      </c>
    </row>
    <row r="2646" spans="1:13" hidden="1" x14ac:dyDescent="0.25">
      <c r="A2646" s="329">
        <v>44255</v>
      </c>
      <c r="B2646" s="328" t="s">
        <v>1720</v>
      </c>
      <c r="C2646" s="328" t="s">
        <v>1060</v>
      </c>
      <c r="D2646" s="330">
        <v>9</v>
      </c>
      <c r="E2646" s="331">
        <v>-82.5</v>
      </c>
      <c r="F2646" s="331">
        <v>27237.5</v>
      </c>
      <c r="G2646" s="328" t="s">
        <v>1721</v>
      </c>
      <c r="H2646" s="328" t="s">
        <v>1774</v>
      </c>
      <c r="I2646" s="328" t="s">
        <v>110</v>
      </c>
      <c r="J2646" s="328" t="s">
        <v>757</v>
      </c>
      <c r="K2646" s="328" t="s">
        <v>741</v>
      </c>
      <c r="L2646" s="329">
        <v>44255</v>
      </c>
      <c r="M2646" s="332">
        <v>0</v>
      </c>
    </row>
    <row r="2647" spans="1:13" hidden="1" x14ac:dyDescent="0.25">
      <c r="A2647" s="329">
        <v>44255</v>
      </c>
      <c r="B2647" s="328" t="s">
        <v>1722</v>
      </c>
      <c r="C2647" s="328" t="s">
        <v>769</v>
      </c>
      <c r="D2647" s="330">
        <v>9</v>
      </c>
      <c r="E2647" s="331">
        <v>82.5</v>
      </c>
      <c r="F2647" s="331">
        <v>27320</v>
      </c>
      <c r="G2647" s="328" t="s">
        <v>1723</v>
      </c>
      <c r="H2647" s="328" t="s">
        <v>1774</v>
      </c>
      <c r="I2647" s="328" t="s">
        <v>110</v>
      </c>
      <c r="J2647" s="328" t="s">
        <v>757</v>
      </c>
      <c r="K2647" s="328" t="s">
        <v>770</v>
      </c>
      <c r="L2647" s="329">
        <v>44255</v>
      </c>
      <c r="M2647" s="332">
        <v>0</v>
      </c>
    </row>
    <row r="2648" spans="1:13" hidden="1" x14ac:dyDescent="0.25">
      <c r="A2648" s="329">
        <v>44286</v>
      </c>
      <c r="B2648" s="328" t="s">
        <v>1724</v>
      </c>
      <c r="C2648" s="328" t="s">
        <v>1060</v>
      </c>
      <c r="D2648" s="330">
        <v>9</v>
      </c>
      <c r="E2648" s="331">
        <v>110</v>
      </c>
      <c r="F2648" s="331">
        <v>27430</v>
      </c>
      <c r="G2648" s="328" t="s">
        <v>1725</v>
      </c>
      <c r="H2648" s="328" t="s">
        <v>1774</v>
      </c>
      <c r="I2648" s="328" t="s">
        <v>110</v>
      </c>
      <c r="J2648" s="328" t="s">
        <v>757</v>
      </c>
      <c r="K2648" s="328" t="s">
        <v>741</v>
      </c>
      <c r="L2648" s="329">
        <v>44286</v>
      </c>
      <c r="M2648" s="332">
        <v>0</v>
      </c>
    </row>
    <row r="2649" spans="1:13" hidden="1" x14ac:dyDescent="0.25">
      <c r="A2649" s="329">
        <v>44286</v>
      </c>
      <c r="B2649" s="328" t="s">
        <v>1726</v>
      </c>
      <c r="C2649" s="328" t="s">
        <v>769</v>
      </c>
      <c r="D2649" s="330">
        <v>10</v>
      </c>
      <c r="E2649" s="331">
        <v>110</v>
      </c>
      <c r="F2649" s="331">
        <v>27540</v>
      </c>
      <c r="G2649" s="328" t="s">
        <v>1727</v>
      </c>
      <c r="H2649" s="328" t="s">
        <v>1774</v>
      </c>
      <c r="I2649" s="328" t="s">
        <v>110</v>
      </c>
      <c r="J2649" s="328" t="s">
        <v>757</v>
      </c>
      <c r="K2649" s="328" t="s">
        <v>770</v>
      </c>
      <c r="L2649" s="329">
        <v>44286</v>
      </c>
      <c r="M2649" s="332">
        <v>0</v>
      </c>
    </row>
    <row r="2650" spans="1:13" hidden="1" x14ac:dyDescent="0.25">
      <c r="A2650" s="329">
        <v>44286</v>
      </c>
      <c r="B2650" s="328" t="s">
        <v>1724</v>
      </c>
      <c r="C2650" s="328" t="s">
        <v>1060</v>
      </c>
      <c r="D2650" s="330">
        <v>10</v>
      </c>
      <c r="E2650" s="331">
        <v>-110</v>
      </c>
      <c r="F2650" s="331">
        <v>27430</v>
      </c>
      <c r="G2650" s="328" t="s">
        <v>1725</v>
      </c>
      <c r="H2650" s="328" t="s">
        <v>1774</v>
      </c>
      <c r="I2650" s="328" t="s">
        <v>110</v>
      </c>
      <c r="J2650" s="328" t="s">
        <v>757</v>
      </c>
      <c r="K2650" s="328" t="s">
        <v>741</v>
      </c>
      <c r="L2650" s="329">
        <v>44286</v>
      </c>
      <c r="M2650" s="332">
        <v>0</v>
      </c>
    </row>
    <row r="2651" spans="1:13" hidden="1" x14ac:dyDescent="0.25">
      <c r="A2651" s="329">
        <v>44316</v>
      </c>
      <c r="B2651" s="328" t="s">
        <v>1728</v>
      </c>
      <c r="C2651" s="328" t="s">
        <v>1060</v>
      </c>
      <c r="D2651" s="330">
        <v>10</v>
      </c>
      <c r="E2651" s="331">
        <v>77</v>
      </c>
      <c r="F2651" s="331">
        <v>27507</v>
      </c>
      <c r="G2651" s="328" t="s">
        <v>1729</v>
      </c>
      <c r="H2651" s="328" t="s">
        <v>1774</v>
      </c>
      <c r="I2651" s="328" t="s">
        <v>110</v>
      </c>
      <c r="J2651" s="328" t="s">
        <v>757</v>
      </c>
      <c r="K2651" s="328" t="s">
        <v>741</v>
      </c>
      <c r="L2651" s="329">
        <v>44316</v>
      </c>
      <c r="M2651" s="332">
        <v>0</v>
      </c>
    </row>
    <row r="2652" spans="1:13" hidden="1" x14ac:dyDescent="0.25">
      <c r="A2652" s="329">
        <v>44012</v>
      </c>
      <c r="B2652" s="328" t="s">
        <v>1678</v>
      </c>
      <c r="C2652" s="328" t="s">
        <v>769</v>
      </c>
      <c r="D2652" s="330">
        <v>1</v>
      </c>
      <c r="E2652" s="331">
        <v>38.5</v>
      </c>
      <c r="F2652" s="331">
        <v>27545.5</v>
      </c>
      <c r="G2652" s="328" t="s">
        <v>1679</v>
      </c>
      <c r="H2652" s="328" t="s">
        <v>1775</v>
      </c>
      <c r="I2652" s="328" t="s">
        <v>110</v>
      </c>
      <c r="J2652" s="328" t="s">
        <v>757</v>
      </c>
      <c r="K2652" s="328" t="s">
        <v>770</v>
      </c>
      <c r="L2652" s="329">
        <v>44012</v>
      </c>
      <c r="M2652" s="332">
        <v>0</v>
      </c>
    </row>
    <row r="2653" spans="1:13" hidden="1" x14ac:dyDescent="0.25">
      <c r="A2653" s="329">
        <v>44012</v>
      </c>
      <c r="B2653" s="328" t="s">
        <v>1681</v>
      </c>
      <c r="C2653" s="328" t="s">
        <v>1059</v>
      </c>
      <c r="D2653" s="330">
        <v>1</v>
      </c>
      <c r="E2653" s="331">
        <v>-38.5</v>
      </c>
      <c r="F2653" s="331">
        <v>27507</v>
      </c>
      <c r="G2653" s="328" t="s">
        <v>1682</v>
      </c>
      <c r="H2653" s="328" t="s">
        <v>1775</v>
      </c>
      <c r="I2653" s="328" t="s">
        <v>110</v>
      </c>
      <c r="J2653" s="328" t="s">
        <v>757</v>
      </c>
      <c r="K2653" s="328" t="s">
        <v>741</v>
      </c>
      <c r="L2653" s="329">
        <v>44012</v>
      </c>
      <c r="M2653" s="332">
        <v>0</v>
      </c>
    </row>
    <row r="2654" spans="1:13" hidden="1" x14ac:dyDescent="0.25">
      <c r="A2654" s="329">
        <v>44043</v>
      </c>
      <c r="B2654" s="328" t="s">
        <v>1685</v>
      </c>
      <c r="C2654" s="328" t="s">
        <v>1060</v>
      </c>
      <c r="D2654" s="330">
        <v>1</v>
      </c>
      <c r="E2654" s="331">
        <v>33</v>
      </c>
      <c r="F2654" s="331">
        <v>27540</v>
      </c>
      <c r="G2654" s="328" t="s">
        <v>1686</v>
      </c>
      <c r="H2654" s="328" t="s">
        <v>1775</v>
      </c>
      <c r="I2654" s="328" t="s">
        <v>110</v>
      </c>
      <c r="J2654" s="328" t="s">
        <v>757</v>
      </c>
      <c r="K2654" s="328" t="s">
        <v>741</v>
      </c>
      <c r="L2654" s="329">
        <v>44043</v>
      </c>
      <c r="M2654" s="332">
        <v>0</v>
      </c>
    </row>
    <row r="2655" spans="1:13" hidden="1" x14ac:dyDescent="0.25">
      <c r="A2655" s="329">
        <v>44043</v>
      </c>
      <c r="B2655" s="328" t="s">
        <v>1688</v>
      </c>
      <c r="C2655" s="328" t="s">
        <v>1060</v>
      </c>
      <c r="D2655" s="330">
        <v>1</v>
      </c>
      <c r="E2655" s="331">
        <v>-33</v>
      </c>
      <c r="F2655" s="331">
        <v>27507</v>
      </c>
      <c r="G2655" s="328" t="s">
        <v>1686</v>
      </c>
      <c r="H2655" s="328" t="s">
        <v>1775</v>
      </c>
      <c r="I2655" s="328" t="s">
        <v>110</v>
      </c>
      <c r="J2655" s="328" t="s">
        <v>757</v>
      </c>
      <c r="K2655" s="328" t="s">
        <v>741</v>
      </c>
      <c r="L2655" s="329">
        <v>44043</v>
      </c>
      <c r="M2655" s="332">
        <v>0</v>
      </c>
    </row>
    <row r="2656" spans="1:13" hidden="1" x14ac:dyDescent="0.25">
      <c r="A2656" s="329">
        <v>44043</v>
      </c>
      <c r="B2656" s="328" t="s">
        <v>1689</v>
      </c>
      <c r="C2656" s="328" t="s">
        <v>1060</v>
      </c>
      <c r="D2656" s="330">
        <v>1</v>
      </c>
      <c r="E2656" s="331">
        <v>33</v>
      </c>
      <c r="F2656" s="331">
        <v>27540</v>
      </c>
      <c r="G2656" s="328" t="s">
        <v>1686</v>
      </c>
      <c r="H2656" s="328" t="s">
        <v>1775</v>
      </c>
      <c r="I2656" s="328" t="s">
        <v>110</v>
      </c>
      <c r="J2656" s="328" t="s">
        <v>757</v>
      </c>
      <c r="K2656" s="328" t="s">
        <v>741</v>
      </c>
      <c r="L2656" s="329">
        <v>44043</v>
      </c>
      <c r="M2656" s="332">
        <v>0</v>
      </c>
    </row>
    <row r="2657" spans="1:13" hidden="1" x14ac:dyDescent="0.25">
      <c r="A2657" s="329">
        <v>44043</v>
      </c>
      <c r="B2657" s="328" t="s">
        <v>1691</v>
      </c>
      <c r="C2657" s="328" t="s">
        <v>769</v>
      </c>
      <c r="D2657" s="330">
        <v>2</v>
      </c>
      <c r="E2657" s="331">
        <v>33</v>
      </c>
      <c r="F2657" s="331">
        <v>27573</v>
      </c>
      <c r="G2657" s="328" t="s">
        <v>1692</v>
      </c>
      <c r="H2657" s="328" t="s">
        <v>1775</v>
      </c>
      <c r="I2657" s="328" t="s">
        <v>110</v>
      </c>
      <c r="J2657" s="328" t="s">
        <v>757</v>
      </c>
      <c r="K2657" s="328" t="s">
        <v>770</v>
      </c>
      <c r="L2657" s="329">
        <v>44043</v>
      </c>
      <c r="M2657" s="332">
        <v>0</v>
      </c>
    </row>
    <row r="2658" spans="1:13" hidden="1" x14ac:dyDescent="0.25">
      <c r="A2658" s="329">
        <v>44043</v>
      </c>
      <c r="B2658" s="328" t="s">
        <v>1685</v>
      </c>
      <c r="C2658" s="328" t="s">
        <v>1060</v>
      </c>
      <c r="D2658" s="330">
        <v>2</v>
      </c>
      <c r="E2658" s="331">
        <v>-33</v>
      </c>
      <c r="F2658" s="331">
        <v>27540</v>
      </c>
      <c r="G2658" s="328" t="s">
        <v>1686</v>
      </c>
      <c r="H2658" s="328" t="s">
        <v>1775</v>
      </c>
      <c r="I2658" s="328" t="s">
        <v>110</v>
      </c>
      <c r="J2658" s="328" t="s">
        <v>757</v>
      </c>
      <c r="K2658" s="328" t="s">
        <v>741</v>
      </c>
      <c r="L2658" s="329">
        <v>44043</v>
      </c>
      <c r="M2658" s="332">
        <v>0</v>
      </c>
    </row>
    <row r="2659" spans="1:13" hidden="1" x14ac:dyDescent="0.25">
      <c r="A2659" s="329">
        <v>44043</v>
      </c>
      <c r="B2659" s="328" t="s">
        <v>1688</v>
      </c>
      <c r="C2659" s="328" t="s">
        <v>1060</v>
      </c>
      <c r="D2659" s="330">
        <v>2</v>
      </c>
      <c r="E2659" s="331">
        <v>33</v>
      </c>
      <c r="F2659" s="331">
        <v>27573</v>
      </c>
      <c r="G2659" s="328" t="s">
        <v>1686</v>
      </c>
      <c r="H2659" s="328" t="s">
        <v>1775</v>
      </c>
      <c r="I2659" s="328" t="s">
        <v>110</v>
      </c>
      <c r="J2659" s="328" t="s">
        <v>757</v>
      </c>
      <c r="K2659" s="328" t="s">
        <v>741</v>
      </c>
      <c r="L2659" s="329">
        <v>44043</v>
      </c>
      <c r="M2659" s="332">
        <v>0</v>
      </c>
    </row>
    <row r="2660" spans="1:13" hidden="1" x14ac:dyDescent="0.25">
      <c r="A2660" s="329">
        <v>44043</v>
      </c>
      <c r="B2660" s="328" t="s">
        <v>1689</v>
      </c>
      <c r="C2660" s="328" t="s">
        <v>1060</v>
      </c>
      <c r="D2660" s="330">
        <v>2</v>
      </c>
      <c r="E2660" s="331">
        <v>-33</v>
      </c>
      <c r="F2660" s="331">
        <v>27540</v>
      </c>
      <c r="G2660" s="328" t="s">
        <v>1686</v>
      </c>
      <c r="H2660" s="328" t="s">
        <v>1775</v>
      </c>
      <c r="I2660" s="328" t="s">
        <v>110</v>
      </c>
      <c r="J2660" s="328" t="s">
        <v>757</v>
      </c>
      <c r="K2660" s="328" t="s">
        <v>741</v>
      </c>
      <c r="L2660" s="329">
        <v>44043</v>
      </c>
      <c r="M2660" s="332">
        <v>0</v>
      </c>
    </row>
    <row r="2661" spans="1:13" hidden="1" x14ac:dyDescent="0.25">
      <c r="A2661" s="329">
        <v>44074</v>
      </c>
      <c r="B2661" s="328" t="s">
        <v>1695</v>
      </c>
      <c r="C2661" s="328" t="s">
        <v>1060</v>
      </c>
      <c r="D2661" s="330">
        <v>2</v>
      </c>
      <c r="E2661" s="331">
        <v>33</v>
      </c>
      <c r="F2661" s="331">
        <v>27573</v>
      </c>
      <c r="G2661" s="328" t="s">
        <v>1696</v>
      </c>
      <c r="H2661" s="328" t="s">
        <v>1775</v>
      </c>
      <c r="I2661" s="328" t="s">
        <v>110</v>
      </c>
      <c r="J2661" s="328" t="s">
        <v>757</v>
      </c>
      <c r="K2661" s="328" t="s">
        <v>741</v>
      </c>
      <c r="L2661" s="329">
        <v>44074</v>
      </c>
      <c r="M2661" s="332">
        <v>0</v>
      </c>
    </row>
    <row r="2662" spans="1:13" hidden="1" x14ac:dyDescent="0.25">
      <c r="A2662" s="329">
        <v>44074</v>
      </c>
      <c r="B2662" s="328" t="s">
        <v>1697</v>
      </c>
      <c r="C2662" s="328" t="s">
        <v>769</v>
      </c>
      <c r="D2662" s="330">
        <v>3</v>
      </c>
      <c r="E2662" s="331">
        <v>33</v>
      </c>
      <c r="F2662" s="331">
        <v>27606</v>
      </c>
      <c r="G2662" s="328" t="s">
        <v>1698</v>
      </c>
      <c r="H2662" s="328" t="s">
        <v>1775</v>
      </c>
      <c r="I2662" s="328" t="s">
        <v>110</v>
      </c>
      <c r="J2662" s="328" t="s">
        <v>757</v>
      </c>
      <c r="K2662" s="328" t="s">
        <v>770</v>
      </c>
      <c r="L2662" s="329">
        <v>44074</v>
      </c>
      <c r="M2662" s="332">
        <v>0</v>
      </c>
    </row>
    <row r="2663" spans="1:13" hidden="1" x14ac:dyDescent="0.25">
      <c r="A2663" s="329">
        <v>44074</v>
      </c>
      <c r="B2663" s="328" t="s">
        <v>1695</v>
      </c>
      <c r="C2663" s="328" t="s">
        <v>1060</v>
      </c>
      <c r="D2663" s="330">
        <v>3</v>
      </c>
      <c r="E2663" s="331">
        <v>-33</v>
      </c>
      <c r="F2663" s="331">
        <v>27573</v>
      </c>
      <c r="G2663" s="328" t="s">
        <v>1696</v>
      </c>
      <c r="H2663" s="328" t="s">
        <v>1775</v>
      </c>
      <c r="I2663" s="328" t="s">
        <v>110</v>
      </c>
      <c r="J2663" s="328" t="s">
        <v>757</v>
      </c>
      <c r="K2663" s="328" t="s">
        <v>741</v>
      </c>
      <c r="L2663" s="329">
        <v>44074</v>
      </c>
      <c r="M2663" s="332">
        <v>0</v>
      </c>
    </row>
    <row r="2664" spans="1:13" hidden="1" x14ac:dyDescent="0.25">
      <c r="A2664" s="329">
        <v>44104</v>
      </c>
      <c r="B2664" s="328" t="s">
        <v>1699</v>
      </c>
      <c r="C2664" s="328" t="s">
        <v>1060</v>
      </c>
      <c r="D2664" s="330">
        <v>3</v>
      </c>
      <c r="E2664" s="331">
        <v>49.5</v>
      </c>
      <c r="F2664" s="331">
        <v>27622.5</v>
      </c>
      <c r="G2664" s="328" t="s">
        <v>1700</v>
      </c>
      <c r="H2664" s="328" t="s">
        <v>1775</v>
      </c>
      <c r="I2664" s="328" t="s">
        <v>110</v>
      </c>
      <c r="J2664" s="328" t="s">
        <v>757</v>
      </c>
      <c r="K2664" s="328" t="s">
        <v>741</v>
      </c>
      <c r="L2664" s="329">
        <v>44104</v>
      </c>
      <c r="M2664" s="332">
        <v>0</v>
      </c>
    </row>
    <row r="2665" spans="1:13" hidden="1" x14ac:dyDescent="0.25">
      <c r="A2665" s="329">
        <v>44104</v>
      </c>
      <c r="B2665" s="328" t="s">
        <v>1699</v>
      </c>
      <c r="C2665" s="328" t="s">
        <v>1060</v>
      </c>
      <c r="D2665" s="330">
        <v>4</v>
      </c>
      <c r="E2665" s="331">
        <v>-49.5</v>
      </c>
      <c r="F2665" s="331">
        <v>27573</v>
      </c>
      <c r="G2665" s="328" t="s">
        <v>1700</v>
      </c>
      <c r="H2665" s="328" t="s">
        <v>1775</v>
      </c>
      <c r="I2665" s="328" t="s">
        <v>110</v>
      </c>
      <c r="J2665" s="328" t="s">
        <v>757</v>
      </c>
      <c r="K2665" s="328" t="s">
        <v>741</v>
      </c>
      <c r="L2665" s="329">
        <v>44104</v>
      </c>
      <c r="M2665" s="332">
        <v>0</v>
      </c>
    </row>
    <row r="2666" spans="1:13" hidden="1" x14ac:dyDescent="0.25">
      <c r="A2666" s="329">
        <v>44105</v>
      </c>
      <c r="B2666" s="328" t="s">
        <v>1701</v>
      </c>
      <c r="C2666" s="328" t="s">
        <v>769</v>
      </c>
      <c r="D2666" s="330">
        <v>4</v>
      </c>
      <c r="E2666" s="331">
        <v>49.5</v>
      </c>
      <c r="F2666" s="331">
        <v>27622.5</v>
      </c>
      <c r="G2666" s="328" t="s">
        <v>1702</v>
      </c>
      <c r="H2666" s="328" t="s">
        <v>1775</v>
      </c>
      <c r="I2666" s="328" t="s">
        <v>110</v>
      </c>
      <c r="J2666" s="328" t="s">
        <v>757</v>
      </c>
      <c r="K2666" s="328" t="s">
        <v>770</v>
      </c>
      <c r="L2666" s="329">
        <v>44105</v>
      </c>
      <c r="M2666" s="332">
        <v>0</v>
      </c>
    </row>
    <row r="2667" spans="1:13" hidden="1" x14ac:dyDescent="0.25">
      <c r="A2667" s="329">
        <v>44135</v>
      </c>
      <c r="B2667" s="328" t="s">
        <v>1703</v>
      </c>
      <c r="C2667" s="328" t="s">
        <v>1060</v>
      </c>
      <c r="D2667" s="330">
        <v>4</v>
      </c>
      <c r="E2667" s="331">
        <v>55</v>
      </c>
      <c r="F2667" s="331">
        <v>27677.5</v>
      </c>
      <c r="G2667" s="328" t="s">
        <v>1704</v>
      </c>
      <c r="H2667" s="328" t="s">
        <v>1775</v>
      </c>
      <c r="I2667" s="328" t="s">
        <v>110</v>
      </c>
      <c r="J2667" s="328" t="s">
        <v>757</v>
      </c>
      <c r="K2667" s="328" t="s">
        <v>741</v>
      </c>
      <c r="L2667" s="329">
        <v>44135</v>
      </c>
      <c r="M2667" s="332">
        <v>0</v>
      </c>
    </row>
    <row r="2668" spans="1:13" hidden="1" x14ac:dyDescent="0.25">
      <c r="A2668" s="329">
        <v>44135</v>
      </c>
      <c r="B2668" s="328" t="s">
        <v>1703</v>
      </c>
      <c r="C2668" s="328" t="s">
        <v>1060</v>
      </c>
      <c r="D2668" s="330">
        <v>5</v>
      </c>
      <c r="E2668" s="331">
        <v>-55</v>
      </c>
      <c r="F2668" s="331">
        <v>27622.5</v>
      </c>
      <c r="G2668" s="328" t="s">
        <v>1704</v>
      </c>
      <c r="H2668" s="328" t="s">
        <v>1775</v>
      </c>
      <c r="I2668" s="328" t="s">
        <v>110</v>
      </c>
      <c r="J2668" s="328" t="s">
        <v>757</v>
      </c>
      <c r="K2668" s="328" t="s">
        <v>741</v>
      </c>
      <c r="L2668" s="329">
        <v>44135</v>
      </c>
      <c r="M2668" s="332">
        <v>0</v>
      </c>
    </row>
    <row r="2669" spans="1:13" hidden="1" x14ac:dyDescent="0.25">
      <c r="A2669" s="329">
        <v>44135</v>
      </c>
      <c r="B2669" s="328" t="s">
        <v>1705</v>
      </c>
      <c r="C2669" s="328" t="s">
        <v>769</v>
      </c>
      <c r="D2669" s="330">
        <v>5</v>
      </c>
      <c r="E2669" s="331">
        <v>55</v>
      </c>
      <c r="F2669" s="331">
        <v>27677.5</v>
      </c>
      <c r="G2669" s="328" t="s">
        <v>1706</v>
      </c>
      <c r="H2669" s="328" t="s">
        <v>1775</v>
      </c>
      <c r="I2669" s="328" t="s">
        <v>110</v>
      </c>
      <c r="J2669" s="328" t="s">
        <v>757</v>
      </c>
      <c r="K2669" s="328" t="s">
        <v>770</v>
      </c>
      <c r="L2669" s="329">
        <v>44135</v>
      </c>
      <c r="M2669" s="332">
        <v>0</v>
      </c>
    </row>
    <row r="2670" spans="1:13" hidden="1" x14ac:dyDescent="0.25">
      <c r="A2670" s="329">
        <v>44165</v>
      </c>
      <c r="B2670" s="328" t="s">
        <v>1707</v>
      </c>
      <c r="C2670" s="328" t="s">
        <v>1060</v>
      </c>
      <c r="D2670" s="330">
        <v>5</v>
      </c>
      <c r="E2670" s="331">
        <v>55</v>
      </c>
      <c r="F2670" s="331">
        <v>27732.5</v>
      </c>
      <c r="G2670" s="328" t="s">
        <v>1708</v>
      </c>
      <c r="H2670" s="328" t="s">
        <v>1775</v>
      </c>
      <c r="I2670" s="328" t="s">
        <v>110</v>
      </c>
      <c r="J2670" s="328" t="s">
        <v>757</v>
      </c>
      <c r="K2670" s="328" t="s">
        <v>741</v>
      </c>
      <c r="L2670" s="329">
        <v>44165</v>
      </c>
      <c r="M2670" s="332">
        <v>0</v>
      </c>
    </row>
    <row r="2671" spans="1:13" hidden="1" x14ac:dyDescent="0.25">
      <c r="A2671" s="329">
        <v>44165</v>
      </c>
      <c r="B2671" s="328" t="s">
        <v>1707</v>
      </c>
      <c r="C2671" s="328" t="s">
        <v>1060</v>
      </c>
      <c r="D2671" s="330">
        <v>6</v>
      </c>
      <c r="E2671" s="331">
        <v>-55</v>
      </c>
      <c r="F2671" s="331">
        <v>27677.5</v>
      </c>
      <c r="G2671" s="328" t="s">
        <v>1708</v>
      </c>
      <c r="H2671" s="328" t="s">
        <v>1775</v>
      </c>
      <c r="I2671" s="328" t="s">
        <v>110</v>
      </c>
      <c r="J2671" s="328" t="s">
        <v>757</v>
      </c>
      <c r="K2671" s="328" t="s">
        <v>741</v>
      </c>
      <c r="L2671" s="329">
        <v>44165</v>
      </c>
      <c r="M2671" s="332">
        <v>0</v>
      </c>
    </row>
    <row r="2672" spans="1:13" hidden="1" x14ac:dyDescent="0.25">
      <c r="A2672" s="329">
        <v>44165</v>
      </c>
      <c r="B2672" s="328" t="s">
        <v>1709</v>
      </c>
      <c r="C2672" s="328" t="s">
        <v>769</v>
      </c>
      <c r="D2672" s="330">
        <v>6</v>
      </c>
      <c r="E2672" s="331">
        <v>55</v>
      </c>
      <c r="F2672" s="331">
        <v>27732.5</v>
      </c>
      <c r="G2672" s="328" t="s">
        <v>1710</v>
      </c>
      <c r="H2672" s="328" t="s">
        <v>1775</v>
      </c>
      <c r="I2672" s="328" t="s">
        <v>110</v>
      </c>
      <c r="J2672" s="328" t="s">
        <v>757</v>
      </c>
      <c r="K2672" s="328" t="s">
        <v>770</v>
      </c>
      <c r="L2672" s="329">
        <v>44165</v>
      </c>
      <c r="M2672" s="332">
        <v>0</v>
      </c>
    </row>
    <row r="2673" spans="1:13" hidden="1" x14ac:dyDescent="0.25">
      <c r="A2673" s="329">
        <v>44196</v>
      </c>
      <c r="B2673" s="328" t="s">
        <v>1711</v>
      </c>
      <c r="C2673" s="328" t="s">
        <v>1060</v>
      </c>
      <c r="D2673" s="330">
        <v>6</v>
      </c>
      <c r="E2673" s="331">
        <v>71.5</v>
      </c>
      <c r="F2673" s="331">
        <v>27804</v>
      </c>
      <c r="G2673" s="328" t="s">
        <v>1712</v>
      </c>
      <c r="H2673" s="328" t="s">
        <v>1775</v>
      </c>
      <c r="I2673" s="328" t="s">
        <v>110</v>
      </c>
      <c r="J2673" s="328" t="s">
        <v>757</v>
      </c>
      <c r="K2673" s="328" t="s">
        <v>741</v>
      </c>
      <c r="L2673" s="329">
        <v>44196</v>
      </c>
      <c r="M2673" s="332">
        <v>0</v>
      </c>
    </row>
    <row r="2674" spans="1:13" hidden="1" x14ac:dyDescent="0.25">
      <c r="A2674" s="329">
        <v>44196</v>
      </c>
      <c r="B2674" s="328" t="s">
        <v>1711</v>
      </c>
      <c r="C2674" s="328" t="s">
        <v>1060</v>
      </c>
      <c r="D2674" s="330">
        <v>7</v>
      </c>
      <c r="E2674" s="331">
        <v>-71.5</v>
      </c>
      <c r="F2674" s="331">
        <v>27732.5</v>
      </c>
      <c r="G2674" s="328" t="s">
        <v>1712</v>
      </c>
      <c r="H2674" s="328" t="s">
        <v>1775</v>
      </c>
      <c r="I2674" s="328" t="s">
        <v>110</v>
      </c>
      <c r="J2674" s="328" t="s">
        <v>757</v>
      </c>
      <c r="K2674" s="328" t="s">
        <v>741</v>
      </c>
      <c r="L2674" s="329">
        <v>44196</v>
      </c>
      <c r="M2674" s="332">
        <v>0</v>
      </c>
    </row>
    <row r="2675" spans="1:13" hidden="1" x14ac:dyDescent="0.25">
      <c r="A2675" s="329">
        <v>44196</v>
      </c>
      <c r="B2675" s="328" t="s">
        <v>1713</v>
      </c>
      <c r="C2675" s="328" t="s">
        <v>769</v>
      </c>
      <c r="D2675" s="330">
        <v>7</v>
      </c>
      <c r="E2675" s="331">
        <v>71.5</v>
      </c>
      <c r="F2675" s="331">
        <v>27804</v>
      </c>
      <c r="G2675" s="328" t="s">
        <v>1714</v>
      </c>
      <c r="H2675" s="328" t="s">
        <v>1775</v>
      </c>
      <c r="I2675" s="328" t="s">
        <v>110</v>
      </c>
      <c r="J2675" s="328" t="s">
        <v>757</v>
      </c>
      <c r="K2675" s="328" t="s">
        <v>770</v>
      </c>
      <c r="L2675" s="329">
        <v>44196</v>
      </c>
      <c r="M2675" s="332">
        <v>0</v>
      </c>
    </row>
    <row r="2676" spans="1:13" hidden="1" x14ac:dyDescent="0.25">
      <c r="A2676" s="329">
        <v>44227</v>
      </c>
      <c r="B2676" s="328" t="s">
        <v>1715</v>
      </c>
      <c r="C2676" s="328" t="s">
        <v>1060</v>
      </c>
      <c r="D2676" s="330">
        <v>7</v>
      </c>
      <c r="E2676" s="331">
        <v>71.5</v>
      </c>
      <c r="F2676" s="331">
        <v>27875.5</v>
      </c>
      <c r="G2676" s="328" t="s">
        <v>1716</v>
      </c>
      <c r="H2676" s="328" t="s">
        <v>1775</v>
      </c>
      <c r="I2676" s="328" t="s">
        <v>110</v>
      </c>
      <c r="J2676" s="328" t="s">
        <v>757</v>
      </c>
      <c r="K2676" s="328" t="s">
        <v>741</v>
      </c>
      <c r="L2676" s="329">
        <v>44227</v>
      </c>
      <c r="M2676" s="332">
        <v>0</v>
      </c>
    </row>
    <row r="2677" spans="1:13" hidden="1" x14ac:dyDescent="0.25">
      <c r="A2677" s="329">
        <v>44227</v>
      </c>
      <c r="B2677" s="328" t="s">
        <v>1715</v>
      </c>
      <c r="C2677" s="328" t="s">
        <v>1060</v>
      </c>
      <c r="D2677" s="330">
        <v>8</v>
      </c>
      <c r="E2677" s="331">
        <v>-71.5</v>
      </c>
      <c r="F2677" s="331">
        <v>27804</v>
      </c>
      <c r="G2677" s="328" t="s">
        <v>1716</v>
      </c>
      <c r="H2677" s="328" t="s">
        <v>1775</v>
      </c>
      <c r="I2677" s="328" t="s">
        <v>110</v>
      </c>
      <c r="J2677" s="328" t="s">
        <v>757</v>
      </c>
      <c r="K2677" s="328" t="s">
        <v>741</v>
      </c>
      <c r="L2677" s="329">
        <v>44227</v>
      </c>
      <c r="M2677" s="332">
        <v>0</v>
      </c>
    </row>
    <row r="2678" spans="1:13" hidden="1" x14ac:dyDescent="0.25">
      <c r="A2678" s="329">
        <v>44227</v>
      </c>
      <c r="B2678" s="328" t="s">
        <v>1717</v>
      </c>
      <c r="C2678" s="328" t="s">
        <v>769</v>
      </c>
      <c r="D2678" s="330">
        <v>8</v>
      </c>
      <c r="E2678" s="331">
        <v>71.5</v>
      </c>
      <c r="F2678" s="331">
        <v>27875.5</v>
      </c>
      <c r="G2678" s="328" t="s">
        <v>1718</v>
      </c>
      <c r="H2678" s="328" t="s">
        <v>1775</v>
      </c>
      <c r="I2678" s="328" t="s">
        <v>110</v>
      </c>
      <c r="J2678" s="328" t="s">
        <v>757</v>
      </c>
      <c r="K2678" s="328" t="s">
        <v>770</v>
      </c>
      <c r="L2678" s="329">
        <v>44227</v>
      </c>
      <c r="M2678" s="332">
        <v>0</v>
      </c>
    </row>
    <row r="2679" spans="1:13" hidden="1" x14ac:dyDescent="0.25">
      <c r="A2679" s="329">
        <v>44255</v>
      </c>
      <c r="B2679" s="328" t="s">
        <v>1720</v>
      </c>
      <c r="C2679" s="328" t="s">
        <v>1060</v>
      </c>
      <c r="D2679" s="330">
        <v>8</v>
      </c>
      <c r="E2679" s="331">
        <v>66</v>
      </c>
      <c r="F2679" s="331">
        <v>27941.5</v>
      </c>
      <c r="G2679" s="328" t="s">
        <v>1721</v>
      </c>
      <c r="H2679" s="328" t="s">
        <v>1775</v>
      </c>
      <c r="I2679" s="328" t="s">
        <v>110</v>
      </c>
      <c r="J2679" s="328" t="s">
        <v>757</v>
      </c>
      <c r="K2679" s="328" t="s">
        <v>741</v>
      </c>
      <c r="L2679" s="329">
        <v>44255</v>
      </c>
      <c r="M2679" s="332">
        <v>0</v>
      </c>
    </row>
    <row r="2680" spans="1:13" hidden="1" x14ac:dyDescent="0.25">
      <c r="A2680" s="329">
        <v>44255</v>
      </c>
      <c r="B2680" s="328" t="s">
        <v>1720</v>
      </c>
      <c r="C2680" s="328" t="s">
        <v>1060</v>
      </c>
      <c r="D2680" s="330">
        <v>9</v>
      </c>
      <c r="E2680" s="331">
        <v>-66</v>
      </c>
      <c r="F2680" s="331">
        <v>27875.5</v>
      </c>
      <c r="G2680" s="328" t="s">
        <v>1721</v>
      </c>
      <c r="H2680" s="328" t="s">
        <v>1775</v>
      </c>
      <c r="I2680" s="328" t="s">
        <v>110</v>
      </c>
      <c r="J2680" s="328" t="s">
        <v>757</v>
      </c>
      <c r="K2680" s="328" t="s">
        <v>741</v>
      </c>
      <c r="L2680" s="329">
        <v>44255</v>
      </c>
      <c r="M2680" s="332">
        <v>0</v>
      </c>
    </row>
    <row r="2681" spans="1:13" hidden="1" x14ac:dyDescent="0.25">
      <c r="A2681" s="329">
        <v>44255</v>
      </c>
      <c r="B2681" s="328" t="s">
        <v>1722</v>
      </c>
      <c r="C2681" s="328" t="s">
        <v>769</v>
      </c>
      <c r="D2681" s="330">
        <v>9</v>
      </c>
      <c r="E2681" s="331">
        <v>66</v>
      </c>
      <c r="F2681" s="331">
        <v>27941.5</v>
      </c>
      <c r="G2681" s="328" t="s">
        <v>1723</v>
      </c>
      <c r="H2681" s="328" t="s">
        <v>1775</v>
      </c>
      <c r="I2681" s="328" t="s">
        <v>110</v>
      </c>
      <c r="J2681" s="328" t="s">
        <v>757</v>
      </c>
      <c r="K2681" s="328" t="s">
        <v>770</v>
      </c>
      <c r="L2681" s="329">
        <v>44255</v>
      </c>
      <c r="M2681" s="332">
        <v>0</v>
      </c>
    </row>
    <row r="2682" spans="1:13" hidden="1" x14ac:dyDescent="0.25">
      <c r="A2682" s="329">
        <v>44286</v>
      </c>
      <c r="B2682" s="328" t="s">
        <v>1724</v>
      </c>
      <c r="C2682" s="328" t="s">
        <v>1060</v>
      </c>
      <c r="D2682" s="330">
        <v>9</v>
      </c>
      <c r="E2682" s="331">
        <v>99</v>
      </c>
      <c r="F2682" s="331">
        <v>28040.5</v>
      </c>
      <c r="G2682" s="328" t="s">
        <v>1725</v>
      </c>
      <c r="H2682" s="328" t="s">
        <v>1775</v>
      </c>
      <c r="I2682" s="328" t="s">
        <v>110</v>
      </c>
      <c r="J2682" s="328" t="s">
        <v>757</v>
      </c>
      <c r="K2682" s="328" t="s">
        <v>741</v>
      </c>
      <c r="L2682" s="329">
        <v>44286</v>
      </c>
      <c r="M2682" s="332">
        <v>0</v>
      </c>
    </row>
    <row r="2683" spans="1:13" hidden="1" x14ac:dyDescent="0.25">
      <c r="A2683" s="329">
        <v>44286</v>
      </c>
      <c r="B2683" s="328" t="s">
        <v>1726</v>
      </c>
      <c r="C2683" s="328" t="s">
        <v>769</v>
      </c>
      <c r="D2683" s="330">
        <v>10</v>
      </c>
      <c r="E2683" s="331">
        <v>99</v>
      </c>
      <c r="F2683" s="331">
        <v>28139.5</v>
      </c>
      <c r="G2683" s="328" t="s">
        <v>1727</v>
      </c>
      <c r="H2683" s="328" t="s">
        <v>1775</v>
      </c>
      <c r="I2683" s="328" t="s">
        <v>110</v>
      </c>
      <c r="J2683" s="328" t="s">
        <v>757</v>
      </c>
      <c r="K2683" s="328" t="s">
        <v>770</v>
      </c>
      <c r="L2683" s="329">
        <v>44286</v>
      </c>
      <c r="M2683" s="332">
        <v>0</v>
      </c>
    </row>
    <row r="2684" spans="1:13" hidden="1" x14ac:dyDescent="0.25">
      <c r="A2684" s="329">
        <v>44286</v>
      </c>
      <c r="B2684" s="328" t="s">
        <v>1724</v>
      </c>
      <c r="C2684" s="328" t="s">
        <v>1060</v>
      </c>
      <c r="D2684" s="330">
        <v>10</v>
      </c>
      <c r="E2684" s="331">
        <v>-99</v>
      </c>
      <c r="F2684" s="331">
        <v>28040.5</v>
      </c>
      <c r="G2684" s="328" t="s">
        <v>1725</v>
      </c>
      <c r="H2684" s="328" t="s">
        <v>1775</v>
      </c>
      <c r="I2684" s="328" t="s">
        <v>110</v>
      </c>
      <c r="J2684" s="328" t="s">
        <v>757</v>
      </c>
      <c r="K2684" s="328" t="s">
        <v>741</v>
      </c>
      <c r="L2684" s="329">
        <v>44286</v>
      </c>
      <c r="M2684" s="332">
        <v>0</v>
      </c>
    </row>
    <row r="2685" spans="1:13" hidden="1" x14ac:dyDescent="0.25">
      <c r="A2685" s="329">
        <v>44316</v>
      </c>
      <c r="B2685" s="328" t="s">
        <v>1728</v>
      </c>
      <c r="C2685" s="328" t="s">
        <v>1060</v>
      </c>
      <c r="D2685" s="330">
        <v>10</v>
      </c>
      <c r="E2685" s="331">
        <v>66</v>
      </c>
      <c r="F2685" s="331">
        <v>28106.5</v>
      </c>
      <c r="G2685" s="328" t="s">
        <v>1729</v>
      </c>
      <c r="H2685" s="328" t="s">
        <v>1775</v>
      </c>
      <c r="I2685" s="328" t="s">
        <v>110</v>
      </c>
      <c r="J2685" s="328" t="s">
        <v>757</v>
      </c>
      <c r="K2685" s="328" t="s">
        <v>741</v>
      </c>
      <c r="L2685" s="329">
        <v>44316</v>
      </c>
      <c r="M2685" s="332">
        <v>0</v>
      </c>
    </row>
    <row r="2686" spans="1:13" hidden="1" x14ac:dyDescent="0.25">
      <c r="A2686" s="329">
        <v>44012</v>
      </c>
      <c r="B2686" s="328" t="s">
        <v>1678</v>
      </c>
      <c r="C2686" s="328" t="s">
        <v>769</v>
      </c>
      <c r="D2686" s="330">
        <v>1</v>
      </c>
      <c r="E2686" s="331">
        <v>11</v>
      </c>
      <c r="F2686" s="331">
        <v>28117.5</v>
      </c>
      <c r="G2686" s="328" t="s">
        <v>1679</v>
      </c>
      <c r="H2686" s="328" t="s">
        <v>1776</v>
      </c>
      <c r="I2686" s="328" t="s">
        <v>110</v>
      </c>
      <c r="J2686" s="328" t="s">
        <v>757</v>
      </c>
      <c r="K2686" s="328" t="s">
        <v>770</v>
      </c>
      <c r="L2686" s="329">
        <v>44012</v>
      </c>
      <c r="M2686" s="332">
        <v>0</v>
      </c>
    </row>
    <row r="2687" spans="1:13" hidden="1" x14ac:dyDescent="0.25">
      <c r="A2687" s="329">
        <v>44012</v>
      </c>
      <c r="B2687" s="328" t="s">
        <v>1681</v>
      </c>
      <c r="C2687" s="328" t="s">
        <v>1059</v>
      </c>
      <c r="D2687" s="330">
        <v>1</v>
      </c>
      <c r="E2687" s="331">
        <v>-11</v>
      </c>
      <c r="F2687" s="331">
        <v>28106.5</v>
      </c>
      <c r="G2687" s="328" t="s">
        <v>1682</v>
      </c>
      <c r="H2687" s="328" t="s">
        <v>1776</v>
      </c>
      <c r="I2687" s="328" t="s">
        <v>110</v>
      </c>
      <c r="J2687" s="328" t="s">
        <v>757</v>
      </c>
      <c r="K2687" s="328" t="s">
        <v>741</v>
      </c>
      <c r="L2687" s="329">
        <v>44012</v>
      </c>
      <c r="M2687" s="332">
        <v>0</v>
      </c>
    </row>
    <row r="2688" spans="1:13" hidden="1" x14ac:dyDescent="0.25">
      <c r="A2688" s="329">
        <v>44043</v>
      </c>
      <c r="B2688" s="328" t="s">
        <v>1685</v>
      </c>
      <c r="C2688" s="328" t="s">
        <v>1060</v>
      </c>
      <c r="D2688" s="330">
        <v>1</v>
      </c>
      <c r="E2688" s="331">
        <v>11</v>
      </c>
      <c r="F2688" s="331">
        <v>28117.5</v>
      </c>
      <c r="G2688" s="328" t="s">
        <v>1686</v>
      </c>
      <c r="H2688" s="328" t="s">
        <v>1776</v>
      </c>
      <c r="I2688" s="328" t="s">
        <v>110</v>
      </c>
      <c r="J2688" s="328" t="s">
        <v>757</v>
      </c>
      <c r="K2688" s="328" t="s">
        <v>741</v>
      </c>
      <c r="L2688" s="329">
        <v>44043</v>
      </c>
      <c r="M2688" s="332">
        <v>0</v>
      </c>
    </row>
    <row r="2689" spans="1:13" hidden="1" x14ac:dyDescent="0.25">
      <c r="A2689" s="329">
        <v>44043</v>
      </c>
      <c r="B2689" s="328" t="s">
        <v>1688</v>
      </c>
      <c r="C2689" s="328" t="s">
        <v>1060</v>
      </c>
      <c r="D2689" s="330">
        <v>1</v>
      </c>
      <c r="E2689" s="331">
        <v>-11</v>
      </c>
      <c r="F2689" s="331">
        <v>28106.5</v>
      </c>
      <c r="G2689" s="328" t="s">
        <v>1686</v>
      </c>
      <c r="H2689" s="328" t="s">
        <v>1776</v>
      </c>
      <c r="I2689" s="328" t="s">
        <v>110</v>
      </c>
      <c r="J2689" s="328" t="s">
        <v>757</v>
      </c>
      <c r="K2689" s="328" t="s">
        <v>741</v>
      </c>
      <c r="L2689" s="329">
        <v>44043</v>
      </c>
      <c r="M2689" s="332">
        <v>0</v>
      </c>
    </row>
    <row r="2690" spans="1:13" hidden="1" x14ac:dyDescent="0.25">
      <c r="A2690" s="329">
        <v>44043</v>
      </c>
      <c r="B2690" s="328" t="s">
        <v>1689</v>
      </c>
      <c r="C2690" s="328" t="s">
        <v>1060</v>
      </c>
      <c r="D2690" s="330">
        <v>1</v>
      </c>
      <c r="E2690" s="331">
        <v>11</v>
      </c>
      <c r="F2690" s="331">
        <v>28117.5</v>
      </c>
      <c r="G2690" s="328" t="s">
        <v>1686</v>
      </c>
      <c r="H2690" s="328" t="s">
        <v>1776</v>
      </c>
      <c r="I2690" s="328" t="s">
        <v>110</v>
      </c>
      <c r="J2690" s="328" t="s">
        <v>757</v>
      </c>
      <c r="K2690" s="328" t="s">
        <v>741</v>
      </c>
      <c r="L2690" s="329">
        <v>44043</v>
      </c>
      <c r="M2690" s="332">
        <v>0</v>
      </c>
    </row>
    <row r="2691" spans="1:13" hidden="1" x14ac:dyDescent="0.25">
      <c r="A2691" s="329">
        <v>44043</v>
      </c>
      <c r="B2691" s="328" t="s">
        <v>1691</v>
      </c>
      <c r="C2691" s="328" t="s">
        <v>769</v>
      </c>
      <c r="D2691" s="330">
        <v>2</v>
      </c>
      <c r="E2691" s="331">
        <v>11</v>
      </c>
      <c r="F2691" s="331">
        <v>28128.5</v>
      </c>
      <c r="G2691" s="328" t="s">
        <v>1692</v>
      </c>
      <c r="H2691" s="328" t="s">
        <v>1776</v>
      </c>
      <c r="I2691" s="328" t="s">
        <v>110</v>
      </c>
      <c r="J2691" s="328" t="s">
        <v>757</v>
      </c>
      <c r="K2691" s="328" t="s">
        <v>770</v>
      </c>
      <c r="L2691" s="329">
        <v>44043</v>
      </c>
      <c r="M2691" s="332">
        <v>0</v>
      </c>
    </row>
    <row r="2692" spans="1:13" hidden="1" x14ac:dyDescent="0.25">
      <c r="A2692" s="329">
        <v>44043</v>
      </c>
      <c r="B2692" s="328" t="s">
        <v>1685</v>
      </c>
      <c r="C2692" s="328" t="s">
        <v>1060</v>
      </c>
      <c r="D2692" s="330">
        <v>2</v>
      </c>
      <c r="E2692" s="331">
        <v>-11</v>
      </c>
      <c r="F2692" s="331">
        <v>28117.5</v>
      </c>
      <c r="G2692" s="328" t="s">
        <v>1686</v>
      </c>
      <c r="H2692" s="328" t="s">
        <v>1776</v>
      </c>
      <c r="I2692" s="328" t="s">
        <v>110</v>
      </c>
      <c r="J2692" s="328" t="s">
        <v>757</v>
      </c>
      <c r="K2692" s="328" t="s">
        <v>741</v>
      </c>
      <c r="L2692" s="329">
        <v>44043</v>
      </c>
      <c r="M2692" s="332">
        <v>0</v>
      </c>
    </row>
    <row r="2693" spans="1:13" hidden="1" x14ac:dyDescent="0.25">
      <c r="A2693" s="329">
        <v>44043</v>
      </c>
      <c r="B2693" s="328" t="s">
        <v>1688</v>
      </c>
      <c r="C2693" s="328" t="s">
        <v>1060</v>
      </c>
      <c r="D2693" s="330">
        <v>2</v>
      </c>
      <c r="E2693" s="331">
        <v>11</v>
      </c>
      <c r="F2693" s="331">
        <v>28128.5</v>
      </c>
      <c r="G2693" s="328" t="s">
        <v>1686</v>
      </c>
      <c r="H2693" s="328" t="s">
        <v>1776</v>
      </c>
      <c r="I2693" s="328" t="s">
        <v>110</v>
      </c>
      <c r="J2693" s="328" t="s">
        <v>757</v>
      </c>
      <c r="K2693" s="328" t="s">
        <v>741</v>
      </c>
      <c r="L2693" s="329">
        <v>44043</v>
      </c>
      <c r="M2693" s="332">
        <v>0</v>
      </c>
    </row>
    <row r="2694" spans="1:13" hidden="1" x14ac:dyDescent="0.25">
      <c r="A2694" s="329">
        <v>44043</v>
      </c>
      <c r="B2694" s="328" t="s">
        <v>1689</v>
      </c>
      <c r="C2694" s="328" t="s">
        <v>1060</v>
      </c>
      <c r="D2694" s="330">
        <v>2</v>
      </c>
      <c r="E2694" s="331">
        <v>-11</v>
      </c>
      <c r="F2694" s="331">
        <v>28117.5</v>
      </c>
      <c r="G2694" s="328" t="s">
        <v>1686</v>
      </c>
      <c r="H2694" s="328" t="s">
        <v>1776</v>
      </c>
      <c r="I2694" s="328" t="s">
        <v>110</v>
      </c>
      <c r="J2694" s="328" t="s">
        <v>757</v>
      </c>
      <c r="K2694" s="328" t="s">
        <v>741</v>
      </c>
      <c r="L2694" s="329">
        <v>44043</v>
      </c>
      <c r="M2694" s="332">
        <v>0</v>
      </c>
    </row>
    <row r="2695" spans="1:13" hidden="1" x14ac:dyDescent="0.25">
      <c r="A2695" s="329">
        <v>44074</v>
      </c>
      <c r="B2695" s="328" t="s">
        <v>1695</v>
      </c>
      <c r="C2695" s="328" t="s">
        <v>1060</v>
      </c>
      <c r="D2695" s="330">
        <v>2</v>
      </c>
      <c r="E2695" s="331">
        <v>11</v>
      </c>
      <c r="F2695" s="331">
        <v>28128.5</v>
      </c>
      <c r="G2695" s="328" t="s">
        <v>1696</v>
      </c>
      <c r="H2695" s="328" t="s">
        <v>1776</v>
      </c>
      <c r="I2695" s="328" t="s">
        <v>110</v>
      </c>
      <c r="J2695" s="328" t="s">
        <v>757</v>
      </c>
      <c r="K2695" s="328" t="s">
        <v>741</v>
      </c>
      <c r="L2695" s="329">
        <v>44074</v>
      </c>
      <c r="M2695" s="332">
        <v>0</v>
      </c>
    </row>
    <row r="2696" spans="1:13" hidden="1" x14ac:dyDescent="0.25">
      <c r="A2696" s="329">
        <v>44074</v>
      </c>
      <c r="B2696" s="328" t="s">
        <v>1697</v>
      </c>
      <c r="C2696" s="328" t="s">
        <v>769</v>
      </c>
      <c r="D2696" s="330">
        <v>3</v>
      </c>
      <c r="E2696" s="331">
        <v>11</v>
      </c>
      <c r="F2696" s="331">
        <v>28139.5</v>
      </c>
      <c r="G2696" s="328" t="s">
        <v>1698</v>
      </c>
      <c r="H2696" s="328" t="s">
        <v>1776</v>
      </c>
      <c r="I2696" s="328" t="s">
        <v>110</v>
      </c>
      <c r="J2696" s="328" t="s">
        <v>757</v>
      </c>
      <c r="K2696" s="328" t="s">
        <v>770</v>
      </c>
      <c r="L2696" s="329">
        <v>44074</v>
      </c>
      <c r="M2696" s="332">
        <v>0</v>
      </c>
    </row>
    <row r="2697" spans="1:13" hidden="1" x14ac:dyDescent="0.25">
      <c r="A2697" s="329">
        <v>44074</v>
      </c>
      <c r="B2697" s="328" t="s">
        <v>1695</v>
      </c>
      <c r="C2697" s="328" t="s">
        <v>1060</v>
      </c>
      <c r="D2697" s="330">
        <v>3</v>
      </c>
      <c r="E2697" s="331">
        <v>-11</v>
      </c>
      <c r="F2697" s="331">
        <v>28128.5</v>
      </c>
      <c r="G2697" s="328" t="s">
        <v>1696</v>
      </c>
      <c r="H2697" s="328" t="s">
        <v>1776</v>
      </c>
      <c r="I2697" s="328" t="s">
        <v>110</v>
      </c>
      <c r="J2697" s="328" t="s">
        <v>757</v>
      </c>
      <c r="K2697" s="328" t="s">
        <v>741</v>
      </c>
      <c r="L2697" s="329">
        <v>44074</v>
      </c>
      <c r="M2697" s="332">
        <v>0</v>
      </c>
    </row>
    <row r="2698" spans="1:13" hidden="1" x14ac:dyDescent="0.25">
      <c r="A2698" s="329">
        <v>44104</v>
      </c>
      <c r="B2698" s="328" t="s">
        <v>1699</v>
      </c>
      <c r="C2698" s="328" t="s">
        <v>1060</v>
      </c>
      <c r="D2698" s="330">
        <v>3</v>
      </c>
      <c r="E2698" s="331">
        <v>16.5</v>
      </c>
      <c r="F2698" s="331">
        <v>28145</v>
      </c>
      <c r="G2698" s="328" t="s">
        <v>1700</v>
      </c>
      <c r="H2698" s="328" t="s">
        <v>1776</v>
      </c>
      <c r="I2698" s="328" t="s">
        <v>110</v>
      </c>
      <c r="J2698" s="328" t="s">
        <v>757</v>
      </c>
      <c r="K2698" s="328" t="s">
        <v>741</v>
      </c>
      <c r="L2698" s="329">
        <v>44104</v>
      </c>
      <c r="M2698" s="332">
        <v>0</v>
      </c>
    </row>
    <row r="2699" spans="1:13" hidden="1" x14ac:dyDescent="0.25">
      <c r="A2699" s="329">
        <v>44104</v>
      </c>
      <c r="B2699" s="328" t="s">
        <v>1699</v>
      </c>
      <c r="C2699" s="328" t="s">
        <v>1060</v>
      </c>
      <c r="D2699" s="330">
        <v>4</v>
      </c>
      <c r="E2699" s="331">
        <v>-16.5</v>
      </c>
      <c r="F2699" s="331">
        <v>28128.5</v>
      </c>
      <c r="G2699" s="328" t="s">
        <v>1700</v>
      </c>
      <c r="H2699" s="328" t="s">
        <v>1776</v>
      </c>
      <c r="I2699" s="328" t="s">
        <v>110</v>
      </c>
      <c r="J2699" s="328" t="s">
        <v>757</v>
      </c>
      <c r="K2699" s="328" t="s">
        <v>741</v>
      </c>
      <c r="L2699" s="329">
        <v>44104</v>
      </c>
      <c r="M2699" s="332">
        <v>0</v>
      </c>
    </row>
    <row r="2700" spans="1:13" hidden="1" x14ac:dyDescent="0.25">
      <c r="A2700" s="329">
        <v>44105</v>
      </c>
      <c r="B2700" s="328" t="s">
        <v>1701</v>
      </c>
      <c r="C2700" s="328" t="s">
        <v>769</v>
      </c>
      <c r="D2700" s="330">
        <v>4</v>
      </c>
      <c r="E2700" s="331">
        <v>16.5</v>
      </c>
      <c r="F2700" s="331">
        <v>28145</v>
      </c>
      <c r="G2700" s="328" t="s">
        <v>1702</v>
      </c>
      <c r="H2700" s="328" t="s">
        <v>1776</v>
      </c>
      <c r="I2700" s="328" t="s">
        <v>110</v>
      </c>
      <c r="J2700" s="328" t="s">
        <v>757</v>
      </c>
      <c r="K2700" s="328" t="s">
        <v>770</v>
      </c>
      <c r="L2700" s="329">
        <v>44105</v>
      </c>
      <c r="M2700" s="332">
        <v>0</v>
      </c>
    </row>
    <row r="2701" spans="1:13" hidden="1" x14ac:dyDescent="0.25">
      <c r="A2701" s="329">
        <v>44135</v>
      </c>
      <c r="B2701" s="328" t="s">
        <v>1703</v>
      </c>
      <c r="C2701" s="328" t="s">
        <v>1060</v>
      </c>
      <c r="D2701" s="330">
        <v>4</v>
      </c>
      <c r="E2701" s="331">
        <v>11</v>
      </c>
      <c r="F2701" s="331">
        <v>28156</v>
      </c>
      <c r="G2701" s="328" t="s">
        <v>1704</v>
      </c>
      <c r="H2701" s="328" t="s">
        <v>1776</v>
      </c>
      <c r="I2701" s="328" t="s">
        <v>110</v>
      </c>
      <c r="J2701" s="328" t="s">
        <v>757</v>
      </c>
      <c r="K2701" s="328" t="s">
        <v>741</v>
      </c>
      <c r="L2701" s="329">
        <v>44135</v>
      </c>
      <c r="M2701" s="332">
        <v>0</v>
      </c>
    </row>
    <row r="2702" spans="1:13" hidden="1" x14ac:dyDescent="0.25">
      <c r="A2702" s="329">
        <v>44135</v>
      </c>
      <c r="B2702" s="328" t="s">
        <v>1703</v>
      </c>
      <c r="C2702" s="328" t="s">
        <v>1060</v>
      </c>
      <c r="D2702" s="330">
        <v>5</v>
      </c>
      <c r="E2702" s="331">
        <v>-11</v>
      </c>
      <c r="F2702" s="331">
        <v>28145</v>
      </c>
      <c r="G2702" s="328" t="s">
        <v>1704</v>
      </c>
      <c r="H2702" s="328" t="s">
        <v>1776</v>
      </c>
      <c r="I2702" s="328" t="s">
        <v>110</v>
      </c>
      <c r="J2702" s="328" t="s">
        <v>757</v>
      </c>
      <c r="K2702" s="328" t="s">
        <v>741</v>
      </c>
      <c r="L2702" s="329">
        <v>44135</v>
      </c>
      <c r="M2702" s="332">
        <v>0</v>
      </c>
    </row>
    <row r="2703" spans="1:13" hidden="1" x14ac:dyDescent="0.25">
      <c r="A2703" s="329">
        <v>44135</v>
      </c>
      <c r="B2703" s="328" t="s">
        <v>1705</v>
      </c>
      <c r="C2703" s="328" t="s">
        <v>769</v>
      </c>
      <c r="D2703" s="330">
        <v>5</v>
      </c>
      <c r="E2703" s="331">
        <v>11</v>
      </c>
      <c r="F2703" s="331">
        <v>28156</v>
      </c>
      <c r="G2703" s="328" t="s">
        <v>1706</v>
      </c>
      <c r="H2703" s="328" t="s">
        <v>1776</v>
      </c>
      <c r="I2703" s="328" t="s">
        <v>110</v>
      </c>
      <c r="J2703" s="328" t="s">
        <v>757</v>
      </c>
      <c r="K2703" s="328" t="s">
        <v>770</v>
      </c>
      <c r="L2703" s="329">
        <v>44135</v>
      </c>
      <c r="M2703" s="332">
        <v>0</v>
      </c>
    </row>
    <row r="2704" spans="1:13" hidden="1" x14ac:dyDescent="0.25">
      <c r="A2704" s="329">
        <v>44165</v>
      </c>
      <c r="B2704" s="328" t="s">
        <v>1707</v>
      </c>
      <c r="C2704" s="328" t="s">
        <v>1060</v>
      </c>
      <c r="D2704" s="330">
        <v>5</v>
      </c>
      <c r="E2704" s="331">
        <v>11</v>
      </c>
      <c r="F2704" s="331">
        <v>28167</v>
      </c>
      <c r="G2704" s="328" t="s">
        <v>1708</v>
      </c>
      <c r="H2704" s="328" t="s">
        <v>1776</v>
      </c>
      <c r="I2704" s="328" t="s">
        <v>110</v>
      </c>
      <c r="J2704" s="328" t="s">
        <v>757</v>
      </c>
      <c r="K2704" s="328" t="s">
        <v>741</v>
      </c>
      <c r="L2704" s="329">
        <v>44165</v>
      </c>
      <c r="M2704" s="332">
        <v>0</v>
      </c>
    </row>
    <row r="2705" spans="1:13" hidden="1" x14ac:dyDescent="0.25">
      <c r="A2705" s="329">
        <v>44165</v>
      </c>
      <c r="B2705" s="328" t="s">
        <v>1709</v>
      </c>
      <c r="C2705" s="328" t="s">
        <v>769</v>
      </c>
      <c r="D2705" s="330">
        <v>6</v>
      </c>
      <c r="E2705" s="331">
        <v>11</v>
      </c>
      <c r="F2705" s="331">
        <v>28178</v>
      </c>
      <c r="G2705" s="328" t="s">
        <v>1710</v>
      </c>
      <c r="H2705" s="328" t="s">
        <v>1776</v>
      </c>
      <c r="I2705" s="328" t="s">
        <v>110</v>
      </c>
      <c r="J2705" s="328" t="s">
        <v>757</v>
      </c>
      <c r="K2705" s="328" t="s">
        <v>770</v>
      </c>
      <c r="L2705" s="329">
        <v>44165</v>
      </c>
      <c r="M2705" s="332">
        <v>0</v>
      </c>
    </row>
    <row r="2706" spans="1:13" hidden="1" x14ac:dyDescent="0.25">
      <c r="A2706" s="329">
        <v>44165</v>
      </c>
      <c r="B2706" s="328" t="s">
        <v>1707</v>
      </c>
      <c r="C2706" s="328" t="s">
        <v>1060</v>
      </c>
      <c r="D2706" s="330">
        <v>6</v>
      </c>
      <c r="E2706" s="331">
        <v>-11</v>
      </c>
      <c r="F2706" s="331">
        <v>28167</v>
      </c>
      <c r="G2706" s="328" t="s">
        <v>1708</v>
      </c>
      <c r="H2706" s="328" t="s">
        <v>1776</v>
      </c>
      <c r="I2706" s="328" t="s">
        <v>110</v>
      </c>
      <c r="J2706" s="328" t="s">
        <v>757</v>
      </c>
      <c r="K2706" s="328" t="s">
        <v>741</v>
      </c>
      <c r="L2706" s="329">
        <v>44165</v>
      </c>
      <c r="M2706" s="332">
        <v>0</v>
      </c>
    </row>
    <row r="2707" spans="1:13" hidden="1" x14ac:dyDescent="0.25">
      <c r="A2707" s="329">
        <v>44196</v>
      </c>
      <c r="B2707" s="328" t="s">
        <v>1711</v>
      </c>
      <c r="C2707" s="328" t="s">
        <v>1060</v>
      </c>
      <c r="D2707" s="330">
        <v>6</v>
      </c>
      <c r="E2707" s="331">
        <v>11</v>
      </c>
      <c r="F2707" s="331">
        <v>28178</v>
      </c>
      <c r="G2707" s="328" t="s">
        <v>1712</v>
      </c>
      <c r="H2707" s="328" t="s">
        <v>1776</v>
      </c>
      <c r="I2707" s="328" t="s">
        <v>110</v>
      </c>
      <c r="J2707" s="328" t="s">
        <v>757</v>
      </c>
      <c r="K2707" s="328" t="s">
        <v>741</v>
      </c>
      <c r="L2707" s="329">
        <v>44196</v>
      </c>
      <c r="M2707" s="332">
        <v>0</v>
      </c>
    </row>
    <row r="2708" spans="1:13" hidden="1" x14ac:dyDescent="0.25">
      <c r="A2708" s="329">
        <v>44196</v>
      </c>
      <c r="B2708" s="328" t="s">
        <v>1711</v>
      </c>
      <c r="C2708" s="328" t="s">
        <v>1060</v>
      </c>
      <c r="D2708" s="330">
        <v>7</v>
      </c>
      <c r="E2708" s="331">
        <v>-11</v>
      </c>
      <c r="F2708" s="331">
        <v>28167</v>
      </c>
      <c r="G2708" s="328" t="s">
        <v>1712</v>
      </c>
      <c r="H2708" s="328" t="s">
        <v>1776</v>
      </c>
      <c r="I2708" s="328" t="s">
        <v>110</v>
      </c>
      <c r="J2708" s="328" t="s">
        <v>757</v>
      </c>
      <c r="K2708" s="328" t="s">
        <v>741</v>
      </c>
      <c r="L2708" s="329">
        <v>44196</v>
      </c>
      <c r="M2708" s="332">
        <v>0</v>
      </c>
    </row>
    <row r="2709" spans="1:13" hidden="1" x14ac:dyDescent="0.25">
      <c r="A2709" s="329">
        <v>44196</v>
      </c>
      <c r="B2709" s="328" t="s">
        <v>1713</v>
      </c>
      <c r="C2709" s="328" t="s">
        <v>769</v>
      </c>
      <c r="D2709" s="330">
        <v>7</v>
      </c>
      <c r="E2709" s="331">
        <v>11</v>
      </c>
      <c r="F2709" s="331">
        <v>28178</v>
      </c>
      <c r="G2709" s="328" t="s">
        <v>1714</v>
      </c>
      <c r="H2709" s="328" t="s">
        <v>1776</v>
      </c>
      <c r="I2709" s="328" t="s">
        <v>110</v>
      </c>
      <c r="J2709" s="328" t="s">
        <v>757</v>
      </c>
      <c r="K2709" s="328" t="s">
        <v>770</v>
      </c>
      <c r="L2709" s="329">
        <v>44196</v>
      </c>
      <c r="M2709" s="332">
        <v>0</v>
      </c>
    </row>
    <row r="2710" spans="1:13" hidden="1" x14ac:dyDescent="0.25">
      <c r="A2710" s="329">
        <v>44227</v>
      </c>
      <c r="B2710" s="328" t="s">
        <v>1715</v>
      </c>
      <c r="C2710" s="328" t="s">
        <v>1060</v>
      </c>
      <c r="D2710" s="330">
        <v>7</v>
      </c>
      <c r="E2710" s="331">
        <v>11</v>
      </c>
      <c r="F2710" s="331">
        <v>28189</v>
      </c>
      <c r="G2710" s="328" t="s">
        <v>1716</v>
      </c>
      <c r="H2710" s="328" t="s">
        <v>1776</v>
      </c>
      <c r="I2710" s="328" t="s">
        <v>110</v>
      </c>
      <c r="J2710" s="328" t="s">
        <v>757</v>
      </c>
      <c r="K2710" s="328" t="s">
        <v>741</v>
      </c>
      <c r="L2710" s="329">
        <v>44227</v>
      </c>
      <c r="M2710" s="332">
        <v>0</v>
      </c>
    </row>
    <row r="2711" spans="1:13" hidden="1" x14ac:dyDescent="0.25">
      <c r="A2711" s="329">
        <v>44227</v>
      </c>
      <c r="B2711" s="328" t="s">
        <v>1715</v>
      </c>
      <c r="C2711" s="328" t="s">
        <v>1060</v>
      </c>
      <c r="D2711" s="330">
        <v>8</v>
      </c>
      <c r="E2711" s="331">
        <v>-11</v>
      </c>
      <c r="F2711" s="331">
        <v>28178</v>
      </c>
      <c r="G2711" s="328" t="s">
        <v>1716</v>
      </c>
      <c r="H2711" s="328" t="s">
        <v>1776</v>
      </c>
      <c r="I2711" s="328" t="s">
        <v>110</v>
      </c>
      <c r="J2711" s="328" t="s">
        <v>757</v>
      </c>
      <c r="K2711" s="328" t="s">
        <v>741</v>
      </c>
      <c r="L2711" s="329">
        <v>44227</v>
      </c>
      <c r="M2711" s="332">
        <v>0</v>
      </c>
    </row>
    <row r="2712" spans="1:13" hidden="1" x14ac:dyDescent="0.25">
      <c r="A2712" s="329">
        <v>44227</v>
      </c>
      <c r="B2712" s="328" t="s">
        <v>1717</v>
      </c>
      <c r="C2712" s="328" t="s">
        <v>769</v>
      </c>
      <c r="D2712" s="330">
        <v>8</v>
      </c>
      <c r="E2712" s="331">
        <v>11</v>
      </c>
      <c r="F2712" s="331">
        <v>28189</v>
      </c>
      <c r="G2712" s="328" t="s">
        <v>1718</v>
      </c>
      <c r="H2712" s="328" t="s">
        <v>1776</v>
      </c>
      <c r="I2712" s="328" t="s">
        <v>110</v>
      </c>
      <c r="J2712" s="328" t="s">
        <v>757</v>
      </c>
      <c r="K2712" s="328" t="s">
        <v>770</v>
      </c>
      <c r="L2712" s="329">
        <v>44227</v>
      </c>
      <c r="M2712" s="332">
        <v>0</v>
      </c>
    </row>
    <row r="2713" spans="1:13" hidden="1" x14ac:dyDescent="0.25">
      <c r="A2713" s="329">
        <v>44255</v>
      </c>
      <c r="B2713" s="328" t="s">
        <v>1720</v>
      </c>
      <c r="C2713" s="328" t="s">
        <v>1060</v>
      </c>
      <c r="D2713" s="330">
        <v>8</v>
      </c>
      <c r="E2713" s="331">
        <v>11</v>
      </c>
      <c r="F2713" s="331">
        <v>28200</v>
      </c>
      <c r="G2713" s="328" t="s">
        <v>1721</v>
      </c>
      <c r="H2713" s="328" t="s">
        <v>1776</v>
      </c>
      <c r="I2713" s="328" t="s">
        <v>110</v>
      </c>
      <c r="J2713" s="328" t="s">
        <v>757</v>
      </c>
      <c r="K2713" s="328" t="s">
        <v>741</v>
      </c>
      <c r="L2713" s="329">
        <v>44255</v>
      </c>
      <c r="M2713" s="332">
        <v>0</v>
      </c>
    </row>
    <row r="2714" spans="1:13" hidden="1" x14ac:dyDescent="0.25">
      <c r="A2714" s="329">
        <v>44255</v>
      </c>
      <c r="B2714" s="328" t="s">
        <v>1720</v>
      </c>
      <c r="C2714" s="328" t="s">
        <v>1060</v>
      </c>
      <c r="D2714" s="330">
        <v>9</v>
      </c>
      <c r="E2714" s="331">
        <v>-11</v>
      </c>
      <c r="F2714" s="331">
        <v>28189</v>
      </c>
      <c r="G2714" s="328" t="s">
        <v>1721</v>
      </c>
      <c r="H2714" s="328" t="s">
        <v>1776</v>
      </c>
      <c r="I2714" s="328" t="s">
        <v>110</v>
      </c>
      <c r="J2714" s="328" t="s">
        <v>757</v>
      </c>
      <c r="K2714" s="328" t="s">
        <v>741</v>
      </c>
      <c r="L2714" s="329">
        <v>44255</v>
      </c>
      <c r="M2714" s="332">
        <v>0</v>
      </c>
    </row>
    <row r="2715" spans="1:13" hidden="1" x14ac:dyDescent="0.25">
      <c r="A2715" s="329">
        <v>44255</v>
      </c>
      <c r="B2715" s="328" t="s">
        <v>1722</v>
      </c>
      <c r="C2715" s="328" t="s">
        <v>769</v>
      </c>
      <c r="D2715" s="330">
        <v>9</v>
      </c>
      <c r="E2715" s="331">
        <v>11</v>
      </c>
      <c r="F2715" s="331">
        <v>28200</v>
      </c>
      <c r="G2715" s="328" t="s">
        <v>1723</v>
      </c>
      <c r="H2715" s="328" t="s">
        <v>1776</v>
      </c>
      <c r="I2715" s="328" t="s">
        <v>110</v>
      </c>
      <c r="J2715" s="328" t="s">
        <v>757</v>
      </c>
      <c r="K2715" s="328" t="s">
        <v>770</v>
      </c>
      <c r="L2715" s="329">
        <v>44255</v>
      </c>
      <c r="M2715" s="332">
        <v>0</v>
      </c>
    </row>
    <row r="2716" spans="1:13" hidden="1" x14ac:dyDescent="0.25">
      <c r="A2716" s="329">
        <v>44286</v>
      </c>
      <c r="B2716" s="328" t="s">
        <v>1724</v>
      </c>
      <c r="C2716" s="328" t="s">
        <v>1060</v>
      </c>
      <c r="D2716" s="330">
        <v>9</v>
      </c>
      <c r="E2716" s="331">
        <v>16.5</v>
      </c>
      <c r="F2716" s="331">
        <v>28216.5</v>
      </c>
      <c r="G2716" s="328" t="s">
        <v>1725</v>
      </c>
      <c r="H2716" s="328" t="s">
        <v>1776</v>
      </c>
      <c r="I2716" s="328" t="s">
        <v>110</v>
      </c>
      <c r="J2716" s="328" t="s">
        <v>757</v>
      </c>
      <c r="K2716" s="328" t="s">
        <v>741</v>
      </c>
      <c r="L2716" s="329">
        <v>44286</v>
      </c>
      <c r="M2716" s="332">
        <v>0</v>
      </c>
    </row>
    <row r="2717" spans="1:13" hidden="1" x14ac:dyDescent="0.25">
      <c r="A2717" s="329">
        <v>44286</v>
      </c>
      <c r="B2717" s="328" t="s">
        <v>1726</v>
      </c>
      <c r="C2717" s="328" t="s">
        <v>769</v>
      </c>
      <c r="D2717" s="330">
        <v>10</v>
      </c>
      <c r="E2717" s="331">
        <v>16.5</v>
      </c>
      <c r="F2717" s="331">
        <v>28233</v>
      </c>
      <c r="G2717" s="328" t="s">
        <v>1727</v>
      </c>
      <c r="H2717" s="328" t="s">
        <v>1776</v>
      </c>
      <c r="I2717" s="328" t="s">
        <v>110</v>
      </c>
      <c r="J2717" s="328" t="s">
        <v>757</v>
      </c>
      <c r="K2717" s="328" t="s">
        <v>770</v>
      </c>
      <c r="L2717" s="329">
        <v>44286</v>
      </c>
      <c r="M2717" s="332">
        <v>0</v>
      </c>
    </row>
    <row r="2718" spans="1:13" hidden="1" x14ac:dyDescent="0.25">
      <c r="A2718" s="329">
        <v>44286</v>
      </c>
      <c r="B2718" s="328" t="s">
        <v>1724</v>
      </c>
      <c r="C2718" s="328" t="s">
        <v>1060</v>
      </c>
      <c r="D2718" s="330">
        <v>10</v>
      </c>
      <c r="E2718" s="331">
        <v>-16.5</v>
      </c>
      <c r="F2718" s="331">
        <v>28216.5</v>
      </c>
      <c r="G2718" s="328" t="s">
        <v>1725</v>
      </c>
      <c r="H2718" s="328" t="s">
        <v>1776</v>
      </c>
      <c r="I2718" s="328" t="s">
        <v>110</v>
      </c>
      <c r="J2718" s="328" t="s">
        <v>757</v>
      </c>
      <c r="K2718" s="328" t="s">
        <v>741</v>
      </c>
      <c r="L2718" s="329">
        <v>44286</v>
      </c>
      <c r="M2718" s="332">
        <v>0</v>
      </c>
    </row>
    <row r="2719" spans="1:13" hidden="1" x14ac:dyDescent="0.25">
      <c r="A2719" s="329">
        <v>44316</v>
      </c>
      <c r="B2719" s="328" t="s">
        <v>1728</v>
      </c>
      <c r="C2719" s="328" t="s">
        <v>1060</v>
      </c>
      <c r="D2719" s="330">
        <v>10</v>
      </c>
      <c r="E2719" s="331">
        <v>11</v>
      </c>
      <c r="F2719" s="331">
        <v>28227.5</v>
      </c>
      <c r="G2719" s="328" t="s">
        <v>1729</v>
      </c>
      <c r="H2719" s="328" t="s">
        <v>1776</v>
      </c>
      <c r="I2719" s="328" t="s">
        <v>110</v>
      </c>
      <c r="J2719" s="328" t="s">
        <v>757</v>
      </c>
      <c r="K2719" s="328" t="s">
        <v>741</v>
      </c>
      <c r="L2719" s="329">
        <v>44316</v>
      </c>
      <c r="M2719" s="332">
        <v>0</v>
      </c>
    </row>
    <row r="2720" spans="1:13" hidden="1" x14ac:dyDescent="0.25">
      <c r="A2720" s="329">
        <v>44012</v>
      </c>
      <c r="B2720" s="328" t="s">
        <v>1678</v>
      </c>
      <c r="C2720" s="328" t="s">
        <v>769</v>
      </c>
      <c r="D2720" s="330">
        <v>1</v>
      </c>
      <c r="E2720" s="331">
        <v>22</v>
      </c>
      <c r="F2720" s="331">
        <v>28249.5</v>
      </c>
      <c r="G2720" s="328" t="s">
        <v>1679</v>
      </c>
      <c r="H2720" s="328" t="s">
        <v>1777</v>
      </c>
      <c r="I2720" s="328" t="s">
        <v>110</v>
      </c>
      <c r="J2720" s="328" t="s">
        <v>757</v>
      </c>
      <c r="K2720" s="328" t="s">
        <v>770</v>
      </c>
      <c r="L2720" s="329">
        <v>44012</v>
      </c>
      <c r="M2720" s="332">
        <v>0</v>
      </c>
    </row>
    <row r="2721" spans="1:13" hidden="1" x14ac:dyDescent="0.25">
      <c r="A2721" s="329">
        <v>44012</v>
      </c>
      <c r="B2721" s="328" t="s">
        <v>1681</v>
      </c>
      <c r="C2721" s="328" t="s">
        <v>1059</v>
      </c>
      <c r="D2721" s="330">
        <v>1</v>
      </c>
      <c r="E2721" s="331">
        <v>-22</v>
      </c>
      <c r="F2721" s="331">
        <v>28227.5</v>
      </c>
      <c r="G2721" s="328" t="s">
        <v>1682</v>
      </c>
      <c r="H2721" s="328" t="s">
        <v>1777</v>
      </c>
      <c r="I2721" s="328" t="s">
        <v>110</v>
      </c>
      <c r="J2721" s="328" t="s">
        <v>757</v>
      </c>
      <c r="K2721" s="328" t="s">
        <v>741</v>
      </c>
      <c r="L2721" s="329">
        <v>44012</v>
      </c>
      <c r="M2721" s="332">
        <v>0</v>
      </c>
    </row>
    <row r="2722" spans="1:13" hidden="1" x14ac:dyDescent="0.25">
      <c r="A2722" s="329">
        <v>44043</v>
      </c>
      <c r="B2722" s="328" t="s">
        <v>1685</v>
      </c>
      <c r="C2722" s="328" t="s">
        <v>1060</v>
      </c>
      <c r="D2722" s="330">
        <v>1</v>
      </c>
      <c r="E2722" s="331">
        <v>33</v>
      </c>
      <c r="F2722" s="331">
        <v>28260.5</v>
      </c>
      <c r="G2722" s="328" t="s">
        <v>1686</v>
      </c>
      <c r="H2722" s="328" t="s">
        <v>1777</v>
      </c>
      <c r="I2722" s="328" t="s">
        <v>110</v>
      </c>
      <c r="J2722" s="328" t="s">
        <v>757</v>
      </c>
      <c r="K2722" s="328" t="s">
        <v>741</v>
      </c>
      <c r="L2722" s="329">
        <v>44043</v>
      </c>
      <c r="M2722" s="332">
        <v>0</v>
      </c>
    </row>
    <row r="2723" spans="1:13" hidden="1" x14ac:dyDescent="0.25">
      <c r="A2723" s="329">
        <v>44043</v>
      </c>
      <c r="B2723" s="328" t="s">
        <v>1688</v>
      </c>
      <c r="C2723" s="328" t="s">
        <v>1060</v>
      </c>
      <c r="D2723" s="330">
        <v>1</v>
      </c>
      <c r="E2723" s="331">
        <v>-33</v>
      </c>
      <c r="F2723" s="331">
        <v>28227.5</v>
      </c>
      <c r="G2723" s="328" t="s">
        <v>1686</v>
      </c>
      <c r="H2723" s="328" t="s">
        <v>1777</v>
      </c>
      <c r="I2723" s="328" t="s">
        <v>110</v>
      </c>
      <c r="J2723" s="328" t="s">
        <v>757</v>
      </c>
      <c r="K2723" s="328" t="s">
        <v>741</v>
      </c>
      <c r="L2723" s="329">
        <v>44043</v>
      </c>
      <c r="M2723" s="332">
        <v>0</v>
      </c>
    </row>
    <row r="2724" spans="1:13" hidden="1" x14ac:dyDescent="0.25">
      <c r="A2724" s="329">
        <v>44043</v>
      </c>
      <c r="B2724" s="328" t="s">
        <v>1689</v>
      </c>
      <c r="C2724" s="328" t="s">
        <v>1060</v>
      </c>
      <c r="D2724" s="330">
        <v>1</v>
      </c>
      <c r="E2724" s="331">
        <v>33</v>
      </c>
      <c r="F2724" s="331">
        <v>28260.5</v>
      </c>
      <c r="G2724" s="328" t="s">
        <v>1686</v>
      </c>
      <c r="H2724" s="328" t="s">
        <v>1777</v>
      </c>
      <c r="I2724" s="328" t="s">
        <v>110</v>
      </c>
      <c r="J2724" s="328" t="s">
        <v>757</v>
      </c>
      <c r="K2724" s="328" t="s">
        <v>741</v>
      </c>
      <c r="L2724" s="329">
        <v>44043</v>
      </c>
      <c r="M2724" s="332">
        <v>0</v>
      </c>
    </row>
    <row r="2725" spans="1:13" hidden="1" x14ac:dyDescent="0.25">
      <c r="A2725" s="329">
        <v>44043</v>
      </c>
      <c r="B2725" s="328" t="s">
        <v>1691</v>
      </c>
      <c r="C2725" s="328" t="s">
        <v>769</v>
      </c>
      <c r="D2725" s="330">
        <v>2</v>
      </c>
      <c r="E2725" s="331">
        <v>33</v>
      </c>
      <c r="F2725" s="331">
        <v>28293.5</v>
      </c>
      <c r="G2725" s="328" t="s">
        <v>1692</v>
      </c>
      <c r="H2725" s="328" t="s">
        <v>1777</v>
      </c>
      <c r="I2725" s="328" t="s">
        <v>110</v>
      </c>
      <c r="J2725" s="328" t="s">
        <v>757</v>
      </c>
      <c r="K2725" s="328" t="s">
        <v>770</v>
      </c>
      <c r="L2725" s="329">
        <v>44043</v>
      </c>
      <c r="M2725" s="332">
        <v>0</v>
      </c>
    </row>
    <row r="2726" spans="1:13" hidden="1" x14ac:dyDescent="0.25">
      <c r="A2726" s="329">
        <v>44043</v>
      </c>
      <c r="B2726" s="328" t="s">
        <v>1685</v>
      </c>
      <c r="C2726" s="328" t="s">
        <v>1060</v>
      </c>
      <c r="D2726" s="330">
        <v>2</v>
      </c>
      <c r="E2726" s="331">
        <v>-33</v>
      </c>
      <c r="F2726" s="331">
        <v>28260.5</v>
      </c>
      <c r="G2726" s="328" t="s">
        <v>1686</v>
      </c>
      <c r="H2726" s="328" t="s">
        <v>1777</v>
      </c>
      <c r="I2726" s="328" t="s">
        <v>110</v>
      </c>
      <c r="J2726" s="328" t="s">
        <v>757</v>
      </c>
      <c r="K2726" s="328" t="s">
        <v>741</v>
      </c>
      <c r="L2726" s="329">
        <v>44043</v>
      </c>
      <c r="M2726" s="332">
        <v>0</v>
      </c>
    </row>
    <row r="2727" spans="1:13" hidden="1" x14ac:dyDescent="0.25">
      <c r="A2727" s="329">
        <v>44043</v>
      </c>
      <c r="B2727" s="328" t="s">
        <v>1688</v>
      </c>
      <c r="C2727" s="328" t="s">
        <v>1060</v>
      </c>
      <c r="D2727" s="330">
        <v>2</v>
      </c>
      <c r="E2727" s="331">
        <v>33</v>
      </c>
      <c r="F2727" s="331">
        <v>28293.5</v>
      </c>
      <c r="G2727" s="328" t="s">
        <v>1686</v>
      </c>
      <c r="H2727" s="328" t="s">
        <v>1777</v>
      </c>
      <c r="I2727" s="328" t="s">
        <v>110</v>
      </c>
      <c r="J2727" s="328" t="s">
        <v>757</v>
      </c>
      <c r="K2727" s="328" t="s">
        <v>741</v>
      </c>
      <c r="L2727" s="329">
        <v>44043</v>
      </c>
      <c r="M2727" s="332">
        <v>0</v>
      </c>
    </row>
    <row r="2728" spans="1:13" hidden="1" x14ac:dyDescent="0.25">
      <c r="A2728" s="329">
        <v>44043</v>
      </c>
      <c r="B2728" s="328" t="s">
        <v>1689</v>
      </c>
      <c r="C2728" s="328" t="s">
        <v>1060</v>
      </c>
      <c r="D2728" s="330">
        <v>2</v>
      </c>
      <c r="E2728" s="331">
        <v>-33</v>
      </c>
      <c r="F2728" s="331">
        <v>28260.5</v>
      </c>
      <c r="G2728" s="328" t="s">
        <v>1686</v>
      </c>
      <c r="H2728" s="328" t="s">
        <v>1777</v>
      </c>
      <c r="I2728" s="328" t="s">
        <v>110</v>
      </c>
      <c r="J2728" s="328" t="s">
        <v>757</v>
      </c>
      <c r="K2728" s="328" t="s">
        <v>741</v>
      </c>
      <c r="L2728" s="329">
        <v>44043</v>
      </c>
      <c r="M2728" s="332">
        <v>0</v>
      </c>
    </row>
    <row r="2729" spans="1:13" hidden="1" x14ac:dyDescent="0.25">
      <c r="A2729" s="329">
        <v>44074</v>
      </c>
      <c r="B2729" s="328" t="s">
        <v>1695</v>
      </c>
      <c r="C2729" s="328" t="s">
        <v>1060</v>
      </c>
      <c r="D2729" s="330">
        <v>2</v>
      </c>
      <c r="E2729" s="331">
        <v>22</v>
      </c>
      <c r="F2729" s="331">
        <v>28282.5</v>
      </c>
      <c r="G2729" s="328" t="s">
        <v>1696</v>
      </c>
      <c r="H2729" s="328" t="s">
        <v>1777</v>
      </c>
      <c r="I2729" s="328" t="s">
        <v>110</v>
      </c>
      <c r="J2729" s="328" t="s">
        <v>757</v>
      </c>
      <c r="K2729" s="328" t="s">
        <v>741</v>
      </c>
      <c r="L2729" s="329">
        <v>44074</v>
      </c>
      <c r="M2729" s="332">
        <v>0</v>
      </c>
    </row>
    <row r="2730" spans="1:13" hidden="1" x14ac:dyDescent="0.25">
      <c r="A2730" s="329">
        <v>44074</v>
      </c>
      <c r="B2730" s="328" t="s">
        <v>1697</v>
      </c>
      <c r="C2730" s="328" t="s">
        <v>769</v>
      </c>
      <c r="D2730" s="330">
        <v>3</v>
      </c>
      <c r="E2730" s="331">
        <v>22</v>
      </c>
      <c r="F2730" s="331">
        <v>28304.5</v>
      </c>
      <c r="G2730" s="328" t="s">
        <v>1698</v>
      </c>
      <c r="H2730" s="328" t="s">
        <v>1777</v>
      </c>
      <c r="I2730" s="328" t="s">
        <v>110</v>
      </c>
      <c r="J2730" s="328" t="s">
        <v>757</v>
      </c>
      <c r="K2730" s="328" t="s">
        <v>770</v>
      </c>
      <c r="L2730" s="329">
        <v>44074</v>
      </c>
      <c r="M2730" s="332">
        <v>0</v>
      </c>
    </row>
    <row r="2731" spans="1:13" hidden="1" x14ac:dyDescent="0.25">
      <c r="A2731" s="329">
        <v>44074</v>
      </c>
      <c r="B2731" s="328" t="s">
        <v>1695</v>
      </c>
      <c r="C2731" s="328" t="s">
        <v>1060</v>
      </c>
      <c r="D2731" s="330">
        <v>3</v>
      </c>
      <c r="E2731" s="331">
        <v>-22</v>
      </c>
      <c r="F2731" s="331">
        <v>28282.5</v>
      </c>
      <c r="G2731" s="328" t="s">
        <v>1696</v>
      </c>
      <c r="H2731" s="328" t="s">
        <v>1777</v>
      </c>
      <c r="I2731" s="328" t="s">
        <v>110</v>
      </c>
      <c r="J2731" s="328" t="s">
        <v>757</v>
      </c>
      <c r="K2731" s="328" t="s">
        <v>741</v>
      </c>
      <c r="L2731" s="329">
        <v>44074</v>
      </c>
      <c r="M2731" s="332">
        <v>0</v>
      </c>
    </row>
    <row r="2732" spans="1:13" hidden="1" x14ac:dyDescent="0.25">
      <c r="A2732" s="329">
        <v>44104</v>
      </c>
      <c r="B2732" s="328" t="s">
        <v>1699</v>
      </c>
      <c r="C2732" s="328" t="s">
        <v>1060</v>
      </c>
      <c r="D2732" s="330">
        <v>3</v>
      </c>
      <c r="E2732" s="331">
        <v>33</v>
      </c>
      <c r="F2732" s="331">
        <v>28315.5</v>
      </c>
      <c r="G2732" s="328" t="s">
        <v>1700</v>
      </c>
      <c r="H2732" s="328" t="s">
        <v>1777</v>
      </c>
      <c r="I2732" s="328" t="s">
        <v>110</v>
      </c>
      <c r="J2732" s="328" t="s">
        <v>757</v>
      </c>
      <c r="K2732" s="328" t="s">
        <v>741</v>
      </c>
      <c r="L2732" s="329">
        <v>44104</v>
      </c>
      <c r="M2732" s="332">
        <v>0</v>
      </c>
    </row>
    <row r="2733" spans="1:13" hidden="1" x14ac:dyDescent="0.25">
      <c r="A2733" s="329">
        <v>44104</v>
      </c>
      <c r="B2733" s="328" t="s">
        <v>1699</v>
      </c>
      <c r="C2733" s="328" t="s">
        <v>1060</v>
      </c>
      <c r="D2733" s="330">
        <v>4</v>
      </c>
      <c r="E2733" s="331">
        <v>-33</v>
      </c>
      <c r="F2733" s="331">
        <v>28282.5</v>
      </c>
      <c r="G2733" s="328" t="s">
        <v>1700</v>
      </c>
      <c r="H2733" s="328" t="s">
        <v>1777</v>
      </c>
      <c r="I2733" s="328" t="s">
        <v>110</v>
      </c>
      <c r="J2733" s="328" t="s">
        <v>757</v>
      </c>
      <c r="K2733" s="328" t="s">
        <v>741</v>
      </c>
      <c r="L2733" s="329">
        <v>44104</v>
      </c>
      <c r="M2733" s="332">
        <v>0</v>
      </c>
    </row>
    <row r="2734" spans="1:13" hidden="1" x14ac:dyDescent="0.25">
      <c r="A2734" s="329">
        <v>44105</v>
      </c>
      <c r="B2734" s="328" t="s">
        <v>1701</v>
      </c>
      <c r="C2734" s="328" t="s">
        <v>769</v>
      </c>
      <c r="D2734" s="330">
        <v>4</v>
      </c>
      <c r="E2734" s="331">
        <v>33</v>
      </c>
      <c r="F2734" s="331">
        <v>28315.5</v>
      </c>
      <c r="G2734" s="328" t="s">
        <v>1702</v>
      </c>
      <c r="H2734" s="328" t="s">
        <v>1777</v>
      </c>
      <c r="I2734" s="328" t="s">
        <v>110</v>
      </c>
      <c r="J2734" s="328" t="s">
        <v>757</v>
      </c>
      <c r="K2734" s="328" t="s">
        <v>770</v>
      </c>
      <c r="L2734" s="329">
        <v>44105</v>
      </c>
      <c r="M2734" s="332">
        <v>0</v>
      </c>
    </row>
    <row r="2735" spans="1:13" hidden="1" x14ac:dyDescent="0.25">
      <c r="A2735" s="329">
        <v>44135</v>
      </c>
      <c r="B2735" s="328" t="s">
        <v>1703</v>
      </c>
      <c r="C2735" s="328" t="s">
        <v>1060</v>
      </c>
      <c r="D2735" s="330">
        <v>4</v>
      </c>
      <c r="E2735" s="331">
        <v>22</v>
      </c>
      <c r="F2735" s="331">
        <v>28337.5</v>
      </c>
      <c r="G2735" s="328" t="s">
        <v>1704</v>
      </c>
      <c r="H2735" s="328" t="s">
        <v>1777</v>
      </c>
      <c r="I2735" s="328" t="s">
        <v>110</v>
      </c>
      <c r="J2735" s="328" t="s">
        <v>757</v>
      </c>
      <c r="K2735" s="328" t="s">
        <v>741</v>
      </c>
      <c r="L2735" s="329">
        <v>44135</v>
      </c>
      <c r="M2735" s="332">
        <v>0</v>
      </c>
    </row>
    <row r="2736" spans="1:13" hidden="1" x14ac:dyDescent="0.25">
      <c r="A2736" s="329">
        <v>44135</v>
      </c>
      <c r="B2736" s="328" t="s">
        <v>1703</v>
      </c>
      <c r="C2736" s="328" t="s">
        <v>1060</v>
      </c>
      <c r="D2736" s="330">
        <v>5</v>
      </c>
      <c r="E2736" s="331">
        <v>-22</v>
      </c>
      <c r="F2736" s="331">
        <v>28315.5</v>
      </c>
      <c r="G2736" s="328" t="s">
        <v>1704</v>
      </c>
      <c r="H2736" s="328" t="s">
        <v>1777</v>
      </c>
      <c r="I2736" s="328" t="s">
        <v>110</v>
      </c>
      <c r="J2736" s="328" t="s">
        <v>757</v>
      </c>
      <c r="K2736" s="328" t="s">
        <v>741</v>
      </c>
      <c r="L2736" s="329">
        <v>44135</v>
      </c>
      <c r="M2736" s="332">
        <v>0</v>
      </c>
    </row>
    <row r="2737" spans="1:13" hidden="1" x14ac:dyDescent="0.25">
      <c r="A2737" s="329">
        <v>44135</v>
      </c>
      <c r="B2737" s="328" t="s">
        <v>1705</v>
      </c>
      <c r="C2737" s="328" t="s">
        <v>769</v>
      </c>
      <c r="D2737" s="330">
        <v>5</v>
      </c>
      <c r="E2737" s="331">
        <v>22</v>
      </c>
      <c r="F2737" s="331">
        <v>28337.5</v>
      </c>
      <c r="G2737" s="328" t="s">
        <v>1706</v>
      </c>
      <c r="H2737" s="328" t="s">
        <v>1777</v>
      </c>
      <c r="I2737" s="328" t="s">
        <v>110</v>
      </c>
      <c r="J2737" s="328" t="s">
        <v>757</v>
      </c>
      <c r="K2737" s="328" t="s">
        <v>770</v>
      </c>
      <c r="L2737" s="329">
        <v>44135</v>
      </c>
      <c r="M2737" s="332">
        <v>0</v>
      </c>
    </row>
    <row r="2738" spans="1:13" hidden="1" x14ac:dyDescent="0.25">
      <c r="A2738" s="329">
        <v>44165</v>
      </c>
      <c r="B2738" s="328" t="s">
        <v>1707</v>
      </c>
      <c r="C2738" s="328" t="s">
        <v>1060</v>
      </c>
      <c r="D2738" s="330">
        <v>5</v>
      </c>
      <c r="E2738" s="331">
        <v>22</v>
      </c>
      <c r="F2738" s="331">
        <v>28359.5</v>
      </c>
      <c r="G2738" s="328" t="s">
        <v>1708</v>
      </c>
      <c r="H2738" s="328" t="s">
        <v>1777</v>
      </c>
      <c r="I2738" s="328" t="s">
        <v>110</v>
      </c>
      <c r="J2738" s="328" t="s">
        <v>757</v>
      </c>
      <c r="K2738" s="328" t="s">
        <v>741</v>
      </c>
      <c r="L2738" s="329">
        <v>44165</v>
      </c>
      <c r="M2738" s="332">
        <v>0</v>
      </c>
    </row>
    <row r="2739" spans="1:13" hidden="1" x14ac:dyDescent="0.25">
      <c r="A2739" s="329">
        <v>44165</v>
      </c>
      <c r="B2739" s="328" t="s">
        <v>1707</v>
      </c>
      <c r="C2739" s="328" t="s">
        <v>1060</v>
      </c>
      <c r="D2739" s="330">
        <v>6</v>
      </c>
      <c r="E2739" s="331">
        <v>-22</v>
      </c>
      <c r="F2739" s="331">
        <v>28337.5</v>
      </c>
      <c r="G2739" s="328" t="s">
        <v>1708</v>
      </c>
      <c r="H2739" s="328" t="s">
        <v>1777</v>
      </c>
      <c r="I2739" s="328" t="s">
        <v>110</v>
      </c>
      <c r="J2739" s="328" t="s">
        <v>757</v>
      </c>
      <c r="K2739" s="328" t="s">
        <v>741</v>
      </c>
      <c r="L2739" s="329">
        <v>44165</v>
      </c>
      <c r="M2739" s="332">
        <v>0</v>
      </c>
    </row>
    <row r="2740" spans="1:13" hidden="1" x14ac:dyDescent="0.25">
      <c r="A2740" s="329">
        <v>44165</v>
      </c>
      <c r="B2740" s="328" t="s">
        <v>1709</v>
      </c>
      <c r="C2740" s="328" t="s">
        <v>769</v>
      </c>
      <c r="D2740" s="330">
        <v>6</v>
      </c>
      <c r="E2740" s="331">
        <v>22</v>
      </c>
      <c r="F2740" s="331">
        <v>28359.5</v>
      </c>
      <c r="G2740" s="328" t="s">
        <v>1710</v>
      </c>
      <c r="H2740" s="328" t="s">
        <v>1777</v>
      </c>
      <c r="I2740" s="328" t="s">
        <v>110</v>
      </c>
      <c r="J2740" s="328" t="s">
        <v>757</v>
      </c>
      <c r="K2740" s="328" t="s">
        <v>770</v>
      </c>
      <c r="L2740" s="329">
        <v>44165</v>
      </c>
      <c r="M2740" s="332">
        <v>0</v>
      </c>
    </row>
    <row r="2741" spans="1:13" hidden="1" x14ac:dyDescent="0.25">
      <c r="A2741" s="329">
        <v>44196</v>
      </c>
      <c r="B2741" s="328" t="s">
        <v>1711</v>
      </c>
      <c r="C2741" s="328" t="s">
        <v>1060</v>
      </c>
      <c r="D2741" s="330">
        <v>6</v>
      </c>
      <c r="E2741" s="331">
        <v>22</v>
      </c>
      <c r="F2741" s="331">
        <v>28381.5</v>
      </c>
      <c r="G2741" s="328" t="s">
        <v>1712</v>
      </c>
      <c r="H2741" s="328" t="s">
        <v>1777</v>
      </c>
      <c r="I2741" s="328" t="s">
        <v>110</v>
      </c>
      <c r="J2741" s="328" t="s">
        <v>757</v>
      </c>
      <c r="K2741" s="328" t="s">
        <v>741</v>
      </c>
      <c r="L2741" s="329">
        <v>44196</v>
      </c>
      <c r="M2741" s="332">
        <v>0</v>
      </c>
    </row>
    <row r="2742" spans="1:13" hidden="1" x14ac:dyDescent="0.25">
      <c r="A2742" s="329">
        <v>44196</v>
      </c>
      <c r="B2742" s="328" t="s">
        <v>1711</v>
      </c>
      <c r="C2742" s="328" t="s">
        <v>1060</v>
      </c>
      <c r="D2742" s="330">
        <v>7</v>
      </c>
      <c r="E2742" s="331">
        <v>-22</v>
      </c>
      <c r="F2742" s="331">
        <v>28359.5</v>
      </c>
      <c r="G2742" s="328" t="s">
        <v>1712</v>
      </c>
      <c r="H2742" s="328" t="s">
        <v>1777</v>
      </c>
      <c r="I2742" s="328" t="s">
        <v>110</v>
      </c>
      <c r="J2742" s="328" t="s">
        <v>757</v>
      </c>
      <c r="K2742" s="328" t="s">
        <v>741</v>
      </c>
      <c r="L2742" s="329">
        <v>44196</v>
      </c>
      <c r="M2742" s="332">
        <v>0</v>
      </c>
    </row>
    <row r="2743" spans="1:13" hidden="1" x14ac:dyDescent="0.25">
      <c r="A2743" s="329">
        <v>44196</v>
      </c>
      <c r="B2743" s="328" t="s">
        <v>1713</v>
      </c>
      <c r="C2743" s="328" t="s">
        <v>769</v>
      </c>
      <c r="D2743" s="330">
        <v>7</v>
      </c>
      <c r="E2743" s="331">
        <v>22</v>
      </c>
      <c r="F2743" s="331">
        <v>28381.5</v>
      </c>
      <c r="G2743" s="328" t="s">
        <v>1714</v>
      </c>
      <c r="H2743" s="328" t="s">
        <v>1777</v>
      </c>
      <c r="I2743" s="328" t="s">
        <v>110</v>
      </c>
      <c r="J2743" s="328" t="s">
        <v>757</v>
      </c>
      <c r="K2743" s="328" t="s">
        <v>770</v>
      </c>
      <c r="L2743" s="329">
        <v>44196</v>
      </c>
      <c r="M2743" s="332">
        <v>0</v>
      </c>
    </row>
    <row r="2744" spans="1:13" hidden="1" x14ac:dyDescent="0.25">
      <c r="A2744" s="329">
        <v>44227</v>
      </c>
      <c r="B2744" s="328" t="s">
        <v>1715</v>
      </c>
      <c r="C2744" s="328" t="s">
        <v>1060</v>
      </c>
      <c r="D2744" s="330">
        <v>7</v>
      </c>
      <c r="E2744" s="331">
        <v>22</v>
      </c>
      <c r="F2744" s="331">
        <v>28403.5</v>
      </c>
      <c r="G2744" s="328" t="s">
        <v>1716</v>
      </c>
      <c r="H2744" s="328" t="s">
        <v>1777</v>
      </c>
      <c r="I2744" s="328" t="s">
        <v>110</v>
      </c>
      <c r="J2744" s="328" t="s">
        <v>757</v>
      </c>
      <c r="K2744" s="328" t="s">
        <v>741</v>
      </c>
      <c r="L2744" s="329">
        <v>44227</v>
      </c>
      <c r="M2744" s="332">
        <v>0</v>
      </c>
    </row>
    <row r="2745" spans="1:13" hidden="1" x14ac:dyDescent="0.25">
      <c r="A2745" s="329">
        <v>44227</v>
      </c>
      <c r="B2745" s="328" t="s">
        <v>1715</v>
      </c>
      <c r="C2745" s="328" t="s">
        <v>1060</v>
      </c>
      <c r="D2745" s="330">
        <v>8</v>
      </c>
      <c r="E2745" s="331">
        <v>-22</v>
      </c>
      <c r="F2745" s="331">
        <v>28381.5</v>
      </c>
      <c r="G2745" s="328" t="s">
        <v>1716</v>
      </c>
      <c r="H2745" s="328" t="s">
        <v>1777</v>
      </c>
      <c r="I2745" s="328" t="s">
        <v>110</v>
      </c>
      <c r="J2745" s="328" t="s">
        <v>757</v>
      </c>
      <c r="K2745" s="328" t="s">
        <v>741</v>
      </c>
      <c r="L2745" s="329">
        <v>44227</v>
      </c>
      <c r="M2745" s="332">
        <v>0</v>
      </c>
    </row>
    <row r="2746" spans="1:13" hidden="1" x14ac:dyDescent="0.25">
      <c r="A2746" s="329">
        <v>44227</v>
      </c>
      <c r="B2746" s="328" t="s">
        <v>1717</v>
      </c>
      <c r="C2746" s="328" t="s">
        <v>769</v>
      </c>
      <c r="D2746" s="330">
        <v>8</v>
      </c>
      <c r="E2746" s="331">
        <v>22</v>
      </c>
      <c r="F2746" s="331">
        <v>28403.5</v>
      </c>
      <c r="G2746" s="328" t="s">
        <v>1718</v>
      </c>
      <c r="H2746" s="328" t="s">
        <v>1777</v>
      </c>
      <c r="I2746" s="328" t="s">
        <v>110</v>
      </c>
      <c r="J2746" s="328" t="s">
        <v>757</v>
      </c>
      <c r="K2746" s="328" t="s">
        <v>770</v>
      </c>
      <c r="L2746" s="329">
        <v>44227</v>
      </c>
      <c r="M2746" s="332">
        <v>0</v>
      </c>
    </row>
    <row r="2747" spans="1:13" hidden="1" x14ac:dyDescent="0.25">
      <c r="A2747" s="329">
        <v>44255</v>
      </c>
      <c r="B2747" s="328" t="s">
        <v>1720</v>
      </c>
      <c r="C2747" s="328" t="s">
        <v>1060</v>
      </c>
      <c r="D2747" s="330">
        <v>8</v>
      </c>
      <c r="E2747" s="331">
        <v>22</v>
      </c>
      <c r="F2747" s="331">
        <v>28425.5</v>
      </c>
      <c r="G2747" s="328" t="s">
        <v>1721</v>
      </c>
      <c r="H2747" s="328" t="s">
        <v>1777</v>
      </c>
      <c r="I2747" s="328" t="s">
        <v>110</v>
      </c>
      <c r="J2747" s="328" t="s">
        <v>757</v>
      </c>
      <c r="K2747" s="328" t="s">
        <v>741</v>
      </c>
      <c r="L2747" s="329">
        <v>44255</v>
      </c>
      <c r="M2747" s="332">
        <v>0</v>
      </c>
    </row>
    <row r="2748" spans="1:13" hidden="1" x14ac:dyDescent="0.25">
      <c r="A2748" s="329">
        <v>44255</v>
      </c>
      <c r="B2748" s="328" t="s">
        <v>1720</v>
      </c>
      <c r="C2748" s="328" t="s">
        <v>1060</v>
      </c>
      <c r="D2748" s="330">
        <v>9</v>
      </c>
      <c r="E2748" s="331">
        <v>-22</v>
      </c>
      <c r="F2748" s="331">
        <v>28403.5</v>
      </c>
      <c r="G2748" s="328" t="s">
        <v>1721</v>
      </c>
      <c r="H2748" s="328" t="s">
        <v>1777</v>
      </c>
      <c r="I2748" s="328" t="s">
        <v>110</v>
      </c>
      <c r="J2748" s="328" t="s">
        <v>757</v>
      </c>
      <c r="K2748" s="328" t="s">
        <v>741</v>
      </c>
      <c r="L2748" s="329">
        <v>44255</v>
      </c>
      <c r="M2748" s="332">
        <v>0</v>
      </c>
    </row>
    <row r="2749" spans="1:13" hidden="1" x14ac:dyDescent="0.25">
      <c r="A2749" s="329">
        <v>44255</v>
      </c>
      <c r="B2749" s="328" t="s">
        <v>1722</v>
      </c>
      <c r="C2749" s="328" t="s">
        <v>769</v>
      </c>
      <c r="D2749" s="330">
        <v>9</v>
      </c>
      <c r="E2749" s="331">
        <v>22</v>
      </c>
      <c r="F2749" s="331">
        <v>28425.5</v>
      </c>
      <c r="G2749" s="328" t="s">
        <v>1723</v>
      </c>
      <c r="H2749" s="328" t="s">
        <v>1777</v>
      </c>
      <c r="I2749" s="328" t="s">
        <v>110</v>
      </c>
      <c r="J2749" s="328" t="s">
        <v>757</v>
      </c>
      <c r="K2749" s="328" t="s">
        <v>770</v>
      </c>
      <c r="L2749" s="329">
        <v>44255</v>
      </c>
      <c r="M2749" s="332">
        <v>0</v>
      </c>
    </row>
    <row r="2750" spans="1:13" hidden="1" x14ac:dyDescent="0.25">
      <c r="A2750" s="329">
        <v>44286</v>
      </c>
      <c r="B2750" s="328" t="s">
        <v>1724</v>
      </c>
      <c r="C2750" s="328" t="s">
        <v>1060</v>
      </c>
      <c r="D2750" s="330">
        <v>9</v>
      </c>
      <c r="E2750" s="331">
        <v>33</v>
      </c>
      <c r="F2750" s="331">
        <v>28458.5</v>
      </c>
      <c r="G2750" s="328" t="s">
        <v>1725</v>
      </c>
      <c r="H2750" s="328" t="s">
        <v>1777</v>
      </c>
      <c r="I2750" s="328" t="s">
        <v>110</v>
      </c>
      <c r="J2750" s="328" t="s">
        <v>757</v>
      </c>
      <c r="K2750" s="328" t="s">
        <v>741</v>
      </c>
      <c r="L2750" s="329">
        <v>44286</v>
      </c>
      <c r="M2750" s="332">
        <v>0</v>
      </c>
    </row>
    <row r="2751" spans="1:13" hidden="1" x14ac:dyDescent="0.25">
      <c r="A2751" s="329">
        <v>44286</v>
      </c>
      <c r="B2751" s="328" t="s">
        <v>1726</v>
      </c>
      <c r="C2751" s="328" t="s">
        <v>769</v>
      </c>
      <c r="D2751" s="330">
        <v>10</v>
      </c>
      <c r="E2751" s="331">
        <v>33</v>
      </c>
      <c r="F2751" s="331">
        <v>28491.5</v>
      </c>
      <c r="G2751" s="328" t="s">
        <v>1727</v>
      </c>
      <c r="H2751" s="328" t="s">
        <v>1777</v>
      </c>
      <c r="I2751" s="328" t="s">
        <v>110</v>
      </c>
      <c r="J2751" s="328" t="s">
        <v>757</v>
      </c>
      <c r="K2751" s="328" t="s">
        <v>770</v>
      </c>
      <c r="L2751" s="329">
        <v>44286</v>
      </c>
      <c r="M2751" s="332">
        <v>0</v>
      </c>
    </row>
    <row r="2752" spans="1:13" hidden="1" x14ac:dyDescent="0.25">
      <c r="A2752" s="329">
        <v>44286</v>
      </c>
      <c r="B2752" s="328" t="s">
        <v>1724</v>
      </c>
      <c r="C2752" s="328" t="s">
        <v>1060</v>
      </c>
      <c r="D2752" s="330">
        <v>10</v>
      </c>
      <c r="E2752" s="331">
        <v>-33</v>
      </c>
      <c r="F2752" s="331">
        <v>28458.5</v>
      </c>
      <c r="G2752" s="328" t="s">
        <v>1725</v>
      </c>
      <c r="H2752" s="328" t="s">
        <v>1777</v>
      </c>
      <c r="I2752" s="328" t="s">
        <v>110</v>
      </c>
      <c r="J2752" s="328" t="s">
        <v>757</v>
      </c>
      <c r="K2752" s="328" t="s">
        <v>741</v>
      </c>
      <c r="L2752" s="329">
        <v>44286</v>
      </c>
      <c r="M2752" s="332">
        <v>0</v>
      </c>
    </row>
    <row r="2753" spans="1:13" hidden="1" x14ac:dyDescent="0.25">
      <c r="A2753" s="329">
        <v>44316</v>
      </c>
      <c r="B2753" s="328" t="s">
        <v>1728</v>
      </c>
      <c r="C2753" s="328" t="s">
        <v>1060</v>
      </c>
      <c r="D2753" s="330">
        <v>10</v>
      </c>
      <c r="E2753" s="331">
        <v>27.5</v>
      </c>
      <c r="F2753" s="331">
        <v>28486</v>
      </c>
      <c r="G2753" s="328" t="s">
        <v>1729</v>
      </c>
      <c r="H2753" s="328" t="s">
        <v>1777</v>
      </c>
      <c r="I2753" s="328" t="s">
        <v>110</v>
      </c>
      <c r="J2753" s="328" t="s">
        <v>757</v>
      </c>
      <c r="K2753" s="328" t="s">
        <v>741</v>
      </c>
      <c r="L2753" s="329">
        <v>44316</v>
      </c>
      <c r="M2753" s="332">
        <v>0</v>
      </c>
    </row>
    <row r="2754" spans="1:13" hidden="1" x14ac:dyDescent="0.25">
      <c r="A2754" s="329">
        <v>44012</v>
      </c>
      <c r="B2754" s="328" t="s">
        <v>1678</v>
      </c>
      <c r="C2754" s="328" t="s">
        <v>769</v>
      </c>
      <c r="D2754" s="330">
        <v>1</v>
      </c>
      <c r="E2754" s="331">
        <v>198</v>
      </c>
      <c r="F2754" s="331">
        <v>28684</v>
      </c>
      <c r="G2754" s="328" t="s">
        <v>1679</v>
      </c>
      <c r="H2754" s="328" t="s">
        <v>1778</v>
      </c>
      <c r="I2754" s="328" t="s">
        <v>110</v>
      </c>
      <c r="J2754" s="328" t="s">
        <v>757</v>
      </c>
      <c r="K2754" s="328" t="s">
        <v>770</v>
      </c>
      <c r="L2754" s="329">
        <v>44012</v>
      </c>
      <c r="M2754" s="332">
        <v>0</v>
      </c>
    </row>
    <row r="2755" spans="1:13" hidden="1" x14ac:dyDescent="0.25">
      <c r="A2755" s="329">
        <v>44012</v>
      </c>
      <c r="B2755" s="328" t="s">
        <v>1681</v>
      </c>
      <c r="C2755" s="328" t="s">
        <v>1059</v>
      </c>
      <c r="D2755" s="330">
        <v>1</v>
      </c>
      <c r="E2755" s="331">
        <v>-198</v>
      </c>
      <c r="F2755" s="331">
        <v>28486</v>
      </c>
      <c r="G2755" s="328" t="s">
        <v>1682</v>
      </c>
      <c r="H2755" s="328" t="s">
        <v>1778</v>
      </c>
      <c r="I2755" s="328" t="s">
        <v>110</v>
      </c>
      <c r="J2755" s="328" t="s">
        <v>757</v>
      </c>
      <c r="K2755" s="328" t="s">
        <v>741</v>
      </c>
      <c r="L2755" s="329">
        <v>44012</v>
      </c>
      <c r="M2755" s="332">
        <v>0</v>
      </c>
    </row>
    <row r="2756" spans="1:13" hidden="1" x14ac:dyDescent="0.25">
      <c r="A2756" s="329">
        <v>44043</v>
      </c>
      <c r="B2756" s="328" t="s">
        <v>1685</v>
      </c>
      <c r="C2756" s="328" t="s">
        <v>1060</v>
      </c>
      <c r="D2756" s="330">
        <v>1</v>
      </c>
      <c r="E2756" s="331">
        <v>214.5</v>
      </c>
      <c r="F2756" s="331">
        <v>28700.5</v>
      </c>
      <c r="G2756" s="328" t="s">
        <v>1686</v>
      </c>
      <c r="H2756" s="328" t="s">
        <v>1778</v>
      </c>
      <c r="I2756" s="328" t="s">
        <v>110</v>
      </c>
      <c r="J2756" s="328" t="s">
        <v>757</v>
      </c>
      <c r="K2756" s="328" t="s">
        <v>741</v>
      </c>
      <c r="L2756" s="329">
        <v>44043</v>
      </c>
      <c r="M2756" s="332">
        <v>0</v>
      </c>
    </row>
    <row r="2757" spans="1:13" hidden="1" x14ac:dyDescent="0.25">
      <c r="A2757" s="329">
        <v>44043</v>
      </c>
      <c r="B2757" s="328" t="s">
        <v>1688</v>
      </c>
      <c r="C2757" s="328" t="s">
        <v>1060</v>
      </c>
      <c r="D2757" s="330">
        <v>1</v>
      </c>
      <c r="E2757" s="331">
        <v>-214.5</v>
      </c>
      <c r="F2757" s="331">
        <v>28486</v>
      </c>
      <c r="G2757" s="328" t="s">
        <v>1686</v>
      </c>
      <c r="H2757" s="328" t="s">
        <v>1778</v>
      </c>
      <c r="I2757" s="328" t="s">
        <v>110</v>
      </c>
      <c r="J2757" s="328" t="s">
        <v>757</v>
      </c>
      <c r="K2757" s="328" t="s">
        <v>741</v>
      </c>
      <c r="L2757" s="329">
        <v>44043</v>
      </c>
      <c r="M2757" s="332">
        <v>0</v>
      </c>
    </row>
    <row r="2758" spans="1:13" hidden="1" x14ac:dyDescent="0.25">
      <c r="A2758" s="329">
        <v>44043</v>
      </c>
      <c r="B2758" s="328" t="s">
        <v>1689</v>
      </c>
      <c r="C2758" s="328" t="s">
        <v>1060</v>
      </c>
      <c r="D2758" s="330">
        <v>1</v>
      </c>
      <c r="E2758" s="331">
        <v>214.5</v>
      </c>
      <c r="F2758" s="331">
        <v>28700.5</v>
      </c>
      <c r="G2758" s="328" t="s">
        <v>1686</v>
      </c>
      <c r="H2758" s="328" t="s">
        <v>1778</v>
      </c>
      <c r="I2758" s="328" t="s">
        <v>110</v>
      </c>
      <c r="J2758" s="328" t="s">
        <v>757</v>
      </c>
      <c r="K2758" s="328" t="s">
        <v>741</v>
      </c>
      <c r="L2758" s="329">
        <v>44043</v>
      </c>
      <c r="M2758" s="332">
        <v>0</v>
      </c>
    </row>
    <row r="2759" spans="1:13" hidden="1" x14ac:dyDescent="0.25">
      <c r="A2759" s="329">
        <v>44043</v>
      </c>
      <c r="B2759" s="328" t="s">
        <v>1691</v>
      </c>
      <c r="C2759" s="328" t="s">
        <v>769</v>
      </c>
      <c r="D2759" s="330">
        <v>2</v>
      </c>
      <c r="E2759" s="331">
        <v>214.5</v>
      </c>
      <c r="F2759" s="331">
        <v>28915</v>
      </c>
      <c r="G2759" s="328" t="s">
        <v>1692</v>
      </c>
      <c r="H2759" s="328" t="s">
        <v>1778</v>
      </c>
      <c r="I2759" s="328" t="s">
        <v>110</v>
      </c>
      <c r="J2759" s="328" t="s">
        <v>757</v>
      </c>
      <c r="K2759" s="328" t="s">
        <v>770</v>
      </c>
      <c r="L2759" s="329">
        <v>44043</v>
      </c>
      <c r="M2759" s="332">
        <v>0</v>
      </c>
    </row>
    <row r="2760" spans="1:13" hidden="1" x14ac:dyDescent="0.25">
      <c r="A2760" s="329">
        <v>44043</v>
      </c>
      <c r="B2760" s="328" t="s">
        <v>1685</v>
      </c>
      <c r="C2760" s="328" t="s">
        <v>1060</v>
      </c>
      <c r="D2760" s="330">
        <v>2</v>
      </c>
      <c r="E2760" s="331">
        <v>-214.5</v>
      </c>
      <c r="F2760" s="331">
        <v>28700.5</v>
      </c>
      <c r="G2760" s="328" t="s">
        <v>1686</v>
      </c>
      <c r="H2760" s="328" t="s">
        <v>1778</v>
      </c>
      <c r="I2760" s="328" t="s">
        <v>110</v>
      </c>
      <c r="J2760" s="328" t="s">
        <v>757</v>
      </c>
      <c r="K2760" s="328" t="s">
        <v>741</v>
      </c>
      <c r="L2760" s="329">
        <v>44043</v>
      </c>
      <c r="M2760" s="332">
        <v>0</v>
      </c>
    </row>
    <row r="2761" spans="1:13" hidden="1" x14ac:dyDescent="0.25">
      <c r="A2761" s="329">
        <v>44043</v>
      </c>
      <c r="B2761" s="328" t="s">
        <v>1688</v>
      </c>
      <c r="C2761" s="328" t="s">
        <v>1060</v>
      </c>
      <c r="D2761" s="330">
        <v>2</v>
      </c>
      <c r="E2761" s="331">
        <v>214.5</v>
      </c>
      <c r="F2761" s="331">
        <v>28915</v>
      </c>
      <c r="G2761" s="328" t="s">
        <v>1686</v>
      </c>
      <c r="H2761" s="328" t="s">
        <v>1778</v>
      </c>
      <c r="I2761" s="328" t="s">
        <v>110</v>
      </c>
      <c r="J2761" s="328" t="s">
        <v>757</v>
      </c>
      <c r="K2761" s="328" t="s">
        <v>741</v>
      </c>
      <c r="L2761" s="329">
        <v>44043</v>
      </c>
      <c r="M2761" s="332">
        <v>0</v>
      </c>
    </row>
    <row r="2762" spans="1:13" hidden="1" x14ac:dyDescent="0.25">
      <c r="A2762" s="329">
        <v>44043</v>
      </c>
      <c r="B2762" s="328" t="s">
        <v>1689</v>
      </c>
      <c r="C2762" s="328" t="s">
        <v>1060</v>
      </c>
      <c r="D2762" s="330">
        <v>2</v>
      </c>
      <c r="E2762" s="331">
        <v>-214.5</v>
      </c>
      <c r="F2762" s="331">
        <v>28700.5</v>
      </c>
      <c r="G2762" s="328" t="s">
        <v>1686</v>
      </c>
      <c r="H2762" s="328" t="s">
        <v>1778</v>
      </c>
      <c r="I2762" s="328" t="s">
        <v>110</v>
      </c>
      <c r="J2762" s="328" t="s">
        <v>757</v>
      </c>
      <c r="K2762" s="328" t="s">
        <v>741</v>
      </c>
      <c r="L2762" s="329">
        <v>44043</v>
      </c>
      <c r="M2762" s="332">
        <v>0</v>
      </c>
    </row>
    <row r="2763" spans="1:13" hidden="1" x14ac:dyDescent="0.25">
      <c r="A2763" s="329">
        <v>44074</v>
      </c>
      <c r="B2763" s="328" t="s">
        <v>1695</v>
      </c>
      <c r="C2763" s="328" t="s">
        <v>1060</v>
      </c>
      <c r="D2763" s="330">
        <v>2</v>
      </c>
      <c r="E2763" s="331">
        <v>198</v>
      </c>
      <c r="F2763" s="331">
        <v>28898.5</v>
      </c>
      <c r="G2763" s="328" t="s">
        <v>1696</v>
      </c>
      <c r="H2763" s="328" t="s">
        <v>1778</v>
      </c>
      <c r="I2763" s="328" t="s">
        <v>110</v>
      </c>
      <c r="J2763" s="328" t="s">
        <v>757</v>
      </c>
      <c r="K2763" s="328" t="s">
        <v>741</v>
      </c>
      <c r="L2763" s="329">
        <v>44074</v>
      </c>
      <c r="M2763" s="332">
        <v>0</v>
      </c>
    </row>
    <row r="2764" spans="1:13" hidden="1" x14ac:dyDescent="0.25">
      <c r="A2764" s="329">
        <v>44074</v>
      </c>
      <c r="B2764" s="328" t="s">
        <v>1697</v>
      </c>
      <c r="C2764" s="328" t="s">
        <v>769</v>
      </c>
      <c r="D2764" s="330">
        <v>3</v>
      </c>
      <c r="E2764" s="331">
        <v>198</v>
      </c>
      <c r="F2764" s="331">
        <v>29096.5</v>
      </c>
      <c r="G2764" s="328" t="s">
        <v>1698</v>
      </c>
      <c r="H2764" s="328" t="s">
        <v>1778</v>
      </c>
      <c r="I2764" s="328" t="s">
        <v>110</v>
      </c>
      <c r="J2764" s="328" t="s">
        <v>757</v>
      </c>
      <c r="K2764" s="328" t="s">
        <v>770</v>
      </c>
      <c r="L2764" s="329">
        <v>44074</v>
      </c>
      <c r="M2764" s="332">
        <v>0</v>
      </c>
    </row>
    <row r="2765" spans="1:13" hidden="1" x14ac:dyDescent="0.25">
      <c r="A2765" s="329">
        <v>44074</v>
      </c>
      <c r="B2765" s="328" t="s">
        <v>1695</v>
      </c>
      <c r="C2765" s="328" t="s">
        <v>1060</v>
      </c>
      <c r="D2765" s="330">
        <v>3</v>
      </c>
      <c r="E2765" s="331">
        <v>-198</v>
      </c>
      <c r="F2765" s="331">
        <v>28898.5</v>
      </c>
      <c r="G2765" s="328" t="s">
        <v>1696</v>
      </c>
      <c r="H2765" s="328" t="s">
        <v>1778</v>
      </c>
      <c r="I2765" s="328" t="s">
        <v>110</v>
      </c>
      <c r="J2765" s="328" t="s">
        <v>757</v>
      </c>
      <c r="K2765" s="328" t="s">
        <v>741</v>
      </c>
      <c r="L2765" s="329">
        <v>44074</v>
      </c>
      <c r="M2765" s="332">
        <v>0</v>
      </c>
    </row>
    <row r="2766" spans="1:13" hidden="1" x14ac:dyDescent="0.25">
      <c r="A2766" s="329">
        <v>44104</v>
      </c>
      <c r="B2766" s="328" t="s">
        <v>1699</v>
      </c>
      <c r="C2766" s="328" t="s">
        <v>1060</v>
      </c>
      <c r="D2766" s="330">
        <v>3</v>
      </c>
      <c r="E2766" s="331">
        <v>297</v>
      </c>
      <c r="F2766" s="331">
        <v>29195.5</v>
      </c>
      <c r="G2766" s="328" t="s">
        <v>1700</v>
      </c>
      <c r="H2766" s="328" t="s">
        <v>1778</v>
      </c>
      <c r="I2766" s="328" t="s">
        <v>110</v>
      </c>
      <c r="J2766" s="328" t="s">
        <v>757</v>
      </c>
      <c r="K2766" s="328" t="s">
        <v>741</v>
      </c>
      <c r="L2766" s="329">
        <v>44104</v>
      </c>
      <c r="M2766" s="332">
        <v>0</v>
      </c>
    </row>
    <row r="2767" spans="1:13" hidden="1" x14ac:dyDescent="0.25">
      <c r="A2767" s="329">
        <v>44104</v>
      </c>
      <c r="B2767" s="328" t="s">
        <v>1699</v>
      </c>
      <c r="C2767" s="328" t="s">
        <v>1060</v>
      </c>
      <c r="D2767" s="330">
        <v>4</v>
      </c>
      <c r="E2767" s="331">
        <v>-297</v>
      </c>
      <c r="F2767" s="331">
        <v>28898.5</v>
      </c>
      <c r="G2767" s="328" t="s">
        <v>1700</v>
      </c>
      <c r="H2767" s="328" t="s">
        <v>1778</v>
      </c>
      <c r="I2767" s="328" t="s">
        <v>110</v>
      </c>
      <c r="J2767" s="328" t="s">
        <v>757</v>
      </c>
      <c r="K2767" s="328" t="s">
        <v>741</v>
      </c>
      <c r="L2767" s="329">
        <v>44104</v>
      </c>
      <c r="M2767" s="332">
        <v>0</v>
      </c>
    </row>
    <row r="2768" spans="1:13" hidden="1" x14ac:dyDescent="0.25">
      <c r="A2768" s="329">
        <v>44105</v>
      </c>
      <c r="B2768" s="328" t="s">
        <v>1701</v>
      </c>
      <c r="C2768" s="328" t="s">
        <v>769</v>
      </c>
      <c r="D2768" s="330">
        <v>4</v>
      </c>
      <c r="E2768" s="331">
        <v>297</v>
      </c>
      <c r="F2768" s="331">
        <v>29195.5</v>
      </c>
      <c r="G2768" s="328" t="s">
        <v>1702</v>
      </c>
      <c r="H2768" s="328" t="s">
        <v>1778</v>
      </c>
      <c r="I2768" s="328" t="s">
        <v>110</v>
      </c>
      <c r="J2768" s="328" t="s">
        <v>757</v>
      </c>
      <c r="K2768" s="328" t="s">
        <v>770</v>
      </c>
      <c r="L2768" s="329">
        <v>44105</v>
      </c>
      <c r="M2768" s="332">
        <v>0</v>
      </c>
    </row>
    <row r="2769" spans="1:13" hidden="1" x14ac:dyDescent="0.25">
      <c r="A2769" s="329">
        <v>44135</v>
      </c>
      <c r="B2769" s="328" t="s">
        <v>1703</v>
      </c>
      <c r="C2769" s="328" t="s">
        <v>1060</v>
      </c>
      <c r="D2769" s="330">
        <v>4</v>
      </c>
      <c r="E2769" s="331">
        <v>203.5</v>
      </c>
      <c r="F2769" s="331">
        <v>29399</v>
      </c>
      <c r="G2769" s="328" t="s">
        <v>1704</v>
      </c>
      <c r="H2769" s="328" t="s">
        <v>1778</v>
      </c>
      <c r="I2769" s="328" t="s">
        <v>110</v>
      </c>
      <c r="J2769" s="328" t="s">
        <v>757</v>
      </c>
      <c r="K2769" s="328" t="s">
        <v>741</v>
      </c>
      <c r="L2769" s="329">
        <v>44135</v>
      </c>
      <c r="M2769" s="332">
        <v>0</v>
      </c>
    </row>
    <row r="2770" spans="1:13" hidden="1" x14ac:dyDescent="0.25">
      <c r="A2770" s="329">
        <v>44135</v>
      </c>
      <c r="B2770" s="328" t="s">
        <v>1703</v>
      </c>
      <c r="C2770" s="328" t="s">
        <v>1060</v>
      </c>
      <c r="D2770" s="330">
        <v>5</v>
      </c>
      <c r="E2770" s="331">
        <v>-203.5</v>
      </c>
      <c r="F2770" s="331">
        <v>29195.5</v>
      </c>
      <c r="G2770" s="328" t="s">
        <v>1704</v>
      </c>
      <c r="H2770" s="328" t="s">
        <v>1778</v>
      </c>
      <c r="I2770" s="328" t="s">
        <v>110</v>
      </c>
      <c r="J2770" s="328" t="s">
        <v>757</v>
      </c>
      <c r="K2770" s="328" t="s">
        <v>741</v>
      </c>
      <c r="L2770" s="329">
        <v>44135</v>
      </c>
      <c r="M2770" s="332">
        <v>0</v>
      </c>
    </row>
    <row r="2771" spans="1:13" hidden="1" x14ac:dyDescent="0.25">
      <c r="A2771" s="329">
        <v>44135</v>
      </c>
      <c r="B2771" s="328" t="s">
        <v>1705</v>
      </c>
      <c r="C2771" s="328" t="s">
        <v>769</v>
      </c>
      <c r="D2771" s="330">
        <v>5</v>
      </c>
      <c r="E2771" s="331">
        <v>203.5</v>
      </c>
      <c r="F2771" s="331">
        <v>29399</v>
      </c>
      <c r="G2771" s="328" t="s">
        <v>1706</v>
      </c>
      <c r="H2771" s="328" t="s">
        <v>1778</v>
      </c>
      <c r="I2771" s="328" t="s">
        <v>110</v>
      </c>
      <c r="J2771" s="328" t="s">
        <v>757</v>
      </c>
      <c r="K2771" s="328" t="s">
        <v>770</v>
      </c>
      <c r="L2771" s="329">
        <v>44135</v>
      </c>
      <c r="M2771" s="332">
        <v>0</v>
      </c>
    </row>
    <row r="2772" spans="1:13" hidden="1" x14ac:dyDescent="0.25">
      <c r="A2772" s="329">
        <v>44165</v>
      </c>
      <c r="B2772" s="328" t="s">
        <v>1707</v>
      </c>
      <c r="C2772" s="328" t="s">
        <v>1060</v>
      </c>
      <c r="D2772" s="330">
        <v>5</v>
      </c>
      <c r="E2772" s="331">
        <v>203.5</v>
      </c>
      <c r="F2772" s="331">
        <v>29602.5</v>
      </c>
      <c r="G2772" s="328" t="s">
        <v>1708</v>
      </c>
      <c r="H2772" s="328" t="s">
        <v>1778</v>
      </c>
      <c r="I2772" s="328" t="s">
        <v>110</v>
      </c>
      <c r="J2772" s="328" t="s">
        <v>757</v>
      </c>
      <c r="K2772" s="328" t="s">
        <v>741</v>
      </c>
      <c r="L2772" s="329">
        <v>44165</v>
      </c>
      <c r="M2772" s="332">
        <v>0</v>
      </c>
    </row>
    <row r="2773" spans="1:13" hidden="1" x14ac:dyDescent="0.25">
      <c r="A2773" s="329">
        <v>44165</v>
      </c>
      <c r="B2773" s="328" t="s">
        <v>1707</v>
      </c>
      <c r="C2773" s="328" t="s">
        <v>1060</v>
      </c>
      <c r="D2773" s="330">
        <v>6</v>
      </c>
      <c r="E2773" s="331">
        <v>-203.5</v>
      </c>
      <c r="F2773" s="331">
        <v>29399</v>
      </c>
      <c r="G2773" s="328" t="s">
        <v>1708</v>
      </c>
      <c r="H2773" s="328" t="s">
        <v>1778</v>
      </c>
      <c r="I2773" s="328" t="s">
        <v>110</v>
      </c>
      <c r="J2773" s="328" t="s">
        <v>757</v>
      </c>
      <c r="K2773" s="328" t="s">
        <v>741</v>
      </c>
      <c r="L2773" s="329">
        <v>44165</v>
      </c>
      <c r="M2773" s="332">
        <v>0</v>
      </c>
    </row>
    <row r="2774" spans="1:13" hidden="1" x14ac:dyDescent="0.25">
      <c r="A2774" s="329">
        <v>44165</v>
      </c>
      <c r="B2774" s="328" t="s">
        <v>1709</v>
      </c>
      <c r="C2774" s="328" t="s">
        <v>769</v>
      </c>
      <c r="D2774" s="330">
        <v>6</v>
      </c>
      <c r="E2774" s="331">
        <v>203.5</v>
      </c>
      <c r="F2774" s="331">
        <v>29602.5</v>
      </c>
      <c r="G2774" s="328" t="s">
        <v>1710</v>
      </c>
      <c r="H2774" s="328" t="s">
        <v>1778</v>
      </c>
      <c r="I2774" s="328" t="s">
        <v>110</v>
      </c>
      <c r="J2774" s="328" t="s">
        <v>757</v>
      </c>
      <c r="K2774" s="328" t="s">
        <v>770</v>
      </c>
      <c r="L2774" s="329">
        <v>44165</v>
      </c>
      <c r="M2774" s="332">
        <v>0</v>
      </c>
    </row>
    <row r="2775" spans="1:13" hidden="1" x14ac:dyDescent="0.25">
      <c r="A2775" s="329">
        <v>44196</v>
      </c>
      <c r="B2775" s="328" t="s">
        <v>1711</v>
      </c>
      <c r="C2775" s="328" t="s">
        <v>1060</v>
      </c>
      <c r="D2775" s="330">
        <v>6</v>
      </c>
      <c r="E2775" s="331">
        <v>198</v>
      </c>
      <c r="F2775" s="331">
        <v>29800.5</v>
      </c>
      <c r="G2775" s="328" t="s">
        <v>1712</v>
      </c>
      <c r="H2775" s="328" t="s">
        <v>1778</v>
      </c>
      <c r="I2775" s="328" t="s">
        <v>110</v>
      </c>
      <c r="J2775" s="328" t="s">
        <v>757</v>
      </c>
      <c r="K2775" s="328" t="s">
        <v>741</v>
      </c>
      <c r="L2775" s="329">
        <v>44196</v>
      </c>
      <c r="M2775" s="332">
        <v>0</v>
      </c>
    </row>
    <row r="2776" spans="1:13" hidden="1" x14ac:dyDescent="0.25">
      <c r="A2776" s="329">
        <v>44196</v>
      </c>
      <c r="B2776" s="328" t="s">
        <v>1711</v>
      </c>
      <c r="C2776" s="328" t="s">
        <v>1060</v>
      </c>
      <c r="D2776" s="330">
        <v>7</v>
      </c>
      <c r="E2776" s="331">
        <v>-198</v>
      </c>
      <c r="F2776" s="331">
        <v>29602.5</v>
      </c>
      <c r="G2776" s="328" t="s">
        <v>1712</v>
      </c>
      <c r="H2776" s="328" t="s">
        <v>1778</v>
      </c>
      <c r="I2776" s="328" t="s">
        <v>110</v>
      </c>
      <c r="J2776" s="328" t="s">
        <v>757</v>
      </c>
      <c r="K2776" s="328" t="s">
        <v>741</v>
      </c>
      <c r="L2776" s="329">
        <v>44196</v>
      </c>
      <c r="M2776" s="332">
        <v>0</v>
      </c>
    </row>
    <row r="2777" spans="1:13" hidden="1" x14ac:dyDescent="0.25">
      <c r="A2777" s="329">
        <v>44196</v>
      </c>
      <c r="B2777" s="328" t="s">
        <v>1713</v>
      </c>
      <c r="C2777" s="328" t="s">
        <v>769</v>
      </c>
      <c r="D2777" s="330">
        <v>7</v>
      </c>
      <c r="E2777" s="331">
        <v>198</v>
      </c>
      <c r="F2777" s="331">
        <v>29800.5</v>
      </c>
      <c r="G2777" s="328" t="s">
        <v>1714</v>
      </c>
      <c r="H2777" s="328" t="s">
        <v>1778</v>
      </c>
      <c r="I2777" s="328" t="s">
        <v>110</v>
      </c>
      <c r="J2777" s="328" t="s">
        <v>757</v>
      </c>
      <c r="K2777" s="328" t="s">
        <v>770</v>
      </c>
      <c r="L2777" s="329">
        <v>44196</v>
      </c>
      <c r="M2777" s="332">
        <v>0</v>
      </c>
    </row>
    <row r="2778" spans="1:13" hidden="1" x14ac:dyDescent="0.25">
      <c r="A2778" s="329">
        <v>44227</v>
      </c>
      <c r="B2778" s="328" t="s">
        <v>1715</v>
      </c>
      <c r="C2778" s="328" t="s">
        <v>1060</v>
      </c>
      <c r="D2778" s="330">
        <v>7</v>
      </c>
      <c r="E2778" s="331">
        <v>198</v>
      </c>
      <c r="F2778" s="331">
        <v>29998.5</v>
      </c>
      <c r="G2778" s="328" t="s">
        <v>1716</v>
      </c>
      <c r="H2778" s="328" t="s">
        <v>1778</v>
      </c>
      <c r="I2778" s="328" t="s">
        <v>110</v>
      </c>
      <c r="J2778" s="328" t="s">
        <v>757</v>
      </c>
      <c r="K2778" s="328" t="s">
        <v>741</v>
      </c>
      <c r="L2778" s="329">
        <v>44227</v>
      </c>
      <c r="M2778" s="332">
        <v>0</v>
      </c>
    </row>
    <row r="2779" spans="1:13" hidden="1" x14ac:dyDescent="0.25">
      <c r="A2779" s="329">
        <v>44227</v>
      </c>
      <c r="B2779" s="328" t="s">
        <v>1715</v>
      </c>
      <c r="C2779" s="328" t="s">
        <v>1060</v>
      </c>
      <c r="D2779" s="330">
        <v>8</v>
      </c>
      <c r="E2779" s="331">
        <v>-198</v>
      </c>
      <c r="F2779" s="331">
        <v>29800.5</v>
      </c>
      <c r="G2779" s="328" t="s">
        <v>1716</v>
      </c>
      <c r="H2779" s="328" t="s">
        <v>1778</v>
      </c>
      <c r="I2779" s="328" t="s">
        <v>110</v>
      </c>
      <c r="J2779" s="328" t="s">
        <v>757</v>
      </c>
      <c r="K2779" s="328" t="s">
        <v>741</v>
      </c>
      <c r="L2779" s="329">
        <v>44227</v>
      </c>
      <c r="M2779" s="332">
        <v>0</v>
      </c>
    </row>
    <row r="2780" spans="1:13" hidden="1" x14ac:dyDescent="0.25">
      <c r="A2780" s="329">
        <v>44227</v>
      </c>
      <c r="B2780" s="328" t="s">
        <v>1717</v>
      </c>
      <c r="C2780" s="328" t="s">
        <v>769</v>
      </c>
      <c r="D2780" s="330">
        <v>8</v>
      </c>
      <c r="E2780" s="331">
        <v>198</v>
      </c>
      <c r="F2780" s="331">
        <v>29998.5</v>
      </c>
      <c r="G2780" s="328" t="s">
        <v>1718</v>
      </c>
      <c r="H2780" s="328" t="s">
        <v>1778</v>
      </c>
      <c r="I2780" s="328" t="s">
        <v>110</v>
      </c>
      <c r="J2780" s="328" t="s">
        <v>757</v>
      </c>
      <c r="K2780" s="328" t="s">
        <v>770</v>
      </c>
      <c r="L2780" s="329">
        <v>44227</v>
      </c>
      <c r="M2780" s="332">
        <v>0</v>
      </c>
    </row>
    <row r="2781" spans="1:13" hidden="1" x14ac:dyDescent="0.25">
      <c r="A2781" s="329">
        <v>44255</v>
      </c>
      <c r="B2781" s="328" t="s">
        <v>1720</v>
      </c>
      <c r="C2781" s="328" t="s">
        <v>1060</v>
      </c>
      <c r="D2781" s="330">
        <v>8</v>
      </c>
      <c r="E2781" s="331">
        <v>187</v>
      </c>
      <c r="F2781" s="331">
        <v>30185.5</v>
      </c>
      <c r="G2781" s="328" t="s">
        <v>1721</v>
      </c>
      <c r="H2781" s="328" t="s">
        <v>1778</v>
      </c>
      <c r="I2781" s="328" t="s">
        <v>110</v>
      </c>
      <c r="J2781" s="328" t="s">
        <v>757</v>
      </c>
      <c r="K2781" s="328" t="s">
        <v>741</v>
      </c>
      <c r="L2781" s="329">
        <v>44255</v>
      </c>
      <c r="M2781" s="332">
        <v>0</v>
      </c>
    </row>
    <row r="2782" spans="1:13" hidden="1" x14ac:dyDescent="0.25">
      <c r="A2782" s="329">
        <v>44255</v>
      </c>
      <c r="B2782" s="328" t="s">
        <v>1720</v>
      </c>
      <c r="C2782" s="328" t="s">
        <v>1060</v>
      </c>
      <c r="D2782" s="330">
        <v>9</v>
      </c>
      <c r="E2782" s="331">
        <v>-187</v>
      </c>
      <c r="F2782" s="331">
        <v>29998.5</v>
      </c>
      <c r="G2782" s="328" t="s">
        <v>1721</v>
      </c>
      <c r="H2782" s="328" t="s">
        <v>1778</v>
      </c>
      <c r="I2782" s="328" t="s">
        <v>110</v>
      </c>
      <c r="J2782" s="328" t="s">
        <v>757</v>
      </c>
      <c r="K2782" s="328" t="s">
        <v>741</v>
      </c>
      <c r="L2782" s="329">
        <v>44255</v>
      </c>
      <c r="M2782" s="332">
        <v>0</v>
      </c>
    </row>
    <row r="2783" spans="1:13" hidden="1" x14ac:dyDescent="0.25">
      <c r="A2783" s="329">
        <v>44255</v>
      </c>
      <c r="B2783" s="328" t="s">
        <v>1722</v>
      </c>
      <c r="C2783" s="328" t="s">
        <v>769</v>
      </c>
      <c r="D2783" s="330">
        <v>9</v>
      </c>
      <c r="E2783" s="331">
        <v>187</v>
      </c>
      <c r="F2783" s="331">
        <v>30185.5</v>
      </c>
      <c r="G2783" s="328" t="s">
        <v>1723</v>
      </c>
      <c r="H2783" s="328" t="s">
        <v>1778</v>
      </c>
      <c r="I2783" s="328" t="s">
        <v>110</v>
      </c>
      <c r="J2783" s="328" t="s">
        <v>757</v>
      </c>
      <c r="K2783" s="328" t="s">
        <v>770</v>
      </c>
      <c r="L2783" s="329">
        <v>44255</v>
      </c>
      <c r="M2783" s="332">
        <v>0</v>
      </c>
    </row>
    <row r="2784" spans="1:13" hidden="1" x14ac:dyDescent="0.25">
      <c r="A2784" s="329">
        <v>44286</v>
      </c>
      <c r="B2784" s="328" t="s">
        <v>1724</v>
      </c>
      <c r="C2784" s="328" t="s">
        <v>1060</v>
      </c>
      <c r="D2784" s="330">
        <v>9</v>
      </c>
      <c r="E2784" s="331">
        <v>280.5</v>
      </c>
      <c r="F2784" s="331">
        <v>30466</v>
      </c>
      <c r="G2784" s="328" t="s">
        <v>1725</v>
      </c>
      <c r="H2784" s="328" t="s">
        <v>1778</v>
      </c>
      <c r="I2784" s="328" t="s">
        <v>110</v>
      </c>
      <c r="J2784" s="328" t="s">
        <v>757</v>
      </c>
      <c r="K2784" s="328" t="s">
        <v>741</v>
      </c>
      <c r="L2784" s="329">
        <v>44286</v>
      </c>
      <c r="M2784" s="332">
        <v>0</v>
      </c>
    </row>
    <row r="2785" spans="1:13" hidden="1" x14ac:dyDescent="0.25">
      <c r="A2785" s="329">
        <v>44286</v>
      </c>
      <c r="B2785" s="328" t="s">
        <v>1726</v>
      </c>
      <c r="C2785" s="328" t="s">
        <v>769</v>
      </c>
      <c r="D2785" s="330">
        <v>10</v>
      </c>
      <c r="E2785" s="331">
        <v>280.5</v>
      </c>
      <c r="F2785" s="331">
        <v>30746.5</v>
      </c>
      <c r="G2785" s="328" t="s">
        <v>1727</v>
      </c>
      <c r="H2785" s="328" t="s">
        <v>1778</v>
      </c>
      <c r="I2785" s="328" t="s">
        <v>110</v>
      </c>
      <c r="J2785" s="328" t="s">
        <v>757</v>
      </c>
      <c r="K2785" s="328" t="s">
        <v>770</v>
      </c>
      <c r="L2785" s="329">
        <v>44286</v>
      </c>
      <c r="M2785" s="332">
        <v>0</v>
      </c>
    </row>
    <row r="2786" spans="1:13" hidden="1" x14ac:dyDescent="0.25">
      <c r="A2786" s="329">
        <v>44286</v>
      </c>
      <c r="B2786" s="328" t="s">
        <v>1724</v>
      </c>
      <c r="C2786" s="328" t="s">
        <v>1060</v>
      </c>
      <c r="D2786" s="330">
        <v>10</v>
      </c>
      <c r="E2786" s="331">
        <v>-280.5</v>
      </c>
      <c r="F2786" s="331">
        <v>30466</v>
      </c>
      <c r="G2786" s="328" t="s">
        <v>1725</v>
      </c>
      <c r="H2786" s="328" t="s">
        <v>1778</v>
      </c>
      <c r="I2786" s="328" t="s">
        <v>110</v>
      </c>
      <c r="J2786" s="328" t="s">
        <v>757</v>
      </c>
      <c r="K2786" s="328" t="s">
        <v>741</v>
      </c>
      <c r="L2786" s="329">
        <v>44286</v>
      </c>
      <c r="M2786" s="332">
        <v>0</v>
      </c>
    </row>
    <row r="2787" spans="1:13" hidden="1" x14ac:dyDescent="0.25">
      <c r="A2787" s="329">
        <v>44316</v>
      </c>
      <c r="B2787" s="328" t="s">
        <v>1728</v>
      </c>
      <c r="C2787" s="328" t="s">
        <v>1060</v>
      </c>
      <c r="D2787" s="330">
        <v>10</v>
      </c>
      <c r="E2787" s="331">
        <v>165</v>
      </c>
      <c r="F2787" s="331">
        <v>30631</v>
      </c>
      <c r="G2787" s="328" t="s">
        <v>1729</v>
      </c>
      <c r="H2787" s="328" t="s">
        <v>1778</v>
      </c>
      <c r="I2787" s="328" t="s">
        <v>110</v>
      </c>
      <c r="J2787" s="328" t="s">
        <v>757</v>
      </c>
      <c r="K2787" s="328" t="s">
        <v>741</v>
      </c>
      <c r="L2787" s="329">
        <v>44316</v>
      </c>
      <c r="M2787" s="332">
        <v>0</v>
      </c>
    </row>
    <row r="2788" spans="1:13" hidden="1" x14ac:dyDescent="0.25">
      <c r="A2788" s="329">
        <v>44012</v>
      </c>
      <c r="B2788" s="328" t="s">
        <v>1678</v>
      </c>
      <c r="C2788" s="328" t="s">
        <v>769</v>
      </c>
      <c r="D2788" s="330">
        <v>1</v>
      </c>
      <c r="E2788" s="331">
        <v>11</v>
      </c>
      <c r="F2788" s="331">
        <v>30642</v>
      </c>
      <c r="G2788" s="328" t="s">
        <v>1679</v>
      </c>
      <c r="H2788" s="328" t="s">
        <v>1779</v>
      </c>
      <c r="I2788" s="328" t="s">
        <v>110</v>
      </c>
      <c r="J2788" s="328" t="s">
        <v>757</v>
      </c>
      <c r="K2788" s="328" t="s">
        <v>770</v>
      </c>
      <c r="L2788" s="329">
        <v>44012</v>
      </c>
      <c r="M2788" s="332">
        <v>0</v>
      </c>
    </row>
    <row r="2789" spans="1:13" hidden="1" x14ac:dyDescent="0.25">
      <c r="A2789" s="329">
        <v>44012</v>
      </c>
      <c r="B2789" s="328" t="s">
        <v>1681</v>
      </c>
      <c r="C2789" s="328" t="s">
        <v>1059</v>
      </c>
      <c r="D2789" s="330">
        <v>1</v>
      </c>
      <c r="E2789" s="331">
        <v>-11</v>
      </c>
      <c r="F2789" s="331">
        <v>30631</v>
      </c>
      <c r="G2789" s="328" t="s">
        <v>1682</v>
      </c>
      <c r="H2789" s="328" t="s">
        <v>1779</v>
      </c>
      <c r="I2789" s="328" t="s">
        <v>110</v>
      </c>
      <c r="J2789" s="328" t="s">
        <v>757</v>
      </c>
      <c r="K2789" s="328" t="s">
        <v>741</v>
      </c>
      <c r="L2789" s="329">
        <v>44012</v>
      </c>
      <c r="M2789" s="332">
        <v>0</v>
      </c>
    </row>
    <row r="2790" spans="1:13" hidden="1" x14ac:dyDescent="0.25">
      <c r="A2790" s="329">
        <v>44043</v>
      </c>
      <c r="B2790" s="328" t="s">
        <v>1685</v>
      </c>
      <c r="C2790" s="328" t="s">
        <v>1060</v>
      </c>
      <c r="D2790" s="330">
        <v>1</v>
      </c>
      <c r="E2790" s="331">
        <v>11</v>
      </c>
      <c r="F2790" s="331">
        <v>30642</v>
      </c>
      <c r="G2790" s="328" t="s">
        <v>1686</v>
      </c>
      <c r="H2790" s="328" t="s">
        <v>1779</v>
      </c>
      <c r="I2790" s="328" t="s">
        <v>110</v>
      </c>
      <c r="J2790" s="328" t="s">
        <v>757</v>
      </c>
      <c r="K2790" s="328" t="s">
        <v>741</v>
      </c>
      <c r="L2790" s="329">
        <v>44043</v>
      </c>
      <c r="M2790" s="332">
        <v>0</v>
      </c>
    </row>
    <row r="2791" spans="1:13" hidden="1" x14ac:dyDescent="0.25">
      <c r="A2791" s="329">
        <v>44043</v>
      </c>
      <c r="B2791" s="328" t="s">
        <v>1688</v>
      </c>
      <c r="C2791" s="328" t="s">
        <v>1060</v>
      </c>
      <c r="D2791" s="330">
        <v>1</v>
      </c>
      <c r="E2791" s="331">
        <v>-11</v>
      </c>
      <c r="F2791" s="331">
        <v>30631</v>
      </c>
      <c r="G2791" s="328" t="s">
        <v>1686</v>
      </c>
      <c r="H2791" s="328" t="s">
        <v>1779</v>
      </c>
      <c r="I2791" s="328" t="s">
        <v>110</v>
      </c>
      <c r="J2791" s="328" t="s">
        <v>757</v>
      </c>
      <c r="K2791" s="328" t="s">
        <v>741</v>
      </c>
      <c r="L2791" s="329">
        <v>44043</v>
      </c>
      <c r="M2791" s="332">
        <v>0</v>
      </c>
    </row>
    <row r="2792" spans="1:13" hidden="1" x14ac:dyDescent="0.25">
      <c r="A2792" s="329">
        <v>44043</v>
      </c>
      <c r="B2792" s="328" t="s">
        <v>1689</v>
      </c>
      <c r="C2792" s="328" t="s">
        <v>1060</v>
      </c>
      <c r="D2792" s="330">
        <v>1</v>
      </c>
      <c r="E2792" s="331">
        <v>11</v>
      </c>
      <c r="F2792" s="331">
        <v>30642</v>
      </c>
      <c r="G2792" s="328" t="s">
        <v>1686</v>
      </c>
      <c r="H2792" s="328" t="s">
        <v>1779</v>
      </c>
      <c r="I2792" s="328" t="s">
        <v>110</v>
      </c>
      <c r="J2792" s="328" t="s">
        <v>757</v>
      </c>
      <c r="K2792" s="328" t="s">
        <v>741</v>
      </c>
      <c r="L2792" s="329">
        <v>44043</v>
      </c>
      <c r="M2792" s="332">
        <v>0</v>
      </c>
    </row>
    <row r="2793" spans="1:13" hidden="1" x14ac:dyDescent="0.25">
      <c r="A2793" s="329">
        <v>44043</v>
      </c>
      <c r="B2793" s="328" t="s">
        <v>1691</v>
      </c>
      <c r="C2793" s="328" t="s">
        <v>769</v>
      </c>
      <c r="D2793" s="330">
        <v>2</v>
      </c>
      <c r="E2793" s="331">
        <v>11</v>
      </c>
      <c r="F2793" s="331">
        <v>30653</v>
      </c>
      <c r="G2793" s="328" t="s">
        <v>1692</v>
      </c>
      <c r="H2793" s="328" t="s">
        <v>1779</v>
      </c>
      <c r="I2793" s="328" t="s">
        <v>110</v>
      </c>
      <c r="J2793" s="328" t="s">
        <v>757</v>
      </c>
      <c r="K2793" s="328" t="s">
        <v>770</v>
      </c>
      <c r="L2793" s="329">
        <v>44043</v>
      </c>
      <c r="M2793" s="332">
        <v>0</v>
      </c>
    </row>
    <row r="2794" spans="1:13" hidden="1" x14ac:dyDescent="0.25">
      <c r="A2794" s="329">
        <v>44043</v>
      </c>
      <c r="B2794" s="328" t="s">
        <v>1685</v>
      </c>
      <c r="C2794" s="328" t="s">
        <v>1060</v>
      </c>
      <c r="D2794" s="330">
        <v>2</v>
      </c>
      <c r="E2794" s="331">
        <v>-11</v>
      </c>
      <c r="F2794" s="331">
        <v>30642</v>
      </c>
      <c r="G2794" s="328" t="s">
        <v>1686</v>
      </c>
      <c r="H2794" s="328" t="s">
        <v>1779</v>
      </c>
      <c r="I2794" s="328" t="s">
        <v>110</v>
      </c>
      <c r="J2794" s="328" t="s">
        <v>757</v>
      </c>
      <c r="K2794" s="328" t="s">
        <v>741</v>
      </c>
      <c r="L2794" s="329">
        <v>44043</v>
      </c>
      <c r="M2794" s="332">
        <v>0</v>
      </c>
    </row>
    <row r="2795" spans="1:13" hidden="1" x14ac:dyDescent="0.25">
      <c r="A2795" s="329">
        <v>44043</v>
      </c>
      <c r="B2795" s="328" t="s">
        <v>1688</v>
      </c>
      <c r="C2795" s="328" t="s">
        <v>1060</v>
      </c>
      <c r="D2795" s="330">
        <v>2</v>
      </c>
      <c r="E2795" s="331">
        <v>11</v>
      </c>
      <c r="F2795" s="331">
        <v>30653</v>
      </c>
      <c r="G2795" s="328" t="s">
        <v>1686</v>
      </c>
      <c r="H2795" s="328" t="s">
        <v>1779</v>
      </c>
      <c r="I2795" s="328" t="s">
        <v>110</v>
      </c>
      <c r="J2795" s="328" t="s">
        <v>757</v>
      </c>
      <c r="K2795" s="328" t="s">
        <v>741</v>
      </c>
      <c r="L2795" s="329">
        <v>44043</v>
      </c>
      <c r="M2795" s="332">
        <v>0</v>
      </c>
    </row>
    <row r="2796" spans="1:13" hidden="1" x14ac:dyDescent="0.25">
      <c r="A2796" s="329">
        <v>44043</v>
      </c>
      <c r="B2796" s="328" t="s">
        <v>1689</v>
      </c>
      <c r="C2796" s="328" t="s">
        <v>1060</v>
      </c>
      <c r="D2796" s="330">
        <v>2</v>
      </c>
      <c r="E2796" s="331">
        <v>-11</v>
      </c>
      <c r="F2796" s="331">
        <v>30642</v>
      </c>
      <c r="G2796" s="328" t="s">
        <v>1686</v>
      </c>
      <c r="H2796" s="328" t="s">
        <v>1779</v>
      </c>
      <c r="I2796" s="328" t="s">
        <v>110</v>
      </c>
      <c r="J2796" s="328" t="s">
        <v>757</v>
      </c>
      <c r="K2796" s="328" t="s">
        <v>741</v>
      </c>
      <c r="L2796" s="329">
        <v>44043</v>
      </c>
      <c r="M2796" s="332">
        <v>0</v>
      </c>
    </row>
    <row r="2797" spans="1:13" hidden="1" x14ac:dyDescent="0.25">
      <c r="A2797" s="329">
        <v>44074</v>
      </c>
      <c r="B2797" s="328" t="s">
        <v>1695</v>
      </c>
      <c r="C2797" s="328" t="s">
        <v>1060</v>
      </c>
      <c r="D2797" s="330">
        <v>2</v>
      </c>
      <c r="E2797" s="331">
        <v>11</v>
      </c>
      <c r="F2797" s="331">
        <v>30653</v>
      </c>
      <c r="G2797" s="328" t="s">
        <v>1696</v>
      </c>
      <c r="H2797" s="328" t="s">
        <v>1779</v>
      </c>
      <c r="I2797" s="328" t="s">
        <v>110</v>
      </c>
      <c r="J2797" s="328" t="s">
        <v>757</v>
      </c>
      <c r="K2797" s="328" t="s">
        <v>741</v>
      </c>
      <c r="L2797" s="329">
        <v>44074</v>
      </c>
      <c r="M2797" s="332">
        <v>0</v>
      </c>
    </row>
    <row r="2798" spans="1:13" hidden="1" x14ac:dyDescent="0.25">
      <c r="A2798" s="329">
        <v>44074</v>
      </c>
      <c r="B2798" s="328" t="s">
        <v>1697</v>
      </c>
      <c r="C2798" s="328" t="s">
        <v>769</v>
      </c>
      <c r="D2798" s="330">
        <v>3</v>
      </c>
      <c r="E2798" s="331">
        <v>11</v>
      </c>
      <c r="F2798" s="331">
        <v>30664</v>
      </c>
      <c r="G2798" s="328" t="s">
        <v>1698</v>
      </c>
      <c r="H2798" s="328" t="s">
        <v>1779</v>
      </c>
      <c r="I2798" s="328" t="s">
        <v>110</v>
      </c>
      <c r="J2798" s="328" t="s">
        <v>757</v>
      </c>
      <c r="K2798" s="328" t="s">
        <v>770</v>
      </c>
      <c r="L2798" s="329">
        <v>44074</v>
      </c>
      <c r="M2798" s="332">
        <v>0</v>
      </c>
    </row>
    <row r="2799" spans="1:13" hidden="1" x14ac:dyDescent="0.25">
      <c r="A2799" s="329">
        <v>44074</v>
      </c>
      <c r="B2799" s="328" t="s">
        <v>1695</v>
      </c>
      <c r="C2799" s="328" t="s">
        <v>1060</v>
      </c>
      <c r="D2799" s="330">
        <v>3</v>
      </c>
      <c r="E2799" s="331">
        <v>-11</v>
      </c>
      <c r="F2799" s="331">
        <v>30653</v>
      </c>
      <c r="G2799" s="328" t="s">
        <v>1696</v>
      </c>
      <c r="H2799" s="328" t="s">
        <v>1779</v>
      </c>
      <c r="I2799" s="328" t="s">
        <v>110</v>
      </c>
      <c r="J2799" s="328" t="s">
        <v>757</v>
      </c>
      <c r="K2799" s="328" t="s">
        <v>741</v>
      </c>
      <c r="L2799" s="329">
        <v>44074</v>
      </c>
      <c r="M2799" s="332">
        <v>0</v>
      </c>
    </row>
    <row r="2800" spans="1:13" hidden="1" x14ac:dyDescent="0.25">
      <c r="A2800" s="329">
        <v>44104</v>
      </c>
      <c r="B2800" s="328" t="s">
        <v>1699</v>
      </c>
      <c r="C2800" s="328" t="s">
        <v>1060</v>
      </c>
      <c r="D2800" s="330">
        <v>3</v>
      </c>
      <c r="E2800" s="331">
        <v>16.5</v>
      </c>
      <c r="F2800" s="331">
        <v>30669.5</v>
      </c>
      <c r="G2800" s="328" t="s">
        <v>1700</v>
      </c>
      <c r="H2800" s="328" t="s">
        <v>1779</v>
      </c>
      <c r="I2800" s="328" t="s">
        <v>110</v>
      </c>
      <c r="J2800" s="328" t="s">
        <v>757</v>
      </c>
      <c r="K2800" s="328" t="s">
        <v>741</v>
      </c>
      <c r="L2800" s="329">
        <v>44104</v>
      </c>
      <c r="M2800" s="332">
        <v>0</v>
      </c>
    </row>
    <row r="2801" spans="1:13" hidden="1" x14ac:dyDescent="0.25">
      <c r="A2801" s="329">
        <v>44104</v>
      </c>
      <c r="B2801" s="328" t="s">
        <v>1699</v>
      </c>
      <c r="C2801" s="328" t="s">
        <v>1060</v>
      </c>
      <c r="D2801" s="330">
        <v>4</v>
      </c>
      <c r="E2801" s="331">
        <v>-16.5</v>
      </c>
      <c r="F2801" s="331">
        <v>30653</v>
      </c>
      <c r="G2801" s="328" t="s">
        <v>1700</v>
      </c>
      <c r="H2801" s="328" t="s">
        <v>1779</v>
      </c>
      <c r="I2801" s="328" t="s">
        <v>110</v>
      </c>
      <c r="J2801" s="328" t="s">
        <v>757</v>
      </c>
      <c r="K2801" s="328" t="s">
        <v>741</v>
      </c>
      <c r="L2801" s="329">
        <v>44104</v>
      </c>
      <c r="M2801" s="332">
        <v>0</v>
      </c>
    </row>
    <row r="2802" spans="1:13" hidden="1" x14ac:dyDescent="0.25">
      <c r="A2802" s="329">
        <v>44105</v>
      </c>
      <c r="B2802" s="328" t="s">
        <v>1701</v>
      </c>
      <c r="C2802" s="328" t="s">
        <v>769</v>
      </c>
      <c r="D2802" s="330">
        <v>4</v>
      </c>
      <c r="E2802" s="331">
        <v>16.5</v>
      </c>
      <c r="F2802" s="331">
        <v>30669.5</v>
      </c>
      <c r="G2802" s="328" t="s">
        <v>1702</v>
      </c>
      <c r="H2802" s="328" t="s">
        <v>1779</v>
      </c>
      <c r="I2802" s="328" t="s">
        <v>110</v>
      </c>
      <c r="J2802" s="328" t="s">
        <v>757</v>
      </c>
      <c r="K2802" s="328" t="s">
        <v>770</v>
      </c>
      <c r="L2802" s="329">
        <v>44105</v>
      </c>
      <c r="M2802" s="332">
        <v>0</v>
      </c>
    </row>
    <row r="2803" spans="1:13" hidden="1" x14ac:dyDescent="0.25">
      <c r="A2803" s="329">
        <v>44135</v>
      </c>
      <c r="B2803" s="328" t="s">
        <v>1703</v>
      </c>
      <c r="C2803" s="328" t="s">
        <v>1060</v>
      </c>
      <c r="D2803" s="330">
        <v>4</v>
      </c>
      <c r="E2803" s="331">
        <v>5.5</v>
      </c>
      <c r="F2803" s="331">
        <v>30675</v>
      </c>
      <c r="G2803" s="328" t="s">
        <v>1704</v>
      </c>
      <c r="H2803" s="328" t="s">
        <v>1779</v>
      </c>
      <c r="I2803" s="328" t="s">
        <v>110</v>
      </c>
      <c r="J2803" s="328" t="s">
        <v>757</v>
      </c>
      <c r="K2803" s="328" t="s">
        <v>741</v>
      </c>
      <c r="L2803" s="329">
        <v>44135</v>
      </c>
      <c r="M2803" s="332">
        <v>0</v>
      </c>
    </row>
    <row r="2804" spans="1:13" hidden="1" x14ac:dyDescent="0.25">
      <c r="A2804" s="329">
        <v>44135</v>
      </c>
      <c r="B2804" s="328" t="s">
        <v>1703</v>
      </c>
      <c r="C2804" s="328" t="s">
        <v>1060</v>
      </c>
      <c r="D2804" s="330">
        <v>5</v>
      </c>
      <c r="E2804" s="331">
        <v>-5.5</v>
      </c>
      <c r="F2804" s="331">
        <v>30669.5</v>
      </c>
      <c r="G2804" s="328" t="s">
        <v>1704</v>
      </c>
      <c r="H2804" s="328" t="s">
        <v>1779</v>
      </c>
      <c r="I2804" s="328" t="s">
        <v>110</v>
      </c>
      <c r="J2804" s="328" t="s">
        <v>757</v>
      </c>
      <c r="K2804" s="328" t="s">
        <v>741</v>
      </c>
      <c r="L2804" s="329">
        <v>44135</v>
      </c>
      <c r="M2804" s="332">
        <v>0</v>
      </c>
    </row>
    <row r="2805" spans="1:13" hidden="1" x14ac:dyDescent="0.25">
      <c r="A2805" s="329">
        <v>44135</v>
      </c>
      <c r="B2805" s="328" t="s">
        <v>1705</v>
      </c>
      <c r="C2805" s="328" t="s">
        <v>769</v>
      </c>
      <c r="D2805" s="330">
        <v>5</v>
      </c>
      <c r="E2805" s="331">
        <v>5.5</v>
      </c>
      <c r="F2805" s="331">
        <v>30675</v>
      </c>
      <c r="G2805" s="328" t="s">
        <v>1706</v>
      </c>
      <c r="H2805" s="328" t="s">
        <v>1779</v>
      </c>
      <c r="I2805" s="328" t="s">
        <v>110</v>
      </c>
      <c r="J2805" s="328" t="s">
        <v>757</v>
      </c>
      <c r="K2805" s="328" t="s">
        <v>770</v>
      </c>
      <c r="L2805" s="329">
        <v>44135</v>
      </c>
      <c r="M2805" s="332">
        <v>0</v>
      </c>
    </row>
    <row r="2806" spans="1:13" hidden="1" x14ac:dyDescent="0.25">
      <c r="A2806" s="329">
        <v>44165</v>
      </c>
      <c r="B2806" s="328" t="s">
        <v>1707</v>
      </c>
      <c r="C2806" s="328" t="s">
        <v>1060</v>
      </c>
      <c r="D2806" s="330">
        <v>5</v>
      </c>
      <c r="E2806" s="331">
        <v>5.5</v>
      </c>
      <c r="F2806" s="331">
        <v>30680.5</v>
      </c>
      <c r="G2806" s="328" t="s">
        <v>1708</v>
      </c>
      <c r="H2806" s="328" t="s">
        <v>1779</v>
      </c>
      <c r="I2806" s="328" t="s">
        <v>110</v>
      </c>
      <c r="J2806" s="328" t="s">
        <v>757</v>
      </c>
      <c r="K2806" s="328" t="s">
        <v>741</v>
      </c>
      <c r="L2806" s="329">
        <v>44165</v>
      </c>
      <c r="M2806" s="332">
        <v>0</v>
      </c>
    </row>
    <row r="2807" spans="1:13" hidden="1" x14ac:dyDescent="0.25">
      <c r="A2807" s="329">
        <v>44165</v>
      </c>
      <c r="B2807" s="328" t="s">
        <v>1707</v>
      </c>
      <c r="C2807" s="328" t="s">
        <v>1060</v>
      </c>
      <c r="D2807" s="330">
        <v>6</v>
      </c>
      <c r="E2807" s="331">
        <v>-5.5</v>
      </c>
      <c r="F2807" s="331">
        <v>30675</v>
      </c>
      <c r="G2807" s="328" t="s">
        <v>1708</v>
      </c>
      <c r="H2807" s="328" t="s">
        <v>1779</v>
      </c>
      <c r="I2807" s="328" t="s">
        <v>110</v>
      </c>
      <c r="J2807" s="328" t="s">
        <v>757</v>
      </c>
      <c r="K2807" s="328" t="s">
        <v>741</v>
      </c>
      <c r="L2807" s="329">
        <v>44165</v>
      </c>
      <c r="M2807" s="332">
        <v>0</v>
      </c>
    </row>
    <row r="2808" spans="1:13" hidden="1" x14ac:dyDescent="0.25">
      <c r="A2808" s="329">
        <v>44165</v>
      </c>
      <c r="B2808" s="328" t="s">
        <v>1709</v>
      </c>
      <c r="C2808" s="328" t="s">
        <v>769</v>
      </c>
      <c r="D2808" s="330">
        <v>6</v>
      </c>
      <c r="E2808" s="331">
        <v>5.5</v>
      </c>
      <c r="F2808" s="331">
        <v>30680.5</v>
      </c>
      <c r="G2808" s="328" t="s">
        <v>1710</v>
      </c>
      <c r="H2808" s="328" t="s">
        <v>1779</v>
      </c>
      <c r="I2808" s="328" t="s">
        <v>110</v>
      </c>
      <c r="J2808" s="328" t="s">
        <v>757</v>
      </c>
      <c r="K2808" s="328" t="s">
        <v>770</v>
      </c>
      <c r="L2808" s="329">
        <v>44165</v>
      </c>
      <c r="M2808" s="332">
        <v>0</v>
      </c>
    </row>
    <row r="2809" spans="1:13" hidden="1" x14ac:dyDescent="0.25">
      <c r="A2809" s="329">
        <v>44008</v>
      </c>
      <c r="B2809" s="328" t="s">
        <v>1780</v>
      </c>
      <c r="C2809" s="328" t="s">
        <v>769</v>
      </c>
      <c r="D2809" s="330">
        <v>1</v>
      </c>
      <c r="E2809" s="331">
        <v>100</v>
      </c>
      <c r="F2809" s="331">
        <v>30780.5</v>
      </c>
      <c r="G2809" s="328" t="s">
        <v>1781</v>
      </c>
      <c r="H2809" s="328" t="s">
        <v>1782</v>
      </c>
      <c r="I2809" s="328" t="s">
        <v>110</v>
      </c>
      <c r="J2809" s="328" t="s">
        <v>757</v>
      </c>
      <c r="K2809" s="328" t="s">
        <v>770</v>
      </c>
      <c r="L2809" s="329">
        <v>44008</v>
      </c>
      <c r="M2809" s="332">
        <v>0</v>
      </c>
    </row>
    <row r="2810" spans="1:13" hidden="1" x14ac:dyDescent="0.25">
      <c r="A2810" s="329">
        <v>44043</v>
      </c>
      <c r="B2810" s="328" t="s">
        <v>1685</v>
      </c>
      <c r="C2810" s="328" t="s">
        <v>1060</v>
      </c>
      <c r="D2810" s="330">
        <v>1</v>
      </c>
      <c r="E2810" s="331">
        <v>11</v>
      </c>
      <c r="F2810" s="331">
        <v>30791.5</v>
      </c>
      <c r="G2810" s="328" t="s">
        <v>1686</v>
      </c>
      <c r="H2810" s="328" t="s">
        <v>1782</v>
      </c>
      <c r="I2810" s="328" t="s">
        <v>110</v>
      </c>
      <c r="J2810" s="328" t="s">
        <v>757</v>
      </c>
      <c r="K2810" s="328" t="s">
        <v>741</v>
      </c>
      <c r="L2810" s="329">
        <v>44043</v>
      </c>
      <c r="M2810" s="332">
        <v>0</v>
      </c>
    </row>
    <row r="2811" spans="1:13" hidden="1" x14ac:dyDescent="0.25">
      <c r="A2811" s="329">
        <v>44043</v>
      </c>
      <c r="B2811" s="328" t="s">
        <v>1688</v>
      </c>
      <c r="C2811" s="328" t="s">
        <v>1060</v>
      </c>
      <c r="D2811" s="330">
        <v>1</v>
      </c>
      <c r="E2811" s="331">
        <v>-11</v>
      </c>
      <c r="F2811" s="331">
        <v>30780.5</v>
      </c>
      <c r="G2811" s="328" t="s">
        <v>1686</v>
      </c>
      <c r="H2811" s="328" t="s">
        <v>1782</v>
      </c>
      <c r="I2811" s="328" t="s">
        <v>110</v>
      </c>
      <c r="J2811" s="328" t="s">
        <v>757</v>
      </c>
      <c r="K2811" s="328" t="s">
        <v>741</v>
      </c>
      <c r="L2811" s="329">
        <v>44043</v>
      </c>
      <c r="M2811" s="332">
        <v>0</v>
      </c>
    </row>
    <row r="2812" spans="1:13" hidden="1" x14ac:dyDescent="0.25">
      <c r="A2812" s="329">
        <v>44043</v>
      </c>
      <c r="B2812" s="328" t="s">
        <v>1689</v>
      </c>
      <c r="C2812" s="328" t="s">
        <v>1060</v>
      </c>
      <c r="D2812" s="330">
        <v>1</v>
      </c>
      <c r="E2812" s="331">
        <v>11</v>
      </c>
      <c r="F2812" s="331">
        <v>30791.5</v>
      </c>
      <c r="G2812" s="328" t="s">
        <v>1686</v>
      </c>
      <c r="H2812" s="328" t="s">
        <v>1782</v>
      </c>
      <c r="I2812" s="328" t="s">
        <v>110</v>
      </c>
      <c r="J2812" s="328" t="s">
        <v>757</v>
      </c>
      <c r="K2812" s="328" t="s">
        <v>741</v>
      </c>
      <c r="L2812" s="329">
        <v>44043</v>
      </c>
      <c r="M2812" s="332">
        <v>0</v>
      </c>
    </row>
    <row r="2813" spans="1:13" hidden="1" x14ac:dyDescent="0.25">
      <c r="A2813" s="329">
        <v>44043</v>
      </c>
      <c r="B2813" s="328" t="s">
        <v>1691</v>
      </c>
      <c r="C2813" s="328" t="s">
        <v>769</v>
      </c>
      <c r="D2813" s="330">
        <v>2</v>
      </c>
      <c r="E2813" s="331">
        <v>11</v>
      </c>
      <c r="F2813" s="331">
        <v>30802.5</v>
      </c>
      <c r="G2813" s="328" t="s">
        <v>1692</v>
      </c>
      <c r="H2813" s="328" t="s">
        <v>1782</v>
      </c>
      <c r="I2813" s="328" t="s">
        <v>110</v>
      </c>
      <c r="J2813" s="328" t="s">
        <v>757</v>
      </c>
      <c r="K2813" s="328" t="s">
        <v>770</v>
      </c>
      <c r="L2813" s="329">
        <v>44043</v>
      </c>
      <c r="M2813" s="332">
        <v>0</v>
      </c>
    </row>
    <row r="2814" spans="1:13" hidden="1" x14ac:dyDescent="0.25">
      <c r="A2814" s="329">
        <v>44043</v>
      </c>
      <c r="B2814" s="328" t="s">
        <v>1685</v>
      </c>
      <c r="C2814" s="328" t="s">
        <v>1060</v>
      </c>
      <c r="D2814" s="330">
        <v>2</v>
      </c>
      <c r="E2814" s="331">
        <v>-11</v>
      </c>
      <c r="F2814" s="331">
        <v>30791.5</v>
      </c>
      <c r="G2814" s="328" t="s">
        <v>1686</v>
      </c>
      <c r="H2814" s="328" t="s">
        <v>1782</v>
      </c>
      <c r="I2814" s="328" t="s">
        <v>110</v>
      </c>
      <c r="J2814" s="328" t="s">
        <v>757</v>
      </c>
      <c r="K2814" s="328" t="s">
        <v>741</v>
      </c>
      <c r="L2814" s="329">
        <v>44043</v>
      </c>
      <c r="M2814" s="332">
        <v>0</v>
      </c>
    </row>
    <row r="2815" spans="1:13" hidden="1" x14ac:dyDescent="0.25">
      <c r="A2815" s="329">
        <v>44043</v>
      </c>
      <c r="B2815" s="328" t="s">
        <v>1688</v>
      </c>
      <c r="C2815" s="328" t="s">
        <v>1060</v>
      </c>
      <c r="D2815" s="330">
        <v>2</v>
      </c>
      <c r="E2815" s="331">
        <v>11</v>
      </c>
      <c r="F2815" s="331">
        <v>30802.5</v>
      </c>
      <c r="G2815" s="328" t="s">
        <v>1686</v>
      </c>
      <c r="H2815" s="328" t="s">
        <v>1782</v>
      </c>
      <c r="I2815" s="328" t="s">
        <v>110</v>
      </c>
      <c r="J2815" s="328" t="s">
        <v>757</v>
      </c>
      <c r="K2815" s="328" t="s">
        <v>741</v>
      </c>
      <c r="L2815" s="329">
        <v>44043</v>
      </c>
      <c r="M2815" s="332">
        <v>0</v>
      </c>
    </row>
    <row r="2816" spans="1:13" hidden="1" x14ac:dyDescent="0.25">
      <c r="A2816" s="329">
        <v>44043</v>
      </c>
      <c r="B2816" s="328" t="s">
        <v>1689</v>
      </c>
      <c r="C2816" s="328" t="s">
        <v>1060</v>
      </c>
      <c r="D2816" s="330">
        <v>2</v>
      </c>
      <c r="E2816" s="331">
        <v>-11</v>
      </c>
      <c r="F2816" s="331">
        <v>30791.5</v>
      </c>
      <c r="G2816" s="328" t="s">
        <v>1686</v>
      </c>
      <c r="H2816" s="328" t="s">
        <v>1782</v>
      </c>
      <c r="I2816" s="328" t="s">
        <v>110</v>
      </c>
      <c r="J2816" s="328" t="s">
        <v>757</v>
      </c>
      <c r="K2816" s="328" t="s">
        <v>741</v>
      </c>
      <c r="L2816" s="329">
        <v>44043</v>
      </c>
      <c r="M2816" s="332">
        <v>0</v>
      </c>
    </row>
    <row r="2817" spans="1:13" hidden="1" x14ac:dyDescent="0.25">
      <c r="A2817" s="329">
        <v>44044</v>
      </c>
      <c r="B2817" s="328" t="s">
        <v>1783</v>
      </c>
      <c r="C2817" s="328" t="s">
        <v>769</v>
      </c>
      <c r="D2817" s="330">
        <v>2</v>
      </c>
      <c r="E2817" s="331">
        <v>1450</v>
      </c>
      <c r="F2817" s="331">
        <v>32241.5</v>
      </c>
      <c r="G2817" s="328" t="s">
        <v>1784</v>
      </c>
      <c r="H2817" s="328" t="s">
        <v>1782</v>
      </c>
      <c r="I2817" s="328" t="s">
        <v>110</v>
      </c>
      <c r="J2817" s="328" t="s">
        <v>757</v>
      </c>
      <c r="K2817" s="328" t="s">
        <v>770</v>
      </c>
      <c r="L2817" s="329">
        <v>44044</v>
      </c>
      <c r="M2817" s="332">
        <v>0</v>
      </c>
    </row>
    <row r="2818" spans="1:13" hidden="1" x14ac:dyDescent="0.25">
      <c r="A2818" s="329">
        <v>44047</v>
      </c>
      <c r="B2818" s="328" t="s">
        <v>1785</v>
      </c>
      <c r="C2818" s="328" t="s">
        <v>769</v>
      </c>
      <c r="D2818" s="330">
        <v>2</v>
      </c>
      <c r="E2818" s="331">
        <v>113.33</v>
      </c>
      <c r="F2818" s="331">
        <v>32354.83</v>
      </c>
      <c r="G2818" s="328" t="s">
        <v>1786</v>
      </c>
      <c r="H2818" s="328" t="s">
        <v>1782</v>
      </c>
      <c r="I2818" s="328" t="s">
        <v>110</v>
      </c>
      <c r="J2818" s="328" t="s">
        <v>757</v>
      </c>
      <c r="K2818" s="328" t="s">
        <v>770</v>
      </c>
      <c r="L2818" s="329">
        <v>44047</v>
      </c>
      <c r="M2818" s="332">
        <v>0</v>
      </c>
    </row>
    <row r="2819" spans="1:13" hidden="1" x14ac:dyDescent="0.25">
      <c r="A2819" s="329">
        <v>44074</v>
      </c>
      <c r="B2819" s="328" t="s">
        <v>1569</v>
      </c>
      <c r="C2819" s="328" t="s">
        <v>1059</v>
      </c>
      <c r="D2819" s="330">
        <v>2</v>
      </c>
      <c r="E2819" s="331">
        <v>-1450</v>
      </c>
      <c r="F2819" s="331">
        <v>30904.83</v>
      </c>
      <c r="G2819" s="328" t="s">
        <v>1570</v>
      </c>
      <c r="H2819" s="328" t="s">
        <v>1782</v>
      </c>
      <c r="I2819" s="328" t="s">
        <v>110</v>
      </c>
      <c r="J2819" s="328" t="s">
        <v>757</v>
      </c>
      <c r="K2819" s="328" t="s">
        <v>741</v>
      </c>
      <c r="L2819" s="329">
        <v>44074</v>
      </c>
      <c r="M2819" s="332">
        <v>0</v>
      </c>
    </row>
    <row r="2820" spans="1:13" hidden="1" x14ac:dyDescent="0.25">
      <c r="A2820" s="329">
        <v>44074</v>
      </c>
      <c r="B2820" s="328" t="s">
        <v>1695</v>
      </c>
      <c r="C2820" s="328" t="s">
        <v>1060</v>
      </c>
      <c r="D2820" s="330">
        <v>2</v>
      </c>
      <c r="E2820" s="331">
        <v>11</v>
      </c>
      <c r="F2820" s="331">
        <v>30915.83</v>
      </c>
      <c r="G2820" s="328" t="s">
        <v>1696</v>
      </c>
      <c r="H2820" s="328" t="s">
        <v>1782</v>
      </c>
      <c r="I2820" s="328" t="s">
        <v>110</v>
      </c>
      <c r="J2820" s="328" t="s">
        <v>757</v>
      </c>
      <c r="K2820" s="328" t="s">
        <v>741</v>
      </c>
      <c r="L2820" s="329">
        <v>44074</v>
      </c>
      <c r="M2820" s="332">
        <v>0</v>
      </c>
    </row>
    <row r="2821" spans="1:13" hidden="1" x14ac:dyDescent="0.25">
      <c r="A2821" s="329">
        <v>43916</v>
      </c>
      <c r="B2821" s="328" t="s">
        <v>1787</v>
      </c>
      <c r="C2821" s="328" t="s">
        <v>769</v>
      </c>
      <c r="D2821" s="330">
        <v>3</v>
      </c>
      <c r="E2821" s="331">
        <v>3725</v>
      </c>
      <c r="F2821" s="331">
        <v>34640.83</v>
      </c>
      <c r="G2821" s="328" t="s">
        <v>1788</v>
      </c>
      <c r="H2821" s="328" t="s">
        <v>1782</v>
      </c>
      <c r="I2821" s="328" t="s">
        <v>110</v>
      </c>
      <c r="J2821" s="328" t="s">
        <v>757</v>
      </c>
      <c r="K2821" s="328" t="s">
        <v>770</v>
      </c>
      <c r="L2821" s="329">
        <v>43916</v>
      </c>
      <c r="M2821" s="332">
        <v>0</v>
      </c>
    </row>
    <row r="2822" spans="1:13" hidden="1" x14ac:dyDescent="0.25">
      <c r="A2822" s="329">
        <v>44074</v>
      </c>
      <c r="B2822" s="328" t="s">
        <v>1697</v>
      </c>
      <c r="C2822" s="328" t="s">
        <v>769</v>
      </c>
      <c r="D2822" s="330">
        <v>3</v>
      </c>
      <c r="E2822" s="331">
        <v>11</v>
      </c>
      <c r="F2822" s="331">
        <v>34651.83</v>
      </c>
      <c r="G2822" s="328" t="s">
        <v>1698</v>
      </c>
      <c r="H2822" s="328" t="s">
        <v>1782</v>
      </c>
      <c r="I2822" s="328" t="s">
        <v>110</v>
      </c>
      <c r="J2822" s="328" t="s">
        <v>757</v>
      </c>
      <c r="K2822" s="328" t="s">
        <v>770</v>
      </c>
      <c r="L2822" s="329">
        <v>44074</v>
      </c>
      <c r="M2822" s="332">
        <v>0</v>
      </c>
    </row>
    <row r="2823" spans="1:13" hidden="1" x14ac:dyDescent="0.25">
      <c r="A2823" s="329">
        <v>44074</v>
      </c>
      <c r="B2823" s="328" t="s">
        <v>1695</v>
      </c>
      <c r="C2823" s="328" t="s">
        <v>1060</v>
      </c>
      <c r="D2823" s="330">
        <v>3</v>
      </c>
      <c r="E2823" s="331">
        <v>-11</v>
      </c>
      <c r="F2823" s="331">
        <v>34640.83</v>
      </c>
      <c r="G2823" s="328" t="s">
        <v>1696</v>
      </c>
      <c r="H2823" s="328" t="s">
        <v>1782</v>
      </c>
      <c r="I2823" s="328" t="s">
        <v>110</v>
      </c>
      <c r="J2823" s="328" t="s">
        <v>757</v>
      </c>
      <c r="K2823" s="328" t="s">
        <v>741</v>
      </c>
      <c r="L2823" s="329">
        <v>44074</v>
      </c>
      <c r="M2823" s="332">
        <v>0</v>
      </c>
    </row>
    <row r="2824" spans="1:13" hidden="1" x14ac:dyDescent="0.25">
      <c r="A2824" s="329">
        <v>44082</v>
      </c>
      <c r="B2824" s="328" t="s">
        <v>1789</v>
      </c>
      <c r="C2824" s="328" t="s">
        <v>769</v>
      </c>
      <c r="D2824" s="330">
        <v>3</v>
      </c>
      <c r="E2824" s="331">
        <v>536.66999999999996</v>
      </c>
      <c r="F2824" s="331">
        <v>35177.5</v>
      </c>
      <c r="G2824" s="328" t="s">
        <v>1790</v>
      </c>
      <c r="H2824" s="328" t="s">
        <v>1782</v>
      </c>
      <c r="I2824" s="328" t="s">
        <v>110</v>
      </c>
      <c r="J2824" s="328" t="s">
        <v>757</v>
      </c>
      <c r="K2824" s="328" t="s">
        <v>770</v>
      </c>
      <c r="L2824" s="329">
        <v>44082</v>
      </c>
      <c r="M2824" s="332">
        <v>0</v>
      </c>
    </row>
    <row r="2825" spans="1:13" hidden="1" x14ac:dyDescent="0.25">
      <c r="A2825" s="329">
        <v>44102</v>
      </c>
      <c r="B2825" s="328" t="s">
        <v>1791</v>
      </c>
      <c r="C2825" s="328" t="s">
        <v>769</v>
      </c>
      <c r="D2825" s="330">
        <v>3</v>
      </c>
      <c r="E2825" s="331">
        <v>250</v>
      </c>
      <c r="F2825" s="331">
        <v>35427.5</v>
      </c>
      <c r="G2825" s="328" t="s">
        <v>1792</v>
      </c>
      <c r="H2825" s="328" t="s">
        <v>1782</v>
      </c>
      <c r="I2825" s="328" t="s">
        <v>110</v>
      </c>
      <c r="J2825" s="328" t="s">
        <v>757</v>
      </c>
      <c r="K2825" s="328" t="s">
        <v>770</v>
      </c>
      <c r="L2825" s="329">
        <v>44102</v>
      </c>
      <c r="M2825" s="332">
        <v>0</v>
      </c>
    </row>
    <row r="2826" spans="1:13" hidden="1" x14ac:dyDescent="0.25">
      <c r="A2826" s="329">
        <v>44075</v>
      </c>
      <c r="B2826" s="328" t="s">
        <v>1793</v>
      </c>
      <c r="C2826" s="328" t="s">
        <v>769</v>
      </c>
      <c r="D2826" s="330">
        <v>4</v>
      </c>
      <c r="E2826" s="331">
        <v>1450</v>
      </c>
      <c r="F2826" s="331">
        <v>36877.5</v>
      </c>
      <c r="G2826" s="328" t="s">
        <v>1794</v>
      </c>
      <c r="H2826" s="328" t="s">
        <v>1782</v>
      </c>
      <c r="I2826" s="328" t="s">
        <v>110</v>
      </c>
      <c r="J2826" s="328" t="s">
        <v>757</v>
      </c>
      <c r="K2826" s="328" t="s">
        <v>770</v>
      </c>
      <c r="L2826" s="329">
        <v>44075</v>
      </c>
      <c r="M2826" s="332">
        <v>0</v>
      </c>
    </row>
    <row r="2827" spans="1:13" hidden="1" x14ac:dyDescent="0.25">
      <c r="A2827" s="329">
        <v>44109</v>
      </c>
      <c r="B2827" s="328" t="s">
        <v>1795</v>
      </c>
      <c r="C2827" s="328" t="s">
        <v>769</v>
      </c>
      <c r="D2827" s="330">
        <v>4</v>
      </c>
      <c r="E2827" s="331">
        <v>500</v>
      </c>
      <c r="F2827" s="331">
        <v>37377.5</v>
      </c>
      <c r="G2827" s="328" t="s">
        <v>1796</v>
      </c>
      <c r="H2827" s="328" t="s">
        <v>1782</v>
      </c>
      <c r="I2827" s="328" t="s">
        <v>110</v>
      </c>
      <c r="J2827" s="328" t="s">
        <v>757</v>
      </c>
      <c r="K2827" s="328" t="s">
        <v>770</v>
      </c>
      <c r="L2827" s="329">
        <v>44109</v>
      </c>
      <c r="M2827" s="332">
        <v>0</v>
      </c>
    </row>
    <row r="2828" spans="1:13" hidden="1" x14ac:dyDescent="0.25">
      <c r="A2828" s="329">
        <v>44116</v>
      </c>
      <c r="B2828" s="328" t="s">
        <v>1797</v>
      </c>
      <c r="C2828" s="328" t="s">
        <v>769</v>
      </c>
      <c r="D2828" s="330">
        <v>4</v>
      </c>
      <c r="E2828" s="331">
        <v>500</v>
      </c>
      <c r="F2828" s="331">
        <v>37877.5</v>
      </c>
      <c r="G2828" s="328" t="s">
        <v>1798</v>
      </c>
      <c r="H2828" s="328" t="s">
        <v>1782</v>
      </c>
      <c r="I2828" s="328" t="s">
        <v>110</v>
      </c>
      <c r="J2828" s="328" t="s">
        <v>757</v>
      </c>
      <c r="K2828" s="328" t="s">
        <v>770</v>
      </c>
      <c r="L2828" s="329">
        <v>44116</v>
      </c>
      <c r="M2828" s="332">
        <v>0</v>
      </c>
    </row>
    <row r="2829" spans="1:13" hidden="1" x14ac:dyDescent="0.25">
      <c r="A2829" s="329">
        <v>44123</v>
      </c>
      <c r="B2829" s="328" t="s">
        <v>1799</v>
      </c>
      <c r="C2829" s="328" t="s">
        <v>769</v>
      </c>
      <c r="D2829" s="330">
        <v>4</v>
      </c>
      <c r="E2829" s="331">
        <v>500</v>
      </c>
      <c r="F2829" s="331">
        <v>38377.5</v>
      </c>
      <c r="G2829" s="328" t="s">
        <v>1800</v>
      </c>
      <c r="H2829" s="328" t="s">
        <v>1782</v>
      </c>
      <c r="I2829" s="328" t="s">
        <v>110</v>
      </c>
      <c r="J2829" s="328" t="s">
        <v>757</v>
      </c>
      <c r="K2829" s="328" t="s">
        <v>770</v>
      </c>
      <c r="L2829" s="329">
        <v>44123</v>
      </c>
      <c r="M2829" s="332">
        <v>0</v>
      </c>
    </row>
    <row r="2830" spans="1:13" hidden="1" x14ac:dyDescent="0.25">
      <c r="A2830" s="329">
        <v>44124</v>
      </c>
      <c r="B2830" s="328" t="s">
        <v>1597</v>
      </c>
      <c r="C2830" s="328" t="s">
        <v>1059</v>
      </c>
      <c r="D2830" s="330">
        <v>4</v>
      </c>
      <c r="E2830" s="331">
        <v>-1450</v>
      </c>
      <c r="F2830" s="331">
        <v>36927.5</v>
      </c>
      <c r="G2830" s="328" t="s">
        <v>1570</v>
      </c>
      <c r="H2830" s="328" t="s">
        <v>1782</v>
      </c>
      <c r="I2830" s="328" t="s">
        <v>110</v>
      </c>
      <c r="J2830" s="328" t="s">
        <v>757</v>
      </c>
      <c r="K2830" s="328" t="s">
        <v>741</v>
      </c>
      <c r="L2830" s="329">
        <v>44124</v>
      </c>
      <c r="M2830" s="332">
        <v>0</v>
      </c>
    </row>
    <row r="2831" spans="1:13" hidden="1" x14ac:dyDescent="0.25">
      <c r="A2831" s="329">
        <v>44130</v>
      </c>
      <c r="B2831" s="328" t="s">
        <v>1801</v>
      </c>
      <c r="C2831" s="328" t="s">
        <v>769</v>
      </c>
      <c r="D2831" s="330">
        <v>4</v>
      </c>
      <c r="E2831" s="331">
        <v>500</v>
      </c>
      <c r="F2831" s="331">
        <v>37427.5</v>
      </c>
      <c r="G2831" s="328" t="s">
        <v>1802</v>
      </c>
      <c r="H2831" s="328" t="s">
        <v>1782</v>
      </c>
      <c r="I2831" s="328" t="s">
        <v>110</v>
      </c>
      <c r="J2831" s="328" t="s">
        <v>757</v>
      </c>
      <c r="K2831" s="328" t="s">
        <v>770</v>
      </c>
      <c r="L2831" s="329">
        <v>44130</v>
      </c>
      <c r="M2831" s="332">
        <v>0</v>
      </c>
    </row>
    <row r="2832" spans="1:13" hidden="1" x14ac:dyDescent="0.25">
      <c r="A2832" s="329">
        <v>44135</v>
      </c>
      <c r="B2832" s="328" t="s">
        <v>1072</v>
      </c>
      <c r="C2832" s="328" t="s">
        <v>1060</v>
      </c>
      <c r="D2832" s="330">
        <v>4</v>
      </c>
      <c r="E2832" s="331">
        <v>2813.33</v>
      </c>
      <c r="F2832" s="331">
        <v>40240.83</v>
      </c>
      <c r="G2832" s="328" t="s">
        <v>1803</v>
      </c>
      <c r="H2832" s="328" t="s">
        <v>1782</v>
      </c>
      <c r="I2832" s="328" t="s">
        <v>110</v>
      </c>
      <c r="J2832" s="328" t="s">
        <v>757</v>
      </c>
      <c r="K2832" s="328" t="s">
        <v>741</v>
      </c>
      <c r="L2832" s="329">
        <v>44135</v>
      </c>
      <c r="M2832" s="332">
        <v>0</v>
      </c>
    </row>
    <row r="2833" spans="1:13" hidden="1" x14ac:dyDescent="0.25">
      <c r="A2833" s="329">
        <v>44130</v>
      </c>
      <c r="B2833" s="328" t="s">
        <v>1804</v>
      </c>
      <c r="C2833" s="328" t="s">
        <v>769</v>
      </c>
      <c r="D2833" s="330">
        <v>5</v>
      </c>
      <c r="E2833" s="331">
        <v>2813.33</v>
      </c>
      <c r="F2833" s="331">
        <v>43054.16</v>
      </c>
      <c r="G2833" s="328" t="s">
        <v>1805</v>
      </c>
      <c r="H2833" s="328" t="s">
        <v>1782</v>
      </c>
      <c r="I2833" s="328" t="s">
        <v>110</v>
      </c>
      <c r="J2833" s="328" t="s">
        <v>757</v>
      </c>
      <c r="K2833" s="328" t="s">
        <v>770</v>
      </c>
      <c r="L2833" s="329">
        <v>44130</v>
      </c>
      <c r="M2833" s="332">
        <v>0</v>
      </c>
    </row>
    <row r="2834" spans="1:13" hidden="1" x14ac:dyDescent="0.25">
      <c r="A2834" s="329">
        <v>44135</v>
      </c>
      <c r="B2834" s="328" t="s">
        <v>1072</v>
      </c>
      <c r="C2834" s="328" t="s">
        <v>1060</v>
      </c>
      <c r="D2834" s="330">
        <v>5</v>
      </c>
      <c r="E2834" s="331">
        <v>-2813.33</v>
      </c>
      <c r="F2834" s="331">
        <v>40240.83</v>
      </c>
      <c r="G2834" s="328" t="s">
        <v>1803</v>
      </c>
      <c r="H2834" s="328" t="s">
        <v>1782</v>
      </c>
      <c r="I2834" s="328" t="s">
        <v>110</v>
      </c>
      <c r="J2834" s="328" t="s">
        <v>757</v>
      </c>
      <c r="K2834" s="328" t="s">
        <v>741</v>
      </c>
      <c r="L2834" s="329">
        <v>44135</v>
      </c>
      <c r="M2834" s="332">
        <v>0</v>
      </c>
    </row>
    <row r="2835" spans="1:13" hidden="1" x14ac:dyDescent="0.25">
      <c r="A2835" s="329">
        <v>44137</v>
      </c>
      <c r="B2835" s="328" t="s">
        <v>1806</v>
      </c>
      <c r="C2835" s="328" t="s">
        <v>769</v>
      </c>
      <c r="D2835" s="330">
        <v>5</v>
      </c>
      <c r="E2835" s="331">
        <v>500</v>
      </c>
      <c r="F2835" s="331">
        <v>40740.83</v>
      </c>
      <c r="G2835" s="328" t="s">
        <v>1807</v>
      </c>
      <c r="H2835" s="328" t="s">
        <v>1782</v>
      </c>
      <c r="I2835" s="328" t="s">
        <v>110</v>
      </c>
      <c r="J2835" s="328" t="s">
        <v>757</v>
      </c>
      <c r="K2835" s="328" t="s">
        <v>770</v>
      </c>
      <c r="L2835" s="329">
        <v>44137</v>
      </c>
      <c r="M2835" s="332">
        <v>0</v>
      </c>
    </row>
    <row r="2836" spans="1:13" hidden="1" x14ac:dyDescent="0.25">
      <c r="A2836" s="329">
        <v>44144</v>
      </c>
      <c r="B2836" s="328" t="s">
        <v>1808</v>
      </c>
      <c r="C2836" s="328" t="s">
        <v>769</v>
      </c>
      <c r="D2836" s="330">
        <v>5</v>
      </c>
      <c r="E2836" s="331">
        <v>500</v>
      </c>
      <c r="F2836" s="331">
        <v>41240.83</v>
      </c>
      <c r="G2836" s="328" t="s">
        <v>1809</v>
      </c>
      <c r="H2836" s="328" t="s">
        <v>1782</v>
      </c>
      <c r="I2836" s="328" t="s">
        <v>110</v>
      </c>
      <c r="J2836" s="328" t="s">
        <v>757</v>
      </c>
      <c r="K2836" s="328" t="s">
        <v>770</v>
      </c>
      <c r="L2836" s="329">
        <v>44144</v>
      </c>
      <c r="M2836" s="332">
        <v>0</v>
      </c>
    </row>
    <row r="2837" spans="1:13" hidden="1" x14ac:dyDescent="0.25">
      <c r="A2837" s="329">
        <v>44151</v>
      </c>
      <c r="B2837" s="328" t="s">
        <v>1810</v>
      </c>
      <c r="C2837" s="328" t="s">
        <v>769</v>
      </c>
      <c r="D2837" s="330">
        <v>5</v>
      </c>
      <c r="E2837" s="331">
        <v>500</v>
      </c>
      <c r="F2837" s="331">
        <v>41740.83</v>
      </c>
      <c r="G2837" s="328" t="s">
        <v>1811</v>
      </c>
      <c r="H2837" s="328" t="s">
        <v>1782</v>
      </c>
      <c r="I2837" s="328" t="s">
        <v>110</v>
      </c>
      <c r="J2837" s="328" t="s">
        <v>757</v>
      </c>
      <c r="K2837" s="328" t="s">
        <v>770</v>
      </c>
      <c r="L2837" s="329">
        <v>44151</v>
      </c>
      <c r="M2837" s="332">
        <v>0</v>
      </c>
    </row>
    <row r="2838" spans="1:13" hidden="1" x14ac:dyDescent="0.25">
      <c r="A2838" s="329">
        <v>44158</v>
      </c>
      <c r="B2838" s="328" t="s">
        <v>1812</v>
      </c>
      <c r="C2838" s="328" t="s">
        <v>769</v>
      </c>
      <c r="D2838" s="330">
        <v>5</v>
      </c>
      <c r="E2838" s="331">
        <v>500</v>
      </c>
      <c r="F2838" s="331">
        <v>42240.83</v>
      </c>
      <c r="G2838" s="328" t="s">
        <v>1813</v>
      </c>
      <c r="H2838" s="328" t="s">
        <v>1782</v>
      </c>
      <c r="I2838" s="328" t="s">
        <v>110</v>
      </c>
      <c r="J2838" s="328" t="s">
        <v>757</v>
      </c>
      <c r="K2838" s="328" t="s">
        <v>770</v>
      </c>
      <c r="L2838" s="329">
        <v>44158</v>
      </c>
      <c r="M2838" s="332">
        <v>0</v>
      </c>
    </row>
    <row r="2839" spans="1:13" hidden="1" x14ac:dyDescent="0.25">
      <c r="A2839" s="329">
        <v>44165</v>
      </c>
      <c r="B2839" s="328" t="s">
        <v>1814</v>
      </c>
      <c r="C2839" s="328" t="s">
        <v>769</v>
      </c>
      <c r="D2839" s="330">
        <v>6</v>
      </c>
      <c r="E2839" s="331">
        <v>500</v>
      </c>
      <c r="F2839" s="331">
        <v>42740.83</v>
      </c>
      <c r="G2839" s="328" t="s">
        <v>1815</v>
      </c>
      <c r="H2839" s="328" t="s">
        <v>1782</v>
      </c>
      <c r="I2839" s="328" t="s">
        <v>110</v>
      </c>
      <c r="J2839" s="328" t="s">
        <v>757</v>
      </c>
      <c r="K2839" s="328" t="s">
        <v>770</v>
      </c>
      <c r="L2839" s="329">
        <v>44165</v>
      </c>
      <c r="M2839" s="332">
        <v>0</v>
      </c>
    </row>
    <row r="2840" spans="1:13" hidden="1" x14ac:dyDescent="0.25">
      <c r="A2840" s="329">
        <v>44196</v>
      </c>
      <c r="B2840" s="328" t="s">
        <v>1073</v>
      </c>
      <c r="C2840" s="328" t="s">
        <v>1060</v>
      </c>
      <c r="D2840" s="330">
        <v>6</v>
      </c>
      <c r="E2840" s="331">
        <v>865</v>
      </c>
      <c r="F2840" s="331">
        <v>43605.83</v>
      </c>
      <c r="G2840" s="328" t="s">
        <v>1816</v>
      </c>
      <c r="H2840" s="328" t="s">
        <v>1782</v>
      </c>
      <c r="I2840" s="328" t="s">
        <v>110</v>
      </c>
      <c r="J2840" s="328" t="s">
        <v>757</v>
      </c>
      <c r="K2840" s="328" t="s">
        <v>741</v>
      </c>
      <c r="L2840" s="329">
        <v>44196</v>
      </c>
      <c r="M2840" s="332">
        <v>0</v>
      </c>
    </row>
    <row r="2841" spans="1:13" hidden="1" x14ac:dyDescent="0.25">
      <c r="A2841" s="329">
        <v>44196</v>
      </c>
      <c r="B2841" s="328" t="s">
        <v>1073</v>
      </c>
      <c r="C2841" s="328" t="s">
        <v>1060</v>
      </c>
      <c r="D2841" s="330">
        <v>7</v>
      </c>
      <c r="E2841" s="331">
        <v>-865</v>
      </c>
      <c r="F2841" s="331">
        <v>42740.83</v>
      </c>
      <c r="G2841" s="328" t="s">
        <v>1816</v>
      </c>
      <c r="H2841" s="328" t="s">
        <v>1782</v>
      </c>
      <c r="I2841" s="328" t="s">
        <v>110</v>
      </c>
      <c r="J2841" s="328" t="s">
        <v>757</v>
      </c>
      <c r="K2841" s="328" t="s">
        <v>741</v>
      </c>
      <c r="L2841" s="329">
        <v>44196</v>
      </c>
      <c r="M2841" s="332">
        <v>0</v>
      </c>
    </row>
    <row r="2842" spans="1:13" hidden="1" x14ac:dyDescent="0.25">
      <c r="A2842" s="329">
        <v>44201</v>
      </c>
      <c r="B2842" s="328" t="s">
        <v>1817</v>
      </c>
      <c r="C2842" s="328" t="s">
        <v>769</v>
      </c>
      <c r="D2842" s="330">
        <v>7</v>
      </c>
      <c r="E2842" s="331">
        <v>865</v>
      </c>
      <c r="F2842" s="331">
        <v>43605.83</v>
      </c>
      <c r="G2842" s="328" t="s">
        <v>1818</v>
      </c>
      <c r="H2842" s="328" t="s">
        <v>1782</v>
      </c>
      <c r="I2842" s="328" t="s">
        <v>110</v>
      </c>
      <c r="J2842" s="328" t="s">
        <v>757</v>
      </c>
      <c r="K2842" s="328" t="s">
        <v>770</v>
      </c>
      <c r="L2842" s="329">
        <v>44201</v>
      </c>
      <c r="M2842" s="332">
        <v>0</v>
      </c>
    </row>
    <row r="2843" spans="1:13" hidden="1" x14ac:dyDescent="0.25">
      <c r="A2843" s="329">
        <v>44227</v>
      </c>
      <c r="B2843" s="328" t="s">
        <v>1074</v>
      </c>
      <c r="C2843" s="328" t="s">
        <v>1060</v>
      </c>
      <c r="D2843" s="330">
        <v>7</v>
      </c>
      <c r="E2843" s="331">
        <v>1620</v>
      </c>
      <c r="F2843" s="331">
        <v>45225.83</v>
      </c>
      <c r="G2843" s="328" t="s">
        <v>1819</v>
      </c>
      <c r="H2843" s="328" t="s">
        <v>1782</v>
      </c>
      <c r="I2843" s="328" t="s">
        <v>110</v>
      </c>
      <c r="J2843" s="328" t="s">
        <v>757</v>
      </c>
      <c r="K2843" s="328" t="s">
        <v>741</v>
      </c>
      <c r="L2843" s="329">
        <v>44227</v>
      </c>
      <c r="M2843" s="332">
        <v>0</v>
      </c>
    </row>
    <row r="2844" spans="1:13" hidden="1" x14ac:dyDescent="0.25">
      <c r="A2844" s="329">
        <v>44225</v>
      </c>
      <c r="B2844" s="328" t="s">
        <v>1820</v>
      </c>
      <c r="C2844" s="328" t="s">
        <v>769</v>
      </c>
      <c r="D2844" s="330">
        <v>8</v>
      </c>
      <c r="E2844" s="331">
        <v>1620</v>
      </c>
      <c r="F2844" s="331">
        <v>46845.83</v>
      </c>
      <c r="G2844" s="328" t="s">
        <v>1821</v>
      </c>
      <c r="H2844" s="328" t="s">
        <v>1782</v>
      </c>
      <c r="I2844" s="328" t="s">
        <v>110</v>
      </c>
      <c r="J2844" s="328" t="s">
        <v>757</v>
      </c>
      <c r="K2844" s="328" t="s">
        <v>770</v>
      </c>
      <c r="L2844" s="329">
        <v>44225</v>
      </c>
      <c r="M2844" s="332">
        <v>0</v>
      </c>
    </row>
    <row r="2845" spans="1:13" hidden="1" x14ac:dyDescent="0.25">
      <c r="A2845" s="329">
        <v>44227</v>
      </c>
      <c r="B2845" s="328" t="s">
        <v>1074</v>
      </c>
      <c r="C2845" s="328" t="s">
        <v>1060</v>
      </c>
      <c r="D2845" s="330">
        <v>8</v>
      </c>
      <c r="E2845" s="331">
        <v>-1620</v>
      </c>
      <c r="F2845" s="331">
        <v>45225.83</v>
      </c>
      <c r="G2845" s="328" t="s">
        <v>1819</v>
      </c>
      <c r="H2845" s="328" t="s">
        <v>1782</v>
      </c>
      <c r="I2845" s="328" t="s">
        <v>110</v>
      </c>
      <c r="J2845" s="328" t="s">
        <v>757</v>
      </c>
      <c r="K2845" s="328" t="s">
        <v>741</v>
      </c>
      <c r="L2845" s="329">
        <v>44227</v>
      </c>
      <c r="M2845" s="332">
        <v>0</v>
      </c>
    </row>
    <row r="2846" spans="1:13" hidden="1" x14ac:dyDescent="0.25">
      <c r="A2846" s="329">
        <v>44238</v>
      </c>
      <c r="B2846" s="328" t="s">
        <v>1822</v>
      </c>
      <c r="C2846" s="328" t="s">
        <v>769</v>
      </c>
      <c r="D2846" s="330">
        <v>8</v>
      </c>
      <c r="E2846" s="331">
        <v>3500</v>
      </c>
      <c r="F2846" s="331">
        <v>48725.83</v>
      </c>
      <c r="G2846" s="328" t="s">
        <v>1823</v>
      </c>
      <c r="H2846" s="328" t="s">
        <v>1782</v>
      </c>
      <c r="I2846" s="328" t="s">
        <v>110</v>
      </c>
      <c r="J2846" s="328" t="s">
        <v>757</v>
      </c>
      <c r="K2846" s="328" t="s">
        <v>770</v>
      </c>
      <c r="L2846" s="329">
        <v>44238</v>
      </c>
      <c r="M2846" s="332">
        <v>0</v>
      </c>
    </row>
    <row r="2847" spans="1:13" hidden="1" x14ac:dyDescent="0.25">
      <c r="A2847" s="329">
        <v>44263</v>
      </c>
      <c r="B2847" s="328" t="s">
        <v>1345</v>
      </c>
      <c r="C2847" s="328" t="s">
        <v>769</v>
      </c>
      <c r="D2847" s="330">
        <v>9</v>
      </c>
      <c r="E2847" s="331">
        <v>1020</v>
      </c>
      <c r="F2847" s="331">
        <v>49745.83</v>
      </c>
      <c r="G2847" s="328" t="s">
        <v>1824</v>
      </c>
      <c r="H2847" s="328" t="s">
        <v>1782</v>
      </c>
      <c r="I2847" s="328" t="s">
        <v>110</v>
      </c>
      <c r="J2847" s="328" t="s">
        <v>757</v>
      </c>
      <c r="K2847" s="328" t="s">
        <v>770</v>
      </c>
      <c r="L2847" s="329">
        <v>44263</v>
      </c>
      <c r="M2847" s="332">
        <v>0</v>
      </c>
    </row>
    <row r="2848" spans="1:13" hidden="1" x14ac:dyDescent="0.25">
      <c r="A2848" s="329">
        <v>44286</v>
      </c>
      <c r="B2848" s="328" t="s">
        <v>1135</v>
      </c>
      <c r="C2848" s="328" t="s">
        <v>1060</v>
      </c>
      <c r="D2848" s="330">
        <v>9</v>
      </c>
      <c r="E2848" s="331">
        <v>1400</v>
      </c>
      <c r="F2848" s="331">
        <v>51145.83</v>
      </c>
      <c r="G2848" s="328" t="s">
        <v>1825</v>
      </c>
      <c r="H2848" s="328" t="s">
        <v>1782</v>
      </c>
      <c r="I2848" s="328" t="s">
        <v>110</v>
      </c>
      <c r="J2848" s="328" t="s">
        <v>757</v>
      </c>
      <c r="K2848" s="328" t="s">
        <v>741</v>
      </c>
      <c r="L2848" s="329">
        <v>44286</v>
      </c>
      <c r="M2848" s="332">
        <v>0</v>
      </c>
    </row>
    <row r="2849" spans="1:13" hidden="1" x14ac:dyDescent="0.25">
      <c r="A2849" s="329">
        <v>44286</v>
      </c>
      <c r="B2849" s="328" t="s">
        <v>1135</v>
      </c>
      <c r="C2849" s="328" t="s">
        <v>1060</v>
      </c>
      <c r="D2849" s="330">
        <v>10</v>
      </c>
      <c r="E2849" s="331">
        <v>-1400</v>
      </c>
      <c r="F2849" s="331">
        <v>49745.83</v>
      </c>
      <c r="G2849" s="328" t="s">
        <v>1825</v>
      </c>
      <c r="H2849" s="328" t="s">
        <v>1782</v>
      </c>
      <c r="I2849" s="328" t="s">
        <v>110</v>
      </c>
      <c r="J2849" s="328" t="s">
        <v>757</v>
      </c>
      <c r="K2849" s="328" t="s">
        <v>741</v>
      </c>
      <c r="L2849" s="329">
        <v>44286</v>
      </c>
      <c r="M2849" s="332">
        <v>0</v>
      </c>
    </row>
    <row r="2850" spans="1:13" hidden="1" x14ac:dyDescent="0.25">
      <c r="A2850" s="329">
        <v>44286</v>
      </c>
      <c r="B2850" s="328" t="s">
        <v>1826</v>
      </c>
      <c r="C2850" s="328" t="s">
        <v>769</v>
      </c>
      <c r="D2850" s="330">
        <v>10</v>
      </c>
      <c r="E2850" s="331">
        <v>170</v>
      </c>
      <c r="F2850" s="331">
        <v>49915.83</v>
      </c>
      <c r="G2850" s="328" t="s">
        <v>1827</v>
      </c>
      <c r="H2850" s="328" t="s">
        <v>1782</v>
      </c>
      <c r="I2850" s="328" t="s">
        <v>110</v>
      </c>
      <c r="J2850" s="328" t="s">
        <v>757</v>
      </c>
      <c r="K2850" s="328" t="s">
        <v>770</v>
      </c>
      <c r="L2850" s="329">
        <v>44286</v>
      </c>
      <c r="M2850" s="332">
        <v>0</v>
      </c>
    </row>
    <row r="2851" spans="1:13" hidden="1" x14ac:dyDescent="0.25">
      <c r="A2851" s="329">
        <v>44286</v>
      </c>
      <c r="B2851" s="328" t="s">
        <v>1828</v>
      </c>
      <c r="C2851" s="328" t="s">
        <v>769</v>
      </c>
      <c r="D2851" s="330">
        <v>10</v>
      </c>
      <c r="E2851" s="331">
        <v>10406.93</v>
      </c>
      <c r="F2851" s="331">
        <v>60322.76</v>
      </c>
      <c r="G2851" s="328" t="s">
        <v>1829</v>
      </c>
      <c r="H2851" s="328" t="s">
        <v>1782</v>
      </c>
      <c r="I2851" s="328" t="s">
        <v>110</v>
      </c>
      <c r="J2851" s="328" t="s">
        <v>757</v>
      </c>
      <c r="K2851" s="328" t="s">
        <v>770</v>
      </c>
      <c r="L2851" s="329">
        <v>44286</v>
      </c>
      <c r="M2851" s="332">
        <v>0</v>
      </c>
    </row>
    <row r="2852" spans="1:13" hidden="1" x14ac:dyDescent="0.25">
      <c r="A2852" s="329">
        <v>44292</v>
      </c>
      <c r="B2852" s="328" t="s">
        <v>1830</v>
      </c>
      <c r="C2852" s="328" t="s">
        <v>769</v>
      </c>
      <c r="D2852" s="330">
        <v>10</v>
      </c>
      <c r="E2852" s="331">
        <v>1590.91</v>
      </c>
      <c r="F2852" s="331">
        <v>61913.67</v>
      </c>
      <c r="G2852" s="328" t="s">
        <v>1831</v>
      </c>
      <c r="H2852" s="328" t="s">
        <v>1782</v>
      </c>
      <c r="I2852" s="328" t="s">
        <v>110</v>
      </c>
      <c r="J2852" s="328" t="s">
        <v>757</v>
      </c>
      <c r="K2852" s="328" t="s">
        <v>770</v>
      </c>
      <c r="L2852" s="329">
        <v>44292</v>
      </c>
      <c r="M2852" s="332">
        <v>0</v>
      </c>
    </row>
    <row r="2853" spans="1:13" hidden="1" x14ac:dyDescent="0.25">
      <c r="A2853" s="329">
        <v>44293</v>
      </c>
      <c r="B2853" s="328" t="s">
        <v>1832</v>
      </c>
      <c r="C2853" s="328" t="s">
        <v>769</v>
      </c>
      <c r="D2853" s="330">
        <v>10</v>
      </c>
      <c r="E2853" s="331">
        <v>2109.09</v>
      </c>
      <c r="F2853" s="331">
        <v>64022.76</v>
      </c>
      <c r="G2853" s="328" t="s">
        <v>1833</v>
      </c>
      <c r="H2853" s="328" t="s">
        <v>1782</v>
      </c>
      <c r="I2853" s="328" t="s">
        <v>110</v>
      </c>
      <c r="J2853" s="328" t="s">
        <v>757</v>
      </c>
      <c r="K2853" s="328" t="s">
        <v>770</v>
      </c>
      <c r="L2853" s="329">
        <v>44293</v>
      </c>
      <c r="M2853" s="332">
        <v>0</v>
      </c>
    </row>
    <row r="2854" spans="1:13" hidden="1" x14ac:dyDescent="0.25">
      <c r="A2854" s="329">
        <v>44316</v>
      </c>
      <c r="B2854" s="328" t="s">
        <v>1083</v>
      </c>
      <c r="C2854" s="328" t="s">
        <v>1060</v>
      </c>
      <c r="D2854" s="330">
        <v>10</v>
      </c>
      <c r="E2854" s="331">
        <v>1500</v>
      </c>
      <c r="F2854" s="331">
        <v>65522.76</v>
      </c>
      <c r="G2854" s="328" t="s">
        <v>1082</v>
      </c>
      <c r="H2854" s="328" t="s">
        <v>1782</v>
      </c>
      <c r="I2854" s="328" t="s">
        <v>110</v>
      </c>
      <c r="J2854" s="328" t="s">
        <v>757</v>
      </c>
      <c r="K2854" s="328" t="s">
        <v>741</v>
      </c>
      <c r="L2854" s="329">
        <v>44316</v>
      </c>
      <c r="M2854" s="332">
        <v>0</v>
      </c>
    </row>
    <row r="2855" spans="1:13" hidden="1" x14ac:dyDescent="0.25">
      <c r="A2855" s="329">
        <v>44012</v>
      </c>
      <c r="B2855" s="328" t="s">
        <v>1678</v>
      </c>
      <c r="C2855" s="328" t="s">
        <v>769</v>
      </c>
      <c r="D2855" s="330">
        <v>1</v>
      </c>
      <c r="E2855" s="331">
        <v>110</v>
      </c>
      <c r="F2855" s="331">
        <v>80929.429999999993</v>
      </c>
      <c r="G2855" s="328" t="s">
        <v>1679</v>
      </c>
      <c r="H2855" s="328" t="s">
        <v>1835</v>
      </c>
      <c r="I2855" s="328" t="s">
        <v>110</v>
      </c>
      <c r="J2855" s="328" t="s">
        <v>757</v>
      </c>
      <c r="K2855" s="328" t="s">
        <v>770</v>
      </c>
      <c r="L2855" s="329">
        <v>44012</v>
      </c>
      <c r="M2855" s="332">
        <v>0</v>
      </c>
    </row>
    <row r="2856" spans="1:13" hidden="1" x14ac:dyDescent="0.25">
      <c r="A2856" s="329">
        <v>44012</v>
      </c>
      <c r="B2856" s="328" t="s">
        <v>1681</v>
      </c>
      <c r="C2856" s="328" t="s">
        <v>1059</v>
      </c>
      <c r="D2856" s="330">
        <v>1</v>
      </c>
      <c r="E2856" s="331">
        <v>-110</v>
      </c>
      <c r="F2856" s="331">
        <v>80819.429999999993</v>
      </c>
      <c r="G2856" s="328" t="s">
        <v>1682</v>
      </c>
      <c r="H2856" s="328" t="s">
        <v>1835</v>
      </c>
      <c r="I2856" s="328" t="s">
        <v>110</v>
      </c>
      <c r="J2856" s="328" t="s">
        <v>757</v>
      </c>
      <c r="K2856" s="328" t="s">
        <v>741</v>
      </c>
      <c r="L2856" s="329">
        <v>44012</v>
      </c>
      <c r="M2856" s="332">
        <v>0</v>
      </c>
    </row>
    <row r="2857" spans="1:13" hidden="1" x14ac:dyDescent="0.25">
      <c r="A2857" s="329">
        <v>44043</v>
      </c>
      <c r="B2857" s="328" t="s">
        <v>1685</v>
      </c>
      <c r="C2857" s="328" t="s">
        <v>1060</v>
      </c>
      <c r="D2857" s="330">
        <v>1</v>
      </c>
      <c r="E2857" s="331">
        <v>110</v>
      </c>
      <c r="F2857" s="331">
        <v>80929.429999999993</v>
      </c>
      <c r="G2857" s="328" t="s">
        <v>1686</v>
      </c>
      <c r="H2857" s="328" t="s">
        <v>1835</v>
      </c>
      <c r="I2857" s="328" t="s">
        <v>110</v>
      </c>
      <c r="J2857" s="328" t="s">
        <v>757</v>
      </c>
      <c r="K2857" s="328" t="s">
        <v>741</v>
      </c>
      <c r="L2857" s="329">
        <v>44043</v>
      </c>
      <c r="M2857" s="332">
        <v>0</v>
      </c>
    </row>
    <row r="2858" spans="1:13" hidden="1" x14ac:dyDescent="0.25">
      <c r="A2858" s="329">
        <v>44043</v>
      </c>
      <c r="B2858" s="328" t="s">
        <v>1688</v>
      </c>
      <c r="C2858" s="328" t="s">
        <v>1060</v>
      </c>
      <c r="D2858" s="330">
        <v>1</v>
      </c>
      <c r="E2858" s="331">
        <v>-110</v>
      </c>
      <c r="F2858" s="331">
        <v>80819.429999999993</v>
      </c>
      <c r="G2858" s="328" t="s">
        <v>1686</v>
      </c>
      <c r="H2858" s="328" t="s">
        <v>1835</v>
      </c>
      <c r="I2858" s="328" t="s">
        <v>110</v>
      </c>
      <c r="J2858" s="328" t="s">
        <v>757</v>
      </c>
      <c r="K2858" s="328" t="s">
        <v>741</v>
      </c>
      <c r="L2858" s="329">
        <v>44043</v>
      </c>
      <c r="M2858" s="332">
        <v>0</v>
      </c>
    </row>
    <row r="2859" spans="1:13" hidden="1" x14ac:dyDescent="0.25">
      <c r="A2859" s="329">
        <v>44043</v>
      </c>
      <c r="B2859" s="328" t="s">
        <v>1689</v>
      </c>
      <c r="C2859" s="328" t="s">
        <v>1060</v>
      </c>
      <c r="D2859" s="330">
        <v>1</v>
      </c>
      <c r="E2859" s="331">
        <v>110</v>
      </c>
      <c r="F2859" s="331">
        <v>80929.429999999993</v>
      </c>
      <c r="G2859" s="328" t="s">
        <v>1686</v>
      </c>
      <c r="H2859" s="328" t="s">
        <v>1835</v>
      </c>
      <c r="I2859" s="328" t="s">
        <v>110</v>
      </c>
      <c r="J2859" s="328" t="s">
        <v>757</v>
      </c>
      <c r="K2859" s="328" t="s">
        <v>741</v>
      </c>
      <c r="L2859" s="329">
        <v>44043</v>
      </c>
      <c r="M2859" s="332">
        <v>0</v>
      </c>
    </row>
    <row r="2860" spans="1:13" hidden="1" x14ac:dyDescent="0.25">
      <c r="A2860" s="329">
        <v>44043</v>
      </c>
      <c r="B2860" s="328" t="s">
        <v>1691</v>
      </c>
      <c r="C2860" s="328" t="s">
        <v>769</v>
      </c>
      <c r="D2860" s="330">
        <v>2</v>
      </c>
      <c r="E2860" s="331">
        <v>110</v>
      </c>
      <c r="F2860" s="331">
        <v>81039.429999999993</v>
      </c>
      <c r="G2860" s="328" t="s">
        <v>1692</v>
      </c>
      <c r="H2860" s="328" t="s">
        <v>1835</v>
      </c>
      <c r="I2860" s="328" t="s">
        <v>110</v>
      </c>
      <c r="J2860" s="328" t="s">
        <v>757</v>
      </c>
      <c r="K2860" s="328" t="s">
        <v>770</v>
      </c>
      <c r="L2860" s="329">
        <v>44043</v>
      </c>
      <c r="M2860" s="332">
        <v>0</v>
      </c>
    </row>
    <row r="2861" spans="1:13" hidden="1" x14ac:dyDescent="0.25">
      <c r="A2861" s="329">
        <v>44043</v>
      </c>
      <c r="B2861" s="328" t="s">
        <v>1685</v>
      </c>
      <c r="C2861" s="328" t="s">
        <v>1060</v>
      </c>
      <c r="D2861" s="330">
        <v>2</v>
      </c>
      <c r="E2861" s="331">
        <v>-110</v>
      </c>
      <c r="F2861" s="331">
        <v>80929.429999999993</v>
      </c>
      <c r="G2861" s="328" t="s">
        <v>1686</v>
      </c>
      <c r="H2861" s="328" t="s">
        <v>1835</v>
      </c>
      <c r="I2861" s="328" t="s">
        <v>110</v>
      </c>
      <c r="J2861" s="328" t="s">
        <v>757</v>
      </c>
      <c r="K2861" s="328" t="s">
        <v>741</v>
      </c>
      <c r="L2861" s="329">
        <v>44043</v>
      </c>
      <c r="M2861" s="332">
        <v>0</v>
      </c>
    </row>
    <row r="2862" spans="1:13" hidden="1" x14ac:dyDescent="0.25">
      <c r="A2862" s="329">
        <v>44043</v>
      </c>
      <c r="B2862" s="328" t="s">
        <v>1688</v>
      </c>
      <c r="C2862" s="328" t="s">
        <v>1060</v>
      </c>
      <c r="D2862" s="330">
        <v>2</v>
      </c>
      <c r="E2862" s="331">
        <v>110</v>
      </c>
      <c r="F2862" s="331">
        <v>81039.429999999993</v>
      </c>
      <c r="G2862" s="328" t="s">
        <v>1686</v>
      </c>
      <c r="H2862" s="328" t="s">
        <v>1835</v>
      </c>
      <c r="I2862" s="328" t="s">
        <v>110</v>
      </c>
      <c r="J2862" s="328" t="s">
        <v>757</v>
      </c>
      <c r="K2862" s="328" t="s">
        <v>741</v>
      </c>
      <c r="L2862" s="329">
        <v>44043</v>
      </c>
      <c r="M2862" s="332">
        <v>0</v>
      </c>
    </row>
    <row r="2863" spans="1:13" hidden="1" x14ac:dyDescent="0.25">
      <c r="A2863" s="329">
        <v>44043</v>
      </c>
      <c r="B2863" s="328" t="s">
        <v>1689</v>
      </c>
      <c r="C2863" s="328" t="s">
        <v>1060</v>
      </c>
      <c r="D2863" s="330">
        <v>2</v>
      </c>
      <c r="E2863" s="331">
        <v>-110</v>
      </c>
      <c r="F2863" s="331">
        <v>80929.429999999993</v>
      </c>
      <c r="G2863" s="328" t="s">
        <v>1686</v>
      </c>
      <c r="H2863" s="328" t="s">
        <v>1835</v>
      </c>
      <c r="I2863" s="328" t="s">
        <v>110</v>
      </c>
      <c r="J2863" s="328" t="s">
        <v>757</v>
      </c>
      <c r="K2863" s="328" t="s">
        <v>741</v>
      </c>
      <c r="L2863" s="329">
        <v>44043</v>
      </c>
      <c r="M2863" s="332">
        <v>0</v>
      </c>
    </row>
    <row r="2864" spans="1:13" hidden="1" x14ac:dyDescent="0.25">
      <c r="A2864" s="329">
        <v>44074</v>
      </c>
      <c r="B2864" s="328" t="s">
        <v>1695</v>
      </c>
      <c r="C2864" s="328" t="s">
        <v>1060</v>
      </c>
      <c r="D2864" s="330">
        <v>2</v>
      </c>
      <c r="E2864" s="331">
        <v>154</v>
      </c>
      <c r="F2864" s="331">
        <v>81083.429999999993</v>
      </c>
      <c r="G2864" s="328" t="s">
        <v>1696</v>
      </c>
      <c r="H2864" s="328" t="s">
        <v>1835</v>
      </c>
      <c r="I2864" s="328" t="s">
        <v>110</v>
      </c>
      <c r="J2864" s="328" t="s">
        <v>757</v>
      </c>
      <c r="K2864" s="328" t="s">
        <v>741</v>
      </c>
      <c r="L2864" s="329">
        <v>44074</v>
      </c>
      <c r="M2864" s="332">
        <v>0</v>
      </c>
    </row>
    <row r="2865" spans="1:13" hidden="1" x14ac:dyDescent="0.25">
      <c r="A2865" s="329">
        <v>44074</v>
      </c>
      <c r="B2865" s="328" t="s">
        <v>1697</v>
      </c>
      <c r="C2865" s="328" t="s">
        <v>769</v>
      </c>
      <c r="D2865" s="330">
        <v>3</v>
      </c>
      <c r="E2865" s="331">
        <v>154</v>
      </c>
      <c r="F2865" s="331">
        <v>81237.429999999993</v>
      </c>
      <c r="G2865" s="328" t="s">
        <v>1698</v>
      </c>
      <c r="H2865" s="328" t="s">
        <v>1835</v>
      </c>
      <c r="I2865" s="328" t="s">
        <v>110</v>
      </c>
      <c r="J2865" s="328" t="s">
        <v>757</v>
      </c>
      <c r="K2865" s="328" t="s">
        <v>770</v>
      </c>
      <c r="L2865" s="329">
        <v>44074</v>
      </c>
      <c r="M2865" s="332">
        <v>0</v>
      </c>
    </row>
    <row r="2866" spans="1:13" hidden="1" x14ac:dyDescent="0.25">
      <c r="A2866" s="329">
        <v>44074</v>
      </c>
      <c r="B2866" s="328" t="s">
        <v>1695</v>
      </c>
      <c r="C2866" s="328" t="s">
        <v>1060</v>
      </c>
      <c r="D2866" s="330">
        <v>3</v>
      </c>
      <c r="E2866" s="331">
        <v>-154</v>
      </c>
      <c r="F2866" s="331">
        <v>81083.429999999993</v>
      </c>
      <c r="G2866" s="328" t="s">
        <v>1696</v>
      </c>
      <c r="H2866" s="328" t="s">
        <v>1835</v>
      </c>
      <c r="I2866" s="328" t="s">
        <v>110</v>
      </c>
      <c r="J2866" s="328" t="s">
        <v>757</v>
      </c>
      <c r="K2866" s="328" t="s">
        <v>741</v>
      </c>
      <c r="L2866" s="329">
        <v>44074</v>
      </c>
      <c r="M2866" s="332">
        <v>0</v>
      </c>
    </row>
    <row r="2867" spans="1:13" hidden="1" x14ac:dyDescent="0.25">
      <c r="A2867" s="329">
        <v>44104</v>
      </c>
      <c r="B2867" s="328" t="s">
        <v>1699</v>
      </c>
      <c r="C2867" s="328" t="s">
        <v>1060</v>
      </c>
      <c r="D2867" s="330">
        <v>3</v>
      </c>
      <c r="E2867" s="331">
        <v>176</v>
      </c>
      <c r="F2867" s="331">
        <v>81259.429999999993</v>
      </c>
      <c r="G2867" s="328" t="s">
        <v>1700</v>
      </c>
      <c r="H2867" s="328" t="s">
        <v>1835</v>
      </c>
      <c r="I2867" s="328" t="s">
        <v>110</v>
      </c>
      <c r="J2867" s="328" t="s">
        <v>757</v>
      </c>
      <c r="K2867" s="328" t="s">
        <v>741</v>
      </c>
      <c r="L2867" s="329">
        <v>44104</v>
      </c>
      <c r="M2867" s="332">
        <v>0</v>
      </c>
    </row>
    <row r="2868" spans="1:13" hidden="1" x14ac:dyDescent="0.25">
      <c r="A2868" s="329">
        <v>44104</v>
      </c>
      <c r="B2868" s="328" t="s">
        <v>1699</v>
      </c>
      <c r="C2868" s="328" t="s">
        <v>1060</v>
      </c>
      <c r="D2868" s="330">
        <v>4</v>
      </c>
      <c r="E2868" s="331">
        <v>-176</v>
      </c>
      <c r="F2868" s="331">
        <v>81083.429999999993</v>
      </c>
      <c r="G2868" s="328" t="s">
        <v>1700</v>
      </c>
      <c r="H2868" s="328" t="s">
        <v>1835</v>
      </c>
      <c r="I2868" s="328" t="s">
        <v>110</v>
      </c>
      <c r="J2868" s="328" t="s">
        <v>757</v>
      </c>
      <c r="K2868" s="328" t="s">
        <v>741</v>
      </c>
      <c r="L2868" s="329">
        <v>44104</v>
      </c>
      <c r="M2868" s="332">
        <v>0</v>
      </c>
    </row>
    <row r="2869" spans="1:13" hidden="1" x14ac:dyDescent="0.25">
      <c r="A2869" s="329">
        <v>44105</v>
      </c>
      <c r="B2869" s="328" t="s">
        <v>1701</v>
      </c>
      <c r="C2869" s="328" t="s">
        <v>769</v>
      </c>
      <c r="D2869" s="330">
        <v>4</v>
      </c>
      <c r="E2869" s="331">
        <v>176</v>
      </c>
      <c r="F2869" s="331">
        <v>81259.429999999993</v>
      </c>
      <c r="G2869" s="328" t="s">
        <v>1702</v>
      </c>
      <c r="H2869" s="328" t="s">
        <v>1835</v>
      </c>
      <c r="I2869" s="328" t="s">
        <v>110</v>
      </c>
      <c r="J2869" s="328" t="s">
        <v>757</v>
      </c>
      <c r="K2869" s="328" t="s">
        <v>770</v>
      </c>
      <c r="L2869" s="329">
        <v>44105</v>
      </c>
      <c r="M2869" s="332">
        <v>0</v>
      </c>
    </row>
    <row r="2870" spans="1:13" hidden="1" x14ac:dyDescent="0.25">
      <c r="A2870" s="329">
        <v>44135</v>
      </c>
      <c r="B2870" s="328" t="s">
        <v>1703</v>
      </c>
      <c r="C2870" s="328" t="s">
        <v>1060</v>
      </c>
      <c r="D2870" s="330">
        <v>4</v>
      </c>
      <c r="E2870" s="331">
        <v>110</v>
      </c>
      <c r="F2870" s="331">
        <v>81369.429999999993</v>
      </c>
      <c r="G2870" s="328" t="s">
        <v>1704</v>
      </c>
      <c r="H2870" s="328" t="s">
        <v>1835</v>
      </c>
      <c r="I2870" s="328" t="s">
        <v>110</v>
      </c>
      <c r="J2870" s="328" t="s">
        <v>757</v>
      </c>
      <c r="K2870" s="328" t="s">
        <v>741</v>
      </c>
      <c r="L2870" s="329">
        <v>44135</v>
      </c>
      <c r="M2870" s="332">
        <v>0</v>
      </c>
    </row>
    <row r="2871" spans="1:13" hidden="1" x14ac:dyDescent="0.25">
      <c r="A2871" s="329">
        <v>44135</v>
      </c>
      <c r="B2871" s="328" t="s">
        <v>1703</v>
      </c>
      <c r="C2871" s="328" t="s">
        <v>1060</v>
      </c>
      <c r="D2871" s="330">
        <v>5</v>
      </c>
      <c r="E2871" s="331">
        <v>-110</v>
      </c>
      <c r="F2871" s="331">
        <v>81259.429999999993</v>
      </c>
      <c r="G2871" s="328" t="s">
        <v>1704</v>
      </c>
      <c r="H2871" s="328" t="s">
        <v>1835</v>
      </c>
      <c r="I2871" s="328" t="s">
        <v>110</v>
      </c>
      <c r="J2871" s="328" t="s">
        <v>757</v>
      </c>
      <c r="K2871" s="328" t="s">
        <v>741</v>
      </c>
      <c r="L2871" s="329">
        <v>44135</v>
      </c>
      <c r="M2871" s="332">
        <v>0</v>
      </c>
    </row>
    <row r="2872" spans="1:13" hidden="1" x14ac:dyDescent="0.25">
      <c r="A2872" s="329">
        <v>44135</v>
      </c>
      <c r="B2872" s="328" t="s">
        <v>1705</v>
      </c>
      <c r="C2872" s="328" t="s">
        <v>769</v>
      </c>
      <c r="D2872" s="330">
        <v>5</v>
      </c>
      <c r="E2872" s="331">
        <v>110</v>
      </c>
      <c r="F2872" s="331">
        <v>81369.429999999993</v>
      </c>
      <c r="G2872" s="328" t="s">
        <v>1706</v>
      </c>
      <c r="H2872" s="328" t="s">
        <v>1835</v>
      </c>
      <c r="I2872" s="328" t="s">
        <v>110</v>
      </c>
      <c r="J2872" s="328" t="s">
        <v>757</v>
      </c>
      <c r="K2872" s="328" t="s">
        <v>770</v>
      </c>
      <c r="L2872" s="329">
        <v>44135</v>
      </c>
      <c r="M2872" s="332">
        <v>0</v>
      </c>
    </row>
    <row r="2873" spans="1:13" hidden="1" x14ac:dyDescent="0.25">
      <c r="A2873" s="329">
        <v>44165</v>
      </c>
      <c r="B2873" s="328" t="s">
        <v>1707</v>
      </c>
      <c r="C2873" s="328" t="s">
        <v>1060</v>
      </c>
      <c r="D2873" s="330">
        <v>5</v>
      </c>
      <c r="E2873" s="331">
        <v>93.5</v>
      </c>
      <c r="F2873" s="331">
        <v>81462.929999999993</v>
      </c>
      <c r="G2873" s="328" t="s">
        <v>1708</v>
      </c>
      <c r="H2873" s="328" t="s">
        <v>1835</v>
      </c>
      <c r="I2873" s="328" t="s">
        <v>110</v>
      </c>
      <c r="J2873" s="328" t="s">
        <v>757</v>
      </c>
      <c r="K2873" s="328" t="s">
        <v>741</v>
      </c>
      <c r="L2873" s="329">
        <v>44165</v>
      </c>
      <c r="M2873" s="332">
        <v>0</v>
      </c>
    </row>
    <row r="2874" spans="1:13" hidden="1" x14ac:dyDescent="0.25">
      <c r="A2874" s="329">
        <v>44165</v>
      </c>
      <c r="B2874" s="328" t="s">
        <v>1707</v>
      </c>
      <c r="C2874" s="328" t="s">
        <v>1060</v>
      </c>
      <c r="D2874" s="330">
        <v>6</v>
      </c>
      <c r="E2874" s="331">
        <v>-93.5</v>
      </c>
      <c r="F2874" s="331">
        <v>81369.429999999993</v>
      </c>
      <c r="G2874" s="328" t="s">
        <v>1708</v>
      </c>
      <c r="H2874" s="328" t="s">
        <v>1835</v>
      </c>
      <c r="I2874" s="328" t="s">
        <v>110</v>
      </c>
      <c r="J2874" s="328" t="s">
        <v>757</v>
      </c>
      <c r="K2874" s="328" t="s">
        <v>741</v>
      </c>
      <c r="L2874" s="329">
        <v>44165</v>
      </c>
      <c r="M2874" s="332">
        <v>0</v>
      </c>
    </row>
    <row r="2875" spans="1:13" hidden="1" x14ac:dyDescent="0.25">
      <c r="A2875" s="329">
        <v>44165</v>
      </c>
      <c r="B2875" s="328" t="s">
        <v>1709</v>
      </c>
      <c r="C2875" s="328" t="s">
        <v>769</v>
      </c>
      <c r="D2875" s="330">
        <v>6</v>
      </c>
      <c r="E2875" s="331">
        <v>93.5</v>
      </c>
      <c r="F2875" s="331">
        <v>81462.929999999993</v>
      </c>
      <c r="G2875" s="328" t="s">
        <v>1710</v>
      </c>
      <c r="H2875" s="328" t="s">
        <v>1835</v>
      </c>
      <c r="I2875" s="328" t="s">
        <v>110</v>
      </c>
      <c r="J2875" s="328" t="s">
        <v>757</v>
      </c>
      <c r="K2875" s="328" t="s">
        <v>770</v>
      </c>
      <c r="L2875" s="329">
        <v>44165</v>
      </c>
      <c r="M2875" s="332">
        <v>0</v>
      </c>
    </row>
    <row r="2876" spans="1:13" hidden="1" x14ac:dyDescent="0.25">
      <c r="A2876" s="329">
        <v>44196</v>
      </c>
      <c r="B2876" s="328" t="s">
        <v>1711</v>
      </c>
      <c r="C2876" s="328" t="s">
        <v>1060</v>
      </c>
      <c r="D2876" s="330">
        <v>6</v>
      </c>
      <c r="E2876" s="331">
        <v>110</v>
      </c>
      <c r="F2876" s="331">
        <v>81572.929999999993</v>
      </c>
      <c r="G2876" s="328" t="s">
        <v>1712</v>
      </c>
      <c r="H2876" s="328" t="s">
        <v>1835</v>
      </c>
      <c r="I2876" s="328" t="s">
        <v>110</v>
      </c>
      <c r="J2876" s="328" t="s">
        <v>757</v>
      </c>
      <c r="K2876" s="328" t="s">
        <v>741</v>
      </c>
      <c r="L2876" s="329">
        <v>44196</v>
      </c>
      <c r="M2876" s="332">
        <v>0</v>
      </c>
    </row>
    <row r="2877" spans="1:13" hidden="1" x14ac:dyDescent="0.25">
      <c r="A2877" s="329">
        <v>44196</v>
      </c>
      <c r="B2877" s="328" t="s">
        <v>1711</v>
      </c>
      <c r="C2877" s="328" t="s">
        <v>1060</v>
      </c>
      <c r="D2877" s="330">
        <v>7</v>
      </c>
      <c r="E2877" s="331">
        <v>-110</v>
      </c>
      <c r="F2877" s="331">
        <v>81462.929999999993</v>
      </c>
      <c r="G2877" s="328" t="s">
        <v>1712</v>
      </c>
      <c r="H2877" s="328" t="s">
        <v>1835</v>
      </c>
      <c r="I2877" s="328" t="s">
        <v>110</v>
      </c>
      <c r="J2877" s="328" t="s">
        <v>757</v>
      </c>
      <c r="K2877" s="328" t="s">
        <v>741</v>
      </c>
      <c r="L2877" s="329">
        <v>44196</v>
      </c>
      <c r="M2877" s="332">
        <v>0</v>
      </c>
    </row>
    <row r="2878" spans="1:13" hidden="1" x14ac:dyDescent="0.25">
      <c r="A2878" s="329">
        <v>44196</v>
      </c>
      <c r="B2878" s="328" t="s">
        <v>1713</v>
      </c>
      <c r="C2878" s="328" t="s">
        <v>769</v>
      </c>
      <c r="D2878" s="330">
        <v>7</v>
      </c>
      <c r="E2878" s="331">
        <v>110</v>
      </c>
      <c r="F2878" s="331">
        <v>81572.929999999993</v>
      </c>
      <c r="G2878" s="328" t="s">
        <v>1714</v>
      </c>
      <c r="H2878" s="328" t="s">
        <v>1835</v>
      </c>
      <c r="I2878" s="328" t="s">
        <v>110</v>
      </c>
      <c r="J2878" s="328" t="s">
        <v>757</v>
      </c>
      <c r="K2878" s="328" t="s">
        <v>770</v>
      </c>
      <c r="L2878" s="329">
        <v>44196</v>
      </c>
      <c r="M2878" s="332">
        <v>0</v>
      </c>
    </row>
    <row r="2879" spans="1:13" hidden="1" x14ac:dyDescent="0.25">
      <c r="A2879" s="329">
        <v>44227</v>
      </c>
      <c r="B2879" s="328" t="s">
        <v>1715</v>
      </c>
      <c r="C2879" s="328" t="s">
        <v>1060</v>
      </c>
      <c r="D2879" s="330">
        <v>7</v>
      </c>
      <c r="E2879" s="331">
        <v>104.5</v>
      </c>
      <c r="F2879" s="331">
        <v>81677.429999999993</v>
      </c>
      <c r="G2879" s="328" t="s">
        <v>1716</v>
      </c>
      <c r="H2879" s="328" t="s">
        <v>1835</v>
      </c>
      <c r="I2879" s="328" t="s">
        <v>110</v>
      </c>
      <c r="J2879" s="328" t="s">
        <v>757</v>
      </c>
      <c r="K2879" s="328" t="s">
        <v>741</v>
      </c>
      <c r="L2879" s="329">
        <v>44227</v>
      </c>
      <c r="M2879" s="332">
        <v>0</v>
      </c>
    </row>
    <row r="2880" spans="1:13" hidden="1" x14ac:dyDescent="0.25">
      <c r="A2880" s="329">
        <v>44227</v>
      </c>
      <c r="B2880" s="328" t="s">
        <v>1715</v>
      </c>
      <c r="C2880" s="328" t="s">
        <v>1060</v>
      </c>
      <c r="D2880" s="330">
        <v>8</v>
      </c>
      <c r="E2880" s="331">
        <v>-104.5</v>
      </c>
      <c r="F2880" s="331">
        <v>81572.929999999993</v>
      </c>
      <c r="G2880" s="328" t="s">
        <v>1716</v>
      </c>
      <c r="H2880" s="328" t="s">
        <v>1835</v>
      </c>
      <c r="I2880" s="328" t="s">
        <v>110</v>
      </c>
      <c r="J2880" s="328" t="s">
        <v>757</v>
      </c>
      <c r="K2880" s="328" t="s">
        <v>741</v>
      </c>
      <c r="L2880" s="329">
        <v>44227</v>
      </c>
      <c r="M2880" s="332">
        <v>0</v>
      </c>
    </row>
    <row r="2881" spans="1:13" hidden="1" x14ac:dyDescent="0.25">
      <c r="A2881" s="329">
        <v>44227</v>
      </c>
      <c r="B2881" s="328" t="s">
        <v>1717</v>
      </c>
      <c r="C2881" s="328" t="s">
        <v>769</v>
      </c>
      <c r="D2881" s="330">
        <v>8</v>
      </c>
      <c r="E2881" s="331">
        <v>104.5</v>
      </c>
      <c r="F2881" s="331">
        <v>81677.429999999993</v>
      </c>
      <c r="G2881" s="328" t="s">
        <v>1718</v>
      </c>
      <c r="H2881" s="328" t="s">
        <v>1835</v>
      </c>
      <c r="I2881" s="328" t="s">
        <v>110</v>
      </c>
      <c r="J2881" s="328" t="s">
        <v>757</v>
      </c>
      <c r="K2881" s="328" t="s">
        <v>770</v>
      </c>
      <c r="L2881" s="329">
        <v>44227</v>
      </c>
      <c r="M2881" s="332">
        <v>0</v>
      </c>
    </row>
    <row r="2882" spans="1:13" hidden="1" x14ac:dyDescent="0.25">
      <c r="A2882" s="329">
        <v>44255</v>
      </c>
      <c r="B2882" s="328" t="s">
        <v>1720</v>
      </c>
      <c r="C2882" s="328" t="s">
        <v>1060</v>
      </c>
      <c r="D2882" s="330">
        <v>8</v>
      </c>
      <c r="E2882" s="331">
        <v>104.5</v>
      </c>
      <c r="F2882" s="331">
        <v>81781.929999999993</v>
      </c>
      <c r="G2882" s="328" t="s">
        <v>1721</v>
      </c>
      <c r="H2882" s="328" t="s">
        <v>1835</v>
      </c>
      <c r="I2882" s="328" t="s">
        <v>110</v>
      </c>
      <c r="J2882" s="328" t="s">
        <v>757</v>
      </c>
      <c r="K2882" s="328" t="s">
        <v>741</v>
      </c>
      <c r="L2882" s="329">
        <v>44255</v>
      </c>
      <c r="M2882" s="332">
        <v>0</v>
      </c>
    </row>
    <row r="2883" spans="1:13" hidden="1" x14ac:dyDescent="0.25">
      <c r="A2883" s="329">
        <v>44255</v>
      </c>
      <c r="B2883" s="328" t="s">
        <v>1720</v>
      </c>
      <c r="C2883" s="328" t="s">
        <v>1060</v>
      </c>
      <c r="D2883" s="330">
        <v>9</v>
      </c>
      <c r="E2883" s="331">
        <v>-104.5</v>
      </c>
      <c r="F2883" s="331">
        <v>81677.429999999993</v>
      </c>
      <c r="G2883" s="328" t="s">
        <v>1721</v>
      </c>
      <c r="H2883" s="328" t="s">
        <v>1835</v>
      </c>
      <c r="I2883" s="328" t="s">
        <v>110</v>
      </c>
      <c r="J2883" s="328" t="s">
        <v>757</v>
      </c>
      <c r="K2883" s="328" t="s">
        <v>741</v>
      </c>
      <c r="L2883" s="329">
        <v>44255</v>
      </c>
      <c r="M2883" s="332">
        <v>0</v>
      </c>
    </row>
    <row r="2884" spans="1:13" hidden="1" x14ac:dyDescent="0.25">
      <c r="A2884" s="329">
        <v>44255</v>
      </c>
      <c r="B2884" s="328" t="s">
        <v>1722</v>
      </c>
      <c r="C2884" s="328" t="s">
        <v>769</v>
      </c>
      <c r="D2884" s="330">
        <v>9</v>
      </c>
      <c r="E2884" s="331">
        <v>110</v>
      </c>
      <c r="F2884" s="331">
        <v>81787.429999999993</v>
      </c>
      <c r="G2884" s="328" t="s">
        <v>1723</v>
      </c>
      <c r="H2884" s="328" t="s">
        <v>1835</v>
      </c>
      <c r="I2884" s="328" t="s">
        <v>110</v>
      </c>
      <c r="J2884" s="328" t="s">
        <v>757</v>
      </c>
      <c r="K2884" s="328" t="s">
        <v>770</v>
      </c>
      <c r="L2884" s="329">
        <v>44255</v>
      </c>
      <c r="M2884" s="332">
        <v>0</v>
      </c>
    </row>
    <row r="2885" spans="1:13" hidden="1" x14ac:dyDescent="0.25">
      <c r="A2885" s="329">
        <v>44286</v>
      </c>
      <c r="B2885" s="328" t="s">
        <v>1724</v>
      </c>
      <c r="C2885" s="328" t="s">
        <v>1060</v>
      </c>
      <c r="D2885" s="330">
        <v>9</v>
      </c>
      <c r="E2885" s="331">
        <v>143</v>
      </c>
      <c r="F2885" s="331">
        <v>81930.429999999993</v>
      </c>
      <c r="G2885" s="328" t="s">
        <v>1725</v>
      </c>
      <c r="H2885" s="328" t="s">
        <v>1835</v>
      </c>
      <c r="I2885" s="328" t="s">
        <v>110</v>
      </c>
      <c r="J2885" s="328" t="s">
        <v>757</v>
      </c>
      <c r="K2885" s="328" t="s">
        <v>741</v>
      </c>
      <c r="L2885" s="329">
        <v>44286</v>
      </c>
      <c r="M2885" s="332">
        <v>0</v>
      </c>
    </row>
    <row r="2886" spans="1:13" hidden="1" x14ac:dyDescent="0.25">
      <c r="A2886" s="329">
        <v>44286</v>
      </c>
      <c r="B2886" s="328" t="s">
        <v>1726</v>
      </c>
      <c r="C2886" s="328" t="s">
        <v>769</v>
      </c>
      <c r="D2886" s="330">
        <v>10</v>
      </c>
      <c r="E2886" s="331">
        <v>143</v>
      </c>
      <c r="F2886" s="331">
        <v>82073.429999999993</v>
      </c>
      <c r="G2886" s="328" t="s">
        <v>1727</v>
      </c>
      <c r="H2886" s="328" t="s">
        <v>1835</v>
      </c>
      <c r="I2886" s="328" t="s">
        <v>110</v>
      </c>
      <c r="J2886" s="328" t="s">
        <v>757</v>
      </c>
      <c r="K2886" s="328" t="s">
        <v>770</v>
      </c>
      <c r="L2886" s="329">
        <v>44286</v>
      </c>
      <c r="M2886" s="332">
        <v>0</v>
      </c>
    </row>
    <row r="2887" spans="1:13" hidden="1" x14ac:dyDescent="0.25">
      <c r="A2887" s="329">
        <v>44286</v>
      </c>
      <c r="B2887" s="328" t="s">
        <v>1724</v>
      </c>
      <c r="C2887" s="328" t="s">
        <v>1060</v>
      </c>
      <c r="D2887" s="330">
        <v>10</v>
      </c>
      <c r="E2887" s="331">
        <v>-143</v>
      </c>
      <c r="F2887" s="331">
        <v>81930.429999999993</v>
      </c>
      <c r="G2887" s="328" t="s">
        <v>1725</v>
      </c>
      <c r="H2887" s="328" t="s">
        <v>1835</v>
      </c>
      <c r="I2887" s="328" t="s">
        <v>110</v>
      </c>
      <c r="J2887" s="328" t="s">
        <v>757</v>
      </c>
      <c r="K2887" s="328" t="s">
        <v>741</v>
      </c>
      <c r="L2887" s="329">
        <v>44286</v>
      </c>
      <c r="M2887" s="332">
        <v>0</v>
      </c>
    </row>
    <row r="2888" spans="1:13" hidden="1" x14ac:dyDescent="0.25">
      <c r="A2888" s="329">
        <v>44316</v>
      </c>
      <c r="B2888" s="328" t="s">
        <v>1728</v>
      </c>
      <c r="C2888" s="328" t="s">
        <v>1060</v>
      </c>
      <c r="D2888" s="330">
        <v>10</v>
      </c>
      <c r="E2888" s="331">
        <v>88</v>
      </c>
      <c r="F2888" s="331">
        <v>82018.429999999993</v>
      </c>
      <c r="G2888" s="328" t="s">
        <v>1729</v>
      </c>
      <c r="H2888" s="328" t="s">
        <v>1835</v>
      </c>
      <c r="I2888" s="328" t="s">
        <v>110</v>
      </c>
      <c r="J2888" s="328" t="s">
        <v>757</v>
      </c>
      <c r="K2888" s="328" t="s">
        <v>741</v>
      </c>
      <c r="L2888" s="329">
        <v>44316</v>
      </c>
      <c r="M2888" s="332">
        <v>0</v>
      </c>
    </row>
    <row r="2889" spans="1:13" hidden="1" x14ac:dyDescent="0.25">
      <c r="A2889" s="329">
        <v>44012</v>
      </c>
      <c r="B2889" s="328" t="s">
        <v>1678</v>
      </c>
      <c r="C2889" s="328" t="s">
        <v>769</v>
      </c>
      <c r="D2889" s="330">
        <v>1</v>
      </c>
      <c r="E2889" s="331">
        <v>71.5</v>
      </c>
      <c r="F2889" s="331">
        <v>82089.929999999993</v>
      </c>
      <c r="G2889" s="328" t="s">
        <v>1679</v>
      </c>
      <c r="H2889" s="328" t="s">
        <v>1836</v>
      </c>
      <c r="I2889" s="328" t="s">
        <v>110</v>
      </c>
      <c r="J2889" s="328" t="s">
        <v>757</v>
      </c>
      <c r="K2889" s="328" t="s">
        <v>770</v>
      </c>
      <c r="L2889" s="329">
        <v>44012</v>
      </c>
      <c r="M2889" s="332">
        <v>0</v>
      </c>
    </row>
    <row r="2890" spans="1:13" hidden="1" x14ac:dyDescent="0.25">
      <c r="A2890" s="329">
        <v>44012</v>
      </c>
      <c r="B2890" s="328" t="s">
        <v>1681</v>
      </c>
      <c r="C2890" s="328" t="s">
        <v>1059</v>
      </c>
      <c r="D2890" s="330">
        <v>1</v>
      </c>
      <c r="E2890" s="331">
        <v>-71.5</v>
      </c>
      <c r="F2890" s="331">
        <v>82018.429999999993</v>
      </c>
      <c r="G2890" s="328" t="s">
        <v>1682</v>
      </c>
      <c r="H2890" s="328" t="s">
        <v>1836</v>
      </c>
      <c r="I2890" s="328" t="s">
        <v>110</v>
      </c>
      <c r="J2890" s="328" t="s">
        <v>757</v>
      </c>
      <c r="K2890" s="328" t="s">
        <v>741</v>
      </c>
      <c r="L2890" s="329">
        <v>44012</v>
      </c>
      <c r="M2890" s="332">
        <v>0</v>
      </c>
    </row>
    <row r="2891" spans="1:13" hidden="1" x14ac:dyDescent="0.25">
      <c r="A2891" s="329">
        <v>44043</v>
      </c>
      <c r="B2891" s="328" t="s">
        <v>1685</v>
      </c>
      <c r="C2891" s="328" t="s">
        <v>1060</v>
      </c>
      <c r="D2891" s="330">
        <v>1</v>
      </c>
      <c r="E2891" s="331">
        <v>71.5</v>
      </c>
      <c r="F2891" s="331">
        <v>82089.929999999993</v>
      </c>
      <c r="G2891" s="328" t="s">
        <v>1686</v>
      </c>
      <c r="H2891" s="328" t="s">
        <v>1836</v>
      </c>
      <c r="I2891" s="328" t="s">
        <v>110</v>
      </c>
      <c r="J2891" s="328" t="s">
        <v>757</v>
      </c>
      <c r="K2891" s="328" t="s">
        <v>741</v>
      </c>
      <c r="L2891" s="329">
        <v>44043</v>
      </c>
      <c r="M2891" s="332">
        <v>0</v>
      </c>
    </row>
    <row r="2892" spans="1:13" hidden="1" x14ac:dyDescent="0.25">
      <c r="A2892" s="329">
        <v>44043</v>
      </c>
      <c r="B2892" s="328" t="s">
        <v>1688</v>
      </c>
      <c r="C2892" s="328" t="s">
        <v>1060</v>
      </c>
      <c r="D2892" s="330">
        <v>1</v>
      </c>
      <c r="E2892" s="331">
        <v>-71.5</v>
      </c>
      <c r="F2892" s="331">
        <v>82018.429999999993</v>
      </c>
      <c r="G2892" s="328" t="s">
        <v>1686</v>
      </c>
      <c r="H2892" s="328" t="s">
        <v>1836</v>
      </c>
      <c r="I2892" s="328" t="s">
        <v>110</v>
      </c>
      <c r="J2892" s="328" t="s">
        <v>757</v>
      </c>
      <c r="K2892" s="328" t="s">
        <v>741</v>
      </c>
      <c r="L2892" s="329">
        <v>44043</v>
      </c>
      <c r="M2892" s="332">
        <v>0</v>
      </c>
    </row>
    <row r="2893" spans="1:13" hidden="1" x14ac:dyDescent="0.25">
      <c r="A2893" s="329">
        <v>44043</v>
      </c>
      <c r="B2893" s="328" t="s">
        <v>1689</v>
      </c>
      <c r="C2893" s="328" t="s">
        <v>1060</v>
      </c>
      <c r="D2893" s="330">
        <v>1</v>
      </c>
      <c r="E2893" s="331">
        <v>71.5</v>
      </c>
      <c r="F2893" s="331">
        <v>82089.929999999993</v>
      </c>
      <c r="G2893" s="328" t="s">
        <v>1686</v>
      </c>
      <c r="H2893" s="328" t="s">
        <v>1836</v>
      </c>
      <c r="I2893" s="328" t="s">
        <v>110</v>
      </c>
      <c r="J2893" s="328" t="s">
        <v>757</v>
      </c>
      <c r="K2893" s="328" t="s">
        <v>741</v>
      </c>
      <c r="L2893" s="329">
        <v>44043</v>
      </c>
      <c r="M2893" s="332">
        <v>0</v>
      </c>
    </row>
    <row r="2894" spans="1:13" hidden="1" x14ac:dyDescent="0.25">
      <c r="A2894" s="329">
        <v>44043</v>
      </c>
      <c r="B2894" s="328" t="s">
        <v>1691</v>
      </c>
      <c r="C2894" s="328" t="s">
        <v>769</v>
      </c>
      <c r="D2894" s="330">
        <v>2</v>
      </c>
      <c r="E2894" s="331">
        <v>71.5</v>
      </c>
      <c r="F2894" s="331">
        <v>82161.429999999993</v>
      </c>
      <c r="G2894" s="328" t="s">
        <v>1692</v>
      </c>
      <c r="H2894" s="328" t="s">
        <v>1836</v>
      </c>
      <c r="I2894" s="328" t="s">
        <v>110</v>
      </c>
      <c r="J2894" s="328" t="s">
        <v>757</v>
      </c>
      <c r="K2894" s="328" t="s">
        <v>770</v>
      </c>
      <c r="L2894" s="329">
        <v>44043</v>
      </c>
      <c r="M2894" s="332">
        <v>0</v>
      </c>
    </row>
    <row r="2895" spans="1:13" hidden="1" x14ac:dyDescent="0.25">
      <c r="A2895" s="329">
        <v>44043</v>
      </c>
      <c r="B2895" s="328" t="s">
        <v>1685</v>
      </c>
      <c r="C2895" s="328" t="s">
        <v>1060</v>
      </c>
      <c r="D2895" s="330">
        <v>2</v>
      </c>
      <c r="E2895" s="331">
        <v>-71.5</v>
      </c>
      <c r="F2895" s="331">
        <v>82089.929999999993</v>
      </c>
      <c r="G2895" s="328" t="s">
        <v>1686</v>
      </c>
      <c r="H2895" s="328" t="s">
        <v>1836</v>
      </c>
      <c r="I2895" s="328" t="s">
        <v>110</v>
      </c>
      <c r="J2895" s="328" t="s">
        <v>757</v>
      </c>
      <c r="K2895" s="328" t="s">
        <v>741</v>
      </c>
      <c r="L2895" s="329">
        <v>44043</v>
      </c>
      <c r="M2895" s="332">
        <v>0</v>
      </c>
    </row>
    <row r="2896" spans="1:13" hidden="1" x14ac:dyDescent="0.25">
      <c r="A2896" s="329">
        <v>44043</v>
      </c>
      <c r="B2896" s="328" t="s">
        <v>1688</v>
      </c>
      <c r="C2896" s="328" t="s">
        <v>1060</v>
      </c>
      <c r="D2896" s="330">
        <v>2</v>
      </c>
      <c r="E2896" s="331">
        <v>71.5</v>
      </c>
      <c r="F2896" s="331">
        <v>82161.429999999993</v>
      </c>
      <c r="G2896" s="328" t="s">
        <v>1686</v>
      </c>
      <c r="H2896" s="328" t="s">
        <v>1836</v>
      </c>
      <c r="I2896" s="328" t="s">
        <v>110</v>
      </c>
      <c r="J2896" s="328" t="s">
        <v>757</v>
      </c>
      <c r="K2896" s="328" t="s">
        <v>741</v>
      </c>
      <c r="L2896" s="329">
        <v>44043</v>
      </c>
      <c r="M2896" s="332">
        <v>0</v>
      </c>
    </row>
    <row r="2897" spans="1:13" hidden="1" x14ac:dyDescent="0.25">
      <c r="A2897" s="329">
        <v>44043</v>
      </c>
      <c r="B2897" s="328" t="s">
        <v>1689</v>
      </c>
      <c r="C2897" s="328" t="s">
        <v>1060</v>
      </c>
      <c r="D2897" s="330">
        <v>2</v>
      </c>
      <c r="E2897" s="331">
        <v>-71.5</v>
      </c>
      <c r="F2897" s="331">
        <v>82089.929999999993</v>
      </c>
      <c r="G2897" s="328" t="s">
        <v>1686</v>
      </c>
      <c r="H2897" s="328" t="s">
        <v>1836</v>
      </c>
      <c r="I2897" s="328" t="s">
        <v>110</v>
      </c>
      <c r="J2897" s="328" t="s">
        <v>757</v>
      </c>
      <c r="K2897" s="328" t="s">
        <v>741</v>
      </c>
      <c r="L2897" s="329">
        <v>44043</v>
      </c>
      <c r="M2897" s="332">
        <v>0</v>
      </c>
    </row>
    <row r="2898" spans="1:13" hidden="1" x14ac:dyDescent="0.25">
      <c r="A2898" s="329">
        <v>44074</v>
      </c>
      <c r="B2898" s="328" t="s">
        <v>1695</v>
      </c>
      <c r="C2898" s="328" t="s">
        <v>1060</v>
      </c>
      <c r="D2898" s="330">
        <v>2</v>
      </c>
      <c r="E2898" s="331">
        <v>66</v>
      </c>
      <c r="F2898" s="331">
        <v>82155.929999999993</v>
      </c>
      <c r="G2898" s="328" t="s">
        <v>1696</v>
      </c>
      <c r="H2898" s="328" t="s">
        <v>1836</v>
      </c>
      <c r="I2898" s="328" t="s">
        <v>110</v>
      </c>
      <c r="J2898" s="328" t="s">
        <v>757</v>
      </c>
      <c r="K2898" s="328" t="s">
        <v>741</v>
      </c>
      <c r="L2898" s="329">
        <v>44074</v>
      </c>
      <c r="M2898" s="332">
        <v>0</v>
      </c>
    </row>
    <row r="2899" spans="1:13" hidden="1" x14ac:dyDescent="0.25">
      <c r="A2899" s="329">
        <v>44074</v>
      </c>
      <c r="B2899" s="328" t="s">
        <v>1697</v>
      </c>
      <c r="C2899" s="328" t="s">
        <v>769</v>
      </c>
      <c r="D2899" s="330">
        <v>3</v>
      </c>
      <c r="E2899" s="331">
        <v>66</v>
      </c>
      <c r="F2899" s="331">
        <v>82221.929999999993</v>
      </c>
      <c r="G2899" s="328" t="s">
        <v>1698</v>
      </c>
      <c r="H2899" s="328" t="s">
        <v>1836</v>
      </c>
      <c r="I2899" s="328" t="s">
        <v>110</v>
      </c>
      <c r="J2899" s="328" t="s">
        <v>757</v>
      </c>
      <c r="K2899" s="328" t="s">
        <v>770</v>
      </c>
      <c r="L2899" s="329">
        <v>44074</v>
      </c>
      <c r="M2899" s="332">
        <v>0</v>
      </c>
    </row>
    <row r="2900" spans="1:13" hidden="1" x14ac:dyDescent="0.25">
      <c r="A2900" s="329">
        <v>44074</v>
      </c>
      <c r="B2900" s="328" t="s">
        <v>1695</v>
      </c>
      <c r="C2900" s="328" t="s">
        <v>1060</v>
      </c>
      <c r="D2900" s="330">
        <v>3</v>
      </c>
      <c r="E2900" s="331">
        <v>-66</v>
      </c>
      <c r="F2900" s="331">
        <v>82155.929999999993</v>
      </c>
      <c r="G2900" s="328" t="s">
        <v>1696</v>
      </c>
      <c r="H2900" s="328" t="s">
        <v>1836</v>
      </c>
      <c r="I2900" s="328" t="s">
        <v>110</v>
      </c>
      <c r="J2900" s="328" t="s">
        <v>757</v>
      </c>
      <c r="K2900" s="328" t="s">
        <v>741</v>
      </c>
      <c r="L2900" s="329">
        <v>44074</v>
      </c>
      <c r="M2900" s="332">
        <v>0</v>
      </c>
    </row>
    <row r="2901" spans="1:13" hidden="1" x14ac:dyDescent="0.25">
      <c r="A2901" s="329">
        <v>44104</v>
      </c>
      <c r="B2901" s="328" t="s">
        <v>1699</v>
      </c>
      <c r="C2901" s="328" t="s">
        <v>1060</v>
      </c>
      <c r="D2901" s="330">
        <v>3</v>
      </c>
      <c r="E2901" s="331">
        <v>99</v>
      </c>
      <c r="F2901" s="331">
        <v>82254.929999999993</v>
      </c>
      <c r="G2901" s="328" t="s">
        <v>1700</v>
      </c>
      <c r="H2901" s="328" t="s">
        <v>1836</v>
      </c>
      <c r="I2901" s="328" t="s">
        <v>110</v>
      </c>
      <c r="J2901" s="328" t="s">
        <v>757</v>
      </c>
      <c r="K2901" s="328" t="s">
        <v>741</v>
      </c>
      <c r="L2901" s="329">
        <v>44104</v>
      </c>
      <c r="M2901" s="332">
        <v>0</v>
      </c>
    </row>
    <row r="2902" spans="1:13" hidden="1" x14ac:dyDescent="0.25">
      <c r="A2902" s="329">
        <v>44104</v>
      </c>
      <c r="B2902" s="328" t="s">
        <v>1699</v>
      </c>
      <c r="C2902" s="328" t="s">
        <v>1060</v>
      </c>
      <c r="D2902" s="330">
        <v>4</v>
      </c>
      <c r="E2902" s="331">
        <v>-99</v>
      </c>
      <c r="F2902" s="331">
        <v>82155.929999999993</v>
      </c>
      <c r="G2902" s="328" t="s">
        <v>1700</v>
      </c>
      <c r="H2902" s="328" t="s">
        <v>1836</v>
      </c>
      <c r="I2902" s="328" t="s">
        <v>110</v>
      </c>
      <c r="J2902" s="328" t="s">
        <v>757</v>
      </c>
      <c r="K2902" s="328" t="s">
        <v>741</v>
      </c>
      <c r="L2902" s="329">
        <v>44104</v>
      </c>
      <c r="M2902" s="332">
        <v>0</v>
      </c>
    </row>
    <row r="2903" spans="1:13" hidden="1" x14ac:dyDescent="0.25">
      <c r="A2903" s="329">
        <v>44105</v>
      </c>
      <c r="B2903" s="328" t="s">
        <v>1701</v>
      </c>
      <c r="C2903" s="328" t="s">
        <v>769</v>
      </c>
      <c r="D2903" s="330">
        <v>4</v>
      </c>
      <c r="E2903" s="331">
        <v>99</v>
      </c>
      <c r="F2903" s="331">
        <v>82254.929999999993</v>
      </c>
      <c r="G2903" s="328" t="s">
        <v>1702</v>
      </c>
      <c r="H2903" s="328" t="s">
        <v>1836</v>
      </c>
      <c r="I2903" s="328" t="s">
        <v>110</v>
      </c>
      <c r="J2903" s="328" t="s">
        <v>757</v>
      </c>
      <c r="K2903" s="328" t="s">
        <v>770</v>
      </c>
      <c r="L2903" s="329">
        <v>44105</v>
      </c>
      <c r="M2903" s="332">
        <v>0</v>
      </c>
    </row>
    <row r="2904" spans="1:13" hidden="1" x14ac:dyDescent="0.25">
      <c r="A2904" s="329">
        <v>44135</v>
      </c>
      <c r="B2904" s="328" t="s">
        <v>1703</v>
      </c>
      <c r="C2904" s="328" t="s">
        <v>1060</v>
      </c>
      <c r="D2904" s="330">
        <v>4</v>
      </c>
      <c r="E2904" s="331">
        <v>71.5</v>
      </c>
      <c r="F2904" s="331">
        <v>82326.429999999993</v>
      </c>
      <c r="G2904" s="328" t="s">
        <v>1704</v>
      </c>
      <c r="H2904" s="328" t="s">
        <v>1836</v>
      </c>
      <c r="I2904" s="328" t="s">
        <v>110</v>
      </c>
      <c r="J2904" s="328" t="s">
        <v>757</v>
      </c>
      <c r="K2904" s="328" t="s">
        <v>741</v>
      </c>
      <c r="L2904" s="329">
        <v>44135</v>
      </c>
      <c r="M2904" s="332">
        <v>0</v>
      </c>
    </row>
    <row r="2905" spans="1:13" hidden="1" x14ac:dyDescent="0.25">
      <c r="A2905" s="329">
        <v>44135</v>
      </c>
      <c r="B2905" s="328" t="s">
        <v>1703</v>
      </c>
      <c r="C2905" s="328" t="s">
        <v>1060</v>
      </c>
      <c r="D2905" s="330">
        <v>5</v>
      </c>
      <c r="E2905" s="331">
        <v>-71.5</v>
      </c>
      <c r="F2905" s="331">
        <v>82254.929999999993</v>
      </c>
      <c r="G2905" s="328" t="s">
        <v>1704</v>
      </c>
      <c r="H2905" s="328" t="s">
        <v>1836</v>
      </c>
      <c r="I2905" s="328" t="s">
        <v>110</v>
      </c>
      <c r="J2905" s="328" t="s">
        <v>757</v>
      </c>
      <c r="K2905" s="328" t="s">
        <v>741</v>
      </c>
      <c r="L2905" s="329">
        <v>44135</v>
      </c>
      <c r="M2905" s="332">
        <v>0</v>
      </c>
    </row>
    <row r="2906" spans="1:13" hidden="1" x14ac:dyDescent="0.25">
      <c r="A2906" s="329">
        <v>44135</v>
      </c>
      <c r="B2906" s="328" t="s">
        <v>1705</v>
      </c>
      <c r="C2906" s="328" t="s">
        <v>769</v>
      </c>
      <c r="D2906" s="330">
        <v>5</v>
      </c>
      <c r="E2906" s="331">
        <v>71.5</v>
      </c>
      <c r="F2906" s="331">
        <v>82326.429999999993</v>
      </c>
      <c r="G2906" s="328" t="s">
        <v>1706</v>
      </c>
      <c r="H2906" s="328" t="s">
        <v>1836</v>
      </c>
      <c r="I2906" s="328" t="s">
        <v>110</v>
      </c>
      <c r="J2906" s="328" t="s">
        <v>757</v>
      </c>
      <c r="K2906" s="328" t="s">
        <v>770</v>
      </c>
      <c r="L2906" s="329">
        <v>44135</v>
      </c>
      <c r="M2906" s="332">
        <v>0</v>
      </c>
    </row>
    <row r="2907" spans="1:13" hidden="1" x14ac:dyDescent="0.25">
      <c r="A2907" s="329">
        <v>44165</v>
      </c>
      <c r="B2907" s="328" t="s">
        <v>1707</v>
      </c>
      <c r="C2907" s="328" t="s">
        <v>1060</v>
      </c>
      <c r="D2907" s="330">
        <v>5</v>
      </c>
      <c r="E2907" s="331">
        <v>55</v>
      </c>
      <c r="F2907" s="331">
        <v>82381.429999999993</v>
      </c>
      <c r="G2907" s="328" t="s">
        <v>1708</v>
      </c>
      <c r="H2907" s="328" t="s">
        <v>1836</v>
      </c>
      <c r="I2907" s="328" t="s">
        <v>110</v>
      </c>
      <c r="J2907" s="328" t="s">
        <v>757</v>
      </c>
      <c r="K2907" s="328" t="s">
        <v>741</v>
      </c>
      <c r="L2907" s="329">
        <v>44165</v>
      </c>
      <c r="M2907" s="332">
        <v>0</v>
      </c>
    </row>
    <row r="2908" spans="1:13" hidden="1" x14ac:dyDescent="0.25">
      <c r="A2908" s="329">
        <v>44165</v>
      </c>
      <c r="B2908" s="328" t="s">
        <v>1707</v>
      </c>
      <c r="C2908" s="328" t="s">
        <v>1060</v>
      </c>
      <c r="D2908" s="330">
        <v>6</v>
      </c>
      <c r="E2908" s="331">
        <v>-55</v>
      </c>
      <c r="F2908" s="331">
        <v>82326.429999999993</v>
      </c>
      <c r="G2908" s="328" t="s">
        <v>1708</v>
      </c>
      <c r="H2908" s="328" t="s">
        <v>1836</v>
      </c>
      <c r="I2908" s="328" t="s">
        <v>110</v>
      </c>
      <c r="J2908" s="328" t="s">
        <v>757</v>
      </c>
      <c r="K2908" s="328" t="s">
        <v>741</v>
      </c>
      <c r="L2908" s="329">
        <v>44165</v>
      </c>
      <c r="M2908" s="332">
        <v>0</v>
      </c>
    </row>
    <row r="2909" spans="1:13" hidden="1" x14ac:dyDescent="0.25">
      <c r="A2909" s="329">
        <v>44165</v>
      </c>
      <c r="B2909" s="328" t="s">
        <v>1709</v>
      </c>
      <c r="C2909" s="328" t="s">
        <v>769</v>
      </c>
      <c r="D2909" s="330">
        <v>6</v>
      </c>
      <c r="E2909" s="331">
        <v>55</v>
      </c>
      <c r="F2909" s="331">
        <v>82381.429999999993</v>
      </c>
      <c r="G2909" s="328" t="s">
        <v>1710</v>
      </c>
      <c r="H2909" s="328" t="s">
        <v>1836</v>
      </c>
      <c r="I2909" s="328" t="s">
        <v>110</v>
      </c>
      <c r="J2909" s="328" t="s">
        <v>757</v>
      </c>
      <c r="K2909" s="328" t="s">
        <v>770</v>
      </c>
      <c r="L2909" s="329">
        <v>44165</v>
      </c>
      <c r="M2909" s="332">
        <v>0</v>
      </c>
    </row>
    <row r="2910" spans="1:13" hidden="1" x14ac:dyDescent="0.25">
      <c r="A2910" s="329">
        <v>44196</v>
      </c>
      <c r="B2910" s="328" t="s">
        <v>1711</v>
      </c>
      <c r="C2910" s="328" t="s">
        <v>1060</v>
      </c>
      <c r="D2910" s="330">
        <v>6</v>
      </c>
      <c r="E2910" s="331">
        <v>44</v>
      </c>
      <c r="F2910" s="331">
        <v>82425.429999999993</v>
      </c>
      <c r="G2910" s="328" t="s">
        <v>1712</v>
      </c>
      <c r="H2910" s="328" t="s">
        <v>1836</v>
      </c>
      <c r="I2910" s="328" t="s">
        <v>110</v>
      </c>
      <c r="J2910" s="328" t="s">
        <v>757</v>
      </c>
      <c r="K2910" s="328" t="s">
        <v>741</v>
      </c>
      <c r="L2910" s="329">
        <v>44196</v>
      </c>
      <c r="M2910" s="332">
        <v>0</v>
      </c>
    </row>
    <row r="2911" spans="1:13" hidden="1" x14ac:dyDescent="0.25">
      <c r="A2911" s="329">
        <v>44196</v>
      </c>
      <c r="B2911" s="328" t="s">
        <v>1711</v>
      </c>
      <c r="C2911" s="328" t="s">
        <v>1060</v>
      </c>
      <c r="D2911" s="330">
        <v>7</v>
      </c>
      <c r="E2911" s="331">
        <v>-44</v>
      </c>
      <c r="F2911" s="331">
        <v>82381.429999999993</v>
      </c>
      <c r="G2911" s="328" t="s">
        <v>1712</v>
      </c>
      <c r="H2911" s="328" t="s">
        <v>1836</v>
      </c>
      <c r="I2911" s="328" t="s">
        <v>110</v>
      </c>
      <c r="J2911" s="328" t="s">
        <v>757</v>
      </c>
      <c r="K2911" s="328" t="s">
        <v>741</v>
      </c>
      <c r="L2911" s="329">
        <v>44196</v>
      </c>
      <c r="M2911" s="332">
        <v>0</v>
      </c>
    </row>
    <row r="2912" spans="1:13" hidden="1" x14ac:dyDescent="0.25">
      <c r="A2912" s="329">
        <v>44196</v>
      </c>
      <c r="B2912" s="328" t="s">
        <v>1713</v>
      </c>
      <c r="C2912" s="328" t="s">
        <v>769</v>
      </c>
      <c r="D2912" s="330">
        <v>7</v>
      </c>
      <c r="E2912" s="331">
        <v>44</v>
      </c>
      <c r="F2912" s="331">
        <v>82425.429999999993</v>
      </c>
      <c r="G2912" s="328" t="s">
        <v>1714</v>
      </c>
      <c r="H2912" s="328" t="s">
        <v>1836</v>
      </c>
      <c r="I2912" s="328" t="s">
        <v>110</v>
      </c>
      <c r="J2912" s="328" t="s">
        <v>757</v>
      </c>
      <c r="K2912" s="328" t="s">
        <v>770</v>
      </c>
      <c r="L2912" s="329">
        <v>44196</v>
      </c>
      <c r="M2912" s="332">
        <v>0</v>
      </c>
    </row>
    <row r="2913" spans="1:13" hidden="1" x14ac:dyDescent="0.25">
      <c r="A2913" s="329">
        <v>44227</v>
      </c>
      <c r="B2913" s="328" t="s">
        <v>1715</v>
      </c>
      <c r="C2913" s="328" t="s">
        <v>1060</v>
      </c>
      <c r="D2913" s="330">
        <v>7</v>
      </c>
      <c r="E2913" s="331">
        <v>44</v>
      </c>
      <c r="F2913" s="331">
        <v>82469.429999999993</v>
      </c>
      <c r="G2913" s="328" t="s">
        <v>1716</v>
      </c>
      <c r="H2913" s="328" t="s">
        <v>1836</v>
      </c>
      <c r="I2913" s="328" t="s">
        <v>110</v>
      </c>
      <c r="J2913" s="328" t="s">
        <v>757</v>
      </c>
      <c r="K2913" s="328" t="s">
        <v>741</v>
      </c>
      <c r="L2913" s="329">
        <v>44227</v>
      </c>
      <c r="M2913" s="332">
        <v>0</v>
      </c>
    </row>
    <row r="2914" spans="1:13" hidden="1" x14ac:dyDescent="0.25">
      <c r="A2914" s="329">
        <v>44227</v>
      </c>
      <c r="B2914" s="328" t="s">
        <v>1715</v>
      </c>
      <c r="C2914" s="328" t="s">
        <v>1060</v>
      </c>
      <c r="D2914" s="330">
        <v>8</v>
      </c>
      <c r="E2914" s="331">
        <v>-44</v>
      </c>
      <c r="F2914" s="331">
        <v>82425.429999999993</v>
      </c>
      <c r="G2914" s="328" t="s">
        <v>1716</v>
      </c>
      <c r="H2914" s="328" t="s">
        <v>1836</v>
      </c>
      <c r="I2914" s="328" t="s">
        <v>110</v>
      </c>
      <c r="J2914" s="328" t="s">
        <v>757</v>
      </c>
      <c r="K2914" s="328" t="s">
        <v>741</v>
      </c>
      <c r="L2914" s="329">
        <v>44227</v>
      </c>
      <c r="M2914" s="332">
        <v>0</v>
      </c>
    </row>
    <row r="2915" spans="1:13" hidden="1" x14ac:dyDescent="0.25">
      <c r="A2915" s="329">
        <v>44227</v>
      </c>
      <c r="B2915" s="328" t="s">
        <v>1717</v>
      </c>
      <c r="C2915" s="328" t="s">
        <v>769</v>
      </c>
      <c r="D2915" s="330">
        <v>8</v>
      </c>
      <c r="E2915" s="331">
        <v>44</v>
      </c>
      <c r="F2915" s="331">
        <v>82469.429999999993</v>
      </c>
      <c r="G2915" s="328" t="s">
        <v>1718</v>
      </c>
      <c r="H2915" s="328" t="s">
        <v>1836</v>
      </c>
      <c r="I2915" s="328" t="s">
        <v>110</v>
      </c>
      <c r="J2915" s="328" t="s">
        <v>757</v>
      </c>
      <c r="K2915" s="328" t="s">
        <v>770</v>
      </c>
      <c r="L2915" s="329">
        <v>44227</v>
      </c>
      <c r="M2915" s="332">
        <v>0</v>
      </c>
    </row>
    <row r="2916" spans="1:13" hidden="1" x14ac:dyDescent="0.25">
      <c r="A2916" s="329">
        <v>44255</v>
      </c>
      <c r="B2916" s="328" t="s">
        <v>1720</v>
      </c>
      <c r="C2916" s="328" t="s">
        <v>1060</v>
      </c>
      <c r="D2916" s="330">
        <v>8</v>
      </c>
      <c r="E2916" s="331">
        <v>33</v>
      </c>
      <c r="F2916" s="331">
        <v>82502.429999999993</v>
      </c>
      <c r="G2916" s="328" t="s">
        <v>1721</v>
      </c>
      <c r="H2916" s="328" t="s">
        <v>1836</v>
      </c>
      <c r="I2916" s="328" t="s">
        <v>110</v>
      </c>
      <c r="J2916" s="328" t="s">
        <v>757</v>
      </c>
      <c r="K2916" s="328" t="s">
        <v>741</v>
      </c>
      <c r="L2916" s="329">
        <v>44255</v>
      </c>
      <c r="M2916" s="332">
        <v>0</v>
      </c>
    </row>
    <row r="2917" spans="1:13" hidden="1" x14ac:dyDescent="0.25">
      <c r="A2917" s="329">
        <v>44255</v>
      </c>
      <c r="B2917" s="328" t="s">
        <v>1720</v>
      </c>
      <c r="C2917" s="328" t="s">
        <v>1060</v>
      </c>
      <c r="D2917" s="330">
        <v>9</v>
      </c>
      <c r="E2917" s="331">
        <v>-33</v>
      </c>
      <c r="F2917" s="331">
        <v>82469.429999999993</v>
      </c>
      <c r="G2917" s="328" t="s">
        <v>1721</v>
      </c>
      <c r="H2917" s="328" t="s">
        <v>1836</v>
      </c>
      <c r="I2917" s="328" t="s">
        <v>110</v>
      </c>
      <c r="J2917" s="328" t="s">
        <v>757</v>
      </c>
      <c r="K2917" s="328" t="s">
        <v>741</v>
      </c>
      <c r="L2917" s="329">
        <v>44255</v>
      </c>
      <c r="M2917" s="332">
        <v>0</v>
      </c>
    </row>
    <row r="2918" spans="1:13" hidden="1" x14ac:dyDescent="0.25">
      <c r="A2918" s="329">
        <v>44255</v>
      </c>
      <c r="B2918" s="328" t="s">
        <v>1722</v>
      </c>
      <c r="C2918" s="328" t="s">
        <v>769</v>
      </c>
      <c r="D2918" s="330">
        <v>9</v>
      </c>
      <c r="E2918" s="331">
        <v>38.5</v>
      </c>
      <c r="F2918" s="331">
        <v>82507.929999999993</v>
      </c>
      <c r="G2918" s="328" t="s">
        <v>1723</v>
      </c>
      <c r="H2918" s="328" t="s">
        <v>1836</v>
      </c>
      <c r="I2918" s="328" t="s">
        <v>110</v>
      </c>
      <c r="J2918" s="328" t="s">
        <v>757</v>
      </c>
      <c r="K2918" s="328" t="s">
        <v>770</v>
      </c>
      <c r="L2918" s="329">
        <v>44255</v>
      </c>
      <c r="M2918" s="332">
        <v>0</v>
      </c>
    </row>
    <row r="2919" spans="1:13" hidden="1" x14ac:dyDescent="0.25">
      <c r="A2919" s="329">
        <v>44286</v>
      </c>
      <c r="B2919" s="328" t="s">
        <v>1724</v>
      </c>
      <c r="C2919" s="328" t="s">
        <v>1060</v>
      </c>
      <c r="D2919" s="330">
        <v>9</v>
      </c>
      <c r="E2919" s="331">
        <v>49.5</v>
      </c>
      <c r="F2919" s="331">
        <v>82557.429999999993</v>
      </c>
      <c r="G2919" s="328" t="s">
        <v>1725</v>
      </c>
      <c r="H2919" s="328" t="s">
        <v>1836</v>
      </c>
      <c r="I2919" s="328" t="s">
        <v>110</v>
      </c>
      <c r="J2919" s="328" t="s">
        <v>757</v>
      </c>
      <c r="K2919" s="328" t="s">
        <v>741</v>
      </c>
      <c r="L2919" s="329">
        <v>44286</v>
      </c>
      <c r="M2919" s="332">
        <v>0</v>
      </c>
    </row>
    <row r="2920" spans="1:13" hidden="1" x14ac:dyDescent="0.25">
      <c r="A2920" s="329">
        <v>44286</v>
      </c>
      <c r="B2920" s="328" t="s">
        <v>1726</v>
      </c>
      <c r="C2920" s="328" t="s">
        <v>769</v>
      </c>
      <c r="D2920" s="330">
        <v>10</v>
      </c>
      <c r="E2920" s="331">
        <v>49.5</v>
      </c>
      <c r="F2920" s="331">
        <v>82606.929999999993</v>
      </c>
      <c r="G2920" s="328" t="s">
        <v>1727</v>
      </c>
      <c r="H2920" s="328" t="s">
        <v>1836</v>
      </c>
      <c r="I2920" s="328" t="s">
        <v>110</v>
      </c>
      <c r="J2920" s="328" t="s">
        <v>757</v>
      </c>
      <c r="K2920" s="328" t="s">
        <v>770</v>
      </c>
      <c r="L2920" s="329">
        <v>44286</v>
      </c>
      <c r="M2920" s="332">
        <v>0</v>
      </c>
    </row>
    <row r="2921" spans="1:13" hidden="1" x14ac:dyDescent="0.25">
      <c r="A2921" s="329">
        <v>44286</v>
      </c>
      <c r="B2921" s="328" t="s">
        <v>1724</v>
      </c>
      <c r="C2921" s="328" t="s">
        <v>1060</v>
      </c>
      <c r="D2921" s="330">
        <v>10</v>
      </c>
      <c r="E2921" s="331">
        <v>-49.5</v>
      </c>
      <c r="F2921" s="331">
        <v>82557.429999999993</v>
      </c>
      <c r="G2921" s="328" t="s">
        <v>1725</v>
      </c>
      <c r="H2921" s="328" t="s">
        <v>1836</v>
      </c>
      <c r="I2921" s="328" t="s">
        <v>110</v>
      </c>
      <c r="J2921" s="328" t="s">
        <v>757</v>
      </c>
      <c r="K2921" s="328" t="s">
        <v>741</v>
      </c>
      <c r="L2921" s="329">
        <v>44286</v>
      </c>
      <c r="M2921" s="332">
        <v>0</v>
      </c>
    </row>
    <row r="2922" spans="1:13" hidden="1" x14ac:dyDescent="0.25">
      <c r="A2922" s="329">
        <v>44316</v>
      </c>
      <c r="B2922" s="328" t="s">
        <v>1728</v>
      </c>
      <c r="C2922" s="328" t="s">
        <v>1060</v>
      </c>
      <c r="D2922" s="330">
        <v>10</v>
      </c>
      <c r="E2922" s="331">
        <v>33</v>
      </c>
      <c r="F2922" s="331">
        <v>82590.429999999993</v>
      </c>
      <c r="G2922" s="328" t="s">
        <v>1729</v>
      </c>
      <c r="H2922" s="328" t="s">
        <v>1836</v>
      </c>
      <c r="I2922" s="328" t="s">
        <v>110</v>
      </c>
      <c r="J2922" s="328" t="s">
        <v>757</v>
      </c>
      <c r="K2922" s="328" t="s">
        <v>741</v>
      </c>
      <c r="L2922" s="329">
        <v>44316</v>
      </c>
      <c r="M2922" s="332">
        <v>0</v>
      </c>
    </row>
    <row r="2923" spans="1:13" hidden="1" x14ac:dyDescent="0.25">
      <c r="A2923" s="329">
        <v>44012</v>
      </c>
      <c r="B2923" s="328" t="s">
        <v>1678</v>
      </c>
      <c r="C2923" s="328" t="s">
        <v>769</v>
      </c>
      <c r="D2923" s="330">
        <v>1</v>
      </c>
      <c r="E2923" s="331">
        <v>38.5</v>
      </c>
      <c r="F2923" s="331">
        <v>82628.929999999993</v>
      </c>
      <c r="G2923" s="328" t="s">
        <v>1679</v>
      </c>
      <c r="H2923" s="328" t="s">
        <v>1837</v>
      </c>
      <c r="I2923" s="328" t="s">
        <v>110</v>
      </c>
      <c r="J2923" s="328" t="s">
        <v>757</v>
      </c>
      <c r="K2923" s="328" t="s">
        <v>770</v>
      </c>
      <c r="L2923" s="329">
        <v>44012</v>
      </c>
      <c r="M2923" s="332">
        <v>0</v>
      </c>
    </row>
    <row r="2924" spans="1:13" hidden="1" x14ac:dyDescent="0.25">
      <c r="A2924" s="329">
        <v>44012</v>
      </c>
      <c r="B2924" s="328" t="s">
        <v>1681</v>
      </c>
      <c r="C2924" s="328" t="s">
        <v>1059</v>
      </c>
      <c r="D2924" s="330">
        <v>1</v>
      </c>
      <c r="E2924" s="331">
        <v>-38.5</v>
      </c>
      <c r="F2924" s="331">
        <v>82590.429999999993</v>
      </c>
      <c r="G2924" s="328" t="s">
        <v>1682</v>
      </c>
      <c r="H2924" s="328" t="s">
        <v>1837</v>
      </c>
      <c r="I2924" s="328" t="s">
        <v>110</v>
      </c>
      <c r="J2924" s="328" t="s">
        <v>757</v>
      </c>
      <c r="K2924" s="328" t="s">
        <v>741</v>
      </c>
      <c r="L2924" s="329">
        <v>44012</v>
      </c>
      <c r="M2924" s="332">
        <v>0</v>
      </c>
    </row>
    <row r="2925" spans="1:13" hidden="1" x14ac:dyDescent="0.25">
      <c r="A2925" s="329">
        <v>44043</v>
      </c>
      <c r="B2925" s="328" t="s">
        <v>1685</v>
      </c>
      <c r="C2925" s="328" t="s">
        <v>1060</v>
      </c>
      <c r="D2925" s="330">
        <v>1</v>
      </c>
      <c r="E2925" s="331">
        <v>44</v>
      </c>
      <c r="F2925" s="331">
        <v>82634.429999999993</v>
      </c>
      <c r="G2925" s="328" t="s">
        <v>1686</v>
      </c>
      <c r="H2925" s="328" t="s">
        <v>1837</v>
      </c>
      <c r="I2925" s="328" t="s">
        <v>110</v>
      </c>
      <c r="J2925" s="328" t="s">
        <v>757</v>
      </c>
      <c r="K2925" s="328" t="s">
        <v>741</v>
      </c>
      <c r="L2925" s="329">
        <v>44043</v>
      </c>
      <c r="M2925" s="332">
        <v>0</v>
      </c>
    </row>
    <row r="2926" spans="1:13" hidden="1" x14ac:dyDescent="0.25">
      <c r="A2926" s="329">
        <v>44043</v>
      </c>
      <c r="B2926" s="328" t="s">
        <v>1688</v>
      </c>
      <c r="C2926" s="328" t="s">
        <v>1060</v>
      </c>
      <c r="D2926" s="330">
        <v>1</v>
      </c>
      <c r="E2926" s="331">
        <v>-44</v>
      </c>
      <c r="F2926" s="331">
        <v>82590.429999999993</v>
      </c>
      <c r="G2926" s="328" t="s">
        <v>1686</v>
      </c>
      <c r="H2926" s="328" t="s">
        <v>1837</v>
      </c>
      <c r="I2926" s="328" t="s">
        <v>110</v>
      </c>
      <c r="J2926" s="328" t="s">
        <v>757</v>
      </c>
      <c r="K2926" s="328" t="s">
        <v>741</v>
      </c>
      <c r="L2926" s="329">
        <v>44043</v>
      </c>
      <c r="M2926" s="332">
        <v>0</v>
      </c>
    </row>
    <row r="2927" spans="1:13" hidden="1" x14ac:dyDescent="0.25">
      <c r="A2927" s="329">
        <v>44043</v>
      </c>
      <c r="B2927" s="328" t="s">
        <v>1689</v>
      </c>
      <c r="C2927" s="328" t="s">
        <v>1060</v>
      </c>
      <c r="D2927" s="330">
        <v>1</v>
      </c>
      <c r="E2927" s="331">
        <v>44</v>
      </c>
      <c r="F2927" s="331">
        <v>82634.429999999993</v>
      </c>
      <c r="G2927" s="328" t="s">
        <v>1686</v>
      </c>
      <c r="H2927" s="328" t="s">
        <v>1837</v>
      </c>
      <c r="I2927" s="328" t="s">
        <v>110</v>
      </c>
      <c r="J2927" s="328" t="s">
        <v>757</v>
      </c>
      <c r="K2927" s="328" t="s">
        <v>741</v>
      </c>
      <c r="L2927" s="329">
        <v>44043</v>
      </c>
      <c r="M2927" s="332">
        <v>0</v>
      </c>
    </row>
    <row r="2928" spans="1:13" hidden="1" x14ac:dyDescent="0.25">
      <c r="A2928" s="329">
        <v>44043</v>
      </c>
      <c r="B2928" s="328" t="s">
        <v>1691</v>
      </c>
      <c r="C2928" s="328" t="s">
        <v>769</v>
      </c>
      <c r="D2928" s="330">
        <v>2</v>
      </c>
      <c r="E2928" s="331">
        <v>44</v>
      </c>
      <c r="F2928" s="331">
        <v>82678.429999999993</v>
      </c>
      <c r="G2928" s="328" t="s">
        <v>1692</v>
      </c>
      <c r="H2928" s="328" t="s">
        <v>1837</v>
      </c>
      <c r="I2928" s="328" t="s">
        <v>110</v>
      </c>
      <c r="J2928" s="328" t="s">
        <v>757</v>
      </c>
      <c r="K2928" s="328" t="s">
        <v>770</v>
      </c>
      <c r="L2928" s="329">
        <v>44043</v>
      </c>
      <c r="M2928" s="332">
        <v>0</v>
      </c>
    </row>
    <row r="2929" spans="1:13" hidden="1" x14ac:dyDescent="0.25">
      <c r="A2929" s="329">
        <v>44043</v>
      </c>
      <c r="B2929" s="328" t="s">
        <v>1685</v>
      </c>
      <c r="C2929" s="328" t="s">
        <v>1060</v>
      </c>
      <c r="D2929" s="330">
        <v>2</v>
      </c>
      <c r="E2929" s="331">
        <v>-44</v>
      </c>
      <c r="F2929" s="331">
        <v>82634.429999999993</v>
      </c>
      <c r="G2929" s="328" t="s">
        <v>1686</v>
      </c>
      <c r="H2929" s="328" t="s">
        <v>1837</v>
      </c>
      <c r="I2929" s="328" t="s">
        <v>110</v>
      </c>
      <c r="J2929" s="328" t="s">
        <v>757</v>
      </c>
      <c r="K2929" s="328" t="s">
        <v>741</v>
      </c>
      <c r="L2929" s="329">
        <v>44043</v>
      </c>
      <c r="M2929" s="332">
        <v>0</v>
      </c>
    </row>
    <row r="2930" spans="1:13" hidden="1" x14ac:dyDescent="0.25">
      <c r="A2930" s="329">
        <v>44043</v>
      </c>
      <c r="B2930" s="328" t="s">
        <v>1688</v>
      </c>
      <c r="C2930" s="328" t="s">
        <v>1060</v>
      </c>
      <c r="D2930" s="330">
        <v>2</v>
      </c>
      <c r="E2930" s="331">
        <v>44</v>
      </c>
      <c r="F2930" s="331">
        <v>82678.429999999993</v>
      </c>
      <c r="G2930" s="328" t="s">
        <v>1686</v>
      </c>
      <c r="H2930" s="328" t="s">
        <v>1837</v>
      </c>
      <c r="I2930" s="328" t="s">
        <v>110</v>
      </c>
      <c r="J2930" s="328" t="s">
        <v>757</v>
      </c>
      <c r="K2930" s="328" t="s">
        <v>741</v>
      </c>
      <c r="L2930" s="329">
        <v>44043</v>
      </c>
      <c r="M2930" s="332">
        <v>0</v>
      </c>
    </row>
    <row r="2931" spans="1:13" hidden="1" x14ac:dyDescent="0.25">
      <c r="A2931" s="329">
        <v>44043</v>
      </c>
      <c r="B2931" s="328" t="s">
        <v>1689</v>
      </c>
      <c r="C2931" s="328" t="s">
        <v>1060</v>
      </c>
      <c r="D2931" s="330">
        <v>2</v>
      </c>
      <c r="E2931" s="331">
        <v>-44</v>
      </c>
      <c r="F2931" s="331">
        <v>82634.429999999993</v>
      </c>
      <c r="G2931" s="328" t="s">
        <v>1686</v>
      </c>
      <c r="H2931" s="328" t="s">
        <v>1837</v>
      </c>
      <c r="I2931" s="328" t="s">
        <v>110</v>
      </c>
      <c r="J2931" s="328" t="s">
        <v>757</v>
      </c>
      <c r="K2931" s="328" t="s">
        <v>741</v>
      </c>
      <c r="L2931" s="329">
        <v>44043</v>
      </c>
      <c r="M2931" s="332">
        <v>0</v>
      </c>
    </row>
    <row r="2932" spans="1:13" hidden="1" x14ac:dyDescent="0.25">
      <c r="A2932" s="329">
        <v>44074</v>
      </c>
      <c r="B2932" s="328" t="s">
        <v>1695</v>
      </c>
      <c r="C2932" s="328" t="s">
        <v>1060</v>
      </c>
      <c r="D2932" s="330">
        <v>2</v>
      </c>
      <c r="E2932" s="331">
        <v>44</v>
      </c>
      <c r="F2932" s="331">
        <v>82678.429999999993</v>
      </c>
      <c r="G2932" s="328" t="s">
        <v>1696</v>
      </c>
      <c r="H2932" s="328" t="s">
        <v>1837</v>
      </c>
      <c r="I2932" s="328" t="s">
        <v>110</v>
      </c>
      <c r="J2932" s="328" t="s">
        <v>757</v>
      </c>
      <c r="K2932" s="328" t="s">
        <v>741</v>
      </c>
      <c r="L2932" s="329">
        <v>44074</v>
      </c>
      <c r="M2932" s="332">
        <v>0</v>
      </c>
    </row>
    <row r="2933" spans="1:13" hidden="1" x14ac:dyDescent="0.25">
      <c r="A2933" s="329">
        <v>44074</v>
      </c>
      <c r="B2933" s="328" t="s">
        <v>1697</v>
      </c>
      <c r="C2933" s="328" t="s">
        <v>769</v>
      </c>
      <c r="D2933" s="330">
        <v>3</v>
      </c>
      <c r="E2933" s="331">
        <v>44</v>
      </c>
      <c r="F2933" s="331">
        <v>82722.429999999993</v>
      </c>
      <c r="G2933" s="328" t="s">
        <v>1698</v>
      </c>
      <c r="H2933" s="328" t="s">
        <v>1837</v>
      </c>
      <c r="I2933" s="328" t="s">
        <v>110</v>
      </c>
      <c r="J2933" s="328" t="s">
        <v>757</v>
      </c>
      <c r="K2933" s="328" t="s">
        <v>770</v>
      </c>
      <c r="L2933" s="329">
        <v>44074</v>
      </c>
      <c r="M2933" s="332">
        <v>0</v>
      </c>
    </row>
    <row r="2934" spans="1:13" hidden="1" x14ac:dyDescent="0.25">
      <c r="A2934" s="329">
        <v>44074</v>
      </c>
      <c r="B2934" s="328" t="s">
        <v>1695</v>
      </c>
      <c r="C2934" s="328" t="s">
        <v>1060</v>
      </c>
      <c r="D2934" s="330">
        <v>3</v>
      </c>
      <c r="E2934" s="331">
        <v>-44</v>
      </c>
      <c r="F2934" s="331">
        <v>82678.429999999993</v>
      </c>
      <c r="G2934" s="328" t="s">
        <v>1696</v>
      </c>
      <c r="H2934" s="328" t="s">
        <v>1837</v>
      </c>
      <c r="I2934" s="328" t="s">
        <v>110</v>
      </c>
      <c r="J2934" s="328" t="s">
        <v>757</v>
      </c>
      <c r="K2934" s="328" t="s">
        <v>741</v>
      </c>
      <c r="L2934" s="329">
        <v>44074</v>
      </c>
      <c r="M2934" s="332">
        <v>0</v>
      </c>
    </row>
    <row r="2935" spans="1:13" hidden="1" x14ac:dyDescent="0.25">
      <c r="A2935" s="329">
        <v>44104</v>
      </c>
      <c r="B2935" s="328" t="s">
        <v>1699</v>
      </c>
      <c r="C2935" s="328" t="s">
        <v>1060</v>
      </c>
      <c r="D2935" s="330">
        <v>3</v>
      </c>
      <c r="E2935" s="331">
        <v>66</v>
      </c>
      <c r="F2935" s="331">
        <v>82744.429999999993</v>
      </c>
      <c r="G2935" s="328" t="s">
        <v>1700</v>
      </c>
      <c r="H2935" s="328" t="s">
        <v>1837</v>
      </c>
      <c r="I2935" s="328" t="s">
        <v>110</v>
      </c>
      <c r="J2935" s="328" t="s">
        <v>757</v>
      </c>
      <c r="K2935" s="328" t="s">
        <v>741</v>
      </c>
      <c r="L2935" s="329">
        <v>44104</v>
      </c>
      <c r="M2935" s="332">
        <v>0</v>
      </c>
    </row>
    <row r="2936" spans="1:13" hidden="1" x14ac:dyDescent="0.25">
      <c r="A2936" s="329">
        <v>44104</v>
      </c>
      <c r="B2936" s="328" t="s">
        <v>1699</v>
      </c>
      <c r="C2936" s="328" t="s">
        <v>1060</v>
      </c>
      <c r="D2936" s="330">
        <v>4</v>
      </c>
      <c r="E2936" s="331">
        <v>-66</v>
      </c>
      <c r="F2936" s="331">
        <v>82678.429999999993</v>
      </c>
      <c r="G2936" s="328" t="s">
        <v>1700</v>
      </c>
      <c r="H2936" s="328" t="s">
        <v>1837</v>
      </c>
      <c r="I2936" s="328" t="s">
        <v>110</v>
      </c>
      <c r="J2936" s="328" t="s">
        <v>757</v>
      </c>
      <c r="K2936" s="328" t="s">
        <v>741</v>
      </c>
      <c r="L2936" s="329">
        <v>44104</v>
      </c>
      <c r="M2936" s="332">
        <v>0</v>
      </c>
    </row>
    <row r="2937" spans="1:13" hidden="1" x14ac:dyDescent="0.25">
      <c r="A2937" s="329">
        <v>44105</v>
      </c>
      <c r="B2937" s="328" t="s">
        <v>1701</v>
      </c>
      <c r="C2937" s="328" t="s">
        <v>769</v>
      </c>
      <c r="D2937" s="330">
        <v>4</v>
      </c>
      <c r="E2937" s="331">
        <v>66</v>
      </c>
      <c r="F2937" s="331">
        <v>82744.429999999993</v>
      </c>
      <c r="G2937" s="328" t="s">
        <v>1702</v>
      </c>
      <c r="H2937" s="328" t="s">
        <v>1837</v>
      </c>
      <c r="I2937" s="328" t="s">
        <v>110</v>
      </c>
      <c r="J2937" s="328" t="s">
        <v>757</v>
      </c>
      <c r="K2937" s="328" t="s">
        <v>770</v>
      </c>
      <c r="L2937" s="329">
        <v>44105</v>
      </c>
      <c r="M2937" s="332">
        <v>0</v>
      </c>
    </row>
    <row r="2938" spans="1:13" hidden="1" x14ac:dyDescent="0.25">
      <c r="A2938" s="329">
        <v>44135</v>
      </c>
      <c r="B2938" s="328" t="s">
        <v>1703</v>
      </c>
      <c r="C2938" s="328" t="s">
        <v>1060</v>
      </c>
      <c r="D2938" s="330">
        <v>4</v>
      </c>
      <c r="E2938" s="331">
        <v>44</v>
      </c>
      <c r="F2938" s="331">
        <v>82788.429999999993</v>
      </c>
      <c r="G2938" s="328" t="s">
        <v>1704</v>
      </c>
      <c r="H2938" s="328" t="s">
        <v>1837</v>
      </c>
      <c r="I2938" s="328" t="s">
        <v>110</v>
      </c>
      <c r="J2938" s="328" t="s">
        <v>757</v>
      </c>
      <c r="K2938" s="328" t="s">
        <v>741</v>
      </c>
      <c r="L2938" s="329">
        <v>44135</v>
      </c>
      <c r="M2938" s="332">
        <v>0</v>
      </c>
    </row>
    <row r="2939" spans="1:13" hidden="1" x14ac:dyDescent="0.25">
      <c r="A2939" s="329">
        <v>44135</v>
      </c>
      <c r="B2939" s="328" t="s">
        <v>1703</v>
      </c>
      <c r="C2939" s="328" t="s">
        <v>1060</v>
      </c>
      <c r="D2939" s="330">
        <v>5</v>
      </c>
      <c r="E2939" s="331">
        <v>-44</v>
      </c>
      <c r="F2939" s="331">
        <v>82744.429999999993</v>
      </c>
      <c r="G2939" s="328" t="s">
        <v>1704</v>
      </c>
      <c r="H2939" s="328" t="s">
        <v>1837</v>
      </c>
      <c r="I2939" s="328" t="s">
        <v>110</v>
      </c>
      <c r="J2939" s="328" t="s">
        <v>757</v>
      </c>
      <c r="K2939" s="328" t="s">
        <v>741</v>
      </c>
      <c r="L2939" s="329">
        <v>44135</v>
      </c>
      <c r="M2939" s="332">
        <v>0</v>
      </c>
    </row>
    <row r="2940" spans="1:13" hidden="1" x14ac:dyDescent="0.25">
      <c r="A2940" s="329">
        <v>44135</v>
      </c>
      <c r="B2940" s="328" t="s">
        <v>1705</v>
      </c>
      <c r="C2940" s="328" t="s">
        <v>769</v>
      </c>
      <c r="D2940" s="330">
        <v>5</v>
      </c>
      <c r="E2940" s="331">
        <v>44</v>
      </c>
      <c r="F2940" s="331">
        <v>82788.429999999993</v>
      </c>
      <c r="G2940" s="328" t="s">
        <v>1706</v>
      </c>
      <c r="H2940" s="328" t="s">
        <v>1837</v>
      </c>
      <c r="I2940" s="328" t="s">
        <v>110</v>
      </c>
      <c r="J2940" s="328" t="s">
        <v>757</v>
      </c>
      <c r="K2940" s="328" t="s">
        <v>770</v>
      </c>
      <c r="L2940" s="329">
        <v>44135</v>
      </c>
      <c r="M2940" s="332">
        <v>0</v>
      </c>
    </row>
    <row r="2941" spans="1:13" hidden="1" x14ac:dyDescent="0.25">
      <c r="A2941" s="329">
        <v>44165</v>
      </c>
      <c r="B2941" s="328" t="s">
        <v>1707</v>
      </c>
      <c r="C2941" s="328" t="s">
        <v>1060</v>
      </c>
      <c r="D2941" s="330">
        <v>5</v>
      </c>
      <c r="E2941" s="331">
        <v>38.5</v>
      </c>
      <c r="F2941" s="331">
        <v>82826.929999999993</v>
      </c>
      <c r="G2941" s="328" t="s">
        <v>1708</v>
      </c>
      <c r="H2941" s="328" t="s">
        <v>1837</v>
      </c>
      <c r="I2941" s="328" t="s">
        <v>110</v>
      </c>
      <c r="J2941" s="328" t="s">
        <v>757</v>
      </c>
      <c r="K2941" s="328" t="s">
        <v>741</v>
      </c>
      <c r="L2941" s="329">
        <v>44165</v>
      </c>
      <c r="M2941" s="332">
        <v>0</v>
      </c>
    </row>
    <row r="2942" spans="1:13" hidden="1" x14ac:dyDescent="0.25">
      <c r="A2942" s="329">
        <v>44165</v>
      </c>
      <c r="B2942" s="328" t="s">
        <v>1707</v>
      </c>
      <c r="C2942" s="328" t="s">
        <v>1060</v>
      </c>
      <c r="D2942" s="330">
        <v>6</v>
      </c>
      <c r="E2942" s="331">
        <v>-38.5</v>
      </c>
      <c r="F2942" s="331">
        <v>82788.429999999993</v>
      </c>
      <c r="G2942" s="328" t="s">
        <v>1708</v>
      </c>
      <c r="H2942" s="328" t="s">
        <v>1837</v>
      </c>
      <c r="I2942" s="328" t="s">
        <v>110</v>
      </c>
      <c r="J2942" s="328" t="s">
        <v>757</v>
      </c>
      <c r="K2942" s="328" t="s">
        <v>741</v>
      </c>
      <c r="L2942" s="329">
        <v>44165</v>
      </c>
      <c r="M2942" s="332">
        <v>0</v>
      </c>
    </row>
    <row r="2943" spans="1:13" hidden="1" x14ac:dyDescent="0.25">
      <c r="A2943" s="329">
        <v>44165</v>
      </c>
      <c r="B2943" s="328" t="s">
        <v>1709</v>
      </c>
      <c r="C2943" s="328" t="s">
        <v>769</v>
      </c>
      <c r="D2943" s="330">
        <v>6</v>
      </c>
      <c r="E2943" s="331">
        <v>38.5</v>
      </c>
      <c r="F2943" s="331">
        <v>82826.929999999993</v>
      </c>
      <c r="G2943" s="328" t="s">
        <v>1710</v>
      </c>
      <c r="H2943" s="328" t="s">
        <v>1837</v>
      </c>
      <c r="I2943" s="328" t="s">
        <v>110</v>
      </c>
      <c r="J2943" s="328" t="s">
        <v>757</v>
      </c>
      <c r="K2943" s="328" t="s">
        <v>770</v>
      </c>
      <c r="L2943" s="329">
        <v>44165</v>
      </c>
      <c r="M2943" s="332">
        <v>0</v>
      </c>
    </row>
    <row r="2944" spans="1:13" hidden="1" x14ac:dyDescent="0.25">
      <c r="A2944" s="329">
        <v>44196</v>
      </c>
      <c r="B2944" s="328" t="s">
        <v>1711</v>
      </c>
      <c r="C2944" s="328" t="s">
        <v>1060</v>
      </c>
      <c r="D2944" s="330">
        <v>6</v>
      </c>
      <c r="E2944" s="331">
        <v>44</v>
      </c>
      <c r="F2944" s="331">
        <v>82870.929999999993</v>
      </c>
      <c r="G2944" s="328" t="s">
        <v>1712</v>
      </c>
      <c r="H2944" s="328" t="s">
        <v>1837</v>
      </c>
      <c r="I2944" s="328" t="s">
        <v>110</v>
      </c>
      <c r="J2944" s="328" t="s">
        <v>757</v>
      </c>
      <c r="K2944" s="328" t="s">
        <v>741</v>
      </c>
      <c r="L2944" s="329">
        <v>44196</v>
      </c>
      <c r="M2944" s="332">
        <v>0</v>
      </c>
    </row>
    <row r="2945" spans="1:13" hidden="1" x14ac:dyDescent="0.25">
      <c r="A2945" s="329">
        <v>44196</v>
      </c>
      <c r="B2945" s="328" t="s">
        <v>1711</v>
      </c>
      <c r="C2945" s="328" t="s">
        <v>1060</v>
      </c>
      <c r="D2945" s="330">
        <v>7</v>
      </c>
      <c r="E2945" s="331">
        <v>-44</v>
      </c>
      <c r="F2945" s="331">
        <v>82826.929999999993</v>
      </c>
      <c r="G2945" s="328" t="s">
        <v>1712</v>
      </c>
      <c r="H2945" s="328" t="s">
        <v>1837</v>
      </c>
      <c r="I2945" s="328" t="s">
        <v>110</v>
      </c>
      <c r="J2945" s="328" t="s">
        <v>757</v>
      </c>
      <c r="K2945" s="328" t="s">
        <v>741</v>
      </c>
      <c r="L2945" s="329">
        <v>44196</v>
      </c>
      <c r="M2945" s="332">
        <v>0</v>
      </c>
    </row>
    <row r="2946" spans="1:13" hidden="1" x14ac:dyDescent="0.25">
      <c r="A2946" s="329">
        <v>44196</v>
      </c>
      <c r="B2946" s="328" t="s">
        <v>1713</v>
      </c>
      <c r="C2946" s="328" t="s">
        <v>769</v>
      </c>
      <c r="D2946" s="330">
        <v>7</v>
      </c>
      <c r="E2946" s="331">
        <v>44</v>
      </c>
      <c r="F2946" s="331">
        <v>82870.929999999993</v>
      </c>
      <c r="G2946" s="328" t="s">
        <v>1714</v>
      </c>
      <c r="H2946" s="328" t="s">
        <v>1837</v>
      </c>
      <c r="I2946" s="328" t="s">
        <v>110</v>
      </c>
      <c r="J2946" s="328" t="s">
        <v>757</v>
      </c>
      <c r="K2946" s="328" t="s">
        <v>770</v>
      </c>
      <c r="L2946" s="329">
        <v>44196</v>
      </c>
      <c r="M2946" s="332">
        <v>0</v>
      </c>
    </row>
    <row r="2947" spans="1:13" hidden="1" x14ac:dyDescent="0.25">
      <c r="A2947" s="329">
        <v>44227</v>
      </c>
      <c r="B2947" s="328" t="s">
        <v>1715</v>
      </c>
      <c r="C2947" s="328" t="s">
        <v>1060</v>
      </c>
      <c r="D2947" s="330">
        <v>7</v>
      </c>
      <c r="E2947" s="331">
        <v>44</v>
      </c>
      <c r="F2947" s="331">
        <v>82914.929999999993</v>
      </c>
      <c r="G2947" s="328" t="s">
        <v>1716</v>
      </c>
      <c r="H2947" s="328" t="s">
        <v>1837</v>
      </c>
      <c r="I2947" s="328" t="s">
        <v>110</v>
      </c>
      <c r="J2947" s="328" t="s">
        <v>757</v>
      </c>
      <c r="K2947" s="328" t="s">
        <v>741</v>
      </c>
      <c r="L2947" s="329">
        <v>44227</v>
      </c>
      <c r="M2947" s="332">
        <v>0</v>
      </c>
    </row>
    <row r="2948" spans="1:13" hidden="1" x14ac:dyDescent="0.25">
      <c r="A2948" s="329">
        <v>44227</v>
      </c>
      <c r="B2948" s="328" t="s">
        <v>1715</v>
      </c>
      <c r="C2948" s="328" t="s">
        <v>1060</v>
      </c>
      <c r="D2948" s="330">
        <v>8</v>
      </c>
      <c r="E2948" s="331">
        <v>-44</v>
      </c>
      <c r="F2948" s="331">
        <v>82870.929999999993</v>
      </c>
      <c r="G2948" s="328" t="s">
        <v>1716</v>
      </c>
      <c r="H2948" s="328" t="s">
        <v>1837</v>
      </c>
      <c r="I2948" s="328" t="s">
        <v>110</v>
      </c>
      <c r="J2948" s="328" t="s">
        <v>757</v>
      </c>
      <c r="K2948" s="328" t="s">
        <v>741</v>
      </c>
      <c r="L2948" s="329">
        <v>44227</v>
      </c>
      <c r="M2948" s="332">
        <v>0</v>
      </c>
    </row>
    <row r="2949" spans="1:13" hidden="1" x14ac:dyDescent="0.25">
      <c r="A2949" s="329">
        <v>44227</v>
      </c>
      <c r="B2949" s="328" t="s">
        <v>1717</v>
      </c>
      <c r="C2949" s="328" t="s">
        <v>769</v>
      </c>
      <c r="D2949" s="330">
        <v>8</v>
      </c>
      <c r="E2949" s="331">
        <v>44</v>
      </c>
      <c r="F2949" s="331">
        <v>82914.929999999993</v>
      </c>
      <c r="G2949" s="328" t="s">
        <v>1718</v>
      </c>
      <c r="H2949" s="328" t="s">
        <v>1837</v>
      </c>
      <c r="I2949" s="328" t="s">
        <v>110</v>
      </c>
      <c r="J2949" s="328" t="s">
        <v>757</v>
      </c>
      <c r="K2949" s="328" t="s">
        <v>770</v>
      </c>
      <c r="L2949" s="329">
        <v>44227</v>
      </c>
      <c r="M2949" s="332">
        <v>0</v>
      </c>
    </row>
    <row r="2950" spans="1:13" hidden="1" x14ac:dyDescent="0.25">
      <c r="A2950" s="329">
        <v>44255</v>
      </c>
      <c r="B2950" s="328" t="s">
        <v>1720</v>
      </c>
      <c r="C2950" s="328" t="s">
        <v>1060</v>
      </c>
      <c r="D2950" s="330">
        <v>8</v>
      </c>
      <c r="E2950" s="331">
        <v>44</v>
      </c>
      <c r="F2950" s="331">
        <v>82958.929999999993</v>
      </c>
      <c r="G2950" s="328" t="s">
        <v>1721</v>
      </c>
      <c r="H2950" s="328" t="s">
        <v>1837</v>
      </c>
      <c r="I2950" s="328" t="s">
        <v>110</v>
      </c>
      <c r="J2950" s="328" t="s">
        <v>757</v>
      </c>
      <c r="K2950" s="328" t="s">
        <v>741</v>
      </c>
      <c r="L2950" s="329">
        <v>44255</v>
      </c>
      <c r="M2950" s="332">
        <v>0</v>
      </c>
    </row>
    <row r="2951" spans="1:13" hidden="1" x14ac:dyDescent="0.25">
      <c r="A2951" s="329">
        <v>44255</v>
      </c>
      <c r="B2951" s="328" t="s">
        <v>1720</v>
      </c>
      <c r="C2951" s="328" t="s">
        <v>1060</v>
      </c>
      <c r="D2951" s="330">
        <v>9</v>
      </c>
      <c r="E2951" s="331">
        <v>-44</v>
      </c>
      <c r="F2951" s="331">
        <v>82914.929999999993</v>
      </c>
      <c r="G2951" s="328" t="s">
        <v>1721</v>
      </c>
      <c r="H2951" s="328" t="s">
        <v>1837</v>
      </c>
      <c r="I2951" s="328" t="s">
        <v>110</v>
      </c>
      <c r="J2951" s="328" t="s">
        <v>757</v>
      </c>
      <c r="K2951" s="328" t="s">
        <v>741</v>
      </c>
      <c r="L2951" s="329">
        <v>44255</v>
      </c>
      <c r="M2951" s="332">
        <v>0</v>
      </c>
    </row>
    <row r="2952" spans="1:13" hidden="1" x14ac:dyDescent="0.25">
      <c r="A2952" s="329">
        <v>44255</v>
      </c>
      <c r="B2952" s="328" t="s">
        <v>1722</v>
      </c>
      <c r="C2952" s="328" t="s">
        <v>769</v>
      </c>
      <c r="D2952" s="330">
        <v>9</v>
      </c>
      <c r="E2952" s="331">
        <v>44</v>
      </c>
      <c r="F2952" s="331">
        <v>82958.929999999993</v>
      </c>
      <c r="G2952" s="328" t="s">
        <v>1723</v>
      </c>
      <c r="H2952" s="328" t="s">
        <v>1837</v>
      </c>
      <c r="I2952" s="328" t="s">
        <v>110</v>
      </c>
      <c r="J2952" s="328" t="s">
        <v>757</v>
      </c>
      <c r="K2952" s="328" t="s">
        <v>770</v>
      </c>
      <c r="L2952" s="329">
        <v>44255</v>
      </c>
      <c r="M2952" s="332">
        <v>0</v>
      </c>
    </row>
    <row r="2953" spans="1:13" hidden="1" x14ac:dyDescent="0.25">
      <c r="A2953" s="329">
        <v>44286</v>
      </c>
      <c r="B2953" s="328" t="s">
        <v>1724</v>
      </c>
      <c r="C2953" s="328" t="s">
        <v>1060</v>
      </c>
      <c r="D2953" s="330">
        <v>9</v>
      </c>
      <c r="E2953" s="331">
        <v>66</v>
      </c>
      <c r="F2953" s="331">
        <v>83024.929999999993</v>
      </c>
      <c r="G2953" s="328" t="s">
        <v>1725</v>
      </c>
      <c r="H2953" s="328" t="s">
        <v>1837</v>
      </c>
      <c r="I2953" s="328" t="s">
        <v>110</v>
      </c>
      <c r="J2953" s="328" t="s">
        <v>757</v>
      </c>
      <c r="K2953" s="328" t="s">
        <v>741</v>
      </c>
      <c r="L2953" s="329">
        <v>44286</v>
      </c>
      <c r="M2953" s="332">
        <v>0</v>
      </c>
    </row>
    <row r="2954" spans="1:13" hidden="1" x14ac:dyDescent="0.25">
      <c r="A2954" s="329">
        <v>44286</v>
      </c>
      <c r="B2954" s="328" t="s">
        <v>1726</v>
      </c>
      <c r="C2954" s="328" t="s">
        <v>769</v>
      </c>
      <c r="D2954" s="330">
        <v>10</v>
      </c>
      <c r="E2954" s="331">
        <v>66</v>
      </c>
      <c r="F2954" s="331">
        <v>83090.929999999993</v>
      </c>
      <c r="G2954" s="328" t="s">
        <v>1727</v>
      </c>
      <c r="H2954" s="328" t="s">
        <v>1837</v>
      </c>
      <c r="I2954" s="328" t="s">
        <v>110</v>
      </c>
      <c r="J2954" s="328" t="s">
        <v>757</v>
      </c>
      <c r="K2954" s="328" t="s">
        <v>770</v>
      </c>
      <c r="L2954" s="329">
        <v>44286</v>
      </c>
      <c r="M2954" s="332">
        <v>0</v>
      </c>
    </row>
    <row r="2955" spans="1:13" hidden="1" x14ac:dyDescent="0.25">
      <c r="A2955" s="329">
        <v>44286</v>
      </c>
      <c r="B2955" s="328" t="s">
        <v>1724</v>
      </c>
      <c r="C2955" s="328" t="s">
        <v>1060</v>
      </c>
      <c r="D2955" s="330">
        <v>10</v>
      </c>
      <c r="E2955" s="331">
        <v>-66</v>
      </c>
      <c r="F2955" s="331">
        <v>83024.929999999993</v>
      </c>
      <c r="G2955" s="328" t="s">
        <v>1725</v>
      </c>
      <c r="H2955" s="328" t="s">
        <v>1837</v>
      </c>
      <c r="I2955" s="328" t="s">
        <v>110</v>
      </c>
      <c r="J2955" s="328" t="s">
        <v>757</v>
      </c>
      <c r="K2955" s="328" t="s">
        <v>741</v>
      </c>
      <c r="L2955" s="329">
        <v>44286</v>
      </c>
      <c r="M2955" s="332">
        <v>0</v>
      </c>
    </row>
    <row r="2956" spans="1:13" hidden="1" x14ac:dyDescent="0.25">
      <c r="A2956" s="329">
        <v>44316</v>
      </c>
      <c r="B2956" s="328" t="s">
        <v>1728</v>
      </c>
      <c r="C2956" s="328" t="s">
        <v>1060</v>
      </c>
      <c r="D2956" s="330">
        <v>10</v>
      </c>
      <c r="E2956" s="331">
        <v>44</v>
      </c>
      <c r="F2956" s="331">
        <v>83068.929999999993</v>
      </c>
      <c r="G2956" s="328" t="s">
        <v>1729</v>
      </c>
      <c r="H2956" s="328" t="s">
        <v>1837</v>
      </c>
      <c r="I2956" s="328" t="s">
        <v>110</v>
      </c>
      <c r="J2956" s="328" t="s">
        <v>757</v>
      </c>
      <c r="K2956" s="328" t="s">
        <v>741</v>
      </c>
      <c r="L2956" s="329">
        <v>44316</v>
      </c>
      <c r="M2956" s="332">
        <v>0</v>
      </c>
    </row>
    <row r="2957" spans="1:13" hidden="1" x14ac:dyDescent="0.25">
      <c r="A2957" s="329">
        <v>44012</v>
      </c>
      <c r="B2957" s="328" t="s">
        <v>1678</v>
      </c>
      <c r="C2957" s="328" t="s">
        <v>769</v>
      </c>
      <c r="D2957" s="330">
        <v>1</v>
      </c>
      <c r="E2957" s="331">
        <v>93.5</v>
      </c>
      <c r="F2957" s="331">
        <v>83162.429999999993</v>
      </c>
      <c r="G2957" s="328" t="s">
        <v>1679</v>
      </c>
      <c r="H2957" s="328" t="s">
        <v>1838</v>
      </c>
      <c r="I2957" s="328" t="s">
        <v>110</v>
      </c>
      <c r="J2957" s="328" t="s">
        <v>757</v>
      </c>
      <c r="K2957" s="328" t="s">
        <v>770</v>
      </c>
      <c r="L2957" s="329">
        <v>44012</v>
      </c>
      <c r="M2957" s="332">
        <v>0</v>
      </c>
    </row>
    <row r="2958" spans="1:13" hidden="1" x14ac:dyDescent="0.25">
      <c r="A2958" s="329">
        <v>44012</v>
      </c>
      <c r="B2958" s="328" t="s">
        <v>1681</v>
      </c>
      <c r="C2958" s="328" t="s">
        <v>1059</v>
      </c>
      <c r="D2958" s="330">
        <v>1</v>
      </c>
      <c r="E2958" s="331">
        <v>-93.5</v>
      </c>
      <c r="F2958" s="331">
        <v>83068.929999999993</v>
      </c>
      <c r="G2958" s="328" t="s">
        <v>1682</v>
      </c>
      <c r="H2958" s="328" t="s">
        <v>1838</v>
      </c>
      <c r="I2958" s="328" t="s">
        <v>110</v>
      </c>
      <c r="J2958" s="328" t="s">
        <v>757</v>
      </c>
      <c r="K2958" s="328" t="s">
        <v>741</v>
      </c>
      <c r="L2958" s="329">
        <v>44012</v>
      </c>
      <c r="M2958" s="332">
        <v>0</v>
      </c>
    </row>
    <row r="2959" spans="1:13" hidden="1" x14ac:dyDescent="0.25">
      <c r="A2959" s="329">
        <v>44043</v>
      </c>
      <c r="B2959" s="328" t="s">
        <v>1685</v>
      </c>
      <c r="C2959" s="328" t="s">
        <v>1060</v>
      </c>
      <c r="D2959" s="330">
        <v>1</v>
      </c>
      <c r="E2959" s="331">
        <v>93.5</v>
      </c>
      <c r="F2959" s="331">
        <v>83162.429999999993</v>
      </c>
      <c r="G2959" s="328" t="s">
        <v>1686</v>
      </c>
      <c r="H2959" s="328" t="s">
        <v>1838</v>
      </c>
      <c r="I2959" s="328" t="s">
        <v>110</v>
      </c>
      <c r="J2959" s="328" t="s">
        <v>757</v>
      </c>
      <c r="K2959" s="328" t="s">
        <v>741</v>
      </c>
      <c r="L2959" s="329">
        <v>44043</v>
      </c>
      <c r="M2959" s="332">
        <v>0</v>
      </c>
    </row>
    <row r="2960" spans="1:13" hidden="1" x14ac:dyDescent="0.25">
      <c r="A2960" s="329">
        <v>44043</v>
      </c>
      <c r="B2960" s="328" t="s">
        <v>1688</v>
      </c>
      <c r="C2960" s="328" t="s">
        <v>1060</v>
      </c>
      <c r="D2960" s="330">
        <v>1</v>
      </c>
      <c r="E2960" s="331">
        <v>-93.5</v>
      </c>
      <c r="F2960" s="331">
        <v>83068.929999999993</v>
      </c>
      <c r="G2960" s="328" t="s">
        <v>1686</v>
      </c>
      <c r="H2960" s="328" t="s">
        <v>1838</v>
      </c>
      <c r="I2960" s="328" t="s">
        <v>110</v>
      </c>
      <c r="J2960" s="328" t="s">
        <v>757</v>
      </c>
      <c r="K2960" s="328" t="s">
        <v>741</v>
      </c>
      <c r="L2960" s="329">
        <v>44043</v>
      </c>
      <c r="M2960" s="332">
        <v>0</v>
      </c>
    </row>
    <row r="2961" spans="1:13" hidden="1" x14ac:dyDescent="0.25">
      <c r="A2961" s="329">
        <v>44043</v>
      </c>
      <c r="B2961" s="328" t="s">
        <v>1689</v>
      </c>
      <c r="C2961" s="328" t="s">
        <v>1060</v>
      </c>
      <c r="D2961" s="330">
        <v>1</v>
      </c>
      <c r="E2961" s="331">
        <v>93.5</v>
      </c>
      <c r="F2961" s="331">
        <v>83162.429999999993</v>
      </c>
      <c r="G2961" s="328" t="s">
        <v>1686</v>
      </c>
      <c r="H2961" s="328" t="s">
        <v>1838</v>
      </c>
      <c r="I2961" s="328" t="s">
        <v>110</v>
      </c>
      <c r="J2961" s="328" t="s">
        <v>757</v>
      </c>
      <c r="K2961" s="328" t="s">
        <v>741</v>
      </c>
      <c r="L2961" s="329">
        <v>44043</v>
      </c>
      <c r="M2961" s="332">
        <v>0</v>
      </c>
    </row>
    <row r="2962" spans="1:13" hidden="1" x14ac:dyDescent="0.25">
      <c r="A2962" s="329">
        <v>44043</v>
      </c>
      <c r="B2962" s="328" t="s">
        <v>1691</v>
      </c>
      <c r="C2962" s="328" t="s">
        <v>769</v>
      </c>
      <c r="D2962" s="330">
        <v>2</v>
      </c>
      <c r="E2962" s="331">
        <v>93.5</v>
      </c>
      <c r="F2962" s="331">
        <v>83255.929999999993</v>
      </c>
      <c r="G2962" s="328" t="s">
        <v>1692</v>
      </c>
      <c r="H2962" s="328" t="s">
        <v>1838</v>
      </c>
      <c r="I2962" s="328" t="s">
        <v>110</v>
      </c>
      <c r="J2962" s="328" t="s">
        <v>757</v>
      </c>
      <c r="K2962" s="328" t="s">
        <v>770</v>
      </c>
      <c r="L2962" s="329">
        <v>44043</v>
      </c>
      <c r="M2962" s="332">
        <v>0</v>
      </c>
    </row>
    <row r="2963" spans="1:13" hidden="1" x14ac:dyDescent="0.25">
      <c r="A2963" s="329">
        <v>44043</v>
      </c>
      <c r="B2963" s="328" t="s">
        <v>1685</v>
      </c>
      <c r="C2963" s="328" t="s">
        <v>1060</v>
      </c>
      <c r="D2963" s="330">
        <v>2</v>
      </c>
      <c r="E2963" s="331">
        <v>-93.5</v>
      </c>
      <c r="F2963" s="331">
        <v>83162.429999999993</v>
      </c>
      <c r="G2963" s="328" t="s">
        <v>1686</v>
      </c>
      <c r="H2963" s="328" t="s">
        <v>1838</v>
      </c>
      <c r="I2963" s="328" t="s">
        <v>110</v>
      </c>
      <c r="J2963" s="328" t="s">
        <v>757</v>
      </c>
      <c r="K2963" s="328" t="s">
        <v>741</v>
      </c>
      <c r="L2963" s="329">
        <v>44043</v>
      </c>
      <c r="M2963" s="332">
        <v>0</v>
      </c>
    </row>
    <row r="2964" spans="1:13" hidden="1" x14ac:dyDescent="0.25">
      <c r="A2964" s="329">
        <v>44043</v>
      </c>
      <c r="B2964" s="328" t="s">
        <v>1688</v>
      </c>
      <c r="C2964" s="328" t="s">
        <v>1060</v>
      </c>
      <c r="D2964" s="330">
        <v>2</v>
      </c>
      <c r="E2964" s="331">
        <v>93.5</v>
      </c>
      <c r="F2964" s="331">
        <v>83255.929999999993</v>
      </c>
      <c r="G2964" s="328" t="s">
        <v>1686</v>
      </c>
      <c r="H2964" s="328" t="s">
        <v>1838</v>
      </c>
      <c r="I2964" s="328" t="s">
        <v>110</v>
      </c>
      <c r="J2964" s="328" t="s">
        <v>757</v>
      </c>
      <c r="K2964" s="328" t="s">
        <v>741</v>
      </c>
      <c r="L2964" s="329">
        <v>44043</v>
      </c>
      <c r="M2964" s="332">
        <v>0</v>
      </c>
    </row>
    <row r="2965" spans="1:13" hidden="1" x14ac:dyDescent="0.25">
      <c r="A2965" s="329">
        <v>44043</v>
      </c>
      <c r="B2965" s="328" t="s">
        <v>1689</v>
      </c>
      <c r="C2965" s="328" t="s">
        <v>1060</v>
      </c>
      <c r="D2965" s="330">
        <v>2</v>
      </c>
      <c r="E2965" s="331">
        <v>-93.5</v>
      </c>
      <c r="F2965" s="331">
        <v>83162.429999999993</v>
      </c>
      <c r="G2965" s="328" t="s">
        <v>1686</v>
      </c>
      <c r="H2965" s="328" t="s">
        <v>1838</v>
      </c>
      <c r="I2965" s="328" t="s">
        <v>110</v>
      </c>
      <c r="J2965" s="328" t="s">
        <v>757</v>
      </c>
      <c r="K2965" s="328" t="s">
        <v>741</v>
      </c>
      <c r="L2965" s="329">
        <v>44043</v>
      </c>
      <c r="M2965" s="332">
        <v>0</v>
      </c>
    </row>
    <row r="2966" spans="1:13" hidden="1" x14ac:dyDescent="0.25">
      <c r="A2966" s="329">
        <v>44074</v>
      </c>
      <c r="B2966" s="328" t="s">
        <v>1695</v>
      </c>
      <c r="C2966" s="328" t="s">
        <v>1060</v>
      </c>
      <c r="D2966" s="330">
        <v>2</v>
      </c>
      <c r="E2966" s="331">
        <v>88</v>
      </c>
      <c r="F2966" s="331">
        <v>83250.429999999993</v>
      </c>
      <c r="G2966" s="328" t="s">
        <v>1696</v>
      </c>
      <c r="H2966" s="328" t="s">
        <v>1838</v>
      </c>
      <c r="I2966" s="328" t="s">
        <v>110</v>
      </c>
      <c r="J2966" s="328" t="s">
        <v>757</v>
      </c>
      <c r="K2966" s="328" t="s">
        <v>741</v>
      </c>
      <c r="L2966" s="329">
        <v>44074</v>
      </c>
      <c r="M2966" s="332">
        <v>0</v>
      </c>
    </row>
    <row r="2967" spans="1:13" hidden="1" x14ac:dyDescent="0.25">
      <c r="A2967" s="329">
        <v>44074</v>
      </c>
      <c r="B2967" s="328" t="s">
        <v>1697</v>
      </c>
      <c r="C2967" s="328" t="s">
        <v>769</v>
      </c>
      <c r="D2967" s="330">
        <v>3</v>
      </c>
      <c r="E2967" s="331">
        <v>88</v>
      </c>
      <c r="F2967" s="331">
        <v>83338.429999999993</v>
      </c>
      <c r="G2967" s="328" t="s">
        <v>1698</v>
      </c>
      <c r="H2967" s="328" t="s">
        <v>1838</v>
      </c>
      <c r="I2967" s="328" t="s">
        <v>110</v>
      </c>
      <c r="J2967" s="328" t="s">
        <v>757</v>
      </c>
      <c r="K2967" s="328" t="s">
        <v>770</v>
      </c>
      <c r="L2967" s="329">
        <v>44074</v>
      </c>
      <c r="M2967" s="332">
        <v>0</v>
      </c>
    </row>
    <row r="2968" spans="1:13" hidden="1" x14ac:dyDescent="0.25">
      <c r="A2968" s="329">
        <v>44074</v>
      </c>
      <c r="B2968" s="328" t="s">
        <v>1695</v>
      </c>
      <c r="C2968" s="328" t="s">
        <v>1060</v>
      </c>
      <c r="D2968" s="330">
        <v>3</v>
      </c>
      <c r="E2968" s="331">
        <v>-88</v>
      </c>
      <c r="F2968" s="331">
        <v>83250.429999999993</v>
      </c>
      <c r="G2968" s="328" t="s">
        <v>1696</v>
      </c>
      <c r="H2968" s="328" t="s">
        <v>1838</v>
      </c>
      <c r="I2968" s="328" t="s">
        <v>110</v>
      </c>
      <c r="J2968" s="328" t="s">
        <v>757</v>
      </c>
      <c r="K2968" s="328" t="s">
        <v>741</v>
      </c>
      <c r="L2968" s="329">
        <v>44074</v>
      </c>
      <c r="M2968" s="332">
        <v>0</v>
      </c>
    </row>
    <row r="2969" spans="1:13" hidden="1" x14ac:dyDescent="0.25">
      <c r="A2969" s="329">
        <v>44104</v>
      </c>
      <c r="B2969" s="328" t="s">
        <v>1699</v>
      </c>
      <c r="C2969" s="328" t="s">
        <v>1060</v>
      </c>
      <c r="D2969" s="330">
        <v>3</v>
      </c>
      <c r="E2969" s="331">
        <v>143</v>
      </c>
      <c r="F2969" s="331">
        <v>83393.429999999993</v>
      </c>
      <c r="G2969" s="328" t="s">
        <v>1700</v>
      </c>
      <c r="H2969" s="328" t="s">
        <v>1838</v>
      </c>
      <c r="I2969" s="328" t="s">
        <v>110</v>
      </c>
      <c r="J2969" s="328" t="s">
        <v>757</v>
      </c>
      <c r="K2969" s="328" t="s">
        <v>741</v>
      </c>
      <c r="L2969" s="329">
        <v>44104</v>
      </c>
      <c r="M2969" s="332">
        <v>0</v>
      </c>
    </row>
    <row r="2970" spans="1:13" hidden="1" x14ac:dyDescent="0.25">
      <c r="A2970" s="329">
        <v>44104</v>
      </c>
      <c r="B2970" s="328" t="s">
        <v>1699</v>
      </c>
      <c r="C2970" s="328" t="s">
        <v>1060</v>
      </c>
      <c r="D2970" s="330">
        <v>4</v>
      </c>
      <c r="E2970" s="331">
        <v>-143</v>
      </c>
      <c r="F2970" s="331">
        <v>83250.429999999993</v>
      </c>
      <c r="G2970" s="328" t="s">
        <v>1700</v>
      </c>
      <c r="H2970" s="328" t="s">
        <v>1838</v>
      </c>
      <c r="I2970" s="328" t="s">
        <v>110</v>
      </c>
      <c r="J2970" s="328" t="s">
        <v>757</v>
      </c>
      <c r="K2970" s="328" t="s">
        <v>741</v>
      </c>
      <c r="L2970" s="329">
        <v>44104</v>
      </c>
      <c r="M2970" s="332">
        <v>0</v>
      </c>
    </row>
    <row r="2971" spans="1:13" hidden="1" x14ac:dyDescent="0.25">
      <c r="A2971" s="329">
        <v>44105</v>
      </c>
      <c r="B2971" s="328" t="s">
        <v>1701</v>
      </c>
      <c r="C2971" s="328" t="s">
        <v>769</v>
      </c>
      <c r="D2971" s="330">
        <v>4</v>
      </c>
      <c r="E2971" s="331">
        <v>143</v>
      </c>
      <c r="F2971" s="331">
        <v>83393.429999999993</v>
      </c>
      <c r="G2971" s="328" t="s">
        <v>1702</v>
      </c>
      <c r="H2971" s="328" t="s">
        <v>1838</v>
      </c>
      <c r="I2971" s="328" t="s">
        <v>110</v>
      </c>
      <c r="J2971" s="328" t="s">
        <v>757</v>
      </c>
      <c r="K2971" s="328" t="s">
        <v>770</v>
      </c>
      <c r="L2971" s="329">
        <v>44105</v>
      </c>
      <c r="M2971" s="332">
        <v>0</v>
      </c>
    </row>
    <row r="2972" spans="1:13" hidden="1" x14ac:dyDescent="0.25">
      <c r="A2972" s="329">
        <v>44135</v>
      </c>
      <c r="B2972" s="328" t="s">
        <v>1703</v>
      </c>
      <c r="C2972" s="328" t="s">
        <v>1060</v>
      </c>
      <c r="D2972" s="330">
        <v>4</v>
      </c>
      <c r="E2972" s="331">
        <v>93.5</v>
      </c>
      <c r="F2972" s="331">
        <v>83486.929999999993</v>
      </c>
      <c r="G2972" s="328" t="s">
        <v>1704</v>
      </c>
      <c r="H2972" s="328" t="s">
        <v>1838</v>
      </c>
      <c r="I2972" s="328" t="s">
        <v>110</v>
      </c>
      <c r="J2972" s="328" t="s">
        <v>757</v>
      </c>
      <c r="K2972" s="328" t="s">
        <v>741</v>
      </c>
      <c r="L2972" s="329">
        <v>44135</v>
      </c>
      <c r="M2972" s="332">
        <v>0</v>
      </c>
    </row>
    <row r="2973" spans="1:13" hidden="1" x14ac:dyDescent="0.25">
      <c r="A2973" s="329">
        <v>44135</v>
      </c>
      <c r="B2973" s="328" t="s">
        <v>1703</v>
      </c>
      <c r="C2973" s="328" t="s">
        <v>1060</v>
      </c>
      <c r="D2973" s="330">
        <v>5</v>
      </c>
      <c r="E2973" s="331">
        <v>-93.5</v>
      </c>
      <c r="F2973" s="331">
        <v>83393.429999999993</v>
      </c>
      <c r="G2973" s="328" t="s">
        <v>1704</v>
      </c>
      <c r="H2973" s="328" t="s">
        <v>1838</v>
      </c>
      <c r="I2973" s="328" t="s">
        <v>110</v>
      </c>
      <c r="J2973" s="328" t="s">
        <v>757</v>
      </c>
      <c r="K2973" s="328" t="s">
        <v>741</v>
      </c>
      <c r="L2973" s="329">
        <v>44135</v>
      </c>
      <c r="M2973" s="332">
        <v>0</v>
      </c>
    </row>
    <row r="2974" spans="1:13" hidden="1" x14ac:dyDescent="0.25">
      <c r="A2974" s="329">
        <v>44135</v>
      </c>
      <c r="B2974" s="328" t="s">
        <v>1705</v>
      </c>
      <c r="C2974" s="328" t="s">
        <v>769</v>
      </c>
      <c r="D2974" s="330">
        <v>5</v>
      </c>
      <c r="E2974" s="331">
        <v>93.5</v>
      </c>
      <c r="F2974" s="331">
        <v>83486.929999999993</v>
      </c>
      <c r="G2974" s="328" t="s">
        <v>1706</v>
      </c>
      <c r="H2974" s="328" t="s">
        <v>1838</v>
      </c>
      <c r="I2974" s="328" t="s">
        <v>110</v>
      </c>
      <c r="J2974" s="328" t="s">
        <v>757</v>
      </c>
      <c r="K2974" s="328" t="s">
        <v>770</v>
      </c>
      <c r="L2974" s="329">
        <v>44135</v>
      </c>
      <c r="M2974" s="332">
        <v>0</v>
      </c>
    </row>
    <row r="2975" spans="1:13" hidden="1" x14ac:dyDescent="0.25">
      <c r="A2975" s="329">
        <v>44165</v>
      </c>
      <c r="B2975" s="328" t="s">
        <v>1707</v>
      </c>
      <c r="C2975" s="328" t="s">
        <v>1060</v>
      </c>
      <c r="D2975" s="330">
        <v>5</v>
      </c>
      <c r="E2975" s="331">
        <v>82.5</v>
      </c>
      <c r="F2975" s="331">
        <v>83569.429999999993</v>
      </c>
      <c r="G2975" s="328" t="s">
        <v>1708</v>
      </c>
      <c r="H2975" s="328" t="s">
        <v>1838</v>
      </c>
      <c r="I2975" s="328" t="s">
        <v>110</v>
      </c>
      <c r="J2975" s="328" t="s">
        <v>757</v>
      </c>
      <c r="K2975" s="328" t="s">
        <v>741</v>
      </c>
      <c r="L2975" s="329">
        <v>44165</v>
      </c>
      <c r="M2975" s="332">
        <v>0</v>
      </c>
    </row>
    <row r="2976" spans="1:13" hidden="1" x14ac:dyDescent="0.25">
      <c r="A2976" s="329">
        <v>44165</v>
      </c>
      <c r="B2976" s="328" t="s">
        <v>1707</v>
      </c>
      <c r="C2976" s="328" t="s">
        <v>1060</v>
      </c>
      <c r="D2976" s="330">
        <v>6</v>
      </c>
      <c r="E2976" s="331">
        <v>-82.5</v>
      </c>
      <c r="F2976" s="331">
        <v>83486.929999999993</v>
      </c>
      <c r="G2976" s="328" t="s">
        <v>1708</v>
      </c>
      <c r="H2976" s="328" t="s">
        <v>1838</v>
      </c>
      <c r="I2976" s="328" t="s">
        <v>110</v>
      </c>
      <c r="J2976" s="328" t="s">
        <v>757</v>
      </c>
      <c r="K2976" s="328" t="s">
        <v>741</v>
      </c>
      <c r="L2976" s="329">
        <v>44165</v>
      </c>
      <c r="M2976" s="332">
        <v>0</v>
      </c>
    </row>
    <row r="2977" spans="1:13" hidden="1" x14ac:dyDescent="0.25">
      <c r="A2977" s="329">
        <v>44165</v>
      </c>
      <c r="B2977" s="328" t="s">
        <v>1709</v>
      </c>
      <c r="C2977" s="328" t="s">
        <v>769</v>
      </c>
      <c r="D2977" s="330">
        <v>6</v>
      </c>
      <c r="E2977" s="331">
        <v>82.5</v>
      </c>
      <c r="F2977" s="331">
        <v>83569.429999999993</v>
      </c>
      <c r="G2977" s="328" t="s">
        <v>1710</v>
      </c>
      <c r="H2977" s="328" t="s">
        <v>1838</v>
      </c>
      <c r="I2977" s="328" t="s">
        <v>110</v>
      </c>
      <c r="J2977" s="328" t="s">
        <v>757</v>
      </c>
      <c r="K2977" s="328" t="s">
        <v>770</v>
      </c>
      <c r="L2977" s="329">
        <v>44165</v>
      </c>
      <c r="M2977" s="332">
        <v>0</v>
      </c>
    </row>
    <row r="2978" spans="1:13" hidden="1" x14ac:dyDescent="0.25">
      <c r="A2978" s="329">
        <v>44196</v>
      </c>
      <c r="B2978" s="328" t="s">
        <v>1711</v>
      </c>
      <c r="C2978" s="328" t="s">
        <v>1060</v>
      </c>
      <c r="D2978" s="330">
        <v>6</v>
      </c>
      <c r="E2978" s="331">
        <v>77</v>
      </c>
      <c r="F2978" s="331">
        <v>83646.429999999993</v>
      </c>
      <c r="G2978" s="328" t="s">
        <v>1712</v>
      </c>
      <c r="H2978" s="328" t="s">
        <v>1838</v>
      </c>
      <c r="I2978" s="328" t="s">
        <v>110</v>
      </c>
      <c r="J2978" s="328" t="s">
        <v>757</v>
      </c>
      <c r="K2978" s="328" t="s">
        <v>741</v>
      </c>
      <c r="L2978" s="329">
        <v>44196</v>
      </c>
      <c r="M2978" s="332">
        <v>0</v>
      </c>
    </row>
    <row r="2979" spans="1:13" hidden="1" x14ac:dyDescent="0.25">
      <c r="A2979" s="329">
        <v>44196</v>
      </c>
      <c r="B2979" s="328" t="s">
        <v>1711</v>
      </c>
      <c r="C2979" s="328" t="s">
        <v>1060</v>
      </c>
      <c r="D2979" s="330">
        <v>7</v>
      </c>
      <c r="E2979" s="331">
        <v>-77</v>
      </c>
      <c r="F2979" s="331">
        <v>83569.429999999993</v>
      </c>
      <c r="G2979" s="328" t="s">
        <v>1712</v>
      </c>
      <c r="H2979" s="328" t="s">
        <v>1838</v>
      </c>
      <c r="I2979" s="328" t="s">
        <v>110</v>
      </c>
      <c r="J2979" s="328" t="s">
        <v>757</v>
      </c>
      <c r="K2979" s="328" t="s">
        <v>741</v>
      </c>
      <c r="L2979" s="329">
        <v>44196</v>
      </c>
      <c r="M2979" s="332">
        <v>0</v>
      </c>
    </row>
    <row r="2980" spans="1:13" hidden="1" x14ac:dyDescent="0.25">
      <c r="A2980" s="329">
        <v>44196</v>
      </c>
      <c r="B2980" s="328" t="s">
        <v>1713</v>
      </c>
      <c r="C2980" s="328" t="s">
        <v>769</v>
      </c>
      <c r="D2980" s="330">
        <v>7</v>
      </c>
      <c r="E2980" s="331">
        <v>77</v>
      </c>
      <c r="F2980" s="331">
        <v>83646.429999999993</v>
      </c>
      <c r="G2980" s="328" t="s">
        <v>1714</v>
      </c>
      <c r="H2980" s="328" t="s">
        <v>1838</v>
      </c>
      <c r="I2980" s="328" t="s">
        <v>110</v>
      </c>
      <c r="J2980" s="328" t="s">
        <v>757</v>
      </c>
      <c r="K2980" s="328" t="s">
        <v>770</v>
      </c>
      <c r="L2980" s="329">
        <v>44196</v>
      </c>
      <c r="M2980" s="332">
        <v>0</v>
      </c>
    </row>
    <row r="2981" spans="1:13" hidden="1" x14ac:dyDescent="0.25">
      <c r="A2981" s="329">
        <v>44227</v>
      </c>
      <c r="B2981" s="328" t="s">
        <v>1715</v>
      </c>
      <c r="C2981" s="328" t="s">
        <v>1060</v>
      </c>
      <c r="D2981" s="330">
        <v>7</v>
      </c>
      <c r="E2981" s="331">
        <v>71.5</v>
      </c>
      <c r="F2981" s="331">
        <v>83717.929999999993</v>
      </c>
      <c r="G2981" s="328" t="s">
        <v>1716</v>
      </c>
      <c r="H2981" s="328" t="s">
        <v>1838</v>
      </c>
      <c r="I2981" s="328" t="s">
        <v>110</v>
      </c>
      <c r="J2981" s="328" t="s">
        <v>757</v>
      </c>
      <c r="K2981" s="328" t="s">
        <v>741</v>
      </c>
      <c r="L2981" s="329">
        <v>44227</v>
      </c>
      <c r="M2981" s="332">
        <v>0</v>
      </c>
    </row>
    <row r="2982" spans="1:13" hidden="1" x14ac:dyDescent="0.25">
      <c r="A2982" s="329">
        <v>44227</v>
      </c>
      <c r="B2982" s="328" t="s">
        <v>1715</v>
      </c>
      <c r="C2982" s="328" t="s">
        <v>1060</v>
      </c>
      <c r="D2982" s="330">
        <v>8</v>
      </c>
      <c r="E2982" s="331">
        <v>-71.5</v>
      </c>
      <c r="F2982" s="331">
        <v>83646.429999999993</v>
      </c>
      <c r="G2982" s="328" t="s">
        <v>1716</v>
      </c>
      <c r="H2982" s="328" t="s">
        <v>1838</v>
      </c>
      <c r="I2982" s="328" t="s">
        <v>110</v>
      </c>
      <c r="J2982" s="328" t="s">
        <v>757</v>
      </c>
      <c r="K2982" s="328" t="s">
        <v>741</v>
      </c>
      <c r="L2982" s="329">
        <v>44227</v>
      </c>
      <c r="M2982" s="332">
        <v>0</v>
      </c>
    </row>
    <row r="2983" spans="1:13" hidden="1" x14ac:dyDescent="0.25">
      <c r="A2983" s="329">
        <v>44227</v>
      </c>
      <c r="B2983" s="328" t="s">
        <v>1717</v>
      </c>
      <c r="C2983" s="328" t="s">
        <v>769</v>
      </c>
      <c r="D2983" s="330">
        <v>8</v>
      </c>
      <c r="E2983" s="331">
        <v>71.5</v>
      </c>
      <c r="F2983" s="331">
        <v>83717.929999999993</v>
      </c>
      <c r="G2983" s="328" t="s">
        <v>1718</v>
      </c>
      <c r="H2983" s="328" t="s">
        <v>1838</v>
      </c>
      <c r="I2983" s="328" t="s">
        <v>110</v>
      </c>
      <c r="J2983" s="328" t="s">
        <v>757</v>
      </c>
      <c r="K2983" s="328" t="s">
        <v>770</v>
      </c>
      <c r="L2983" s="329">
        <v>44227</v>
      </c>
      <c r="M2983" s="332">
        <v>0</v>
      </c>
    </row>
    <row r="2984" spans="1:13" hidden="1" x14ac:dyDescent="0.25">
      <c r="A2984" s="329">
        <v>44255</v>
      </c>
      <c r="B2984" s="328" t="s">
        <v>1720</v>
      </c>
      <c r="C2984" s="328" t="s">
        <v>1060</v>
      </c>
      <c r="D2984" s="330">
        <v>8</v>
      </c>
      <c r="E2984" s="331">
        <v>77</v>
      </c>
      <c r="F2984" s="331">
        <v>83794.929999999993</v>
      </c>
      <c r="G2984" s="328" t="s">
        <v>1721</v>
      </c>
      <c r="H2984" s="328" t="s">
        <v>1838</v>
      </c>
      <c r="I2984" s="328" t="s">
        <v>110</v>
      </c>
      <c r="J2984" s="328" t="s">
        <v>757</v>
      </c>
      <c r="K2984" s="328" t="s">
        <v>741</v>
      </c>
      <c r="L2984" s="329">
        <v>44255</v>
      </c>
      <c r="M2984" s="332">
        <v>0</v>
      </c>
    </row>
    <row r="2985" spans="1:13" hidden="1" x14ac:dyDescent="0.25">
      <c r="A2985" s="329">
        <v>44255</v>
      </c>
      <c r="B2985" s="328" t="s">
        <v>1720</v>
      </c>
      <c r="C2985" s="328" t="s">
        <v>1060</v>
      </c>
      <c r="D2985" s="330">
        <v>9</v>
      </c>
      <c r="E2985" s="331">
        <v>-77</v>
      </c>
      <c r="F2985" s="331">
        <v>83717.929999999993</v>
      </c>
      <c r="G2985" s="328" t="s">
        <v>1721</v>
      </c>
      <c r="H2985" s="328" t="s">
        <v>1838</v>
      </c>
      <c r="I2985" s="328" t="s">
        <v>110</v>
      </c>
      <c r="J2985" s="328" t="s">
        <v>757</v>
      </c>
      <c r="K2985" s="328" t="s">
        <v>741</v>
      </c>
      <c r="L2985" s="329">
        <v>44255</v>
      </c>
      <c r="M2985" s="332">
        <v>0</v>
      </c>
    </row>
    <row r="2986" spans="1:13" hidden="1" x14ac:dyDescent="0.25">
      <c r="A2986" s="329">
        <v>44255</v>
      </c>
      <c r="B2986" s="328" t="s">
        <v>1722</v>
      </c>
      <c r="C2986" s="328" t="s">
        <v>769</v>
      </c>
      <c r="D2986" s="330">
        <v>9</v>
      </c>
      <c r="E2986" s="331">
        <v>88</v>
      </c>
      <c r="F2986" s="331">
        <v>83805.929999999993</v>
      </c>
      <c r="G2986" s="328" t="s">
        <v>1723</v>
      </c>
      <c r="H2986" s="328" t="s">
        <v>1838</v>
      </c>
      <c r="I2986" s="328" t="s">
        <v>110</v>
      </c>
      <c r="J2986" s="328" t="s">
        <v>757</v>
      </c>
      <c r="K2986" s="328" t="s">
        <v>770</v>
      </c>
      <c r="L2986" s="329">
        <v>44255</v>
      </c>
      <c r="M2986" s="332">
        <v>0</v>
      </c>
    </row>
    <row r="2987" spans="1:13" hidden="1" x14ac:dyDescent="0.25">
      <c r="A2987" s="329">
        <v>44286</v>
      </c>
      <c r="B2987" s="328" t="s">
        <v>1724</v>
      </c>
      <c r="C2987" s="328" t="s">
        <v>1060</v>
      </c>
      <c r="D2987" s="330">
        <v>9</v>
      </c>
      <c r="E2987" s="331">
        <v>115.5</v>
      </c>
      <c r="F2987" s="331">
        <v>83921.43</v>
      </c>
      <c r="G2987" s="328" t="s">
        <v>1725</v>
      </c>
      <c r="H2987" s="328" t="s">
        <v>1838</v>
      </c>
      <c r="I2987" s="328" t="s">
        <v>110</v>
      </c>
      <c r="J2987" s="328" t="s">
        <v>757</v>
      </c>
      <c r="K2987" s="328" t="s">
        <v>741</v>
      </c>
      <c r="L2987" s="329">
        <v>44286</v>
      </c>
      <c r="M2987" s="332">
        <v>0</v>
      </c>
    </row>
    <row r="2988" spans="1:13" hidden="1" x14ac:dyDescent="0.25">
      <c r="A2988" s="329">
        <v>44286</v>
      </c>
      <c r="B2988" s="328" t="s">
        <v>1726</v>
      </c>
      <c r="C2988" s="328" t="s">
        <v>769</v>
      </c>
      <c r="D2988" s="330">
        <v>10</v>
      </c>
      <c r="E2988" s="331">
        <v>115.5</v>
      </c>
      <c r="F2988" s="331">
        <v>84036.93</v>
      </c>
      <c r="G2988" s="328" t="s">
        <v>1727</v>
      </c>
      <c r="H2988" s="328" t="s">
        <v>1838</v>
      </c>
      <c r="I2988" s="328" t="s">
        <v>110</v>
      </c>
      <c r="J2988" s="328" t="s">
        <v>757</v>
      </c>
      <c r="K2988" s="328" t="s">
        <v>770</v>
      </c>
      <c r="L2988" s="329">
        <v>44286</v>
      </c>
      <c r="M2988" s="332">
        <v>0</v>
      </c>
    </row>
    <row r="2989" spans="1:13" hidden="1" x14ac:dyDescent="0.25">
      <c r="A2989" s="329">
        <v>44286</v>
      </c>
      <c r="B2989" s="328" t="s">
        <v>1724</v>
      </c>
      <c r="C2989" s="328" t="s">
        <v>1060</v>
      </c>
      <c r="D2989" s="330">
        <v>10</v>
      </c>
      <c r="E2989" s="331">
        <v>-115.5</v>
      </c>
      <c r="F2989" s="331">
        <v>83921.43</v>
      </c>
      <c r="G2989" s="328" t="s">
        <v>1725</v>
      </c>
      <c r="H2989" s="328" t="s">
        <v>1838</v>
      </c>
      <c r="I2989" s="328" t="s">
        <v>110</v>
      </c>
      <c r="J2989" s="328" t="s">
        <v>757</v>
      </c>
      <c r="K2989" s="328" t="s">
        <v>741</v>
      </c>
      <c r="L2989" s="329">
        <v>44286</v>
      </c>
      <c r="M2989" s="332">
        <v>0</v>
      </c>
    </row>
    <row r="2990" spans="1:13" hidden="1" x14ac:dyDescent="0.25">
      <c r="A2990" s="329">
        <v>44316</v>
      </c>
      <c r="B2990" s="328" t="s">
        <v>1728</v>
      </c>
      <c r="C2990" s="328" t="s">
        <v>1060</v>
      </c>
      <c r="D2990" s="330">
        <v>10</v>
      </c>
      <c r="E2990" s="331">
        <v>77</v>
      </c>
      <c r="F2990" s="331">
        <v>83998.43</v>
      </c>
      <c r="G2990" s="328" t="s">
        <v>1729</v>
      </c>
      <c r="H2990" s="328" t="s">
        <v>1838</v>
      </c>
      <c r="I2990" s="328" t="s">
        <v>110</v>
      </c>
      <c r="J2990" s="328" t="s">
        <v>757</v>
      </c>
      <c r="K2990" s="328" t="s">
        <v>741</v>
      </c>
      <c r="L2990" s="329">
        <v>44316</v>
      </c>
      <c r="M2990" s="332">
        <v>0</v>
      </c>
    </row>
    <row r="2991" spans="1:13" hidden="1" x14ac:dyDescent="0.25">
      <c r="A2991" s="329">
        <v>44012</v>
      </c>
      <c r="B2991" s="328" t="s">
        <v>1678</v>
      </c>
      <c r="C2991" s="328" t="s">
        <v>769</v>
      </c>
      <c r="D2991" s="330">
        <v>1</v>
      </c>
      <c r="E2991" s="331">
        <v>44</v>
      </c>
      <c r="F2991" s="331">
        <v>84042.43</v>
      </c>
      <c r="G2991" s="328" t="s">
        <v>1679</v>
      </c>
      <c r="H2991" s="328" t="s">
        <v>1839</v>
      </c>
      <c r="I2991" s="328" t="s">
        <v>110</v>
      </c>
      <c r="J2991" s="328" t="s">
        <v>757</v>
      </c>
      <c r="K2991" s="328" t="s">
        <v>770</v>
      </c>
      <c r="L2991" s="329">
        <v>44012</v>
      </c>
      <c r="M2991" s="332">
        <v>0</v>
      </c>
    </row>
    <row r="2992" spans="1:13" hidden="1" x14ac:dyDescent="0.25">
      <c r="A2992" s="329">
        <v>44012</v>
      </c>
      <c r="B2992" s="328" t="s">
        <v>1681</v>
      </c>
      <c r="C2992" s="328" t="s">
        <v>1059</v>
      </c>
      <c r="D2992" s="330">
        <v>1</v>
      </c>
      <c r="E2992" s="331">
        <v>-44</v>
      </c>
      <c r="F2992" s="331">
        <v>83998.43</v>
      </c>
      <c r="G2992" s="328" t="s">
        <v>1682</v>
      </c>
      <c r="H2992" s="328" t="s">
        <v>1839</v>
      </c>
      <c r="I2992" s="328" t="s">
        <v>110</v>
      </c>
      <c r="J2992" s="328" t="s">
        <v>757</v>
      </c>
      <c r="K2992" s="328" t="s">
        <v>741</v>
      </c>
      <c r="L2992" s="329">
        <v>44012</v>
      </c>
      <c r="M2992" s="332">
        <v>0</v>
      </c>
    </row>
    <row r="2993" spans="1:13" hidden="1" x14ac:dyDescent="0.25">
      <c r="A2993" s="329">
        <v>44043</v>
      </c>
      <c r="B2993" s="328" t="s">
        <v>1685</v>
      </c>
      <c r="C2993" s="328" t="s">
        <v>1060</v>
      </c>
      <c r="D2993" s="330">
        <v>1</v>
      </c>
      <c r="E2993" s="331">
        <v>49.5</v>
      </c>
      <c r="F2993" s="331">
        <v>84047.93</v>
      </c>
      <c r="G2993" s="328" t="s">
        <v>1686</v>
      </c>
      <c r="H2993" s="328" t="s">
        <v>1839</v>
      </c>
      <c r="I2993" s="328" t="s">
        <v>110</v>
      </c>
      <c r="J2993" s="328" t="s">
        <v>757</v>
      </c>
      <c r="K2993" s="328" t="s">
        <v>741</v>
      </c>
      <c r="L2993" s="329">
        <v>44043</v>
      </c>
      <c r="M2993" s="332">
        <v>0</v>
      </c>
    </row>
    <row r="2994" spans="1:13" hidden="1" x14ac:dyDescent="0.25">
      <c r="A2994" s="329">
        <v>44043</v>
      </c>
      <c r="B2994" s="328" t="s">
        <v>1688</v>
      </c>
      <c r="C2994" s="328" t="s">
        <v>1060</v>
      </c>
      <c r="D2994" s="330">
        <v>1</v>
      </c>
      <c r="E2994" s="331">
        <v>-49.5</v>
      </c>
      <c r="F2994" s="331">
        <v>83998.43</v>
      </c>
      <c r="G2994" s="328" t="s">
        <v>1686</v>
      </c>
      <c r="H2994" s="328" t="s">
        <v>1839</v>
      </c>
      <c r="I2994" s="328" t="s">
        <v>110</v>
      </c>
      <c r="J2994" s="328" t="s">
        <v>757</v>
      </c>
      <c r="K2994" s="328" t="s">
        <v>741</v>
      </c>
      <c r="L2994" s="329">
        <v>44043</v>
      </c>
      <c r="M2994" s="332">
        <v>0</v>
      </c>
    </row>
    <row r="2995" spans="1:13" hidden="1" x14ac:dyDescent="0.25">
      <c r="A2995" s="329">
        <v>44043</v>
      </c>
      <c r="B2995" s="328" t="s">
        <v>1689</v>
      </c>
      <c r="C2995" s="328" t="s">
        <v>1060</v>
      </c>
      <c r="D2995" s="330">
        <v>1</v>
      </c>
      <c r="E2995" s="331">
        <v>49.5</v>
      </c>
      <c r="F2995" s="331">
        <v>84047.93</v>
      </c>
      <c r="G2995" s="328" t="s">
        <v>1686</v>
      </c>
      <c r="H2995" s="328" t="s">
        <v>1839</v>
      </c>
      <c r="I2995" s="328" t="s">
        <v>110</v>
      </c>
      <c r="J2995" s="328" t="s">
        <v>757</v>
      </c>
      <c r="K2995" s="328" t="s">
        <v>741</v>
      </c>
      <c r="L2995" s="329">
        <v>44043</v>
      </c>
      <c r="M2995" s="332">
        <v>0</v>
      </c>
    </row>
    <row r="2996" spans="1:13" hidden="1" x14ac:dyDescent="0.25">
      <c r="A2996" s="329">
        <v>44043</v>
      </c>
      <c r="B2996" s="328" t="s">
        <v>1691</v>
      </c>
      <c r="C2996" s="328" t="s">
        <v>769</v>
      </c>
      <c r="D2996" s="330">
        <v>2</v>
      </c>
      <c r="E2996" s="331">
        <v>49.5</v>
      </c>
      <c r="F2996" s="331">
        <v>84097.43</v>
      </c>
      <c r="G2996" s="328" t="s">
        <v>1692</v>
      </c>
      <c r="H2996" s="328" t="s">
        <v>1839</v>
      </c>
      <c r="I2996" s="328" t="s">
        <v>110</v>
      </c>
      <c r="J2996" s="328" t="s">
        <v>757</v>
      </c>
      <c r="K2996" s="328" t="s">
        <v>770</v>
      </c>
      <c r="L2996" s="329">
        <v>44043</v>
      </c>
      <c r="M2996" s="332">
        <v>0</v>
      </c>
    </row>
    <row r="2997" spans="1:13" hidden="1" x14ac:dyDescent="0.25">
      <c r="A2997" s="329">
        <v>44043</v>
      </c>
      <c r="B2997" s="328" t="s">
        <v>1685</v>
      </c>
      <c r="C2997" s="328" t="s">
        <v>1060</v>
      </c>
      <c r="D2997" s="330">
        <v>2</v>
      </c>
      <c r="E2997" s="331">
        <v>-49.5</v>
      </c>
      <c r="F2997" s="331">
        <v>84047.93</v>
      </c>
      <c r="G2997" s="328" t="s">
        <v>1686</v>
      </c>
      <c r="H2997" s="328" t="s">
        <v>1839</v>
      </c>
      <c r="I2997" s="328" t="s">
        <v>110</v>
      </c>
      <c r="J2997" s="328" t="s">
        <v>757</v>
      </c>
      <c r="K2997" s="328" t="s">
        <v>741</v>
      </c>
      <c r="L2997" s="329">
        <v>44043</v>
      </c>
      <c r="M2997" s="332">
        <v>0</v>
      </c>
    </row>
    <row r="2998" spans="1:13" hidden="1" x14ac:dyDescent="0.25">
      <c r="A2998" s="329">
        <v>44043</v>
      </c>
      <c r="B2998" s="328" t="s">
        <v>1688</v>
      </c>
      <c r="C2998" s="328" t="s">
        <v>1060</v>
      </c>
      <c r="D2998" s="330">
        <v>2</v>
      </c>
      <c r="E2998" s="331">
        <v>49.5</v>
      </c>
      <c r="F2998" s="331">
        <v>84097.43</v>
      </c>
      <c r="G2998" s="328" t="s">
        <v>1686</v>
      </c>
      <c r="H2998" s="328" t="s">
        <v>1839</v>
      </c>
      <c r="I2998" s="328" t="s">
        <v>110</v>
      </c>
      <c r="J2998" s="328" t="s">
        <v>757</v>
      </c>
      <c r="K2998" s="328" t="s">
        <v>741</v>
      </c>
      <c r="L2998" s="329">
        <v>44043</v>
      </c>
      <c r="M2998" s="332">
        <v>0</v>
      </c>
    </row>
    <row r="2999" spans="1:13" hidden="1" x14ac:dyDescent="0.25">
      <c r="A2999" s="329">
        <v>44043</v>
      </c>
      <c r="B2999" s="328" t="s">
        <v>1689</v>
      </c>
      <c r="C2999" s="328" t="s">
        <v>1060</v>
      </c>
      <c r="D2999" s="330">
        <v>2</v>
      </c>
      <c r="E2999" s="331">
        <v>-49.5</v>
      </c>
      <c r="F2999" s="331">
        <v>84047.93</v>
      </c>
      <c r="G2999" s="328" t="s">
        <v>1686</v>
      </c>
      <c r="H2999" s="328" t="s">
        <v>1839</v>
      </c>
      <c r="I2999" s="328" t="s">
        <v>110</v>
      </c>
      <c r="J2999" s="328" t="s">
        <v>757</v>
      </c>
      <c r="K2999" s="328" t="s">
        <v>741</v>
      </c>
      <c r="L2999" s="329">
        <v>44043</v>
      </c>
      <c r="M2999" s="332">
        <v>0</v>
      </c>
    </row>
    <row r="3000" spans="1:13" hidden="1" x14ac:dyDescent="0.25">
      <c r="A3000" s="329">
        <v>44074</v>
      </c>
      <c r="B3000" s="328" t="s">
        <v>1695</v>
      </c>
      <c r="C3000" s="328" t="s">
        <v>1060</v>
      </c>
      <c r="D3000" s="330">
        <v>2</v>
      </c>
      <c r="E3000" s="331">
        <v>44</v>
      </c>
      <c r="F3000" s="331">
        <v>84091.93</v>
      </c>
      <c r="G3000" s="328" t="s">
        <v>1696</v>
      </c>
      <c r="H3000" s="328" t="s">
        <v>1839</v>
      </c>
      <c r="I3000" s="328" t="s">
        <v>110</v>
      </c>
      <c r="J3000" s="328" t="s">
        <v>757</v>
      </c>
      <c r="K3000" s="328" t="s">
        <v>741</v>
      </c>
      <c r="L3000" s="329">
        <v>44074</v>
      </c>
      <c r="M3000" s="332">
        <v>0</v>
      </c>
    </row>
    <row r="3001" spans="1:13" hidden="1" x14ac:dyDescent="0.25">
      <c r="A3001" s="329">
        <v>44074</v>
      </c>
      <c r="B3001" s="328" t="s">
        <v>1697</v>
      </c>
      <c r="C3001" s="328" t="s">
        <v>769</v>
      </c>
      <c r="D3001" s="330">
        <v>3</v>
      </c>
      <c r="E3001" s="331">
        <v>44</v>
      </c>
      <c r="F3001" s="331">
        <v>84135.93</v>
      </c>
      <c r="G3001" s="328" t="s">
        <v>1698</v>
      </c>
      <c r="H3001" s="328" t="s">
        <v>1839</v>
      </c>
      <c r="I3001" s="328" t="s">
        <v>110</v>
      </c>
      <c r="J3001" s="328" t="s">
        <v>757</v>
      </c>
      <c r="K3001" s="328" t="s">
        <v>770</v>
      </c>
      <c r="L3001" s="329">
        <v>44074</v>
      </c>
      <c r="M3001" s="332">
        <v>0</v>
      </c>
    </row>
    <row r="3002" spans="1:13" hidden="1" x14ac:dyDescent="0.25">
      <c r="A3002" s="329">
        <v>44074</v>
      </c>
      <c r="B3002" s="328" t="s">
        <v>1695</v>
      </c>
      <c r="C3002" s="328" t="s">
        <v>1060</v>
      </c>
      <c r="D3002" s="330">
        <v>3</v>
      </c>
      <c r="E3002" s="331">
        <v>-44</v>
      </c>
      <c r="F3002" s="331">
        <v>84091.93</v>
      </c>
      <c r="G3002" s="328" t="s">
        <v>1696</v>
      </c>
      <c r="H3002" s="328" t="s">
        <v>1839</v>
      </c>
      <c r="I3002" s="328" t="s">
        <v>110</v>
      </c>
      <c r="J3002" s="328" t="s">
        <v>757</v>
      </c>
      <c r="K3002" s="328" t="s">
        <v>741</v>
      </c>
      <c r="L3002" s="329">
        <v>44074</v>
      </c>
      <c r="M3002" s="332">
        <v>0</v>
      </c>
    </row>
    <row r="3003" spans="1:13" hidden="1" x14ac:dyDescent="0.25">
      <c r="A3003" s="329">
        <v>44104</v>
      </c>
      <c r="B3003" s="328" t="s">
        <v>1699</v>
      </c>
      <c r="C3003" s="328" t="s">
        <v>1060</v>
      </c>
      <c r="D3003" s="330">
        <v>3</v>
      </c>
      <c r="E3003" s="331">
        <v>71.5</v>
      </c>
      <c r="F3003" s="331">
        <v>84163.43</v>
      </c>
      <c r="G3003" s="328" t="s">
        <v>1700</v>
      </c>
      <c r="H3003" s="328" t="s">
        <v>1839</v>
      </c>
      <c r="I3003" s="328" t="s">
        <v>110</v>
      </c>
      <c r="J3003" s="328" t="s">
        <v>757</v>
      </c>
      <c r="K3003" s="328" t="s">
        <v>741</v>
      </c>
      <c r="L3003" s="329">
        <v>44104</v>
      </c>
      <c r="M3003" s="332">
        <v>0</v>
      </c>
    </row>
    <row r="3004" spans="1:13" hidden="1" x14ac:dyDescent="0.25">
      <c r="A3004" s="329">
        <v>44104</v>
      </c>
      <c r="B3004" s="328" t="s">
        <v>1699</v>
      </c>
      <c r="C3004" s="328" t="s">
        <v>1060</v>
      </c>
      <c r="D3004" s="330">
        <v>4</v>
      </c>
      <c r="E3004" s="331">
        <v>-71.5</v>
      </c>
      <c r="F3004" s="331">
        <v>84091.93</v>
      </c>
      <c r="G3004" s="328" t="s">
        <v>1700</v>
      </c>
      <c r="H3004" s="328" t="s">
        <v>1839</v>
      </c>
      <c r="I3004" s="328" t="s">
        <v>110</v>
      </c>
      <c r="J3004" s="328" t="s">
        <v>757</v>
      </c>
      <c r="K3004" s="328" t="s">
        <v>741</v>
      </c>
      <c r="L3004" s="329">
        <v>44104</v>
      </c>
      <c r="M3004" s="332">
        <v>0</v>
      </c>
    </row>
    <row r="3005" spans="1:13" hidden="1" x14ac:dyDescent="0.25">
      <c r="A3005" s="329">
        <v>44105</v>
      </c>
      <c r="B3005" s="328" t="s">
        <v>1701</v>
      </c>
      <c r="C3005" s="328" t="s">
        <v>769</v>
      </c>
      <c r="D3005" s="330">
        <v>4</v>
      </c>
      <c r="E3005" s="331">
        <v>71.5</v>
      </c>
      <c r="F3005" s="331">
        <v>84163.43</v>
      </c>
      <c r="G3005" s="328" t="s">
        <v>1702</v>
      </c>
      <c r="H3005" s="328" t="s">
        <v>1839</v>
      </c>
      <c r="I3005" s="328" t="s">
        <v>110</v>
      </c>
      <c r="J3005" s="328" t="s">
        <v>757</v>
      </c>
      <c r="K3005" s="328" t="s">
        <v>770</v>
      </c>
      <c r="L3005" s="329">
        <v>44105</v>
      </c>
      <c r="M3005" s="332">
        <v>0</v>
      </c>
    </row>
    <row r="3006" spans="1:13" hidden="1" x14ac:dyDescent="0.25">
      <c r="A3006" s="329">
        <v>44135</v>
      </c>
      <c r="B3006" s="328" t="s">
        <v>1703</v>
      </c>
      <c r="C3006" s="328" t="s">
        <v>1060</v>
      </c>
      <c r="D3006" s="330">
        <v>4</v>
      </c>
      <c r="E3006" s="331">
        <v>27.5</v>
      </c>
      <c r="F3006" s="331">
        <v>84190.93</v>
      </c>
      <c r="G3006" s="328" t="s">
        <v>1704</v>
      </c>
      <c r="H3006" s="328" t="s">
        <v>1839</v>
      </c>
      <c r="I3006" s="328" t="s">
        <v>110</v>
      </c>
      <c r="J3006" s="328" t="s">
        <v>757</v>
      </c>
      <c r="K3006" s="328" t="s">
        <v>741</v>
      </c>
      <c r="L3006" s="329">
        <v>44135</v>
      </c>
      <c r="M3006" s="332">
        <v>0</v>
      </c>
    </row>
    <row r="3007" spans="1:13" hidden="1" x14ac:dyDescent="0.25">
      <c r="A3007" s="329">
        <v>44135</v>
      </c>
      <c r="B3007" s="328" t="s">
        <v>1703</v>
      </c>
      <c r="C3007" s="328" t="s">
        <v>1060</v>
      </c>
      <c r="D3007" s="330">
        <v>5</v>
      </c>
      <c r="E3007" s="331">
        <v>-27.5</v>
      </c>
      <c r="F3007" s="331">
        <v>84163.43</v>
      </c>
      <c r="G3007" s="328" t="s">
        <v>1704</v>
      </c>
      <c r="H3007" s="328" t="s">
        <v>1839</v>
      </c>
      <c r="I3007" s="328" t="s">
        <v>110</v>
      </c>
      <c r="J3007" s="328" t="s">
        <v>757</v>
      </c>
      <c r="K3007" s="328" t="s">
        <v>741</v>
      </c>
      <c r="L3007" s="329">
        <v>44135</v>
      </c>
      <c r="M3007" s="332">
        <v>0</v>
      </c>
    </row>
    <row r="3008" spans="1:13" hidden="1" x14ac:dyDescent="0.25">
      <c r="A3008" s="329">
        <v>44135</v>
      </c>
      <c r="B3008" s="328" t="s">
        <v>1705</v>
      </c>
      <c r="C3008" s="328" t="s">
        <v>769</v>
      </c>
      <c r="D3008" s="330">
        <v>5</v>
      </c>
      <c r="E3008" s="331">
        <v>27.5</v>
      </c>
      <c r="F3008" s="331">
        <v>84190.93</v>
      </c>
      <c r="G3008" s="328" t="s">
        <v>1706</v>
      </c>
      <c r="H3008" s="328" t="s">
        <v>1839</v>
      </c>
      <c r="I3008" s="328" t="s">
        <v>110</v>
      </c>
      <c r="J3008" s="328" t="s">
        <v>757</v>
      </c>
      <c r="K3008" s="328" t="s">
        <v>770</v>
      </c>
      <c r="L3008" s="329">
        <v>44135</v>
      </c>
      <c r="M3008" s="332">
        <v>0</v>
      </c>
    </row>
    <row r="3009" spans="1:13" hidden="1" x14ac:dyDescent="0.25">
      <c r="A3009" s="329">
        <v>44165</v>
      </c>
      <c r="B3009" s="328" t="s">
        <v>1707</v>
      </c>
      <c r="C3009" s="328" t="s">
        <v>1060</v>
      </c>
      <c r="D3009" s="330">
        <v>5</v>
      </c>
      <c r="E3009" s="331">
        <v>22</v>
      </c>
      <c r="F3009" s="331">
        <v>84212.93</v>
      </c>
      <c r="G3009" s="328" t="s">
        <v>1708</v>
      </c>
      <c r="H3009" s="328" t="s">
        <v>1839</v>
      </c>
      <c r="I3009" s="328" t="s">
        <v>110</v>
      </c>
      <c r="J3009" s="328" t="s">
        <v>757</v>
      </c>
      <c r="K3009" s="328" t="s">
        <v>741</v>
      </c>
      <c r="L3009" s="329">
        <v>44165</v>
      </c>
      <c r="M3009" s="332">
        <v>0</v>
      </c>
    </row>
    <row r="3010" spans="1:13" hidden="1" x14ac:dyDescent="0.25">
      <c r="A3010" s="329">
        <v>44165</v>
      </c>
      <c r="B3010" s="328" t="s">
        <v>1707</v>
      </c>
      <c r="C3010" s="328" t="s">
        <v>1060</v>
      </c>
      <c r="D3010" s="330">
        <v>6</v>
      </c>
      <c r="E3010" s="331">
        <v>-22</v>
      </c>
      <c r="F3010" s="331">
        <v>84190.93</v>
      </c>
      <c r="G3010" s="328" t="s">
        <v>1708</v>
      </c>
      <c r="H3010" s="328" t="s">
        <v>1839</v>
      </c>
      <c r="I3010" s="328" t="s">
        <v>110</v>
      </c>
      <c r="J3010" s="328" t="s">
        <v>757</v>
      </c>
      <c r="K3010" s="328" t="s">
        <v>741</v>
      </c>
      <c r="L3010" s="329">
        <v>44165</v>
      </c>
      <c r="M3010" s="332">
        <v>0</v>
      </c>
    </row>
    <row r="3011" spans="1:13" hidden="1" x14ac:dyDescent="0.25">
      <c r="A3011" s="329">
        <v>44165</v>
      </c>
      <c r="B3011" s="328" t="s">
        <v>1709</v>
      </c>
      <c r="C3011" s="328" t="s">
        <v>769</v>
      </c>
      <c r="D3011" s="330">
        <v>6</v>
      </c>
      <c r="E3011" s="331">
        <v>22</v>
      </c>
      <c r="F3011" s="331">
        <v>84212.93</v>
      </c>
      <c r="G3011" s="328" t="s">
        <v>1710</v>
      </c>
      <c r="H3011" s="328" t="s">
        <v>1839</v>
      </c>
      <c r="I3011" s="328" t="s">
        <v>110</v>
      </c>
      <c r="J3011" s="328" t="s">
        <v>757</v>
      </c>
      <c r="K3011" s="328" t="s">
        <v>770</v>
      </c>
      <c r="L3011" s="329">
        <v>44165</v>
      </c>
      <c r="M3011" s="332">
        <v>0</v>
      </c>
    </row>
    <row r="3012" spans="1:13" hidden="1" x14ac:dyDescent="0.25">
      <c r="A3012" s="329">
        <v>44196</v>
      </c>
      <c r="B3012" s="328" t="s">
        <v>1711</v>
      </c>
      <c r="C3012" s="328" t="s">
        <v>1060</v>
      </c>
      <c r="D3012" s="330">
        <v>6</v>
      </c>
      <c r="E3012" s="331">
        <v>27.5</v>
      </c>
      <c r="F3012" s="331">
        <v>84240.43</v>
      </c>
      <c r="G3012" s="328" t="s">
        <v>1712</v>
      </c>
      <c r="H3012" s="328" t="s">
        <v>1839</v>
      </c>
      <c r="I3012" s="328" t="s">
        <v>110</v>
      </c>
      <c r="J3012" s="328" t="s">
        <v>757</v>
      </c>
      <c r="K3012" s="328" t="s">
        <v>741</v>
      </c>
      <c r="L3012" s="329">
        <v>44196</v>
      </c>
      <c r="M3012" s="332">
        <v>0</v>
      </c>
    </row>
    <row r="3013" spans="1:13" hidden="1" x14ac:dyDescent="0.25">
      <c r="A3013" s="329">
        <v>44196</v>
      </c>
      <c r="B3013" s="328" t="s">
        <v>1711</v>
      </c>
      <c r="C3013" s="328" t="s">
        <v>1060</v>
      </c>
      <c r="D3013" s="330">
        <v>7</v>
      </c>
      <c r="E3013" s="331">
        <v>-27.5</v>
      </c>
      <c r="F3013" s="331">
        <v>84212.93</v>
      </c>
      <c r="G3013" s="328" t="s">
        <v>1712</v>
      </c>
      <c r="H3013" s="328" t="s">
        <v>1839</v>
      </c>
      <c r="I3013" s="328" t="s">
        <v>110</v>
      </c>
      <c r="J3013" s="328" t="s">
        <v>757</v>
      </c>
      <c r="K3013" s="328" t="s">
        <v>741</v>
      </c>
      <c r="L3013" s="329">
        <v>44196</v>
      </c>
      <c r="M3013" s="332">
        <v>0</v>
      </c>
    </row>
    <row r="3014" spans="1:13" hidden="1" x14ac:dyDescent="0.25">
      <c r="A3014" s="329">
        <v>44196</v>
      </c>
      <c r="B3014" s="328" t="s">
        <v>1713</v>
      </c>
      <c r="C3014" s="328" t="s">
        <v>769</v>
      </c>
      <c r="D3014" s="330">
        <v>7</v>
      </c>
      <c r="E3014" s="331">
        <v>27.5</v>
      </c>
      <c r="F3014" s="331">
        <v>84240.43</v>
      </c>
      <c r="G3014" s="328" t="s">
        <v>1714</v>
      </c>
      <c r="H3014" s="328" t="s">
        <v>1839</v>
      </c>
      <c r="I3014" s="328" t="s">
        <v>110</v>
      </c>
      <c r="J3014" s="328" t="s">
        <v>757</v>
      </c>
      <c r="K3014" s="328" t="s">
        <v>770</v>
      </c>
      <c r="L3014" s="329">
        <v>44196</v>
      </c>
      <c r="M3014" s="332">
        <v>0</v>
      </c>
    </row>
    <row r="3015" spans="1:13" hidden="1" x14ac:dyDescent="0.25">
      <c r="A3015" s="329">
        <v>44227</v>
      </c>
      <c r="B3015" s="328" t="s">
        <v>1715</v>
      </c>
      <c r="C3015" s="328" t="s">
        <v>1060</v>
      </c>
      <c r="D3015" s="330">
        <v>7</v>
      </c>
      <c r="E3015" s="331">
        <v>27.5</v>
      </c>
      <c r="F3015" s="331">
        <v>84267.93</v>
      </c>
      <c r="G3015" s="328" t="s">
        <v>1716</v>
      </c>
      <c r="H3015" s="328" t="s">
        <v>1839</v>
      </c>
      <c r="I3015" s="328" t="s">
        <v>110</v>
      </c>
      <c r="J3015" s="328" t="s">
        <v>757</v>
      </c>
      <c r="K3015" s="328" t="s">
        <v>741</v>
      </c>
      <c r="L3015" s="329">
        <v>44227</v>
      </c>
      <c r="M3015" s="332">
        <v>0</v>
      </c>
    </row>
    <row r="3016" spans="1:13" hidden="1" x14ac:dyDescent="0.25">
      <c r="A3016" s="329">
        <v>44227</v>
      </c>
      <c r="B3016" s="328" t="s">
        <v>1715</v>
      </c>
      <c r="C3016" s="328" t="s">
        <v>1060</v>
      </c>
      <c r="D3016" s="330">
        <v>8</v>
      </c>
      <c r="E3016" s="331">
        <v>-27.5</v>
      </c>
      <c r="F3016" s="331">
        <v>84240.43</v>
      </c>
      <c r="G3016" s="328" t="s">
        <v>1716</v>
      </c>
      <c r="H3016" s="328" t="s">
        <v>1839</v>
      </c>
      <c r="I3016" s="328" t="s">
        <v>110</v>
      </c>
      <c r="J3016" s="328" t="s">
        <v>757</v>
      </c>
      <c r="K3016" s="328" t="s">
        <v>741</v>
      </c>
      <c r="L3016" s="329">
        <v>44227</v>
      </c>
      <c r="M3016" s="332">
        <v>0</v>
      </c>
    </row>
    <row r="3017" spans="1:13" hidden="1" x14ac:dyDescent="0.25">
      <c r="A3017" s="329">
        <v>44227</v>
      </c>
      <c r="B3017" s="328" t="s">
        <v>1717</v>
      </c>
      <c r="C3017" s="328" t="s">
        <v>769</v>
      </c>
      <c r="D3017" s="330">
        <v>8</v>
      </c>
      <c r="E3017" s="331">
        <v>27.5</v>
      </c>
      <c r="F3017" s="331">
        <v>84267.93</v>
      </c>
      <c r="G3017" s="328" t="s">
        <v>1718</v>
      </c>
      <c r="H3017" s="328" t="s">
        <v>1839</v>
      </c>
      <c r="I3017" s="328" t="s">
        <v>110</v>
      </c>
      <c r="J3017" s="328" t="s">
        <v>757</v>
      </c>
      <c r="K3017" s="328" t="s">
        <v>770</v>
      </c>
      <c r="L3017" s="329">
        <v>44227</v>
      </c>
      <c r="M3017" s="332">
        <v>0</v>
      </c>
    </row>
    <row r="3018" spans="1:13" hidden="1" x14ac:dyDescent="0.25">
      <c r="A3018" s="329">
        <v>44255</v>
      </c>
      <c r="B3018" s="328" t="s">
        <v>1720</v>
      </c>
      <c r="C3018" s="328" t="s">
        <v>1060</v>
      </c>
      <c r="D3018" s="330">
        <v>8</v>
      </c>
      <c r="E3018" s="331">
        <v>27.5</v>
      </c>
      <c r="F3018" s="331">
        <v>84295.43</v>
      </c>
      <c r="G3018" s="328" t="s">
        <v>1721</v>
      </c>
      <c r="H3018" s="328" t="s">
        <v>1839</v>
      </c>
      <c r="I3018" s="328" t="s">
        <v>110</v>
      </c>
      <c r="J3018" s="328" t="s">
        <v>757</v>
      </c>
      <c r="K3018" s="328" t="s">
        <v>741</v>
      </c>
      <c r="L3018" s="329">
        <v>44255</v>
      </c>
      <c r="M3018" s="332">
        <v>0</v>
      </c>
    </row>
    <row r="3019" spans="1:13" hidden="1" x14ac:dyDescent="0.25">
      <c r="A3019" s="329">
        <v>44255</v>
      </c>
      <c r="B3019" s="328" t="s">
        <v>1720</v>
      </c>
      <c r="C3019" s="328" t="s">
        <v>1060</v>
      </c>
      <c r="D3019" s="330">
        <v>9</v>
      </c>
      <c r="E3019" s="331">
        <v>-27.5</v>
      </c>
      <c r="F3019" s="331">
        <v>84267.93</v>
      </c>
      <c r="G3019" s="328" t="s">
        <v>1721</v>
      </c>
      <c r="H3019" s="328" t="s">
        <v>1839</v>
      </c>
      <c r="I3019" s="328" t="s">
        <v>110</v>
      </c>
      <c r="J3019" s="328" t="s">
        <v>757</v>
      </c>
      <c r="K3019" s="328" t="s">
        <v>741</v>
      </c>
      <c r="L3019" s="329">
        <v>44255</v>
      </c>
      <c r="M3019" s="332">
        <v>0</v>
      </c>
    </row>
    <row r="3020" spans="1:13" hidden="1" x14ac:dyDescent="0.25">
      <c r="A3020" s="329">
        <v>44255</v>
      </c>
      <c r="B3020" s="328" t="s">
        <v>1722</v>
      </c>
      <c r="C3020" s="328" t="s">
        <v>769</v>
      </c>
      <c r="D3020" s="330">
        <v>9</v>
      </c>
      <c r="E3020" s="331">
        <v>27.5</v>
      </c>
      <c r="F3020" s="331">
        <v>84295.43</v>
      </c>
      <c r="G3020" s="328" t="s">
        <v>1723</v>
      </c>
      <c r="H3020" s="328" t="s">
        <v>1839</v>
      </c>
      <c r="I3020" s="328" t="s">
        <v>110</v>
      </c>
      <c r="J3020" s="328" t="s">
        <v>757</v>
      </c>
      <c r="K3020" s="328" t="s">
        <v>770</v>
      </c>
      <c r="L3020" s="329">
        <v>44255</v>
      </c>
      <c r="M3020" s="332">
        <v>0</v>
      </c>
    </row>
    <row r="3021" spans="1:13" hidden="1" x14ac:dyDescent="0.25">
      <c r="A3021" s="329">
        <v>44286</v>
      </c>
      <c r="B3021" s="328" t="s">
        <v>1724</v>
      </c>
      <c r="C3021" s="328" t="s">
        <v>1060</v>
      </c>
      <c r="D3021" s="330">
        <v>9</v>
      </c>
      <c r="E3021" s="331">
        <v>16.5</v>
      </c>
      <c r="F3021" s="331">
        <v>84311.93</v>
      </c>
      <c r="G3021" s="328" t="s">
        <v>1725</v>
      </c>
      <c r="H3021" s="328" t="s">
        <v>1839</v>
      </c>
      <c r="I3021" s="328" t="s">
        <v>110</v>
      </c>
      <c r="J3021" s="328" t="s">
        <v>757</v>
      </c>
      <c r="K3021" s="328" t="s">
        <v>741</v>
      </c>
      <c r="L3021" s="329">
        <v>44286</v>
      </c>
      <c r="M3021" s="332">
        <v>0</v>
      </c>
    </row>
    <row r="3022" spans="1:13" hidden="1" x14ac:dyDescent="0.25">
      <c r="A3022" s="329">
        <v>44286</v>
      </c>
      <c r="B3022" s="328" t="s">
        <v>1726</v>
      </c>
      <c r="C3022" s="328" t="s">
        <v>769</v>
      </c>
      <c r="D3022" s="330">
        <v>10</v>
      </c>
      <c r="E3022" s="331">
        <v>16.5</v>
      </c>
      <c r="F3022" s="331">
        <v>84328.43</v>
      </c>
      <c r="G3022" s="328" t="s">
        <v>1727</v>
      </c>
      <c r="H3022" s="328" t="s">
        <v>1839</v>
      </c>
      <c r="I3022" s="328" t="s">
        <v>110</v>
      </c>
      <c r="J3022" s="328" t="s">
        <v>757</v>
      </c>
      <c r="K3022" s="328" t="s">
        <v>770</v>
      </c>
      <c r="L3022" s="329">
        <v>44286</v>
      </c>
      <c r="M3022" s="332">
        <v>0</v>
      </c>
    </row>
    <row r="3023" spans="1:13" hidden="1" x14ac:dyDescent="0.25">
      <c r="A3023" s="329">
        <v>44286</v>
      </c>
      <c r="B3023" s="328" t="s">
        <v>1724</v>
      </c>
      <c r="C3023" s="328" t="s">
        <v>1060</v>
      </c>
      <c r="D3023" s="330">
        <v>10</v>
      </c>
      <c r="E3023" s="331">
        <v>-16.5</v>
      </c>
      <c r="F3023" s="331">
        <v>84311.93</v>
      </c>
      <c r="G3023" s="328" t="s">
        <v>1725</v>
      </c>
      <c r="H3023" s="328" t="s">
        <v>1839</v>
      </c>
      <c r="I3023" s="328" t="s">
        <v>110</v>
      </c>
      <c r="J3023" s="328" t="s">
        <v>757</v>
      </c>
      <c r="K3023" s="328" t="s">
        <v>741</v>
      </c>
      <c r="L3023" s="329">
        <v>44286</v>
      </c>
      <c r="M3023" s="332">
        <v>0</v>
      </c>
    </row>
    <row r="3024" spans="1:13" hidden="1" x14ac:dyDescent="0.25">
      <c r="A3024" s="329">
        <v>44316</v>
      </c>
      <c r="B3024" s="328" t="s">
        <v>1728</v>
      </c>
      <c r="C3024" s="328" t="s">
        <v>1060</v>
      </c>
      <c r="D3024" s="330">
        <v>10</v>
      </c>
      <c r="E3024" s="331">
        <v>38.5</v>
      </c>
      <c r="F3024" s="331">
        <v>84350.43</v>
      </c>
      <c r="G3024" s="328" t="s">
        <v>1729</v>
      </c>
      <c r="H3024" s="328" t="s">
        <v>1839</v>
      </c>
      <c r="I3024" s="328" t="s">
        <v>110</v>
      </c>
      <c r="J3024" s="328" t="s">
        <v>757</v>
      </c>
      <c r="K3024" s="328" t="s">
        <v>741</v>
      </c>
      <c r="L3024" s="329">
        <v>44316</v>
      </c>
      <c r="M3024" s="332">
        <v>0</v>
      </c>
    </row>
    <row r="3025" spans="1:13" hidden="1" x14ac:dyDescent="0.25">
      <c r="A3025" s="334">
        <v>44012</v>
      </c>
      <c r="B3025" s="333" t="s">
        <v>1119</v>
      </c>
      <c r="C3025" s="333" t="s">
        <v>1059</v>
      </c>
      <c r="D3025" s="335">
        <v>1</v>
      </c>
      <c r="E3025" s="336">
        <v>-13.15</v>
      </c>
      <c r="F3025" s="336">
        <v>-13.15</v>
      </c>
      <c r="G3025" s="333" t="s">
        <v>1840</v>
      </c>
      <c r="H3025" s="333" t="s">
        <v>1841</v>
      </c>
      <c r="I3025" s="333" t="s">
        <v>1842</v>
      </c>
      <c r="J3025" s="333" t="s">
        <v>757</v>
      </c>
      <c r="K3025" s="333" t="s">
        <v>741</v>
      </c>
      <c r="L3025" s="334">
        <v>44012</v>
      </c>
      <c r="M3025" s="337">
        <v>0</v>
      </c>
    </row>
    <row r="3026" spans="1:13" hidden="1" x14ac:dyDescent="0.25">
      <c r="A3026" s="334">
        <v>44043</v>
      </c>
      <c r="B3026" s="333" t="s">
        <v>1121</v>
      </c>
      <c r="C3026" s="333" t="s">
        <v>1060</v>
      </c>
      <c r="D3026" s="335">
        <v>1</v>
      </c>
      <c r="E3026" s="336">
        <v>13.15</v>
      </c>
      <c r="F3026" s="336">
        <v>0</v>
      </c>
      <c r="G3026" s="333" t="s">
        <v>1843</v>
      </c>
      <c r="H3026" s="333" t="s">
        <v>1841</v>
      </c>
      <c r="I3026" s="333" t="s">
        <v>1842</v>
      </c>
      <c r="J3026" s="333" t="s">
        <v>757</v>
      </c>
      <c r="K3026" s="333" t="s">
        <v>741</v>
      </c>
      <c r="L3026" s="334">
        <v>44043</v>
      </c>
      <c r="M3026" s="337">
        <v>0</v>
      </c>
    </row>
    <row r="3027" spans="1:13" hidden="1" x14ac:dyDescent="0.25">
      <c r="A3027" s="334">
        <v>44043</v>
      </c>
      <c r="B3027" s="333" t="s">
        <v>1121</v>
      </c>
      <c r="C3027" s="333" t="s">
        <v>1060</v>
      </c>
      <c r="D3027" s="335">
        <v>2</v>
      </c>
      <c r="E3027" s="336">
        <v>-13.15</v>
      </c>
      <c r="F3027" s="336">
        <v>-13.15</v>
      </c>
      <c r="G3027" s="333" t="s">
        <v>1843</v>
      </c>
      <c r="H3027" s="333" t="s">
        <v>1841</v>
      </c>
      <c r="I3027" s="333" t="s">
        <v>1842</v>
      </c>
      <c r="J3027" s="333" t="s">
        <v>757</v>
      </c>
      <c r="K3027" s="333" t="s">
        <v>741</v>
      </c>
      <c r="L3027" s="334">
        <v>44043</v>
      </c>
      <c r="M3027" s="337">
        <v>0</v>
      </c>
    </row>
    <row r="3028" spans="1:13" hidden="1" x14ac:dyDescent="0.25">
      <c r="A3028" s="334">
        <v>44074</v>
      </c>
      <c r="B3028" s="333" t="s">
        <v>1067</v>
      </c>
      <c r="C3028" s="333" t="s">
        <v>1060</v>
      </c>
      <c r="D3028" s="335">
        <v>2</v>
      </c>
      <c r="E3028" s="336">
        <v>13.15</v>
      </c>
      <c r="F3028" s="336">
        <v>0</v>
      </c>
      <c r="G3028" s="333" t="s">
        <v>1844</v>
      </c>
      <c r="H3028" s="333" t="s">
        <v>1841</v>
      </c>
      <c r="I3028" s="333" t="s">
        <v>1842</v>
      </c>
      <c r="J3028" s="333" t="s">
        <v>757</v>
      </c>
      <c r="K3028" s="333" t="s">
        <v>741</v>
      </c>
      <c r="L3028" s="334">
        <v>44074</v>
      </c>
      <c r="M3028" s="337">
        <v>0</v>
      </c>
    </row>
    <row r="3029" spans="1:13" hidden="1" x14ac:dyDescent="0.25">
      <c r="A3029" s="334">
        <v>44074</v>
      </c>
      <c r="B3029" s="333" t="s">
        <v>1067</v>
      </c>
      <c r="C3029" s="333" t="s">
        <v>1060</v>
      </c>
      <c r="D3029" s="335">
        <v>3</v>
      </c>
      <c r="E3029" s="336">
        <v>-13.15</v>
      </c>
      <c r="F3029" s="336">
        <v>-13.15</v>
      </c>
      <c r="G3029" s="333" t="s">
        <v>1844</v>
      </c>
      <c r="H3029" s="333" t="s">
        <v>1841</v>
      </c>
      <c r="I3029" s="333" t="s">
        <v>1842</v>
      </c>
      <c r="J3029" s="333" t="s">
        <v>757</v>
      </c>
      <c r="K3029" s="333" t="s">
        <v>741</v>
      </c>
      <c r="L3029" s="334">
        <v>44074</v>
      </c>
      <c r="M3029" s="337">
        <v>0</v>
      </c>
    </row>
    <row r="3030" spans="1:13" hidden="1" x14ac:dyDescent="0.25">
      <c r="A3030" s="334">
        <v>44012</v>
      </c>
      <c r="B3030" s="333" t="s">
        <v>1119</v>
      </c>
      <c r="C3030" s="333" t="s">
        <v>1059</v>
      </c>
      <c r="D3030" s="335">
        <v>1</v>
      </c>
      <c r="E3030" s="336">
        <v>-1907.71</v>
      </c>
      <c r="F3030" s="336">
        <v>-1920.86</v>
      </c>
      <c r="G3030" s="333" t="s">
        <v>1840</v>
      </c>
      <c r="H3030" s="333" t="s">
        <v>1845</v>
      </c>
      <c r="I3030" s="333" t="s">
        <v>1842</v>
      </c>
      <c r="J3030" s="333" t="s">
        <v>757</v>
      </c>
      <c r="K3030" s="333" t="s">
        <v>741</v>
      </c>
      <c r="L3030" s="334">
        <v>44012</v>
      </c>
      <c r="M3030" s="337">
        <v>0</v>
      </c>
    </row>
    <row r="3031" spans="1:13" hidden="1" x14ac:dyDescent="0.25">
      <c r="A3031" s="334">
        <v>44043</v>
      </c>
      <c r="B3031" s="333" t="s">
        <v>1121</v>
      </c>
      <c r="C3031" s="333" t="s">
        <v>1060</v>
      </c>
      <c r="D3031" s="335">
        <v>1</v>
      </c>
      <c r="E3031" s="336">
        <v>1907.71</v>
      </c>
      <c r="F3031" s="336">
        <v>-13.1500000000001</v>
      </c>
      <c r="G3031" s="333" t="s">
        <v>1843</v>
      </c>
      <c r="H3031" s="333" t="s">
        <v>1845</v>
      </c>
      <c r="I3031" s="333" t="s">
        <v>1842</v>
      </c>
      <c r="J3031" s="333" t="s">
        <v>757</v>
      </c>
      <c r="K3031" s="333" t="s">
        <v>741</v>
      </c>
      <c r="L3031" s="334">
        <v>44043</v>
      </c>
      <c r="M3031" s="337">
        <v>0</v>
      </c>
    </row>
    <row r="3032" spans="1:13" hidden="1" x14ac:dyDescent="0.25">
      <c r="A3032" s="334">
        <v>44043</v>
      </c>
      <c r="B3032" s="333" t="s">
        <v>1121</v>
      </c>
      <c r="C3032" s="333" t="s">
        <v>1060</v>
      </c>
      <c r="D3032" s="335">
        <v>2</v>
      </c>
      <c r="E3032" s="336">
        <v>-1907.71</v>
      </c>
      <c r="F3032" s="336">
        <v>-1920.86</v>
      </c>
      <c r="G3032" s="333" t="s">
        <v>1843</v>
      </c>
      <c r="H3032" s="333" t="s">
        <v>1845</v>
      </c>
      <c r="I3032" s="333" t="s">
        <v>1842</v>
      </c>
      <c r="J3032" s="333" t="s">
        <v>757</v>
      </c>
      <c r="K3032" s="333" t="s">
        <v>741</v>
      </c>
      <c r="L3032" s="334">
        <v>44043</v>
      </c>
      <c r="M3032" s="337">
        <v>0</v>
      </c>
    </row>
    <row r="3033" spans="1:13" hidden="1" x14ac:dyDescent="0.25">
      <c r="A3033" s="334">
        <v>44074</v>
      </c>
      <c r="B3033" s="333" t="s">
        <v>1067</v>
      </c>
      <c r="C3033" s="333" t="s">
        <v>1060</v>
      </c>
      <c r="D3033" s="335">
        <v>2</v>
      </c>
      <c r="E3033" s="336">
        <v>1907.71</v>
      </c>
      <c r="F3033" s="336">
        <v>-13.1500000000001</v>
      </c>
      <c r="G3033" s="333" t="s">
        <v>1844</v>
      </c>
      <c r="H3033" s="333" t="s">
        <v>1845</v>
      </c>
      <c r="I3033" s="333" t="s">
        <v>1842</v>
      </c>
      <c r="J3033" s="333" t="s">
        <v>757</v>
      </c>
      <c r="K3033" s="333" t="s">
        <v>741</v>
      </c>
      <c r="L3033" s="334">
        <v>44074</v>
      </c>
      <c r="M3033" s="337">
        <v>0</v>
      </c>
    </row>
    <row r="3034" spans="1:13" hidden="1" x14ac:dyDescent="0.25">
      <c r="A3034" s="334">
        <v>44074</v>
      </c>
      <c r="B3034" s="333" t="s">
        <v>1067</v>
      </c>
      <c r="C3034" s="333" t="s">
        <v>1060</v>
      </c>
      <c r="D3034" s="335">
        <v>3</v>
      </c>
      <c r="E3034" s="336">
        <v>-1907.71</v>
      </c>
      <c r="F3034" s="336">
        <v>-1920.86</v>
      </c>
      <c r="G3034" s="333" t="s">
        <v>1844</v>
      </c>
      <c r="H3034" s="333" t="s">
        <v>1845</v>
      </c>
      <c r="I3034" s="333" t="s">
        <v>1842</v>
      </c>
      <c r="J3034" s="333" t="s">
        <v>757</v>
      </c>
      <c r="K3034" s="333" t="s">
        <v>741</v>
      </c>
      <c r="L3034" s="334">
        <v>44074</v>
      </c>
      <c r="M3034" s="337">
        <v>0</v>
      </c>
    </row>
    <row r="3035" spans="1:13" hidden="1" x14ac:dyDescent="0.25">
      <c r="A3035" s="334">
        <v>44104</v>
      </c>
      <c r="B3035" s="333" t="s">
        <v>1071</v>
      </c>
      <c r="C3035" s="333" t="s">
        <v>1060</v>
      </c>
      <c r="D3035" s="335">
        <v>3</v>
      </c>
      <c r="E3035" s="336">
        <v>1811.1</v>
      </c>
      <c r="F3035" s="336">
        <v>-109.76</v>
      </c>
      <c r="G3035" s="333" t="s">
        <v>1846</v>
      </c>
      <c r="H3035" s="333" t="s">
        <v>1845</v>
      </c>
      <c r="I3035" s="333" t="s">
        <v>1842</v>
      </c>
      <c r="J3035" s="333" t="s">
        <v>757</v>
      </c>
      <c r="K3035" s="333" t="s">
        <v>741</v>
      </c>
      <c r="L3035" s="334">
        <v>44104</v>
      </c>
      <c r="M3035" s="337">
        <v>0</v>
      </c>
    </row>
    <row r="3036" spans="1:13" hidden="1" x14ac:dyDescent="0.25">
      <c r="A3036" s="334">
        <v>44104</v>
      </c>
      <c r="B3036" s="333" t="s">
        <v>1847</v>
      </c>
      <c r="C3036" s="333" t="s">
        <v>769</v>
      </c>
      <c r="D3036" s="335">
        <v>4</v>
      </c>
      <c r="E3036" s="336">
        <v>1312.79</v>
      </c>
      <c r="F3036" s="336">
        <v>1203.03</v>
      </c>
      <c r="G3036" s="333" t="s">
        <v>1848</v>
      </c>
      <c r="H3036" s="333" t="s">
        <v>1845</v>
      </c>
      <c r="I3036" s="333" t="s">
        <v>1842</v>
      </c>
      <c r="J3036" s="333" t="s">
        <v>757</v>
      </c>
      <c r="K3036" s="333" t="s">
        <v>770</v>
      </c>
      <c r="L3036" s="334">
        <v>44104</v>
      </c>
      <c r="M3036" s="337">
        <v>0</v>
      </c>
    </row>
    <row r="3037" spans="1:13" hidden="1" x14ac:dyDescent="0.25">
      <c r="A3037" s="334">
        <v>44104</v>
      </c>
      <c r="B3037" s="333" t="s">
        <v>1849</v>
      </c>
      <c r="C3037" s="333" t="s">
        <v>769</v>
      </c>
      <c r="D3037" s="335">
        <v>4</v>
      </c>
      <c r="E3037" s="336">
        <v>498.31</v>
      </c>
      <c r="F3037" s="336">
        <v>1701.34</v>
      </c>
      <c r="G3037" s="333" t="s">
        <v>1850</v>
      </c>
      <c r="H3037" s="333" t="s">
        <v>1845</v>
      </c>
      <c r="I3037" s="333" t="s">
        <v>1842</v>
      </c>
      <c r="J3037" s="333" t="s">
        <v>757</v>
      </c>
      <c r="K3037" s="333" t="s">
        <v>770</v>
      </c>
      <c r="L3037" s="334">
        <v>44104</v>
      </c>
      <c r="M3037" s="337">
        <v>0</v>
      </c>
    </row>
    <row r="3038" spans="1:13" hidden="1" x14ac:dyDescent="0.25">
      <c r="A3038" s="334">
        <v>44104</v>
      </c>
      <c r="B3038" s="333" t="s">
        <v>1071</v>
      </c>
      <c r="C3038" s="333" t="s">
        <v>1060</v>
      </c>
      <c r="D3038" s="335">
        <v>4</v>
      </c>
      <c r="E3038" s="336">
        <v>-1811.1</v>
      </c>
      <c r="F3038" s="336">
        <v>-109.76</v>
      </c>
      <c r="G3038" s="333" t="s">
        <v>1846</v>
      </c>
      <c r="H3038" s="333" t="s">
        <v>1845</v>
      </c>
      <c r="I3038" s="333" t="s">
        <v>1842</v>
      </c>
      <c r="J3038" s="333" t="s">
        <v>757</v>
      </c>
      <c r="K3038" s="333" t="s">
        <v>741</v>
      </c>
      <c r="L3038" s="334">
        <v>44104</v>
      </c>
      <c r="M3038" s="337">
        <v>0</v>
      </c>
    </row>
    <row r="3039" spans="1:13" hidden="1" x14ac:dyDescent="0.25">
      <c r="A3039" s="334">
        <v>44012</v>
      </c>
      <c r="B3039" s="333" t="s">
        <v>1119</v>
      </c>
      <c r="C3039" s="333" t="s">
        <v>1059</v>
      </c>
      <c r="D3039" s="335">
        <v>1</v>
      </c>
      <c r="E3039" s="336">
        <v>-5519.38</v>
      </c>
      <c r="F3039" s="336">
        <v>-5629.14</v>
      </c>
      <c r="G3039" s="333" t="s">
        <v>1840</v>
      </c>
      <c r="H3039" s="333" t="s">
        <v>1851</v>
      </c>
      <c r="I3039" s="333" t="s">
        <v>1842</v>
      </c>
      <c r="J3039" s="333" t="s">
        <v>757</v>
      </c>
      <c r="K3039" s="333" t="s">
        <v>741</v>
      </c>
      <c r="L3039" s="334">
        <v>44012</v>
      </c>
      <c r="M3039" s="337">
        <v>0</v>
      </c>
    </row>
    <row r="3040" spans="1:13" hidden="1" x14ac:dyDescent="0.25">
      <c r="A3040" s="334">
        <v>44043</v>
      </c>
      <c r="B3040" s="333" t="s">
        <v>1121</v>
      </c>
      <c r="C3040" s="333" t="s">
        <v>1060</v>
      </c>
      <c r="D3040" s="335">
        <v>1</v>
      </c>
      <c r="E3040" s="336">
        <v>5519.38</v>
      </c>
      <c r="F3040" s="336">
        <v>-109.76</v>
      </c>
      <c r="G3040" s="333" t="s">
        <v>1843</v>
      </c>
      <c r="H3040" s="333" t="s">
        <v>1851</v>
      </c>
      <c r="I3040" s="333" t="s">
        <v>1842</v>
      </c>
      <c r="J3040" s="333" t="s">
        <v>757</v>
      </c>
      <c r="K3040" s="333" t="s">
        <v>741</v>
      </c>
      <c r="L3040" s="334">
        <v>44043</v>
      </c>
      <c r="M3040" s="337">
        <v>0</v>
      </c>
    </row>
    <row r="3041" spans="1:13" hidden="1" x14ac:dyDescent="0.25">
      <c r="A3041" s="334">
        <v>44043</v>
      </c>
      <c r="B3041" s="333" t="s">
        <v>1121</v>
      </c>
      <c r="C3041" s="333" t="s">
        <v>1060</v>
      </c>
      <c r="D3041" s="335">
        <v>2</v>
      </c>
      <c r="E3041" s="336">
        <v>-5519.38</v>
      </c>
      <c r="F3041" s="336">
        <v>-5629.14</v>
      </c>
      <c r="G3041" s="333" t="s">
        <v>1843</v>
      </c>
      <c r="H3041" s="333" t="s">
        <v>1851</v>
      </c>
      <c r="I3041" s="333" t="s">
        <v>1842</v>
      </c>
      <c r="J3041" s="333" t="s">
        <v>757</v>
      </c>
      <c r="K3041" s="333" t="s">
        <v>741</v>
      </c>
      <c r="L3041" s="334">
        <v>44043</v>
      </c>
      <c r="M3041" s="337">
        <v>0</v>
      </c>
    </row>
    <row r="3042" spans="1:13" hidden="1" x14ac:dyDescent="0.25">
      <c r="A3042" s="334">
        <v>44074</v>
      </c>
      <c r="B3042" s="333" t="s">
        <v>1067</v>
      </c>
      <c r="C3042" s="333" t="s">
        <v>1060</v>
      </c>
      <c r="D3042" s="335">
        <v>2</v>
      </c>
      <c r="E3042" s="336">
        <v>5519.38</v>
      </c>
      <c r="F3042" s="336">
        <v>-109.76</v>
      </c>
      <c r="G3042" s="333" t="s">
        <v>1844</v>
      </c>
      <c r="H3042" s="333" t="s">
        <v>1851</v>
      </c>
      <c r="I3042" s="333" t="s">
        <v>1842</v>
      </c>
      <c r="J3042" s="333" t="s">
        <v>757</v>
      </c>
      <c r="K3042" s="333" t="s">
        <v>741</v>
      </c>
      <c r="L3042" s="334">
        <v>44074</v>
      </c>
      <c r="M3042" s="337">
        <v>0</v>
      </c>
    </row>
    <row r="3043" spans="1:13" hidden="1" x14ac:dyDescent="0.25">
      <c r="A3043" s="334">
        <v>44074</v>
      </c>
      <c r="B3043" s="333" t="s">
        <v>1067</v>
      </c>
      <c r="C3043" s="333" t="s">
        <v>1060</v>
      </c>
      <c r="D3043" s="335">
        <v>3</v>
      </c>
      <c r="E3043" s="336">
        <v>-5519.38</v>
      </c>
      <c r="F3043" s="336">
        <v>-5629.14</v>
      </c>
      <c r="G3043" s="333" t="s">
        <v>1844</v>
      </c>
      <c r="H3043" s="333" t="s">
        <v>1851</v>
      </c>
      <c r="I3043" s="333" t="s">
        <v>1842</v>
      </c>
      <c r="J3043" s="333" t="s">
        <v>757</v>
      </c>
      <c r="K3043" s="333" t="s">
        <v>741</v>
      </c>
      <c r="L3043" s="334">
        <v>44074</v>
      </c>
      <c r="M3043" s="337">
        <v>0</v>
      </c>
    </row>
    <row r="3044" spans="1:13" hidden="1" x14ac:dyDescent="0.25">
      <c r="A3044" s="334">
        <v>44104</v>
      </c>
      <c r="B3044" s="333" t="s">
        <v>1071</v>
      </c>
      <c r="C3044" s="333" t="s">
        <v>1060</v>
      </c>
      <c r="D3044" s="335">
        <v>3</v>
      </c>
      <c r="E3044" s="336">
        <v>3184.16</v>
      </c>
      <c r="F3044" s="336">
        <v>-2444.98</v>
      </c>
      <c r="G3044" s="333" t="s">
        <v>1846</v>
      </c>
      <c r="H3044" s="333" t="s">
        <v>1851</v>
      </c>
      <c r="I3044" s="333" t="s">
        <v>1842</v>
      </c>
      <c r="J3044" s="333" t="s">
        <v>757</v>
      </c>
      <c r="K3044" s="333" t="s">
        <v>741</v>
      </c>
      <c r="L3044" s="334">
        <v>44104</v>
      </c>
      <c r="M3044" s="337">
        <v>0</v>
      </c>
    </row>
    <row r="3045" spans="1:13" hidden="1" x14ac:dyDescent="0.25">
      <c r="A3045" s="334">
        <v>44104</v>
      </c>
      <c r="B3045" s="333" t="s">
        <v>1847</v>
      </c>
      <c r="C3045" s="333" t="s">
        <v>769</v>
      </c>
      <c r="D3045" s="335">
        <v>4</v>
      </c>
      <c r="E3045" s="336">
        <v>2062.96</v>
      </c>
      <c r="F3045" s="336">
        <v>-382.02</v>
      </c>
      <c r="G3045" s="333" t="s">
        <v>1848</v>
      </c>
      <c r="H3045" s="333" t="s">
        <v>1851</v>
      </c>
      <c r="I3045" s="333" t="s">
        <v>1842</v>
      </c>
      <c r="J3045" s="333" t="s">
        <v>757</v>
      </c>
      <c r="K3045" s="333" t="s">
        <v>770</v>
      </c>
      <c r="L3045" s="334">
        <v>44104</v>
      </c>
      <c r="M3045" s="337">
        <v>0</v>
      </c>
    </row>
    <row r="3046" spans="1:13" hidden="1" x14ac:dyDescent="0.25">
      <c r="A3046" s="334">
        <v>44104</v>
      </c>
      <c r="B3046" s="333" t="s">
        <v>1849</v>
      </c>
      <c r="C3046" s="333" t="s">
        <v>769</v>
      </c>
      <c r="D3046" s="335">
        <v>4</v>
      </c>
      <c r="E3046" s="336">
        <v>1121.2</v>
      </c>
      <c r="F3046" s="336">
        <v>739.18</v>
      </c>
      <c r="G3046" s="333" t="s">
        <v>1850</v>
      </c>
      <c r="H3046" s="333" t="s">
        <v>1851</v>
      </c>
      <c r="I3046" s="333" t="s">
        <v>1842</v>
      </c>
      <c r="J3046" s="333" t="s">
        <v>757</v>
      </c>
      <c r="K3046" s="333" t="s">
        <v>770</v>
      </c>
      <c r="L3046" s="334">
        <v>44104</v>
      </c>
      <c r="M3046" s="337">
        <v>0</v>
      </c>
    </row>
    <row r="3047" spans="1:13" hidden="1" x14ac:dyDescent="0.25">
      <c r="A3047" s="334">
        <v>44104</v>
      </c>
      <c r="B3047" s="333" t="s">
        <v>1071</v>
      </c>
      <c r="C3047" s="333" t="s">
        <v>1060</v>
      </c>
      <c r="D3047" s="335">
        <v>4</v>
      </c>
      <c r="E3047" s="336">
        <v>-3184.16</v>
      </c>
      <c r="F3047" s="336">
        <v>-2444.98</v>
      </c>
      <c r="G3047" s="333" t="s">
        <v>1846</v>
      </c>
      <c r="H3047" s="333" t="s">
        <v>1851</v>
      </c>
      <c r="I3047" s="333" t="s">
        <v>1842</v>
      </c>
      <c r="J3047" s="333" t="s">
        <v>757</v>
      </c>
      <c r="K3047" s="333" t="s">
        <v>741</v>
      </c>
      <c r="L3047" s="334">
        <v>44104</v>
      </c>
      <c r="M3047" s="337">
        <v>0</v>
      </c>
    </row>
    <row r="3048" spans="1:13" hidden="1" x14ac:dyDescent="0.25">
      <c r="A3048" s="334">
        <v>44012</v>
      </c>
      <c r="B3048" s="333" t="s">
        <v>1119</v>
      </c>
      <c r="C3048" s="333" t="s">
        <v>1059</v>
      </c>
      <c r="D3048" s="335">
        <v>1</v>
      </c>
      <c r="E3048" s="336">
        <v>-5346.95</v>
      </c>
      <c r="F3048" s="336">
        <v>-7791.93</v>
      </c>
      <c r="G3048" s="333" t="s">
        <v>1840</v>
      </c>
      <c r="H3048" s="333" t="s">
        <v>1852</v>
      </c>
      <c r="I3048" s="333" t="s">
        <v>1842</v>
      </c>
      <c r="J3048" s="333" t="s">
        <v>757</v>
      </c>
      <c r="K3048" s="333" t="s">
        <v>741</v>
      </c>
      <c r="L3048" s="334">
        <v>44012</v>
      </c>
      <c r="M3048" s="337">
        <v>0</v>
      </c>
    </row>
    <row r="3049" spans="1:13" hidden="1" x14ac:dyDescent="0.25">
      <c r="A3049" s="334">
        <v>44043</v>
      </c>
      <c r="B3049" s="333" t="s">
        <v>1121</v>
      </c>
      <c r="C3049" s="333" t="s">
        <v>1060</v>
      </c>
      <c r="D3049" s="335">
        <v>1</v>
      </c>
      <c r="E3049" s="336">
        <v>5346.95</v>
      </c>
      <c r="F3049" s="336">
        <v>-2444.98</v>
      </c>
      <c r="G3049" s="333" t="s">
        <v>1843</v>
      </c>
      <c r="H3049" s="333" t="s">
        <v>1852</v>
      </c>
      <c r="I3049" s="333" t="s">
        <v>1842</v>
      </c>
      <c r="J3049" s="333" t="s">
        <v>757</v>
      </c>
      <c r="K3049" s="333" t="s">
        <v>741</v>
      </c>
      <c r="L3049" s="334">
        <v>44043</v>
      </c>
      <c r="M3049" s="337">
        <v>0</v>
      </c>
    </row>
    <row r="3050" spans="1:13" hidden="1" x14ac:dyDescent="0.25">
      <c r="A3050" s="334">
        <v>44043</v>
      </c>
      <c r="B3050" s="333" t="s">
        <v>1121</v>
      </c>
      <c r="C3050" s="333" t="s">
        <v>1060</v>
      </c>
      <c r="D3050" s="335">
        <v>2</v>
      </c>
      <c r="E3050" s="336">
        <v>-5346.95</v>
      </c>
      <c r="F3050" s="336">
        <v>-7791.93</v>
      </c>
      <c r="G3050" s="333" t="s">
        <v>1843</v>
      </c>
      <c r="H3050" s="333" t="s">
        <v>1852</v>
      </c>
      <c r="I3050" s="333" t="s">
        <v>1842</v>
      </c>
      <c r="J3050" s="333" t="s">
        <v>757</v>
      </c>
      <c r="K3050" s="333" t="s">
        <v>741</v>
      </c>
      <c r="L3050" s="334">
        <v>44043</v>
      </c>
      <c r="M3050" s="337">
        <v>0</v>
      </c>
    </row>
    <row r="3051" spans="1:13" hidden="1" x14ac:dyDescent="0.25">
      <c r="A3051" s="334">
        <v>44074</v>
      </c>
      <c r="B3051" s="333" t="s">
        <v>1067</v>
      </c>
      <c r="C3051" s="333" t="s">
        <v>1060</v>
      </c>
      <c r="D3051" s="335">
        <v>2</v>
      </c>
      <c r="E3051" s="336">
        <v>5346.95</v>
      </c>
      <c r="F3051" s="336">
        <v>-2444.98</v>
      </c>
      <c r="G3051" s="333" t="s">
        <v>1844</v>
      </c>
      <c r="H3051" s="333" t="s">
        <v>1852</v>
      </c>
      <c r="I3051" s="333" t="s">
        <v>1842</v>
      </c>
      <c r="J3051" s="333" t="s">
        <v>757</v>
      </c>
      <c r="K3051" s="333" t="s">
        <v>741</v>
      </c>
      <c r="L3051" s="334">
        <v>44074</v>
      </c>
      <c r="M3051" s="337">
        <v>0</v>
      </c>
    </row>
    <row r="3052" spans="1:13" hidden="1" x14ac:dyDescent="0.25">
      <c r="A3052" s="334">
        <v>44074</v>
      </c>
      <c r="B3052" s="333" t="s">
        <v>1067</v>
      </c>
      <c r="C3052" s="333" t="s">
        <v>1060</v>
      </c>
      <c r="D3052" s="335">
        <v>3</v>
      </c>
      <c r="E3052" s="336">
        <v>-5346.95</v>
      </c>
      <c r="F3052" s="336">
        <v>-7791.93</v>
      </c>
      <c r="G3052" s="333" t="s">
        <v>1844</v>
      </c>
      <c r="H3052" s="333" t="s">
        <v>1852</v>
      </c>
      <c r="I3052" s="333" t="s">
        <v>1842</v>
      </c>
      <c r="J3052" s="333" t="s">
        <v>757</v>
      </c>
      <c r="K3052" s="333" t="s">
        <v>741</v>
      </c>
      <c r="L3052" s="334">
        <v>44074</v>
      </c>
      <c r="M3052" s="337">
        <v>0</v>
      </c>
    </row>
    <row r="3053" spans="1:13" hidden="1" x14ac:dyDescent="0.25">
      <c r="A3053" s="334">
        <v>44104</v>
      </c>
      <c r="B3053" s="333" t="s">
        <v>1071</v>
      </c>
      <c r="C3053" s="333" t="s">
        <v>1060</v>
      </c>
      <c r="D3053" s="335">
        <v>3</v>
      </c>
      <c r="E3053" s="336">
        <v>2940.42</v>
      </c>
      <c r="F3053" s="336">
        <v>-4851.51</v>
      </c>
      <c r="G3053" s="333" t="s">
        <v>1846</v>
      </c>
      <c r="H3053" s="333" t="s">
        <v>1852</v>
      </c>
      <c r="I3053" s="333" t="s">
        <v>1842</v>
      </c>
      <c r="J3053" s="333" t="s">
        <v>757</v>
      </c>
      <c r="K3053" s="333" t="s">
        <v>741</v>
      </c>
      <c r="L3053" s="334">
        <v>44104</v>
      </c>
      <c r="M3053" s="337">
        <v>0</v>
      </c>
    </row>
    <row r="3054" spans="1:13" hidden="1" x14ac:dyDescent="0.25">
      <c r="A3054" s="334">
        <v>44104</v>
      </c>
      <c r="B3054" s="333" t="s">
        <v>1847</v>
      </c>
      <c r="C3054" s="333" t="s">
        <v>769</v>
      </c>
      <c r="D3054" s="335">
        <v>4</v>
      </c>
      <c r="E3054" s="336">
        <v>2062.96</v>
      </c>
      <c r="F3054" s="336">
        <v>-2788.55</v>
      </c>
      <c r="G3054" s="333" t="s">
        <v>1848</v>
      </c>
      <c r="H3054" s="333" t="s">
        <v>1852</v>
      </c>
      <c r="I3054" s="333" t="s">
        <v>1842</v>
      </c>
      <c r="J3054" s="333" t="s">
        <v>757</v>
      </c>
      <c r="K3054" s="333" t="s">
        <v>770</v>
      </c>
      <c r="L3054" s="334">
        <v>44104</v>
      </c>
      <c r="M3054" s="337">
        <v>0</v>
      </c>
    </row>
    <row r="3055" spans="1:13" hidden="1" x14ac:dyDescent="0.25">
      <c r="A3055" s="334">
        <v>44104</v>
      </c>
      <c r="B3055" s="333" t="s">
        <v>1849</v>
      </c>
      <c r="C3055" s="333" t="s">
        <v>769</v>
      </c>
      <c r="D3055" s="335">
        <v>4</v>
      </c>
      <c r="E3055" s="336">
        <v>877.46</v>
      </c>
      <c r="F3055" s="336">
        <v>-1911.09</v>
      </c>
      <c r="G3055" s="333" t="s">
        <v>1850</v>
      </c>
      <c r="H3055" s="333" t="s">
        <v>1852</v>
      </c>
      <c r="I3055" s="333" t="s">
        <v>1842</v>
      </c>
      <c r="J3055" s="333" t="s">
        <v>757</v>
      </c>
      <c r="K3055" s="333" t="s">
        <v>770</v>
      </c>
      <c r="L3055" s="334">
        <v>44104</v>
      </c>
      <c r="M3055" s="337">
        <v>0</v>
      </c>
    </row>
    <row r="3056" spans="1:13" hidden="1" x14ac:dyDescent="0.25">
      <c r="A3056" s="334">
        <v>44104</v>
      </c>
      <c r="B3056" s="333" t="s">
        <v>1071</v>
      </c>
      <c r="C3056" s="333" t="s">
        <v>1060</v>
      </c>
      <c r="D3056" s="335">
        <v>4</v>
      </c>
      <c r="E3056" s="336">
        <v>-2940.42</v>
      </c>
      <c r="F3056" s="336">
        <v>-4851.51</v>
      </c>
      <c r="G3056" s="333" t="s">
        <v>1846</v>
      </c>
      <c r="H3056" s="333" t="s">
        <v>1852</v>
      </c>
      <c r="I3056" s="333" t="s">
        <v>1842</v>
      </c>
      <c r="J3056" s="333" t="s">
        <v>757</v>
      </c>
      <c r="K3056" s="333" t="s">
        <v>741</v>
      </c>
      <c r="L3056" s="334">
        <v>44104</v>
      </c>
      <c r="M3056" s="337">
        <v>0</v>
      </c>
    </row>
    <row r="3057" spans="1:13" hidden="1" x14ac:dyDescent="0.25">
      <c r="A3057" s="334">
        <v>44012</v>
      </c>
      <c r="B3057" s="333" t="s">
        <v>1119</v>
      </c>
      <c r="C3057" s="333" t="s">
        <v>1059</v>
      </c>
      <c r="D3057" s="335">
        <v>1</v>
      </c>
      <c r="E3057" s="336">
        <v>-283.08999999999997</v>
      </c>
      <c r="F3057" s="336">
        <v>-5134.6000000000004</v>
      </c>
      <c r="G3057" s="333" t="s">
        <v>1840</v>
      </c>
      <c r="H3057" s="333" t="s">
        <v>1853</v>
      </c>
      <c r="I3057" s="333" t="s">
        <v>1842</v>
      </c>
      <c r="J3057" s="333" t="s">
        <v>757</v>
      </c>
      <c r="K3057" s="333" t="s">
        <v>741</v>
      </c>
      <c r="L3057" s="334">
        <v>44012</v>
      </c>
      <c r="M3057" s="337">
        <v>0</v>
      </c>
    </row>
    <row r="3058" spans="1:13" hidden="1" x14ac:dyDescent="0.25">
      <c r="A3058" s="334">
        <v>44043</v>
      </c>
      <c r="B3058" s="333" t="s">
        <v>1121</v>
      </c>
      <c r="C3058" s="333" t="s">
        <v>1060</v>
      </c>
      <c r="D3058" s="335">
        <v>1</v>
      </c>
      <c r="E3058" s="336">
        <v>283.08999999999997</v>
      </c>
      <c r="F3058" s="336">
        <v>-4851.51</v>
      </c>
      <c r="G3058" s="333" t="s">
        <v>1843</v>
      </c>
      <c r="H3058" s="333" t="s">
        <v>1853</v>
      </c>
      <c r="I3058" s="333" t="s">
        <v>1842</v>
      </c>
      <c r="J3058" s="333" t="s">
        <v>757</v>
      </c>
      <c r="K3058" s="333" t="s">
        <v>741</v>
      </c>
      <c r="L3058" s="334">
        <v>44043</v>
      </c>
      <c r="M3058" s="337">
        <v>0</v>
      </c>
    </row>
    <row r="3059" spans="1:13" hidden="1" x14ac:dyDescent="0.25">
      <c r="A3059" s="334">
        <v>44043</v>
      </c>
      <c r="B3059" s="333" t="s">
        <v>1121</v>
      </c>
      <c r="C3059" s="333" t="s">
        <v>1060</v>
      </c>
      <c r="D3059" s="335">
        <v>2</v>
      </c>
      <c r="E3059" s="336">
        <v>-283.08999999999997</v>
      </c>
      <c r="F3059" s="336">
        <v>-5134.6000000000004</v>
      </c>
      <c r="G3059" s="333" t="s">
        <v>1843</v>
      </c>
      <c r="H3059" s="333" t="s">
        <v>1853</v>
      </c>
      <c r="I3059" s="333" t="s">
        <v>1842</v>
      </c>
      <c r="J3059" s="333" t="s">
        <v>757</v>
      </c>
      <c r="K3059" s="333" t="s">
        <v>741</v>
      </c>
      <c r="L3059" s="334">
        <v>44043</v>
      </c>
      <c r="M3059" s="337">
        <v>0</v>
      </c>
    </row>
    <row r="3060" spans="1:13" hidden="1" x14ac:dyDescent="0.25">
      <c r="A3060" s="334">
        <v>44074</v>
      </c>
      <c r="B3060" s="333" t="s">
        <v>1067</v>
      </c>
      <c r="C3060" s="333" t="s">
        <v>1060</v>
      </c>
      <c r="D3060" s="335">
        <v>2</v>
      </c>
      <c r="E3060" s="336">
        <v>283.08999999999997</v>
      </c>
      <c r="F3060" s="336">
        <v>-4851.51</v>
      </c>
      <c r="G3060" s="333" t="s">
        <v>1844</v>
      </c>
      <c r="H3060" s="333" t="s">
        <v>1853</v>
      </c>
      <c r="I3060" s="333" t="s">
        <v>1842</v>
      </c>
      <c r="J3060" s="333" t="s">
        <v>757</v>
      </c>
      <c r="K3060" s="333" t="s">
        <v>741</v>
      </c>
      <c r="L3060" s="334">
        <v>44074</v>
      </c>
      <c r="M3060" s="337">
        <v>0</v>
      </c>
    </row>
    <row r="3061" spans="1:13" hidden="1" x14ac:dyDescent="0.25">
      <c r="A3061" s="334">
        <v>44074</v>
      </c>
      <c r="B3061" s="333" t="s">
        <v>1067</v>
      </c>
      <c r="C3061" s="333" t="s">
        <v>1060</v>
      </c>
      <c r="D3061" s="335">
        <v>3</v>
      </c>
      <c r="E3061" s="336">
        <v>-283.08999999999997</v>
      </c>
      <c r="F3061" s="336">
        <v>-5134.6000000000004</v>
      </c>
      <c r="G3061" s="333" t="s">
        <v>1844</v>
      </c>
      <c r="H3061" s="333" t="s">
        <v>1853</v>
      </c>
      <c r="I3061" s="333" t="s">
        <v>1842</v>
      </c>
      <c r="J3061" s="333" t="s">
        <v>757</v>
      </c>
      <c r="K3061" s="333" t="s">
        <v>741</v>
      </c>
      <c r="L3061" s="334">
        <v>44074</v>
      </c>
      <c r="M3061" s="337">
        <v>0</v>
      </c>
    </row>
    <row r="3062" spans="1:13" hidden="1" x14ac:dyDescent="0.25">
      <c r="A3062" s="334">
        <v>44104</v>
      </c>
      <c r="B3062" s="333" t="s">
        <v>1071</v>
      </c>
      <c r="C3062" s="333" t="s">
        <v>1060</v>
      </c>
      <c r="D3062" s="335">
        <v>3</v>
      </c>
      <c r="E3062" s="336">
        <v>65</v>
      </c>
      <c r="F3062" s="336">
        <v>-5069.6000000000004</v>
      </c>
      <c r="G3062" s="333" t="s">
        <v>1846</v>
      </c>
      <c r="H3062" s="333" t="s">
        <v>1853</v>
      </c>
      <c r="I3062" s="333" t="s">
        <v>1842</v>
      </c>
      <c r="J3062" s="333" t="s">
        <v>757</v>
      </c>
      <c r="K3062" s="333" t="s">
        <v>741</v>
      </c>
      <c r="L3062" s="334">
        <v>44104</v>
      </c>
      <c r="M3062" s="337">
        <v>0</v>
      </c>
    </row>
    <row r="3063" spans="1:13" hidden="1" x14ac:dyDescent="0.25">
      <c r="A3063" s="334">
        <v>44104</v>
      </c>
      <c r="B3063" s="333" t="s">
        <v>1849</v>
      </c>
      <c r="C3063" s="333" t="s">
        <v>769</v>
      </c>
      <c r="D3063" s="335">
        <v>4</v>
      </c>
      <c r="E3063" s="336">
        <v>65</v>
      </c>
      <c r="F3063" s="336">
        <v>-5004.6000000000004</v>
      </c>
      <c r="G3063" s="333" t="s">
        <v>1850</v>
      </c>
      <c r="H3063" s="333" t="s">
        <v>1853</v>
      </c>
      <c r="I3063" s="333" t="s">
        <v>1842</v>
      </c>
      <c r="J3063" s="333" t="s">
        <v>757</v>
      </c>
      <c r="K3063" s="333" t="s">
        <v>770</v>
      </c>
      <c r="L3063" s="334">
        <v>44104</v>
      </c>
      <c r="M3063" s="337">
        <v>0</v>
      </c>
    </row>
    <row r="3064" spans="1:13" hidden="1" x14ac:dyDescent="0.25">
      <c r="A3064" s="334">
        <v>44104</v>
      </c>
      <c r="B3064" s="333" t="s">
        <v>1071</v>
      </c>
      <c r="C3064" s="333" t="s">
        <v>1060</v>
      </c>
      <c r="D3064" s="335">
        <v>4</v>
      </c>
      <c r="E3064" s="336">
        <v>-65</v>
      </c>
      <c r="F3064" s="336">
        <v>-5069.6000000000004</v>
      </c>
      <c r="G3064" s="333" t="s">
        <v>1846</v>
      </c>
      <c r="H3064" s="333" t="s">
        <v>1853</v>
      </c>
      <c r="I3064" s="333" t="s">
        <v>1842</v>
      </c>
      <c r="J3064" s="333" t="s">
        <v>757</v>
      </c>
      <c r="K3064" s="333" t="s">
        <v>741</v>
      </c>
      <c r="L3064" s="334">
        <v>44104</v>
      </c>
      <c r="M3064" s="337">
        <v>0</v>
      </c>
    </row>
    <row r="3065" spans="1:13" hidden="1" x14ac:dyDescent="0.25">
      <c r="A3065" s="334">
        <v>44012</v>
      </c>
      <c r="B3065" s="333" t="s">
        <v>1119</v>
      </c>
      <c r="C3065" s="333" t="s">
        <v>1059</v>
      </c>
      <c r="D3065" s="335">
        <v>1</v>
      </c>
      <c r="E3065" s="336">
        <v>-26.15</v>
      </c>
      <c r="F3065" s="336">
        <v>-5095.75</v>
      </c>
      <c r="G3065" s="333" t="s">
        <v>1840</v>
      </c>
      <c r="H3065" s="333" t="s">
        <v>1854</v>
      </c>
      <c r="I3065" s="333" t="s">
        <v>1842</v>
      </c>
      <c r="J3065" s="333" t="s">
        <v>757</v>
      </c>
      <c r="K3065" s="333" t="s">
        <v>741</v>
      </c>
      <c r="L3065" s="334">
        <v>44012</v>
      </c>
      <c r="M3065" s="337">
        <v>0</v>
      </c>
    </row>
    <row r="3066" spans="1:13" hidden="1" x14ac:dyDescent="0.25">
      <c r="A3066" s="334">
        <v>44043</v>
      </c>
      <c r="B3066" s="333" t="s">
        <v>1121</v>
      </c>
      <c r="C3066" s="333" t="s">
        <v>1060</v>
      </c>
      <c r="D3066" s="335">
        <v>1</v>
      </c>
      <c r="E3066" s="336">
        <v>26.15</v>
      </c>
      <c r="F3066" s="336">
        <v>-5069.6000000000004</v>
      </c>
      <c r="G3066" s="333" t="s">
        <v>1843</v>
      </c>
      <c r="H3066" s="333" t="s">
        <v>1854</v>
      </c>
      <c r="I3066" s="333" t="s">
        <v>1842</v>
      </c>
      <c r="J3066" s="333" t="s">
        <v>757</v>
      </c>
      <c r="K3066" s="333" t="s">
        <v>741</v>
      </c>
      <c r="L3066" s="334">
        <v>44043</v>
      </c>
      <c r="M3066" s="337">
        <v>0</v>
      </c>
    </row>
    <row r="3067" spans="1:13" hidden="1" x14ac:dyDescent="0.25">
      <c r="A3067" s="334">
        <v>44043</v>
      </c>
      <c r="B3067" s="333" t="s">
        <v>1121</v>
      </c>
      <c r="C3067" s="333" t="s">
        <v>1060</v>
      </c>
      <c r="D3067" s="335">
        <v>2</v>
      </c>
      <c r="E3067" s="336">
        <v>-26.15</v>
      </c>
      <c r="F3067" s="336">
        <v>-5095.75</v>
      </c>
      <c r="G3067" s="333" t="s">
        <v>1843</v>
      </c>
      <c r="H3067" s="333" t="s">
        <v>1854</v>
      </c>
      <c r="I3067" s="333" t="s">
        <v>1842</v>
      </c>
      <c r="J3067" s="333" t="s">
        <v>757</v>
      </c>
      <c r="K3067" s="333" t="s">
        <v>741</v>
      </c>
      <c r="L3067" s="334">
        <v>44043</v>
      </c>
      <c r="M3067" s="337">
        <v>0</v>
      </c>
    </row>
    <row r="3068" spans="1:13" hidden="1" x14ac:dyDescent="0.25">
      <c r="A3068" s="334">
        <v>44074</v>
      </c>
      <c r="B3068" s="333" t="s">
        <v>1067</v>
      </c>
      <c r="C3068" s="333" t="s">
        <v>1060</v>
      </c>
      <c r="D3068" s="335">
        <v>2</v>
      </c>
      <c r="E3068" s="336">
        <v>26.15</v>
      </c>
      <c r="F3068" s="336">
        <v>-5069.6000000000004</v>
      </c>
      <c r="G3068" s="333" t="s">
        <v>1844</v>
      </c>
      <c r="H3068" s="333" t="s">
        <v>1854</v>
      </c>
      <c r="I3068" s="333" t="s">
        <v>1842</v>
      </c>
      <c r="J3068" s="333" t="s">
        <v>757</v>
      </c>
      <c r="K3068" s="333" t="s">
        <v>741</v>
      </c>
      <c r="L3068" s="334">
        <v>44074</v>
      </c>
      <c r="M3068" s="337">
        <v>0</v>
      </c>
    </row>
    <row r="3069" spans="1:13" hidden="1" x14ac:dyDescent="0.25">
      <c r="A3069" s="334">
        <v>44074</v>
      </c>
      <c r="B3069" s="333" t="s">
        <v>1067</v>
      </c>
      <c r="C3069" s="333" t="s">
        <v>1060</v>
      </c>
      <c r="D3069" s="335">
        <v>3</v>
      </c>
      <c r="E3069" s="336">
        <v>-26.15</v>
      </c>
      <c r="F3069" s="336">
        <v>-5095.75</v>
      </c>
      <c r="G3069" s="333" t="s">
        <v>1844</v>
      </c>
      <c r="H3069" s="333" t="s">
        <v>1854</v>
      </c>
      <c r="I3069" s="333" t="s">
        <v>1842</v>
      </c>
      <c r="J3069" s="333" t="s">
        <v>757</v>
      </c>
      <c r="K3069" s="333" t="s">
        <v>741</v>
      </c>
      <c r="L3069" s="334">
        <v>44074</v>
      </c>
      <c r="M3069" s="337">
        <v>0</v>
      </c>
    </row>
    <row r="3070" spans="1:13" hidden="1" x14ac:dyDescent="0.25">
      <c r="A3070" s="334">
        <v>44104</v>
      </c>
      <c r="B3070" s="333" t="s">
        <v>1071</v>
      </c>
      <c r="C3070" s="333" t="s">
        <v>1060</v>
      </c>
      <c r="D3070" s="335">
        <v>3</v>
      </c>
      <c r="E3070" s="336">
        <v>21.67</v>
      </c>
      <c r="F3070" s="336">
        <v>-5074.08</v>
      </c>
      <c r="G3070" s="333" t="s">
        <v>1846</v>
      </c>
      <c r="H3070" s="333" t="s">
        <v>1854</v>
      </c>
      <c r="I3070" s="333" t="s">
        <v>1842</v>
      </c>
      <c r="J3070" s="333" t="s">
        <v>757</v>
      </c>
      <c r="K3070" s="333" t="s">
        <v>741</v>
      </c>
      <c r="L3070" s="334">
        <v>44104</v>
      </c>
      <c r="M3070" s="337">
        <v>0</v>
      </c>
    </row>
    <row r="3071" spans="1:13" hidden="1" x14ac:dyDescent="0.25">
      <c r="A3071" s="334">
        <v>44104</v>
      </c>
      <c r="B3071" s="333" t="s">
        <v>1849</v>
      </c>
      <c r="C3071" s="333" t="s">
        <v>769</v>
      </c>
      <c r="D3071" s="335">
        <v>4</v>
      </c>
      <c r="E3071" s="336">
        <v>21.67</v>
      </c>
      <c r="F3071" s="336">
        <v>-5052.41</v>
      </c>
      <c r="G3071" s="333" t="s">
        <v>1850</v>
      </c>
      <c r="H3071" s="333" t="s">
        <v>1854</v>
      </c>
      <c r="I3071" s="333" t="s">
        <v>1842</v>
      </c>
      <c r="J3071" s="333" t="s">
        <v>757</v>
      </c>
      <c r="K3071" s="333" t="s">
        <v>770</v>
      </c>
      <c r="L3071" s="334">
        <v>44104</v>
      </c>
      <c r="M3071" s="337">
        <v>0</v>
      </c>
    </row>
    <row r="3072" spans="1:13" hidden="1" x14ac:dyDescent="0.25">
      <c r="A3072" s="334">
        <v>44104</v>
      </c>
      <c r="B3072" s="333" t="s">
        <v>1071</v>
      </c>
      <c r="C3072" s="333" t="s">
        <v>1060</v>
      </c>
      <c r="D3072" s="335">
        <v>4</v>
      </c>
      <c r="E3072" s="336">
        <v>-21.67</v>
      </c>
      <c r="F3072" s="336">
        <v>-5074.08</v>
      </c>
      <c r="G3072" s="333" t="s">
        <v>1846</v>
      </c>
      <c r="H3072" s="333" t="s">
        <v>1854</v>
      </c>
      <c r="I3072" s="333" t="s">
        <v>1842</v>
      </c>
      <c r="J3072" s="333" t="s">
        <v>757</v>
      </c>
      <c r="K3072" s="333" t="s">
        <v>741</v>
      </c>
      <c r="L3072" s="334">
        <v>44104</v>
      </c>
      <c r="M3072" s="337">
        <v>0</v>
      </c>
    </row>
    <row r="3073" spans="1:13" hidden="1" x14ac:dyDescent="0.25">
      <c r="A3073" s="334">
        <v>44012</v>
      </c>
      <c r="B3073" s="333" t="s">
        <v>1119</v>
      </c>
      <c r="C3073" s="333" t="s">
        <v>1059</v>
      </c>
      <c r="D3073" s="335">
        <v>1</v>
      </c>
      <c r="E3073" s="336">
        <v>-7862.04</v>
      </c>
      <c r="F3073" s="336">
        <v>-12936.12</v>
      </c>
      <c r="G3073" s="333" t="s">
        <v>1840</v>
      </c>
      <c r="H3073" s="333" t="s">
        <v>1855</v>
      </c>
      <c r="I3073" s="333" t="s">
        <v>1842</v>
      </c>
      <c r="J3073" s="333" t="s">
        <v>757</v>
      </c>
      <c r="K3073" s="333" t="s">
        <v>741</v>
      </c>
      <c r="L3073" s="334">
        <v>44012</v>
      </c>
      <c r="M3073" s="337">
        <v>0</v>
      </c>
    </row>
    <row r="3074" spans="1:13" hidden="1" x14ac:dyDescent="0.25">
      <c r="A3074" s="334">
        <v>44043</v>
      </c>
      <c r="B3074" s="333" t="s">
        <v>1121</v>
      </c>
      <c r="C3074" s="333" t="s">
        <v>1060</v>
      </c>
      <c r="D3074" s="335">
        <v>1</v>
      </c>
      <c r="E3074" s="336">
        <v>7862.04</v>
      </c>
      <c r="F3074" s="336">
        <v>-5074.08</v>
      </c>
      <c r="G3074" s="333" t="s">
        <v>1843</v>
      </c>
      <c r="H3074" s="333" t="s">
        <v>1855</v>
      </c>
      <c r="I3074" s="333" t="s">
        <v>1842</v>
      </c>
      <c r="J3074" s="333" t="s">
        <v>757</v>
      </c>
      <c r="K3074" s="333" t="s">
        <v>741</v>
      </c>
      <c r="L3074" s="334">
        <v>44043</v>
      </c>
      <c r="M3074" s="337">
        <v>0</v>
      </c>
    </row>
    <row r="3075" spans="1:13" hidden="1" x14ac:dyDescent="0.25">
      <c r="A3075" s="334">
        <v>44043</v>
      </c>
      <c r="B3075" s="333" t="s">
        <v>1121</v>
      </c>
      <c r="C3075" s="333" t="s">
        <v>1060</v>
      </c>
      <c r="D3075" s="335">
        <v>2</v>
      </c>
      <c r="E3075" s="336">
        <v>-7862.04</v>
      </c>
      <c r="F3075" s="336">
        <v>-12936.12</v>
      </c>
      <c r="G3075" s="333" t="s">
        <v>1843</v>
      </c>
      <c r="H3075" s="333" t="s">
        <v>1855</v>
      </c>
      <c r="I3075" s="333" t="s">
        <v>1842</v>
      </c>
      <c r="J3075" s="333" t="s">
        <v>757</v>
      </c>
      <c r="K3075" s="333" t="s">
        <v>741</v>
      </c>
      <c r="L3075" s="334">
        <v>44043</v>
      </c>
      <c r="M3075" s="337">
        <v>0</v>
      </c>
    </row>
    <row r="3076" spans="1:13" hidden="1" x14ac:dyDescent="0.25">
      <c r="A3076" s="334">
        <v>44074</v>
      </c>
      <c r="B3076" s="333" t="s">
        <v>1067</v>
      </c>
      <c r="C3076" s="333" t="s">
        <v>1060</v>
      </c>
      <c r="D3076" s="335">
        <v>2</v>
      </c>
      <c r="E3076" s="336">
        <v>7862.04</v>
      </c>
      <c r="F3076" s="336">
        <v>-5074.08</v>
      </c>
      <c r="G3076" s="333" t="s">
        <v>1844</v>
      </c>
      <c r="H3076" s="333" t="s">
        <v>1855</v>
      </c>
      <c r="I3076" s="333" t="s">
        <v>1842</v>
      </c>
      <c r="J3076" s="333" t="s">
        <v>757</v>
      </c>
      <c r="K3076" s="333" t="s">
        <v>741</v>
      </c>
      <c r="L3076" s="334">
        <v>44074</v>
      </c>
      <c r="M3076" s="337">
        <v>0</v>
      </c>
    </row>
    <row r="3077" spans="1:13" hidden="1" x14ac:dyDescent="0.25">
      <c r="A3077" s="334">
        <v>44074</v>
      </c>
      <c r="B3077" s="333" t="s">
        <v>1067</v>
      </c>
      <c r="C3077" s="333" t="s">
        <v>1060</v>
      </c>
      <c r="D3077" s="335">
        <v>3</v>
      </c>
      <c r="E3077" s="336">
        <v>-7862.04</v>
      </c>
      <c r="F3077" s="336">
        <v>-12936.12</v>
      </c>
      <c r="G3077" s="333" t="s">
        <v>1844</v>
      </c>
      <c r="H3077" s="333" t="s">
        <v>1855</v>
      </c>
      <c r="I3077" s="333" t="s">
        <v>1842</v>
      </c>
      <c r="J3077" s="333" t="s">
        <v>757</v>
      </c>
      <c r="K3077" s="333" t="s">
        <v>741</v>
      </c>
      <c r="L3077" s="334">
        <v>44074</v>
      </c>
      <c r="M3077" s="337">
        <v>0</v>
      </c>
    </row>
    <row r="3078" spans="1:13" hidden="1" x14ac:dyDescent="0.25">
      <c r="A3078" s="334">
        <v>44104</v>
      </c>
      <c r="B3078" s="333" t="s">
        <v>1071</v>
      </c>
      <c r="C3078" s="333" t="s">
        <v>1060</v>
      </c>
      <c r="D3078" s="335">
        <v>3</v>
      </c>
      <c r="E3078" s="336">
        <v>6480.71</v>
      </c>
      <c r="F3078" s="336">
        <v>-6455.41</v>
      </c>
      <c r="G3078" s="333" t="s">
        <v>1846</v>
      </c>
      <c r="H3078" s="333" t="s">
        <v>1855</v>
      </c>
      <c r="I3078" s="333" t="s">
        <v>1842</v>
      </c>
      <c r="J3078" s="333" t="s">
        <v>757</v>
      </c>
      <c r="K3078" s="333" t="s">
        <v>741</v>
      </c>
      <c r="L3078" s="334">
        <v>44104</v>
      </c>
      <c r="M3078" s="337">
        <v>0</v>
      </c>
    </row>
    <row r="3079" spans="1:13" hidden="1" x14ac:dyDescent="0.25">
      <c r="A3079" s="334">
        <v>44104</v>
      </c>
      <c r="B3079" s="333" t="s">
        <v>1847</v>
      </c>
      <c r="C3079" s="333" t="s">
        <v>769</v>
      </c>
      <c r="D3079" s="335">
        <v>4</v>
      </c>
      <c r="E3079" s="336">
        <v>3750.84</v>
      </c>
      <c r="F3079" s="336">
        <v>-2704.57</v>
      </c>
      <c r="G3079" s="333" t="s">
        <v>1848</v>
      </c>
      <c r="H3079" s="333" t="s">
        <v>1855</v>
      </c>
      <c r="I3079" s="333" t="s">
        <v>1842</v>
      </c>
      <c r="J3079" s="333" t="s">
        <v>757</v>
      </c>
      <c r="K3079" s="333" t="s">
        <v>770</v>
      </c>
      <c r="L3079" s="334">
        <v>44104</v>
      </c>
      <c r="M3079" s="337">
        <v>0</v>
      </c>
    </row>
    <row r="3080" spans="1:13" hidden="1" x14ac:dyDescent="0.25">
      <c r="A3080" s="334">
        <v>44104</v>
      </c>
      <c r="B3080" s="333" t="s">
        <v>1849</v>
      </c>
      <c r="C3080" s="333" t="s">
        <v>769</v>
      </c>
      <c r="D3080" s="335">
        <v>4</v>
      </c>
      <c r="E3080" s="336">
        <v>2729.87</v>
      </c>
      <c r="F3080" s="336">
        <v>25.300000000001098</v>
      </c>
      <c r="G3080" s="333" t="s">
        <v>1850</v>
      </c>
      <c r="H3080" s="333" t="s">
        <v>1855</v>
      </c>
      <c r="I3080" s="333" t="s">
        <v>1842</v>
      </c>
      <c r="J3080" s="333" t="s">
        <v>757</v>
      </c>
      <c r="K3080" s="333" t="s">
        <v>770</v>
      </c>
      <c r="L3080" s="334">
        <v>44104</v>
      </c>
      <c r="M3080" s="337">
        <v>0</v>
      </c>
    </row>
    <row r="3081" spans="1:13" hidden="1" x14ac:dyDescent="0.25">
      <c r="A3081" s="334">
        <v>44104</v>
      </c>
      <c r="B3081" s="333" t="s">
        <v>1071</v>
      </c>
      <c r="C3081" s="333" t="s">
        <v>1060</v>
      </c>
      <c r="D3081" s="335">
        <v>4</v>
      </c>
      <c r="E3081" s="336">
        <v>-6480.71</v>
      </c>
      <c r="F3081" s="336">
        <v>-6455.41</v>
      </c>
      <c r="G3081" s="333" t="s">
        <v>1846</v>
      </c>
      <c r="H3081" s="333" t="s">
        <v>1855</v>
      </c>
      <c r="I3081" s="333" t="s">
        <v>1842</v>
      </c>
      <c r="J3081" s="333" t="s">
        <v>757</v>
      </c>
      <c r="K3081" s="333" t="s">
        <v>741</v>
      </c>
      <c r="L3081" s="334">
        <v>44104</v>
      </c>
      <c r="M3081" s="337">
        <v>0</v>
      </c>
    </row>
    <row r="3082" spans="1:13" hidden="1" x14ac:dyDescent="0.25">
      <c r="A3082" s="334">
        <v>44012</v>
      </c>
      <c r="B3082" s="333" t="s">
        <v>1119</v>
      </c>
      <c r="C3082" s="333" t="s">
        <v>1059</v>
      </c>
      <c r="D3082" s="335">
        <v>1</v>
      </c>
      <c r="E3082" s="336">
        <v>-46.61</v>
      </c>
      <c r="F3082" s="336">
        <v>-6502.02</v>
      </c>
      <c r="G3082" s="333" t="s">
        <v>1840</v>
      </c>
      <c r="H3082" s="333" t="s">
        <v>1856</v>
      </c>
      <c r="I3082" s="333" t="s">
        <v>1842</v>
      </c>
      <c r="J3082" s="333" t="s">
        <v>757</v>
      </c>
      <c r="K3082" s="333" t="s">
        <v>741</v>
      </c>
      <c r="L3082" s="334">
        <v>44012</v>
      </c>
      <c r="M3082" s="337">
        <v>0</v>
      </c>
    </row>
    <row r="3083" spans="1:13" hidden="1" x14ac:dyDescent="0.25">
      <c r="A3083" s="334">
        <v>44043</v>
      </c>
      <c r="B3083" s="333" t="s">
        <v>1121</v>
      </c>
      <c r="C3083" s="333" t="s">
        <v>1060</v>
      </c>
      <c r="D3083" s="335">
        <v>1</v>
      </c>
      <c r="E3083" s="336">
        <v>46.61</v>
      </c>
      <c r="F3083" s="336">
        <v>-6455.41</v>
      </c>
      <c r="G3083" s="333" t="s">
        <v>1843</v>
      </c>
      <c r="H3083" s="333" t="s">
        <v>1856</v>
      </c>
      <c r="I3083" s="333" t="s">
        <v>1842</v>
      </c>
      <c r="J3083" s="333" t="s">
        <v>757</v>
      </c>
      <c r="K3083" s="333" t="s">
        <v>741</v>
      </c>
      <c r="L3083" s="334">
        <v>44043</v>
      </c>
      <c r="M3083" s="337">
        <v>0</v>
      </c>
    </row>
    <row r="3084" spans="1:13" hidden="1" x14ac:dyDescent="0.25">
      <c r="A3084" s="334">
        <v>44043</v>
      </c>
      <c r="B3084" s="333" t="s">
        <v>1121</v>
      </c>
      <c r="C3084" s="333" t="s">
        <v>1060</v>
      </c>
      <c r="D3084" s="335">
        <v>2</v>
      </c>
      <c r="E3084" s="336">
        <v>-46.61</v>
      </c>
      <c r="F3084" s="336">
        <v>-6502.02</v>
      </c>
      <c r="G3084" s="333" t="s">
        <v>1843</v>
      </c>
      <c r="H3084" s="333" t="s">
        <v>1856</v>
      </c>
      <c r="I3084" s="333" t="s">
        <v>1842</v>
      </c>
      <c r="J3084" s="333" t="s">
        <v>757</v>
      </c>
      <c r="K3084" s="333" t="s">
        <v>741</v>
      </c>
      <c r="L3084" s="334">
        <v>44043</v>
      </c>
      <c r="M3084" s="337">
        <v>0</v>
      </c>
    </row>
    <row r="3085" spans="1:13" hidden="1" x14ac:dyDescent="0.25">
      <c r="A3085" s="334">
        <v>44074</v>
      </c>
      <c r="B3085" s="333" t="s">
        <v>1067</v>
      </c>
      <c r="C3085" s="333" t="s">
        <v>1060</v>
      </c>
      <c r="D3085" s="335">
        <v>2</v>
      </c>
      <c r="E3085" s="336">
        <v>46.61</v>
      </c>
      <c r="F3085" s="336">
        <v>-6455.41</v>
      </c>
      <c r="G3085" s="333" t="s">
        <v>1844</v>
      </c>
      <c r="H3085" s="333" t="s">
        <v>1856</v>
      </c>
      <c r="I3085" s="333" t="s">
        <v>1842</v>
      </c>
      <c r="J3085" s="333" t="s">
        <v>757</v>
      </c>
      <c r="K3085" s="333" t="s">
        <v>741</v>
      </c>
      <c r="L3085" s="334">
        <v>44074</v>
      </c>
      <c r="M3085" s="337">
        <v>0</v>
      </c>
    </row>
    <row r="3086" spans="1:13" hidden="1" x14ac:dyDescent="0.25">
      <c r="A3086" s="334">
        <v>44074</v>
      </c>
      <c r="B3086" s="333" t="s">
        <v>1067</v>
      </c>
      <c r="C3086" s="333" t="s">
        <v>1060</v>
      </c>
      <c r="D3086" s="335">
        <v>3</v>
      </c>
      <c r="E3086" s="336">
        <v>-46.61</v>
      </c>
      <c r="F3086" s="336">
        <v>-6502.02</v>
      </c>
      <c r="G3086" s="333" t="s">
        <v>1844</v>
      </c>
      <c r="H3086" s="333" t="s">
        <v>1856</v>
      </c>
      <c r="I3086" s="333" t="s">
        <v>1842</v>
      </c>
      <c r="J3086" s="333" t="s">
        <v>757</v>
      </c>
      <c r="K3086" s="333" t="s">
        <v>741</v>
      </c>
      <c r="L3086" s="334">
        <v>44074</v>
      </c>
      <c r="M3086" s="337">
        <v>0</v>
      </c>
    </row>
    <row r="3087" spans="1:13" hidden="1" x14ac:dyDescent="0.25">
      <c r="A3087" s="334">
        <v>44012</v>
      </c>
      <c r="B3087" s="333" t="s">
        <v>1119</v>
      </c>
      <c r="C3087" s="333" t="s">
        <v>1059</v>
      </c>
      <c r="D3087" s="335">
        <v>1</v>
      </c>
      <c r="E3087" s="336">
        <v>-1169.73</v>
      </c>
      <c r="F3087" s="336">
        <v>-7671.75</v>
      </c>
      <c r="G3087" s="333" t="s">
        <v>1840</v>
      </c>
      <c r="H3087" s="333" t="s">
        <v>1857</v>
      </c>
      <c r="I3087" s="333" t="s">
        <v>1842</v>
      </c>
      <c r="J3087" s="333" t="s">
        <v>757</v>
      </c>
      <c r="K3087" s="333" t="s">
        <v>741</v>
      </c>
      <c r="L3087" s="334">
        <v>44012</v>
      </c>
      <c r="M3087" s="337">
        <v>0</v>
      </c>
    </row>
    <row r="3088" spans="1:13" hidden="1" x14ac:dyDescent="0.25">
      <c r="A3088" s="334">
        <v>44043</v>
      </c>
      <c r="B3088" s="333" t="s">
        <v>1121</v>
      </c>
      <c r="C3088" s="333" t="s">
        <v>1060</v>
      </c>
      <c r="D3088" s="335">
        <v>1</v>
      </c>
      <c r="E3088" s="336">
        <v>1169.73</v>
      </c>
      <c r="F3088" s="336">
        <v>-6502.02</v>
      </c>
      <c r="G3088" s="333" t="s">
        <v>1843</v>
      </c>
      <c r="H3088" s="333" t="s">
        <v>1857</v>
      </c>
      <c r="I3088" s="333" t="s">
        <v>1842</v>
      </c>
      <c r="J3088" s="333" t="s">
        <v>757</v>
      </c>
      <c r="K3088" s="333" t="s">
        <v>741</v>
      </c>
      <c r="L3088" s="334">
        <v>44043</v>
      </c>
      <c r="M3088" s="337">
        <v>0</v>
      </c>
    </row>
    <row r="3089" spans="1:13" hidden="1" x14ac:dyDescent="0.25">
      <c r="A3089" s="334">
        <v>44043</v>
      </c>
      <c r="B3089" s="333" t="s">
        <v>1121</v>
      </c>
      <c r="C3089" s="333" t="s">
        <v>1060</v>
      </c>
      <c r="D3089" s="335">
        <v>2</v>
      </c>
      <c r="E3089" s="336">
        <v>-1169.73</v>
      </c>
      <c r="F3089" s="336">
        <v>-7671.75</v>
      </c>
      <c r="G3089" s="333" t="s">
        <v>1843</v>
      </c>
      <c r="H3089" s="333" t="s">
        <v>1857</v>
      </c>
      <c r="I3089" s="333" t="s">
        <v>1842</v>
      </c>
      <c r="J3089" s="333" t="s">
        <v>757</v>
      </c>
      <c r="K3089" s="333" t="s">
        <v>741</v>
      </c>
      <c r="L3089" s="334">
        <v>44043</v>
      </c>
      <c r="M3089" s="337">
        <v>0</v>
      </c>
    </row>
    <row r="3090" spans="1:13" hidden="1" x14ac:dyDescent="0.25">
      <c r="A3090" s="334">
        <v>44074</v>
      </c>
      <c r="B3090" s="333" t="s">
        <v>1067</v>
      </c>
      <c r="C3090" s="333" t="s">
        <v>1060</v>
      </c>
      <c r="D3090" s="335">
        <v>2</v>
      </c>
      <c r="E3090" s="336">
        <v>1169.73</v>
      </c>
      <c r="F3090" s="336">
        <v>-6502.02</v>
      </c>
      <c r="G3090" s="333" t="s">
        <v>1844</v>
      </c>
      <c r="H3090" s="333" t="s">
        <v>1857</v>
      </c>
      <c r="I3090" s="333" t="s">
        <v>1842</v>
      </c>
      <c r="J3090" s="333" t="s">
        <v>757</v>
      </c>
      <c r="K3090" s="333" t="s">
        <v>741</v>
      </c>
      <c r="L3090" s="334">
        <v>44074</v>
      </c>
      <c r="M3090" s="337">
        <v>0</v>
      </c>
    </row>
    <row r="3091" spans="1:13" hidden="1" x14ac:dyDescent="0.25">
      <c r="A3091" s="334">
        <v>44074</v>
      </c>
      <c r="B3091" s="333" t="s">
        <v>1067</v>
      </c>
      <c r="C3091" s="333" t="s">
        <v>1060</v>
      </c>
      <c r="D3091" s="335">
        <v>3</v>
      </c>
      <c r="E3091" s="336">
        <v>-1169.73</v>
      </c>
      <c r="F3091" s="336">
        <v>-7671.75</v>
      </c>
      <c r="G3091" s="333" t="s">
        <v>1844</v>
      </c>
      <c r="H3091" s="333" t="s">
        <v>1857</v>
      </c>
      <c r="I3091" s="333" t="s">
        <v>1842</v>
      </c>
      <c r="J3091" s="333" t="s">
        <v>757</v>
      </c>
      <c r="K3091" s="333" t="s">
        <v>741</v>
      </c>
      <c r="L3091" s="334">
        <v>44074</v>
      </c>
      <c r="M3091" s="337">
        <v>0</v>
      </c>
    </row>
    <row r="3092" spans="1:13" hidden="1" x14ac:dyDescent="0.25">
      <c r="A3092" s="334">
        <v>44104</v>
      </c>
      <c r="B3092" s="333" t="s">
        <v>1071</v>
      </c>
      <c r="C3092" s="333" t="s">
        <v>1060</v>
      </c>
      <c r="D3092" s="335">
        <v>3</v>
      </c>
      <c r="E3092" s="336">
        <v>703.46</v>
      </c>
      <c r="F3092" s="336">
        <v>-6968.29</v>
      </c>
      <c r="G3092" s="333" t="s">
        <v>1846</v>
      </c>
      <c r="H3092" s="333" t="s">
        <v>1857</v>
      </c>
      <c r="I3092" s="333" t="s">
        <v>1842</v>
      </c>
      <c r="J3092" s="333" t="s">
        <v>757</v>
      </c>
      <c r="K3092" s="333" t="s">
        <v>741</v>
      </c>
      <c r="L3092" s="334">
        <v>44104</v>
      </c>
      <c r="M3092" s="337">
        <v>0</v>
      </c>
    </row>
    <row r="3093" spans="1:13" hidden="1" x14ac:dyDescent="0.25">
      <c r="A3093" s="334">
        <v>44104</v>
      </c>
      <c r="B3093" s="333" t="s">
        <v>1847</v>
      </c>
      <c r="C3093" s="333" t="s">
        <v>769</v>
      </c>
      <c r="D3093" s="335">
        <v>4</v>
      </c>
      <c r="E3093" s="336">
        <v>562.63</v>
      </c>
      <c r="F3093" s="336">
        <v>-6405.66</v>
      </c>
      <c r="G3093" s="333" t="s">
        <v>1848</v>
      </c>
      <c r="H3093" s="333" t="s">
        <v>1857</v>
      </c>
      <c r="I3093" s="333" t="s">
        <v>1842</v>
      </c>
      <c r="J3093" s="333" t="s">
        <v>757</v>
      </c>
      <c r="K3093" s="333" t="s">
        <v>770</v>
      </c>
      <c r="L3093" s="334">
        <v>44104</v>
      </c>
      <c r="M3093" s="337">
        <v>0</v>
      </c>
    </row>
    <row r="3094" spans="1:13" hidden="1" x14ac:dyDescent="0.25">
      <c r="A3094" s="334">
        <v>44104</v>
      </c>
      <c r="B3094" s="333" t="s">
        <v>1849</v>
      </c>
      <c r="C3094" s="333" t="s">
        <v>769</v>
      </c>
      <c r="D3094" s="335">
        <v>4</v>
      </c>
      <c r="E3094" s="336">
        <v>140.83000000000001</v>
      </c>
      <c r="F3094" s="336">
        <v>-6264.83</v>
      </c>
      <c r="G3094" s="333" t="s">
        <v>1850</v>
      </c>
      <c r="H3094" s="333" t="s">
        <v>1857</v>
      </c>
      <c r="I3094" s="333" t="s">
        <v>1842</v>
      </c>
      <c r="J3094" s="333" t="s">
        <v>757</v>
      </c>
      <c r="K3094" s="333" t="s">
        <v>770</v>
      </c>
      <c r="L3094" s="334">
        <v>44104</v>
      </c>
      <c r="M3094" s="337">
        <v>0</v>
      </c>
    </row>
    <row r="3095" spans="1:13" hidden="1" x14ac:dyDescent="0.25">
      <c r="A3095" s="334">
        <v>44104</v>
      </c>
      <c r="B3095" s="333" t="s">
        <v>1071</v>
      </c>
      <c r="C3095" s="333" t="s">
        <v>1060</v>
      </c>
      <c r="D3095" s="335">
        <v>4</v>
      </c>
      <c r="E3095" s="336">
        <v>-703.46</v>
      </c>
      <c r="F3095" s="336">
        <v>-6968.29</v>
      </c>
      <c r="G3095" s="333" t="s">
        <v>1846</v>
      </c>
      <c r="H3095" s="333" t="s">
        <v>1857</v>
      </c>
      <c r="I3095" s="333" t="s">
        <v>1842</v>
      </c>
      <c r="J3095" s="333" t="s">
        <v>757</v>
      </c>
      <c r="K3095" s="333" t="s">
        <v>741</v>
      </c>
      <c r="L3095" s="334">
        <v>44104</v>
      </c>
      <c r="M3095" s="337">
        <v>0</v>
      </c>
    </row>
    <row r="3096" spans="1:13" hidden="1" x14ac:dyDescent="0.25">
      <c r="A3096" s="334">
        <v>44012</v>
      </c>
      <c r="B3096" s="333" t="s">
        <v>1119</v>
      </c>
      <c r="C3096" s="333" t="s">
        <v>1059</v>
      </c>
      <c r="D3096" s="335">
        <v>1</v>
      </c>
      <c r="E3096" s="336">
        <v>-8.8000000000000007</v>
      </c>
      <c r="F3096" s="336">
        <v>-6977.09</v>
      </c>
      <c r="G3096" s="333" t="s">
        <v>1840</v>
      </c>
      <c r="H3096" s="333" t="s">
        <v>1858</v>
      </c>
      <c r="I3096" s="333" t="s">
        <v>1842</v>
      </c>
      <c r="J3096" s="333" t="s">
        <v>757</v>
      </c>
      <c r="K3096" s="333" t="s">
        <v>741</v>
      </c>
      <c r="L3096" s="334">
        <v>44012</v>
      </c>
      <c r="M3096" s="337">
        <v>0</v>
      </c>
    </row>
    <row r="3097" spans="1:13" hidden="1" x14ac:dyDescent="0.25">
      <c r="A3097" s="334">
        <v>44043</v>
      </c>
      <c r="B3097" s="333" t="s">
        <v>1121</v>
      </c>
      <c r="C3097" s="333" t="s">
        <v>1060</v>
      </c>
      <c r="D3097" s="335">
        <v>1</v>
      </c>
      <c r="E3097" s="336">
        <v>8.8000000000000007</v>
      </c>
      <c r="F3097" s="336">
        <v>-6968.29</v>
      </c>
      <c r="G3097" s="333" t="s">
        <v>1843</v>
      </c>
      <c r="H3097" s="333" t="s">
        <v>1858</v>
      </c>
      <c r="I3097" s="333" t="s">
        <v>1842</v>
      </c>
      <c r="J3097" s="333" t="s">
        <v>757</v>
      </c>
      <c r="K3097" s="333" t="s">
        <v>741</v>
      </c>
      <c r="L3097" s="334">
        <v>44043</v>
      </c>
      <c r="M3097" s="337">
        <v>0</v>
      </c>
    </row>
    <row r="3098" spans="1:13" hidden="1" x14ac:dyDescent="0.25">
      <c r="A3098" s="334">
        <v>44043</v>
      </c>
      <c r="B3098" s="333" t="s">
        <v>1121</v>
      </c>
      <c r="C3098" s="333" t="s">
        <v>1060</v>
      </c>
      <c r="D3098" s="335">
        <v>2</v>
      </c>
      <c r="E3098" s="336">
        <v>-8.8000000000000007</v>
      </c>
      <c r="F3098" s="336">
        <v>-6977.09</v>
      </c>
      <c r="G3098" s="333" t="s">
        <v>1843</v>
      </c>
      <c r="H3098" s="333" t="s">
        <v>1858</v>
      </c>
      <c r="I3098" s="333" t="s">
        <v>1842</v>
      </c>
      <c r="J3098" s="333" t="s">
        <v>757</v>
      </c>
      <c r="K3098" s="333" t="s">
        <v>741</v>
      </c>
      <c r="L3098" s="334">
        <v>44043</v>
      </c>
      <c r="M3098" s="337">
        <v>0</v>
      </c>
    </row>
    <row r="3099" spans="1:13" hidden="1" x14ac:dyDescent="0.25">
      <c r="A3099" s="334">
        <v>44074</v>
      </c>
      <c r="B3099" s="333" t="s">
        <v>1067</v>
      </c>
      <c r="C3099" s="333" t="s">
        <v>1060</v>
      </c>
      <c r="D3099" s="335">
        <v>2</v>
      </c>
      <c r="E3099" s="336">
        <v>8.8000000000000007</v>
      </c>
      <c r="F3099" s="336">
        <v>-6968.29</v>
      </c>
      <c r="G3099" s="333" t="s">
        <v>1844</v>
      </c>
      <c r="H3099" s="333" t="s">
        <v>1858</v>
      </c>
      <c r="I3099" s="333" t="s">
        <v>1842</v>
      </c>
      <c r="J3099" s="333" t="s">
        <v>757</v>
      </c>
      <c r="K3099" s="333" t="s">
        <v>741</v>
      </c>
      <c r="L3099" s="334">
        <v>44074</v>
      </c>
      <c r="M3099" s="337">
        <v>0</v>
      </c>
    </row>
    <row r="3100" spans="1:13" hidden="1" x14ac:dyDescent="0.25">
      <c r="A3100" s="334">
        <v>44074</v>
      </c>
      <c r="B3100" s="333" t="s">
        <v>1067</v>
      </c>
      <c r="C3100" s="333" t="s">
        <v>1060</v>
      </c>
      <c r="D3100" s="335">
        <v>3</v>
      </c>
      <c r="E3100" s="336">
        <v>-8.8000000000000007</v>
      </c>
      <c r="F3100" s="336">
        <v>-6977.09</v>
      </c>
      <c r="G3100" s="333" t="s">
        <v>1844</v>
      </c>
      <c r="H3100" s="333" t="s">
        <v>1858</v>
      </c>
      <c r="I3100" s="333" t="s">
        <v>1842</v>
      </c>
      <c r="J3100" s="333" t="s">
        <v>757</v>
      </c>
      <c r="K3100" s="333" t="s">
        <v>741</v>
      </c>
      <c r="L3100" s="334">
        <v>44074</v>
      </c>
      <c r="M3100" s="337">
        <v>0</v>
      </c>
    </row>
    <row r="3101" spans="1:13" hidden="1" x14ac:dyDescent="0.25">
      <c r="A3101" s="334">
        <v>44012</v>
      </c>
      <c r="B3101" s="333" t="s">
        <v>1119</v>
      </c>
      <c r="C3101" s="333" t="s">
        <v>1059</v>
      </c>
      <c r="D3101" s="335">
        <v>1</v>
      </c>
      <c r="E3101" s="336">
        <v>-8.8000000000000007</v>
      </c>
      <c r="F3101" s="336">
        <v>-6985.89</v>
      </c>
      <c r="G3101" s="333" t="s">
        <v>1840</v>
      </c>
      <c r="H3101" s="333" t="s">
        <v>1859</v>
      </c>
      <c r="I3101" s="333" t="s">
        <v>1842</v>
      </c>
      <c r="J3101" s="333" t="s">
        <v>757</v>
      </c>
      <c r="K3101" s="333" t="s">
        <v>741</v>
      </c>
      <c r="L3101" s="334">
        <v>44012</v>
      </c>
      <c r="M3101" s="337">
        <v>0</v>
      </c>
    </row>
    <row r="3102" spans="1:13" hidden="1" x14ac:dyDescent="0.25">
      <c r="A3102" s="334">
        <v>44043</v>
      </c>
      <c r="B3102" s="333" t="s">
        <v>1121</v>
      </c>
      <c r="C3102" s="333" t="s">
        <v>1060</v>
      </c>
      <c r="D3102" s="335">
        <v>1</v>
      </c>
      <c r="E3102" s="336">
        <v>8.8000000000000007</v>
      </c>
      <c r="F3102" s="336">
        <v>-6977.09</v>
      </c>
      <c r="G3102" s="333" t="s">
        <v>1843</v>
      </c>
      <c r="H3102" s="333" t="s">
        <v>1859</v>
      </c>
      <c r="I3102" s="333" t="s">
        <v>1842</v>
      </c>
      <c r="J3102" s="333" t="s">
        <v>757</v>
      </c>
      <c r="K3102" s="333" t="s">
        <v>741</v>
      </c>
      <c r="L3102" s="334">
        <v>44043</v>
      </c>
      <c r="M3102" s="337">
        <v>0</v>
      </c>
    </row>
    <row r="3103" spans="1:13" hidden="1" x14ac:dyDescent="0.25">
      <c r="A3103" s="334">
        <v>44043</v>
      </c>
      <c r="B3103" s="333" t="s">
        <v>1121</v>
      </c>
      <c r="C3103" s="333" t="s">
        <v>1060</v>
      </c>
      <c r="D3103" s="335">
        <v>2</v>
      </c>
      <c r="E3103" s="336">
        <v>-8.8000000000000007</v>
      </c>
      <c r="F3103" s="336">
        <v>-6985.89</v>
      </c>
      <c r="G3103" s="333" t="s">
        <v>1843</v>
      </c>
      <c r="H3103" s="333" t="s">
        <v>1859</v>
      </c>
      <c r="I3103" s="333" t="s">
        <v>1842</v>
      </c>
      <c r="J3103" s="333" t="s">
        <v>757</v>
      </c>
      <c r="K3103" s="333" t="s">
        <v>741</v>
      </c>
      <c r="L3103" s="334">
        <v>44043</v>
      </c>
      <c r="M3103" s="337">
        <v>0</v>
      </c>
    </row>
    <row r="3104" spans="1:13" hidden="1" x14ac:dyDescent="0.25">
      <c r="A3104" s="334">
        <v>44074</v>
      </c>
      <c r="B3104" s="333" t="s">
        <v>1067</v>
      </c>
      <c r="C3104" s="333" t="s">
        <v>1060</v>
      </c>
      <c r="D3104" s="335">
        <v>2</v>
      </c>
      <c r="E3104" s="336">
        <v>8.8000000000000007</v>
      </c>
      <c r="F3104" s="336">
        <v>-6977.09</v>
      </c>
      <c r="G3104" s="333" t="s">
        <v>1844</v>
      </c>
      <c r="H3104" s="333" t="s">
        <v>1859</v>
      </c>
      <c r="I3104" s="333" t="s">
        <v>1842</v>
      </c>
      <c r="J3104" s="333" t="s">
        <v>757</v>
      </c>
      <c r="K3104" s="333" t="s">
        <v>741</v>
      </c>
      <c r="L3104" s="334">
        <v>44074</v>
      </c>
      <c r="M3104" s="337">
        <v>0</v>
      </c>
    </row>
    <row r="3105" spans="1:13" hidden="1" x14ac:dyDescent="0.25">
      <c r="A3105" s="334">
        <v>44074</v>
      </c>
      <c r="B3105" s="333" t="s">
        <v>1067</v>
      </c>
      <c r="C3105" s="333" t="s">
        <v>1060</v>
      </c>
      <c r="D3105" s="335">
        <v>3</v>
      </c>
      <c r="E3105" s="336">
        <v>-8.8000000000000007</v>
      </c>
      <c r="F3105" s="336">
        <v>-6985.89</v>
      </c>
      <c r="G3105" s="333" t="s">
        <v>1844</v>
      </c>
      <c r="H3105" s="333" t="s">
        <v>1859</v>
      </c>
      <c r="I3105" s="333" t="s">
        <v>1842</v>
      </c>
      <c r="J3105" s="333" t="s">
        <v>757</v>
      </c>
      <c r="K3105" s="333" t="s">
        <v>741</v>
      </c>
      <c r="L3105" s="334">
        <v>44074</v>
      </c>
      <c r="M3105" s="337">
        <v>0</v>
      </c>
    </row>
    <row r="3106" spans="1:13" hidden="1" x14ac:dyDescent="0.25">
      <c r="A3106" s="334">
        <v>44012</v>
      </c>
      <c r="B3106" s="333" t="s">
        <v>1119</v>
      </c>
      <c r="C3106" s="333" t="s">
        <v>1059</v>
      </c>
      <c r="D3106" s="335">
        <v>1</v>
      </c>
      <c r="E3106" s="336">
        <v>-264.14</v>
      </c>
      <c r="F3106" s="336">
        <v>-7250.03</v>
      </c>
      <c r="G3106" s="333" t="s">
        <v>1840</v>
      </c>
      <c r="H3106" s="333" t="s">
        <v>1860</v>
      </c>
      <c r="I3106" s="333" t="s">
        <v>1842</v>
      </c>
      <c r="J3106" s="333" t="s">
        <v>757</v>
      </c>
      <c r="K3106" s="333" t="s">
        <v>741</v>
      </c>
      <c r="L3106" s="334">
        <v>44012</v>
      </c>
      <c r="M3106" s="337">
        <v>0</v>
      </c>
    </row>
    <row r="3107" spans="1:13" hidden="1" x14ac:dyDescent="0.25">
      <c r="A3107" s="334">
        <v>44043</v>
      </c>
      <c r="B3107" s="333" t="s">
        <v>1121</v>
      </c>
      <c r="C3107" s="333" t="s">
        <v>1060</v>
      </c>
      <c r="D3107" s="335">
        <v>1</v>
      </c>
      <c r="E3107" s="336">
        <v>264.14</v>
      </c>
      <c r="F3107" s="336">
        <v>-6985.89</v>
      </c>
      <c r="G3107" s="333" t="s">
        <v>1843</v>
      </c>
      <c r="H3107" s="333" t="s">
        <v>1860</v>
      </c>
      <c r="I3107" s="333" t="s">
        <v>1842</v>
      </c>
      <c r="J3107" s="333" t="s">
        <v>757</v>
      </c>
      <c r="K3107" s="333" t="s">
        <v>741</v>
      </c>
      <c r="L3107" s="334">
        <v>44043</v>
      </c>
      <c r="M3107" s="337">
        <v>0</v>
      </c>
    </row>
    <row r="3108" spans="1:13" hidden="1" x14ac:dyDescent="0.25">
      <c r="A3108" s="334">
        <v>44043</v>
      </c>
      <c r="B3108" s="333" t="s">
        <v>1121</v>
      </c>
      <c r="C3108" s="333" t="s">
        <v>1060</v>
      </c>
      <c r="D3108" s="335">
        <v>2</v>
      </c>
      <c r="E3108" s="336">
        <v>-264.14</v>
      </c>
      <c r="F3108" s="336">
        <v>-7250.03</v>
      </c>
      <c r="G3108" s="333" t="s">
        <v>1843</v>
      </c>
      <c r="H3108" s="333" t="s">
        <v>1860</v>
      </c>
      <c r="I3108" s="333" t="s">
        <v>1842</v>
      </c>
      <c r="J3108" s="333" t="s">
        <v>757</v>
      </c>
      <c r="K3108" s="333" t="s">
        <v>741</v>
      </c>
      <c r="L3108" s="334">
        <v>44043</v>
      </c>
      <c r="M3108" s="337">
        <v>0</v>
      </c>
    </row>
    <row r="3109" spans="1:13" hidden="1" x14ac:dyDescent="0.25">
      <c r="A3109" s="334">
        <v>44074</v>
      </c>
      <c r="B3109" s="333" t="s">
        <v>1067</v>
      </c>
      <c r="C3109" s="333" t="s">
        <v>1060</v>
      </c>
      <c r="D3109" s="335">
        <v>2</v>
      </c>
      <c r="E3109" s="336">
        <v>264.14</v>
      </c>
      <c r="F3109" s="336">
        <v>-6985.89</v>
      </c>
      <c r="G3109" s="333" t="s">
        <v>1844</v>
      </c>
      <c r="H3109" s="333" t="s">
        <v>1860</v>
      </c>
      <c r="I3109" s="333" t="s">
        <v>1842</v>
      </c>
      <c r="J3109" s="333" t="s">
        <v>757</v>
      </c>
      <c r="K3109" s="333" t="s">
        <v>741</v>
      </c>
      <c r="L3109" s="334">
        <v>44074</v>
      </c>
      <c r="M3109" s="337">
        <v>0</v>
      </c>
    </row>
    <row r="3110" spans="1:13" hidden="1" x14ac:dyDescent="0.25">
      <c r="A3110" s="334">
        <v>44074</v>
      </c>
      <c r="B3110" s="333" t="s">
        <v>1067</v>
      </c>
      <c r="C3110" s="333" t="s">
        <v>1060</v>
      </c>
      <c r="D3110" s="335">
        <v>3</v>
      </c>
      <c r="E3110" s="336">
        <v>-264.14</v>
      </c>
      <c r="F3110" s="336">
        <v>-7250.03</v>
      </c>
      <c r="G3110" s="333" t="s">
        <v>1844</v>
      </c>
      <c r="H3110" s="333" t="s">
        <v>1860</v>
      </c>
      <c r="I3110" s="333" t="s">
        <v>1842</v>
      </c>
      <c r="J3110" s="333" t="s">
        <v>757</v>
      </c>
      <c r="K3110" s="333" t="s">
        <v>741</v>
      </c>
      <c r="L3110" s="334">
        <v>44074</v>
      </c>
      <c r="M3110" s="337">
        <v>0</v>
      </c>
    </row>
    <row r="3111" spans="1:13" hidden="1" x14ac:dyDescent="0.25">
      <c r="A3111" s="334">
        <v>44012</v>
      </c>
      <c r="B3111" s="333" t="s">
        <v>1119</v>
      </c>
      <c r="C3111" s="333" t="s">
        <v>1059</v>
      </c>
      <c r="D3111" s="335">
        <v>1</v>
      </c>
      <c r="E3111" s="336">
        <v>-5044.83</v>
      </c>
      <c r="F3111" s="336">
        <v>-12294.86</v>
      </c>
      <c r="G3111" s="333" t="s">
        <v>1840</v>
      </c>
      <c r="H3111" s="333" t="s">
        <v>1861</v>
      </c>
      <c r="I3111" s="333" t="s">
        <v>1842</v>
      </c>
      <c r="J3111" s="333" t="s">
        <v>757</v>
      </c>
      <c r="K3111" s="333" t="s">
        <v>741</v>
      </c>
      <c r="L3111" s="334">
        <v>44012</v>
      </c>
      <c r="M3111" s="337">
        <v>0</v>
      </c>
    </row>
    <row r="3112" spans="1:13" hidden="1" x14ac:dyDescent="0.25">
      <c r="A3112" s="334">
        <v>44043</v>
      </c>
      <c r="B3112" s="333" t="s">
        <v>1121</v>
      </c>
      <c r="C3112" s="333" t="s">
        <v>1060</v>
      </c>
      <c r="D3112" s="335">
        <v>1</v>
      </c>
      <c r="E3112" s="336">
        <v>5044.83</v>
      </c>
      <c r="F3112" s="336">
        <v>-7250.03</v>
      </c>
      <c r="G3112" s="333" t="s">
        <v>1843</v>
      </c>
      <c r="H3112" s="333" t="s">
        <v>1861</v>
      </c>
      <c r="I3112" s="333" t="s">
        <v>1842</v>
      </c>
      <c r="J3112" s="333" t="s">
        <v>757</v>
      </c>
      <c r="K3112" s="333" t="s">
        <v>741</v>
      </c>
      <c r="L3112" s="334">
        <v>44043</v>
      </c>
      <c r="M3112" s="337">
        <v>0</v>
      </c>
    </row>
    <row r="3113" spans="1:13" hidden="1" x14ac:dyDescent="0.25">
      <c r="A3113" s="334">
        <v>44043</v>
      </c>
      <c r="B3113" s="333" t="s">
        <v>1121</v>
      </c>
      <c r="C3113" s="333" t="s">
        <v>1060</v>
      </c>
      <c r="D3113" s="335">
        <v>2</v>
      </c>
      <c r="E3113" s="336">
        <v>-5044.83</v>
      </c>
      <c r="F3113" s="336">
        <v>-12294.86</v>
      </c>
      <c r="G3113" s="333" t="s">
        <v>1843</v>
      </c>
      <c r="H3113" s="333" t="s">
        <v>1861</v>
      </c>
      <c r="I3113" s="333" t="s">
        <v>1842</v>
      </c>
      <c r="J3113" s="333" t="s">
        <v>757</v>
      </c>
      <c r="K3113" s="333" t="s">
        <v>741</v>
      </c>
      <c r="L3113" s="334">
        <v>44043</v>
      </c>
      <c r="M3113" s="337">
        <v>0</v>
      </c>
    </row>
    <row r="3114" spans="1:13" hidden="1" x14ac:dyDescent="0.25">
      <c r="A3114" s="334">
        <v>44074</v>
      </c>
      <c r="B3114" s="333" t="s">
        <v>1067</v>
      </c>
      <c r="C3114" s="333" t="s">
        <v>1060</v>
      </c>
      <c r="D3114" s="335">
        <v>2</v>
      </c>
      <c r="E3114" s="336">
        <v>5044.83</v>
      </c>
      <c r="F3114" s="336">
        <v>-7250.03</v>
      </c>
      <c r="G3114" s="333" t="s">
        <v>1844</v>
      </c>
      <c r="H3114" s="333" t="s">
        <v>1861</v>
      </c>
      <c r="I3114" s="333" t="s">
        <v>1842</v>
      </c>
      <c r="J3114" s="333" t="s">
        <v>757</v>
      </c>
      <c r="K3114" s="333" t="s">
        <v>741</v>
      </c>
      <c r="L3114" s="334">
        <v>44074</v>
      </c>
      <c r="M3114" s="337">
        <v>0</v>
      </c>
    </row>
    <row r="3115" spans="1:13" hidden="1" x14ac:dyDescent="0.25">
      <c r="A3115" s="334">
        <v>44074</v>
      </c>
      <c r="B3115" s="333" t="s">
        <v>1067</v>
      </c>
      <c r="C3115" s="333" t="s">
        <v>1060</v>
      </c>
      <c r="D3115" s="335">
        <v>3</v>
      </c>
      <c r="E3115" s="336">
        <v>-5044.83</v>
      </c>
      <c r="F3115" s="336">
        <v>-12294.86</v>
      </c>
      <c r="G3115" s="333" t="s">
        <v>1844</v>
      </c>
      <c r="H3115" s="333" t="s">
        <v>1861</v>
      </c>
      <c r="I3115" s="333" t="s">
        <v>1842</v>
      </c>
      <c r="J3115" s="333" t="s">
        <v>757</v>
      </c>
      <c r="K3115" s="333" t="s">
        <v>741</v>
      </c>
      <c r="L3115" s="334">
        <v>44074</v>
      </c>
      <c r="M3115" s="337">
        <v>0</v>
      </c>
    </row>
    <row r="3116" spans="1:13" hidden="1" x14ac:dyDescent="0.25">
      <c r="A3116" s="334">
        <v>44104</v>
      </c>
      <c r="B3116" s="333" t="s">
        <v>1071</v>
      </c>
      <c r="C3116" s="333" t="s">
        <v>1060</v>
      </c>
      <c r="D3116" s="335">
        <v>3</v>
      </c>
      <c r="E3116" s="336">
        <v>3573.46</v>
      </c>
      <c r="F3116" s="336">
        <v>-8721.4</v>
      </c>
      <c r="G3116" s="333" t="s">
        <v>1846</v>
      </c>
      <c r="H3116" s="333" t="s">
        <v>1861</v>
      </c>
      <c r="I3116" s="333" t="s">
        <v>1842</v>
      </c>
      <c r="J3116" s="333" t="s">
        <v>757</v>
      </c>
      <c r="K3116" s="333" t="s">
        <v>741</v>
      </c>
      <c r="L3116" s="334">
        <v>44104</v>
      </c>
      <c r="M3116" s="337">
        <v>0</v>
      </c>
    </row>
    <row r="3117" spans="1:13" hidden="1" x14ac:dyDescent="0.25">
      <c r="A3117" s="334">
        <v>44104</v>
      </c>
      <c r="B3117" s="333" t="s">
        <v>1847</v>
      </c>
      <c r="C3117" s="333" t="s">
        <v>769</v>
      </c>
      <c r="D3117" s="335">
        <v>4</v>
      </c>
      <c r="E3117" s="336">
        <v>2625.59</v>
      </c>
      <c r="F3117" s="336">
        <v>-6095.81</v>
      </c>
      <c r="G3117" s="333" t="s">
        <v>1848</v>
      </c>
      <c r="H3117" s="333" t="s">
        <v>1861</v>
      </c>
      <c r="I3117" s="333" t="s">
        <v>1842</v>
      </c>
      <c r="J3117" s="333" t="s">
        <v>757</v>
      </c>
      <c r="K3117" s="333" t="s">
        <v>770</v>
      </c>
      <c r="L3117" s="334">
        <v>44104</v>
      </c>
      <c r="M3117" s="337">
        <v>0</v>
      </c>
    </row>
    <row r="3118" spans="1:13" hidden="1" x14ac:dyDescent="0.25">
      <c r="A3118" s="334">
        <v>44104</v>
      </c>
      <c r="B3118" s="333" t="s">
        <v>1849</v>
      </c>
      <c r="C3118" s="333" t="s">
        <v>769</v>
      </c>
      <c r="D3118" s="335">
        <v>4</v>
      </c>
      <c r="E3118" s="336">
        <v>947.87</v>
      </c>
      <c r="F3118" s="336">
        <v>-5147.9399999999996</v>
      </c>
      <c r="G3118" s="333" t="s">
        <v>1850</v>
      </c>
      <c r="H3118" s="333" t="s">
        <v>1861</v>
      </c>
      <c r="I3118" s="333" t="s">
        <v>1842</v>
      </c>
      <c r="J3118" s="333" t="s">
        <v>757</v>
      </c>
      <c r="K3118" s="333" t="s">
        <v>770</v>
      </c>
      <c r="L3118" s="334">
        <v>44104</v>
      </c>
      <c r="M3118" s="337">
        <v>0</v>
      </c>
    </row>
    <row r="3119" spans="1:13" hidden="1" x14ac:dyDescent="0.25">
      <c r="A3119" s="334">
        <v>44104</v>
      </c>
      <c r="B3119" s="333" t="s">
        <v>1071</v>
      </c>
      <c r="C3119" s="333" t="s">
        <v>1060</v>
      </c>
      <c r="D3119" s="335">
        <v>4</v>
      </c>
      <c r="E3119" s="336">
        <v>-3573.46</v>
      </c>
      <c r="F3119" s="336">
        <v>-8721.4</v>
      </c>
      <c r="G3119" s="333" t="s">
        <v>1846</v>
      </c>
      <c r="H3119" s="333" t="s">
        <v>1861</v>
      </c>
      <c r="I3119" s="333" t="s">
        <v>1842</v>
      </c>
      <c r="J3119" s="333" t="s">
        <v>757</v>
      </c>
      <c r="K3119" s="333" t="s">
        <v>741</v>
      </c>
      <c r="L3119" s="334">
        <v>44104</v>
      </c>
      <c r="M3119" s="337">
        <v>0</v>
      </c>
    </row>
    <row r="3120" spans="1:13" hidden="1" x14ac:dyDescent="0.25">
      <c r="A3120" s="334">
        <v>44012</v>
      </c>
      <c r="B3120" s="333" t="s">
        <v>1119</v>
      </c>
      <c r="C3120" s="333" t="s">
        <v>1059</v>
      </c>
      <c r="D3120" s="335">
        <v>1</v>
      </c>
      <c r="E3120" s="336">
        <v>-199.66</v>
      </c>
      <c r="F3120" s="336">
        <v>-8921.06</v>
      </c>
      <c r="G3120" s="333" t="s">
        <v>1840</v>
      </c>
      <c r="H3120" s="333" t="s">
        <v>1862</v>
      </c>
      <c r="I3120" s="333" t="s">
        <v>1842</v>
      </c>
      <c r="J3120" s="333" t="s">
        <v>757</v>
      </c>
      <c r="K3120" s="333" t="s">
        <v>741</v>
      </c>
      <c r="L3120" s="334">
        <v>44012</v>
      </c>
      <c r="M3120" s="337">
        <v>0</v>
      </c>
    </row>
    <row r="3121" spans="1:13" hidden="1" x14ac:dyDescent="0.25">
      <c r="A3121" s="334">
        <v>44043</v>
      </c>
      <c r="B3121" s="333" t="s">
        <v>1121</v>
      </c>
      <c r="C3121" s="333" t="s">
        <v>1060</v>
      </c>
      <c r="D3121" s="335">
        <v>1</v>
      </c>
      <c r="E3121" s="336">
        <v>199.66</v>
      </c>
      <c r="F3121" s="336">
        <v>-8721.4</v>
      </c>
      <c r="G3121" s="333" t="s">
        <v>1843</v>
      </c>
      <c r="H3121" s="333" t="s">
        <v>1862</v>
      </c>
      <c r="I3121" s="333" t="s">
        <v>1842</v>
      </c>
      <c r="J3121" s="333" t="s">
        <v>757</v>
      </c>
      <c r="K3121" s="333" t="s">
        <v>741</v>
      </c>
      <c r="L3121" s="334">
        <v>44043</v>
      </c>
      <c r="M3121" s="337">
        <v>0</v>
      </c>
    </row>
    <row r="3122" spans="1:13" hidden="1" x14ac:dyDescent="0.25">
      <c r="A3122" s="334">
        <v>44043</v>
      </c>
      <c r="B3122" s="333" t="s">
        <v>1121</v>
      </c>
      <c r="C3122" s="333" t="s">
        <v>1060</v>
      </c>
      <c r="D3122" s="335">
        <v>2</v>
      </c>
      <c r="E3122" s="336">
        <v>-199.66</v>
      </c>
      <c r="F3122" s="336">
        <v>-8921.06</v>
      </c>
      <c r="G3122" s="333" t="s">
        <v>1843</v>
      </c>
      <c r="H3122" s="333" t="s">
        <v>1862</v>
      </c>
      <c r="I3122" s="333" t="s">
        <v>1842</v>
      </c>
      <c r="J3122" s="333" t="s">
        <v>757</v>
      </c>
      <c r="K3122" s="333" t="s">
        <v>741</v>
      </c>
      <c r="L3122" s="334">
        <v>44043</v>
      </c>
      <c r="M3122" s="337">
        <v>0</v>
      </c>
    </row>
    <row r="3123" spans="1:13" hidden="1" x14ac:dyDescent="0.25">
      <c r="A3123" s="334">
        <v>44074</v>
      </c>
      <c r="B3123" s="333" t="s">
        <v>1067</v>
      </c>
      <c r="C3123" s="333" t="s">
        <v>1060</v>
      </c>
      <c r="D3123" s="335">
        <v>2</v>
      </c>
      <c r="E3123" s="336">
        <v>199.66</v>
      </c>
      <c r="F3123" s="336">
        <v>-8721.4</v>
      </c>
      <c r="G3123" s="333" t="s">
        <v>1844</v>
      </c>
      <c r="H3123" s="333" t="s">
        <v>1862</v>
      </c>
      <c r="I3123" s="333" t="s">
        <v>1842</v>
      </c>
      <c r="J3123" s="333" t="s">
        <v>757</v>
      </c>
      <c r="K3123" s="333" t="s">
        <v>741</v>
      </c>
      <c r="L3123" s="334">
        <v>44074</v>
      </c>
      <c r="M3123" s="337">
        <v>0</v>
      </c>
    </row>
    <row r="3124" spans="1:13" hidden="1" x14ac:dyDescent="0.25">
      <c r="A3124" s="334">
        <v>44074</v>
      </c>
      <c r="B3124" s="333" t="s">
        <v>1067</v>
      </c>
      <c r="C3124" s="333" t="s">
        <v>1060</v>
      </c>
      <c r="D3124" s="335">
        <v>3</v>
      </c>
      <c r="E3124" s="336">
        <v>-199.66</v>
      </c>
      <c r="F3124" s="336">
        <v>-8921.06</v>
      </c>
      <c r="G3124" s="333" t="s">
        <v>1844</v>
      </c>
      <c r="H3124" s="333" t="s">
        <v>1862</v>
      </c>
      <c r="I3124" s="333" t="s">
        <v>1842</v>
      </c>
      <c r="J3124" s="333" t="s">
        <v>757</v>
      </c>
      <c r="K3124" s="333" t="s">
        <v>741</v>
      </c>
      <c r="L3124" s="334">
        <v>44074</v>
      </c>
      <c r="M3124" s="337">
        <v>0</v>
      </c>
    </row>
    <row r="3125" spans="1:13" hidden="1" x14ac:dyDescent="0.25">
      <c r="A3125" s="334">
        <v>44012</v>
      </c>
      <c r="B3125" s="333" t="s">
        <v>1119</v>
      </c>
      <c r="C3125" s="333" t="s">
        <v>1059</v>
      </c>
      <c r="D3125" s="335">
        <v>1</v>
      </c>
      <c r="E3125" s="336">
        <v>-8.75</v>
      </c>
      <c r="F3125" s="336">
        <v>-8929.81</v>
      </c>
      <c r="G3125" s="333" t="s">
        <v>1840</v>
      </c>
      <c r="H3125" s="333" t="s">
        <v>1863</v>
      </c>
      <c r="I3125" s="333" t="s">
        <v>1842</v>
      </c>
      <c r="J3125" s="333" t="s">
        <v>757</v>
      </c>
      <c r="K3125" s="333" t="s">
        <v>741</v>
      </c>
      <c r="L3125" s="334">
        <v>44012</v>
      </c>
      <c r="M3125" s="337">
        <v>0</v>
      </c>
    </row>
    <row r="3126" spans="1:13" hidden="1" x14ac:dyDescent="0.25">
      <c r="A3126" s="334">
        <v>44043</v>
      </c>
      <c r="B3126" s="333" t="s">
        <v>1121</v>
      </c>
      <c r="C3126" s="333" t="s">
        <v>1060</v>
      </c>
      <c r="D3126" s="335">
        <v>1</v>
      </c>
      <c r="E3126" s="336">
        <v>8.75</v>
      </c>
      <c r="F3126" s="336">
        <v>-8921.06</v>
      </c>
      <c r="G3126" s="333" t="s">
        <v>1843</v>
      </c>
      <c r="H3126" s="333" t="s">
        <v>1863</v>
      </c>
      <c r="I3126" s="333" t="s">
        <v>1842</v>
      </c>
      <c r="J3126" s="333" t="s">
        <v>757</v>
      </c>
      <c r="K3126" s="333" t="s">
        <v>741</v>
      </c>
      <c r="L3126" s="334">
        <v>44043</v>
      </c>
      <c r="M3126" s="337">
        <v>0</v>
      </c>
    </row>
    <row r="3127" spans="1:13" hidden="1" x14ac:dyDescent="0.25">
      <c r="A3127" s="334">
        <v>44043</v>
      </c>
      <c r="B3127" s="333" t="s">
        <v>1121</v>
      </c>
      <c r="C3127" s="333" t="s">
        <v>1060</v>
      </c>
      <c r="D3127" s="335">
        <v>2</v>
      </c>
      <c r="E3127" s="336">
        <v>-8.75</v>
      </c>
      <c r="F3127" s="336">
        <v>-8929.81</v>
      </c>
      <c r="G3127" s="333" t="s">
        <v>1843</v>
      </c>
      <c r="H3127" s="333" t="s">
        <v>1863</v>
      </c>
      <c r="I3127" s="333" t="s">
        <v>1842</v>
      </c>
      <c r="J3127" s="333" t="s">
        <v>757</v>
      </c>
      <c r="K3127" s="333" t="s">
        <v>741</v>
      </c>
      <c r="L3127" s="334">
        <v>44043</v>
      </c>
      <c r="M3127" s="337">
        <v>0</v>
      </c>
    </row>
    <row r="3128" spans="1:13" hidden="1" x14ac:dyDescent="0.25">
      <c r="A3128" s="334">
        <v>44074</v>
      </c>
      <c r="B3128" s="333" t="s">
        <v>1067</v>
      </c>
      <c r="C3128" s="333" t="s">
        <v>1060</v>
      </c>
      <c r="D3128" s="335">
        <v>2</v>
      </c>
      <c r="E3128" s="336">
        <v>8.75</v>
      </c>
      <c r="F3128" s="336">
        <v>-8921.06</v>
      </c>
      <c r="G3128" s="333" t="s">
        <v>1844</v>
      </c>
      <c r="H3128" s="333" t="s">
        <v>1863</v>
      </c>
      <c r="I3128" s="333" t="s">
        <v>1842</v>
      </c>
      <c r="J3128" s="333" t="s">
        <v>757</v>
      </c>
      <c r="K3128" s="333" t="s">
        <v>741</v>
      </c>
      <c r="L3128" s="334">
        <v>44074</v>
      </c>
      <c r="M3128" s="337">
        <v>0</v>
      </c>
    </row>
    <row r="3129" spans="1:13" hidden="1" x14ac:dyDescent="0.25">
      <c r="A3129" s="334">
        <v>44074</v>
      </c>
      <c r="B3129" s="333" t="s">
        <v>1067</v>
      </c>
      <c r="C3129" s="333" t="s">
        <v>1060</v>
      </c>
      <c r="D3129" s="335">
        <v>3</v>
      </c>
      <c r="E3129" s="336">
        <v>-8.75</v>
      </c>
      <c r="F3129" s="336">
        <v>-8929.81</v>
      </c>
      <c r="G3129" s="333" t="s">
        <v>1844</v>
      </c>
      <c r="H3129" s="333" t="s">
        <v>1863</v>
      </c>
      <c r="I3129" s="333" t="s">
        <v>1842</v>
      </c>
      <c r="J3129" s="333" t="s">
        <v>757</v>
      </c>
      <c r="K3129" s="333" t="s">
        <v>741</v>
      </c>
      <c r="L3129" s="334">
        <v>44074</v>
      </c>
      <c r="M3129" s="337">
        <v>0</v>
      </c>
    </row>
    <row r="3130" spans="1:13" hidden="1" x14ac:dyDescent="0.25">
      <c r="A3130" s="334">
        <v>44012</v>
      </c>
      <c r="B3130" s="333" t="s">
        <v>1119</v>
      </c>
      <c r="C3130" s="333" t="s">
        <v>1059</v>
      </c>
      <c r="D3130" s="335">
        <v>1</v>
      </c>
      <c r="E3130" s="336">
        <v>-11450.6</v>
      </c>
      <c r="F3130" s="336">
        <v>-20380.41</v>
      </c>
      <c r="G3130" s="333" t="s">
        <v>1840</v>
      </c>
      <c r="H3130" s="333" t="s">
        <v>1864</v>
      </c>
      <c r="I3130" s="333" t="s">
        <v>1842</v>
      </c>
      <c r="J3130" s="333" t="s">
        <v>757</v>
      </c>
      <c r="K3130" s="333" t="s">
        <v>741</v>
      </c>
      <c r="L3130" s="334">
        <v>44012</v>
      </c>
      <c r="M3130" s="337">
        <v>0</v>
      </c>
    </row>
    <row r="3131" spans="1:13" hidden="1" x14ac:dyDescent="0.25">
      <c r="A3131" s="334">
        <v>44043</v>
      </c>
      <c r="B3131" s="333" t="s">
        <v>1121</v>
      </c>
      <c r="C3131" s="333" t="s">
        <v>1060</v>
      </c>
      <c r="D3131" s="335">
        <v>1</v>
      </c>
      <c r="E3131" s="336">
        <v>11450.6</v>
      </c>
      <c r="F3131" s="336">
        <v>-8929.81</v>
      </c>
      <c r="G3131" s="333" t="s">
        <v>1843</v>
      </c>
      <c r="H3131" s="333" t="s">
        <v>1864</v>
      </c>
      <c r="I3131" s="333" t="s">
        <v>1842</v>
      </c>
      <c r="J3131" s="333" t="s">
        <v>757</v>
      </c>
      <c r="K3131" s="333" t="s">
        <v>741</v>
      </c>
      <c r="L3131" s="334">
        <v>44043</v>
      </c>
      <c r="M3131" s="337">
        <v>0</v>
      </c>
    </row>
    <row r="3132" spans="1:13" hidden="1" x14ac:dyDescent="0.25">
      <c r="A3132" s="334">
        <v>44043</v>
      </c>
      <c r="B3132" s="333" t="s">
        <v>1121</v>
      </c>
      <c r="C3132" s="333" t="s">
        <v>1060</v>
      </c>
      <c r="D3132" s="335">
        <v>2</v>
      </c>
      <c r="E3132" s="336">
        <v>-11450.6</v>
      </c>
      <c r="F3132" s="336">
        <v>-20380.41</v>
      </c>
      <c r="G3132" s="333" t="s">
        <v>1843</v>
      </c>
      <c r="H3132" s="333" t="s">
        <v>1864</v>
      </c>
      <c r="I3132" s="333" t="s">
        <v>1842</v>
      </c>
      <c r="J3132" s="333" t="s">
        <v>757</v>
      </c>
      <c r="K3132" s="333" t="s">
        <v>741</v>
      </c>
      <c r="L3132" s="334">
        <v>44043</v>
      </c>
      <c r="M3132" s="337">
        <v>0</v>
      </c>
    </row>
    <row r="3133" spans="1:13" hidden="1" x14ac:dyDescent="0.25">
      <c r="A3133" s="334">
        <v>44074</v>
      </c>
      <c r="B3133" s="333" t="s">
        <v>1067</v>
      </c>
      <c r="C3133" s="333" t="s">
        <v>1060</v>
      </c>
      <c r="D3133" s="335">
        <v>2</v>
      </c>
      <c r="E3133" s="336">
        <v>11450.6</v>
      </c>
      <c r="F3133" s="336">
        <v>-8929.81</v>
      </c>
      <c r="G3133" s="333" t="s">
        <v>1844</v>
      </c>
      <c r="H3133" s="333" t="s">
        <v>1864</v>
      </c>
      <c r="I3133" s="333" t="s">
        <v>1842</v>
      </c>
      <c r="J3133" s="333" t="s">
        <v>757</v>
      </c>
      <c r="K3133" s="333" t="s">
        <v>741</v>
      </c>
      <c r="L3133" s="334">
        <v>44074</v>
      </c>
      <c r="M3133" s="337">
        <v>0</v>
      </c>
    </row>
    <row r="3134" spans="1:13" hidden="1" x14ac:dyDescent="0.25">
      <c r="A3134" s="334">
        <v>44074</v>
      </c>
      <c r="B3134" s="333" t="s">
        <v>1067</v>
      </c>
      <c r="C3134" s="333" t="s">
        <v>1060</v>
      </c>
      <c r="D3134" s="335">
        <v>3</v>
      </c>
      <c r="E3134" s="336">
        <v>-11450.6</v>
      </c>
      <c r="F3134" s="336">
        <v>-20380.41</v>
      </c>
      <c r="G3134" s="333" t="s">
        <v>1844</v>
      </c>
      <c r="H3134" s="333" t="s">
        <v>1864</v>
      </c>
      <c r="I3134" s="333" t="s">
        <v>1842</v>
      </c>
      <c r="J3134" s="333" t="s">
        <v>757</v>
      </c>
      <c r="K3134" s="333" t="s">
        <v>741</v>
      </c>
      <c r="L3134" s="334">
        <v>44074</v>
      </c>
      <c r="M3134" s="337">
        <v>0</v>
      </c>
    </row>
    <row r="3135" spans="1:13" hidden="1" x14ac:dyDescent="0.25">
      <c r="A3135" s="334">
        <v>44104</v>
      </c>
      <c r="B3135" s="333" t="s">
        <v>1071</v>
      </c>
      <c r="C3135" s="333" t="s">
        <v>1060</v>
      </c>
      <c r="D3135" s="335">
        <v>3</v>
      </c>
      <c r="E3135" s="336">
        <v>7350.04</v>
      </c>
      <c r="F3135" s="336">
        <v>-13030.37</v>
      </c>
      <c r="G3135" s="333" t="s">
        <v>1846</v>
      </c>
      <c r="H3135" s="333" t="s">
        <v>1864</v>
      </c>
      <c r="I3135" s="333" t="s">
        <v>1842</v>
      </c>
      <c r="J3135" s="333" t="s">
        <v>757</v>
      </c>
      <c r="K3135" s="333" t="s">
        <v>741</v>
      </c>
      <c r="L3135" s="334">
        <v>44104</v>
      </c>
      <c r="M3135" s="337">
        <v>0</v>
      </c>
    </row>
    <row r="3136" spans="1:13" hidden="1" x14ac:dyDescent="0.25">
      <c r="A3136" s="334">
        <v>44104</v>
      </c>
      <c r="B3136" s="333" t="s">
        <v>1847</v>
      </c>
      <c r="C3136" s="333" t="s">
        <v>769</v>
      </c>
      <c r="D3136" s="335">
        <v>4</v>
      </c>
      <c r="E3136" s="336">
        <v>4501.01</v>
      </c>
      <c r="F3136" s="336">
        <v>-8529.36</v>
      </c>
      <c r="G3136" s="333" t="s">
        <v>1848</v>
      </c>
      <c r="H3136" s="333" t="s">
        <v>1864</v>
      </c>
      <c r="I3136" s="333" t="s">
        <v>1842</v>
      </c>
      <c r="J3136" s="333" t="s">
        <v>757</v>
      </c>
      <c r="K3136" s="333" t="s">
        <v>770</v>
      </c>
      <c r="L3136" s="334">
        <v>44104</v>
      </c>
      <c r="M3136" s="337">
        <v>0</v>
      </c>
    </row>
    <row r="3137" spans="1:13" hidden="1" x14ac:dyDescent="0.25">
      <c r="A3137" s="334">
        <v>44104</v>
      </c>
      <c r="B3137" s="333" t="s">
        <v>1849</v>
      </c>
      <c r="C3137" s="333" t="s">
        <v>769</v>
      </c>
      <c r="D3137" s="335">
        <v>4</v>
      </c>
      <c r="E3137" s="336">
        <v>2849.03</v>
      </c>
      <c r="F3137" s="336">
        <v>-5680.33</v>
      </c>
      <c r="G3137" s="333" t="s">
        <v>1850</v>
      </c>
      <c r="H3137" s="333" t="s">
        <v>1864</v>
      </c>
      <c r="I3137" s="333" t="s">
        <v>1842</v>
      </c>
      <c r="J3137" s="333" t="s">
        <v>757</v>
      </c>
      <c r="K3137" s="333" t="s">
        <v>770</v>
      </c>
      <c r="L3137" s="334">
        <v>44104</v>
      </c>
      <c r="M3137" s="337">
        <v>0</v>
      </c>
    </row>
    <row r="3138" spans="1:13" hidden="1" x14ac:dyDescent="0.25">
      <c r="A3138" s="334">
        <v>44104</v>
      </c>
      <c r="B3138" s="333" t="s">
        <v>1071</v>
      </c>
      <c r="C3138" s="333" t="s">
        <v>1060</v>
      </c>
      <c r="D3138" s="335">
        <v>4</v>
      </c>
      <c r="E3138" s="336">
        <v>-7350.04</v>
      </c>
      <c r="F3138" s="336">
        <v>-13030.37</v>
      </c>
      <c r="G3138" s="333" t="s">
        <v>1846</v>
      </c>
      <c r="H3138" s="333" t="s">
        <v>1864</v>
      </c>
      <c r="I3138" s="333" t="s">
        <v>1842</v>
      </c>
      <c r="J3138" s="333" t="s">
        <v>757</v>
      </c>
      <c r="K3138" s="333" t="s">
        <v>741</v>
      </c>
      <c r="L3138" s="334">
        <v>44104</v>
      </c>
      <c r="M3138" s="337">
        <v>0</v>
      </c>
    </row>
    <row r="3139" spans="1:13" hidden="1" x14ac:dyDescent="0.25">
      <c r="A3139" s="334">
        <v>44012</v>
      </c>
      <c r="B3139" s="333" t="s">
        <v>1119</v>
      </c>
      <c r="C3139" s="333" t="s">
        <v>1059</v>
      </c>
      <c r="D3139" s="335">
        <v>1</v>
      </c>
      <c r="E3139" s="336">
        <v>-2156.91</v>
      </c>
      <c r="F3139" s="336">
        <v>-15187.28</v>
      </c>
      <c r="G3139" s="333" t="s">
        <v>1840</v>
      </c>
      <c r="H3139" s="333" t="s">
        <v>1865</v>
      </c>
      <c r="I3139" s="333" t="s">
        <v>1842</v>
      </c>
      <c r="J3139" s="333" t="s">
        <v>757</v>
      </c>
      <c r="K3139" s="333" t="s">
        <v>741</v>
      </c>
      <c r="L3139" s="334">
        <v>44012</v>
      </c>
      <c r="M3139" s="337">
        <v>0</v>
      </c>
    </row>
    <row r="3140" spans="1:13" hidden="1" x14ac:dyDescent="0.25">
      <c r="A3140" s="334">
        <v>44043</v>
      </c>
      <c r="B3140" s="333" t="s">
        <v>1121</v>
      </c>
      <c r="C3140" s="333" t="s">
        <v>1060</v>
      </c>
      <c r="D3140" s="335">
        <v>1</v>
      </c>
      <c r="E3140" s="336">
        <v>2156.91</v>
      </c>
      <c r="F3140" s="336">
        <v>-13030.37</v>
      </c>
      <c r="G3140" s="333" t="s">
        <v>1843</v>
      </c>
      <c r="H3140" s="333" t="s">
        <v>1865</v>
      </c>
      <c r="I3140" s="333" t="s">
        <v>1842</v>
      </c>
      <c r="J3140" s="333" t="s">
        <v>757</v>
      </c>
      <c r="K3140" s="333" t="s">
        <v>741</v>
      </c>
      <c r="L3140" s="334">
        <v>44043</v>
      </c>
      <c r="M3140" s="337">
        <v>0</v>
      </c>
    </row>
    <row r="3141" spans="1:13" hidden="1" x14ac:dyDescent="0.25">
      <c r="A3141" s="334">
        <v>44043</v>
      </c>
      <c r="B3141" s="333" t="s">
        <v>1121</v>
      </c>
      <c r="C3141" s="333" t="s">
        <v>1060</v>
      </c>
      <c r="D3141" s="335">
        <v>2</v>
      </c>
      <c r="E3141" s="336">
        <v>-2156.91</v>
      </c>
      <c r="F3141" s="336">
        <v>-15187.28</v>
      </c>
      <c r="G3141" s="333" t="s">
        <v>1843</v>
      </c>
      <c r="H3141" s="333" t="s">
        <v>1865</v>
      </c>
      <c r="I3141" s="333" t="s">
        <v>1842</v>
      </c>
      <c r="J3141" s="333" t="s">
        <v>757</v>
      </c>
      <c r="K3141" s="333" t="s">
        <v>741</v>
      </c>
      <c r="L3141" s="334">
        <v>44043</v>
      </c>
      <c r="M3141" s="337">
        <v>0</v>
      </c>
    </row>
    <row r="3142" spans="1:13" hidden="1" x14ac:dyDescent="0.25">
      <c r="A3142" s="334">
        <v>44074</v>
      </c>
      <c r="B3142" s="333" t="s">
        <v>1067</v>
      </c>
      <c r="C3142" s="333" t="s">
        <v>1060</v>
      </c>
      <c r="D3142" s="335">
        <v>2</v>
      </c>
      <c r="E3142" s="336">
        <v>2156.91</v>
      </c>
      <c r="F3142" s="336">
        <v>-13030.37</v>
      </c>
      <c r="G3142" s="333" t="s">
        <v>1844</v>
      </c>
      <c r="H3142" s="333" t="s">
        <v>1865</v>
      </c>
      <c r="I3142" s="333" t="s">
        <v>1842</v>
      </c>
      <c r="J3142" s="333" t="s">
        <v>757</v>
      </c>
      <c r="K3142" s="333" t="s">
        <v>741</v>
      </c>
      <c r="L3142" s="334">
        <v>44074</v>
      </c>
      <c r="M3142" s="337">
        <v>0</v>
      </c>
    </row>
    <row r="3143" spans="1:13" hidden="1" x14ac:dyDescent="0.25">
      <c r="A3143" s="334">
        <v>44074</v>
      </c>
      <c r="B3143" s="333" t="s">
        <v>1067</v>
      </c>
      <c r="C3143" s="333" t="s">
        <v>1060</v>
      </c>
      <c r="D3143" s="335">
        <v>3</v>
      </c>
      <c r="E3143" s="336">
        <v>-2156.91</v>
      </c>
      <c r="F3143" s="336">
        <v>-15187.28</v>
      </c>
      <c r="G3143" s="333" t="s">
        <v>1844</v>
      </c>
      <c r="H3143" s="333" t="s">
        <v>1865</v>
      </c>
      <c r="I3143" s="333" t="s">
        <v>1842</v>
      </c>
      <c r="J3143" s="333" t="s">
        <v>757</v>
      </c>
      <c r="K3143" s="333" t="s">
        <v>741</v>
      </c>
      <c r="L3143" s="334">
        <v>44074</v>
      </c>
      <c r="M3143" s="337">
        <v>0</v>
      </c>
    </row>
    <row r="3144" spans="1:13" hidden="1" x14ac:dyDescent="0.25">
      <c r="A3144" s="334">
        <v>44104</v>
      </c>
      <c r="B3144" s="333" t="s">
        <v>1071</v>
      </c>
      <c r="C3144" s="333" t="s">
        <v>1060</v>
      </c>
      <c r="D3144" s="335">
        <v>3</v>
      </c>
      <c r="E3144" s="336">
        <v>1683.14</v>
      </c>
      <c r="F3144" s="336">
        <v>-13504.14</v>
      </c>
      <c r="G3144" s="333" t="s">
        <v>1846</v>
      </c>
      <c r="H3144" s="333" t="s">
        <v>1865</v>
      </c>
      <c r="I3144" s="333" t="s">
        <v>1842</v>
      </c>
      <c r="J3144" s="333" t="s">
        <v>757</v>
      </c>
      <c r="K3144" s="333" t="s">
        <v>741</v>
      </c>
      <c r="L3144" s="334">
        <v>44104</v>
      </c>
      <c r="M3144" s="337">
        <v>0</v>
      </c>
    </row>
    <row r="3145" spans="1:13" hidden="1" x14ac:dyDescent="0.25">
      <c r="A3145" s="334">
        <v>44104</v>
      </c>
      <c r="B3145" s="333" t="s">
        <v>1847</v>
      </c>
      <c r="C3145" s="333" t="s">
        <v>769</v>
      </c>
      <c r="D3145" s="335">
        <v>4</v>
      </c>
      <c r="E3145" s="336">
        <v>1125.25</v>
      </c>
      <c r="F3145" s="336">
        <v>-12378.89</v>
      </c>
      <c r="G3145" s="333" t="s">
        <v>1848</v>
      </c>
      <c r="H3145" s="333" t="s">
        <v>1865</v>
      </c>
      <c r="I3145" s="333" t="s">
        <v>1842</v>
      </c>
      <c r="J3145" s="333" t="s">
        <v>757</v>
      </c>
      <c r="K3145" s="333" t="s">
        <v>770</v>
      </c>
      <c r="L3145" s="334">
        <v>44104</v>
      </c>
      <c r="M3145" s="337">
        <v>0</v>
      </c>
    </row>
    <row r="3146" spans="1:13" hidden="1" x14ac:dyDescent="0.25">
      <c r="A3146" s="334">
        <v>44104</v>
      </c>
      <c r="B3146" s="333" t="s">
        <v>1849</v>
      </c>
      <c r="C3146" s="333" t="s">
        <v>769</v>
      </c>
      <c r="D3146" s="335">
        <v>4</v>
      </c>
      <c r="E3146" s="336">
        <v>557.89</v>
      </c>
      <c r="F3146" s="336">
        <v>-11821</v>
      </c>
      <c r="G3146" s="333" t="s">
        <v>1850</v>
      </c>
      <c r="H3146" s="333" t="s">
        <v>1865</v>
      </c>
      <c r="I3146" s="333" t="s">
        <v>1842</v>
      </c>
      <c r="J3146" s="333" t="s">
        <v>757</v>
      </c>
      <c r="K3146" s="333" t="s">
        <v>770</v>
      </c>
      <c r="L3146" s="334">
        <v>44104</v>
      </c>
      <c r="M3146" s="337">
        <v>0</v>
      </c>
    </row>
    <row r="3147" spans="1:13" hidden="1" x14ac:dyDescent="0.25">
      <c r="A3147" s="334">
        <v>44104</v>
      </c>
      <c r="B3147" s="333" t="s">
        <v>1071</v>
      </c>
      <c r="C3147" s="333" t="s">
        <v>1060</v>
      </c>
      <c r="D3147" s="335">
        <v>4</v>
      </c>
      <c r="E3147" s="336">
        <v>-1683.14</v>
      </c>
      <c r="F3147" s="336">
        <v>-13504.14</v>
      </c>
      <c r="G3147" s="333" t="s">
        <v>1846</v>
      </c>
      <c r="H3147" s="333" t="s">
        <v>1865</v>
      </c>
      <c r="I3147" s="333" t="s">
        <v>1842</v>
      </c>
      <c r="J3147" s="333" t="s">
        <v>757</v>
      </c>
      <c r="K3147" s="333" t="s">
        <v>741</v>
      </c>
      <c r="L3147" s="334">
        <v>44104</v>
      </c>
      <c r="M3147" s="337">
        <v>0</v>
      </c>
    </row>
    <row r="3148" spans="1:13" hidden="1" x14ac:dyDescent="0.25">
      <c r="A3148" s="334">
        <v>44012</v>
      </c>
      <c r="B3148" s="333" t="s">
        <v>1119</v>
      </c>
      <c r="C3148" s="333" t="s">
        <v>1059</v>
      </c>
      <c r="D3148" s="335">
        <v>1</v>
      </c>
      <c r="E3148" s="336">
        <v>-713.84</v>
      </c>
      <c r="F3148" s="336">
        <v>-14217.98</v>
      </c>
      <c r="G3148" s="333" t="s">
        <v>1840</v>
      </c>
      <c r="H3148" s="333" t="s">
        <v>1866</v>
      </c>
      <c r="I3148" s="333" t="s">
        <v>1842</v>
      </c>
      <c r="J3148" s="333" t="s">
        <v>757</v>
      </c>
      <c r="K3148" s="333" t="s">
        <v>741</v>
      </c>
      <c r="L3148" s="334">
        <v>44012</v>
      </c>
      <c r="M3148" s="337">
        <v>0</v>
      </c>
    </row>
    <row r="3149" spans="1:13" hidden="1" x14ac:dyDescent="0.25">
      <c r="A3149" s="334">
        <v>44043</v>
      </c>
      <c r="B3149" s="333" t="s">
        <v>1121</v>
      </c>
      <c r="C3149" s="333" t="s">
        <v>1060</v>
      </c>
      <c r="D3149" s="335">
        <v>1</v>
      </c>
      <c r="E3149" s="336">
        <v>713.84</v>
      </c>
      <c r="F3149" s="336">
        <v>-13504.14</v>
      </c>
      <c r="G3149" s="333" t="s">
        <v>1843</v>
      </c>
      <c r="H3149" s="333" t="s">
        <v>1866</v>
      </c>
      <c r="I3149" s="333" t="s">
        <v>1842</v>
      </c>
      <c r="J3149" s="333" t="s">
        <v>757</v>
      </c>
      <c r="K3149" s="333" t="s">
        <v>741</v>
      </c>
      <c r="L3149" s="334">
        <v>44043</v>
      </c>
      <c r="M3149" s="337">
        <v>0</v>
      </c>
    </row>
    <row r="3150" spans="1:13" hidden="1" x14ac:dyDescent="0.25">
      <c r="A3150" s="334">
        <v>44043</v>
      </c>
      <c r="B3150" s="333" t="s">
        <v>1121</v>
      </c>
      <c r="C3150" s="333" t="s">
        <v>1060</v>
      </c>
      <c r="D3150" s="335">
        <v>2</v>
      </c>
      <c r="E3150" s="336">
        <v>-713.84</v>
      </c>
      <c r="F3150" s="336">
        <v>-14217.98</v>
      </c>
      <c r="G3150" s="333" t="s">
        <v>1843</v>
      </c>
      <c r="H3150" s="333" t="s">
        <v>1866</v>
      </c>
      <c r="I3150" s="333" t="s">
        <v>1842</v>
      </c>
      <c r="J3150" s="333" t="s">
        <v>757</v>
      </c>
      <c r="K3150" s="333" t="s">
        <v>741</v>
      </c>
      <c r="L3150" s="334">
        <v>44043</v>
      </c>
      <c r="M3150" s="337">
        <v>0</v>
      </c>
    </row>
    <row r="3151" spans="1:13" hidden="1" x14ac:dyDescent="0.25">
      <c r="A3151" s="334">
        <v>44074</v>
      </c>
      <c r="B3151" s="333" t="s">
        <v>1067</v>
      </c>
      <c r="C3151" s="333" t="s">
        <v>1060</v>
      </c>
      <c r="D3151" s="335">
        <v>2</v>
      </c>
      <c r="E3151" s="336">
        <v>713.84</v>
      </c>
      <c r="F3151" s="336">
        <v>-13504.14</v>
      </c>
      <c r="G3151" s="333" t="s">
        <v>1844</v>
      </c>
      <c r="H3151" s="333" t="s">
        <v>1866</v>
      </c>
      <c r="I3151" s="333" t="s">
        <v>1842</v>
      </c>
      <c r="J3151" s="333" t="s">
        <v>757</v>
      </c>
      <c r="K3151" s="333" t="s">
        <v>741</v>
      </c>
      <c r="L3151" s="334">
        <v>44074</v>
      </c>
      <c r="M3151" s="337">
        <v>0</v>
      </c>
    </row>
    <row r="3152" spans="1:13" hidden="1" x14ac:dyDescent="0.25">
      <c r="A3152" s="334">
        <v>44074</v>
      </c>
      <c r="B3152" s="333" t="s">
        <v>1067</v>
      </c>
      <c r="C3152" s="333" t="s">
        <v>1060</v>
      </c>
      <c r="D3152" s="335">
        <v>3</v>
      </c>
      <c r="E3152" s="336">
        <v>-713.84</v>
      </c>
      <c r="F3152" s="336">
        <v>-14217.98</v>
      </c>
      <c r="G3152" s="333" t="s">
        <v>1844</v>
      </c>
      <c r="H3152" s="333" t="s">
        <v>1866</v>
      </c>
      <c r="I3152" s="333" t="s">
        <v>1842</v>
      </c>
      <c r="J3152" s="333" t="s">
        <v>757</v>
      </c>
      <c r="K3152" s="333" t="s">
        <v>741</v>
      </c>
      <c r="L3152" s="334">
        <v>44074</v>
      </c>
      <c r="M3152" s="337">
        <v>0</v>
      </c>
    </row>
    <row r="3153" spans="1:13" hidden="1" x14ac:dyDescent="0.25">
      <c r="A3153" s="334">
        <v>44104</v>
      </c>
      <c r="B3153" s="333" t="s">
        <v>1071</v>
      </c>
      <c r="C3153" s="333" t="s">
        <v>1060</v>
      </c>
      <c r="D3153" s="335">
        <v>3</v>
      </c>
      <c r="E3153" s="336">
        <v>1865.24</v>
      </c>
      <c r="F3153" s="336">
        <v>-12352.74</v>
      </c>
      <c r="G3153" s="333" t="s">
        <v>1846</v>
      </c>
      <c r="H3153" s="333" t="s">
        <v>1866</v>
      </c>
      <c r="I3153" s="333" t="s">
        <v>1842</v>
      </c>
      <c r="J3153" s="333" t="s">
        <v>757</v>
      </c>
      <c r="K3153" s="333" t="s">
        <v>741</v>
      </c>
      <c r="L3153" s="334">
        <v>44104</v>
      </c>
      <c r="M3153" s="337">
        <v>0</v>
      </c>
    </row>
    <row r="3154" spans="1:13" hidden="1" x14ac:dyDescent="0.25">
      <c r="A3154" s="334">
        <v>44104</v>
      </c>
      <c r="B3154" s="333" t="s">
        <v>1847</v>
      </c>
      <c r="C3154" s="333" t="s">
        <v>769</v>
      </c>
      <c r="D3154" s="335">
        <v>4</v>
      </c>
      <c r="E3154" s="336">
        <v>750.17</v>
      </c>
      <c r="F3154" s="336">
        <v>-11602.57</v>
      </c>
      <c r="G3154" s="333" t="s">
        <v>1848</v>
      </c>
      <c r="H3154" s="333" t="s">
        <v>1866</v>
      </c>
      <c r="I3154" s="333" t="s">
        <v>1842</v>
      </c>
      <c r="J3154" s="333" t="s">
        <v>757</v>
      </c>
      <c r="K3154" s="333" t="s">
        <v>770</v>
      </c>
      <c r="L3154" s="334">
        <v>44104</v>
      </c>
      <c r="M3154" s="337">
        <v>0</v>
      </c>
    </row>
    <row r="3155" spans="1:13" hidden="1" x14ac:dyDescent="0.25">
      <c r="A3155" s="334">
        <v>44104</v>
      </c>
      <c r="B3155" s="333" t="s">
        <v>1849</v>
      </c>
      <c r="C3155" s="333" t="s">
        <v>769</v>
      </c>
      <c r="D3155" s="335">
        <v>4</v>
      </c>
      <c r="E3155" s="336">
        <v>882.87</v>
      </c>
      <c r="F3155" s="336">
        <v>-10719.7</v>
      </c>
      <c r="G3155" s="333" t="s">
        <v>1850</v>
      </c>
      <c r="H3155" s="333" t="s">
        <v>1866</v>
      </c>
      <c r="I3155" s="333" t="s">
        <v>1842</v>
      </c>
      <c r="J3155" s="333" t="s">
        <v>757</v>
      </c>
      <c r="K3155" s="333" t="s">
        <v>770</v>
      </c>
      <c r="L3155" s="334">
        <v>44104</v>
      </c>
      <c r="M3155" s="337">
        <v>0</v>
      </c>
    </row>
    <row r="3156" spans="1:13" hidden="1" x14ac:dyDescent="0.25">
      <c r="A3156" s="334">
        <v>44104</v>
      </c>
      <c r="B3156" s="333" t="s">
        <v>1867</v>
      </c>
      <c r="C3156" s="333" t="s">
        <v>769</v>
      </c>
      <c r="D3156" s="335">
        <v>4</v>
      </c>
      <c r="E3156" s="336">
        <v>232.2</v>
      </c>
      <c r="F3156" s="336">
        <v>-10487.5</v>
      </c>
      <c r="G3156" s="333" t="s">
        <v>1868</v>
      </c>
      <c r="H3156" s="333" t="s">
        <v>1866</v>
      </c>
      <c r="I3156" s="333" t="s">
        <v>1842</v>
      </c>
      <c r="J3156" s="333" t="s">
        <v>757</v>
      </c>
      <c r="K3156" s="333" t="s">
        <v>770</v>
      </c>
      <c r="L3156" s="334">
        <v>44104</v>
      </c>
      <c r="M3156" s="337">
        <v>0</v>
      </c>
    </row>
    <row r="3157" spans="1:13" hidden="1" x14ac:dyDescent="0.25">
      <c r="A3157" s="334">
        <v>44104</v>
      </c>
      <c r="B3157" s="333" t="s">
        <v>1071</v>
      </c>
      <c r="C3157" s="333" t="s">
        <v>1060</v>
      </c>
      <c r="D3157" s="335">
        <v>4</v>
      </c>
      <c r="E3157" s="336">
        <v>-1865.24</v>
      </c>
      <c r="F3157" s="336">
        <v>-12352.74</v>
      </c>
      <c r="G3157" s="333" t="s">
        <v>1846</v>
      </c>
      <c r="H3157" s="333" t="s">
        <v>1866</v>
      </c>
      <c r="I3157" s="333" t="s">
        <v>1842</v>
      </c>
      <c r="J3157" s="333" t="s">
        <v>757</v>
      </c>
      <c r="K3157" s="333" t="s">
        <v>741</v>
      </c>
      <c r="L3157" s="334">
        <v>44104</v>
      </c>
      <c r="M3157" s="337">
        <v>0</v>
      </c>
    </row>
    <row r="3158" spans="1:13" hidden="1" x14ac:dyDescent="0.25">
      <c r="A3158" s="339">
        <v>44043</v>
      </c>
      <c r="B3158" s="338" t="s">
        <v>1121</v>
      </c>
      <c r="C3158" s="338" t="s">
        <v>1060</v>
      </c>
      <c r="D3158" s="340">
        <v>1</v>
      </c>
      <c r="E3158" s="341">
        <v>225</v>
      </c>
      <c r="F3158" s="341">
        <v>381</v>
      </c>
      <c r="G3158" s="338" t="s">
        <v>1869</v>
      </c>
      <c r="H3158" s="338" t="s">
        <v>1870</v>
      </c>
      <c r="I3158" s="338" t="s">
        <v>895</v>
      </c>
      <c r="J3158" s="338" t="s">
        <v>757</v>
      </c>
      <c r="K3158" s="338" t="s">
        <v>741</v>
      </c>
      <c r="L3158" s="339">
        <v>44043</v>
      </c>
      <c r="M3158" s="342">
        <v>0</v>
      </c>
    </row>
    <row r="3159" spans="1:13" hidden="1" x14ac:dyDescent="0.25">
      <c r="A3159" s="339">
        <v>44043</v>
      </c>
      <c r="B3159" s="338" t="s">
        <v>1121</v>
      </c>
      <c r="C3159" s="338" t="s">
        <v>1060</v>
      </c>
      <c r="D3159" s="340">
        <v>2</v>
      </c>
      <c r="E3159" s="341">
        <v>-225</v>
      </c>
      <c r="F3159" s="341">
        <v>156</v>
      </c>
      <c r="G3159" s="338" t="s">
        <v>1869</v>
      </c>
      <c r="H3159" s="338" t="s">
        <v>1870</v>
      </c>
      <c r="I3159" s="338" t="s">
        <v>895</v>
      </c>
      <c r="J3159" s="338" t="s">
        <v>757</v>
      </c>
      <c r="K3159" s="338" t="s">
        <v>741</v>
      </c>
      <c r="L3159" s="339">
        <v>44043</v>
      </c>
      <c r="M3159" s="342">
        <v>0</v>
      </c>
    </row>
    <row r="3160" spans="1:13" hidden="1" x14ac:dyDescent="0.25">
      <c r="A3160" s="339">
        <v>44074</v>
      </c>
      <c r="B3160" s="338" t="s">
        <v>1067</v>
      </c>
      <c r="C3160" s="338" t="s">
        <v>1060</v>
      </c>
      <c r="D3160" s="340">
        <v>2</v>
      </c>
      <c r="E3160" s="341">
        <v>450</v>
      </c>
      <c r="F3160" s="341">
        <v>606</v>
      </c>
      <c r="G3160" s="338" t="s">
        <v>1871</v>
      </c>
      <c r="H3160" s="338" t="s">
        <v>1870</v>
      </c>
      <c r="I3160" s="338" t="s">
        <v>895</v>
      </c>
      <c r="J3160" s="338" t="s">
        <v>757</v>
      </c>
      <c r="K3160" s="338" t="s">
        <v>741</v>
      </c>
      <c r="L3160" s="339">
        <v>44074</v>
      </c>
      <c r="M3160" s="342">
        <v>0</v>
      </c>
    </row>
    <row r="3161" spans="1:13" hidden="1" x14ac:dyDescent="0.25">
      <c r="A3161" s="339">
        <v>44074</v>
      </c>
      <c r="B3161" s="338" t="s">
        <v>1067</v>
      </c>
      <c r="C3161" s="338" t="s">
        <v>1060</v>
      </c>
      <c r="D3161" s="340">
        <v>3</v>
      </c>
      <c r="E3161" s="341">
        <v>-450</v>
      </c>
      <c r="F3161" s="341">
        <v>156</v>
      </c>
      <c r="G3161" s="338" t="s">
        <v>1871</v>
      </c>
      <c r="H3161" s="338" t="s">
        <v>1870</v>
      </c>
      <c r="I3161" s="338" t="s">
        <v>895</v>
      </c>
      <c r="J3161" s="338" t="s">
        <v>757</v>
      </c>
      <c r="K3161" s="338" t="s">
        <v>741</v>
      </c>
      <c r="L3161" s="339">
        <v>44074</v>
      </c>
      <c r="M3161" s="342">
        <v>0</v>
      </c>
    </row>
    <row r="3162" spans="1:13" hidden="1" x14ac:dyDescent="0.25">
      <c r="A3162" s="339">
        <v>44104</v>
      </c>
      <c r="B3162" s="338" t="s">
        <v>1071</v>
      </c>
      <c r="C3162" s="338" t="s">
        <v>1060</v>
      </c>
      <c r="D3162" s="340">
        <v>3</v>
      </c>
      <c r="E3162" s="341">
        <v>675</v>
      </c>
      <c r="F3162" s="341">
        <v>831</v>
      </c>
      <c r="G3162" s="338" t="s">
        <v>1872</v>
      </c>
      <c r="H3162" s="338" t="s">
        <v>1870</v>
      </c>
      <c r="I3162" s="338" t="s">
        <v>895</v>
      </c>
      <c r="J3162" s="338" t="s">
        <v>757</v>
      </c>
      <c r="K3162" s="338" t="s">
        <v>741</v>
      </c>
      <c r="L3162" s="339">
        <v>44104</v>
      </c>
      <c r="M3162" s="342">
        <v>0</v>
      </c>
    </row>
    <row r="3163" spans="1:13" hidden="1" x14ac:dyDescent="0.25">
      <c r="A3163" s="339">
        <v>44104</v>
      </c>
      <c r="B3163" s="338" t="s">
        <v>1071</v>
      </c>
      <c r="C3163" s="338" t="s">
        <v>1060</v>
      </c>
      <c r="D3163" s="340">
        <v>4</v>
      </c>
      <c r="E3163" s="341">
        <v>-675</v>
      </c>
      <c r="F3163" s="341">
        <v>156</v>
      </c>
      <c r="G3163" s="338" t="s">
        <v>1872</v>
      </c>
      <c r="H3163" s="338" t="s">
        <v>1870</v>
      </c>
      <c r="I3163" s="338" t="s">
        <v>895</v>
      </c>
      <c r="J3163" s="338" t="s">
        <v>757</v>
      </c>
      <c r="K3163" s="338" t="s">
        <v>741</v>
      </c>
      <c r="L3163" s="339">
        <v>44104</v>
      </c>
      <c r="M3163" s="342">
        <v>0</v>
      </c>
    </row>
    <row r="3164" spans="1:13" hidden="1" x14ac:dyDescent="0.25">
      <c r="A3164" s="339">
        <v>44135</v>
      </c>
      <c r="B3164" s="338" t="s">
        <v>1072</v>
      </c>
      <c r="C3164" s="338" t="s">
        <v>1060</v>
      </c>
      <c r="D3164" s="340">
        <v>4</v>
      </c>
      <c r="E3164" s="341">
        <v>900</v>
      </c>
      <c r="F3164" s="341">
        <v>1056</v>
      </c>
      <c r="G3164" s="338" t="s">
        <v>1873</v>
      </c>
      <c r="H3164" s="338" t="s">
        <v>1870</v>
      </c>
      <c r="I3164" s="338" t="s">
        <v>895</v>
      </c>
      <c r="J3164" s="338" t="s">
        <v>757</v>
      </c>
      <c r="K3164" s="338" t="s">
        <v>741</v>
      </c>
      <c r="L3164" s="339">
        <v>44135</v>
      </c>
      <c r="M3164" s="342">
        <v>0</v>
      </c>
    </row>
    <row r="3165" spans="1:13" hidden="1" x14ac:dyDescent="0.25">
      <c r="A3165" s="339">
        <v>44135</v>
      </c>
      <c r="B3165" s="338" t="s">
        <v>1072</v>
      </c>
      <c r="C3165" s="338" t="s">
        <v>1060</v>
      </c>
      <c r="D3165" s="340">
        <v>5</v>
      </c>
      <c r="E3165" s="341">
        <v>-900</v>
      </c>
      <c r="F3165" s="341">
        <v>156</v>
      </c>
      <c r="G3165" s="338" t="s">
        <v>1873</v>
      </c>
      <c r="H3165" s="338" t="s">
        <v>1870</v>
      </c>
      <c r="I3165" s="338" t="s">
        <v>895</v>
      </c>
      <c r="J3165" s="338" t="s">
        <v>757</v>
      </c>
      <c r="K3165" s="338" t="s">
        <v>741</v>
      </c>
      <c r="L3165" s="339">
        <v>44135</v>
      </c>
      <c r="M3165" s="342">
        <v>0</v>
      </c>
    </row>
    <row r="3166" spans="1:13" hidden="1" x14ac:dyDescent="0.25">
      <c r="A3166" s="339">
        <v>44043</v>
      </c>
      <c r="B3166" s="338" t="s">
        <v>1121</v>
      </c>
      <c r="C3166" s="338" t="s">
        <v>1060</v>
      </c>
      <c r="D3166" s="340">
        <v>1</v>
      </c>
      <c r="E3166" s="341">
        <v>120</v>
      </c>
      <c r="F3166" s="341">
        <v>380</v>
      </c>
      <c r="G3166" s="338" t="s">
        <v>1869</v>
      </c>
      <c r="H3166" s="338" t="s">
        <v>1874</v>
      </c>
      <c r="I3166" s="338" t="s">
        <v>895</v>
      </c>
      <c r="J3166" s="338" t="s">
        <v>757</v>
      </c>
      <c r="K3166" s="338" t="s">
        <v>741</v>
      </c>
      <c r="L3166" s="339">
        <v>44043</v>
      </c>
      <c r="M3166" s="342">
        <v>0</v>
      </c>
    </row>
    <row r="3167" spans="1:13" hidden="1" x14ac:dyDescent="0.25">
      <c r="A3167" s="339">
        <v>44043</v>
      </c>
      <c r="B3167" s="338" t="s">
        <v>1121</v>
      </c>
      <c r="C3167" s="338" t="s">
        <v>1060</v>
      </c>
      <c r="D3167" s="340">
        <v>2</v>
      </c>
      <c r="E3167" s="341">
        <v>-120</v>
      </c>
      <c r="F3167" s="341">
        <v>260</v>
      </c>
      <c r="G3167" s="338" t="s">
        <v>1869</v>
      </c>
      <c r="H3167" s="338" t="s">
        <v>1874</v>
      </c>
      <c r="I3167" s="338" t="s">
        <v>895</v>
      </c>
      <c r="J3167" s="338" t="s">
        <v>757</v>
      </c>
      <c r="K3167" s="338" t="s">
        <v>741</v>
      </c>
      <c r="L3167" s="339">
        <v>44043</v>
      </c>
      <c r="M3167" s="342">
        <v>0</v>
      </c>
    </row>
    <row r="3168" spans="1:13" hidden="1" x14ac:dyDescent="0.25">
      <c r="A3168" s="339">
        <v>44074</v>
      </c>
      <c r="B3168" s="338" t="s">
        <v>1067</v>
      </c>
      <c r="C3168" s="338" t="s">
        <v>1060</v>
      </c>
      <c r="D3168" s="340">
        <v>2</v>
      </c>
      <c r="E3168" s="341">
        <v>240</v>
      </c>
      <c r="F3168" s="341">
        <v>500</v>
      </c>
      <c r="G3168" s="338" t="s">
        <v>1871</v>
      </c>
      <c r="H3168" s="338" t="s">
        <v>1874</v>
      </c>
      <c r="I3168" s="338" t="s">
        <v>895</v>
      </c>
      <c r="J3168" s="338" t="s">
        <v>757</v>
      </c>
      <c r="K3168" s="338" t="s">
        <v>741</v>
      </c>
      <c r="L3168" s="339">
        <v>44074</v>
      </c>
      <c r="M3168" s="342">
        <v>0</v>
      </c>
    </row>
    <row r="3169" spans="1:13" hidden="1" x14ac:dyDescent="0.25">
      <c r="A3169" s="339">
        <v>44074</v>
      </c>
      <c r="B3169" s="338" t="s">
        <v>1067</v>
      </c>
      <c r="C3169" s="338" t="s">
        <v>1060</v>
      </c>
      <c r="D3169" s="340">
        <v>3</v>
      </c>
      <c r="E3169" s="341">
        <v>-240</v>
      </c>
      <c r="F3169" s="341">
        <v>260</v>
      </c>
      <c r="G3169" s="338" t="s">
        <v>1871</v>
      </c>
      <c r="H3169" s="338" t="s">
        <v>1874</v>
      </c>
      <c r="I3169" s="338" t="s">
        <v>895</v>
      </c>
      <c r="J3169" s="338" t="s">
        <v>757</v>
      </c>
      <c r="K3169" s="338" t="s">
        <v>741</v>
      </c>
      <c r="L3169" s="339">
        <v>44074</v>
      </c>
      <c r="M3169" s="342">
        <v>0</v>
      </c>
    </row>
    <row r="3170" spans="1:13" hidden="1" x14ac:dyDescent="0.25">
      <c r="A3170" s="339">
        <v>44104</v>
      </c>
      <c r="B3170" s="338" t="s">
        <v>1071</v>
      </c>
      <c r="C3170" s="338" t="s">
        <v>1060</v>
      </c>
      <c r="D3170" s="340">
        <v>3</v>
      </c>
      <c r="E3170" s="341">
        <v>360</v>
      </c>
      <c r="F3170" s="341">
        <v>620</v>
      </c>
      <c r="G3170" s="338" t="s">
        <v>1872</v>
      </c>
      <c r="H3170" s="338" t="s">
        <v>1874</v>
      </c>
      <c r="I3170" s="338" t="s">
        <v>895</v>
      </c>
      <c r="J3170" s="338" t="s">
        <v>757</v>
      </c>
      <c r="K3170" s="338" t="s">
        <v>741</v>
      </c>
      <c r="L3170" s="339">
        <v>44104</v>
      </c>
      <c r="M3170" s="342">
        <v>0</v>
      </c>
    </row>
    <row r="3171" spans="1:13" hidden="1" x14ac:dyDescent="0.25">
      <c r="A3171" s="339">
        <v>44104</v>
      </c>
      <c r="B3171" s="338" t="s">
        <v>1071</v>
      </c>
      <c r="C3171" s="338" t="s">
        <v>1060</v>
      </c>
      <c r="D3171" s="340">
        <v>4</v>
      </c>
      <c r="E3171" s="341">
        <v>-360</v>
      </c>
      <c r="F3171" s="341">
        <v>260</v>
      </c>
      <c r="G3171" s="338" t="s">
        <v>1872</v>
      </c>
      <c r="H3171" s="338" t="s">
        <v>1874</v>
      </c>
      <c r="I3171" s="338" t="s">
        <v>895</v>
      </c>
      <c r="J3171" s="338" t="s">
        <v>757</v>
      </c>
      <c r="K3171" s="338" t="s">
        <v>741</v>
      </c>
      <c r="L3171" s="339">
        <v>44104</v>
      </c>
      <c r="M3171" s="342">
        <v>0</v>
      </c>
    </row>
    <row r="3172" spans="1:13" hidden="1" x14ac:dyDescent="0.25">
      <c r="A3172" s="339">
        <v>44135</v>
      </c>
      <c r="B3172" s="338" t="s">
        <v>1072</v>
      </c>
      <c r="C3172" s="338" t="s">
        <v>1060</v>
      </c>
      <c r="D3172" s="340">
        <v>4</v>
      </c>
      <c r="E3172" s="341">
        <v>480</v>
      </c>
      <c r="F3172" s="341">
        <v>740</v>
      </c>
      <c r="G3172" s="338" t="s">
        <v>1873</v>
      </c>
      <c r="H3172" s="338" t="s">
        <v>1874</v>
      </c>
      <c r="I3172" s="338" t="s">
        <v>895</v>
      </c>
      <c r="J3172" s="338" t="s">
        <v>757</v>
      </c>
      <c r="K3172" s="338" t="s">
        <v>741</v>
      </c>
      <c r="L3172" s="339">
        <v>44135</v>
      </c>
      <c r="M3172" s="342">
        <v>0</v>
      </c>
    </row>
    <row r="3173" spans="1:13" hidden="1" x14ac:dyDescent="0.25">
      <c r="A3173" s="339">
        <v>44135</v>
      </c>
      <c r="B3173" s="338" t="s">
        <v>1072</v>
      </c>
      <c r="C3173" s="338" t="s">
        <v>1060</v>
      </c>
      <c r="D3173" s="340">
        <v>5</v>
      </c>
      <c r="E3173" s="341">
        <v>-480</v>
      </c>
      <c r="F3173" s="341">
        <v>260</v>
      </c>
      <c r="G3173" s="338" t="s">
        <v>1873</v>
      </c>
      <c r="H3173" s="338" t="s">
        <v>1874</v>
      </c>
      <c r="I3173" s="338" t="s">
        <v>895</v>
      </c>
      <c r="J3173" s="338" t="s">
        <v>757</v>
      </c>
      <c r="K3173" s="338" t="s">
        <v>741</v>
      </c>
      <c r="L3173" s="339">
        <v>44135</v>
      </c>
      <c r="M3173" s="342">
        <v>0</v>
      </c>
    </row>
    <row r="3174" spans="1:13" hidden="1" x14ac:dyDescent="0.25">
      <c r="A3174" s="339">
        <v>44104</v>
      </c>
      <c r="B3174" s="338" t="s">
        <v>1071</v>
      </c>
      <c r="C3174" s="338" t="s">
        <v>1060</v>
      </c>
      <c r="D3174" s="340">
        <v>3</v>
      </c>
      <c r="E3174" s="341">
        <v>80</v>
      </c>
      <c r="F3174" s="341">
        <v>548</v>
      </c>
      <c r="G3174" s="338" t="s">
        <v>1872</v>
      </c>
      <c r="H3174" s="338" t="s">
        <v>1875</v>
      </c>
      <c r="I3174" s="338" t="s">
        <v>895</v>
      </c>
      <c r="J3174" s="338" t="s">
        <v>757</v>
      </c>
      <c r="K3174" s="338" t="s">
        <v>741</v>
      </c>
      <c r="L3174" s="339">
        <v>44104</v>
      </c>
      <c r="M3174" s="342">
        <v>0</v>
      </c>
    </row>
    <row r="3175" spans="1:13" hidden="1" x14ac:dyDescent="0.25">
      <c r="A3175" s="339">
        <v>44104</v>
      </c>
      <c r="B3175" s="338" t="s">
        <v>1071</v>
      </c>
      <c r="C3175" s="338" t="s">
        <v>1060</v>
      </c>
      <c r="D3175" s="340">
        <v>4</v>
      </c>
      <c r="E3175" s="341">
        <v>-80</v>
      </c>
      <c r="F3175" s="341">
        <v>468</v>
      </c>
      <c r="G3175" s="338" t="s">
        <v>1872</v>
      </c>
      <c r="H3175" s="338" t="s">
        <v>1875</v>
      </c>
      <c r="I3175" s="338" t="s">
        <v>895</v>
      </c>
      <c r="J3175" s="338" t="s">
        <v>757</v>
      </c>
      <c r="K3175" s="338" t="s">
        <v>741</v>
      </c>
      <c r="L3175" s="339">
        <v>44104</v>
      </c>
      <c r="M3175" s="342">
        <v>0</v>
      </c>
    </row>
    <row r="3176" spans="1:13" hidden="1" x14ac:dyDescent="0.25">
      <c r="A3176" s="339">
        <v>44135</v>
      </c>
      <c r="B3176" s="338" t="s">
        <v>1072</v>
      </c>
      <c r="C3176" s="338" t="s">
        <v>1060</v>
      </c>
      <c r="D3176" s="340">
        <v>4</v>
      </c>
      <c r="E3176" s="341">
        <v>160</v>
      </c>
      <c r="F3176" s="341">
        <v>628</v>
      </c>
      <c r="G3176" s="338" t="s">
        <v>1873</v>
      </c>
      <c r="H3176" s="338" t="s">
        <v>1875</v>
      </c>
      <c r="I3176" s="338" t="s">
        <v>895</v>
      </c>
      <c r="J3176" s="338" t="s">
        <v>757</v>
      </c>
      <c r="K3176" s="338" t="s">
        <v>741</v>
      </c>
      <c r="L3176" s="339">
        <v>44135</v>
      </c>
      <c r="M3176" s="342">
        <v>0</v>
      </c>
    </row>
    <row r="3177" spans="1:13" hidden="1" x14ac:dyDescent="0.25">
      <c r="A3177" s="339">
        <v>44135</v>
      </c>
      <c r="B3177" s="338" t="s">
        <v>1072</v>
      </c>
      <c r="C3177" s="338" t="s">
        <v>1060</v>
      </c>
      <c r="D3177" s="340">
        <v>5</v>
      </c>
      <c r="E3177" s="341">
        <v>-160</v>
      </c>
      <c r="F3177" s="341">
        <v>468</v>
      </c>
      <c r="G3177" s="338" t="s">
        <v>1873</v>
      </c>
      <c r="H3177" s="338" t="s">
        <v>1875</v>
      </c>
      <c r="I3177" s="338" t="s">
        <v>895</v>
      </c>
      <c r="J3177" s="338" t="s">
        <v>757</v>
      </c>
      <c r="K3177" s="338" t="s">
        <v>741</v>
      </c>
      <c r="L3177" s="339">
        <v>44135</v>
      </c>
      <c r="M3177" s="342">
        <v>0</v>
      </c>
    </row>
    <row r="3178" spans="1:13" hidden="1" x14ac:dyDescent="0.25">
      <c r="A3178" s="339">
        <v>44043</v>
      </c>
      <c r="B3178" s="338" t="s">
        <v>1121</v>
      </c>
      <c r="C3178" s="338" t="s">
        <v>1060</v>
      </c>
      <c r="D3178" s="340">
        <v>1</v>
      </c>
      <c r="E3178" s="341">
        <v>240</v>
      </c>
      <c r="F3178" s="341">
        <v>760</v>
      </c>
      <c r="G3178" s="338" t="s">
        <v>1869</v>
      </c>
      <c r="H3178" s="338" t="s">
        <v>1876</v>
      </c>
      <c r="I3178" s="338" t="s">
        <v>895</v>
      </c>
      <c r="J3178" s="338" t="s">
        <v>757</v>
      </c>
      <c r="K3178" s="338" t="s">
        <v>741</v>
      </c>
      <c r="L3178" s="339">
        <v>44043</v>
      </c>
      <c r="M3178" s="342">
        <v>0</v>
      </c>
    </row>
    <row r="3179" spans="1:13" hidden="1" x14ac:dyDescent="0.25">
      <c r="A3179" s="339">
        <v>44043</v>
      </c>
      <c r="B3179" s="338" t="s">
        <v>1121</v>
      </c>
      <c r="C3179" s="338" t="s">
        <v>1060</v>
      </c>
      <c r="D3179" s="340">
        <v>2</v>
      </c>
      <c r="E3179" s="341">
        <v>-240</v>
      </c>
      <c r="F3179" s="341">
        <v>520</v>
      </c>
      <c r="G3179" s="338" t="s">
        <v>1869</v>
      </c>
      <c r="H3179" s="338" t="s">
        <v>1876</v>
      </c>
      <c r="I3179" s="338" t="s">
        <v>895</v>
      </c>
      <c r="J3179" s="338" t="s">
        <v>757</v>
      </c>
      <c r="K3179" s="338" t="s">
        <v>741</v>
      </c>
      <c r="L3179" s="339">
        <v>44043</v>
      </c>
      <c r="M3179" s="342">
        <v>0</v>
      </c>
    </row>
    <row r="3180" spans="1:13" hidden="1" x14ac:dyDescent="0.25">
      <c r="A3180" s="339">
        <v>44074</v>
      </c>
      <c r="B3180" s="338" t="s">
        <v>1067</v>
      </c>
      <c r="C3180" s="338" t="s">
        <v>1060</v>
      </c>
      <c r="D3180" s="340">
        <v>2</v>
      </c>
      <c r="E3180" s="341">
        <v>480</v>
      </c>
      <c r="F3180" s="341">
        <v>1000</v>
      </c>
      <c r="G3180" s="338" t="s">
        <v>1871</v>
      </c>
      <c r="H3180" s="338" t="s">
        <v>1876</v>
      </c>
      <c r="I3180" s="338" t="s">
        <v>895</v>
      </c>
      <c r="J3180" s="338" t="s">
        <v>757</v>
      </c>
      <c r="K3180" s="338" t="s">
        <v>741</v>
      </c>
      <c r="L3180" s="339">
        <v>44074</v>
      </c>
      <c r="M3180" s="342">
        <v>0</v>
      </c>
    </row>
    <row r="3181" spans="1:13" hidden="1" x14ac:dyDescent="0.25">
      <c r="A3181" s="339">
        <v>44074</v>
      </c>
      <c r="B3181" s="338" t="s">
        <v>1067</v>
      </c>
      <c r="C3181" s="338" t="s">
        <v>1060</v>
      </c>
      <c r="D3181" s="340">
        <v>3</v>
      </c>
      <c r="E3181" s="341">
        <v>-480</v>
      </c>
      <c r="F3181" s="341">
        <v>520</v>
      </c>
      <c r="G3181" s="338" t="s">
        <v>1871</v>
      </c>
      <c r="H3181" s="338" t="s">
        <v>1876</v>
      </c>
      <c r="I3181" s="338" t="s">
        <v>895</v>
      </c>
      <c r="J3181" s="338" t="s">
        <v>757</v>
      </c>
      <c r="K3181" s="338" t="s">
        <v>741</v>
      </c>
      <c r="L3181" s="339">
        <v>44074</v>
      </c>
      <c r="M3181" s="342">
        <v>0</v>
      </c>
    </row>
    <row r="3182" spans="1:13" hidden="1" x14ac:dyDescent="0.25">
      <c r="A3182" s="339">
        <v>44104</v>
      </c>
      <c r="B3182" s="338" t="s">
        <v>1071</v>
      </c>
      <c r="C3182" s="338" t="s">
        <v>1060</v>
      </c>
      <c r="D3182" s="340">
        <v>3</v>
      </c>
      <c r="E3182" s="341">
        <v>720</v>
      </c>
      <c r="F3182" s="341">
        <v>1240</v>
      </c>
      <c r="G3182" s="338" t="s">
        <v>1872</v>
      </c>
      <c r="H3182" s="338" t="s">
        <v>1876</v>
      </c>
      <c r="I3182" s="338" t="s">
        <v>895</v>
      </c>
      <c r="J3182" s="338" t="s">
        <v>757</v>
      </c>
      <c r="K3182" s="338" t="s">
        <v>741</v>
      </c>
      <c r="L3182" s="339">
        <v>44104</v>
      </c>
      <c r="M3182" s="342">
        <v>0</v>
      </c>
    </row>
    <row r="3183" spans="1:13" hidden="1" x14ac:dyDescent="0.25">
      <c r="A3183" s="339">
        <v>44104</v>
      </c>
      <c r="B3183" s="338" t="s">
        <v>1071</v>
      </c>
      <c r="C3183" s="338" t="s">
        <v>1060</v>
      </c>
      <c r="D3183" s="340">
        <v>4</v>
      </c>
      <c r="E3183" s="341">
        <v>-720</v>
      </c>
      <c r="F3183" s="341">
        <v>520</v>
      </c>
      <c r="G3183" s="338" t="s">
        <v>1872</v>
      </c>
      <c r="H3183" s="338" t="s">
        <v>1876</v>
      </c>
      <c r="I3183" s="338" t="s">
        <v>895</v>
      </c>
      <c r="J3183" s="338" t="s">
        <v>757</v>
      </c>
      <c r="K3183" s="338" t="s">
        <v>741</v>
      </c>
      <c r="L3183" s="339">
        <v>44104</v>
      </c>
      <c r="M3183" s="342">
        <v>0</v>
      </c>
    </row>
    <row r="3184" spans="1:13" hidden="1" x14ac:dyDescent="0.25">
      <c r="A3184" s="339">
        <v>44135</v>
      </c>
      <c r="B3184" s="338" t="s">
        <v>1072</v>
      </c>
      <c r="C3184" s="338" t="s">
        <v>1060</v>
      </c>
      <c r="D3184" s="340">
        <v>4</v>
      </c>
      <c r="E3184" s="341">
        <v>960</v>
      </c>
      <c r="F3184" s="341">
        <v>1480</v>
      </c>
      <c r="G3184" s="338" t="s">
        <v>1873</v>
      </c>
      <c r="H3184" s="338" t="s">
        <v>1876</v>
      </c>
      <c r="I3184" s="338" t="s">
        <v>895</v>
      </c>
      <c r="J3184" s="338" t="s">
        <v>757</v>
      </c>
      <c r="K3184" s="338" t="s">
        <v>741</v>
      </c>
      <c r="L3184" s="339">
        <v>44135</v>
      </c>
      <c r="M3184" s="342">
        <v>0</v>
      </c>
    </row>
    <row r="3185" spans="1:13" hidden="1" x14ac:dyDescent="0.25">
      <c r="A3185" s="339">
        <v>44135</v>
      </c>
      <c r="B3185" s="338" t="s">
        <v>1072</v>
      </c>
      <c r="C3185" s="338" t="s">
        <v>1060</v>
      </c>
      <c r="D3185" s="340">
        <v>5</v>
      </c>
      <c r="E3185" s="341">
        <v>-960</v>
      </c>
      <c r="F3185" s="341">
        <v>520</v>
      </c>
      <c r="G3185" s="338" t="s">
        <v>1873</v>
      </c>
      <c r="H3185" s="338" t="s">
        <v>1876</v>
      </c>
      <c r="I3185" s="338" t="s">
        <v>895</v>
      </c>
      <c r="J3185" s="338" t="s">
        <v>757</v>
      </c>
      <c r="K3185" s="338" t="s">
        <v>741</v>
      </c>
      <c r="L3185" s="339">
        <v>44135</v>
      </c>
      <c r="M3185" s="342">
        <v>0</v>
      </c>
    </row>
    <row r="3186" spans="1:13" hidden="1" x14ac:dyDescent="0.25">
      <c r="A3186" s="344">
        <v>44161</v>
      </c>
      <c r="B3186" s="343" t="s">
        <v>1877</v>
      </c>
      <c r="C3186" s="343" t="s">
        <v>769</v>
      </c>
      <c r="D3186" s="345">
        <v>5</v>
      </c>
      <c r="E3186" s="346">
        <v>129.86000000000001</v>
      </c>
      <c r="F3186" s="346">
        <v>129.86000000000001</v>
      </c>
      <c r="G3186" s="343" t="s">
        <v>1878</v>
      </c>
      <c r="H3186" s="343" t="s">
        <v>1879</v>
      </c>
      <c r="I3186" s="343" t="s">
        <v>1880</v>
      </c>
      <c r="J3186" s="343" t="s">
        <v>757</v>
      </c>
      <c r="K3186" s="343" t="s">
        <v>770</v>
      </c>
      <c r="L3186" s="344">
        <v>44161</v>
      </c>
      <c r="M3186" s="347">
        <v>0</v>
      </c>
    </row>
    <row r="3187" spans="1:13" hidden="1" x14ac:dyDescent="0.25">
      <c r="A3187" s="344">
        <v>44076</v>
      </c>
      <c r="B3187" s="343" t="s">
        <v>1881</v>
      </c>
      <c r="C3187" s="343" t="s">
        <v>769</v>
      </c>
      <c r="D3187" s="345">
        <v>3</v>
      </c>
      <c r="E3187" s="346">
        <v>12.36</v>
      </c>
      <c r="F3187" s="346">
        <v>142.22</v>
      </c>
      <c r="G3187" s="343" t="s">
        <v>1882</v>
      </c>
      <c r="H3187" s="343" t="s">
        <v>1883</v>
      </c>
      <c r="I3187" s="343" t="s">
        <v>1880</v>
      </c>
      <c r="J3187" s="343" t="s">
        <v>757</v>
      </c>
      <c r="K3187" s="343" t="s">
        <v>770</v>
      </c>
      <c r="L3187" s="344">
        <v>44076</v>
      </c>
      <c r="M3187" s="347">
        <v>0</v>
      </c>
    </row>
    <row r="3188" spans="1:13" hidden="1" x14ac:dyDescent="0.25">
      <c r="A3188" s="344">
        <v>44161</v>
      </c>
      <c r="B3188" s="343" t="s">
        <v>1877</v>
      </c>
      <c r="C3188" s="343" t="s">
        <v>769</v>
      </c>
      <c r="D3188" s="345">
        <v>5</v>
      </c>
      <c r="E3188" s="346">
        <v>129.87</v>
      </c>
      <c r="F3188" s="346">
        <v>272.08999999999997</v>
      </c>
      <c r="G3188" s="343" t="s">
        <v>1878</v>
      </c>
      <c r="H3188" s="343" t="s">
        <v>1883</v>
      </c>
      <c r="I3188" s="343" t="s">
        <v>1880</v>
      </c>
      <c r="J3188" s="343" t="s">
        <v>757</v>
      </c>
      <c r="K3188" s="343" t="s">
        <v>770</v>
      </c>
      <c r="L3188" s="344">
        <v>44161</v>
      </c>
      <c r="M3188" s="347">
        <v>0</v>
      </c>
    </row>
    <row r="3189" spans="1:13" hidden="1" x14ac:dyDescent="0.25">
      <c r="A3189" s="344">
        <v>44257</v>
      </c>
      <c r="B3189" s="343" t="s">
        <v>1884</v>
      </c>
      <c r="C3189" s="343" t="s">
        <v>769</v>
      </c>
      <c r="D3189" s="345">
        <v>10</v>
      </c>
      <c r="E3189" s="346">
        <v>30.3</v>
      </c>
      <c r="F3189" s="346">
        <v>302.39</v>
      </c>
      <c r="G3189" s="343" t="s">
        <v>1885</v>
      </c>
      <c r="H3189" s="343" t="s">
        <v>1883</v>
      </c>
      <c r="I3189" s="343" t="s">
        <v>1880</v>
      </c>
      <c r="J3189" s="343" t="s">
        <v>757</v>
      </c>
      <c r="K3189" s="343" t="s">
        <v>770</v>
      </c>
      <c r="L3189" s="344">
        <v>44257</v>
      </c>
      <c r="M3189" s="347">
        <v>0</v>
      </c>
    </row>
    <row r="3190" spans="1:13" hidden="1" x14ac:dyDescent="0.25">
      <c r="A3190" s="344">
        <v>44280</v>
      </c>
      <c r="B3190" s="343" t="s">
        <v>1886</v>
      </c>
      <c r="C3190" s="343" t="s">
        <v>769</v>
      </c>
      <c r="D3190" s="345">
        <v>10</v>
      </c>
      <c r="E3190" s="346">
        <v>60.6</v>
      </c>
      <c r="F3190" s="346">
        <v>362.99</v>
      </c>
      <c r="G3190" s="343" t="s">
        <v>1887</v>
      </c>
      <c r="H3190" s="343" t="s">
        <v>1883</v>
      </c>
      <c r="I3190" s="343" t="s">
        <v>1880</v>
      </c>
      <c r="J3190" s="343" t="s">
        <v>757</v>
      </c>
      <c r="K3190" s="343" t="s">
        <v>770</v>
      </c>
      <c r="L3190" s="344">
        <v>44280</v>
      </c>
      <c r="M3190" s="347">
        <v>0</v>
      </c>
    </row>
    <row r="3191" spans="1:13" hidden="1" x14ac:dyDescent="0.25">
      <c r="A3191" s="344">
        <v>44280</v>
      </c>
      <c r="B3191" s="343" t="s">
        <v>1888</v>
      </c>
      <c r="C3191" s="343" t="s">
        <v>769</v>
      </c>
      <c r="D3191" s="345">
        <v>10</v>
      </c>
      <c r="E3191" s="346">
        <v>45.45</v>
      </c>
      <c r="F3191" s="346">
        <v>408.44</v>
      </c>
      <c r="G3191" s="343" t="s">
        <v>1887</v>
      </c>
      <c r="H3191" s="343" t="s">
        <v>1883</v>
      </c>
      <c r="I3191" s="343" t="s">
        <v>1880</v>
      </c>
      <c r="J3191" s="343" t="s">
        <v>757</v>
      </c>
      <c r="K3191" s="343" t="s">
        <v>770</v>
      </c>
      <c r="L3191" s="344">
        <v>44280</v>
      </c>
      <c r="M3191" s="347">
        <v>0</v>
      </c>
    </row>
    <row r="3192" spans="1:13" hidden="1" x14ac:dyDescent="0.25">
      <c r="A3192" s="344">
        <v>44301</v>
      </c>
      <c r="B3192" s="343" t="s">
        <v>1889</v>
      </c>
      <c r="C3192" s="343" t="s">
        <v>1059</v>
      </c>
      <c r="D3192" s="345">
        <v>10</v>
      </c>
      <c r="E3192" s="346">
        <v>-20</v>
      </c>
      <c r="F3192" s="346">
        <v>388.44</v>
      </c>
      <c r="G3192" s="343" t="s">
        <v>1890</v>
      </c>
      <c r="H3192" s="343" t="s">
        <v>1883</v>
      </c>
      <c r="I3192" s="343" t="s">
        <v>1880</v>
      </c>
      <c r="J3192" s="343" t="s">
        <v>757</v>
      </c>
      <c r="K3192" s="343" t="s">
        <v>741</v>
      </c>
      <c r="L3192" s="344">
        <v>44301</v>
      </c>
      <c r="M3192" s="347">
        <v>0</v>
      </c>
    </row>
    <row r="3193" spans="1:13" hidden="1" x14ac:dyDescent="0.25">
      <c r="A3193" s="344">
        <v>44043</v>
      </c>
      <c r="B3193" s="343" t="s">
        <v>1891</v>
      </c>
      <c r="C3193" s="343" t="s">
        <v>1060</v>
      </c>
      <c r="D3193" s="345">
        <v>1</v>
      </c>
      <c r="E3193" s="346">
        <v>91.77</v>
      </c>
      <c r="F3193" s="346">
        <v>480.21</v>
      </c>
      <c r="G3193" s="343" t="s">
        <v>1892</v>
      </c>
      <c r="H3193" s="343" t="s">
        <v>1893</v>
      </c>
      <c r="I3193" s="343" t="s">
        <v>1880</v>
      </c>
      <c r="J3193" s="343" t="s">
        <v>757</v>
      </c>
      <c r="K3193" s="343" t="s">
        <v>741</v>
      </c>
      <c r="L3193" s="344">
        <v>44043</v>
      </c>
      <c r="M3193" s="347">
        <v>0</v>
      </c>
    </row>
    <row r="3194" spans="1:13" hidden="1" x14ac:dyDescent="0.25">
      <c r="A3194" s="344">
        <v>44043</v>
      </c>
      <c r="B3194" s="343" t="s">
        <v>1891</v>
      </c>
      <c r="C3194" s="343" t="s">
        <v>1060</v>
      </c>
      <c r="D3194" s="345">
        <v>2</v>
      </c>
      <c r="E3194" s="346">
        <v>-91.77</v>
      </c>
      <c r="F3194" s="346">
        <v>388.44</v>
      </c>
      <c r="G3194" s="343" t="s">
        <v>1892</v>
      </c>
      <c r="H3194" s="343" t="s">
        <v>1893</v>
      </c>
      <c r="I3194" s="343" t="s">
        <v>1880</v>
      </c>
      <c r="J3194" s="343" t="s">
        <v>757</v>
      </c>
      <c r="K3194" s="343" t="s">
        <v>741</v>
      </c>
      <c r="L3194" s="344">
        <v>44043</v>
      </c>
      <c r="M3194" s="347">
        <v>0</v>
      </c>
    </row>
    <row r="3195" spans="1:13" hidden="1" x14ac:dyDescent="0.25">
      <c r="A3195" s="344">
        <v>44043</v>
      </c>
      <c r="B3195" s="343" t="s">
        <v>1894</v>
      </c>
      <c r="C3195" s="343" t="s">
        <v>769</v>
      </c>
      <c r="D3195" s="345">
        <v>2</v>
      </c>
      <c r="E3195" s="346">
        <v>91.77</v>
      </c>
      <c r="F3195" s="346">
        <v>480.21</v>
      </c>
      <c r="G3195" s="343" t="s">
        <v>1895</v>
      </c>
      <c r="H3195" s="343" t="s">
        <v>1893</v>
      </c>
      <c r="I3195" s="343" t="s">
        <v>1880</v>
      </c>
      <c r="J3195" s="343" t="s">
        <v>757</v>
      </c>
      <c r="K3195" s="343" t="s">
        <v>770</v>
      </c>
      <c r="L3195" s="344">
        <v>44043</v>
      </c>
      <c r="M3195" s="347">
        <v>0</v>
      </c>
    </row>
    <row r="3196" spans="1:13" hidden="1" x14ac:dyDescent="0.25">
      <c r="A3196" s="344">
        <v>44074</v>
      </c>
      <c r="B3196" s="343" t="s">
        <v>1896</v>
      </c>
      <c r="C3196" s="343" t="s">
        <v>1060</v>
      </c>
      <c r="D3196" s="345">
        <v>2</v>
      </c>
      <c r="E3196" s="346">
        <v>61.18</v>
      </c>
      <c r="F3196" s="346">
        <v>541.39</v>
      </c>
      <c r="G3196" s="343" t="s">
        <v>1897</v>
      </c>
      <c r="H3196" s="343" t="s">
        <v>1893</v>
      </c>
      <c r="I3196" s="343" t="s">
        <v>1880</v>
      </c>
      <c r="J3196" s="343" t="s">
        <v>757</v>
      </c>
      <c r="K3196" s="343" t="s">
        <v>741</v>
      </c>
      <c r="L3196" s="344">
        <v>44074</v>
      </c>
      <c r="M3196" s="347">
        <v>0</v>
      </c>
    </row>
    <row r="3197" spans="1:13" hidden="1" x14ac:dyDescent="0.25">
      <c r="A3197" s="344">
        <v>44074</v>
      </c>
      <c r="B3197" s="343" t="s">
        <v>1896</v>
      </c>
      <c r="C3197" s="343" t="s">
        <v>1060</v>
      </c>
      <c r="D3197" s="345">
        <v>3</v>
      </c>
      <c r="E3197" s="346">
        <v>-61.18</v>
      </c>
      <c r="F3197" s="346">
        <v>480.21</v>
      </c>
      <c r="G3197" s="343" t="s">
        <v>1897</v>
      </c>
      <c r="H3197" s="343" t="s">
        <v>1893</v>
      </c>
      <c r="I3197" s="343" t="s">
        <v>1880</v>
      </c>
      <c r="J3197" s="343" t="s">
        <v>757</v>
      </c>
      <c r="K3197" s="343" t="s">
        <v>741</v>
      </c>
      <c r="L3197" s="344">
        <v>44074</v>
      </c>
      <c r="M3197" s="347">
        <v>0</v>
      </c>
    </row>
    <row r="3198" spans="1:13" hidden="1" x14ac:dyDescent="0.25">
      <c r="A3198" s="344">
        <v>44085</v>
      </c>
      <c r="B3198" s="343" t="s">
        <v>1898</v>
      </c>
      <c r="C3198" s="343" t="s">
        <v>1059</v>
      </c>
      <c r="D3198" s="345">
        <v>3</v>
      </c>
      <c r="E3198" s="346">
        <v>61.18</v>
      </c>
      <c r="F3198" s="346">
        <v>541.39</v>
      </c>
      <c r="G3198" s="343" t="s">
        <v>1899</v>
      </c>
      <c r="H3198" s="343" t="s">
        <v>1893</v>
      </c>
      <c r="I3198" s="343" t="s">
        <v>1880</v>
      </c>
      <c r="J3198" s="343" t="s">
        <v>757</v>
      </c>
      <c r="K3198" s="343" t="s">
        <v>741</v>
      </c>
      <c r="L3198" s="344">
        <v>44085</v>
      </c>
      <c r="M3198" s="347">
        <v>0</v>
      </c>
    </row>
    <row r="3199" spans="1:13" hidden="1" x14ac:dyDescent="0.25">
      <c r="A3199" s="344">
        <v>44104</v>
      </c>
      <c r="B3199" s="343" t="s">
        <v>1900</v>
      </c>
      <c r="C3199" s="343" t="s">
        <v>1060</v>
      </c>
      <c r="D3199" s="345">
        <v>3</v>
      </c>
      <c r="E3199" s="346">
        <v>61.18</v>
      </c>
      <c r="F3199" s="346">
        <v>602.57000000000005</v>
      </c>
      <c r="G3199" s="343" t="s">
        <v>1901</v>
      </c>
      <c r="H3199" s="343" t="s">
        <v>1893</v>
      </c>
      <c r="I3199" s="343" t="s">
        <v>1880</v>
      </c>
      <c r="J3199" s="343" t="s">
        <v>757</v>
      </c>
      <c r="K3199" s="343" t="s">
        <v>741</v>
      </c>
      <c r="L3199" s="344">
        <v>44104</v>
      </c>
      <c r="M3199" s="347">
        <v>0</v>
      </c>
    </row>
    <row r="3200" spans="1:13" hidden="1" x14ac:dyDescent="0.25">
      <c r="A3200" s="344">
        <v>44104</v>
      </c>
      <c r="B3200" s="343" t="s">
        <v>1902</v>
      </c>
      <c r="C3200" s="343" t="s">
        <v>769</v>
      </c>
      <c r="D3200" s="345">
        <v>4</v>
      </c>
      <c r="E3200" s="346">
        <v>114.72</v>
      </c>
      <c r="F3200" s="346">
        <v>717.29</v>
      </c>
      <c r="G3200" s="343" t="s">
        <v>1903</v>
      </c>
      <c r="H3200" s="343" t="s">
        <v>1893</v>
      </c>
      <c r="I3200" s="343" t="s">
        <v>1880</v>
      </c>
      <c r="J3200" s="343" t="s">
        <v>757</v>
      </c>
      <c r="K3200" s="343" t="s">
        <v>770</v>
      </c>
      <c r="L3200" s="344">
        <v>44104</v>
      </c>
      <c r="M3200" s="347">
        <v>0</v>
      </c>
    </row>
    <row r="3201" spans="1:13" hidden="1" x14ac:dyDescent="0.25">
      <c r="A3201" s="344">
        <v>44104</v>
      </c>
      <c r="B3201" s="343" t="s">
        <v>1900</v>
      </c>
      <c r="C3201" s="343" t="s">
        <v>1060</v>
      </c>
      <c r="D3201" s="345">
        <v>4</v>
      </c>
      <c r="E3201" s="346">
        <v>-61.18</v>
      </c>
      <c r="F3201" s="346">
        <v>656.11</v>
      </c>
      <c r="G3201" s="343" t="s">
        <v>1901</v>
      </c>
      <c r="H3201" s="343" t="s">
        <v>1893</v>
      </c>
      <c r="I3201" s="343" t="s">
        <v>1880</v>
      </c>
      <c r="J3201" s="343" t="s">
        <v>757</v>
      </c>
      <c r="K3201" s="343" t="s">
        <v>741</v>
      </c>
      <c r="L3201" s="344">
        <v>44104</v>
      </c>
      <c r="M3201" s="347">
        <v>0</v>
      </c>
    </row>
    <row r="3202" spans="1:13" hidden="1" x14ac:dyDescent="0.25">
      <c r="A3202" s="344">
        <v>44135</v>
      </c>
      <c r="B3202" s="343" t="s">
        <v>1904</v>
      </c>
      <c r="C3202" s="343" t="s">
        <v>1060</v>
      </c>
      <c r="D3202" s="345">
        <v>4</v>
      </c>
      <c r="E3202" s="346">
        <v>172.07</v>
      </c>
      <c r="F3202" s="346">
        <v>828.18</v>
      </c>
      <c r="G3202" s="343" t="s">
        <v>1905</v>
      </c>
      <c r="H3202" s="343" t="s">
        <v>1893</v>
      </c>
      <c r="I3202" s="343" t="s">
        <v>1880</v>
      </c>
      <c r="J3202" s="343" t="s">
        <v>757</v>
      </c>
      <c r="K3202" s="343" t="s">
        <v>741</v>
      </c>
      <c r="L3202" s="344">
        <v>44135</v>
      </c>
      <c r="M3202" s="347">
        <v>0</v>
      </c>
    </row>
    <row r="3203" spans="1:13" hidden="1" x14ac:dyDescent="0.25">
      <c r="A3203" s="344">
        <v>44135</v>
      </c>
      <c r="B3203" s="343" t="s">
        <v>1904</v>
      </c>
      <c r="C3203" s="343" t="s">
        <v>1060</v>
      </c>
      <c r="D3203" s="345">
        <v>5</v>
      </c>
      <c r="E3203" s="346">
        <v>-172.07</v>
      </c>
      <c r="F3203" s="346">
        <v>656.11</v>
      </c>
      <c r="G3203" s="343" t="s">
        <v>1905</v>
      </c>
      <c r="H3203" s="343" t="s">
        <v>1893</v>
      </c>
      <c r="I3203" s="343" t="s">
        <v>1880</v>
      </c>
      <c r="J3203" s="343" t="s">
        <v>757</v>
      </c>
      <c r="K3203" s="343" t="s">
        <v>741</v>
      </c>
      <c r="L3203" s="344">
        <v>44135</v>
      </c>
      <c r="M3203" s="347">
        <v>0</v>
      </c>
    </row>
    <row r="3204" spans="1:13" hidden="1" x14ac:dyDescent="0.25">
      <c r="A3204" s="344">
        <v>44161</v>
      </c>
      <c r="B3204" s="343" t="s">
        <v>1877</v>
      </c>
      <c r="C3204" s="343" t="s">
        <v>769</v>
      </c>
      <c r="D3204" s="345">
        <v>5</v>
      </c>
      <c r="E3204" s="346">
        <v>129.87</v>
      </c>
      <c r="F3204" s="346">
        <v>785.98</v>
      </c>
      <c r="G3204" s="343" t="s">
        <v>1878</v>
      </c>
      <c r="H3204" s="343" t="s">
        <v>1893</v>
      </c>
      <c r="I3204" s="343" t="s">
        <v>1880</v>
      </c>
      <c r="J3204" s="343" t="s">
        <v>757</v>
      </c>
      <c r="K3204" s="343" t="s">
        <v>770</v>
      </c>
      <c r="L3204" s="344">
        <v>44161</v>
      </c>
      <c r="M3204" s="347">
        <v>0</v>
      </c>
    </row>
    <row r="3205" spans="1:13" hidden="1" x14ac:dyDescent="0.25">
      <c r="A3205" s="344">
        <v>44165</v>
      </c>
      <c r="B3205" s="343" t="s">
        <v>1906</v>
      </c>
      <c r="C3205" s="343" t="s">
        <v>1060</v>
      </c>
      <c r="D3205" s="345">
        <v>5</v>
      </c>
      <c r="E3205" s="346">
        <v>344.15</v>
      </c>
      <c r="F3205" s="346">
        <v>1130.1300000000001</v>
      </c>
      <c r="G3205" s="343" t="s">
        <v>1907</v>
      </c>
      <c r="H3205" s="343" t="s">
        <v>1893</v>
      </c>
      <c r="I3205" s="343" t="s">
        <v>1880</v>
      </c>
      <c r="J3205" s="343" t="s">
        <v>757</v>
      </c>
      <c r="K3205" s="343" t="s">
        <v>741</v>
      </c>
      <c r="L3205" s="344">
        <v>44165</v>
      </c>
      <c r="M3205" s="347">
        <v>0</v>
      </c>
    </row>
    <row r="3206" spans="1:13" hidden="1" x14ac:dyDescent="0.25">
      <c r="A3206" s="344">
        <v>44135</v>
      </c>
      <c r="B3206" s="343" t="s">
        <v>1908</v>
      </c>
      <c r="C3206" s="343" t="s">
        <v>769</v>
      </c>
      <c r="D3206" s="345">
        <v>6</v>
      </c>
      <c r="E3206" s="346">
        <v>172.07</v>
      </c>
      <c r="F3206" s="346">
        <v>1302.2</v>
      </c>
      <c r="G3206" s="343" t="s">
        <v>1909</v>
      </c>
      <c r="H3206" s="343" t="s">
        <v>1893</v>
      </c>
      <c r="I3206" s="343" t="s">
        <v>1880</v>
      </c>
      <c r="J3206" s="343" t="s">
        <v>757</v>
      </c>
      <c r="K3206" s="343" t="s">
        <v>770</v>
      </c>
      <c r="L3206" s="344">
        <v>44135</v>
      </c>
      <c r="M3206" s="347">
        <v>0</v>
      </c>
    </row>
    <row r="3207" spans="1:13" hidden="1" x14ac:dyDescent="0.25">
      <c r="A3207" s="344">
        <v>44165</v>
      </c>
      <c r="B3207" s="343" t="s">
        <v>1906</v>
      </c>
      <c r="C3207" s="343" t="s">
        <v>1060</v>
      </c>
      <c r="D3207" s="345">
        <v>6</v>
      </c>
      <c r="E3207" s="346">
        <v>-344.15</v>
      </c>
      <c r="F3207" s="346">
        <v>958.05</v>
      </c>
      <c r="G3207" s="343" t="s">
        <v>1907</v>
      </c>
      <c r="H3207" s="343" t="s">
        <v>1893</v>
      </c>
      <c r="I3207" s="343" t="s">
        <v>1880</v>
      </c>
      <c r="J3207" s="343" t="s">
        <v>757</v>
      </c>
      <c r="K3207" s="343" t="s">
        <v>741</v>
      </c>
      <c r="L3207" s="344">
        <v>44165</v>
      </c>
      <c r="M3207" s="347">
        <v>0</v>
      </c>
    </row>
    <row r="3208" spans="1:13" hidden="1" x14ac:dyDescent="0.25">
      <c r="A3208" s="344">
        <v>44196</v>
      </c>
      <c r="B3208" s="343" t="s">
        <v>1910</v>
      </c>
      <c r="C3208" s="343" t="s">
        <v>1060</v>
      </c>
      <c r="D3208" s="345">
        <v>6</v>
      </c>
      <c r="E3208" s="346">
        <v>172.07</v>
      </c>
      <c r="F3208" s="346">
        <v>1130.1199999999999</v>
      </c>
      <c r="G3208" s="343" t="s">
        <v>1911</v>
      </c>
      <c r="H3208" s="343" t="s">
        <v>1893</v>
      </c>
      <c r="I3208" s="343" t="s">
        <v>1880</v>
      </c>
      <c r="J3208" s="343" t="s">
        <v>757</v>
      </c>
      <c r="K3208" s="343" t="s">
        <v>741</v>
      </c>
      <c r="L3208" s="344">
        <v>44196</v>
      </c>
      <c r="M3208" s="347">
        <v>0</v>
      </c>
    </row>
    <row r="3209" spans="1:13" hidden="1" x14ac:dyDescent="0.25">
      <c r="A3209" s="344">
        <v>44165</v>
      </c>
      <c r="B3209" s="343" t="s">
        <v>1912</v>
      </c>
      <c r="C3209" s="343" t="s">
        <v>769</v>
      </c>
      <c r="D3209" s="345">
        <v>7</v>
      </c>
      <c r="E3209" s="346">
        <v>172.07</v>
      </c>
      <c r="F3209" s="346">
        <v>1302.19</v>
      </c>
      <c r="G3209" s="343" t="s">
        <v>1913</v>
      </c>
      <c r="H3209" s="343" t="s">
        <v>1893</v>
      </c>
      <c r="I3209" s="343" t="s">
        <v>1880</v>
      </c>
      <c r="J3209" s="343" t="s">
        <v>757</v>
      </c>
      <c r="K3209" s="343" t="s">
        <v>770</v>
      </c>
      <c r="L3209" s="344">
        <v>44165</v>
      </c>
      <c r="M3209" s="347">
        <v>0</v>
      </c>
    </row>
    <row r="3210" spans="1:13" hidden="1" x14ac:dyDescent="0.25">
      <c r="A3210" s="344">
        <v>44182</v>
      </c>
      <c r="B3210" s="343" t="s">
        <v>1914</v>
      </c>
      <c r="C3210" s="343" t="s">
        <v>769</v>
      </c>
      <c r="D3210" s="345">
        <v>7</v>
      </c>
      <c r="E3210" s="346">
        <v>113.63</v>
      </c>
      <c r="F3210" s="346">
        <v>1415.82</v>
      </c>
      <c r="G3210" s="343" t="s">
        <v>1915</v>
      </c>
      <c r="H3210" s="343" t="s">
        <v>1893</v>
      </c>
      <c r="I3210" s="343" t="s">
        <v>1880</v>
      </c>
      <c r="J3210" s="343" t="s">
        <v>757</v>
      </c>
      <c r="K3210" s="343" t="s">
        <v>770</v>
      </c>
      <c r="L3210" s="344">
        <v>44182</v>
      </c>
      <c r="M3210" s="347">
        <v>0</v>
      </c>
    </row>
    <row r="3211" spans="1:13" hidden="1" x14ac:dyDescent="0.25">
      <c r="A3211" s="344">
        <v>44196</v>
      </c>
      <c r="B3211" s="343" t="s">
        <v>1910</v>
      </c>
      <c r="C3211" s="343" t="s">
        <v>1060</v>
      </c>
      <c r="D3211" s="345">
        <v>7</v>
      </c>
      <c r="E3211" s="346">
        <v>-172.07</v>
      </c>
      <c r="F3211" s="346">
        <v>1243.75</v>
      </c>
      <c r="G3211" s="343" t="s">
        <v>1911</v>
      </c>
      <c r="H3211" s="343" t="s">
        <v>1893</v>
      </c>
      <c r="I3211" s="343" t="s">
        <v>1880</v>
      </c>
      <c r="J3211" s="343" t="s">
        <v>757</v>
      </c>
      <c r="K3211" s="343" t="s">
        <v>741</v>
      </c>
      <c r="L3211" s="344">
        <v>44196</v>
      </c>
      <c r="M3211" s="347">
        <v>0</v>
      </c>
    </row>
    <row r="3212" spans="1:13" hidden="1" x14ac:dyDescent="0.25">
      <c r="A3212" s="344">
        <v>44223</v>
      </c>
      <c r="B3212" s="343" t="s">
        <v>1916</v>
      </c>
      <c r="C3212" s="343" t="s">
        <v>769</v>
      </c>
      <c r="D3212" s="345">
        <v>8</v>
      </c>
      <c r="E3212" s="346">
        <v>90.92</v>
      </c>
      <c r="F3212" s="346">
        <v>1334.67</v>
      </c>
      <c r="G3212" s="343" t="s">
        <v>1917</v>
      </c>
      <c r="H3212" s="343" t="s">
        <v>1893</v>
      </c>
      <c r="I3212" s="343" t="s">
        <v>1880</v>
      </c>
      <c r="J3212" s="343" t="s">
        <v>757</v>
      </c>
      <c r="K3212" s="343" t="s">
        <v>770</v>
      </c>
      <c r="L3212" s="344">
        <v>44223</v>
      </c>
      <c r="M3212" s="347">
        <v>0</v>
      </c>
    </row>
    <row r="3213" spans="1:13" hidden="1" x14ac:dyDescent="0.25">
      <c r="A3213" s="344">
        <v>44286</v>
      </c>
      <c r="B3213" s="343" t="s">
        <v>1918</v>
      </c>
      <c r="C3213" s="343" t="s">
        <v>1059</v>
      </c>
      <c r="D3213" s="345">
        <v>9</v>
      </c>
      <c r="E3213" s="346">
        <v>-30</v>
      </c>
      <c r="F3213" s="346">
        <v>1304.67</v>
      </c>
      <c r="G3213" s="343" t="s">
        <v>1919</v>
      </c>
      <c r="H3213" s="343" t="s">
        <v>1893</v>
      </c>
      <c r="I3213" s="343" t="s">
        <v>1880</v>
      </c>
      <c r="J3213" s="343" t="s">
        <v>757</v>
      </c>
      <c r="K3213" s="343" t="s">
        <v>741</v>
      </c>
      <c r="L3213" s="344">
        <v>44286</v>
      </c>
      <c r="M3213" s="347">
        <v>0</v>
      </c>
    </row>
    <row r="3214" spans="1:13" hidden="1" x14ac:dyDescent="0.25">
      <c r="A3214" s="344">
        <v>44257</v>
      </c>
      <c r="B3214" s="343" t="s">
        <v>1884</v>
      </c>
      <c r="C3214" s="343" t="s">
        <v>769</v>
      </c>
      <c r="D3214" s="345">
        <v>10</v>
      </c>
      <c r="E3214" s="346">
        <v>30.31</v>
      </c>
      <c r="F3214" s="346">
        <v>1334.98</v>
      </c>
      <c r="G3214" s="343" t="s">
        <v>1885</v>
      </c>
      <c r="H3214" s="343" t="s">
        <v>1893</v>
      </c>
      <c r="I3214" s="343" t="s">
        <v>1880</v>
      </c>
      <c r="J3214" s="343" t="s">
        <v>757</v>
      </c>
      <c r="K3214" s="343" t="s">
        <v>770</v>
      </c>
      <c r="L3214" s="344">
        <v>44257</v>
      </c>
      <c r="M3214" s="347">
        <v>0</v>
      </c>
    </row>
    <row r="3215" spans="1:13" hidden="1" x14ac:dyDescent="0.25">
      <c r="A3215" s="344">
        <v>44280</v>
      </c>
      <c r="B3215" s="343" t="s">
        <v>1886</v>
      </c>
      <c r="C3215" s="343" t="s">
        <v>769</v>
      </c>
      <c r="D3215" s="345">
        <v>10</v>
      </c>
      <c r="E3215" s="346">
        <v>60.61</v>
      </c>
      <c r="F3215" s="346">
        <v>1395.59</v>
      </c>
      <c r="G3215" s="343" t="s">
        <v>1887</v>
      </c>
      <c r="H3215" s="343" t="s">
        <v>1893</v>
      </c>
      <c r="I3215" s="343" t="s">
        <v>1880</v>
      </c>
      <c r="J3215" s="343" t="s">
        <v>757</v>
      </c>
      <c r="K3215" s="343" t="s">
        <v>770</v>
      </c>
      <c r="L3215" s="344">
        <v>44280</v>
      </c>
      <c r="M3215" s="347">
        <v>0</v>
      </c>
    </row>
    <row r="3216" spans="1:13" hidden="1" x14ac:dyDescent="0.25">
      <c r="A3216" s="344">
        <v>44280</v>
      </c>
      <c r="B3216" s="343" t="s">
        <v>1888</v>
      </c>
      <c r="C3216" s="343" t="s">
        <v>769</v>
      </c>
      <c r="D3216" s="345">
        <v>10</v>
      </c>
      <c r="E3216" s="346">
        <v>45.45</v>
      </c>
      <c r="F3216" s="346">
        <v>1441.04</v>
      </c>
      <c r="G3216" s="343" t="s">
        <v>1887</v>
      </c>
      <c r="H3216" s="343" t="s">
        <v>1893</v>
      </c>
      <c r="I3216" s="343" t="s">
        <v>1880</v>
      </c>
      <c r="J3216" s="343" t="s">
        <v>757</v>
      </c>
      <c r="K3216" s="343" t="s">
        <v>770</v>
      </c>
      <c r="L3216" s="344">
        <v>44280</v>
      </c>
      <c r="M3216" s="347">
        <v>0</v>
      </c>
    </row>
    <row r="3217" spans="1:13" hidden="1" x14ac:dyDescent="0.25">
      <c r="A3217" s="344">
        <v>44301</v>
      </c>
      <c r="B3217" s="343" t="s">
        <v>1889</v>
      </c>
      <c r="C3217" s="343" t="s">
        <v>1059</v>
      </c>
      <c r="D3217" s="345">
        <v>10</v>
      </c>
      <c r="E3217" s="346">
        <v>-40</v>
      </c>
      <c r="F3217" s="346">
        <v>1401.04</v>
      </c>
      <c r="G3217" s="343" t="s">
        <v>1890</v>
      </c>
      <c r="H3217" s="343" t="s">
        <v>1893</v>
      </c>
      <c r="I3217" s="343" t="s">
        <v>1880</v>
      </c>
      <c r="J3217" s="343" t="s">
        <v>757</v>
      </c>
      <c r="K3217" s="343" t="s">
        <v>741</v>
      </c>
      <c r="L3217" s="344">
        <v>44301</v>
      </c>
      <c r="M3217" s="347">
        <v>0</v>
      </c>
    </row>
    <row r="3218" spans="1:13" hidden="1" x14ac:dyDescent="0.25">
      <c r="A3218" s="344">
        <v>44315</v>
      </c>
      <c r="B3218" s="343" t="s">
        <v>1920</v>
      </c>
      <c r="C3218" s="343" t="s">
        <v>1059</v>
      </c>
      <c r="D3218" s="345">
        <v>10</v>
      </c>
      <c r="E3218" s="346">
        <v>-40</v>
      </c>
      <c r="F3218" s="346">
        <v>1361.04</v>
      </c>
      <c r="G3218" s="343" t="s">
        <v>1921</v>
      </c>
      <c r="H3218" s="343" t="s">
        <v>1893</v>
      </c>
      <c r="I3218" s="343" t="s">
        <v>1880</v>
      </c>
      <c r="J3218" s="343" t="s">
        <v>757</v>
      </c>
      <c r="K3218" s="343" t="s">
        <v>741</v>
      </c>
      <c r="L3218" s="344">
        <v>44315</v>
      </c>
      <c r="M3218" s="347">
        <v>0</v>
      </c>
    </row>
    <row r="3219" spans="1:13" hidden="1" x14ac:dyDescent="0.25">
      <c r="A3219" s="344">
        <v>44327</v>
      </c>
      <c r="B3219" s="343" t="s">
        <v>1922</v>
      </c>
      <c r="C3219" s="343" t="s">
        <v>1059</v>
      </c>
      <c r="D3219" s="345">
        <v>10</v>
      </c>
      <c r="E3219" s="346">
        <v>20</v>
      </c>
      <c r="F3219" s="346">
        <v>1381.04</v>
      </c>
      <c r="G3219" s="343" t="s">
        <v>1923</v>
      </c>
      <c r="H3219" s="343" t="s">
        <v>1893</v>
      </c>
      <c r="I3219" s="343" t="s">
        <v>1880</v>
      </c>
      <c r="J3219" s="343" t="s">
        <v>757</v>
      </c>
      <c r="K3219" s="343" t="s">
        <v>741</v>
      </c>
      <c r="L3219" s="344">
        <v>44327</v>
      </c>
      <c r="M3219" s="347">
        <v>0</v>
      </c>
    </row>
    <row r="3220" spans="1:13" hidden="1" x14ac:dyDescent="0.25">
      <c r="A3220" s="344">
        <v>44327</v>
      </c>
      <c r="B3220" s="343" t="s">
        <v>1924</v>
      </c>
      <c r="C3220" s="343" t="s">
        <v>1059</v>
      </c>
      <c r="D3220" s="345">
        <v>10</v>
      </c>
      <c r="E3220" s="346">
        <v>-20</v>
      </c>
      <c r="F3220" s="346">
        <v>1361.04</v>
      </c>
      <c r="G3220" s="343" t="s">
        <v>1923</v>
      </c>
      <c r="H3220" s="343" t="s">
        <v>1893</v>
      </c>
      <c r="I3220" s="343" t="s">
        <v>1880</v>
      </c>
      <c r="J3220" s="343" t="s">
        <v>757</v>
      </c>
      <c r="K3220" s="343" t="s">
        <v>741</v>
      </c>
      <c r="L3220" s="344">
        <v>44327</v>
      </c>
      <c r="M3220" s="347">
        <v>0</v>
      </c>
    </row>
    <row r="3221" spans="1:13" hidden="1" x14ac:dyDescent="0.25">
      <c r="A3221" s="344">
        <v>44012</v>
      </c>
      <c r="B3221" s="343" t="s">
        <v>1925</v>
      </c>
      <c r="C3221" s="343" t="s">
        <v>1059</v>
      </c>
      <c r="D3221" s="345">
        <v>1</v>
      </c>
      <c r="E3221" s="346">
        <v>-65.55</v>
      </c>
      <c r="F3221" s="346">
        <v>1275.49</v>
      </c>
      <c r="G3221" s="343" t="s">
        <v>1926</v>
      </c>
      <c r="H3221" s="343" t="s">
        <v>1927</v>
      </c>
      <c r="I3221" s="343" t="s">
        <v>1880</v>
      </c>
      <c r="J3221" s="343" t="s">
        <v>757</v>
      </c>
      <c r="K3221" s="343" t="s">
        <v>741</v>
      </c>
      <c r="L3221" s="344">
        <v>44012</v>
      </c>
      <c r="M3221" s="347">
        <v>0</v>
      </c>
    </row>
    <row r="3222" spans="1:13" hidden="1" x14ac:dyDescent="0.25">
      <c r="A3222" s="344">
        <v>44012</v>
      </c>
      <c r="B3222" s="343" t="s">
        <v>1928</v>
      </c>
      <c r="C3222" s="343" t="s">
        <v>769</v>
      </c>
      <c r="D3222" s="345">
        <v>1</v>
      </c>
      <c r="E3222" s="346">
        <v>65.55</v>
      </c>
      <c r="F3222" s="346">
        <v>1341.04</v>
      </c>
      <c r="G3222" s="343" t="s">
        <v>1929</v>
      </c>
      <c r="H3222" s="343" t="s">
        <v>1927</v>
      </c>
      <c r="I3222" s="343" t="s">
        <v>1880</v>
      </c>
      <c r="J3222" s="343" t="s">
        <v>757</v>
      </c>
      <c r="K3222" s="343" t="s">
        <v>770</v>
      </c>
      <c r="L3222" s="344">
        <v>44012</v>
      </c>
      <c r="M3222" s="347">
        <v>0</v>
      </c>
    </row>
    <row r="3223" spans="1:13" hidden="1" x14ac:dyDescent="0.25">
      <c r="A3223" s="344">
        <v>44043</v>
      </c>
      <c r="B3223" s="343" t="s">
        <v>1891</v>
      </c>
      <c r="C3223" s="343" t="s">
        <v>1060</v>
      </c>
      <c r="D3223" s="345">
        <v>1</v>
      </c>
      <c r="E3223" s="346">
        <v>91.77</v>
      </c>
      <c r="F3223" s="346">
        <v>1432.81</v>
      </c>
      <c r="G3223" s="343" t="s">
        <v>1892</v>
      </c>
      <c r="H3223" s="343" t="s">
        <v>1927</v>
      </c>
      <c r="I3223" s="343" t="s">
        <v>1880</v>
      </c>
      <c r="J3223" s="343" t="s">
        <v>757</v>
      </c>
      <c r="K3223" s="343" t="s">
        <v>741</v>
      </c>
      <c r="L3223" s="344">
        <v>44043</v>
      </c>
      <c r="M3223" s="347">
        <v>0</v>
      </c>
    </row>
    <row r="3224" spans="1:13" hidden="1" x14ac:dyDescent="0.25">
      <c r="A3224" s="344">
        <v>44043</v>
      </c>
      <c r="B3224" s="343" t="s">
        <v>1891</v>
      </c>
      <c r="C3224" s="343" t="s">
        <v>1060</v>
      </c>
      <c r="D3224" s="345">
        <v>2</v>
      </c>
      <c r="E3224" s="346">
        <v>-91.77</v>
      </c>
      <c r="F3224" s="346">
        <v>1341.04</v>
      </c>
      <c r="G3224" s="343" t="s">
        <v>1892</v>
      </c>
      <c r="H3224" s="343" t="s">
        <v>1927</v>
      </c>
      <c r="I3224" s="343" t="s">
        <v>1880</v>
      </c>
      <c r="J3224" s="343" t="s">
        <v>757</v>
      </c>
      <c r="K3224" s="343" t="s">
        <v>741</v>
      </c>
      <c r="L3224" s="344">
        <v>44043</v>
      </c>
      <c r="M3224" s="347">
        <v>0</v>
      </c>
    </row>
    <row r="3225" spans="1:13" hidden="1" x14ac:dyDescent="0.25">
      <c r="A3225" s="344">
        <v>44043</v>
      </c>
      <c r="B3225" s="343" t="s">
        <v>1894</v>
      </c>
      <c r="C3225" s="343" t="s">
        <v>769</v>
      </c>
      <c r="D3225" s="345">
        <v>2</v>
      </c>
      <c r="E3225" s="346">
        <v>91.77</v>
      </c>
      <c r="F3225" s="346">
        <v>1432.81</v>
      </c>
      <c r="G3225" s="343" t="s">
        <v>1895</v>
      </c>
      <c r="H3225" s="343" t="s">
        <v>1927</v>
      </c>
      <c r="I3225" s="343" t="s">
        <v>1880</v>
      </c>
      <c r="J3225" s="343" t="s">
        <v>757</v>
      </c>
      <c r="K3225" s="343" t="s">
        <v>770</v>
      </c>
      <c r="L3225" s="344">
        <v>44043</v>
      </c>
      <c r="M3225" s="347">
        <v>0</v>
      </c>
    </row>
    <row r="3226" spans="1:13" hidden="1" x14ac:dyDescent="0.25">
      <c r="A3226" s="344">
        <v>44052</v>
      </c>
      <c r="B3226" s="343" t="s">
        <v>1930</v>
      </c>
      <c r="C3226" s="343" t="s">
        <v>1059</v>
      </c>
      <c r="D3226" s="345">
        <v>2</v>
      </c>
      <c r="E3226" s="346">
        <v>-6.5</v>
      </c>
      <c r="F3226" s="346">
        <v>1426.31</v>
      </c>
      <c r="G3226" s="343" t="s">
        <v>1931</v>
      </c>
      <c r="H3226" s="343" t="s">
        <v>1927</v>
      </c>
      <c r="I3226" s="343" t="s">
        <v>1880</v>
      </c>
      <c r="J3226" s="343" t="s">
        <v>757</v>
      </c>
      <c r="K3226" s="343" t="s">
        <v>741</v>
      </c>
      <c r="L3226" s="344">
        <v>44052</v>
      </c>
      <c r="M3226" s="347">
        <v>0</v>
      </c>
    </row>
    <row r="3227" spans="1:13" hidden="1" x14ac:dyDescent="0.25">
      <c r="A3227" s="344">
        <v>44062</v>
      </c>
      <c r="B3227" s="343" t="s">
        <v>1932</v>
      </c>
      <c r="C3227" s="343" t="s">
        <v>1059</v>
      </c>
      <c r="D3227" s="345">
        <v>2</v>
      </c>
      <c r="E3227" s="346">
        <v>-6.5</v>
      </c>
      <c r="F3227" s="346">
        <v>1419.81</v>
      </c>
      <c r="G3227" s="343" t="s">
        <v>1933</v>
      </c>
      <c r="H3227" s="343" t="s">
        <v>1927</v>
      </c>
      <c r="I3227" s="343" t="s">
        <v>1880</v>
      </c>
      <c r="J3227" s="343" t="s">
        <v>757</v>
      </c>
      <c r="K3227" s="343" t="s">
        <v>741</v>
      </c>
      <c r="L3227" s="344">
        <v>44062</v>
      </c>
      <c r="M3227" s="347">
        <v>0</v>
      </c>
    </row>
    <row r="3228" spans="1:13" hidden="1" x14ac:dyDescent="0.25">
      <c r="A3228" s="344">
        <v>44074</v>
      </c>
      <c r="B3228" s="343" t="s">
        <v>1896</v>
      </c>
      <c r="C3228" s="343" t="s">
        <v>1060</v>
      </c>
      <c r="D3228" s="345">
        <v>2</v>
      </c>
      <c r="E3228" s="346">
        <v>61.18</v>
      </c>
      <c r="F3228" s="346">
        <v>1480.99</v>
      </c>
      <c r="G3228" s="343" t="s">
        <v>1897</v>
      </c>
      <c r="H3228" s="343" t="s">
        <v>1927</v>
      </c>
      <c r="I3228" s="343" t="s">
        <v>1880</v>
      </c>
      <c r="J3228" s="343" t="s">
        <v>757</v>
      </c>
      <c r="K3228" s="343" t="s">
        <v>741</v>
      </c>
      <c r="L3228" s="344">
        <v>44074</v>
      </c>
      <c r="M3228" s="347">
        <v>0</v>
      </c>
    </row>
    <row r="3229" spans="1:13" hidden="1" x14ac:dyDescent="0.25">
      <c r="A3229" s="344">
        <v>44074</v>
      </c>
      <c r="B3229" s="343" t="s">
        <v>1896</v>
      </c>
      <c r="C3229" s="343" t="s">
        <v>1060</v>
      </c>
      <c r="D3229" s="345">
        <v>3</v>
      </c>
      <c r="E3229" s="346">
        <v>-61.18</v>
      </c>
      <c r="F3229" s="346">
        <v>1419.81</v>
      </c>
      <c r="G3229" s="343" t="s">
        <v>1897</v>
      </c>
      <c r="H3229" s="343" t="s">
        <v>1927</v>
      </c>
      <c r="I3229" s="343" t="s">
        <v>1880</v>
      </c>
      <c r="J3229" s="343" t="s">
        <v>757</v>
      </c>
      <c r="K3229" s="343" t="s">
        <v>741</v>
      </c>
      <c r="L3229" s="344">
        <v>44074</v>
      </c>
      <c r="M3229" s="347">
        <v>0</v>
      </c>
    </row>
    <row r="3230" spans="1:13" hidden="1" x14ac:dyDescent="0.25">
      <c r="A3230" s="344">
        <v>44085</v>
      </c>
      <c r="B3230" s="343" t="s">
        <v>1898</v>
      </c>
      <c r="C3230" s="343" t="s">
        <v>1059</v>
      </c>
      <c r="D3230" s="345">
        <v>3</v>
      </c>
      <c r="E3230" s="346">
        <v>61.18</v>
      </c>
      <c r="F3230" s="346">
        <v>1480.99</v>
      </c>
      <c r="G3230" s="343" t="s">
        <v>1899</v>
      </c>
      <c r="H3230" s="343" t="s">
        <v>1927</v>
      </c>
      <c r="I3230" s="343" t="s">
        <v>1880</v>
      </c>
      <c r="J3230" s="343" t="s">
        <v>757</v>
      </c>
      <c r="K3230" s="343" t="s">
        <v>741</v>
      </c>
      <c r="L3230" s="344">
        <v>44085</v>
      </c>
      <c r="M3230" s="347">
        <v>0</v>
      </c>
    </row>
    <row r="3231" spans="1:13" hidden="1" x14ac:dyDescent="0.25">
      <c r="A3231" s="344">
        <v>44104</v>
      </c>
      <c r="B3231" s="343" t="s">
        <v>1934</v>
      </c>
      <c r="C3231" s="343" t="s">
        <v>1059</v>
      </c>
      <c r="D3231" s="345">
        <v>3</v>
      </c>
      <c r="E3231" s="346">
        <v>-6.5</v>
      </c>
      <c r="F3231" s="346">
        <v>1474.49</v>
      </c>
      <c r="G3231" s="343" t="s">
        <v>1935</v>
      </c>
      <c r="H3231" s="343" t="s">
        <v>1927</v>
      </c>
      <c r="I3231" s="343" t="s">
        <v>1880</v>
      </c>
      <c r="J3231" s="343" t="s">
        <v>757</v>
      </c>
      <c r="K3231" s="343" t="s">
        <v>741</v>
      </c>
      <c r="L3231" s="344">
        <v>44104</v>
      </c>
      <c r="M3231" s="347">
        <v>0</v>
      </c>
    </row>
    <row r="3232" spans="1:13" hidden="1" x14ac:dyDescent="0.25">
      <c r="A3232" s="344">
        <v>44104</v>
      </c>
      <c r="B3232" s="343" t="s">
        <v>1900</v>
      </c>
      <c r="C3232" s="343" t="s">
        <v>1060</v>
      </c>
      <c r="D3232" s="345">
        <v>3</v>
      </c>
      <c r="E3232" s="346">
        <v>61.18</v>
      </c>
      <c r="F3232" s="346">
        <v>1535.67</v>
      </c>
      <c r="G3232" s="343" t="s">
        <v>1901</v>
      </c>
      <c r="H3232" s="343" t="s">
        <v>1927</v>
      </c>
      <c r="I3232" s="343" t="s">
        <v>1880</v>
      </c>
      <c r="J3232" s="343" t="s">
        <v>757</v>
      </c>
      <c r="K3232" s="343" t="s">
        <v>741</v>
      </c>
      <c r="L3232" s="344">
        <v>44104</v>
      </c>
      <c r="M3232" s="347">
        <v>0</v>
      </c>
    </row>
    <row r="3233" spans="1:13" hidden="1" x14ac:dyDescent="0.25">
      <c r="A3233" s="344">
        <v>44104</v>
      </c>
      <c r="B3233" s="343" t="s">
        <v>1900</v>
      </c>
      <c r="C3233" s="343" t="s">
        <v>1060</v>
      </c>
      <c r="D3233" s="345">
        <v>4</v>
      </c>
      <c r="E3233" s="346">
        <v>-61.18</v>
      </c>
      <c r="F3233" s="346">
        <v>1474.49</v>
      </c>
      <c r="G3233" s="343" t="s">
        <v>1901</v>
      </c>
      <c r="H3233" s="343" t="s">
        <v>1927</v>
      </c>
      <c r="I3233" s="343" t="s">
        <v>1880</v>
      </c>
      <c r="J3233" s="343" t="s">
        <v>757</v>
      </c>
      <c r="K3233" s="343" t="s">
        <v>741</v>
      </c>
      <c r="L3233" s="344">
        <v>44104</v>
      </c>
      <c r="M3233" s="347">
        <v>0</v>
      </c>
    </row>
    <row r="3234" spans="1:13" hidden="1" x14ac:dyDescent="0.25">
      <c r="A3234" s="344">
        <v>44120</v>
      </c>
      <c r="B3234" s="343" t="s">
        <v>1936</v>
      </c>
      <c r="C3234" s="343" t="s">
        <v>1059</v>
      </c>
      <c r="D3234" s="345">
        <v>4</v>
      </c>
      <c r="E3234" s="346">
        <v>6.5</v>
      </c>
      <c r="F3234" s="346">
        <v>1480.99</v>
      </c>
      <c r="G3234" s="343" t="s">
        <v>1937</v>
      </c>
      <c r="H3234" s="343" t="s">
        <v>1927</v>
      </c>
      <c r="I3234" s="343" t="s">
        <v>1880</v>
      </c>
      <c r="J3234" s="343" t="s">
        <v>757</v>
      </c>
      <c r="K3234" s="343" t="s">
        <v>741</v>
      </c>
      <c r="L3234" s="344">
        <v>44120</v>
      </c>
      <c r="M3234" s="347">
        <v>0</v>
      </c>
    </row>
    <row r="3235" spans="1:13" hidden="1" x14ac:dyDescent="0.25">
      <c r="A3235" s="344">
        <v>44012</v>
      </c>
      <c r="B3235" s="343" t="s">
        <v>1928</v>
      </c>
      <c r="C3235" s="343" t="s">
        <v>769</v>
      </c>
      <c r="D3235" s="345">
        <v>1</v>
      </c>
      <c r="E3235" s="346">
        <v>65.55</v>
      </c>
      <c r="F3235" s="346">
        <v>1546.54</v>
      </c>
      <c r="G3235" s="343" t="s">
        <v>1929</v>
      </c>
      <c r="H3235" s="343" t="s">
        <v>1938</v>
      </c>
      <c r="I3235" s="343" t="s">
        <v>1880</v>
      </c>
      <c r="J3235" s="343" t="s">
        <v>757</v>
      </c>
      <c r="K3235" s="343" t="s">
        <v>770</v>
      </c>
      <c r="L3235" s="344">
        <v>44012</v>
      </c>
      <c r="M3235" s="347">
        <v>0</v>
      </c>
    </row>
    <row r="3236" spans="1:13" hidden="1" x14ac:dyDescent="0.25">
      <c r="A3236" s="344">
        <v>44012</v>
      </c>
      <c r="B3236" s="343" t="s">
        <v>1925</v>
      </c>
      <c r="C3236" s="343" t="s">
        <v>1059</v>
      </c>
      <c r="D3236" s="345">
        <v>1</v>
      </c>
      <c r="E3236" s="346">
        <v>-65.55</v>
      </c>
      <c r="F3236" s="346">
        <v>1480.99</v>
      </c>
      <c r="G3236" s="343" t="s">
        <v>1926</v>
      </c>
      <c r="H3236" s="343" t="s">
        <v>1938</v>
      </c>
      <c r="I3236" s="343" t="s">
        <v>1880</v>
      </c>
      <c r="J3236" s="343" t="s">
        <v>757</v>
      </c>
      <c r="K3236" s="343" t="s">
        <v>741</v>
      </c>
      <c r="L3236" s="344">
        <v>44012</v>
      </c>
      <c r="M3236" s="347">
        <v>0</v>
      </c>
    </row>
    <row r="3237" spans="1:13" hidden="1" x14ac:dyDescent="0.25">
      <c r="A3237" s="344">
        <v>44052</v>
      </c>
      <c r="B3237" s="343" t="s">
        <v>1930</v>
      </c>
      <c r="C3237" s="343" t="s">
        <v>1059</v>
      </c>
      <c r="D3237" s="345">
        <v>2</v>
      </c>
      <c r="E3237" s="346">
        <v>-59.07</v>
      </c>
      <c r="F3237" s="346">
        <v>1421.92</v>
      </c>
      <c r="G3237" s="343" t="s">
        <v>1931</v>
      </c>
      <c r="H3237" s="343" t="s">
        <v>1938</v>
      </c>
      <c r="I3237" s="343" t="s">
        <v>1880</v>
      </c>
      <c r="J3237" s="343" t="s">
        <v>757</v>
      </c>
      <c r="K3237" s="343" t="s">
        <v>741</v>
      </c>
      <c r="L3237" s="344">
        <v>44052</v>
      </c>
      <c r="M3237" s="347">
        <v>0</v>
      </c>
    </row>
    <row r="3238" spans="1:13" hidden="1" x14ac:dyDescent="0.25">
      <c r="A3238" s="344">
        <v>44062</v>
      </c>
      <c r="B3238" s="343" t="s">
        <v>1932</v>
      </c>
      <c r="C3238" s="343" t="s">
        <v>1059</v>
      </c>
      <c r="D3238" s="345">
        <v>2</v>
      </c>
      <c r="E3238" s="346">
        <v>59</v>
      </c>
      <c r="F3238" s="346">
        <v>1480.92</v>
      </c>
      <c r="G3238" s="343" t="s">
        <v>1933</v>
      </c>
      <c r="H3238" s="343" t="s">
        <v>1938</v>
      </c>
      <c r="I3238" s="343" t="s">
        <v>1880</v>
      </c>
      <c r="J3238" s="343" t="s">
        <v>757</v>
      </c>
      <c r="K3238" s="343" t="s">
        <v>741</v>
      </c>
      <c r="L3238" s="344">
        <v>44062</v>
      </c>
      <c r="M3238" s="347">
        <v>0</v>
      </c>
    </row>
    <row r="3239" spans="1:13" hidden="1" x14ac:dyDescent="0.25">
      <c r="A3239" s="344">
        <v>44161</v>
      </c>
      <c r="B3239" s="343" t="s">
        <v>1877</v>
      </c>
      <c r="C3239" s="343" t="s">
        <v>769</v>
      </c>
      <c r="D3239" s="345">
        <v>5</v>
      </c>
      <c r="E3239" s="346">
        <v>129.86000000000001</v>
      </c>
      <c r="F3239" s="346">
        <v>1610.78</v>
      </c>
      <c r="G3239" s="343" t="s">
        <v>1878</v>
      </c>
      <c r="H3239" s="343" t="s">
        <v>1938</v>
      </c>
      <c r="I3239" s="343" t="s">
        <v>1880</v>
      </c>
      <c r="J3239" s="343" t="s">
        <v>757</v>
      </c>
      <c r="K3239" s="343" t="s">
        <v>770</v>
      </c>
      <c r="L3239" s="344">
        <v>44161</v>
      </c>
      <c r="M3239" s="347">
        <v>0</v>
      </c>
    </row>
    <row r="3240" spans="1:13" hidden="1" x14ac:dyDescent="0.25">
      <c r="A3240" s="344">
        <v>44259</v>
      </c>
      <c r="B3240" s="343" t="s">
        <v>1939</v>
      </c>
      <c r="C3240" s="343" t="s">
        <v>1059</v>
      </c>
      <c r="D3240" s="345">
        <v>9</v>
      </c>
      <c r="E3240" s="346">
        <v>-10</v>
      </c>
      <c r="F3240" s="346">
        <v>1600.78</v>
      </c>
      <c r="G3240" s="343" t="s">
        <v>1940</v>
      </c>
      <c r="H3240" s="343" t="s">
        <v>1938</v>
      </c>
      <c r="I3240" s="343" t="s">
        <v>1880</v>
      </c>
      <c r="J3240" s="343" t="s">
        <v>757</v>
      </c>
      <c r="K3240" s="343" t="s">
        <v>741</v>
      </c>
      <c r="L3240" s="344">
        <v>44259</v>
      </c>
      <c r="M3240" s="347">
        <v>0</v>
      </c>
    </row>
    <row r="3241" spans="1:13" hidden="1" x14ac:dyDescent="0.25">
      <c r="A3241" s="344">
        <v>44257</v>
      </c>
      <c r="B3241" s="343" t="s">
        <v>1884</v>
      </c>
      <c r="C3241" s="343" t="s">
        <v>769</v>
      </c>
      <c r="D3241" s="345">
        <v>10</v>
      </c>
      <c r="E3241" s="346">
        <v>30.3</v>
      </c>
      <c r="F3241" s="346">
        <v>1631.08</v>
      </c>
      <c r="G3241" s="343" t="s">
        <v>1885</v>
      </c>
      <c r="H3241" s="343" t="s">
        <v>1938</v>
      </c>
      <c r="I3241" s="343" t="s">
        <v>1880</v>
      </c>
      <c r="J3241" s="343" t="s">
        <v>757</v>
      </c>
      <c r="K3241" s="343" t="s">
        <v>770</v>
      </c>
      <c r="L3241" s="344">
        <v>44257</v>
      </c>
      <c r="M3241" s="347">
        <v>0</v>
      </c>
    </row>
    <row r="3242" spans="1:13" hidden="1" x14ac:dyDescent="0.25">
      <c r="A3242" s="344">
        <v>44280</v>
      </c>
      <c r="B3242" s="343" t="s">
        <v>1886</v>
      </c>
      <c r="C3242" s="343" t="s">
        <v>769</v>
      </c>
      <c r="D3242" s="345">
        <v>10</v>
      </c>
      <c r="E3242" s="346">
        <v>60.6</v>
      </c>
      <c r="F3242" s="346">
        <v>1691.68</v>
      </c>
      <c r="G3242" s="343" t="s">
        <v>1887</v>
      </c>
      <c r="H3242" s="343" t="s">
        <v>1938</v>
      </c>
      <c r="I3242" s="343" t="s">
        <v>1880</v>
      </c>
      <c r="J3242" s="343" t="s">
        <v>757</v>
      </c>
      <c r="K3242" s="343" t="s">
        <v>770</v>
      </c>
      <c r="L3242" s="344">
        <v>44280</v>
      </c>
      <c r="M3242" s="347">
        <v>0</v>
      </c>
    </row>
    <row r="3243" spans="1:13" hidden="1" x14ac:dyDescent="0.25">
      <c r="A3243" s="344">
        <v>44280</v>
      </c>
      <c r="B3243" s="343" t="s">
        <v>1888</v>
      </c>
      <c r="C3243" s="343" t="s">
        <v>769</v>
      </c>
      <c r="D3243" s="345">
        <v>10</v>
      </c>
      <c r="E3243" s="346">
        <v>45.45</v>
      </c>
      <c r="F3243" s="346">
        <v>1737.13</v>
      </c>
      <c r="G3243" s="343" t="s">
        <v>1887</v>
      </c>
      <c r="H3243" s="343" t="s">
        <v>1938</v>
      </c>
      <c r="I3243" s="343" t="s">
        <v>1880</v>
      </c>
      <c r="J3243" s="343" t="s">
        <v>757</v>
      </c>
      <c r="K3243" s="343" t="s">
        <v>770</v>
      </c>
      <c r="L3243" s="344">
        <v>44280</v>
      </c>
      <c r="M3243" s="347">
        <v>0</v>
      </c>
    </row>
    <row r="3244" spans="1:13" hidden="1" x14ac:dyDescent="0.25">
      <c r="A3244" s="344">
        <v>44013</v>
      </c>
      <c r="B3244" s="343" t="s">
        <v>1941</v>
      </c>
      <c r="C3244" s="343" t="s">
        <v>769</v>
      </c>
      <c r="D3244" s="345">
        <v>1</v>
      </c>
      <c r="E3244" s="346">
        <v>90.91</v>
      </c>
      <c r="F3244" s="346">
        <v>1828.04</v>
      </c>
      <c r="G3244" s="343" t="s">
        <v>1942</v>
      </c>
      <c r="H3244" s="343" t="s">
        <v>1943</v>
      </c>
      <c r="I3244" s="343" t="s">
        <v>1880</v>
      </c>
      <c r="J3244" s="343" t="s">
        <v>757</v>
      </c>
      <c r="K3244" s="343" t="s">
        <v>770</v>
      </c>
      <c r="L3244" s="344">
        <v>44013</v>
      </c>
      <c r="M3244" s="347">
        <v>0</v>
      </c>
    </row>
    <row r="3245" spans="1:13" hidden="1" x14ac:dyDescent="0.25">
      <c r="A3245" s="344">
        <v>44044</v>
      </c>
      <c r="B3245" s="343" t="s">
        <v>1944</v>
      </c>
      <c r="C3245" s="343" t="s">
        <v>769</v>
      </c>
      <c r="D3245" s="345">
        <v>2</v>
      </c>
      <c r="E3245" s="346">
        <v>90.91</v>
      </c>
      <c r="F3245" s="346">
        <v>1918.95</v>
      </c>
      <c r="G3245" s="343" t="s">
        <v>1945</v>
      </c>
      <c r="H3245" s="343" t="s">
        <v>1943</v>
      </c>
      <c r="I3245" s="343" t="s">
        <v>1880</v>
      </c>
      <c r="J3245" s="343" t="s">
        <v>757</v>
      </c>
      <c r="K3245" s="343" t="s">
        <v>770</v>
      </c>
      <c r="L3245" s="344">
        <v>44044</v>
      </c>
      <c r="M3245" s="347">
        <v>0</v>
      </c>
    </row>
    <row r="3246" spans="1:13" hidden="1" x14ac:dyDescent="0.25">
      <c r="A3246" s="344">
        <v>44052</v>
      </c>
      <c r="B3246" s="343" t="s">
        <v>1930</v>
      </c>
      <c r="C3246" s="343" t="s">
        <v>1059</v>
      </c>
      <c r="D3246" s="345">
        <v>2</v>
      </c>
      <c r="E3246" s="346">
        <v>-35</v>
      </c>
      <c r="F3246" s="346">
        <v>1883.95</v>
      </c>
      <c r="G3246" s="343" t="s">
        <v>1931</v>
      </c>
      <c r="H3246" s="343" t="s">
        <v>1943</v>
      </c>
      <c r="I3246" s="343" t="s">
        <v>1880</v>
      </c>
      <c r="J3246" s="343" t="s">
        <v>757</v>
      </c>
      <c r="K3246" s="343" t="s">
        <v>741</v>
      </c>
      <c r="L3246" s="344">
        <v>44052</v>
      </c>
      <c r="M3246" s="347">
        <v>0</v>
      </c>
    </row>
    <row r="3247" spans="1:13" hidden="1" x14ac:dyDescent="0.25">
      <c r="A3247" s="344">
        <v>44062</v>
      </c>
      <c r="B3247" s="343" t="s">
        <v>1932</v>
      </c>
      <c r="C3247" s="343" t="s">
        <v>1059</v>
      </c>
      <c r="D3247" s="345">
        <v>2</v>
      </c>
      <c r="E3247" s="346">
        <v>-35</v>
      </c>
      <c r="F3247" s="346">
        <v>1848.95</v>
      </c>
      <c r="G3247" s="343" t="s">
        <v>1933</v>
      </c>
      <c r="H3247" s="343" t="s">
        <v>1943</v>
      </c>
      <c r="I3247" s="343" t="s">
        <v>1880</v>
      </c>
      <c r="J3247" s="343" t="s">
        <v>757</v>
      </c>
      <c r="K3247" s="343" t="s">
        <v>741</v>
      </c>
      <c r="L3247" s="344">
        <v>44062</v>
      </c>
      <c r="M3247" s="347">
        <v>0</v>
      </c>
    </row>
    <row r="3248" spans="1:13" hidden="1" x14ac:dyDescent="0.25">
      <c r="A3248" s="344">
        <v>44075</v>
      </c>
      <c r="B3248" s="343" t="s">
        <v>1946</v>
      </c>
      <c r="C3248" s="343" t="s">
        <v>769</v>
      </c>
      <c r="D3248" s="345">
        <v>3</v>
      </c>
      <c r="E3248" s="346">
        <v>90.91</v>
      </c>
      <c r="F3248" s="346">
        <v>1939.86</v>
      </c>
      <c r="G3248" s="343" t="s">
        <v>1947</v>
      </c>
      <c r="H3248" s="343" t="s">
        <v>1943</v>
      </c>
      <c r="I3248" s="343" t="s">
        <v>1880</v>
      </c>
      <c r="J3248" s="343" t="s">
        <v>757</v>
      </c>
      <c r="K3248" s="343" t="s">
        <v>770</v>
      </c>
      <c r="L3248" s="344">
        <v>44075</v>
      </c>
      <c r="M3248" s="347">
        <v>0</v>
      </c>
    </row>
    <row r="3249" spans="1:13" hidden="1" x14ac:dyDescent="0.25">
      <c r="A3249" s="344">
        <v>44083</v>
      </c>
      <c r="B3249" s="343" t="s">
        <v>1948</v>
      </c>
      <c r="C3249" s="343" t="s">
        <v>1059</v>
      </c>
      <c r="D3249" s="345">
        <v>3</v>
      </c>
      <c r="E3249" s="346">
        <v>-35</v>
      </c>
      <c r="F3249" s="346">
        <v>1904.86</v>
      </c>
      <c r="G3249" s="343" t="s">
        <v>1949</v>
      </c>
      <c r="H3249" s="343" t="s">
        <v>1943</v>
      </c>
      <c r="I3249" s="343" t="s">
        <v>1880</v>
      </c>
      <c r="J3249" s="343" t="s">
        <v>757</v>
      </c>
      <c r="K3249" s="343" t="s">
        <v>741</v>
      </c>
      <c r="L3249" s="344">
        <v>44083</v>
      </c>
      <c r="M3249" s="347">
        <v>0</v>
      </c>
    </row>
    <row r="3250" spans="1:13" hidden="1" x14ac:dyDescent="0.25">
      <c r="A3250" s="344">
        <v>44094</v>
      </c>
      <c r="B3250" s="343" t="s">
        <v>1950</v>
      </c>
      <c r="C3250" s="343" t="s">
        <v>1059</v>
      </c>
      <c r="D3250" s="345">
        <v>3</v>
      </c>
      <c r="E3250" s="346">
        <v>-35</v>
      </c>
      <c r="F3250" s="346">
        <v>1869.86</v>
      </c>
      <c r="G3250" s="343" t="s">
        <v>1951</v>
      </c>
      <c r="H3250" s="343" t="s">
        <v>1943</v>
      </c>
      <c r="I3250" s="343" t="s">
        <v>1880</v>
      </c>
      <c r="J3250" s="343" t="s">
        <v>757</v>
      </c>
      <c r="K3250" s="343" t="s">
        <v>741</v>
      </c>
      <c r="L3250" s="344">
        <v>44094</v>
      </c>
      <c r="M3250" s="347">
        <v>0</v>
      </c>
    </row>
    <row r="3251" spans="1:13" hidden="1" x14ac:dyDescent="0.25">
      <c r="A3251" s="344">
        <v>44104</v>
      </c>
      <c r="B3251" s="343" t="s">
        <v>1934</v>
      </c>
      <c r="C3251" s="343" t="s">
        <v>1059</v>
      </c>
      <c r="D3251" s="345">
        <v>3</v>
      </c>
      <c r="E3251" s="346">
        <v>-35</v>
      </c>
      <c r="F3251" s="346">
        <v>1834.86</v>
      </c>
      <c r="G3251" s="343" t="s">
        <v>1935</v>
      </c>
      <c r="H3251" s="343" t="s">
        <v>1943</v>
      </c>
      <c r="I3251" s="343" t="s">
        <v>1880</v>
      </c>
      <c r="J3251" s="343" t="s">
        <v>757</v>
      </c>
      <c r="K3251" s="343" t="s">
        <v>741</v>
      </c>
      <c r="L3251" s="344">
        <v>44104</v>
      </c>
      <c r="M3251" s="347">
        <v>0</v>
      </c>
    </row>
    <row r="3252" spans="1:13" hidden="1" x14ac:dyDescent="0.25">
      <c r="A3252" s="344">
        <v>44105</v>
      </c>
      <c r="B3252" s="343" t="s">
        <v>1952</v>
      </c>
      <c r="C3252" s="343" t="s">
        <v>769</v>
      </c>
      <c r="D3252" s="345">
        <v>4</v>
      </c>
      <c r="E3252" s="346">
        <v>90.91</v>
      </c>
      <c r="F3252" s="346">
        <v>1925.77</v>
      </c>
      <c r="G3252" s="343" t="s">
        <v>1953</v>
      </c>
      <c r="H3252" s="343" t="s">
        <v>1943</v>
      </c>
      <c r="I3252" s="343" t="s">
        <v>1880</v>
      </c>
      <c r="J3252" s="343" t="s">
        <v>757</v>
      </c>
      <c r="K3252" s="343" t="s">
        <v>770</v>
      </c>
      <c r="L3252" s="344">
        <v>44105</v>
      </c>
      <c r="M3252" s="347">
        <v>0</v>
      </c>
    </row>
    <row r="3253" spans="1:13" hidden="1" x14ac:dyDescent="0.25">
      <c r="A3253" s="344">
        <v>44120</v>
      </c>
      <c r="B3253" s="343" t="s">
        <v>1936</v>
      </c>
      <c r="C3253" s="343" t="s">
        <v>1059</v>
      </c>
      <c r="D3253" s="345">
        <v>4</v>
      </c>
      <c r="E3253" s="346">
        <v>-31.5</v>
      </c>
      <c r="F3253" s="346">
        <v>1894.27</v>
      </c>
      <c r="G3253" s="343" t="s">
        <v>1937</v>
      </c>
      <c r="H3253" s="343" t="s">
        <v>1943</v>
      </c>
      <c r="I3253" s="343" t="s">
        <v>1880</v>
      </c>
      <c r="J3253" s="343" t="s">
        <v>757</v>
      </c>
      <c r="K3253" s="343" t="s">
        <v>741</v>
      </c>
      <c r="L3253" s="344">
        <v>44120</v>
      </c>
      <c r="M3253" s="347">
        <v>0</v>
      </c>
    </row>
    <row r="3254" spans="1:13" hidden="1" x14ac:dyDescent="0.25">
      <c r="A3254" s="344">
        <v>44135</v>
      </c>
      <c r="B3254" s="343" t="s">
        <v>1954</v>
      </c>
      <c r="C3254" s="343" t="s">
        <v>1059</v>
      </c>
      <c r="D3254" s="345">
        <v>4</v>
      </c>
      <c r="E3254" s="346">
        <v>-35</v>
      </c>
      <c r="F3254" s="346">
        <v>1859.27</v>
      </c>
      <c r="G3254" s="343" t="s">
        <v>1955</v>
      </c>
      <c r="H3254" s="343" t="s">
        <v>1943</v>
      </c>
      <c r="I3254" s="343" t="s">
        <v>1880</v>
      </c>
      <c r="J3254" s="343" t="s">
        <v>757</v>
      </c>
      <c r="K3254" s="343" t="s">
        <v>741</v>
      </c>
      <c r="L3254" s="344">
        <v>44135</v>
      </c>
      <c r="M3254" s="347">
        <v>0</v>
      </c>
    </row>
    <row r="3255" spans="1:13" hidden="1" x14ac:dyDescent="0.25">
      <c r="A3255" s="344">
        <v>44136</v>
      </c>
      <c r="B3255" s="343" t="s">
        <v>1956</v>
      </c>
      <c r="C3255" s="343" t="s">
        <v>769</v>
      </c>
      <c r="D3255" s="345">
        <v>5</v>
      </c>
      <c r="E3255" s="346">
        <v>90.91</v>
      </c>
      <c r="F3255" s="346">
        <v>1950.18</v>
      </c>
      <c r="G3255" s="343" t="s">
        <v>1957</v>
      </c>
      <c r="H3255" s="343" t="s">
        <v>1943</v>
      </c>
      <c r="I3255" s="343" t="s">
        <v>1880</v>
      </c>
      <c r="J3255" s="343" t="s">
        <v>757</v>
      </c>
      <c r="K3255" s="343" t="s">
        <v>770</v>
      </c>
      <c r="L3255" s="344">
        <v>44136</v>
      </c>
      <c r="M3255" s="347">
        <v>0</v>
      </c>
    </row>
    <row r="3256" spans="1:13" hidden="1" x14ac:dyDescent="0.25">
      <c r="A3256" s="344">
        <v>44148</v>
      </c>
      <c r="B3256" s="343" t="s">
        <v>1958</v>
      </c>
      <c r="C3256" s="343" t="s">
        <v>1059</v>
      </c>
      <c r="D3256" s="345">
        <v>5</v>
      </c>
      <c r="E3256" s="346">
        <v>-35</v>
      </c>
      <c r="F3256" s="346">
        <v>1915.18</v>
      </c>
      <c r="G3256" s="343" t="s">
        <v>1959</v>
      </c>
      <c r="H3256" s="343" t="s">
        <v>1943</v>
      </c>
      <c r="I3256" s="343" t="s">
        <v>1880</v>
      </c>
      <c r="J3256" s="343" t="s">
        <v>757</v>
      </c>
      <c r="K3256" s="343" t="s">
        <v>741</v>
      </c>
      <c r="L3256" s="344">
        <v>44148</v>
      </c>
      <c r="M3256" s="347">
        <v>0</v>
      </c>
    </row>
    <row r="3257" spans="1:13" hidden="1" x14ac:dyDescent="0.25">
      <c r="A3257" s="344">
        <v>44160</v>
      </c>
      <c r="B3257" s="343" t="s">
        <v>1960</v>
      </c>
      <c r="C3257" s="343" t="s">
        <v>1059</v>
      </c>
      <c r="D3257" s="345">
        <v>5</v>
      </c>
      <c r="E3257" s="346">
        <v>-45.5</v>
      </c>
      <c r="F3257" s="346">
        <v>1869.68</v>
      </c>
      <c r="G3257" s="343" t="s">
        <v>1961</v>
      </c>
      <c r="H3257" s="343" t="s">
        <v>1943</v>
      </c>
      <c r="I3257" s="343" t="s">
        <v>1880</v>
      </c>
      <c r="J3257" s="343" t="s">
        <v>757</v>
      </c>
      <c r="K3257" s="343" t="s">
        <v>741</v>
      </c>
      <c r="L3257" s="344">
        <v>44160</v>
      </c>
      <c r="M3257" s="347">
        <v>0</v>
      </c>
    </row>
    <row r="3258" spans="1:13" hidden="1" x14ac:dyDescent="0.25">
      <c r="A3258" s="344">
        <v>44165</v>
      </c>
      <c r="B3258" s="343" t="s">
        <v>1962</v>
      </c>
      <c r="C3258" s="343" t="s">
        <v>1059</v>
      </c>
      <c r="D3258" s="345">
        <v>6</v>
      </c>
      <c r="E3258" s="346">
        <v>-70</v>
      </c>
      <c r="F3258" s="346">
        <v>1799.68</v>
      </c>
      <c r="G3258" s="343" t="s">
        <v>1963</v>
      </c>
      <c r="H3258" s="343" t="s">
        <v>1943</v>
      </c>
      <c r="I3258" s="343" t="s">
        <v>1880</v>
      </c>
      <c r="J3258" s="343" t="s">
        <v>757</v>
      </c>
      <c r="K3258" s="343" t="s">
        <v>741</v>
      </c>
      <c r="L3258" s="344">
        <v>44165</v>
      </c>
      <c r="M3258" s="347">
        <v>0</v>
      </c>
    </row>
    <row r="3259" spans="1:13" hidden="1" x14ac:dyDescent="0.25">
      <c r="A3259" s="344">
        <v>44166</v>
      </c>
      <c r="B3259" s="343" t="s">
        <v>1964</v>
      </c>
      <c r="C3259" s="343" t="s">
        <v>769</v>
      </c>
      <c r="D3259" s="345">
        <v>6</v>
      </c>
      <c r="E3259" s="346">
        <v>90.91</v>
      </c>
      <c r="F3259" s="346">
        <v>1890.59</v>
      </c>
      <c r="G3259" s="343" t="s">
        <v>1965</v>
      </c>
      <c r="H3259" s="343" t="s">
        <v>1943</v>
      </c>
      <c r="I3259" s="343" t="s">
        <v>1880</v>
      </c>
      <c r="J3259" s="343" t="s">
        <v>757</v>
      </c>
      <c r="K3259" s="343" t="s">
        <v>770</v>
      </c>
      <c r="L3259" s="344">
        <v>44166</v>
      </c>
      <c r="M3259" s="347">
        <v>0</v>
      </c>
    </row>
    <row r="3260" spans="1:13" hidden="1" x14ac:dyDescent="0.25">
      <c r="A3260" s="344">
        <v>44187</v>
      </c>
      <c r="B3260" s="343" t="s">
        <v>1966</v>
      </c>
      <c r="C3260" s="343" t="s">
        <v>1059</v>
      </c>
      <c r="D3260" s="345">
        <v>6</v>
      </c>
      <c r="E3260" s="346">
        <v>-87.5</v>
      </c>
      <c r="F3260" s="346">
        <v>1803.09</v>
      </c>
      <c r="G3260" s="343" t="s">
        <v>1967</v>
      </c>
      <c r="H3260" s="343" t="s">
        <v>1943</v>
      </c>
      <c r="I3260" s="343" t="s">
        <v>1880</v>
      </c>
      <c r="J3260" s="343" t="s">
        <v>757</v>
      </c>
      <c r="K3260" s="343" t="s">
        <v>741</v>
      </c>
      <c r="L3260" s="344">
        <v>44187</v>
      </c>
      <c r="M3260" s="347">
        <v>0</v>
      </c>
    </row>
    <row r="3261" spans="1:13" hidden="1" x14ac:dyDescent="0.25">
      <c r="A3261" s="344">
        <v>44197</v>
      </c>
      <c r="B3261" s="343" t="s">
        <v>1968</v>
      </c>
      <c r="C3261" s="343" t="s">
        <v>769</v>
      </c>
      <c r="D3261" s="345">
        <v>7</v>
      </c>
      <c r="E3261" s="346">
        <v>90.91</v>
      </c>
      <c r="F3261" s="346">
        <v>1894</v>
      </c>
      <c r="G3261" s="343" t="s">
        <v>1969</v>
      </c>
      <c r="H3261" s="343" t="s">
        <v>1943</v>
      </c>
      <c r="I3261" s="343" t="s">
        <v>1880</v>
      </c>
      <c r="J3261" s="343" t="s">
        <v>757</v>
      </c>
      <c r="K3261" s="343" t="s">
        <v>770</v>
      </c>
      <c r="L3261" s="344">
        <v>44197</v>
      </c>
      <c r="M3261" s="347">
        <v>0</v>
      </c>
    </row>
    <row r="3262" spans="1:13" hidden="1" x14ac:dyDescent="0.25">
      <c r="A3262" s="344">
        <v>44203</v>
      </c>
      <c r="B3262" s="343" t="s">
        <v>1970</v>
      </c>
      <c r="C3262" s="343" t="s">
        <v>1059</v>
      </c>
      <c r="D3262" s="345">
        <v>7</v>
      </c>
      <c r="E3262" s="346">
        <v>-80.5</v>
      </c>
      <c r="F3262" s="346">
        <v>1813.5</v>
      </c>
      <c r="G3262" s="343" t="s">
        <v>1971</v>
      </c>
      <c r="H3262" s="343" t="s">
        <v>1943</v>
      </c>
      <c r="I3262" s="343" t="s">
        <v>1880</v>
      </c>
      <c r="J3262" s="343" t="s">
        <v>757</v>
      </c>
      <c r="K3262" s="343" t="s">
        <v>741</v>
      </c>
      <c r="L3262" s="344">
        <v>44203</v>
      </c>
      <c r="M3262" s="347">
        <v>0</v>
      </c>
    </row>
    <row r="3263" spans="1:13" hidden="1" x14ac:dyDescent="0.25">
      <c r="A3263" s="344">
        <v>44218</v>
      </c>
      <c r="B3263" s="343" t="s">
        <v>1972</v>
      </c>
      <c r="C3263" s="343" t="s">
        <v>1059</v>
      </c>
      <c r="D3263" s="345">
        <v>7</v>
      </c>
      <c r="E3263" s="346">
        <v>-59.5</v>
      </c>
      <c r="F3263" s="346">
        <v>1754</v>
      </c>
      <c r="G3263" s="343" t="s">
        <v>1973</v>
      </c>
      <c r="H3263" s="343" t="s">
        <v>1943</v>
      </c>
      <c r="I3263" s="343" t="s">
        <v>1880</v>
      </c>
      <c r="J3263" s="343" t="s">
        <v>757</v>
      </c>
      <c r="K3263" s="343" t="s">
        <v>741</v>
      </c>
      <c r="L3263" s="344">
        <v>44218</v>
      </c>
      <c r="M3263" s="347">
        <v>0</v>
      </c>
    </row>
    <row r="3264" spans="1:13" hidden="1" x14ac:dyDescent="0.25">
      <c r="A3264" s="344">
        <v>44227</v>
      </c>
      <c r="B3264" s="343" t="s">
        <v>1974</v>
      </c>
      <c r="C3264" s="343" t="s">
        <v>1059</v>
      </c>
      <c r="D3264" s="345">
        <v>8</v>
      </c>
      <c r="E3264" s="346">
        <v>-70</v>
      </c>
      <c r="F3264" s="346">
        <v>1684</v>
      </c>
      <c r="G3264" s="343" t="s">
        <v>1975</v>
      </c>
      <c r="H3264" s="343" t="s">
        <v>1943</v>
      </c>
      <c r="I3264" s="343" t="s">
        <v>1880</v>
      </c>
      <c r="J3264" s="343" t="s">
        <v>757</v>
      </c>
      <c r="K3264" s="343" t="s">
        <v>741</v>
      </c>
      <c r="L3264" s="344">
        <v>44227</v>
      </c>
      <c r="M3264" s="347">
        <v>0</v>
      </c>
    </row>
    <row r="3265" spans="1:13" hidden="1" x14ac:dyDescent="0.25">
      <c r="A3265" s="344">
        <v>44228</v>
      </c>
      <c r="B3265" s="343" t="s">
        <v>1976</v>
      </c>
      <c r="C3265" s="343" t="s">
        <v>769</v>
      </c>
      <c r="D3265" s="345">
        <v>8</v>
      </c>
      <c r="E3265" s="346">
        <v>90.91</v>
      </c>
      <c r="F3265" s="346">
        <v>1774.91</v>
      </c>
      <c r="G3265" s="343" t="s">
        <v>1977</v>
      </c>
      <c r="H3265" s="343" t="s">
        <v>1943</v>
      </c>
      <c r="I3265" s="343" t="s">
        <v>1880</v>
      </c>
      <c r="J3265" s="343" t="s">
        <v>757</v>
      </c>
      <c r="K3265" s="343" t="s">
        <v>770</v>
      </c>
      <c r="L3265" s="344">
        <v>44228</v>
      </c>
      <c r="M3265" s="347">
        <v>0</v>
      </c>
    </row>
    <row r="3266" spans="1:13" hidden="1" x14ac:dyDescent="0.25">
      <c r="A3266" s="344">
        <v>44244</v>
      </c>
      <c r="B3266" s="343" t="s">
        <v>1978</v>
      </c>
      <c r="C3266" s="343" t="s">
        <v>1059</v>
      </c>
      <c r="D3266" s="345">
        <v>8</v>
      </c>
      <c r="E3266" s="346">
        <v>-77</v>
      </c>
      <c r="F3266" s="346">
        <v>1697.91</v>
      </c>
      <c r="G3266" s="343" t="s">
        <v>1979</v>
      </c>
      <c r="H3266" s="343" t="s">
        <v>1943</v>
      </c>
      <c r="I3266" s="343" t="s">
        <v>1880</v>
      </c>
      <c r="J3266" s="343" t="s">
        <v>757</v>
      </c>
      <c r="K3266" s="343" t="s">
        <v>741</v>
      </c>
      <c r="L3266" s="344">
        <v>44244</v>
      </c>
      <c r="M3266" s="347">
        <v>0</v>
      </c>
    </row>
    <row r="3267" spans="1:13" hidden="1" x14ac:dyDescent="0.25">
      <c r="A3267" s="344">
        <v>44256</v>
      </c>
      <c r="B3267" s="343" t="s">
        <v>1980</v>
      </c>
      <c r="C3267" s="343" t="s">
        <v>769</v>
      </c>
      <c r="D3267" s="345">
        <v>9</v>
      </c>
      <c r="E3267" s="346">
        <v>90.91</v>
      </c>
      <c r="F3267" s="346">
        <v>1788.82</v>
      </c>
      <c r="G3267" s="343" t="s">
        <v>1981</v>
      </c>
      <c r="H3267" s="343" t="s">
        <v>1943</v>
      </c>
      <c r="I3267" s="343" t="s">
        <v>1880</v>
      </c>
      <c r="J3267" s="343" t="s">
        <v>757</v>
      </c>
      <c r="K3267" s="343" t="s">
        <v>770</v>
      </c>
      <c r="L3267" s="344">
        <v>44256</v>
      </c>
      <c r="M3267" s="347">
        <v>0</v>
      </c>
    </row>
    <row r="3268" spans="1:13" hidden="1" x14ac:dyDescent="0.25">
      <c r="A3268" s="344">
        <v>44259</v>
      </c>
      <c r="B3268" s="343" t="s">
        <v>1939</v>
      </c>
      <c r="C3268" s="343" t="s">
        <v>1059</v>
      </c>
      <c r="D3268" s="345">
        <v>9</v>
      </c>
      <c r="E3268" s="346">
        <v>-70</v>
      </c>
      <c r="F3268" s="346">
        <v>1718.82</v>
      </c>
      <c r="G3268" s="343" t="s">
        <v>1940</v>
      </c>
      <c r="H3268" s="343" t="s">
        <v>1943</v>
      </c>
      <c r="I3268" s="343" t="s">
        <v>1880</v>
      </c>
      <c r="J3268" s="343" t="s">
        <v>757</v>
      </c>
      <c r="K3268" s="343" t="s">
        <v>741</v>
      </c>
      <c r="L3268" s="344">
        <v>44259</v>
      </c>
      <c r="M3268" s="347">
        <v>0</v>
      </c>
    </row>
    <row r="3269" spans="1:13" hidden="1" x14ac:dyDescent="0.25">
      <c r="A3269" s="344">
        <v>44272</v>
      </c>
      <c r="B3269" s="343" t="s">
        <v>1982</v>
      </c>
      <c r="C3269" s="343" t="s">
        <v>1059</v>
      </c>
      <c r="D3269" s="345">
        <v>9</v>
      </c>
      <c r="E3269" s="346">
        <v>-73.5</v>
      </c>
      <c r="F3269" s="346">
        <v>1645.32</v>
      </c>
      <c r="G3269" s="343" t="s">
        <v>1983</v>
      </c>
      <c r="H3269" s="343" t="s">
        <v>1943</v>
      </c>
      <c r="I3269" s="343" t="s">
        <v>1880</v>
      </c>
      <c r="J3269" s="343" t="s">
        <v>757</v>
      </c>
      <c r="K3269" s="343" t="s">
        <v>741</v>
      </c>
      <c r="L3269" s="344">
        <v>44272</v>
      </c>
      <c r="M3269" s="347">
        <v>0</v>
      </c>
    </row>
    <row r="3270" spans="1:13" hidden="1" x14ac:dyDescent="0.25">
      <c r="A3270" s="344">
        <v>44286</v>
      </c>
      <c r="B3270" s="343" t="s">
        <v>1918</v>
      </c>
      <c r="C3270" s="343" t="s">
        <v>1059</v>
      </c>
      <c r="D3270" s="345">
        <v>9</v>
      </c>
      <c r="E3270" s="346">
        <v>-84</v>
      </c>
      <c r="F3270" s="346">
        <v>1561.32</v>
      </c>
      <c r="G3270" s="343" t="s">
        <v>1919</v>
      </c>
      <c r="H3270" s="343" t="s">
        <v>1943</v>
      </c>
      <c r="I3270" s="343" t="s">
        <v>1880</v>
      </c>
      <c r="J3270" s="343" t="s">
        <v>757</v>
      </c>
      <c r="K3270" s="343" t="s">
        <v>741</v>
      </c>
      <c r="L3270" s="344">
        <v>44286</v>
      </c>
      <c r="M3270" s="347">
        <v>0</v>
      </c>
    </row>
    <row r="3271" spans="1:13" hidden="1" x14ac:dyDescent="0.25">
      <c r="A3271" s="344">
        <v>44258</v>
      </c>
      <c r="B3271" s="343" t="s">
        <v>1984</v>
      </c>
      <c r="C3271" s="343" t="s">
        <v>769</v>
      </c>
      <c r="D3271" s="345">
        <v>10</v>
      </c>
      <c r="E3271" s="346">
        <v>454.56</v>
      </c>
      <c r="F3271" s="346">
        <v>2015.88</v>
      </c>
      <c r="G3271" s="343" t="s">
        <v>1985</v>
      </c>
      <c r="H3271" s="343" t="s">
        <v>1943</v>
      </c>
      <c r="I3271" s="343" t="s">
        <v>1880</v>
      </c>
      <c r="J3271" s="343" t="s">
        <v>757</v>
      </c>
      <c r="K3271" s="343" t="s">
        <v>770</v>
      </c>
      <c r="L3271" s="344">
        <v>44258</v>
      </c>
      <c r="M3271" s="347">
        <v>0</v>
      </c>
    </row>
    <row r="3272" spans="1:13" hidden="1" x14ac:dyDescent="0.25">
      <c r="A3272" s="344">
        <v>44258</v>
      </c>
      <c r="B3272" s="343" t="s">
        <v>1984</v>
      </c>
      <c r="C3272" s="343" t="s">
        <v>769</v>
      </c>
      <c r="D3272" s="345">
        <v>10</v>
      </c>
      <c r="E3272" s="346">
        <v>454.55</v>
      </c>
      <c r="F3272" s="346">
        <v>2470.4299999999998</v>
      </c>
      <c r="G3272" s="343" t="s">
        <v>1986</v>
      </c>
      <c r="H3272" s="343" t="s">
        <v>1943</v>
      </c>
      <c r="I3272" s="343" t="s">
        <v>1880</v>
      </c>
      <c r="J3272" s="343" t="s">
        <v>757</v>
      </c>
      <c r="K3272" s="343" t="s">
        <v>770</v>
      </c>
      <c r="L3272" s="344">
        <v>44258</v>
      </c>
      <c r="M3272" s="347">
        <v>0</v>
      </c>
    </row>
    <row r="3273" spans="1:13" hidden="1" x14ac:dyDescent="0.25">
      <c r="A3273" s="344">
        <v>44258</v>
      </c>
      <c r="B3273" s="343" t="s">
        <v>1984</v>
      </c>
      <c r="C3273" s="343" t="s">
        <v>769</v>
      </c>
      <c r="D3273" s="345">
        <v>10</v>
      </c>
      <c r="E3273" s="346">
        <v>454.55</v>
      </c>
      <c r="F3273" s="346">
        <v>2924.98</v>
      </c>
      <c r="G3273" s="343" t="s">
        <v>1987</v>
      </c>
      <c r="H3273" s="343" t="s">
        <v>1943</v>
      </c>
      <c r="I3273" s="343" t="s">
        <v>1880</v>
      </c>
      <c r="J3273" s="343" t="s">
        <v>757</v>
      </c>
      <c r="K3273" s="343" t="s">
        <v>770</v>
      </c>
      <c r="L3273" s="344">
        <v>44258</v>
      </c>
      <c r="M3273" s="347">
        <v>0</v>
      </c>
    </row>
    <row r="3274" spans="1:13" hidden="1" x14ac:dyDescent="0.25">
      <c r="A3274" s="344">
        <v>44287</v>
      </c>
      <c r="B3274" s="343" t="s">
        <v>1988</v>
      </c>
      <c r="C3274" s="343" t="s">
        <v>769</v>
      </c>
      <c r="D3274" s="345">
        <v>10</v>
      </c>
      <c r="E3274" s="346">
        <v>545.46</v>
      </c>
      <c r="F3274" s="346">
        <v>3470.44</v>
      </c>
      <c r="G3274" s="343" t="s">
        <v>1989</v>
      </c>
      <c r="H3274" s="343" t="s">
        <v>1943</v>
      </c>
      <c r="I3274" s="343" t="s">
        <v>1880</v>
      </c>
      <c r="J3274" s="343" t="s">
        <v>757</v>
      </c>
      <c r="K3274" s="343" t="s">
        <v>770</v>
      </c>
      <c r="L3274" s="344">
        <v>44287</v>
      </c>
      <c r="M3274" s="347">
        <v>0</v>
      </c>
    </row>
    <row r="3275" spans="1:13" hidden="1" x14ac:dyDescent="0.25">
      <c r="A3275" s="344">
        <v>44301</v>
      </c>
      <c r="B3275" s="343" t="s">
        <v>1889</v>
      </c>
      <c r="C3275" s="343" t="s">
        <v>1059</v>
      </c>
      <c r="D3275" s="345">
        <v>10</v>
      </c>
      <c r="E3275" s="346">
        <v>-73.5</v>
      </c>
      <c r="F3275" s="346">
        <v>3396.94</v>
      </c>
      <c r="G3275" s="343" t="s">
        <v>1890</v>
      </c>
      <c r="H3275" s="343" t="s">
        <v>1943</v>
      </c>
      <c r="I3275" s="343" t="s">
        <v>1880</v>
      </c>
      <c r="J3275" s="343" t="s">
        <v>757</v>
      </c>
      <c r="K3275" s="343" t="s">
        <v>741</v>
      </c>
      <c r="L3275" s="344">
        <v>44301</v>
      </c>
      <c r="M3275" s="347">
        <v>0</v>
      </c>
    </row>
    <row r="3276" spans="1:13" hidden="1" x14ac:dyDescent="0.25">
      <c r="A3276" s="344">
        <v>44315</v>
      </c>
      <c r="B3276" s="343" t="s">
        <v>1920</v>
      </c>
      <c r="C3276" s="343" t="s">
        <v>1059</v>
      </c>
      <c r="D3276" s="345">
        <v>10</v>
      </c>
      <c r="E3276" s="346">
        <v>-80.5</v>
      </c>
      <c r="F3276" s="346">
        <v>3316.44</v>
      </c>
      <c r="G3276" s="343" t="s">
        <v>1921</v>
      </c>
      <c r="H3276" s="343" t="s">
        <v>1943</v>
      </c>
      <c r="I3276" s="343" t="s">
        <v>1880</v>
      </c>
      <c r="J3276" s="343" t="s">
        <v>757</v>
      </c>
      <c r="K3276" s="343" t="s">
        <v>741</v>
      </c>
      <c r="L3276" s="344">
        <v>44315</v>
      </c>
      <c r="M3276" s="347">
        <v>0</v>
      </c>
    </row>
    <row r="3277" spans="1:13" hidden="1" x14ac:dyDescent="0.25">
      <c r="A3277" s="344">
        <v>44327</v>
      </c>
      <c r="B3277" s="343" t="s">
        <v>1922</v>
      </c>
      <c r="C3277" s="343" t="s">
        <v>1059</v>
      </c>
      <c r="D3277" s="345">
        <v>10</v>
      </c>
      <c r="E3277" s="346">
        <v>87.5</v>
      </c>
      <c r="F3277" s="346">
        <v>3403.94</v>
      </c>
      <c r="G3277" s="343" t="s">
        <v>1923</v>
      </c>
      <c r="H3277" s="343" t="s">
        <v>1943</v>
      </c>
      <c r="I3277" s="343" t="s">
        <v>1880</v>
      </c>
      <c r="J3277" s="343" t="s">
        <v>757</v>
      </c>
      <c r="K3277" s="343" t="s">
        <v>741</v>
      </c>
      <c r="L3277" s="344">
        <v>44327</v>
      </c>
      <c r="M3277" s="347">
        <v>0</v>
      </c>
    </row>
    <row r="3278" spans="1:13" hidden="1" x14ac:dyDescent="0.25">
      <c r="A3278" s="344">
        <v>44327</v>
      </c>
      <c r="B3278" s="343" t="s">
        <v>1924</v>
      </c>
      <c r="C3278" s="343" t="s">
        <v>1059</v>
      </c>
      <c r="D3278" s="345">
        <v>10</v>
      </c>
      <c r="E3278" s="346">
        <v>-87.5</v>
      </c>
      <c r="F3278" s="346">
        <v>3316.44</v>
      </c>
      <c r="G3278" s="343" t="s">
        <v>1923</v>
      </c>
      <c r="H3278" s="343" t="s">
        <v>1943</v>
      </c>
      <c r="I3278" s="343" t="s">
        <v>1880</v>
      </c>
      <c r="J3278" s="343" t="s">
        <v>757</v>
      </c>
      <c r="K3278" s="343" t="s">
        <v>741</v>
      </c>
      <c r="L3278" s="344">
        <v>44327</v>
      </c>
      <c r="M3278" s="347">
        <v>0</v>
      </c>
    </row>
    <row r="3279" spans="1:13" hidden="1" x14ac:dyDescent="0.25">
      <c r="A3279" s="344">
        <v>44012</v>
      </c>
      <c r="B3279" s="343" t="s">
        <v>1925</v>
      </c>
      <c r="C3279" s="343" t="s">
        <v>1059</v>
      </c>
      <c r="D3279" s="345">
        <v>1</v>
      </c>
      <c r="E3279" s="346">
        <v>-131.1</v>
      </c>
      <c r="F3279" s="346">
        <v>4188.76</v>
      </c>
      <c r="G3279" s="343" t="s">
        <v>1926</v>
      </c>
      <c r="H3279" s="343" t="s">
        <v>1990</v>
      </c>
      <c r="I3279" s="343" t="s">
        <v>1880</v>
      </c>
      <c r="J3279" s="343" t="s">
        <v>757</v>
      </c>
      <c r="K3279" s="343" t="s">
        <v>741</v>
      </c>
      <c r="L3279" s="344">
        <v>44012</v>
      </c>
      <c r="M3279" s="347">
        <v>0</v>
      </c>
    </row>
    <row r="3280" spans="1:13" hidden="1" x14ac:dyDescent="0.25">
      <c r="A3280" s="344">
        <v>44012</v>
      </c>
      <c r="B3280" s="343" t="s">
        <v>1928</v>
      </c>
      <c r="C3280" s="343" t="s">
        <v>769</v>
      </c>
      <c r="D3280" s="345">
        <v>1</v>
      </c>
      <c r="E3280" s="346">
        <v>65.55</v>
      </c>
      <c r="F3280" s="346">
        <v>4254.3100000000004</v>
      </c>
      <c r="G3280" s="343" t="s">
        <v>1929</v>
      </c>
      <c r="H3280" s="343" t="s">
        <v>1990</v>
      </c>
      <c r="I3280" s="343" t="s">
        <v>1880</v>
      </c>
      <c r="J3280" s="343" t="s">
        <v>757</v>
      </c>
      <c r="K3280" s="343" t="s">
        <v>770</v>
      </c>
      <c r="L3280" s="344">
        <v>44012</v>
      </c>
      <c r="M3280" s="347">
        <v>0</v>
      </c>
    </row>
    <row r="3281" spans="1:13" hidden="1" x14ac:dyDescent="0.25">
      <c r="A3281" s="344">
        <v>44012</v>
      </c>
      <c r="B3281" s="343" t="s">
        <v>1928</v>
      </c>
      <c r="C3281" s="343" t="s">
        <v>769</v>
      </c>
      <c r="D3281" s="345">
        <v>1</v>
      </c>
      <c r="E3281" s="346">
        <v>65.55</v>
      </c>
      <c r="F3281" s="346">
        <v>4319.8599999999997</v>
      </c>
      <c r="G3281" s="343" t="s">
        <v>1929</v>
      </c>
      <c r="H3281" s="343" t="s">
        <v>1990</v>
      </c>
      <c r="I3281" s="343" t="s">
        <v>1880</v>
      </c>
      <c r="J3281" s="343" t="s">
        <v>757</v>
      </c>
      <c r="K3281" s="343" t="s">
        <v>770</v>
      </c>
      <c r="L3281" s="344">
        <v>44012</v>
      </c>
      <c r="M3281" s="347">
        <v>0</v>
      </c>
    </row>
    <row r="3282" spans="1:13" hidden="1" x14ac:dyDescent="0.25">
      <c r="A3282" s="344">
        <v>44043</v>
      </c>
      <c r="B3282" s="343" t="s">
        <v>1891</v>
      </c>
      <c r="C3282" s="343" t="s">
        <v>1060</v>
      </c>
      <c r="D3282" s="345">
        <v>1</v>
      </c>
      <c r="E3282" s="346">
        <v>275.32</v>
      </c>
      <c r="F3282" s="346">
        <v>4595.18</v>
      </c>
      <c r="G3282" s="343" t="s">
        <v>1892</v>
      </c>
      <c r="H3282" s="343" t="s">
        <v>1990</v>
      </c>
      <c r="I3282" s="343" t="s">
        <v>1880</v>
      </c>
      <c r="J3282" s="343" t="s">
        <v>757</v>
      </c>
      <c r="K3282" s="343" t="s">
        <v>741</v>
      </c>
      <c r="L3282" s="344">
        <v>44043</v>
      </c>
      <c r="M3282" s="347">
        <v>0</v>
      </c>
    </row>
    <row r="3283" spans="1:13" hidden="1" x14ac:dyDescent="0.25">
      <c r="A3283" s="344">
        <v>44043</v>
      </c>
      <c r="B3283" s="343" t="s">
        <v>1891</v>
      </c>
      <c r="C3283" s="343" t="s">
        <v>1060</v>
      </c>
      <c r="D3283" s="345">
        <v>2</v>
      </c>
      <c r="E3283" s="346">
        <v>-275.32</v>
      </c>
      <c r="F3283" s="346">
        <v>4319.8599999999997</v>
      </c>
      <c r="G3283" s="343" t="s">
        <v>1892</v>
      </c>
      <c r="H3283" s="343" t="s">
        <v>1990</v>
      </c>
      <c r="I3283" s="343" t="s">
        <v>1880</v>
      </c>
      <c r="J3283" s="343" t="s">
        <v>757</v>
      </c>
      <c r="K3283" s="343" t="s">
        <v>741</v>
      </c>
      <c r="L3283" s="344">
        <v>44043</v>
      </c>
      <c r="M3283" s="347">
        <v>0</v>
      </c>
    </row>
    <row r="3284" spans="1:13" hidden="1" x14ac:dyDescent="0.25">
      <c r="A3284" s="344">
        <v>44043</v>
      </c>
      <c r="B3284" s="343" t="s">
        <v>1894</v>
      </c>
      <c r="C3284" s="343" t="s">
        <v>769</v>
      </c>
      <c r="D3284" s="345">
        <v>2</v>
      </c>
      <c r="E3284" s="346">
        <v>91.77</v>
      </c>
      <c r="F3284" s="346">
        <v>4411.63</v>
      </c>
      <c r="G3284" s="343" t="s">
        <v>1895</v>
      </c>
      <c r="H3284" s="343" t="s">
        <v>1990</v>
      </c>
      <c r="I3284" s="343" t="s">
        <v>1880</v>
      </c>
      <c r="J3284" s="343" t="s">
        <v>757</v>
      </c>
      <c r="K3284" s="343" t="s">
        <v>770</v>
      </c>
      <c r="L3284" s="344">
        <v>44043</v>
      </c>
      <c r="M3284" s="347">
        <v>0</v>
      </c>
    </row>
    <row r="3285" spans="1:13" hidden="1" x14ac:dyDescent="0.25">
      <c r="A3285" s="344">
        <v>44043</v>
      </c>
      <c r="B3285" s="343" t="s">
        <v>1894</v>
      </c>
      <c r="C3285" s="343" t="s">
        <v>769</v>
      </c>
      <c r="D3285" s="345">
        <v>2</v>
      </c>
      <c r="E3285" s="346">
        <v>91.77</v>
      </c>
      <c r="F3285" s="346">
        <v>4503.3999999999996</v>
      </c>
      <c r="G3285" s="343" t="s">
        <v>1895</v>
      </c>
      <c r="H3285" s="343" t="s">
        <v>1990</v>
      </c>
      <c r="I3285" s="343" t="s">
        <v>1880</v>
      </c>
      <c r="J3285" s="343" t="s">
        <v>757</v>
      </c>
      <c r="K3285" s="343" t="s">
        <v>770</v>
      </c>
      <c r="L3285" s="344">
        <v>44043</v>
      </c>
      <c r="M3285" s="347">
        <v>0</v>
      </c>
    </row>
    <row r="3286" spans="1:13" hidden="1" x14ac:dyDescent="0.25">
      <c r="A3286" s="344">
        <v>44043</v>
      </c>
      <c r="B3286" s="343" t="s">
        <v>1894</v>
      </c>
      <c r="C3286" s="343" t="s">
        <v>769</v>
      </c>
      <c r="D3286" s="345">
        <v>2</v>
      </c>
      <c r="E3286" s="346">
        <v>91.77</v>
      </c>
      <c r="F3286" s="346">
        <v>4595.17</v>
      </c>
      <c r="G3286" s="343" t="s">
        <v>1895</v>
      </c>
      <c r="H3286" s="343" t="s">
        <v>1990</v>
      </c>
      <c r="I3286" s="343" t="s">
        <v>1880</v>
      </c>
      <c r="J3286" s="343" t="s">
        <v>757</v>
      </c>
      <c r="K3286" s="343" t="s">
        <v>770</v>
      </c>
      <c r="L3286" s="344">
        <v>44043</v>
      </c>
      <c r="M3286" s="347">
        <v>0</v>
      </c>
    </row>
    <row r="3287" spans="1:13" hidden="1" x14ac:dyDescent="0.25">
      <c r="A3287" s="344">
        <v>44052</v>
      </c>
      <c r="B3287" s="343" t="s">
        <v>1930</v>
      </c>
      <c r="C3287" s="343" t="s">
        <v>1059</v>
      </c>
      <c r="D3287" s="345">
        <v>2</v>
      </c>
      <c r="E3287" s="346">
        <v>-19.5</v>
      </c>
      <c r="F3287" s="346">
        <v>4575.67</v>
      </c>
      <c r="G3287" s="343" t="s">
        <v>1931</v>
      </c>
      <c r="H3287" s="343" t="s">
        <v>1990</v>
      </c>
      <c r="I3287" s="343" t="s">
        <v>1880</v>
      </c>
      <c r="J3287" s="343" t="s">
        <v>757</v>
      </c>
      <c r="K3287" s="343" t="s">
        <v>741</v>
      </c>
      <c r="L3287" s="344">
        <v>44052</v>
      </c>
      <c r="M3287" s="347">
        <v>0</v>
      </c>
    </row>
    <row r="3288" spans="1:13" hidden="1" x14ac:dyDescent="0.25">
      <c r="A3288" s="344">
        <v>44074</v>
      </c>
      <c r="B3288" s="343" t="s">
        <v>1896</v>
      </c>
      <c r="C3288" s="343" t="s">
        <v>1060</v>
      </c>
      <c r="D3288" s="345">
        <v>2</v>
      </c>
      <c r="E3288" s="346">
        <v>183.55</v>
      </c>
      <c r="F3288" s="346">
        <v>4759.22</v>
      </c>
      <c r="G3288" s="343" t="s">
        <v>1897</v>
      </c>
      <c r="H3288" s="343" t="s">
        <v>1990</v>
      </c>
      <c r="I3288" s="343" t="s">
        <v>1880</v>
      </c>
      <c r="J3288" s="343" t="s">
        <v>757</v>
      </c>
      <c r="K3288" s="343" t="s">
        <v>741</v>
      </c>
      <c r="L3288" s="344">
        <v>44074</v>
      </c>
      <c r="M3288" s="347">
        <v>0</v>
      </c>
    </row>
    <row r="3289" spans="1:13" hidden="1" x14ac:dyDescent="0.25">
      <c r="A3289" s="344">
        <v>44074</v>
      </c>
      <c r="B3289" s="343" t="s">
        <v>1896</v>
      </c>
      <c r="C3289" s="343" t="s">
        <v>1060</v>
      </c>
      <c r="D3289" s="345">
        <v>3</v>
      </c>
      <c r="E3289" s="346">
        <v>-183.55</v>
      </c>
      <c r="F3289" s="346">
        <v>4575.67</v>
      </c>
      <c r="G3289" s="343" t="s">
        <v>1897</v>
      </c>
      <c r="H3289" s="343" t="s">
        <v>1990</v>
      </c>
      <c r="I3289" s="343" t="s">
        <v>1880</v>
      </c>
      <c r="J3289" s="343" t="s">
        <v>757</v>
      </c>
      <c r="K3289" s="343" t="s">
        <v>741</v>
      </c>
      <c r="L3289" s="344">
        <v>44074</v>
      </c>
      <c r="M3289" s="347">
        <v>0</v>
      </c>
    </row>
    <row r="3290" spans="1:13" hidden="1" x14ac:dyDescent="0.25">
      <c r="A3290" s="344">
        <v>44085</v>
      </c>
      <c r="B3290" s="343" t="s">
        <v>1898</v>
      </c>
      <c r="C3290" s="343" t="s">
        <v>1059</v>
      </c>
      <c r="D3290" s="345">
        <v>3</v>
      </c>
      <c r="E3290" s="346">
        <v>183.55</v>
      </c>
      <c r="F3290" s="346">
        <v>4759.22</v>
      </c>
      <c r="G3290" s="343" t="s">
        <v>1899</v>
      </c>
      <c r="H3290" s="343" t="s">
        <v>1990</v>
      </c>
      <c r="I3290" s="343" t="s">
        <v>1880</v>
      </c>
      <c r="J3290" s="343" t="s">
        <v>757</v>
      </c>
      <c r="K3290" s="343" t="s">
        <v>741</v>
      </c>
      <c r="L3290" s="344">
        <v>44085</v>
      </c>
      <c r="M3290" s="347">
        <v>0</v>
      </c>
    </row>
    <row r="3291" spans="1:13" hidden="1" x14ac:dyDescent="0.25">
      <c r="A3291" s="344">
        <v>44104</v>
      </c>
      <c r="B3291" s="343" t="s">
        <v>1900</v>
      </c>
      <c r="C3291" s="343" t="s">
        <v>1060</v>
      </c>
      <c r="D3291" s="345">
        <v>3</v>
      </c>
      <c r="E3291" s="346">
        <v>183.55</v>
      </c>
      <c r="F3291" s="346">
        <v>4942.7700000000004</v>
      </c>
      <c r="G3291" s="343" t="s">
        <v>1901</v>
      </c>
      <c r="H3291" s="343" t="s">
        <v>1990</v>
      </c>
      <c r="I3291" s="343" t="s">
        <v>1880</v>
      </c>
      <c r="J3291" s="343" t="s">
        <v>757</v>
      </c>
      <c r="K3291" s="343" t="s">
        <v>741</v>
      </c>
      <c r="L3291" s="344">
        <v>44104</v>
      </c>
      <c r="M3291" s="347">
        <v>0</v>
      </c>
    </row>
    <row r="3292" spans="1:13" hidden="1" x14ac:dyDescent="0.25">
      <c r="A3292" s="344">
        <v>44104</v>
      </c>
      <c r="B3292" s="343" t="s">
        <v>1934</v>
      </c>
      <c r="C3292" s="343" t="s">
        <v>1059</v>
      </c>
      <c r="D3292" s="345">
        <v>3</v>
      </c>
      <c r="E3292" s="346">
        <v>-6.5</v>
      </c>
      <c r="F3292" s="346">
        <v>4936.2700000000004</v>
      </c>
      <c r="G3292" s="343" t="s">
        <v>1935</v>
      </c>
      <c r="H3292" s="343" t="s">
        <v>1990</v>
      </c>
      <c r="I3292" s="343" t="s">
        <v>1880</v>
      </c>
      <c r="J3292" s="343" t="s">
        <v>757</v>
      </c>
      <c r="K3292" s="343" t="s">
        <v>741</v>
      </c>
      <c r="L3292" s="344">
        <v>44104</v>
      </c>
      <c r="M3292" s="347">
        <v>0</v>
      </c>
    </row>
    <row r="3293" spans="1:13" hidden="1" x14ac:dyDescent="0.25">
      <c r="A3293" s="344">
        <v>44104</v>
      </c>
      <c r="B3293" s="343" t="s">
        <v>1900</v>
      </c>
      <c r="C3293" s="343" t="s">
        <v>1060</v>
      </c>
      <c r="D3293" s="345">
        <v>4</v>
      </c>
      <c r="E3293" s="346">
        <v>-183.55</v>
      </c>
      <c r="F3293" s="346">
        <v>4752.72</v>
      </c>
      <c r="G3293" s="343" t="s">
        <v>1901</v>
      </c>
      <c r="H3293" s="343" t="s">
        <v>1990</v>
      </c>
      <c r="I3293" s="343" t="s">
        <v>1880</v>
      </c>
      <c r="J3293" s="343" t="s">
        <v>757</v>
      </c>
      <c r="K3293" s="343" t="s">
        <v>741</v>
      </c>
      <c r="L3293" s="344">
        <v>44104</v>
      </c>
      <c r="M3293" s="347">
        <v>0</v>
      </c>
    </row>
    <row r="3294" spans="1:13" hidden="1" x14ac:dyDescent="0.25">
      <c r="A3294" s="344">
        <v>44104</v>
      </c>
      <c r="B3294" s="343" t="s">
        <v>1902</v>
      </c>
      <c r="C3294" s="343" t="s">
        <v>769</v>
      </c>
      <c r="D3294" s="345">
        <v>4</v>
      </c>
      <c r="E3294" s="346">
        <v>114.72</v>
      </c>
      <c r="F3294" s="346">
        <v>4867.4399999999996</v>
      </c>
      <c r="G3294" s="343" t="s">
        <v>1903</v>
      </c>
      <c r="H3294" s="343" t="s">
        <v>1990</v>
      </c>
      <c r="I3294" s="343" t="s">
        <v>1880</v>
      </c>
      <c r="J3294" s="343" t="s">
        <v>757</v>
      </c>
      <c r="K3294" s="343" t="s">
        <v>770</v>
      </c>
      <c r="L3294" s="344">
        <v>44104</v>
      </c>
      <c r="M3294" s="347">
        <v>0</v>
      </c>
    </row>
    <row r="3295" spans="1:13" hidden="1" x14ac:dyDescent="0.25">
      <c r="A3295" s="344">
        <v>44120</v>
      </c>
      <c r="B3295" s="343" t="s">
        <v>1936</v>
      </c>
      <c r="C3295" s="343" t="s">
        <v>1059</v>
      </c>
      <c r="D3295" s="345">
        <v>4</v>
      </c>
      <c r="E3295" s="346">
        <v>6.5</v>
      </c>
      <c r="F3295" s="346">
        <v>4873.9399999999996</v>
      </c>
      <c r="G3295" s="343" t="s">
        <v>1937</v>
      </c>
      <c r="H3295" s="343" t="s">
        <v>1990</v>
      </c>
      <c r="I3295" s="343" t="s">
        <v>1880</v>
      </c>
      <c r="J3295" s="343" t="s">
        <v>757</v>
      </c>
      <c r="K3295" s="343" t="s">
        <v>741</v>
      </c>
      <c r="L3295" s="344">
        <v>44120</v>
      </c>
      <c r="M3295" s="347">
        <v>0</v>
      </c>
    </row>
    <row r="3296" spans="1:13" hidden="1" x14ac:dyDescent="0.25">
      <c r="A3296" s="344">
        <v>44135</v>
      </c>
      <c r="B3296" s="343" t="s">
        <v>1904</v>
      </c>
      <c r="C3296" s="343" t="s">
        <v>1060</v>
      </c>
      <c r="D3296" s="345">
        <v>4</v>
      </c>
      <c r="E3296" s="346">
        <v>172.07</v>
      </c>
      <c r="F3296" s="346">
        <v>5046.01</v>
      </c>
      <c r="G3296" s="343" t="s">
        <v>1905</v>
      </c>
      <c r="H3296" s="343" t="s">
        <v>1990</v>
      </c>
      <c r="I3296" s="343" t="s">
        <v>1880</v>
      </c>
      <c r="J3296" s="343" t="s">
        <v>757</v>
      </c>
      <c r="K3296" s="343" t="s">
        <v>741</v>
      </c>
      <c r="L3296" s="344">
        <v>44135</v>
      </c>
      <c r="M3296" s="347">
        <v>0</v>
      </c>
    </row>
    <row r="3297" spans="1:13" hidden="1" x14ac:dyDescent="0.25">
      <c r="A3297" s="344">
        <v>44135</v>
      </c>
      <c r="B3297" s="343" t="s">
        <v>1904</v>
      </c>
      <c r="C3297" s="343" t="s">
        <v>1060</v>
      </c>
      <c r="D3297" s="345">
        <v>5</v>
      </c>
      <c r="E3297" s="346">
        <v>-172.07</v>
      </c>
      <c r="F3297" s="346">
        <v>4873.9399999999996</v>
      </c>
      <c r="G3297" s="343" t="s">
        <v>1905</v>
      </c>
      <c r="H3297" s="343" t="s">
        <v>1990</v>
      </c>
      <c r="I3297" s="343" t="s">
        <v>1880</v>
      </c>
      <c r="J3297" s="343" t="s">
        <v>757</v>
      </c>
      <c r="K3297" s="343" t="s">
        <v>741</v>
      </c>
      <c r="L3297" s="344">
        <v>44135</v>
      </c>
      <c r="M3297" s="347">
        <v>0</v>
      </c>
    </row>
    <row r="3298" spans="1:13" hidden="1" x14ac:dyDescent="0.25">
      <c r="A3298" s="344">
        <v>44148</v>
      </c>
      <c r="B3298" s="343" t="s">
        <v>1958</v>
      </c>
      <c r="C3298" s="343" t="s">
        <v>1059</v>
      </c>
      <c r="D3298" s="345">
        <v>5</v>
      </c>
      <c r="E3298" s="346">
        <v>-19.5</v>
      </c>
      <c r="F3298" s="346">
        <v>4854.4399999999996</v>
      </c>
      <c r="G3298" s="343" t="s">
        <v>1959</v>
      </c>
      <c r="H3298" s="343" t="s">
        <v>1990</v>
      </c>
      <c r="I3298" s="343" t="s">
        <v>1880</v>
      </c>
      <c r="J3298" s="343" t="s">
        <v>757</v>
      </c>
      <c r="K3298" s="343" t="s">
        <v>741</v>
      </c>
      <c r="L3298" s="344">
        <v>44148</v>
      </c>
      <c r="M3298" s="347">
        <v>0</v>
      </c>
    </row>
    <row r="3299" spans="1:13" hidden="1" x14ac:dyDescent="0.25">
      <c r="A3299" s="344">
        <v>44160</v>
      </c>
      <c r="B3299" s="343" t="s">
        <v>1960</v>
      </c>
      <c r="C3299" s="343" t="s">
        <v>1059</v>
      </c>
      <c r="D3299" s="345">
        <v>5</v>
      </c>
      <c r="E3299" s="346">
        <v>-19.5</v>
      </c>
      <c r="F3299" s="346">
        <v>4834.9399999999996</v>
      </c>
      <c r="G3299" s="343" t="s">
        <v>1961</v>
      </c>
      <c r="H3299" s="343" t="s">
        <v>1990</v>
      </c>
      <c r="I3299" s="343" t="s">
        <v>1880</v>
      </c>
      <c r="J3299" s="343" t="s">
        <v>757</v>
      </c>
      <c r="K3299" s="343" t="s">
        <v>741</v>
      </c>
      <c r="L3299" s="344">
        <v>44160</v>
      </c>
      <c r="M3299" s="347">
        <v>0</v>
      </c>
    </row>
    <row r="3300" spans="1:13" hidden="1" x14ac:dyDescent="0.25">
      <c r="A3300" s="344">
        <v>44161</v>
      </c>
      <c r="B3300" s="343" t="s">
        <v>1877</v>
      </c>
      <c r="C3300" s="343" t="s">
        <v>769</v>
      </c>
      <c r="D3300" s="345">
        <v>5</v>
      </c>
      <c r="E3300" s="346">
        <v>129.87</v>
      </c>
      <c r="F3300" s="346">
        <v>4964.8100000000004</v>
      </c>
      <c r="G3300" s="343" t="s">
        <v>1878</v>
      </c>
      <c r="H3300" s="343" t="s">
        <v>1990</v>
      </c>
      <c r="I3300" s="343" t="s">
        <v>1880</v>
      </c>
      <c r="J3300" s="343" t="s">
        <v>757</v>
      </c>
      <c r="K3300" s="343" t="s">
        <v>770</v>
      </c>
      <c r="L3300" s="344">
        <v>44161</v>
      </c>
      <c r="M3300" s="347">
        <v>0</v>
      </c>
    </row>
    <row r="3301" spans="1:13" hidden="1" x14ac:dyDescent="0.25">
      <c r="A3301" s="344">
        <v>44165</v>
      </c>
      <c r="B3301" s="343" t="s">
        <v>1906</v>
      </c>
      <c r="C3301" s="343" t="s">
        <v>1060</v>
      </c>
      <c r="D3301" s="345">
        <v>5</v>
      </c>
      <c r="E3301" s="346">
        <v>344.15</v>
      </c>
      <c r="F3301" s="346">
        <v>5308.96</v>
      </c>
      <c r="G3301" s="343" t="s">
        <v>1907</v>
      </c>
      <c r="H3301" s="343" t="s">
        <v>1990</v>
      </c>
      <c r="I3301" s="343" t="s">
        <v>1880</v>
      </c>
      <c r="J3301" s="343" t="s">
        <v>757</v>
      </c>
      <c r="K3301" s="343" t="s">
        <v>741</v>
      </c>
      <c r="L3301" s="344">
        <v>44165</v>
      </c>
      <c r="M3301" s="347">
        <v>0</v>
      </c>
    </row>
    <row r="3302" spans="1:13" hidden="1" x14ac:dyDescent="0.25">
      <c r="A3302" s="344">
        <v>44135</v>
      </c>
      <c r="B3302" s="343" t="s">
        <v>1908</v>
      </c>
      <c r="C3302" s="343" t="s">
        <v>769</v>
      </c>
      <c r="D3302" s="345">
        <v>6</v>
      </c>
      <c r="E3302" s="346">
        <v>172.07</v>
      </c>
      <c r="F3302" s="346">
        <v>5481.03</v>
      </c>
      <c r="G3302" s="343" t="s">
        <v>1909</v>
      </c>
      <c r="H3302" s="343" t="s">
        <v>1990</v>
      </c>
      <c r="I3302" s="343" t="s">
        <v>1880</v>
      </c>
      <c r="J3302" s="343" t="s">
        <v>757</v>
      </c>
      <c r="K3302" s="343" t="s">
        <v>770</v>
      </c>
      <c r="L3302" s="344">
        <v>44135</v>
      </c>
      <c r="M3302" s="347">
        <v>0</v>
      </c>
    </row>
    <row r="3303" spans="1:13" hidden="1" x14ac:dyDescent="0.25">
      <c r="A3303" s="344">
        <v>44165</v>
      </c>
      <c r="B3303" s="343" t="s">
        <v>1962</v>
      </c>
      <c r="C3303" s="343" t="s">
        <v>1059</v>
      </c>
      <c r="D3303" s="345">
        <v>6</v>
      </c>
      <c r="E3303" s="346">
        <v>-19.5</v>
      </c>
      <c r="F3303" s="346">
        <v>5461.53</v>
      </c>
      <c r="G3303" s="343" t="s">
        <v>1963</v>
      </c>
      <c r="H3303" s="343" t="s">
        <v>1990</v>
      </c>
      <c r="I3303" s="343" t="s">
        <v>1880</v>
      </c>
      <c r="J3303" s="343" t="s">
        <v>757</v>
      </c>
      <c r="K3303" s="343" t="s">
        <v>741</v>
      </c>
      <c r="L3303" s="344">
        <v>44165</v>
      </c>
      <c r="M3303" s="347">
        <v>0</v>
      </c>
    </row>
    <row r="3304" spans="1:13" hidden="1" x14ac:dyDescent="0.25">
      <c r="A3304" s="344">
        <v>44165</v>
      </c>
      <c r="B3304" s="343" t="s">
        <v>1906</v>
      </c>
      <c r="C3304" s="343" t="s">
        <v>1060</v>
      </c>
      <c r="D3304" s="345">
        <v>6</v>
      </c>
      <c r="E3304" s="346">
        <v>-344.15</v>
      </c>
      <c r="F3304" s="346">
        <v>5117.38</v>
      </c>
      <c r="G3304" s="343" t="s">
        <v>1907</v>
      </c>
      <c r="H3304" s="343" t="s">
        <v>1990</v>
      </c>
      <c r="I3304" s="343" t="s">
        <v>1880</v>
      </c>
      <c r="J3304" s="343" t="s">
        <v>757</v>
      </c>
      <c r="K3304" s="343" t="s">
        <v>741</v>
      </c>
      <c r="L3304" s="344">
        <v>44165</v>
      </c>
      <c r="M3304" s="347">
        <v>0</v>
      </c>
    </row>
    <row r="3305" spans="1:13" hidden="1" x14ac:dyDescent="0.25">
      <c r="A3305" s="344">
        <v>44187</v>
      </c>
      <c r="B3305" s="343" t="s">
        <v>1966</v>
      </c>
      <c r="C3305" s="343" t="s">
        <v>1059</v>
      </c>
      <c r="D3305" s="345">
        <v>6</v>
      </c>
      <c r="E3305" s="346">
        <v>-40</v>
      </c>
      <c r="F3305" s="346">
        <v>5077.38</v>
      </c>
      <c r="G3305" s="343" t="s">
        <v>1967</v>
      </c>
      <c r="H3305" s="343" t="s">
        <v>1990</v>
      </c>
      <c r="I3305" s="343" t="s">
        <v>1880</v>
      </c>
      <c r="J3305" s="343" t="s">
        <v>757</v>
      </c>
      <c r="K3305" s="343" t="s">
        <v>741</v>
      </c>
      <c r="L3305" s="344">
        <v>44187</v>
      </c>
      <c r="M3305" s="347">
        <v>0</v>
      </c>
    </row>
    <row r="3306" spans="1:13" hidden="1" x14ac:dyDescent="0.25">
      <c r="A3306" s="344">
        <v>44196</v>
      </c>
      <c r="B3306" s="343" t="s">
        <v>1910</v>
      </c>
      <c r="C3306" s="343" t="s">
        <v>1060</v>
      </c>
      <c r="D3306" s="345">
        <v>6</v>
      </c>
      <c r="E3306" s="346">
        <v>172.07</v>
      </c>
      <c r="F3306" s="346">
        <v>5249.45</v>
      </c>
      <c r="G3306" s="343" t="s">
        <v>1911</v>
      </c>
      <c r="H3306" s="343" t="s">
        <v>1990</v>
      </c>
      <c r="I3306" s="343" t="s">
        <v>1880</v>
      </c>
      <c r="J3306" s="343" t="s">
        <v>757</v>
      </c>
      <c r="K3306" s="343" t="s">
        <v>741</v>
      </c>
      <c r="L3306" s="344">
        <v>44196</v>
      </c>
      <c r="M3306" s="347">
        <v>0</v>
      </c>
    </row>
    <row r="3307" spans="1:13" hidden="1" x14ac:dyDescent="0.25">
      <c r="A3307" s="344">
        <v>44165</v>
      </c>
      <c r="B3307" s="343" t="s">
        <v>1912</v>
      </c>
      <c r="C3307" s="343" t="s">
        <v>769</v>
      </c>
      <c r="D3307" s="345">
        <v>7</v>
      </c>
      <c r="E3307" s="346">
        <v>172.07</v>
      </c>
      <c r="F3307" s="346">
        <v>5421.52</v>
      </c>
      <c r="G3307" s="343" t="s">
        <v>1913</v>
      </c>
      <c r="H3307" s="343" t="s">
        <v>1990</v>
      </c>
      <c r="I3307" s="343" t="s">
        <v>1880</v>
      </c>
      <c r="J3307" s="343" t="s">
        <v>757</v>
      </c>
      <c r="K3307" s="343" t="s">
        <v>770</v>
      </c>
      <c r="L3307" s="344">
        <v>44165</v>
      </c>
      <c r="M3307" s="347">
        <v>0</v>
      </c>
    </row>
    <row r="3308" spans="1:13" hidden="1" x14ac:dyDescent="0.25">
      <c r="A3308" s="344">
        <v>44182</v>
      </c>
      <c r="B3308" s="343" t="s">
        <v>1914</v>
      </c>
      <c r="C3308" s="343" t="s">
        <v>769</v>
      </c>
      <c r="D3308" s="345">
        <v>7</v>
      </c>
      <c r="E3308" s="346">
        <v>113.64</v>
      </c>
      <c r="F3308" s="346">
        <v>5535.16</v>
      </c>
      <c r="G3308" s="343" t="s">
        <v>1915</v>
      </c>
      <c r="H3308" s="343" t="s">
        <v>1990</v>
      </c>
      <c r="I3308" s="343" t="s">
        <v>1880</v>
      </c>
      <c r="J3308" s="343" t="s">
        <v>757</v>
      </c>
      <c r="K3308" s="343" t="s">
        <v>770</v>
      </c>
      <c r="L3308" s="344">
        <v>44182</v>
      </c>
      <c r="M3308" s="347">
        <v>0</v>
      </c>
    </row>
    <row r="3309" spans="1:13" hidden="1" x14ac:dyDescent="0.25">
      <c r="A3309" s="344">
        <v>44196</v>
      </c>
      <c r="B3309" s="343" t="s">
        <v>1910</v>
      </c>
      <c r="C3309" s="343" t="s">
        <v>1060</v>
      </c>
      <c r="D3309" s="345">
        <v>7</v>
      </c>
      <c r="E3309" s="346">
        <v>-172.07</v>
      </c>
      <c r="F3309" s="346">
        <v>5363.09</v>
      </c>
      <c r="G3309" s="343" t="s">
        <v>1911</v>
      </c>
      <c r="H3309" s="343" t="s">
        <v>1990</v>
      </c>
      <c r="I3309" s="343" t="s">
        <v>1880</v>
      </c>
      <c r="J3309" s="343" t="s">
        <v>757</v>
      </c>
      <c r="K3309" s="343" t="s">
        <v>741</v>
      </c>
      <c r="L3309" s="344">
        <v>44196</v>
      </c>
      <c r="M3309" s="347">
        <v>0</v>
      </c>
    </row>
    <row r="3310" spans="1:13" hidden="1" x14ac:dyDescent="0.25">
      <c r="A3310" s="344">
        <v>44203</v>
      </c>
      <c r="B3310" s="343" t="s">
        <v>1970</v>
      </c>
      <c r="C3310" s="343" t="s">
        <v>1059</v>
      </c>
      <c r="D3310" s="345">
        <v>7</v>
      </c>
      <c r="E3310" s="346">
        <v>30</v>
      </c>
      <c r="F3310" s="346">
        <v>5393.09</v>
      </c>
      <c r="G3310" s="343" t="s">
        <v>1971</v>
      </c>
      <c r="H3310" s="343" t="s">
        <v>1990</v>
      </c>
      <c r="I3310" s="343" t="s">
        <v>1880</v>
      </c>
      <c r="J3310" s="343" t="s">
        <v>757</v>
      </c>
      <c r="K3310" s="343" t="s">
        <v>741</v>
      </c>
      <c r="L3310" s="344">
        <v>44203</v>
      </c>
      <c r="M3310" s="347">
        <v>0</v>
      </c>
    </row>
    <row r="3311" spans="1:13" hidden="1" x14ac:dyDescent="0.25">
      <c r="A3311" s="344">
        <v>44218</v>
      </c>
      <c r="B3311" s="343" t="s">
        <v>1972</v>
      </c>
      <c r="C3311" s="343" t="s">
        <v>1059</v>
      </c>
      <c r="D3311" s="345">
        <v>7</v>
      </c>
      <c r="E3311" s="346">
        <v>-130</v>
      </c>
      <c r="F3311" s="346">
        <v>5263.09</v>
      </c>
      <c r="G3311" s="343" t="s">
        <v>1973</v>
      </c>
      <c r="H3311" s="343" t="s">
        <v>1990</v>
      </c>
      <c r="I3311" s="343" t="s">
        <v>1880</v>
      </c>
      <c r="J3311" s="343" t="s">
        <v>757</v>
      </c>
      <c r="K3311" s="343" t="s">
        <v>741</v>
      </c>
      <c r="L3311" s="344">
        <v>44218</v>
      </c>
      <c r="M3311" s="347">
        <v>0</v>
      </c>
    </row>
    <row r="3312" spans="1:13" hidden="1" x14ac:dyDescent="0.25">
      <c r="A3312" s="344">
        <v>44223</v>
      </c>
      <c r="B3312" s="343" t="s">
        <v>1916</v>
      </c>
      <c r="C3312" s="343" t="s">
        <v>769</v>
      </c>
      <c r="D3312" s="345">
        <v>8</v>
      </c>
      <c r="E3312" s="346">
        <v>90.91</v>
      </c>
      <c r="F3312" s="346">
        <v>5354</v>
      </c>
      <c r="G3312" s="343" t="s">
        <v>1917</v>
      </c>
      <c r="H3312" s="343" t="s">
        <v>1990</v>
      </c>
      <c r="I3312" s="343" t="s">
        <v>1880</v>
      </c>
      <c r="J3312" s="343" t="s">
        <v>757</v>
      </c>
      <c r="K3312" s="343" t="s">
        <v>770</v>
      </c>
      <c r="L3312" s="344">
        <v>44223</v>
      </c>
      <c r="M3312" s="347">
        <v>0</v>
      </c>
    </row>
    <row r="3313" spans="1:13" hidden="1" x14ac:dyDescent="0.25">
      <c r="A3313" s="344">
        <v>44227</v>
      </c>
      <c r="B3313" s="343" t="s">
        <v>1974</v>
      </c>
      <c r="C3313" s="343" t="s">
        <v>1059</v>
      </c>
      <c r="D3313" s="345">
        <v>8</v>
      </c>
      <c r="E3313" s="346">
        <v>-30</v>
      </c>
      <c r="F3313" s="346">
        <v>5324</v>
      </c>
      <c r="G3313" s="343" t="s">
        <v>1975</v>
      </c>
      <c r="H3313" s="343" t="s">
        <v>1990</v>
      </c>
      <c r="I3313" s="343" t="s">
        <v>1880</v>
      </c>
      <c r="J3313" s="343" t="s">
        <v>757</v>
      </c>
      <c r="K3313" s="343" t="s">
        <v>741</v>
      </c>
      <c r="L3313" s="344">
        <v>44227</v>
      </c>
      <c r="M3313" s="347">
        <v>0</v>
      </c>
    </row>
    <row r="3314" spans="1:13" hidden="1" x14ac:dyDescent="0.25">
      <c r="A3314" s="344">
        <v>44244</v>
      </c>
      <c r="B3314" s="343" t="s">
        <v>1978</v>
      </c>
      <c r="C3314" s="343" t="s">
        <v>1059</v>
      </c>
      <c r="D3314" s="345">
        <v>8</v>
      </c>
      <c r="E3314" s="346">
        <v>-20</v>
      </c>
      <c r="F3314" s="346">
        <v>5304</v>
      </c>
      <c r="G3314" s="343" t="s">
        <v>1979</v>
      </c>
      <c r="H3314" s="343" t="s">
        <v>1990</v>
      </c>
      <c r="I3314" s="343" t="s">
        <v>1880</v>
      </c>
      <c r="J3314" s="343" t="s">
        <v>757</v>
      </c>
      <c r="K3314" s="343" t="s">
        <v>741</v>
      </c>
      <c r="L3314" s="344">
        <v>44244</v>
      </c>
      <c r="M3314" s="347">
        <v>0</v>
      </c>
    </row>
    <row r="3315" spans="1:13" hidden="1" x14ac:dyDescent="0.25">
      <c r="A3315" s="344">
        <v>44259</v>
      </c>
      <c r="B3315" s="343" t="s">
        <v>1939</v>
      </c>
      <c r="C3315" s="343" t="s">
        <v>1059</v>
      </c>
      <c r="D3315" s="345">
        <v>9</v>
      </c>
      <c r="E3315" s="346">
        <v>-30</v>
      </c>
      <c r="F3315" s="346">
        <v>5274</v>
      </c>
      <c r="G3315" s="343" t="s">
        <v>1940</v>
      </c>
      <c r="H3315" s="343" t="s">
        <v>1990</v>
      </c>
      <c r="I3315" s="343" t="s">
        <v>1880</v>
      </c>
      <c r="J3315" s="343" t="s">
        <v>757</v>
      </c>
      <c r="K3315" s="343" t="s">
        <v>741</v>
      </c>
      <c r="L3315" s="344">
        <v>44259</v>
      </c>
      <c r="M3315" s="347">
        <v>0</v>
      </c>
    </row>
    <row r="3316" spans="1:13" hidden="1" x14ac:dyDescent="0.25">
      <c r="A3316" s="344">
        <v>44272</v>
      </c>
      <c r="B3316" s="343" t="s">
        <v>1982</v>
      </c>
      <c r="C3316" s="343" t="s">
        <v>1059</v>
      </c>
      <c r="D3316" s="345">
        <v>9</v>
      </c>
      <c r="E3316" s="346">
        <v>-20</v>
      </c>
      <c r="F3316" s="346">
        <v>5254</v>
      </c>
      <c r="G3316" s="343" t="s">
        <v>1983</v>
      </c>
      <c r="H3316" s="343" t="s">
        <v>1990</v>
      </c>
      <c r="I3316" s="343" t="s">
        <v>1880</v>
      </c>
      <c r="J3316" s="343" t="s">
        <v>757</v>
      </c>
      <c r="K3316" s="343" t="s">
        <v>741</v>
      </c>
      <c r="L3316" s="344">
        <v>44272</v>
      </c>
      <c r="M3316" s="347">
        <v>0</v>
      </c>
    </row>
    <row r="3317" spans="1:13" hidden="1" x14ac:dyDescent="0.25">
      <c r="A3317" s="344">
        <v>44257</v>
      </c>
      <c r="B3317" s="343" t="s">
        <v>1884</v>
      </c>
      <c r="C3317" s="343" t="s">
        <v>769</v>
      </c>
      <c r="D3317" s="345">
        <v>10</v>
      </c>
      <c r="E3317" s="346">
        <v>30.3</v>
      </c>
      <c r="F3317" s="346">
        <v>5284.3</v>
      </c>
      <c r="G3317" s="343" t="s">
        <v>1885</v>
      </c>
      <c r="H3317" s="343" t="s">
        <v>1990</v>
      </c>
      <c r="I3317" s="343" t="s">
        <v>1880</v>
      </c>
      <c r="J3317" s="343" t="s">
        <v>757</v>
      </c>
      <c r="K3317" s="343" t="s">
        <v>770</v>
      </c>
      <c r="L3317" s="344">
        <v>44257</v>
      </c>
      <c r="M3317" s="347">
        <v>0</v>
      </c>
    </row>
    <row r="3318" spans="1:13" hidden="1" x14ac:dyDescent="0.25">
      <c r="A3318" s="344">
        <v>44280</v>
      </c>
      <c r="B3318" s="343" t="s">
        <v>1886</v>
      </c>
      <c r="C3318" s="343" t="s">
        <v>769</v>
      </c>
      <c r="D3318" s="345">
        <v>10</v>
      </c>
      <c r="E3318" s="346">
        <v>60.61</v>
      </c>
      <c r="F3318" s="346">
        <v>5344.91</v>
      </c>
      <c r="G3318" s="343" t="s">
        <v>1887</v>
      </c>
      <c r="H3318" s="343" t="s">
        <v>1990</v>
      </c>
      <c r="I3318" s="343" t="s">
        <v>1880</v>
      </c>
      <c r="J3318" s="343" t="s">
        <v>757</v>
      </c>
      <c r="K3318" s="343" t="s">
        <v>770</v>
      </c>
      <c r="L3318" s="344">
        <v>44280</v>
      </c>
      <c r="M3318" s="347">
        <v>0</v>
      </c>
    </row>
    <row r="3319" spans="1:13" hidden="1" x14ac:dyDescent="0.25">
      <c r="A3319" s="344">
        <v>44280</v>
      </c>
      <c r="B3319" s="343" t="s">
        <v>1888</v>
      </c>
      <c r="C3319" s="343" t="s">
        <v>769</v>
      </c>
      <c r="D3319" s="345">
        <v>10</v>
      </c>
      <c r="E3319" s="346">
        <v>45.45</v>
      </c>
      <c r="F3319" s="346">
        <v>5390.36</v>
      </c>
      <c r="G3319" s="343" t="s">
        <v>1887</v>
      </c>
      <c r="H3319" s="343" t="s">
        <v>1990</v>
      </c>
      <c r="I3319" s="343" t="s">
        <v>1880</v>
      </c>
      <c r="J3319" s="343" t="s">
        <v>757</v>
      </c>
      <c r="K3319" s="343" t="s">
        <v>770</v>
      </c>
      <c r="L3319" s="344">
        <v>44280</v>
      </c>
      <c r="M3319" s="347">
        <v>0</v>
      </c>
    </row>
    <row r="3320" spans="1:13" hidden="1" x14ac:dyDescent="0.25">
      <c r="A3320" s="344">
        <v>44293</v>
      </c>
      <c r="B3320" s="343" t="s">
        <v>1991</v>
      </c>
      <c r="C3320" s="343" t="s">
        <v>769</v>
      </c>
      <c r="D3320" s="345">
        <v>10</v>
      </c>
      <c r="E3320" s="346">
        <v>50</v>
      </c>
      <c r="F3320" s="346">
        <v>5440.36</v>
      </c>
      <c r="G3320" s="343" t="s">
        <v>1992</v>
      </c>
      <c r="H3320" s="343" t="s">
        <v>1990</v>
      </c>
      <c r="I3320" s="343" t="s">
        <v>1880</v>
      </c>
      <c r="J3320" s="343" t="s">
        <v>757</v>
      </c>
      <c r="K3320" s="343" t="s">
        <v>770</v>
      </c>
      <c r="L3320" s="344">
        <v>44293</v>
      </c>
      <c r="M3320" s="347">
        <v>0</v>
      </c>
    </row>
    <row r="3321" spans="1:13" hidden="1" x14ac:dyDescent="0.25">
      <c r="A3321" s="344">
        <v>44301</v>
      </c>
      <c r="B3321" s="343" t="s">
        <v>1889</v>
      </c>
      <c r="C3321" s="343" t="s">
        <v>1059</v>
      </c>
      <c r="D3321" s="345">
        <v>10</v>
      </c>
      <c r="E3321" s="346">
        <v>-20</v>
      </c>
      <c r="F3321" s="346">
        <v>5420.36</v>
      </c>
      <c r="G3321" s="343" t="s">
        <v>1890</v>
      </c>
      <c r="H3321" s="343" t="s">
        <v>1990</v>
      </c>
      <c r="I3321" s="343" t="s">
        <v>1880</v>
      </c>
      <c r="J3321" s="343" t="s">
        <v>757</v>
      </c>
      <c r="K3321" s="343" t="s">
        <v>741</v>
      </c>
      <c r="L3321" s="344">
        <v>44301</v>
      </c>
      <c r="M3321" s="347">
        <v>0</v>
      </c>
    </row>
    <row r="3322" spans="1:13" hidden="1" x14ac:dyDescent="0.25">
      <c r="A3322" s="344">
        <v>44012</v>
      </c>
      <c r="B3322" s="343" t="s">
        <v>1928</v>
      </c>
      <c r="C3322" s="343" t="s">
        <v>769</v>
      </c>
      <c r="D3322" s="345">
        <v>1</v>
      </c>
      <c r="E3322" s="346">
        <v>65.55</v>
      </c>
      <c r="F3322" s="346">
        <v>5508.64</v>
      </c>
      <c r="G3322" s="343" t="s">
        <v>1929</v>
      </c>
      <c r="H3322" s="343" t="s">
        <v>1993</v>
      </c>
      <c r="I3322" s="343" t="s">
        <v>1880</v>
      </c>
      <c r="J3322" s="343" t="s">
        <v>757</v>
      </c>
      <c r="K3322" s="343" t="s">
        <v>770</v>
      </c>
      <c r="L3322" s="344">
        <v>44012</v>
      </c>
      <c r="M3322" s="347">
        <v>0</v>
      </c>
    </row>
    <row r="3323" spans="1:13" hidden="1" x14ac:dyDescent="0.25">
      <c r="A3323" s="344">
        <v>44012</v>
      </c>
      <c r="B3323" s="343" t="s">
        <v>1928</v>
      </c>
      <c r="C3323" s="343" t="s">
        <v>769</v>
      </c>
      <c r="D3323" s="345">
        <v>1</v>
      </c>
      <c r="E3323" s="346">
        <v>65.55</v>
      </c>
      <c r="F3323" s="346">
        <v>5574.19</v>
      </c>
      <c r="G3323" s="343" t="s">
        <v>1929</v>
      </c>
      <c r="H3323" s="343" t="s">
        <v>1993</v>
      </c>
      <c r="I3323" s="343" t="s">
        <v>1880</v>
      </c>
      <c r="J3323" s="343" t="s">
        <v>757</v>
      </c>
      <c r="K3323" s="343" t="s">
        <v>770</v>
      </c>
      <c r="L3323" s="344">
        <v>44012</v>
      </c>
      <c r="M3323" s="347">
        <v>0</v>
      </c>
    </row>
    <row r="3324" spans="1:13" hidden="1" x14ac:dyDescent="0.25">
      <c r="A3324" s="344">
        <v>44012</v>
      </c>
      <c r="B3324" s="343" t="s">
        <v>1928</v>
      </c>
      <c r="C3324" s="343" t="s">
        <v>769</v>
      </c>
      <c r="D3324" s="345">
        <v>1</v>
      </c>
      <c r="E3324" s="346">
        <v>65.55</v>
      </c>
      <c r="F3324" s="346">
        <v>5639.74</v>
      </c>
      <c r="G3324" s="343" t="s">
        <v>1929</v>
      </c>
      <c r="H3324" s="343" t="s">
        <v>1993</v>
      </c>
      <c r="I3324" s="343" t="s">
        <v>1880</v>
      </c>
      <c r="J3324" s="343" t="s">
        <v>757</v>
      </c>
      <c r="K3324" s="343" t="s">
        <v>770</v>
      </c>
      <c r="L3324" s="344">
        <v>44012</v>
      </c>
      <c r="M3324" s="347">
        <v>0</v>
      </c>
    </row>
    <row r="3325" spans="1:13" hidden="1" x14ac:dyDescent="0.25">
      <c r="A3325" s="344">
        <v>44012</v>
      </c>
      <c r="B3325" s="343" t="s">
        <v>1925</v>
      </c>
      <c r="C3325" s="343" t="s">
        <v>1059</v>
      </c>
      <c r="D3325" s="345">
        <v>1</v>
      </c>
      <c r="E3325" s="346">
        <v>-196.66</v>
      </c>
      <c r="F3325" s="346">
        <v>5443.08</v>
      </c>
      <c r="G3325" s="343" t="s">
        <v>1926</v>
      </c>
      <c r="H3325" s="343" t="s">
        <v>1993</v>
      </c>
      <c r="I3325" s="343" t="s">
        <v>1880</v>
      </c>
      <c r="J3325" s="343" t="s">
        <v>757</v>
      </c>
      <c r="K3325" s="343" t="s">
        <v>741</v>
      </c>
      <c r="L3325" s="344">
        <v>44012</v>
      </c>
      <c r="M3325" s="347">
        <v>0</v>
      </c>
    </row>
    <row r="3326" spans="1:13" hidden="1" x14ac:dyDescent="0.25">
      <c r="A3326" s="344">
        <v>44043</v>
      </c>
      <c r="B3326" s="343" t="s">
        <v>1891</v>
      </c>
      <c r="C3326" s="343" t="s">
        <v>1060</v>
      </c>
      <c r="D3326" s="345">
        <v>1</v>
      </c>
      <c r="E3326" s="346">
        <v>275.32</v>
      </c>
      <c r="F3326" s="346">
        <v>5718.4</v>
      </c>
      <c r="G3326" s="343" t="s">
        <v>1892</v>
      </c>
      <c r="H3326" s="343" t="s">
        <v>1993</v>
      </c>
      <c r="I3326" s="343" t="s">
        <v>1880</v>
      </c>
      <c r="J3326" s="343" t="s">
        <v>757</v>
      </c>
      <c r="K3326" s="343" t="s">
        <v>741</v>
      </c>
      <c r="L3326" s="344">
        <v>44043</v>
      </c>
      <c r="M3326" s="347">
        <v>0</v>
      </c>
    </row>
    <row r="3327" spans="1:13" hidden="1" x14ac:dyDescent="0.25">
      <c r="A3327" s="344">
        <v>44043</v>
      </c>
      <c r="B3327" s="343" t="s">
        <v>1894</v>
      </c>
      <c r="C3327" s="343" t="s">
        <v>769</v>
      </c>
      <c r="D3327" s="345">
        <v>2</v>
      </c>
      <c r="E3327" s="346">
        <v>91.77</v>
      </c>
      <c r="F3327" s="346">
        <v>5810.17</v>
      </c>
      <c r="G3327" s="343" t="s">
        <v>1895</v>
      </c>
      <c r="H3327" s="343" t="s">
        <v>1993</v>
      </c>
      <c r="I3327" s="343" t="s">
        <v>1880</v>
      </c>
      <c r="J3327" s="343" t="s">
        <v>757</v>
      </c>
      <c r="K3327" s="343" t="s">
        <v>770</v>
      </c>
      <c r="L3327" s="344">
        <v>44043</v>
      </c>
      <c r="M3327" s="347">
        <v>0</v>
      </c>
    </row>
    <row r="3328" spans="1:13" hidden="1" x14ac:dyDescent="0.25">
      <c r="A3328" s="344">
        <v>44043</v>
      </c>
      <c r="B3328" s="343" t="s">
        <v>1894</v>
      </c>
      <c r="C3328" s="343" t="s">
        <v>769</v>
      </c>
      <c r="D3328" s="345">
        <v>2</v>
      </c>
      <c r="E3328" s="346">
        <v>91.77</v>
      </c>
      <c r="F3328" s="346">
        <v>5901.94</v>
      </c>
      <c r="G3328" s="343" t="s">
        <v>1895</v>
      </c>
      <c r="H3328" s="343" t="s">
        <v>1993</v>
      </c>
      <c r="I3328" s="343" t="s">
        <v>1880</v>
      </c>
      <c r="J3328" s="343" t="s">
        <v>757</v>
      </c>
      <c r="K3328" s="343" t="s">
        <v>770</v>
      </c>
      <c r="L3328" s="344">
        <v>44043</v>
      </c>
      <c r="M3328" s="347">
        <v>0</v>
      </c>
    </row>
    <row r="3329" spans="1:13" hidden="1" x14ac:dyDescent="0.25">
      <c r="A3329" s="344">
        <v>44043</v>
      </c>
      <c r="B3329" s="343" t="s">
        <v>1894</v>
      </c>
      <c r="C3329" s="343" t="s">
        <v>769</v>
      </c>
      <c r="D3329" s="345">
        <v>2</v>
      </c>
      <c r="E3329" s="346">
        <v>91.81</v>
      </c>
      <c r="F3329" s="346">
        <v>5993.75</v>
      </c>
      <c r="G3329" s="343" t="s">
        <v>1895</v>
      </c>
      <c r="H3329" s="343" t="s">
        <v>1993</v>
      </c>
      <c r="I3329" s="343" t="s">
        <v>1880</v>
      </c>
      <c r="J3329" s="343" t="s">
        <v>757</v>
      </c>
      <c r="K3329" s="343" t="s">
        <v>770</v>
      </c>
      <c r="L3329" s="344">
        <v>44043</v>
      </c>
      <c r="M3329" s="347">
        <v>0</v>
      </c>
    </row>
    <row r="3330" spans="1:13" hidden="1" x14ac:dyDescent="0.25">
      <c r="A3330" s="344">
        <v>44043</v>
      </c>
      <c r="B3330" s="343" t="s">
        <v>1891</v>
      </c>
      <c r="C3330" s="343" t="s">
        <v>1060</v>
      </c>
      <c r="D3330" s="345">
        <v>2</v>
      </c>
      <c r="E3330" s="346">
        <v>-275.32</v>
      </c>
      <c r="F3330" s="346">
        <v>5718.43</v>
      </c>
      <c r="G3330" s="343" t="s">
        <v>1892</v>
      </c>
      <c r="H3330" s="343" t="s">
        <v>1993</v>
      </c>
      <c r="I3330" s="343" t="s">
        <v>1880</v>
      </c>
      <c r="J3330" s="343" t="s">
        <v>757</v>
      </c>
      <c r="K3330" s="343" t="s">
        <v>741</v>
      </c>
      <c r="L3330" s="344">
        <v>44043</v>
      </c>
      <c r="M3330" s="347">
        <v>0</v>
      </c>
    </row>
    <row r="3331" spans="1:13" hidden="1" x14ac:dyDescent="0.25">
      <c r="A3331" s="344">
        <v>44052</v>
      </c>
      <c r="B3331" s="343" t="s">
        <v>1930</v>
      </c>
      <c r="C3331" s="343" t="s">
        <v>1059</v>
      </c>
      <c r="D3331" s="345">
        <v>2</v>
      </c>
      <c r="E3331" s="346">
        <v>-32.5</v>
      </c>
      <c r="F3331" s="346">
        <v>5685.93</v>
      </c>
      <c r="G3331" s="343" t="s">
        <v>1931</v>
      </c>
      <c r="H3331" s="343" t="s">
        <v>1993</v>
      </c>
      <c r="I3331" s="343" t="s">
        <v>1880</v>
      </c>
      <c r="J3331" s="343" t="s">
        <v>757</v>
      </c>
      <c r="K3331" s="343" t="s">
        <v>741</v>
      </c>
      <c r="L3331" s="344">
        <v>44052</v>
      </c>
      <c r="M3331" s="347">
        <v>0</v>
      </c>
    </row>
    <row r="3332" spans="1:13" hidden="1" x14ac:dyDescent="0.25">
      <c r="A3332" s="344">
        <v>44062</v>
      </c>
      <c r="B3332" s="343" t="s">
        <v>1932</v>
      </c>
      <c r="C3332" s="343" t="s">
        <v>1059</v>
      </c>
      <c r="D3332" s="345">
        <v>2</v>
      </c>
      <c r="E3332" s="346">
        <v>-32.5</v>
      </c>
      <c r="F3332" s="346">
        <v>5653.43</v>
      </c>
      <c r="G3332" s="343" t="s">
        <v>1933</v>
      </c>
      <c r="H3332" s="343" t="s">
        <v>1993</v>
      </c>
      <c r="I3332" s="343" t="s">
        <v>1880</v>
      </c>
      <c r="J3332" s="343" t="s">
        <v>757</v>
      </c>
      <c r="K3332" s="343" t="s">
        <v>741</v>
      </c>
      <c r="L3332" s="344">
        <v>44062</v>
      </c>
      <c r="M3332" s="347">
        <v>0</v>
      </c>
    </row>
    <row r="3333" spans="1:13" hidden="1" x14ac:dyDescent="0.25">
      <c r="A3333" s="344">
        <v>44074</v>
      </c>
      <c r="B3333" s="343" t="s">
        <v>1896</v>
      </c>
      <c r="C3333" s="343" t="s">
        <v>1060</v>
      </c>
      <c r="D3333" s="345">
        <v>2</v>
      </c>
      <c r="E3333" s="346">
        <v>183.55</v>
      </c>
      <c r="F3333" s="346">
        <v>5836.98</v>
      </c>
      <c r="G3333" s="343" t="s">
        <v>1897</v>
      </c>
      <c r="H3333" s="343" t="s">
        <v>1993</v>
      </c>
      <c r="I3333" s="343" t="s">
        <v>1880</v>
      </c>
      <c r="J3333" s="343" t="s">
        <v>757</v>
      </c>
      <c r="K3333" s="343" t="s">
        <v>741</v>
      </c>
      <c r="L3333" s="344">
        <v>44074</v>
      </c>
      <c r="M3333" s="347">
        <v>0</v>
      </c>
    </row>
    <row r="3334" spans="1:13" hidden="1" x14ac:dyDescent="0.25">
      <c r="A3334" s="344">
        <v>44074</v>
      </c>
      <c r="B3334" s="343" t="s">
        <v>1896</v>
      </c>
      <c r="C3334" s="343" t="s">
        <v>1060</v>
      </c>
      <c r="D3334" s="345">
        <v>3</v>
      </c>
      <c r="E3334" s="346">
        <v>-183.55</v>
      </c>
      <c r="F3334" s="346">
        <v>5653.43</v>
      </c>
      <c r="G3334" s="343" t="s">
        <v>1897</v>
      </c>
      <c r="H3334" s="343" t="s">
        <v>1993</v>
      </c>
      <c r="I3334" s="343" t="s">
        <v>1880</v>
      </c>
      <c r="J3334" s="343" t="s">
        <v>757</v>
      </c>
      <c r="K3334" s="343" t="s">
        <v>741</v>
      </c>
      <c r="L3334" s="344">
        <v>44074</v>
      </c>
      <c r="M3334" s="347">
        <v>0</v>
      </c>
    </row>
    <row r="3335" spans="1:13" hidden="1" x14ac:dyDescent="0.25">
      <c r="A3335" s="344">
        <v>44085</v>
      </c>
      <c r="B3335" s="343" t="s">
        <v>1898</v>
      </c>
      <c r="C3335" s="343" t="s">
        <v>1059</v>
      </c>
      <c r="D3335" s="345">
        <v>3</v>
      </c>
      <c r="E3335" s="346">
        <v>183.55</v>
      </c>
      <c r="F3335" s="346">
        <v>5836.98</v>
      </c>
      <c r="G3335" s="343" t="s">
        <v>1899</v>
      </c>
      <c r="H3335" s="343" t="s">
        <v>1993</v>
      </c>
      <c r="I3335" s="343" t="s">
        <v>1880</v>
      </c>
      <c r="J3335" s="343" t="s">
        <v>757</v>
      </c>
      <c r="K3335" s="343" t="s">
        <v>741</v>
      </c>
      <c r="L3335" s="344">
        <v>44085</v>
      </c>
      <c r="M3335" s="347">
        <v>0</v>
      </c>
    </row>
    <row r="3336" spans="1:13" hidden="1" x14ac:dyDescent="0.25">
      <c r="A3336" s="344">
        <v>44104</v>
      </c>
      <c r="B3336" s="343" t="s">
        <v>1934</v>
      </c>
      <c r="C3336" s="343" t="s">
        <v>1059</v>
      </c>
      <c r="D3336" s="345">
        <v>3</v>
      </c>
      <c r="E3336" s="346">
        <v>-6.5</v>
      </c>
      <c r="F3336" s="346">
        <v>5830.48</v>
      </c>
      <c r="G3336" s="343" t="s">
        <v>1935</v>
      </c>
      <c r="H3336" s="343" t="s">
        <v>1993</v>
      </c>
      <c r="I3336" s="343" t="s">
        <v>1880</v>
      </c>
      <c r="J3336" s="343" t="s">
        <v>757</v>
      </c>
      <c r="K3336" s="343" t="s">
        <v>741</v>
      </c>
      <c r="L3336" s="344">
        <v>44104</v>
      </c>
      <c r="M3336" s="347">
        <v>0</v>
      </c>
    </row>
    <row r="3337" spans="1:13" hidden="1" x14ac:dyDescent="0.25">
      <c r="A3337" s="344">
        <v>44104</v>
      </c>
      <c r="B3337" s="343" t="s">
        <v>1900</v>
      </c>
      <c r="C3337" s="343" t="s">
        <v>1060</v>
      </c>
      <c r="D3337" s="345">
        <v>3</v>
      </c>
      <c r="E3337" s="346">
        <v>183.55</v>
      </c>
      <c r="F3337" s="346">
        <v>6014.03</v>
      </c>
      <c r="G3337" s="343" t="s">
        <v>1901</v>
      </c>
      <c r="H3337" s="343" t="s">
        <v>1993</v>
      </c>
      <c r="I3337" s="343" t="s">
        <v>1880</v>
      </c>
      <c r="J3337" s="343" t="s">
        <v>757</v>
      </c>
      <c r="K3337" s="343" t="s">
        <v>741</v>
      </c>
      <c r="L3337" s="344">
        <v>44104</v>
      </c>
      <c r="M3337" s="347">
        <v>0</v>
      </c>
    </row>
    <row r="3338" spans="1:13" hidden="1" x14ac:dyDescent="0.25">
      <c r="A3338" s="344">
        <v>44104</v>
      </c>
      <c r="B3338" s="343" t="s">
        <v>1900</v>
      </c>
      <c r="C3338" s="343" t="s">
        <v>1060</v>
      </c>
      <c r="D3338" s="345">
        <v>4</v>
      </c>
      <c r="E3338" s="346">
        <v>-183.55</v>
      </c>
      <c r="F3338" s="346">
        <v>5830.48</v>
      </c>
      <c r="G3338" s="343" t="s">
        <v>1901</v>
      </c>
      <c r="H3338" s="343" t="s">
        <v>1993</v>
      </c>
      <c r="I3338" s="343" t="s">
        <v>1880</v>
      </c>
      <c r="J3338" s="343" t="s">
        <v>757</v>
      </c>
      <c r="K3338" s="343" t="s">
        <v>741</v>
      </c>
      <c r="L3338" s="344">
        <v>44104</v>
      </c>
      <c r="M3338" s="347">
        <v>0</v>
      </c>
    </row>
    <row r="3339" spans="1:13" hidden="1" x14ac:dyDescent="0.25">
      <c r="A3339" s="344">
        <v>44104</v>
      </c>
      <c r="B3339" s="343" t="s">
        <v>1902</v>
      </c>
      <c r="C3339" s="343" t="s">
        <v>769</v>
      </c>
      <c r="D3339" s="345">
        <v>4</v>
      </c>
      <c r="E3339" s="346">
        <v>114.72</v>
      </c>
      <c r="F3339" s="346">
        <v>5945.2</v>
      </c>
      <c r="G3339" s="343" t="s">
        <v>1903</v>
      </c>
      <c r="H3339" s="343" t="s">
        <v>1993</v>
      </c>
      <c r="I3339" s="343" t="s">
        <v>1880</v>
      </c>
      <c r="J3339" s="343" t="s">
        <v>757</v>
      </c>
      <c r="K3339" s="343" t="s">
        <v>770</v>
      </c>
      <c r="L3339" s="344">
        <v>44104</v>
      </c>
      <c r="M3339" s="347">
        <v>0</v>
      </c>
    </row>
    <row r="3340" spans="1:13" hidden="1" x14ac:dyDescent="0.25">
      <c r="A3340" s="344">
        <v>44120</v>
      </c>
      <c r="B3340" s="343" t="s">
        <v>1936</v>
      </c>
      <c r="C3340" s="343" t="s">
        <v>1059</v>
      </c>
      <c r="D3340" s="345">
        <v>4</v>
      </c>
      <c r="E3340" s="346">
        <v>-26</v>
      </c>
      <c r="F3340" s="346">
        <v>5919.2</v>
      </c>
      <c r="G3340" s="343" t="s">
        <v>1937</v>
      </c>
      <c r="H3340" s="343" t="s">
        <v>1993</v>
      </c>
      <c r="I3340" s="343" t="s">
        <v>1880</v>
      </c>
      <c r="J3340" s="343" t="s">
        <v>757</v>
      </c>
      <c r="K3340" s="343" t="s">
        <v>741</v>
      </c>
      <c r="L3340" s="344">
        <v>44120</v>
      </c>
      <c r="M3340" s="347">
        <v>0</v>
      </c>
    </row>
    <row r="3341" spans="1:13" hidden="1" x14ac:dyDescent="0.25">
      <c r="A3341" s="344">
        <v>44135</v>
      </c>
      <c r="B3341" s="343" t="s">
        <v>1954</v>
      </c>
      <c r="C3341" s="343" t="s">
        <v>1059</v>
      </c>
      <c r="D3341" s="345">
        <v>4</v>
      </c>
      <c r="E3341" s="346">
        <v>-32.5</v>
      </c>
      <c r="F3341" s="346">
        <v>5886.7</v>
      </c>
      <c r="G3341" s="343" t="s">
        <v>1955</v>
      </c>
      <c r="H3341" s="343" t="s">
        <v>1993</v>
      </c>
      <c r="I3341" s="343" t="s">
        <v>1880</v>
      </c>
      <c r="J3341" s="343" t="s">
        <v>757</v>
      </c>
      <c r="K3341" s="343" t="s">
        <v>741</v>
      </c>
      <c r="L3341" s="344">
        <v>44135</v>
      </c>
      <c r="M3341" s="347">
        <v>0</v>
      </c>
    </row>
    <row r="3342" spans="1:13" hidden="1" x14ac:dyDescent="0.25">
      <c r="A3342" s="344">
        <v>44135</v>
      </c>
      <c r="B3342" s="343" t="s">
        <v>1904</v>
      </c>
      <c r="C3342" s="343" t="s">
        <v>1060</v>
      </c>
      <c r="D3342" s="345">
        <v>4</v>
      </c>
      <c r="E3342" s="346">
        <v>172.07</v>
      </c>
      <c r="F3342" s="346">
        <v>6058.77</v>
      </c>
      <c r="G3342" s="343" t="s">
        <v>1905</v>
      </c>
      <c r="H3342" s="343" t="s">
        <v>1993</v>
      </c>
      <c r="I3342" s="343" t="s">
        <v>1880</v>
      </c>
      <c r="J3342" s="343" t="s">
        <v>757</v>
      </c>
      <c r="K3342" s="343" t="s">
        <v>741</v>
      </c>
      <c r="L3342" s="344">
        <v>44135</v>
      </c>
      <c r="M3342" s="347">
        <v>0</v>
      </c>
    </row>
    <row r="3343" spans="1:13" hidden="1" x14ac:dyDescent="0.25">
      <c r="A3343" s="344">
        <v>44135</v>
      </c>
      <c r="B3343" s="343" t="s">
        <v>1904</v>
      </c>
      <c r="C3343" s="343" t="s">
        <v>1060</v>
      </c>
      <c r="D3343" s="345">
        <v>5</v>
      </c>
      <c r="E3343" s="346">
        <v>-172.07</v>
      </c>
      <c r="F3343" s="346">
        <v>5886.7</v>
      </c>
      <c r="G3343" s="343" t="s">
        <v>1905</v>
      </c>
      <c r="H3343" s="343" t="s">
        <v>1993</v>
      </c>
      <c r="I3343" s="343" t="s">
        <v>1880</v>
      </c>
      <c r="J3343" s="343" t="s">
        <v>757</v>
      </c>
      <c r="K3343" s="343" t="s">
        <v>741</v>
      </c>
      <c r="L3343" s="344">
        <v>44135</v>
      </c>
      <c r="M3343" s="347">
        <v>0</v>
      </c>
    </row>
    <row r="3344" spans="1:13" hidden="1" x14ac:dyDescent="0.25">
      <c r="A3344" s="344">
        <v>44148</v>
      </c>
      <c r="B3344" s="343" t="s">
        <v>1958</v>
      </c>
      <c r="C3344" s="343" t="s">
        <v>1059</v>
      </c>
      <c r="D3344" s="345">
        <v>5</v>
      </c>
      <c r="E3344" s="346">
        <v>-58.5</v>
      </c>
      <c r="F3344" s="346">
        <v>5828.2</v>
      </c>
      <c r="G3344" s="343" t="s">
        <v>1959</v>
      </c>
      <c r="H3344" s="343" t="s">
        <v>1993</v>
      </c>
      <c r="I3344" s="343" t="s">
        <v>1880</v>
      </c>
      <c r="J3344" s="343" t="s">
        <v>757</v>
      </c>
      <c r="K3344" s="343" t="s">
        <v>741</v>
      </c>
      <c r="L3344" s="344">
        <v>44148</v>
      </c>
      <c r="M3344" s="347">
        <v>0</v>
      </c>
    </row>
    <row r="3345" spans="1:13" hidden="1" x14ac:dyDescent="0.25">
      <c r="A3345" s="344">
        <v>44160</v>
      </c>
      <c r="B3345" s="343" t="s">
        <v>1960</v>
      </c>
      <c r="C3345" s="343" t="s">
        <v>1059</v>
      </c>
      <c r="D3345" s="345">
        <v>5</v>
      </c>
      <c r="E3345" s="346">
        <v>-58.5</v>
      </c>
      <c r="F3345" s="346">
        <v>5769.7</v>
      </c>
      <c r="G3345" s="343" t="s">
        <v>1961</v>
      </c>
      <c r="H3345" s="343" t="s">
        <v>1993</v>
      </c>
      <c r="I3345" s="343" t="s">
        <v>1880</v>
      </c>
      <c r="J3345" s="343" t="s">
        <v>757</v>
      </c>
      <c r="K3345" s="343" t="s">
        <v>741</v>
      </c>
      <c r="L3345" s="344">
        <v>44160</v>
      </c>
      <c r="M3345" s="347">
        <v>0</v>
      </c>
    </row>
    <row r="3346" spans="1:13" hidden="1" x14ac:dyDescent="0.25">
      <c r="A3346" s="344">
        <v>44161</v>
      </c>
      <c r="B3346" s="343" t="s">
        <v>1877</v>
      </c>
      <c r="C3346" s="343" t="s">
        <v>769</v>
      </c>
      <c r="D3346" s="345">
        <v>5</v>
      </c>
      <c r="E3346" s="346">
        <v>129.87</v>
      </c>
      <c r="F3346" s="346">
        <v>5899.57</v>
      </c>
      <c r="G3346" s="343" t="s">
        <v>1878</v>
      </c>
      <c r="H3346" s="343" t="s">
        <v>1993</v>
      </c>
      <c r="I3346" s="343" t="s">
        <v>1880</v>
      </c>
      <c r="J3346" s="343" t="s">
        <v>757</v>
      </c>
      <c r="K3346" s="343" t="s">
        <v>770</v>
      </c>
      <c r="L3346" s="344">
        <v>44161</v>
      </c>
      <c r="M3346" s="347">
        <v>0</v>
      </c>
    </row>
    <row r="3347" spans="1:13" hidden="1" x14ac:dyDescent="0.25">
      <c r="A3347" s="344">
        <v>44165</v>
      </c>
      <c r="B3347" s="343" t="s">
        <v>1906</v>
      </c>
      <c r="C3347" s="343" t="s">
        <v>1060</v>
      </c>
      <c r="D3347" s="345">
        <v>5</v>
      </c>
      <c r="E3347" s="346">
        <v>344.15</v>
      </c>
      <c r="F3347" s="346">
        <v>6243.72</v>
      </c>
      <c r="G3347" s="343" t="s">
        <v>1907</v>
      </c>
      <c r="H3347" s="343" t="s">
        <v>1993</v>
      </c>
      <c r="I3347" s="343" t="s">
        <v>1880</v>
      </c>
      <c r="J3347" s="343" t="s">
        <v>757</v>
      </c>
      <c r="K3347" s="343" t="s">
        <v>741</v>
      </c>
      <c r="L3347" s="344">
        <v>44165</v>
      </c>
      <c r="M3347" s="347">
        <v>0</v>
      </c>
    </row>
    <row r="3348" spans="1:13" hidden="1" x14ac:dyDescent="0.25">
      <c r="A3348" s="344">
        <v>44135</v>
      </c>
      <c r="B3348" s="343" t="s">
        <v>1908</v>
      </c>
      <c r="C3348" s="343" t="s">
        <v>769</v>
      </c>
      <c r="D3348" s="345">
        <v>6</v>
      </c>
      <c r="E3348" s="346">
        <v>172.07</v>
      </c>
      <c r="F3348" s="346">
        <v>6415.79</v>
      </c>
      <c r="G3348" s="343" t="s">
        <v>1909</v>
      </c>
      <c r="H3348" s="343" t="s">
        <v>1993</v>
      </c>
      <c r="I3348" s="343" t="s">
        <v>1880</v>
      </c>
      <c r="J3348" s="343" t="s">
        <v>757</v>
      </c>
      <c r="K3348" s="343" t="s">
        <v>770</v>
      </c>
      <c r="L3348" s="344">
        <v>44135</v>
      </c>
      <c r="M3348" s="347">
        <v>0</v>
      </c>
    </row>
    <row r="3349" spans="1:13" hidden="1" x14ac:dyDescent="0.25">
      <c r="A3349" s="344">
        <v>44165</v>
      </c>
      <c r="B3349" s="343" t="s">
        <v>1906</v>
      </c>
      <c r="C3349" s="343" t="s">
        <v>1060</v>
      </c>
      <c r="D3349" s="345">
        <v>6</v>
      </c>
      <c r="E3349" s="346">
        <v>-344.15</v>
      </c>
      <c r="F3349" s="346">
        <v>6071.64</v>
      </c>
      <c r="G3349" s="343" t="s">
        <v>1907</v>
      </c>
      <c r="H3349" s="343" t="s">
        <v>1993</v>
      </c>
      <c r="I3349" s="343" t="s">
        <v>1880</v>
      </c>
      <c r="J3349" s="343" t="s">
        <v>757</v>
      </c>
      <c r="K3349" s="343" t="s">
        <v>741</v>
      </c>
      <c r="L3349" s="344">
        <v>44165</v>
      </c>
      <c r="M3349" s="347">
        <v>0</v>
      </c>
    </row>
    <row r="3350" spans="1:13" hidden="1" x14ac:dyDescent="0.25">
      <c r="A3350" s="344">
        <v>44165</v>
      </c>
      <c r="B3350" s="343" t="s">
        <v>1962</v>
      </c>
      <c r="C3350" s="343" t="s">
        <v>1059</v>
      </c>
      <c r="D3350" s="345">
        <v>6</v>
      </c>
      <c r="E3350" s="346">
        <v>-65</v>
      </c>
      <c r="F3350" s="346">
        <v>6006.64</v>
      </c>
      <c r="G3350" s="343" t="s">
        <v>1963</v>
      </c>
      <c r="H3350" s="343" t="s">
        <v>1993</v>
      </c>
      <c r="I3350" s="343" t="s">
        <v>1880</v>
      </c>
      <c r="J3350" s="343" t="s">
        <v>757</v>
      </c>
      <c r="K3350" s="343" t="s">
        <v>741</v>
      </c>
      <c r="L3350" s="344">
        <v>44165</v>
      </c>
      <c r="M3350" s="347">
        <v>0</v>
      </c>
    </row>
    <row r="3351" spans="1:13" hidden="1" x14ac:dyDescent="0.25">
      <c r="A3351" s="344">
        <v>44187</v>
      </c>
      <c r="B3351" s="343" t="s">
        <v>1966</v>
      </c>
      <c r="C3351" s="343" t="s">
        <v>1059</v>
      </c>
      <c r="D3351" s="345">
        <v>6</v>
      </c>
      <c r="E3351" s="346">
        <v>-100</v>
      </c>
      <c r="F3351" s="346">
        <v>5906.64</v>
      </c>
      <c r="G3351" s="343" t="s">
        <v>1967</v>
      </c>
      <c r="H3351" s="343" t="s">
        <v>1993</v>
      </c>
      <c r="I3351" s="343" t="s">
        <v>1880</v>
      </c>
      <c r="J3351" s="343" t="s">
        <v>757</v>
      </c>
      <c r="K3351" s="343" t="s">
        <v>741</v>
      </c>
      <c r="L3351" s="344">
        <v>44187</v>
      </c>
      <c r="M3351" s="347">
        <v>0</v>
      </c>
    </row>
    <row r="3352" spans="1:13" hidden="1" x14ac:dyDescent="0.25">
      <c r="A3352" s="344">
        <v>44196</v>
      </c>
      <c r="B3352" s="343" t="s">
        <v>1910</v>
      </c>
      <c r="C3352" s="343" t="s">
        <v>1060</v>
      </c>
      <c r="D3352" s="345">
        <v>6</v>
      </c>
      <c r="E3352" s="346">
        <v>172.07</v>
      </c>
      <c r="F3352" s="346">
        <v>6078.71</v>
      </c>
      <c r="G3352" s="343" t="s">
        <v>1911</v>
      </c>
      <c r="H3352" s="343" t="s">
        <v>1993</v>
      </c>
      <c r="I3352" s="343" t="s">
        <v>1880</v>
      </c>
      <c r="J3352" s="343" t="s">
        <v>757</v>
      </c>
      <c r="K3352" s="343" t="s">
        <v>741</v>
      </c>
      <c r="L3352" s="344">
        <v>44196</v>
      </c>
      <c r="M3352" s="347">
        <v>0</v>
      </c>
    </row>
    <row r="3353" spans="1:13" hidden="1" x14ac:dyDescent="0.25">
      <c r="A3353" s="344">
        <v>44165</v>
      </c>
      <c r="B3353" s="343" t="s">
        <v>1912</v>
      </c>
      <c r="C3353" s="343" t="s">
        <v>769</v>
      </c>
      <c r="D3353" s="345">
        <v>7</v>
      </c>
      <c r="E3353" s="346">
        <v>172.07</v>
      </c>
      <c r="F3353" s="346">
        <v>6250.78</v>
      </c>
      <c r="G3353" s="343" t="s">
        <v>1913</v>
      </c>
      <c r="H3353" s="343" t="s">
        <v>1993</v>
      </c>
      <c r="I3353" s="343" t="s">
        <v>1880</v>
      </c>
      <c r="J3353" s="343" t="s">
        <v>757</v>
      </c>
      <c r="K3353" s="343" t="s">
        <v>770</v>
      </c>
      <c r="L3353" s="344">
        <v>44165</v>
      </c>
      <c r="M3353" s="347">
        <v>0</v>
      </c>
    </row>
    <row r="3354" spans="1:13" hidden="1" x14ac:dyDescent="0.25">
      <c r="A3354" s="344">
        <v>44182</v>
      </c>
      <c r="B3354" s="343" t="s">
        <v>1914</v>
      </c>
      <c r="C3354" s="343" t="s">
        <v>769</v>
      </c>
      <c r="D3354" s="345">
        <v>7</v>
      </c>
      <c r="E3354" s="346">
        <v>113.64</v>
      </c>
      <c r="F3354" s="346">
        <v>6364.42</v>
      </c>
      <c r="G3354" s="343" t="s">
        <v>1915</v>
      </c>
      <c r="H3354" s="343" t="s">
        <v>1993</v>
      </c>
      <c r="I3354" s="343" t="s">
        <v>1880</v>
      </c>
      <c r="J3354" s="343" t="s">
        <v>757</v>
      </c>
      <c r="K3354" s="343" t="s">
        <v>770</v>
      </c>
      <c r="L3354" s="344">
        <v>44182</v>
      </c>
      <c r="M3354" s="347">
        <v>0</v>
      </c>
    </row>
    <row r="3355" spans="1:13" hidden="1" x14ac:dyDescent="0.25">
      <c r="A3355" s="344">
        <v>44196</v>
      </c>
      <c r="B3355" s="343" t="s">
        <v>1910</v>
      </c>
      <c r="C3355" s="343" t="s">
        <v>1060</v>
      </c>
      <c r="D3355" s="345">
        <v>7</v>
      </c>
      <c r="E3355" s="346">
        <v>-172.07</v>
      </c>
      <c r="F3355" s="346">
        <v>6192.35</v>
      </c>
      <c r="G3355" s="343" t="s">
        <v>1911</v>
      </c>
      <c r="H3355" s="343" t="s">
        <v>1993</v>
      </c>
      <c r="I3355" s="343" t="s">
        <v>1880</v>
      </c>
      <c r="J3355" s="343" t="s">
        <v>757</v>
      </c>
      <c r="K3355" s="343" t="s">
        <v>741</v>
      </c>
      <c r="L3355" s="344">
        <v>44196</v>
      </c>
      <c r="M3355" s="347">
        <v>0</v>
      </c>
    </row>
    <row r="3356" spans="1:13" hidden="1" x14ac:dyDescent="0.25">
      <c r="A3356" s="344">
        <v>44218</v>
      </c>
      <c r="B3356" s="343" t="s">
        <v>1972</v>
      </c>
      <c r="C3356" s="343" t="s">
        <v>1059</v>
      </c>
      <c r="D3356" s="345">
        <v>7</v>
      </c>
      <c r="E3356" s="346">
        <v>-130</v>
      </c>
      <c r="F3356" s="346">
        <v>6062.35</v>
      </c>
      <c r="G3356" s="343" t="s">
        <v>1973</v>
      </c>
      <c r="H3356" s="343" t="s">
        <v>1993</v>
      </c>
      <c r="I3356" s="343" t="s">
        <v>1880</v>
      </c>
      <c r="J3356" s="343" t="s">
        <v>757</v>
      </c>
      <c r="K3356" s="343" t="s">
        <v>741</v>
      </c>
      <c r="L3356" s="344">
        <v>44218</v>
      </c>
      <c r="M3356" s="347">
        <v>0</v>
      </c>
    </row>
    <row r="3357" spans="1:13" hidden="1" x14ac:dyDescent="0.25">
      <c r="A3357" s="344">
        <v>44223</v>
      </c>
      <c r="B3357" s="343" t="s">
        <v>1916</v>
      </c>
      <c r="C3357" s="343" t="s">
        <v>769</v>
      </c>
      <c r="D3357" s="345">
        <v>8</v>
      </c>
      <c r="E3357" s="346">
        <v>90.91</v>
      </c>
      <c r="F3357" s="346">
        <v>6153.26</v>
      </c>
      <c r="G3357" s="343" t="s">
        <v>1917</v>
      </c>
      <c r="H3357" s="343" t="s">
        <v>1993</v>
      </c>
      <c r="I3357" s="343" t="s">
        <v>1880</v>
      </c>
      <c r="J3357" s="343" t="s">
        <v>757</v>
      </c>
      <c r="K3357" s="343" t="s">
        <v>770</v>
      </c>
      <c r="L3357" s="344">
        <v>44223</v>
      </c>
      <c r="M3357" s="347">
        <v>0</v>
      </c>
    </row>
    <row r="3358" spans="1:13" hidden="1" x14ac:dyDescent="0.25">
      <c r="A3358" s="344">
        <v>44227</v>
      </c>
      <c r="B3358" s="343" t="s">
        <v>1974</v>
      </c>
      <c r="C3358" s="343" t="s">
        <v>1059</v>
      </c>
      <c r="D3358" s="345">
        <v>8</v>
      </c>
      <c r="E3358" s="346">
        <v>-80</v>
      </c>
      <c r="F3358" s="346">
        <v>6073.26</v>
      </c>
      <c r="G3358" s="343" t="s">
        <v>1975</v>
      </c>
      <c r="H3358" s="343" t="s">
        <v>1993</v>
      </c>
      <c r="I3358" s="343" t="s">
        <v>1880</v>
      </c>
      <c r="J3358" s="343" t="s">
        <v>757</v>
      </c>
      <c r="K3358" s="343" t="s">
        <v>741</v>
      </c>
      <c r="L3358" s="344">
        <v>44227</v>
      </c>
      <c r="M3358" s="347">
        <v>0</v>
      </c>
    </row>
    <row r="3359" spans="1:13" hidden="1" x14ac:dyDescent="0.25">
      <c r="A3359" s="344">
        <v>44244</v>
      </c>
      <c r="B3359" s="343" t="s">
        <v>1978</v>
      </c>
      <c r="C3359" s="343" t="s">
        <v>1059</v>
      </c>
      <c r="D3359" s="345">
        <v>8</v>
      </c>
      <c r="E3359" s="346">
        <v>-70</v>
      </c>
      <c r="F3359" s="346">
        <v>6003.26</v>
      </c>
      <c r="G3359" s="343" t="s">
        <v>1979</v>
      </c>
      <c r="H3359" s="343" t="s">
        <v>1993</v>
      </c>
      <c r="I3359" s="343" t="s">
        <v>1880</v>
      </c>
      <c r="J3359" s="343" t="s">
        <v>757</v>
      </c>
      <c r="K3359" s="343" t="s">
        <v>741</v>
      </c>
      <c r="L3359" s="344">
        <v>44244</v>
      </c>
      <c r="M3359" s="347">
        <v>0</v>
      </c>
    </row>
    <row r="3360" spans="1:13" hidden="1" x14ac:dyDescent="0.25">
      <c r="A3360" s="344">
        <v>44259</v>
      </c>
      <c r="B3360" s="343" t="s">
        <v>1939</v>
      </c>
      <c r="C3360" s="343" t="s">
        <v>1059</v>
      </c>
      <c r="D3360" s="345">
        <v>9</v>
      </c>
      <c r="E3360" s="346">
        <v>-70</v>
      </c>
      <c r="F3360" s="346">
        <v>5933.26</v>
      </c>
      <c r="G3360" s="343" t="s">
        <v>1940</v>
      </c>
      <c r="H3360" s="343" t="s">
        <v>1993</v>
      </c>
      <c r="I3360" s="343" t="s">
        <v>1880</v>
      </c>
      <c r="J3360" s="343" t="s">
        <v>757</v>
      </c>
      <c r="K3360" s="343" t="s">
        <v>741</v>
      </c>
      <c r="L3360" s="344">
        <v>44259</v>
      </c>
      <c r="M3360" s="347">
        <v>0</v>
      </c>
    </row>
    <row r="3361" spans="1:13" hidden="1" x14ac:dyDescent="0.25">
      <c r="A3361" s="344">
        <v>44272</v>
      </c>
      <c r="B3361" s="343" t="s">
        <v>1982</v>
      </c>
      <c r="C3361" s="343" t="s">
        <v>1059</v>
      </c>
      <c r="D3361" s="345">
        <v>9</v>
      </c>
      <c r="E3361" s="346">
        <v>-80</v>
      </c>
      <c r="F3361" s="346">
        <v>5853.26</v>
      </c>
      <c r="G3361" s="343" t="s">
        <v>1983</v>
      </c>
      <c r="H3361" s="343" t="s">
        <v>1993</v>
      </c>
      <c r="I3361" s="343" t="s">
        <v>1880</v>
      </c>
      <c r="J3361" s="343" t="s">
        <v>757</v>
      </c>
      <c r="K3361" s="343" t="s">
        <v>741</v>
      </c>
      <c r="L3361" s="344">
        <v>44272</v>
      </c>
      <c r="M3361" s="347">
        <v>0</v>
      </c>
    </row>
    <row r="3362" spans="1:13" hidden="1" x14ac:dyDescent="0.25">
      <c r="A3362" s="344">
        <v>44286</v>
      </c>
      <c r="B3362" s="343" t="s">
        <v>1918</v>
      </c>
      <c r="C3362" s="343" t="s">
        <v>1059</v>
      </c>
      <c r="D3362" s="345">
        <v>9</v>
      </c>
      <c r="E3362" s="346">
        <v>-20</v>
      </c>
      <c r="F3362" s="346">
        <v>5833.26</v>
      </c>
      <c r="G3362" s="343" t="s">
        <v>1919</v>
      </c>
      <c r="H3362" s="343" t="s">
        <v>1993</v>
      </c>
      <c r="I3362" s="343" t="s">
        <v>1880</v>
      </c>
      <c r="J3362" s="343" t="s">
        <v>757</v>
      </c>
      <c r="K3362" s="343" t="s">
        <v>741</v>
      </c>
      <c r="L3362" s="344">
        <v>44286</v>
      </c>
      <c r="M3362" s="347">
        <v>0</v>
      </c>
    </row>
    <row r="3363" spans="1:13" hidden="1" x14ac:dyDescent="0.25">
      <c r="A3363" s="344">
        <v>44257</v>
      </c>
      <c r="B3363" s="343" t="s">
        <v>1884</v>
      </c>
      <c r="C3363" s="343" t="s">
        <v>769</v>
      </c>
      <c r="D3363" s="345">
        <v>10</v>
      </c>
      <c r="E3363" s="346">
        <v>30.3</v>
      </c>
      <c r="F3363" s="346">
        <v>5863.56</v>
      </c>
      <c r="G3363" s="343" t="s">
        <v>1885</v>
      </c>
      <c r="H3363" s="343" t="s">
        <v>1993</v>
      </c>
      <c r="I3363" s="343" t="s">
        <v>1880</v>
      </c>
      <c r="J3363" s="343" t="s">
        <v>757</v>
      </c>
      <c r="K3363" s="343" t="s">
        <v>770</v>
      </c>
      <c r="L3363" s="344">
        <v>44257</v>
      </c>
      <c r="M3363" s="347">
        <v>0</v>
      </c>
    </row>
    <row r="3364" spans="1:13" hidden="1" x14ac:dyDescent="0.25">
      <c r="A3364" s="344">
        <v>44280</v>
      </c>
      <c r="B3364" s="343" t="s">
        <v>1888</v>
      </c>
      <c r="C3364" s="343" t="s">
        <v>769</v>
      </c>
      <c r="D3364" s="345">
        <v>10</v>
      </c>
      <c r="E3364" s="346">
        <v>45.45</v>
      </c>
      <c r="F3364" s="346">
        <v>5909.01</v>
      </c>
      <c r="G3364" s="343" t="s">
        <v>1887</v>
      </c>
      <c r="H3364" s="343" t="s">
        <v>1993</v>
      </c>
      <c r="I3364" s="343" t="s">
        <v>1880</v>
      </c>
      <c r="J3364" s="343" t="s">
        <v>757</v>
      </c>
      <c r="K3364" s="343" t="s">
        <v>770</v>
      </c>
      <c r="L3364" s="344">
        <v>44280</v>
      </c>
      <c r="M3364" s="347">
        <v>0</v>
      </c>
    </row>
    <row r="3365" spans="1:13" hidden="1" x14ac:dyDescent="0.25">
      <c r="A3365" s="344">
        <v>44280</v>
      </c>
      <c r="B3365" s="343" t="s">
        <v>1886</v>
      </c>
      <c r="C3365" s="343" t="s">
        <v>769</v>
      </c>
      <c r="D3365" s="345">
        <v>10</v>
      </c>
      <c r="E3365" s="346">
        <v>60.6</v>
      </c>
      <c r="F3365" s="346">
        <v>5969.61</v>
      </c>
      <c r="G3365" s="343" t="s">
        <v>1887</v>
      </c>
      <c r="H3365" s="343" t="s">
        <v>1993</v>
      </c>
      <c r="I3365" s="343" t="s">
        <v>1880</v>
      </c>
      <c r="J3365" s="343" t="s">
        <v>757</v>
      </c>
      <c r="K3365" s="343" t="s">
        <v>770</v>
      </c>
      <c r="L3365" s="344">
        <v>44280</v>
      </c>
      <c r="M3365" s="347">
        <v>0</v>
      </c>
    </row>
    <row r="3366" spans="1:13" hidden="1" x14ac:dyDescent="0.25">
      <c r="A3366" s="344">
        <v>44315</v>
      </c>
      <c r="B3366" s="343" t="s">
        <v>1920</v>
      </c>
      <c r="C3366" s="343" t="s">
        <v>1059</v>
      </c>
      <c r="D3366" s="345">
        <v>10</v>
      </c>
      <c r="E3366" s="346">
        <v>-30</v>
      </c>
      <c r="F3366" s="346">
        <v>5939.61</v>
      </c>
      <c r="G3366" s="343" t="s">
        <v>1921</v>
      </c>
      <c r="H3366" s="343" t="s">
        <v>1993</v>
      </c>
      <c r="I3366" s="343" t="s">
        <v>1880</v>
      </c>
      <c r="J3366" s="343" t="s">
        <v>757</v>
      </c>
      <c r="K3366" s="343" t="s">
        <v>741</v>
      </c>
      <c r="L3366" s="344">
        <v>44315</v>
      </c>
      <c r="M3366" s="347">
        <v>0</v>
      </c>
    </row>
    <row r="3367" spans="1:13" hidden="1" x14ac:dyDescent="0.25">
      <c r="A3367" s="344">
        <v>44327</v>
      </c>
      <c r="B3367" s="343" t="s">
        <v>1924</v>
      </c>
      <c r="C3367" s="343" t="s">
        <v>1059</v>
      </c>
      <c r="D3367" s="345">
        <v>10</v>
      </c>
      <c r="E3367" s="346">
        <v>-70</v>
      </c>
      <c r="F3367" s="346">
        <v>5869.61</v>
      </c>
      <c r="G3367" s="343" t="s">
        <v>1923</v>
      </c>
      <c r="H3367" s="343" t="s">
        <v>1993</v>
      </c>
      <c r="I3367" s="343" t="s">
        <v>1880</v>
      </c>
      <c r="J3367" s="343" t="s">
        <v>757</v>
      </c>
      <c r="K3367" s="343" t="s">
        <v>741</v>
      </c>
      <c r="L3367" s="344">
        <v>44327</v>
      </c>
      <c r="M3367" s="347">
        <v>0</v>
      </c>
    </row>
    <row r="3368" spans="1:13" hidden="1" x14ac:dyDescent="0.25">
      <c r="A3368" s="344">
        <v>44327</v>
      </c>
      <c r="B3368" s="343" t="s">
        <v>1922</v>
      </c>
      <c r="C3368" s="343" t="s">
        <v>1059</v>
      </c>
      <c r="D3368" s="345">
        <v>10</v>
      </c>
      <c r="E3368" s="346">
        <v>70</v>
      </c>
      <c r="F3368" s="346">
        <v>5939.61</v>
      </c>
      <c r="G3368" s="343" t="s">
        <v>1923</v>
      </c>
      <c r="H3368" s="343" t="s">
        <v>1993</v>
      </c>
      <c r="I3368" s="343" t="s">
        <v>1880</v>
      </c>
      <c r="J3368" s="343" t="s">
        <v>757</v>
      </c>
      <c r="K3368" s="343" t="s">
        <v>741</v>
      </c>
      <c r="L3368" s="344">
        <v>44327</v>
      </c>
      <c r="M3368" s="347">
        <v>0</v>
      </c>
    </row>
    <row r="3369" spans="1:13" hidden="1" x14ac:dyDescent="0.25">
      <c r="A3369" s="344">
        <v>44012</v>
      </c>
      <c r="B3369" s="343" t="s">
        <v>1928</v>
      </c>
      <c r="C3369" s="343" t="s">
        <v>769</v>
      </c>
      <c r="D3369" s="345">
        <v>1</v>
      </c>
      <c r="E3369" s="346">
        <v>65.55</v>
      </c>
      <c r="F3369" s="346">
        <v>5935.16</v>
      </c>
      <c r="G3369" s="343" t="s">
        <v>1929</v>
      </c>
      <c r="H3369" s="343" t="s">
        <v>1994</v>
      </c>
      <c r="I3369" s="343" t="s">
        <v>1880</v>
      </c>
      <c r="J3369" s="343" t="s">
        <v>757</v>
      </c>
      <c r="K3369" s="343" t="s">
        <v>770</v>
      </c>
      <c r="L3369" s="344">
        <v>44012</v>
      </c>
      <c r="M3369" s="347">
        <v>0</v>
      </c>
    </row>
    <row r="3370" spans="1:13" hidden="1" x14ac:dyDescent="0.25">
      <c r="A3370" s="344">
        <v>44012</v>
      </c>
      <c r="B3370" s="343" t="s">
        <v>1928</v>
      </c>
      <c r="C3370" s="343" t="s">
        <v>769</v>
      </c>
      <c r="D3370" s="345">
        <v>1</v>
      </c>
      <c r="E3370" s="346">
        <v>65.55</v>
      </c>
      <c r="F3370" s="346">
        <v>6000.71</v>
      </c>
      <c r="G3370" s="343" t="s">
        <v>1929</v>
      </c>
      <c r="H3370" s="343" t="s">
        <v>1994</v>
      </c>
      <c r="I3370" s="343" t="s">
        <v>1880</v>
      </c>
      <c r="J3370" s="343" t="s">
        <v>757</v>
      </c>
      <c r="K3370" s="343" t="s">
        <v>770</v>
      </c>
      <c r="L3370" s="344">
        <v>44012</v>
      </c>
      <c r="M3370" s="347">
        <v>0</v>
      </c>
    </row>
    <row r="3371" spans="1:13" hidden="1" x14ac:dyDescent="0.25">
      <c r="A3371" s="344">
        <v>44012</v>
      </c>
      <c r="B3371" s="343" t="s">
        <v>1928</v>
      </c>
      <c r="C3371" s="343" t="s">
        <v>769</v>
      </c>
      <c r="D3371" s="345">
        <v>1</v>
      </c>
      <c r="E3371" s="346">
        <v>65.55</v>
      </c>
      <c r="F3371" s="346">
        <v>6066.26</v>
      </c>
      <c r="G3371" s="343" t="s">
        <v>1929</v>
      </c>
      <c r="H3371" s="343" t="s">
        <v>1994</v>
      </c>
      <c r="I3371" s="343" t="s">
        <v>1880</v>
      </c>
      <c r="J3371" s="343" t="s">
        <v>757</v>
      </c>
      <c r="K3371" s="343" t="s">
        <v>770</v>
      </c>
      <c r="L3371" s="344">
        <v>44012</v>
      </c>
      <c r="M3371" s="347">
        <v>0</v>
      </c>
    </row>
    <row r="3372" spans="1:13" hidden="1" x14ac:dyDescent="0.25">
      <c r="A3372" s="344">
        <v>44012</v>
      </c>
      <c r="B3372" s="343" t="s">
        <v>1925</v>
      </c>
      <c r="C3372" s="343" t="s">
        <v>1059</v>
      </c>
      <c r="D3372" s="345">
        <v>1</v>
      </c>
      <c r="E3372" s="346">
        <v>-196.66</v>
      </c>
      <c r="F3372" s="346">
        <v>5869.6</v>
      </c>
      <c r="G3372" s="343" t="s">
        <v>1926</v>
      </c>
      <c r="H3372" s="343" t="s">
        <v>1994</v>
      </c>
      <c r="I3372" s="343" t="s">
        <v>1880</v>
      </c>
      <c r="J3372" s="343" t="s">
        <v>757</v>
      </c>
      <c r="K3372" s="343" t="s">
        <v>741</v>
      </c>
      <c r="L3372" s="344">
        <v>44012</v>
      </c>
      <c r="M3372" s="347">
        <v>0</v>
      </c>
    </row>
    <row r="3373" spans="1:13" hidden="1" x14ac:dyDescent="0.25">
      <c r="A3373" s="344">
        <v>44043</v>
      </c>
      <c r="B3373" s="343" t="s">
        <v>1891</v>
      </c>
      <c r="C3373" s="343" t="s">
        <v>1060</v>
      </c>
      <c r="D3373" s="345">
        <v>1</v>
      </c>
      <c r="E3373" s="346">
        <v>183.55</v>
      </c>
      <c r="F3373" s="346">
        <v>6053.15</v>
      </c>
      <c r="G3373" s="343" t="s">
        <v>1892</v>
      </c>
      <c r="H3373" s="343" t="s">
        <v>1994</v>
      </c>
      <c r="I3373" s="343" t="s">
        <v>1880</v>
      </c>
      <c r="J3373" s="343" t="s">
        <v>757</v>
      </c>
      <c r="K3373" s="343" t="s">
        <v>741</v>
      </c>
      <c r="L3373" s="344">
        <v>44043</v>
      </c>
      <c r="M3373" s="347">
        <v>0</v>
      </c>
    </row>
    <row r="3374" spans="1:13" hidden="1" x14ac:dyDescent="0.25">
      <c r="A3374" s="344">
        <v>44043</v>
      </c>
      <c r="B3374" s="343" t="s">
        <v>1891</v>
      </c>
      <c r="C3374" s="343" t="s">
        <v>1060</v>
      </c>
      <c r="D3374" s="345">
        <v>2</v>
      </c>
      <c r="E3374" s="346">
        <v>-183.55</v>
      </c>
      <c r="F3374" s="346">
        <v>5869.6</v>
      </c>
      <c r="G3374" s="343" t="s">
        <v>1892</v>
      </c>
      <c r="H3374" s="343" t="s">
        <v>1994</v>
      </c>
      <c r="I3374" s="343" t="s">
        <v>1880</v>
      </c>
      <c r="J3374" s="343" t="s">
        <v>757</v>
      </c>
      <c r="K3374" s="343" t="s">
        <v>741</v>
      </c>
      <c r="L3374" s="344">
        <v>44043</v>
      </c>
      <c r="M3374" s="347">
        <v>0</v>
      </c>
    </row>
    <row r="3375" spans="1:13" hidden="1" x14ac:dyDescent="0.25">
      <c r="A3375" s="344">
        <v>44043</v>
      </c>
      <c r="B3375" s="343" t="s">
        <v>1894</v>
      </c>
      <c r="C3375" s="343" t="s">
        <v>769</v>
      </c>
      <c r="D3375" s="345">
        <v>2</v>
      </c>
      <c r="E3375" s="346">
        <v>91.77</v>
      </c>
      <c r="F3375" s="346">
        <v>5961.37</v>
      </c>
      <c r="G3375" s="343" t="s">
        <v>1895</v>
      </c>
      <c r="H3375" s="343" t="s">
        <v>1994</v>
      </c>
      <c r="I3375" s="343" t="s">
        <v>1880</v>
      </c>
      <c r="J3375" s="343" t="s">
        <v>757</v>
      </c>
      <c r="K3375" s="343" t="s">
        <v>770</v>
      </c>
      <c r="L3375" s="344">
        <v>44043</v>
      </c>
      <c r="M3375" s="347">
        <v>0</v>
      </c>
    </row>
    <row r="3376" spans="1:13" hidden="1" x14ac:dyDescent="0.25">
      <c r="A3376" s="344">
        <v>44043</v>
      </c>
      <c r="B3376" s="343" t="s">
        <v>1894</v>
      </c>
      <c r="C3376" s="343" t="s">
        <v>769</v>
      </c>
      <c r="D3376" s="345">
        <v>2</v>
      </c>
      <c r="E3376" s="346">
        <v>91.77</v>
      </c>
      <c r="F3376" s="346">
        <v>6053.14</v>
      </c>
      <c r="G3376" s="343" t="s">
        <v>1895</v>
      </c>
      <c r="H3376" s="343" t="s">
        <v>1994</v>
      </c>
      <c r="I3376" s="343" t="s">
        <v>1880</v>
      </c>
      <c r="J3376" s="343" t="s">
        <v>757</v>
      </c>
      <c r="K3376" s="343" t="s">
        <v>770</v>
      </c>
      <c r="L3376" s="344">
        <v>44043</v>
      </c>
      <c r="M3376" s="347">
        <v>0</v>
      </c>
    </row>
    <row r="3377" spans="1:13" hidden="1" x14ac:dyDescent="0.25">
      <c r="A3377" s="344">
        <v>44062</v>
      </c>
      <c r="B3377" s="343" t="s">
        <v>1932</v>
      </c>
      <c r="C3377" s="343" t="s">
        <v>1059</v>
      </c>
      <c r="D3377" s="345">
        <v>2</v>
      </c>
      <c r="E3377" s="346">
        <v>-6.5</v>
      </c>
      <c r="F3377" s="346">
        <v>6046.64</v>
      </c>
      <c r="G3377" s="343" t="s">
        <v>1933</v>
      </c>
      <c r="H3377" s="343" t="s">
        <v>1994</v>
      </c>
      <c r="I3377" s="343" t="s">
        <v>1880</v>
      </c>
      <c r="J3377" s="343" t="s">
        <v>757</v>
      </c>
      <c r="K3377" s="343" t="s">
        <v>741</v>
      </c>
      <c r="L3377" s="344">
        <v>44062</v>
      </c>
      <c r="M3377" s="347">
        <v>0</v>
      </c>
    </row>
    <row r="3378" spans="1:13" hidden="1" x14ac:dyDescent="0.25">
      <c r="A3378" s="344">
        <v>44074</v>
      </c>
      <c r="B3378" s="343" t="s">
        <v>1896</v>
      </c>
      <c r="C3378" s="343" t="s">
        <v>1060</v>
      </c>
      <c r="D3378" s="345">
        <v>2</v>
      </c>
      <c r="E3378" s="346">
        <v>122.36</v>
      </c>
      <c r="F3378" s="346">
        <v>6169</v>
      </c>
      <c r="G3378" s="343" t="s">
        <v>1897</v>
      </c>
      <c r="H3378" s="343" t="s">
        <v>1994</v>
      </c>
      <c r="I3378" s="343" t="s">
        <v>1880</v>
      </c>
      <c r="J3378" s="343" t="s">
        <v>757</v>
      </c>
      <c r="K3378" s="343" t="s">
        <v>741</v>
      </c>
      <c r="L3378" s="344">
        <v>44074</v>
      </c>
      <c r="M3378" s="347">
        <v>0</v>
      </c>
    </row>
    <row r="3379" spans="1:13" hidden="1" x14ac:dyDescent="0.25">
      <c r="A3379" s="344">
        <v>44074</v>
      </c>
      <c r="B3379" s="343" t="s">
        <v>1896</v>
      </c>
      <c r="C3379" s="343" t="s">
        <v>1060</v>
      </c>
      <c r="D3379" s="345">
        <v>3</v>
      </c>
      <c r="E3379" s="346">
        <v>-122.36</v>
      </c>
      <c r="F3379" s="346">
        <v>6046.64</v>
      </c>
      <c r="G3379" s="343" t="s">
        <v>1897</v>
      </c>
      <c r="H3379" s="343" t="s">
        <v>1994</v>
      </c>
      <c r="I3379" s="343" t="s">
        <v>1880</v>
      </c>
      <c r="J3379" s="343" t="s">
        <v>757</v>
      </c>
      <c r="K3379" s="343" t="s">
        <v>741</v>
      </c>
      <c r="L3379" s="344">
        <v>44074</v>
      </c>
      <c r="M3379" s="347">
        <v>0</v>
      </c>
    </row>
    <row r="3380" spans="1:13" hidden="1" x14ac:dyDescent="0.25">
      <c r="A3380" s="344">
        <v>44085</v>
      </c>
      <c r="B3380" s="343" t="s">
        <v>1898</v>
      </c>
      <c r="C3380" s="343" t="s">
        <v>1059</v>
      </c>
      <c r="D3380" s="345">
        <v>3</v>
      </c>
      <c r="E3380" s="346">
        <v>122.36</v>
      </c>
      <c r="F3380" s="346">
        <v>6169</v>
      </c>
      <c r="G3380" s="343" t="s">
        <v>1899</v>
      </c>
      <c r="H3380" s="343" t="s">
        <v>1994</v>
      </c>
      <c r="I3380" s="343" t="s">
        <v>1880</v>
      </c>
      <c r="J3380" s="343" t="s">
        <v>757</v>
      </c>
      <c r="K3380" s="343" t="s">
        <v>741</v>
      </c>
      <c r="L3380" s="344">
        <v>44085</v>
      </c>
      <c r="M3380" s="347">
        <v>0</v>
      </c>
    </row>
    <row r="3381" spans="1:13" hidden="1" x14ac:dyDescent="0.25">
      <c r="A3381" s="344">
        <v>44104</v>
      </c>
      <c r="B3381" s="343" t="s">
        <v>1900</v>
      </c>
      <c r="C3381" s="343" t="s">
        <v>1060</v>
      </c>
      <c r="D3381" s="345">
        <v>3</v>
      </c>
      <c r="E3381" s="346">
        <v>122.36</v>
      </c>
      <c r="F3381" s="346">
        <v>6291.36</v>
      </c>
      <c r="G3381" s="343" t="s">
        <v>1901</v>
      </c>
      <c r="H3381" s="343" t="s">
        <v>1994</v>
      </c>
      <c r="I3381" s="343" t="s">
        <v>1880</v>
      </c>
      <c r="J3381" s="343" t="s">
        <v>757</v>
      </c>
      <c r="K3381" s="343" t="s">
        <v>741</v>
      </c>
      <c r="L3381" s="344">
        <v>44104</v>
      </c>
      <c r="M3381" s="347">
        <v>0</v>
      </c>
    </row>
    <row r="3382" spans="1:13" hidden="1" x14ac:dyDescent="0.25">
      <c r="A3382" s="344">
        <v>44104</v>
      </c>
      <c r="B3382" s="343" t="s">
        <v>1902</v>
      </c>
      <c r="C3382" s="343" t="s">
        <v>769</v>
      </c>
      <c r="D3382" s="345">
        <v>4</v>
      </c>
      <c r="E3382" s="346">
        <v>114.69</v>
      </c>
      <c r="F3382" s="346">
        <v>6406.05</v>
      </c>
      <c r="G3382" s="343" t="s">
        <v>1903</v>
      </c>
      <c r="H3382" s="343" t="s">
        <v>1994</v>
      </c>
      <c r="I3382" s="343" t="s">
        <v>1880</v>
      </c>
      <c r="J3382" s="343" t="s">
        <v>757</v>
      </c>
      <c r="K3382" s="343" t="s">
        <v>770</v>
      </c>
      <c r="L3382" s="344">
        <v>44104</v>
      </c>
      <c r="M3382" s="347">
        <v>0</v>
      </c>
    </row>
    <row r="3383" spans="1:13" hidden="1" x14ac:dyDescent="0.25">
      <c r="A3383" s="344">
        <v>44104</v>
      </c>
      <c r="B3383" s="343" t="s">
        <v>1902</v>
      </c>
      <c r="C3383" s="343" t="s">
        <v>769</v>
      </c>
      <c r="D3383" s="345">
        <v>4</v>
      </c>
      <c r="E3383" s="346">
        <v>114.72</v>
      </c>
      <c r="F3383" s="346">
        <v>6520.77</v>
      </c>
      <c r="G3383" s="343" t="s">
        <v>1903</v>
      </c>
      <c r="H3383" s="343" t="s">
        <v>1994</v>
      </c>
      <c r="I3383" s="343" t="s">
        <v>1880</v>
      </c>
      <c r="J3383" s="343" t="s">
        <v>757</v>
      </c>
      <c r="K3383" s="343" t="s">
        <v>770</v>
      </c>
      <c r="L3383" s="344">
        <v>44104</v>
      </c>
      <c r="M3383" s="347">
        <v>0</v>
      </c>
    </row>
    <row r="3384" spans="1:13" hidden="1" x14ac:dyDescent="0.25">
      <c r="A3384" s="344">
        <v>44104</v>
      </c>
      <c r="B3384" s="343" t="s">
        <v>1900</v>
      </c>
      <c r="C3384" s="343" t="s">
        <v>1060</v>
      </c>
      <c r="D3384" s="345">
        <v>4</v>
      </c>
      <c r="E3384" s="346">
        <v>-122.36</v>
      </c>
      <c r="F3384" s="346">
        <v>6398.41</v>
      </c>
      <c r="G3384" s="343" t="s">
        <v>1901</v>
      </c>
      <c r="H3384" s="343" t="s">
        <v>1994</v>
      </c>
      <c r="I3384" s="343" t="s">
        <v>1880</v>
      </c>
      <c r="J3384" s="343" t="s">
        <v>757</v>
      </c>
      <c r="K3384" s="343" t="s">
        <v>741</v>
      </c>
      <c r="L3384" s="344">
        <v>44104</v>
      </c>
      <c r="M3384" s="347">
        <v>0</v>
      </c>
    </row>
    <row r="3385" spans="1:13" hidden="1" x14ac:dyDescent="0.25">
      <c r="A3385" s="344">
        <v>44120</v>
      </c>
      <c r="B3385" s="343" t="s">
        <v>1936</v>
      </c>
      <c r="C3385" s="343" t="s">
        <v>1059</v>
      </c>
      <c r="D3385" s="345">
        <v>4</v>
      </c>
      <c r="E3385" s="346">
        <v>-26</v>
      </c>
      <c r="F3385" s="346">
        <v>6372.41</v>
      </c>
      <c r="G3385" s="343" t="s">
        <v>1937</v>
      </c>
      <c r="H3385" s="343" t="s">
        <v>1994</v>
      </c>
      <c r="I3385" s="343" t="s">
        <v>1880</v>
      </c>
      <c r="J3385" s="343" t="s">
        <v>757</v>
      </c>
      <c r="K3385" s="343" t="s">
        <v>741</v>
      </c>
      <c r="L3385" s="344">
        <v>44120</v>
      </c>
      <c r="M3385" s="347">
        <v>0</v>
      </c>
    </row>
    <row r="3386" spans="1:13" hidden="1" x14ac:dyDescent="0.25">
      <c r="A3386" s="344">
        <v>44135</v>
      </c>
      <c r="B3386" s="343" t="s">
        <v>1904</v>
      </c>
      <c r="C3386" s="343" t="s">
        <v>1060</v>
      </c>
      <c r="D3386" s="345">
        <v>4</v>
      </c>
      <c r="E3386" s="346">
        <v>344.15</v>
      </c>
      <c r="F3386" s="346">
        <v>6716.56</v>
      </c>
      <c r="G3386" s="343" t="s">
        <v>1905</v>
      </c>
      <c r="H3386" s="343" t="s">
        <v>1994</v>
      </c>
      <c r="I3386" s="343" t="s">
        <v>1880</v>
      </c>
      <c r="J3386" s="343" t="s">
        <v>757</v>
      </c>
      <c r="K3386" s="343" t="s">
        <v>741</v>
      </c>
      <c r="L3386" s="344">
        <v>44135</v>
      </c>
      <c r="M3386" s="347">
        <v>0</v>
      </c>
    </row>
    <row r="3387" spans="1:13" hidden="1" x14ac:dyDescent="0.25">
      <c r="A3387" s="344">
        <v>44135</v>
      </c>
      <c r="B3387" s="343" t="s">
        <v>1954</v>
      </c>
      <c r="C3387" s="343" t="s">
        <v>1059</v>
      </c>
      <c r="D3387" s="345">
        <v>4</v>
      </c>
      <c r="E3387" s="346">
        <v>-32.5</v>
      </c>
      <c r="F3387" s="346">
        <v>6684.06</v>
      </c>
      <c r="G3387" s="343" t="s">
        <v>1955</v>
      </c>
      <c r="H3387" s="343" t="s">
        <v>1994</v>
      </c>
      <c r="I3387" s="343" t="s">
        <v>1880</v>
      </c>
      <c r="J3387" s="343" t="s">
        <v>757</v>
      </c>
      <c r="K3387" s="343" t="s">
        <v>741</v>
      </c>
      <c r="L3387" s="344">
        <v>44135</v>
      </c>
      <c r="M3387" s="347">
        <v>0</v>
      </c>
    </row>
    <row r="3388" spans="1:13" hidden="1" x14ac:dyDescent="0.25">
      <c r="A3388" s="344">
        <v>44135</v>
      </c>
      <c r="B3388" s="343" t="s">
        <v>1904</v>
      </c>
      <c r="C3388" s="343" t="s">
        <v>1060</v>
      </c>
      <c r="D3388" s="345">
        <v>5</v>
      </c>
      <c r="E3388" s="346">
        <v>-344.15</v>
      </c>
      <c r="F3388" s="346">
        <v>6339.91</v>
      </c>
      <c r="G3388" s="343" t="s">
        <v>1905</v>
      </c>
      <c r="H3388" s="343" t="s">
        <v>1994</v>
      </c>
      <c r="I3388" s="343" t="s">
        <v>1880</v>
      </c>
      <c r="J3388" s="343" t="s">
        <v>757</v>
      </c>
      <c r="K3388" s="343" t="s">
        <v>741</v>
      </c>
      <c r="L3388" s="344">
        <v>44135</v>
      </c>
      <c r="M3388" s="347">
        <v>0</v>
      </c>
    </row>
    <row r="3389" spans="1:13" hidden="1" x14ac:dyDescent="0.25">
      <c r="A3389" s="344">
        <v>44148</v>
      </c>
      <c r="B3389" s="343" t="s">
        <v>1958</v>
      </c>
      <c r="C3389" s="343" t="s">
        <v>1059</v>
      </c>
      <c r="D3389" s="345">
        <v>5</v>
      </c>
      <c r="E3389" s="346">
        <v>-13</v>
      </c>
      <c r="F3389" s="346">
        <v>6326.91</v>
      </c>
      <c r="G3389" s="343" t="s">
        <v>1959</v>
      </c>
      <c r="H3389" s="343" t="s">
        <v>1994</v>
      </c>
      <c r="I3389" s="343" t="s">
        <v>1880</v>
      </c>
      <c r="J3389" s="343" t="s">
        <v>757</v>
      </c>
      <c r="K3389" s="343" t="s">
        <v>741</v>
      </c>
      <c r="L3389" s="344">
        <v>44148</v>
      </c>
      <c r="M3389" s="347">
        <v>0</v>
      </c>
    </row>
    <row r="3390" spans="1:13" hidden="1" x14ac:dyDescent="0.25">
      <c r="A3390" s="344">
        <v>44160</v>
      </c>
      <c r="B3390" s="343" t="s">
        <v>1960</v>
      </c>
      <c r="C3390" s="343" t="s">
        <v>1059</v>
      </c>
      <c r="D3390" s="345">
        <v>5</v>
      </c>
      <c r="E3390" s="346">
        <v>-19.5</v>
      </c>
      <c r="F3390" s="346">
        <v>6307.41</v>
      </c>
      <c r="G3390" s="343" t="s">
        <v>1961</v>
      </c>
      <c r="H3390" s="343" t="s">
        <v>1994</v>
      </c>
      <c r="I3390" s="343" t="s">
        <v>1880</v>
      </c>
      <c r="J3390" s="343" t="s">
        <v>757</v>
      </c>
      <c r="K3390" s="343" t="s">
        <v>741</v>
      </c>
      <c r="L3390" s="344">
        <v>44160</v>
      </c>
      <c r="M3390" s="347">
        <v>0</v>
      </c>
    </row>
    <row r="3391" spans="1:13" hidden="1" x14ac:dyDescent="0.25">
      <c r="A3391" s="344">
        <v>44165</v>
      </c>
      <c r="B3391" s="343" t="s">
        <v>1906</v>
      </c>
      <c r="C3391" s="343" t="s">
        <v>1060</v>
      </c>
      <c r="D3391" s="345">
        <v>5</v>
      </c>
      <c r="E3391" s="346">
        <v>688.3</v>
      </c>
      <c r="F3391" s="346">
        <v>6995.71</v>
      </c>
      <c r="G3391" s="343" t="s">
        <v>1907</v>
      </c>
      <c r="H3391" s="343" t="s">
        <v>1994</v>
      </c>
      <c r="I3391" s="343" t="s">
        <v>1880</v>
      </c>
      <c r="J3391" s="343" t="s">
        <v>757</v>
      </c>
      <c r="K3391" s="343" t="s">
        <v>741</v>
      </c>
      <c r="L3391" s="344">
        <v>44165</v>
      </c>
      <c r="M3391" s="347">
        <v>0</v>
      </c>
    </row>
    <row r="3392" spans="1:13" hidden="1" x14ac:dyDescent="0.25">
      <c r="A3392" s="344">
        <v>44135</v>
      </c>
      <c r="B3392" s="343" t="s">
        <v>1908</v>
      </c>
      <c r="C3392" s="343" t="s">
        <v>769</v>
      </c>
      <c r="D3392" s="345">
        <v>6</v>
      </c>
      <c r="E3392" s="346">
        <v>172.1</v>
      </c>
      <c r="F3392" s="346">
        <v>7167.81</v>
      </c>
      <c r="G3392" s="343" t="s">
        <v>1909</v>
      </c>
      <c r="H3392" s="343" t="s">
        <v>1994</v>
      </c>
      <c r="I3392" s="343" t="s">
        <v>1880</v>
      </c>
      <c r="J3392" s="343" t="s">
        <v>757</v>
      </c>
      <c r="K3392" s="343" t="s">
        <v>770</v>
      </c>
      <c r="L3392" s="344">
        <v>44135</v>
      </c>
      <c r="M3392" s="347">
        <v>0</v>
      </c>
    </row>
    <row r="3393" spans="1:13" hidden="1" x14ac:dyDescent="0.25">
      <c r="A3393" s="344">
        <v>44135</v>
      </c>
      <c r="B3393" s="343" t="s">
        <v>1908</v>
      </c>
      <c r="C3393" s="343" t="s">
        <v>769</v>
      </c>
      <c r="D3393" s="345">
        <v>6</v>
      </c>
      <c r="E3393" s="346">
        <v>172.07</v>
      </c>
      <c r="F3393" s="346">
        <v>7339.88</v>
      </c>
      <c r="G3393" s="343" t="s">
        <v>1909</v>
      </c>
      <c r="H3393" s="343" t="s">
        <v>1994</v>
      </c>
      <c r="I3393" s="343" t="s">
        <v>1880</v>
      </c>
      <c r="J3393" s="343" t="s">
        <v>757</v>
      </c>
      <c r="K3393" s="343" t="s">
        <v>770</v>
      </c>
      <c r="L3393" s="344">
        <v>44135</v>
      </c>
      <c r="M3393" s="347">
        <v>0</v>
      </c>
    </row>
    <row r="3394" spans="1:13" hidden="1" x14ac:dyDescent="0.25">
      <c r="A3394" s="344">
        <v>44165</v>
      </c>
      <c r="B3394" s="343" t="s">
        <v>1906</v>
      </c>
      <c r="C3394" s="343" t="s">
        <v>1060</v>
      </c>
      <c r="D3394" s="345">
        <v>6</v>
      </c>
      <c r="E3394" s="346">
        <v>-688.3</v>
      </c>
      <c r="F3394" s="346">
        <v>6651.58</v>
      </c>
      <c r="G3394" s="343" t="s">
        <v>1907</v>
      </c>
      <c r="H3394" s="343" t="s">
        <v>1994</v>
      </c>
      <c r="I3394" s="343" t="s">
        <v>1880</v>
      </c>
      <c r="J3394" s="343" t="s">
        <v>757</v>
      </c>
      <c r="K3394" s="343" t="s">
        <v>741</v>
      </c>
      <c r="L3394" s="344">
        <v>44165</v>
      </c>
      <c r="M3394" s="347">
        <v>0</v>
      </c>
    </row>
    <row r="3395" spans="1:13" hidden="1" x14ac:dyDescent="0.25">
      <c r="A3395" s="344">
        <v>44165</v>
      </c>
      <c r="B3395" s="343" t="s">
        <v>1962</v>
      </c>
      <c r="C3395" s="343" t="s">
        <v>1059</v>
      </c>
      <c r="D3395" s="345">
        <v>6</v>
      </c>
      <c r="E3395" s="346">
        <v>-32.5</v>
      </c>
      <c r="F3395" s="346">
        <v>6619.08</v>
      </c>
      <c r="G3395" s="343" t="s">
        <v>1963</v>
      </c>
      <c r="H3395" s="343" t="s">
        <v>1994</v>
      </c>
      <c r="I3395" s="343" t="s">
        <v>1880</v>
      </c>
      <c r="J3395" s="343" t="s">
        <v>757</v>
      </c>
      <c r="K3395" s="343" t="s">
        <v>741</v>
      </c>
      <c r="L3395" s="344">
        <v>44165</v>
      </c>
      <c r="M3395" s="347">
        <v>0</v>
      </c>
    </row>
    <row r="3396" spans="1:13" hidden="1" x14ac:dyDescent="0.25">
      <c r="A3396" s="344">
        <v>44187</v>
      </c>
      <c r="B3396" s="343" t="s">
        <v>1966</v>
      </c>
      <c r="C3396" s="343" t="s">
        <v>1059</v>
      </c>
      <c r="D3396" s="345">
        <v>6</v>
      </c>
      <c r="E3396" s="346">
        <v>-130</v>
      </c>
      <c r="F3396" s="346">
        <v>6489.08</v>
      </c>
      <c r="G3396" s="343" t="s">
        <v>1967</v>
      </c>
      <c r="H3396" s="343" t="s">
        <v>1994</v>
      </c>
      <c r="I3396" s="343" t="s">
        <v>1880</v>
      </c>
      <c r="J3396" s="343" t="s">
        <v>757</v>
      </c>
      <c r="K3396" s="343" t="s">
        <v>741</v>
      </c>
      <c r="L3396" s="344">
        <v>44187</v>
      </c>
      <c r="M3396" s="347">
        <v>0</v>
      </c>
    </row>
    <row r="3397" spans="1:13" hidden="1" x14ac:dyDescent="0.25">
      <c r="A3397" s="344">
        <v>44196</v>
      </c>
      <c r="B3397" s="343" t="s">
        <v>1910</v>
      </c>
      <c r="C3397" s="343" t="s">
        <v>1060</v>
      </c>
      <c r="D3397" s="345">
        <v>6</v>
      </c>
      <c r="E3397" s="346">
        <v>344.15</v>
      </c>
      <c r="F3397" s="346">
        <v>6833.23</v>
      </c>
      <c r="G3397" s="343" t="s">
        <v>1911</v>
      </c>
      <c r="H3397" s="343" t="s">
        <v>1994</v>
      </c>
      <c r="I3397" s="343" t="s">
        <v>1880</v>
      </c>
      <c r="J3397" s="343" t="s">
        <v>757</v>
      </c>
      <c r="K3397" s="343" t="s">
        <v>741</v>
      </c>
      <c r="L3397" s="344">
        <v>44196</v>
      </c>
      <c r="M3397" s="347">
        <v>0</v>
      </c>
    </row>
    <row r="3398" spans="1:13" hidden="1" x14ac:dyDescent="0.25">
      <c r="A3398" s="344">
        <v>44165</v>
      </c>
      <c r="B3398" s="343" t="s">
        <v>1912</v>
      </c>
      <c r="C3398" s="343" t="s">
        <v>769</v>
      </c>
      <c r="D3398" s="345">
        <v>7</v>
      </c>
      <c r="E3398" s="346">
        <v>172.07</v>
      </c>
      <c r="F3398" s="346">
        <v>7005.3</v>
      </c>
      <c r="G3398" s="343" t="s">
        <v>1913</v>
      </c>
      <c r="H3398" s="343" t="s">
        <v>1994</v>
      </c>
      <c r="I3398" s="343" t="s">
        <v>1880</v>
      </c>
      <c r="J3398" s="343" t="s">
        <v>757</v>
      </c>
      <c r="K3398" s="343" t="s">
        <v>770</v>
      </c>
      <c r="L3398" s="344">
        <v>44165</v>
      </c>
      <c r="M3398" s="347">
        <v>0</v>
      </c>
    </row>
    <row r="3399" spans="1:13" hidden="1" x14ac:dyDescent="0.25">
      <c r="A3399" s="344">
        <v>44165</v>
      </c>
      <c r="B3399" s="343" t="s">
        <v>1912</v>
      </c>
      <c r="C3399" s="343" t="s">
        <v>769</v>
      </c>
      <c r="D3399" s="345">
        <v>7</v>
      </c>
      <c r="E3399" s="346">
        <v>172.1</v>
      </c>
      <c r="F3399" s="346">
        <v>7177.4</v>
      </c>
      <c r="G3399" s="343" t="s">
        <v>1913</v>
      </c>
      <c r="H3399" s="343" t="s">
        <v>1994</v>
      </c>
      <c r="I3399" s="343" t="s">
        <v>1880</v>
      </c>
      <c r="J3399" s="343" t="s">
        <v>757</v>
      </c>
      <c r="K3399" s="343" t="s">
        <v>770</v>
      </c>
      <c r="L3399" s="344">
        <v>44165</v>
      </c>
      <c r="M3399" s="347">
        <v>0</v>
      </c>
    </row>
    <row r="3400" spans="1:13" hidden="1" x14ac:dyDescent="0.25">
      <c r="A3400" s="344">
        <v>44182</v>
      </c>
      <c r="B3400" s="343" t="s">
        <v>1914</v>
      </c>
      <c r="C3400" s="343" t="s">
        <v>769</v>
      </c>
      <c r="D3400" s="345">
        <v>7</v>
      </c>
      <c r="E3400" s="346">
        <v>227.28</v>
      </c>
      <c r="F3400" s="346">
        <v>7404.68</v>
      </c>
      <c r="G3400" s="343" t="s">
        <v>1915</v>
      </c>
      <c r="H3400" s="343" t="s">
        <v>1994</v>
      </c>
      <c r="I3400" s="343" t="s">
        <v>1880</v>
      </c>
      <c r="J3400" s="343" t="s">
        <v>757</v>
      </c>
      <c r="K3400" s="343" t="s">
        <v>770</v>
      </c>
      <c r="L3400" s="344">
        <v>44182</v>
      </c>
      <c r="M3400" s="347">
        <v>0</v>
      </c>
    </row>
    <row r="3401" spans="1:13" hidden="1" x14ac:dyDescent="0.25">
      <c r="A3401" s="344">
        <v>44196</v>
      </c>
      <c r="B3401" s="343" t="s">
        <v>1910</v>
      </c>
      <c r="C3401" s="343" t="s">
        <v>1060</v>
      </c>
      <c r="D3401" s="345">
        <v>7</v>
      </c>
      <c r="E3401" s="346">
        <v>-344.15</v>
      </c>
      <c r="F3401" s="346">
        <v>7060.53</v>
      </c>
      <c r="G3401" s="343" t="s">
        <v>1911</v>
      </c>
      <c r="H3401" s="343" t="s">
        <v>1994</v>
      </c>
      <c r="I3401" s="343" t="s">
        <v>1880</v>
      </c>
      <c r="J3401" s="343" t="s">
        <v>757</v>
      </c>
      <c r="K3401" s="343" t="s">
        <v>741</v>
      </c>
      <c r="L3401" s="344">
        <v>44196</v>
      </c>
      <c r="M3401" s="347">
        <v>0</v>
      </c>
    </row>
    <row r="3402" spans="1:13" hidden="1" x14ac:dyDescent="0.25">
      <c r="A3402" s="344">
        <v>44203</v>
      </c>
      <c r="B3402" s="343" t="s">
        <v>1970</v>
      </c>
      <c r="C3402" s="343" t="s">
        <v>1059</v>
      </c>
      <c r="D3402" s="345">
        <v>7</v>
      </c>
      <c r="E3402" s="346">
        <v>40</v>
      </c>
      <c r="F3402" s="346">
        <v>7100.53</v>
      </c>
      <c r="G3402" s="343" t="s">
        <v>1971</v>
      </c>
      <c r="H3402" s="343" t="s">
        <v>1994</v>
      </c>
      <c r="I3402" s="343" t="s">
        <v>1880</v>
      </c>
      <c r="J3402" s="343" t="s">
        <v>757</v>
      </c>
      <c r="K3402" s="343" t="s">
        <v>741</v>
      </c>
      <c r="L3402" s="344">
        <v>44203</v>
      </c>
      <c r="M3402" s="347">
        <v>0</v>
      </c>
    </row>
    <row r="3403" spans="1:13" hidden="1" x14ac:dyDescent="0.25">
      <c r="A3403" s="344">
        <v>44218</v>
      </c>
      <c r="B3403" s="343" t="s">
        <v>1972</v>
      </c>
      <c r="C3403" s="343" t="s">
        <v>1059</v>
      </c>
      <c r="D3403" s="345">
        <v>7</v>
      </c>
      <c r="E3403" s="346">
        <v>-130</v>
      </c>
      <c r="F3403" s="346">
        <v>6970.53</v>
      </c>
      <c r="G3403" s="343" t="s">
        <v>1973</v>
      </c>
      <c r="H3403" s="343" t="s">
        <v>1994</v>
      </c>
      <c r="I3403" s="343" t="s">
        <v>1880</v>
      </c>
      <c r="J3403" s="343" t="s">
        <v>757</v>
      </c>
      <c r="K3403" s="343" t="s">
        <v>741</v>
      </c>
      <c r="L3403" s="344">
        <v>44218</v>
      </c>
      <c r="M3403" s="347">
        <v>0</v>
      </c>
    </row>
    <row r="3404" spans="1:13" hidden="1" x14ac:dyDescent="0.25">
      <c r="A3404" s="344">
        <v>44223</v>
      </c>
      <c r="B3404" s="343" t="s">
        <v>1916</v>
      </c>
      <c r="C3404" s="343" t="s">
        <v>769</v>
      </c>
      <c r="D3404" s="345">
        <v>8</v>
      </c>
      <c r="E3404" s="346">
        <v>181.82</v>
      </c>
      <c r="F3404" s="346">
        <v>7152.35</v>
      </c>
      <c r="G3404" s="343" t="s">
        <v>1917</v>
      </c>
      <c r="H3404" s="343" t="s">
        <v>1994</v>
      </c>
      <c r="I3404" s="343" t="s">
        <v>1880</v>
      </c>
      <c r="J3404" s="343" t="s">
        <v>757</v>
      </c>
      <c r="K3404" s="343" t="s">
        <v>770</v>
      </c>
      <c r="L3404" s="344">
        <v>44223</v>
      </c>
      <c r="M3404" s="347">
        <v>0</v>
      </c>
    </row>
    <row r="3405" spans="1:13" hidden="1" x14ac:dyDescent="0.25">
      <c r="A3405" s="344">
        <v>44227</v>
      </c>
      <c r="B3405" s="343" t="s">
        <v>1974</v>
      </c>
      <c r="C3405" s="343" t="s">
        <v>1059</v>
      </c>
      <c r="D3405" s="345">
        <v>8</v>
      </c>
      <c r="E3405" s="346">
        <v>-50</v>
      </c>
      <c r="F3405" s="346">
        <v>7102.35</v>
      </c>
      <c r="G3405" s="343" t="s">
        <v>1975</v>
      </c>
      <c r="H3405" s="343" t="s">
        <v>1994</v>
      </c>
      <c r="I3405" s="343" t="s">
        <v>1880</v>
      </c>
      <c r="J3405" s="343" t="s">
        <v>757</v>
      </c>
      <c r="K3405" s="343" t="s">
        <v>741</v>
      </c>
      <c r="L3405" s="344">
        <v>44227</v>
      </c>
      <c r="M3405" s="347">
        <v>0</v>
      </c>
    </row>
    <row r="3406" spans="1:13" hidden="1" x14ac:dyDescent="0.25">
      <c r="A3406" s="344">
        <v>44244</v>
      </c>
      <c r="B3406" s="343" t="s">
        <v>1978</v>
      </c>
      <c r="C3406" s="343" t="s">
        <v>1059</v>
      </c>
      <c r="D3406" s="345">
        <v>8</v>
      </c>
      <c r="E3406" s="346">
        <v>-50</v>
      </c>
      <c r="F3406" s="346">
        <v>7052.35</v>
      </c>
      <c r="G3406" s="343" t="s">
        <v>1979</v>
      </c>
      <c r="H3406" s="343" t="s">
        <v>1994</v>
      </c>
      <c r="I3406" s="343" t="s">
        <v>1880</v>
      </c>
      <c r="J3406" s="343" t="s">
        <v>757</v>
      </c>
      <c r="K3406" s="343" t="s">
        <v>741</v>
      </c>
      <c r="L3406" s="344">
        <v>44244</v>
      </c>
      <c r="M3406" s="347">
        <v>0</v>
      </c>
    </row>
    <row r="3407" spans="1:13" hidden="1" x14ac:dyDescent="0.25">
      <c r="A3407" s="344">
        <v>44259</v>
      </c>
      <c r="B3407" s="343" t="s">
        <v>1939</v>
      </c>
      <c r="C3407" s="343" t="s">
        <v>1059</v>
      </c>
      <c r="D3407" s="345">
        <v>9</v>
      </c>
      <c r="E3407" s="346">
        <v>-50</v>
      </c>
      <c r="F3407" s="346">
        <v>7002.35</v>
      </c>
      <c r="G3407" s="343" t="s">
        <v>1940</v>
      </c>
      <c r="H3407" s="343" t="s">
        <v>1994</v>
      </c>
      <c r="I3407" s="343" t="s">
        <v>1880</v>
      </c>
      <c r="J3407" s="343" t="s">
        <v>757</v>
      </c>
      <c r="K3407" s="343" t="s">
        <v>741</v>
      </c>
      <c r="L3407" s="344">
        <v>44259</v>
      </c>
      <c r="M3407" s="347">
        <v>0</v>
      </c>
    </row>
    <row r="3408" spans="1:13" hidden="1" x14ac:dyDescent="0.25">
      <c r="A3408" s="344">
        <v>44272</v>
      </c>
      <c r="B3408" s="343" t="s">
        <v>1982</v>
      </c>
      <c r="C3408" s="343" t="s">
        <v>1059</v>
      </c>
      <c r="D3408" s="345">
        <v>9</v>
      </c>
      <c r="E3408" s="346">
        <v>-30</v>
      </c>
      <c r="F3408" s="346">
        <v>6972.35</v>
      </c>
      <c r="G3408" s="343" t="s">
        <v>1983</v>
      </c>
      <c r="H3408" s="343" t="s">
        <v>1994</v>
      </c>
      <c r="I3408" s="343" t="s">
        <v>1880</v>
      </c>
      <c r="J3408" s="343" t="s">
        <v>757</v>
      </c>
      <c r="K3408" s="343" t="s">
        <v>741</v>
      </c>
      <c r="L3408" s="344">
        <v>44272</v>
      </c>
      <c r="M3408" s="347">
        <v>0</v>
      </c>
    </row>
    <row r="3409" spans="1:13" hidden="1" x14ac:dyDescent="0.25">
      <c r="A3409" s="344">
        <v>44012</v>
      </c>
      <c r="B3409" s="343" t="s">
        <v>1928</v>
      </c>
      <c r="C3409" s="343" t="s">
        <v>769</v>
      </c>
      <c r="D3409" s="345">
        <v>1</v>
      </c>
      <c r="E3409" s="346">
        <v>65.55</v>
      </c>
      <c r="F3409" s="346">
        <v>7037.9</v>
      </c>
      <c r="G3409" s="343" t="s">
        <v>1929</v>
      </c>
      <c r="H3409" s="343" t="s">
        <v>1995</v>
      </c>
      <c r="I3409" s="343" t="s">
        <v>1880</v>
      </c>
      <c r="J3409" s="343" t="s">
        <v>757</v>
      </c>
      <c r="K3409" s="343" t="s">
        <v>770</v>
      </c>
      <c r="L3409" s="344">
        <v>44012</v>
      </c>
      <c r="M3409" s="347">
        <v>0</v>
      </c>
    </row>
    <row r="3410" spans="1:13" hidden="1" x14ac:dyDescent="0.25">
      <c r="A3410" s="344">
        <v>44012</v>
      </c>
      <c r="B3410" s="343" t="s">
        <v>1928</v>
      </c>
      <c r="C3410" s="343" t="s">
        <v>769</v>
      </c>
      <c r="D3410" s="345">
        <v>1</v>
      </c>
      <c r="E3410" s="346">
        <v>65.55</v>
      </c>
      <c r="F3410" s="346">
        <v>7103.45</v>
      </c>
      <c r="G3410" s="343" t="s">
        <v>1929</v>
      </c>
      <c r="H3410" s="343" t="s">
        <v>1995</v>
      </c>
      <c r="I3410" s="343" t="s">
        <v>1880</v>
      </c>
      <c r="J3410" s="343" t="s">
        <v>757</v>
      </c>
      <c r="K3410" s="343" t="s">
        <v>770</v>
      </c>
      <c r="L3410" s="344">
        <v>44012</v>
      </c>
      <c r="M3410" s="347">
        <v>0</v>
      </c>
    </row>
    <row r="3411" spans="1:13" hidden="1" x14ac:dyDescent="0.25">
      <c r="A3411" s="344">
        <v>44012</v>
      </c>
      <c r="B3411" s="343" t="s">
        <v>1925</v>
      </c>
      <c r="C3411" s="343" t="s">
        <v>1059</v>
      </c>
      <c r="D3411" s="345">
        <v>1</v>
      </c>
      <c r="E3411" s="346">
        <v>-131.1</v>
      </c>
      <c r="F3411" s="346">
        <v>6972.35</v>
      </c>
      <c r="G3411" s="343" t="s">
        <v>1926</v>
      </c>
      <c r="H3411" s="343" t="s">
        <v>1995</v>
      </c>
      <c r="I3411" s="343" t="s">
        <v>1880</v>
      </c>
      <c r="J3411" s="343" t="s">
        <v>757</v>
      </c>
      <c r="K3411" s="343" t="s">
        <v>741</v>
      </c>
      <c r="L3411" s="344">
        <v>44012</v>
      </c>
      <c r="M3411" s="347">
        <v>0</v>
      </c>
    </row>
    <row r="3412" spans="1:13" hidden="1" x14ac:dyDescent="0.25">
      <c r="A3412" s="344">
        <v>44043</v>
      </c>
      <c r="B3412" s="343" t="s">
        <v>1891</v>
      </c>
      <c r="C3412" s="343" t="s">
        <v>1060</v>
      </c>
      <c r="D3412" s="345">
        <v>1</v>
      </c>
      <c r="E3412" s="346">
        <v>183.55</v>
      </c>
      <c r="F3412" s="346">
        <v>7155.9</v>
      </c>
      <c r="G3412" s="343" t="s">
        <v>1892</v>
      </c>
      <c r="H3412" s="343" t="s">
        <v>1995</v>
      </c>
      <c r="I3412" s="343" t="s">
        <v>1880</v>
      </c>
      <c r="J3412" s="343" t="s">
        <v>757</v>
      </c>
      <c r="K3412" s="343" t="s">
        <v>741</v>
      </c>
      <c r="L3412" s="344">
        <v>44043</v>
      </c>
      <c r="M3412" s="347">
        <v>0</v>
      </c>
    </row>
    <row r="3413" spans="1:13" hidden="1" x14ac:dyDescent="0.25">
      <c r="A3413" s="344">
        <v>44043</v>
      </c>
      <c r="B3413" s="343" t="s">
        <v>1891</v>
      </c>
      <c r="C3413" s="343" t="s">
        <v>1060</v>
      </c>
      <c r="D3413" s="345">
        <v>2</v>
      </c>
      <c r="E3413" s="346">
        <v>-183.55</v>
      </c>
      <c r="F3413" s="346">
        <v>6972.35</v>
      </c>
      <c r="G3413" s="343" t="s">
        <v>1892</v>
      </c>
      <c r="H3413" s="343" t="s">
        <v>1995</v>
      </c>
      <c r="I3413" s="343" t="s">
        <v>1880</v>
      </c>
      <c r="J3413" s="343" t="s">
        <v>757</v>
      </c>
      <c r="K3413" s="343" t="s">
        <v>741</v>
      </c>
      <c r="L3413" s="344">
        <v>44043</v>
      </c>
      <c r="M3413" s="347">
        <v>0</v>
      </c>
    </row>
    <row r="3414" spans="1:13" hidden="1" x14ac:dyDescent="0.25">
      <c r="A3414" s="344">
        <v>44043</v>
      </c>
      <c r="B3414" s="343" t="s">
        <v>1894</v>
      </c>
      <c r="C3414" s="343" t="s">
        <v>769</v>
      </c>
      <c r="D3414" s="345">
        <v>2</v>
      </c>
      <c r="E3414" s="346">
        <v>91.77</v>
      </c>
      <c r="F3414" s="346">
        <v>7064.12</v>
      </c>
      <c r="G3414" s="343" t="s">
        <v>1895</v>
      </c>
      <c r="H3414" s="343" t="s">
        <v>1995</v>
      </c>
      <c r="I3414" s="343" t="s">
        <v>1880</v>
      </c>
      <c r="J3414" s="343" t="s">
        <v>757</v>
      </c>
      <c r="K3414" s="343" t="s">
        <v>770</v>
      </c>
      <c r="L3414" s="344">
        <v>44043</v>
      </c>
      <c r="M3414" s="347">
        <v>0</v>
      </c>
    </row>
    <row r="3415" spans="1:13" hidden="1" x14ac:dyDescent="0.25">
      <c r="A3415" s="344">
        <v>44043</v>
      </c>
      <c r="B3415" s="343" t="s">
        <v>1894</v>
      </c>
      <c r="C3415" s="343" t="s">
        <v>769</v>
      </c>
      <c r="D3415" s="345">
        <v>2</v>
      </c>
      <c r="E3415" s="346">
        <v>91.77</v>
      </c>
      <c r="F3415" s="346">
        <v>7155.89</v>
      </c>
      <c r="G3415" s="343" t="s">
        <v>1895</v>
      </c>
      <c r="H3415" s="343" t="s">
        <v>1995</v>
      </c>
      <c r="I3415" s="343" t="s">
        <v>1880</v>
      </c>
      <c r="J3415" s="343" t="s">
        <v>757</v>
      </c>
      <c r="K3415" s="343" t="s">
        <v>770</v>
      </c>
      <c r="L3415" s="344">
        <v>44043</v>
      </c>
      <c r="M3415" s="347">
        <v>0</v>
      </c>
    </row>
    <row r="3416" spans="1:13" hidden="1" x14ac:dyDescent="0.25">
      <c r="A3416" s="344">
        <v>44052</v>
      </c>
      <c r="B3416" s="343" t="s">
        <v>1930</v>
      </c>
      <c r="C3416" s="343" t="s">
        <v>1059</v>
      </c>
      <c r="D3416" s="345">
        <v>2</v>
      </c>
      <c r="E3416" s="346">
        <v>-19.5</v>
      </c>
      <c r="F3416" s="346">
        <v>7136.39</v>
      </c>
      <c r="G3416" s="343" t="s">
        <v>1931</v>
      </c>
      <c r="H3416" s="343" t="s">
        <v>1995</v>
      </c>
      <c r="I3416" s="343" t="s">
        <v>1880</v>
      </c>
      <c r="J3416" s="343" t="s">
        <v>757</v>
      </c>
      <c r="K3416" s="343" t="s">
        <v>741</v>
      </c>
      <c r="L3416" s="344">
        <v>44052</v>
      </c>
      <c r="M3416" s="347">
        <v>0</v>
      </c>
    </row>
    <row r="3417" spans="1:13" hidden="1" x14ac:dyDescent="0.25">
      <c r="A3417" s="344">
        <v>44062</v>
      </c>
      <c r="B3417" s="343" t="s">
        <v>1932</v>
      </c>
      <c r="C3417" s="343" t="s">
        <v>1059</v>
      </c>
      <c r="D3417" s="345">
        <v>2</v>
      </c>
      <c r="E3417" s="346">
        <v>-13</v>
      </c>
      <c r="F3417" s="346">
        <v>7123.39</v>
      </c>
      <c r="G3417" s="343" t="s">
        <v>1933</v>
      </c>
      <c r="H3417" s="343" t="s">
        <v>1995</v>
      </c>
      <c r="I3417" s="343" t="s">
        <v>1880</v>
      </c>
      <c r="J3417" s="343" t="s">
        <v>757</v>
      </c>
      <c r="K3417" s="343" t="s">
        <v>741</v>
      </c>
      <c r="L3417" s="344">
        <v>44062</v>
      </c>
      <c r="M3417" s="347">
        <v>0</v>
      </c>
    </row>
    <row r="3418" spans="1:13" hidden="1" x14ac:dyDescent="0.25">
      <c r="A3418" s="344">
        <v>44074</v>
      </c>
      <c r="B3418" s="343" t="s">
        <v>1896</v>
      </c>
      <c r="C3418" s="343" t="s">
        <v>1060</v>
      </c>
      <c r="D3418" s="345">
        <v>2</v>
      </c>
      <c r="E3418" s="346">
        <v>122.36</v>
      </c>
      <c r="F3418" s="346">
        <v>7245.75</v>
      </c>
      <c r="G3418" s="343" t="s">
        <v>1897</v>
      </c>
      <c r="H3418" s="343" t="s">
        <v>1995</v>
      </c>
      <c r="I3418" s="343" t="s">
        <v>1880</v>
      </c>
      <c r="J3418" s="343" t="s">
        <v>757</v>
      </c>
      <c r="K3418" s="343" t="s">
        <v>741</v>
      </c>
      <c r="L3418" s="344">
        <v>44074</v>
      </c>
      <c r="M3418" s="347">
        <v>0</v>
      </c>
    </row>
    <row r="3419" spans="1:13" hidden="1" x14ac:dyDescent="0.25">
      <c r="A3419" s="344">
        <v>44074</v>
      </c>
      <c r="B3419" s="343" t="s">
        <v>1896</v>
      </c>
      <c r="C3419" s="343" t="s">
        <v>1060</v>
      </c>
      <c r="D3419" s="345">
        <v>3</v>
      </c>
      <c r="E3419" s="346">
        <v>-122.36</v>
      </c>
      <c r="F3419" s="346">
        <v>7123.39</v>
      </c>
      <c r="G3419" s="343" t="s">
        <v>1897</v>
      </c>
      <c r="H3419" s="343" t="s">
        <v>1995</v>
      </c>
      <c r="I3419" s="343" t="s">
        <v>1880</v>
      </c>
      <c r="J3419" s="343" t="s">
        <v>757</v>
      </c>
      <c r="K3419" s="343" t="s">
        <v>741</v>
      </c>
      <c r="L3419" s="344">
        <v>44074</v>
      </c>
      <c r="M3419" s="347">
        <v>0</v>
      </c>
    </row>
    <row r="3420" spans="1:13" hidden="1" x14ac:dyDescent="0.25">
      <c r="A3420" s="344">
        <v>44085</v>
      </c>
      <c r="B3420" s="343" t="s">
        <v>1898</v>
      </c>
      <c r="C3420" s="343" t="s">
        <v>1059</v>
      </c>
      <c r="D3420" s="345">
        <v>3</v>
      </c>
      <c r="E3420" s="346">
        <v>122.36</v>
      </c>
      <c r="F3420" s="346">
        <v>7245.75</v>
      </c>
      <c r="G3420" s="343" t="s">
        <v>1899</v>
      </c>
      <c r="H3420" s="343" t="s">
        <v>1995</v>
      </c>
      <c r="I3420" s="343" t="s">
        <v>1880</v>
      </c>
      <c r="J3420" s="343" t="s">
        <v>757</v>
      </c>
      <c r="K3420" s="343" t="s">
        <v>741</v>
      </c>
      <c r="L3420" s="344">
        <v>44085</v>
      </c>
      <c r="M3420" s="347">
        <v>0</v>
      </c>
    </row>
    <row r="3421" spans="1:13" hidden="1" x14ac:dyDescent="0.25">
      <c r="A3421" s="344">
        <v>44104</v>
      </c>
      <c r="B3421" s="343" t="s">
        <v>1934</v>
      </c>
      <c r="C3421" s="343" t="s">
        <v>1059</v>
      </c>
      <c r="D3421" s="345">
        <v>3</v>
      </c>
      <c r="E3421" s="346">
        <v>-13</v>
      </c>
      <c r="F3421" s="346">
        <v>7232.75</v>
      </c>
      <c r="G3421" s="343" t="s">
        <v>1935</v>
      </c>
      <c r="H3421" s="343" t="s">
        <v>1995</v>
      </c>
      <c r="I3421" s="343" t="s">
        <v>1880</v>
      </c>
      <c r="J3421" s="343" t="s">
        <v>757</v>
      </c>
      <c r="K3421" s="343" t="s">
        <v>741</v>
      </c>
      <c r="L3421" s="344">
        <v>44104</v>
      </c>
      <c r="M3421" s="347">
        <v>0</v>
      </c>
    </row>
    <row r="3422" spans="1:13" hidden="1" x14ac:dyDescent="0.25">
      <c r="A3422" s="344">
        <v>44104</v>
      </c>
      <c r="B3422" s="343" t="s">
        <v>1900</v>
      </c>
      <c r="C3422" s="343" t="s">
        <v>1060</v>
      </c>
      <c r="D3422" s="345">
        <v>3</v>
      </c>
      <c r="E3422" s="346">
        <v>122.36</v>
      </c>
      <c r="F3422" s="346">
        <v>7355.11</v>
      </c>
      <c r="G3422" s="343" t="s">
        <v>1901</v>
      </c>
      <c r="H3422" s="343" t="s">
        <v>1995</v>
      </c>
      <c r="I3422" s="343" t="s">
        <v>1880</v>
      </c>
      <c r="J3422" s="343" t="s">
        <v>757</v>
      </c>
      <c r="K3422" s="343" t="s">
        <v>741</v>
      </c>
      <c r="L3422" s="344">
        <v>44104</v>
      </c>
      <c r="M3422" s="347">
        <v>0</v>
      </c>
    </row>
    <row r="3423" spans="1:13" hidden="1" x14ac:dyDescent="0.25">
      <c r="A3423" s="344">
        <v>44104</v>
      </c>
      <c r="B3423" s="343" t="s">
        <v>1900</v>
      </c>
      <c r="C3423" s="343" t="s">
        <v>1060</v>
      </c>
      <c r="D3423" s="345">
        <v>4</v>
      </c>
      <c r="E3423" s="346">
        <v>-122.36</v>
      </c>
      <c r="F3423" s="346">
        <v>7232.75</v>
      </c>
      <c r="G3423" s="343" t="s">
        <v>1901</v>
      </c>
      <c r="H3423" s="343" t="s">
        <v>1995</v>
      </c>
      <c r="I3423" s="343" t="s">
        <v>1880</v>
      </c>
      <c r="J3423" s="343" t="s">
        <v>757</v>
      </c>
      <c r="K3423" s="343" t="s">
        <v>741</v>
      </c>
      <c r="L3423" s="344">
        <v>44104</v>
      </c>
      <c r="M3423" s="347">
        <v>0</v>
      </c>
    </row>
    <row r="3424" spans="1:13" hidden="1" x14ac:dyDescent="0.25">
      <c r="A3424" s="344">
        <v>44104</v>
      </c>
      <c r="B3424" s="343" t="s">
        <v>1902</v>
      </c>
      <c r="C3424" s="343" t="s">
        <v>769</v>
      </c>
      <c r="D3424" s="345">
        <v>4</v>
      </c>
      <c r="E3424" s="346">
        <v>114.72</v>
      </c>
      <c r="F3424" s="346">
        <v>7347.47</v>
      </c>
      <c r="G3424" s="343" t="s">
        <v>1903</v>
      </c>
      <c r="H3424" s="343" t="s">
        <v>1995</v>
      </c>
      <c r="I3424" s="343" t="s">
        <v>1880</v>
      </c>
      <c r="J3424" s="343" t="s">
        <v>757</v>
      </c>
      <c r="K3424" s="343" t="s">
        <v>770</v>
      </c>
      <c r="L3424" s="344">
        <v>44104</v>
      </c>
      <c r="M3424" s="347">
        <v>0</v>
      </c>
    </row>
    <row r="3425" spans="1:13" hidden="1" x14ac:dyDescent="0.25">
      <c r="A3425" s="344">
        <v>44104</v>
      </c>
      <c r="B3425" s="343" t="s">
        <v>1902</v>
      </c>
      <c r="C3425" s="343" t="s">
        <v>769</v>
      </c>
      <c r="D3425" s="345">
        <v>4</v>
      </c>
      <c r="E3425" s="346">
        <v>114.72</v>
      </c>
      <c r="F3425" s="346">
        <v>7462.19</v>
      </c>
      <c r="G3425" s="343" t="s">
        <v>1903</v>
      </c>
      <c r="H3425" s="343" t="s">
        <v>1995</v>
      </c>
      <c r="I3425" s="343" t="s">
        <v>1880</v>
      </c>
      <c r="J3425" s="343" t="s">
        <v>757</v>
      </c>
      <c r="K3425" s="343" t="s">
        <v>770</v>
      </c>
      <c r="L3425" s="344">
        <v>44104</v>
      </c>
      <c r="M3425" s="347">
        <v>0</v>
      </c>
    </row>
    <row r="3426" spans="1:13" hidden="1" x14ac:dyDescent="0.25">
      <c r="A3426" s="344">
        <v>44120</v>
      </c>
      <c r="B3426" s="343" t="s">
        <v>1936</v>
      </c>
      <c r="C3426" s="343" t="s">
        <v>1059</v>
      </c>
      <c r="D3426" s="345">
        <v>4</v>
      </c>
      <c r="E3426" s="346">
        <v>-39</v>
      </c>
      <c r="F3426" s="346">
        <v>7423.19</v>
      </c>
      <c r="G3426" s="343" t="s">
        <v>1937</v>
      </c>
      <c r="H3426" s="343" t="s">
        <v>1995</v>
      </c>
      <c r="I3426" s="343" t="s">
        <v>1880</v>
      </c>
      <c r="J3426" s="343" t="s">
        <v>757</v>
      </c>
      <c r="K3426" s="343" t="s">
        <v>741</v>
      </c>
      <c r="L3426" s="344">
        <v>44120</v>
      </c>
      <c r="M3426" s="347">
        <v>0</v>
      </c>
    </row>
    <row r="3427" spans="1:13" hidden="1" x14ac:dyDescent="0.25">
      <c r="A3427" s="344">
        <v>44135</v>
      </c>
      <c r="B3427" s="343" t="s">
        <v>1954</v>
      </c>
      <c r="C3427" s="343" t="s">
        <v>1059</v>
      </c>
      <c r="D3427" s="345">
        <v>4</v>
      </c>
      <c r="E3427" s="346">
        <v>-26</v>
      </c>
      <c r="F3427" s="346">
        <v>7397.19</v>
      </c>
      <c r="G3427" s="343" t="s">
        <v>1955</v>
      </c>
      <c r="H3427" s="343" t="s">
        <v>1995</v>
      </c>
      <c r="I3427" s="343" t="s">
        <v>1880</v>
      </c>
      <c r="J3427" s="343" t="s">
        <v>757</v>
      </c>
      <c r="K3427" s="343" t="s">
        <v>741</v>
      </c>
      <c r="L3427" s="344">
        <v>44135</v>
      </c>
      <c r="M3427" s="347">
        <v>0</v>
      </c>
    </row>
    <row r="3428" spans="1:13" hidden="1" x14ac:dyDescent="0.25">
      <c r="A3428" s="344">
        <v>44135</v>
      </c>
      <c r="B3428" s="343" t="s">
        <v>1904</v>
      </c>
      <c r="C3428" s="343" t="s">
        <v>1060</v>
      </c>
      <c r="D3428" s="345">
        <v>4</v>
      </c>
      <c r="E3428" s="346">
        <v>344.15</v>
      </c>
      <c r="F3428" s="346">
        <v>7741.34</v>
      </c>
      <c r="G3428" s="343" t="s">
        <v>1905</v>
      </c>
      <c r="H3428" s="343" t="s">
        <v>1995</v>
      </c>
      <c r="I3428" s="343" t="s">
        <v>1880</v>
      </c>
      <c r="J3428" s="343" t="s">
        <v>757</v>
      </c>
      <c r="K3428" s="343" t="s">
        <v>741</v>
      </c>
      <c r="L3428" s="344">
        <v>44135</v>
      </c>
      <c r="M3428" s="347">
        <v>0</v>
      </c>
    </row>
    <row r="3429" spans="1:13" hidden="1" x14ac:dyDescent="0.25">
      <c r="A3429" s="344">
        <v>44135</v>
      </c>
      <c r="B3429" s="343" t="s">
        <v>1904</v>
      </c>
      <c r="C3429" s="343" t="s">
        <v>1060</v>
      </c>
      <c r="D3429" s="345">
        <v>5</v>
      </c>
      <c r="E3429" s="346">
        <v>-344.15</v>
      </c>
      <c r="F3429" s="346">
        <v>7397.19</v>
      </c>
      <c r="G3429" s="343" t="s">
        <v>1905</v>
      </c>
      <c r="H3429" s="343" t="s">
        <v>1995</v>
      </c>
      <c r="I3429" s="343" t="s">
        <v>1880</v>
      </c>
      <c r="J3429" s="343" t="s">
        <v>757</v>
      </c>
      <c r="K3429" s="343" t="s">
        <v>741</v>
      </c>
      <c r="L3429" s="344">
        <v>44135</v>
      </c>
      <c r="M3429" s="347">
        <v>0</v>
      </c>
    </row>
    <row r="3430" spans="1:13" hidden="1" x14ac:dyDescent="0.25">
      <c r="A3430" s="344">
        <v>44148</v>
      </c>
      <c r="B3430" s="343" t="s">
        <v>1958</v>
      </c>
      <c r="C3430" s="343" t="s">
        <v>1059</v>
      </c>
      <c r="D3430" s="345">
        <v>5</v>
      </c>
      <c r="E3430" s="346">
        <v>-26</v>
      </c>
      <c r="F3430" s="346">
        <v>7371.19</v>
      </c>
      <c r="G3430" s="343" t="s">
        <v>1959</v>
      </c>
      <c r="H3430" s="343" t="s">
        <v>1995</v>
      </c>
      <c r="I3430" s="343" t="s">
        <v>1880</v>
      </c>
      <c r="J3430" s="343" t="s">
        <v>757</v>
      </c>
      <c r="K3430" s="343" t="s">
        <v>741</v>
      </c>
      <c r="L3430" s="344">
        <v>44148</v>
      </c>
      <c r="M3430" s="347">
        <v>0</v>
      </c>
    </row>
    <row r="3431" spans="1:13" hidden="1" x14ac:dyDescent="0.25">
      <c r="A3431" s="344">
        <v>44160</v>
      </c>
      <c r="B3431" s="343" t="s">
        <v>1960</v>
      </c>
      <c r="C3431" s="343" t="s">
        <v>1059</v>
      </c>
      <c r="D3431" s="345">
        <v>5</v>
      </c>
      <c r="E3431" s="346">
        <v>-26</v>
      </c>
      <c r="F3431" s="346">
        <v>7345.19</v>
      </c>
      <c r="G3431" s="343" t="s">
        <v>1961</v>
      </c>
      <c r="H3431" s="343" t="s">
        <v>1995</v>
      </c>
      <c r="I3431" s="343" t="s">
        <v>1880</v>
      </c>
      <c r="J3431" s="343" t="s">
        <v>757</v>
      </c>
      <c r="K3431" s="343" t="s">
        <v>741</v>
      </c>
      <c r="L3431" s="344">
        <v>44160</v>
      </c>
      <c r="M3431" s="347">
        <v>0</v>
      </c>
    </row>
    <row r="3432" spans="1:13" hidden="1" x14ac:dyDescent="0.25">
      <c r="A3432" s="344">
        <v>44161</v>
      </c>
      <c r="B3432" s="343" t="s">
        <v>1877</v>
      </c>
      <c r="C3432" s="343" t="s">
        <v>769</v>
      </c>
      <c r="D3432" s="345">
        <v>5</v>
      </c>
      <c r="E3432" s="346">
        <v>129.87</v>
      </c>
      <c r="F3432" s="346">
        <v>7475.06</v>
      </c>
      <c r="G3432" s="343" t="s">
        <v>1878</v>
      </c>
      <c r="H3432" s="343" t="s">
        <v>1995</v>
      </c>
      <c r="I3432" s="343" t="s">
        <v>1880</v>
      </c>
      <c r="J3432" s="343" t="s">
        <v>757</v>
      </c>
      <c r="K3432" s="343" t="s">
        <v>770</v>
      </c>
      <c r="L3432" s="344">
        <v>44161</v>
      </c>
      <c r="M3432" s="347">
        <v>0</v>
      </c>
    </row>
    <row r="3433" spans="1:13" hidden="1" x14ac:dyDescent="0.25">
      <c r="A3433" s="344">
        <v>44165</v>
      </c>
      <c r="B3433" s="343" t="s">
        <v>1906</v>
      </c>
      <c r="C3433" s="343" t="s">
        <v>1060</v>
      </c>
      <c r="D3433" s="345">
        <v>5</v>
      </c>
      <c r="E3433" s="346">
        <v>688.3</v>
      </c>
      <c r="F3433" s="346">
        <v>8163.36</v>
      </c>
      <c r="G3433" s="343" t="s">
        <v>1907</v>
      </c>
      <c r="H3433" s="343" t="s">
        <v>1995</v>
      </c>
      <c r="I3433" s="343" t="s">
        <v>1880</v>
      </c>
      <c r="J3433" s="343" t="s">
        <v>757</v>
      </c>
      <c r="K3433" s="343" t="s">
        <v>741</v>
      </c>
      <c r="L3433" s="344">
        <v>44165</v>
      </c>
      <c r="M3433" s="347">
        <v>0</v>
      </c>
    </row>
    <row r="3434" spans="1:13" hidden="1" x14ac:dyDescent="0.25">
      <c r="A3434" s="344">
        <v>44135</v>
      </c>
      <c r="B3434" s="343" t="s">
        <v>1908</v>
      </c>
      <c r="C3434" s="343" t="s">
        <v>769</v>
      </c>
      <c r="D3434" s="345">
        <v>6</v>
      </c>
      <c r="E3434" s="346">
        <v>172.07</v>
      </c>
      <c r="F3434" s="346">
        <v>8335.4300000000094</v>
      </c>
      <c r="G3434" s="343" t="s">
        <v>1909</v>
      </c>
      <c r="H3434" s="343" t="s">
        <v>1995</v>
      </c>
      <c r="I3434" s="343" t="s">
        <v>1880</v>
      </c>
      <c r="J3434" s="343" t="s">
        <v>757</v>
      </c>
      <c r="K3434" s="343" t="s">
        <v>770</v>
      </c>
      <c r="L3434" s="344">
        <v>44135</v>
      </c>
      <c r="M3434" s="347">
        <v>0</v>
      </c>
    </row>
    <row r="3435" spans="1:13" hidden="1" x14ac:dyDescent="0.25">
      <c r="A3435" s="344">
        <v>44135</v>
      </c>
      <c r="B3435" s="343" t="s">
        <v>1908</v>
      </c>
      <c r="C3435" s="343" t="s">
        <v>769</v>
      </c>
      <c r="D3435" s="345">
        <v>6</v>
      </c>
      <c r="E3435" s="346">
        <v>172.07</v>
      </c>
      <c r="F3435" s="346">
        <v>8507.5</v>
      </c>
      <c r="G3435" s="343" t="s">
        <v>1909</v>
      </c>
      <c r="H3435" s="343" t="s">
        <v>1995</v>
      </c>
      <c r="I3435" s="343" t="s">
        <v>1880</v>
      </c>
      <c r="J3435" s="343" t="s">
        <v>757</v>
      </c>
      <c r="K3435" s="343" t="s">
        <v>770</v>
      </c>
      <c r="L3435" s="344">
        <v>44135</v>
      </c>
      <c r="M3435" s="347">
        <v>0</v>
      </c>
    </row>
    <row r="3436" spans="1:13" hidden="1" x14ac:dyDescent="0.25">
      <c r="A3436" s="344">
        <v>44165</v>
      </c>
      <c r="B3436" s="343" t="s">
        <v>1962</v>
      </c>
      <c r="C3436" s="343" t="s">
        <v>1059</v>
      </c>
      <c r="D3436" s="345">
        <v>6</v>
      </c>
      <c r="E3436" s="346">
        <v>-32.5</v>
      </c>
      <c r="F3436" s="346">
        <v>8475</v>
      </c>
      <c r="G3436" s="343" t="s">
        <v>1963</v>
      </c>
      <c r="H3436" s="343" t="s">
        <v>1995</v>
      </c>
      <c r="I3436" s="343" t="s">
        <v>1880</v>
      </c>
      <c r="J3436" s="343" t="s">
        <v>757</v>
      </c>
      <c r="K3436" s="343" t="s">
        <v>741</v>
      </c>
      <c r="L3436" s="344">
        <v>44165</v>
      </c>
      <c r="M3436" s="347">
        <v>0</v>
      </c>
    </row>
    <row r="3437" spans="1:13" hidden="1" x14ac:dyDescent="0.25">
      <c r="A3437" s="344">
        <v>44165</v>
      </c>
      <c r="B3437" s="343" t="s">
        <v>1906</v>
      </c>
      <c r="C3437" s="343" t="s">
        <v>1060</v>
      </c>
      <c r="D3437" s="345">
        <v>6</v>
      </c>
      <c r="E3437" s="346">
        <v>-688.3</v>
      </c>
      <c r="F3437" s="346">
        <v>7786.7</v>
      </c>
      <c r="G3437" s="343" t="s">
        <v>1907</v>
      </c>
      <c r="H3437" s="343" t="s">
        <v>1995</v>
      </c>
      <c r="I3437" s="343" t="s">
        <v>1880</v>
      </c>
      <c r="J3437" s="343" t="s">
        <v>757</v>
      </c>
      <c r="K3437" s="343" t="s">
        <v>741</v>
      </c>
      <c r="L3437" s="344">
        <v>44165</v>
      </c>
      <c r="M3437" s="347">
        <v>0</v>
      </c>
    </row>
    <row r="3438" spans="1:13" hidden="1" x14ac:dyDescent="0.25">
      <c r="A3438" s="344">
        <v>44187</v>
      </c>
      <c r="B3438" s="343" t="s">
        <v>1966</v>
      </c>
      <c r="C3438" s="343" t="s">
        <v>1059</v>
      </c>
      <c r="D3438" s="345">
        <v>6</v>
      </c>
      <c r="E3438" s="346">
        <v>-50</v>
      </c>
      <c r="F3438" s="346">
        <v>7736.7</v>
      </c>
      <c r="G3438" s="343" t="s">
        <v>1967</v>
      </c>
      <c r="H3438" s="343" t="s">
        <v>1995</v>
      </c>
      <c r="I3438" s="343" t="s">
        <v>1880</v>
      </c>
      <c r="J3438" s="343" t="s">
        <v>757</v>
      </c>
      <c r="K3438" s="343" t="s">
        <v>741</v>
      </c>
      <c r="L3438" s="344">
        <v>44187</v>
      </c>
      <c r="M3438" s="347">
        <v>0</v>
      </c>
    </row>
    <row r="3439" spans="1:13" hidden="1" x14ac:dyDescent="0.25">
      <c r="A3439" s="344">
        <v>44196</v>
      </c>
      <c r="B3439" s="343" t="s">
        <v>1910</v>
      </c>
      <c r="C3439" s="343" t="s">
        <v>1060</v>
      </c>
      <c r="D3439" s="345">
        <v>6</v>
      </c>
      <c r="E3439" s="346">
        <v>344.15</v>
      </c>
      <c r="F3439" s="346">
        <v>8080.85</v>
      </c>
      <c r="G3439" s="343" t="s">
        <v>1911</v>
      </c>
      <c r="H3439" s="343" t="s">
        <v>1995</v>
      </c>
      <c r="I3439" s="343" t="s">
        <v>1880</v>
      </c>
      <c r="J3439" s="343" t="s">
        <v>757</v>
      </c>
      <c r="K3439" s="343" t="s">
        <v>741</v>
      </c>
      <c r="L3439" s="344">
        <v>44196</v>
      </c>
      <c r="M3439" s="347">
        <v>0</v>
      </c>
    </row>
    <row r="3440" spans="1:13" hidden="1" x14ac:dyDescent="0.25">
      <c r="A3440" s="344">
        <v>44165</v>
      </c>
      <c r="B3440" s="343" t="s">
        <v>1912</v>
      </c>
      <c r="C3440" s="343" t="s">
        <v>769</v>
      </c>
      <c r="D3440" s="345">
        <v>7</v>
      </c>
      <c r="E3440" s="346">
        <v>172.07</v>
      </c>
      <c r="F3440" s="346">
        <v>8252.9200000000092</v>
      </c>
      <c r="G3440" s="343" t="s">
        <v>1913</v>
      </c>
      <c r="H3440" s="343" t="s">
        <v>1995</v>
      </c>
      <c r="I3440" s="343" t="s">
        <v>1880</v>
      </c>
      <c r="J3440" s="343" t="s">
        <v>757</v>
      </c>
      <c r="K3440" s="343" t="s">
        <v>770</v>
      </c>
      <c r="L3440" s="344">
        <v>44165</v>
      </c>
      <c r="M3440" s="347">
        <v>0</v>
      </c>
    </row>
    <row r="3441" spans="1:13" hidden="1" x14ac:dyDescent="0.25">
      <c r="A3441" s="344">
        <v>44165</v>
      </c>
      <c r="B3441" s="343" t="s">
        <v>1912</v>
      </c>
      <c r="C3441" s="343" t="s">
        <v>769</v>
      </c>
      <c r="D3441" s="345">
        <v>7</v>
      </c>
      <c r="E3441" s="346">
        <v>172.07</v>
      </c>
      <c r="F3441" s="346">
        <v>8424.99</v>
      </c>
      <c r="G3441" s="343" t="s">
        <v>1913</v>
      </c>
      <c r="H3441" s="343" t="s">
        <v>1995</v>
      </c>
      <c r="I3441" s="343" t="s">
        <v>1880</v>
      </c>
      <c r="J3441" s="343" t="s">
        <v>757</v>
      </c>
      <c r="K3441" s="343" t="s">
        <v>770</v>
      </c>
      <c r="L3441" s="344">
        <v>44165</v>
      </c>
      <c r="M3441" s="347">
        <v>0</v>
      </c>
    </row>
    <row r="3442" spans="1:13" hidden="1" x14ac:dyDescent="0.25">
      <c r="A3442" s="344">
        <v>44182</v>
      </c>
      <c r="B3442" s="343" t="s">
        <v>1914</v>
      </c>
      <c r="C3442" s="343" t="s">
        <v>769</v>
      </c>
      <c r="D3442" s="345">
        <v>7</v>
      </c>
      <c r="E3442" s="346">
        <v>227.27</v>
      </c>
      <c r="F3442" s="346">
        <v>8652.2600000000093</v>
      </c>
      <c r="G3442" s="343" t="s">
        <v>1915</v>
      </c>
      <c r="H3442" s="343" t="s">
        <v>1995</v>
      </c>
      <c r="I3442" s="343" t="s">
        <v>1880</v>
      </c>
      <c r="J3442" s="343" t="s">
        <v>757</v>
      </c>
      <c r="K3442" s="343" t="s">
        <v>770</v>
      </c>
      <c r="L3442" s="344">
        <v>44182</v>
      </c>
      <c r="M3442" s="347">
        <v>0</v>
      </c>
    </row>
    <row r="3443" spans="1:13" hidden="1" x14ac:dyDescent="0.25">
      <c r="A3443" s="344">
        <v>44196</v>
      </c>
      <c r="B3443" s="343" t="s">
        <v>1910</v>
      </c>
      <c r="C3443" s="343" t="s">
        <v>1060</v>
      </c>
      <c r="D3443" s="345">
        <v>7</v>
      </c>
      <c r="E3443" s="346">
        <v>-344.15</v>
      </c>
      <c r="F3443" s="346">
        <v>8308.1100000000097</v>
      </c>
      <c r="G3443" s="343" t="s">
        <v>1911</v>
      </c>
      <c r="H3443" s="343" t="s">
        <v>1995</v>
      </c>
      <c r="I3443" s="343" t="s">
        <v>1880</v>
      </c>
      <c r="J3443" s="343" t="s">
        <v>757</v>
      </c>
      <c r="K3443" s="343" t="s">
        <v>741</v>
      </c>
      <c r="L3443" s="344">
        <v>44196</v>
      </c>
      <c r="M3443" s="347">
        <v>0</v>
      </c>
    </row>
    <row r="3444" spans="1:13" hidden="1" x14ac:dyDescent="0.25">
      <c r="A3444" s="344">
        <v>44203</v>
      </c>
      <c r="B3444" s="343" t="s">
        <v>1970</v>
      </c>
      <c r="C3444" s="343" t="s">
        <v>1059</v>
      </c>
      <c r="D3444" s="345">
        <v>7</v>
      </c>
      <c r="E3444" s="346">
        <v>20</v>
      </c>
      <c r="F3444" s="346">
        <v>8328.1100000000097</v>
      </c>
      <c r="G3444" s="343" t="s">
        <v>1971</v>
      </c>
      <c r="H3444" s="343" t="s">
        <v>1995</v>
      </c>
      <c r="I3444" s="343" t="s">
        <v>1880</v>
      </c>
      <c r="J3444" s="343" t="s">
        <v>757</v>
      </c>
      <c r="K3444" s="343" t="s">
        <v>741</v>
      </c>
      <c r="L3444" s="344">
        <v>44203</v>
      </c>
      <c r="M3444" s="347">
        <v>0</v>
      </c>
    </row>
    <row r="3445" spans="1:13" hidden="1" x14ac:dyDescent="0.25">
      <c r="A3445" s="344">
        <v>44218</v>
      </c>
      <c r="B3445" s="343" t="s">
        <v>1972</v>
      </c>
      <c r="C3445" s="343" t="s">
        <v>1059</v>
      </c>
      <c r="D3445" s="345">
        <v>7</v>
      </c>
      <c r="E3445" s="346">
        <v>-70</v>
      </c>
      <c r="F3445" s="346">
        <v>8258.1100000000097</v>
      </c>
      <c r="G3445" s="343" t="s">
        <v>1973</v>
      </c>
      <c r="H3445" s="343" t="s">
        <v>1995</v>
      </c>
      <c r="I3445" s="343" t="s">
        <v>1880</v>
      </c>
      <c r="J3445" s="343" t="s">
        <v>757</v>
      </c>
      <c r="K3445" s="343" t="s">
        <v>741</v>
      </c>
      <c r="L3445" s="344">
        <v>44218</v>
      </c>
      <c r="M3445" s="347">
        <v>0</v>
      </c>
    </row>
    <row r="3446" spans="1:13" hidden="1" x14ac:dyDescent="0.25">
      <c r="A3446" s="344">
        <v>44223</v>
      </c>
      <c r="B3446" s="343" t="s">
        <v>1916</v>
      </c>
      <c r="C3446" s="343" t="s">
        <v>769</v>
      </c>
      <c r="D3446" s="345">
        <v>8</v>
      </c>
      <c r="E3446" s="346">
        <v>181.82</v>
      </c>
      <c r="F3446" s="346">
        <v>8439.9300000000094</v>
      </c>
      <c r="G3446" s="343" t="s">
        <v>1917</v>
      </c>
      <c r="H3446" s="343" t="s">
        <v>1995</v>
      </c>
      <c r="I3446" s="343" t="s">
        <v>1880</v>
      </c>
      <c r="J3446" s="343" t="s">
        <v>757</v>
      </c>
      <c r="K3446" s="343" t="s">
        <v>770</v>
      </c>
      <c r="L3446" s="344">
        <v>44223</v>
      </c>
      <c r="M3446" s="347">
        <v>0</v>
      </c>
    </row>
    <row r="3447" spans="1:13" hidden="1" x14ac:dyDescent="0.25">
      <c r="A3447" s="344">
        <v>44227</v>
      </c>
      <c r="B3447" s="343" t="s">
        <v>1974</v>
      </c>
      <c r="C3447" s="343" t="s">
        <v>1059</v>
      </c>
      <c r="D3447" s="345">
        <v>8</v>
      </c>
      <c r="E3447" s="346">
        <v>-20</v>
      </c>
      <c r="F3447" s="346">
        <v>8419.9300000000094</v>
      </c>
      <c r="G3447" s="343" t="s">
        <v>1975</v>
      </c>
      <c r="H3447" s="343" t="s">
        <v>1995</v>
      </c>
      <c r="I3447" s="343" t="s">
        <v>1880</v>
      </c>
      <c r="J3447" s="343" t="s">
        <v>757</v>
      </c>
      <c r="K3447" s="343" t="s">
        <v>741</v>
      </c>
      <c r="L3447" s="344">
        <v>44227</v>
      </c>
      <c r="M3447" s="347">
        <v>0</v>
      </c>
    </row>
    <row r="3448" spans="1:13" hidden="1" x14ac:dyDescent="0.25">
      <c r="A3448" s="344">
        <v>44244</v>
      </c>
      <c r="B3448" s="343" t="s">
        <v>1978</v>
      </c>
      <c r="C3448" s="343" t="s">
        <v>1059</v>
      </c>
      <c r="D3448" s="345">
        <v>8</v>
      </c>
      <c r="E3448" s="346">
        <v>-40</v>
      </c>
      <c r="F3448" s="346">
        <v>8379.9300000000094</v>
      </c>
      <c r="G3448" s="343" t="s">
        <v>1979</v>
      </c>
      <c r="H3448" s="343" t="s">
        <v>1995</v>
      </c>
      <c r="I3448" s="343" t="s">
        <v>1880</v>
      </c>
      <c r="J3448" s="343" t="s">
        <v>757</v>
      </c>
      <c r="K3448" s="343" t="s">
        <v>741</v>
      </c>
      <c r="L3448" s="344">
        <v>44244</v>
      </c>
      <c r="M3448" s="347">
        <v>0</v>
      </c>
    </row>
    <row r="3449" spans="1:13" hidden="1" x14ac:dyDescent="0.25">
      <c r="A3449" s="344">
        <v>44259</v>
      </c>
      <c r="B3449" s="343" t="s">
        <v>1939</v>
      </c>
      <c r="C3449" s="343" t="s">
        <v>1059</v>
      </c>
      <c r="D3449" s="345">
        <v>9</v>
      </c>
      <c r="E3449" s="346">
        <v>-40</v>
      </c>
      <c r="F3449" s="346">
        <v>8339.9300000000094</v>
      </c>
      <c r="G3449" s="343" t="s">
        <v>1940</v>
      </c>
      <c r="H3449" s="343" t="s">
        <v>1995</v>
      </c>
      <c r="I3449" s="343" t="s">
        <v>1880</v>
      </c>
      <c r="J3449" s="343" t="s">
        <v>757</v>
      </c>
      <c r="K3449" s="343" t="s">
        <v>741</v>
      </c>
      <c r="L3449" s="344">
        <v>44259</v>
      </c>
      <c r="M3449" s="347">
        <v>0</v>
      </c>
    </row>
    <row r="3450" spans="1:13" hidden="1" x14ac:dyDescent="0.25">
      <c r="A3450" s="344">
        <v>44272</v>
      </c>
      <c r="B3450" s="343" t="s">
        <v>1982</v>
      </c>
      <c r="C3450" s="343" t="s">
        <v>1059</v>
      </c>
      <c r="D3450" s="345">
        <v>9</v>
      </c>
      <c r="E3450" s="346">
        <v>-20</v>
      </c>
      <c r="F3450" s="346">
        <v>8319.9300000000094</v>
      </c>
      <c r="G3450" s="343" t="s">
        <v>1983</v>
      </c>
      <c r="H3450" s="343" t="s">
        <v>1995</v>
      </c>
      <c r="I3450" s="343" t="s">
        <v>1880</v>
      </c>
      <c r="J3450" s="343" t="s">
        <v>757</v>
      </c>
      <c r="K3450" s="343" t="s">
        <v>741</v>
      </c>
      <c r="L3450" s="344">
        <v>44272</v>
      </c>
      <c r="M3450" s="347">
        <v>0</v>
      </c>
    </row>
    <row r="3451" spans="1:13" hidden="1" x14ac:dyDescent="0.25">
      <c r="A3451" s="344">
        <v>44257</v>
      </c>
      <c r="B3451" s="343" t="s">
        <v>1884</v>
      </c>
      <c r="C3451" s="343" t="s">
        <v>769</v>
      </c>
      <c r="D3451" s="345">
        <v>10</v>
      </c>
      <c r="E3451" s="346">
        <v>30.31</v>
      </c>
      <c r="F3451" s="346">
        <v>8350.24</v>
      </c>
      <c r="G3451" s="343" t="s">
        <v>1885</v>
      </c>
      <c r="H3451" s="343" t="s">
        <v>1995</v>
      </c>
      <c r="I3451" s="343" t="s">
        <v>1880</v>
      </c>
      <c r="J3451" s="343" t="s">
        <v>757</v>
      </c>
      <c r="K3451" s="343" t="s">
        <v>770</v>
      </c>
      <c r="L3451" s="344">
        <v>44257</v>
      </c>
      <c r="M3451" s="347">
        <v>0</v>
      </c>
    </row>
    <row r="3452" spans="1:13" hidden="1" x14ac:dyDescent="0.25">
      <c r="A3452" s="344">
        <v>44280</v>
      </c>
      <c r="B3452" s="343" t="s">
        <v>1888</v>
      </c>
      <c r="C3452" s="343" t="s">
        <v>769</v>
      </c>
      <c r="D3452" s="345">
        <v>10</v>
      </c>
      <c r="E3452" s="346">
        <v>45.48</v>
      </c>
      <c r="F3452" s="346">
        <v>8395.7199999999993</v>
      </c>
      <c r="G3452" s="343" t="s">
        <v>1887</v>
      </c>
      <c r="H3452" s="343" t="s">
        <v>1995</v>
      </c>
      <c r="I3452" s="343" t="s">
        <v>1880</v>
      </c>
      <c r="J3452" s="343" t="s">
        <v>757</v>
      </c>
      <c r="K3452" s="343" t="s">
        <v>770</v>
      </c>
      <c r="L3452" s="344">
        <v>44280</v>
      </c>
      <c r="M3452" s="347">
        <v>0</v>
      </c>
    </row>
    <row r="3453" spans="1:13" hidden="1" x14ac:dyDescent="0.25">
      <c r="A3453" s="344">
        <v>44280</v>
      </c>
      <c r="B3453" s="343" t="s">
        <v>1886</v>
      </c>
      <c r="C3453" s="343" t="s">
        <v>769</v>
      </c>
      <c r="D3453" s="345">
        <v>10</v>
      </c>
      <c r="E3453" s="346">
        <v>60.62</v>
      </c>
      <c r="F3453" s="346">
        <v>8456.3400000000092</v>
      </c>
      <c r="G3453" s="343" t="s">
        <v>1887</v>
      </c>
      <c r="H3453" s="343" t="s">
        <v>1995</v>
      </c>
      <c r="I3453" s="343" t="s">
        <v>1880</v>
      </c>
      <c r="J3453" s="343" t="s">
        <v>757</v>
      </c>
      <c r="K3453" s="343" t="s">
        <v>770</v>
      </c>
      <c r="L3453" s="344">
        <v>44280</v>
      </c>
      <c r="M3453" s="347">
        <v>0</v>
      </c>
    </row>
    <row r="3454" spans="1:13" hidden="1" x14ac:dyDescent="0.25">
      <c r="A3454" s="344">
        <v>44012</v>
      </c>
      <c r="B3454" s="343" t="s">
        <v>1928</v>
      </c>
      <c r="C3454" s="343" t="s">
        <v>769</v>
      </c>
      <c r="D3454" s="345">
        <v>1</v>
      </c>
      <c r="E3454" s="346">
        <v>65.55</v>
      </c>
      <c r="F3454" s="346">
        <v>8521.89</v>
      </c>
      <c r="G3454" s="343" t="s">
        <v>1929</v>
      </c>
      <c r="H3454" s="343" t="s">
        <v>1996</v>
      </c>
      <c r="I3454" s="343" t="s">
        <v>1880</v>
      </c>
      <c r="J3454" s="343" t="s">
        <v>757</v>
      </c>
      <c r="K3454" s="343" t="s">
        <v>770</v>
      </c>
      <c r="L3454" s="344">
        <v>44012</v>
      </c>
      <c r="M3454" s="347">
        <v>0</v>
      </c>
    </row>
    <row r="3455" spans="1:13" hidden="1" x14ac:dyDescent="0.25">
      <c r="A3455" s="344">
        <v>44012</v>
      </c>
      <c r="B3455" s="343" t="s">
        <v>1928</v>
      </c>
      <c r="C3455" s="343" t="s">
        <v>769</v>
      </c>
      <c r="D3455" s="345">
        <v>1</v>
      </c>
      <c r="E3455" s="346">
        <v>65.569999999999993</v>
      </c>
      <c r="F3455" s="346">
        <v>8587.4599999999991</v>
      </c>
      <c r="G3455" s="343" t="s">
        <v>1929</v>
      </c>
      <c r="H3455" s="343" t="s">
        <v>1996</v>
      </c>
      <c r="I3455" s="343" t="s">
        <v>1880</v>
      </c>
      <c r="J3455" s="343" t="s">
        <v>757</v>
      </c>
      <c r="K3455" s="343" t="s">
        <v>770</v>
      </c>
      <c r="L3455" s="344">
        <v>44012</v>
      </c>
      <c r="M3455" s="347">
        <v>0</v>
      </c>
    </row>
    <row r="3456" spans="1:13" hidden="1" x14ac:dyDescent="0.25">
      <c r="A3456" s="344">
        <v>44012</v>
      </c>
      <c r="B3456" s="343" t="s">
        <v>1925</v>
      </c>
      <c r="C3456" s="343" t="s">
        <v>1059</v>
      </c>
      <c r="D3456" s="345">
        <v>1</v>
      </c>
      <c r="E3456" s="346">
        <v>-131.1</v>
      </c>
      <c r="F3456" s="346">
        <v>8456.36</v>
      </c>
      <c r="G3456" s="343" t="s">
        <v>1926</v>
      </c>
      <c r="H3456" s="343" t="s">
        <v>1996</v>
      </c>
      <c r="I3456" s="343" t="s">
        <v>1880</v>
      </c>
      <c r="J3456" s="343" t="s">
        <v>757</v>
      </c>
      <c r="K3456" s="343" t="s">
        <v>741</v>
      </c>
      <c r="L3456" s="344">
        <v>44012</v>
      </c>
      <c r="M3456" s="347">
        <v>0</v>
      </c>
    </row>
    <row r="3457" spans="1:13" hidden="1" x14ac:dyDescent="0.25">
      <c r="A3457" s="344">
        <v>44043</v>
      </c>
      <c r="B3457" s="343" t="s">
        <v>1891</v>
      </c>
      <c r="C3457" s="343" t="s">
        <v>1060</v>
      </c>
      <c r="D3457" s="345">
        <v>1</v>
      </c>
      <c r="E3457" s="346">
        <v>275.32</v>
      </c>
      <c r="F3457" s="346">
        <v>8731.68</v>
      </c>
      <c r="G3457" s="343" t="s">
        <v>1892</v>
      </c>
      <c r="H3457" s="343" t="s">
        <v>1996</v>
      </c>
      <c r="I3457" s="343" t="s">
        <v>1880</v>
      </c>
      <c r="J3457" s="343" t="s">
        <v>757</v>
      </c>
      <c r="K3457" s="343" t="s">
        <v>741</v>
      </c>
      <c r="L3457" s="344">
        <v>44043</v>
      </c>
      <c r="M3457" s="347">
        <v>0</v>
      </c>
    </row>
    <row r="3458" spans="1:13" hidden="1" x14ac:dyDescent="0.25">
      <c r="A3458" s="344">
        <v>44043</v>
      </c>
      <c r="B3458" s="343" t="s">
        <v>1894</v>
      </c>
      <c r="C3458" s="343" t="s">
        <v>769</v>
      </c>
      <c r="D3458" s="345">
        <v>2</v>
      </c>
      <c r="E3458" s="346">
        <v>91.77</v>
      </c>
      <c r="F3458" s="346">
        <v>8823.4500000000007</v>
      </c>
      <c r="G3458" s="343" t="s">
        <v>1895</v>
      </c>
      <c r="H3458" s="343" t="s">
        <v>1996</v>
      </c>
      <c r="I3458" s="343" t="s">
        <v>1880</v>
      </c>
      <c r="J3458" s="343" t="s">
        <v>757</v>
      </c>
      <c r="K3458" s="343" t="s">
        <v>770</v>
      </c>
      <c r="L3458" s="344">
        <v>44043</v>
      </c>
      <c r="M3458" s="347">
        <v>0</v>
      </c>
    </row>
    <row r="3459" spans="1:13" hidden="1" x14ac:dyDescent="0.25">
      <c r="A3459" s="344">
        <v>44043</v>
      </c>
      <c r="B3459" s="343" t="s">
        <v>1894</v>
      </c>
      <c r="C3459" s="343" t="s">
        <v>769</v>
      </c>
      <c r="D3459" s="345">
        <v>2</v>
      </c>
      <c r="E3459" s="346">
        <v>91.77</v>
      </c>
      <c r="F3459" s="346">
        <v>8915.2199999999993</v>
      </c>
      <c r="G3459" s="343" t="s">
        <v>1895</v>
      </c>
      <c r="H3459" s="343" t="s">
        <v>1996</v>
      </c>
      <c r="I3459" s="343" t="s">
        <v>1880</v>
      </c>
      <c r="J3459" s="343" t="s">
        <v>757</v>
      </c>
      <c r="K3459" s="343" t="s">
        <v>770</v>
      </c>
      <c r="L3459" s="344">
        <v>44043</v>
      </c>
      <c r="M3459" s="347">
        <v>0</v>
      </c>
    </row>
    <row r="3460" spans="1:13" hidden="1" x14ac:dyDescent="0.25">
      <c r="A3460" s="344">
        <v>44043</v>
      </c>
      <c r="B3460" s="343" t="s">
        <v>1894</v>
      </c>
      <c r="C3460" s="343" t="s">
        <v>769</v>
      </c>
      <c r="D3460" s="345">
        <v>2</v>
      </c>
      <c r="E3460" s="346">
        <v>91.77</v>
      </c>
      <c r="F3460" s="346">
        <v>9006.99</v>
      </c>
      <c r="G3460" s="343" t="s">
        <v>1895</v>
      </c>
      <c r="H3460" s="343" t="s">
        <v>1996</v>
      </c>
      <c r="I3460" s="343" t="s">
        <v>1880</v>
      </c>
      <c r="J3460" s="343" t="s">
        <v>757</v>
      </c>
      <c r="K3460" s="343" t="s">
        <v>770</v>
      </c>
      <c r="L3460" s="344">
        <v>44043</v>
      </c>
      <c r="M3460" s="347">
        <v>0</v>
      </c>
    </row>
    <row r="3461" spans="1:13" hidden="1" x14ac:dyDescent="0.25">
      <c r="A3461" s="344">
        <v>44043</v>
      </c>
      <c r="B3461" s="343" t="s">
        <v>1891</v>
      </c>
      <c r="C3461" s="343" t="s">
        <v>1060</v>
      </c>
      <c r="D3461" s="345">
        <v>2</v>
      </c>
      <c r="E3461" s="346">
        <v>-275.32</v>
      </c>
      <c r="F3461" s="346">
        <v>8731.6700000000092</v>
      </c>
      <c r="G3461" s="343" t="s">
        <v>1892</v>
      </c>
      <c r="H3461" s="343" t="s">
        <v>1996</v>
      </c>
      <c r="I3461" s="343" t="s">
        <v>1880</v>
      </c>
      <c r="J3461" s="343" t="s">
        <v>757</v>
      </c>
      <c r="K3461" s="343" t="s">
        <v>741</v>
      </c>
      <c r="L3461" s="344">
        <v>44043</v>
      </c>
      <c r="M3461" s="347">
        <v>0</v>
      </c>
    </row>
    <row r="3462" spans="1:13" hidden="1" x14ac:dyDescent="0.25">
      <c r="A3462" s="344">
        <v>44052</v>
      </c>
      <c r="B3462" s="343" t="s">
        <v>1930</v>
      </c>
      <c r="C3462" s="343" t="s">
        <v>1059</v>
      </c>
      <c r="D3462" s="345">
        <v>2</v>
      </c>
      <c r="E3462" s="346">
        <v>-6.5</v>
      </c>
      <c r="F3462" s="346">
        <v>8725.1700000000092</v>
      </c>
      <c r="G3462" s="343" t="s">
        <v>1931</v>
      </c>
      <c r="H3462" s="343" t="s">
        <v>1996</v>
      </c>
      <c r="I3462" s="343" t="s">
        <v>1880</v>
      </c>
      <c r="J3462" s="343" t="s">
        <v>757</v>
      </c>
      <c r="K3462" s="343" t="s">
        <v>741</v>
      </c>
      <c r="L3462" s="344">
        <v>44052</v>
      </c>
      <c r="M3462" s="347">
        <v>0</v>
      </c>
    </row>
    <row r="3463" spans="1:13" hidden="1" x14ac:dyDescent="0.25">
      <c r="A3463" s="344">
        <v>44062</v>
      </c>
      <c r="B3463" s="343" t="s">
        <v>1932</v>
      </c>
      <c r="C3463" s="343" t="s">
        <v>1059</v>
      </c>
      <c r="D3463" s="345">
        <v>2</v>
      </c>
      <c r="E3463" s="346">
        <v>-6.5</v>
      </c>
      <c r="F3463" s="346">
        <v>8718.6700000000092</v>
      </c>
      <c r="G3463" s="343" t="s">
        <v>1933</v>
      </c>
      <c r="H3463" s="343" t="s">
        <v>1996</v>
      </c>
      <c r="I3463" s="343" t="s">
        <v>1880</v>
      </c>
      <c r="J3463" s="343" t="s">
        <v>757</v>
      </c>
      <c r="K3463" s="343" t="s">
        <v>741</v>
      </c>
      <c r="L3463" s="344">
        <v>44062</v>
      </c>
      <c r="M3463" s="347">
        <v>0</v>
      </c>
    </row>
    <row r="3464" spans="1:13" hidden="1" x14ac:dyDescent="0.25">
      <c r="A3464" s="344">
        <v>44074</v>
      </c>
      <c r="B3464" s="343" t="s">
        <v>1896</v>
      </c>
      <c r="C3464" s="343" t="s">
        <v>1060</v>
      </c>
      <c r="D3464" s="345">
        <v>2</v>
      </c>
      <c r="E3464" s="346">
        <v>183.55</v>
      </c>
      <c r="F3464" s="346">
        <v>8902.2199999999993</v>
      </c>
      <c r="G3464" s="343" t="s">
        <v>1897</v>
      </c>
      <c r="H3464" s="343" t="s">
        <v>1996</v>
      </c>
      <c r="I3464" s="343" t="s">
        <v>1880</v>
      </c>
      <c r="J3464" s="343" t="s">
        <v>757</v>
      </c>
      <c r="K3464" s="343" t="s">
        <v>741</v>
      </c>
      <c r="L3464" s="344">
        <v>44074</v>
      </c>
      <c r="M3464" s="347">
        <v>0</v>
      </c>
    </row>
    <row r="3465" spans="1:13" hidden="1" x14ac:dyDescent="0.25">
      <c r="A3465" s="344">
        <v>44074</v>
      </c>
      <c r="B3465" s="343" t="s">
        <v>1997</v>
      </c>
      <c r="C3465" s="343" t="s">
        <v>769</v>
      </c>
      <c r="D3465" s="345">
        <v>3</v>
      </c>
      <c r="E3465" s="346">
        <v>917.73</v>
      </c>
      <c r="F3465" s="346">
        <v>9819.9500000000007</v>
      </c>
      <c r="G3465" s="343" t="s">
        <v>1998</v>
      </c>
      <c r="H3465" s="343" t="s">
        <v>1996</v>
      </c>
      <c r="I3465" s="343" t="s">
        <v>1880</v>
      </c>
      <c r="J3465" s="343" t="s">
        <v>757</v>
      </c>
      <c r="K3465" s="343" t="s">
        <v>770</v>
      </c>
      <c r="L3465" s="344">
        <v>44074</v>
      </c>
      <c r="M3465" s="347">
        <v>0</v>
      </c>
    </row>
    <row r="3466" spans="1:13" hidden="1" x14ac:dyDescent="0.25">
      <c r="A3466" s="344">
        <v>44074</v>
      </c>
      <c r="B3466" s="343" t="s">
        <v>1896</v>
      </c>
      <c r="C3466" s="343" t="s">
        <v>1060</v>
      </c>
      <c r="D3466" s="345">
        <v>3</v>
      </c>
      <c r="E3466" s="346">
        <v>-183.55</v>
      </c>
      <c r="F3466" s="346">
        <v>9636.4</v>
      </c>
      <c r="G3466" s="343" t="s">
        <v>1897</v>
      </c>
      <c r="H3466" s="343" t="s">
        <v>1996</v>
      </c>
      <c r="I3466" s="343" t="s">
        <v>1880</v>
      </c>
      <c r="J3466" s="343" t="s">
        <v>757</v>
      </c>
      <c r="K3466" s="343" t="s">
        <v>741</v>
      </c>
      <c r="L3466" s="344">
        <v>44074</v>
      </c>
      <c r="M3466" s="347">
        <v>0</v>
      </c>
    </row>
    <row r="3467" spans="1:13" hidden="1" x14ac:dyDescent="0.25">
      <c r="A3467" s="344">
        <v>44085</v>
      </c>
      <c r="B3467" s="343" t="s">
        <v>1898</v>
      </c>
      <c r="C3467" s="343" t="s">
        <v>1059</v>
      </c>
      <c r="D3467" s="345">
        <v>3</v>
      </c>
      <c r="E3467" s="346">
        <v>183.55</v>
      </c>
      <c r="F3467" s="346">
        <v>9819.9500000000007</v>
      </c>
      <c r="G3467" s="343" t="s">
        <v>1899</v>
      </c>
      <c r="H3467" s="343" t="s">
        <v>1996</v>
      </c>
      <c r="I3467" s="343" t="s">
        <v>1880</v>
      </c>
      <c r="J3467" s="343" t="s">
        <v>757</v>
      </c>
      <c r="K3467" s="343" t="s">
        <v>741</v>
      </c>
      <c r="L3467" s="344">
        <v>44085</v>
      </c>
      <c r="M3467" s="347">
        <v>0</v>
      </c>
    </row>
    <row r="3468" spans="1:13" hidden="1" x14ac:dyDescent="0.25">
      <c r="A3468" s="344">
        <v>44085</v>
      </c>
      <c r="B3468" s="343" t="s">
        <v>1898</v>
      </c>
      <c r="C3468" s="343" t="s">
        <v>1059</v>
      </c>
      <c r="D3468" s="345">
        <v>3</v>
      </c>
      <c r="E3468" s="346">
        <v>-917.73</v>
      </c>
      <c r="F3468" s="346">
        <v>8902.2199999999993</v>
      </c>
      <c r="G3468" s="343" t="s">
        <v>1899</v>
      </c>
      <c r="H3468" s="343" t="s">
        <v>1996</v>
      </c>
      <c r="I3468" s="343" t="s">
        <v>1880</v>
      </c>
      <c r="J3468" s="343" t="s">
        <v>757</v>
      </c>
      <c r="K3468" s="343" t="s">
        <v>741</v>
      </c>
      <c r="L3468" s="344">
        <v>44085</v>
      </c>
      <c r="M3468" s="347">
        <v>0</v>
      </c>
    </row>
    <row r="3469" spans="1:13" hidden="1" x14ac:dyDescent="0.25">
      <c r="A3469" s="344">
        <v>44104</v>
      </c>
      <c r="B3469" s="343" t="s">
        <v>1900</v>
      </c>
      <c r="C3469" s="343" t="s">
        <v>1060</v>
      </c>
      <c r="D3469" s="345">
        <v>3</v>
      </c>
      <c r="E3469" s="346">
        <v>183.55</v>
      </c>
      <c r="F3469" s="346">
        <v>9085.77</v>
      </c>
      <c r="G3469" s="343" t="s">
        <v>1901</v>
      </c>
      <c r="H3469" s="343" t="s">
        <v>1996</v>
      </c>
      <c r="I3469" s="343" t="s">
        <v>1880</v>
      </c>
      <c r="J3469" s="343" t="s">
        <v>757</v>
      </c>
      <c r="K3469" s="343" t="s">
        <v>741</v>
      </c>
      <c r="L3469" s="344">
        <v>44104</v>
      </c>
      <c r="M3469" s="347">
        <v>0</v>
      </c>
    </row>
    <row r="3470" spans="1:13" hidden="1" x14ac:dyDescent="0.25">
      <c r="A3470" s="344">
        <v>44104</v>
      </c>
      <c r="B3470" s="343" t="s">
        <v>1900</v>
      </c>
      <c r="C3470" s="343" t="s">
        <v>1060</v>
      </c>
      <c r="D3470" s="345">
        <v>4</v>
      </c>
      <c r="E3470" s="346">
        <v>-183.55</v>
      </c>
      <c r="F3470" s="346">
        <v>8902.2199999999993</v>
      </c>
      <c r="G3470" s="343" t="s">
        <v>1901</v>
      </c>
      <c r="H3470" s="343" t="s">
        <v>1996</v>
      </c>
      <c r="I3470" s="343" t="s">
        <v>1880</v>
      </c>
      <c r="J3470" s="343" t="s">
        <v>757</v>
      </c>
      <c r="K3470" s="343" t="s">
        <v>741</v>
      </c>
      <c r="L3470" s="344">
        <v>44104</v>
      </c>
      <c r="M3470" s="347">
        <v>0</v>
      </c>
    </row>
    <row r="3471" spans="1:13" hidden="1" x14ac:dyDescent="0.25">
      <c r="A3471" s="344">
        <v>44104</v>
      </c>
      <c r="B3471" s="343" t="s">
        <v>1902</v>
      </c>
      <c r="C3471" s="343" t="s">
        <v>769</v>
      </c>
      <c r="D3471" s="345">
        <v>4</v>
      </c>
      <c r="E3471" s="346">
        <v>114.72</v>
      </c>
      <c r="F3471" s="346">
        <v>9016.94</v>
      </c>
      <c r="G3471" s="343" t="s">
        <v>1903</v>
      </c>
      <c r="H3471" s="343" t="s">
        <v>1996</v>
      </c>
      <c r="I3471" s="343" t="s">
        <v>1880</v>
      </c>
      <c r="J3471" s="343" t="s">
        <v>757</v>
      </c>
      <c r="K3471" s="343" t="s">
        <v>770</v>
      </c>
      <c r="L3471" s="344">
        <v>44104</v>
      </c>
      <c r="M3471" s="347">
        <v>0</v>
      </c>
    </row>
    <row r="3472" spans="1:13" hidden="1" x14ac:dyDescent="0.25">
      <c r="A3472" s="344">
        <v>44135</v>
      </c>
      <c r="B3472" s="343" t="s">
        <v>1904</v>
      </c>
      <c r="C3472" s="343" t="s">
        <v>1060</v>
      </c>
      <c r="D3472" s="345">
        <v>4</v>
      </c>
      <c r="E3472" s="346">
        <v>172.07</v>
      </c>
      <c r="F3472" s="346">
        <v>9189.01</v>
      </c>
      <c r="G3472" s="343" t="s">
        <v>1905</v>
      </c>
      <c r="H3472" s="343" t="s">
        <v>1996</v>
      </c>
      <c r="I3472" s="343" t="s">
        <v>1880</v>
      </c>
      <c r="J3472" s="343" t="s">
        <v>757</v>
      </c>
      <c r="K3472" s="343" t="s">
        <v>741</v>
      </c>
      <c r="L3472" s="344">
        <v>44135</v>
      </c>
      <c r="M3472" s="347">
        <v>0</v>
      </c>
    </row>
    <row r="3473" spans="1:13" hidden="1" x14ac:dyDescent="0.25">
      <c r="A3473" s="344">
        <v>44135</v>
      </c>
      <c r="B3473" s="343" t="s">
        <v>1904</v>
      </c>
      <c r="C3473" s="343" t="s">
        <v>1060</v>
      </c>
      <c r="D3473" s="345">
        <v>5</v>
      </c>
      <c r="E3473" s="346">
        <v>-172.07</v>
      </c>
      <c r="F3473" s="346">
        <v>9016.94</v>
      </c>
      <c r="G3473" s="343" t="s">
        <v>1905</v>
      </c>
      <c r="H3473" s="343" t="s">
        <v>1996</v>
      </c>
      <c r="I3473" s="343" t="s">
        <v>1880</v>
      </c>
      <c r="J3473" s="343" t="s">
        <v>757</v>
      </c>
      <c r="K3473" s="343" t="s">
        <v>741</v>
      </c>
      <c r="L3473" s="344">
        <v>44135</v>
      </c>
      <c r="M3473" s="347">
        <v>0</v>
      </c>
    </row>
    <row r="3474" spans="1:13" hidden="1" x14ac:dyDescent="0.25">
      <c r="A3474" s="344">
        <v>44148</v>
      </c>
      <c r="B3474" s="343" t="s">
        <v>1958</v>
      </c>
      <c r="C3474" s="343" t="s">
        <v>1059</v>
      </c>
      <c r="D3474" s="345">
        <v>5</v>
      </c>
      <c r="E3474" s="346">
        <v>-6.5</v>
      </c>
      <c r="F3474" s="346">
        <v>9010.44</v>
      </c>
      <c r="G3474" s="343" t="s">
        <v>1959</v>
      </c>
      <c r="H3474" s="343" t="s">
        <v>1996</v>
      </c>
      <c r="I3474" s="343" t="s">
        <v>1880</v>
      </c>
      <c r="J3474" s="343" t="s">
        <v>757</v>
      </c>
      <c r="K3474" s="343" t="s">
        <v>741</v>
      </c>
      <c r="L3474" s="344">
        <v>44148</v>
      </c>
      <c r="M3474" s="347">
        <v>0</v>
      </c>
    </row>
    <row r="3475" spans="1:13" hidden="1" x14ac:dyDescent="0.25">
      <c r="A3475" s="344">
        <v>44165</v>
      </c>
      <c r="B3475" s="343" t="s">
        <v>1906</v>
      </c>
      <c r="C3475" s="343" t="s">
        <v>1060</v>
      </c>
      <c r="D3475" s="345">
        <v>5</v>
      </c>
      <c r="E3475" s="346">
        <v>344.15</v>
      </c>
      <c r="F3475" s="346">
        <v>9354.59</v>
      </c>
      <c r="G3475" s="343" t="s">
        <v>1907</v>
      </c>
      <c r="H3475" s="343" t="s">
        <v>1996</v>
      </c>
      <c r="I3475" s="343" t="s">
        <v>1880</v>
      </c>
      <c r="J3475" s="343" t="s">
        <v>757</v>
      </c>
      <c r="K3475" s="343" t="s">
        <v>741</v>
      </c>
      <c r="L3475" s="344">
        <v>44165</v>
      </c>
      <c r="M3475" s="347">
        <v>0</v>
      </c>
    </row>
    <row r="3476" spans="1:13" hidden="1" x14ac:dyDescent="0.25">
      <c r="A3476" s="344">
        <v>44135</v>
      </c>
      <c r="B3476" s="343" t="s">
        <v>1908</v>
      </c>
      <c r="C3476" s="343" t="s">
        <v>769</v>
      </c>
      <c r="D3476" s="345">
        <v>6</v>
      </c>
      <c r="E3476" s="346">
        <v>172.07</v>
      </c>
      <c r="F3476" s="346">
        <v>9526.66</v>
      </c>
      <c r="G3476" s="343" t="s">
        <v>1909</v>
      </c>
      <c r="H3476" s="343" t="s">
        <v>1996</v>
      </c>
      <c r="I3476" s="343" t="s">
        <v>1880</v>
      </c>
      <c r="J3476" s="343" t="s">
        <v>757</v>
      </c>
      <c r="K3476" s="343" t="s">
        <v>770</v>
      </c>
      <c r="L3476" s="344">
        <v>44135</v>
      </c>
      <c r="M3476" s="347">
        <v>0</v>
      </c>
    </row>
    <row r="3477" spans="1:13" hidden="1" x14ac:dyDescent="0.25">
      <c r="A3477" s="344">
        <v>44165</v>
      </c>
      <c r="B3477" s="343" t="s">
        <v>1962</v>
      </c>
      <c r="C3477" s="343" t="s">
        <v>1059</v>
      </c>
      <c r="D3477" s="345">
        <v>6</v>
      </c>
      <c r="E3477" s="346">
        <v>-19.5</v>
      </c>
      <c r="F3477" s="346">
        <v>9507.16</v>
      </c>
      <c r="G3477" s="343" t="s">
        <v>1963</v>
      </c>
      <c r="H3477" s="343" t="s">
        <v>1996</v>
      </c>
      <c r="I3477" s="343" t="s">
        <v>1880</v>
      </c>
      <c r="J3477" s="343" t="s">
        <v>757</v>
      </c>
      <c r="K3477" s="343" t="s">
        <v>741</v>
      </c>
      <c r="L3477" s="344">
        <v>44165</v>
      </c>
      <c r="M3477" s="347">
        <v>0</v>
      </c>
    </row>
    <row r="3478" spans="1:13" hidden="1" x14ac:dyDescent="0.25">
      <c r="A3478" s="344">
        <v>44165</v>
      </c>
      <c r="B3478" s="343" t="s">
        <v>1906</v>
      </c>
      <c r="C3478" s="343" t="s">
        <v>1060</v>
      </c>
      <c r="D3478" s="345">
        <v>6</v>
      </c>
      <c r="E3478" s="346">
        <v>-344.15</v>
      </c>
      <c r="F3478" s="346">
        <v>9163.01</v>
      </c>
      <c r="G3478" s="343" t="s">
        <v>1907</v>
      </c>
      <c r="H3478" s="343" t="s">
        <v>1996</v>
      </c>
      <c r="I3478" s="343" t="s">
        <v>1880</v>
      </c>
      <c r="J3478" s="343" t="s">
        <v>757</v>
      </c>
      <c r="K3478" s="343" t="s">
        <v>741</v>
      </c>
      <c r="L3478" s="344">
        <v>44165</v>
      </c>
      <c r="M3478" s="347">
        <v>0</v>
      </c>
    </row>
    <row r="3479" spans="1:13" hidden="1" x14ac:dyDescent="0.25">
      <c r="A3479" s="344">
        <v>44187</v>
      </c>
      <c r="B3479" s="343" t="s">
        <v>1966</v>
      </c>
      <c r="C3479" s="343" t="s">
        <v>1059</v>
      </c>
      <c r="D3479" s="345">
        <v>6</v>
      </c>
      <c r="E3479" s="346">
        <v>-120</v>
      </c>
      <c r="F3479" s="346">
        <v>9043.01</v>
      </c>
      <c r="G3479" s="343" t="s">
        <v>1967</v>
      </c>
      <c r="H3479" s="343" t="s">
        <v>1996</v>
      </c>
      <c r="I3479" s="343" t="s">
        <v>1880</v>
      </c>
      <c r="J3479" s="343" t="s">
        <v>757</v>
      </c>
      <c r="K3479" s="343" t="s">
        <v>741</v>
      </c>
      <c r="L3479" s="344">
        <v>44187</v>
      </c>
      <c r="M3479" s="347">
        <v>0</v>
      </c>
    </row>
    <row r="3480" spans="1:13" hidden="1" x14ac:dyDescent="0.25">
      <c r="A3480" s="344">
        <v>44196</v>
      </c>
      <c r="B3480" s="343" t="s">
        <v>1910</v>
      </c>
      <c r="C3480" s="343" t="s">
        <v>1060</v>
      </c>
      <c r="D3480" s="345">
        <v>6</v>
      </c>
      <c r="E3480" s="346">
        <v>172.07</v>
      </c>
      <c r="F3480" s="346">
        <v>9215.08</v>
      </c>
      <c r="G3480" s="343" t="s">
        <v>1911</v>
      </c>
      <c r="H3480" s="343" t="s">
        <v>1996</v>
      </c>
      <c r="I3480" s="343" t="s">
        <v>1880</v>
      </c>
      <c r="J3480" s="343" t="s">
        <v>757</v>
      </c>
      <c r="K3480" s="343" t="s">
        <v>741</v>
      </c>
      <c r="L3480" s="344">
        <v>44196</v>
      </c>
      <c r="M3480" s="347">
        <v>0</v>
      </c>
    </row>
    <row r="3481" spans="1:13" hidden="1" x14ac:dyDescent="0.25">
      <c r="A3481" s="344">
        <v>44165</v>
      </c>
      <c r="B3481" s="343" t="s">
        <v>1912</v>
      </c>
      <c r="C3481" s="343" t="s">
        <v>769</v>
      </c>
      <c r="D3481" s="345">
        <v>7</v>
      </c>
      <c r="E3481" s="346">
        <v>172.07</v>
      </c>
      <c r="F3481" s="346">
        <v>9387.15</v>
      </c>
      <c r="G3481" s="343" t="s">
        <v>1913</v>
      </c>
      <c r="H3481" s="343" t="s">
        <v>1996</v>
      </c>
      <c r="I3481" s="343" t="s">
        <v>1880</v>
      </c>
      <c r="J3481" s="343" t="s">
        <v>757</v>
      </c>
      <c r="K3481" s="343" t="s">
        <v>770</v>
      </c>
      <c r="L3481" s="344">
        <v>44165</v>
      </c>
      <c r="M3481" s="347">
        <v>0</v>
      </c>
    </row>
    <row r="3482" spans="1:13" hidden="1" x14ac:dyDescent="0.25">
      <c r="A3482" s="344">
        <v>44182</v>
      </c>
      <c r="B3482" s="343" t="s">
        <v>1914</v>
      </c>
      <c r="C3482" s="343" t="s">
        <v>769</v>
      </c>
      <c r="D3482" s="345">
        <v>7</v>
      </c>
      <c r="E3482" s="346">
        <v>113.64</v>
      </c>
      <c r="F3482" s="346">
        <v>9500.7900000000009</v>
      </c>
      <c r="G3482" s="343" t="s">
        <v>1915</v>
      </c>
      <c r="H3482" s="343" t="s">
        <v>1996</v>
      </c>
      <c r="I3482" s="343" t="s">
        <v>1880</v>
      </c>
      <c r="J3482" s="343" t="s">
        <v>757</v>
      </c>
      <c r="K3482" s="343" t="s">
        <v>770</v>
      </c>
      <c r="L3482" s="344">
        <v>44182</v>
      </c>
      <c r="M3482" s="347">
        <v>0</v>
      </c>
    </row>
    <row r="3483" spans="1:13" hidden="1" x14ac:dyDescent="0.25">
      <c r="A3483" s="344">
        <v>44196</v>
      </c>
      <c r="B3483" s="343" t="s">
        <v>1910</v>
      </c>
      <c r="C3483" s="343" t="s">
        <v>1060</v>
      </c>
      <c r="D3483" s="345">
        <v>7</v>
      </c>
      <c r="E3483" s="346">
        <v>-172.07</v>
      </c>
      <c r="F3483" s="346">
        <v>9328.7199999999993</v>
      </c>
      <c r="G3483" s="343" t="s">
        <v>1911</v>
      </c>
      <c r="H3483" s="343" t="s">
        <v>1996</v>
      </c>
      <c r="I3483" s="343" t="s">
        <v>1880</v>
      </c>
      <c r="J3483" s="343" t="s">
        <v>757</v>
      </c>
      <c r="K3483" s="343" t="s">
        <v>741</v>
      </c>
      <c r="L3483" s="344">
        <v>44196</v>
      </c>
      <c r="M3483" s="347">
        <v>0</v>
      </c>
    </row>
    <row r="3484" spans="1:13" hidden="1" x14ac:dyDescent="0.25">
      <c r="A3484" s="344">
        <v>44203</v>
      </c>
      <c r="B3484" s="343" t="s">
        <v>1970</v>
      </c>
      <c r="C3484" s="343" t="s">
        <v>1059</v>
      </c>
      <c r="D3484" s="345">
        <v>7</v>
      </c>
      <c r="E3484" s="346">
        <v>60</v>
      </c>
      <c r="F3484" s="346">
        <v>9388.7199999999993</v>
      </c>
      <c r="G3484" s="343" t="s">
        <v>1971</v>
      </c>
      <c r="H3484" s="343" t="s">
        <v>1996</v>
      </c>
      <c r="I3484" s="343" t="s">
        <v>1880</v>
      </c>
      <c r="J3484" s="343" t="s">
        <v>757</v>
      </c>
      <c r="K3484" s="343" t="s">
        <v>741</v>
      </c>
      <c r="L3484" s="344">
        <v>44203</v>
      </c>
      <c r="M3484" s="347">
        <v>0</v>
      </c>
    </row>
    <row r="3485" spans="1:13" hidden="1" x14ac:dyDescent="0.25">
      <c r="A3485" s="344">
        <v>44218</v>
      </c>
      <c r="B3485" s="343" t="s">
        <v>1972</v>
      </c>
      <c r="C3485" s="343" t="s">
        <v>1059</v>
      </c>
      <c r="D3485" s="345">
        <v>7</v>
      </c>
      <c r="E3485" s="346">
        <v>-70</v>
      </c>
      <c r="F3485" s="346">
        <v>9318.7199999999993</v>
      </c>
      <c r="G3485" s="343" t="s">
        <v>1973</v>
      </c>
      <c r="H3485" s="343" t="s">
        <v>1996</v>
      </c>
      <c r="I3485" s="343" t="s">
        <v>1880</v>
      </c>
      <c r="J3485" s="343" t="s">
        <v>757</v>
      </c>
      <c r="K3485" s="343" t="s">
        <v>741</v>
      </c>
      <c r="L3485" s="344">
        <v>44218</v>
      </c>
      <c r="M3485" s="347">
        <v>0</v>
      </c>
    </row>
    <row r="3486" spans="1:13" hidden="1" x14ac:dyDescent="0.25">
      <c r="A3486" s="344">
        <v>44223</v>
      </c>
      <c r="B3486" s="343" t="s">
        <v>1916</v>
      </c>
      <c r="C3486" s="343" t="s">
        <v>769</v>
      </c>
      <c r="D3486" s="345">
        <v>8</v>
      </c>
      <c r="E3486" s="346">
        <v>90.9</v>
      </c>
      <c r="F3486" s="346">
        <v>9409.6200000000008</v>
      </c>
      <c r="G3486" s="343" t="s">
        <v>1917</v>
      </c>
      <c r="H3486" s="343" t="s">
        <v>1996</v>
      </c>
      <c r="I3486" s="343" t="s">
        <v>1880</v>
      </c>
      <c r="J3486" s="343" t="s">
        <v>757</v>
      </c>
      <c r="K3486" s="343" t="s">
        <v>770</v>
      </c>
      <c r="L3486" s="344">
        <v>44223</v>
      </c>
      <c r="M3486" s="347">
        <v>0</v>
      </c>
    </row>
    <row r="3487" spans="1:13" hidden="1" x14ac:dyDescent="0.25">
      <c r="A3487" s="344">
        <v>44223</v>
      </c>
      <c r="B3487" s="343" t="s">
        <v>1999</v>
      </c>
      <c r="C3487" s="343" t="s">
        <v>769</v>
      </c>
      <c r="D3487" s="345">
        <v>8</v>
      </c>
      <c r="E3487" s="346">
        <v>181.82</v>
      </c>
      <c r="F3487" s="346">
        <v>9591.44</v>
      </c>
      <c r="G3487" s="343" t="s">
        <v>2000</v>
      </c>
      <c r="H3487" s="343" t="s">
        <v>1996</v>
      </c>
      <c r="I3487" s="343" t="s">
        <v>1880</v>
      </c>
      <c r="J3487" s="343" t="s">
        <v>757</v>
      </c>
      <c r="K3487" s="343" t="s">
        <v>770</v>
      </c>
      <c r="L3487" s="344">
        <v>44223</v>
      </c>
      <c r="M3487" s="347">
        <v>0</v>
      </c>
    </row>
    <row r="3488" spans="1:13" hidden="1" x14ac:dyDescent="0.25">
      <c r="A3488" s="344">
        <v>44227</v>
      </c>
      <c r="B3488" s="343" t="s">
        <v>1974</v>
      </c>
      <c r="C3488" s="343" t="s">
        <v>1059</v>
      </c>
      <c r="D3488" s="345">
        <v>8</v>
      </c>
      <c r="E3488" s="346">
        <v>-40</v>
      </c>
      <c r="F3488" s="346">
        <v>9551.44</v>
      </c>
      <c r="G3488" s="343" t="s">
        <v>1975</v>
      </c>
      <c r="H3488" s="343" t="s">
        <v>1996</v>
      </c>
      <c r="I3488" s="343" t="s">
        <v>1880</v>
      </c>
      <c r="J3488" s="343" t="s">
        <v>757</v>
      </c>
      <c r="K3488" s="343" t="s">
        <v>741</v>
      </c>
      <c r="L3488" s="344">
        <v>44227</v>
      </c>
      <c r="M3488" s="347">
        <v>0</v>
      </c>
    </row>
    <row r="3489" spans="1:13" hidden="1" x14ac:dyDescent="0.25">
      <c r="A3489" s="344">
        <v>44244</v>
      </c>
      <c r="B3489" s="343" t="s">
        <v>1978</v>
      </c>
      <c r="C3489" s="343" t="s">
        <v>1059</v>
      </c>
      <c r="D3489" s="345">
        <v>8</v>
      </c>
      <c r="E3489" s="346">
        <v>-10</v>
      </c>
      <c r="F3489" s="346">
        <v>9541.44</v>
      </c>
      <c r="G3489" s="343" t="s">
        <v>1979</v>
      </c>
      <c r="H3489" s="343" t="s">
        <v>1996</v>
      </c>
      <c r="I3489" s="343" t="s">
        <v>1880</v>
      </c>
      <c r="J3489" s="343" t="s">
        <v>757</v>
      </c>
      <c r="K3489" s="343" t="s">
        <v>741</v>
      </c>
      <c r="L3489" s="344">
        <v>44244</v>
      </c>
      <c r="M3489" s="347">
        <v>0</v>
      </c>
    </row>
    <row r="3490" spans="1:13" hidden="1" x14ac:dyDescent="0.25">
      <c r="A3490" s="344">
        <v>44259</v>
      </c>
      <c r="B3490" s="343" t="s">
        <v>1939</v>
      </c>
      <c r="C3490" s="343" t="s">
        <v>1059</v>
      </c>
      <c r="D3490" s="345">
        <v>9</v>
      </c>
      <c r="E3490" s="346">
        <v>-10</v>
      </c>
      <c r="F3490" s="346">
        <v>9531.44</v>
      </c>
      <c r="G3490" s="343" t="s">
        <v>1940</v>
      </c>
      <c r="H3490" s="343" t="s">
        <v>1996</v>
      </c>
      <c r="I3490" s="343" t="s">
        <v>1880</v>
      </c>
      <c r="J3490" s="343" t="s">
        <v>757</v>
      </c>
      <c r="K3490" s="343" t="s">
        <v>741</v>
      </c>
      <c r="L3490" s="344">
        <v>44259</v>
      </c>
      <c r="M3490" s="347">
        <v>0</v>
      </c>
    </row>
    <row r="3491" spans="1:13" hidden="1" x14ac:dyDescent="0.25">
      <c r="A3491" s="344">
        <v>44165</v>
      </c>
      <c r="B3491" s="343" t="s">
        <v>1906</v>
      </c>
      <c r="C3491" s="343" t="s">
        <v>1060</v>
      </c>
      <c r="D3491" s="345">
        <v>5</v>
      </c>
      <c r="E3491" s="346">
        <v>789.45</v>
      </c>
      <c r="F3491" s="346">
        <v>10320.89</v>
      </c>
      <c r="G3491" s="343" t="s">
        <v>2001</v>
      </c>
      <c r="H3491" s="343" t="s">
        <v>2002</v>
      </c>
      <c r="I3491" s="343" t="s">
        <v>1880</v>
      </c>
      <c r="J3491" s="343" t="s">
        <v>757</v>
      </c>
      <c r="K3491" s="343" t="s">
        <v>741</v>
      </c>
      <c r="L3491" s="344">
        <v>44165</v>
      </c>
      <c r="M3491" s="347">
        <v>0</v>
      </c>
    </row>
    <row r="3492" spans="1:13" hidden="1" x14ac:dyDescent="0.25">
      <c r="A3492" s="344">
        <v>44165</v>
      </c>
      <c r="B3492" s="343" t="s">
        <v>1906</v>
      </c>
      <c r="C3492" s="343" t="s">
        <v>1060</v>
      </c>
      <c r="D3492" s="345">
        <v>6</v>
      </c>
      <c r="E3492" s="346">
        <v>-789.45</v>
      </c>
      <c r="F3492" s="346">
        <v>9531.44</v>
      </c>
      <c r="G3492" s="343" t="s">
        <v>2001</v>
      </c>
      <c r="H3492" s="343" t="s">
        <v>2002</v>
      </c>
      <c r="I3492" s="343" t="s">
        <v>1880</v>
      </c>
      <c r="J3492" s="343" t="s">
        <v>757</v>
      </c>
      <c r="K3492" s="343" t="s">
        <v>741</v>
      </c>
      <c r="L3492" s="344">
        <v>44165</v>
      </c>
      <c r="M3492" s="347">
        <v>0</v>
      </c>
    </row>
    <row r="3493" spans="1:13" hidden="1" x14ac:dyDescent="0.25">
      <c r="A3493" s="344">
        <v>44166</v>
      </c>
      <c r="B3493" s="343" t="s">
        <v>2003</v>
      </c>
      <c r="C3493" s="343" t="s">
        <v>769</v>
      </c>
      <c r="D3493" s="345">
        <v>6</v>
      </c>
      <c r="E3493" s="346">
        <v>78.180000000000007</v>
      </c>
      <c r="F3493" s="346">
        <v>9609.6200000000008</v>
      </c>
      <c r="G3493" s="343" t="s">
        <v>2004</v>
      </c>
      <c r="H3493" s="343" t="s">
        <v>2002</v>
      </c>
      <c r="I3493" s="343" t="s">
        <v>1880</v>
      </c>
      <c r="J3493" s="343" t="s">
        <v>757</v>
      </c>
      <c r="K3493" s="343" t="s">
        <v>770</v>
      </c>
      <c r="L3493" s="344">
        <v>44166</v>
      </c>
      <c r="M3493" s="347">
        <v>0</v>
      </c>
    </row>
    <row r="3494" spans="1:13" hidden="1" x14ac:dyDescent="0.25">
      <c r="A3494" s="344">
        <v>44166</v>
      </c>
      <c r="B3494" s="343" t="s">
        <v>2003</v>
      </c>
      <c r="C3494" s="343" t="s">
        <v>769</v>
      </c>
      <c r="D3494" s="345">
        <v>6</v>
      </c>
      <c r="E3494" s="346">
        <v>78.180000000000007</v>
      </c>
      <c r="F3494" s="346">
        <v>9687.7999999999993</v>
      </c>
      <c r="G3494" s="343" t="s">
        <v>2004</v>
      </c>
      <c r="H3494" s="343" t="s">
        <v>2002</v>
      </c>
      <c r="I3494" s="343" t="s">
        <v>1880</v>
      </c>
      <c r="J3494" s="343" t="s">
        <v>757</v>
      </c>
      <c r="K3494" s="343" t="s">
        <v>770</v>
      </c>
      <c r="L3494" s="344">
        <v>44166</v>
      </c>
      <c r="M3494" s="347">
        <v>0</v>
      </c>
    </row>
    <row r="3495" spans="1:13" hidden="1" x14ac:dyDescent="0.25">
      <c r="A3495" s="344">
        <v>44166</v>
      </c>
      <c r="B3495" s="343" t="s">
        <v>2003</v>
      </c>
      <c r="C3495" s="343" t="s">
        <v>769</v>
      </c>
      <c r="D3495" s="345">
        <v>6</v>
      </c>
      <c r="E3495" s="346">
        <v>78.180000000000007</v>
      </c>
      <c r="F3495" s="346">
        <v>9765.98</v>
      </c>
      <c r="G3495" s="343" t="s">
        <v>2004</v>
      </c>
      <c r="H3495" s="343" t="s">
        <v>2002</v>
      </c>
      <c r="I3495" s="343" t="s">
        <v>1880</v>
      </c>
      <c r="J3495" s="343" t="s">
        <v>757</v>
      </c>
      <c r="K3495" s="343" t="s">
        <v>770</v>
      </c>
      <c r="L3495" s="344">
        <v>44166</v>
      </c>
      <c r="M3495" s="347">
        <v>0</v>
      </c>
    </row>
    <row r="3496" spans="1:13" hidden="1" x14ac:dyDescent="0.25">
      <c r="A3496" s="344">
        <v>44166</v>
      </c>
      <c r="B3496" s="343" t="s">
        <v>2003</v>
      </c>
      <c r="C3496" s="343" t="s">
        <v>769</v>
      </c>
      <c r="D3496" s="345">
        <v>6</v>
      </c>
      <c r="E3496" s="346">
        <v>78.180000000000007</v>
      </c>
      <c r="F3496" s="346">
        <v>9844.16</v>
      </c>
      <c r="G3496" s="343" t="s">
        <v>2004</v>
      </c>
      <c r="H3496" s="343" t="s">
        <v>2002</v>
      </c>
      <c r="I3496" s="343" t="s">
        <v>1880</v>
      </c>
      <c r="J3496" s="343" t="s">
        <v>757</v>
      </c>
      <c r="K3496" s="343" t="s">
        <v>770</v>
      </c>
      <c r="L3496" s="344">
        <v>44166</v>
      </c>
      <c r="M3496" s="347">
        <v>0</v>
      </c>
    </row>
    <row r="3497" spans="1:13" hidden="1" x14ac:dyDescent="0.25">
      <c r="A3497" s="344">
        <v>44166</v>
      </c>
      <c r="B3497" s="343" t="s">
        <v>2003</v>
      </c>
      <c r="C3497" s="343" t="s">
        <v>769</v>
      </c>
      <c r="D3497" s="345">
        <v>6</v>
      </c>
      <c r="E3497" s="346">
        <v>78.180000000000007</v>
      </c>
      <c r="F3497" s="346">
        <v>9922.34</v>
      </c>
      <c r="G3497" s="343" t="s">
        <v>2004</v>
      </c>
      <c r="H3497" s="343" t="s">
        <v>2002</v>
      </c>
      <c r="I3497" s="343" t="s">
        <v>1880</v>
      </c>
      <c r="J3497" s="343" t="s">
        <v>757</v>
      </c>
      <c r="K3497" s="343" t="s">
        <v>770</v>
      </c>
      <c r="L3497" s="344">
        <v>44166</v>
      </c>
      <c r="M3497" s="347">
        <v>0</v>
      </c>
    </row>
    <row r="3498" spans="1:13" hidden="1" x14ac:dyDescent="0.25">
      <c r="A3498" s="344">
        <v>44166</v>
      </c>
      <c r="B3498" s="343" t="s">
        <v>2003</v>
      </c>
      <c r="C3498" s="343" t="s">
        <v>769</v>
      </c>
      <c r="D3498" s="345">
        <v>6</v>
      </c>
      <c r="E3498" s="346">
        <v>78.180000000000007</v>
      </c>
      <c r="F3498" s="346">
        <v>10000.52</v>
      </c>
      <c r="G3498" s="343" t="s">
        <v>2004</v>
      </c>
      <c r="H3498" s="343" t="s">
        <v>2002</v>
      </c>
      <c r="I3498" s="343" t="s">
        <v>1880</v>
      </c>
      <c r="J3498" s="343" t="s">
        <v>757</v>
      </c>
      <c r="K3498" s="343" t="s">
        <v>770</v>
      </c>
      <c r="L3498" s="344">
        <v>44166</v>
      </c>
      <c r="M3498" s="347">
        <v>0</v>
      </c>
    </row>
    <row r="3499" spans="1:13" hidden="1" x14ac:dyDescent="0.25">
      <c r="A3499" s="344">
        <v>44166</v>
      </c>
      <c r="B3499" s="343" t="s">
        <v>2003</v>
      </c>
      <c r="C3499" s="343" t="s">
        <v>769</v>
      </c>
      <c r="D3499" s="345">
        <v>6</v>
      </c>
      <c r="E3499" s="346">
        <v>78.180000000000007</v>
      </c>
      <c r="F3499" s="346">
        <v>10078.700000000001</v>
      </c>
      <c r="G3499" s="343" t="s">
        <v>2004</v>
      </c>
      <c r="H3499" s="343" t="s">
        <v>2002</v>
      </c>
      <c r="I3499" s="343" t="s">
        <v>1880</v>
      </c>
      <c r="J3499" s="343" t="s">
        <v>757</v>
      </c>
      <c r="K3499" s="343" t="s">
        <v>770</v>
      </c>
      <c r="L3499" s="344">
        <v>44166</v>
      </c>
      <c r="M3499" s="347">
        <v>0</v>
      </c>
    </row>
    <row r="3500" spans="1:13" hidden="1" x14ac:dyDescent="0.25">
      <c r="A3500" s="344">
        <v>44166</v>
      </c>
      <c r="B3500" s="343" t="s">
        <v>2003</v>
      </c>
      <c r="C3500" s="343" t="s">
        <v>769</v>
      </c>
      <c r="D3500" s="345">
        <v>6</v>
      </c>
      <c r="E3500" s="346">
        <v>78.180000000000007</v>
      </c>
      <c r="F3500" s="346">
        <v>10156.879999999999</v>
      </c>
      <c r="G3500" s="343" t="s">
        <v>2004</v>
      </c>
      <c r="H3500" s="343" t="s">
        <v>2002</v>
      </c>
      <c r="I3500" s="343" t="s">
        <v>1880</v>
      </c>
      <c r="J3500" s="343" t="s">
        <v>757</v>
      </c>
      <c r="K3500" s="343" t="s">
        <v>770</v>
      </c>
      <c r="L3500" s="344">
        <v>44166</v>
      </c>
      <c r="M3500" s="347">
        <v>0</v>
      </c>
    </row>
    <row r="3501" spans="1:13" hidden="1" x14ac:dyDescent="0.25">
      <c r="A3501" s="344">
        <v>44166</v>
      </c>
      <c r="B3501" s="343" t="s">
        <v>2003</v>
      </c>
      <c r="C3501" s="343" t="s">
        <v>769</v>
      </c>
      <c r="D3501" s="345">
        <v>6</v>
      </c>
      <c r="E3501" s="346">
        <v>78.180000000000007</v>
      </c>
      <c r="F3501" s="346">
        <v>10235.06</v>
      </c>
      <c r="G3501" s="343" t="s">
        <v>2004</v>
      </c>
      <c r="H3501" s="343" t="s">
        <v>2002</v>
      </c>
      <c r="I3501" s="343" t="s">
        <v>1880</v>
      </c>
      <c r="J3501" s="343" t="s">
        <v>757</v>
      </c>
      <c r="K3501" s="343" t="s">
        <v>770</v>
      </c>
      <c r="L3501" s="344">
        <v>44166</v>
      </c>
      <c r="M3501" s="347">
        <v>0</v>
      </c>
    </row>
    <row r="3502" spans="1:13" hidden="1" x14ac:dyDescent="0.25">
      <c r="A3502" s="344">
        <v>44166</v>
      </c>
      <c r="B3502" s="343" t="s">
        <v>2003</v>
      </c>
      <c r="C3502" s="343" t="s">
        <v>769</v>
      </c>
      <c r="D3502" s="345">
        <v>6</v>
      </c>
      <c r="E3502" s="346">
        <v>78.180000000000007</v>
      </c>
      <c r="F3502" s="346">
        <v>10313.24</v>
      </c>
      <c r="G3502" s="343" t="s">
        <v>2004</v>
      </c>
      <c r="H3502" s="343" t="s">
        <v>2002</v>
      </c>
      <c r="I3502" s="343" t="s">
        <v>1880</v>
      </c>
      <c r="J3502" s="343" t="s">
        <v>757</v>
      </c>
      <c r="K3502" s="343" t="s">
        <v>770</v>
      </c>
      <c r="L3502" s="344">
        <v>44166</v>
      </c>
      <c r="M3502" s="347">
        <v>0</v>
      </c>
    </row>
    <row r="3503" spans="1:13" hidden="1" x14ac:dyDescent="0.25">
      <c r="A3503" s="344">
        <v>44187</v>
      </c>
      <c r="B3503" s="343" t="s">
        <v>1966</v>
      </c>
      <c r="C3503" s="343" t="s">
        <v>1059</v>
      </c>
      <c r="D3503" s="345">
        <v>6</v>
      </c>
      <c r="E3503" s="346">
        <v>-144.32</v>
      </c>
      <c r="F3503" s="346">
        <v>10168.92</v>
      </c>
      <c r="G3503" s="343" t="s">
        <v>1967</v>
      </c>
      <c r="H3503" s="343" t="s">
        <v>2002</v>
      </c>
      <c r="I3503" s="343" t="s">
        <v>1880</v>
      </c>
      <c r="J3503" s="343" t="s">
        <v>757</v>
      </c>
      <c r="K3503" s="343" t="s">
        <v>741</v>
      </c>
      <c r="L3503" s="344">
        <v>44187</v>
      </c>
      <c r="M3503" s="347">
        <v>0</v>
      </c>
    </row>
    <row r="3504" spans="1:13" hidden="1" x14ac:dyDescent="0.25">
      <c r="A3504" s="344">
        <v>44196</v>
      </c>
      <c r="B3504" s="343" t="s">
        <v>2005</v>
      </c>
      <c r="C3504" s="343" t="s">
        <v>1060</v>
      </c>
      <c r="D3504" s="345">
        <v>6</v>
      </c>
      <c r="E3504" s="346">
        <v>-151.32</v>
      </c>
      <c r="F3504" s="346">
        <v>10017.6</v>
      </c>
      <c r="G3504" s="343" t="s">
        <v>2006</v>
      </c>
      <c r="H3504" s="343" t="s">
        <v>2002</v>
      </c>
      <c r="I3504" s="343" t="s">
        <v>1880</v>
      </c>
      <c r="J3504" s="343" t="s">
        <v>757</v>
      </c>
      <c r="K3504" s="343" t="s">
        <v>741</v>
      </c>
      <c r="L3504" s="344">
        <v>44196</v>
      </c>
      <c r="M3504" s="347">
        <v>0</v>
      </c>
    </row>
    <row r="3505" spans="1:13" hidden="1" x14ac:dyDescent="0.25">
      <c r="A3505" s="344">
        <v>44196</v>
      </c>
      <c r="B3505" s="343" t="s">
        <v>2005</v>
      </c>
      <c r="C3505" s="343" t="s">
        <v>1060</v>
      </c>
      <c r="D3505" s="345">
        <v>7</v>
      </c>
      <c r="E3505" s="346">
        <v>151.32</v>
      </c>
      <c r="F3505" s="346">
        <v>10168.92</v>
      </c>
      <c r="G3505" s="343" t="s">
        <v>2006</v>
      </c>
      <c r="H3505" s="343" t="s">
        <v>2002</v>
      </c>
      <c r="I3505" s="343" t="s">
        <v>1880</v>
      </c>
      <c r="J3505" s="343" t="s">
        <v>757</v>
      </c>
      <c r="K3505" s="343" t="s">
        <v>741</v>
      </c>
      <c r="L3505" s="344">
        <v>44196</v>
      </c>
      <c r="M3505" s="347">
        <v>0</v>
      </c>
    </row>
    <row r="3506" spans="1:13" hidden="1" x14ac:dyDescent="0.25">
      <c r="A3506" s="344">
        <v>44196</v>
      </c>
      <c r="B3506" s="343" t="s">
        <v>2007</v>
      </c>
      <c r="C3506" s="343" t="s">
        <v>936</v>
      </c>
      <c r="D3506" s="345">
        <v>7</v>
      </c>
      <c r="E3506" s="346">
        <v>-151.32</v>
      </c>
      <c r="F3506" s="346">
        <v>10017.6</v>
      </c>
      <c r="G3506" s="343" t="s">
        <v>2008</v>
      </c>
      <c r="H3506" s="343" t="s">
        <v>2002</v>
      </c>
      <c r="I3506" s="343" t="s">
        <v>1880</v>
      </c>
      <c r="J3506" s="343" t="s">
        <v>757</v>
      </c>
      <c r="K3506" s="343" t="s">
        <v>770</v>
      </c>
      <c r="L3506" s="344">
        <v>44196</v>
      </c>
      <c r="M3506" s="347">
        <v>0</v>
      </c>
    </row>
    <row r="3507" spans="1:13" hidden="1" x14ac:dyDescent="0.25">
      <c r="A3507" s="344">
        <v>44203</v>
      </c>
      <c r="B3507" s="343" t="s">
        <v>1970</v>
      </c>
      <c r="C3507" s="343" t="s">
        <v>1059</v>
      </c>
      <c r="D3507" s="345">
        <v>7</v>
      </c>
      <c r="E3507" s="346">
        <v>-108.24</v>
      </c>
      <c r="F3507" s="346">
        <v>9909.3600000000097</v>
      </c>
      <c r="G3507" s="343" t="s">
        <v>1971</v>
      </c>
      <c r="H3507" s="343" t="s">
        <v>2002</v>
      </c>
      <c r="I3507" s="343" t="s">
        <v>1880</v>
      </c>
      <c r="J3507" s="343" t="s">
        <v>757</v>
      </c>
      <c r="K3507" s="343" t="s">
        <v>741</v>
      </c>
      <c r="L3507" s="344">
        <v>44203</v>
      </c>
      <c r="M3507" s="347">
        <v>0</v>
      </c>
    </row>
    <row r="3508" spans="1:13" hidden="1" x14ac:dyDescent="0.25">
      <c r="A3508" s="344">
        <v>44218</v>
      </c>
      <c r="B3508" s="343" t="s">
        <v>1972</v>
      </c>
      <c r="C3508" s="343" t="s">
        <v>1059</v>
      </c>
      <c r="D3508" s="345">
        <v>7</v>
      </c>
      <c r="E3508" s="346">
        <v>-216.48</v>
      </c>
      <c r="F3508" s="346">
        <v>9692.8800000000101</v>
      </c>
      <c r="G3508" s="343" t="s">
        <v>1973</v>
      </c>
      <c r="H3508" s="343" t="s">
        <v>2002</v>
      </c>
      <c r="I3508" s="343" t="s">
        <v>1880</v>
      </c>
      <c r="J3508" s="343" t="s">
        <v>757</v>
      </c>
      <c r="K3508" s="343" t="s">
        <v>741</v>
      </c>
      <c r="L3508" s="344">
        <v>44218</v>
      </c>
      <c r="M3508" s="347">
        <v>0</v>
      </c>
    </row>
    <row r="3509" spans="1:13" hidden="1" x14ac:dyDescent="0.25">
      <c r="A3509" s="344">
        <v>44227</v>
      </c>
      <c r="B3509" s="343" t="s">
        <v>2009</v>
      </c>
      <c r="C3509" s="343" t="s">
        <v>1060</v>
      </c>
      <c r="D3509" s="345">
        <v>7</v>
      </c>
      <c r="E3509" s="346">
        <v>625.44000000000005</v>
      </c>
      <c r="F3509" s="346">
        <v>10318.32</v>
      </c>
      <c r="G3509" s="343" t="s">
        <v>2010</v>
      </c>
      <c r="H3509" s="343" t="s">
        <v>2002</v>
      </c>
      <c r="I3509" s="343" t="s">
        <v>1880</v>
      </c>
      <c r="J3509" s="343" t="s">
        <v>757</v>
      </c>
      <c r="K3509" s="343" t="s">
        <v>741</v>
      </c>
      <c r="L3509" s="344">
        <v>44227</v>
      </c>
      <c r="M3509" s="347">
        <v>0</v>
      </c>
    </row>
    <row r="3510" spans="1:13" hidden="1" x14ac:dyDescent="0.25">
      <c r="A3510" s="344">
        <v>44197</v>
      </c>
      <c r="B3510" s="343" t="s">
        <v>2011</v>
      </c>
      <c r="C3510" s="343" t="s">
        <v>769</v>
      </c>
      <c r="D3510" s="345">
        <v>8</v>
      </c>
      <c r="E3510" s="346">
        <v>78.180000000000007</v>
      </c>
      <c r="F3510" s="346">
        <v>10396.5</v>
      </c>
      <c r="G3510" s="343" t="s">
        <v>2012</v>
      </c>
      <c r="H3510" s="343" t="s">
        <v>2002</v>
      </c>
      <c r="I3510" s="343" t="s">
        <v>1880</v>
      </c>
      <c r="J3510" s="343" t="s">
        <v>757</v>
      </c>
      <c r="K3510" s="343" t="s">
        <v>770</v>
      </c>
      <c r="L3510" s="344">
        <v>44197</v>
      </c>
      <c r="M3510" s="347">
        <v>0</v>
      </c>
    </row>
    <row r="3511" spans="1:13" hidden="1" x14ac:dyDescent="0.25">
      <c r="A3511" s="344">
        <v>44197</v>
      </c>
      <c r="B3511" s="343" t="s">
        <v>2011</v>
      </c>
      <c r="C3511" s="343" t="s">
        <v>769</v>
      </c>
      <c r="D3511" s="345">
        <v>8</v>
      </c>
      <c r="E3511" s="346">
        <v>78.180000000000007</v>
      </c>
      <c r="F3511" s="346">
        <v>10474.68</v>
      </c>
      <c r="G3511" s="343" t="s">
        <v>2012</v>
      </c>
      <c r="H3511" s="343" t="s">
        <v>2002</v>
      </c>
      <c r="I3511" s="343" t="s">
        <v>1880</v>
      </c>
      <c r="J3511" s="343" t="s">
        <v>757</v>
      </c>
      <c r="K3511" s="343" t="s">
        <v>770</v>
      </c>
      <c r="L3511" s="344">
        <v>44197</v>
      </c>
      <c r="M3511" s="347">
        <v>0</v>
      </c>
    </row>
    <row r="3512" spans="1:13" hidden="1" x14ac:dyDescent="0.25">
      <c r="A3512" s="344">
        <v>44197</v>
      </c>
      <c r="B3512" s="343" t="s">
        <v>2011</v>
      </c>
      <c r="C3512" s="343" t="s">
        <v>769</v>
      </c>
      <c r="D3512" s="345">
        <v>8</v>
      </c>
      <c r="E3512" s="346">
        <v>78.180000000000007</v>
      </c>
      <c r="F3512" s="346">
        <v>10552.86</v>
      </c>
      <c r="G3512" s="343" t="s">
        <v>2012</v>
      </c>
      <c r="H3512" s="343" t="s">
        <v>2002</v>
      </c>
      <c r="I3512" s="343" t="s">
        <v>1880</v>
      </c>
      <c r="J3512" s="343" t="s">
        <v>757</v>
      </c>
      <c r="K3512" s="343" t="s">
        <v>770</v>
      </c>
      <c r="L3512" s="344">
        <v>44197</v>
      </c>
      <c r="M3512" s="347">
        <v>0</v>
      </c>
    </row>
    <row r="3513" spans="1:13" hidden="1" x14ac:dyDescent="0.25">
      <c r="A3513" s="344">
        <v>44197</v>
      </c>
      <c r="B3513" s="343" t="s">
        <v>2011</v>
      </c>
      <c r="C3513" s="343" t="s">
        <v>769</v>
      </c>
      <c r="D3513" s="345">
        <v>8</v>
      </c>
      <c r="E3513" s="346">
        <v>78.180000000000007</v>
      </c>
      <c r="F3513" s="346">
        <v>10631.04</v>
      </c>
      <c r="G3513" s="343" t="s">
        <v>2012</v>
      </c>
      <c r="H3513" s="343" t="s">
        <v>2002</v>
      </c>
      <c r="I3513" s="343" t="s">
        <v>1880</v>
      </c>
      <c r="J3513" s="343" t="s">
        <v>757</v>
      </c>
      <c r="K3513" s="343" t="s">
        <v>770</v>
      </c>
      <c r="L3513" s="344">
        <v>44197</v>
      </c>
      <c r="M3513" s="347">
        <v>0</v>
      </c>
    </row>
    <row r="3514" spans="1:13" hidden="1" x14ac:dyDescent="0.25">
      <c r="A3514" s="344">
        <v>44197</v>
      </c>
      <c r="B3514" s="343" t="s">
        <v>2011</v>
      </c>
      <c r="C3514" s="343" t="s">
        <v>769</v>
      </c>
      <c r="D3514" s="345">
        <v>8</v>
      </c>
      <c r="E3514" s="346">
        <v>78.180000000000007</v>
      </c>
      <c r="F3514" s="346">
        <v>10709.22</v>
      </c>
      <c r="G3514" s="343" t="s">
        <v>2012</v>
      </c>
      <c r="H3514" s="343" t="s">
        <v>2002</v>
      </c>
      <c r="I3514" s="343" t="s">
        <v>1880</v>
      </c>
      <c r="J3514" s="343" t="s">
        <v>757</v>
      </c>
      <c r="K3514" s="343" t="s">
        <v>770</v>
      </c>
      <c r="L3514" s="344">
        <v>44197</v>
      </c>
      <c r="M3514" s="347">
        <v>0</v>
      </c>
    </row>
    <row r="3515" spans="1:13" hidden="1" x14ac:dyDescent="0.25">
      <c r="A3515" s="344">
        <v>44197</v>
      </c>
      <c r="B3515" s="343" t="s">
        <v>2011</v>
      </c>
      <c r="C3515" s="343" t="s">
        <v>769</v>
      </c>
      <c r="D3515" s="345">
        <v>8</v>
      </c>
      <c r="E3515" s="346">
        <v>78.180000000000007</v>
      </c>
      <c r="F3515" s="346">
        <v>10787.4</v>
      </c>
      <c r="G3515" s="343" t="s">
        <v>2012</v>
      </c>
      <c r="H3515" s="343" t="s">
        <v>2002</v>
      </c>
      <c r="I3515" s="343" t="s">
        <v>1880</v>
      </c>
      <c r="J3515" s="343" t="s">
        <v>757</v>
      </c>
      <c r="K3515" s="343" t="s">
        <v>770</v>
      </c>
      <c r="L3515" s="344">
        <v>44197</v>
      </c>
      <c r="M3515" s="347">
        <v>0</v>
      </c>
    </row>
    <row r="3516" spans="1:13" hidden="1" x14ac:dyDescent="0.25">
      <c r="A3516" s="344">
        <v>44197</v>
      </c>
      <c r="B3516" s="343" t="s">
        <v>2011</v>
      </c>
      <c r="C3516" s="343" t="s">
        <v>769</v>
      </c>
      <c r="D3516" s="345">
        <v>8</v>
      </c>
      <c r="E3516" s="346">
        <v>78.180000000000007</v>
      </c>
      <c r="F3516" s="346">
        <v>10865.58</v>
      </c>
      <c r="G3516" s="343" t="s">
        <v>2012</v>
      </c>
      <c r="H3516" s="343" t="s">
        <v>2002</v>
      </c>
      <c r="I3516" s="343" t="s">
        <v>1880</v>
      </c>
      <c r="J3516" s="343" t="s">
        <v>757</v>
      </c>
      <c r="K3516" s="343" t="s">
        <v>770</v>
      </c>
      <c r="L3516" s="344">
        <v>44197</v>
      </c>
      <c r="M3516" s="347">
        <v>0</v>
      </c>
    </row>
    <row r="3517" spans="1:13" hidden="1" x14ac:dyDescent="0.25">
      <c r="A3517" s="344">
        <v>44197</v>
      </c>
      <c r="B3517" s="343" t="s">
        <v>2011</v>
      </c>
      <c r="C3517" s="343" t="s">
        <v>769</v>
      </c>
      <c r="D3517" s="345">
        <v>8</v>
      </c>
      <c r="E3517" s="346">
        <v>78.180000000000007</v>
      </c>
      <c r="F3517" s="346">
        <v>10943.76</v>
      </c>
      <c r="G3517" s="343" t="s">
        <v>2012</v>
      </c>
      <c r="H3517" s="343" t="s">
        <v>2002</v>
      </c>
      <c r="I3517" s="343" t="s">
        <v>1880</v>
      </c>
      <c r="J3517" s="343" t="s">
        <v>757</v>
      </c>
      <c r="K3517" s="343" t="s">
        <v>770</v>
      </c>
      <c r="L3517" s="344">
        <v>44197</v>
      </c>
      <c r="M3517" s="347">
        <v>0</v>
      </c>
    </row>
    <row r="3518" spans="1:13" hidden="1" x14ac:dyDescent="0.25">
      <c r="A3518" s="344">
        <v>44227</v>
      </c>
      <c r="B3518" s="343" t="s">
        <v>2009</v>
      </c>
      <c r="C3518" s="343" t="s">
        <v>1060</v>
      </c>
      <c r="D3518" s="345">
        <v>8</v>
      </c>
      <c r="E3518" s="346">
        <v>-625.44000000000005</v>
      </c>
      <c r="F3518" s="346">
        <v>10318.32</v>
      </c>
      <c r="G3518" s="343" t="s">
        <v>2010</v>
      </c>
      <c r="H3518" s="343" t="s">
        <v>2002</v>
      </c>
      <c r="I3518" s="343" t="s">
        <v>1880</v>
      </c>
      <c r="J3518" s="343" t="s">
        <v>757</v>
      </c>
      <c r="K3518" s="343" t="s">
        <v>741</v>
      </c>
      <c r="L3518" s="344">
        <v>44227</v>
      </c>
      <c r="M3518" s="347">
        <v>0</v>
      </c>
    </row>
    <row r="3519" spans="1:13" hidden="1" x14ac:dyDescent="0.25">
      <c r="A3519" s="344">
        <v>44227</v>
      </c>
      <c r="B3519" s="343" t="s">
        <v>1974</v>
      </c>
      <c r="C3519" s="343" t="s">
        <v>1059</v>
      </c>
      <c r="D3519" s="345">
        <v>8</v>
      </c>
      <c r="E3519" s="346">
        <v>-144.32</v>
      </c>
      <c r="F3519" s="346">
        <v>10174</v>
      </c>
      <c r="G3519" s="343" t="s">
        <v>1975</v>
      </c>
      <c r="H3519" s="343" t="s">
        <v>2002</v>
      </c>
      <c r="I3519" s="343" t="s">
        <v>1880</v>
      </c>
      <c r="J3519" s="343" t="s">
        <v>757</v>
      </c>
      <c r="K3519" s="343" t="s">
        <v>741</v>
      </c>
      <c r="L3519" s="344">
        <v>44227</v>
      </c>
      <c r="M3519" s="347">
        <v>0</v>
      </c>
    </row>
    <row r="3520" spans="1:13" hidden="1" x14ac:dyDescent="0.25">
      <c r="A3520" s="344">
        <v>44228</v>
      </c>
      <c r="B3520" s="343" t="s">
        <v>2013</v>
      </c>
      <c r="C3520" s="343" t="s">
        <v>769</v>
      </c>
      <c r="D3520" s="345">
        <v>8</v>
      </c>
      <c r="E3520" s="346">
        <v>78.180000000000007</v>
      </c>
      <c r="F3520" s="346">
        <v>10252.18</v>
      </c>
      <c r="G3520" s="343" t="s">
        <v>2014</v>
      </c>
      <c r="H3520" s="343" t="s">
        <v>2002</v>
      </c>
      <c r="I3520" s="343" t="s">
        <v>1880</v>
      </c>
      <c r="J3520" s="343" t="s">
        <v>757</v>
      </c>
      <c r="K3520" s="343" t="s">
        <v>770</v>
      </c>
      <c r="L3520" s="344">
        <v>44228</v>
      </c>
      <c r="M3520" s="347">
        <v>0</v>
      </c>
    </row>
    <row r="3521" spans="1:13" hidden="1" x14ac:dyDescent="0.25">
      <c r="A3521" s="344">
        <v>44228</v>
      </c>
      <c r="B3521" s="343" t="s">
        <v>2013</v>
      </c>
      <c r="C3521" s="343" t="s">
        <v>769</v>
      </c>
      <c r="D3521" s="345">
        <v>8</v>
      </c>
      <c r="E3521" s="346">
        <v>78.180000000000007</v>
      </c>
      <c r="F3521" s="346">
        <v>10330.36</v>
      </c>
      <c r="G3521" s="343" t="s">
        <v>2014</v>
      </c>
      <c r="H3521" s="343" t="s">
        <v>2002</v>
      </c>
      <c r="I3521" s="343" t="s">
        <v>1880</v>
      </c>
      <c r="J3521" s="343" t="s">
        <v>757</v>
      </c>
      <c r="K3521" s="343" t="s">
        <v>770</v>
      </c>
      <c r="L3521" s="344">
        <v>44228</v>
      </c>
      <c r="M3521" s="347">
        <v>0</v>
      </c>
    </row>
    <row r="3522" spans="1:13" hidden="1" x14ac:dyDescent="0.25">
      <c r="A3522" s="344">
        <v>44228</v>
      </c>
      <c r="B3522" s="343" t="s">
        <v>2013</v>
      </c>
      <c r="C3522" s="343" t="s">
        <v>769</v>
      </c>
      <c r="D3522" s="345">
        <v>8</v>
      </c>
      <c r="E3522" s="346">
        <v>78.180000000000007</v>
      </c>
      <c r="F3522" s="346">
        <v>10408.540000000001</v>
      </c>
      <c r="G3522" s="343" t="s">
        <v>2014</v>
      </c>
      <c r="H3522" s="343" t="s">
        <v>2002</v>
      </c>
      <c r="I3522" s="343" t="s">
        <v>1880</v>
      </c>
      <c r="J3522" s="343" t="s">
        <v>757</v>
      </c>
      <c r="K3522" s="343" t="s">
        <v>770</v>
      </c>
      <c r="L3522" s="344">
        <v>44228</v>
      </c>
      <c r="M3522" s="347">
        <v>0</v>
      </c>
    </row>
    <row r="3523" spans="1:13" hidden="1" x14ac:dyDescent="0.25">
      <c r="A3523" s="344">
        <v>44228</v>
      </c>
      <c r="B3523" s="343" t="s">
        <v>2013</v>
      </c>
      <c r="C3523" s="343" t="s">
        <v>769</v>
      </c>
      <c r="D3523" s="345">
        <v>8</v>
      </c>
      <c r="E3523" s="346">
        <v>78.180000000000007</v>
      </c>
      <c r="F3523" s="346">
        <v>10486.72</v>
      </c>
      <c r="G3523" s="343" t="s">
        <v>2014</v>
      </c>
      <c r="H3523" s="343" t="s">
        <v>2002</v>
      </c>
      <c r="I3523" s="343" t="s">
        <v>1880</v>
      </c>
      <c r="J3523" s="343" t="s">
        <v>757</v>
      </c>
      <c r="K3523" s="343" t="s">
        <v>770</v>
      </c>
      <c r="L3523" s="344">
        <v>44228</v>
      </c>
      <c r="M3523" s="347">
        <v>0</v>
      </c>
    </row>
    <row r="3524" spans="1:13" hidden="1" x14ac:dyDescent="0.25">
      <c r="A3524" s="344">
        <v>44228</v>
      </c>
      <c r="B3524" s="343" t="s">
        <v>2013</v>
      </c>
      <c r="C3524" s="343" t="s">
        <v>769</v>
      </c>
      <c r="D3524" s="345">
        <v>8</v>
      </c>
      <c r="E3524" s="346">
        <v>78.180000000000007</v>
      </c>
      <c r="F3524" s="346">
        <v>10564.9</v>
      </c>
      <c r="G3524" s="343" t="s">
        <v>2014</v>
      </c>
      <c r="H3524" s="343" t="s">
        <v>2002</v>
      </c>
      <c r="I3524" s="343" t="s">
        <v>1880</v>
      </c>
      <c r="J3524" s="343" t="s">
        <v>757</v>
      </c>
      <c r="K3524" s="343" t="s">
        <v>770</v>
      </c>
      <c r="L3524" s="344">
        <v>44228</v>
      </c>
      <c r="M3524" s="347">
        <v>0</v>
      </c>
    </row>
    <row r="3525" spans="1:13" hidden="1" x14ac:dyDescent="0.25">
      <c r="A3525" s="344">
        <v>44228</v>
      </c>
      <c r="B3525" s="343" t="s">
        <v>2013</v>
      </c>
      <c r="C3525" s="343" t="s">
        <v>769</v>
      </c>
      <c r="D3525" s="345">
        <v>8</v>
      </c>
      <c r="E3525" s="346">
        <v>78.180000000000007</v>
      </c>
      <c r="F3525" s="346">
        <v>10643.08</v>
      </c>
      <c r="G3525" s="343" t="s">
        <v>2014</v>
      </c>
      <c r="H3525" s="343" t="s">
        <v>2002</v>
      </c>
      <c r="I3525" s="343" t="s">
        <v>1880</v>
      </c>
      <c r="J3525" s="343" t="s">
        <v>757</v>
      </c>
      <c r="K3525" s="343" t="s">
        <v>770</v>
      </c>
      <c r="L3525" s="344">
        <v>44228</v>
      </c>
      <c r="M3525" s="347">
        <v>0</v>
      </c>
    </row>
    <row r="3526" spans="1:13" hidden="1" x14ac:dyDescent="0.25">
      <c r="A3526" s="344">
        <v>44228</v>
      </c>
      <c r="B3526" s="343" t="s">
        <v>2013</v>
      </c>
      <c r="C3526" s="343" t="s">
        <v>769</v>
      </c>
      <c r="D3526" s="345">
        <v>8</v>
      </c>
      <c r="E3526" s="346">
        <v>78.180000000000007</v>
      </c>
      <c r="F3526" s="346">
        <v>10721.26</v>
      </c>
      <c r="G3526" s="343" t="s">
        <v>2014</v>
      </c>
      <c r="H3526" s="343" t="s">
        <v>2002</v>
      </c>
      <c r="I3526" s="343" t="s">
        <v>1880</v>
      </c>
      <c r="J3526" s="343" t="s">
        <v>757</v>
      </c>
      <c r="K3526" s="343" t="s">
        <v>770</v>
      </c>
      <c r="L3526" s="344">
        <v>44228</v>
      </c>
      <c r="M3526" s="347">
        <v>0</v>
      </c>
    </row>
    <row r="3527" spans="1:13" hidden="1" x14ac:dyDescent="0.25">
      <c r="A3527" s="344">
        <v>44228</v>
      </c>
      <c r="B3527" s="343" t="s">
        <v>2013</v>
      </c>
      <c r="C3527" s="343" t="s">
        <v>769</v>
      </c>
      <c r="D3527" s="345">
        <v>8</v>
      </c>
      <c r="E3527" s="346">
        <v>78.180000000000007</v>
      </c>
      <c r="F3527" s="346">
        <v>10799.44</v>
      </c>
      <c r="G3527" s="343" t="s">
        <v>2014</v>
      </c>
      <c r="H3527" s="343" t="s">
        <v>2002</v>
      </c>
      <c r="I3527" s="343" t="s">
        <v>1880</v>
      </c>
      <c r="J3527" s="343" t="s">
        <v>757</v>
      </c>
      <c r="K3527" s="343" t="s">
        <v>770</v>
      </c>
      <c r="L3527" s="344">
        <v>44228</v>
      </c>
      <c r="M3527" s="347">
        <v>0</v>
      </c>
    </row>
    <row r="3528" spans="1:13" hidden="1" x14ac:dyDescent="0.25">
      <c r="A3528" s="344">
        <v>44244</v>
      </c>
      <c r="B3528" s="343" t="s">
        <v>1978</v>
      </c>
      <c r="C3528" s="343" t="s">
        <v>1059</v>
      </c>
      <c r="D3528" s="345">
        <v>8</v>
      </c>
      <c r="E3528" s="346">
        <v>-180.4</v>
      </c>
      <c r="F3528" s="346">
        <v>10619.04</v>
      </c>
      <c r="G3528" s="343" t="s">
        <v>1979</v>
      </c>
      <c r="H3528" s="343" t="s">
        <v>2002</v>
      </c>
      <c r="I3528" s="343" t="s">
        <v>1880</v>
      </c>
      <c r="J3528" s="343" t="s">
        <v>757</v>
      </c>
      <c r="K3528" s="343" t="s">
        <v>741</v>
      </c>
      <c r="L3528" s="344">
        <v>44244</v>
      </c>
      <c r="M3528" s="347">
        <v>0</v>
      </c>
    </row>
    <row r="3529" spans="1:13" hidden="1" x14ac:dyDescent="0.25">
      <c r="A3529" s="344">
        <v>44255</v>
      </c>
      <c r="B3529" s="343" t="s">
        <v>2015</v>
      </c>
      <c r="C3529" s="343" t="s">
        <v>936</v>
      </c>
      <c r="D3529" s="345">
        <v>9</v>
      </c>
      <c r="E3529" s="346">
        <v>-125.64</v>
      </c>
      <c r="F3529" s="346">
        <v>10493.4</v>
      </c>
      <c r="G3529" s="343" t="s">
        <v>2016</v>
      </c>
      <c r="H3529" s="343" t="s">
        <v>2002</v>
      </c>
      <c r="I3529" s="343" t="s">
        <v>1880</v>
      </c>
      <c r="J3529" s="343" t="s">
        <v>757</v>
      </c>
      <c r="K3529" s="343" t="s">
        <v>770</v>
      </c>
      <c r="L3529" s="344">
        <v>44255</v>
      </c>
      <c r="M3529" s="347">
        <v>0</v>
      </c>
    </row>
    <row r="3530" spans="1:13" hidden="1" x14ac:dyDescent="0.25">
      <c r="A3530" s="344">
        <v>44256</v>
      </c>
      <c r="B3530" s="343" t="s">
        <v>2017</v>
      </c>
      <c r="C3530" s="343" t="s">
        <v>769</v>
      </c>
      <c r="D3530" s="345">
        <v>9</v>
      </c>
      <c r="E3530" s="346">
        <v>78.180000000000007</v>
      </c>
      <c r="F3530" s="346">
        <v>10571.58</v>
      </c>
      <c r="G3530" s="343" t="s">
        <v>2018</v>
      </c>
      <c r="H3530" s="343" t="s">
        <v>2002</v>
      </c>
      <c r="I3530" s="343" t="s">
        <v>1880</v>
      </c>
      <c r="J3530" s="343" t="s">
        <v>757</v>
      </c>
      <c r="K3530" s="343" t="s">
        <v>770</v>
      </c>
      <c r="L3530" s="344">
        <v>44256</v>
      </c>
      <c r="M3530" s="347">
        <v>0</v>
      </c>
    </row>
    <row r="3531" spans="1:13" hidden="1" x14ac:dyDescent="0.25">
      <c r="A3531" s="344">
        <v>44256</v>
      </c>
      <c r="B3531" s="343" t="s">
        <v>2017</v>
      </c>
      <c r="C3531" s="343" t="s">
        <v>769</v>
      </c>
      <c r="D3531" s="345">
        <v>9</v>
      </c>
      <c r="E3531" s="346">
        <v>78.180000000000007</v>
      </c>
      <c r="F3531" s="346">
        <v>10649.76</v>
      </c>
      <c r="G3531" s="343" t="s">
        <v>2018</v>
      </c>
      <c r="H3531" s="343" t="s">
        <v>2002</v>
      </c>
      <c r="I3531" s="343" t="s">
        <v>1880</v>
      </c>
      <c r="J3531" s="343" t="s">
        <v>757</v>
      </c>
      <c r="K3531" s="343" t="s">
        <v>770</v>
      </c>
      <c r="L3531" s="344">
        <v>44256</v>
      </c>
      <c r="M3531" s="347">
        <v>0</v>
      </c>
    </row>
    <row r="3532" spans="1:13" hidden="1" x14ac:dyDescent="0.25">
      <c r="A3532" s="344">
        <v>44256</v>
      </c>
      <c r="B3532" s="343" t="s">
        <v>2017</v>
      </c>
      <c r="C3532" s="343" t="s">
        <v>769</v>
      </c>
      <c r="D3532" s="345">
        <v>9</v>
      </c>
      <c r="E3532" s="346">
        <v>78.180000000000007</v>
      </c>
      <c r="F3532" s="346">
        <v>10727.94</v>
      </c>
      <c r="G3532" s="343" t="s">
        <v>2018</v>
      </c>
      <c r="H3532" s="343" t="s">
        <v>2002</v>
      </c>
      <c r="I3532" s="343" t="s">
        <v>1880</v>
      </c>
      <c r="J3532" s="343" t="s">
        <v>757</v>
      </c>
      <c r="K3532" s="343" t="s">
        <v>770</v>
      </c>
      <c r="L3532" s="344">
        <v>44256</v>
      </c>
      <c r="M3532" s="347">
        <v>0</v>
      </c>
    </row>
    <row r="3533" spans="1:13" hidden="1" x14ac:dyDescent="0.25">
      <c r="A3533" s="344">
        <v>44256</v>
      </c>
      <c r="B3533" s="343" t="s">
        <v>2017</v>
      </c>
      <c r="C3533" s="343" t="s">
        <v>769</v>
      </c>
      <c r="D3533" s="345">
        <v>9</v>
      </c>
      <c r="E3533" s="346">
        <v>78.180000000000007</v>
      </c>
      <c r="F3533" s="346">
        <v>10806.12</v>
      </c>
      <c r="G3533" s="343" t="s">
        <v>2018</v>
      </c>
      <c r="H3533" s="343" t="s">
        <v>2002</v>
      </c>
      <c r="I3533" s="343" t="s">
        <v>1880</v>
      </c>
      <c r="J3533" s="343" t="s">
        <v>757</v>
      </c>
      <c r="K3533" s="343" t="s">
        <v>770</v>
      </c>
      <c r="L3533" s="344">
        <v>44256</v>
      </c>
      <c r="M3533" s="347">
        <v>0</v>
      </c>
    </row>
    <row r="3534" spans="1:13" hidden="1" x14ac:dyDescent="0.25">
      <c r="A3534" s="344">
        <v>44256</v>
      </c>
      <c r="B3534" s="343" t="s">
        <v>2017</v>
      </c>
      <c r="C3534" s="343" t="s">
        <v>769</v>
      </c>
      <c r="D3534" s="345">
        <v>9</v>
      </c>
      <c r="E3534" s="346">
        <v>78.180000000000007</v>
      </c>
      <c r="F3534" s="346">
        <v>10884.3</v>
      </c>
      <c r="G3534" s="343" t="s">
        <v>2018</v>
      </c>
      <c r="H3534" s="343" t="s">
        <v>2002</v>
      </c>
      <c r="I3534" s="343" t="s">
        <v>1880</v>
      </c>
      <c r="J3534" s="343" t="s">
        <v>757</v>
      </c>
      <c r="K3534" s="343" t="s">
        <v>770</v>
      </c>
      <c r="L3534" s="344">
        <v>44256</v>
      </c>
      <c r="M3534" s="347">
        <v>0</v>
      </c>
    </row>
    <row r="3535" spans="1:13" hidden="1" x14ac:dyDescent="0.25">
      <c r="A3535" s="344">
        <v>44256</v>
      </c>
      <c r="B3535" s="343" t="s">
        <v>2017</v>
      </c>
      <c r="C3535" s="343" t="s">
        <v>769</v>
      </c>
      <c r="D3535" s="345">
        <v>9</v>
      </c>
      <c r="E3535" s="346">
        <v>78.180000000000007</v>
      </c>
      <c r="F3535" s="346">
        <v>10962.48</v>
      </c>
      <c r="G3535" s="343" t="s">
        <v>2018</v>
      </c>
      <c r="H3535" s="343" t="s">
        <v>2002</v>
      </c>
      <c r="I3535" s="343" t="s">
        <v>1880</v>
      </c>
      <c r="J3535" s="343" t="s">
        <v>757</v>
      </c>
      <c r="K3535" s="343" t="s">
        <v>770</v>
      </c>
      <c r="L3535" s="344">
        <v>44256</v>
      </c>
      <c r="M3535" s="347">
        <v>0</v>
      </c>
    </row>
    <row r="3536" spans="1:13" hidden="1" x14ac:dyDescent="0.25">
      <c r="A3536" s="344">
        <v>44259</v>
      </c>
      <c r="B3536" s="343" t="s">
        <v>1939</v>
      </c>
      <c r="C3536" s="343" t="s">
        <v>1059</v>
      </c>
      <c r="D3536" s="345">
        <v>9</v>
      </c>
      <c r="E3536" s="346">
        <v>-144.32</v>
      </c>
      <c r="F3536" s="346">
        <v>10818.16</v>
      </c>
      <c r="G3536" s="343" t="s">
        <v>1940</v>
      </c>
      <c r="H3536" s="343" t="s">
        <v>2002</v>
      </c>
      <c r="I3536" s="343" t="s">
        <v>1880</v>
      </c>
      <c r="J3536" s="343" t="s">
        <v>757</v>
      </c>
      <c r="K3536" s="343" t="s">
        <v>741</v>
      </c>
      <c r="L3536" s="344">
        <v>44259</v>
      </c>
      <c r="M3536" s="347">
        <v>0</v>
      </c>
    </row>
    <row r="3537" spans="1:13" hidden="1" x14ac:dyDescent="0.25">
      <c r="A3537" s="344">
        <v>44272</v>
      </c>
      <c r="B3537" s="343" t="s">
        <v>1982</v>
      </c>
      <c r="C3537" s="343" t="s">
        <v>1059</v>
      </c>
      <c r="D3537" s="345">
        <v>9</v>
      </c>
      <c r="E3537" s="346">
        <v>-216.48</v>
      </c>
      <c r="F3537" s="346">
        <v>10601.68</v>
      </c>
      <c r="G3537" s="343" t="s">
        <v>1983</v>
      </c>
      <c r="H3537" s="343" t="s">
        <v>2002</v>
      </c>
      <c r="I3537" s="343" t="s">
        <v>1880</v>
      </c>
      <c r="J3537" s="343" t="s">
        <v>757</v>
      </c>
      <c r="K3537" s="343" t="s">
        <v>741</v>
      </c>
      <c r="L3537" s="344">
        <v>44272</v>
      </c>
      <c r="M3537" s="347">
        <v>0</v>
      </c>
    </row>
    <row r="3538" spans="1:13" hidden="1" x14ac:dyDescent="0.25">
      <c r="A3538" s="344">
        <v>44286</v>
      </c>
      <c r="B3538" s="343" t="s">
        <v>1918</v>
      </c>
      <c r="C3538" s="343" t="s">
        <v>1059</v>
      </c>
      <c r="D3538" s="345">
        <v>9</v>
      </c>
      <c r="E3538" s="346">
        <v>-144.32</v>
      </c>
      <c r="F3538" s="346">
        <v>10457.36</v>
      </c>
      <c r="G3538" s="343" t="s">
        <v>1919</v>
      </c>
      <c r="H3538" s="343" t="s">
        <v>2002</v>
      </c>
      <c r="I3538" s="343" t="s">
        <v>1880</v>
      </c>
      <c r="J3538" s="343" t="s">
        <v>757</v>
      </c>
      <c r="K3538" s="343" t="s">
        <v>741</v>
      </c>
      <c r="L3538" s="344">
        <v>44286</v>
      </c>
      <c r="M3538" s="347">
        <v>0</v>
      </c>
    </row>
    <row r="3539" spans="1:13" hidden="1" x14ac:dyDescent="0.25">
      <c r="A3539" s="344">
        <v>44286</v>
      </c>
      <c r="B3539" s="343" t="s">
        <v>2019</v>
      </c>
      <c r="C3539" s="343" t="s">
        <v>936</v>
      </c>
      <c r="D3539" s="345">
        <v>10</v>
      </c>
      <c r="E3539" s="346">
        <v>-35.32</v>
      </c>
      <c r="F3539" s="346">
        <v>10422.040000000001</v>
      </c>
      <c r="G3539" s="343" t="s">
        <v>2020</v>
      </c>
      <c r="H3539" s="343" t="s">
        <v>2002</v>
      </c>
      <c r="I3539" s="343" t="s">
        <v>1880</v>
      </c>
      <c r="J3539" s="343" t="s">
        <v>757</v>
      </c>
      <c r="K3539" s="343" t="s">
        <v>770</v>
      </c>
      <c r="L3539" s="344">
        <v>44286</v>
      </c>
      <c r="M3539" s="347">
        <v>0</v>
      </c>
    </row>
    <row r="3540" spans="1:13" hidden="1" x14ac:dyDescent="0.25">
      <c r="A3540" s="344">
        <v>44286</v>
      </c>
      <c r="B3540" s="343" t="s">
        <v>2019</v>
      </c>
      <c r="C3540" s="343" t="s">
        <v>936</v>
      </c>
      <c r="D3540" s="345">
        <v>10</v>
      </c>
      <c r="E3540" s="346">
        <v>-52.96</v>
      </c>
      <c r="F3540" s="346">
        <v>10369.08</v>
      </c>
      <c r="G3540" s="343" t="s">
        <v>2020</v>
      </c>
      <c r="H3540" s="343" t="s">
        <v>2002</v>
      </c>
      <c r="I3540" s="343" t="s">
        <v>1880</v>
      </c>
      <c r="J3540" s="343" t="s">
        <v>757</v>
      </c>
      <c r="K3540" s="343" t="s">
        <v>770</v>
      </c>
      <c r="L3540" s="344">
        <v>44286</v>
      </c>
      <c r="M3540" s="347">
        <v>0</v>
      </c>
    </row>
    <row r="3541" spans="1:13" hidden="1" x14ac:dyDescent="0.25">
      <c r="A3541" s="344">
        <v>44286</v>
      </c>
      <c r="B3541" s="343" t="s">
        <v>2019</v>
      </c>
      <c r="C3541" s="343" t="s">
        <v>936</v>
      </c>
      <c r="D3541" s="345">
        <v>10</v>
      </c>
      <c r="E3541" s="346">
        <v>-37.83</v>
      </c>
      <c r="F3541" s="346">
        <v>10331.25</v>
      </c>
      <c r="G3541" s="343" t="s">
        <v>2020</v>
      </c>
      <c r="H3541" s="343" t="s">
        <v>2002</v>
      </c>
      <c r="I3541" s="343" t="s">
        <v>1880</v>
      </c>
      <c r="J3541" s="343" t="s">
        <v>757</v>
      </c>
      <c r="K3541" s="343" t="s">
        <v>770</v>
      </c>
      <c r="L3541" s="344">
        <v>44286</v>
      </c>
      <c r="M3541" s="347">
        <v>0</v>
      </c>
    </row>
    <row r="3542" spans="1:13" hidden="1" x14ac:dyDescent="0.25">
      <c r="A3542" s="344">
        <v>44287</v>
      </c>
      <c r="B3542" s="343" t="s">
        <v>2021</v>
      </c>
      <c r="C3542" s="343" t="s">
        <v>769</v>
      </c>
      <c r="D3542" s="345">
        <v>10</v>
      </c>
      <c r="E3542" s="346">
        <v>78.16</v>
      </c>
      <c r="F3542" s="346">
        <v>10409.41</v>
      </c>
      <c r="G3542" s="343" t="s">
        <v>2022</v>
      </c>
      <c r="H3542" s="343" t="s">
        <v>2002</v>
      </c>
      <c r="I3542" s="343" t="s">
        <v>1880</v>
      </c>
      <c r="J3542" s="343" t="s">
        <v>757</v>
      </c>
      <c r="K3542" s="343" t="s">
        <v>770</v>
      </c>
      <c r="L3542" s="344">
        <v>44287</v>
      </c>
      <c r="M3542" s="347">
        <v>0</v>
      </c>
    </row>
    <row r="3543" spans="1:13" hidden="1" x14ac:dyDescent="0.25">
      <c r="A3543" s="344">
        <v>44287</v>
      </c>
      <c r="B3543" s="343" t="s">
        <v>2021</v>
      </c>
      <c r="C3543" s="343" t="s">
        <v>769</v>
      </c>
      <c r="D3543" s="345">
        <v>10</v>
      </c>
      <c r="E3543" s="346">
        <v>78.180000000000007</v>
      </c>
      <c r="F3543" s="346">
        <v>10487.59</v>
      </c>
      <c r="G3543" s="343" t="s">
        <v>2022</v>
      </c>
      <c r="H3543" s="343" t="s">
        <v>2002</v>
      </c>
      <c r="I3543" s="343" t="s">
        <v>1880</v>
      </c>
      <c r="J3543" s="343" t="s">
        <v>757</v>
      </c>
      <c r="K3543" s="343" t="s">
        <v>770</v>
      </c>
      <c r="L3543" s="344">
        <v>44287</v>
      </c>
      <c r="M3543" s="347">
        <v>0</v>
      </c>
    </row>
    <row r="3544" spans="1:13" hidden="1" x14ac:dyDescent="0.25">
      <c r="A3544" s="344">
        <v>44287</v>
      </c>
      <c r="B3544" s="343" t="s">
        <v>2021</v>
      </c>
      <c r="C3544" s="343" t="s">
        <v>769</v>
      </c>
      <c r="D3544" s="345">
        <v>10</v>
      </c>
      <c r="E3544" s="346">
        <v>78.180000000000007</v>
      </c>
      <c r="F3544" s="346">
        <v>10565.77</v>
      </c>
      <c r="G3544" s="343" t="s">
        <v>2022</v>
      </c>
      <c r="H3544" s="343" t="s">
        <v>2002</v>
      </c>
      <c r="I3544" s="343" t="s">
        <v>1880</v>
      </c>
      <c r="J3544" s="343" t="s">
        <v>757</v>
      </c>
      <c r="K3544" s="343" t="s">
        <v>770</v>
      </c>
      <c r="L3544" s="344">
        <v>44287</v>
      </c>
      <c r="M3544" s="347">
        <v>0</v>
      </c>
    </row>
    <row r="3545" spans="1:13" hidden="1" x14ac:dyDescent="0.25">
      <c r="A3545" s="344">
        <v>44301</v>
      </c>
      <c r="B3545" s="343" t="s">
        <v>1889</v>
      </c>
      <c r="C3545" s="343" t="s">
        <v>1059</v>
      </c>
      <c r="D3545" s="345">
        <v>10</v>
      </c>
      <c r="E3545" s="346">
        <v>-180.4</v>
      </c>
      <c r="F3545" s="346">
        <v>10385.370000000001</v>
      </c>
      <c r="G3545" s="343" t="s">
        <v>1890</v>
      </c>
      <c r="H3545" s="343" t="s">
        <v>2002</v>
      </c>
      <c r="I3545" s="343" t="s">
        <v>1880</v>
      </c>
      <c r="J3545" s="343" t="s">
        <v>757</v>
      </c>
      <c r="K3545" s="343" t="s">
        <v>741</v>
      </c>
      <c r="L3545" s="344">
        <v>44301</v>
      </c>
      <c r="M3545" s="347">
        <v>0</v>
      </c>
    </row>
    <row r="3546" spans="1:13" hidden="1" x14ac:dyDescent="0.25">
      <c r="A3546" s="344">
        <v>44315</v>
      </c>
      <c r="B3546" s="343" t="s">
        <v>1920</v>
      </c>
      <c r="C3546" s="343" t="s">
        <v>1059</v>
      </c>
      <c r="D3546" s="345">
        <v>10</v>
      </c>
      <c r="E3546" s="346">
        <v>-216.48</v>
      </c>
      <c r="F3546" s="346">
        <v>10168.89</v>
      </c>
      <c r="G3546" s="343" t="s">
        <v>1921</v>
      </c>
      <c r="H3546" s="343" t="s">
        <v>2002</v>
      </c>
      <c r="I3546" s="343" t="s">
        <v>1880</v>
      </c>
      <c r="J3546" s="343" t="s">
        <v>757</v>
      </c>
      <c r="K3546" s="343" t="s">
        <v>741</v>
      </c>
      <c r="L3546" s="344">
        <v>44315</v>
      </c>
      <c r="M3546" s="347">
        <v>0</v>
      </c>
    </row>
    <row r="3547" spans="1:13" hidden="1" x14ac:dyDescent="0.25">
      <c r="A3547" s="344">
        <v>44327</v>
      </c>
      <c r="B3547" s="343" t="s">
        <v>1922</v>
      </c>
      <c r="C3547" s="343" t="s">
        <v>1059</v>
      </c>
      <c r="D3547" s="345">
        <v>10</v>
      </c>
      <c r="E3547" s="346">
        <v>216.48</v>
      </c>
      <c r="F3547" s="346">
        <v>10385.370000000001</v>
      </c>
      <c r="G3547" s="343" t="s">
        <v>1923</v>
      </c>
      <c r="H3547" s="343" t="s">
        <v>2002</v>
      </c>
      <c r="I3547" s="343" t="s">
        <v>1880</v>
      </c>
      <c r="J3547" s="343" t="s">
        <v>757</v>
      </c>
      <c r="K3547" s="343" t="s">
        <v>741</v>
      </c>
      <c r="L3547" s="344">
        <v>44327</v>
      </c>
      <c r="M3547" s="347">
        <v>0</v>
      </c>
    </row>
    <row r="3548" spans="1:13" hidden="1" x14ac:dyDescent="0.25">
      <c r="A3548" s="344">
        <v>44327</v>
      </c>
      <c r="B3548" s="343" t="s">
        <v>1924</v>
      </c>
      <c r="C3548" s="343" t="s">
        <v>1059</v>
      </c>
      <c r="D3548" s="345">
        <v>10</v>
      </c>
      <c r="E3548" s="346">
        <v>-216.48</v>
      </c>
      <c r="F3548" s="346">
        <v>10168.89</v>
      </c>
      <c r="G3548" s="343" t="s">
        <v>1923</v>
      </c>
      <c r="H3548" s="343" t="s">
        <v>2002</v>
      </c>
      <c r="I3548" s="343" t="s">
        <v>1880</v>
      </c>
      <c r="J3548" s="343" t="s">
        <v>757</v>
      </c>
      <c r="K3548" s="343" t="s">
        <v>741</v>
      </c>
      <c r="L3548" s="344">
        <v>44327</v>
      </c>
      <c r="M3548" s="347">
        <v>0</v>
      </c>
    </row>
    <row r="3549" spans="1:13" hidden="1" x14ac:dyDescent="0.25">
      <c r="A3549" s="344">
        <v>44287</v>
      </c>
      <c r="B3549" s="343" t="s">
        <v>2021</v>
      </c>
      <c r="C3549" s="343" t="s">
        <v>769</v>
      </c>
      <c r="D3549" s="345">
        <v>10</v>
      </c>
      <c r="E3549" s="346">
        <v>78.180000000000007</v>
      </c>
      <c r="F3549" s="346">
        <v>10233.870000000001</v>
      </c>
      <c r="G3549" s="343" t="s">
        <v>2022</v>
      </c>
      <c r="H3549" s="343" t="s">
        <v>2023</v>
      </c>
      <c r="I3549" s="343" t="s">
        <v>1880</v>
      </c>
      <c r="J3549" s="343" t="s">
        <v>757</v>
      </c>
      <c r="K3549" s="343" t="s">
        <v>770</v>
      </c>
      <c r="L3549" s="344">
        <v>44287</v>
      </c>
      <c r="M3549" s="347">
        <v>0</v>
      </c>
    </row>
    <row r="3550" spans="1:13" hidden="1" x14ac:dyDescent="0.25">
      <c r="A3550" s="344">
        <v>44166</v>
      </c>
      <c r="B3550" s="343" t="s">
        <v>2003</v>
      </c>
      <c r="C3550" s="343" t="s">
        <v>769</v>
      </c>
      <c r="D3550" s="345">
        <v>6</v>
      </c>
      <c r="E3550" s="346">
        <v>78.180000000000007</v>
      </c>
      <c r="F3550" s="346">
        <v>10312.049999999999</v>
      </c>
      <c r="G3550" s="343" t="s">
        <v>2004</v>
      </c>
      <c r="H3550" s="343" t="s">
        <v>2024</v>
      </c>
      <c r="I3550" s="343" t="s">
        <v>1880</v>
      </c>
      <c r="J3550" s="343" t="s">
        <v>757</v>
      </c>
      <c r="K3550" s="343" t="s">
        <v>770</v>
      </c>
      <c r="L3550" s="344">
        <v>44166</v>
      </c>
      <c r="M3550" s="347">
        <v>0</v>
      </c>
    </row>
    <row r="3551" spans="1:13" hidden="1" x14ac:dyDescent="0.25">
      <c r="A3551" s="344">
        <v>44166</v>
      </c>
      <c r="B3551" s="343" t="s">
        <v>2003</v>
      </c>
      <c r="C3551" s="343" t="s">
        <v>769</v>
      </c>
      <c r="D3551" s="345">
        <v>6</v>
      </c>
      <c r="E3551" s="346">
        <v>78.180000000000007</v>
      </c>
      <c r="F3551" s="346">
        <v>10390.23</v>
      </c>
      <c r="G3551" s="343" t="s">
        <v>2004</v>
      </c>
      <c r="H3551" s="343" t="s">
        <v>2024</v>
      </c>
      <c r="I3551" s="343" t="s">
        <v>1880</v>
      </c>
      <c r="J3551" s="343" t="s">
        <v>757</v>
      </c>
      <c r="K3551" s="343" t="s">
        <v>770</v>
      </c>
      <c r="L3551" s="344">
        <v>44166</v>
      </c>
      <c r="M3551" s="347">
        <v>0</v>
      </c>
    </row>
    <row r="3552" spans="1:13" hidden="1" x14ac:dyDescent="0.25">
      <c r="A3552" s="344">
        <v>44187</v>
      </c>
      <c r="B3552" s="343" t="s">
        <v>1966</v>
      </c>
      <c r="C3552" s="343" t="s">
        <v>1059</v>
      </c>
      <c r="D3552" s="345">
        <v>6</v>
      </c>
      <c r="E3552" s="346">
        <v>-108.24</v>
      </c>
      <c r="F3552" s="346">
        <v>10281.99</v>
      </c>
      <c r="G3552" s="343" t="s">
        <v>1967</v>
      </c>
      <c r="H3552" s="343" t="s">
        <v>2024</v>
      </c>
      <c r="I3552" s="343" t="s">
        <v>1880</v>
      </c>
      <c r="J3552" s="343" t="s">
        <v>757</v>
      </c>
      <c r="K3552" s="343" t="s">
        <v>741</v>
      </c>
      <c r="L3552" s="344">
        <v>44187</v>
      </c>
      <c r="M3552" s="347">
        <v>0</v>
      </c>
    </row>
    <row r="3553" spans="1:13" hidden="1" x14ac:dyDescent="0.25">
      <c r="A3553" s="344">
        <v>44196</v>
      </c>
      <c r="B3553" s="343" t="s">
        <v>2005</v>
      </c>
      <c r="C3553" s="343" t="s">
        <v>1060</v>
      </c>
      <c r="D3553" s="345">
        <v>6</v>
      </c>
      <c r="E3553" s="346">
        <v>-95.84</v>
      </c>
      <c r="F3553" s="346">
        <v>10186.15</v>
      </c>
      <c r="G3553" s="343" t="s">
        <v>2006</v>
      </c>
      <c r="H3553" s="343" t="s">
        <v>2024</v>
      </c>
      <c r="I3553" s="343" t="s">
        <v>1880</v>
      </c>
      <c r="J3553" s="343" t="s">
        <v>757</v>
      </c>
      <c r="K3553" s="343" t="s">
        <v>741</v>
      </c>
      <c r="L3553" s="344">
        <v>44196</v>
      </c>
      <c r="M3553" s="347">
        <v>0</v>
      </c>
    </row>
    <row r="3554" spans="1:13" hidden="1" x14ac:dyDescent="0.25">
      <c r="A3554" s="344">
        <v>44196</v>
      </c>
      <c r="B3554" s="343" t="s">
        <v>2007</v>
      </c>
      <c r="C3554" s="343" t="s">
        <v>936</v>
      </c>
      <c r="D3554" s="345">
        <v>7</v>
      </c>
      <c r="E3554" s="346">
        <v>-95.84</v>
      </c>
      <c r="F3554" s="346">
        <v>10090.31</v>
      </c>
      <c r="G3554" s="343" t="s">
        <v>2008</v>
      </c>
      <c r="H3554" s="343" t="s">
        <v>2024</v>
      </c>
      <c r="I3554" s="343" t="s">
        <v>1880</v>
      </c>
      <c r="J3554" s="343" t="s">
        <v>757</v>
      </c>
      <c r="K3554" s="343" t="s">
        <v>770</v>
      </c>
      <c r="L3554" s="344">
        <v>44196</v>
      </c>
      <c r="M3554" s="347">
        <v>0</v>
      </c>
    </row>
    <row r="3555" spans="1:13" hidden="1" x14ac:dyDescent="0.25">
      <c r="A3555" s="344">
        <v>44196</v>
      </c>
      <c r="B3555" s="343" t="s">
        <v>2005</v>
      </c>
      <c r="C3555" s="343" t="s">
        <v>1060</v>
      </c>
      <c r="D3555" s="345">
        <v>7</v>
      </c>
      <c r="E3555" s="346">
        <v>95.84</v>
      </c>
      <c r="F3555" s="346">
        <v>10186.15</v>
      </c>
      <c r="G3555" s="343" t="s">
        <v>2006</v>
      </c>
      <c r="H3555" s="343" t="s">
        <v>2024</v>
      </c>
      <c r="I3555" s="343" t="s">
        <v>1880</v>
      </c>
      <c r="J3555" s="343" t="s">
        <v>757</v>
      </c>
      <c r="K3555" s="343" t="s">
        <v>741</v>
      </c>
      <c r="L3555" s="344">
        <v>44196</v>
      </c>
      <c r="M3555" s="347">
        <v>0</v>
      </c>
    </row>
    <row r="3556" spans="1:13" hidden="1" x14ac:dyDescent="0.25">
      <c r="A3556" s="344">
        <v>44203</v>
      </c>
      <c r="B3556" s="343" t="s">
        <v>1970</v>
      </c>
      <c r="C3556" s="343" t="s">
        <v>1059</v>
      </c>
      <c r="D3556" s="345">
        <v>7</v>
      </c>
      <c r="E3556" s="346">
        <v>-36.08</v>
      </c>
      <c r="F3556" s="346">
        <v>10150.07</v>
      </c>
      <c r="G3556" s="343" t="s">
        <v>1971</v>
      </c>
      <c r="H3556" s="343" t="s">
        <v>2024</v>
      </c>
      <c r="I3556" s="343" t="s">
        <v>1880</v>
      </c>
      <c r="J3556" s="343" t="s">
        <v>757</v>
      </c>
      <c r="K3556" s="343" t="s">
        <v>741</v>
      </c>
      <c r="L3556" s="344">
        <v>44203</v>
      </c>
      <c r="M3556" s="347">
        <v>0</v>
      </c>
    </row>
    <row r="3557" spans="1:13" hidden="1" x14ac:dyDescent="0.25">
      <c r="A3557" s="344">
        <v>44165</v>
      </c>
      <c r="B3557" s="343" t="s">
        <v>1906</v>
      </c>
      <c r="C3557" s="343" t="s">
        <v>1060</v>
      </c>
      <c r="D3557" s="345">
        <v>5</v>
      </c>
      <c r="E3557" s="346">
        <v>867.79</v>
      </c>
      <c r="F3557" s="346">
        <v>11017.86</v>
      </c>
      <c r="G3557" s="343" t="s">
        <v>2001</v>
      </c>
      <c r="H3557" s="343" t="s">
        <v>2025</v>
      </c>
      <c r="I3557" s="343" t="s">
        <v>1880</v>
      </c>
      <c r="J3557" s="343" t="s">
        <v>757</v>
      </c>
      <c r="K3557" s="343" t="s">
        <v>741</v>
      </c>
      <c r="L3557" s="344">
        <v>44165</v>
      </c>
      <c r="M3557" s="347">
        <v>0</v>
      </c>
    </row>
    <row r="3558" spans="1:13" hidden="1" x14ac:dyDescent="0.25">
      <c r="A3558" s="344">
        <v>44165</v>
      </c>
      <c r="B3558" s="343" t="s">
        <v>1906</v>
      </c>
      <c r="C3558" s="343" t="s">
        <v>1060</v>
      </c>
      <c r="D3558" s="345">
        <v>6</v>
      </c>
      <c r="E3558" s="346">
        <v>-867.79</v>
      </c>
      <c r="F3558" s="346">
        <v>10150.07</v>
      </c>
      <c r="G3558" s="343" t="s">
        <v>2001</v>
      </c>
      <c r="H3558" s="343" t="s">
        <v>2025</v>
      </c>
      <c r="I3558" s="343" t="s">
        <v>1880</v>
      </c>
      <c r="J3558" s="343" t="s">
        <v>757</v>
      </c>
      <c r="K3558" s="343" t="s">
        <v>741</v>
      </c>
      <c r="L3558" s="344">
        <v>44165</v>
      </c>
      <c r="M3558" s="347">
        <v>0</v>
      </c>
    </row>
    <row r="3559" spans="1:13" hidden="1" x14ac:dyDescent="0.25">
      <c r="A3559" s="344">
        <v>44166</v>
      </c>
      <c r="B3559" s="343" t="s">
        <v>2003</v>
      </c>
      <c r="C3559" s="343" t="s">
        <v>769</v>
      </c>
      <c r="D3559" s="345">
        <v>6</v>
      </c>
      <c r="E3559" s="346">
        <v>78.180000000000007</v>
      </c>
      <c r="F3559" s="346">
        <v>10228.25</v>
      </c>
      <c r="G3559" s="343" t="s">
        <v>2004</v>
      </c>
      <c r="H3559" s="343" t="s">
        <v>2025</v>
      </c>
      <c r="I3559" s="343" t="s">
        <v>1880</v>
      </c>
      <c r="J3559" s="343" t="s">
        <v>757</v>
      </c>
      <c r="K3559" s="343" t="s">
        <v>770</v>
      </c>
      <c r="L3559" s="344">
        <v>44166</v>
      </c>
      <c r="M3559" s="347">
        <v>0</v>
      </c>
    </row>
    <row r="3560" spans="1:13" hidden="1" x14ac:dyDescent="0.25">
      <c r="A3560" s="344">
        <v>44166</v>
      </c>
      <c r="B3560" s="343" t="s">
        <v>2003</v>
      </c>
      <c r="C3560" s="343" t="s">
        <v>769</v>
      </c>
      <c r="D3560" s="345">
        <v>6</v>
      </c>
      <c r="E3560" s="346">
        <v>78.180000000000007</v>
      </c>
      <c r="F3560" s="346">
        <v>10306.43</v>
      </c>
      <c r="G3560" s="343" t="s">
        <v>2004</v>
      </c>
      <c r="H3560" s="343" t="s">
        <v>2025</v>
      </c>
      <c r="I3560" s="343" t="s">
        <v>1880</v>
      </c>
      <c r="J3560" s="343" t="s">
        <v>757</v>
      </c>
      <c r="K3560" s="343" t="s">
        <v>770</v>
      </c>
      <c r="L3560" s="344">
        <v>44166</v>
      </c>
      <c r="M3560" s="347">
        <v>0</v>
      </c>
    </row>
    <row r="3561" spans="1:13" hidden="1" x14ac:dyDescent="0.25">
      <c r="A3561" s="344">
        <v>44187</v>
      </c>
      <c r="B3561" s="343" t="s">
        <v>1966</v>
      </c>
      <c r="C3561" s="343" t="s">
        <v>1059</v>
      </c>
      <c r="D3561" s="345">
        <v>6</v>
      </c>
      <c r="E3561" s="346">
        <v>-180.4</v>
      </c>
      <c r="F3561" s="346">
        <v>10126.030000000001</v>
      </c>
      <c r="G3561" s="343" t="s">
        <v>1967</v>
      </c>
      <c r="H3561" s="343" t="s">
        <v>2025</v>
      </c>
      <c r="I3561" s="343" t="s">
        <v>1880</v>
      </c>
      <c r="J3561" s="343" t="s">
        <v>757</v>
      </c>
      <c r="K3561" s="343" t="s">
        <v>741</v>
      </c>
      <c r="L3561" s="344">
        <v>44187</v>
      </c>
      <c r="M3561" s="347">
        <v>0</v>
      </c>
    </row>
    <row r="3562" spans="1:13" hidden="1" x14ac:dyDescent="0.25">
      <c r="A3562" s="344">
        <v>44196</v>
      </c>
      <c r="B3562" s="343" t="s">
        <v>2005</v>
      </c>
      <c r="C3562" s="343" t="s">
        <v>1060</v>
      </c>
      <c r="D3562" s="345">
        <v>6</v>
      </c>
      <c r="E3562" s="346">
        <v>-75.66</v>
      </c>
      <c r="F3562" s="346">
        <v>10050.370000000001</v>
      </c>
      <c r="G3562" s="343" t="s">
        <v>2006</v>
      </c>
      <c r="H3562" s="343" t="s">
        <v>2025</v>
      </c>
      <c r="I3562" s="343" t="s">
        <v>1880</v>
      </c>
      <c r="J3562" s="343" t="s">
        <v>757</v>
      </c>
      <c r="K3562" s="343" t="s">
        <v>741</v>
      </c>
      <c r="L3562" s="344">
        <v>44196</v>
      </c>
      <c r="M3562" s="347">
        <v>0</v>
      </c>
    </row>
    <row r="3563" spans="1:13" hidden="1" x14ac:dyDescent="0.25">
      <c r="A3563" s="344">
        <v>44196</v>
      </c>
      <c r="B3563" s="343" t="s">
        <v>2005</v>
      </c>
      <c r="C3563" s="343" t="s">
        <v>1060</v>
      </c>
      <c r="D3563" s="345">
        <v>7</v>
      </c>
      <c r="E3563" s="346">
        <v>75.66</v>
      </c>
      <c r="F3563" s="346">
        <v>10126.030000000001</v>
      </c>
      <c r="G3563" s="343" t="s">
        <v>2006</v>
      </c>
      <c r="H3563" s="343" t="s">
        <v>2025</v>
      </c>
      <c r="I3563" s="343" t="s">
        <v>1880</v>
      </c>
      <c r="J3563" s="343" t="s">
        <v>757</v>
      </c>
      <c r="K3563" s="343" t="s">
        <v>741</v>
      </c>
      <c r="L3563" s="344">
        <v>44196</v>
      </c>
      <c r="M3563" s="347">
        <v>0</v>
      </c>
    </row>
    <row r="3564" spans="1:13" hidden="1" x14ac:dyDescent="0.25">
      <c r="A3564" s="344">
        <v>44196</v>
      </c>
      <c r="B3564" s="343" t="s">
        <v>2007</v>
      </c>
      <c r="C3564" s="343" t="s">
        <v>936</v>
      </c>
      <c r="D3564" s="345">
        <v>7</v>
      </c>
      <c r="E3564" s="346">
        <v>-75.66</v>
      </c>
      <c r="F3564" s="346">
        <v>10050.370000000001</v>
      </c>
      <c r="G3564" s="343" t="s">
        <v>2008</v>
      </c>
      <c r="H3564" s="343" t="s">
        <v>2025</v>
      </c>
      <c r="I3564" s="343" t="s">
        <v>1880</v>
      </c>
      <c r="J3564" s="343" t="s">
        <v>757</v>
      </c>
      <c r="K3564" s="343" t="s">
        <v>770</v>
      </c>
      <c r="L3564" s="344">
        <v>44196</v>
      </c>
      <c r="M3564" s="347">
        <v>0</v>
      </c>
    </row>
    <row r="3565" spans="1:13" hidden="1" x14ac:dyDescent="0.25">
      <c r="A3565" s="344">
        <v>44203</v>
      </c>
      <c r="B3565" s="343" t="s">
        <v>1970</v>
      </c>
      <c r="C3565" s="343" t="s">
        <v>1059</v>
      </c>
      <c r="D3565" s="345">
        <v>7</v>
      </c>
      <c r="E3565" s="346">
        <v>-180.4</v>
      </c>
      <c r="F3565" s="346">
        <v>9869.9700000000194</v>
      </c>
      <c r="G3565" s="343" t="s">
        <v>1971</v>
      </c>
      <c r="H3565" s="343" t="s">
        <v>2025</v>
      </c>
      <c r="I3565" s="343" t="s">
        <v>1880</v>
      </c>
      <c r="J3565" s="343" t="s">
        <v>757</v>
      </c>
      <c r="K3565" s="343" t="s">
        <v>741</v>
      </c>
      <c r="L3565" s="344">
        <v>44203</v>
      </c>
      <c r="M3565" s="347">
        <v>0</v>
      </c>
    </row>
    <row r="3566" spans="1:13" hidden="1" x14ac:dyDescent="0.25">
      <c r="A3566" s="344">
        <v>44218</v>
      </c>
      <c r="B3566" s="343" t="s">
        <v>1972</v>
      </c>
      <c r="C3566" s="343" t="s">
        <v>1059</v>
      </c>
      <c r="D3566" s="345">
        <v>7</v>
      </c>
      <c r="E3566" s="346">
        <v>-216.48</v>
      </c>
      <c r="F3566" s="346">
        <v>9653.4900000000198</v>
      </c>
      <c r="G3566" s="343" t="s">
        <v>1973</v>
      </c>
      <c r="H3566" s="343" t="s">
        <v>2025</v>
      </c>
      <c r="I3566" s="343" t="s">
        <v>1880</v>
      </c>
      <c r="J3566" s="343" t="s">
        <v>757</v>
      </c>
      <c r="K3566" s="343" t="s">
        <v>741</v>
      </c>
      <c r="L3566" s="344">
        <v>44218</v>
      </c>
      <c r="M3566" s="347">
        <v>0</v>
      </c>
    </row>
    <row r="3567" spans="1:13" hidden="1" x14ac:dyDescent="0.25">
      <c r="A3567" s="344">
        <v>44227</v>
      </c>
      <c r="B3567" s="343" t="s">
        <v>2009</v>
      </c>
      <c r="C3567" s="343" t="s">
        <v>1060</v>
      </c>
      <c r="D3567" s="345">
        <v>7</v>
      </c>
      <c r="E3567" s="346">
        <v>78.180000000000007</v>
      </c>
      <c r="F3567" s="346">
        <v>9731.6700000000201</v>
      </c>
      <c r="G3567" s="343" t="s">
        <v>2010</v>
      </c>
      <c r="H3567" s="343" t="s">
        <v>2025</v>
      </c>
      <c r="I3567" s="343" t="s">
        <v>1880</v>
      </c>
      <c r="J3567" s="343" t="s">
        <v>757</v>
      </c>
      <c r="K3567" s="343" t="s">
        <v>741</v>
      </c>
      <c r="L3567" s="344">
        <v>44227</v>
      </c>
      <c r="M3567" s="347">
        <v>0</v>
      </c>
    </row>
    <row r="3568" spans="1:13" hidden="1" x14ac:dyDescent="0.25">
      <c r="A3568" s="344">
        <v>44197</v>
      </c>
      <c r="B3568" s="343" t="s">
        <v>2011</v>
      </c>
      <c r="C3568" s="343" t="s">
        <v>769</v>
      </c>
      <c r="D3568" s="345">
        <v>8</v>
      </c>
      <c r="E3568" s="346">
        <v>78.180000000000007</v>
      </c>
      <c r="F3568" s="346">
        <v>9809.8500000000204</v>
      </c>
      <c r="G3568" s="343" t="s">
        <v>2012</v>
      </c>
      <c r="H3568" s="343" t="s">
        <v>2025</v>
      </c>
      <c r="I3568" s="343" t="s">
        <v>1880</v>
      </c>
      <c r="J3568" s="343" t="s">
        <v>757</v>
      </c>
      <c r="K3568" s="343" t="s">
        <v>770</v>
      </c>
      <c r="L3568" s="344">
        <v>44197</v>
      </c>
      <c r="M3568" s="347">
        <v>0</v>
      </c>
    </row>
    <row r="3569" spans="1:13" hidden="1" x14ac:dyDescent="0.25">
      <c r="A3569" s="344">
        <v>44227</v>
      </c>
      <c r="B3569" s="343" t="s">
        <v>2009</v>
      </c>
      <c r="C3569" s="343" t="s">
        <v>1060</v>
      </c>
      <c r="D3569" s="345">
        <v>8</v>
      </c>
      <c r="E3569" s="346">
        <v>-78.180000000000007</v>
      </c>
      <c r="F3569" s="346">
        <v>9731.6700000000201</v>
      </c>
      <c r="G3569" s="343" t="s">
        <v>2010</v>
      </c>
      <c r="H3569" s="343" t="s">
        <v>2025</v>
      </c>
      <c r="I3569" s="343" t="s">
        <v>1880</v>
      </c>
      <c r="J3569" s="343" t="s">
        <v>757</v>
      </c>
      <c r="K3569" s="343" t="s">
        <v>741</v>
      </c>
      <c r="L3569" s="344">
        <v>44227</v>
      </c>
      <c r="M3569" s="347">
        <v>0</v>
      </c>
    </row>
    <row r="3570" spans="1:13" hidden="1" x14ac:dyDescent="0.25">
      <c r="A3570" s="344">
        <v>44227</v>
      </c>
      <c r="B3570" s="343" t="s">
        <v>1974</v>
      </c>
      <c r="C3570" s="343" t="s">
        <v>1059</v>
      </c>
      <c r="D3570" s="345">
        <v>8</v>
      </c>
      <c r="E3570" s="346">
        <v>-288.64</v>
      </c>
      <c r="F3570" s="346">
        <v>9443.0300000000207</v>
      </c>
      <c r="G3570" s="343" t="s">
        <v>1975</v>
      </c>
      <c r="H3570" s="343" t="s">
        <v>2025</v>
      </c>
      <c r="I3570" s="343" t="s">
        <v>1880</v>
      </c>
      <c r="J3570" s="343" t="s">
        <v>757</v>
      </c>
      <c r="K3570" s="343" t="s">
        <v>741</v>
      </c>
      <c r="L3570" s="344">
        <v>44227</v>
      </c>
      <c r="M3570" s="347">
        <v>0</v>
      </c>
    </row>
    <row r="3571" spans="1:13" hidden="1" x14ac:dyDescent="0.25">
      <c r="A3571" s="344">
        <v>44228</v>
      </c>
      <c r="B3571" s="343" t="s">
        <v>2013</v>
      </c>
      <c r="C3571" s="343" t="s">
        <v>769</v>
      </c>
      <c r="D3571" s="345">
        <v>8</v>
      </c>
      <c r="E3571" s="346">
        <v>78.180000000000007</v>
      </c>
      <c r="F3571" s="346">
        <v>9521.2100000000191</v>
      </c>
      <c r="G3571" s="343" t="s">
        <v>2014</v>
      </c>
      <c r="H3571" s="343" t="s">
        <v>2025</v>
      </c>
      <c r="I3571" s="343" t="s">
        <v>1880</v>
      </c>
      <c r="J3571" s="343" t="s">
        <v>757</v>
      </c>
      <c r="K3571" s="343" t="s">
        <v>770</v>
      </c>
      <c r="L3571" s="344">
        <v>44228</v>
      </c>
      <c r="M3571" s="347">
        <v>0</v>
      </c>
    </row>
    <row r="3572" spans="1:13" hidden="1" x14ac:dyDescent="0.25">
      <c r="A3572" s="344">
        <v>44244</v>
      </c>
      <c r="B3572" s="343" t="s">
        <v>1978</v>
      </c>
      <c r="C3572" s="343" t="s">
        <v>1059</v>
      </c>
      <c r="D3572" s="345">
        <v>8</v>
      </c>
      <c r="E3572" s="346">
        <v>-252.56</v>
      </c>
      <c r="F3572" s="346">
        <v>9268.6500000000196</v>
      </c>
      <c r="G3572" s="343" t="s">
        <v>1979</v>
      </c>
      <c r="H3572" s="343" t="s">
        <v>2025</v>
      </c>
      <c r="I3572" s="343" t="s">
        <v>1880</v>
      </c>
      <c r="J3572" s="343" t="s">
        <v>757</v>
      </c>
      <c r="K3572" s="343" t="s">
        <v>741</v>
      </c>
      <c r="L3572" s="344">
        <v>44244</v>
      </c>
      <c r="M3572" s="347">
        <v>0</v>
      </c>
    </row>
    <row r="3573" spans="1:13" hidden="1" x14ac:dyDescent="0.25">
      <c r="A3573" s="344">
        <v>44256</v>
      </c>
      <c r="B3573" s="343" t="s">
        <v>2017</v>
      </c>
      <c r="C3573" s="343" t="s">
        <v>769</v>
      </c>
      <c r="D3573" s="345">
        <v>9</v>
      </c>
      <c r="E3573" s="346">
        <v>78.180000000000007</v>
      </c>
      <c r="F3573" s="346">
        <v>9346.8300000000199</v>
      </c>
      <c r="G3573" s="343" t="s">
        <v>2018</v>
      </c>
      <c r="H3573" s="343" t="s">
        <v>2025</v>
      </c>
      <c r="I3573" s="343" t="s">
        <v>1880</v>
      </c>
      <c r="J3573" s="343" t="s">
        <v>757</v>
      </c>
      <c r="K3573" s="343" t="s">
        <v>770</v>
      </c>
      <c r="L3573" s="344">
        <v>44256</v>
      </c>
      <c r="M3573" s="347">
        <v>0</v>
      </c>
    </row>
    <row r="3574" spans="1:13" hidden="1" x14ac:dyDescent="0.25">
      <c r="A3574" s="344">
        <v>44259</v>
      </c>
      <c r="B3574" s="343" t="s">
        <v>1939</v>
      </c>
      <c r="C3574" s="343" t="s">
        <v>1059</v>
      </c>
      <c r="D3574" s="345">
        <v>9</v>
      </c>
      <c r="E3574" s="346">
        <v>-252.56</v>
      </c>
      <c r="F3574" s="346">
        <v>9094.2700000000204</v>
      </c>
      <c r="G3574" s="343" t="s">
        <v>1940</v>
      </c>
      <c r="H3574" s="343" t="s">
        <v>2025</v>
      </c>
      <c r="I3574" s="343" t="s">
        <v>1880</v>
      </c>
      <c r="J3574" s="343" t="s">
        <v>757</v>
      </c>
      <c r="K3574" s="343" t="s">
        <v>741</v>
      </c>
      <c r="L3574" s="344">
        <v>44259</v>
      </c>
      <c r="M3574" s="347">
        <v>0</v>
      </c>
    </row>
    <row r="3575" spans="1:13" hidden="1" x14ac:dyDescent="0.25">
      <c r="A3575" s="344">
        <v>44272</v>
      </c>
      <c r="B3575" s="343" t="s">
        <v>1982</v>
      </c>
      <c r="C3575" s="343" t="s">
        <v>1059</v>
      </c>
      <c r="D3575" s="345">
        <v>9</v>
      </c>
      <c r="E3575" s="346">
        <v>-252.56</v>
      </c>
      <c r="F3575" s="346">
        <v>8841.7100000000191</v>
      </c>
      <c r="G3575" s="343" t="s">
        <v>1983</v>
      </c>
      <c r="H3575" s="343" t="s">
        <v>2025</v>
      </c>
      <c r="I3575" s="343" t="s">
        <v>1880</v>
      </c>
      <c r="J3575" s="343" t="s">
        <v>757</v>
      </c>
      <c r="K3575" s="343" t="s">
        <v>741</v>
      </c>
      <c r="L3575" s="344">
        <v>44272</v>
      </c>
      <c r="M3575" s="347">
        <v>0</v>
      </c>
    </row>
    <row r="3576" spans="1:13" hidden="1" x14ac:dyDescent="0.25">
      <c r="A3576" s="344">
        <v>44286</v>
      </c>
      <c r="B3576" s="343" t="s">
        <v>2019</v>
      </c>
      <c r="C3576" s="343" t="s">
        <v>936</v>
      </c>
      <c r="D3576" s="345">
        <v>10</v>
      </c>
      <c r="E3576" s="346">
        <v>-42.87</v>
      </c>
      <c r="F3576" s="346">
        <v>8798.8400000000202</v>
      </c>
      <c r="G3576" s="343" t="s">
        <v>2020</v>
      </c>
      <c r="H3576" s="343" t="s">
        <v>2025</v>
      </c>
      <c r="I3576" s="343" t="s">
        <v>1880</v>
      </c>
      <c r="J3576" s="343" t="s">
        <v>757</v>
      </c>
      <c r="K3576" s="343" t="s">
        <v>770</v>
      </c>
      <c r="L3576" s="344">
        <v>44286</v>
      </c>
      <c r="M3576" s="347">
        <v>0</v>
      </c>
    </row>
    <row r="3577" spans="1:13" hidden="1" x14ac:dyDescent="0.25">
      <c r="A3577" s="344">
        <v>44327</v>
      </c>
      <c r="B3577" s="343" t="s">
        <v>1924</v>
      </c>
      <c r="C3577" s="343" t="s">
        <v>1059</v>
      </c>
      <c r="D3577" s="345">
        <v>10</v>
      </c>
      <c r="E3577" s="346">
        <v>-36.08</v>
      </c>
      <c r="F3577" s="346">
        <v>8762.7600000000202</v>
      </c>
      <c r="G3577" s="343" t="s">
        <v>1923</v>
      </c>
      <c r="H3577" s="343" t="s">
        <v>2025</v>
      </c>
      <c r="I3577" s="343" t="s">
        <v>1880</v>
      </c>
      <c r="J3577" s="343" t="s">
        <v>757</v>
      </c>
      <c r="K3577" s="343" t="s">
        <v>741</v>
      </c>
      <c r="L3577" s="344">
        <v>44327</v>
      </c>
      <c r="M3577" s="347">
        <v>0</v>
      </c>
    </row>
    <row r="3578" spans="1:13" hidden="1" x14ac:dyDescent="0.25">
      <c r="A3578" s="344">
        <v>44327</v>
      </c>
      <c r="B3578" s="343" t="s">
        <v>1922</v>
      </c>
      <c r="C3578" s="343" t="s">
        <v>1059</v>
      </c>
      <c r="D3578" s="345">
        <v>10</v>
      </c>
      <c r="E3578" s="346">
        <v>36.08</v>
      </c>
      <c r="F3578" s="346">
        <v>8798.8400000000202</v>
      </c>
      <c r="G3578" s="343" t="s">
        <v>1923</v>
      </c>
      <c r="H3578" s="343" t="s">
        <v>2025</v>
      </c>
      <c r="I3578" s="343" t="s">
        <v>1880</v>
      </c>
      <c r="J3578" s="343" t="s">
        <v>757</v>
      </c>
      <c r="K3578" s="343" t="s">
        <v>741</v>
      </c>
      <c r="L3578" s="344">
        <v>44327</v>
      </c>
      <c r="M3578" s="347">
        <v>0</v>
      </c>
    </row>
    <row r="3579" spans="1:13" hidden="1" x14ac:dyDescent="0.25">
      <c r="A3579" s="344">
        <v>44165</v>
      </c>
      <c r="B3579" s="343" t="s">
        <v>1906</v>
      </c>
      <c r="C3579" s="343" t="s">
        <v>1060</v>
      </c>
      <c r="D3579" s="345">
        <v>5</v>
      </c>
      <c r="E3579" s="346">
        <v>688.16</v>
      </c>
      <c r="F3579" s="346">
        <v>9450.9200000000201</v>
      </c>
      <c r="G3579" s="343" t="s">
        <v>2001</v>
      </c>
      <c r="H3579" s="343" t="s">
        <v>2026</v>
      </c>
      <c r="I3579" s="343" t="s">
        <v>1880</v>
      </c>
      <c r="J3579" s="343" t="s">
        <v>757</v>
      </c>
      <c r="K3579" s="343" t="s">
        <v>741</v>
      </c>
      <c r="L3579" s="344">
        <v>44165</v>
      </c>
      <c r="M3579" s="347">
        <v>0</v>
      </c>
    </row>
    <row r="3580" spans="1:13" hidden="1" x14ac:dyDescent="0.25">
      <c r="A3580" s="344">
        <v>44165</v>
      </c>
      <c r="B3580" s="343" t="s">
        <v>1906</v>
      </c>
      <c r="C3580" s="343" t="s">
        <v>1060</v>
      </c>
      <c r="D3580" s="345">
        <v>6</v>
      </c>
      <c r="E3580" s="346">
        <v>-688.16</v>
      </c>
      <c r="F3580" s="346">
        <v>8762.7600000000202</v>
      </c>
      <c r="G3580" s="343" t="s">
        <v>2001</v>
      </c>
      <c r="H3580" s="343" t="s">
        <v>2026</v>
      </c>
      <c r="I3580" s="343" t="s">
        <v>1880</v>
      </c>
      <c r="J3580" s="343" t="s">
        <v>757</v>
      </c>
      <c r="K3580" s="343" t="s">
        <v>741</v>
      </c>
      <c r="L3580" s="344">
        <v>44165</v>
      </c>
      <c r="M3580" s="347">
        <v>0</v>
      </c>
    </row>
    <row r="3581" spans="1:13" hidden="1" x14ac:dyDescent="0.25">
      <c r="A3581" s="344">
        <v>44166</v>
      </c>
      <c r="B3581" s="343" t="s">
        <v>2003</v>
      </c>
      <c r="C3581" s="343" t="s">
        <v>769</v>
      </c>
      <c r="D3581" s="345">
        <v>6</v>
      </c>
      <c r="E3581" s="346">
        <v>78.180000000000007</v>
      </c>
      <c r="F3581" s="346">
        <v>8840.9400000000205</v>
      </c>
      <c r="G3581" s="343" t="s">
        <v>2004</v>
      </c>
      <c r="H3581" s="343" t="s">
        <v>2026</v>
      </c>
      <c r="I3581" s="343" t="s">
        <v>1880</v>
      </c>
      <c r="J3581" s="343" t="s">
        <v>757</v>
      </c>
      <c r="K3581" s="343" t="s">
        <v>770</v>
      </c>
      <c r="L3581" s="344">
        <v>44166</v>
      </c>
      <c r="M3581" s="347">
        <v>0</v>
      </c>
    </row>
    <row r="3582" spans="1:13" hidden="1" x14ac:dyDescent="0.25">
      <c r="A3582" s="344">
        <v>44166</v>
      </c>
      <c r="B3582" s="343" t="s">
        <v>2003</v>
      </c>
      <c r="C3582" s="343" t="s">
        <v>769</v>
      </c>
      <c r="D3582" s="345">
        <v>6</v>
      </c>
      <c r="E3582" s="346">
        <v>78.180000000000007</v>
      </c>
      <c r="F3582" s="346">
        <v>8919.1200000000208</v>
      </c>
      <c r="G3582" s="343" t="s">
        <v>2004</v>
      </c>
      <c r="H3582" s="343" t="s">
        <v>2026</v>
      </c>
      <c r="I3582" s="343" t="s">
        <v>1880</v>
      </c>
      <c r="J3582" s="343" t="s">
        <v>757</v>
      </c>
      <c r="K3582" s="343" t="s">
        <v>770</v>
      </c>
      <c r="L3582" s="344">
        <v>44166</v>
      </c>
      <c r="M3582" s="347">
        <v>0</v>
      </c>
    </row>
    <row r="3583" spans="1:13" hidden="1" x14ac:dyDescent="0.25">
      <c r="A3583" s="344">
        <v>44166</v>
      </c>
      <c r="B3583" s="343" t="s">
        <v>2003</v>
      </c>
      <c r="C3583" s="343" t="s">
        <v>769</v>
      </c>
      <c r="D3583" s="345">
        <v>6</v>
      </c>
      <c r="E3583" s="346">
        <v>78.180000000000007</v>
      </c>
      <c r="F3583" s="346">
        <v>8997.3000000000193</v>
      </c>
      <c r="G3583" s="343" t="s">
        <v>2004</v>
      </c>
      <c r="H3583" s="343" t="s">
        <v>2026</v>
      </c>
      <c r="I3583" s="343" t="s">
        <v>1880</v>
      </c>
      <c r="J3583" s="343" t="s">
        <v>757</v>
      </c>
      <c r="K3583" s="343" t="s">
        <v>770</v>
      </c>
      <c r="L3583" s="344">
        <v>44166</v>
      </c>
      <c r="M3583" s="347">
        <v>0</v>
      </c>
    </row>
    <row r="3584" spans="1:13" hidden="1" x14ac:dyDescent="0.25">
      <c r="A3584" s="344">
        <v>44166</v>
      </c>
      <c r="B3584" s="343" t="s">
        <v>2003</v>
      </c>
      <c r="C3584" s="343" t="s">
        <v>769</v>
      </c>
      <c r="D3584" s="345">
        <v>6</v>
      </c>
      <c r="E3584" s="346">
        <v>78.180000000000007</v>
      </c>
      <c r="F3584" s="346">
        <v>9075.4800000000196</v>
      </c>
      <c r="G3584" s="343" t="s">
        <v>2004</v>
      </c>
      <c r="H3584" s="343" t="s">
        <v>2026</v>
      </c>
      <c r="I3584" s="343" t="s">
        <v>1880</v>
      </c>
      <c r="J3584" s="343" t="s">
        <v>757</v>
      </c>
      <c r="K3584" s="343" t="s">
        <v>770</v>
      </c>
      <c r="L3584" s="344">
        <v>44166</v>
      </c>
      <c r="M3584" s="347">
        <v>0</v>
      </c>
    </row>
    <row r="3585" spans="1:13" hidden="1" x14ac:dyDescent="0.25">
      <c r="A3585" s="344">
        <v>44166</v>
      </c>
      <c r="B3585" s="343" t="s">
        <v>2003</v>
      </c>
      <c r="C3585" s="343" t="s">
        <v>769</v>
      </c>
      <c r="D3585" s="345">
        <v>6</v>
      </c>
      <c r="E3585" s="346">
        <v>78.180000000000007</v>
      </c>
      <c r="F3585" s="346">
        <v>9153.6600000000199</v>
      </c>
      <c r="G3585" s="343" t="s">
        <v>2004</v>
      </c>
      <c r="H3585" s="343" t="s">
        <v>2026</v>
      </c>
      <c r="I3585" s="343" t="s">
        <v>1880</v>
      </c>
      <c r="J3585" s="343" t="s">
        <v>757</v>
      </c>
      <c r="K3585" s="343" t="s">
        <v>770</v>
      </c>
      <c r="L3585" s="344">
        <v>44166</v>
      </c>
      <c r="M3585" s="347">
        <v>0</v>
      </c>
    </row>
    <row r="3586" spans="1:13" hidden="1" x14ac:dyDescent="0.25">
      <c r="A3586" s="344">
        <v>44166</v>
      </c>
      <c r="B3586" s="343" t="s">
        <v>2003</v>
      </c>
      <c r="C3586" s="343" t="s">
        <v>769</v>
      </c>
      <c r="D3586" s="345">
        <v>6</v>
      </c>
      <c r="E3586" s="346">
        <v>78.180000000000007</v>
      </c>
      <c r="F3586" s="346">
        <v>9231.8400000000202</v>
      </c>
      <c r="G3586" s="343" t="s">
        <v>2004</v>
      </c>
      <c r="H3586" s="343" t="s">
        <v>2026</v>
      </c>
      <c r="I3586" s="343" t="s">
        <v>1880</v>
      </c>
      <c r="J3586" s="343" t="s">
        <v>757</v>
      </c>
      <c r="K3586" s="343" t="s">
        <v>770</v>
      </c>
      <c r="L3586" s="344">
        <v>44166</v>
      </c>
      <c r="M3586" s="347">
        <v>0</v>
      </c>
    </row>
    <row r="3587" spans="1:13" hidden="1" x14ac:dyDescent="0.25">
      <c r="A3587" s="344">
        <v>44166</v>
      </c>
      <c r="B3587" s="343" t="s">
        <v>2003</v>
      </c>
      <c r="C3587" s="343" t="s">
        <v>769</v>
      </c>
      <c r="D3587" s="345">
        <v>6</v>
      </c>
      <c r="E3587" s="346">
        <v>78.180000000000007</v>
      </c>
      <c r="F3587" s="346">
        <v>9310.0200000000204</v>
      </c>
      <c r="G3587" s="343" t="s">
        <v>2004</v>
      </c>
      <c r="H3587" s="343" t="s">
        <v>2026</v>
      </c>
      <c r="I3587" s="343" t="s">
        <v>1880</v>
      </c>
      <c r="J3587" s="343" t="s">
        <v>757</v>
      </c>
      <c r="K3587" s="343" t="s">
        <v>770</v>
      </c>
      <c r="L3587" s="344">
        <v>44166</v>
      </c>
      <c r="M3587" s="347">
        <v>0</v>
      </c>
    </row>
    <row r="3588" spans="1:13" hidden="1" x14ac:dyDescent="0.25">
      <c r="A3588" s="344">
        <v>44166</v>
      </c>
      <c r="B3588" s="343" t="s">
        <v>2003</v>
      </c>
      <c r="C3588" s="343" t="s">
        <v>769</v>
      </c>
      <c r="D3588" s="345">
        <v>6</v>
      </c>
      <c r="E3588" s="346">
        <v>78.180000000000007</v>
      </c>
      <c r="F3588" s="346">
        <v>9388.2000000000207</v>
      </c>
      <c r="G3588" s="343" t="s">
        <v>2004</v>
      </c>
      <c r="H3588" s="343" t="s">
        <v>2026</v>
      </c>
      <c r="I3588" s="343" t="s">
        <v>1880</v>
      </c>
      <c r="J3588" s="343" t="s">
        <v>757</v>
      </c>
      <c r="K3588" s="343" t="s">
        <v>770</v>
      </c>
      <c r="L3588" s="344">
        <v>44166</v>
      </c>
      <c r="M3588" s="347">
        <v>0</v>
      </c>
    </row>
    <row r="3589" spans="1:13" hidden="1" x14ac:dyDescent="0.25">
      <c r="A3589" s="344">
        <v>44166</v>
      </c>
      <c r="B3589" s="343" t="s">
        <v>2003</v>
      </c>
      <c r="C3589" s="343" t="s">
        <v>769</v>
      </c>
      <c r="D3589" s="345">
        <v>6</v>
      </c>
      <c r="E3589" s="346">
        <v>78.180000000000007</v>
      </c>
      <c r="F3589" s="346">
        <v>9466.3800000000192</v>
      </c>
      <c r="G3589" s="343" t="s">
        <v>2004</v>
      </c>
      <c r="H3589" s="343" t="s">
        <v>2026</v>
      </c>
      <c r="I3589" s="343" t="s">
        <v>1880</v>
      </c>
      <c r="J3589" s="343" t="s">
        <v>757</v>
      </c>
      <c r="K3589" s="343" t="s">
        <v>770</v>
      </c>
      <c r="L3589" s="344">
        <v>44166</v>
      </c>
      <c r="M3589" s="347">
        <v>0</v>
      </c>
    </row>
    <row r="3590" spans="1:13" hidden="1" x14ac:dyDescent="0.25">
      <c r="A3590" s="344">
        <v>44166</v>
      </c>
      <c r="B3590" s="343" t="s">
        <v>2003</v>
      </c>
      <c r="C3590" s="343" t="s">
        <v>769</v>
      </c>
      <c r="D3590" s="345">
        <v>6</v>
      </c>
      <c r="E3590" s="346">
        <v>78.180000000000007</v>
      </c>
      <c r="F3590" s="346">
        <v>9544.5600000000195</v>
      </c>
      <c r="G3590" s="343" t="s">
        <v>2004</v>
      </c>
      <c r="H3590" s="343" t="s">
        <v>2026</v>
      </c>
      <c r="I3590" s="343" t="s">
        <v>1880</v>
      </c>
      <c r="J3590" s="343" t="s">
        <v>757</v>
      </c>
      <c r="K3590" s="343" t="s">
        <v>770</v>
      </c>
      <c r="L3590" s="344">
        <v>44166</v>
      </c>
      <c r="M3590" s="347">
        <v>0</v>
      </c>
    </row>
    <row r="3591" spans="1:13" hidden="1" x14ac:dyDescent="0.25">
      <c r="A3591" s="344">
        <v>44166</v>
      </c>
      <c r="B3591" s="343" t="s">
        <v>2003</v>
      </c>
      <c r="C3591" s="343" t="s">
        <v>769</v>
      </c>
      <c r="D3591" s="345">
        <v>6</v>
      </c>
      <c r="E3591" s="346">
        <v>78.180000000000007</v>
      </c>
      <c r="F3591" s="346">
        <v>9622.7400000000198</v>
      </c>
      <c r="G3591" s="343" t="s">
        <v>2004</v>
      </c>
      <c r="H3591" s="343" t="s">
        <v>2026</v>
      </c>
      <c r="I3591" s="343" t="s">
        <v>1880</v>
      </c>
      <c r="J3591" s="343" t="s">
        <v>757</v>
      </c>
      <c r="K3591" s="343" t="s">
        <v>770</v>
      </c>
      <c r="L3591" s="344">
        <v>44166</v>
      </c>
      <c r="M3591" s="347">
        <v>0</v>
      </c>
    </row>
    <row r="3592" spans="1:13" hidden="1" x14ac:dyDescent="0.25">
      <c r="A3592" s="344">
        <v>44166</v>
      </c>
      <c r="B3592" s="343" t="s">
        <v>2003</v>
      </c>
      <c r="C3592" s="343" t="s">
        <v>769</v>
      </c>
      <c r="D3592" s="345">
        <v>6</v>
      </c>
      <c r="E3592" s="346">
        <v>78.180000000000007</v>
      </c>
      <c r="F3592" s="346">
        <v>9700.9200000000201</v>
      </c>
      <c r="G3592" s="343" t="s">
        <v>2004</v>
      </c>
      <c r="H3592" s="343" t="s">
        <v>2026</v>
      </c>
      <c r="I3592" s="343" t="s">
        <v>1880</v>
      </c>
      <c r="J3592" s="343" t="s">
        <v>757</v>
      </c>
      <c r="K3592" s="343" t="s">
        <v>770</v>
      </c>
      <c r="L3592" s="344">
        <v>44166</v>
      </c>
      <c r="M3592" s="347">
        <v>0</v>
      </c>
    </row>
    <row r="3593" spans="1:13" hidden="1" x14ac:dyDescent="0.25">
      <c r="A3593" s="344">
        <v>44166</v>
      </c>
      <c r="B3593" s="343" t="s">
        <v>2003</v>
      </c>
      <c r="C3593" s="343" t="s">
        <v>769</v>
      </c>
      <c r="D3593" s="345">
        <v>6</v>
      </c>
      <c r="E3593" s="346">
        <v>78.180000000000007</v>
      </c>
      <c r="F3593" s="346">
        <v>9779.1000000000295</v>
      </c>
      <c r="G3593" s="343" t="s">
        <v>2004</v>
      </c>
      <c r="H3593" s="343" t="s">
        <v>2026</v>
      </c>
      <c r="I3593" s="343" t="s">
        <v>1880</v>
      </c>
      <c r="J3593" s="343" t="s">
        <v>757</v>
      </c>
      <c r="K3593" s="343" t="s">
        <v>770</v>
      </c>
      <c r="L3593" s="344">
        <v>44166</v>
      </c>
      <c r="M3593" s="347">
        <v>0</v>
      </c>
    </row>
    <row r="3594" spans="1:13" hidden="1" x14ac:dyDescent="0.25">
      <c r="A3594" s="344">
        <v>44187</v>
      </c>
      <c r="B3594" s="343" t="s">
        <v>1966</v>
      </c>
      <c r="C3594" s="343" t="s">
        <v>1059</v>
      </c>
      <c r="D3594" s="345">
        <v>6</v>
      </c>
      <c r="E3594" s="346">
        <v>-108.24</v>
      </c>
      <c r="F3594" s="346">
        <v>9670.8600000000297</v>
      </c>
      <c r="G3594" s="343" t="s">
        <v>1967</v>
      </c>
      <c r="H3594" s="343" t="s">
        <v>2026</v>
      </c>
      <c r="I3594" s="343" t="s">
        <v>1880</v>
      </c>
      <c r="J3594" s="343" t="s">
        <v>757</v>
      </c>
      <c r="K3594" s="343" t="s">
        <v>741</v>
      </c>
      <c r="L3594" s="344">
        <v>44187</v>
      </c>
      <c r="M3594" s="347">
        <v>0</v>
      </c>
    </row>
    <row r="3595" spans="1:13" hidden="1" x14ac:dyDescent="0.25">
      <c r="A3595" s="344">
        <v>44196</v>
      </c>
      <c r="B3595" s="343" t="s">
        <v>2005</v>
      </c>
      <c r="C3595" s="343" t="s">
        <v>1060</v>
      </c>
      <c r="D3595" s="345">
        <v>6</v>
      </c>
      <c r="E3595" s="346">
        <v>-171.5</v>
      </c>
      <c r="F3595" s="346">
        <v>9499.3600000000297</v>
      </c>
      <c r="G3595" s="343" t="s">
        <v>2006</v>
      </c>
      <c r="H3595" s="343" t="s">
        <v>2026</v>
      </c>
      <c r="I3595" s="343" t="s">
        <v>1880</v>
      </c>
      <c r="J3595" s="343" t="s">
        <v>757</v>
      </c>
      <c r="K3595" s="343" t="s">
        <v>741</v>
      </c>
      <c r="L3595" s="344">
        <v>44196</v>
      </c>
      <c r="M3595" s="347">
        <v>0</v>
      </c>
    </row>
    <row r="3596" spans="1:13" hidden="1" x14ac:dyDescent="0.25">
      <c r="A3596" s="344">
        <v>44196</v>
      </c>
      <c r="B3596" s="343" t="s">
        <v>2005</v>
      </c>
      <c r="C3596" s="343" t="s">
        <v>1060</v>
      </c>
      <c r="D3596" s="345">
        <v>7</v>
      </c>
      <c r="E3596" s="346">
        <v>171.5</v>
      </c>
      <c r="F3596" s="346">
        <v>9670.8600000000297</v>
      </c>
      <c r="G3596" s="343" t="s">
        <v>2006</v>
      </c>
      <c r="H3596" s="343" t="s">
        <v>2026</v>
      </c>
      <c r="I3596" s="343" t="s">
        <v>1880</v>
      </c>
      <c r="J3596" s="343" t="s">
        <v>757</v>
      </c>
      <c r="K3596" s="343" t="s">
        <v>741</v>
      </c>
      <c r="L3596" s="344">
        <v>44196</v>
      </c>
      <c r="M3596" s="347">
        <v>0</v>
      </c>
    </row>
    <row r="3597" spans="1:13" hidden="1" x14ac:dyDescent="0.25">
      <c r="A3597" s="344">
        <v>44196</v>
      </c>
      <c r="B3597" s="343" t="s">
        <v>2007</v>
      </c>
      <c r="C3597" s="343" t="s">
        <v>936</v>
      </c>
      <c r="D3597" s="345">
        <v>7</v>
      </c>
      <c r="E3597" s="346">
        <v>-171.5</v>
      </c>
      <c r="F3597" s="346">
        <v>9499.3600000000297</v>
      </c>
      <c r="G3597" s="343" t="s">
        <v>2008</v>
      </c>
      <c r="H3597" s="343" t="s">
        <v>2026</v>
      </c>
      <c r="I3597" s="343" t="s">
        <v>1880</v>
      </c>
      <c r="J3597" s="343" t="s">
        <v>757</v>
      </c>
      <c r="K3597" s="343" t="s">
        <v>770</v>
      </c>
      <c r="L3597" s="344">
        <v>44196</v>
      </c>
      <c r="M3597" s="347">
        <v>0</v>
      </c>
    </row>
    <row r="3598" spans="1:13" hidden="1" x14ac:dyDescent="0.25">
      <c r="A3598" s="344">
        <v>44203</v>
      </c>
      <c r="B3598" s="343" t="s">
        <v>1970</v>
      </c>
      <c r="C3598" s="343" t="s">
        <v>1059</v>
      </c>
      <c r="D3598" s="345">
        <v>7</v>
      </c>
      <c r="E3598" s="346">
        <v>-72.16</v>
      </c>
      <c r="F3598" s="346">
        <v>9427.2000000000298</v>
      </c>
      <c r="G3598" s="343" t="s">
        <v>1971</v>
      </c>
      <c r="H3598" s="343" t="s">
        <v>2026</v>
      </c>
      <c r="I3598" s="343" t="s">
        <v>1880</v>
      </c>
      <c r="J3598" s="343" t="s">
        <v>757</v>
      </c>
      <c r="K3598" s="343" t="s">
        <v>741</v>
      </c>
      <c r="L3598" s="344">
        <v>44203</v>
      </c>
      <c r="M3598" s="347">
        <v>0</v>
      </c>
    </row>
    <row r="3599" spans="1:13" hidden="1" x14ac:dyDescent="0.25">
      <c r="A3599" s="344">
        <v>44218</v>
      </c>
      <c r="B3599" s="343" t="s">
        <v>1972</v>
      </c>
      <c r="C3599" s="343" t="s">
        <v>1059</v>
      </c>
      <c r="D3599" s="345">
        <v>7</v>
      </c>
      <c r="E3599" s="346">
        <v>-72.16</v>
      </c>
      <c r="F3599" s="346">
        <v>9355.04000000003</v>
      </c>
      <c r="G3599" s="343" t="s">
        <v>1973</v>
      </c>
      <c r="H3599" s="343" t="s">
        <v>2026</v>
      </c>
      <c r="I3599" s="343" t="s">
        <v>1880</v>
      </c>
      <c r="J3599" s="343" t="s">
        <v>757</v>
      </c>
      <c r="K3599" s="343" t="s">
        <v>741</v>
      </c>
      <c r="L3599" s="344">
        <v>44218</v>
      </c>
      <c r="M3599" s="347">
        <v>0</v>
      </c>
    </row>
    <row r="3600" spans="1:13" hidden="1" x14ac:dyDescent="0.25">
      <c r="A3600" s="344">
        <v>44227</v>
      </c>
      <c r="B3600" s="343" t="s">
        <v>2009</v>
      </c>
      <c r="C3600" s="343" t="s">
        <v>1060</v>
      </c>
      <c r="D3600" s="345">
        <v>7</v>
      </c>
      <c r="E3600" s="346">
        <v>781.8</v>
      </c>
      <c r="F3600" s="346">
        <v>10136.84</v>
      </c>
      <c r="G3600" s="343" t="s">
        <v>2010</v>
      </c>
      <c r="H3600" s="343" t="s">
        <v>2026</v>
      </c>
      <c r="I3600" s="343" t="s">
        <v>1880</v>
      </c>
      <c r="J3600" s="343" t="s">
        <v>757</v>
      </c>
      <c r="K3600" s="343" t="s">
        <v>741</v>
      </c>
      <c r="L3600" s="344">
        <v>44227</v>
      </c>
      <c r="M3600" s="347">
        <v>0</v>
      </c>
    </row>
    <row r="3601" spans="1:13" hidden="1" x14ac:dyDescent="0.25">
      <c r="A3601" s="344">
        <v>44197</v>
      </c>
      <c r="B3601" s="343" t="s">
        <v>2011</v>
      </c>
      <c r="C3601" s="343" t="s">
        <v>769</v>
      </c>
      <c r="D3601" s="345">
        <v>8</v>
      </c>
      <c r="E3601" s="346">
        <v>78.180000000000007</v>
      </c>
      <c r="F3601" s="346">
        <v>10215.02</v>
      </c>
      <c r="G3601" s="343" t="s">
        <v>2012</v>
      </c>
      <c r="H3601" s="343" t="s">
        <v>2026</v>
      </c>
      <c r="I3601" s="343" t="s">
        <v>1880</v>
      </c>
      <c r="J3601" s="343" t="s">
        <v>757</v>
      </c>
      <c r="K3601" s="343" t="s">
        <v>770</v>
      </c>
      <c r="L3601" s="344">
        <v>44197</v>
      </c>
      <c r="M3601" s="347">
        <v>0</v>
      </c>
    </row>
    <row r="3602" spans="1:13" hidden="1" x14ac:dyDescent="0.25">
      <c r="A3602" s="344">
        <v>44197</v>
      </c>
      <c r="B3602" s="343" t="s">
        <v>2011</v>
      </c>
      <c r="C3602" s="343" t="s">
        <v>769</v>
      </c>
      <c r="D3602" s="345">
        <v>8</v>
      </c>
      <c r="E3602" s="346">
        <v>78.180000000000007</v>
      </c>
      <c r="F3602" s="346">
        <v>10293.200000000001</v>
      </c>
      <c r="G3602" s="343" t="s">
        <v>2012</v>
      </c>
      <c r="H3602" s="343" t="s">
        <v>2026</v>
      </c>
      <c r="I3602" s="343" t="s">
        <v>1880</v>
      </c>
      <c r="J3602" s="343" t="s">
        <v>757</v>
      </c>
      <c r="K3602" s="343" t="s">
        <v>770</v>
      </c>
      <c r="L3602" s="344">
        <v>44197</v>
      </c>
      <c r="M3602" s="347">
        <v>0</v>
      </c>
    </row>
    <row r="3603" spans="1:13" hidden="1" x14ac:dyDescent="0.25">
      <c r="A3603" s="344">
        <v>44197</v>
      </c>
      <c r="B3603" s="343" t="s">
        <v>2011</v>
      </c>
      <c r="C3603" s="343" t="s">
        <v>769</v>
      </c>
      <c r="D3603" s="345">
        <v>8</v>
      </c>
      <c r="E3603" s="346">
        <v>78.180000000000007</v>
      </c>
      <c r="F3603" s="346">
        <v>10371.379999999999</v>
      </c>
      <c r="G3603" s="343" t="s">
        <v>2012</v>
      </c>
      <c r="H3603" s="343" t="s">
        <v>2026</v>
      </c>
      <c r="I3603" s="343" t="s">
        <v>1880</v>
      </c>
      <c r="J3603" s="343" t="s">
        <v>757</v>
      </c>
      <c r="K3603" s="343" t="s">
        <v>770</v>
      </c>
      <c r="L3603" s="344">
        <v>44197</v>
      </c>
      <c r="M3603" s="347">
        <v>0</v>
      </c>
    </row>
    <row r="3604" spans="1:13" hidden="1" x14ac:dyDescent="0.25">
      <c r="A3604" s="344">
        <v>44197</v>
      </c>
      <c r="B3604" s="343" t="s">
        <v>2011</v>
      </c>
      <c r="C3604" s="343" t="s">
        <v>769</v>
      </c>
      <c r="D3604" s="345">
        <v>8</v>
      </c>
      <c r="E3604" s="346">
        <v>78.180000000000007</v>
      </c>
      <c r="F3604" s="346">
        <v>10449.56</v>
      </c>
      <c r="G3604" s="343" t="s">
        <v>2012</v>
      </c>
      <c r="H3604" s="343" t="s">
        <v>2026</v>
      </c>
      <c r="I3604" s="343" t="s">
        <v>1880</v>
      </c>
      <c r="J3604" s="343" t="s">
        <v>757</v>
      </c>
      <c r="K3604" s="343" t="s">
        <v>770</v>
      </c>
      <c r="L3604" s="344">
        <v>44197</v>
      </c>
      <c r="M3604" s="347">
        <v>0</v>
      </c>
    </row>
    <row r="3605" spans="1:13" hidden="1" x14ac:dyDescent="0.25">
      <c r="A3605" s="344">
        <v>44197</v>
      </c>
      <c r="B3605" s="343" t="s">
        <v>2011</v>
      </c>
      <c r="C3605" s="343" t="s">
        <v>769</v>
      </c>
      <c r="D3605" s="345">
        <v>8</v>
      </c>
      <c r="E3605" s="346">
        <v>78.180000000000007</v>
      </c>
      <c r="F3605" s="346">
        <v>10527.74</v>
      </c>
      <c r="G3605" s="343" t="s">
        <v>2012</v>
      </c>
      <c r="H3605" s="343" t="s">
        <v>2026</v>
      </c>
      <c r="I3605" s="343" t="s">
        <v>1880</v>
      </c>
      <c r="J3605" s="343" t="s">
        <v>757</v>
      </c>
      <c r="K3605" s="343" t="s">
        <v>770</v>
      </c>
      <c r="L3605" s="344">
        <v>44197</v>
      </c>
      <c r="M3605" s="347">
        <v>0</v>
      </c>
    </row>
    <row r="3606" spans="1:13" hidden="1" x14ac:dyDescent="0.25">
      <c r="A3606" s="344">
        <v>44197</v>
      </c>
      <c r="B3606" s="343" t="s">
        <v>2011</v>
      </c>
      <c r="C3606" s="343" t="s">
        <v>769</v>
      </c>
      <c r="D3606" s="345">
        <v>8</v>
      </c>
      <c r="E3606" s="346">
        <v>78.180000000000007</v>
      </c>
      <c r="F3606" s="346">
        <v>10605.92</v>
      </c>
      <c r="G3606" s="343" t="s">
        <v>2012</v>
      </c>
      <c r="H3606" s="343" t="s">
        <v>2026</v>
      </c>
      <c r="I3606" s="343" t="s">
        <v>1880</v>
      </c>
      <c r="J3606" s="343" t="s">
        <v>757</v>
      </c>
      <c r="K3606" s="343" t="s">
        <v>770</v>
      </c>
      <c r="L3606" s="344">
        <v>44197</v>
      </c>
      <c r="M3606" s="347">
        <v>0</v>
      </c>
    </row>
    <row r="3607" spans="1:13" hidden="1" x14ac:dyDescent="0.25">
      <c r="A3607" s="344">
        <v>44197</v>
      </c>
      <c r="B3607" s="343" t="s">
        <v>2011</v>
      </c>
      <c r="C3607" s="343" t="s">
        <v>769</v>
      </c>
      <c r="D3607" s="345">
        <v>8</v>
      </c>
      <c r="E3607" s="346">
        <v>78.180000000000007</v>
      </c>
      <c r="F3607" s="346">
        <v>10684.1</v>
      </c>
      <c r="G3607" s="343" t="s">
        <v>2012</v>
      </c>
      <c r="H3607" s="343" t="s">
        <v>2026</v>
      </c>
      <c r="I3607" s="343" t="s">
        <v>1880</v>
      </c>
      <c r="J3607" s="343" t="s">
        <v>757</v>
      </c>
      <c r="K3607" s="343" t="s">
        <v>770</v>
      </c>
      <c r="L3607" s="344">
        <v>44197</v>
      </c>
      <c r="M3607" s="347">
        <v>0</v>
      </c>
    </row>
    <row r="3608" spans="1:13" hidden="1" x14ac:dyDescent="0.25">
      <c r="A3608" s="344">
        <v>44197</v>
      </c>
      <c r="B3608" s="343" t="s">
        <v>2011</v>
      </c>
      <c r="C3608" s="343" t="s">
        <v>769</v>
      </c>
      <c r="D3608" s="345">
        <v>8</v>
      </c>
      <c r="E3608" s="346">
        <v>78.180000000000007</v>
      </c>
      <c r="F3608" s="346">
        <v>10762.28</v>
      </c>
      <c r="G3608" s="343" t="s">
        <v>2012</v>
      </c>
      <c r="H3608" s="343" t="s">
        <v>2026</v>
      </c>
      <c r="I3608" s="343" t="s">
        <v>1880</v>
      </c>
      <c r="J3608" s="343" t="s">
        <v>757</v>
      </c>
      <c r="K3608" s="343" t="s">
        <v>770</v>
      </c>
      <c r="L3608" s="344">
        <v>44197</v>
      </c>
      <c r="M3608" s="347">
        <v>0</v>
      </c>
    </row>
    <row r="3609" spans="1:13" hidden="1" x14ac:dyDescent="0.25">
      <c r="A3609" s="344">
        <v>44197</v>
      </c>
      <c r="B3609" s="343" t="s">
        <v>2011</v>
      </c>
      <c r="C3609" s="343" t="s">
        <v>769</v>
      </c>
      <c r="D3609" s="345">
        <v>8</v>
      </c>
      <c r="E3609" s="346">
        <v>78.180000000000007</v>
      </c>
      <c r="F3609" s="346">
        <v>10840.46</v>
      </c>
      <c r="G3609" s="343" t="s">
        <v>2012</v>
      </c>
      <c r="H3609" s="343" t="s">
        <v>2026</v>
      </c>
      <c r="I3609" s="343" t="s">
        <v>1880</v>
      </c>
      <c r="J3609" s="343" t="s">
        <v>757</v>
      </c>
      <c r="K3609" s="343" t="s">
        <v>770</v>
      </c>
      <c r="L3609" s="344">
        <v>44197</v>
      </c>
      <c r="M3609" s="347">
        <v>0</v>
      </c>
    </row>
    <row r="3610" spans="1:13" hidden="1" x14ac:dyDescent="0.25">
      <c r="A3610" s="344">
        <v>44197</v>
      </c>
      <c r="B3610" s="343" t="s">
        <v>2011</v>
      </c>
      <c r="C3610" s="343" t="s">
        <v>769</v>
      </c>
      <c r="D3610" s="345">
        <v>8</v>
      </c>
      <c r="E3610" s="346">
        <v>78.180000000000007</v>
      </c>
      <c r="F3610" s="346">
        <v>10918.64</v>
      </c>
      <c r="G3610" s="343" t="s">
        <v>2012</v>
      </c>
      <c r="H3610" s="343" t="s">
        <v>2026</v>
      </c>
      <c r="I3610" s="343" t="s">
        <v>1880</v>
      </c>
      <c r="J3610" s="343" t="s">
        <v>757</v>
      </c>
      <c r="K3610" s="343" t="s">
        <v>770</v>
      </c>
      <c r="L3610" s="344">
        <v>44197</v>
      </c>
      <c r="M3610" s="347">
        <v>0</v>
      </c>
    </row>
    <row r="3611" spans="1:13" hidden="1" x14ac:dyDescent="0.25">
      <c r="A3611" s="344">
        <v>44209</v>
      </c>
      <c r="B3611" s="343" t="s">
        <v>2027</v>
      </c>
      <c r="C3611" s="343" t="s">
        <v>936</v>
      </c>
      <c r="D3611" s="345">
        <v>8</v>
      </c>
      <c r="E3611" s="346">
        <v>-15.12</v>
      </c>
      <c r="F3611" s="346">
        <v>10903.52</v>
      </c>
      <c r="G3611" s="343" t="s">
        <v>2028</v>
      </c>
      <c r="H3611" s="343" t="s">
        <v>2026</v>
      </c>
      <c r="I3611" s="343" t="s">
        <v>1880</v>
      </c>
      <c r="J3611" s="343" t="s">
        <v>757</v>
      </c>
      <c r="K3611" s="343" t="s">
        <v>770</v>
      </c>
      <c r="L3611" s="344">
        <v>44209</v>
      </c>
      <c r="M3611" s="347">
        <v>0</v>
      </c>
    </row>
    <row r="3612" spans="1:13" hidden="1" x14ac:dyDescent="0.25">
      <c r="A3612" s="344">
        <v>44227</v>
      </c>
      <c r="B3612" s="343" t="s">
        <v>2009</v>
      </c>
      <c r="C3612" s="343" t="s">
        <v>1060</v>
      </c>
      <c r="D3612" s="345">
        <v>8</v>
      </c>
      <c r="E3612" s="346">
        <v>-781.8</v>
      </c>
      <c r="F3612" s="346">
        <v>10121.719999999999</v>
      </c>
      <c r="G3612" s="343" t="s">
        <v>2010</v>
      </c>
      <c r="H3612" s="343" t="s">
        <v>2026</v>
      </c>
      <c r="I3612" s="343" t="s">
        <v>1880</v>
      </c>
      <c r="J3612" s="343" t="s">
        <v>757</v>
      </c>
      <c r="K3612" s="343" t="s">
        <v>741</v>
      </c>
      <c r="L3612" s="344">
        <v>44227</v>
      </c>
      <c r="M3612" s="347">
        <v>0</v>
      </c>
    </row>
    <row r="3613" spans="1:13" hidden="1" x14ac:dyDescent="0.25">
      <c r="A3613" s="344">
        <v>44227</v>
      </c>
      <c r="B3613" s="343" t="s">
        <v>1974</v>
      </c>
      <c r="C3613" s="343" t="s">
        <v>1059</v>
      </c>
      <c r="D3613" s="345">
        <v>8</v>
      </c>
      <c r="E3613" s="346">
        <v>-108.24</v>
      </c>
      <c r="F3613" s="346">
        <v>10013.48</v>
      </c>
      <c r="G3613" s="343" t="s">
        <v>1975</v>
      </c>
      <c r="H3613" s="343" t="s">
        <v>2026</v>
      </c>
      <c r="I3613" s="343" t="s">
        <v>1880</v>
      </c>
      <c r="J3613" s="343" t="s">
        <v>757</v>
      </c>
      <c r="K3613" s="343" t="s">
        <v>741</v>
      </c>
      <c r="L3613" s="344">
        <v>44227</v>
      </c>
      <c r="M3613" s="347">
        <v>0</v>
      </c>
    </row>
    <row r="3614" spans="1:13" hidden="1" x14ac:dyDescent="0.25">
      <c r="A3614" s="344">
        <v>44228</v>
      </c>
      <c r="B3614" s="343" t="s">
        <v>2013</v>
      </c>
      <c r="C3614" s="343" t="s">
        <v>769</v>
      </c>
      <c r="D3614" s="345">
        <v>8</v>
      </c>
      <c r="E3614" s="346">
        <v>78.180000000000007</v>
      </c>
      <c r="F3614" s="346">
        <v>10091.66</v>
      </c>
      <c r="G3614" s="343" t="s">
        <v>2014</v>
      </c>
      <c r="H3614" s="343" t="s">
        <v>2026</v>
      </c>
      <c r="I3614" s="343" t="s">
        <v>1880</v>
      </c>
      <c r="J3614" s="343" t="s">
        <v>757</v>
      </c>
      <c r="K3614" s="343" t="s">
        <v>770</v>
      </c>
      <c r="L3614" s="344">
        <v>44228</v>
      </c>
      <c r="M3614" s="347">
        <v>0</v>
      </c>
    </row>
    <row r="3615" spans="1:13" hidden="1" x14ac:dyDescent="0.25">
      <c r="A3615" s="344">
        <v>44228</v>
      </c>
      <c r="B3615" s="343" t="s">
        <v>2013</v>
      </c>
      <c r="C3615" s="343" t="s">
        <v>769</v>
      </c>
      <c r="D3615" s="345">
        <v>8</v>
      </c>
      <c r="E3615" s="346">
        <v>78.180000000000007</v>
      </c>
      <c r="F3615" s="346">
        <v>10169.84</v>
      </c>
      <c r="G3615" s="343" t="s">
        <v>2014</v>
      </c>
      <c r="H3615" s="343" t="s">
        <v>2026</v>
      </c>
      <c r="I3615" s="343" t="s">
        <v>1880</v>
      </c>
      <c r="J3615" s="343" t="s">
        <v>757</v>
      </c>
      <c r="K3615" s="343" t="s">
        <v>770</v>
      </c>
      <c r="L3615" s="344">
        <v>44228</v>
      </c>
      <c r="M3615" s="347">
        <v>0</v>
      </c>
    </row>
    <row r="3616" spans="1:13" hidden="1" x14ac:dyDescent="0.25">
      <c r="A3616" s="344">
        <v>44228</v>
      </c>
      <c r="B3616" s="343" t="s">
        <v>2013</v>
      </c>
      <c r="C3616" s="343" t="s">
        <v>769</v>
      </c>
      <c r="D3616" s="345">
        <v>8</v>
      </c>
      <c r="E3616" s="346">
        <v>78.180000000000007</v>
      </c>
      <c r="F3616" s="346">
        <v>10248.02</v>
      </c>
      <c r="G3616" s="343" t="s">
        <v>2014</v>
      </c>
      <c r="H3616" s="343" t="s">
        <v>2026</v>
      </c>
      <c r="I3616" s="343" t="s">
        <v>1880</v>
      </c>
      <c r="J3616" s="343" t="s">
        <v>757</v>
      </c>
      <c r="K3616" s="343" t="s">
        <v>770</v>
      </c>
      <c r="L3616" s="344">
        <v>44228</v>
      </c>
      <c r="M3616" s="347">
        <v>0</v>
      </c>
    </row>
    <row r="3617" spans="1:13" hidden="1" x14ac:dyDescent="0.25">
      <c r="A3617" s="344">
        <v>44228</v>
      </c>
      <c r="B3617" s="343" t="s">
        <v>2013</v>
      </c>
      <c r="C3617" s="343" t="s">
        <v>769</v>
      </c>
      <c r="D3617" s="345">
        <v>8</v>
      </c>
      <c r="E3617" s="346">
        <v>78.180000000000007</v>
      </c>
      <c r="F3617" s="346">
        <v>10326.200000000001</v>
      </c>
      <c r="G3617" s="343" t="s">
        <v>2014</v>
      </c>
      <c r="H3617" s="343" t="s">
        <v>2026</v>
      </c>
      <c r="I3617" s="343" t="s">
        <v>1880</v>
      </c>
      <c r="J3617" s="343" t="s">
        <v>757</v>
      </c>
      <c r="K3617" s="343" t="s">
        <v>770</v>
      </c>
      <c r="L3617" s="344">
        <v>44228</v>
      </c>
      <c r="M3617" s="347">
        <v>0</v>
      </c>
    </row>
    <row r="3618" spans="1:13" hidden="1" x14ac:dyDescent="0.25">
      <c r="A3618" s="344">
        <v>44228</v>
      </c>
      <c r="B3618" s="343" t="s">
        <v>2013</v>
      </c>
      <c r="C3618" s="343" t="s">
        <v>769</v>
      </c>
      <c r="D3618" s="345">
        <v>8</v>
      </c>
      <c r="E3618" s="346">
        <v>78.180000000000007</v>
      </c>
      <c r="F3618" s="346">
        <v>10404.379999999999</v>
      </c>
      <c r="G3618" s="343" t="s">
        <v>2014</v>
      </c>
      <c r="H3618" s="343" t="s">
        <v>2026</v>
      </c>
      <c r="I3618" s="343" t="s">
        <v>1880</v>
      </c>
      <c r="J3618" s="343" t="s">
        <v>757</v>
      </c>
      <c r="K3618" s="343" t="s">
        <v>770</v>
      </c>
      <c r="L3618" s="344">
        <v>44228</v>
      </c>
      <c r="M3618" s="347">
        <v>0</v>
      </c>
    </row>
    <row r="3619" spans="1:13" hidden="1" x14ac:dyDescent="0.25">
      <c r="A3619" s="344">
        <v>44228</v>
      </c>
      <c r="B3619" s="343" t="s">
        <v>2013</v>
      </c>
      <c r="C3619" s="343" t="s">
        <v>769</v>
      </c>
      <c r="D3619" s="345">
        <v>8</v>
      </c>
      <c r="E3619" s="346">
        <v>78.180000000000007</v>
      </c>
      <c r="F3619" s="346">
        <v>10482.56</v>
      </c>
      <c r="G3619" s="343" t="s">
        <v>2014</v>
      </c>
      <c r="H3619" s="343" t="s">
        <v>2026</v>
      </c>
      <c r="I3619" s="343" t="s">
        <v>1880</v>
      </c>
      <c r="J3619" s="343" t="s">
        <v>757</v>
      </c>
      <c r="K3619" s="343" t="s">
        <v>770</v>
      </c>
      <c r="L3619" s="344">
        <v>44228</v>
      </c>
      <c r="M3619" s="347">
        <v>0</v>
      </c>
    </row>
    <row r="3620" spans="1:13" hidden="1" x14ac:dyDescent="0.25">
      <c r="A3620" s="344">
        <v>44228</v>
      </c>
      <c r="B3620" s="343" t="s">
        <v>2013</v>
      </c>
      <c r="C3620" s="343" t="s">
        <v>769</v>
      </c>
      <c r="D3620" s="345">
        <v>8</v>
      </c>
      <c r="E3620" s="346">
        <v>78.180000000000007</v>
      </c>
      <c r="F3620" s="346">
        <v>10560.74</v>
      </c>
      <c r="G3620" s="343" t="s">
        <v>2014</v>
      </c>
      <c r="H3620" s="343" t="s">
        <v>2026</v>
      </c>
      <c r="I3620" s="343" t="s">
        <v>1880</v>
      </c>
      <c r="J3620" s="343" t="s">
        <v>757</v>
      </c>
      <c r="K3620" s="343" t="s">
        <v>770</v>
      </c>
      <c r="L3620" s="344">
        <v>44228</v>
      </c>
      <c r="M3620" s="347">
        <v>0</v>
      </c>
    </row>
    <row r="3621" spans="1:13" hidden="1" x14ac:dyDescent="0.25">
      <c r="A3621" s="344">
        <v>44228</v>
      </c>
      <c r="B3621" s="343" t="s">
        <v>2013</v>
      </c>
      <c r="C3621" s="343" t="s">
        <v>769</v>
      </c>
      <c r="D3621" s="345">
        <v>8</v>
      </c>
      <c r="E3621" s="346">
        <v>78.180000000000007</v>
      </c>
      <c r="F3621" s="346">
        <v>10638.92</v>
      </c>
      <c r="G3621" s="343" t="s">
        <v>2014</v>
      </c>
      <c r="H3621" s="343" t="s">
        <v>2026</v>
      </c>
      <c r="I3621" s="343" t="s">
        <v>1880</v>
      </c>
      <c r="J3621" s="343" t="s">
        <v>757</v>
      </c>
      <c r="K3621" s="343" t="s">
        <v>770</v>
      </c>
      <c r="L3621" s="344">
        <v>44228</v>
      </c>
      <c r="M3621" s="347">
        <v>0</v>
      </c>
    </row>
    <row r="3622" spans="1:13" hidden="1" x14ac:dyDescent="0.25">
      <c r="A3622" s="344">
        <v>44228</v>
      </c>
      <c r="B3622" s="343" t="s">
        <v>2013</v>
      </c>
      <c r="C3622" s="343" t="s">
        <v>769</v>
      </c>
      <c r="D3622" s="345">
        <v>8</v>
      </c>
      <c r="E3622" s="346">
        <v>78.180000000000007</v>
      </c>
      <c r="F3622" s="346">
        <v>10717.1</v>
      </c>
      <c r="G3622" s="343" t="s">
        <v>2014</v>
      </c>
      <c r="H3622" s="343" t="s">
        <v>2026</v>
      </c>
      <c r="I3622" s="343" t="s">
        <v>1880</v>
      </c>
      <c r="J3622" s="343" t="s">
        <v>757</v>
      </c>
      <c r="K3622" s="343" t="s">
        <v>770</v>
      </c>
      <c r="L3622" s="344">
        <v>44228</v>
      </c>
      <c r="M3622" s="347">
        <v>0</v>
      </c>
    </row>
    <row r="3623" spans="1:13" hidden="1" x14ac:dyDescent="0.25">
      <c r="A3623" s="344">
        <v>44228</v>
      </c>
      <c r="B3623" s="343" t="s">
        <v>2013</v>
      </c>
      <c r="C3623" s="343" t="s">
        <v>769</v>
      </c>
      <c r="D3623" s="345">
        <v>8</v>
      </c>
      <c r="E3623" s="346">
        <v>78.180000000000007</v>
      </c>
      <c r="F3623" s="346">
        <v>10795.28</v>
      </c>
      <c r="G3623" s="343" t="s">
        <v>2014</v>
      </c>
      <c r="H3623" s="343" t="s">
        <v>2026</v>
      </c>
      <c r="I3623" s="343" t="s">
        <v>1880</v>
      </c>
      <c r="J3623" s="343" t="s">
        <v>757</v>
      </c>
      <c r="K3623" s="343" t="s">
        <v>770</v>
      </c>
      <c r="L3623" s="344">
        <v>44228</v>
      </c>
      <c r="M3623" s="347">
        <v>0</v>
      </c>
    </row>
    <row r="3624" spans="1:13" hidden="1" x14ac:dyDescent="0.25">
      <c r="A3624" s="344">
        <v>44244</v>
      </c>
      <c r="B3624" s="343" t="s">
        <v>1978</v>
      </c>
      <c r="C3624" s="343" t="s">
        <v>1059</v>
      </c>
      <c r="D3624" s="345">
        <v>8</v>
      </c>
      <c r="E3624" s="346">
        <v>-108.24</v>
      </c>
      <c r="F3624" s="346">
        <v>10687.04</v>
      </c>
      <c r="G3624" s="343" t="s">
        <v>1979</v>
      </c>
      <c r="H3624" s="343" t="s">
        <v>2026</v>
      </c>
      <c r="I3624" s="343" t="s">
        <v>1880</v>
      </c>
      <c r="J3624" s="343" t="s">
        <v>757</v>
      </c>
      <c r="K3624" s="343" t="s">
        <v>741</v>
      </c>
      <c r="L3624" s="344">
        <v>44244</v>
      </c>
      <c r="M3624" s="347">
        <v>0</v>
      </c>
    </row>
    <row r="3625" spans="1:13" hidden="1" x14ac:dyDescent="0.25">
      <c r="A3625" s="344">
        <v>44255</v>
      </c>
      <c r="B3625" s="343" t="s">
        <v>2015</v>
      </c>
      <c r="C3625" s="343" t="s">
        <v>936</v>
      </c>
      <c r="D3625" s="345">
        <v>9</v>
      </c>
      <c r="E3625" s="346">
        <v>-75.39</v>
      </c>
      <c r="F3625" s="346">
        <v>10611.65</v>
      </c>
      <c r="G3625" s="343" t="s">
        <v>2016</v>
      </c>
      <c r="H3625" s="343" t="s">
        <v>2026</v>
      </c>
      <c r="I3625" s="343" t="s">
        <v>1880</v>
      </c>
      <c r="J3625" s="343" t="s">
        <v>757</v>
      </c>
      <c r="K3625" s="343" t="s">
        <v>770</v>
      </c>
      <c r="L3625" s="344">
        <v>44255</v>
      </c>
      <c r="M3625" s="347">
        <v>0</v>
      </c>
    </row>
    <row r="3626" spans="1:13" hidden="1" x14ac:dyDescent="0.25">
      <c r="A3626" s="344">
        <v>44256</v>
      </c>
      <c r="B3626" s="343" t="s">
        <v>2017</v>
      </c>
      <c r="C3626" s="343" t="s">
        <v>769</v>
      </c>
      <c r="D3626" s="345">
        <v>9</v>
      </c>
      <c r="E3626" s="346">
        <v>78.180000000000007</v>
      </c>
      <c r="F3626" s="346">
        <v>10689.83</v>
      </c>
      <c r="G3626" s="343" t="s">
        <v>2018</v>
      </c>
      <c r="H3626" s="343" t="s">
        <v>2026</v>
      </c>
      <c r="I3626" s="343" t="s">
        <v>1880</v>
      </c>
      <c r="J3626" s="343" t="s">
        <v>757</v>
      </c>
      <c r="K3626" s="343" t="s">
        <v>770</v>
      </c>
      <c r="L3626" s="344">
        <v>44256</v>
      </c>
      <c r="M3626" s="347">
        <v>0</v>
      </c>
    </row>
    <row r="3627" spans="1:13" hidden="1" x14ac:dyDescent="0.25">
      <c r="A3627" s="344">
        <v>44256</v>
      </c>
      <c r="B3627" s="343" t="s">
        <v>2017</v>
      </c>
      <c r="C3627" s="343" t="s">
        <v>769</v>
      </c>
      <c r="D3627" s="345">
        <v>9</v>
      </c>
      <c r="E3627" s="346">
        <v>78.180000000000007</v>
      </c>
      <c r="F3627" s="346">
        <v>10768.01</v>
      </c>
      <c r="G3627" s="343" t="s">
        <v>2018</v>
      </c>
      <c r="H3627" s="343" t="s">
        <v>2026</v>
      </c>
      <c r="I3627" s="343" t="s">
        <v>1880</v>
      </c>
      <c r="J3627" s="343" t="s">
        <v>757</v>
      </c>
      <c r="K3627" s="343" t="s">
        <v>770</v>
      </c>
      <c r="L3627" s="344">
        <v>44256</v>
      </c>
      <c r="M3627" s="347">
        <v>0</v>
      </c>
    </row>
    <row r="3628" spans="1:13" hidden="1" x14ac:dyDescent="0.25">
      <c r="A3628" s="344">
        <v>44256</v>
      </c>
      <c r="B3628" s="343" t="s">
        <v>2017</v>
      </c>
      <c r="C3628" s="343" t="s">
        <v>769</v>
      </c>
      <c r="D3628" s="345">
        <v>9</v>
      </c>
      <c r="E3628" s="346">
        <v>78.180000000000007</v>
      </c>
      <c r="F3628" s="346">
        <v>10846.19</v>
      </c>
      <c r="G3628" s="343" t="s">
        <v>2018</v>
      </c>
      <c r="H3628" s="343" t="s">
        <v>2026</v>
      </c>
      <c r="I3628" s="343" t="s">
        <v>1880</v>
      </c>
      <c r="J3628" s="343" t="s">
        <v>757</v>
      </c>
      <c r="K3628" s="343" t="s">
        <v>770</v>
      </c>
      <c r="L3628" s="344">
        <v>44256</v>
      </c>
      <c r="M3628" s="347">
        <v>0</v>
      </c>
    </row>
    <row r="3629" spans="1:13" hidden="1" x14ac:dyDescent="0.25">
      <c r="A3629" s="344">
        <v>44256</v>
      </c>
      <c r="B3629" s="343" t="s">
        <v>2017</v>
      </c>
      <c r="C3629" s="343" t="s">
        <v>769</v>
      </c>
      <c r="D3629" s="345">
        <v>9</v>
      </c>
      <c r="E3629" s="346">
        <v>78.180000000000007</v>
      </c>
      <c r="F3629" s="346">
        <v>10924.37</v>
      </c>
      <c r="G3629" s="343" t="s">
        <v>2018</v>
      </c>
      <c r="H3629" s="343" t="s">
        <v>2026</v>
      </c>
      <c r="I3629" s="343" t="s">
        <v>1880</v>
      </c>
      <c r="J3629" s="343" t="s">
        <v>757</v>
      </c>
      <c r="K3629" s="343" t="s">
        <v>770</v>
      </c>
      <c r="L3629" s="344">
        <v>44256</v>
      </c>
      <c r="M3629" s="347">
        <v>0</v>
      </c>
    </row>
    <row r="3630" spans="1:13" hidden="1" x14ac:dyDescent="0.25">
      <c r="A3630" s="344">
        <v>44256</v>
      </c>
      <c r="B3630" s="343" t="s">
        <v>2017</v>
      </c>
      <c r="C3630" s="343" t="s">
        <v>769</v>
      </c>
      <c r="D3630" s="345">
        <v>9</v>
      </c>
      <c r="E3630" s="346">
        <v>78.180000000000007</v>
      </c>
      <c r="F3630" s="346">
        <v>11002.55</v>
      </c>
      <c r="G3630" s="343" t="s">
        <v>2018</v>
      </c>
      <c r="H3630" s="343" t="s">
        <v>2026</v>
      </c>
      <c r="I3630" s="343" t="s">
        <v>1880</v>
      </c>
      <c r="J3630" s="343" t="s">
        <v>757</v>
      </c>
      <c r="K3630" s="343" t="s">
        <v>770</v>
      </c>
      <c r="L3630" s="344">
        <v>44256</v>
      </c>
      <c r="M3630" s="347">
        <v>0</v>
      </c>
    </row>
    <row r="3631" spans="1:13" hidden="1" x14ac:dyDescent="0.25">
      <c r="A3631" s="344">
        <v>44256</v>
      </c>
      <c r="B3631" s="343" t="s">
        <v>2017</v>
      </c>
      <c r="C3631" s="343" t="s">
        <v>769</v>
      </c>
      <c r="D3631" s="345">
        <v>9</v>
      </c>
      <c r="E3631" s="346">
        <v>78.180000000000007</v>
      </c>
      <c r="F3631" s="346">
        <v>11080.73</v>
      </c>
      <c r="G3631" s="343" t="s">
        <v>2018</v>
      </c>
      <c r="H3631" s="343" t="s">
        <v>2026</v>
      </c>
      <c r="I3631" s="343" t="s">
        <v>1880</v>
      </c>
      <c r="J3631" s="343" t="s">
        <v>757</v>
      </c>
      <c r="K3631" s="343" t="s">
        <v>770</v>
      </c>
      <c r="L3631" s="344">
        <v>44256</v>
      </c>
      <c r="M3631" s="347">
        <v>0</v>
      </c>
    </row>
    <row r="3632" spans="1:13" hidden="1" x14ac:dyDescent="0.25">
      <c r="A3632" s="344">
        <v>44256</v>
      </c>
      <c r="B3632" s="343" t="s">
        <v>2017</v>
      </c>
      <c r="C3632" s="343" t="s">
        <v>769</v>
      </c>
      <c r="D3632" s="345">
        <v>9</v>
      </c>
      <c r="E3632" s="346">
        <v>78.180000000000007</v>
      </c>
      <c r="F3632" s="346">
        <v>11158.91</v>
      </c>
      <c r="G3632" s="343" t="s">
        <v>2018</v>
      </c>
      <c r="H3632" s="343" t="s">
        <v>2026</v>
      </c>
      <c r="I3632" s="343" t="s">
        <v>1880</v>
      </c>
      <c r="J3632" s="343" t="s">
        <v>757</v>
      </c>
      <c r="K3632" s="343" t="s">
        <v>770</v>
      </c>
      <c r="L3632" s="344">
        <v>44256</v>
      </c>
      <c r="M3632" s="347">
        <v>0</v>
      </c>
    </row>
    <row r="3633" spans="1:13" hidden="1" x14ac:dyDescent="0.25">
      <c r="A3633" s="344">
        <v>44256</v>
      </c>
      <c r="B3633" s="343" t="s">
        <v>2017</v>
      </c>
      <c r="C3633" s="343" t="s">
        <v>769</v>
      </c>
      <c r="D3633" s="345">
        <v>9</v>
      </c>
      <c r="E3633" s="346">
        <v>78.180000000000007</v>
      </c>
      <c r="F3633" s="346">
        <v>11237.09</v>
      </c>
      <c r="G3633" s="343" t="s">
        <v>2018</v>
      </c>
      <c r="H3633" s="343" t="s">
        <v>2026</v>
      </c>
      <c r="I3633" s="343" t="s">
        <v>1880</v>
      </c>
      <c r="J3633" s="343" t="s">
        <v>757</v>
      </c>
      <c r="K3633" s="343" t="s">
        <v>770</v>
      </c>
      <c r="L3633" s="344">
        <v>44256</v>
      </c>
      <c r="M3633" s="347">
        <v>0</v>
      </c>
    </row>
    <row r="3634" spans="1:13" hidden="1" x14ac:dyDescent="0.25">
      <c r="A3634" s="344">
        <v>44256</v>
      </c>
      <c r="B3634" s="343" t="s">
        <v>2017</v>
      </c>
      <c r="C3634" s="343" t="s">
        <v>769</v>
      </c>
      <c r="D3634" s="345">
        <v>9</v>
      </c>
      <c r="E3634" s="346">
        <v>78.180000000000007</v>
      </c>
      <c r="F3634" s="346">
        <v>11315.27</v>
      </c>
      <c r="G3634" s="343" t="s">
        <v>2018</v>
      </c>
      <c r="H3634" s="343" t="s">
        <v>2026</v>
      </c>
      <c r="I3634" s="343" t="s">
        <v>1880</v>
      </c>
      <c r="J3634" s="343" t="s">
        <v>757</v>
      </c>
      <c r="K3634" s="343" t="s">
        <v>770</v>
      </c>
      <c r="L3634" s="344">
        <v>44256</v>
      </c>
      <c r="M3634" s="347">
        <v>0</v>
      </c>
    </row>
    <row r="3635" spans="1:13" hidden="1" x14ac:dyDescent="0.25">
      <c r="A3635" s="344">
        <v>44259</v>
      </c>
      <c r="B3635" s="343" t="s">
        <v>1939</v>
      </c>
      <c r="C3635" s="343" t="s">
        <v>1059</v>
      </c>
      <c r="D3635" s="345">
        <v>9</v>
      </c>
      <c r="E3635" s="346">
        <v>-108.24</v>
      </c>
      <c r="F3635" s="346">
        <v>11207.03</v>
      </c>
      <c r="G3635" s="343" t="s">
        <v>1940</v>
      </c>
      <c r="H3635" s="343" t="s">
        <v>2026</v>
      </c>
      <c r="I3635" s="343" t="s">
        <v>1880</v>
      </c>
      <c r="J3635" s="343" t="s">
        <v>757</v>
      </c>
      <c r="K3635" s="343" t="s">
        <v>741</v>
      </c>
      <c r="L3635" s="344">
        <v>44259</v>
      </c>
      <c r="M3635" s="347">
        <v>0</v>
      </c>
    </row>
    <row r="3636" spans="1:13" hidden="1" x14ac:dyDescent="0.25">
      <c r="A3636" s="344">
        <v>44272</v>
      </c>
      <c r="B3636" s="343" t="s">
        <v>1982</v>
      </c>
      <c r="C3636" s="343" t="s">
        <v>1059</v>
      </c>
      <c r="D3636" s="345">
        <v>9</v>
      </c>
      <c r="E3636" s="346">
        <v>-108.24</v>
      </c>
      <c r="F3636" s="346">
        <v>11098.79</v>
      </c>
      <c r="G3636" s="343" t="s">
        <v>1983</v>
      </c>
      <c r="H3636" s="343" t="s">
        <v>2026</v>
      </c>
      <c r="I3636" s="343" t="s">
        <v>1880</v>
      </c>
      <c r="J3636" s="343" t="s">
        <v>757</v>
      </c>
      <c r="K3636" s="343" t="s">
        <v>741</v>
      </c>
      <c r="L3636" s="344">
        <v>44272</v>
      </c>
      <c r="M3636" s="347">
        <v>0</v>
      </c>
    </row>
    <row r="3637" spans="1:13" hidden="1" x14ac:dyDescent="0.25">
      <c r="A3637" s="344">
        <v>44286</v>
      </c>
      <c r="B3637" s="343" t="s">
        <v>1918</v>
      </c>
      <c r="C3637" s="343" t="s">
        <v>1059</v>
      </c>
      <c r="D3637" s="345">
        <v>9</v>
      </c>
      <c r="E3637" s="346">
        <v>-108.24</v>
      </c>
      <c r="F3637" s="346">
        <v>10990.55</v>
      </c>
      <c r="G3637" s="343" t="s">
        <v>1919</v>
      </c>
      <c r="H3637" s="343" t="s">
        <v>2026</v>
      </c>
      <c r="I3637" s="343" t="s">
        <v>1880</v>
      </c>
      <c r="J3637" s="343" t="s">
        <v>757</v>
      </c>
      <c r="K3637" s="343" t="s">
        <v>741</v>
      </c>
      <c r="L3637" s="344">
        <v>44286</v>
      </c>
      <c r="M3637" s="347">
        <v>0</v>
      </c>
    </row>
    <row r="3638" spans="1:13" hidden="1" x14ac:dyDescent="0.25">
      <c r="A3638" s="344">
        <v>44286</v>
      </c>
      <c r="B3638" s="343" t="s">
        <v>2019</v>
      </c>
      <c r="C3638" s="343" t="s">
        <v>936</v>
      </c>
      <c r="D3638" s="345">
        <v>10</v>
      </c>
      <c r="E3638" s="346">
        <v>-35.31</v>
      </c>
      <c r="F3638" s="346">
        <v>10955.24</v>
      </c>
      <c r="G3638" s="343" t="s">
        <v>2020</v>
      </c>
      <c r="H3638" s="343" t="s">
        <v>2026</v>
      </c>
      <c r="I3638" s="343" t="s">
        <v>1880</v>
      </c>
      <c r="J3638" s="343" t="s">
        <v>757</v>
      </c>
      <c r="K3638" s="343" t="s">
        <v>770</v>
      </c>
      <c r="L3638" s="344">
        <v>44286</v>
      </c>
      <c r="M3638" s="347">
        <v>0</v>
      </c>
    </row>
    <row r="3639" spans="1:13" hidden="1" x14ac:dyDescent="0.25">
      <c r="A3639" s="344">
        <v>44286</v>
      </c>
      <c r="B3639" s="343" t="s">
        <v>2019</v>
      </c>
      <c r="C3639" s="343" t="s">
        <v>936</v>
      </c>
      <c r="D3639" s="345">
        <v>10</v>
      </c>
      <c r="E3639" s="346">
        <v>-35.31</v>
      </c>
      <c r="F3639" s="346">
        <v>10919.93</v>
      </c>
      <c r="G3639" s="343" t="s">
        <v>2020</v>
      </c>
      <c r="H3639" s="343" t="s">
        <v>2026</v>
      </c>
      <c r="I3639" s="343" t="s">
        <v>1880</v>
      </c>
      <c r="J3639" s="343" t="s">
        <v>757</v>
      </c>
      <c r="K3639" s="343" t="s">
        <v>770</v>
      </c>
      <c r="L3639" s="344">
        <v>44286</v>
      </c>
      <c r="M3639" s="347">
        <v>0</v>
      </c>
    </row>
    <row r="3640" spans="1:13" hidden="1" x14ac:dyDescent="0.25">
      <c r="A3640" s="344">
        <v>44286</v>
      </c>
      <c r="B3640" s="343" t="s">
        <v>2019</v>
      </c>
      <c r="C3640" s="343" t="s">
        <v>936</v>
      </c>
      <c r="D3640" s="345">
        <v>10</v>
      </c>
      <c r="E3640" s="346">
        <v>-35.31</v>
      </c>
      <c r="F3640" s="346">
        <v>10884.62</v>
      </c>
      <c r="G3640" s="343" t="s">
        <v>2020</v>
      </c>
      <c r="H3640" s="343" t="s">
        <v>2026</v>
      </c>
      <c r="I3640" s="343" t="s">
        <v>1880</v>
      </c>
      <c r="J3640" s="343" t="s">
        <v>757</v>
      </c>
      <c r="K3640" s="343" t="s">
        <v>770</v>
      </c>
      <c r="L3640" s="344">
        <v>44286</v>
      </c>
      <c r="M3640" s="347">
        <v>0</v>
      </c>
    </row>
    <row r="3641" spans="1:13" hidden="1" x14ac:dyDescent="0.25">
      <c r="A3641" s="344">
        <v>44286</v>
      </c>
      <c r="B3641" s="343" t="s">
        <v>2019</v>
      </c>
      <c r="C3641" s="343" t="s">
        <v>936</v>
      </c>
      <c r="D3641" s="345">
        <v>10</v>
      </c>
      <c r="E3641" s="346">
        <v>-42.87</v>
      </c>
      <c r="F3641" s="346">
        <v>10841.75</v>
      </c>
      <c r="G3641" s="343" t="s">
        <v>2020</v>
      </c>
      <c r="H3641" s="343" t="s">
        <v>2026</v>
      </c>
      <c r="I3641" s="343" t="s">
        <v>1880</v>
      </c>
      <c r="J3641" s="343" t="s">
        <v>757</v>
      </c>
      <c r="K3641" s="343" t="s">
        <v>770</v>
      </c>
      <c r="L3641" s="344">
        <v>44286</v>
      </c>
      <c r="M3641" s="347">
        <v>0</v>
      </c>
    </row>
    <row r="3642" spans="1:13" hidden="1" x14ac:dyDescent="0.25">
      <c r="A3642" s="344">
        <v>44287</v>
      </c>
      <c r="B3642" s="343" t="s">
        <v>2021</v>
      </c>
      <c r="C3642" s="343" t="s">
        <v>769</v>
      </c>
      <c r="D3642" s="345">
        <v>10</v>
      </c>
      <c r="E3642" s="346">
        <v>78.180000000000007</v>
      </c>
      <c r="F3642" s="346">
        <v>10919.93</v>
      </c>
      <c r="G3642" s="343" t="s">
        <v>2022</v>
      </c>
      <c r="H3642" s="343" t="s">
        <v>2026</v>
      </c>
      <c r="I3642" s="343" t="s">
        <v>1880</v>
      </c>
      <c r="J3642" s="343" t="s">
        <v>757</v>
      </c>
      <c r="K3642" s="343" t="s">
        <v>770</v>
      </c>
      <c r="L3642" s="344">
        <v>44287</v>
      </c>
      <c r="M3642" s="347">
        <v>0</v>
      </c>
    </row>
    <row r="3643" spans="1:13" hidden="1" x14ac:dyDescent="0.25">
      <c r="A3643" s="344">
        <v>44287</v>
      </c>
      <c r="B3643" s="343" t="s">
        <v>2021</v>
      </c>
      <c r="C3643" s="343" t="s">
        <v>769</v>
      </c>
      <c r="D3643" s="345">
        <v>10</v>
      </c>
      <c r="E3643" s="346">
        <v>78.180000000000007</v>
      </c>
      <c r="F3643" s="346">
        <v>10998.11</v>
      </c>
      <c r="G3643" s="343" t="s">
        <v>2022</v>
      </c>
      <c r="H3643" s="343" t="s">
        <v>2026</v>
      </c>
      <c r="I3643" s="343" t="s">
        <v>1880</v>
      </c>
      <c r="J3643" s="343" t="s">
        <v>757</v>
      </c>
      <c r="K3643" s="343" t="s">
        <v>770</v>
      </c>
      <c r="L3643" s="344">
        <v>44287</v>
      </c>
      <c r="M3643" s="347">
        <v>0</v>
      </c>
    </row>
    <row r="3644" spans="1:13" hidden="1" x14ac:dyDescent="0.25">
      <c r="A3644" s="344">
        <v>44287</v>
      </c>
      <c r="B3644" s="343" t="s">
        <v>2021</v>
      </c>
      <c r="C3644" s="343" t="s">
        <v>769</v>
      </c>
      <c r="D3644" s="345">
        <v>10</v>
      </c>
      <c r="E3644" s="346">
        <v>78.180000000000007</v>
      </c>
      <c r="F3644" s="346">
        <v>11076.29</v>
      </c>
      <c r="G3644" s="343" t="s">
        <v>2022</v>
      </c>
      <c r="H3644" s="343" t="s">
        <v>2026</v>
      </c>
      <c r="I3644" s="343" t="s">
        <v>1880</v>
      </c>
      <c r="J3644" s="343" t="s">
        <v>757</v>
      </c>
      <c r="K3644" s="343" t="s">
        <v>770</v>
      </c>
      <c r="L3644" s="344">
        <v>44287</v>
      </c>
      <c r="M3644" s="347">
        <v>0</v>
      </c>
    </row>
    <row r="3645" spans="1:13" hidden="1" x14ac:dyDescent="0.25">
      <c r="A3645" s="344">
        <v>44287</v>
      </c>
      <c r="B3645" s="343" t="s">
        <v>2021</v>
      </c>
      <c r="C3645" s="343" t="s">
        <v>769</v>
      </c>
      <c r="D3645" s="345">
        <v>10</v>
      </c>
      <c r="E3645" s="346">
        <v>78.180000000000007</v>
      </c>
      <c r="F3645" s="346">
        <v>11154.47</v>
      </c>
      <c r="G3645" s="343" t="s">
        <v>2022</v>
      </c>
      <c r="H3645" s="343" t="s">
        <v>2026</v>
      </c>
      <c r="I3645" s="343" t="s">
        <v>1880</v>
      </c>
      <c r="J3645" s="343" t="s">
        <v>757</v>
      </c>
      <c r="K3645" s="343" t="s">
        <v>770</v>
      </c>
      <c r="L3645" s="344">
        <v>44287</v>
      </c>
      <c r="M3645" s="347">
        <v>0</v>
      </c>
    </row>
    <row r="3646" spans="1:13" hidden="1" x14ac:dyDescent="0.25">
      <c r="A3646" s="344">
        <v>44166</v>
      </c>
      <c r="B3646" s="343" t="s">
        <v>2003</v>
      </c>
      <c r="C3646" s="343" t="s">
        <v>769</v>
      </c>
      <c r="D3646" s="345">
        <v>6</v>
      </c>
      <c r="E3646" s="346">
        <v>78.180000000000007</v>
      </c>
      <c r="F3646" s="346">
        <v>11545.35</v>
      </c>
      <c r="G3646" s="343" t="s">
        <v>2004</v>
      </c>
      <c r="H3646" s="343" t="s">
        <v>2029</v>
      </c>
      <c r="I3646" s="343" t="s">
        <v>1880</v>
      </c>
      <c r="J3646" s="343" t="s">
        <v>757</v>
      </c>
      <c r="K3646" s="343" t="s">
        <v>770</v>
      </c>
      <c r="L3646" s="344">
        <v>44166</v>
      </c>
      <c r="M3646" s="347">
        <v>0</v>
      </c>
    </row>
    <row r="3647" spans="1:13" hidden="1" x14ac:dyDescent="0.25">
      <c r="A3647" s="344">
        <v>44166</v>
      </c>
      <c r="B3647" s="343" t="s">
        <v>2003</v>
      </c>
      <c r="C3647" s="343" t="s">
        <v>769</v>
      </c>
      <c r="D3647" s="345">
        <v>6</v>
      </c>
      <c r="E3647" s="346">
        <v>78.180000000000007</v>
      </c>
      <c r="F3647" s="346">
        <v>11623.53</v>
      </c>
      <c r="G3647" s="343" t="s">
        <v>2004</v>
      </c>
      <c r="H3647" s="343" t="s">
        <v>2029</v>
      </c>
      <c r="I3647" s="343" t="s">
        <v>1880</v>
      </c>
      <c r="J3647" s="343" t="s">
        <v>757</v>
      </c>
      <c r="K3647" s="343" t="s">
        <v>770</v>
      </c>
      <c r="L3647" s="344">
        <v>44166</v>
      </c>
      <c r="M3647" s="347">
        <v>0</v>
      </c>
    </row>
    <row r="3648" spans="1:13" hidden="1" x14ac:dyDescent="0.25">
      <c r="A3648" s="344">
        <v>44166</v>
      </c>
      <c r="B3648" s="343" t="s">
        <v>2003</v>
      </c>
      <c r="C3648" s="343" t="s">
        <v>769</v>
      </c>
      <c r="D3648" s="345">
        <v>6</v>
      </c>
      <c r="E3648" s="346">
        <v>78.180000000000007</v>
      </c>
      <c r="F3648" s="346">
        <v>11701.71</v>
      </c>
      <c r="G3648" s="343" t="s">
        <v>2004</v>
      </c>
      <c r="H3648" s="343" t="s">
        <v>2029</v>
      </c>
      <c r="I3648" s="343" t="s">
        <v>1880</v>
      </c>
      <c r="J3648" s="343" t="s">
        <v>757</v>
      </c>
      <c r="K3648" s="343" t="s">
        <v>770</v>
      </c>
      <c r="L3648" s="344">
        <v>44166</v>
      </c>
      <c r="M3648" s="347">
        <v>0</v>
      </c>
    </row>
    <row r="3649" spans="1:13" hidden="1" x14ac:dyDescent="0.25">
      <c r="A3649" s="344">
        <v>44187</v>
      </c>
      <c r="B3649" s="343" t="s">
        <v>1966</v>
      </c>
      <c r="C3649" s="343" t="s">
        <v>1059</v>
      </c>
      <c r="D3649" s="345">
        <v>6</v>
      </c>
      <c r="E3649" s="346">
        <v>-72.16</v>
      </c>
      <c r="F3649" s="346">
        <v>11629.55</v>
      </c>
      <c r="G3649" s="343" t="s">
        <v>1967</v>
      </c>
      <c r="H3649" s="343" t="s">
        <v>2029</v>
      </c>
      <c r="I3649" s="343" t="s">
        <v>1880</v>
      </c>
      <c r="J3649" s="343" t="s">
        <v>757</v>
      </c>
      <c r="K3649" s="343" t="s">
        <v>741</v>
      </c>
      <c r="L3649" s="344">
        <v>44187</v>
      </c>
      <c r="M3649" s="347">
        <v>0</v>
      </c>
    </row>
    <row r="3650" spans="1:13" hidden="1" x14ac:dyDescent="0.25">
      <c r="A3650" s="344">
        <v>44203</v>
      </c>
      <c r="B3650" s="343" t="s">
        <v>1970</v>
      </c>
      <c r="C3650" s="343" t="s">
        <v>1059</v>
      </c>
      <c r="D3650" s="345">
        <v>7</v>
      </c>
      <c r="E3650" s="346">
        <v>-36.08</v>
      </c>
      <c r="F3650" s="346">
        <v>11593.47</v>
      </c>
      <c r="G3650" s="343" t="s">
        <v>1971</v>
      </c>
      <c r="H3650" s="343" t="s">
        <v>2029</v>
      </c>
      <c r="I3650" s="343" t="s">
        <v>1880</v>
      </c>
      <c r="J3650" s="343" t="s">
        <v>757</v>
      </c>
      <c r="K3650" s="343" t="s">
        <v>741</v>
      </c>
      <c r="L3650" s="344">
        <v>44203</v>
      </c>
      <c r="M3650" s="347">
        <v>0</v>
      </c>
    </row>
    <row r="3651" spans="1:13" hidden="1" x14ac:dyDescent="0.25">
      <c r="A3651" s="344">
        <v>44227</v>
      </c>
      <c r="B3651" s="343" t="s">
        <v>2009</v>
      </c>
      <c r="C3651" s="343" t="s">
        <v>1060</v>
      </c>
      <c r="D3651" s="345">
        <v>7</v>
      </c>
      <c r="E3651" s="346">
        <v>234.54</v>
      </c>
      <c r="F3651" s="346">
        <v>11828.01</v>
      </c>
      <c r="G3651" s="343" t="s">
        <v>2010</v>
      </c>
      <c r="H3651" s="343" t="s">
        <v>2029</v>
      </c>
      <c r="I3651" s="343" t="s">
        <v>1880</v>
      </c>
      <c r="J3651" s="343" t="s">
        <v>757</v>
      </c>
      <c r="K3651" s="343" t="s">
        <v>741</v>
      </c>
      <c r="L3651" s="344">
        <v>44227</v>
      </c>
      <c r="M3651" s="347">
        <v>0</v>
      </c>
    </row>
    <row r="3652" spans="1:13" hidden="1" x14ac:dyDescent="0.25">
      <c r="A3652" s="344">
        <v>44197</v>
      </c>
      <c r="B3652" s="343" t="s">
        <v>2011</v>
      </c>
      <c r="C3652" s="343" t="s">
        <v>769</v>
      </c>
      <c r="D3652" s="345">
        <v>8</v>
      </c>
      <c r="E3652" s="346">
        <v>78.180000000000007</v>
      </c>
      <c r="F3652" s="346">
        <v>11906.19</v>
      </c>
      <c r="G3652" s="343" t="s">
        <v>2012</v>
      </c>
      <c r="H3652" s="343" t="s">
        <v>2029</v>
      </c>
      <c r="I3652" s="343" t="s">
        <v>1880</v>
      </c>
      <c r="J3652" s="343" t="s">
        <v>757</v>
      </c>
      <c r="K3652" s="343" t="s">
        <v>770</v>
      </c>
      <c r="L3652" s="344">
        <v>44197</v>
      </c>
      <c r="M3652" s="347">
        <v>0</v>
      </c>
    </row>
    <row r="3653" spans="1:13" hidden="1" x14ac:dyDescent="0.25">
      <c r="A3653" s="344">
        <v>44197</v>
      </c>
      <c r="B3653" s="343" t="s">
        <v>2011</v>
      </c>
      <c r="C3653" s="343" t="s">
        <v>769</v>
      </c>
      <c r="D3653" s="345">
        <v>8</v>
      </c>
      <c r="E3653" s="346">
        <v>78.180000000000007</v>
      </c>
      <c r="F3653" s="346">
        <v>11984.37</v>
      </c>
      <c r="G3653" s="343" t="s">
        <v>2012</v>
      </c>
      <c r="H3653" s="343" t="s">
        <v>2029</v>
      </c>
      <c r="I3653" s="343" t="s">
        <v>1880</v>
      </c>
      <c r="J3653" s="343" t="s">
        <v>757</v>
      </c>
      <c r="K3653" s="343" t="s">
        <v>770</v>
      </c>
      <c r="L3653" s="344">
        <v>44197</v>
      </c>
      <c r="M3653" s="347">
        <v>0</v>
      </c>
    </row>
    <row r="3654" spans="1:13" hidden="1" x14ac:dyDescent="0.25">
      <c r="A3654" s="344">
        <v>44197</v>
      </c>
      <c r="B3654" s="343" t="s">
        <v>2011</v>
      </c>
      <c r="C3654" s="343" t="s">
        <v>769</v>
      </c>
      <c r="D3654" s="345">
        <v>8</v>
      </c>
      <c r="E3654" s="346">
        <v>78.180000000000007</v>
      </c>
      <c r="F3654" s="346">
        <v>12062.55</v>
      </c>
      <c r="G3654" s="343" t="s">
        <v>2012</v>
      </c>
      <c r="H3654" s="343" t="s">
        <v>2029</v>
      </c>
      <c r="I3654" s="343" t="s">
        <v>1880</v>
      </c>
      <c r="J3654" s="343" t="s">
        <v>757</v>
      </c>
      <c r="K3654" s="343" t="s">
        <v>770</v>
      </c>
      <c r="L3654" s="344">
        <v>44197</v>
      </c>
      <c r="M3654" s="347">
        <v>0</v>
      </c>
    </row>
    <row r="3655" spans="1:13" hidden="1" x14ac:dyDescent="0.25">
      <c r="A3655" s="344">
        <v>44227</v>
      </c>
      <c r="B3655" s="343" t="s">
        <v>2009</v>
      </c>
      <c r="C3655" s="343" t="s">
        <v>1060</v>
      </c>
      <c r="D3655" s="345">
        <v>8</v>
      </c>
      <c r="E3655" s="346">
        <v>-234.54</v>
      </c>
      <c r="F3655" s="346">
        <v>11828.01</v>
      </c>
      <c r="G3655" s="343" t="s">
        <v>2010</v>
      </c>
      <c r="H3655" s="343" t="s">
        <v>2029</v>
      </c>
      <c r="I3655" s="343" t="s">
        <v>1880</v>
      </c>
      <c r="J3655" s="343" t="s">
        <v>757</v>
      </c>
      <c r="K3655" s="343" t="s">
        <v>741</v>
      </c>
      <c r="L3655" s="344">
        <v>44227</v>
      </c>
      <c r="M3655" s="347">
        <v>0</v>
      </c>
    </row>
    <row r="3656" spans="1:13" hidden="1" x14ac:dyDescent="0.25">
      <c r="A3656" s="344">
        <v>44228</v>
      </c>
      <c r="B3656" s="343" t="s">
        <v>2013</v>
      </c>
      <c r="C3656" s="343" t="s">
        <v>769</v>
      </c>
      <c r="D3656" s="345">
        <v>8</v>
      </c>
      <c r="E3656" s="346">
        <v>78.180000000000007</v>
      </c>
      <c r="F3656" s="346">
        <v>11906.19</v>
      </c>
      <c r="G3656" s="343" t="s">
        <v>2014</v>
      </c>
      <c r="H3656" s="343" t="s">
        <v>2029</v>
      </c>
      <c r="I3656" s="343" t="s">
        <v>1880</v>
      </c>
      <c r="J3656" s="343" t="s">
        <v>757</v>
      </c>
      <c r="K3656" s="343" t="s">
        <v>770</v>
      </c>
      <c r="L3656" s="344">
        <v>44228</v>
      </c>
      <c r="M3656" s="347">
        <v>0</v>
      </c>
    </row>
    <row r="3657" spans="1:13" hidden="1" x14ac:dyDescent="0.25">
      <c r="A3657" s="344">
        <v>44228</v>
      </c>
      <c r="B3657" s="343" t="s">
        <v>2013</v>
      </c>
      <c r="C3657" s="343" t="s">
        <v>769</v>
      </c>
      <c r="D3657" s="345">
        <v>8</v>
      </c>
      <c r="E3657" s="346">
        <v>78.180000000000007</v>
      </c>
      <c r="F3657" s="346">
        <v>11984.37</v>
      </c>
      <c r="G3657" s="343" t="s">
        <v>2014</v>
      </c>
      <c r="H3657" s="343" t="s">
        <v>2029</v>
      </c>
      <c r="I3657" s="343" t="s">
        <v>1880</v>
      </c>
      <c r="J3657" s="343" t="s">
        <v>757</v>
      </c>
      <c r="K3657" s="343" t="s">
        <v>770</v>
      </c>
      <c r="L3657" s="344">
        <v>44228</v>
      </c>
      <c r="M3657" s="347">
        <v>0</v>
      </c>
    </row>
    <row r="3658" spans="1:13" hidden="1" x14ac:dyDescent="0.25">
      <c r="A3658" s="344">
        <v>44228</v>
      </c>
      <c r="B3658" s="343" t="s">
        <v>2013</v>
      </c>
      <c r="C3658" s="343" t="s">
        <v>769</v>
      </c>
      <c r="D3658" s="345">
        <v>8</v>
      </c>
      <c r="E3658" s="346">
        <v>78.180000000000007</v>
      </c>
      <c r="F3658" s="346">
        <v>12062.55</v>
      </c>
      <c r="G3658" s="343" t="s">
        <v>2014</v>
      </c>
      <c r="H3658" s="343" t="s">
        <v>2029</v>
      </c>
      <c r="I3658" s="343" t="s">
        <v>1880</v>
      </c>
      <c r="J3658" s="343" t="s">
        <v>757</v>
      </c>
      <c r="K3658" s="343" t="s">
        <v>770</v>
      </c>
      <c r="L3658" s="344">
        <v>44228</v>
      </c>
      <c r="M3658" s="347">
        <v>0</v>
      </c>
    </row>
    <row r="3659" spans="1:13" hidden="1" x14ac:dyDescent="0.25">
      <c r="A3659" s="344">
        <v>44256</v>
      </c>
      <c r="B3659" s="343" t="s">
        <v>2017</v>
      </c>
      <c r="C3659" s="343" t="s">
        <v>769</v>
      </c>
      <c r="D3659" s="345">
        <v>9</v>
      </c>
      <c r="E3659" s="346">
        <v>78.180000000000007</v>
      </c>
      <c r="F3659" s="346">
        <v>12140.73</v>
      </c>
      <c r="G3659" s="343" t="s">
        <v>2018</v>
      </c>
      <c r="H3659" s="343" t="s">
        <v>2029</v>
      </c>
      <c r="I3659" s="343" t="s">
        <v>1880</v>
      </c>
      <c r="J3659" s="343" t="s">
        <v>757</v>
      </c>
      <c r="K3659" s="343" t="s">
        <v>770</v>
      </c>
      <c r="L3659" s="344">
        <v>44256</v>
      </c>
      <c r="M3659" s="347">
        <v>0</v>
      </c>
    </row>
    <row r="3660" spans="1:13" hidden="1" x14ac:dyDescent="0.25">
      <c r="A3660" s="344">
        <v>44256</v>
      </c>
      <c r="B3660" s="343" t="s">
        <v>2017</v>
      </c>
      <c r="C3660" s="343" t="s">
        <v>769</v>
      </c>
      <c r="D3660" s="345">
        <v>9</v>
      </c>
      <c r="E3660" s="346">
        <v>78.180000000000007</v>
      </c>
      <c r="F3660" s="346">
        <v>12218.91</v>
      </c>
      <c r="G3660" s="343" t="s">
        <v>2018</v>
      </c>
      <c r="H3660" s="343" t="s">
        <v>2029</v>
      </c>
      <c r="I3660" s="343" t="s">
        <v>1880</v>
      </c>
      <c r="J3660" s="343" t="s">
        <v>757</v>
      </c>
      <c r="K3660" s="343" t="s">
        <v>770</v>
      </c>
      <c r="L3660" s="344">
        <v>44256</v>
      </c>
      <c r="M3660" s="347">
        <v>0</v>
      </c>
    </row>
    <row r="3661" spans="1:13" hidden="1" x14ac:dyDescent="0.25">
      <c r="A3661" s="344">
        <v>44256</v>
      </c>
      <c r="B3661" s="343" t="s">
        <v>2017</v>
      </c>
      <c r="C3661" s="343" t="s">
        <v>769</v>
      </c>
      <c r="D3661" s="345">
        <v>9</v>
      </c>
      <c r="E3661" s="346">
        <v>78.180000000000007</v>
      </c>
      <c r="F3661" s="346">
        <v>12297.09</v>
      </c>
      <c r="G3661" s="343" t="s">
        <v>2018</v>
      </c>
      <c r="H3661" s="343" t="s">
        <v>2029</v>
      </c>
      <c r="I3661" s="343" t="s">
        <v>1880</v>
      </c>
      <c r="J3661" s="343" t="s">
        <v>757</v>
      </c>
      <c r="K3661" s="343" t="s">
        <v>770</v>
      </c>
      <c r="L3661" s="344">
        <v>44256</v>
      </c>
      <c r="M3661" s="347">
        <v>0</v>
      </c>
    </row>
    <row r="3662" spans="1:13" hidden="1" x14ac:dyDescent="0.25">
      <c r="A3662" s="344">
        <v>44286</v>
      </c>
      <c r="B3662" s="343" t="s">
        <v>2019</v>
      </c>
      <c r="C3662" s="343" t="s">
        <v>936</v>
      </c>
      <c r="D3662" s="345">
        <v>10</v>
      </c>
      <c r="E3662" s="346">
        <v>-35.31</v>
      </c>
      <c r="F3662" s="346">
        <v>12261.78</v>
      </c>
      <c r="G3662" s="343" t="s">
        <v>2020</v>
      </c>
      <c r="H3662" s="343" t="s">
        <v>2029</v>
      </c>
      <c r="I3662" s="343" t="s">
        <v>1880</v>
      </c>
      <c r="J3662" s="343" t="s">
        <v>757</v>
      </c>
      <c r="K3662" s="343" t="s">
        <v>770</v>
      </c>
      <c r="L3662" s="344">
        <v>44286</v>
      </c>
      <c r="M3662" s="347">
        <v>0</v>
      </c>
    </row>
    <row r="3663" spans="1:13" hidden="1" x14ac:dyDescent="0.25">
      <c r="A3663" s="344">
        <v>44286</v>
      </c>
      <c r="B3663" s="343" t="s">
        <v>2019</v>
      </c>
      <c r="C3663" s="343" t="s">
        <v>936</v>
      </c>
      <c r="D3663" s="345">
        <v>10</v>
      </c>
      <c r="E3663" s="346">
        <v>-40.35</v>
      </c>
      <c r="F3663" s="346">
        <v>12221.43</v>
      </c>
      <c r="G3663" s="343" t="s">
        <v>2020</v>
      </c>
      <c r="H3663" s="343" t="s">
        <v>2029</v>
      </c>
      <c r="I3663" s="343" t="s">
        <v>1880</v>
      </c>
      <c r="J3663" s="343" t="s">
        <v>757</v>
      </c>
      <c r="K3663" s="343" t="s">
        <v>770</v>
      </c>
      <c r="L3663" s="344">
        <v>44286</v>
      </c>
      <c r="M3663" s="347">
        <v>0</v>
      </c>
    </row>
    <row r="3664" spans="1:13" hidden="1" x14ac:dyDescent="0.25">
      <c r="A3664" s="344">
        <v>44286</v>
      </c>
      <c r="B3664" s="343" t="s">
        <v>2019</v>
      </c>
      <c r="C3664" s="343" t="s">
        <v>936</v>
      </c>
      <c r="D3664" s="345">
        <v>10</v>
      </c>
      <c r="E3664" s="346">
        <v>-52.95</v>
      </c>
      <c r="F3664" s="346">
        <v>12168.48</v>
      </c>
      <c r="G3664" s="343" t="s">
        <v>2020</v>
      </c>
      <c r="H3664" s="343" t="s">
        <v>2029</v>
      </c>
      <c r="I3664" s="343" t="s">
        <v>1880</v>
      </c>
      <c r="J3664" s="343" t="s">
        <v>757</v>
      </c>
      <c r="K3664" s="343" t="s">
        <v>770</v>
      </c>
      <c r="L3664" s="344">
        <v>44286</v>
      </c>
      <c r="M3664" s="347">
        <v>0</v>
      </c>
    </row>
    <row r="3665" spans="1:13" hidden="1" x14ac:dyDescent="0.25">
      <c r="A3665" s="344">
        <v>44173</v>
      </c>
      <c r="B3665" s="343" t="s">
        <v>2030</v>
      </c>
      <c r="C3665" s="343" t="s">
        <v>769</v>
      </c>
      <c r="D3665" s="345">
        <v>6</v>
      </c>
      <c r="E3665" s="346">
        <v>31.82</v>
      </c>
      <c r="F3665" s="346">
        <v>12200.3</v>
      </c>
      <c r="G3665" s="343" t="s">
        <v>2031</v>
      </c>
      <c r="H3665" s="343" t="s">
        <v>2032</v>
      </c>
      <c r="I3665" s="343" t="s">
        <v>1880</v>
      </c>
      <c r="J3665" s="343" t="s">
        <v>757</v>
      </c>
      <c r="K3665" s="343" t="s">
        <v>770</v>
      </c>
      <c r="L3665" s="344">
        <v>44173</v>
      </c>
      <c r="M3665" s="347">
        <v>0</v>
      </c>
    </row>
    <row r="3666" spans="1:13" hidden="1" x14ac:dyDescent="0.25">
      <c r="A3666" s="344">
        <v>44252</v>
      </c>
      <c r="B3666" s="343" t="s">
        <v>2033</v>
      </c>
      <c r="C3666" s="343" t="s">
        <v>769</v>
      </c>
      <c r="D3666" s="345">
        <v>8</v>
      </c>
      <c r="E3666" s="346">
        <v>31.27</v>
      </c>
      <c r="F3666" s="346">
        <v>12231.57</v>
      </c>
      <c r="G3666" s="343" t="s">
        <v>2034</v>
      </c>
      <c r="H3666" s="343" t="s">
        <v>2032</v>
      </c>
      <c r="I3666" s="343" t="s">
        <v>1880</v>
      </c>
      <c r="J3666" s="343" t="s">
        <v>757</v>
      </c>
      <c r="K3666" s="343" t="s">
        <v>770</v>
      </c>
      <c r="L3666" s="344">
        <v>44252</v>
      </c>
      <c r="M3666" s="347">
        <v>0</v>
      </c>
    </row>
    <row r="3667" spans="1:13" hidden="1" x14ac:dyDescent="0.25">
      <c r="A3667" s="344">
        <v>44301</v>
      </c>
      <c r="B3667" s="343" t="s">
        <v>1889</v>
      </c>
      <c r="C3667" s="343" t="s">
        <v>1059</v>
      </c>
      <c r="D3667" s="345">
        <v>10</v>
      </c>
      <c r="E3667" s="346">
        <v>-36.08</v>
      </c>
      <c r="F3667" s="346">
        <v>12195.49</v>
      </c>
      <c r="G3667" s="343" t="s">
        <v>1890</v>
      </c>
      <c r="H3667" s="343" t="s">
        <v>2032</v>
      </c>
      <c r="I3667" s="343" t="s">
        <v>1880</v>
      </c>
      <c r="J3667" s="343" t="s">
        <v>757</v>
      </c>
      <c r="K3667" s="343" t="s">
        <v>741</v>
      </c>
      <c r="L3667" s="344">
        <v>44301</v>
      </c>
      <c r="M3667" s="347">
        <v>0</v>
      </c>
    </row>
    <row r="3668" spans="1:13" hidden="1" x14ac:dyDescent="0.25">
      <c r="A3668" s="344">
        <v>44048</v>
      </c>
      <c r="B3668" s="343" t="s">
        <v>2035</v>
      </c>
      <c r="C3668" s="343" t="s">
        <v>936</v>
      </c>
      <c r="D3668" s="345">
        <v>2</v>
      </c>
      <c r="E3668" s="346">
        <v>-142.12</v>
      </c>
      <c r="F3668" s="346">
        <v>12053.37</v>
      </c>
      <c r="G3668" s="343" t="s">
        <v>2036</v>
      </c>
      <c r="H3668" s="343" t="s">
        <v>2037</v>
      </c>
      <c r="I3668" s="343" t="s">
        <v>1880</v>
      </c>
      <c r="J3668" s="343" t="s">
        <v>757</v>
      </c>
      <c r="K3668" s="343" t="s">
        <v>770</v>
      </c>
      <c r="L3668" s="344">
        <v>43862</v>
      </c>
      <c r="M3668" s="347">
        <v>0</v>
      </c>
    </row>
    <row r="3669" spans="1:13" hidden="1" x14ac:dyDescent="0.25">
      <c r="A3669" s="344">
        <v>44048</v>
      </c>
      <c r="B3669" s="343" t="s">
        <v>2038</v>
      </c>
      <c r="C3669" s="343" t="s">
        <v>936</v>
      </c>
      <c r="D3669" s="345">
        <v>2</v>
      </c>
      <c r="E3669" s="346">
        <v>-142.12</v>
      </c>
      <c r="F3669" s="346">
        <v>11911.25</v>
      </c>
      <c r="G3669" s="343" t="s">
        <v>2039</v>
      </c>
      <c r="H3669" s="343" t="s">
        <v>2037</v>
      </c>
      <c r="I3669" s="343" t="s">
        <v>1880</v>
      </c>
      <c r="J3669" s="343" t="s">
        <v>757</v>
      </c>
      <c r="K3669" s="343" t="s">
        <v>770</v>
      </c>
      <c r="L3669" s="344">
        <v>43891</v>
      </c>
      <c r="M3669" s="347">
        <v>0</v>
      </c>
    </row>
    <row r="3670" spans="1:13" hidden="1" x14ac:dyDescent="0.25">
      <c r="A3670" s="344">
        <v>44048</v>
      </c>
      <c r="B3670" s="343" t="s">
        <v>2040</v>
      </c>
      <c r="C3670" s="343" t="s">
        <v>769</v>
      </c>
      <c r="D3670" s="345">
        <v>2</v>
      </c>
      <c r="E3670" s="346">
        <v>142.12</v>
      </c>
      <c r="F3670" s="346">
        <v>12053.37</v>
      </c>
      <c r="G3670" s="343" t="s">
        <v>2041</v>
      </c>
      <c r="H3670" s="343" t="s">
        <v>2037</v>
      </c>
      <c r="I3670" s="343" t="s">
        <v>1880</v>
      </c>
      <c r="J3670" s="343" t="s">
        <v>757</v>
      </c>
      <c r="K3670" s="343" t="s">
        <v>770</v>
      </c>
      <c r="L3670" s="344">
        <v>44048</v>
      </c>
      <c r="M3670" s="347">
        <v>0</v>
      </c>
    </row>
    <row r="3671" spans="1:13" hidden="1" x14ac:dyDescent="0.25">
      <c r="A3671" s="344">
        <v>44048</v>
      </c>
      <c r="B3671" s="343" t="s">
        <v>2042</v>
      </c>
      <c r="C3671" s="343" t="s">
        <v>769</v>
      </c>
      <c r="D3671" s="345">
        <v>2</v>
      </c>
      <c r="E3671" s="346">
        <v>142.12</v>
      </c>
      <c r="F3671" s="346">
        <v>12195.49</v>
      </c>
      <c r="G3671" s="343" t="s">
        <v>2043</v>
      </c>
      <c r="H3671" s="343" t="s">
        <v>2037</v>
      </c>
      <c r="I3671" s="343" t="s">
        <v>1880</v>
      </c>
      <c r="J3671" s="343" t="s">
        <v>757</v>
      </c>
      <c r="K3671" s="343" t="s">
        <v>770</v>
      </c>
      <c r="L3671" s="344">
        <v>44048</v>
      </c>
      <c r="M3671" s="347">
        <v>0</v>
      </c>
    </row>
    <row r="3672" spans="1:13" hidden="1" x14ac:dyDescent="0.25">
      <c r="A3672" s="344">
        <v>44062</v>
      </c>
      <c r="B3672" s="343" t="s">
        <v>1932</v>
      </c>
      <c r="C3672" s="343" t="s">
        <v>1059</v>
      </c>
      <c r="D3672" s="345">
        <v>2</v>
      </c>
      <c r="E3672" s="346">
        <v>-27.3</v>
      </c>
      <c r="F3672" s="346">
        <v>12168.19</v>
      </c>
      <c r="G3672" s="343" t="s">
        <v>1933</v>
      </c>
      <c r="H3672" s="343" t="s">
        <v>2037</v>
      </c>
      <c r="I3672" s="343" t="s">
        <v>1880</v>
      </c>
      <c r="J3672" s="343" t="s">
        <v>757</v>
      </c>
      <c r="K3672" s="343" t="s">
        <v>741</v>
      </c>
      <c r="L3672" s="344">
        <v>44062</v>
      </c>
      <c r="M3672" s="347">
        <v>0</v>
      </c>
    </row>
    <row r="3673" spans="1:13" hidden="1" x14ac:dyDescent="0.25">
      <c r="A3673" s="344">
        <v>44144</v>
      </c>
      <c r="B3673" s="343" t="s">
        <v>2044</v>
      </c>
      <c r="C3673" s="343" t="s">
        <v>769</v>
      </c>
      <c r="D3673" s="345">
        <v>6</v>
      </c>
      <c r="E3673" s="346">
        <v>140</v>
      </c>
      <c r="F3673" s="346">
        <v>12308.19</v>
      </c>
      <c r="G3673" s="343" t="s">
        <v>2045</v>
      </c>
      <c r="H3673" s="343" t="s">
        <v>2037</v>
      </c>
      <c r="I3673" s="343" t="s">
        <v>1880</v>
      </c>
      <c r="J3673" s="343" t="s">
        <v>757</v>
      </c>
      <c r="K3673" s="343" t="s">
        <v>770</v>
      </c>
      <c r="L3673" s="344">
        <v>44144</v>
      </c>
      <c r="M3673" s="347">
        <v>0</v>
      </c>
    </row>
    <row r="3674" spans="1:13" hidden="1" x14ac:dyDescent="0.25">
      <c r="A3674" s="344">
        <v>44168</v>
      </c>
      <c r="B3674" s="343" t="s">
        <v>2046</v>
      </c>
      <c r="C3674" s="343" t="s">
        <v>769</v>
      </c>
      <c r="D3674" s="345">
        <v>6</v>
      </c>
      <c r="E3674" s="346">
        <v>140</v>
      </c>
      <c r="F3674" s="346">
        <v>12448.19</v>
      </c>
      <c r="G3674" s="343" t="s">
        <v>2047</v>
      </c>
      <c r="H3674" s="343" t="s">
        <v>2037</v>
      </c>
      <c r="I3674" s="343" t="s">
        <v>1880</v>
      </c>
      <c r="J3674" s="343" t="s">
        <v>757</v>
      </c>
      <c r="K3674" s="343" t="s">
        <v>770</v>
      </c>
      <c r="L3674" s="344">
        <v>44168</v>
      </c>
      <c r="M3674" s="347">
        <v>0</v>
      </c>
    </row>
    <row r="3675" spans="1:13" hidden="1" x14ac:dyDescent="0.25">
      <c r="A3675" s="344">
        <v>44196</v>
      </c>
      <c r="B3675" s="343" t="s">
        <v>2048</v>
      </c>
      <c r="C3675" s="343" t="s">
        <v>1060</v>
      </c>
      <c r="D3675" s="345">
        <v>6</v>
      </c>
      <c r="E3675" s="346">
        <v>140</v>
      </c>
      <c r="F3675" s="346">
        <v>12588.19</v>
      </c>
      <c r="G3675" s="343" t="s">
        <v>2049</v>
      </c>
      <c r="H3675" s="343" t="s">
        <v>2037</v>
      </c>
      <c r="I3675" s="343" t="s">
        <v>1880</v>
      </c>
      <c r="J3675" s="343" t="s">
        <v>757</v>
      </c>
      <c r="K3675" s="343" t="s">
        <v>741</v>
      </c>
      <c r="L3675" s="344">
        <v>44196</v>
      </c>
      <c r="M3675" s="347">
        <v>0</v>
      </c>
    </row>
    <row r="3676" spans="1:13" hidden="1" x14ac:dyDescent="0.25">
      <c r="A3676" s="344">
        <v>44196</v>
      </c>
      <c r="B3676" s="343" t="s">
        <v>2048</v>
      </c>
      <c r="C3676" s="343" t="s">
        <v>1060</v>
      </c>
      <c r="D3676" s="345">
        <v>7</v>
      </c>
      <c r="E3676" s="346">
        <v>-140</v>
      </c>
      <c r="F3676" s="346">
        <v>12448.19</v>
      </c>
      <c r="G3676" s="343" t="s">
        <v>2049</v>
      </c>
      <c r="H3676" s="343" t="s">
        <v>2037</v>
      </c>
      <c r="I3676" s="343" t="s">
        <v>1880</v>
      </c>
      <c r="J3676" s="343" t="s">
        <v>757</v>
      </c>
      <c r="K3676" s="343" t="s">
        <v>741</v>
      </c>
      <c r="L3676" s="344">
        <v>44196</v>
      </c>
      <c r="M3676" s="347">
        <v>0</v>
      </c>
    </row>
    <row r="3677" spans="1:13" hidden="1" x14ac:dyDescent="0.25">
      <c r="A3677" s="344">
        <v>44196</v>
      </c>
      <c r="B3677" s="343" t="s">
        <v>2050</v>
      </c>
      <c r="C3677" s="343" t="s">
        <v>769</v>
      </c>
      <c r="D3677" s="345">
        <v>7</v>
      </c>
      <c r="E3677" s="346">
        <v>140</v>
      </c>
      <c r="F3677" s="346">
        <v>12588.19</v>
      </c>
      <c r="G3677" s="343" t="s">
        <v>2051</v>
      </c>
      <c r="H3677" s="343" t="s">
        <v>2037</v>
      </c>
      <c r="I3677" s="343" t="s">
        <v>1880</v>
      </c>
      <c r="J3677" s="343" t="s">
        <v>757</v>
      </c>
      <c r="K3677" s="343" t="s">
        <v>770</v>
      </c>
      <c r="L3677" s="344">
        <v>44196</v>
      </c>
      <c r="M3677" s="347">
        <v>0</v>
      </c>
    </row>
    <row r="3678" spans="1:13" hidden="1" x14ac:dyDescent="0.25">
      <c r="A3678" s="344">
        <v>44227</v>
      </c>
      <c r="B3678" s="343" t="s">
        <v>2052</v>
      </c>
      <c r="C3678" s="343" t="s">
        <v>1060</v>
      </c>
      <c r="D3678" s="345">
        <v>7</v>
      </c>
      <c r="E3678" s="346">
        <v>140</v>
      </c>
      <c r="F3678" s="346">
        <v>12728.19</v>
      </c>
      <c r="G3678" s="343" t="s">
        <v>2053</v>
      </c>
      <c r="H3678" s="343" t="s">
        <v>2037</v>
      </c>
      <c r="I3678" s="343" t="s">
        <v>1880</v>
      </c>
      <c r="J3678" s="343" t="s">
        <v>757</v>
      </c>
      <c r="K3678" s="343" t="s">
        <v>741</v>
      </c>
      <c r="L3678" s="344">
        <v>44227</v>
      </c>
      <c r="M3678" s="347">
        <v>0</v>
      </c>
    </row>
    <row r="3679" spans="1:13" hidden="1" x14ac:dyDescent="0.25">
      <c r="A3679" s="344">
        <v>44227</v>
      </c>
      <c r="B3679" s="343" t="s">
        <v>2052</v>
      </c>
      <c r="C3679" s="343" t="s">
        <v>1060</v>
      </c>
      <c r="D3679" s="345">
        <v>8</v>
      </c>
      <c r="E3679" s="346">
        <v>-140</v>
      </c>
      <c r="F3679" s="346">
        <v>12588.19</v>
      </c>
      <c r="G3679" s="343" t="s">
        <v>2053</v>
      </c>
      <c r="H3679" s="343" t="s">
        <v>2037</v>
      </c>
      <c r="I3679" s="343" t="s">
        <v>1880</v>
      </c>
      <c r="J3679" s="343" t="s">
        <v>757</v>
      </c>
      <c r="K3679" s="343" t="s">
        <v>741</v>
      </c>
      <c r="L3679" s="344">
        <v>44227</v>
      </c>
      <c r="M3679" s="347">
        <v>0</v>
      </c>
    </row>
    <row r="3680" spans="1:13" hidden="1" x14ac:dyDescent="0.25">
      <c r="A3680" s="344">
        <v>44228</v>
      </c>
      <c r="B3680" s="343" t="s">
        <v>2054</v>
      </c>
      <c r="C3680" s="343" t="s">
        <v>769</v>
      </c>
      <c r="D3680" s="345">
        <v>8</v>
      </c>
      <c r="E3680" s="346">
        <v>140</v>
      </c>
      <c r="F3680" s="346">
        <v>12728.19</v>
      </c>
      <c r="G3680" s="343" t="s">
        <v>2055</v>
      </c>
      <c r="H3680" s="343" t="s">
        <v>2037</v>
      </c>
      <c r="I3680" s="343" t="s">
        <v>1880</v>
      </c>
      <c r="J3680" s="343" t="s">
        <v>757</v>
      </c>
      <c r="K3680" s="343" t="s">
        <v>770</v>
      </c>
      <c r="L3680" s="344">
        <v>44228</v>
      </c>
      <c r="M3680" s="347">
        <v>0</v>
      </c>
    </row>
    <row r="3681" spans="1:13" hidden="1" x14ac:dyDescent="0.25">
      <c r="A3681" s="344">
        <v>44255</v>
      </c>
      <c r="B3681" s="343" t="s">
        <v>2056</v>
      </c>
      <c r="C3681" s="343" t="s">
        <v>1060</v>
      </c>
      <c r="D3681" s="345">
        <v>8</v>
      </c>
      <c r="E3681" s="346">
        <v>140</v>
      </c>
      <c r="F3681" s="346">
        <v>12868.19</v>
      </c>
      <c r="G3681" s="343" t="s">
        <v>2057</v>
      </c>
      <c r="H3681" s="343" t="s">
        <v>2037</v>
      </c>
      <c r="I3681" s="343" t="s">
        <v>1880</v>
      </c>
      <c r="J3681" s="343" t="s">
        <v>757</v>
      </c>
      <c r="K3681" s="343" t="s">
        <v>741</v>
      </c>
      <c r="L3681" s="344">
        <v>44255</v>
      </c>
      <c r="M3681" s="347">
        <v>0</v>
      </c>
    </row>
    <row r="3682" spans="1:13" hidden="1" x14ac:dyDescent="0.25">
      <c r="A3682" s="344">
        <v>44255</v>
      </c>
      <c r="B3682" s="343" t="s">
        <v>2056</v>
      </c>
      <c r="C3682" s="343" t="s">
        <v>1060</v>
      </c>
      <c r="D3682" s="345">
        <v>9</v>
      </c>
      <c r="E3682" s="346">
        <v>-140</v>
      </c>
      <c r="F3682" s="346">
        <v>12728.19</v>
      </c>
      <c r="G3682" s="343" t="s">
        <v>2057</v>
      </c>
      <c r="H3682" s="343" t="s">
        <v>2037</v>
      </c>
      <c r="I3682" s="343" t="s">
        <v>1880</v>
      </c>
      <c r="J3682" s="343" t="s">
        <v>757</v>
      </c>
      <c r="K3682" s="343" t="s">
        <v>741</v>
      </c>
      <c r="L3682" s="344">
        <v>44255</v>
      </c>
      <c r="M3682" s="347">
        <v>0</v>
      </c>
    </row>
    <row r="3683" spans="1:13" hidden="1" x14ac:dyDescent="0.25">
      <c r="A3683" s="344">
        <v>44255</v>
      </c>
      <c r="B3683" s="343" t="s">
        <v>2058</v>
      </c>
      <c r="C3683" s="343" t="s">
        <v>769</v>
      </c>
      <c r="D3683" s="345">
        <v>9</v>
      </c>
      <c r="E3683" s="346">
        <v>140</v>
      </c>
      <c r="F3683" s="346">
        <v>12868.19</v>
      </c>
      <c r="G3683" s="343" t="s">
        <v>2059</v>
      </c>
      <c r="H3683" s="343" t="s">
        <v>2037</v>
      </c>
      <c r="I3683" s="343" t="s">
        <v>1880</v>
      </c>
      <c r="J3683" s="343" t="s">
        <v>757</v>
      </c>
      <c r="K3683" s="343" t="s">
        <v>770</v>
      </c>
      <c r="L3683" s="344">
        <v>44255</v>
      </c>
      <c r="M3683" s="347">
        <v>0</v>
      </c>
    </row>
    <row r="3684" spans="1:13" hidden="1" x14ac:dyDescent="0.25">
      <c r="A3684" s="344">
        <v>44286</v>
      </c>
      <c r="B3684" s="343" t="s">
        <v>2060</v>
      </c>
      <c r="C3684" s="343" t="s">
        <v>1060</v>
      </c>
      <c r="D3684" s="345">
        <v>9</v>
      </c>
      <c r="E3684" s="346">
        <v>140</v>
      </c>
      <c r="F3684" s="346">
        <v>13008.19</v>
      </c>
      <c r="G3684" s="343" t="s">
        <v>2061</v>
      </c>
      <c r="H3684" s="343" t="s">
        <v>2037</v>
      </c>
      <c r="I3684" s="343" t="s">
        <v>1880</v>
      </c>
      <c r="J3684" s="343" t="s">
        <v>757</v>
      </c>
      <c r="K3684" s="343" t="s">
        <v>741</v>
      </c>
      <c r="L3684" s="344">
        <v>44286</v>
      </c>
      <c r="M3684" s="347">
        <v>0</v>
      </c>
    </row>
    <row r="3685" spans="1:13" hidden="1" x14ac:dyDescent="0.25">
      <c r="A3685" s="344">
        <v>44286</v>
      </c>
      <c r="B3685" s="343" t="s">
        <v>2060</v>
      </c>
      <c r="C3685" s="343" t="s">
        <v>1060</v>
      </c>
      <c r="D3685" s="345">
        <v>10</v>
      </c>
      <c r="E3685" s="346">
        <v>-140</v>
      </c>
      <c r="F3685" s="346">
        <v>12868.19</v>
      </c>
      <c r="G3685" s="343" t="s">
        <v>2061</v>
      </c>
      <c r="H3685" s="343" t="s">
        <v>2037</v>
      </c>
      <c r="I3685" s="343" t="s">
        <v>1880</v>
      </c>
      <c r="J3685" s="343" t="s">
        <v>757</v>
      </c>
      <c r="K3685" s="343" t="s">
        <v>741</v>
      </c>
      <c r="L3685" s="344">
        <v>44286</v>
      </c>
      <c r="M3685" s="347">
        <v>0</v>
      </c>
    </row>
    <row r="3686" spans="1:13" hidden="1" x14ac:dyDescent="0.25">
      <c r="A3686" s="344">
        <v>44293</v>
      </c>
      <c r="B3686" s="343" t="s">
        <v>2062</v>
      </c>
      <c r="C3686" s="343" t="s">
        <v>769</v>
      </c>
      <c r="D3686" s="345">
        <v>10</v>
      </c>
      <c r="E3686" s="346">
        <v>140</v>
      </c>
      <c r="F3686" s="346">
        <v>13008.19</v>
      </c>
      <c r="G3686" s="343" t="s">
        <v>2063</v>
      </c>
      <c r="H3686" s="343" t="s">
        <v>2037</v>
      </c>
      <c r="I3686" s="343" t="s">
        <v>1880</v>
      </c>
      <c r="J3686" s="343" t="s">
        <v>757</v>
      </c>
      <c r="K3686" s="343" t="s">
        <v>770</v>
      </c>
      <c r="L3686" s="344">
        <v>44293</v>
      </c>
      <c r="M3686" s="347">
        <v>0</v>
      </c>
    </row>
    <row r="3687" spans="1:13" hidden="1" x14ac:dyDescent="0.25">
      <c r="A3687" s="344">
        <v>44316</v>
      </c>
      <c r="B3687" s="343" t="s">
        <v>1078</v>
      </c>
      <c r="C3687" s="343" t="s">
        <v>1060</v>
      </c>
      <c r="D3687" s="345">
        <v>10</v>
      </c>
      <c r="E3687" s="346">
        <v>140</v>
      </c>
      <c r="F3687" s="346">
        <v>13148.19</v>
      </c>
      <c r="G3687" s="343" t="s">
        <v>2064</v>
      </c>
      <c r="H3687" s="343" t="s">
        <v>2037</v>
      </c>
      <c r="I3687" s="343" t="s">
        <v>1880</v>
      </c>
      <c r="J3687" s="343" t="s">
        <v>757</v>
      </c>
      <c r="K3687" s="343" t="s">
        <v>741</v>
      </c>
      <c r="L3687" s="344">
        <v>44316</v>
      </c>
      <c r="M3687" s="347">
        <v>0</v>
      </c>
    </row>
    <row r="3688" spans="1:13" hidden="1" x14ac:dyDescent="0.25">
      <c r="A3688" s="344">
        <v>44048</v>
      </c>
      <c r="B3688" s="343" t="s">
        <v>2035</v>
      </c>
      <c r="C3688" s="343" t="s">
        <v>936</v>
      </c>
      <c r="D3688" s="345">
        <v>2</v>
      </c>
      <c r="E3688" s="346">
        <v>-284.24</v>
      </c>
      <c r="F3688" s="346">
        <v>12863.95</v>
      </c>
      <c r="G3688" s="343" t="s">
        <v>2036</v>
      </c>
      <c r="H3688" s="343" t="s">
        <v>2065</v>
      </c>
      <c r="I3688" s="343" t="s">
        <v>1880</v>
      </c>
      <c r="J3688" s="343" t="s">
        <v>757</v>
      </c>
      <c r="K3688" s="343" t="s">
        <v>770</v>
      </c>
      <c r="L3688" s="344">
        <v>43862</v>
      </c>
      <c r="M3688" s="347">
        <v>0</v>
      </c>
    </row>
    <row r="3689" spans="1:13" hidden="1" x14ac:dyDescent="0.25">
      <c r="A3689" s="344">
        <v>44048</v>
      </c>
      <c r="B3689" s="343" t="s">
        <v>2038</v>
      </c>
      <c r="C3689" s="343" t="s">
        <v>936</v>
      </c>
      <c r="D3689" s="345">
        <v>2</v>
      </c>
      <c r="E3689" s="346">
        <v>-284.24</v>
      </c>
      <c r="F3689" s="346">
        <v>12579.71</v>
      </c>
      <c r="G3689" s="343" t="s">
        <v>2039</v>
      </c>
      <c r="H3689" s="343" t="s">
        <v>2065</v>
      </c>
      <c r="I3689" s="343" t="s">
        <v>1880</v>
      </c>
      <c r="J3689" s="343" t="s">
        <v>757</v>
      </c>
      <c r="K3689" s="343" t="s">
        <v>770</v>
      </c>
      <c r="L3689" s="344">
        <v>43891</v>
      </c>
      <c r="M3689" s="347">
        <v>0</v>
      </c>
    </row>
    <row r="3690" spans="1:13" hidden="1" x14ac:dyDescent="0.25">
      <c r="A3690" s="344">
        <v>44048</v>
      </c>
      <c r="B3690" s="343" t="s">
        <v>2040</v>
      </c>
      <c r="C3690" s="343" t="s">
        <v>769</v>
      </c>
      <c r="D3690" s="345">
        <v>2</v>
      </c>
      <c r="E3690" s="346">
        <v>284.24</v>
      </c>
      <c r="F3690" s="346">
        <v>12863.95</v>
      </c>
      <c r="G3690" s="343" t="s">
        <v>2041</v>
      </c>
      <c r="H3690" s="343" t="s">
        <v>2065</v>
      </c>
      <c r="I3690" s="343" t="s">
        <v>1880</v>
      </c>
      <c r="J3690" s="343" t="s">
        <v>757</v>
      </c>
      <c r="K3690" s="343" t="s">
        <v>770</v>
      </c>
      <c r="L3690" s="344">
        <v>44048</v>
      </c>
      <c r="M3690" s="347">
        <v>0</v>
      </c>
    </row>
    <row r="3691" spans="1:13" hidden="1" x14ac:dyDescent="0.25">
      <c r="A3691" s="344">
        <v>44048</v>
      </c>
      <c r="B3691" s="343" t="s">
        <v>2042</v>
      </c>
      <c r="C3691" s="343" t="s">
        <v>769</v>
      </c>
      <c r="D3691" s="345">
        <v>2</v>
      </c>
      <c r="E3691" s="346">
        <v>284.24</v>
      </c>
      <c r="F3691" s="346">
        <v>13148.19</v>
      </c>
      <c r="G3691" s="343" t="s">
        <v>2043</v>
      </c>
      <c r="H3691" s="343" t="s">
        <v>2065</v>
      </c>
      <c r="I3691" s="343" t="s">
        <v>1880</v>
      </c>
      <c r="J3691" s="343" t="s">
        <v>757</v>
      </c>
      <c r="K3691" s="343" t="s">
        <v>770</v>
      </c>
      <c r="L3691" s="344">
        <v>44048</v>
      </c>
      <c r="M3691" s="347">
        <v>0</v>
      </c>
    </row>
    <row r="3692" spans="1:13" hidden="1" x14ac:dyDescent="0.25">
      <c r="A3692" s="344">
        <v>44062</v>
      </c>
      <c r="B3692" s="343" t="s">
        <v>1932</v>
      </c>
      <c r="C3692" s="343" t="s">
        <v>1059</v>
      </c>
      <c r="D3692" s="345">
        <v>2</v>
      </c>
      <c r="E3692" s="346">
        <v>-9.1</v>
      </c>
      <c r="F3692" s="346">
        <v>13139.09</v>
      </c>
      <c r="G3692" s="343" t="s">
        <v>1933</v>
      </c>
      <c r="H3692" s="343" t="s">
        <v>2065</v>
      </c>
      <c r="I3692" s="343" t="s">
        <v>1880</v>
      </c>
      <c r="J3692" s="343" t="s">
        <v>757</v>
      </c>
      <c r="K3692" s="343" t="s">
        <v>741</v>
      </c>
      <c r="L3692" s="344">
        <v>44062</v>
      </c>
      <c r="M3692" s="347">
        <v>0</v>
      </c>
    </row>
    <row r="3693" spans="1:13" hidden="1" x14ac:dyDescent="0.25">
      <c r="A3693" s="344">
        <v>44083</v>
      </c>
      <c r="B3693" s="343" t="s">
        <v>1948</v>
      </c>
      <c r="C3693" s="343" t="s">
        <v>1059</v>
      </c>
      <c r="D3693" s="345">
        <v>3</v>
      </c>
      <c r="E3693" s="346">
        <v>-22.75</v>
      </c>
      <c r="F3693" s="346">
        <v>13116.34</v>
      </c>
      <c r="G3693" s="343" t="s">
        <v>1949</v>
      </c>
      <c r="H3693" s="343" t="s">
        <v>2065</v>
      </c>
      <c r="I3693" s="343" t="s">
        <v>1880</v>
      </c>
      <c r="J3693" s="343" t="s">
        <v>757</v>
      </c>
      <c r="K3693" s="343" t="s">
        <v>741</v>
      </c>
      <c r="L3693" s="344">
        <v>44083</v>
      </c>
      <c r="M3693" s="347">
        <v>0</v>
      </c>
    </row>
    <row r="3694" spans="1:13" hidden="1" x14ac:dyDescent="0.25">
      <c r="A3694" s="344">
        <v>44094</v>
      </c>
      <c r="B3694" s="343" t="s">
        <v>1950</v>
      </c>
      <c r="C3694" s="343" t="s">
        <v>1059</v>
      </c>
      <c r="D3694" s="345">
        <v>3</v>
      </c>
      <c r="E3694" s="346">
        <v>-22.75</v>
      </c>
      <c r="F3694" s="346">
        <v>13093.59</v>
      </c>
      <c r="G3694" s="343" t="s">
        <v>1951</v>
      </c>
      <c r="H3694" s="343" t="s">
        <v>2065</v>
      </c>
      <c r="I3694" s="343" t="s">
        <v>1880</v>
      </c>
      <c r="J3694" s="343" t="s">
        <v>757</v>
      </c>
      <c r="K3694" s="343" t="s">
        <v>741</v>
      </c>
      <c r="L3694" s="344">
        <v>44094</v>
      </c>
      <c r="M3694" s="347">
        <v>0</v>
      </c>
    </row>
    <row r="3695" spans="1:13" hidden="1" x14ac:dyDescent="0.25">
      <c r="A3695" s="344">
        <v>44104</v>
      </c>
      <c r="B3695" s="343" t="s">
        <v>1934</v>
      </c>
      <c r="C3695" s="343" t="s">
        <v>1059</v>
      </c>
      <c r="D3695" s="345">
        <v>3</v>
      </c>
      <c r="E3695" s="346">
        <v>-31.85</v>
      </c>
      <c r="F3695" s="346">
        <v>13061.74</v>
      </c>
      <c r="G3695" s="343" t="s">
        <v>1935</v>
      </c>
      <c r="H3695" s="343" t="s">
        <v>2065</v>
      </c>
      <c r="I3695" s="343" t="s">
        <v>1880</v>
      </c>
      <c r="J3695" s="343" t="s">
        <v>757</v>
      </c>
      <c r="K3695" s="343" t="s">
        <v>741</v>
      </c>
      <c r="L3695" s="344">
        <v>44104</v>
      </c>
      <c r="M3695" s="347">
        <v>0</v>
      </c>
    </row>
    <row r="3696" spans="1:13" hidden="1" x14ac:dyDescent="0.25">
      <c r="A3696" s="344">
        <v>44104</v>
      </c>
      <c r="B3696" s="343" t="s">
        <v>2066</v>
      </c>
      <c r="C3696" s="343" t="s">
        <v>1060</v>
      </c>
      <c r="D3696" s="345">
        <v>3</v>
      </c>
      <c r="E3696" s="346">
        <v>140</v>
      </c>
      <c r="F3696" s="346">
        <v>13201.74</v>
      </c>
      <c r="G3696" s="343" t="s">
        <v>2067</v>
      </c>
      <c r="H3696" s="343" t="s">
        <v>2065</v>
      </c>
      <c r="I3696" s="343" t="s">
        <v>1880</v>
      </c>
      <c r="J3696" s="343" t="s">
        <v>757</v>
      </c>
      <c r="K3696" s="343" t="s">
        <v>741</v>
      </c>
      <c r="L3696" s="344">
        <v>44104</v>
      </c>
      <c r="M3696" s="347">
        <v>0</v>
      </c>
    </row>
    <row r="3697" spans="1:13" hidden="1" x14ac:dyDescent="0.25">
      <c r="A3697" s="344">
        <v>44104</v>
      </c>
      <c r="B3697" s="343" t="s">
        <v>2066</v>
      </c>
      <c r="C3697" s="343" t="s">
        <v>1060</v>
      </c>
      <c r="D3697" s="345">
        <v>4</v>
      </c>
      <c r="E3697" s="346">
        <v>-140</v>
      </c>
      <c r="F3697" s="346">
        <v>13061.74</v>
      </c>
      <c r="G3697" s="343" t="s">
        <v>2067</v>
      </c>
      <c r="H3697" s="343" t="s">
        <v>2065</v>
      </c>
      <c r="I3697" s="343" t="s">
        <v>1880</v>
      </c>
      <c r="J3697" s="343" t="s">
        <v>757</v>
      </c>
      <c r="K3697" s="343" t="s">
        <v>741</v>
      </c>
      <c r="L3697" s="344">
        <v>44104</v>
      </c>
      <c r="M3697" s="347">
        <v>0</v>
      </c>
    </row>
    <row r="3698" spans="1:13" hidden="1" x14ac:dyDescent="0.25">
      <c r="A3698" s="344">
        <v>44120</v>
      </c>
      <c r="B3698" s="343" t="s">
        <v>1936</v>
      </c>
      <c r="C3698" s="343" t="s">
        <v>1059</v>
      </c>
      <c r="D3698" s="345">
        <v>4</v>
      </c>
      <c r="E3698" s="346">
        <v>-32.31</v>
      </c>
      <c r="F3698" s="346">
        <v>13029.43</v>
      </c>
      <c r="G3698" s="343" t="s">
        <v>1937</v>
      </c>
      <c r="H3698" s="343" t="s">
        <v>2065</v>
      </c>
      <c r="I3698" s="343" t="s">
        <v>1880</v>
      </c>
      <c r="J3698" s="343" t="s">
        <v>757</v>
      </c>
      <c r="K3698" s="343" t="s">
        <v>741</v>
      </c>
      <c r="L3698" s="344">
        <v>44120</v>
      </c>
      <c r="M3698" s="347">
        <v>0</v>
      </c>
    </row>
    <row r="3699" spans="1:13" hidden="1" x14ac:dyDescent="0.25">
      <c r="A3699" s="344">
        <v>44135</v>
      </c>
      <c r="B3699" s="343" t="s">
        <v>1954</v>
      </c>
      <c r="C3699" s="343" t="s">
        <v>1059</v>
      </c>
      <c r="D3699" s="345">
        <v>4</v>
      </c>
      <c r="E3699" s="346">
        <v>-32.31</v>
      </c>
      <c r="F3699" s="346">
        <v>12997.12</v>
      </c>
      <c r="G3699" s="343" t="s">
        <v>1955</v>
      </c>
      <c r="H3699" s="343" t="s">
        <v>2065</v>
      </c>
      <c r="I3699" s="343" t="s">
        <v>1880</v>
      </c>
      <c r="J3699" s="343" t="s">
        <v>757</v>
      </c>
      <c r="K3699" s="343" t="s">
        <v>741</v>
      </c>
      <c r="L3699" s="344">
        <v>44135</v>
      </c>
      <c r="M3699" s="347">
        <v>0</v>
      </c>
    </row>
    <row r="3700" spans="1:13" hidden="1" x14ac:dyDescent="0.25">
      <c r="A3700" s="344">
        <v>44135</v>
      </c>
      <c r="B3700" s="343" t="s">
        <v>2068</v>
      </c>
      <c r="C3700" s="343" t="s">
        <v>1060</v>
      </c>
      <c r="D3700" s="345">
        <v>4</v>
      </c>
      <c r="E3700" s="346">
        <v>280</v>
      </c>
      <c r="F3700" s="346">
        <v>13277.12</v>
      </c>
      <c r="G3700" s="343" t="s">
        <v>2069</v>
      </c>
      <c r="H3700" s="343" t="s">
        <v>2065</v>
      </c>
      <c r="I3700" s="343" t="s">
        <v>1880</v>
      </c>
      <c r="J3700" s="343" t="s">
        <v>757</v>
      </c>
      <c r="K3700" s="343" t="s">
        <v>741</v>
      </c>
      <c r="L3700" s="344">
        <v>44135</v>
      </c>
      <c r="M3700" s="347">
        <v>0</v>
      </c>
    </row>
    <row r="3701" spans="1:13" hidden="1" x14ac:dyDescent="0.25">
      <c r="A3701" s="344">
        <v>44135</v>
      </c>
      <c r="B3701" s="343" t="s">
        <v>2068</v>
      </c>
      <c r="C3701" s="343" t="s">
        <v>1060</v>
      </c>
      <c r="D3701" s="345">
        <v>5</v>
      </c>
      <c r="E3701" s="346">
        <v>-280</v>
      </c>
      <c r="F3701" s="346">
        <v>12997.12</v>
      </c>
      <c r="G3701" s="343" t="s">
        <v>2069</v>
      </c>
      <c r="H3701" s="343" t="s">
        <v>2065</v>
      </c>
      <c r="I3701" s="343" t="s">
        <v>1880</v>
      </c>
      <c r="J3701" s="343" t="s">
        <v>757</v>
      </c>
      <c r="K3701" s="343" t="s">
        <v>741</v>
      </c>
      <c r="L3701" s="344">
        <v>44135</v>
      </c>
      <c r="M3701" s="347">
        <v>0</v>
      </c>
    </row>
    <row r="3702" spans="1:13" hidden="1" x14ac:dyDescent="0.25">
      <c r="A3702" s="344">
        <v>44144</v>
      </c>
      <c r="B3702" s="343" t="s">
        <v>2044</v>
      </c>
      <c r="C3702" s="343" t="s">
        <v>769</v>
      </c>
      <c r="D3702" s="345">
        <v>6</v>
      </c>
      <c r="E3702" s="346">
        <v>210</v>
      </c>
      <c r="F3702" s="346">
        <v>13207.12</v>
      </c>
      <c r="G3702" s="343" t="s">
        <v>2045</v>
      </c>
      <c r="H3702" s="343" t="s">
        <v>2065</v>
      </c>
      <c r="I3702" s="343" t="s">
        <v>1880</v>
      </c>
      <c r="J3702" s="343" t="s">
        <v>757</v>
      </c>
      <c r="K3702" s="343" t="s">
        <v>770</v>
      </c>
      <c r="L3702" s="344">
        <v>44144</v>
      </c>
      <c r="M3702" s="347">
        <v>0</v>
      </c>
    </row>
    <row r="3703" spans="1:13" hidden="1" x14ac:dyDescent="0.25">
      <c r="A3703" s="344">
        <v>44168</v>
      </c>
      <c r="B3703" s="343" t="s">
        <v>2046</v>
      </c>
      <c r="C3703" s="343" t="s">
        <v>769</v>
      </c>
      <c r="D3703" s="345">
        <v>6</v>
      </c>
      <c r="E3703" s="346">
        <v>210</v>
      </c>
      <c r="F3703" s="346">
        <v>13417.12</v>
      </c>
      <c r="G3703" s="343" t="s">
        <v>2047</v>
      </c>
      <c r="H3703" s="343" t="s">
        <v>2065</v>
      </c>
      <c r="I3703" s="343" t="s">
        <v>1880</v>
      </c>
      <c r="J3703" s="343" t="s">
        <v>757</v>
      </c>
      <c r="K3703" s="343" t="s">
        <v>770</v>
      </c>
      <c r="L3703" s="344">
        <v>44168</v>
      </c>
      <c r="M3703" s="347">
        <v>0</v>
      </c>
    </row>
    <row r="3704" spans="1:13" hidden="1" x14ac:dyDescent="0.25">
      <c r="A3704" s="344">
        <v>44196</v>
      </c>
      <c r="B3704" s="343" t="s">
        <v>2048</v>
      </c>
      <c r="C3704" s="343" t="s">
        <v>1060</v>
      </c>
      <c r="D3704" s="345">
        <v>6</v>
      </c>
      <c r="E3704" s="346">
        <v>350</v>
      </c>
      <c r="F3704" s="346">
        <v>13767.12</v>
      </c>
      <c r="G3704" s="343" t="s">
        <v>2049</v>
      </c>
      <c r="H3704" s="343" t="s">
        <v>2065</v>
      </c>
      <c r="I3704" s="343" t="s">
        <v>1880</v>
      </c>
      <c r="J3704" s="343" t="s">
        <v>757</v>
      </c>
      <c r="K3704" s="343" t="s">
        <v>741</v>
      </c>
      <c r="L3704" s="344">
        <v>44196</v>
      </c>
      <c r="M3704" s="347">
        <v>0</v>
      </c>
    </row>
    <row r="3705" spans="1:13" hidden="1" x14ac:dyDescent="0.25">
      <c r="A3705" s="344">
        <v>44196</v>
      </c>
      <c r="B3705" s="343" t="s">
        <v>2048</v>
      </c>
      <c r="C3705" s="343" t="s">
        <v>1060</v>
      </c>
      <c r="D3705" s="345">
        <v>7</v>
      </c>
      <c r="E3705" s="346">
        <v>-350</v>
      </c>
      <c r="F3705" s="346">
        <v>13417.12</v>
      </c>
      <c r="G3705" s="343" t="s">
        <v>2049</v>
      </c>
      <c r="H3705" s="343" t="s">
        <v>2065</v>
      </c>
      <c r="I3705" s="343" t="s">
        <v>1880</v>
      </c>
      <c r="J3705" s="343" t="s">
        <v>757</v>
      </c>
      <c r="K3705" s="343" t="s">
        <v>741</v>
      </c>
      <c r="L3705" s="344">
        <v>44196</v>
      </c>
      <c r="M3705" s="347">
        <v>0</v>
      </c>
    </row>
    <row r="3706" spans="1:13" hidden="1" x14ac:dyDescent="0.25">
      <c r="A3706" s="344">
        <v>44196</v>
      </c>
      <c r="B3706" s="343" t="s">
        <v>2050</v>
      </c>
      <c r="C3706" s="343" t="s">
        <v>769</v>
      </c>
      <c r="D3706" s="345">
        <v>7</v>
      </c>
      <c r="E3706" s="346">
        <v>210</v>
      </c>
      <c r="F3706" s="346">
        <v>13627.12</v>
      </c>
      <c r="G3706" s="343" t="s">
        <v>2051</v>
      </c>
      <c r="H3706" s="343" t="s">
        <v>2065</v>
      </c>
      <c r="I3706" s="343" t="s">
        <v>1880</v>
      </c>
      <c r="J3706" s="343" t="s">
        <v>757</v>
      </c>
      <c r="K3706" s="343" t="s">
        <v>770</v>
      </c>
      <c r="L3706" s="344">
        <v>44196</v>
      </c>
      <c r="M3706" s="347">
        <v>0</v>
      </c>
    </row>
    <row r="3707" spans="1:13" hidden="1" x14ac:dyDescent="0.25">
      <c r="A3707" s="344">
        <v>44227</v>
      </c>
      <c r="B3707" s="343" t="s">
        <v>2052</v>
      </c>
      <c r="C3707" s="343" t="s">
        <v>1060</v>
      </c>
      <c r="D3707" s="345">
        <v>7</v>
      </c>
      <c r="E3707" s="346">
        <v>350</v>
      </c>
      <c r="F3707" s="346">
        <v>13977.12</v>
      </c>
      <c r="G3707" s="343" t="s">
        <v>2053</v>
      </c>
      <c r="H3707" s="343" t="s">
        <v>2065</v>
      </c>
      <c r="I3707" s="343" t="s">
        <v>1880</v>
      </c>
      <c r="J3707" s="343" t="s">
        <v>757</v>
      </c>
      <c r="K3707" s="343" t="s">
        <v>741</v>
      </c>
      <c r="L3707" s="344">
        <v>44227</v>
      </c>
      <c r="M3707" s="347">
        <v>0</v>
      </c>
    </row>
    <row r="3708" spans="1:13" hidden="1" x14ac:dyDescent="0.25">
      <c r="A3708" s="344">
        <v>44227</v>
      </c>
      <c r="B3708" s="343" t="s">
        <v>2052</v>
      </c>
      <c r="C3708" s="343" t="s">
        <v>1060</v>
      </c>
      <c r="D3708" s="345">
        <v>8</v>
      </c>
      <c r="E3708" s="346">
        <v>-350</v>
      </c>
      <c r="F3708" s="346">
        <v>13627.12</v>
      </c>
      <c r="G3708" s="343" t="s">
        <v>2053</v>
      </c>
      <c r="H3708" s="343" t="s">
        <v>2065</v>
      </c>
      <c r="I3708" s="343" t="s">
        <v>1880</v>
      </c>
      <c r="J3708" s="343" t="s">
        <v>757</v>
      </c>
      <c r="K3708" s="343" t="s">
        <v>741</v>
      </c>
      <c r="L3708" s="344">
        <v>44227</v>
      </c>
      <c r="M3708" s="347">
        <v>0</v>
      </c>
    </row>
    <row r="3709" spans="1:13" hidden="1" x14ac:dyDescent="0.25">
      <c r="A3709" s="344">
        <v>44228</v>
      </c>
      <c r="B3709" s="343" t="s">
        <v>2054</v>
      </c>
      <c r="C3709" s="343" t="s">
        <v>769</v>
      </c>
      <c r="D3709" s="345">
        <v>8</v>
      </c>
      <c r="E3709" s="346">
        <v>210</v>
      </c>
      <c r="F3709" s="346">
        <v>13837.12</v>
      </c>
      <c r="G3709" s="343" t="s">
        <v>2055</v>
      </c>
      <c r="H3709" s="343" t="s">
        <v>2065</v>
      </c>
      <c r="I3709" s="343" t="s">
        <v>1880</v>
      </c>
      <c r="J3709" s="343" t="s">
        <v>757</v>
      </c>
      <c r="K3709" s="343" t="s">
        <v>770</v>
      </c>
      <c r="L3709" s="344">
        <v>44228</v>
      </c>
      <c r="M3709" s="347">
        <v>0</v>
      </c>
    </row>
    <row r="3710" spans="1:13" hidden="1" x14ac:dyDescent="0.25">
      <c r="A3710" s="344">
        <v>44255</v>
      </c>
      <c r="B3710" s="343" t="s">
        <v>2056</v>
      </c>
      <c r="C3710" s="343" t="s">
        <v>1060</v>
      </c>
      <c r="D3710" s="345">
        <v>8</v>
      </c>
      <c r="E3710" s="346">
        <v>350</v>
      </c>
      <c r="F3710" s="346">
        <v>14187.12</v>
      </c>
      <c r="G3710" s="343" t="s">
        <v>2057</v>
      </c>
      <c r="H3710" s="343" t="s">
        <v>2065</v>
      </c>
      <c r="I3710" s="343" t="s">
        <v>1880</v>
      </c>
      <c r="J3710" s="343" t="s">
        <v>757</v>
      </c>
      <c r="K3710" s="343" t="s">
        <v>741</v>
      </c>
      <c r="L3710" s="344">
        <v>44255</v>
      </c>
      <c r="M3710" s="347">
        <v>0</v>
      </c>
    </row>
    <row r="3711" spans="1:13" hidden="1" x14ac:dyDescent="0.25">
      <c r="A3711" s="344">
        <v>44255</v>
      </c>
      <c r="B3711" s="343" t="s">
        <v>2056</v>
      </c>
      <c r="C3711" s="343" t="s">
        <v>1060</v>
      </c>
      <c r="D3711" s="345">
        <v>9</v>
      </c>
      <c r="E3711" s="346">
        <v>-350</v>
      </c>
      <c r="F3711" s="346">
        <v>13837.12</v>
      </c>
      <c r="G3711" s="343" t="s">
        <v>2057</v>
      </c>
      <c r="H3711" s="343" t="s">
        <v>2065</v>
      </c>
      <c r="I3711" s="343" t="s">
        <v>1880</v>
      </c>
      <c r="J3711" s="343" t="s">
        <v>757</v>
      </c>
      <c r="K3711" s="343" t="s">
        <v>741</v>
      </c>
      <c r="L3711" s="344">
        <v>44255</v>
      </c>
      <c r="M3711" s="347">
        <v>0</v>
      </c>
    </row>
    <row r="3712" spans="1:13" hidden="1" x14ac:dyDescent="0.25">
      <c r="A3712" s="344">
        <v>44255</v>
      </c>
      <c r="B3712" s="343" t="s">
        <v>2058</v>
      </c>
      <c r="C3712" s="343" t="s">
        <v>769</v>
      </c>
      <c r="D3712" s="345">
        <v>9</v>
      </c>
      <c r="E3712" s="346">
        <v>210</v>
      </c>
      <c r="F3712" s="346">
        <v>14047.12</v>
      </c>
      <c r="G3712" s="343" t="s">
        <v>2059</v>
      </c>
      <c r="H3712" s="343" t="s">
        <v>2065</v>
      </c>
      <c r="I3712" s="343" t="s">
        <v>1880</v>
      </c>
      <c r="J3712" s="343" t="s">
        <v>757</v>
      </c>
      <c r="K3712" s="343" t="s">
        <v>770</v>
      </c>
      <c r="L3712" s="344">
        <v>44255</v>
      </c>
      <c r="M3712" s="347">
        <v>0</v>
      </c>
    </row>
    <row r="3713" spans="1:13" hidden="1" x14ac:dyDescent="0.25">
      <c r="A3713" s="344">
        <v>44286</v>
      </c>
      <c r="B3713" s="343" t="s">
        <v>2060</v>
      </c>
      <c r="C3713" s="343" t="s">
        <v>1060</v>
      </c>
      <c r="D3713" s="345">
        <v>9</v>
      </c>
      <c r="E3713" s="346">
        <v>210</v>
      </c>
      <c r="F3713" s="346">
        <v>14257.12</v>
      </c>
      <c r="G3713" s="343" t="s">
        <v>2061</v>
      </c>
      <c r="H3713" s="343" t="s">
        <v>2065</v>
      </c>
      <c r="I3713" s="343" t="s">
        <v>1880</v>
      </c>
      <c r="J3713" s="343" t="s">
        <v>757</v>
      </c>
      <c r="K3713" s="343" t="s">
        <v>741</v>
      </c>
      <c r="L3713" s="344">
        <v>44286</v>
      </c>
      <c r="M3713" s="347">
        <v>0</v>
      </c>
    </row>
    <row r="3714" spans="1:13" hidden="1" x14ac:dyDescent="0.25">
      <c r="A3714" s="344">
        <v>44286</v>
      </c>
      <c r="B3714" s="343" t="s">
        <v>2060</v>
      </c>
      <c r="C3714" s="343" t="s">
        <v>1060</v>
      </c>
      <c r="D3714" s="345">
        <v>10</v>
      </c>
      <c r="E3714" s="346">
        <v>-210</v>
      </c>
      <c r="F3714" s="346">
        <v>14047.12</v>
      </c>
      <c r="G3714" s="343" t="s">
        <v>2061</v>
      </c>
      <c r="H3714" s="343" t="s">
        <v>2065</v>
      </c>
      <c r="I3714" s="343" t="s">
        <v>1880</v>
      </c>
      <c r="J3714" s="343" t="s">
        <v>757</v>
      </c>
      <c r="K3714" s="343" t="s">
        <v>741</v>
      </c>
      <c r="L3714" s="344">
        <v>44286</v>
      </c>
      <c r="M3714" s="347">
        <v>0</v>
      </c>
    </row>
    <row r="3715" spans="1:13" hidden="1" x14ac:dyDescent="0.25">
      <c r="A3715" s="344">
        <v>44293</v>
      </c>
      <c r="B3715" s="343" t="s">
        <v>2062</v>
      </c>
      <c r="C3715" s="343" t="s">
        <v>769</v>
      </c>
      <c r="D3715" s="345">
        <v>10</v>
      </c>
      <c r="E3715" s="346">
        <v>210</v>
      </c>
      <c r="F3715" s="346">
        <v>14257.12</v>
      </c>
      <c r="G3715" s="343" t="s">
        <v>2063</v>
      </c>
      <c r="H3715" s="343" t="s">
        <v>2065</v>
      </c>
      <c r="I3715" s="343" t="s">
        <v>1880</v>
      </c>
      <c r="J3715" s="343" t="s">
        <v>757</v>
      </c>
      <c r="K3715" s="343" t="s">
        <v>770</v>
      </c>
      <c r="L3715" s="344">
        <v>44293</v>
      </c>
      <c r="M3715" s="347">
        <v>0</v>
      </c>
    </row>
    <row r="3716" spans="1:13" hidden="1" x14ac:dyDescent="0.25">
      <c r="A3716" s="344">
        <v>44316</v>
      </c>
      <c r="B3716" s="343" t="s">
        <v>1078</v>
      </c>
      <c r="C3716" s="343" t="s">
        <v>1060</v>
      </c>
      <c r="D3716" s="345">
        <v>10</v>
      </c>
      <c r="E3716" s="346">
        <v>210</v>
      </c>
      <c r="F3716" s="346">
        <v>14467.12</v>
      </c>
      <c r="G3716" s="343" t="s">
        <v>2064</v>
      </c>
      <c r="H3716" s="343" t="s">
        <v>2065</v>
      </c>
      <c r="I3716" s="343" t="s">
        <v>1880</v>
      </c>
      <c r="J3716" s="343" t="s">
        <v>757</v>
      </c>
      <c r="K3716" s="343" t="s">
        <v>741</v>
      </c>
      <c r="L3716" s="344">
        <v>44316</v>
      </c>
      <c r="M3716" s="347">
        <v>0</v>
      </c>
    </row>
    <row r="3717" spans="1:13" hidden="1" x14ac:dyDescent="0.25">
      <c r="A3717" s="344">
        <v>44208</v>
      </c>
      <c r="B3717" s="343" t="s">
        <v>2070</v>
      </c>
      <c r="C3717" s="343" t="s">
        <v>769</v>
      </c>
      <c r="D3717" s="345">
        <v>7</v>
      </c>
      <c r="E3717" s="346">
        <v>10.91</v>
      </c>
      <c r="F3717" s="346">
        <v>14478.03</v>
      </c>
      <c r="G3717" s="343" t="s">
        <v>2071</v>
      </c>
      <c r="H3717" s="343" t="s">
        <v>2072</v>
      </c>
      <c r="I3717" s="343" t="s">
        <v>1880</v>
      </c>
      <c r="J3717" s="343" t="s">
        <v>757</v>
      </c>
      <c r="K3717" s="343" t="s">
        <v>770</v>
      </c>
      <c r="L3717" s="344">
        <v>44208</v>
      </c>
      <c r="M3717" s="347">
        <v>0</v>
      </c>
    </row>
    <row r="3718" spans="1:13" hidden="1" x14ac:dyDescent="0.25">
      <c r="A3718" s="344">
        <v>44227</v>
      </c>
      <c r="B3718" s="343" t="s">
        <v>1974</v>
      </c>
      <c r="C3718" s="343" t="s">
        <v>1059</v>
      </c>
      <c r="D3718" s="345">
        <v>8</v>
      </c>
      <c r="E3718" s="346">
        <v>-32.31</v>
      </c>
      <c r="F3718" s="346">
        <v>14445.72</v>
      </c>
      <c r="G3718" s="343" t="s">
        <v>1975</v>
      </c>
      <c r="H3718" s="343" t="s">
        <v>2072</v>
      </c>
      <c r="I3718" s="343" t="s">
        <v>1880</v>
      </c>
      <c r="J3718" s="343" t="s">
        <v>757</v>
      </c>
      <c r="K3718" s="343" t="s">
        <v>741</v>
      </c>
      <c r="L3718" s="344">
        <v>44227</v>
      </c>
      <c r="M3718" s="347">
        <v>0</v>
      </c>
    </row>
    <row r="3719" spans="1:13" hidden="1" x14ac:dyDescent="0.25">
      <c r="A3719" s="344">
        <v>44244</v>
      </c>
      <c r="B3719" s="343" t="s">
        <v>1978</v>
      </c>
      <c r="C3719" s="343" t="s">
        <v>1059</v>
      </c>
      <c r="D3719" s="345">
        <v>8</v>
      </c>
      <c r="E3719" s="346">
        <v>-32.31</v>
      </c>
      <c r="F3719" s="346">
        <v>14413.41</v>
      </c>
      <c r="G3719" s="343" t="s">
        <v>1979</v>
      </c>
      <c r="H3719" s="343" t="s">
        <v>2072</v>
      </c>
      <c r="I3719" s="343" t="s">
        <v>1880</v>
      </c>
      <c r="J3719" s="343" t="s">
        <v>757</v>
      </c>
      <c r="K3719" s="343" t="s">
        <v>741</v>
      </c>
      <c r="L3719" s="344">
        <v>44244</v>
      </c>
      <c r="M3719" s="347">
        <v>0</v>
      </c>
    </row>
    <row r="3720" spans="1:13" hidden="1" x14ac:dyDescent="0.25">
      <c r="A3720" s="344">
        <v>44255</v>
      </c>
      <c r="B3720" s="343" t="s">
        <v>2073</v>
      </c>
      <c r="C3720" s="343" t="s">
        <v>1060</v>
      </c>
      <c r="D3720" s="345">
        <v>8</v>
      </c>
      <c r="E3720" s="346">
        <v>24.55</v>
      </c>
      <c r="F3720" s="346">
        <v>14437.96</v>
      </c>
      <c r="G3720" s="343" t="s">
        <v>2074</v>
      </c>
      <c r="H3720" s="343" t="s">
        <v>2072</v>
      </c>
      <c r="I3720" s="343" t="s">
        <v>1880</v>
      </c>
      <c r="J3720" s="343" t="s">
        <v>757</v>
      </c>
      <c r="K3720" s="343" t="s">
        <v>741</v>
      </c>
      <c r="L3720" s="344">
        <v>44255</v>
      </c>
      <c r="M3720" s="347">
        <v>0</v>
      </c>
    </row>
    <row r="3721" spans="1:13" hidden="1" x14ac:dyDescent="0.25">
      <c r="A3721" s="344">
        <v>44239</v>
      </c>
      <c r="B3721" s="343" t="s">
        <v>2075</v>
      </c>
      <c r="C3721" s="343" t="s">
        <v>769</v>
      </c>
      <c r="D3721" s="345">
        <v>9</v>
      </c>
      <c r="E3721" s="346">
        <v>24.55</v>
      </c>
      <c r="F3721" s="346">
        <v>14462.51</v>
      </c>
      <c r="G3721" s="343" t="s">
        <v>2076</v>
      </c>
      <c r="H3721" s="343" t="s">
        <v>2072</v>
      </c>
      <c r="I3721" s="343" t="s">
        <v>1880</v>
      </c>
      <c r="J3721" s="343" t="s">
        <v>757</v>
      </c>
      <c r="K3721" s="343" t="s">
        <v>770</v>
      </c>
      <c r="L3721" s="344">
        <v>44239</v>
      </c>
      <c r="M3721" s="347">
        <v>0</v>
      </c>
    </row>
    <row r="3722" spans="1:13" hidden="1" x14ac:dyDescent="0.25">
      <c r="A3722" s="344">
        <v>44255</v>
      </c>
      <c r="B3722" s="343" t="s">
        <v>2073</v>
      </c>
      <c r="C3722" s="343" t="s">
        <v>1060</v>
      </c>
      <c r="D3722" s="345">
        <v>9</v>
      </c>
      <c r="E3722" s="346">
        <v>-24.55</v>
      </c>
      <c r="F3722" s="346">
        <v>14437.96</v>
      </c>
      <c r="G3722" s="343" t="s">
        <v>2074</v>
      </c>
      <c r="H3722" s="343" t="s">
        <v>2072</v>
      </c>
      <c r="I3722" s="343" t="s">
        <v>1880</v>
      </c>
      <c r="J3722" s="343" t="s">
        <v>757</v>
      </c>
      <c r="K3722" s="343" t="s">
        <v>741</v>
      </c>
      <c r="L3722" s="344">
        <v>44255</v>
      </c>
      <c r="M3722" s="347">
        <v>0</v>
      </c>
    </row>
    <row r="3723" spans="1:13" hidden="1" x14ac:dyDescent="0.25">
      <c r="A3723" s="344">
        <v>44259</v>
      </c>
      <c r="B3723" s="343" t="s">
        <v>1939</v>
      </c>
      <c r="C3723" s="343" t="s">
        <v>1059</v>
      </c>
      <c r="D3723" s="345">
        <v>9</v>
      </c>
      <c r="E3723" s="346">
        <v>-86.31</v>
      </c>
      <c r="F3723" s="346">
        <v>14351.65</v>
      </c>
      <c r="G3723" s="343" t="s">
        <v>1940</v>
      </c>
      <c r="H3723" s="343" t="s">
        <v>2072</v>
      </c>
      <c r="I3723" s="343" t="s">
        <v>1880</v>
      </c>
      <c r="J3723" s="343" t="s">
        <v>757</v>
      </c>
      <c r="K3723" s="343" t="s">
        <v>741</v>
      </c>
      <c r="L3723" s="344">
        <v>44259</v>
      </c>
      <c r="M3723" s="347">
        <v>0</v>
      </c>
    </row>
    <row r="3724" spans="1:13" hidden="1" x14ac:dyDescent="0.25">
      <c r="A3724" s="344">
        <v>44264</v>
      </c>
      <c r="B3724" s="343" t="s">
        <v>2077</v>
      </c>
      <c r="C3724" s="343" t="s">
        <v>769</v>
      </c>
      <c r="D3724" s="345">
        <v>9</v>
      </c>
      <c r="E3724" s="346">
        <v>81.819999999999993</v>
      </c>
      <c r="F3724" s="346">
        <v>14433.47</v>
      </c>
      <c r="G3724" s="343" t="s">
        <v>2078</v>
      </c>
      <c r="H3724" s="343" t="s">
        <v>2072</v>
      </c>
      <c r="I3724" s="343" t="s">
        <v>1880</v>
      </c>
      <c r="J3724" s="343" t="s">
        <v>757</v>
      </c>
      <c r="K3724" s="343" t="s">
        <v>770</v>
      </c>
      <c r="L3724" s="344">
        <v>44264</v>
      </c>
      <c r="M3724" s="347">
        <v>0</v>
      </c>
    </row>
    <row r="3725" spans="1:13" hidden="1" x14ac:dyDescent="0.25">
      <c r="A3725" s="344">
        <v>44272</v>
      </c>
      <c r="B3725" s="343" t="s">
        <v>1982</v>
      </c>
      <c r="C3725" s="343" t="s">
        <v>1059</v>
      </c>
      <c r="D3725" s="345">
        <v>9</v>
      </c>
      <c r="E3725" s="346">
        <v>-90.81</v>
      </c>
      <c r="F3725" s="346">
        <v>14342.66</v>
      </c>
      <c r="G3725" s="343" t="s">
        <v>1983</v>
      </c>
      <c r="H3725" s="343" t="s">
        <v>2072</v>
      </c>
      <c r="I3725" s="343" t="s">
        <v>1880</v>
      </c>
      <c r="J3725" s="343" t="s">
        <v>757</v>
      </c>
      <c r="K3725" s="343" t="s">
        <v>741</v>
      </c>
      <c r="L3725" s="344">
        <v>44272</v>
      </c>
      <c r="M3725" s="347">
        <v>0</v>
      </c>
    </row>
    <row r="3726" spans="1:13" hidden="1" x14ac:dyDescent="0.25">
      <c r="A3726" s="344">
        <v>44286</v>
      </c>
      <c r="B3726" s="343" t="s">
        <v>1918</v>
      </c>
      <c r="C3726" s="343" t="s">
        <v>1059</v>
      </c>
      <c r="D3726" s="345">
        <v>9</v>
      </c>
      <c r="E3726" s="346">
        <v>-95.31</v>
      </c>
      <c r="F3726" s="346">
        <v>14247.35</v>
      </c>
      <c r="G3726" s="343" t="s">
        <v>1919</v>
      </c>
      <c r="H3726" s="343" t="s">
        <v>2072</v>
      </c>
      <c r="I3726" s="343" t="s">
        <v>1880</v>
      </c>
      <c r="J3726" s="343" t="s">
        <v>757</v>
      </c>
      <c r="K3726" s="343" t="s">
        <v>741</v>
      </c>
      <c r="L3726" s="344">
        <v>44286</v>
      </c>
      <c r="M3726" s="347">
        <v>0</v>
      </c>
    </row>
    <row r="3727" spans="1:13" hidden="1" x14ac:dyDescent="0.25">
      <c r="A3727" s="344">
        <v>44286</v>
      </c>
      <c r="B3727" s="343" t="s">
        <v>2060</v>
      </c>
      <c r="C3727" s="343" t="s">
        <v>1060</v>
      </c>
      <c r="D3727" s="345">
        <v>9</v>
      </c>
      <c r="E3727" s="346">
        <v>81.819999999999993</v>
      </c>
      <c r="F3727" s="346">
        <v>14329.17</v>
      </c>
      <c r="G3727" s="343" t="s">
        <v>2079</v>
      </c>
      <c r="H3727" s="343" t="s">
        <v>2072</v>
      </c>
      <c r="I3727" s="343" t="s">
        <v>1880</v>
      </c>
      <c r="J3727" s="343" t="s">
        <v>757</v>
      </c>
      <c r="K3727" s="343" t="s">
        <v>741</v>
      </c>
      <c r="L3727" s="344">
        <v>44286</v>
      </c>
      <c r="M3727" s="347">
        <v>0</v>
      </c>
    </row>
    <row r="3728" spans="1:13" hidden="1" x14ac:dyDescent="0.25">
      <c r="A3728" s="344">
        <v>44286</v>
      </c>
      <c r="B3728" s="343" t="s">
        <v>2060</v>
      </c>
      <c r="C3728" s="343" t="s">
        <v>1060</v>
      </c>
      <c r="D3728" s="345">
        <v>10</v>
      </c>
      <c r="E3728" s="346">
        <v>-81.819999999999993</v>
      </c>
      <c r="F3728" s="346">
        <v>14247.35</v>
      </c>
      <c r="G3728" s="343" t="s">
        <v>2079</v>
      </c>
      <c r="H3728" s="343" t="s">
        <v>2072</v>
      </c>
      <c r="I3728" s="343" t="s">
        <v>1880</v>
      </c>
      <c r="J3728" s="343" t="s">
        <v>757</v>
      </c>
      <c r="K3728" s="343" t="s">
        <v>741</v>
      </c>
      <c r="L3728" s="344">
        <v>44286</v>
      </c>
      <c r="M3728" s="347">
        <v>0</v>
      </c>
    </row>
    <row r="3729" spans="1:13" hidden="1" x14ac:dyDescent="0.25">
      <c r="A3729" s="344">
        <v>44299</v>
      </c>
      <c r="B3729" s="343" t="s">
        <v>2080</v>
      </c>
      <c r="C3729" s="343" t="s">
        <v>769</v>
      </c>
      <c r="D3729" s="345">
        <v>10</v>
      </c>
      <c r="E3729" s="346">
        <v>126.82</v>
      </c>
      <c r="F3729" s="346">
        <v>14374.17</v>
      </c>
      <c r="G3729" s="343" t="s">
        <v>2081</v>
      </c>
      <c r="H3729" s="343" t="s">
        <v>2072</v>
      </c>
      <c r="I3729" s="343" t="s">
        <v>1880</v>
      </c>
      <c r="J3729" s="343" t="s">
        <v>757</v>
      </c>
      <c r="K3729" s="343" t="s">
        <v>770</v>
      </c>
      <c r="L3729" s="344">
        <v>44299</v>
      </c>
      <c r="M3729" s="347">
        <v>0</v>
      </c>
    </row>
    <row r="3730" spans="1:13" hidden="1" x14ac:dyDescent="0.25">
      <c r="A3730" s="344">
        <v>44301</v>
      </c>
      <c r="B3730" s="343" t="s">
        <v>1889</v>
      </c>
      <c r="C3730" s="343" t="s">
        <v>1059</v>
      </c>
      <c r="D3730" s="345">
        <v>10</v>
      </c>
      <c r="E3730" s="346">
        <v>-102.81</v>
      </c>
      <c r="F3730" s="346">
        <v>14271.36</v>
      </c>
      <c r="G3730" s="343" t="s">
        <v>1890</v>
      </c>
      <c r="H3730" s="343" t="s">
        <v>2072</v>
      </c>
      <c r="I3730" s="343" t="s">
        <v>1880</v>
      </c>
      <c r="J3730" s="343" t="s">
        <v>757</v>
      </c>
      <c r="K3730" s="343" t="s">
        <v>741</v>
      </c>
      <c r="L3730" s="344">
        <v>44301</v>
      </c>
      <c r="M3730" s="347">
        <v>0</v>
      </c>
    </row>
    <row r="3731" spans="1:13" hidden="1" x14ac:dyDescent="0.25">
      <c r="A3731" s="344">
        <v>44315</v>
      </c>
      <c r="B3731" s="343" t="s">
        <v>1920</v>
      </c>
      <c r="C3731" s="343" t="s">
        <v>1059</v>
      </c>
      <c r="D3731" s="345">
        <v>10</v>
      </c>
      <c r="E3731" s="346">
        <v>-107.31</v>
      </c>
      <c r="F3731" s="346">
        <v>14164.05</v>
      </c>
      <c r="G3731" s="343" t="s">
        <v>1921</v>
      </c>
      <c r="H3731" s="343" t="s">
        <v>2072</v>
      </c>
      <c r="I3731" s="343" t="s">
        <v>1880</v>
      </c>
      <c r="J3731" s="343" t="s">
        <v>757</v>
      </c>
      <c r="K3731" s="343" t="s">
        <v>741</v>
      </c>
      <c r="L3731" s="344">
        <v>44315</v>
      </c>
      <c r="M3731" s="347">
        <v>0</v>
      </c>
    </row>
    <row r="3732" spans="1:13" hidden="1" x14ac:dyDescent="0.25">
      <c r="A3732" s="344">
        <v>44316</v>
      </c>
      <c r="B3732" s="343" t="s">
        <v>1078</v>
      </c>
      <c r="C3732" s="343" t="s">
        <v>1060</v>
      </c>
      <c r="D3732" s="345">
        <v>10</v>
      </c>
      <c r="E3732" s="346">
        <v>100</v>
      </c>
      <c r="F3732" s="346">
        <v>14264.05</v>
      </c>
      <c r="G3732" s="343" t="s">
        <v>2082</v>
      </c>
      <c r="H3732" s="343" t="s">
        <v>2072</v>
      </c>
      <c r="I3732" s="343" t="s">
        <v>1880</v>
      </c>
      <c r="J3732" s="343" t="s">
        <v>757</v>
      </c>
      <c r="K3732" s="343" t="s">
        <v>741</v>
      </c>
      <c r="L3732" s="344">
        <v>44316</v>
      </c>
      <c r="M3732" s="347">
        <v>0</v>
      </c>
    </row>
    <row r="3733" spans="1:13" hidden="1" x14ac:dyDescent="0.25">
      <c r="A3733" s="344">
        <v>44327</v>
      </c>
      <c r="B3733" s="343" t="s">
        <v>1924</v>
      </c>
      <c r="C3733" s="343" t="s">
        <v>1059</v>
      </c>
      <c r="D3733" s="345">
        <v>10</v>
      </c>
      <c r="E3733" s="346">
        <v>-99.81</v>
      </c>
      <c r="F3733" s="346">
        <v>14164.24</v>
      </c>
      <c r="G3733" s="343" t="s">
        <v>1923</v>
      </c>
      <c r="H3733" s="343" t="s">
        <v>2072</v>
      </c>
      <c r="I3733" s="343" t="s">
        <v>1880</v>
      </c>
      <c r="J3733" s="343" t="s">
        <v>757</v>
      </c>
      <c r="K3733" s="343" t="s">
        <v>741</v>
      </c>
      <c r="L3733" s="344">
        <v>44327</v>
      </c>
      <c r="M3733" s="347">
        <v>0</v>
      </c>
    </row>
    <row r="3734" spans="1:13" hidden="1" x14ac:dyDescent="0.25">
      <c r="A3734" s="344">
        <v>44327</v>
      </c>
      <c r="B3734" s="343" t="s">
        <v>1922</v>
      </c>
      <c r="C3734" s="343" t="s">
        <v>1059</v>
      </c>
      <c r="D3734" s="345">
        <v>10</v>
      </c>
      <c r="E3734" s="346">
        <v>99.81</v>
      </c>
      <c r="F3734" s="346">
        <v>14264.05</v>
      </c>
      <c r="G3734" s="343" t="s">
        <v>1923</v>
      </c>
      <c r="H3734" s="343" t="s">
        <v>2072</v>
      </c>
      <c r="I3734" s="343" t="s">
        <v>1880</v>
      </c>
      <c r="J3734" s="343" t="s">
        <v>757</v>
      </c>
      <c r="K3734" s="343" t="s">
        <v>741</v>
      </c>
      <c r="L3734" s="344">
        <v>44327</v>
      </c>
      <c r="M3734" s="347">
        <v>0</v>
      </c>
    </row>
    <row r="3735" spans="1:13" hidden="1" x14ac:dyDescent="0.25">
      <c r="A3735" s="344">
        <v>44047</v>
      </c>
      <c r="B3735" s="343" t="s">
        <v>2083</v>
      </c>
      <c r="C3735" s="343" t="s">
        <v>769</v>
      </c>
      <c r="D3735" s="345">
        <v>2</v>
      </c>
      <c r="E3735" s="346">
        <v>181.82</v>
      </c>
      <c r="F3735" s="346">
        <v>14400.15</v>
      </c>
      <c r="G3735" s="343" t="s">
        <v>2084</v>
      </c>
      <c r="H3735" s="343" t="s">
        <v>2085</v>
      </c>
      <c r="I3735" s="343" t="s">
        <v>1880</v>
      </c>
      <c r="J3735" s="343" t="s">
        <v>757</v>
      </c>
      <c r="K3735" s="343" t="s">
        <v>770</v>
      </c>
      <c r="L3735" s="344">
        <v>44047</v>
      </c>
      <c r="M3735" s="347">
        <v>0</v>
      </c>
    </row>
    <row r="3736" spans="1:13" hidden="1" x14ac:dyDescent="0.25">
      <c r="A3736" s="344">
        <v>44047</v>
      </c>
      <c r="B3736" s="343" t="s">
        <v>2086</v>
      </c>
      <c r="C3736" s="343" t="s">
        <v>769</v>
      </c>
      <c r="D3736" s="345">
        <v>2</v>
      </c>
      <c r="E3736" s="346">
        <v>181.82</v>
      </c>
      <c r="F3736" s="346">
        <v>14581.97</v>
      </c>
      <c r="G3736" s="343" t="s">
        <v>2087</v>
      </c>
      <c r="H3736" s="343" t="s">
        <v>2085</v>
      </c>
      <c r="I3736" s="343" t="s">
        <v>1880</v>
      </c>
      <c r="J3736" s="343" t="s">
        <v>757</v>
      </c>
      <c r="K3736" s="343" t="s">
        <v>770</v>
      </c>
      <c r="L3736" s="344">
        <v>44047</v>
      </c>
      <c r="M3736" s="347">
        <v>0</v>
      </c>
    </row>
    <row r="3737" spans="1:13" hidden="1" x14ac:dyDescent="0.25">
      <c r="A3737" s="344">
        <v>44048</v>
      </c>
      <c r="B3737" s="343" t="s">
        <v>2035</v>
      </c>
      <c r="C3737" s="343" t="s">
        <v>936</v>
      </c>
      <c r="D3737" s="345">
        <v>2</v>
      </c>
      <c r="E3737" s="346">
        <v>-355.3</v>
      </c>
      <c r="F3737" s="346">
        <v>14226.67</v>
      </c>
      <c r="G3737" s="343" t="s">
        <v>2036</v>
      </c>
      <c r="H3737" s="343" t="s">
        <v>2085</v>
      </c>
      <c r="I3737" s="343" t="s">
        <v>1880</v>
      </c>
      <c r="J3737" s="343" t="s">
        <v>757</v>
      </c>
      <c r="K3737" s="343" t="s">
        <v>770</v>
      </c>
      <c r="L3737" s="344">
        <v>43862</v>
      </c>
      <c r="M3737" s="347">
        <v>0</v>
      </c>
    </row>
    <row r="3738" spans="1:13" hidden="1" x14ac:dyDescent="0.25">
      <c r="A3738" s="344">
        <v>44048</v>
      </c>
      <c r="B3738" s="343" t="s">
        <v>2038</v>
      </c>
      <c r="C3738" s="343" t="s">
        <v>936</v>
      </c>
      <c r="D3738" s="345">
        <v>2</v>
      </c>
      <c r="E3738" s="346">
        <v>-355.3</v>
      </c>
      <c r="F3738" s="346">
        <v>13871.37</v>
      </c>
      <c r="G3738" s="343" t="s">
        <v>2039</v>
      </c>
      <c r="H3738" s="343" t="s">
        <v>2085</v>
      </c>
      <c r="I3738" s="343" t="s">
        <v>1880</v>
      </c>
      <c r="J3738" s="343" t="s">
        <v>757</v>
      </c>
      <c r="K3738" s="343" t="s">
        <v>770</v>
      </c>
      <c r="L3738" s="344">
        <v>43891</v>
      </c>
      <c r="M3738" s="347">
        <v>0</v>
      </c>
    </row>
    <row r="3739" spans="1:13" hidden="1" x14ac:dyDescent="0.25">
      <c r="A3739" s="344">
        <v>44048</v>
      </c>
      <c r="B3739" s="343" t="s">
        <v>2088</v>
      </c>
      <c r="C3739" s="343" t="s">
        <v>936</v>
      </c>
      <c r="D3739" s="345">
        <v>2</v>
      </c>
      <c r="E3739" s="346">
        <v>-75.8</v>
      </c>
      <c r="F3739" s="346">
        <v>13795.57</v>
      </c>
      <c r="G3739" s="343" t="s">
        <v>2089</v>
      </c>
      <c r="H3739" s="343" t="s">
        <v>2085</v>
      </c>
      <c r="I3739" s="343" t="s">
        <v>1880</v>
      </c>
      <c r="J3739" s="343" t="s">
        <v>757</v>
      </c>
      <c r="K3739" s="343" t="s">
        <v>770</v>
      </c>
      <c r="L3739" s="344">
        <v>43952</v>
      </c>
      <c r="M3739" s="347">
        <v>0</v>
      </c>
    </row>
    <row r="3740" spans="1:13" hidden="1" x14ac:dyDescent="0.25">
      <c r="A3740" s="344">
        <v>44048</v>
      </c>
      <c r="B3740" s="343" t="s">
        <v>2083</v>
      </c>
      <c r="C3740" s="343" t="s">
        <v>936</v>
      </c>
      <c r="D3740" s="345">
        <v>2</v>
      </c>
      <c r="E3740" s="346">
        <v>-181.82</v>
      </c>
      <c r="F3740" s="346">
        <v>13613.75</v>
      </c>
      <c r="G3740" s="343" t="s">
        <v>2084</v>
      </c>
      <c r="H3740" s="343" t="s">
        <v>2085</v>
      </c>
      <c r="I3740" s="343" t="s">
        <v>1880</v>
      </c>
      <c r="J3740" s="343" t="s">
        <v>757</v>
      </c>
      <c r="K3740" s="343" t="s">
        <v>770</v>
      </c>
      <c r="L3740" s="344">
        <v>44047</v>
      </c>
      <c r="M3740" s="347">
        <v>0</v>
      </c>
    </row>
    <row r="3741" spans="1:13" hidden="1" x14ac:dyDescent="0.25">
      <c r="A3741" s="344">
        <v>44048</v>
      </c>
      <c r="B3741" s="343" t="s">
        <v>2040</v>
      </c>
      <c r="C3741" s="343" t="s">
        <v>769</v>
      </c>
      <c r="D3741" s="345">
        <v>2</v>
      </c>
      <c r="E3741" s="346">
        <v>355.3</v>
      </c>
      <c r="F3741" s="346">
        <v>13969.05</v>
      </c>
      <c r="G3741" s="343" t="s">
        <v>2041</v>
      </c>
      <c r="H3741" s="343" t="s">
        <v>2085</v>
      </c>
      <c r="I3741" s="343" t="s">
        <v>1880</v>
      </c>
      <c r="J3741" s="343" t="s">
        <v>757</v>
      </c>
      <c r="K3741" s="343" t="s">
        <v>770</v>
      </c>
      <c r="L3741" s="344">
        <v>44048</v>
      </c>
      <c r="M3741" s="347">
        <v>0</v>
      </c>
    </row>
    <row r="3742" spans="1:13" hidden="1" x14ac:dyDescent="0.25">
      <c r="A3742" s="344">
        <v>44048</v>
      </c>
      <c r="B3742" s="343" t="s">
        <v>2042</v>
      </c>
      <c r="C3742" s="343" t="s">
        <v>769</v>
      </c>
      <c r="D3742" s="345">
        <v>2</v>
      </c>
      <c r="E3742" s="346">
        <v>355.3</v>
      </c>
      <c r="F3742" s="346">
        <v>14324.35</v>
      </c>
      <c r="G3742" s="343" t="s">
        <v>2043</v>
      </c>
      <c r="H3742" s="343" t="s">
        <v>2085</v>
      </c>
      <c r="I3742" s="343" t="s">
        <v>1880</v>
      </c>
      <c r="J3742" s="343" t="s">
        <v>757</v>
      </c>
      <c r="K3742" s="343" t="s">
        <v>770</v>
      </c>
      <c r="L3742" s="344">
        <v>44048</v>
      </c>
      <c r="M3742" s="347">
        <v>0</v>
      </c>
    </row>
    <row r="3743" spans="1:13" hidden="1" x14ac:dyDescent="0.25">
      <c r="A3743" s="344">
        <v>44048</v>
      </c>
      <c r="B3743" s="343" t="s">
        <v>2090</v>
      </c>
      <c r="C3743" s="343" t="s">
        <v>769</v>
      </c>
      <c r="D3743" s="345">
        <v>2</v>
      </c>
      <c r="E3743" s="346">
        <v>75.8</v>
      </c>
      <c r="F3743" s="346">
        <v>14400.15</v>
      </c>
      <c r="G3743" s="343" t="s">
        <v>2091</v>
      </c>
      <c r="H3743" s="343" t="s">
        <v>2085</v>
      </c>
      <c r="I3743" s="343" t="s">
        <v>1880</v>
      </c>
      <c r="J3743" s="343" t="s">
        <v>757</v>
      </c>
      <c r="K3743" s="343" t="s">
        <v>770</v>
      </c>
      <c r="L3743" s="344">
        <v>44048</v>
      </c>
      <c r="M3743" s="347">
        <v>0</v>
      </c>
    </row>
    <row r="3744" spans="1:13" hidden="1" x14ac:dyDescent="0.25">
      <c r="A3744" s="344">
        <v>44052</v>
      </c>
      <c r="B3744" s="343" t="s">
        <v>1930</v>
      </c>
      <c r="C3744" s="343" t="s">
        <v>1059</v>
      </c>
      <c r="D3744" s="345">
        <v>2</v>
      </c>
      <c r="E3744" s="346">
        <v>-104.65</v>
      </c>
      <c r="F3744" s="346">
        <v>14295.5</v>
      </c>
      <c r="G3744" s="343" t="s">
        <v>1931</v>
      </c>
      <c r="H3744" s="343" t="s">
        <v>2085</v>
      </c>
      <c r="I3744" s="343" t="s">
        <v>1880</v>
      </c>
      <c r="J3744" s="343" t="s">
        <v>757</v>
      </c>
      <c r="K3744" s="343" t="s">
        <v>741</v>
      </c>
      <c r="L3744" s="344">
        <v>44052</v>
      </c>
      <c r="M3744" s="347">
        <v>0</v>
      </c>
    </row>
    <row r="3745" spans="1:13" hidden="1" x14ac:dyDescent="0.25">
      <c r="A3745" s="344">
        <v>44062</v>
      </c>
      <c r="B3745" s="343" t="s">
        <v>1932</v>
      </c>
      <c r="C3745" s="343" t="s">
        <v>1059</v>
      </c>
      <c r="D3745" s="345">
        <v>2</v>
      </c>
      <c r="E3745" s="346">
        <v>-104.65</v>
      </c>
      <c r="F3745" s="346">
        <v>14190.85</v>
      </c>
      <c r="G3745" s="343" t="s">
        <v>1933</v>
      </c>
      <c r="H3745" s="343" t="s">
        <v>2085</v>
      </c>
      <c r="I3745" s="343" t="s">
        <v>1880</v>
      </c>
      <c r="J3745" s="343" t="s">
        <v>757</v>
      </c>
      <c r="K3745" s="343" t="s">
        <v>741</v>
      </c>
      <c r="L3745" s="344">
        <v>44062</v>
      </c>
      <c r="M3745" s="347">
        <v>0</v>
      </c>
    </row>
    <row r="3746" spans="1:13" hidden="1" x14ac:dyDescent="0.25">
      <c r="A3746" s="344">
        <v>44064</v>
      </c>
      <c r="B3746" s="343" t="s">
        <v>2092</v>
      </c>
      <c r="C3746" s="343" t="s">
        <v>769</v>
      </c>
      <c r="D3746" s="345">
        <v>2</v>
      </c>
      <c r="E3746" s="346">
        <v>101.01</v>
      </c>
      <c r="F3746" s="346">
        <v>14291.86</v>
      </c>
      <c r="G3746" s="343" t="s">
        <v>2093</v>
      </c>
      <c r="H3746" s="343" t="s">
        <v>2085</v>
      </c>
      <c r="I3746" s="343" t="s">
        <v>1880</v>
      </c>
      <c r="J3746" s="343" t="s">
        <v>757</v>
      </c>
      <c r="K3746" s="343" t="s">
        <v>770</v>
      </c>
      <c r="L3746" s="344">
        <v>44064</v>
      </c>
      <c r="M3746" s="347">
        <v>0</v>
      </c>
    </row>
    <row r="3747" spans="1:13" hidden="1" x14ac:dyDescent="0.25">
      <c r="A3747" s="344">
        <v>44064</v>
      </c>
      <c r="B3747" s="343" t="s">
        <v>2092</v>
      </c>
      <c r="C3747" s="343" t="s">
        <v>936</v>
      </c>
      <c r="D3747" s="345">
        <v>2</v>
      </c>
      <c r="E3747" s="346">
        <v>-101.01</v>
      </c>
      <c r="F3747" s="346">
        <v>14190.85</v>
      </c>
      <c r="G3747" s="343" t="s">
        <v>2093</v>
      </c>
      <c r="H3747" s="343" t="s">
        <v>2085</v>
      </c>
      <c r="I3747" s="343" t="s">
        <v>1880</v>
      </c>
      <c r="J3747" s="343" t="s">
        <v>757</v>
      </c>
      <c r="K3747" s="343" t="s">
        <v>770</v>
      </c>
      <c r="L3747" s="344">
        <v>44064</v>
      </c>
      <c r="M3747" s="347">
        <v>0</v>
      </c>
    </row>
    <row r="3748" spans="1:13" hidden="1" x14ac:dyDescent="0.25">
      <c r="A3748" s="344">
        <v>44064</v>
      </c>
      <c r="B3748" s="343" t="s">
        <v>2094</v>
      </c>
      <c r="C3748" s="343" t="s">
        <v>769</v>
      </c>
      <c r="D3748" s="345">
        <v>2</v>
      </c>
      <c r="E3748" s="346">
        <v>101.01</v>
      </c>
      <c r="F3748" s="346">
        <v>14291.86</v>
      </c>
      <c r="G3748" s="343" t="s">
        <v>2095</v>
      </c>
      <c r="H3748" s="343" t="s">
        <v>2085</v>
      </c>
      <c r="I3748" s="343" t="s">
        <v>1880</v>
      </c>
      <c r="J3748" s="343" t="s">
        <v>757</v>
      </c>
      <c r="K3748" s="343" t="s">
        <v>770</v>
      </c>
      <c r="L3748" s="344">
        <v>44064</v>
      </c>
      <c r="M3748" s="347">
        <v>0</v>
      </c>
    </row>
    <row r="3749" spans="1:13" hidden="1" x14ac:dyDescent="0.25">
      <c r="A3749" s="344">
        <v>44077</v>
      </c>
      <c r="B3749" s="343" t="s">
        <v>2096</v>
      </c>
      <c r="C3749" s="343" t="s">
        <v>769</v>
      </c>
      <c r="D3749" s="345">
        <v>3</v>
      </c>
      <c r="E3749" s="346">
        <v>75.75</v>
      </c>
      <c r="F3749" s="346">
        <v>14367.61</v>
      </c>
      <c r="G3749" s="343" t="s">
        <v>2097</v>
      </c>
      <c r="H3749" s="343" t="s">
        <v>2085</v>
      </c>
      <c r="I3749" s="343" t="s">
        <v>1880</v>
      </c>
      <c r="J3749" s="343" t="s">
        <v>757</v>
      </c>
      <c r="K3749" s="343" t="s">
        <v>770</v>
      </c>
      <c r="L3749" s="344">
        <v>44077</v>
      </c>
      <c r="M3749" s="347">
        <v>0</v>
      </c>
    </row>
    <row r="3750" spans="1:13" hidden="1" x14ac:dyDescent="0.25">
      <c r="A3750" s="344">
        <v>44083</v>
      </c>
      <c r="B3750" s="343" t="s">
        <v>1948</v>
      </c>
      <c r="C3750" s="343" t="s">
        <v>1059</v>
      </c>
      <c r="D3750" s="345">
        <v>3</v>
      </c>
      <c r="E3750" s="346">
        <v>-77.349999999999994</v>
      </c>
      <c r="F3750" s="346">
        <v>14290.26</v>
      </c>
      <c r="G3750" s="343" t="s">
        <v>1949</v>
      </c>
      <c r="H3750" s="343" t="s">
        <v>2085</v>
      </c>
      <c r="I3750" s="343" t="s">
        <v>1880</v>
      </c>
      <c r="J3750" s="343" t="s">
        <v>757</v>
      </c>
      <c r="K3750" s="343" t="s">
        <v>741</v>
      </c>
      <c r="L3750" s="344">
        <v>44083</v>
      </c>
      <c r="M3750" s="347">
        <v>0</v>
      </c>
    </row>
    <row r="3751" spans="1:13" hidden="1" x14ac:dyDescent="0.25">
      <c r="A3751" s="344">
        <v>44090</v>
      </c>
      <c r="B3751" s="343" t="s">
        <v>2098</v>
      </c>
      <c r="C3751" s="343" t="s">
        <v>769</v>
      </c>
      <c r="D3751" s="345">
        <v>3</v>
      </c>
      <c r="E3751" s="346">
        <v>75.75</v>
      </c>
      <c r="F3751" s="346">
        <v>14366.01</v>
      </c>
      <c r="G3751" s="343" t="s">
        <v>2099</v>
      </c>
      <c r="H3751" s="343" t="s">
        <v>2085</v>
      </c>
      <c r="I3751" s="343" t="s">
        <v>1880</v>
      </c>
      <c r="J3751" s="343" t="s">
        <v>757</v>
      </c>
      <c r="K3751" s="343" t="s">
        <v>770</v>
      </c>
      <c r="L3751" s="344">
        <v>44090</v>
      </c>
      <c r="M3751" s="347">
        <v>0</v>
      </c>
    </row>
    <row r="3752" spans="1:13" hidden="1" x14ac:dyDescent="0.25">
      <c r="A3752" s="344">
        <v>44094</v>
      </c>
      <c r="B3752" s="343" t="s">
        <v>1950</v>
      </c>
      <c r="C3752" s="343" t="s">
        <v>1059</v>
      </c>
      <c r="D3752" s="345">
        <v>3</v>
      </c>
      <c r="E3752" s="346">
        <v>-104.65</v>
      </c>
      <c r="F3752" s="346">
        <v>14261.36</v>
      </c>
      <c r="G3752" s="343" t="s">
        <v>1951</v>
      </c>
      <c r="H3752" s="343" t="s">
        <v>2085</v>
      </c>
      <c r="I3752" s="343" t="s">
        <v>1880</v>
      </c>
      <c r="J3752" s="343" t="s">
        <v>757</v>
      </c>
      <c r="K3752" s="343" t="s">
        <v>741</v>
      </c>
      <c r="L3752" s="344">
        <v>44094</v>
      </c>
      <c r="M3752" s="347">
        <v>0</v>
      </c>
    </row>
    <row r="3753" spans="1:13" hidden="1" x14ac:dyDescent="0.25">
      <c r="A3753" s="344">
        <v>44099</v>
      </c>
      <c r="B3753" s="343" t="s">
        <v>2100</v>
      </c>
      <c r="C3753" s="343" t="s">
        <v>769</v>
      </c>
      <c r="D3753" s="345">
        <v>3</v>
      </c>
      <c r="E3753" s="346">
        <v>42.61</v>
      </c>
      <c r="F3753" s="346">
        <v>14303.97</v>
      </c>
      <c r="G3753" s="343" t="s">
        <v>2101</v>
      </c>
      <c r="H3753" s="343" t="s">
        <v>2085</v>
      </c>
      <c r="I3753" s="343" t="s">
        <v>1880</v>
      </c>
      <c r="J3753" s="343" t="s">
        <v>757</v>
      </c>
      <c r="K3753" s="343" t="s">
        <v>770</v>
      </c>
      <c r="L3753" s="344">
        <v>44099</v>
      </c>
      <c r="M3753" s="347">
        <v>0</v>
      </c>
    </row>
    <row r="3754" spans="1:13" hidden="1" x14ac:dyDescent="0.25">
      <c r="A3754" s="344">
        <v>44104</v>
      </c>
      <c r="B3754" s="343" t="s">
        <v>1934</v>
      </c>
      <c r="C3754" s="343" t="s">
        <v>1059</v>
      </c>
      <c r="D3754" s="345">
        <v>3</v>
      </c>
      <c r="E3754" s="346">
        <v>-131.94999999999999</v>
      </c>
      <c r="F3754" s="346">
        <v>14172.02</v>
      </c>
      <c r="G3754" s="343" t="s">
        <v>1935</v>
      </c>
      <c r="H3754" s="343" t="s">
        <v>2085</v>
      </c>
      <c r="I3754" s="343" t="s">
        <v>1880</v>
      </c>
      <c r="J3754" s="343" t="s">
        <v>757</v>
      </c>
      <c r="K3754" s="343" t="s">
        <v>741</v>
      </c>
      <c r="L3754" s="344">
        <v>44104</v>
      </c>
      <c r="M3754" s="347">
        <v>0</v>
      </c>
    </row>
    <row r="3755" spans="1:13" hidden="1" x14ac:dyDescent="0.25">
      <c r="A3755" s="344">
        <v>44104</v>
      </c>
      <c r="B3755" s="343" t="s">
        <v>2066</v>
      </c>
      <c r="C3755" s="343" t="s">
        <v>1060</v>
      </c>
      <c r="D3755" s="345">
        <v>3</v>
      </c>
      <c r="E3755" s="346">
        <v>210</v>
      </c>
      <c r="F3755" s="346">
        <v>14382.02</v>
      </c>
      <c r="G3755" s="343" t="s">
        <v>2067</v>
      </c>
      <c r="H3755" s="343" t="s">
        <v>2085</v>
      </c>
      <c r="I3755" s="343" t="s">
        <v>1880</v>
      </c>
      <c r="J3755" s="343" t="s">
        <v>757</v>
      </c>
      <c r="K3755" s="343" t="s">
        <v>741</v>
      </c>
      <c r="L3755" s="344">
        <v>44104</v>
      </c>
      <c r="M3755" s="347">
        <v>0</v>
      </c>
    </row>
    <row r="3756" spans="1:13" hidden="1" x14ac:dyDescent="0.25">
      <c r="A3756" s="344">
        <v>44104</v>
      </c>
      <c r="B3756" s="343" t="s">
        <v>2066</v>
      </c>
      <c r="C3756" s="343" t="s">
        <v>1060</v>
      </c>
      <c r="D3756" s="345">
        <v>4</v>
      </c>
      <c r="E3756" s="346">
        <v>-210</v>
      </c>
      <c r="F3756" s="346">
        <v>14172.02</v>
      </c>
      <c r="G3756" s="343" t="s">
        <v>2067</v>
      </c>
      <c r="H3756" s="343" t="s">
        <v>2085</v>
      </c>
      <c r="I3756" s="343" t="s">
        <v>1880</v>
      </c>
      <c r="J3756" s="343" t="s">
        <v>757</v>
      </c>
      <c r="K3756" s="343" t="s">
        <v>741</v>
      </c>
      <c r="L3756" s="344">
        <v>44104</v>
      </c>
      <c r="M3756" s="347">
        <v>0</v>
      </c>
    </row>
    <row r="3757" spans="1:13" hidden="1" x14ac:dyDescent="0.25">
      <c r="A3757" s="344">
        <v>44120</v>
      </c>
      <c r="B3757" s="343" t="s">
        <v>1936</v>
      </c>
      <c r="C3757" s="343" t="s">
        <v>1059</v>
      </c>
      <c r="D3757" s="345">
        <v>4</v>
      </c>
      <c r="E3757" s="346">
        <v>-258.48</v>
      </c>
      <c r="F3757" s="346">
        <v>13913.54</v>
      </c>
      <c r="G3757" s="343" t="s">
        <v>1937</v>
      </c>
      <c r="H3757" s="343" t="s">
        <v>2085</v>
      </c>
      <c r="I3757" s="343" t="s">
        <v>1880</v>
      </c>
      <c r="J3757" s="343" t="s">
        <v>757</v>
      </c>
      <c r="K3757" s="343" t="s">
        <v>741</v>
      </c>
      <c r="L3757" s="344">
        <v>44120</v>
      </c>
      <c r="M3757" s="347">
        <v>0</v>
      </c>
    </row>
    <row r="3758" spans="1:13" hidden="1" x14ac:dyDescent="0.25">
      <c r="A3758" s="344">
        <v>44135</v>
      </c>
      <c r="B3758" s="343" t="s">
        <v>1954</v>
      </c>
      <c r="C3758" s="343" t="s">
        <v>1059</v>
      </c>
      <c r="D3758" s="345">
        <v>4</v>
      </c>
      <c r="E3758" s="346">
        <v>-323.10000000000002</v>
      </c>
      <c r="F3758" s="346">
        <v>13590.44</v>
      </c>
      <c r="G3758" s="343" t="s">
        <v>1955</v>
      </c>
      <c r="H3758" s="343" t="s">
        <v>2085</v>
      </c>
      <c r="I3758" s="343" t="s">
        <v>1880</v>
      </c>
      <c r="J3758" s="343" t="s">
        <v>757</v>
      </c>
      <c r="K3758" s="343" t="s">
        <v>741</v>
      </c>
      <c r="L3758" s="344">
        <v>44135</v>
      </c>
      <c r="M3758" s="347">
        <v>0</v>
      </c>
    </row>
    <row r="3759" spans="1:13" hidden="1" x14ac:dyDescent="0.25">
      <c r="A3759" s="344">
        <v>44135</v>
      </c>
      <c r="B3759" s="343" t="s">
        <v>2068</v>
      </c>
      <c r="C3759" s="343" t="s">
        <v>1060</v>
      </c>
      <c r="D3759" s="345">
        <v>4</v>
      </c>
      <c r="E3759" s="346">
        <v>420</v>
      </c>
      <c r="F3759" s="346">
        <v>14010.44</v>
      </c>
      <c r="G3759" s="343" t="s">
        <v>2069</v>
      </c>
      <c r="H3759" s="343" t="s">
        <v>2085</v>
      </c>
      <c r="I3759" s="343" t="s">
        <v>1880</v>
      </c>
      <c r="J3759" s="343" t="s">
        <v>757</v>
      </c>
      <c r="K3759" s="343" t="s">
        <v>741</v>
      </c>
      <c r="L3759" s="344">
        <v>44135</v>
      </c>
      <c r="M3759" s="347">
        <v>0</v>
      </c>
    </row>
    <row r="3760" spans="1:13" hidden="1" x14ac:dyDescent="0.25">
      <c r="A3760" s="344">
        <v>44039</v>
      </c>
      <c r="B3760" s="343" t="s">
        <v>2102</v>
      </c>
      <c r="C3760" s="343" t="s">
        <v>769</v>
      </c>
      <c r="D3760" s="345">
        <v>5</v>
      </c>
      <c r="E3760" s="346">
        <v>129.87</v>
      </c>
      <c r="F3760" s="346">
        <v>14140.31</v>
      </c>
      <c r="G3760" s="343" t="s">
        <v>2103</v>
      </c>
      <c r="H3760" s="343" t="s">
        <v>2085</v>
      </c>
      <c r="I3760" s="343" t="s">
        <v>1880</v>
      </c>
      <c r="J3760" s="343" t="s">
        <v>757</v>
      </c>
      <c r="K3760" s="343" t="s">
        <v>770</v>
      </c>
      <c r="L3760" s="344">
        <v>44039</v>
      </c>
      <c r="M3760" s="347">
        <v>0</v>
      </c>
    </row>
    <row r="3761" spans="1:13" hidden="1" x14ac:dyDescent="0.25">
      <c r="A3761" s="344">
        <v>44039</v>
      </c>
      <c r="B3761" s="343" t="s">
        <v>2104</v>
      </c>
      <c r="C3761" s="343" t="s">
        <v>769</v>
      </c>
      <c r="D3761" s="345">
        <v>5</v>
      </c>
      <c r="E3761" s="346">
        <v>64.94</v>
      </c>
      <c r="F3761" s="346">
        <v>14205.25</v>
      </c>
      <c r="G3761" s="343" t="s">
        <v>2105</v>
      </c>
      <c r="H3761" s="343" t="s">
        <v>2085</v>
      </c>
      <c r="I3761" s="343" t="s">
        <v>1880</v>
      </c>
      <c r="J3761" s="343" t="s">
        <v>757</v>
      </c>
      <c r="K3761" s="343" t="s">
        <v>770</v>
      </c>
      <c r="L3761" s="344">
        <v>44039</v>
      </c>
      <c r="M3761" s="347">
        <v>0</v>
      </c>
    </row>
    <row r="3762" spans="1:13" hidden="1" x14ac:dyDescent="0.25">
      <c r="A3762" s="344">
        <v>44135</v>
      </c>
      <c r="B3762" s="343" t="s">
        <v>2068</v>
      </c>
      <c r="C3762" s="343" t="s">
        <v>1060</v>
      </c>
      <c r="D3762" s="345">
        <v>5</v>
      </c>
      <c r="E3762" s="346">
        <v>-420</v>
      </c>
      <c r="F3762" s="346">
        <v>13785.25</v>
      </c>
      <c r="G3762" s="343" t="s">
        <v>2069</v>
      </c>
      <c r="H3762" s="343" t="s">
        <v>2085</v>
      </c>
      <c r="I3762" s="343" t="s">
        <v>1880</v>
      </c>
      <c r="J3762" s="343" t="s">
        <v>757</v>
      </c>
      <c r="K3762" s="343" t="s">
        <v>741</v>
      </c>
      <c r="L3762" s="344">
        <v>44135</v>
      </c>
      <c r="M3762" s="347">
        <v>0</v>
      </c>
    </row>
    <row r="3763" spans="1:13" hidden="1" x14ac:dyDescent="0.25">
      <c r="A3763" s="344">
        <v>44148</v>
      </c>
      <c r="B3763" s="343" t="s">
        <v>1958</v>
      </c>
      <c r="C3763" s="343" t="s">
        <v>1059</v>
      </c>
      <c r="D3763" s="345">
        <v>5</v>
      </c>
      <c r="E3763" s="346">
        <v>-387.72</v>
      </c>
      <c r="F3763" s="346">
        <v>13397.53</v>
      </c>
      <c r="G3763" s="343" t="s">
        <v>1959</v>
      </c>
      <c r="H3763" s="343" t="s">
        <v>2085</v>
      </c>
      <c r="I3763" s="343" t="s">
        <v>1880</v>
      </c>
      <c r="J3763" s="343" t="s">
        <v>757</v>
      </c>
      <c r="K3763" s="343" t="s">
        <v>741</v>
      </c>
      <c r="L3763" s="344">
        <v>44148</v>
      </c>
      <c r="M3763" s="347">
        <v>0</v>
      </c>
    </row>
    <row r="3764" spans="1:13" hidden="1" x14ac:dyDescent="0.25">
      <c r="A3764" s="344">
        <v>44160</v>
      </c>
      <c r="B3764" s="343" t="s">
        <v>1960</v>
      </c>
      <c r="C3764" s="343" t="s">
        <v>1059</v>
      </c>
      <c r="D3764" s="345">
        <v>5</v>
      </c>
      <c r="E3764" s="346">
        <v>-387.72</v>
      </c>
      <c r="F3764" s="346">
        <v>13009.81</v>
      </c>
      <c r="G3764" s="343" t="s">
        <v>1961</v>
      </c>
      <c r="H3764" s="343" t="s">
        <v>2085</v>
      </c>
      <c r="I3764" s="343" t="s">
        <v>1880</v>
      </c>
      <c r="J3764" s="343" t="s">
        <v>757</v>
      </c>
      <c r="K3764" s="343" t="s">
        <v>741</v>
      </c>
      <c r="L3764" s="344">
        <v>44160</v>
      </c>
      <c r="M3764" s="347">
        <v>0</v>
      </c>
    </row>
    <row r="3765" spans="1:13" hidden="1" x14ac:dyDescent="0.25">
      <c r="A3765" s="344">
        <v>44165</v>
      </c>
      <c r="B3765" s="343" t="s">
        <v>1906</v>
      </c>
      <c r="C3765" s="343" t="s">
        <v>1060</v>
      </c>
      <c r="D3765" s="345">
        <v>5</v>
      </c>
      <c r="E3765" s="346">
        <v>1954.91</v>
      </c>
      <c r="F3765" s="346">
        <v>14964.72</v>
      </c>
      <c r="G3765" s="343" t="s">
        <v>2106</v>
      </c>
      <c r="H3765" s="343" t="s">
        <v>2085</v>
      </c>
      <c r="I3765" s="343" t="s">
        <v>1880</v>
      </c>
      <c r="J3765" s="343" t="s">
        <v>757</v>
      </c>
      <c r="K3765" s="343" t="s">
        <v>741</v>
      </c>
      <c r="L3765" s="344">
        <v>44165</v>
      </c>
      <c r="M3765" s="347">
        <v>0</v>
      </c>
    </row>
    <row r="3766" spans="1:13" hidden="1" x14ac:dyDescent="0.25">
      <c r="A3766" s="344">
        <v>44144</v>
      </c>
      <c r="B3766" s="343" t="s">
        <v>2044</v>
      </c>
      <c r="C3766" s="343" t="s">
        <v>769</v>
      </c>
      <c r="D3766" s="345">
        <v>6</v>
      </c>
      <c r="E3766" s="346">
        <v>210</v>
      </c>
      <c r="F3766" s="346">
        <v>15174.72</v>
      </c>
      <c r="G3766" s="343" t="s">
        <v>2045</v>
      </c>
      <c r="H3766" s="343" t="s">
        <v>2085</v>
      </c>
      <c r="I3766" s="343" t="s">
        <v>1880</v>
      </c>
      <c r="J3766" s="343" t="s">
        <v>757</v>
      </c>
      <c r="K3766" s="343" t="s">
        <v>770</v>
      </c>
      <c r="L3766" s="344">
        <v>44144</v>
      </c>
      <c r="M3766" s="347">
        <v>0</v>
      </c>
    </row>
    <row r="3767" spans="1:13" hidden="1" x14ac:dyDescent="0.25">
      <c r="A3767" s="344">
        <v>44165</v>
      </c>
      <c r="B3767" s="343" t="s">
        <v>1906</v>
      </c>
      <c r="C3767" s="343" t="s">
        <v>1060</v>
      </c>
      <c r="D3767" s="345">
        <v>6</v>
      </c>
      <c r="E3767" s="346">
        <v>-1954.91</v>
      </c>
      <c r="F3767" s="346">
        <v>13219.81</v>
      </c>
      <c r="G3767" s="343" t="s">
        <v>2106</v>
      </c>
      <c r="H3767" s="343" t="s">
        <v>2085</v>
      </c>
      <c r="I3767" s="343" t="s">
        <v>1880</v>
      </c>
      <c r="J3767" s="343" t="s">
        <v>757</v>
      </c>
      <c r="K3767" s="343" t="s">
        <v>741</v>
      </c>
      <c r="L3767" s="344">
        <v>44165</v>
      </c>
      <c r="M3767" s="347">
        <v>0</v>
      </c>
    </row>
    <row r="3768" spans="1:13" hidden="1" x14ac:dyDescent="0.25">
      <c r="A3768" s="344">
        <v>44165</v>
      </c>
      <c r="B3768" s="343" t="s">
        <v>1962</v>
      </c>
      <c r="C3768" s="343" t="s">
        <v>1059</v>
      </c>
      <c r="D3768" s="345">
        <v>6</v>
      </c>
      <c r="E3768" s="346">
        <v>-420.03</v>
      </c>
      <c r="F3768" s="346">
        <v>12799.78</v>
      </c>
      <c r="G3768" s="343" t="s">
        <v>1963</v>
      </c>
      <c r="H3768" s="343" t="s">
        <v>2085</v>
      </c>
      <c r="I3768" s="343" t="s">
        <v>1880</v>
      </c>
      <c r="J3768" s="343" t="s">
        <v>757</v>
      </c>
      <c r="K3768" s="343" t="s">
        <v>741</v>
      </c>
      <c r="L3768" s="344">
        <v>44165</v>
      </c>
      <c r="M3768" s="347">
        <v>0</v>
      </c>
    </row>
    <row r="3769" spans="1:13" hidden="1" x14ac:dyDescent="0.25">
      <c r="A3769" s="344">
        <v>44168</v>
      </c>
      <c r="B3769" s="343" t="s">
        <v>2046</v>
      </c>
      <c r="C3769" s="343" t="s">
        <v>769</v>
      </c>
      <c r="D3769" s="345">
        <v>6</v>
      </c>
      <c r="E3769" s="346">
        <v>210</v>
      </c>
      <c r="F3769" s="346">
        <v>13009.78</v>
      </c>
      <c r="G3769" s="343" t="s">
        <v>2047</v>
      </c>
      <c r="H3769" s="343" t="s">
        <v>2085</v>
      </c>
      <c r="I3769" s="343" t="s">
        <v>1880</v>
      </c>
      <c r="J3769" s="343" t="s">
        <v>757</v>
      </c>
      <c r="K3769" s="343" t="s">
        <v>770</v>
      </c>
      <c r="L3769" s="344">
        <v>44168</v>
      </c>
      <c r="M3769" s="347">
        <v>0</v>
      </c>
    </row>
    <row r="3770" spans="1:13" hidden="1" x14ac:dyDescent="0.25">
      <c r="A3770" s="344">
        <v>44187</v>
      </c>
      <c r="B3770" s="343" t="s">
        <v>1966</v>
      </c>
      <c r="C3770" s="343" t="s">
        <v>1059</v>
      </c>
      <c r="D3770" s="345">
        <v>6</v>
      </c>
      <c r="E3770" s="346">
        <v>-484.65</v>
      </c>
      <c r="F3770" s="346">
        <v>12525.13</v>
      </c>
      <c r="G3770" s="343" t="s">
        <v>1967</v>
      </c>
      <c r="H3770" s="343" t="s">
        <v>2085</v>
      </c>
      <c r="I3770" s="343" t="s">
        <v>1880</v>
      </c>
      <c r="J3770" s="343" t="s">
        <v>757</v>
      </c>
      <c r="K3770" s="343" t="s">
        <v>741</v>
      </c>
      <c r="L3770" s="344">
        <v>44187</v>
      </c>
      <c r="M3770" s="347">
        <v>0</v>
      </c>
    </row>
    <row r="3771" spans="1:13" hidden="1" x14ac:dyDescent="0.25">
      <c r="A3771" s="344">
        <v>44196</v>
      </c>
      <c r="B3771" s="343" t="s">
        <v>2048</v>
      </c>
      <c r="C3771" s="343" t="s">
        <v>1060</v>
      </c>
      <c r="D3771" s="345">
        <v>6</v>
      </c>
      <c r="E3771" s="346">
        <v>420</v>
      </c>
      <c r="F3771" s="346">
        <v>12945.13</v>
      </c>
      <c r="G3771" s="343" t="s">
        <v>2049</v>
      </c>
      <c r="H3771" s="343" t="s">
        <v>2085</v>
      </c>
      <c r="I3771" s="343" t="s">
        <v>1880</v>
      </c>
      <c r="J3771" s="343" t="s">
        <v>757</v>
      </c>
      <c r="K3771" s="343" t="s">
        <v>741</v>
      </c>
      <c r="L3771" s="344">
        <v>44196</v>
      </c>
      <c r="M3771" s="347">
        <v>0</v>
      </c>
    </row>
    <row r="3772" spans="1:13" hidden="1" x14ac:dyDescent="0.25">
      <c r="A3772" s="344">
        <v>44196</v>
      </c>
      <c r="B3772" s="343" t="s">
        <v>2048</v>
      </c>
      <c r="C3772" s="343" t="s">
        <v>1060</v>
      </c>
      <c r="D3772" s="345">
        <v>7</v>
      </c>
      <c r="E3772" s="346">
        <v>-420</v>
      </c>
      <c r="F3772" s="346">
        <v>12525.13</v>
      </c>
      <c r="G3772" s="343" t="s">
        <v>2049</v>
      </c>
      <c r="H3772" s="343" t="s">
        <v>2085</v>
      </c>
      <c r="I3772" s="343" t="s">
        <v>1880</v>
      </c>
      <c r="J3772" s="343" t="s">
        <v>757</v>
      </c>
      <c r="K3772" s="343" t="s">
        <v>741</v>
      </c>
      <c r="L3772" s="344">
        <v>44196</v>
      </c>
      <c r="M3772" s="347">
        <v>0</v>
      </c>
    </row>
    <row r="3773" spans="1:13" hidden="1" x14ac:dyDescent="0.25">
      <c r="A3773" s="344">
        <v>44196</v>
      </c>
      <c r="B3773" s="343" t="s">
        <v>2050</v>
      </c>
      <c r="C3773" s="343" t="s">
        <v>769</v>
      </c>
      <c r="D3773" s="345">
        <v>7</v>
      </c>
      <c r="E3773" s="346">
        <v>280</v>
      </c>
      <c r="F3773" s="346">
        <v>12805.13</v>
      </c>
      <c r="G3773" s="343" t="s">
        <v>2051</v>
      </c>
      <c r="H3773" s="343" t="s">
        <v>2085</v>
      </c>
      <c r="I3773" s="343" t="s">
        <v>1880</v>
      </c>
      <c r="J3773" s="343" t="s">
        <v>757</v>
      </c>
      <c r="K3773" s="343" t="s">
        <v>770</v>
      </c>
      <c r="L3773" s="344">
        <v>44196</v>
      </c>
      <c r="M3773" s="347">
        <v>0</v>
      </c>
    </row>
    <row r="3774" spans="1:13" hidden="1" x14ac:dyDescent="0.25">
      <c r="A3774" s="344">
        <v>44203</v>
      </c>
      <c r="B3774" s="343" t="s">
        <v>1970</v>
      </c>
      <c r="C3774" s="343" t="s">
        <v>1059</v>
      </c>
      <c r="D3774" s="345">
        <v>7</v>
      </c>
      <c r="E3774" s="346">
        <v>-452.34</v>
      </c>
      <c r="F3774" s="346">
        <v>12352.79</v>
      </c>
      <c r="G3774" s="343" t="s">
        <v>1971</v>
      </c>
      <c r="H3774" s="343" t="s">
        <v>2085</v>
      </c>
      <c r="I3774" s="343" t="s">
        <v>1880</v>
      </c>
      <c r="J3774" s="343" t="s">
        <v>757</v>
      </c>
      <c r="K3774" s="343" t="s">
        <v>741</v>
      </c>
      <c r="L3774" s="344">
        <v>44203</v>
      </c>
      <c r="M3774" s="347">
        <v>0</v>
      </c>
    </row>
    <row r="3775" spans="1:13" hidden="1" x14ac:dyDescent="0.25">
      <c r="A3775" s="344">
        <v>44218</v>
      </c>
      <c r="B3775" s="343" t="s">
        <v>1972</v>
      </c>
      <c r="C3775" s="343" t="s">
        <v>1059</v>
      </c>
      <c r="D3775" s="345">
        <v>7</v>
      </c>
      <c r="E3775" s="346">
        <v>-420.03</v>
      </c>
      <c r="F3775" s="346">
        <v>11932.76</v>
      </c>
      <c r="G3775" s="343" t="s">
        <v>1973</v>
      </c>
      <c r="H3775" s="343" t="s">
        <v>2085</v>
      </c>
      <c r="I3775" s="343" t="s">
        <v>1880</v>
      </c>
      <c r="J3775" s="343" t="s">
        <v>757</v>
      </c>
      <c r="K3775" s="343" t="s">
        <v>741</v>
      </c>
      <c r="L3775" s="344">
        <v>44218</v>
      </c>
      <c r="M3775" s="347">
        <v>0</v>
      </c>
    </row>
    <row r="3776" spans="1:13" hidden="1" x14ac:dyDescent="0.25">
      <c r="A3776" s="344">
        <v>44227</v>
      </c>
      <c r="B3776" s="343" t="s">
        <v>2052</v>
      </c>
      <c r="C3776" s="343" t="s">
        <v>1060</v>
      </c>
      <c r="D3776" s="345">
        <v>7</v>
      </c>
      <c r="E3776" s="346">
        <v>490</v>
      </c>
      <c r="F3776" s="346">
        <v>12422.76</v>
      </c>
      <c r="G3776" s="343" t="s">
        <v>2053</v>
      </c>
      <c r="H3776" s="343" t="s">
        <v>2085</v>
      </c>
      <c r="I3776" s="343" t="s">
        <v>1880</v>
      </c>
      <c r="J3776" s="343" t="s">
        <v>757</v>
      </c>
      <c r="K3776" s="343" t="s">
        <v>741</v>
      </c>
      <c r="L3776" s="344">
        <v>44227</v>
      </c>
      <c r="M3776" s="347">
        <v>0</v>
      </c>
    </row>
    <row r="3777" spans="1:13" hidden="1" x14ac:dyDescent="0.25">
      <c r="A3777" s="344">
        <v>44227</v>
      </c>
      <c r="B3777" s="343" t="s">
        <v>2052</v>
      </c>
      <c r="C3777" s="343" t="s">
        <v>1060</v>
      </c>
      <c r="D3777" s="345">
        <v>8</v>
      </c>
      <c r="E3777" s="346">
        <v>-490</v>
      </c>
      <c r="F3777" s="346">
        <v>11932.76</v>
      </c>
      <c r="G3777" s="343" t="s">
        <v>2053</v>
      </c>
      <c r="H3777" s="343" t="s">
        <v>2085</v>
      </c>
      <c r="I3777" s="343" t="s">
        <v>1880</v>
      </c>
      <c r="J3777" s="343" t="s">
        <v>757</v>
      </c>
      <c r="K3777" s="343" t="s">
        <v>741</v>
      </c>
      <c r="L3777" s="344">
        <v>44227</v>
      </c>
      <c r="M3777" s="347">
        <v>0</v>
      </c>
    </row>
    <row r="3778" spans="1:13" hidden="1" x14ac:dyDescent="0.25">
      <c r="A3778" s="344">
        <v>44227</v>
      </c>
      <c r="B3778" s="343" t="s">
        <v>1974</v>
      </c>
      <c r="C3778" s="343" t="s">
        <v>1059</v>
      </c>
      <c r="D3778" s="345">
        <v>8</v>
      </c>
      <c r="E3778" s="346">
        <v>-355.41</v>
      </c>
      <c r="F3778" s="346">
        <v>11577.35</v>
      </c>
      <c r="G3778" s="343" t="s">
        <v>1975</v>
      </c>
      <c r="H3778" s="343" t="s">
        <v>2085</v>
      </c>
      <c r="I3778" s="343" t="s">
        <v>1880</v>
      </c>
      <c r="J3778" s="343" t="s">
        <v>757</v>
      </c>
      <c r="K3778" s="343" t="s">
        <v>741</v>
      </c>
      <c r="L3778" s="344">
        <v>44227</v>
      </c>
      <c r="M3778" s="347">
        <v>0</v>
      </c>
    </row>
    <row r="3779" spans="1:13" hidden="1" x14ac:dyDescent="0.25">
      <c r="A3779" s="344">
        <v>44228</v>
      </c>
      <c r="B3779" s="343" t="s">
        <v>2054</v>
      </c>
      <c r="C3779" s="343" t="s">
        <v>769</v>
      </c>
      <c r="D3779" s="345">
        <v>8</v>
      </c>
      <c r="E3779" s="346">
        <v>210</v>
      </c>
      <c r="F3779" s="346">
        <v>11787.35</v>
      </c>
      <c r="G3779" s="343" t="s">
        <v>2055</v>
      </c>
      <c r="H3779" s="343" t="s">
        <v>2085</v>
      </c>
      <c r="I3779" s="343" t="s">
        <v>1880</v>
      </c>
      <c r="J3779" s="343" t="s">
        <v>757</v>
      </c>
      <c r="K3779" s="343" t="s">
        <v>770</v>
      </c>
      <c r="L3779" s="344">
        <v>44228</v>
      </c>
      <c r="M3779" s="347">
        <v>0</v>
      </c>
    </row>
    <row r="3780" spans="1:13" hidden="1" x14ac:dyDescent="0.25">
      <c r="A3780" s="344">
        <v>44244</v>
      </c>
      <c r="B3780" s="343" t="s">
        <v>1978</v>
      </c>
      <c r="C3780" s="343" t="s">
        <v>1059</v>
      </c>
      <c r="D3780" s="345">
        <v>8</v>
      </c>
      <c r="E3780" s="346">
        <v>-323.10000000000002</v>
      </c>
      <c r="F3780" s="346">
        <v>11464.25</v>
      </c>
      <c r="G3780" s="343" t="s">
        <v>1979</v>
      </c>
      <c r="H3780" s="343" t="s">
        <v>2085</v>
      </c>
      <c r="I3780" s="343" t="s">
        <v>1880</v>
      </c>
      <c r="J3780" s="343" t="s">
        <v>757</v>
      </c>
      <c r="K3780" s="343" t="s">
        <v>741</v>
      </c>
      <c r="L3780" s="344">
        <v>44244</v>
      </c>
      <c r="M3780" s="347">
        <v>0</v>
      </c>
    </row>
    <row r="3781" spans="1:13" hidden="1" x14ac:dyDescent="0.25">
      <c r="A3781" s="344">
        <v>44255</v>
      </c>
      <c r="B3781" s="343" t="s">
        <v>2056</v>
      </c>
      <c r="C3781" s="343" t="s">
        <v>1060</v>
      </c>
      <c r="D3781" s="345">
        <v>8</v>
      </c>
      <c r="E3781" s="346">
        <v>420</v>
      </c>
      <c r="F3781" s="346">
        <v>11884.25</v>
      </c>
      <c r="G3781" s="343" t="s">
        <v>2057</v>
      </c>
      <c r="H3781" s="343" t="s">
        <v>2085</v>
      </c>
      <c r="I3781" s="343" t="s">
        <v>1880</v>
      </c>
      <c r="J3781" s="343" t="s">
        <v>757</v>
      </c>
      <c r="K3781" s="343" t="s">
        <v>741</v>
      </c>
      <c r="L3781" s="344">
        <v>44255</v>
      </c>
      <c r="M3781" s="347">
        <v>0</v>
      </c>
    </row>
    <row r="3782" spans="1:13" hidden="1" x14ac:dyDescent="0.25">
      <c r="A3782" s="344">
        <v>44255</v>
      </c>
      <c r="B3782" s="343" t="s">
        <v>2056</v>
      </c>
      <c r="C3782" s="343" t="s">
        <v>1060</v>
      </c>
      <c r="D3782" s="345">
        <v>9</v>
      </c>
      <c r="E3782" s="346">
        <v>-420</v>
      </c>
      <c r="F3782" s="346">
        <v>11464.25</v>
      </c>
      <c r="G3782" s="343" t="s">
        <v>2057</v>
      </c>
      <c r="H3782" s="343" t="s">
        <v>2085</v>
      </c>
      <c r="I3782" s="343" t="s">
        <v>1880</v>
      </c>
      <c r="J3782" s="343" t="s">
        <v>757</v>
      </c>
      <c r="K3782" s="343" t="s">
        <v>741</v>
      </c>
      <c r="L3782" s="344">
        <v>44255</v>
      </c>
      <c r="M3782" s="347">
        <v>0</v>
      </c>
    </row>
    <row r="3783" spans="1:13" hidden="1" x14ac:dyDescent="0.25">
      <c r="A3783" s="344">
        <v>44255</v>
      </c>
      <c r="B3783" s="343" t="s">
        <v>2058</v>
      </c>
      <c r="C3783" s="343" t="s">
        <v>769</v>
      </c>
      <c r="D3783" s="345">
        <v>9</v>
      </c>
      <c r="E3783" s="346">
        <v>210</v>
      </c>
      <c r="F3783" s="346">
        <v>11674.25</v>
      </c>
      <c r="G3783" s="343" t="s">
        <v>2059</v>
      </c>
      <c r="H3783" s="343" t="s">
        <v>2085</v>
      </c>
      <c r="I3783" s="343" t="s">
        <v>1880</v>
      </c>
      <c r="J3783" s="343" t="s">
        <v>757</v>
      </c>
      <c r="K3783" s="343" t="s">
        <v>770</v>
      </c>
      <c r="L3783" s="344">
        <v>44255</v>
      </c>
      <c r="M3783" s="347">
        <v>0</v>
      </c>
    </row>
    <row r="3784" spans="1:13" hidden="1" x14ac:dyDescent="0.25">
      <c r="A3784" s="344">
        <v>44259</v>
      </c>
      <c r="B3784" s="343" t="s">
        <v>1939</v>
      </c>
      <c r="C3784" s="343" t="s">
        <v>1059</v>
      </c>
      <c r="D3784" s="345">
        <v>9</v>
      </c>
      <c r="E3784" s="346">
        <v>-258.48</v>
      </c>
      <c r="F3784" s="346">
        <v>11415.77</v>
      </c>
      <c r="G3784" s="343" t="s">
        <v>1940</v>
      </c>
      <c r="H3784" s="343" t="s">
        <v>2085</v>
      </c>
      <c r="I3784" s="343" t="s">
        <v>1880</v>
      </c>
      <c r="J3784" s="343" t="s">
        <v>757</v>
      </c>
      <c r="K3784" s="343" t="s">
        <v>741</v>
      </c>
      <c r="L3784" s="344">
        <v>44259</v>
      </c>
      <c r="M3784" s="347">
        <v>0</v>
      </c>
    </row>
    <row r="3785" spans="1:13" hidden="1" x14ac:dyDescent="0.25">
      <c r="A3785" s="344">
        <v>44272</v>
      </c>
      <c r="B3785" s="343" t="s">
        <v>1982</v>
      </c>
      <c r="C3785" s="343" t="s">
        <v>1059</v>
      </c>
      <c r="D3785" s="345">
        <v>9</v>
      </c>
      <c r="E3785" s="346">
        <v>-355.41</v>
      </c>
      <c r="F3785" s="346">
        <v>11060.36</v>
      </c>
      <c r="G3785" s="343" t="s">
        <v>1983</v>
      </c>
      <c r="H3785" s="343" t="s">
        <v>2085</v>
      </c>
      <c r="I3785" s="343" t="s">
        <v>1880</v>
      </c>
      <c r="J3785" s="343" t="s">
        <v>757</v>
      </c>
      <c r="K3785" s="343" t="s">
        <v>741</v>
      </c>
      <c r="L3785" s="344">
        <v>44272</v>
      </c>
      <c r="M3785" s="347">
        <v>0</v>
      </c>
    </row>
    <row r="3786" spans="1:13" hidden="1" x14ac:dyDescent="0.25">
      <c r="A3786" s="344">
        <v>44286</v>
      </c>
      <c r="B3786" s="343" t="s">
        <v>1918</v>
      </c>
      <c r="C3786" s="343" t="s">
        <v>1059</v>
      </c>
      <c r="D3786" s="345">
        <v>9</v>
      </c>
      <c r="E3786" s="346">
        <v>-258.48</v>
      </c>
      <c r="F3786" s="346">
        <v>10801.88</v>
      </c>
      <c r="G3786" s="343" t="s">
        <v>1919</v>
      </c>
      <c r="H3786" s="343" t="s">
        <v>2085</v>
      </c>
      <c r="I3786" s="343" t="s">
        <v>1880</v>
      </c>
      <c r="J3786" s="343" t="s">
        <v>757</v>
      </c>
      <c r="K3786" s="343" t="s">
        <v>741</v>
      </c>
      <c r="L3786" s="344">
        <v>44286</v>
      </c>
      <c r="M3786" s="347">
        <v>0</v>
      </c>
    </row>
    <row r="3787" spans="1:13" hidden="1" x14ac:dyDescent="0.25">
      <c r="A3787" s="344">
        <v>44286</v>
      </c>
      <c r="B3787" s="343" t="s">
        <v>2060</v>
      </c>
      <c r="C3787" s="343" t="s">
        <v>1060</v>
      </c>
      <c r="D3787" s="345">
        <v>9</v>
      </c>
      <c r="E3787" s="346">
        <v>210</v>
      </c>
      <c r="F3787" s="346">
        <v>11011.88</v>
      </c>
      <c r="G3787" s="343" t="s">
        <v>2061</v>
      </c>
      <c r="H3787" s="343" t="s">
        <v>2085</v>
      </c>
      <c r="I3787" s="343" t="s">
        <v>1880</v>
      </c>
      <c r="J3787" s="343" t="s">
        <v>757</v>
      </c>
      <c r="K3787" s="343" t="s">
        <v>741</v>
      </c>
      <c r="L3787" s="344">
        <v>44286</v>
      </c>
      <c r="M3787" s="347">
        <v>0</v>
      </c>
    </row>
    <row r="3788" spans="1:13" hidden="1" x14ac:dyDescent="0.25">
      <c r="A3788" s="344">
        <v>44286</v>
      </c>
      <c r="B3788" s="343" t="s">
        <v>2060</v>
      </c>
      <c r="C3788" s="343" t="s">
        <v>1060</v>
      </c>
      <c r="D3788" s="345">
        <v>10</v>
      </c>
      <c r="E3788" s="346">
        <v>-210</v>
      </c>
      <c r="F3788" s="346">
        <v>10801.88</v>
      </c>
      <c r="G3788" s="343" t="s">
        <v>2061</v>
      </c>
      <c r="H3788" s="343" t="s">
        <v>2085</v>
      </c>
      <c r="I3788" s="343" t="s">
        <v>1880</v>
      </c>
      <c r="J3788" s="343" t="s">
        <v>757</v>
      </c>
      <c r="K3788" s="343" t="s">
        <v>741</v>
      </c>
      <c r="L3788" s="344">
        <v>44286</v>
      </c>
      <c r="M3788" s="347">
        <v>0</v>
      </c>
    </row>
    <row r="3789" spans="1:13" hidden="1" x14ac:dyDescent="0.25">
      <c r="A3789" s="344">
        <v>44293</v>
      </c>
      <c r="B3789" s="343" t="s">
        <v>2062</v>
      </c>
      <c r="C3789" s="343" t="s">
        <v>769</v>
      </c>
      <c r="D3789" s="345">
        <v>10</v>
      </c>
      <c r="E3789" s="346">
        <v>490</v>
      </c>
      <c r="F3789" s="346">
        <v>11291.88</v>
      </c>
      <c r="G3789" s="343" t="s">
        <v>2063</v>
      </c>
      <c r="H3789" s="343" t="s">
        <v>2085</v>
      </c>
      <c r="I3789" s="343" t="s">
        <v>1880</v>
      </c>
      <c r="J3789" s="343" t="s">
        <v>757</v>
      </c>
      <c r="K3789" s="343" t="s">
        <v>770</v>
      </c>
      <c r="L3789" s="344">
        <v>44293</v>
      </c>
      <c r="M3789" s="347">
        <v>0</v>
      </c>
    </row>
    <row r="3790" spans="1:13" hidden="1" x14ac:dyDescent="0.25">
      <c r="A3790" s="344">
        <v>44301</v>
      </c>
      <c r="B3790" s="343" t="s">
        <v>1889</v>
      </c>
      <c r="C3790" s="343" t="s">
        <v>1059</v>
      </c>
      <c r="D3790" s="345">
        <v>10</v>
      </c>
      <c r="E3790" s="346">
        <v>-355.41</v>
      </c>
      <c r="F3790" s="346">
        <v>10936.47</v>
      </c>
      <c r="G3790" s="343" t="s">
        <v>1890</v>
      </c>
      <c r="H3790" s="343" t="s">
        <v>2085</v>
      </c>
      <c r="I3790" s="343" t="s">
        <v>1880</v>
      </c>
      <c r="J3790" s="343" t="s">
        <v>757</v>
      </c>
      <c r="K3790" s="343" t="s">
        <v>741</v>
      </c>
      <c r="L3790" s="344">
        <v>44301</v>
      </c>
      <c r="M3790" s="347">
        <v>0</v>
      </c>
    </row>
    <row r="3791" spans="1:13" hidden="1" x14ac:dyDescent="0.25">
      <c r="A3791" s="344">
        <v>44315</v>
      </c>
      <c r="B3791" s="343" t="s">
        <v>1920</v>
      </c>
      <c r="C3791" s="343" t="s">
        <v>1059</v>
      </c>
      <c r="D3791" s="345">
        <v>10</v>
      </c>
      <c r="E3791" s="346">
        <v>-290.79000000000002</v>
      </c>
      <c r="F3791" s="346">
        <v>10645.68</v>
      </c>
      <c r="G3791" s="343" t="s">
        <v>1921</v>
      </c>
      <c r="H3791" s="343" t="s">
        <v>2085</v>
      </c>
      <c r="I3791" s="343" t="s">
        <v>1880</v>
      </c>
      <c r="J3791" s="343" t="s">
        <v>757</v>
      </c>
      <c r="K3791" s="343" t="s">
        <v>741</v>
      </c>
      <c r="L3791" s="344">
        <v>44315</v>
      </c>
      <c r="M3791" s="347">
        <v>0</v>
      </c>
    </row>
    <row r="3792" spans="1:13" hidden="1" x14ac:dyDescent="0.25">
      <c r="A3792" s="344">
        <v>44316</v>
      </c>
      <c r="B3792" s="343" t="s">
        <v>1078</v>
      </c>
      <c r="C3792" s="343" t="s">
        <v>1060</v>
      </c>
      <c r="D3792" s="345">
        <v>10</v>
      </c>
      <c r="E3792" s="346">
        <v>210</v>
      </c>
      <c r="F3792" s="346">
        <v>10855.68</v>
      </c>
      <c r="G3792" s="343" t="s">
        <v>2064</v>
      </c>
      <c r="H3792" s="343" t="s">
        <v>2085</v>
      </c>
      <c r="I3792" s="343" t="s">
        <v>1880</v>
      </c>
      <c r="J3792" s="343" t="s">
        <v>757</v>
      </c>
      <c r="K3792" s="343" t="s">
        <v>741</v>
      </c>
      <c r="L3792" s="344">
        <v>44316</v>
      </c>
      <c r="M3792" s="347">
        <v>0</v>
      </c>
    </row>
    <row r="3793" spans="1:13" hidden="1" x14ac:dyDescent="0.25">
      <c r="A3793" s="344">
        <v>44327</v>
      </c>
      <c r="B3793" s="343" t="s">
        <v>1924</v>
      </c>
      <c r="C3793" s="343" t="s">
        <v>1059</v>
      </c>
      <c r="D3793" s="345">
        <v>10</v>
      </c>
      <c r="E3793" s="346">
        <v>-258.48</v>
      </c>
      <c r="F3793" s="346">
        <v>10597.2</v>
      </c>
      <c r="G3793" s="343" t="s">
        <v>1923</v>
      </c>
      <c r="H3793" s="343" t="s">
        <v>2085</v>
      </c>
      <c r="I3793" s="343" t="s">
        <v>1880</v>
      </c>
      <c r="J3793" s="343" t="s">
        <v>757</v>
      </c>
      <c r="K3793" s="343" t="s">
        <v>741</v>
      </c>
      <c r="L3793" s="344">
        <v>44327</v>
      </c>
      <c r="M3793" s="347">
        <v>0</v>
      </c>
    </row>
    <row r="3794" spans="1:13" hidden="1" x14ac:dyDescent="0.25">
      <c r="A3794" s="344">
        <v>44327</v>
      </c>
      <c r="B3794" s="343" t="s">
        <v>1922</v>
      </c>
      <c r="C3794" s="343" t="s">
        <v>1059</v>
      </c>
      <c r="D3794" s="345">
        <v>10</v>
      </c>
      <c r="E3794" s="346">
        <v>258.48</v>
      </c>
      <c r="F3794" s="346">
        <v>10855.68</v>
      </c>
      <c r="G3794" s="343" t="s">
        <v>1923</v>
      </c>
      <c r="H3794" s="343" t="s">
        <v>2085</v>
      </c>
      <c r="I3794" s="343" t="s">
        <v>1880</v>
      </c>
      <c r="J3794" s="343" t="s">
        <v>757</v>
      </c>
      <c r="K3794" s="343" t="s">
        <v>741</v>
      </c>
      <c r="L3794" s="344">
        <v>44327</v>
      </c>
      <c r="M3794" s="347">
        <v>0</v>
      </c>
    </row>
    <row r="3795" spans="1:13" hidden="1" x14ac:dyDescent="0.25">
      <c r="A3795" s="344">
        <v>44048</v>
      </c>
      <c r="B3795" s="343" t="s">
        <v>2035</v>
      </c>
      <c r="C3795" s="343" t="s">
        <v>936</v>
      </c>
      <c r="D3795" s="345">
        <v>2</v>
      </c>
      <c r="E3795" s="346">
        <v>-284.24</v>
      </c>
      <c r="F3795" s="346">
        <v>10592.96</v>
      </c>
      <c r="G3795" s="343" t="s">
        <v>2036</v>
      </c>
      <c r="H3795" s="343" t="s">
        <v>2107</v>
      </c>
      <c r="I3795" s="343" t="s">
        <v>1880</v>
      </c>
      <c r="J3795" s="343" t="s">
        <v>757</v>
      </c>
      <c r="K3795" s="343" t="s">
        <v>770</v>
      </c>
      <c r="L3795" s="344">
        <v>43862</v>
      </c>
      <c r="M3795" s="347">
        <v>0</v>
      </c>
    </row>
    <row r="3796" spans="1:13" hidden="1" x14ac:dyDescent="0.25">
      <c r="A3796" s="344">
        <v>44048</v>
      </c>
      <c r="B3796" s="343" t="s">
        <v>2038</v>
      </c>
      <c r="C3796" s="343" t="s">
        <v>936</v>
      </c>
      <c r="D3796" s="345">
        <v>2</v>
      </c>
      <c r="E3796" s="346">
        <v>-284.24</v>
      </c>
      <c r="F3796" s="346">
        <v>10308.719999999999</v>
      </c>
      <c r="G3796" s="343" t="s">
        <v>2039</v>
      </c>
      <c r="H3796" s="343" t="s">
        <v>2107</v>
      </c>
      <c r="I3796" s="343" t="s">
        <v>1880</v>
      </c>
      <c r="J3796" s="343" t="s">
        <v>757</v>
      </c>
      <c r="K3796" s="343" t="s">
        <v>770</v>
      </c>
      <c r="L3796" s="344">
        <v>43891</v>
      </c>
      <c r="M3796" s="347">
        <v>0</v>
      </c>
    </row>
    <row r="3797" spans="1:13" hidden="1" x14ac:dyDescent="0.25">
      <c r="A3797" s="344">
        <v>44048</v>
      </c>
      <c r="B3797" s="343" t="s">
        <v>2040</v>
      </c>
      <c r="C3797" s="343" t="s">
        <v>769</v>
      </c>
      <c r="D3797" s="345">
        <v>2</v>
      </c>
      <c r="E3797" s="346">
        <v>284.24</v>
      </c>
      <c r="F3797" s="346">
        <v>10592.96</v>
      </c>
      <c r="G3797" s="343" t="s">
        <v>2041</v>
      </c>
      <c r="H3797" s="343" t="s">
        <v>2107</v>
      </c>
      <c r="I3797" s="343" t="s">
        <v>1880</v>
      </c>
      <c r="J3797" s="343" t="s">
        <v>757</v>
      </c>
      <c r="K3797" s="343" t="s">
        <v>770</v>
      </c>
      <c r="L3797" s="344">
        <v>44048</v>
      </c>
      <c r="M3797" s="347">
        <v>0</v>
      </c>
    </row>
    <row r="3798" spans="1:13" hidden="1" x14ac:dyDescent="0.25">
      <c r="A3798" s="344">
        <v>44048</v>
      </c>
      <c r="B3798" s="343" t="s">
        <v>2042</v>
      </c>
      <c r="C3798" s="343" t="s">
        <v>769</v>
      </c>
      <c r="D3798" s="345">
        <v>2</v>
      </c>
      <c r="E3798" s="346">
        <v>284.24</v>
      </c>
      <c r="F3798" s="346">
        <v>10877.2</v>
      </c>
      <c r="G3798" s="343" t="s">
        <v>2043</v>
      </c>
      <c r="H3798" s="343" t="s">
        <v>2107</v>
      </c>
      <c r="I3798" s="343" t="s">
        <v>1880</v>
      </c>
      <c r="J3798" s="343" t="s">
        <v>757</v>
      </c>
      <c r="K3798" s="343" t="s">
        <v>770</v>
      </c>
      <c r="L3798" s="344">
        <v>44048</v>
      </c>
      <c r="M3798" s="347">
        <v>0</v>
      </c>
    </row>
    <row r="3799" spans="1:13" hidden="1" x14ac:dyDescent="0.25">
      <c r="A3799" s="344">
        <v>44062</v>
      </c>
      <c r="B3799" s="343" t="s">
        <v>1932</v>
      </c>
      <c r="C3799" s="343" t="s">
        <v>1059</v>
      </c>
      <c r="D3799" s="345">
        <v>2</v>
      </c>
      <c r="E3799" s="346">
        <v>-13.65</v>
      </c>
      <c r="F3799" s="346">
        <v>10863.55</v>
      </c>
      <c r="G3799" s="343" t="s">
        <v>1933</v>
      </c>
      <c r="H3799" s="343" t="s">
        <v>2107</v>
      </c>
      <c r="I3799" s="343" t="s">
        <v>1880</v>
      </c>
      <c r="J3799" s="343" t="s">
        <v>757</v>
      </c>
      <c r="K3799" s="343" t="s">
        <v>741</v>
      </c>
      <c r="L3799" s="344">
        <v>44062</v>
      </c>
      <c r="M3799" s="347">
        <v>0</v>
      </c>
    </row>
    <row r="3800" spans="1:13" hidden="1" x14ac:dyDescent="0.25">
      <c r="A3800" s="344">
        <v>44064</v>
      </c>
      <c r="B3800" s="343" t="s">
        <v>2092</v>
      </c>
      <c r="C3800" s="343" t="s">
        <v>769</v>
      </c>
      <c r="D3800" s="345">
        <v>2</v>
      </c>
      <c r="E3800" s="346">
        <v>101.01</v>
      </c>
      <c r="F3800" s="346">
        <v>10964.56</v>
      </c>
      <c r="G3800" s="343" t="s">
        <v>2093</v>
      </c>
      <c r="H3800" s="343" t="s">
        <v>2107</v>
      </c>
      <c r="I3800" s="343" t="s">
        <v>1880</v>
      </c>
      <c r="J3800" s="343" t="s">
        <v>757</v>
      </c>
      <c r="K3800" s="343" t="s">
        <v>770</v>
      </c>
      <c r="L3800" s="344">
        <v>44064</v>
      </c>
      <c r="M3800" s="347">
        <v>0</v>
      </c>
    </row>
    <row r="3801" spans="1:13" hidden="1" x14ac:dyDescent="0.25">
      <c r="A3801" s="344">
        <v>44064</v>
      </c>
      <c r="B3801" s="343" t="s">
        <v>2094</v>
      </c>
      <c r="C3801" s="343" t="s">
        <v>769</v>
      </c>
      <c r="D3801" s="345">
        <v>2</v>
      </c>
      <c r="E3801" s="346">
        <v>101.01</v>
      </c>
      <c r="F3801" s="346">
        <v>11065.57</v>
      </c>
      <c r="G3801" s="343" t="s">
        <v>2095</v>
      </c>
      <c r="H3801" s="343" t="s">
        <v>2107</v>
      </c>
      <c r="I3801" s="343" t="s">
        <v>1880</v>
      </c>
      <c r="J3801" s="343" t="s">
        <v>757</v>
      </c>
      <c r="K3801" s="343" t="s">
        <v>770</v>
      </c>
      <c r="L3801" s="344">
        <v>44064</v>
      </c>
      <c r="M3801" s="347">
        <v>0</v>
      </c>
    </row>
    <row r="3802" spans="1:13" hidden="1" x14ac:dyDescent="0.25">
      <c r="A3802" s="344">
        <v>44064</v>
      </c>
      <c r="B3802" s="343" t="s">
        <v>2092</v>
      </c>
      <c r="C3802" s="343" t="s">
        <v>936</v>
      </c>
      <c r="D3802" s="345">
        <v>2</v>
      </c>
      <c r="E3802" s="346">
        <v>-101.01</v>
      </c>
      <c r="F3802" s="346">
        <v>10964.56</v>
      </c>
      <c r="G3802" s="343" t="s">
        <v>2093</v>
      </c>
      <c r="H3802" s="343" t="s">
        <v>2107</v>
      </c>
      <c r="I3802" s="343" t="s">
        <v>1880</v>
      </c>
      <c r="J3802" s="343" t="s">
        <v>757</v>
      </c>
      <c r="K3802" s="343" t="s">
        <v>770</v>
      </c>
      <c r="L3802" s="344">
        <v>44064</v>
      </c>
      <c r="M3802" s="347">
        <v>0</v>
      </c>
    </row>
    <row r="3803" spans="1:13" hidden="1" x14ac:dyDescent="0.25">
      <c r="A3803" s="344">
        <v>44077</v>
      </c>
      <c r="B3803" s="343" t="s">
        <v>2096</v>
      </c>
      <c r="C3803" s="343" t="s">
        <v>769</v>
      </c>
      <c r="D3803" s="345">
        <v>3</v>
      </c>
      <c r="E3803" s="346">
        <v>75.75</v>
      </c>
      <c r="F3803" s="346">
        <v>11040.31</v>
      </c>
      <c r="G3803" s="343" t="s">
        <v>2097</v>
      </c>
      <c r="H3803" s="343" t="s">
        <v>2107</v>
      </c>
      <c r="I3803" s="343" t="s">
        <v>1880</v>
      </c>
      <c r="J3803" s="343" t="s">
        <v>757</v>
      </c>
      <c r="K3803" s="343" t="s">
        <v>770</v>
      </c>
      <c r="L3803" s="344">
        <v>44077</v>
      </c>
      <c r="M3803" s="347">
        <v>0</v>
      </c>
    </row>
    <row r="3804" spans="1:13" hidden="1" x14ac:dyDescent="0.25">
      <c r="A3804" s="344">
        <v>44083</v>
      </c>
      <c r="B3804" s="343" t="s">
        <v>1948</v>
      </c>
      <c r="C3804" s="343" t="s">
        <v>1059</v>
      </c>
      <c r="D3804" s="345">
        <v>3</v>
      </c>
      <c r="E3804" s="346">
        <v>-91</v>
      </c>
      <c r="F3804" s="346">
        <v>10949.31</v>
      </c>
      <c r="G3804" s="343" t="s">
        <v>1949</v>
      </c>
      <c r="H3804" s="343" t="s">
        <v>2107</v>
      </c>
      <c r="I3804" s="343" t="s">
        <v>1880</v>
      </c>
      <c r="J3804" s="343" t="s">
        <v>757</v>
      </c>
      <c r="K3804" s="343" t="s">
        <v>741</v>
      </c>
      <c r="L3804" s="344">
        <v>44083</v>
      </c>
      <c r="M3804" s="347">
        <v>0</v>
      </c>
    </row>
    <row r="3805" spans="1:13" hidden="1" x14ac:dyDescent="0.25">
      <c r="A3805" s="344">
        <v>44090</v>
      </c>
      <c r="B3805" s="343" t="s">
        <v>2098</v>
      </c>
      <c r="C3805" s="343" t="s">
        <v>769</v>
      </c>
      <c r="D3805" s="345">
        <v>3</v>
      </c>
      <c r="E3805" s="346">
        <v>75.75</v>
      </c>
      <c r="F3805" s="346">
        <v>11025.06</v>
      </c>
      <c r="G3805" s="343" t="s">
        <v>2099</v>
      </c>
      <c r="H3805" s="343" t="s">
        <v>2107</v>
      </c>
      <c r="I3805" s="343" t="s">
        <v>1880</v>
      </c>
      <c r="J3805" s="343" t="s">
        <v>757</v>
      </c>
      <c r="K3805" s="343" t="s">
        <v>770</v>
      </c>
      <c r="L3805" s="344">
        <v>44090</v>
      </c>
      <c r="M3805" s="347">
        <v>0</v>
      </c>
    </row>
    <row r="3806" spans="1:13" hidden="1" x14ac:dyDescent="0.25">
      <c r="A3806" s="344">
        <v>44094</v>
      </c>
      <c r="B3806" s="343" t="s">
        <v>1950</v>
      </c>
      <c r="C3806" s="343" t="s">
        <v>1059</v>
      </c>
      <c r="D3806" s="345">
        <v>3</v>
      </c>
      <c r="E3806" s="346">
        <v>-63.7</v>
      </c>
      <c r="F3806" s="346">
        <v>10961.36</v>
      </c>
      <c r="G3806" s="343" t="s">
        <v>1951</v>
      </c>
      <c r="H3806" s="343" t="s">
        <v>2107</v>
      </c>
      <c r="I3806" s="343" t="s">
        <v>1880</v>
      </c>
      <c r="J3806" s="343" t="s">
        <v>757</v>
      </c>
      <c r="K3806" s="343" t="s">
        <v>741</v>
      </c>
      <c r="L3806" s="344">
        <v>44094</v>
      </c>
      <c r="M3806" s="347">
        <v>0</v>
      </c>
    </row>
    <row r="3807" spans="1:13" hidden="1" x14ac:dyDescent="0.25">
      <c r="A3807" s="344">
        <v>44099</v>
      </c>
      <c r="B3807" s="343" t="s">
        <v>2100</v>
      </c>
      <c r="C3807" s="343" t="s">
        <v>769</v>
      </c>
      <c r="D3807" s="345">
        <v>3</v>
      </c>
      <c r="E3807" s="346">
        <v>42.61</v>
      </c>
      <c r="F3807" s="346">
        <v>11003.97</v>
      </c>
      <c r="G3807" s="343" t="s">
        <v>2101</v>
      </c>
      <c r="H3807" s="343" t="s">
        <v>2107</v>
      </c>
      <c r="I3807" s="343" t="s">
        <v>1880</v>
      </c>
      <c r="J3807" s="343" t="s">
        <v>757</v>
      </c>
      <c r="K3807" s="343" t="s">
        <v>770</v>
      </c>
      <c r="L3807" s="344">
        <v>44099</v>
      </c>
      <c r="M3807" s="347">
        <v>0</v>
      </c>
    </row>
    <row r="3808" spans="1:13" hidden="1" x14ac:dyDescent="0.25">
      <c r="A3808" s="344">
        <v>44104</v>
      </c>
      <c r="B3808" s="343" t="s">
        <v>1934</v>
      </c>
      <c r="C3808" s="343" t="s">
        <v>1059</v>
      </c>
      <c r="D3808" s="345">
        <v>3</v>
      </c>
      <c r="E3808" s="346">
        <v>-54.6</v>
      </c>
      <c r="F3808" s="346">
        <v>10949.37</v>
      </c>
      <c r="G3808" s="343" t="s">
        <v>1935</v>
      </c>
      <c r="H3808" s="343" t="s">
        <v>2107</v>
      </c>
      <c r="I3808" s="343" t="s">
        <v>1880</v>
      </c>
      <c r="J3808" s="343" t="s">
        <v>757</v>
      </c>
      <c r="K3808" s="343" t="s">
        <v>741</v>
      </c>
      <c r="L3808" s="344">
        <v>44104</v>
      </c>
      <c r="M3808" s="347">
        <v>0</v>
      </c>
    </row>
    <row r="3809" spans="1:13" hidden="1" x14ac:dyDescent="0.25">
      <c r="A3809" s="344">
        <v>44104</v>
      </c>
      <c r="B3809" s="343" t="s">
        <v>2066</v>
      </c>
      <c r="C3809" s="343" t="s">
        <v>1060</v>
      </c>
      <c r="D3809" s="345">
        <v>3</v>
      </c>
      <c r="E3809" s="346">
        <v>210</v>
      </c>
      <c r="F3809" s="346">
        <v>11159.37</v>
      </c>
      <c r="G3809" s="343" t="s">
        <v>2067</v>
      </c>
      <c r="H3809" s="343" t="s">
        <v>2107</v>
      </c>
      <c r="I3809" s="343" t="s">
        <v>1880</v>
      </c>
      <c r="J3809" s="343" t="s">
        <v>757</v>
      </c>
      <c r="K3809" s="343" t="s">
        <v>741</v>
      </c>
      <c r="L3809" s="344">
        <v>44104</v>
      </c>
      <c r="M3809" s="347">
        <v>0</v>
      </c>
    </row>
    <row r="3810" spans="1:13" hidden="1" x14ac:dyDescent="0.25">
      <c r="A3810" s="344">
        <v>44104</v>
      </c>
      <c r="B3810" s="343" t="s">
        <v>2066</v>
      </c>
      <c r="C3810" s="343" t="s">
        <v>1060</v>
      </c>
      <c r="D3810" s="345">
        <v>4</v>
      </c>
      <c r="E3810" s="346">
        <v>-210</v>
      </c>
      <c r="F3810" s="346">
        <v>10949.37</v>
      </c>
      <c r="G3810" s="343" t="s">
        <v>2067</v>
      </c>
      <c r="H3810" s="343" t="s">
        <v>2107</v>
      </c>
      <c r="I3810" s="343" t="s">
        <v>1880</v>
      </c>
      <c r="J3810" s="343" t="s">
        <v>757</v>
      </c>
      <c r="K3810" s="343" t="s">
        <v>741</v>
      </c>
      <c r="L3810" s="344">
        <v>44104</v>
      </c>
      <c r="M3810" s="347">
        <v>0</v>
      </c>
    </row>
    <row r="3811" spans="1:13" hidden="1" x14ac:dyDescent="0.25">
      <c r="A3811" s="344">
        <v>44120</v>
      </c>
      <c r="B3811" s="343" t="s">
        <v>1936</v>
      </c>
      <c r="C3811" s="343" t="s">
        <v>1059</v>
      </c>
      <c r="D3811" s="345">
        <v>4</v>
      </c>
      <c r="E3811" s="346">
        <v>-96.93</v>
      </c>
      <c r="F3811" s="346">
        <v>10852.44</v>
      </c>
      <c r="G3811" s="343" t="s">
        <v>1937</v>
      </c>
      <c r="H3811" s="343" t="s">
        <v>2107</v>
      </c>
      <c r="I3811" s="343" t="s">
        <v>1880</v>
      </c>
      <c r="J3811" s="343" t="s">
        <v>757</v>
      </c>
      <c r="K3811" s="343" t="s">
        <v>741</v>
      </c>
      <c r="L3811" s="344">
        <v>44120</v>
      </c>
      <c r="M3811" s="347">
        <v>0</v>
      </c>
    </row>
    <row r="3812" spans="1:13" hidden="1" x14ac:dyDescent="0.25">
      <c r="A3812" s="344">
        <v>44135</v>
      </c>
      <c r="B3812" s="343" t="s">
        <v>1954</v>
      </c>
      <c r="C3812" s="343" t="s">
        <v>1059</v>
      </c>
      <c r="D3812" s="345">
        <v>4</v>
      </c>
      <c r="E3812" s="346">
        <v>-129.24</v>
      </c>
      <c r="F3812" s="346">
        <v>10723.2</v>
      </c>
      <c r="G3812" s="343" t="s">
        <v>1955</v>
      </c>
      <c r="H3812" s="343" t="s">
        <v>2107</v>
      </c>
      <c r="I3812" s="343" t="s">
        <v>1880</v>
      </c>
      <c r="J3812" s="343" t="s">
        <v>757</v>
      </c>
      <c r="K3812" s="343" t="s">
        <v>741</v>
      </c>
      <c r="L3812" s="344">
        <v>44135</v>
      </c>
      <c r="M3812" s="347">
        <v>0</v>
      </c>
    </row>
    <row r="3813" spans="1:13" hidden="1" x14ac:dyDescent="0.25">
      <c r="A3813" s="344">
        <v>44135</v>
      </c>
      <c r="B3813" s="343" t="s">
        <v>2068</v>
      </c>
      <c r="C3813" s="343" t="s">
        <v>1060</v>
      </c>
      <c r="D3813" s="345">
        <v>4</v>
      </c>
      <c r="E3813" s="346">
        <v>420</v>
      </c>
      <c r="F3813" s="346">
        <v>11143.2</v>
      </c>
      <c r="G3813" s="343" t="s">
        <v>2069</v>
      </c>
      <c r="H3813" s="343" t="s">
        <v>2107</v>
      </c>
      <c r="I3813" s="343" t="s">
        <v>1880</v>
      </c>
      <c r="J3813" s="343" t="s">
        <v>757</v>
      </c>
      <c r="K3813" s="343" t="s">
        <v>741</v>
      </c>
      <c r="L3813" s="344">
        <v>44135</v>
      </c>
      <c r="M3813" s="347">
        <v>0</v>
      </c>
    </row>
    <row r="3814" spans="1:13" hidden="1" x14ac:dyDescent="0.25">
      <c r="A3814" s="344">
        <v>44039</v>
      </c>
      <c r="B3814" s="343" t="s">
        <v>2102</v>
      </c>
      <c r="C3814" s="343" t="s">
        <v>769</v>
      </c>
      <c r="D3814" s="345">
        <v>5</v>
      </c>
      <c r="E3814" s="346">
        <v>129.87</v>
      </c>
      <c r="F3814" s="346">
        <v>11273.07</v>
      </c>
      <c r="G3814" s="343" t="s">
        <v>2103</v>
      </c>
      <c r="H3814" s="343" t="s">
        <v>2107</v>
      </c>
      <c r="I3814" s="343" t="s">
        <v>1880</v>
      </c>
      <c r="J3814" s="343" t="s">
        <v>757</v>
      </c>
      <c r="K3814" s="343" t="s">
        <v>770</v>
      </c>
      <c r="L3814" s="344">
        <v>44039</v>
      </c>
      <c r="M3814" s="347">
        <v>0</v>
      </c>
    </row>
    <row r="3815" spans="1:13" hidden="1" x14ac:dyDescent="0.25">
      <c r="A3815" s="344">
        <v>44039</v>
      </c>
      <c r="B3815" s="343" t="s">
        <v>2104</v>
      </c>
      <c r="C3815" s="343" t="s">
        <v>769</v>
      </c>
      <c r="D3815" s="345">
        <v>5</v>
      </c>
      <c r="E3815" s="346">
        <v>64.94</v>
      </c>
      <c r="F3815" s="346">
        <v>11338.01</v>
      </c>
      <c r="G3815" s="343" t="s">
        <v>2105</v>
      </c>
      <c r="H3815" s="343" t="s">
        <v>2107</v>
      </c>
      <c r="I3815" s="343" t="s">
        <v>1880</v>
      </c>
      <c r="J3815" s="343" t="s">
        <v>757</v>
      </c>
      <c r="K3815" s="343" t="s">
        <v>770</v>
      </c>
      <c r="L3815" s="344">
        <v>44039</v>
      </c>
      <c r="M3815" s="347">
        <v>0</v>
      </c>
    </row>
    <row r="3816" spans="1:13" hidden="1" x14ac:dyDescent="0.25">
      <c r="A3816" s="344">
        <v>44135</v>
      </c>
      <c r="B3816" s="343" t="s">
        <v>2068</v>
      </c>
      <c r="C3816" s="343" t="s">
        <v>1060</v>
      </c>
      <c r="D3816" s="345">
        <v>5</v>
      </c>
      <c r="E3816" s="346">
        <v>-420</v>
      </c>
      <c r="F3816" s="346">
        <v>10918.01</v>
      </c>
      <c r="G3816" s="343" t="s">
        <v>2069</v>
      </c>
      <c r="H3816" s="343" t="s">
        <v>2107</v>
      </c>
      <c r="I3816" s="343" t="s">
        <v>1880</v>
      </c>
      <c r="J3816" s="343" t="s">
        <v>757</v>
      </c>
      <c r="K3816" s="343" t="s">
        <v>741</v>
      </c>
      <c r="L3816" s="344">
        <v>44135</v>
      </c>
      <c r="M3816" s="347">
        <v>0</v>
      </c>
    </row>
    <row r="3817" spans="1:13" hidden="1" x14ac:dyDescent="0.25">
      <c r="A3817" s="344">
        <v>44148</v>
      </c>
      <c r="B3817" s="343" t="s">
        <v>1958</v>
      </c>
      <c r="C3817" s="343" t="s">
        <v>1059</v>
      </c>
      <c r="D3817" s="345">
        <v>5</v>
      </c>
      <c r="E3817" s="346">
        <v>-96.93</v>
      </c>
      <c r="F3817" s="346">
        <v>10821.08</v>
      </c>
      <c r="G3817" s="343" t="s">
        <v>1959</v>
      </c>
      <c r="H3817" s="343" t="s">
        <v>2107</v>
      </c>
      <c r="I3817" s="343" t="s">
        <v>1880</v>
      </c>
      <c r="J3817" s="343" t="s">
        <v>757</v>
      </c>
      <c r="K3817" s="343" t="s">
        <v>741</v>
      </c>
      <c r="L3817" s="344">
        <v>44148</v>
      </c>
      <c r="M3817" s="347">
        <v>0</v>
      </c>
    </row>
    <row r="3818" spans="1:13" hidden="1" x14ac:dyDescent="0.25">
      <c r="A3818" s="344">
        <v>44160</v>
      </c>
      <c r="B3818" s="343" t="s">
        <v>1960</v>
      </c>
      <c r="C3818" s="343" t="s">
        <v>1059</v>
      </c>
      <c r="D3818" s="345">
        <v>5</v>
      </c>
      <c r="E3818" s="346">
        <v>-64.62</v>
      </c>
      <c r="F3818" s="346">
        <v>10756.46</v>
      </c>
      <c r="G3818" s="343" t="s">
        <v>1961</v>
      </c>
      <c r="H3818" s="343" t="s">
        <v>2107</v>
      </c>
      <c r="I3818" s="343" t="s">
        <v>1880</v>
      </c>
      <c r="J3818" s="343" t="s">
        <v>757</v>
      </c>
      <c r="K3818" s="343" t="s">
        <v>741</v>
      </c>
      <c r="L3818" s="344">
        <v>44160</v>
      </c>
      <c r="M3818" s="347">
        <v>0</v>
      </c>
    </row>
    <row r="3819" spans="1:13" hidden="1" x14ac:dyDescent="0.25">
      <c r="A3819" s="344">
        <v>44165</v>
      </c>
      <c r="B3819" s="343" t="s">
        <v>1906</v>
      </c>
      <c r="C3819" s="343" t="s">
        <v>1060</v>
      </c>
      <c r="D3819" s="345">
        <v>5</v>
      </c>
      <c r="E3819" s="346">
        <v>210.17</v>
      </c>
      <c r="F3819" s="346">
        <v>10966.63</v>
      </c>
      <c r="G3819" s="343" t="s">
        <v>2106</v>
      </c>
      <c r="H3819" s="343" t="s">
        <v>2107</v>
      </c>
      <c r="I3819" s="343" t="s">
        <v>1880</v>
      </c>
      <c r="J3819" s="343" t="s">
        <v>757</v>
      </c>
      <c r="K3819" s="343" t="s">
        <v>741</v>
      </c>
      <c r="L3819" s="344">
        <v>44165</v>
      </c>
      <c r="M3819" s="347">
        <v>0</v>
      </c>
    </row>
    <row r="3820" spans="1:13" hidden="1" x14ac:dyDescent="0.25">
      <c r="A3820" s="344">
        <v>44144</v>
      </c>
      <c r="B3820" s="343" t="s">
        <v>2044</v>
      </c>
      <c r="C3820" s="343" t="s">
        <v>769</v>
      </c>
      <c r="D3820" s="345">
        <v>6</v>
      </c>
      <c r="E3820" s="346">
        <v>140</v>
      </c>
      <c r="F3820" s="346">
        <v>11106.63</v>
      </c>
      <c r="G3820" s="343" t="s">
        <v>2045</v>
      </c>
      <c r="H3820" s="343" t="s">
        <v>2107</v>
      </c>
      <c r="I3820" s="343" t="s">
        <v>1880</v>
      </c>
      <c r="J3820" s="343" t="s">
        <v>757</v>
      </c>
      <c r="K3820" s="343" t="s">
        <v>770</v>
      </c>
      <c r="L3820" s="344">
        <v>44144</v>
      </c>
      <c r="M3820" s="347">
        <v>0</v>
      </c>
    </row>
    <row r="3821" spans="1:13" hidden="1" x14ac:dyDescent="0.25">
      <c r="A3821" s="344">
        <v>44165</v>
      </c>
      <c r="B3821" s="343" t="s">
        <v>1962</v>
      </c>
      <c r="C3821" s="343" t="s">
        <v>1059</v>
      </c>
      <c r="D3821" s="345">
        <v>6</v>
      </c>
      <c r="E3821" s="346">
        <v>-96.93</v>
      </c>
      <c r="F3821" s="346">
        <v>11009.7</v>
      </c>
      <c r="G3821" s="343" t="s">
        <v>1963</v>
      </c>
      <c r="H3821" s="343" t="s">
        <v>2107</v>
      </c>
      <c r="I3821" s="343" t="s">
        <v>1880</v>
      </c>
      <c r="J3821" s="343" t="s">
        <v>757</v>
      </c>
      <c r="K3821" s="343" t="s">
        <v>741</v>
      </c>
      <c r="L3821" s="344">
        <v>44165</v>
      </c>
      <c r="M3821" s="347">
        <v>0</v>
      </c>
    </row>
    <row r="3822" spans="1:13" hidden="1" x14ac:dyDescent="0.25">
      <c r="A3822" s="344">
        <v>44165</v>
      </c>
      <c r="B3822" s="343" t="s">
        <v>1906</v>
      </c>
      <c r="C3822" s="343" t="s">
        <v>1060</v>
      </c>
      <c r="D3822" s="345">
        <v>6</v>
      </c>
      <c r="E3822" s="346">
        <v>-210.17</v>
      </c>
      <c r="F3822" s="346">
        <v>10799.53</v>
      </c>
      <c r="G3822" s="343" t="s">
        <v>2106</v>
      </c>
      <c r="H3822" s="343" t="s">
        <v>2107</v>
      </c>
      <c r="I3822" s="343" t="s">
        <v>1880</v>
      </c>
      <c r="J3822" s="343" t="s">
        <v>757</v>
      </c>
      <c r="K3822" s="343" t="s">
        <v>741</v>
      </c>
      <c r="L3822" s="344">
        <v>44165</v>
      </c>
      <c r="M3822" s="347">
        <v>0</v>
      </c>
    </row>
    <row r="3823" spans="1:13" hidden="1" x14ac:dyDescent="0.25">
      <c r="A3823" s="344">
        <v>44168</v>
      </c>
      <c r="B3823" s="343" t="s">
        <v>2046</v>
      </c>
      <c r="C3823" s="343" t="s">
        <v>769</v>
      </c>
      <c r="D3823" s="345">
        <v>6</v>
      </c>
      <c r="E3823" s="346">
        <v>140</v>
      </c>
      <c r="F3823" s="346">
        <v>10939.53</v>
      </c>
      <c r="G3823" s="343" t="s">
        <v>2047</v>
      </c>
      <c r="H3823" s="343" t="s">
        <v>2107</v>
      </c>
      <c r="I3823" s="343" t="s">
        <v>1880</v>
      </c>
      <c r="J3823" s="343" t="s">
        <v>757</v>
      </c>
      <c r="K3823" s="343" t="s">
        <v>770</v>
      </c>
      <c r="L3823" s="344">
        <v>44168</v>
      </c>
      <c r="M3823" s="347">
        <v>0</v>
      </c>
    </row>
    <row r="3824" spans="1:13" hidden="1" x14ac:dyDescent="0.25">
      <c r="A3824" s="344">
        <v>44187</v>
      </c>
      <c r="B3824" s="343" t="s">
        <v>1966</v>
      </c>
      <c r="C3824" s="343" t="s">
        <v>1059</v>
      </c>
      <c r="D3824" s="345">
        <v>6</v>
      </c>
      <c r="E3824" s="346">
        <v>-64.62</v>
      </c>
      <c r="F3824" s="346">
        <v>10874.91</v>
      </c>
      <c r="G3824" s="343" t="s">
        <v>1967</v>
      </c>
      <c r="H3824" s="343" t="s">
        <v>2107</v>
      </c>
      <c r="I3824" s="343" t="s">
        <v>1880</v>
      </c>
      <c r="J3824" s="343" t="s">
        <v>757</v>
      </c>
      <c r="K3824" s="343" t="s">
        <v>741</v>
      </c>
      <c r="L3824" s="344">
        <v>44187</v>
      </c>
      <c r="M3824" s="347">
        <v>0</v>
      </c>
    </row>
    <row r="3825" spans="1:13" hidden="1" x14ac:dyDescent="0.25">
      <c r="A3825" s="344">
        <v>44196</v>
      </c>
      <c r="B3825" s="343" t="s">
        <v>2048</v>
      </c>
      <c r="C3825" s="343" t="s">
        <v>1060</v>
      </c>
      <c r="D3825" s="345">
        <v>6</v>
      </c>
      <c r="E3825" s="346">
        <v>350</v>
      </c>
      <c r="F3825" s="346">
        <v>11224.91</v>
      </c>
      <c r="G3825" s="343" t="s">
        <v>2049</v>
      </c>
      <c r="H3825" s="343" t="s">
        <v>2107</v>
      </c>
      <c r="I3825" s="343" t="s">
        <v>1880</v>
      </c>
      <c r="J3825" s="343" t="s">
        <v>757</v>
      </c>
      <c r="K3825" s="343" t="s">
        <v>741</v>
      </c>
      <c r="L3825" s="344">
        <v>44196</v>
      </c>
      <c r="M3825" s="347">
        <v>0</v>
      </c>
    </row>
    <row r="3826" spans="1:13" hidden="1" x14ac:dyDescent="0.25">
      <c r="A3826" s="344">
        <v>44196</v>
      </c>
      <c r="B3826" s="343" t="s">
        <v>2048</v>
      </c>
      <c r="C3826" s="343" t="s">
        <v>1060</v>
      </c>
      <c r="D3826" s="345">
        <v>7</v>
      </c>
      <c r="E3826" s="346">
        <v>-350</v>
      </c>
      <c r="F3826" s="346">
        <v>10874.91</v>
      </c>
      <c r="G3826" s="343" t="s">
        <v>2049</v>
      </c>
      <c r="H3826" s="343" t="s">
        <v>2107</v>
      </c>
      <c r="I3826" s="343" t="s">
        <v>1880</v>
      </c>
      <c r="J3826" s="343" t="s">
        <v>757</v>
      </c>
      <c r="K3826" s="343" t="s">
        <v>741</v>
      </c>
      <c r="L3826" s="344">
        <v>44196</v>
      </c>
      <c r="M3826" s="347">
        <v>0</v>
      </c>
    </row>
    <row r="3827" spans="1:13" hidden="1" x14ac:dyDescent="0.25">
      <c r="A3827" s="344">
        <v>44196</v>
      </c>
      <c r="B3827" s="343" t="s">
        <v>2050</v>
      </c>
      <c r="C3827" s="343" t="s">
        <v>769</v>
      </c>
      <c r="D3827" s="345">
        <v>7</v>
      </c>
      <c r="E3827" s="346">
        <v>70</v>
      </c>
      <c r="F3827" s="346">
        <v>10944.91</v>
      </c>
      <c r="G3827" s="343" t="s">
        <v>2051</v>
      </c>
      <c r="H3827" s="343" t="s">
        <v>2107</v>
      </c>
      <c r="I3827" s="343" t="s">
        <v>1880</v>
      </c>
      <c r="J3827" s="343" t="s">
        <v>757</v>
      </c>
      <c r="K3827" s="343" t="s">
        <v>770</v>
      </c>
      <c r="L3827" s="344">
        <v>44196</v>
      </c>
      <c r="M3827" s="347">
        <v>0</v>
      </c>
    </row>
    <row r="3828" spans="1:13" hidden="1" x14ac:dyDescent="0.25">
      <c r="A3828" s="344">
        <v>44203</v>
      </c>
      <c r="B3828" s="343" t="s">
        <v>1970</v>
      </c>
      <c r="C3828" s="343" t="s">
        <v>1059</v>
      </c>
      <c r="D3828" s="345">
        <v>7</v>
      </c>
      <c r="E3828" s="346">
        <v>-32.31</v>
      </c>
      <c r="F3828" s="346">
        <v>10912.6</v>
      </c>
      <c r="G3828" s="343" t="s">
        <v>1971</v>
      </c>
      <c r="H3828" s="343" t="s">
        <v>2107</v>
      </c>
      <c r="I3828" s="343" t="s">
        <v>1880</v>
      </c>
      <c r="J3828" s="343" t="s">
        <v>757</v>
      </c>
      <c r="K3828" s="343" t="s">
        <v>741</v>
      </c>
      <c r="L3828" s="344">
        <v>44203</v>
      </c>
      <c r="M3828" s="347">
        <v>0</v>
      </c>
    </row>
    <row r="3829" spans="1:13" hidden="1" x14ac:dyDescent="0.25">
      <c r="A3829" s="344">
        <v>44218</v>
      </c>
      <c r="B3829" s="343" t="s">
        <v>1972</v>
      </c>
      <c r="C3829" s="343" t="s">
        <v>1059</v>
      </c>
      <c r="D3829" s="345">
        <v>7</v>
      </c>
      <c r="E3829" s="346">
        <v>-64.62</v>
      </c>
      <c r="F3829" s="346">
        <v>10847.98</v>
      </c>
      <c r="G3829" s="343" t="s">
        <v>1973</v>
      </c>
      <c r="H3829" s="343" t="s">
        <v>2107</v>
      </c>
      <c r="I3829" s="343" t="s">
        <v>1880</v>
      </c>
      <c r="J3829" s="343" t="s">
        <v>757</v>
      </c>
      <c r="K3829" s="343" t="s">
        <v>741</v>
      </c>
      <c r="L3829" s="344">
        <v>44218</v>
      </c>
      <c r="M3829" s="347">
        <v>0</v>
      </c>
    </row>
    <row r="3830" spans="1:13" hidden="1" x14ac:dyDescent="0.25">
      <c r="A3830" s="344">
        <v>44227</v>
      </c>
      <c r="B3830" s="343" t="s">
        <v>2052</v>
      </c>
      <c r="C3830" s="343" t="s">
        <v>1060</v>
      </c>
      <c r="D3830" s="345">
        <v>7</v>
      </c>
      <c r="E3830" s="346">
        <v>280</v>
      </c>
      <c r="F3830" s="346">
        <v>11127.98</v>
      </c>
      <c r="G3830" s="343" t="s">
        <v>2053</v>
      </c>
      <c r="H3830" s="343" t="s">
        <v>2107</v>
      </c>
      <c r="I3830" s="343" t="s">
        <v>1880</v>
      </c>
      <c r="J3830" s="343" t="s">
        <v>757</v>
      </c>
      <c r="K3830" s="343" t="s">
        <v>741</v>
      </c>
      <c r="L3830" s="344">
        <v>44227</v>
      </c>
      <c r="M3830" s="347">
        <v>0</v>
      </c>
    </row>
    <row r="3831" spans="1:13" hidden="1" x14ac:dyDescent="0.25">
      <c r="A3831" s="344">
        <v>44227</v>
      </c>
      <c r="B3831" s="343" t="s">
        <v>2052</v>
      </c>
      <c r="C3831" s="343" t="s">
        <v>1060</v>
      </c>
      <c r="D3831" s="345">
        <v>8</v>
      </c>
      <c r="E3831" s="346">
        <v>-280</v>
      </c>
      <c r="F3831" s="346">
        <v>10847.98</v>
      </c>
      <c r="G3831" s="343" t="s">
        <v>2053</v>
      </c>
      <c r="H3831" s="343" t="s">
        <v>2107</v>
      </c>
      <c r="I3831" s="343" t="s">
        <v>1880</v>
      </c>
      <c r="J3831" s="343" t="s">
        <v>757</v>
      </c>
      <c r="K3831" s="343" t="s">
        <v>741</v>
      </c>
      <c r="L3831" s="344">
        <v>44227</v>
      </c>
      <c r="M3831" s="347">
        <v>0</v>
      </c>
    </row>
    <row r="3832" spans="1:13" hidden="1" x14ac:dyDescent="0.25">
      <c r="A3832" s="344">
        <v>44227</v>
      </c>
      <c r="B3832" s="343" t="s">
        <v>1974</v>
      </c>
      <c r="C3832" s="343" t="s">
        <v>1059</v>
      </c>
      <c r="D3832" s="345">
        <v>8</v>
      </c>
      <c r="E3832" s="346">
        <v>-96.93</v>
      </c>
      <c r="F3832" s="346">
        <v>10751.05</v>
      </c>
      <c r="G3832" s="343" t="s">
        <v>1975</v>
      </c>
      <c r="H3832" s="343" t="s">
        <v>2107</v>
      </c>
      <c r="I3832" s="343" t="s">
        <v>1880</v>
      </c>
      <c r="J3832" s="343" t="s">
        <v>757</v>
      </c>
      <c r="K3832" s="343" t="s">
        <v>741</v>
      </c>
      <c r="L3832" s="344">
        <v>44227</v>
      </c>
      <c r="M3832" s="347">
        <v>0</v>
      </c>
    </row>
    <row r="3833" spans="1:13" hidden="1" x14ac:dyDescent="0.25">
      <c r="A3833" s="344">
        <v>44228</v>
      </c>
      <c r="B3833" s="343" t="s">
        <v>2054</v>
      </c>
      <c r="C3833" s="343" t="s">
        <v>769</v>
      </c>
      <c r="D3833" s="345">
        <v>8</v>
      </c>
      <c r="E3833" s="346">
        <v>70</v>
      </c>
      <c r="F3833" s="346">
        <v>10821.05</v>
      </c>
      <c r="G3833" s="343" t="s">
        <v>2055</v>
      </c>
      <c r="H3833" s="343" t="s">
        <v>2107</v>
      </c>
      <c r="I3833" s="343" t="s">
        <v>1880</v>
      </c>
      <c r="J3833" s="343" t="s">
        <v>757</v>
      </c>
      <c r="K3833" s="343" t="s">
        <v>770</v>
      </c>
      <c r="L3833" s="344">
        <v>44228</v>
      </c>
      <c r="M3833" s="347">
        <v>0</v>
      </c>
    </row>
    <row r="3834" spans="1:13" hidden="1" x14ac:dyDescent="0.25">
      <c r="A3834" s="344">
        <v>44244</v>
      </c>
      <c r="B3834" s="343" t="s">
        <v>1978</v>
      </c>
      <c r="C3834" s="343" t="s">
        <v>1059</v>
      </c>
      <c r="D3834" s="345">
        <v>8</v>
      </c>
      <c r="E3834" s="346">
        <v>-96.93</v>
      </c>
      <c r="F3834" s="346">
        <v>10724.12</v>
      </c>
      <c r="G3834" s="343" t="s">
        <v>1979</v>
      </c>
      <c r="H3834" s="343" t="s">
        <v>2107</v>
      </c>
      <c r="I3834" s="343" t="s">
        <v>1880</v>
      </c>
      <c r="J3834" s="343" t="s">
        <v>757</v>
      </c>
      <c r="K3834" s="343" t="s">
        <v>741</v>
      </c>
      <c r="L3834" s="344">
        <v>44244</v>
      </c>
      <c r="M3834" s="347">
        <v>0</v>
      </c>
    </row>
    <row r="3835" spans="1:13" hidden="1" x14ac:dyDescent="0.25">
      <c r="A3835" s="344">
        <v>44255</v>
      </c>
      <c r="B3835" s="343" t="s">
        <v>2056</v>
      </c>
      <c r="C3835" s="343" t="s">
        <v>1060</v>
      </c>
      <c r="D3835" s="345">
        <v>8</v>
      </c>
      <c r="E3835" s="346">
        <v>280</v>
      </c>
      <c r="F3835" s="346">
        <v>11004.12</v>
      </c>
      <c r="G3835" s="343" t="s">
        <v>2057</v>
      </c>
      <c r="H3835" s="343" t="s">
        <v>2107</v>
      </c>
      <c r="I3835" s="343" t="s">
        <v>1880</v>
      </c>
      <c r="J3835" s="343" t="s">
        <v>757</v>
      </c>
      <c r="K3835" s="343" t="s">
        <v>741</v>
      </c>
      <c r="L3835" s="344">
        <v>44255</v>
      </c>
      <c r="M3835" s="347">
        <v>0</v>
      </c>
    </row>
    <row r="3836" spans="1:13" hidden="1" x14ac:dyDescent="0.25">
      <c r="A3836" s="344">
        <v>44255</v>
      </c>
      <c r="B3836" s="343" t="s">
        <v>2058</v>
      </c>
      <c r="C3836" s="343" t="s">
        <v>769</v>
      </c>
      <c r="D3836" s="345">
        <v>9</v>
      </c>
      <c r="E3836" s="346">
        <v>70</v>
      </c>
      <c r="F3836" s="346">
        <v>11074.12</v>
      </c>
      <c r="G3836" s="343" t="s">
        <v>2059</v>
      </c>
      <c r="H3836" s="343" t="s">
        <v>2107</v>
      </c>
      <c r="I3836" s="343" t="s">
        <v>1880</v>
      </c>
      <c r="J3836" s="343" t="s">
        <v>757</v>
      </c>
      <c r="K3836" s="343" t="s">
        <v>770</v>
      </c>
      <c r="L3836" s="344">
        <v>44255</v>
      </c>
      <c r="M3836" s="347">
        <v>0</v>
      </c>
    </row>
    <row r="3837" spans="1:13" hidden="1" x14ac:dyDescent="0.25">
      <c r="A3837" s="344">
        <v>44255</v>
      </c>
      <c r="B3837" s="343" t="s">
        <v>2056</v>
      </c>
      <c r="C3837" s="343" t="s">
        <v>1060</v>
      </c>
      <c r="D3837" s="345">
        <v>9</v>
      </c>
      <c r="E3837" s="346">
        <v>-280</v>
      </c>
      <c r="F3837" s="346">
        <v>10794.12</v>
      </c>
      <c r="G3837" s="343" t="s">
        <v>2057</v>
      </c>
      <c r="H3837" s="343" t="s">
        <v>2107</v>
      </c>
      <c r="I3837" s="343" t="s">
        <v>1880</v>
      </c>
      <c r="J3837" s="343" t="s">
        <v>757</v>
      </c>
      <c r="K3837" s="343" t="s">
        <v>741</v>
      </c>
      <c r="L3837" s="344">
        <v>44255</v>
      </c>
      <c r="M3837" s="347">
        <v>0</v>
      </c>
    </row>
    <row r="3838" spans="1:13" hidden="1" x14ac:dyDescent="0.25">
      <c r="A3838" s="344">
        <v>44259</v>
      </c>
      <c r="B3838" s="343" t="s">
        <v>1939</v>
      </c>
      <c r="C3838" s="343" t="s">
        <v>1059</v>
      </c>
      <c r="D3838" s="345">
        <v>9</v>
      </c>
      <c r="E3838" s="346">
        <v>-96.93</v>
      </c>
      <c r="F3838" s="346">
        <v>10697.19</v>
      </c>
      <c r="G3838" s="343" t="s">
        <v>1940</v>
      </c>
      <c r="H3838" s="343" t="s">
        <v>2107</v>
      </c>
      <c r="I3838" s="343" t="s">
        <v>1880</v>
      </c>
      <c r="J3838" s="343" t="s">
        <v>757</v>
      </c>
      <c r="K3838" s="343" t="s">
        <v>741</v>
      </c>
      <c r="L3838" s="344">
        <v>44259</v>
      </c>
      <c r="M3838" s="347">
        <v>0</v>
      </c>
    </row>
    <row r="3839" spans="1:13" hidden="1" x14ac:dyDescent="0.25">
      <c r="A3839" s="344">
        <v>44272</v>
      </c>
      <c r="B3839" s="343" t="s">
        <v>1982</v>
      </c>
      <c r="C3839" s="343" t="s">
        <v>1059</v>
      </c>
      <c r="D3839" s="345">
        <v>9</v>
      </c>
      <c r="E3839" s="346">
        <v>-64.62</v>
      </c>
      <c r="F3839" s="346">
        <v>10632.57</v>
      </c>
      <c r="G3839" s="343" t="s">
        <v>1983</v>
      </c>
      <c r="H3839" s="343" t="s">
        <v>2107</v>
      </c>
      <c r="I3839" s="343" t="s">
        <v>1880</v>
      </c>
      <c r="J3839" s="343" t="s">
        <v>757</v>
      </c>
      <c r="K3839" s="343" t="s">
        <v>741</v>
      </c>
      <c r="L3839" s="344">
        <v>44272</v>
      </c>
      <c r="M3839" s="347">
        <v>0</v>
      </c>
    </row>
    <row r="3840" spans="1:13" hidden="1" x14ac:dyDescent="0.25">
      <c r="A3840" s="344">
        <v>44286</v>
      </c>
      <c r="B3840" s="343" t="s">
        <v>2060</v>
      </c>
      <c r="C3840" s="343" t="s">
        <v>1060</v>
      </c>
      <c r="D3840" s="345">
        <v>9</v>
      </c>
      <c r="E3840" s="346">
        <v>70</v>
      </c>
      <c r="F3840" s="346">
        <v>10702.57</v>
      </c>
      <c r="G3840" s="343" t="s">
        <v>2061</v>
      </c>
      <c r="H3840" s="343" t="s">
        <v>2107</v>
      </c>
      <c r="I3840" s="343" t="s">
        <v>1880</v>
      </c>
      <c r="J3840" s="343" t="s">
        <v>757</v>
      </c>
      <c r="K3840" s="343" t="s">
        <v>741</v>
      </c>
      <c r="L3840" s="344">
        <v>44286</v>
      </c>
      <c r="M3840" s="347">
        <v>0</v>
      </c>
    </row>
    <row r="3841" spans="1:13" hidden="1" x14ac:dyDescent="0.25">
      <c r="A3841" s="344">
        <v>44286</v>
      </c>
      <c r="B3841" s="343" t="s">
        <v>1918</v>
      </c>
      <c r="C3841" s="343" t="s">
        <v>1059</v>
      </c>
      <c r="D3841" s="345">
        <v>9</v>
      </c>
      <c r="E3841" s="346">
        <v>-96.93</v>
      </c>
      <c r="F3841" s="346">
        <v>10605.64</v>
      </c>
      <c r="G3841" s="343" t="s">
        <v>1919</v>
      </c>
      <c r="H3841" s="343" t="s">
        <v>2107</v>
      </c>
      <c r="I3841" s="343" t="s">
        <v>1880</v>
      </c>
      <c r="J3841" s="343" t="s">
        <v>757</v>
      </c>
      <c r="K3841" s="343" t="s">
        <v>741</v>
      </c>
      <c r="L3841" s="344">
        <v>44286</v>
      </c>
      <c r="M3841" s="347">
        <v>0</v>
      </c>
    </row>
    <row r="3842" spans="1:13" hidden="1" x14ac:dyDescent="0.25">
      <c r="A3842" s="344">
        <v>44286</v>
      </c>
      <c r="B3842" s="343" t="s">
        <v>2060</v>
      </c>
      <c r="C3842" s="343" t="s">
        <v>1060</v>
      </c>
      <c r="D3842" s="345">
        <v>10</v>
      </c>
      <c r="E3842" s="346">
        <v>-70</v>
      </c>
      <c r="F3842" s="346">
        <v>10535.64</v>
      </c>
      <c r="G3842" s="343" t="s">
        <v>2061</v>
      </c>
      <c r="H3842" s="343" t="s">
        <v>2107</v>
      </c>
      <c r="I3842" s="343" t="s">
        <v>1880</v>
      </c>
      <c r="J3842" s="343" t="s">
        <v>757</v>
      </c>
      <c r="K3842" s="343" t="s">
        <v>741</v>
      </c>
      <c r="L3842" s="344">
        <v>44286</v>
      </c>
      <c r="M3842" s="347">
        <v>0</v>
      </c>
    </row>
    <row r="3843" spans="1:13" hidden="1" x14ac:dyDescent="0.25">
      <c r="A3843" s="344">
        <v>44293</v>
      </c>
      <c r="B3843" s="343" t="s">
        <v>2062</v>
      </c>
      <c r="C3843" s="343" t="s">
        <v>769</v>
      </c>
      <c r="D3843" s="345">
        <v>10</v>
      </c>
      <c r="E3843" s="346">
        <v>70</v>
      </c>
      <c r="F3843" s="346">
        <v>10605.64</v>
      </c>
      <c r="G3843" s="343" t="s">
        <v>2063</v>
      </c>
      <c r="H3843" s="343" t="s">
        <v>2107</v>
      </c>
      <c r="I3843" s="343" t="s">
        <v>1880</v>
      </c>
      <c r="J3843" s="343" t="s">
        <v>757</v>
      </c>
      <c r="K3843" s="343" t="s">
        <v>770</v>
      </c>
      <c r="L3843" s="344">
        <v>44293</v>
      </c>
      <c r="M3843" s="347">
        <v>0</v>
      </c>
    </row>
    <row r="3844" spans="1:13" hidden="1" x14ac:dyDescent="0.25">
      <c r="A3844" s="344">
        <v>44301</v>
      </c>
      <c r="B3844" s="343" t="s">
        <v>1889</v>
      </c>
      <c r="C3844" s="343" t="s">
        <v>1059</v>
      </c>
      <c r="D3844" s="345">
        <v>10</v>
      </c>
      <c r="E3844" s="346">
        <v>-64.62</v>
      </c>
      <c r="F3844" s="346">
        <v>10541.02</v>
      </c>
      <c r="G3844" s="343" t="s">
        <v>1890</v>
      </c>
      <c r="H3844" s="343" t="s">
        <v>2107</v>
      </c>
      <c r="I3844" s="343" t="s">
        <v>1880</v>
      </c>
      <c r="J3844" s="343" t="s">
        <v>757</v>
      </c>
      <c r="K3844" s="343" t="s">
        <v>741</v>
      </c>
      <c r="L3844" s="344">
        <v>44301</v>
      </c>
      <c r="M3844" s="347">
        <v>0</v>
      </c>
    </row>
    <row r="3845" spans="1:13" hidden="1" x14ac:dyDescent="0.25">
      <c r="A3845" s="344">
        <v>44315</v>
      </c>
      <c r="B3845" s="343" t="s">
        <v>1920</v>
      </c>
      <c r="C3845" s="343" t="s">
        <v>1059</v>
      </c>
      <c r="D3845" s="345">
        <v>10</v>
      </c>
      <c r="E3845" s="346">
        <v>-64.62</v>
      </c>
      <c r="F3845" s="346">
        <v>10476.4</v>
      </c>
      <c r="G3845" s="343" t="s">
        <v>1921</v>
      </c>
      <c r="H3845" s="343" t="s">
        <v>2107</v>
      </c>
      <c r="I3845" s="343" t="s">
        <v>1880</v>
      </c>
      <c r="J3845" s="343" t="s">
        <v>757</v>
      </c>
      <c r="K3845" s="343" t="s">
        <v>741</v>
      </c>
      <c r="L3845" s="344">
        <v>44315</v>
      </c>
      <c r="M3845" s="347">
        <v>0</v>
      </c>
    </row>
    <row r="3846" spans="1:13" hidden="1" x14ac:dyDescent="0.25">
      <c r="A3846" s="344">
        <v>44316</v>
      </c>
      <c r="B3846" s="343" t="s">
        <v>1078</v>
      </c>
      <c r="C3846" s="343" t="s">
        <v>1060</v>
      </c>
      <c r="D3846" s="345">
        <v>10</v>
      </c>
      <c r="E3846" s="346">
        <v>70</v>
      </c>
      <c r="F3846" s="346">
        <v>10546.4</v>
      </c>
      <c r="G3846" s="343" t="s">
        <v>2064</v>
      </c>
      <c r="H3846" s="343" t="s">
        <v>2107</v>
      </c>
      <c r="I3846" s="343" t="s">
        <v>1880</v>
      </c>
      <c r="J3846" s="343" t="s">
        <v>757</v>
      </c>
      <c r="K3846" s="343" t="s">
        <v>741</v>
      </c>
      <c r="L3846" s="344">
        <v>44316</v>
      </c>
      <c r="M3846" s="347">
        <v>0</v>
      </c>
    </row>
    <row r="3847" spans="1:13" hidden="1" x14ac:dyDescent="0.25">
      <c r="A3847" s="344">
        <v>44327</v>
      </c>
      <c r="B3847" s="343" t="s">
        <v>1924</v>
      </c>
      <c r="C3847" s="343" t="s">
        <v>1059</v>
      </c>
      <c r="D3847" s="345">
        <v>10</v>
      </c>
      <c r="E3847" s="346">
        <v>-96.93</v>
      </c>
      <c r="F3847" s="346">
        <v>10449.469999999999</v>
      </c>
      <c r="G3847" s="343" t="s">
        <v>1923</v>
      </c>
      <c r="H3847" s="343" t="s">
        <v>2107</v>
      </c>
      <c r="I3847" s="343" t="s">
        <v>1880</v>
      </c>
      <c r="J3847" s="343" t="s">
        <v>757</v>
      </c>
      <c r="K3847" s="343" t="s">
        <v>741</v>
      </c>
      <c r="L3847" s="344">
        <v>44327</v>
      </c>
      <c r="M3847" s="347">
        <v>0</v>
      </c>
    </row>
    <row r="3848" spans="1:13" hidden="1" x14ac:dyDescent="0.25">
      <c r="A3848" s="344">
        <v>44327</v>
      </c>
      <c r="B3848" s="343" t="s">
        <v>1922</v>
      </c>
      <c r="C3848" s="343" t="s">
        <v>1059</v>
      </c>
      <c r="D3848" s="345">
        <v>10</v>
      </c>
      <c r="E3848" s="346">
        <v>96.93</v>
      </c>
      <c r="F3848" s="346">
        <v>10546.4</v>
      </c>
      <c r="G3848" s="343" t="s">
        <v>1923</v>
      </c>
      <c r="H3848" s="343" t="s">
        <v>2107</v>
      </c>
      <c r="I3848" s="343" t="s">
        <v>1880</v>
      </c>
      <c r="J3848" s="343" t="s">
        <v>757</v>
      </c>
      <c r="K3848" s="343" t="s">
        <v>741</v>
      </c>
      <c r="L3848" s="344">
        <v>44327</v>
      </c>
      <c r="M3848" s="347">
        <v>0</v>
      </c>
    </row>
    <row r="3849" spans="1:13" hidden="1" x14ac:dyDescent="0.25">
      <c r="A3849" s="344">
        <v>44048</v>
      </c>
      <c r="B3849" s="343" t="s">
        <v>2040</v>
      </c>
      <c r="C3849" s="343" t="s">
        <v>769</v>
      </c>
      <c r="D3849" s="345">
        <v>2</v>
      </c>
      <c r="E3849" s="346">
        <v>142.12</v>
      </c>
      <c r="F3849" s="346">
        <v>10591.59</v>
      </c>
      <c r="G3849" s="343" t="s">
        <v>2041</v>
      </c>
      <c r="H3849" s="343" t="s">
        <v>2108</v>
      </c>
      <c r="I3849" s="343" t="s">
        <v>1880</v>
      </c>
      <c r="J3849" s="343" t="s">
        <v>757</v>
      </c>
      <c r="K3849" s="343" t="s">
        <v>770</v>
      </c>
      <c r="L3849" s="344">
        <v>44048</v>
      </c>
      <c r="M3849" s="347">
        <v>0</v>
      </c>
    </row>
    <row r="3850" spans="1:13" hidden="1" x14ac:dyDescent="0.25">
      <c r="A3850" s="344">
        <v>44048</v>
      </c>
      <c r="B3850" s="343" t="s">
        <v>2042</v>
      </c>
      <c r="C3850" s="343" t="s">
        <v>769</v>
      </c>
      <c r="D3850" s="345">
        <v>2</v>
      </c>
      <c r="E3850" s="346">
        <v>142.12</v>
      </c>
      <c r="F3850" s="346">
        <v>10733.71</v>
      </c>
      <c r="G3850" s="343" t="s">
        <v>2043</v>
      </c>
      <c r="H3850" s="343" t="s">
        <v>2108</v>
      </c>
      <c r="I3850" s="343" t="s">
        <v>1880</v>
      </c>
      <c r="J3850" s="343" t="s">
        <v>757</v>
      </c>
      <c r="K3850" s="343" t="s">
        <v>770</v>
      </c>
      <c r="L3850" s="344">
        <v>44048</v>
      </c>
      <c r="M3850" s="347">
        <v>0</v>
      </c>
    </row>
    <row r="3851" spans="1:13" hidden="1" x14ac:dyDescent="0.25">
      <c r="A3851" s="344">
        <v>44048</v>
      </c>
      <c r="B3851" s="343" t="s">
        <v>2038</v>
      </c>
      <c r="C3851" s="343" t="s">
        <v>936</v>
      </c>
      <c r="D3851" s="345">
        <v>2</v>
      </c>
      <c r="E3851" s="346">
        <v>-142.12</v>
      </c>
      <c r="F3851" s="346">
        <v>10591.59</v>
      </c>
      <c r="G3851" s="343" t="s">
        <v>2039</v>
      </c>
      <c r="H3851" s="343" t="s">
        <v>2108</v>
      </c>
      <c r="I3851" s="343" t="s">
        <v>1880</v>
      </c>
      <c r="J3851" s="343" t="s">
        <v>757</v>
      </c>
      <c r="K3851" s="343" t="s">
        <v>770</v>
      </c>
      <c r="L3851" s="344">
        <v>43891</v>
      </c>
      <c r="M3851" s="347">
        <v>0</v>
      </c>
    </row>
    <row r="3852" spans="1:13" hidden="1" x14ac:dyDescent="0.25">
      <c r="A3852" s="344">
        <v>44048</v>
      </c>
      <c r="B3852" s="343" t="s">
        <v>2035</v>
      </c>
      <c r="C3852" s="343" t="s">
        <v>936</v>
      </c>
      <c r="D3852" s="345">
        <v>2</v>
      </c>
      <c r="E3852" s="346">
        <v>-142.12</v>
      </c>
      <c r="F3852" s="346">
        <v>10449.469999999999</v>
      </c>
      <c r="G3852" s="343" t="s">
        <v>2036</v>
      </c>
      <c r="H3852" s="343" t="s">
        <v>2108</v>
      </c>
      <c r="I3852" s="343" t="s">
        <v>1880</v>
      </c>
      <c r="J3852" s="343" t="s">
        <v>757</v>
      </c>
      <c r="K3852" s="343" t="s">
        <v>770</v>
      </c>
      <c r="L3852" s="344">
        <v>43862</v>
      </c>
      <c r="M3852" s="347">
        <v>0</v>
      </c>
    </row>
    <row r="3853" spans="1:13" hidden="1" x14ac:dyDescent="0.25">
      <c r="A3853" s="344">
        <v>44104</v>
      </c>
      <c r="B3853" s="343" t="s">
        <v>1934</v>
      </c>
      <c r="C3853" s="343" t="s">
        <v>1059</v>
      </c>
      <c r="D3853" s="345">
        <v>3</v>
      </c>
      <c r="E3853" s="346">
        <v>-22.75</v>
      </c>
      <c r="F3853" s="346">
        <v>10426.719999999999</v>
      </c>
      <c r="G3853" s="343" t="s">
        <v>1935</v>
      </c>
      <c r="H3853" s="343" t="s">
        <v>2108</v>
      </c>
      <c r="I3853" s="343" t="s">
        <v>1880</v>
      </c>
      <c r="J3853" s="343" t="s">
        <v>757</v>
      </c>
      <c r="K3853" s="343" t="s">
        <v>741</v>
      </c>
      <c r="L3853" s="344">
        <v>44104</v>
      </c>
      <c r="M3853" s="347">
        <v>0</v>
      </c>
    </row>
    <row r="3854" spans="1:13" hidden="1" x14ac:dyDescent="0.25">
      <c r="A3854" s="344">
        <v>44104</v>
      </c>
      <c r="B3854" s="343" t="s">
        <v>2066</v>
      </c>
      <c r="C3854" s="343" t="s">
        <v>1060</v>
      </c>
      <c r="D3854" s="345">
        <v>3</v>
      </c>
      <c r="E3854" s="346">
        <v>70</v>
      </c>
      <c r="F3854" s="346">
        <v>10496.72</v>
      </c>
      <c r="G3854" s="343" t="s">
        <v>2067</v>
      </c>
      <c r="H3854" s="343" t="s">
        <v>2108</v>
      </c>
      <c r="I3854" s="343" t="s">
        <v>1880</v>
      </c>
      <c r="J3854" s="343" t="s">
        <v>757</v>
      </c>
      <c r="K3854" s="343" t="s">
        <v>741</v>
      </c>
      <c r="L3854" s="344">
        <v>44104</v>
      </c>
      <c r="M3854" s="347">
        <v>0</v>
      </c>
    </row>
    <row r="3855" spans="1:13" hidden="1" x14ac:dyDescent="0.25">
      <c r="A3855" s="344">
        <v>44104</v>
      </c>
      <c r="B3855" s="343" t="s">
        <v>2066</v>
      </c>
      <c r="C3855" s="343" t="s">
        <v>1060</v>
      </c>
      <c r="D3855" s="345">
        <v>4</v>
      </c>
      <c r="E3855" s="346">
        <v>-70</v>
      </c>
      <c r="F3855" s="346">
        <v>10426.719999999999</v>
      </c>
      <c r="G3855" s="343" t="s">
        <v>2067</v>
      </c>
      <c r="H3855" s="343" t="s">
        <v>2108</v>
      </c>
      <c r="I3855" s="343" t="s">
        <v>1880</v>
      </c>
      <c r="J3855" s="343" t="s">
        <v>757</v>
      </c>
      <c r="K3855" s="343" t="s">
        <v>741</v>
      </c>
      <c r="L3855" s="344">
        <v>44104</v>
      </c>
      <c r="M3855" s="347">
        <v>0</v>
      </c>
    </row>
    <row r="3856" spans="1:13" hidden="1" x14ac:dyDescent="0.25">
      <c r="A3856" s="344">
        <v>44135</v>
      </c>
      <c r="B3856" s="343" t="s">
        <v>2068</v>
      </c>
      <c r="C3856" s="343" t="s">
        <v>1060</v>
      </c>
      <c r="D3856" s="345">
        <v>4</v>
      </c>
      <c r="E3856" s="346">
        <v>140</v>
      </c>
      <c r="F3856" s="346">
        <v>10566.72</v>
      </c>
      <c r="G3856" s="343" t="s">
        <v>2069</v>
      </c>
      <c r="H3856" s="343" t="s">
        <v>2108</v>
      </c>
      <c r="I3856" s="343" t="s">
        <v>1880</v>
      </c>
      <c r="J3856" s="343" t="s">
        <v>757</v>
      </c>
      <c r="K3856" s="343" t="s">
        <v>741</v>
      </c>
      <c r="L3856" s="344">
        <v>44135</v>
      </c>
      <c r="M3856" s="347">
        <v>0</v>
      </c>
    </row>
    <row r="3857" spans="1:13" hidden="1" x14ac:dyDescent="0.25">
      <c r="A3857" s="344">
        <v>44135</v>
      </c>
      <c r="B3857" s="343" t="s">
        <v>2068</v>
      </c>
      <c r="C3857" s="343" t="s">
        <v>1060</v>
      </c>
      <c r="D3857" s="345">
        <v>5</v>
      </c>
      <c r="E3857" s="346">
        <v>-140</v>
      </c>
      <c r="F3857" s="346">
        <v>10426.719999999999</v>
      </c>
      <c r="G3857" s="343" t="s">
        <v>2069</v>
      </c>
      <c r="H3857" s="343" t="s">
        <v>2108</v>
      </c>
      <c r="I3857" s="343" t="s">
        <v>1880</v>
      </c>
      <c r="J3857" s="343" t="s">
        <v>757</v>
      </c>
      <c r="K3857" s="343" t="s">
        <v>741</v>
      </c>
      <c r="L3857" s="344">
        <v>44135</v>
      </c>
      <c r="M3857" s="347">
        <v>0</v>
      </c>
    </row>
    <row r="3858" spans="1:13" hidden="1" x14ac:dyDescent="0.25">
      <c r="A3858" s="344">
        <v>44196</v>
      </c>
      <c r="B3858" s="343" t="s">
        <v>2048</v>
      </c>
      <c r="C3858" s="343" t="s">
        <v>1060</v>
      </c>
      <c r="D3858" s="345">
        <v>6</v>
      </c>
      <c r="E3858" s="346">
        <v>70</v>
      </c>
      <c r="F3858" s="346">
        <v>10496.72</v>
      </c>
      <c r="G3858" s="343" t="s">
        <v>2049</v>
      </c>
      <c r="H3858" s="343" t="s">
        <v>2108</v>
      </c>
      <c r="I3858" s="343" t="s">
        <v>1880</v>
      </c>
      <c r="J3858" s="343" t="s">
        <v>757</v>
      </c>
      <c r="K3858" s="343" t="s">
        <v>741</v>
      </c>
      <c r="L3858" s="344">
        <v>44196</v>
      </c>
      <c r="M3858" s="347">
        <v>0</v>
      </c>
    </row>
    <row r="3859" spans="1:13" hidden="1" x14ac:dyDescent="0.25">
      <c r="A3859" s="344">
        <v>44196</v>
      </c>
      <c r="B3859" s="343" t="s">
        <v>2048</v>
      </c>
      <c r="C3859" s="343" t="s">
        <v>1060</v>
      </c>
      <c r="D3859" s="345">
        <v>7</v>
      </c>
      <c r="E3859" s="346">
        <v>-70</v>
      </c>
      <c r="F3859" s="346">
        <v>10426.719999999999</v>
      </c>
      <c r="G3859" s="343" t="s">
        <v>2049</v>
      </c>
      <c r="H3859" s="343" t="s">
        <v>2108</v>
      </c>
      <c r="I3859" s="343" t="s">
        <v>1880</v>
      </c>
      <c r="J3859" s="343" t="s">
        <v>757</v>
      </c>
      <c r="K3859" s="343" t="s">
        <v>741</v>
      </c>
      <c r="L3859" s="344">
        <v>44196</v>
      </c>
      <c r="M3859" s="347">
        <v>0</v>
      </c>
    </row>
    <row r="3860" spans="1:13" hidden="1" x14ac:dyDescent="0.25">
      <c r="A3860" s="344">
        <v>44218</v>
      </c>
      <c r="B3860" s="343" t="s">
        <v>1972</v>
      </c>
      <c r="C3860" s="343" t="s">
        <v>1059</v>
      </c>
      <c r="D3860" s="345">
        <v>7</v>
      </c>
      <c r="E3860" s="346">
        <v>-35.159999999999997</v>
      </c>
      <c r="F3860" s="346">
        <v>10391.56</v>
      </c>
      <c r="G3860" s="343" t="s">
        <v>1973</v>
      </c>
      <c r="H3860" s="343" t="s">
        <v>2108</v>
      </c>
      <c r="I3860" s="343" t="s">
        <v>1880</v>
      </c>
      <c r="J3860" s="343" t="s">
        <v>757</v>
      </c>
      <c r="K3860" s="343" t="s">
        <v>741</v>
      </c>
      <c r="L3860" s="344">
        <v>44218</v>
      </c>
      <c r="M3860" s="347">
        <v>0</v>
      </c>
    </row>
    <row r="3861" spans="1:13" hidden="1" x14ac:dyDescent="0.25">
      <c r="A3861" s="344">
        <v>44227</v>
      </c>
      <c r="B3861" s="343" t="s">
        <v>2052</v>
      </c>
      <c r="C3861" s="343" t="s">
        <v>1060</v>
      </c>
      <c r="D3861" s="345">
        <v>7</v>
      </c>
      <c r="E3861" s="346">
        <v>70</v>
      </c>
      <c r="F3861" s="346">
        <v>10461.56</v>
      </c>
      <c r="G3861" s="343" t="s">
        <v>2053</v>
      </c>
      <c r="H3861" s="343" t="s">
        <v>2108</v>
      </c>
      <c r="I3861" s="343" t="s">
        <v>1880</v>
      </c>
      <c r="J3861" s="343" t="s">
        <v>757</v>
      </c>
      <c r="K3861" s="343" t="s">
        <v>741</v>
      </c>
      <c r="L3861" s="344">
        <v>44227</v>
      </c>
      <c r="M3861" s="347">
        <v>0</v>
      </c>
    </row>
    <row r="3862" spans="1:13" hidden="1" x14ac:dyDescent="0.25">
      <c r="A3862" s="344">
        <v>44227</v>
      </c>
      <c r="B3862" s="343" t="s">
        <v>2052</v>
      </c>
      <c r="C3862" s="343" t="s">
        <v>1060</v>
      </c>
      <c r="D3862" s="345">
        <v>8</v>
      </c>
      <c r="E3862" s="346">
        <v>-70</v>
      </c>
      <c r="F3862" s="346">
        <v>10391.56</v>
      </c>
      <c r="G3862" s="343" t="s">
        <v>2053</v>
      </c>
      <c r="H3862" s="343" t="s">
        <v>2108</v>
      </c>
      <c r="I3862" s="343" t="s">
        <v>1880</v>
      </c>
      <c r="J3862" s="343" t="s">
        <v>757</v>
      </c>
      <c r="K3862" s="343" t="s">
        <v>741</v>
      </c>
      <c r="L3862" s="344">
        <v>44227</v>
      </c>
      <c r="M3862" s="347">
        <v>0</v>
      </c>
    </row>
    <row r="3863" spans="1:13" hidden="1" x14ac:dyDescent="0.25">
      <c r="A3863" s="344">
        <v>44228</v>
      </c>
      <c r="B3863" s="343" t="s">
        <v>2054</v>
      </c>
      <c r="C3863" s="343" t="s">
        <v>769</v>
      </c>
      <c r="D3863" s="345">
        <v>8</v>
      </c>
      <c r="E3863" s="346">
        <v>70</v>
      </c>
      <c r="F3863" s="346">
        <v>10461.56</v>
      </c>
      <c r="G3863" s="343" t="s">
        <v>2055</v>
      </c>
      <c r="H3863" s="343" t="s">
        <v>2108</v>
      </c>
      <c r="I3863" s="343" t="s">
        <v>1880</v>
      </c>
      <c r="J3863" s="343" t="s">
        <v>757</v>
      </c>
      <c r="K3863" s="343" t="s">
        <v>770</v>
      </c>
      <c r="L3863" s="344">
        <v>44228</v>
      </c>
      <c r="M3863" s="347">
        <v>0</v>
      </c>
    </row>
    <row r="3864" spans="1:13" hidden="1" x14ac:dyDescent="0.25">
      <c r="A3864" s="344">
        <v>44244</v>
      </c>
      <c r="B3864" s="343" t="s">
        <v>1978</v>
      </c>
      <c r="C3864" s="343" t="s">
        <v>1059</v>
      </c>
      <c r="D3864" s="345">
        <v>8</v>
      </c>
      <c r="E3864" s="346">
        <v>-35.159999999999997</v>
      </c>
      <c r="F3864" s="346">
        <v>10426.4</v>
      </c>
      <c r="G3864" s="343" t="s">
        <v>1979</v>
      </c>
      <c r="H3864" s="343" t="s">
        <v>2108</v>
      </c>
      <c r="I3864" s="343" t="s">
        <v>1880</v>
      </c>
      <c r="J3864" s="343" t="s">
        <v>757</v>
      </c>
      <c r="K3864" s="343" t="s">
        <v>741</v>
      </c>
      <c r="L3864" s="344">
        <v>44244</v>
      </c>
      <c r="M3864" s="347">
        <v>0</v>
      </c>
    </row>
    <row r="3865" spans="1:13" hidden="1" x14ac:dyDescent="0.25">
      <c r="A3865" s="344">
        <v>44255</v>
      </c>
      <c r="B3865" s="343" t="s">
        <v>2056</v>
      </c>
      <c r="C3865" s="343" t="s">
        <v>1060</v>
      </c>
      <c r="D3865" s="345">
        <v>8</v>
      </c>
      <c r="E3865" s="346">
        <v>140</v>
      </c>
      <c r="F3865" s="346">
        <v>10566.4</v>
      </c>
      <c r="G3865" s="343" t="s">
        <v>2057</v>
      </c>
      <c r="H3865" s="343" t="s">
        <v>2108</v>
      </c>
      <c r="I3865" s="343" t="s">
        <v>1880</v>
      </c>
      <c r="J3865" s="343" t="s">
        <v>757</v>
      </c>
      <c r="K3865" s="343" t="s">
        <v>741</v>
      </c>
      <c r="L3865" s="344">
        <v>44255</v>
      </c>
      <c r="M3865" s="347">
        <v>0</v>
      </c>
    </row>
    <row r="3866" spans="1:13" hidden="1" x14ac:dyDescent="0.25">
      <c r="A3866" s="344">
        <v>44255</v>
      </c>
      <c r="B3866" s="343" t="s">
        <v>2056</v>
      </c>
      <c r="C3866" s="343" t="s">
        <v>1060</v>
      </c>
      <c r="D3866" s="345">
        <v>9</v>
      </c>
      <c r="E3866" s="346">
        <v>-140</v>
      </c>
      <c r="F3866" s="346">
        <v>10426.4</v>
      </c>
      <c r="G3866" s="343" t="s">
        <v>2057</v>
      </c>
      <c r="H3866" s="343" t="s">
        <v>2108</v>
      </c>
      <c r="I3866" s="343" t="s">
        <v>1880</v>
      </c>
      <c r="J3866" s="343" t="s">
        <v>757</v>
      </c>
      <c r="K3866" s="343" t="s">
        <v>741</v>
      </c>
      <c r="L3866" s="344">
        <v>44255</v>
      </c>
      <c r="M3866" s="347">
        <v>0</v>
      </c>
    </row>
    <row r="3867" spans="1:13" hidden="1" x14ac:dyDescent="0.25">
      <c r="A3867" s="344">
        <v>44255</v>
      </c>
      <c r="B3867" s="343" t="s">
        <v>2058</v>
      </c>
      <c r="C3867" s="343" t="s">
        <v>769</v>
      </c>
      <c r="D3867" s="345">
        <v>9</v>
      </c>
      <c r="E3867" s="346">
        <v>70</v>
      </c>
      <c r="F3867" s="346">
        <v>10496.4</v>
      </c>
      <c r="G3867" s="343" t="s">
        <v>2059</v>
      </c>
      <c r="H3867" s="343" t="s">
        <v>2108</v>
      </c>
      <c r="I3867" s="343" t="s">
        <v>1880</v>
      </c>
      <c r="J3867" s="343" t="s">
        <v>757</v>
      </c>
      <c r="K3867" s="343" t="s">
        <v>770</v>
      </c>
      <c r="L3867" s="344">
        <v>44255</v>
      </c>
      <c r="M3867" s="347">
        <v>0</v>
      </c>
    </row>
    <row r="3868" spans="1:13" hidden="1" x14ac:dyDescent="0.25">
      <c r="A3868" s="344">
        <v>44259</v>
      </c>
      <c r="B3868" s="343" t="s">
        <v>1939</v>
      </c>
      <c r="C3868" s="343" t="s">
        <v>1059</v>
      </c>
      <c r="D3868" s="345">
        <v>9</v>
      </c>
      <c r="E3868" s="346">
        <v>-32.31</v>
      </c>
      <c r="F3868" s="346">
        <v>10464.09</v>
      </c>
      <c r="G3868" s="343" t="s">
        <v>1940</v>
      </c>
      <c r="H3868" s="343" t="s">
        <v>2108</v>
      </c>
      <c r="I3868" s="343" t="s">
        <v>1880</v>
      </c>
      <c r="J3868" s="343" t="s">
        <v>757</v>
      </c>
      <c r="K3868" s="343" t="s">
        <v>741</v>
      </c>
      <c r="L3868" s="344">
        <v>44259</v>
      </c>
      <c r="M3868" s="347">
        <v>0</v>
      </c>
    </row>
    <row r="3869" spans="1:13" hidden="1" x14ac:dyDescent="0.25">
      <c r="A3869" s="344">
        <v>44286</v>
      </c>
      <c r="B3869" s="343" t="s">
        <v>2060</v>
      </c>
      <c r="C3869" s="343" t="s">
        <v>1060</v>
      </c>
      <c r="D3869" s="345">
        <v>9</v>
      </c>
      <c r="E3869" s="346">
        <v>70</v>
      </c>
      <c r="F3869" s="346">
        <v>10534.09</v>
      </c>
      <c r="G3869" s="343" t="s">
        <v>2061</v>
      </c>
      <c r="H3869" s="343" t="s">
        <v>2108</v>
      </c>
      <c r="I3869" s="343" t="s">
        <v>1880</v>
      </c>
      <c r="J3869" s="343" t="s">
        <v>757</v>
      </c>
      <c r="K3869" s="343" t="s">
        <v>741</v>
      </c>
      <c r="L3869" s="344">
        <v>44286</v>
      </c>
      <c r="M3869" s="347">
        <v>0</v>
      </c>
    </row>
    <row r="3870" spans="1:13" hidden="1" x14ac:dyDescent="0.25">
      <c r="A3870" s="344">
        <v>44286</v>
      </c>
      <c r="B3870" s="343" t="s">
        <v>2060</v>
      </c>
      <c r="C3870" s="343" t="s">
        <v>1060</v>
      </c>
      <c r="D3870" s="345">
        <v>10</v>
      </c>
      <c r="E3870" s="346">
        <v>-70</v>
      </c>
      <c r="F3870" s="346">
        <v>10464.09</v>
      </c>
      <c r="G3870" s="343" t="s">
        <v>2061</v>
      </c>
      <c r="H3870" s="343" t="s">
        <v>2108</v>
      </c>
      <c r="I3870" s="343" t="s">
        <v>1880</v>
      </c>
      <c r="J3870" s="343" t="s">
        <v>757</v>
      </c>
      <c r="K3870" s="343" t="s">
        <v>741</v>
      </c>
      <c r="L3870" s="344">
        <v>44286</v>
      </c>
      <c r="M3870" s="347">
        <v>0</v>
      </c>
    </row>
    <row r="3871" spans="1:13" hidden="1" x14ac:dyDescent="0.25">
      <c r="A3871" s="344">
        <v>44293</v>
      </c>
      <c r="B3871" s="343" t="s">
        <v>2062</v>
      </c>
      <c r="C3871" s="343" t="s">
        <v>769</v>
      </c>
      <c r="D3871" s="345">
        <v>10</v>
      </c>
      <c r="E3871" s="346">
        <v>70</v>
      </c>
      <c r="F3871" s="346">
        <v>10534.09</v>
      </c>
      <c r="G3871" s="343" t="s">
        <v>2063</v>
      </c>
      <c r="H3871" s="343" t="s">
        <v>2108</v>
      </c>
      <c r="I3871" s="343" t="s">
        <v>1880</v>
      </c>
      <c r="J3871" s="343" t="s">
        <v>757</v>
      </c>
      <c r="K3871" s="343" t="s">
        <v>770</v>
      </c>
      <c r="L3871" s="344">
        <v>44293</v>
      </c>
      <c r="M3871" s="347">
        <v>0</v>
      </c>
    </row>
    <row r="3872" spans="1:13" hidden="1" x14ac:dyDescent="0.25">
      <c r="A3872" s="344">
        <v>44316</v>
      </c>
      <c r="B3872" s="343" t="s">
        <v>1078</v>
      </c>
      <c r="C3872" s="343" t="s">
        <v>1060</v>
      </c>
      <c r="D3872" s="345">
        <v>10</v>
      </c>
      <c r="E3872" s="346">
        <v>70</v>
      </c>
      <c r="F3872" s="346">
        <v>10604.09</v>
      </c>
      <c r="G3872" s="343" t="s">
        <v>2064</v>
      </c>
      <c r="H3872" s="343" t="s">
        <v>2108</v>
      </c>
      <c r="I3872" s="343" t="s">
        <v>1880</v>
      </c>
      <c r="J3872" s="343" t="s">
        <v>757</v>
      </c>
      <c r="K3872" s="343" t="s">
        <v>741</v>
      </c>
      <c r="L3872" s="344">
        <v>44316</v>
      </c>
      <c r="M3872" s="347">
        <v>0</v>
      </c>
    </row>
    <row r="3873" spans="1:13" hidden="1" x14ac:dyDescent="0.25">
      <c r="A3873" s="344">
        <v>44047</v>
      </c>
      <c r="B3873" s="343" t="s">
        <v>2083</v>
      </c>
      <c r="C3873" s="343" t="s">
        <v>769</v>
      </c>
      <c r="D3873" s="345">
        <v>2</v>
      </c>
      <c r="E3873" s="346">
        <v>181.82</v>
      </c>
      <c r="F3873" s="346">
        <v>10785.91</v>
      </c>
      <c r="G3873" s="343" t="s">
        <v>2084</v>
      </c>
      <c r="H3873" s="343" t="s">
        <v>2109</v>
      </c>
      <c r="I3873" s="343" t="s">
        <v>1880</v>
      </c>
      <c r="J3873" s="343" t="s">
        <v>757</v>
      </c>
      <c r="K3873" s="343" t="s">
        <v>770</v>
      </c>
      <c r="L3873" s="344">
        <v>44047</v>
      </c>
      <c r="M3873" s="347">
        <v>0</v>
      </c>
    </row>
    <row r="3874" spans="1:13" hidden="1" x14ac:dyDescent="0.25">
      <c r="A3874" s="344">
        <v>44047</v>
      </c>
      <c r="B3874" s="343" t="s">
        <v>2086</v>
      </c>
      <c r="C3874" s="343" t="s">
        <v>769</v>
      </c>
      <c r="D3874" s="345">
        <v>2</v>
      </c>
      <c r="E3874" s="346">
        <v>181.82</v>
      </c>
      <c r="F3874" s="346">
        <v>10967.73</v>
      </c>
      <c r="G3874" s="343" t="s">
        <v>2087</v>
      </c>
      <c r="H3874" s="343" t="s">
        <v>2109</v>
      </c>
      <c r="I3874" s="343" t="s">
        <v>1880</v>
      </c>
      <c r="J3874" s="343" t="s">
        <v>757</v>
      </c>
      <c r="K3874" s="343" t="s">
        <v>770</v>
      </c>
      <c r="L3874" s="344">
        <v>44047</v>
      </c>
      <c r="M3874" s="347">
        <v>0</v>
      </c>
    </row>
    <row r="3875" spans="1:13" hidden="1" x14ac:dyDescent="0.25">
      <c r="A3875" s="344">
        <v>44048</v>
      </c>
      <c r="B3875" s="343" t="s">
        <v>2040</v>
      </c>
      <c r="C3875" s="343" t="s">
        <v>769</v>
      </c>
      <c r="D3875" s="345">
        <v>2</v>
      </c>
      <c r="E3875" s="346">
        <v>284.24</v>
      </c>
      <c r="F3875" s="346">
        <v>11251.97</v>
      </c>
      <c r="G3875" s="343" t="s">
        <v>2041</v>
      </c>
      <c r="H3875" s="343" t="s">
        <v>2109</v>
      </c>
      <c r="I3875" s="343" t="s">
        <v>1880</v>
      </c>
      <c r="J3875" s="343" t="s">
        <v>757</v>
      </c>
      <c r="K3875" s="343" t="s">
        <v>770</v>
      </c>
      <c r="L3875" s="344">
        <v>44048</v>
      </c>
      <c r="M3875" s="347">
        <v>0</v>
      </c>
    </row>
    <row r="3876" spans="1:13" hidden="1" x14ac:dyDescent="0.25">
      <c r="A3876" s="344">
        <v>44048</v>
      </c>
      <c r="B3876" s="343" t="s">
        <v>2042</v>
      </c>
      <c r="C3876" s="343" t="s">
        <v>769</v>
      </c>
      <c r="D3876" s="345">
        <v>2</v>
      </c>
      <c r="E3876" s="346">
        <v>284.24</v>
      </c>
      <c r="F3876" s="346">
        <v>11536.21</v>
      </c>
      <c r="G3876" s="343" t="s">
        <v>2043</v>
      </c>
      <c r="H3876" s="343" t="s">
        <v>2109</v>
      </c>
      <c r="I3876" s="343" t="s">
        <v>1880</v>
      </c>
      <c r="J3876" s="343" t="s">
        <v>757</v>
      </c>
      <c r="K3876" s="343" t="s">
        <v>770</v>
      </c>
      <c r="L3876" s="344">
        <v>44048</v>
      </c>
      <c r="M3876" s="347">
        <v>0</v>
      </c>
    </row>
    <row r="3877" spans="1:13" hidden="1" x14ac:dyDescent="0.25">
      <c r="A3877" s="344">
        <v>44048</v>
      </c>
      <c r="B3877" s="343" t="s">
        <v>2035</v>
      </c>
      <c r="C3877" s="343" t="s">
        <v>936</v>
      </c>
      <c r="D3877" s="345">
        <v>2</v>
      </c>
      <c r="E3877" s="346">
        <v>-284.24</v>
      </c>
      <c r="F3877" s="346">
        <v>11251.97</v>
      </c>
      <c r="G3877" s="343" t="s">
        <v>2036</v>
      </c>
      <c r="H3877" s="343" t="s">
        <v>2109</v>
      </c>
      <c r="I3877" s="343" t="s">
        <v>1880</v>
      </c>
      <c r="J3877" s="343" t="s">
        <v>757</v>
      </c>
      <c r="K3877" s="343" t="s">
        <v>770</v>
      </c>
      <c r="L3877" s="344">
        <v>43862</v>
      </c>
      <c r="M3877" s="347">
        <v>0</v>
      </c>
    </row>
    <row r="3878" spans="1:13" hidden="1" x14ac:dyDescent="0.25">
      <c r="A3878" s="344">
        <v>44048</v>
      </c>
      <c r="B3878" s="343" t="s">
        <v>2038</v>
      </c>
      <c r="C3878" s="343" t="s">
        <v>936</v>
      </c>
      <c r="D3878" s="345">
        <v>2</v>
      </c>
      <c r="E3878" s="346">
        <v>-284.24</v>
      </c>
      <c r="F3878" s="346">
        <v>10967.73</v>
      </c>
      <c r="G3878" s="343" t="s">
        <v>2039</v>
      </c>
      <c r="H3878" s="343" t="s">
        <v>2109</v>
      </c>
      <c r="I3878" s="343" t="s">
        <v>1880</v>
      </c>
      <c r="J3878" s="343" t="s">
        <v>757</v>
      </c>
      <c r="K3878" s="343" t="s">
        <v>770</v>
      </c>
      <c r="L3878" s="344">
        <v>43891</v>
      </c>
      <c r="M3878" s="347">
        <v>0</v>
      </c>
    </row>
    <row r="3879" spans="1:13" hidden="1" x14ac:dyDescent="0.25">
      <c r="A3879" s="344">
        <v>44048</v>
      </c>
      <c r="B3879" s="343" t="s">
        <v>2083</v>
      </c>
      <c r="C3879" s="343" t="s">
        <v>936</v>
      </c>
      <c r="D3879" s="345">
        <v>2</v>
      </c>
      <c r="E3879" s="346">
        <v>-181.82</v>
      </c>
      <c r="F3879" s="346">
        <v>10785.91</v>
      </c>
      <c r="G3879" s="343" t="s">
        <v>2084</v>
      </c>
      <c r="H3879" s="343" t="s">
        <v>2109</v>
      </c>
      <c r="I3879" s="343" t="s">
        <v>1880</v>
      </c>
      <c r="J3879" s="343" t="s">
        <v>757</v>
      </c>
      <c r="K3879" s="343" t="s">
        <v>770</v>
      </c>
      <c r="L3879" s="344">
        <v>44047</v>
      </c>
      <c r="M3879" s="347">
        <v>0</v>
      </c>
    </row>
    <row r="3880" spans="1:13" hidden="1" x14ac:dyDescent="0.25">
      <c r="A3880" s="344">
        <v>44052</v>
      </c>
      <c r="B3880" s="343" t="s">
        <v>1930</v>
      </c>
      <c r="C3880" s="343" t="s">
        <v>1059</v>
      </c>
      <c r="D3880" s="345">
        <v>2</v>
      </c>
      <c r="E3880" s="346">
        <v>-68.25</v>
      </c>
      <c r="F3880" s="346">
        <v>10717.66</v>
      </c>
      <c r="G3880" s="343" t="s">
        <v>1931</v>
      </c>
      <c r="H3880" s="343" t="s">
        <v>2109</v>
      </c>
      <c r="I3880" s="343" t="s">
        <v>1880</v>
      </c>
      <c r="J3880" s="343" t="s">
        <v>757</v>
      </c>
      <c r="K3880" s="343" t="s">
        <v>741</v>
      </c>
      <c r="L3880" s="344">
        <v>44052</v>
      </c>
      <c r="M3880" s="347">
        <v>0</v>
      </c>
    </row>
    <row r="3881" spans="1:13" hidden="1" x14ac:dyDescent="0.25">
      <c r="A3881" s="344">
        <v>44062</v>
      </c>
      <c r="B3881" s="343" t="s">
        <v>1932</v>
      </c>
      <c r="C3881" s="343" t="s">
        <v>1059</v>
      </c>
      <c r="D3881" s="345">
        <v>2</v>
      </c>
      <c r="E3881" s="346">
        <v>-72.8</v>
      </c>
      <c r="F3881" s="346">
        <v>10644.86</v>
      </c>
      <c r="G3881" s="343" t="s">
        <v>1933</v>
      </c>
      <c r="H3881" s="343" t="s">
        <v>2109</v>
      </c>
      <c r="I3881" s="343" t="s">
        <v>1880</v>
      </c>
      <c r="J3881" s="343" t="s">
        <v>757</v>
      </c>
      <c r="K3881" s="343" t="s">
        <v>741</v>
      </c>
      <c r="L3881" s="344">
        <v>44062</v>
      </c>
      <c r="M3881" s="347">
        <v>0</v>
      </c>
    </row>
    <row r="3882" spans="1:13" hidden="1" x14ac:dyDescent="0.25">
      <c r="A3882" s="344">
        <v>44064</v>
      </c>
      <c r="B3882" s="343" t="s">
        <v>2092</v>
      </c>
      <c r="C3882" s="343" t="s">
        <v>769</v>
      </c>
      <c r="D3882" s="345">
        <v>2</v>
      </c>
      <c r="E3882" s="346">
        <v>101.01</v>
      </c>
      <c r="F3882" s="346">
        <v>10745.87</v>
      </c>
      <c r="G3882" s="343" t="s">
        <v>2093</v>
      </c>
      <c r="H3882" s="343" t="s">
        <v>2109</v>
      </c>
      <c r="I3882" s="343" t="s">
        <v>1880</v>
      </c>
      <c r="J3882" s="343" t="s">
        <v>757</v>
      </c>
      <c r="K3882" s="343" t="s">
        <v>770</v>
      </c>
      <c r="L3882" s="344">
        <v>44064</v>
      </c>
      <c r="M3882" s="347">
        <v>0</v>
      </c>
    </row>
    <row r="3883" spans="1:13" hidden="1" x14ac:dyDescent="0.25">
      <c r="A3883" s="344">
        <v>44064</v>
      </c>
      <c r="B3883" s="343" t="s">
        <v>2092</v>
      </c>
      <c r="C3883" s="343" t="s">
        <v>936</v>
      </c>
      <c r="D3883" s="345">
        <v>2</v>
      </c>
      <c r="E3883" s="346">
        <v>-101.01</v>
      </c>
      <c r="F3883" s="346">
        <v>10644.86</v>
      </c>
      <c r="G3883" s="343" t="s">
        <v>2093</v>
      </c>
      <c r="H3883" s="343" t="s">
        <v>2109</v>
      </c>
      <c r="I3883" s="343" t="s">
        <v>1880</v>
      </c>
      <c r="J3883" s="343" t="s">
        <v>757</v>
      </c>
      <c r="K3883" s="343" t="s">
        <v>770</v>
      </c>
      <c r="L3883" s="344">
        <v>44064</v>
      </c>
      <c r="M3883" s="347">
        <v>0</v>
      </c>
    </row>
    <row r="3884" spans="1:13" hidden="1" x14ac:dyDescent="0.25">
      <c r="A3884" s="344">
        <v>44064</v>
      </c>
      <c r="B3884" s="343" t="s">
        <v>2094</v>
      </c>
      <c r="C3884" s="343" t="s">
        <v>769</v>
      </c>
      <c r="D3884" s="345">
        <v>2</v>
      </c>
      <c r="E3884" s="346">
        <v>101.01</v>
      </c>
      <c r="F3884" s="346">
        <v>10745.87</v>
      </c>
      <c r="G3884" s="343" t="s">
        <v>2095</v>
      </c>
      <c r="H3884" s="343" t="s">
        <v>2109</v>
      </c>
      <c r="I3884" s="343" t="s">
        <v>1880</v>
      </c>
      <c r="J3884" s="343" t="s">
        <v>757</v>
      </c>
      <c r="K3884" s="343" t="s">
        <v>770</v>
      </c>
      <c r="L3884" s="344">
        <v>44064</v>
      </c>
      <c r="M3884" s="347">
        <v>0</v>
      </c>
    </row>
    <row r="3885" spans="1:13" hidden="1" x14ac:dyDescent="0.25">
      <c r="A3885" s="344">
        <v>44131</v>
      </c>
      <c r="B3885" s="343" t="s">
        <v>2110</v>
      </c>
      <c r="C3885" s="343" t="s">
        <v>1059</v>
      </c>
      <c r="D3885" s="345">
        <v>2</v>
      </c>
      <c r="E3885" s="346">
        <v>-27.3</v>
      </c>
      <c r="F3885" s="346">
        <v>10718.57</v>
      </c>
      <c r="G3885" s="343" t="s">
        <v>2111</v>
      </c>
      <c r="H3885" s="343" t="s">
        <v>2109</v>
      </c>
      <c r="I3885" s="343" t="s">
        <v>1880</v>
      </c>
      <c r="J3885" s="343" t="s">
        <v>757</v>
      </c>
      <c r="K3885" s="343" t="s">
        <v>741</v>
      </c>
      <c r="L3885" s="344">
        <v>44131</v>
      </c>
      <c r="M3885" s="347">
        <v>0</v>
      </c>
    </row>
    <row r="3886" spans="1:13" hidden="1" x14ac:dyDescent="0.25">
      <c r="A3886" s="344">
        <v>44077</v>
      </c>
      <c r="B3886" s="343" t="s">
        <v>2096</v>
      </c>
      <c r="C3886" s="343" t="s">
        <v>769</v>
      </c>
      <c r="D3886" s="345">
        <v>3</v>
      </c>
      <c r="E3886" s="346">
        <v>75.75</v>
      </c>
      <c r="F3886" s="346">
        <v>10794.32</v>
      </c>
      <c r="G3886" s="343" t="s">
        <v>2097</v>
      </c>
      <c r="H3886" s="343" t="s">
        <v>2109</v>
      </c>
      <c r="I3886" s="343" t="s">
        <v>1880</v>
      </c>
      <c r="J3886" s="343" t="s">
        <v>757</v>
      </c>
      <c r="K3886" s="343" t="s">
        <v>770</v>
      </c>
      <c r="L3886" s="344">
        <v>44077</v>
      </c>
      <c r="M3886" s="347">
        <v>0</v>
      </c>
    </row>
    <row r="3887" spans="1:13" hidden="1" x14ac:dyDescent="0.25">
      <c r="A3887" s="344">
        <v>44083</v>
      </c>
      <c r="B3887" s="343" t="s">
        <v>1948</v>
      </c>
      <c r="C3887" s="343" t="s">
        <v>1059</v>
      </c>
      <c r="D3887" s="345">
        <v>3</v>
      </c>
      <c r="E3887" s="346">
        <v>-54.6</v>
      </c>
      <c r="F3887" s="346">
        <v>10739.72</v>
      </c>
      <c r="G3887" s="343" t="s">
        <v>1949</v>
      </c>
      <c r="H3887" s="343" t="s">
        <v>2109</v>
      </c>
      <c r="I3887" s="343" t="s">
        <v>1880</v>
      </c>
      <c r="J3887" s="343" t="s">
        <v>757</v>
      </c>
      <c r="K3887" s="343" t="s">
        <v>741</v>
      </c>
      <c r="L3887" s="344">
        <v>44083</v>
      </c>
      <c r="M3887" s="347">
        <v>0</v>
      </c>
    </row>
    <row r="3888" spans="1:13" hidden="1" x14ac:dyDescent="0.25">
      <c r="A3888" s="344">
        <v>44090</v>
      </c>
      <c r="B3888" s="343" t="s">
        <v>2098</v>
      </c>
      <c r="C3888" s="343" t="s">
        <v>769</v>
      </c>
      <c r="D3888" s="345">
        <v>3</v>
      </c>
      <c r="E3888" s="346">
        <v>75.75</v>
      </c>
      <c r="F3888" s="346">
        <v>10815.47</v>
      </c>
      <c r="G3888" s="343" t="s">
        <v>2099</v>
      </c>
      <c r="H3888" s="343" t="s">
        <v>2109</v>
      </c>
      <c r="I3888" s="343" t="s">
        <v>1880</v>
      </c>
      <c r="J3888" s="343" t="s">
        <v>757</v>
      </c>
      <c r="K3888" s="343" t="s">
        <v>770</v>
      </c>
      <c r="L3888" s="344">
        <v>44090</v>
      </c>
      <c r="M3888" s="347">
        <v>0</v>
      </c>
    </row>
    <row r="3889" spans="1:13" hidden="1" x14ac:dyDescent="0.25">
      <c r="A3889" s="344">
        <v>44094</v>
      </c>
      <c r="B3889" s="343" t="s">
        <v>1950</v>
      </c>
      <c r="C3889" s="343" t="s">
        <v>1059</v>
      </c>
      <c r="D3889" s="345">
        <v>3</v>
      </c>
      <c r="E3889" s="346">
        <v>-100.1</v>
      </c>
      <c r="F3889" s="346">
        <v>10715.37</v>
      </c>
      <c r="G3889" s="343" t="s">
        <v>1951</v>
      </c>
      <c r="H3889" s="343" t="s">
        <v>2109</v>
      </c>
      <c r="I3889" s="343" t="s">
        <v>1880</v>
      </c>
      <c r="J3889" s="343" t="s">
        <v>757</v>
      </c>
      <c r="K3889" s="343" t="s">
        <v>741</v>
      </c>
      <c r="L3889" s="344">
        <v>44094</v>
      </c>
      <c r="M3889" s="347">
        <v>0</v>
      </c>
    </row>
    <row r="3890" spans="1:13" hidden="1" x14ac:dyDescent="0.25">
      <c r="A3890" s="344">
        <v>44099</v>
      </c>
      <c r="B3890" s="343" t="s">
        <v>2100</v>
      </c>
      <c r="C3890" s="343" t="s">
        <v>769</v>
      </c>
      <c r="D3890" s="345">
        <v>3</v>
      </c>
      <c r="E3890" s="346">
        <v>42.61</v>
      </c>
      <c r="F3890" s="346">
        <v>10757.98</v>
      </c>
      <c r="G3890" s="343" t="s">
        <v>2101</v>
      </c>
      <c r="H3890" s="343" t="s">
        <v>2109</v>
      </c>
      <c r="I3890" s="343" t="s">
        <v>1880</v>
      </c>
      <c r="J3890" s="343" t="s">
        <v>757</v>
      </c>
      <c r="K3890" s="343" t="s">
        <v>770</v>
      </c>
      <c r="L3890" s="344">
        <v>44099</v>
      </c>
      <c r="M3890" s="347">
        <v>0</v>
      </c>
    </row>
    <row r="3891" spans="1:13" hidden="1" x14ac:dyDescent="0.25">
      <c r="A3891" s="344">
        <v>44104</v>
      </c>
      <c r="B3891" s="343" t="s">
        <v>1934</v>
      </c>
      <c r="C3891" s="343" t="s">
        <v>1059</v>
      </c>
      <c r="D3891" s="345">
        <v>3</v>
      </c>
      <c r="E3891" s="346">
        <v>-54.6</v>
      </c>
      <c r="F3891" s="346">
        <v>10703.38</v>
      </c>
      <c r="G3891" s="343" t="s">
        <v>1935</v>
      </c>
      <c r="H3891" s="343" t="s">
        <v>2109</v>
      </c>
      <c r="I3891" s="343" t="s">
        <v>1880</v>
      </c>
      <c r="J3891" s="343" t="s">
        <v>757</v>
      </c>
      <c r="K3891" s="343" t="s">
        <v>741</v>
      </c>
      <c r="L3891" s="344">
        <v>44104</v>
      </c>
      <c r="M3891" s="347">
        <v>0</v>
      </c>
    </row>
    <row r="3892" spans="1:13" hidden="1" x14ac:dyDescent="0.25">
      <c r="A3892" s="344">
        <v>44131</v>
      </c>
      <c r="B3892" s="343" t="s">
        <v>2112</v>
      </c>
      <c r="C3892" s="343" t="s">
        <v>1059</v>
      </c>
      <c r="D3892" s="345">
        <v>3</v>
      </c>
      <c r="E3892" s="346">
        <v>-109.2</v>
      </c>
      <c r="F3892" s="346">
        <v>10594.18</v>
      </c>
      <c r="G3892" s="343" t="s">
        <v>2113</v>
      </c>
      <c r="H3892" s="343" t="s">
        <v>2109</v>
      </c>
      <c r="I3892" s="343" t="s">
        <v>1880</v>
      </c>
      <c r="J3892" s="343" t="s">
        <v>757</v>
      </c>
      <c r="K3892" s="343" t="s">
        <v>741</v>
      </c>
      <c r="L3892" s="344">
        <v>44131</v>
      </c>
      <c r="M3892" s="347">
        <v>0</v>
      </c>
    </row>
    <row r="3893" spans="1:13" hidden="1" x14ac:dyDescent="0.25">
      <c r="A3893" s="344">
        <v>44120</v>
      </c>
      <c r="B3893" s="343" t="s">
        <v>1936</v>
      </c>
      <c r="C3893" s="343" t="s">
        <v>1059</v>
      </c>
      <c r="D3893" s="345">
        <v>4</v>
      </c>
      <c r="E3893" s="346">
        <v>-96.93</v>
      </c>
      <c r="F3893" s="346">
        <v>10497.25</v>
      </c>
      <c r="G3893" s="343" t="s">
        <v>1937</v>
      </c>
      <c r="H3893" s="343" t="s">
        <v>2109</v>
      </c>
      <c r="I3893" s="343" t="s">
        <v>1880</v>
      </c>
      <c r="J3893" s="343" t="s">
        <v>757</v>
      </c>
      <c r="K3893" s="343" t="s">
        <v>741</v>
      </c>
      <c r="L3893" s="344">
        <v>44120</v>
      </c>
      <c r="M3893" s="347">
        <v>0</v>
      </c>
    </row>
    <row r="3894" spans="1:13" hidden="1" x14ac:dyDescent="0.25">
      <c r="A3894" s="344">
        <v>44135</v>
      </c>
      <c r="B3894" s="343" t="s">
        <v>1954</v>
      </c>
      <c r="C3894" s="343" t="s">
        <v>1059</v>
      </c>
      <c r="D3894" s="345">
        <v>4</v>
      </c>
      <c r="E3894" s="346">
        <v>-96.93</v>
      </c>
      <c r="F3894" s="346">
        <v>10400.32</v>
      </c>
      <c r="G3894" s="343" t="s">
        <v>1955</v>
      </c>
      <c r="H3894" s="343" t="s">
        <v>2109</v>
      </c>
      <c r="I3894" s="343" t="s">
        <v>1880</v>
      </c>
      <c r="J3894" s="343" t="s">
        <v>757</v>
      </c>
      <c r="K3894" s="343" t="s">
        <v>741</v>
      </c>
      <c r="L3894" s="344">
        <v>44135</v>
      </c>
      <c r="M3894" s="347">
        <v>0</v>
      </c>
    </row>
    <row r="3895" spans="1:13" hidden="1" x14ac:dyDescent="0.25">
      <c r="A3895" s="344">
        <v>44039</v>
      </c>
      <c r="B3895" s="343" t="s">
        <v>2102</v>
      </c>
      <c r="C3895" s="343" t="s">
        <v>769</v>
      </c>
      <c r="D3895" s="345">
        <v>5</v>
      </c>
      <c r="E3895" s="346">
        <v>129.87</v>
      </c>
      <c r="F3895" s="346">
        <v>10530.19</v>
      </c>
      <c r="G3895" s="343" t="s">
        <v>2103</v>
      </c>
      <c r="H3895" s="343" t="s">
        <v>2109</v>
      </c>
      <c r="I3895" s="343" t="s">
        <v>1880</v>
      </c>
      <c r="J3895" s="343" t="s">
        <v>757</v>
      </c>
      <c r="K3895" s="343" t="s">
        <v>770</v>
      </c>
      <c r="L3895" s="344">
        <v>44039</v>
      </c>
      <c r="M3895" s="347">
        <v>0</v>
      </c>
    </row>
    <row r="3896" spans="1:13" hidden="1" x14ac:dyDescent="0.25">
      <c r="A3896" s="344">
        <v>44039</v>
      </c>
      <c r="B3896" s="343" t="s">
        <v>2104</v>
      </c>
      <c r="C3896" s="343" t="s">
        <v>769</v>
      </c>
      <c r="D3896" s="345">
        <v>5</v>
      </c>
      <c r="E3896" s="346">
        <v>64.92</v>
      </c>
      <c r="F3896" s="346">
        <v>10595.11</v>
      </c>
      <c r="G3896" s="343" t="s">
        <v>2105</v>
      </c>
      <c r="H3896" s="343" t="s">
        <v>2109</v>
      </c>
      <c r="I3896" s="343" t="s">
        <v>1880</v>
      </c>
      <c r="J3896" s="343" t="s">
        <v>757</v>
      </c>
      <c r="K3896" s="343" t="s">
        <v>770</v>
      </c>
      <c r="L3896" s="344">
        <v>44039</v>
      </c>
      <c r="M3896" s="347">
        <v>0</v>
      </c>
    </row>
    <row r="3897" spans="1:13" hidden="1" x14ac:dyDescent="0.25">
      <c r="A3897" s="344">
        <v>44148</v>
      </c>
      <c r="B3897" s="343" t="s">
        <v>1958</v>
      </c>
      <c r="C3897" s="343" t="s">
        <v>1059</v>
      </c>
      <c r="D3897" s="345">
        <v>5</v>
      </c>
      <c r="E3897" s="346">
        <v>-96.93</v>
      </c>
      <c r="F3897" s="346">
        <v>10498.18</v>
      </c>
      <c r="G3897" s="343" t="s">
        <v>1959</v>
      </c>
      <c r="H3897" s="343" t="s">
        <v>2109</v>
      </c>
      <c r="I3897" s="343" t="s">
        <v>1880</v>
      </c>
      <c r="J3897" s="343" t="s">
        <v>757</v>
      </c>
      <c r="K3897" s="343" t="s">
        <v>741</v>
      </c>
      <c r="L3897" s="344">
        <v>44148</v>
      </c>
      <c r="M3897" s="347">
        <v>0</v>
      </c>
    </row>
    <row r="3898" spans="1:13" hidden="1" x14ac:dyDescent="0.25">
      <c r="A3898" s="344">
        <v>44160</v>
      </c>
      <c r="B3898" s="343" t="s">
        <v>1960</v>
      </c>
      <c r="C3898" s="343" t="s">
        <v>1059</v>
      </c>
      <c r="D3898" s="345">
        <v>5</v>
      </c>
      <c r="E3898" s="346">
        <v>-161.55000000000001</v>
      </c>
      <c r="F3898" s="346">
        <v>10336.629999999999</v>
      </c>
      <c r="G3898" s="343" t="s">
        <v>1961</v>
      </c>
      <c r="H3898" s="343" t="s">
        <v>2109</v>
      </c>
      <c r="I3898" s="343" t="s">
        <v>1880</v>
      </c>
      <c r="J3898" s="343" t="s">
        <v>757</v>
      </c>
      <c r="K3898" s="343" t="s">
        <v>741</v>
      </c>
      <c r="L3898" s="344">
        <v>44160</v>
      </c>
      <c r="M3898" s="347">
        <v>0</v>
      </c>
    </row>
    <row r="3899" spans="1:13" hidden="1" x14ac:dyDescent="0.25">
      <c r="A3899" s="344">
        <v>44165</v>
      </c>
      <c r="B3899" s="343" t="s">
        <v>1906</v>
      </c>
      <c r="C3899" s="343" t="s">
        <v>1060</v>
      </c>
      <c r="D3899" s="345">
        <v>5</v>
      </c>
      <c r="E3899" s="346">
        <v>249.96</v>
      </c>
      <c r="F3899" s="346">
        <v>10586.59</v>
      </c>
      <c r="G3899" s="343" t="s">
        <v>2106</v>
      </c>
      <c r="H3899" s="343" t="s">
        <v>2109</v>
      </c>
      <c r="I3899" s="343" t="s">
        <v>1880</v>
      </c>
      <c r="J3899" s="343" t="s">
        <v>757</v>
      </c>
      <c r="K3899" s="343" t="s">
        <v>741</v>
      </c>
      <c r="L3899" s="344">
        <v>44165</v>
      </c>
      <c r="M3899" s="347">
        <v>0</v>
      </c>
    </row>
    <row r="3900" spans="1:13" hidden="1" x14ac:dyDescent="0.25">
      <c r="A3900" s="344">
        <v>44165</v>
      </c>
      <c r="B3900" s="343" t="s">
        <v>1906</v>
      </c>
      <c r="C3900" s="343" t="s">
        <v>1060</v>
      </c>
      <c r="D3900" s="345">
        <v>6</v>
      </c>
      <c r="E3900" s="346">
        <v>-249.96</v>
      </c>
      <c r="F3900" s="346">
        <v>10336.629999999999</v>
      </c>
      <c r="G3900" s="343" t="s">
        <v>2106</v>
      </c>
      <c r="H3900" s="343" t="s">
        <v>2109</v>
      </c>
      <c r="I3900" s="343" t="s">
        <v>1880</v>
      </c>
      <c r="J3900" s="343" t="s">
        <v>757</v>
      </c>
      <c r="K3900" s="343" t="s">
        <v>741</v>
      </c>
      <c r="L3900" s="344">
        <v>44165</v>
      </c>
      <c r="M3900" s="347">
        <v>0</v>
      </c>
    </row>
    <row r="3901" spans="1:13" hidden="1" x14ac:dyDescent="0.25">
      <c r="A3901" s="344">
        <v>44165</v>
      </c>
      <c r="B3901" s="343" t="s">
        <v>1962</v>
      </c>
      <c r="C3901" s="343" t="s">
        <v>1059</v>
      </c>
      <c r="D3901" s="345">
        <v>6</v>
      </c>
      <c r="E3901" s="346">
        <v>-161.55000000000001</v>
      </c>
      <c r="F3901" s="346">
        <v>10175.08</v>
      </c>
      <c r="G3901" s="343" t="s">
        <v>1963</v>
      </c>
      <c r="H3901" s="343" t="s">
        <v>2109</v>
      </c>
      <c r="I3901" s="343" t="s">
        <v>1880</v>
      </c>
      <c r="J3901" s="343" t="s">
        <v>757</v>
      </c>
      <c r="K3901" s="343" t="s">
        <v>741</v>
      </c>
      <c r="L3901" s="344">
        <v>44165</v>
      </c>
      <c r="M3901" s="347">
        <v>0</v>
      </c>
    </row>
    <row r="3902" spans="1:13" hidden="1" x14ac:dyDescent="0.25">
      <c r="A3902" s="344">
        <v>44187</v>
      </c>
      <c r="B3902" s="343" t="s">
        <v>1966</v>
      </c>
      <c r="C3902" s="343" t="s">
        <v>1059</v>
      </c>
      <c r="D3902" s="345">
        <v>6</v>
      </c>
      <c r="E3902" s="346">
        <v>-96.93</v>
      </c>
      <c r="F3902" s="346">
        <v>10078.15</v>
      </c>
      <c r="G3902" s="343" t="s">
        <v>1967</v>
      </c>
      <c r="H3902" s="343" t="s">
        <v>2109</v>
      </c>
      <c r="I3902" s="343" t="s">
        <v>1880</v>
      </c>
      <c r="J3902" s="343" t="s">
        <v>757</v>
      </c>
      <c r="K3902" s="343" t="s">
        <v>741</v>
      </c>
      <c r="L3902" s="344">
        <v>44187</v>
      </c>
      <c r="M3902" s="347">
        <v>0</v>
      </c>
    </row>
    <row r="3903" spans="1:13" hidden="1" x14ac:dyDescent="0.25">
      <c r="A3903" s="344">
        <v>44203</v>
      </c>
      <c r="B3903" s="343" t="s">
        <v>1970</v>
      </c>
      <c r="C3903" s="343" t="s">
        <v>1059</v>
      </c>
      <c r="D3903" s="345">
        <v>7</v>
      </c>
      <c r="E3903" s="346">
        <v>-129.24</v>
      </c>
      <c r="F3903" s="346">
        <v>9948.9100000000399</v>
      </c>
      <c r="G3903" s="343" t="s">
        <v>1971</v>
      </c>
      <c r="H3903" s="343" t="s">
        <v>2109</v>
      </c>
      <c r="I3903" s="343" t="s">
        <v>1880</v>
      </c>
      <c r="J3903" s="343" t="s">
        <v>757</v>
      </c>
      <c r="K3903" s="343" t="s">
        <v>741</v>
      </c>
      <c r="L3903" s="344">
        <v>44203</v>
      </c>
      <c r="M3903" s="347">
        <v>0</v>
      </c>
    </row>
    <row r="3904" spans="1:13" hidden="1" x14ac:dyDescent="0.25">
      <c r="A3904" s="344">
        <v>44218</v>
      </c>
      <c r="B3904" s="343" t="s">
        <v>1972</v>
      </c>
      <c r="C3904" s="343" t="s">
        <v>1059</v>
      </c>
      <c r="D3904" s="345">
        <v>7</v>
      </c>
      <c r="E3904" s="346">
        <v>-96.93</v>
      </c>
      <c r="F3904" s="346">
        <v>9851.9800000000396</v>
      </c>
      <c r="G3904" s="343" t="s">
        <v>1973</v>
      </c>
      <c r="H3904" s="343" t="s">
        <v>2109</v>
      </c>
      <c r="I3904" s="343" t="s">
        <v>1880</v>
      </c>
      <c r="J3904" s="343" t="s">
        <v>757</v>
      </c>
      <c r="K3904" s="343" t="s">
        <v>741</v>
      </c>
      <c r="L3904" s="344">
        <v>44218</v>
      </c>
      <c r="M3904" s="347">
        <v>0</v>
      </c>
    </row>
    <row r="3905" spans="1:13" hidden="1" x14ac:dyDescent="0.25">
      <c r="A3905" s="344">
        <v>44227</v>
      </c>
      <c r="B3905" s="343" t="s">
        <v>1974</v>
      </c>
      <c r="C3905" s="343" t="s">
        <v>1059</v>
      </c>
      <c r="D3905" s="345">
        <v>8</v>
      </c>
      <c r="E3905" s="346">
        <v>-96.93</v>
      </c>
      <c r="F3905" s="346">
        <v>9755.0500000000393</v>
      </c>
      <c r="G3905" s="343" t="s">
        <v>1975</v>
      </c>
      <c r="H3905" s="343" t="s">
        <v>2109</v>
      </c>
      <c r="I3905" s="343" t="s">
        <v>1880</v>
      </c>
      <c r="J3905" s="343" t="s">
        <v>757</v>
      </c>
      <c r="K3905" s="343" t="s">
        <v>741</v>
      </c>
      <c r="L3905" s="344">
        <v>44227</v>
      </c>
      <c r="M3905" s="347">
        <v>0</v>
      </c>
    </row>
    <row r="3906" spans="1:13" hidden="1" x14ac:dyDescent="0.25">
      <c r="A3906" s="344">
        <v>44244</v>
      </c>
      <c r="B3906" s="343" t="s">
        <v>1978</v>
      </c>
      <c r="C3906" s="343" t="s">
        <v>1059</v>
      </c>
      <c r="D3906" s="345">
        <v>8</v>
      </c>
      <c r="E3906" s="346">
        <v>-96.93</v>
      </c>
      <c r="F3906" s="346">
        <v>9658.1200000000408</v>
      </c>
      <c r="G3906" s="343" t="s">
        <v>1979</v>
      </c>
      <c r="H3906" s="343" t="s">
        <v>2109</v>
      </c>
      <c r="I3906" s="343" t="s">
        <v>1880</v>
      </c>
      <c r="J3906" s="343" t="s">
        <v>757</v>
      </c>
      <c r="K3906" s="343" t="s">
        <v>741</v>
      </c>
      <c r="L3906" s="344">
        <v>44244</v>
      </c>
      <c r="M3906" s="347">
        <v>0</v>
      </c>
    </row>
    <row r="3907" spans="1:13" hidden="1" x14ac:dyDescent="0.25">
      <c r="A3907" s="344">
        <v>44259</v>
      </c>
      <c r="B3907" s="343" t="s">
        <v>1939</v>
      </c>
      <c r="C3907" s="343" t="s">
        <v>1059</v>
      </c>
      <c r="D3907" s="345">
        <v>9</v>
      </c>
      <c r="E3907" s="346">
        <v>-129.24</v>
      </c>
      <c r="F3907" s="346">
        <v>9528.8800000000392</v>
      </c>
      <c r="G3907" s="343" t="s">
        <v>1940</v>
      </c>
      <c r="H3907" s="343" t="s">
        <v>2109</v>
      </c>
      <c r="I3907" s="343" t="s">
        <v>1880</v>
      </c>
      <c r="J3907" s="343" t="s">
        <v>757</v>
      </c>
      <c r="K3907" s="343" t="s">
        <v>741</v>
      </c>
      <c r="L3907" s="344">
        <v>44259</v>
      </c>
      <c r="M3907" s="347">
        <v>0</v>
      </c>
    </row>
    <row r="3908" spans="1:13" hidden="1" x14ac:dyDescent="0.25">
      <c r="A3908" s="344">
        <v>44272</v>
      </c>
      <c r="B3908" s="343" t="s">
        <v>1982</v>
      </c>
      <c r="C3908" s="343" t="s">
        <v>1059</v>
      </c>
      <c r="D3908" s="345">
        <v>9</v>
      </c>
      <c r="E3908" s="346">
        <v>-96.93</v>
      </c>
      <c r="F3908" s="346">
        <v>9431.9500000000407</v>
      </c>
      <c r="G3908" s="343" t="s">
        <v>1983</v>
      </c>
      <c r="H3908" s="343" t="s">
        <v>2109</v>
      </c>
      <c r="I3908" s="343" t="s">
        <v>1880</v>
      </c>
      <c r="J3908" s="343" t="s">
        <v>757</v>
      </c>
      <c r="K3908" s="343" t="s">
        <v>741</v>
      </c>
      <c r="L3908" s="344">
        <v>44272</v>
      </c>
      <c r="M3908" s="347">
        <v>0</v>
      </c>
    </row>
    <row r="3909" spans="1:13" hidden="1" x14ac:dyDescent="0.25">
      <c r="A3909" s="344">
        <v>44286</v>
      </c>
      <c r="B3909" s="343" t="s">
        <v>1918</v>
      </c>
      <c r="C3909" s="343" t="s">
        <v>1059</v>
      </c>
      <c r="D3909" s="345">
        <v>9</v>
      </c>
      <c r="E3909" s="346">
        <v>-64.62</v>
      </c>
      <c r="F3909" s="346">
        <v>9367.3300000000399</v>
      </c>
      <c r="G3909" s="343" t="s">
        <v>1919</v>
      </c>
      <c r="H3909" s="343" t="s">
        <v>2109</v>
      </c>
      <c r="I3909" s="343" t="s">
        <v>1880</v>
      </c>
      <c r="J3909" s="343" t="s">
        <v>757</v>
      </c>
      <c r="K3909" s="343" t="s">
        <v>741</v>
      </c>
      <c r="L3909" s="344">
        <v>44286</v>
      </c>
      <c r="M3909" s="347">
        <v>0</v>
      </c>
    </row>
    <row r="3910" spans="1:13" hidden="1" x14ac:dyDescent="0.25">
      <c r="A3910" s="344">
        <v>44315</v>
      </c>
      <c r="B3910" s="343" t="s">
        <v>1920</v>
      </c>
      <c r="C3910" s="343" t="s">
        <v>1059</v>
      </c>
      <c r="D3910" s="345">
        <v>10</v>
      </c>
      <c r="E3910" s="346">
        <v>-64.62</v>
      </c>
      <c r="F3910" s="346">
        <v>9302.7100000000391</v>
      </c>
      <c r="G3910" s="343" t="s">
        <v>1921</v>
      </c>
      <c r="H3910" s="343" t="s">
        <v>2109</v>
      </c>
      <c r="I3910" s="343" t="s">
        <v>1880</v>
      </c>
      <c r="J3910" s="343" t="s">
        <v>757</v>
      </c>
      <c r="K3910" s="343" t="s">
        <v>741</v>
      </c>
      <c r="L3910" s="344">
        <v>44315</v>
      </c>
      <c r="M3910" s="347">
        <v>0</v>
      </c>
    </row>
    <row r="3911" spans="1:13" hidden="1" x14ac:dyDescent="0.25">
      <c r="A3911" s="344">
        <v>44327</v>
      </c>
      <c r="B3911" s="343" t="s">
        <v>1924</v>
      </c>
      <c r="C3911" s="343" t="s">
        <v>1059</v>
      </c>
      <c r="D3911" s="345">
        <v>10</v>
      </c>
      <c r="E3911" s="346">
        <v>-64.62</v>
      </c>
      <c r="F3911" s="346">
        <v>9238.0900000000402</v>
      </c>
      <c r="G3911" s="343" t="s">
        <v>1923</v>
      </c>
      <c r="H3911" s="343" t="s">
        <v>2109</v>
      </c>
      <c r="I3911" s="343" t="s">
        <v>1880</v>
      </c>
      <c r="J3911" s="343" t="s">
        <v>757</v>
      </c>
      <c r="K3911" s="343" t="s">
        <v>741</v>
      </c>
      <c r="L3911" s="344">
        <v>44327</v>
      </c>
      <c r="M3911" s="347">
        <v>0</v>
      </c>
    </row>
    <row r="3912" spans="1:13" hidden="1" x14ac:dyDescent="0.25">
      <c r="A3912" s="344">
        <v>44327</v>
      </c>
      <c r="B3912" s="343" t="s">
        <v>1922</v>
      </c>
      <c r="C3912" s="343" t="s">
        <v>1059</v>
      </c>
      <c r="D3912" s="345">
        <v>10</v>
      </c>
      <c r="E3912" s="346">
        <v>64.62</v>
      </c>
      <c r="F3912" s="346">
        <v>9302.7100000000391</v>
      </c>
      <c r="G3912" s="343" t="s">
        <v>1923</v>
      </c>
      <c r="H3912" s="343" t="s">
        <v>2109</v>
      </c>
      <c r="I3912" s="343" t="s">
        <v>1880</v>
      </c>
      <c r="J3912" s="343" t="s">
        <v>757</v>
      </c>
      <c r="K3912" s="343" t="s">
        <v>741</v>
      </c>
      <c r="L3912" s="344">
        <v>44327</v>
      </c>
      <c r="M3912" s="347">
        <v>0</v>
      </c>
    </row>
    <row r="3913" spans="1:13" hidden="1" x14ac:dyDescent="0.25">
      <c r="A3913" s="344">
        <v>44047</v>
      </c>
      <c r="B3913" s="343" t="s">
        <v>2086</v>
      </c>
      <c r="C3913" s="343" t="s">
        <v>769</v>
      </c>
      <c r="D3913" s="345">
        <v>2</v>
      </c>
      <c r="E3913" s="346">
        <v>181.82</v>
      </c>
      <c r="F3913" s="346">
        <v>9419.9100000000399</v>
      </c>
      <c r="G3913" s="343" t="s">
        <v>2087</v>
      </c>
      <c r="H3913" s="343" t="s">
        <v>2114</v>
      </c>
      <c r="I3913" s="343" t="s">
        <v>1880</v>
      </c>
      <c r="J3913" s="343" t="s">
        <v>757</v>
      </c>
      <c r="K3913" s="343" t="s">
        <v>770</v>
      </c>
      <c r="L3913" s="344">
        <v>44047</v>
      </c>
      <c r="M3913" s="347">
        <v>0</v>
      </c>
    </row>
    <row r="3914" spans="1:13" hidden="1" x14ac:dyDescent="0.25">
      <c r="A3914" s="344">
        <v>44047</v>
      </c>
      <c r="B3914" s="343" t="s">
        <v>2083</v>
      </c>
      <c r="C3914" s="343" t="s">
        <v>769</v>
      </c>
      <c r="D3914" s="345">
        <v>2</v>
      </c>
      <c r="E3914" s="346">
        <v>181.82</v>
      </c>
      <c r="F3914" s="346">
        <v>9601.7300000000396</v>
      </c>
      <c r="G3914" s="343" t="s">
        <v>2084</v>
      </c>
      <c r="H3914" s="343" t="s">
        <v>2114</v>
      </c>
      <c r="I3914" s="343" t="s">
        <v>1880</v>
      </c>
      <c r="J3914" s="343" t="s">
        <v>757</v>
      </c>
      <c r="K3914" s="343" t="s">
        <v>770</v>
      </c>
      <c r="L3914" s="344">
        <v>44047</v>
      </c>
      <c r="M3914" s="347">
        <v>0</v>
      </c>
    </row>
    <row r="3915" spans="1:13" hidden="1" x14ac:dyDescent="0.25">
      <c r="A3915" s="344">
        <v>44048</v>
      </c>
      <c r="B3915" s="343" t="s">
        <v>2040</v>
      </c>
      <c r="C3915" s="343" t="s">
        <v>769</v>
      </c>
      <c r="D3915" s="345">
        <v>2</v>
      </c>
      <c r="E3915" s="346">
        <v>1350.14</v>
      </c>
      <c r="F3915" s="346">
        <v>10951.87</v>
      </c>
      <c r="G3915" s="343" t="s">
        <v>2041</v>
      </c>
      <c r="H3915" s="343" t="s">
        <v>2114</v>
      </c>
      <c r="I3915" s="343" t="s">
        <v>1880</v>
      </c>
      <c r="J3915" s="343" t="s">
        <v>757</v>
      </c>
      <c r="K3915" s="343" t="s">
        <v>770</v>
      </c>
      <c r="L3915" s="344">
        <v>44048</v>
      </c>
      <c r="M3915" s="347">
        <v>0</v>
      </c>
    </row>
    <row r="3916" spans="1:13" hidden="1" x14ac:dyDescent="0.25">
      <c r="A3916" s="344">
        <v>44048</v>
      </c>
      <c r="B3916" s="343" t="s">
        <v>2042</v>
      </c>
      <c r="C3916" s="343" t="s">
        <v>769</v>
      </c>
      <c r="D3916" s="345">
        <v>2</v>
      </c>
      <c r="E3916" s="346">
        <v>1350.14</v>
      </c>
      <c r="F3916" s="346">
        <v>12302.01</v>
      </c>
      <c r="G3916" s="343" t="s">
        <v>2043</v>
      </c>
      <c r="H3916" s="343" t="s">
        <v>2114</v>
      </c>
      <c r="I3916" s="343" t="s">
        <v>1880</v>
      </c>
      <c r="J3916" s="343" t="s">
        <v>757</v>
      </c>
      <c r="K3916" s="343" t="s">
        <v>770</v>
      </c>
      <c r="L3916" s="344">
        <v>44048</v>
      </c>
      <c r="M3916" s="347">
        <v>0</v>
      </c>
    </row>
    <row r="3917" spans="1:13" hidden="1" x14ac:dyDescent="0.25">
      <c r="A3917" s="344">
        <v>44048</v>
      </c>
      <c r="B3917" s="343" t="s">
        <v>2035</v>
      </c>
      <c r="C3917" s="343" t="s">
        <v>936</v>
      </c>
      <c r="D3917" s="345">
        <v>2</v>
      </c>
      <c r="E3917" s="346">
        <v>-1350.14</v>
      </c>
      <c r="F3917" s="346">
        <v>10951.87</v>
      </c>
      <c r="G3917" s="343" t="s">
        <v>2036</v>
      </c>
      <c r="H3917" s="343" t="s">
        <v>2114</v>
      </c>
      <c r="I3917" s="343" t="s">
        <v>1880</v>
      </c>
      <c r="J3917" s="343" t="s">
        <v>757</v>
      </c>
      <c r="K3917" s="343" t="s">
        <v>770</v>
      </c>
      <c r="L3917" s="344">
        <v>43862</v>
      </c>
      <c r="M3917" s="347">
        <v>0</v>
      </c>
    </row>
    <row r="3918" spans="1:13" hidden="1" x14ac:dyDescent="0.25">
      <c r="A3918" s="344">
        <v>44048</v>
      </c>
      <c r="B3918" s="343" t="s">
        <v>2038</v>
      </c>
      <c r="C3918" s="343" t="s">
        <v>936</v>
      </c>
      <c r="D3918" s="345">
        <v>2</v>
      </c>
      <c r="E3918" s="346">
        <v>-1350.14</v>
      </c>
      <c r="F3918" s="346">
        <v>9601.7300000000396</v>
      </c>
      <c r="G3918" s="343" t="s">
        <v>2039</v>
      </c>
      <c r="H3918" s="343" t="s">
        <v>2114</v>
      </c>
      <c r="I3918" s="343" t="s">
        <v>1880</v>
      </c>
      <c r="J3918" s="343" t="s">
        <v>757</v>
      </c>
      <c r="K3918" s="343" t="s">
        <v>770</v>
      </c>
      <c r="L3918" s="344">
        <v>43891</v>
      </c>
      <c r="M3918" s="347">
        <v>0</v>
      </c>
    </row>
    <row r="3919" spans="1:13" hidden="1" x14ac:dyDescent="0.25">
      <c r="A3919" s="344">
        <v>44048</v>
      </c>
      <c r="B3919" s="343" t="s">
        <v>2083</v>
      </c>
      <c r="C3919" s="343" t="s">
        <v>936</v>
      </c>
      <c r="D3919" s="345">
        <v>2</v>
      </c>
      <c r="E3919" s="346">
        <v>-181.82</v>
      </c>
      <c r="F3919" s="346">
        <v>9419.9100000000399</v>
      </c>
      <c r="G3919" s="343" t="s">
        <v>2084</v>
      </c>
      <c r="H3919" s="343" t="s">
        <v>2114</v>
      </c>
      <c r="I3919" s="343" t="s">
        <v>1880</v>
      </c>
      <c r="J3919" s="343" t="s">
        <v>757</v>
      </c>
      <c r="K3919" s="343" t="s">
        <v>770</v>
      </c>
      <c r="L3919" s="344">
        <v>44047</v>
      </c>
      <c r="M3919" s="347">
        <v>0</v>
      </c>
    </row>
    <row r="3920" spans="1:13" hidden="1" x14ac:dyDescent="0.25">
      <c r="A3920" s="344">
        <v>44052</v>
      </c>
      <c r="B3920" s="343" t="s">
        <v>1930</v>
      </c>
      <c r="C3920" s="343" t="s">
        <v>1059</v>
      </c>
      <c r="D3920" s="345">
        <v>2</v>
      </c>
      <c r="E3920" s="346">
        <v>-182</v>
      </c>
      <c r="F3920" s="346">
        <v>9237.9100000000399</v>
      </c>
      <c r="G3920" s="343" t="s">
        <v>1931</v>
      </c>
      <c r="H3920" s="343" t="s">
        <v>2114</v>
      </c>
      <c r="I3920" s="343" t="s">
        <v>1880</v>
      </c>
      <c r="J3920" s="343" t="s">
        <v>757</v>
      </c>
      <c r="K3920" s="343" t="s">
        <v>741</v>
      </c>
      <c r="L3920" s="344">
        <v>44052</v>
      </c>
      <c r="M3920" s="347">
        <v>0</v>
      </c>
    </row>
    <row r="3921" spans="1:13" hidden="1" x14ac:dyDescent="0.25">
      <c r="A3921" s="344">
        <v>44062</v>
      </c>
      <c r="B3921" s="343" t="s">
        <v>1932</v>
      </c>
      <c r="C3921" s="343" t="s">
        <v>1059</v>
      </c>
      <c r="D3921" s="345">
        <v>2</v>
      </c>
      <c r="E3921" s="346">
        <v>-113.75</v>
      </c>
      <c r="F3921" s="346">
        <v>9124.1600000000399</v>
      </c>
      <c r="G3921" s="343" t="s">
        <v>1933</v>
      </c>
      <c r="H3921" s="343" t="s">
        <v>2114</v>
      </c>
      <c r="I3921" s="343" t="s">
        <v>1880</v>
      </c>
      <c r="J3921" s="343" t="s">
        <v>757</v>
      </c>
      <c r="K3921" s="343" t="s">
        <v>741</v>
      </c>
      <c r="L3921" s="344">
        <v>44062</v>
      </c>
      <c r="M3921" s="347">
        <v>0</v>
      </c>
    </row>
    <row r="3922" spans="1:13" hidden="1" x14ac:dyDescent="0.25">
      <c r="A3922" s="344">
        <v>44064</v>
      </c>
      <c r="B3922" s="343" t="s">
        <v>2092</v>
      </c>
      <c r="C3922" s="343" t="s">
        <v>769</v>
      </c>
      <c r="D3922" s="345">
        <v>2</v>
      </c>
      <c r="E3922" s="346">
        <v>101.01</v>
      </c>
      <c r="F3922" s="346">
        <v>9225.1700000000401</v>
      </c>
      <c r="G3922" s="343" t="s">
        <v>2093</v>
      </c>
      <c r="H3922" s="343" t="s">
        <v>2114</v>
      </c>
      <c r="I3922" s="343" t="s">
        <v>1880</v>
      </c>
      <c r="J3922" s="343" t="s">
        <v>757</v>
      </c>
      <c r="K3922" s="343" t="s">
        <v>770</v>
      </c>
      <c r="L3922" s="344">
        <v>44064</v>
      </c>
      <c r="M3922" s="347">
        <v>0</v>
      </c>
    </row>
    <row r="3923" spans="1:13" hidden="1" x14ac:dyDescent="0.25">
      <c r="A3923" s="344">
        <v>44064</v>
      </c>
      <c r="B3923" s="343" t="s">
        <v>2094</v>
      </c>
      <c r="C3923" s="343" t="s">
        <v>769</v>
      </c>
      <c r="D3923" s="345">
        <v>2</v>
      </c>
      <c r="E3923" s="346">
        <v>101.01</v>
      </c>
      <c r="F3923" s="346">
        <v>9326.1800000000403</v>
      </c>
      <c r="G3923" s="343" t="s">
        <v>2095</v>
      </c>
      <c r="H3923" s="343" t="s">
        <v>2114</v>
      </c>
      <c r="I3923" s="343" t="s">
        <v>1880</v>
      </c>
      <c r="J3923" s="343" t="s">
        <v>757</v>
      </c>
      <c r="K3923" s="343" t="s">
        <v>770</v>
      </c>
      <c r="L3923" s="344">
        <v>44064</v>
      </c>
      <c r="M3923" s="347">
        <v>0</v>
      </c>
    </row>
    <row r="3924" spans="1:13" hidden="1" x14ac:dyDescent="0.25">
      <c r="A3924" s="344">
        <v>44064</v>
      </c>
      <c r="B3924" s="343" t="s">
        <v>2092</v>
      </c>
      <c r="C3924" s="343" t="s">
        <v>936</v>
      </c>
      <c r="D3924" s="345">
        <v>2</v>
      </c>
      <c r="E3924" s="346">
        <v>-101.01</v>
      </c>
      <c r="F3924" s="346">
        <v>9225.1700000000401</v>
      </c>
      <c r="G3924" s="343" t="s">
        <v>2093</v>
      </c>
      <c r="H3924" s="343" t="s">
        <v>2114</v>
      </c>
      <c r="I3924" s="343" t="s">
        <v>1880</v>
      </c>
      <c r="J3924" s="343" t="s">
        <v>757</v>
      </c>
      <c r="K3924" s="343" t="s">
        <v>770</v>
      </c>
      <c r="L3924" s="344">
        <v>44064</v>
      </c>
      <c r="M3924" s="347">
        <v>0</v>
      </c>
    </row>
    <row r="3925" spans="1:13" hidden="1" x14ac:dyDescent="0.25">
      <c r="A3925" s="344">
        <v>44077</v>
      </c>
      <c r="B3925" s="343" t="s">
        <v>2096</v>
      </c>
      <c r="C3925" s="343" t="s">
        <v>769</v>
      </c>
      <c r="D3925" s="345">
        <v>3</v>
      </c>
      <c r="E3925" s="346">
        <v>75.75</v>
      </c>
      <c r="F3925" s="346">
        <v>9300.9200000000401</v>
      </c>
      <c r="G3925" s="343" t="s">
        <v>2097</v>
      </c>
      <c r="H3925" s="343" t="s">
        <v>2114</v>
      </c>
      <c r="I3925" s="343" t="s">
        <v>1880</v>
      </c>
      <c r="J3925" s="343" t="s">
        <v>757</v>
      </c>
      <c r="K3925" s="343" t="s">
        <v>770</v>
      </c>
      <c r="L3925" s="344">
        <v>44077</v>
      </c>
      <c r="M3925" s="347">
        <v>0</v>
      </c>
    </row>
    <row r="3926" spans="1:13" hidden="1" x14ac:dyDescent="0.25">
      <c r="A3926" s="344">
        <v>44083</v>
      </c>
      <c r="B3926" s="343" t="s">
        <v>1948</v>
      </c>
      <c r="C3926" s="343" t="s">
        <v>1059</v>
      </c>
      <c r="D3926" s="345">
        <v>3</v>
      </c>
      <c r="E3926" s="346">
        <v>-122.85</v>
      </c>
      <c r="F3926" s="346">
        <v>9178.0700000000397</v>
      </c>
      <c r="G3926" s="343" t="s">
        <v>1949</v>
      </c>
      <c r="H3926" s="343" t="s">
        <v>2114</v>
      </c>
      <c r="I3926" s="343" t="s">
        <v>1880</v>
      </c>
      <c r="J3926" s="343" t="s">
        <v>757</v>
      </c>
      <c r="K3926" s="343" t="s">
        <v>741</v>
      </c>
      <c r="L3926" s="344">
        <v>44083</v>
      </c>
      <c r="M3926" s="347">
        <v>0</v>
      </c>
    </row>
    <row r="3927" spans="1:13" hidden="1" x14ac:dyDescent="0.25">
      <c r="A3927" s="344">
        <v>44090</v>
      </c>
      <c r="B3927" s="343" t="s">
        <v>2098</v>
      </c>
      <c r="C3927" s="343" t="s">
        <v>769</v>
      </c>
      <c r="D3927" s="345">
        <v>3</v>
      </c>
      <c r="E3927" s="346">
        <v>75.75</v>
      </c>
      <c r="F3927" s="346">
        <v>9253.8200000000397</v>
      </c>
      <c r="G3927" s="343" t="s">
        <v>2099</v>
      </c>
      <c r="H3927" s="343" t="s">
        <v>2114</v>
      </c>
      <c r="I3927" s="343" t="s">
        <v>1880</v>
      </c>
      <c r="J3927" s="343" t="s">
        <v>757</v>
      </c>
      <c r="K3927" s="343" t="s">
        <v>770</v>
      </c>
      <c r="L3927" s="344">
        <v>44090</v>
      </c>
      <c r="M3927" s="347">
        <v>0</v>
      </c>
    </row>
    <row r="3928" spans="1:13" hidden="1" x14ac:dyDescent="0.25">
      <c r="A3928" s="344">
        <v>44094</v>
      </c>
      <c r="B3928" s="343" t="s">
        <v>1950</v>
      </c>
      <c r="C3928" s="343" t="s">
        <v>1059</v>
      </c>
      <c r="D3928" s="345">
        <v>3</v>
      </c>
      <c r="E3928" s="346">
        <v>-113.75</v>
      </c>
      <c r="F3928" s="346">
        <v>9140.0700000000397</v>
      </c>
      <c r="G3928" s="343" t="s">
        <v>1951</v>
      </c>
      <c r="H3928" s="343" t="s">
        <v>2114</v>
      </c>
      <c r="I3928" s="343" t="s">
        <v>1880</v>
      </c>
      <c r="J3928" s="343" t="s">
        <v>757</v>
      </c>
      <c r="K3928" s="343" t="s">
        <v>741</v>
      </c>
      <c r="L3928" s="344">
        <v>44094</v>
      </c>
      <c r="M3928" s="347">
        <v>0</v>
      </c>
    </row>
    <row r="3929" spans="1:13" hidden="1" x14ac:dyDescent="0.25">
      <c r="A3929" s="344">
        <v>44099</v>
      </c>
      <c r="B3929" s="343" t="s">
        <v>2100</v>
      </c>
      <c r="C3929" s="343" t="s">
        <v>769</v>
      </c>
      <c r="D3929" s="345">
        <v>3</v>
      </c>
      <c r="E3929" s="346">
        <v>42.61</v>
      </c>
      <c r="F3929" s="346">
        <v>9182.6800000000403</v>
      </c>
      <c r="G3929" s="343" t="s">
        <v>2101</v>
      </c>
      <c r="H3929" s="343" t="s">
        <v>2114</v>
      </c>
      <c r="I3929" s="343" t="s">
        <v>1880</v>
      </c>
      <c r="J3929" s="343" t="s">
        <v>757</v>
      </c>
      <c r="K3929" s="343" t="s">
        <v>770</v>
      </c>
      <c r="L3929" s="344">
        <v>44099</v>
      </c>
      <c r="M3929" s="347">
        <v>0</v>
      </c>
    </row>
    <row r="3930" spans="1:13" hidden="1" x14ac:dyDescent="0.25">
      <c r="A3930" s="344">
        <v>44104</v>
      </c>
      <c r="B3930" s="343" t="s">
        <v>1934</v>
      </c>
      <c r="C3930" s="343" t="s">
        <v>1059</v>
      </c>
      <c r="D3930" s="345">
        <v>3</v>
      </c>
      <c r="E3930" s="346">
        <v>-59.15</v>
      </c>
      <c r="F3930" s="346">
        <v>9123.5300000000407</v>
      </c>
      <c r="G3930" s="343" t="s">
        <v>1935</v>
      </c>
      <c r="H3930" s="343" t="s">
        <v>2114</v>
      </c>
      <c r="I3930" s="343" t="s">
        <v>1880</v>
      </c>
      <c r="J3930" s="343" t="s">
        <v>757</v>
      </c>
      <c r="K3930" s="343" t="s">
        <v>741</v>
      </c>
      <c r="L3930" s="344">
        <v>44104</v>
      </c>
      <c r="M3930" s="347">
        <v>0</v>
      </c>
    </row>
    <row r="3931" spans="1:13" hidden="1" x14ac:dyDescent="0.25">
      <c r="A3931" s="344">
        <v>44104</v>
      </c>
      <c r="B3931" s="343" t="s">
        <v>2066</v>
      </c>
      <c r="C3931" s="343" t="s">
        <v>1060</v>
      </c>
      <c r="D3931" s="345">
        <v>3</v>
      </c>
      <c r="E3931" s="346">
        <v>70</v>
      </c>
      <c r="F3931" s="346">
        <v>9193.5300000000407</v>
      </c>
      <c r="G3931" s="343" t="s">
        <v>2067</v>
      </c>
      <c r="H3931" s="343" t="s">
        <v>2114</v>
      </c>
      <c r="I3931" s="343" t="s">
        <v>1880</v>
      </c>
      <c r="J3931" s="343" t="s">
        <v>757</v>
      </c>
      <c r="K3931" s="343" t="s">
        <v>741</v>
      </c>
      <c r="L3931" s="344">
        <v>44104</v>
      </c>
      <c r="M3931" s="347">
        <v>0</v>
      </c>
    </row>
    <row r="3932" spans="1:13" hidden="1" x14ac:dyDescent="0.25">
      <c r="A3932" s="344">
        <v>44104</v>
      </c>
      <c r="B3932" s="343" t="s">
        <v>2066</v>
      </c>
      <c r="C3932" s="343" t="s">
        <v>1060</v>
      </c>
      <c r="D3932" s="345">
        <v>4</v>
      </c>
      <c r="E3932" s="346">
        <v>-70</v>
      </c>
      <c r="F3932" s="346">
        <v>9123.5300000000407</v>
      </c>
      <c r="G3932" s="343" t="s">
        <v>2067</v>
      </c>
      <c r="H3932" s="343" t="s">
        <v>2114</v>
      </c>
      <c r="I3932" s="343" t="s">
        <v>1880</v>
      </c>
      <c r="J3932" s="343" t="s">
        <v>757</v>
      </c>
      <c r="K3932" s="343" t="s">
        <v>741</v>
      </c>
      <c r="L3932" s="344">
        <v>44104</v>
      </c>
      <c r="M3932" s="347">
        <v>0</v>
      </c>
    </row>
    <row r="3933" spans="1:13" hidden="1" x14ac:dyDescent="0.25">
      <c r="A3933" s="344">
        <v>44120</v>
      </c>
      <c r="B3933" s="343" t="s">
        <v>1936</v>
      </c>
      <c r="C3933" s="343" t="s">
        <v>1059</v>
      </c>
      <c r="D3933" s="345">
        <v>4</v>
      </c>
      <c r="E3933" s="346">
        <v>-258.48</v>
      </c>
      <c r="F3933" s="346">
        <v>8865.0500000000393</v>
      </c>
      <c r="G3933" s="343" t="s">
        <v>1937</v>
      </c>
      <c r="H3933" s="343" t="s">
        <v>2114</v>
      </c>
      <c r="I3933" s="343" t="s">
        <v>1880</v>
      </c>
      <c r="J3933" s="343" t="s">
        <v>757</v>
      </c>
      <c r="K3933" s="343" t="s">
        <v>741</v>
      </c>
      <c r="L3933" s="344">
        <v>44120</v>
      </c>
      <c r="M3933" s="347">
        <v>0</v>
      </c>
    </row>
    <row r="3934" spans="1:13" hidden="1" x14ac:dyDescent="0.25">
      <c r="A3934" s="344">
        <v>44135</v>
      </c>
      <c r="B3934" s="343" t="s">
        <v>1954</v>
      </c>
      <c r="C3934" s="343" t="s">
        <v>1059</v>
      </c>
      <c r="D3934" s="345">
        <v>4</v>
      </c>
      <c r="E3934" s="346">
        <v>-290.79000000000002</v>
      </c>
      <c r="F3934" s="346">
        <v>8574.2600000000402</v>
      </c>
      <c r="G3934" s="343" t="s">
        <v>1955</v>
      </c>
      <c r="H3934" s="343" t="s">
        <v>2114</v>
      </c>
      <c r="I3934" s="343" t="s">
        <v>1880</v>
      </c>
      <c r="J3934" s="343" t="s">
        <v>757</v>
      </c>
      <c r="K3934" s="343" t="s">
        <v>741</v>
      </c>
      <c r="L3934" s="344">
        <v>44135</v>
      </c>
      <c r="M3934" s="347">
        <v>0</v>
      </c>
    </row>
    <row r="3935" spans="1:13" hidden="1" x14ac:dyDescent="0.25">
      <c r="A3935" s="344">
        <v>44135</v>
      </c>
      <c r="B3935" s="343" t="s">
        <v>2068</v>
      </c>
      <c r="C3935" s="343" t="s">
        <v>1060</v>
      </c>
      <c r="D3935" s="345">
        <v>4</v>
      </c>
      <c r="E3935" s="346">
        <v>140</v>
      </c>
      <c r="F3935" s="346">
        <v>8714.2600000000402</v>
      </c>
      <c r="G3935" s="343" t="s">
        <v>2069</v>
      </c>
      <c r="H3935" s="343" t="s">
        <v>2114</v>
      </c>
      <c r="I3935" s="343" t="s">
        <v>1880</v>
      </c>
      <c r="J3935" s="343" t="s">
        <v>757</v>
      </c>
      <c r="K3935" s="343" t="s">
        <v>741</v>
      </c>
      <c r="L3935" s="344">
        <v>44135</v>
      </c>
      <c r="M3935" s="347">
        <v>0</v>
      </c>
    </row>
    <row r="3936" spans="1:13" hidden="1" x14ac:dyDescent="0.25">
      <c r="A3936" s="344">
        <v>44039</v>
      </c>
      <c r="B3936" s="343" t="s">
        <v>2102</v>
      </c>
      <c r="C3936" s="343" t="s">
        <v>769</v>
      </c>
      <c r="D3936" s="345">
        <v>5</v>
      </c>
      <c r="E3936" s="346">
        <v>129.87</v>
      </c>
      <c r="F3936" s="346">
        <v>8844.1300000000392</v>
      </c>
      <c r="G3936" s="343" t="s">
        <v>2103</v>
      </c>
      <c r="H3936" s="343" t="s">
        <v>2114</v>
      </c>
      <c r="I3936" s="343" t="s">
        <v>1880</v>
      </c>
      <c r="J3936" s="343" t="s">
        <v>757</v>
      </c>
      <c r="K3936" s="343" t="s">
        <v>770</v>
      </c>
      <c r="L3936" s="344">
        <v>44039</v>
      </c>
      <c r="M3936" s="347">
        <v>0</v>
      </c>
    </row>
    <row r="3937" spans="1:13" hidden="1" x14ac:dyDescent="0.25">
      <c r="A3937" s="344">
        <v>44039</v>
      </c>
      <c r="B3937" s="343" t="s">
        <v>2104</v>
      </c>
      <c r="C3937" s="343" t="s">
        <v>769</v>
      </c>
      <c r="D3937" s="345">
        <v>5</v>
      </c>
      <c r="E3937" s="346">
        <v>64.94</v>
      </c>
      <c r="F3937" s="346">
        <v>8909.0700000000397</v>
      </c>
      <c r="G3937" s="343" t="s">
        <v>2105</v>
      </c>
      <c r="H3937" s="343" t="s">
        <v>2114</v>
      </c>
      <c r="I3937" s="343" t="s">
        <v>1880</v>
      </c>
      <c r="J3937" s="343" t="s">
        <v>757</v>
      </c>
      <c r="K3937" s="343" t="s">
        <v>770</v>
      </c>
      <c r="L3937" s="344">
        <v>44039</v>
      </c>
      <c r="M3937" s="347">
        <v>0</v>
      </c>
    </row>
    <row r="3938" spans="1:13" hidden="1" x14ac:dyDescent="0.25">
      <c r="A3938" s="344">
        <v>44135</v>
      </c>
      <c r="B3938" s="343" t="s">
        <v>2068</v>
      </c>
      <c r="C3938" s="343" t="s">
        <v>1060</v>
      </c>
      <c r="D3938" s="345">
        <v>5</v>
      </c>
      <c r="E3938" s="346">
        <v>-140</v>
      </c>
      <c r="F3938" s="346">
        <v>8769.0700000000397</v>
      </c>
      <c r="G3938" s="343" t="s">
        <v>2069</v>
      </c>
      <c r="H3938" s="343" t="s">
        <v>2114</v>
      </c>
      <c r="I3938" s="343" t="s">
        <v>1880</v>
      </c>
      <c r="J3938" s="343" t="s">
        <v>757</v>
      </c>
      <c r="K3938" s="343" t="s">
        <v>741</v>
      </c>
      <c r="L3938" s="344">
        <v>44135</v>
      </c>
      <c r="M3938" s="347">
        <v>0</v>
      </c>
    </row>
    <row r="3939" spans="1:13" hidden="1" x14ac:dyDescent="0.25">
      <c r="A3939" s="344">
        <v>44148</v>
      </c>
      <c r="B3939" s="343" t="s">
        <v>1958</v>
      </c>
      <c r="C3939" s="343" t="s">
        <v>1059</v>
      </c>
      <c r="D3939" s="345">
        <v>5</v>
      </c>
      <c r="E3939" s="346">
        <v>-387.72</v>
      </c>
      <c r="F3939" s="346">
        <v>8381.3500000000404</v>
      </c>
      <c r="G3939" s="343" t="s">
        <v>1959</v>
      </c>
      <c r="H3939" s="343" t="s">
        <v>2114</v>
      </c>
      <c r="I3939" s="343" t="s">
        <v>1880</v>
      </c>
      <c r="J3939" s="343" t="s">
        <v>757</v>
      </c>
      <c r="K3939" s="343" t="s">
        <v>741</v>
      </c>
      <c r="L3939" s="344">
        <v>44148</v>
      </c>
      <c r="M3939" s="347">
        <v>0</v>
      </c>
    </row>
    <row r="3940" spans="1:13" hidden="1" x14ac:dyDescent="0.25">
      <c r="A3940" s="344">
        <v>44160</v>
      </c>
      <c r="B3940" s="343" t="s">
        <v>1960</v>
      </c>
      <c r="C3940" s="343" t="s">
        <v>1059</v>
      </c>
      <c r="D3940" s="345">
        <v>5</v>
      </c>
      <c r="E3940" s="346">
        <v>-387.72</v>
      </c>
      <c r="F3940" s="346">
        <v>7993.6300000000401</v>
      </c>
      <c r="G3940" s="343" t="s">
        <v>1961</v>
      </c>
      <c r="H3940" s="343" t="s">
        <v>2114</v>
      </c>
      <c r="I3940" s="343" t="s">
        <v>1880</v>
      </c>
      <c r="J3940" s="343" t="s">
        <v>757</v>
      </c>
      <c r="K3940" s="343" t="s">
        <v>741</v>
      </c>
      <c r="L3940" s="344">
        <v>44160</v>
      </c>
      <c r="M3940" s="347">
        <v>0</v>
      </c>
    </row>
    <row r="3941" spans="1:13" hidden="1" x14ac:dyDescent="0.25">
      <c r="A3941" s="344">
        <v>44165</v>
      </c>
      <c r="B3941" s="343" t="s">
        <v>1906</v>
      </c>
      <c r="C3941" s="343" t="s">
        <v>1060</v>
      </c>
      <c r="D3941" s="345">
        <v>5</v>
      </c>
      <c r="E3941" s="346">
        <v>1581.21</v>
      </c>
      <c r="F3941" s="346">
        <v>9574.8400000000402</v>
      </c>
      <c r="G3941" s="343" t="s">
        <v>2106</v>
      </c>
      <c r="H3941" s="343" t="s">
        <v>2114</v>
      </c>
      <c r="I3941" s="343" t="s">
        <v>1880</v>
      </c>
      <c r="J3941" s="343" t="s">
        <v>757</v>
      </c>
      <c r="K3941" s="343" t="s">
        <v>741</v>
      </c>
      <c r="L3941" s="344">
        <v>44165</v>
      </c>
      <c r="M3941" s="347">
        <v>0</v>
      </c>
    </row>
    <row r="3942" spans="1:13" hidden="1" x14ac:dyDescent="0.25">
      <c r="A3942" s="344">
        <v>44144</v>
      </c>
      <c r="B3942" s="343" t="s">
        <v>2044</v>
      </c>
      <c r="C3942" s="343" t="s">
        <v>769</v>
      </c>
      <c r="D3942" s="345">
        <v>6</v>
      </c>
      <c r="E3942" s="346">
        <v>280</v>
      </c>
      <c r="F3942" s="346">
        <v>9854.8400000000402</v>
      </c>
      <c r="G3942" s="343" t="s">
        <v>2045</v>
      </c>
      <c r="H3942" s="343" t="s">
        <v>2114</v>
      </c>
      <c r="I3942" s="343" t="s">
        <v>1880</v>
      </c>
      <c r="J3942" s="343" t="s">
        <v>757</v>
      </c>
      <c r="K3942" s="343" t="s">
        <v>770</v>
      </c>
      <c r="L3942" s="344">
        <v>44144</v>
      </c>
      <c r="M3942" s="347">
        <v>0</v>
      </c>
    </row>
    <row r="3943" spans="1:13" hidden="1" x14ac:dyDescent="0.25">
      <c r="A3943" s="344">
        <v>44165</v>
      </c>
      <c r="B3943" s="343" t="s">
        <v>1906</v>
      </c>
      <c r="C3943" s="343" t="s">
        <v>1060</v>
      </c>
      <c r="D3943" s="345">
        <v>6</v>
      </c>
      <c r="E3943" s="346">
        <v>-1581.21</v>
      </c>
      <c r="F3943" s="346">
        <v>8273.6300000000392</v>
      </c>
      <c r="G3943" s="343" t="s">
        <v>2106</v>
      </c>
      <c r="H3943" s="343" t="s">
        <v>2114</v>
      </c>
      <c r="I3943" s="343" t="s">
        <v>1880</v>
      </c>
      <c r="J3943" s="343" t="s">
        <v>757</v>
      </c>
      <c r="K3943" s="343" t="s">
        <v>741</v>
      </c>
      <c r="L3943" s="344">
        <v>44165</v>
      </c>
      <c r="M3943" s="347">
        <v>0</v>
      </c>
    </row>
    <row r="3944" spans="1:13" hidden="1" x14ac:dyDescent="0.25">
      <c r="A3944" s="344">
        <v>44165</v>
      </c>
      <c r="B3944" s="343" t="s">
        <v>1962</v>
      </c>
      <c r="C3944" s="343" t="s">
        <v>1059</v>
      </c>
      <c r="D3944" s="345">
        <v>6</v>
      </c>
      <c r="E3944" s="346">
        <v>-355.41</v>
      </c>
      <c r="F3944" s="346">
        <v>7918.2200000000403</v>
      </c>
      <c r="G3944" s="343" t="s">
        <v>1963</v>
      </c>
      <c r="H3944" s="343" t="s">
        <v>2114</v>
      </c>
      <c r="I3944" s="343" t="s">
        <v>1880</v>
      </c>
      <c r="J3944" s="343" t="s">
        <v>757</v>
      </c>
      <c r="K3944" s="343" t="s">
        <v>741</v>
      </c>
      <c r="L3944" s="344">
        <v>44165</v>
      </c>
      <c r="M3944" s="347">
        <v>0</v>
      </c>
    </row>
    <row r="3945" spans="1:13" hidden="1" x14ac:dyDescent="0.25">
      <c r="A3945" s="344">
        <v>44168</v>
      </c>
      <c r="B3945" s="343" t="s">
        <v>2046</v>
      </c>
      <c r="C3945" s="343" t="s">
        <v>769</v>
      </c>
      <c r="D3945" s="345">
        <v>6</v>
      </c>
      <c r="E3945" s="346">
        <v>280</v>
      </c>
      <c r="F3945" s="346">
        <v>8198.2200000000394</v>
      </c>
      <c r="G3945" s="343" t="s">
        <v>2047</v>
      </c>
      <c r="H3945" s="343" t="s">
        <v>2114</v>
      </c>
      <c r="I3945" s="343" t="s">
        <v>1880</v>
      </c>
      <c r="J3945" s="343" t="s">
        <v>757</v>
      </c>
      <c r="K3945" s="343" t="s">
        <v>770</v>
      </c>
      <c r="L3945" s="344">
        <v>44168</v>
      </c>
      <c r="M3945" s="347">
        <v>0</v>
      </c>
    </row>
    <row r="3946" spans="1:13" hidden="1" x14ac:dyDescent="0.25">
      <c r="A3946" s="344">
        <v>44187</v>
      </c>
      <c r="B3946" s="343" t="s">
        <v>1966</v>
      </c>
      <c r="C3946" s="343" t="s">
        <v>1059</v>
      </c>
      <c r="D3946" s="345">
        <v>6</v>
      </c>
      <c r="E3946" s="346">
        <v>-355.41</v>
      </c>
      <c r="F3946" s="346">
        <v>7842.8100000000404</v>
      </c>
      <c r="G3946" s="343" t="s">
        <v>1967</v>
      </c>
      <c r="H3946" s="343" t="s">
        <v>2114</v>
      </c>
      <c r="I3946" s="343" t="s">
        <v>1880</v>
      </c>
      <c r="J3946" s="343" t="s">
        <v>757</v>
      </c>
      <c r="K3946" s="343" t="s">
        <v>741</v>
      </c>
      <c r="L3946" s="344">
        <v>44187</v>
      </c>
      <c r="M3946" s="347">
        <v>0</v>
      </c>
    </row>
    <row r="3947" spans="1:13" hidden="1" x14ac:dyDescent="0.25">
      <c r="A3947" s="344">
        <v>44196</v>
      </c>
      <c r="B3947" s="343" t="s">
        <v>2048</v>
      </c>
      <c r="C3947" s="343" t="s">
        <v>1060</v>
      </c>
      <c r="D3947" s="345">
        <v>6</v>
      </c>
      <c r="E3947" s="346">
        <v>350</v>
      </c>
      <c r="F3947" s="346">
        <v>8192.8100000000395</v>
      </c>
      <c r="G3947" s="343" t="s">
        <v>2049</v>
      </c>
      <c r="H3947" s="343" t="s">
        <v>2114</v>
      </c>
      <c r="I3947" s="343" t="s">
        <v>1880</v>
      </c>
      <c r="J3947" s="343" t="s">
        <v>757</v>
      </c>
      <c r="K3947" s="343" t="s">
        <v>741</v>
      </c>
      <c r="L3947" s="344">
        <v>44196</v>
      </c>
      <c r="M3947" s="347">
        <v>0</v>
      </c>
    </row>
    <row r="3948" spans="1:13" hidden="1" x14ac:dyDescent="0.25">
      <c r="A3948" s="344">
        <v>44196</v>
      </c>
      <c r="B3948" s="343" t="s">
        <v>2048</v>
      </c>
      <c r="C3948" s="343" t="s">
        <v>1060</v>
      </c>
      <c r="D3948" s="345">
        <v>7</v>
      </c>
      <c r="E3948" s="346">
        <v>-350</v>
      </c>
      <c r="F3948" s="346">
        <v>7842.8100000000404</v>
      </c>
      <c r="G3948" s="343" t="s">
        <v>2049</v>
      </c>
      <c r="H3948" s="343" t="s">
        <v>2114</v>
      </c>
      <c r="I3948" s="343" t="s">
        <v>1880</v>
      </c>
      <c r="J3948" s="343" t="s">
        <v>757</v>
      </c>
      <c r="K3948" s="343" t="s">
        <v>741</v>
      </c>
      <c r="L3948" s="344">
        <v>44196</v>
      </c>
      <c r="M3948" s="347">
        <v>0</v>
      </c>
    </row>
    <row r="3949" spans="1:13" hidden="1" x14ac:dyDescent="0.25">
      <c r="A3949" s="344">
        <v>44196</v>
      </c>
      <c r="B3949" s="343" t="s">
        <v>2050</v>
      </c>
      <c r="C3949" s="343" t="s">
        <v>769</v>
      </c>
      <c r="D3949" s="345">
        <v>7</v>
      </c>
      <c r="E3949" s="346">
        <v>280</v>
      </c>
      <c r="F3949" s="346">
        <v>8122.8100000000404</v>
      </c>
      <c r="G3949" s="343" t="s">
        <v>2051</v>
      </c>
      <c r="H3949" s="343" t="s">
        <v>2114</v>
      </c>
      <c r="I3949" s="343" t="s">
        <v>1880</v>
      </c>
      <c r="J3949" s="343" t="s">
        <v>757</v>
      </c>
      <c r="K3949" s="343" t="s">
        <v>770</v>
      </c>
      <c r="L3949" s="344">
        <v>44196</v>
      </c>
      <c r="M3949" s="347">
        <v>0</v>
      </c>
    </row>
    <row r="3950" spans="1:13" hidden="1" x14ac:dyDescent="0.25">
      <c r="A3950" s="344">
        <v>44203</v>
      </c>
      <c r="B3950" s="343" t="s">
        <v>1970</v>
      </c>
      <c r="C3950" s="343" t="s">
        <v>1059</v>
      </c>
      <c r="D3950" s="345">
        <v>7</v>
      </c>
      <c r="E3950" s="346">
        <v>-258.48</v>
      </c>
      <c r="F3950" s="346">
        <v>7864.3300000000399</v>
      </c>
      <c r="G3950" s="343" t="s">
        <v>1971</v>
      </c>
      <c r="H3950" s="343" t="s">
        <v>2114</v>
      </c>
      <c r="I3950" s="343" t="s">
        <v>1880</v>
      </c>
      <c r="J3950" s="343" t="s">
        <v>757</v>
      </c>
      <c r="K3950" s="343" t="s">
        <v>741</v>
      </c>
      <c r="L3950" s="344">
        <v>44203</v>
      </c>
      <c r="M3950" s="347">
        <v>0</v>
      </c>
    </row>
    <row r="3951" spans="1:13" hidden="1" x14ac:dyDescent="0.25">
      <c r="A3951" s="344">
        <v>44218</v>
      </c>
      <c r="B3951" s="343" t="s">
        <v>1972</v>
      </c>
      <c r="C3951" s="343" t="s">
        <v>1059</v>
      </c>
      <c r="D3951" s="345">
        <v>7</v>
      </c>
      <c r="E3951" s="346">
        <v>-355.41</v>
      </c>
      <c r="F3951" s="346">
        <v>7508.9200000000401</v>
      </c>
      <c r="G3951" s="343" t="s">
        <v>1973</v>
      </c>
      <c r="H3951" s="343" t="s">
        <v>2114</v>
      </c>
      <c r="I3951" s="343" t="s">
        <v>1880</v>
      </c>
      <c r="J3951" s="343" t="s">
        <v>757</v>
      </c>
      <c r="K3951" s="343" t="s">
        <v>741</v>
      </c>
      <c r="L3951" s="344">
        <v>44218</v>
      </c>
      <c r="M3951" s="347">
        <v>0</v>
      </c>
    </row>
    <row r="3952" spans="1:13" hidden="1" x14ac:dyDescent="0.25">
      <c r="A3952" s="344">
        <v>44227</v>
      </c>
      <c r="B3952" s="343" t="s">
        <v>2052</v>
      </c>
      <c r="C3952" s="343" t="s">
        <v>1060</v>
      </c>
      <c r="D3952" s="345">
        <v>7</v>
      </c>
      <c r="E3952" s="346">
        <v>350</v>
      </c>
      <c r="F3952" s="346">
        <v>7858.9200000000401</v>
      </c>
      <c r="G3952" s="343" t="s">
        <v>2053</v>
      </c>
      <c r="H3952" s="343" t="s">
        <v>2114</v>
      </c>
      <c r="I3952" s="343" t="s">
        <v>1880</v>
      </c>
      <c r="J3952" s="343" t="s">
        <v>757</v>
      </c>
      <c r="K3952" s="343" t="s">
        <v>741</v>
      </c>
      <c r="L3952" s="344">
        <v>44227</v>
      </c>
      <c r="M3952" s="347">
        <v>0</v>
      </c>
    </row>
    <row r="3953" spans="1:13" hidden="1" x14ac:dyDescent="0.25">
      <c r="A3953" s="344">
        <v>44227</v>
      </c>
      <c r="B3953" s="343" t="s">
        <v>2052</v>
      </c>
      <c r="C3953" s="343" t="s">
        <v>1060</v>
      </c>
      <c r="D3953" s="345">
        <v>8</v>
      </c>
      <c r="E3953" s="346">
        <v>-350</v>
      </c>
      <c r="F3953" s="346">
        <v>7508.9200000000401</v>
      </c>
      <c r="G3953" s="343" t="s">
        <v>2053</v>
      </c>
      <c r="H3953" s="343" t="s">
        <v>2114</v>
      </c>
      <c r="I3953" s="343" t="s">
        <v>1880</v>
      </c>
      <c r="J3953" s="343" t="s">
        <v>757</v>
      </c>
      <c r="K3953" s="343" t="s">
        <v>741</v>
      </c>
      <c r="L3953" s="344">
        <v>44227</v>
      </c>
      <c r="M3953" s="347">
        <v>0</v>
      </c>
    </row>
    <row r="3954" spans="1:13" hidden="1" x14ac:dyDescent="0.25">
      <c r="A3954" s="344">
        <v>44227</v>
      </c>
      <c r="B3954" s="343" t="s">
        <v>1974</v>
      </c>
      <c r="C3954" s="343" t="s">
        <v>1059</v>
      </c>
      <c r="D3954" s="345">
        <v>8</v>
      </c>
      <c r="E3954" s="346">
        <v>-290.79000000000002</v>
      </c>
      <c r="F3954" s="346">
        <v>7218.1300000000401</v>
      </c>
      <c r="G3954" s="343" t="s">
        <v>1975</v>
      </c>
      <c r="H3954" s="343" t="s">
        <v>2114</v>
      </c>
      <c r="I3954" s="343" t="s">
        <v>1880</v>
      </c>
      <c r="J3954" s="343" t="s">
        <v>757</v>
      </c>
      <c r="K3954" s="343" t="s">
        <v>741</v>
      </c>
      <c r="L3954" s="344">
        <v>44227</v>
      </c>
      <c r="M3954" s="347">
        <v>0</v>
      </c>
    </row>
    <row r="3955" spans="1:13" hidden="1" x14ac:dyDescent="0.25">
      <c r="A3955" s="344">
        <v>44228</v>
      </c>
      <c r="B3955" s="343" t="s">
        <v>2054</v>
      </c>
      <c r="C3955" s="343" t="s">
        <v>769</v>
      </c>
      <c r="D3955" s="345">
        <v>8</v>
      </c>
      <c r="E3955" s="346">
        <v>210</v>
      </c>
      <c r="F3955" s="346">
        <v>7428.1300000000401</v>
      </c>
      <c r="G3955" s="343" t="s">
        <v>2055</v>
      </c>
      <c r="H3955" s="343" t="s">
        <v>2114</v>
      </c>
      <c r="I3955" s="343" t="s">
        <v>1880</v>
      </c>
      <c r="J3955" s="343" t="s">
        <v>757</v>
      </c>
      <c r="K3955" s="343" t="s">
        <v>770</v>
      </c>
      <c r="L3955" s="344">
        <v>44228</v>
      </c>
      <c r="M3955" s="347">
        <v>0</v>
      </c>
    </row>
    <row r="3956" spans="1:13" hidden="1" x14ac:dyDescent="0.25">
      <c r="A3956" s="344">
        <v>44244</v>
      </c>
      <c r="B3956" s="343" t="s">
        <v>1978</v>
      </c>
      <c r="C3956" s="343" t="s">
        <v>1059</v>
      </c>
      <c r="D3956" s="345">
        <v>8</v>
      </c>
      <c r="E3956" s="346">
        <v>-258.48</v>
      </c>
      <c r="F3956" s="346">
        <v>7169.6500000000397</v>
      </c>
      <c r="G3956" s="343" t="s">
        <v>1979</v>
      </c>
      <c r="H3956" s="343" t="s">
        <v>2114</v>
      </c>
      <c r="I3956" s="343" t="s">
        <v>1880</v>
      </c>
      <c r="J3956" s="343" t="s">
        <v>757</v>
      </c>
      <c r="K3956" s="343" t="s">
        <v>741</v>
      </c>
      <c r="L3956" s="344">
        <v>44244</v>
      </c>
      <c r="M3956" s="347">
        <v>0</v>
      </c>
    </row>
    <row r="3957" spans="1:13" hidden="1" x14ac:dyDescent="0.25">
      <c r="A3957" s="344">
        <v>44255</v>
      </c>
      <c r="B3957" s="343" t="s">
        <v>2056</v>
      </c>
      <c r="C3957" s="343" t="s">
        <v>1060</v>
      </c>
      <c r="D3957" s="345">
        <v>8</v>
      </c>
      <c r="E3957" s="346">
        <v>280</v>
      </c>
      <c r="F3957" s="346">
        <v>7449.6500000000397</v>
      </c>
      <c r="G3957" s="343" t="s">
        <v>2057</v>
      </c>
      <c r="H3957" s="343" t="s">
        <v>2114</v>
      </c>
      <c r="I3957" s="343" t="s">
        <v>1880</v>
      </c>
      <c r="J3957" s="343" t="s">
        <v>757</v>
      </c>
      <c r="K3957" s="343" t="s">
        <v>741</v>
      </c>
      <c r="L3957" s="344">
        <v>44255</v>
      </c>
      <c r="M3957" s="347">
        <v>0</v>
      </c>
    </row>
    <row r="3958" spans="1:13" hidden="1" x14ac:dyDescent="0.25">
      <c r="A3958" s="344">
        <v>44255</v>
      </c>
      <c r="B3958" s="343" t="s">
        <v>2056</v>
      </c>
      <c r="C3958" s="343" t="s">
        <v>1060</v>
      </c>
      <c r="D3958" s="345">
        <v>9</v>
      </c>
      <c r="E3958" s="346">
        <v>-280</v>
      </c>
      <c r="F3958" s="346">
        <v>7169.6500000000397</v>
      </c>
      <c r="G3958" s="343" t="s">
        <v>2057</v>
      </c>
      <c r="H3958" s="343" t="s">
        <v>2114</v>
      </c>
      <c r="I3958" s="343" t="s">
        <v>1880</v>
      </c>
      <c r="J3958" s="343" t="s">
        <v>757</v>
      </c>
      <c r="K3958" s="343" t="s">
        <v>741</v>
      </c>
      <c r="L3958" s="344">
        <v>44255</v>
      </c>
      <c r="M3958" s="347">
        <v>0</v>
      </c>
    </row>
    <row r="3959" spans="1:13" hidden="1" x14ac:dyDescent="0.25">
      <c r="A3959" s="344">
        <v>44255</v>
      </c>
      <c r="B3959" s="343" t="s">
        <v>2058</v>
      </c>
      <c r="C3959" s="343" t="s">
        <v>769</v>
      </c>
      <c r="D3959" s="345">
        <v>9</v>
      </c>
      <c r="E3959" s="346">
        <v>210</v>
      </c>
      <c r="F3959" s="346">
        <v>7379.6500000000397</v>
      </c>
      <c r="G3959" s="343" t="s">
        <v>2059</v>
      </c>
      <c r="H3959" s="343" t="s">
        <v>2114</v>
      </c>
      <c r="I3959" s="343" t="s">
        <v>1880</v>
      </c>
      <c r="J3959" s="343" t="s">
        <v>757</v>
      </c>
      <c r="K3959" s="343" t="s">
        <v>770</v>
      </c>
      <c r="L3959" s="344">
        <v>44255</v>
      </c>
      <c r="M3959" s="347">
        <v>0</v>
      </c>
    </row>
    <row r="3960" spans="1:13" hidden="1" x14ac:dyDescent="0.25">
      <c r="A3960" s="344">
        <v>44259</v>
      </c>
      <c r="B3960" s="343" t="s">
        <v>1939</v>
      </c>
      <c r="C3960" s="343" t="s">
        <v>1059</v>
      </c>
      <c r="D3960" s="345">
        <v>9</v>
      </c>
      <c r="E3960" s="346">
        <v>-258.48</v>
      </c>
      <c r="F3960" s="346">
        <v>7121.1700000000401</v>
      </c>
      <c r="G3960" s="343" t="s">
        <v>1940</v>
      </c>
      <c r="H3960" s="343" t="s">
        <v>2114</v>
      </c>
      <c r="I3960" s="343" t="s">
        <v>1880</v>
      </c>
      <c r="J3960" s="343" t="s">
        <v>757</v>
      </c>
      <c r="K3960" s="343" t="s">
        <v>741</v>
      </c>
      <c r="L3960" s="344">
        <v>44259</v>
      </c>
      <c r="M3960" s="347">
        <v>0</v>
      </c>
    </row>
    <row r="3961" spans="1:13" hidden="1" x14ac:dyDescent="0.25">
      <c r="A3961" s="344">
        <v>44272</v>
      </c>
      <c r="B3961" s="343" t="s">
        <v>1982</v>
      </c>
      <c r="C3961" s="343" t="s">
        <v>1059</v>
      </c>
      <c r="D3961" s="345">
        <v>9</v>
      </c>
      <c r="E3961" s="346">
        <v>-226.17</v>
      </c>
      <c r="F3961" s="346">
        <v>6895.00000000004</v>
      </c>
      <c r="G3961" s="343" t="s">
        <v>1983</v>
      </c>
      <c r="H3961" s="343" t="s">
        <v>2114</v>
      </c>
      <c r="I3961" s="343" t="s">
        <v>1880</v>
      </c>
      <c r="J3961" s="343" t="s">
        <v>757</v>
      </c>
      <c r="K3961" s="343" t="s">
        <v>741</v>
      </c>
      <c r="L3961" s="344">
        <v>44272</v>
      </c>
      <c r="M3961" s="347">
        <v>0</v>
      </c>
    </row>
    <row r="3962" spans="1:13" hidden="1" x14ac:dyDescent="0.25">
      <c r="A3962" s="344">
        <v>44286</v>
      </c>
      <c r="B3962" s="343" t="s">
        <v>1918</v>
      </c>
      <c r="C3962" s="343" t="s">
        <v>1059</v>
      </c>
      <c r="D3962" s="345">
        <v>9</v>
      </c>
      <c r="E3962" s="346">
        <v>-193.86</v>
      </c>
      <c r="F3962" s="346">
        <v>6701.1400000000503</v>
      </c>
      <c r="G3962" s="343" t="s">
        <v>1919</v>
      </c>
      <c r="H3962" s="343" t="s">
        <v>2114</v>
      </c>
      <c r="I3962" s="343" t="s">
        <v>1880</v>
      </c>
      <c r="J3962" s="343" t="s">
        <v>757</v>
      </c>
      <c r="K3962" s="343" t="s">
        <v>741</v>
      </c>
      <c r="L3962" s="344">
        <v>44286</v>
      </c>
      <c r="M3962" s="347">
        <v>0</v>
      </c>
    </row>
    <row r="3963" spans="1:13" hidden="1" x14ac:dyDescent="0.25">
      <c r="A3963" s="344">
        <v>44286</v>
      </c>
      <c r="B3963" s="343" t="s">
        <v>2060</v>
      </c>
      <c r="C3963" s="343" t="s">
        <v>1060</v>
      </c>
      <c r="D3963" s="345">
        <v>9</v>
      </c>
      <c r="E3963" s="346">
        <v>210</v>
      </c>
      <c r="F3963" s="346">
        <v>6911.1400000000503</v>
      </c>
      <c r="G3963" s="343" t="s">
        <v>2061</v>
      </c>
      <c r="H3963" s="343" t="s">
        <v>2114</v>
      </c>
      <c r="I3963" s="343" t="s">
        <v>1880</v>
      </c>
      <c r="J3963" s="343" t="s">
        <v>757</v>
      </c>
      <c r="K3963" s="343" t="s">
        <v>741</v>
      </c>
      <c r="L3963" s="344">
        <v>44286</v>
      </c>
      <c r="M3963" s="347">
        <v>0</v>
      </c>
    </row>
    <row r="3964" spans="1:13" hidden="1" x14ac:dyDescent="0.25">
      <c r="A3964" s="344">
        <v>44286</v>
      </c>
      <c r="B3964" s="343" t="s">
        <v>2060</v>
      </c>
      <c r="C3964" s="343" t="s">
        <v>1060</v>
      </c>
      <c r="D3964" s="345">
        <v>10</v>
      </c>
      <c r="E3964" s="346">
        <v>-210</v>
      </c>
      <c r="F3964" s="346">
        <v>6701.1400000000503</v>
      </c>
      <c r="G3964" s="343" t="s">
        <v>2061</v>
      </c>
      <c r="H3964" s="343" t="s">
        <v>2114</v>
      </c>
      <c r="I3964" s="343" t="s">
        <v>1880</v>
      </c>
      <c r="J3964" s="343" t="s">
        <v>757</v>
      </c>
      <c r="K3964" s="343" t="s">
        <v>741</v>
      </c>
      <c r="L3964" s="344">
        <v>44286</v>
      </c>
      <c r="M3964" s="347">
        <v>0</v>
      </c>
    </row>
    <row r="3965" spans="1:13" hidden="1" x14ac:dyDescent="0.25">
      <c r="A3965" s="344">
        <v>44301</v>
      </c>
      <c r="B3965" s="343" t="s">
        <v>1889</v>
      </c>
      <c r="C3965" s="343" t="s">
        <v>1059</v>
      </c>
      <c r="D3965" s="345">
        <v>10</v>
      </c>
      <c r="E3965" s="346">
        <v>-258.48</v>
      </c>
      <c r="F3965" s="346">
        <v>6442.6600000000399</v>
      </c>
      <c r="G3965" s="343" t="s">
        <v>1890</v>
      </c>
      <c r="H3965" s="343" t="s">
        <v>2114</v>
      </c>
      <c r="I3965" s="343" t="s">
        <v>1880</v>
      </c>
      <c r="J3965" s="343" t="s">
        <v>757</v>
      </c>
      <c r="K3965" s="343" t="s">
        <v>741</v>
      </c>
      <c r="L3965" s="344">
        <v>44301</v>
      </c>
      <c r="M3965" s="347">
        <v>0</v>
      </c>
    </row>
    <row r="3966" spans="1:13" hidden="1" x14ac:dyDescent="0.25">
      <c r="A3966" s="344">
        <v>44315</v>
      </c>
      <c r="B3966" s="343" t="s">
        <v>1920</v>
      </c>
      <c r="C3966" s="343" t="s">
        <v>1059</v>
      </c>
      <c r="D3966" s="345">
        <v>10</v>
      </c>
      <c r="E3966" s="346">
        <v>-193.86</v>
      </c>
      <c r="F3966" s="346">
        <v>6248.8000000000502</v>
      </c>
      <c r="G3966" s="343" t="s">
        <v>1921</v>
      </c>
      <c r="H3966" s="343" t="s">
        <v>2114</v>
      </c>
      <c r="I3966" s="343" t="s">
        <v>1880</v>
      </c>
      <c r="J3966" s="343" t="s">
        <v>757</v>
      </c>
      <c r="K3966" s="343" t="s">
        <v>741</v>
      </c>
      <c r="L3966" s="344">
        <v>44315</v>
      </c>
      <c r="M3966" s="347">
        <v>0</v>
      </c>
    </row>
    <row r="3967" spans="1:13" hidden="1" x14ac:dyDescent="0.25">
      <c r="A3967" s="344">
        <v>44316</v>
      </c>
      <c r="B3967" s="343" t="s">
        <v>1078</v>
      </c>
      <c r="C3967" s="343" t="s">
        <v>1060</v>
      </c>
      <c r="D3967" s="345">
        <v>10</v>
      </c>
      <c r="E3967" s="346">
        <v>210</v>
      </c>
      <c r="F3967" s="346">
        <v>6458.8000000000502</v>
      </c>
      <c r="G3967" s="343" t="s">
        <v>2064</v>
      </c>
      <c r="H3967" s="343" t="s">
        <v>2114</v>
      </c>
      <c r="I3967" s="343" t="s">
        <v>1880</v>
      </c>
      <c r="J3967" s="343" t="s">
        <v>757</v>
      </c>
      <c r="K3967" s="343" t="s">
        <v>741</v>
      </c>
      <c r="L3967" s="344">
        <v>44316</v>
      </c>
      <c r="M3967" s="347">
        <v>0</v>
      </c>
    </row>
    <row r="3968" spans="1:13" hidden="1" x14ac:dyDescent="0.25">
      <c r="A3968" s="344">
        <v>44327</v>
      </c>
      <c r="B3968" s="343" t="s">
        <v>1924</v>
      </c>
      <c r="C3968" s="343" t="s">
        <v>1059</v>
      </c>
      <c r="D3968" s="345">
        <v>10</v>
      </c>
      <c r="E3968" s="346">
        <v>-161.55000000000001</v>
      </c>
      <c r="F3968" s="346">
        <v>6297.25000000004</v>
      </c>
      <c r="G3968" s="343" t="s">
        <v>1923</v>
      </c>
      <c r="H3968" s="343" t="s">
        <v>2114</v>
      </c>
      <c r="I3968" s="343" t="s">
        <v>1880</v>
      </c>
      <c r="J3968" s="343" t="s">
        <v>757</v>
      </c>
      <c r="K3968" s="343" t="s">
        <v>741</v>
      </c>
      <c r="L3968" s="344">
        <v>44327</v>
      </c>
      <c r="M3968" s="347">
        <v>0</v>
      </c>
    </row>
    <row r="3969" spans="1:13" hidden="1" x14ac:dyDescent="0.25">
      <c r="A3969" s="344">
        <v>44327</v>
      </c>
      <c r="B3969" s="343" t="s">
        <v>1922</v>
      </c>
      <c r="C3969" s="343" t="s">
        <v>1059</v>
      </c>
      <c r="D3969" s="345">
        <v>10</v>
      </c>
      <c r="E3969" s="346">
        <v>161.55000000000001</v>
      </c>
      <c r="F3969" s="346">
        <v>6458.8000000000502</v>
      </c>
      <c r="G3969" s="343" t="s">
        <v>1923</v>
      </c>
      <c r="H3969" s="343" t="s">
        <v>2114</v>
      </c>
      <c r="I3969" s="343" t="s">
        <v>1880</v>
      </c>
      <c r="J3969" s="343" t="s">
        <v>757</v>
      </c>
      <c r="K3969" s="343" t="s">
        <v>741</v>
      </c>
      <c r="L3969" s="344">
        <v>44327</v>
      </c>
      <c r="M3969" s="347">
        <v>0</v>
      </c>
    </row>
    <row r="3970" spans="1:13" hidden="1" x14ac:dyDescent="0.25">
      <c r="A3970" s="344">
        <v>44047</v>
      </c>
      <c r="B3970" s="343" t="s">
        <v>2083</v>
      </c>
      <c r="C3970" s="343" t="s">
        <v>769</v>
      </c>
      <c r="D3970" s="345">
        <v>2</v>
      </c>
      <c r="E3970" s="346">
        <v>181.82</v>
      </c>
      <c r="F3970" s="346">
        <v>6269.0700000000397</v>
      </c>
      <c r="G3970" s="343" t="s">
        <v>2084</v>
      </c>
      <c r="H3970" s="343" t="s">
        <v>2115</v>
      </c>
      <c r="I3970" s="343" t="s">
        <v>1880</v>
      </c>
      <c r="J3970" s="343" t="s">
        <v>757</v>
      </c>
      <c r="K3970" s="343" t="s">
        <v>770</v>
      </c>
      <c r="L3970" s="344">
        <v>44047</v>
      </c>
      <c r="M3970" s="347">
        <v>0</v>
      </c>
    </row>
    <row r="3971" spans="1:13" hidden="1" x14ac:dyDescent="0.25">
      <c r="A3971" s="344">
        <v>44047</v>
      </c>
      <c r="B3971" s="343" t="s">
        <v>2086</v>
      </c>
      <c r="C3971" s="343" t="s">
        <v>769</v>
      </c>
      <c r="D3971" s="345">
        <v>2</v>
      </c>
      <c r="E3971" s="346">
        <v>181.82</v>
      </c>
      <c r="F3971" s="346">
        <v>6450.8900000000403</v>
      </c>
      <c r="G3971" s="343" t="s">
        <v>2087</v>
      </c>
      <c r="H3971" s="343" t="s">
        <v>2115</v>
      </c>
      <c r="I3971" s="343" t="s">
        <v>1880</v>
      </c>
      <c r="J3971" s="343" t="s">
        <v>757</v>
      </c>
      <c r="K3971" s="343" t="s">
        <v>770</v>
      </c>
      <c r="L3971" s="344">
        <v>44047</v>
      </c>
      <c r="M3971" s="347">
        <v>0</v>
      </c>
    </row>
    <row r="3972" spans="1:13" hidden="1" x14ac:dyDescent="0.25">
      <c r="A3972" s="344">
        <v>44048</v>
      </c>
      <c r="B3972" s="343" t="s">
        <v>2035</v>
      </c>
      <c r="C3972" s="343" t="s">
        <v>936</v>
      </c>
      <c r="D3972" s="345">
        <v>2</v>
      </c>
      <c r="E3972" s="346">
        <v>-71.06</v>
      </c>
      <c r="F3972" s="346">
        <v>6379.8300000000399</v>
      </c>
      <c r="G3972" s="343" t="s">
        <v>2036</v>
      </c>
      <c r="H3972" s="343" t="s">
        <v>2115</v>
      </c>
      <c r="I3972" s="343" t="s">
        <v>1880</v>
      </c>
      <c r="J3972" s="343" t="s">
        <v>757</v>
      </c>
      <c r="K3972" s="343" t="s">
        <v>770</v>
      </c>
      <c r="L3972" s="344">
        <v>43862</v>
      </c>
      <c r="M3972" s="347">
        <v>0</v>
      </c>
    </row>
    <row r="3973" spans="1:13" hidden="1" x14ac:dyDescent="0.25">
      <c r="A3973" s="344">
        <v>44048</v>
      </c>
      <c r="B3973" s="343" t="s">
        <v>2038</v>
      </c>
      <c r="C3973" s="343" t="s">
        <v>936</v>
      </c>
      <c r="D3973" s="345">
        <v>2</v>
      </c>
      <c r="E3973" s="346">
        <v>-71.06</v>
      </c>
      <c r="F3973" s="346">
        <v>6308.7700000000405</v>
      </c>
      <c r="G3973" s="343" t="s">
        <v>2039</v>
      </c>
      <c r="H3973" s="343" t="s">
        <v>2115</v>
      </c>
      <c r="I3973" s="343" t="s">
        <v>1880</v>
      </c>
      <c r="J3973" s="343" t="s">
        <v>757</v>
      </c>
      <c r="K3973" s="343" t="s">
        <v>770</v>
      </c>
      <c r="L3973" s="344">
        <v>43891</v>
      </c>
      <c r="M3973" s="347">
        <v>0</v>
      </c>
    </row>
    <row r="3974" spans="1:13" hidden="1" x14ac:dyDescent="0.25">
      <c r="A3974" s="344">
        <v>44048</v>
      </c>
      <c r="B3974" s="343" t="s">
        <v>2083</v>
      </c>
      <c r="C3974" s="343" t="s">
        <v>936</v>
      </c>
      <c r="D3974" s="345">
        <v>2</v>
      </c>
      <c r="E3974" s="346">
        <v>-181.82</v>
      </c>
      <c r="F3974" s="346">
        <v>6126.9500000000398</v>
      </c>
      <c r="G3974" s="343" t="s">
        <v>2084</v>
      </c>
      <c r="H3974" s="343" t="s">
        <v>2115</v>
      </c>
      <c r="I3974" s="343" t="s">
        <v>1880</v>
      </c>
      <c r="J3974" s="343" t="s">
        <v>757</v>
      </c>
      <c r="K3974" s="343" t="s">
        <v>770</v>
      </c>
      <c r="L3974" s="344">
        <v>44047</v>
      </c>
      <c r="M3974" s="347">
        <v>0</v>
      </c>
    </row>
    <row r="3975" spans="1:13" hidden="1" x14ac:dyDescent="0.25">
      <c r="A3975" s="344">
        <v>44048</v>
      </c>
      <c r="B3975" s="343" t="s">
        <v>2040</v>
      </c>
      <c r="C3975" s="343" t="s">
        <v>769</v>
      </c>
      <c r="D3975" s="345">
        <v>2</v>
      </c>
      <c r="E3975" s="346">
        <v>71.06</v>
      </c>
      <c r="F3975" s="346">
        <v>6198.0100000000402</v>
      </c>
      <c r="G3975" s="343" t="s">
        <v>2041</v>
      </c>
      <c r="H3975" s="343" t="s">
        <v>2115</v>
      </c>
      <c r="I3975" s="343" t="s">
        <v>1880</v>
      </c>
      <c r="J3975" s="343" t="s">
        <v>757</v>
      </c>
      <c r="K3975" s="343" t="s">
        <v>770</v>
      </c>
      <c r="L3975" s="344">
        <v>44048</v>
      </c>
      <c r="M3975" s="347">
        <v>0</v>
      </c>
    </row>
    <row r="3976" spans="1:13" hidden="1" x14ac:dyDescent="0.25">
      <c r="A3976" s="344">
        <v>44048</v>
      </c>
      <c r="B3976" s="343" t="s">
        <v>2042</v>
      </c>
      <c r="C3976" s="343" t="s">
        <v>769</v>
      </c>
      <c r="D3976" s="345">
        <v>2</v>
      </c>
      <c r="E3976" s="346">
        <v>71.06</v>
      </c>
      <c r="F3976" s="346">
        <v>6269.0700000000397</v>
      </c>
      <c r="G3976" s="343" t="s">
        <v>2043</v>
      </c>
      <c r="H3976" s="343" t="s">
        <v>2115</v>
      </c>
      <c r="I3976" s="343" t="s">
        <v>1880</v>
      </c>
      <c r="J3976" s="343" t="s">
        <v>757</v>
      </c>
      <c r="K3976" s="343" t="s">
        <v>770</v>
      </c>
      <c r="L3976" s="344">
        <v>44048</v>
      </c>
      <c r="M3976" s="347">
        <v>0</v>
      </c>
    </row>
    <row r="3977" spans="1:13" hidden="1" x14ac:dyDescent="0.25">
      <c r="A3977" s="344">
        <v>44052</v>
      </c>
      <c r="B3977" s="343" t="s">
        <v>1930</v>
      </c>
      <c r="C3977" s="343" t="s">
        <v>1059</v>
      </c>
      <c r="D3977" s="345">
        <v>2</v>
      </c>
      <c r="E3977" s="346">
        <v>-104.65</v>
      </c>
      <c r="F3977" s="346">
        <v>6164.4200000000401</v>
      </c>
      <c r="G3977" s="343" t="s">
        <v>1931</v>
      </c>
      <c r="H3977" s="343" t="s">
        <v>2115</v>
      </c>
      <c r="I3977" s="343" t="s">
        <v>1880</v>
      </c>
      <c r="J3977" s="343" t="s">
        <v>757</v>
      </c>
      <c r="K3977" s="343" t="s">
        <v>741</v>
      </c>
      <c r="L3977" s="344">
        <v>44052</v>
      </c>
      <c r="M3977" s="347">
        <v>0</v>
      </c>
    </row>
    <row r="3978" spans="1:13" hidden="1" x14ac:dyDescent="0.25">
      <c r="A3978" s="344">
        <v>44062</v>
      </c>
      <c r="B3978" s="343" t="s">
        <v>1932</v>
      </c>
      <c r="C3978" s="343" t="s">
        <v>1059</v>
      </c>
      <c r="D3978" s="345">
        <v>2</v>
      </c>
      <c r="E3978" s="346">
        <v>-18.2</v>
      </c>
      <c r="F3978" s="346">
        <v>6146.2200000000503</v>
      </c>
      <c r="G3978" s="343" t="s">
        <v>1933</v>
      </c>
      <c r="H3978" s="343" t="s">
        <v>2115</v>
      </c>
      <c r="I3978" s="343" t="s">
        <v>1880</v>
      </c>
      <c r="J3978" s="343" t="s">
        <v>757</v>
      </c>
      <c r="K3978" s="343" t="s">
        <v>741</v>
      </c>
      <c r="L3978" s="344">
        <v>44062</v>
      </c>
      <c r="M3978" s="347">
        <v>0</v>
      </c>
    </row>
    <row r="3979" spans="1:13" hidden="1" x14ac:dyDescent="0.25">
      <c r="A3979" s="344">
        <v>44064</v>
      </c>
      <c r="B3979" s="343" t="s">
        <v>2092</v>
      </c>
      <c r="C3979" s="343" t="s">
        <v>769</v>
      </c>
      <c r="D3979" s="345">
        <v>2</v>
      </c>
      <c r="E3979" s="346">
        <v>101.01</v>
      </c>
      <c r="F3979" s="346">
        <v>6247.2300000000496</v>
      </c>
      <c r="G3979" s="343" t="s">
        <v>2093</v>
      </c>
      <c r="H3979" s="343" t="s">
        <v>2115</v>
      </c>
      <c r="I3979" s="343" t="s">
        <v>1880</v>
      </c>
      <c r="J3979" s="343" t="s">
        <v>757</v>
      </c>
      <c r="K3979" s="343" t="s">
        <v>770</v>
      </c>
      <c r="L3979" s="344">
        <v>44064</v>
      </c>
      <c r="M3979" s="347">
        <v>0</v>
      </c>
    </row>
    <row r="3980" spans="1:13" hidden="1" x14ac:dyDescent="0.25">
      <c r="A3980" s="344">
        <v>44064</v>
      </c>
      <c r="B3980" s="343" t="s">
        <v>2092</v>
      </c>
      <c r="C3980" s="343" t="s">
        <v>936</v>
      </c>
      <c r="D3980" s="345">
        <v>2</v>
      </c>
      <c r="E3980" s="346">
        <v>-101.01</v>
      </c>
      <c r="F3980" s="346">
        <v>6146.2200000000503</v>
      </c>
      <c r="G3980" s="343" t="s">
        <v>2093</v>
      </c>
      <c r="H3980" s="343" t="s">
        <v>2115</v>
      </c>
      <c r="I3980" s="343" t="s">
        <v>1880</v>
      </c>
      <c r="J3980" s="343" t="s">
        <v>757</v>
      </c>
      <c r="K3980" s="343" t="s">
        <v>770</v>
      </c>
      <c r="L3980" s="344">
        <v>44064</v>
      </c>
      <c r="M3980" s="347">
        <v>0</v>
      </c>
    </row>
    <row r="3981" spans="1:13" hidden="1" x14ac:dyDescent="0.25">
      <c r="A3981" s="344">
        <v>44064</v>
      </c>
      <c r="B3981" s="343" t="s">
        <v>2094</v>
      </c>
      <c r="C3981" s="343" t="s">
        <v>769</v>
      </c>
      <c r="D3981" s="345">
        <v>2</v>
      </c>
      <c r="E3981" s="346">
        <v>101.01</v>
      </c>
      <c r="F3981" s="346">
        <v>6247.2300000000496</v>
      </c>
      <c r="G3981" s="343" t="s">
        <v>2095</v>
      </c>
      <c r="H3981" s="343" t="s">
        <v>2115</v>
      </c>
      <c r="I3981" s="343" t="s">
        <v>1880</v>
      </c>
      <c r="J3981" s="343" t="s">
        <v>757</v>
      </c>
      <c r="K3981" s="343" t="s">
        <v>770</v>
      </c>
      <c r="L3981" s="344">
        <v>44064</v>
      </c>
      <c r="M3981" s="347">
        <v>0</v>
      </c>
    </row>
    <row r="3982" spans="1:13" hidden="1" x14ac:dyDescent="0.25">
      <c r="A3982" s="344">
        <v>44077</v>
      </c>
      <c r="B3982" s="343" t="s">
        <v>2096</v>
      </c>
      <c r="C3982" s="343" t="s">
        <v>769</v>
      </c>
      <c r="D3982" s="345">
        <v>3</v>
      </c>
      <c r="E3982" s="346">
        <v>75.75</v>
      </c>
      <c r="F3982" s="346">
        <v>6322.9800000000496</v>
      </c>
      <c r="G3982" s="343" t="s">
        <v>2097</v>
      </c>
      <c r="H3982" s="343" t="s">
        <v>2115</v>
      </c>
      <c r="I3982" s="343" t="s">
        <v>1880</v>
      </c>
      <c r="J3982" s="343" t="s">
        <v>757</v>
      </c>
      <c r="K3982" s="343" t="s">
        <v>770</v>
      </c>
      <c r="L3982" s="344">
        <v>44077</v>
      </c>
      <c r="M3982" s="347">
        <v>0</v>
      </c>
    </row>
    <row r="3983" spans="1:13" hidden="1" x14ac:dyDescent="0.25">
      <c r="A3983" s="344">
        <v>44083</v>
      </c>
      <c r="B3983" s="343" t="s">
        <v>1948</v>
      </c>
      <c r="C3983" s="343" t="s">
        <v>1059</v>
      </c>
      <c r="D3983" s="345">
        <v>3</v>
      </c>
      <c r="E3983" s="346">
        <v>-68.25</v>
      </c>
      <c r="F3983" s="346">
        <v>6254.7300000000496</v>
      </c>
      <c r="G3983" s="343" t="s">
        <v>1949</v>
      </c>
      <c r="H3983" s="343" t="s">
        <v>2115</v>
      </c>
      <c r="I3983" s="343" t="s">
        <v>1880</v>
      </c>
      <c r="J3983" s="343" t="s">
        <v>757</v>
      </c>
      <c r="K3983" s="343" t="s">
        <v>741</v>
      </c>
      <c r="L3983" s="344">
        <v>44083</v>
      </c>
      <c r="M3983" s="347">
        <v>0</v>
      </c>
    </row>
    <row r="3984" spans="1:13" hidden="1" x14ac:dyDescent="0.25">
      <c r="A3984" s="344">
        <v>44090</v>
      </c>
      <c r="B3984" s="343" t="s">
        <v>2098</v>
      </c>
      <c r="C3984" s="343" t="s">
        <v>769</v>
      </c>
      <c r="D3984" s="345">
        <v>3</v>
      </c>
      <c r="E3984" s="346">
        <v>75.75</v>
      </c>
      <c r="F3984" s="346">
        <v>6330.4800000000496</v>
      </c>
      <c r="G3984" s="343" t="s">
        <v>2099</v>
      </c>
      <c r="H3984" s="343" t="s">
        <v>2115</v>
      </c>
      <c r="I3984" s="343" t="s">
        <v>1880</v>
      </c>
      <c r="J3984" s="343" t="s">
        <v>757</v>
      </c>
      <c r="K3984" s="343" t="s">
        <v>770</v>
      </c>
      <c r="L3984" s="344">
        <v>44090</v>
      </c>
      <c r="M3984" s="347">
        <v>0</v>
      </c>
    </row>
    <row r="3985" spans="1:13" hidden="1" x14ac:dyDescent="0.25">
      <c r="A3985" s="344">
        <v>44094</v>
      </c>
      <c r="B3985" s="343" t="s">
        <v>1950</v>
      </c>
      <c r="C3985" s="343" t="s">
        <v>1059</v>
      </c>
      <c r="D3985" s="345">
        <v>3</v>
      </c>
      <c r="E3985" s="346">
        <v>-13.65</v>
      </c>
      <c r="F3985" s="346">
        <v>6316.8300000000499</v>
      </c>
      <c r="G3985" s="343" t="s">
        <v>1951</v>
      </c>
      <c r="H3985" s="343" t="s">
        <v>2115</v>
      </c>
      <c r="I3985" s="343" t="s">
        <v>1880</v>
      </c>
      <c r="J3985" s="343" t="s">
        <v>757</v>
      </c>
      <c r="K3985" s="343" t="s">
        <v>741</v>
      </c>
      <c r="L3985" s="344">
        <v>44094</v>
      </c>
      <c r="M3985" s="347">
        <v>0</v>
      </c>
    </row>
    <row r="3986" spans="1:13" hidden="1" x14ac:dyDescent="0.25">
      <c r="A3986" s="344">
        <v>44099</v>
      </c>
      <c r="B3986" s="343" t="s">
        <v>2100</v>
      </c>
      <c r="C3986" s="343" t="s">
        <v>769</v>
      </c>
      <c r="D3986" s="345">
        <v>3</v>
      </c>
      <c r="E3986" s="346">
        <v>42.61</v>
      </c>
      <c r="F3986" s="346">
        <v>6359.4400000000496</v>
      </c>
      <c r="G3986" s="343" t="s">
        <v>2101</v>
      </c>
      <c r="H3986" s="343" t="s">
        <v>2115</v>
      </c>
      <c r="I3986" s="343" t="s">
        <v>1880</v>
      </c>
      <c r="J3986" s="343" t="s">
        <v>757</v>
      </c>
      <c r="K3986" s="343" t="s">
        <v>770</v>
      </c>
      <c r="L3986" s="344">
        <v>44099</v>
      </c>
      <c r="M3986" s="347">
        <v>0</v>
      </c>
    </row>
    <row r="3987" spans="1:13" hidden="1" x14ac:dyDescent="0.25">
      <c r="A3987" s="344">
        <v>44104</v>
      </c>
      <c r="B3987" s="343" t="s">
        <v>1934</v>
      </c>
      <c r="C3987" s="343" t="s">
        <v>1059</v>
      </c>
      <c r="D3987" s="345">
        <v>3</v>
      </c>
      <c r="E3987" s="346">
        <v>-59.15</v>
      </c>
      <c r="F3987" s="346">
        <v>6300.29000000005</v>
      </c>
      <c r="G3987" s="343" t="s">
        <v>1935</v>
      </c>
      <c r="H3987" s="343" t="s">
        <v>2115</v>
      </c>
      <c r="I3987" s="343" t="s">
        <v>1880</v>
      </c>
      <c r="J3987" s="343" t="s">
        <v>757</v>
      </c>
      <c r="K3987" s="343" t="s">
        <v>741</v>
      </c>
      <c r="L3987" s="344">
        <v>44104</v>
      </c>
      <c r="M3987" s="347">
        <v>0</v>
      </c>
    </row>
    <row r="3988" spans="1:13" hidden="1" x14ac:dyDescent="0.25">
      <c r="A3988" s="344">
        <v>44120</v>
      </c>
      <c r="B3988" s="343" t="s">
        <v>1936</v>
      </c>
      <c r="C3988" s="343" t="s">
        <v>1059</v>
      </c>
      <c r="D3988" s="345">
        <v>4</v>
      </c>
      <c r="E3988" s="346">
        <v>-64.62</v>
      </c>
      <c r="F3988" s="346">
        <v>6235.6700000000501</v>
      </c>
      <c r="G3988" s="343" t="s">
        <v>1937</v>
      </c>
      <c r="H3988" s="343" t="s">
        <v>2115</v>
      </c>
      <c r="I3988" s="343" t="s">
        <v>1880</v>
      </c>
      <c r="J3988" s="343" t="s">
        <v>757</v>
      </c>
      <c r="K3988" s="343" t="s">
        <v>741</v>
      </c>
      <c r="L3988" s="344">
        <v>44120</v>
      </c>
      <c r="M3988" s="347">
        <v>0</v>
      </c>
    </row>
    <row r="3989" spans="1:13" hidden="1" x14ac:dyDescent="0.25">
      <c r="A3989" s="344">
        <v>44135</v>
      </c>
      <c r="B3989" s="343" t="s">
        <v>1954</v>
      </c>
      <c r="C3989" s="343" t="s">
        <v>1059</v>
      </c>
      <c r="D3989" s="345">
        <v>4</v>
      </c>
      <c r="E3989" s="346">
        <v>-96.93</v>
      </c>
      <c r="F3989" s="346">
        <v>6138.7400000000498</v>
      </c>
      <c r="G3989" s="343" t="s">
        <v>1955</v>
      </c>
      <c r="H3989" s="343" t="s">
        <v>2115</v>
      </c>
      <c r="I3989" s="343" t="s">
        <v>1880</v>
      </c>
      <c r="J3989" s="343" t="s">
        <v>757</v>
      </c>
      <c r="K3989" s="343" t="s">
        <v>741</v>
      </c>
      <c r="L3989" s="344">
        <v>44135</v>
      </c>
      <c r="M3989" s="347">
        <v>0</v>
      </c>
    </row>
    <row r="3990" spans="1:13" hidden="1" x14ac:dyDescent="0.25">
      <c r="A3990" s="344">
        <v>44039</v>
      </c>
      <c r="B3990" s="343" t="s">
        <v>2102</v>
      </c>
      <c r="C3990" s="343" t="s">
        <v>769</v>
      </c>
      <c r="D3990" s="345">
        <v>5</v>
      </c>
      <c r="E3990" s="346">
        <v>129.87</v>
      </c>
      <c r="F3990" s="346">
        <v>6268.6100000000497</v>
      </c>
      <c r="G3990" s="343" t="s">
        <v>2103</v>
      </c>
      <c r="H3990" s="343" t="s">
        <v>2115</v>
      </c>
      <c r="I3990" s="343" t="s">
        <v>1880</v>
      </c>
      <c r="J3990" s="343" t="s">
        <v>757</v>
      </c>
      <c r="K3990" s="343" t="s">
        <v>770</v>
      </c>
      <c r="L3990" s="344">
        <v>44039</v>
      </c>
      <c r="M3990" s="347">
        <v>0</v>
      </c>
    </row>
    <row r="3991" spans="1:13" hidden="1" x14ac:dyDescent="0.25">
      <c r="A3991" s="344">
        <v>44039</v>
      </c>
      <c r="B3991" s="343" t="s">
        <v>2104</v>
      </c>
      <c r="C3991" s="343" t="s">
        <v>769</v>
      </c>
      <c r="D3991" s="345">
        <v>5</v>
      </c>
      <c r="E3991" s="346">
        <v>64.94</v>
      </c>
      <c r="F3991" s="346">
        <v>6333.5500000000502</v>
      </c>
      <c r="G3991" s="343" t="s">
        <v>2105</v>
      </c>
      <c r="H3991" s="343" t="s">
        <v>2115</v>
      </c>
      <c r="I3991" s="343" t="s">
        <v>1880</v>
      </c>
      <c r="J3991" s="343" t="s">
        <v>757</v>
      </c>
      <c r="K3991" s="343" t="s">
        <v>770</v>
      </c>
      <c r="L3991" s="344">
        <v>44039</v>
      </c>
      <c r="M3991" s="347">
        <v>0</v>
      </c>
    </row>
    <row r="3992" spans="1:13" hidden="1" x14ac:dyDescent="0.25">
      <c r="A3992" s="344">
        <v>44148</v>
      </c>
      <c r="B3992" s="343" t="s">
        <v>1958</v>
      </c>
      <c r="C3992" s="343" t="s">
        <v>1059</v>
      </c>
      <c r="D3992" s="345">
        <v>5</v>
      </c>
      <c r="E3992" s="346">
        <v>-64.62</v>
      </c>
      <c r="F3992" s="346">
        <v>6268.9300000000503</v>
      </c>
      <c r="G3992" s="343" t="s">
        <v>1959</v>
      </c>
      <c r="H3992" s="343" t="s">
        <v>2115</v>
      </c>
      <c r="I3992" s="343" t="s">
        <v>1880</v>
      </c>
      <c r="J3992" s="343" t="s">
        <v>757</v>
      </c>
      <c r="K3992" s="343" t="s">
        <v>741</v>
      </c>
      <c r="L3992" s="344">
        <v>44148</v>
      </c>
      <c r="M3992" s="347">
        <v>0</v>
      </c>
    </row>
    <row r="3993" spans="1:13" hidden="1" x14ac:dyDescent="0.25">
      <c r="A3993" s="344">
        <v>44160</v>
      </c>
      <c r="B3993" s="343" t="s">
        <v>1960</v>
      </c>
      <c r="C3993" s="343" t="s">
        <v>1059</v>
      </c>
      <c r="D3993" s="345">
        <v>5</v>
      </c>
      <c r="E3993" s="346">
        <v>-96.93</v>
      </c>
      <c r="F3993" s="346">
        <v>6172.00000000004</v>
      </c>
      <c r="G3993" s="343" t="s">
        <v>1961</v>
      </c>
      <c r="H3993" s="343" t="s">
        <v>2115</v>
      </c>
      <c r="I3993" s="343" t="s">
        <v>1880</v>
      </c>
      <c r="J3993" s="343" t="s">
        <v>757</v>
      </c>
      <c r="K3993" s="343" t="s">
        <v>741</v>
      </c>
      <c r="L3993" s="344">
        <v>44160</v>
      </c>
      <c r="M3993" s="347">
        <v>0</v>
      </c>
    </row>
    <row r="3994" spans="1:13" hidden="1" x14ac:dyDescent="0.25">
      <c r="A3994" s="344">
        <v>44165</v>
      </c>
      <c r="B3994" s="343" t="s">
        <v>1906</v>
      </c>
      <c r="C3994" s="343" t="s">
        <v>1060</v>
      </c>
      <c r="D3994" s="345">
        <v>5</v>
      </c>
      <c r="E3994" s="346">
        <v>1903.39</v>
      </c>
      <c r="F3994" s="346">
        <v>8075.3900000000503</v>
      </c>
      <c r="G3994" s="343" t="s">
        <v>2106</v>
      </c>
      <c r="H3994" s="343" t="s">
        <v>2115</v>
      </c>
      <c r="I3994" s="343" t="s">
        <v>1880</v>
      </c>
      <c r="J3994" s="343" t="s">
        <v>757</v>
      </c>
      <c r="K3994" s="343" t="s">
        <v>741</v>
      </c>
      <c r="L3994" s="344">
        <v>44165</v>
      </c>
      <c r="M3994" s="347">
        <v>0</v>
      </c>
    </row>
    <row r="3995" spans="1:13" hidden="1" x14ac:dyDescent="0.25">
      <c r="A3995" s="344">
        <v>44165</v>
      </c>
      <c r="B3995" s="343" t="s">
        <v>1906</v>
      </c>
      <c r="C3995" s="343" t="s">
        <v>1060</v>
      </c>
      <c r="D3995" s="345">
        <v>6</v>
      </c>
      <c r="E3995" s="346">
        <v>-1903.39</v>
      </c>
      <c r="F3995" s="346">
        <v>6172.00000000004</v>
      </c>
      <c r="G3995" s="343" t="s">
        <v>2106</v>
      </c>
      <c r="H3995" s="343" t="s">
        <v>2115</v>
      </c>
      <c r="I3995" s="343" t="s">
        <v>1880</v>
      </c>
      <c r="J3995" s="343" t="s">
        <v>757</v>
      </c>
      <c r="K3995" s="343" t="s">
        <v>741</v>
      </c>
      <c r="L3995" s="344">
        <v>44165</v>
      </c>
      <c r="M3995" s="347">
        <v>0</v>
      </c>
    </row>
    <row r="3996" spans="1:13" hidden="1" x14ac:dyDescent="0.25">
      <c r="A3996" s="344">
        <v>44165</v>
      </c>
      <c r="B3996" s="343" t="s">
        <v>1962</v>
      </c>
      <c r="C3996" s="343" t="s">
        <v>1059</v>
      </c>
      <c r="D3996" s="345">
        <v>6</v>
      </c>
      <c r="E3996" s="346">
        <v>-129.24</v>
      </c>
      <c r="F3996" s="346">
        <v>6042.7600000000502</v>
      </c>
      <c r="G3996" s="343" t="s">
        <v>1963</v>
      </c>
      <c r="H3996" s="343" t="s">
        <v>2115</v>
      </c>
      <c r="I3996" s="343" t="s">
        <v>1880</v>
      </c>
      <c r="J3996" s="343" t="s">
        <v>757</v>
      </c>
      <c r="K3996" s="343" t="s">
        <v>741</v>
      </c>
      <c r="L3996" s="344">
        <v>44165</v>
      </c>
      <c r="M3996" s="347">
        <v>0</v>
      </c>
    </row>
    <row r="3997" spans="1:13" hidden="1" x14ac:dyDescent="0.25">
      <c r="A3997" s="344">
        <v>44187</v>
      </c>
      <c r="B3997" s="343" t="s">
        <v>1966</v>
      </c>
      <c r="C3997" s="343" t="s">
        <v>1059</v>
      </c>
      <c r="D3997" s="345">
        <v>6</v>
      </c>
      <c r="E3997" s="346">
        <v>-129.24</v>
      </c>
      <c r="F3997" s="346">
        <v>5913.5200000000495</v>
      </c>
      <c r="G3997" s="343" t="s">
        <v>1967</v>
      </c>
      <c r="H3997" s="343" t="s">
        <v>2115</v>
      </c>
      <c r="I3997" s="343" t="s">
        <v>1880</v>
      </c>
      <c r="J3997" s="343" t="s">
        <v>757</v>
      </c>
      <c r="K3997" s="343" t="s">
        <v>741</v>
      </c>
      <c r="L3997" s="344">
        <v>44187</v>
      </c>
      <c r="M3997" s="347">
        <v>0</v>
      </c>
    </row>
    <row r="3998" spans="1:13" hidden="1" x14ac:dyDescent="0.25">
      <c r="A3998" s="344">
        <v>44203</v>
      </c>
      <c r="B3998" s="343" t="s">
        <v>1970</v>
      </c>
      <c r="C3998" s="343" t="s">
        <v>1059</v>
      </c>
      <c r="D3998" s="345">
        <v>7</v>
      </c>
      <c r="E3998" s="346">
        <v>-226.17</v>
      </c>
      <c r="F3998" s="346">
        <v>5687.3500000000504</v>
      </c>
      <c r="G3998" s="343" t="s">
        <v>1971</v>
      </c>
      <c r="H3998" s="343" t="s">
        <v>2115</v>
      </c>
      <c r="I3998" s="343" t="s">
        <v>1880</v>
      </c>
      <c r="J3998" s="343" t="s">
        <v>757</v>
      </c>
      <c r="K3998" s="343" t="s">
        <v>741</v>
      </c>
      <c r="L3998" s="344">
        <v>44203</v>
      </c>
      <c r="M3998" s="347">
        <v>0</v>
      </c>
    </row>
    <row r="3999" spans="1:13" hidden="1" x14ac:dyDescent="0.25">
      <c r="A3999" s="344">
        <v>44218</v>
      </c>
      <c r="B3999" s="343" t="s">
        <v>1972</v>
      </c>
      <c r="C3999" s="343" t="s">
        <v>1059</v>
      </c>
      <c r="D3999" s="345">
        <v>7</v>
      </c>
      <c r="E3999" s="346">
        <v>-129.24</v>
      </c>
      <c r="F3999" s="346">
        <v>5558.1100000000497</v>
      </c>
      <c r="G3999" s="343" t="s">
        <v>1973</v>
      </c>
      <c r="H3999" s="343" t="s">
        <v>2115</v>
      </c>
      <c r="I3999" s="343" t="s">
        <v>1880</v>
      </c>
      <c r="J3999" s="343" t="s">
        <v>757</v>
      </c>
      <c r="K3999" s="343" t="s">
        <v>741</v>
      </c>
      <c r="L3999" s="344">
        <v>44218</v>
      </c>
      <c r="M3999" s="347">
        <v>0</v>
      </c>
    </row>
    <row r="4000" spans="1:13" hidden="1" x14ac:dyDescent="0.25">
      <c r="A4000" s="344">
        <v>44227</v>
      </c>
      <c r="B4000" s="343" t="s">
        <v>1974</v>
      </c>
      <c r="C4000" s="343" t="s">
        <v>1059</v>
      </c>
      <c r="D4000" s="345">
        <v>8</v>
      </c>
      <c r="E4000" s="346">
        <v>-196.71</v>
      </c>
      <c r="F4000" s="346">
        <v>5361.4000000000497</v>
      </c>
      <c r="G4000" s="343" t="s">
        <v>1975</v>
      </c>
      <c r="H4000" s="343" t="s">
        <v>2115</v>
      </c>
      <c r="I4000" s="343" t="s">
        <v>1880</v>
      </c>
      <c r="J4000" s="343" t="s">
        <v>757</v>
      </c>
      <c r="K4000" s="343" t="s">
        <v>741</v>
      </c>
      <c r="L4000" s="344">
        <v>44227</v>
      </c>
      <c r="M4000" s="347">
        <v>0</v>
      </c>
    </row>
    <row r="4001" spans="1:13" hidden="1" x14ac:dyDescent="0.25">
      <c r="A4001" s="344">
        <v>44244</v>
      </c>
      <c r="B4001" s="343" t="s">
        <v>1978</v>
      </c>
      <c r="C4001" s="343" t="s">
        <v>1059</v>
      </c>
      <c r="D4001" s="345">
        <v>8</v>
      </c>
      <c r="E4001" s="346">
        <v>-161.55000000000001</v>
      </c>
      <c r="F4001" s="346">
        <v>5199.8500000000504</v>
      </c>
      <c r="G4001" s="343" t="s">
        <v>1979</v>
      </c>
      <c r="H4001" s="343" t="s">
        <v>2115</v>
      </c>
      <c r="I4001" s="343" t="s">
        <v>1880</v>
      </c>
      <c r="J4001" s="343" t="s">
        <v>757</v>
      </c>
      <c r="K4001" s="343" t="s">
        <v>741</v>
      </c>
      <c r="L4001" s="344">
        <v>44244</v>
      </c>
      <c r="M4001" s="347">
        <v>0</v>
      </c>
    </row>
    <row r="4002" spans="1:13" hidden="1" x14ac:dyDescent="0.25">
      <c r="A4002" s="344">
        <v>44259</v>
      </c>
      <c r="B4002" s="343" t="s">
        <v>1939</v>
      </c>
      <c r="C4002" s="343" t="s">
        <v>1059</v>
      </c>
      <c r="D4002" s="345">
        <v>9</v>
      </c>
      <c r="E4002" s="346">
        <v>-161.55000000000001</v>
      </c>
      <c r="F4002" s="346">
        <v>5038.3000000000502</v>
      </c>
      <c r="G4002" s="343" t="s">
        <v>1940</v>
      </c>
      <c r="H4002" s="343" t="s">
        <v>2115</v>
      </c>
      <c r="I4002" s="343" t="s">
        <v>1880</v>
      </c>
      <c r="J4002" s="343" t="s">
        <v>757</v>
      </c>
      <c r="K4002" s="343" t="s">
        <v>741</v>
      </c>
      <c r="L4002" s="344">
        <v>44259</v>
      </c>
      <c r="M4002" s="347">
        <v>0</v>
      </c>
    </row>
    <row r="4003" spans="1:13" hidden="1" x14ac:dyDescent="0.25">
      <c r="A4003" s="344">
        <v>44272</v>
      </c>
      <c r="B4003" s="343" t="s">
        <v>1982</v>
      </c>
      <c r="C4003" s="343" t="s">
        <v>1059</v>
      </c>
      <c r="D4003" s="345">
        <v>9</v>
      </c>
      <c r="E4003" s="346">
        <v>-226.17</v>
      </c>
      <c r="F4003" s="346">
        <v>4812.1300000000501</v>
      </c>
      <c r="G4003" s="343" t="s">
        <v>1983</v>
      </c>
      <c r="H4003" s="343" t="s">
        <v>2115</v>
      </c>
      <c r="I4003" s="343" t="s">
        <v>1880</v>
      </c>
      <c r="J4003" s="343" t="s">
        <v>757</v>
      </c>
      <c r="K4003" s="343" t="s">
        <v>741</v>
      </c>
      <c r="L4003" s="344">
        <v>44272</v>
      </c>
      <c r="M4003" s="347">
        <v>0</v>
      </c>
    </row>
    <row r="4004" spans="1:13" hidden="1" x14ac:dyDescent="0.25">
      <c r="A4004" s="344">
        <v>44286</v>
      </c>
      <c r="B4004" s="343" t="s">
        <v>1918</v>
      </c>
      <c r="C4004" s="343" t="s">
        <v>1059</v>
      </c>
      <c r="D4004" s="345">
        <v>9</v>
      </c>
      <c r="E4004" s="346">
        <v>-226.17</v>
      </c>
      <c r="F4004" s="346">
        <v>4585.9600000000501</v>
      </c>
      <c r="G4004" s="343" t="s">
        <v>1919</v>
      </c>
      <c r="H4004" s="343" t="s">
        <v>2115</v>
      </c>
      <c r="I4004" s="343" t="s">
        <v>1880</v>
      </c>
      <c r="J4004" s="343" t="s">
        <v>757</v>
      </c>
      <c r="K4004" s="343" t="s">
        <v>741</v>
      </c>
      <c r="L4004" s="344">
        <v>44286</v>
      </c>
      <c r="M4004" s="347">
        <v>0</v>
      </c>
    </row>
    <row r="4005" spans="1:13" hidden="1" x14ac:dyDescent="0.25">
      <c r="A4005" s="344">
        <v>44301</v>
      </c>
      <c r="B4005" s="343" t="s">
        <v>1889</v>
      </c>
      <c r="C4005" s="343" t="s">
        <v>1059</v>
      </c>
      <c r="D4005" s="345">
        <v>10</v>
      </c>
      <c r="E4005" s="346">
        <v>-290.79000000000002</v>
      </c>
      <c r="F4005" s="346">
        <v>4295.1700000000501</v>
      </c>
      <c r="G4005" s="343" t="s">
        <v>1890</v>
      </c>
      <c r="H4005" s="343" t="s">
        <v>2115</v>
      </c>
      <c r="I4005" s="343" t="s">
        <v>1880</v>
      </c>
      <c r="J4005" s="343" t="s">
        <v>757</v>
      </c>
      <c r="K4005" s="343" t="s">
        <v>741</v>
      </c>
      <c r="L4005" s="344">
        <v>44301</v>
      </c>
      <c r="M4005" s="347">
        <v>0</v>
      </c>
    </row>
    <row r="4006" spans="1:13" hidden="1" x14ac:dyDescent="0.25">
      <c r="A4006" s="344">
        <v>44315</v>
      </c>
      <c r="B4006" s="343" t="s">
        <v>1920</v>
      </c>
      <c r="C4006" s="343" t="s">
        <v>1059</v>
      </c>
      <c r="D4006" s="345">
        <v>10</v>
      </c>
      <c r="E4006" s="346">
        <v>-290.79000000000002</v>
      </c>
      <c r="F4006" s="346">
        <v>4004.3800000000501</v>
      </c>
      <c r="G4006" s="343" t="s">
        <v>1921</v>
      </c>
      <c r="H4006" s="343" t="s">
        <v>2115</v>
      </c>
      <c r="I4006" s="343" t="s">
        <v>1880</v>
      </c>
      <c r="J4006" s="343" t="s">
        <v>757</v>
      </c>
      <c r="K4006" s="343" t="s">
        <v>741</v>
      </c>
      <c r="L4006" s="344">
        <v>44315</v>
      </c>
      <c r="M4006" s="347">
        <v>0</v>
      </c>
    </row>
    <row r="4007" spans="1:13" hidden="1" x14ac:dyDescent="0.25">
      <c r="A4007" s="344">
        <v>44327</v>
      </c>
      <c r="B4007" s="343" t="s">
        <v>1924</v>
      </c>
      <c r="C4007" s="343" t="s">
        <v>1059</v>
      </c>
      <c r="D4007" s="345">
        <v>10</v>
      </c>
      <c r="E4007" s="346">
        <v>-290.79000000000002</v>
      </c>
      <c r="F4007" s="346">
        <v>3713.5900000000502</v>
      </c>
      <c r="G4007" s="343" t="s">
        <v>1923</v>
      </c>
      <c r="H4007" s="343" t="s">
        <v>2115</v>
      </c>
      <c r="I4007" s="343" t="s">
        <v>1880</v>
      </c>
      <c r="J4007" s="343" t="s">
        <v>757</v>
      </c>
      <c r="K4007" s="343" t="s">
        <v>741</v>
      </c>
      <c r="L4007" s="344">
        <v>44327</v>
      </c>
      <c r="M4007" s="347">
        <v>0</v>
      </c>
    </row>
    <row r="4008" spans="1:13" hidden="1" x14ac:dyDescent="0.25">
      <c r="A4008" s="344">
        <v>44327</v>
      </c>
      <c r="B4008" s="343" t="s">
        <v>1922</v>
      </c>
      <c r="C4008" s="343" t="s">
        <v>1059</v>
      </c>
      <c r="D4008" s="345">
        <v>10</v>
      </c>
      <c r="E4008" s="346">
        <v>290.79000000000002</v>
      </c>
      <c r="F4008" s="346">
        <v>4004.3800000000501</v>
      </c>
      <c r="G4008" s="343" t="s">
        <v>1923</v>
      </c>
      <c r="H4008" s="343" t="s">
        <v>2115</v>
      </c>
      <c r="I4008" s="343" t="s">
        <v>1880</v>
      </c>
      <c r="J4008" s="343" t="s">
        <v>757</v>
      </c>
      <c r="K4008" s="343" t="s">
        <v>741</v>
      </c>
      <c r="L4008" s="344">
        <v>44327</v>
      </c>
      <c r="M4008" s="347">
        <v>0</v>
      </c>
    </row>
    <row r="4009" spans="1:13" hidden="1" x14ac:dyDescent="0.25">
      <c r="A4009" s="344">
        <v>44227</v>
      </c>
      <c r="B4009" s="343" t="s">
        <v>1974</v>
      </c>
      <c r="C4009" s="343" t="s">
        <v>1059</v>
      </c>
      <c r="D4009" s="345">
        <v>8</v>
      </c>
      <c r="E4009" s="346">
        <v>-64.62</v>
      </c>
      <c r="F4009" s="346">
        <v>3648.9700000000498</v>
      </c>
      <c r="G4009" s="343" t="s">
        <v>1975</v>
      </c>
      <c r="H4009" s="343" t="s">
        <v>2116</v>
      </c>
      <c r="I4009" s="343" t="s">
        <v>1880</v>
      </c>
      <c r="J4009" s="343" t="s">
        <v>757</v>
      </c>
      <c r="K4009" s="343" t="s">
        <v>741</v>
      </c>
      <c r="L4009" s="344">
        <v>44227</v>
      </c>
      <c r="M4009" s="347">
        <v>0</v>
      </c>
    </row>
    <row r="4010" spans="1:13" hidden="1" x14ac:dyDescent="0.25">
      <c r="A4010" s="344">
        <v>44244</v>
      </c>
      <c r="B4010" s="343" t="s">
        <v>1978</v>
      </c>
      <c r="C4010" s="343" t="s">
        <v>1059</v>
      </c>
      <c r="D4010" s="345">
        <v>8</v>
      </c>
      <c r="E4010" s="346">
        <v>-64.62</v>
      </c>
      <c r="F4010" s="346">
        <v>3584.3500000000499</v>
      </c>
      <c r="G4010" s="343" t="s">
        <v>1979</v>
      </c>
      <c r="H4010" s="343" t="s">
        <v>2116</v>
      </c>
      <c r="I4010" s="343" t="s">
        <v>1880</v>
      </c>
      <c r="J4010" s="343" t="s">
        <v>757</v>
      </c>
      <c r="K4010" s="343" t="s">
        <v>741</v>
      </c>
      <c r="L4010" s="344">
        <v>44244</v>
      </c>
      <c r="M4010" s="347">
        <v>0</v>
      </c>
    </row>
    <row r="4011" spans="1:13" hidden="1" x14ac:dyDescent="0.25">
      <c r="A4011" s="344">
        <v>44259</v>
      </c>
      <c r="B4011" s="343" t="s">
        <v>1939</v>
      </c>
      <c r="C4011" s="343" t="s">
        <v>1059</v>
      </c>
      <c r="D4011" s="345">
        <v>9</v>
      </c>
      <c r="E4011" s="346">
        <v>-64.62</v>
      </c>
      <c r="F4011" s="346">
        <v>3519.73000000005</v>
      </c>
      <c r="G4011" s="343" t="s">
        <v>1940</v>
      </c>
      <c r="H4011" s="343" t="s">
        <v>2116</v>
      </c>
      <c r="I4011" s="343" t="s">
        <v>1880</v>
      </c>
      <c r="J4011" s="343" t="s">
        <v>757</v>
      </c>
      <c r="K4011" s="343" t="s">
        <v>741</v>
      </c>
      <c r="L4011" s="344">
        <v>44259</v>
      </c>
      <c r="M4011" s="347">
        <v>0</v>
      </c>
    </row>
    <row r="4012" spans="1:13" hidden="1" x14ac:dyDescent="0.25">
      <c r="A4012" s="344">
        <v>44272</v>
      </c>
      <c r="B4012" s="343" t="s">
        <v>1982</v>
      </c>
      <c r="C4012" s="343" t="s">
        <v>1059</v>
      </c>
      <c r="D4012" s="345">
        <v>9</v>
      </c>
      <c r="E4012" s="346">
        <v>-32.31</v>
      </c>
      <c r="F4012" s="346">
        <v>3487.4200000000501</v>
      </c>
      <c r="G4012" s="343" t="s">
        <v>1983</v>
      </c>
      <c r="H4012" s="343" t="s">
        <v>2116</v>
      </c>
      <c r="I4012" s="343" t="s">
        <v>1880</v>
      </c>
      <c r="J4012" s="343" t="s">
        <v>757</v>
      </c>
      <c r="K4012" s="343" t="s">
        <v>741</v>
      </c>
      <c r="L4012" s="344">
        <v>44272</v>
      </c>
      <c r="M4012" s="347">
        <v>0</v>
      </c>
    </row>
    <row r="4013" spans="1:13" hidden="1" x14ac:dyDescent="0.25">
      <c r="A4013" s="344">
        <v>44286</v>
      </c>
      <c r="B4013" s="343" t="s">
        <v>1918</v>
      </c>
      <c r="C4013" s="343" t="s">
        <v>1059</v>
      </c>
      <c r="D4013" s="345">
        <v>9</v>
      </c>
      <c r="E4013" s="346">
        <v>-32.31</v>
      </c>
      <c r="F4013" s="346">
        <v>3455.1100000000501</v>
      </c>
      <c r="G4013" s="343" t="s">
        <v>1919</v>
      </c>
      <c r="H4013" s="343" t="s">
        <v>2116</v>
      </c>
      <c r="I4013" s="343" t="s">
        <v>1880</v>
      </c>
      <c r="J4013" s="343" t="s">
        <v>757</v>
      </c>
      <c r="K4013" s="343" t="s">
        <v>741</v>
      </c>
      <c r="L4013" s="344">
        <v>44286</v>
      </c>
      <c r="M4013" s="347">
        <v>0</v>
      </c>
    </row>
    <row r="4014" spans="1:13" hidden="1" x14ac:dyDescent="0.25">
      <c r="A4014" s="344">
        <v>44293</v>
      </c>
      <c r="B4014" s="343" t="s">
        <v>2062</v>
      </c>
      <c r="C4014" s="343" t="s">
        <v>769</v>
      </c>
      <c r="D4014" s="345">
        <v>10</v>
      </c>
      <c r="E4014" s="346">
        <v>210</v>
      </c>
      <c r="F4014" s="346">
        <v>3665.1100000000501</v>
      </c>
      <c r="G4014" s="343" t="s">
        <v>2063</v>
      </c>
      <c r="H4014" s="343" t="s">
        <v>2116</v>
      </c>
      <c r="I4014" s="343" t="s">
        <v>1880</v>
      </c>
      <c r="J4014" s="343" t="s">
        <v>757</v>
      </c>
      <c r="K4014" s="343" t="s">
        <v>770</v>
      </c>
      <c r="L4014" s="344">
        <v>44293</v>
      </c>
      <c r="M4014" s="347">
        <v>0</v>
      </c>
    </row>
    <row r="4015" spans="1:13" hidden="1" x14ac:dyDescent="0.25">
      <c r="A4015" s="344">
        <v>44301</v>
      </c>
      <c r="B4015" s="343" t="s">
        <v>1889</v>
      </c>
      <c r="C4015" s="343" t="s">
        <v>1059</v>
      </c>
      <c r="D4015" s="345">
        <v>10</v>
      </c>
      <c r="E4015" s="346">
        <v>-32.31</v>
      </c>
      <c r="F4015" s="346">
        <v>3632.8000000000502</v>
      </c>
      <c r="G4015" s="343" t="s">
        <v>1890</v>
      </c>
      <c r="H4015" s="343" t="s">
        <v>2116</v>
      </c>
      <c r="I4015" s="343" t="s">
        <v>1880</v>
      </c>
      <c r="J4015" s="343" t="s">
        <v>757</v>
      </c>
      <c r="K4015" s="343" t="s">
        <v>741</v>
      </c>
      <c r="L4015" s="344">
        <v>44301</v>
      </c>
      <c r="M4015" s="347">
        <v>0</v>
      </c>
    </row>
    <row r="4016" spans="1:13" hidden="1" x14ac:dyDescent="0.25">
      <c r="A4016" s="344">
        <v>44315</v>
      </c>
      <c r="B4016" s="343" t="s">
        <v>1920</v>
      </c>
      <c r="C4016" s="343" t="s">
        <v>1059</v>
      </c>
      <c r="D4016" s="345">
        <v>10</v>
      </c>
      <c r="E4016" s="346">
        <v>-32.31</v>
      </c>
      <c r="F4016" s="346">
        <v>3600.4900000000498</v>
      </c>
      <c r="G4016" s="343" t="s">
        <v>1921</v>
      </c>
      <c r="H4016" s="343" t="s">
        <v>2116</v>
      </c>
      <c r="I4016" s="343" t="s">
        <v>1880</v>
      </c>
      <c r="J4016" s="343" t="s">
        <v>757</v>
      </c>
      <c r="K4016" s="343" t="s">
        <v>741</v>
      </c>
      <c r="L4016" s="344">
        <v>44315</v>
      </c>
      <c r="M4016" s="347">
        <v>0</v>
      </c>
    </row>
    <row r="4017" spans="1:13" hidden="1" x14ac:dyDescent="0.25">
      <c r="A4017" s="344">
        <v>44327</v>
      </c>
      <c r="B4017" s="343" t="s">
        <v>1924</v>
      </c>
      <c r="C4017" s="343" t="s">
        <v>1059</v>
      </c>
      <c r="D4017" s="345">
        <v>10</v>
      </c>
      <c r="E4017" s="346">
        <v>-32.31</v>
      </c>
      <c r="F4017" s="346">
        <v>3568.1800000000499</v>
      </c>
      <c r="G4017" s="343" t="s">
        <v>1923</v>
      </c>
      <c r="H4017" s="343" t="s">
        <v>2116</v>
      </c>
      <c r="I4017" s="343" t="s">
        <v>1880</v>
      </c>
      <c r="J4017" s="343" t="s">
        <v>757</v>
      </c>
      <c r="K4017" s="343" t="s">
        <v>741</v>
      </c>
      <c r="L4017" s="344">
        <v>44327</v>
      </c>
      <c r="M4017" s="347">
        <v>0</v>
      </c>
    </row>
    <row r="4018" spans="1:13" hidden="1" x14ac:dyDescent="0.25">
      <c r="A4018" s="344">
        <v>44327</v>
      </c>
      <c r="B4018" s="343" t="s">
        <v>1922</v>
      </c>
      <c r="C4018" s="343" t="s">
        <v>1059</v>
      </c>
      <c r="D4018" s="345">
        <v>10</v>
      </c>
      <c r="E4018" s="346">
        <v>32.31</v>
      </c>
      <c r="F4018" s="346">
        <v>3600.4900000000498</v>
      </c>
      <c r="G4018" s="343" t="s">
        <v>1923</v>
      </c>
      <c r="H4018" s="343" t="s">
        <v>2116</v>
      </c>
      <c r="I4018" s="343" t="s">
        <v>1880</v>
      </c>
      <c r="J4018" s="343" t="s">
        <v>757</v>
      </c>
      <c r="K4018" s="343" t="s">
        <v>741</v>
      </c>
      <c r="L4018" s="344">
        <v>44327</v>
      </c>
      <c r="M4018" s="347">
        <v>0</v>
      </c>
    </row>
    <row r="4019" spans="1:13" hidden="1" x14ac:dyDescent="0.25">
      <c r="A4019" s="344">
        <v>44048</v>
      </c>
      <c r="B4019" s="343" t="s">
        <v>2035</v>
      </c>
      <c r="C4019" s="343" t="s">
        <v>936</v>
      </c>
      <c r="D4019" s="345">
        <v>2</v>
      </c>
      <c r="E4019" s="346">
        <v>-639.54</v>
      </c>
      <c r="F4019" s="346">
        <v>3138.6400000000499</v>
      </c>
      <c r="G4019" s="343" t="s">
        <v>2036</v>
      </c>
      <c r="H4019" s="343" t="s">
        <v>2117</v>
      </c>
      <c r="I4019" s="343" t="s">
        <v>1880</v>
      </c>
      <c r="J4019" s="343" t="s">
        <v>757</v>
      </c>
      <c r="K4019" s="343" t="s">
        <v>770</v>
      </c>
      <c r="L4019" s="344">
        <v>43862</v>
      </c>
      <c r="M4019" s="347">
        <v>0</v>
      </c>
    </row>
    <row r="4020" spans="1:13" hidden="1" x14ac:dyDescent="0.25">
      <c r="A4020" s="344">
        <v>44048</v>
      </c>
      <c r="B4020" s="343" t="s">
        <v>2038</v>
      </c>
      <c r="C4020" s="343" t="s">
        <v>936</v>
      </c>
      <c r="D4020" s="345">
        <v>2</v>
      </c>
      <c r="E4020" s="346">
        <v>-639.54</v>
      </c>
      <c r="F4020" s="346">
        <v>2499.1000000000499</v>
      </c>
      <c r="G4020" s="343" t="s">
        <v>2039</v>
      </c>
      <c r="H4020" s="343" t="s">
        <v>2117</v>
      </c>
      <c r="I4020" s="343" t="s">
        <v>1880</v>
      </c>
      <c r="J4020" s="343" t="s">
        <v>757</v>
      </c>
      <c r="K4020" s="343" t="s">
        <v>770</v>
      </c>
      <c r="L4020" s="344">
        <v>43891</v>
      </c>
      <c r="M4020" s="347">
        <v>0</v>
      </c>
    </row>
    <row r="4021" spans="1:13" hidden="1" x14ac:dyDescent="0.25">
      <c r="A4021" s="344">
        <v>44048</v>
      </c>
      <c r="B4021" s="343" t="s">
        <v>2040</v>
      </c>
      <c r="C4021" s="343" t="s">
        <v>769</v>
      </c>
      <c r="D4021" s="345">
        <v>2</v>
      </c>
      <c r="E4021" s="346">
        <v>639.54</v>
      </c>
      <c r="F4021" s="346">
        <v>3138.6400000000499</v>
      </c>
      <c r="G4021" s="343" t="s">
        <v>2041</v>
      </c>
      <c r="H4021" s="343" t="s">
        <v>2117</v>
      </c>
      <c r="I4021" s="343" t="s">
        <v>1880</v>
      </c>
      <c r="J4021" s="343" t="s">
        <v>757</v>
      </c>
      <c r="K4021" s="343" t="s">
        <v>770</v>
      </c>
      <c r="L4021" s="344">
        <v>44048</v>
      </c>
      <c r="M4021" s="347">
        <v>0</v>
      </c>
    </row>
    <row r="4022" spans="1:13" hidden="1" x14ac:dyDescent="0.25">
      <c r="A4022" s="344">
        <v>44048</v>
      </c>
      <c r="B4022" s="343" t="s">
        <v>2042</v>
      </c>
      <c r="C4022" s="343" t="s">
        <v>769</v>
      </c>
      <c r="D4022" s="345">
        <v>2</v>
      </c>
      <c r="E4022" s="346">
        <v>639.54</v>
      </c>
      <c r="F4022" s="346">
        <v>3778.1800000000499</v>
      </c>
      <c r="G4022" s="343" t="s">
        <v>2043</v>
      </c>
      <c r="H4022" s="343" t="s">
        <v>2117</v>
      </c>
      <c r="I4022" s="343" t="s">
        <v>1880</v>
      </c>
      <c r="J4022" s="343" t="s">
        <v>757</v>
      </c>
      <c r="K4022" s="343" t="s">
        <v>770</v>
      </c>
      <c r="L4022" s="344">
        <v>44048</v>
      </c>
      <c r="M4022" s="347">
        <v>0</v>
      </c>
    </row>
    <row r="4023" spans="1:13" hidden="1" x14ac:dyDescent="0.25">
      <c r="A4023" s="344">
        <v>44083</v>
      </c>
      <c r="B4023" s="343" t="s">
        <v>1948</v>
      </c>
      <c r="C4023" s="343" t="s">
        <v>1059</v>
      </c>
      <c r="D4023" s="345">
        <v>3</v>
      </c>
      <c r="E4023" s="346">
        <v>-4.55</v>
      </c>
      <c r="F4023" s="346">
        <v>3773.6300000000501</v>
      </c>
      <c r="G4023" s="343" t="s">
        <v>1949</v>
      </c>
      <c r="H4023" s="343" t="s">
        <v>2117</v>
      </c>
      <c r="I4023" s="343" t="s">
        <v>1880</v>
      </c>
      <c r="J4023" s="343" t="s">
        <v>757</v>
      </c>
      <c r="K4023" s="343" t="s">
        <v>741</v>
      </c>
      <c r="L4023" s="344">
        <v>44083</v>
      </c>
      <c r="M4023" s="347">
        <v>0</v>
      </c>
    </row>
    <row r="4024" spans="1:13" hidden="1" x14ac:dyDescent="0.25">
      <c r="A4024" s="344">
        <v>44094</v>
      </c>
      <c r="B4024" s="343" t="s">
        <v>1950</v>
      </c>
      <c r="C4024" s="343" t="s">
        <v>1059</v>
      </c>
      <c r="D4024" s="345">
        <v>3</v>
      </c>
      <c r="E4024" s="346">
        <v>-13.65</v>
      </c>
      <c r="F4024" s="346">
        <v>3759.98000000005</v>
      </c>
      <c r="G4024" s="343" t="s">
        <v>1951</v>
      </c>
      <c r="H4024" s="343" t="s">
        <v>2117</v>
      </c>
      <c r="I4024" s="343" t="s">
        <v>1880</v>
      </c>
      <c r="J4024" s="343" t="s">
        <v>757</v>
      </c>
      <c r="K4024" s="343" t="s">
        <v>741</v>
      </c>
      <c r="L4024" s="344">
        <v>44094</v>
      </c>
      <c r="M4024" s="347">
        <v>0</v>
      </c>
    </row>
    <row r="4025" spans="1:13" hidden="1" x14ac:dyDescent="0.25">
      <c r="A4025" s="344">
        <v>44144</v>
      </c>
      <c r="B4025" s="343" t="s">
        <v>2044</v>
      </c>
      <c r="C4025" s="343" t="s">
        <v>769</v>
      </c>
      <c r="D4025" s="345">
        <v>6</v>
      </c>
      <c r="E4025" s="346">
        <v>280</v>
      </c>
      <c r="F4025" s="346">
        <v>4039.98000000005</v>
      </c>
      <c r="G4025" s="343" t="s">
        <v>2045</v>
      </c>
      <c r="H4025" s="343" t="s">
        <v>2117</v>
      </c>
      <c r="I4025" s="343" t="s">
        <v>1880</v>
      </c>
      <c r="J4025" s="343" t="s">
        <v>757</v>
      </c>
      <c r="K4025" s="343" t="s">
        <v>770</v>
      </c>
      <c r="L4025" s="344">
        <v>44144</v>
      </c>
      <c r="M4025" s="347">
        <v>0</v>
      </c>
    </row>
    <row r="4026" spans="1:13" hidden="1" x14ac:dyDescent="0.25">
      <c r="A4026" s="344">
        <v>44168</v>
      </c>
      <c r="B4026" s="343" t="s">
        <v>2046</v>
      </c>
      <c r="C4026" s="343" t="s">
        <v>769</v>
      </c>
      <c r="D4026" s="345">
        <v>6</v>
      </c>
      <c r="E4026" s="346">
        <v>280</v>
      </c>
      <c r="F4026" s="346">
        <v>4319.9800000000496</v>
      </c>
      <c r="G4026" s="343" t="s">
        <v>2047</v>
      </c>
      <c r="H4026" s="343" t="s">
        <v>2117</v>
      </c>
      <c r="I4026" s="343" t="s">
        <v>1880</v>
      </c>
      <c r="J4026" s="343" t="s">
        <v>757</v>
      </c>
      <c r="K4026" s="343" t="s">
        <v>770</v>
      </c>
      <c r="L4026" s="344">
        <v>44168</v>
      </c>
      <c r="M4026" s="347">
        <v>0</v>
      </c>
    </row>
    <row r="4027" spans="1:13" hidden="1" x14ac:dyDescent="0.25">
      <c r="A4027" s="344">
        <v>44187</v>
      </c>
      <c r="B4027" s="343" t="s">
        <v>1966</v>
      </c>
      <c r="C4027" s="343" t="s">
        <v>1059</v>
      </c>
      <c r="D4027" s="345">
        <v>6</v>
      </c>
      <c r="E4027" s="346">
        <v>-96.93</v>
      </c>
      <c r="F4027" s="346">
        <v>4223.0500000000502</v>
      </c>
      <c r="G4027" s="343" t="s">
        <v>1967</v>
      </c>
      <c r="H4027" s="343" t="s">
        <v>2117</v>
      </c>
      <c r="I4027" s="343" t="s">
        <v>1880</v>
      </c>
      <c r="J4027" s="343" t="s">
        <v>757</v>
      </c>
      <c r="K4027" s="343" t="s">
        <v>741</v>
      </c>
      <c r="L4027" s="344">
        <v>44187</v>
      </c>
      <c r="M4027" s="347">
        <v>0</v>
      </c>
    </row>
    <row r="4028" spans="1:13" hidden="1" x14ac:dyDescent="0.25">
      <c r="A4028" s="344">
        <v>44196</v>
      </c>
      <c r="B4028" s="343" t="s">
        <v>2048</v>
      </c>
      <c r="C4028" s="343" t="s">
        <v>1060</v>
      </c>
      <c r="D4028" s="345">
        <v>6</v>
      </c>
      <c r="E4028" s="346">
        <v>280</v>
      </c>
      <c r="F4028" s="346">
        <v>4503.0500000000502</v>
      </c>
      <c r="G4028" s="343" t="s">
        <v>2049</v>
      </c>
      <c r="H4028" s="343" t="s">
        <v>2117</v>
      </c>
      <c r="I4028" s="343" t="s">
        <v>1880</v>
      </c>
      <c r="J4028" s="343" t="s">
        <v>757</v>
      </c>
      <c r="K4028" s="343" t="s">
        <v>741</v>
      </c>
      <c r="L4028" s="344">
        <v>44196</v>
      </c>
      <c r="M4028" s="347">
        <v>0</v>
      </c>
    </row>
    <row r="4029" spans="1:13" hidden="1" x14ac:dyDescent="0.25">
      <c r="A4029" s="344">
        <v>44196</v>
      </c>
      <c r="B4029" s="343" t="s">
        <v>2048</v>
      </c>
      <c r="C4029" s="343" t="s">
        <v>1060</v>
      </c>
      <c r="D4029" s="345">
        <v>7</v>
      </c>
      <c r="E4029" s="346">
        <v>-280</v>
      </c>
      <c r="F4029" s="346">
        <v>4223.0500000000502</v>
      </c>
      <c r="G4029" s="343" t="s">
        <v>2049</v>
      </c>
      <c r="H4029" s="343" t="s">
        <v>2117</v>
      </c>
      <c r="I4029" s="343" t="s">
        <v>1880</v>
      </c>
      <c r="J4029" s="343" t="s">
        <v>757</v>
      </c>
      <c r="K4029" s="343" t="s">
        <v>741</v>
      </c>
      <c r="L4029" s="344">
        <v>44196</v>
      </c>
      <c r="M4029" s="347">
        <v>0</v>
      </c>
    </row>
    <row r="4030" spans="1:13" hidden="1" x14ac:dyDescent="0.25">
      <c r="A4030" s="344">
        <v>44196</v>
      </c>
      <c r="B4030" s="343" t="s">
        <v>2050</v>
      </c>
      <c r="C4030" s="343" t="s">
        <v>769</v>
      </c>
      <c r="D4030" s="345">
        <v>7</v>
      </c>
      <c r="E4030" s="346">
        <v>280</v>
      </c>
      <c r="F4030" s="346">
        <v>4503.0500000000502</v>
      </c>
      <c r="G4030" s="343" t="s">
        <v>2051</v>
      </c>
      <c r="H4030" s="343" t="s">
        <v>2117</v>
      </c>
      <c r="I4030" s="343" t="s">
        <v>1880</v>
      </c>
      <c r="J4030" s="343" t="s">
        <v>757</v>
      </c>
      <c r="K4030" s="343" t="s">
        <v>770</v>
      </c>
      <c r="L4030" s="344">
        <v>44196</v>
      </c>
      <c r="M4030" s="347">
        <v>0</v>
      </c>
    </row>
    <row r="4031" spans="1:13" hidden="1" x14ac:dyDescent="0.25">
      <c r="A4031" s="344">
        <v>44203</v>
      </c>
      <c r="B4031" s="343" t="s">
        <v>1970</v>
      </c>
      <c r="C4031" s="343" t="s">
        <v>1059</v>
      </c>
      <c r="D4031" s="345">
        <v>7</v>
      </c>
      <c r="E4031" s="346">
        <v>-64.62</v>
      </c>
      <c r="F4031" s="346">
        <v>4438.4300000000503</v>
      </c>
      <c r="G4031" s="343" t="s">
        <v>1971</v>
      </c>
      <c r="H4031" s="343" t="s">
        <v>2117</v>
      </c>
      <c r="I4031" s="343" t="s">
        <v>1880</v>
      </c>
      <c r="J4031" s="343" t="s">
        <v>757</v>
      </c>
      <c r="K4031" s="343" t="s">
        <v>741</v>
      </c>
      <c r="L4031" s="344">
        <v>44203</v>
      </c>
      <c r="M4031" s="347">
        <v>0</v>
      </c>
    </row>
    <row r="4032" spans="1:13" hidden="1" x14ac:dyDescent="0.25">
      <c r="A4032" s="344">
        <v>44218</v>
      </c>
      <c r="B4032" s="343" t="s">
        <v>1972</v>
      </c>
      <c r="C4032" s="343" t="s">
        <v>1059</v>
      </c>
      <c r="D4032" s="345">
        <v>7</v>
      </c>
      <c r="E4032" s="346">
        <v>-96.93</v>
      </c>
      <c r="F4032" s="346">
        <v>4341.50000000005</v>
      </c>
      <c r="G4032" s="343" t="s">
        <v>1973</v>
      </c>
      <c r="H4032" s="343" t="s">
        <v>2117</v>
      </c>
      <c r="I4032" s="343" t="s">
        <v>1880</v>
      </c>
      <c r="J4032" s="343" t="s">
        <v>757</v>
      </c>
      <c r="K4032" s="343" t="s">
        <v>741</v>
      </c>
      <c r="L4032" s="344">
        <v>44218</v>
      </c>
      <c r="M4032" s="347">
        <v>0</v>
      </c>
    </row>
    <row r="4033" spans="1:13" hidden="1" x14ac:dyDescent="0.25">
      <c r="A4033" s="344">
        <v>44227</v>
      </c>
      <c r="B4033" s="343" t="s">
        <v>2052</v>
      </c>
      <c r="C4033" s="343" t="s">
        <v>1060</v>
      </c>
      <c r="D4033" s="345">
        <v>7</v>
      </c>
      <c r="E4033" s="346">
        <v>280</v>
      </c>
      <c r="F4033" s="346">
        <v>4621.50000000005</v>
      </c>
      <c r="G4033" s="343" t="s">
        <v>2053</v>
      </c>
      <c r="H4033" s="343" t="s">
        <v>2117</v>
      </c>
      <c r="I4033" s="343" t="s">
        <v>1880</v>
      </c>
      <c r="J4033" s="343" t="s">
        <v>757</v>
      </c>
      <c r="K4033" s="343" t="s">
        <v>741</v>
      </c>
      <c r="L4033" s="344">
        <v>44227</v>
      </c>
      <c r="M4033" s="347">
        <v>0</v>
      </c>
    </row>
    <row r="4034" spans="1:13" hidden="1" x14ac:dyDescent="0.25">
      <c r="A4034" s="344">
        <v>44227</v>
      </c>
      <c r="B4034" s="343" t="s">
        <v>2052</v>
      </c>
      <c r="C4034" s="343" t="s">
        <v>1060</v>
      </c>
      <c r="D4034" s="345">
        <v>8</v>
      </c>
      <c r="E4034" s="346">
        <v>-280</v>
      </c>
      <c r="F4034" s="346">
        <v>4341.50000000005</v>
      </c>
      <c r="G4034" s="343" t="s">
        <v>2053</v>
      </c>
      <c r="H4034" s="343" t="s">
        <v>2117</v>
      </c>
      <c r="I4034" s="343" t="s">
        <v>1880</v>
      </c>
      <c r="J4034" s="343" t="s">
        <v>757</v>
      </c>
      <c r="K4034" s="343" t="s">
        <v>741</v>
      </c>
      <c r="L4034" s="344">
        <v>44227</v>
      </c>
      <c r="M4034" s="347">
        <v>0</v>
      </c>
    </row>
    <row r="4035" spans="1:13" hidden="1" x14ac:dyDescent="0.25">
      <c r="A4035" s="344">
        <v>44227</v>
      </c>
      <c r="B4035" s="343" t="s">
        <v>1974</v>
      </c>
      <c r="C4035" s="343" t="s">
        <v>1059</v>
      </c>
      <c r="D4035" s="345">
        <v>8</v>
      </c>
      <c r="E4035" s="346">
        <v>-96.93</v>
      </c>
      <c r="F4035" s="346">
        <v>4244.5700000000397</v>
      </c>
      <c r="G4035" s="343" t="s">
        <v>1975</v>
      </c>
      <c r="H4035" s="343" t="s">
        <v>2117</v>
      </c>
      <c r="I4035" s="343" t="s">
        <v>1880</v>
      </c>
      <c r="J4035" s="343" t="s">
        <v>757</v>
      </c>
      <c r="K4035" s="343" t="s">
        <v>741</v>
      </c>
      <c r="L4035" s="344">
        <v>44227</v>
      </c>
      <c r="M4035" s="347">
        <v>0</v>
      </c>
    </row>
    <row r="4036" spans="1:13" hidden="1" x14ac:dyDescent="0.25">
      <c r="A4036" s="344">
        <v>44228</v>
      </c>
      <c r="B4036" s="343" t="s">
        <v>2054</v>
      </c>
      <c r="C4036" s="343" t="s">
        <v>769</v>
      </c>
      <c r="D4036" s="345">
        <v>8</v>
      </c>
      <c r="E4036" s="346">
        <v>280</v>
      </c>
      <c r="F4036" s="346">
        <v>4524.5700000000397</v>
      </c>
      <c r="G4036" s="343" t="s">
        <v>2055</v>
      </c>
      <c r="H4036" s="343" t="s">
        <v>2117</v>
      </c>
      <c r="I4036" s="343" t="s">
        <v>1880</v>
      </c>
      <c r="J4036" s="343" t="s">
        <v>757</v>
      </c>
      <c r="K4036" s="343" t="s">
        <v>770</v>
      </c>
      <c r="L4036" s="344">
        <v>44228</v>
      </c>
      <c r="M4036" s="347">
        <v>0</v>
      </c>
    </row>
    <row r="4037" spans="1:13" hidden="1" x14ac:dyDescent="0.25">
      <c r="A4037" s="344">
        <v>44244</v>
      </c>
      <c r="B4037" s="343" t="s">
        <v>1978</v>
      </c>
      <c r="C4037" s="343" t="s">
        <v>1059</v>
      </c>
      <c r="D4037" s="345">
        <v>8</v>
      </c>
      <c r="E4037" s="346">
        <v>-129.24</v>
      </c>
      <c r="F4037" s="346">
        <v>4395.3300000000499</v>
      </c>
      <c r="G4037" s="343" t="s">
        <v>1979</v>
      </c>
      <c r="H4037" s="343" t="s">
        <v>2117</v>
      </c>
      <c r="I4037" s="343" t="s">
        <v>1880</v>
      </c>
      <c r="J4037" s="343" t="s">
        <v>757</v>
      </c>
      <c r="K4037" s="343" t="s">
        <v>741</v>
      </c>
      <c r="L4037" s="344">
        <v>44244</v>
      </c>
      <c r="M4037" s="347">
        <v>0</v>
      </c>
    </row>
    <row r="4038" spans="1:13" hidden="1" x14ac:dyDescent="0.25">
      <c r="A4038" s="344">
        <v>44255</v>
      </c>
      <c r="B4038" s="343" t="s">
        <v>2056</v>
      </c>
      <c r="C4038" s="343" t="s">
        <v>1060</v>
      </c>
      <c r="D4038" s="345">
        <v>8</v>
      </c>
      <c r="E4038" s="346">
        <v>280</v>
      </c>
      <c r="F4038" s="346">
        <v>4675.3300000000499</v>
      </c>
      <c r="G4038" s="343" t="s">
        <v>2057</v>
      </c>
      <c r="H4038" s="343" t="s">
        <v>2117</v>
      </c>
      <c r="I4038" s="343" t="s">
        <v>1880</v>
      </c>
      <c r="J4038" s="343" t="s">
        <v>757</v>
      </c>
      <c r="K4038" s="343" t="s">
        <v>741</v>
      </c>
      <c r="L4038" s="344">
        <v>44255</v>
      </c>
      <c r="M4038" s="347">
        <v>0</v>
      </c>
    </row>
    <row r="4039" spans="1:13" hidden="1" x14ac:dyDescent="0.25">
      <c r="A4039" s="344">
        <v>44255</v>
      </c>
      <c r="B4039" s="343" t="s">
        <v>2056</v>
      </c>
      <c r="C4039" s="343" t="s">
        <v>1060</v>
      </c>
      <c r="D4039" s="345">
        <v>9</v>
      </c>
      <c r="E4039" s="346">
        <v>-280</v>
      </c>
      <c r="F4039" s="346">
        <v>4395.3300000000499</v>
      </c>
      <c r="G4039" s="343" t="s">
        <v>2057</v>
      </c>
      <c r="H4039" s="343" t="s">
        <v>2117</v>
      </c>
      <c r="I4039" s="343" t="s">
        <v>1880</v>
      </c>
      <c r="J4039" s="343" t="s">
        <v>757</v>
      </c>
      <c r="K4039" s="343" t="s">
        <v>741</v>
      </c>
      <c r="L4039" s="344">
        <v>44255</v>
      </c>
      <c r="M4039" s="347">
        <v>0</v>
      </c>
    </row>
    <row r="4040" spans="1:13" hidden="1" x14ac:dyDescent="0.25">
      <c r="A4040" s="344">
        <v>44255</v>
      </c>
      <c r="B4040" s="343" t="s">
        <v>2058</v>
      </c>
      <c r="C4040" s="343" t="s">
        <v>769</v>
      </c>
      <c r="D4040" s="345">
        <v>9</v>
      </c>
      <c r="E4040" s="346">
        <v>280</v>
      </c>
      <c r="F4040" s="346">
        <v>4675.3300000000499</v>
      </c>
      <c r="G4040" s="343" t="s">
        <v>2059</v>
      </c>
      <c r="H4040" s="343" t="s">
        <v>2117</v>
      </c>
      <c r="I4040" s="343" t="s">
        <v>1880</v>
      </c>
      <c r="J4040" s="343" t="s">
        <v>757</v>
      </c>
      <c r="K4040" s="343" t="s">
        <v>770</v>
      </c>
      <c r="L4040" s="344">
        <v>44255</v>
      </c>
      <c r="M4040" s="347">
        <v>0</v>
      </c>
    </row>
    <row r="4041" spans="1:13" hidden="1" x14ac:dyDescent="0.25">
      <c r="A4041" s="344">
        <v>44259</v>
      </c>
      <c r="B4041" s="343" t="s">
        <v>1939</v>
      </c>
      <c r="C4041" s="343" t="s">
        <v>1059</v>
      </c>
      <c r="D4041" s="345">
        <v>9</v>
      </c>
      <c r="E4041" s="346">
        <v>-64.62</v>
      </c>
      <c r="F4041" s="346">
        <v>4610.7100000000501</v>
      </c>
      <c r="G4041" s="343" t="s">
        <v>1940</v>
      </c>
      <c r="H4041" s="343" t="s">
        <v>2117</v>
      </c>
      <c r="I4041" s="343" t="s">
        <v>1880</v>
      </c>
      <c r="J4041" s="343" t="s">
        <v>757</v>
      </c>
      <c r="K4041" s="343" t="s">
        <v>741</v>
      </c>
      <c r="L4041" s="344">
        <v>44259</v>
      </c>
      <c r="M4041" s="347">
        <v>0</v>
      </c>
    </row>
    <row r="4042" spans="1:13" hidden="1" x14ac:dyDescent="0.25">
      <c r="A4042" s="344">
        <v>44272</v>
      </c>
      <c r="B4042" s="343" t="s">
        <v>1982</v>
      </c>
      <c r="C4042" s="343" t="s">
        <v>1059</v>
      </c>
      <c r="D4042" s="345">
        <v>9</v>
      </c>
      <c r="E4042" s="346">
        <v>-129.24</v>
      </c>
      <c r="F4042" s="346">
        <v>4481.4700000000503</v>
      </c>
      <c r="G4042" s="343" t="s">
        <v>1983</v>
      </c>
      <c r="H4042" s="343" t="s">
        <v>2117</v>
      </c>
      <c r="I4042" s="343" t="s">
        <v>1880</v>
      </c>
      <c r="J4042" s="343" t="s">
        <v>757</v>
      </c>
      <c r="K4042" s="343" t="s">
        <v>741</v>
      </c>
      <c r="L4042" s="344">
        <v>44272</v>
      </c>
      <c r="M4042" s="347">
        <v>0</v>
      </c>
    </row>
    <row r="4043" spans="1:13" hidden="1" x14ac:dyDescent="0.25">
      <c r="A4043" s="344">
        <v>44286</v>
      </c>
      <c r="B4043" s="343" t="s">
        <v>1918</v>
      </c>
      <c r="C4043" s="343" t="s">
        <v>1059</v>
      </c>
      <c r="D4043" s="345">
        <v>9</v>
      </c>
      <c r="E4043" s="346">
        <v>-161.55000000000001</v>
      </c>
      <c r="F4043" s="346">
        <v>4319.9200000000501</v>
      </c>
      <c r="G4043" s="343" t="s">
        <v>1919</v>
      </c>
      <c r="H4043" s="343" t="s">
        <v>2117</v>
      </c>
      <c r="I4043" s="343" t="s">
        <v>1880</v>
      </c>
      <c r="J4043" s="343" t="s">
        <v>757</v>
      </c>
      <c r="K4043" s="343" t="s">
        <v>741</v>
      </c>
      <c r="L4043" s="344">
        <v>44286</v>
      </c>
      <c r="M4043" s="347">
        <v>0</v>
      </c>
    </row>
    <row r="4044" spans="1:13" hidden="1" x14ac:dyDescent="0.25">
      <c r="A4044" s="344">
        <v>44286</v>
      </c>
      <c r="B4044" s="343" t="s">
        <v>2060</v>
      </c>
      <c r="C4044" s="343" t="s">
        <v>1060</v>
      </c>
      <c r="D4044" s="345">
        <v>9</v>
      </c>
      <c r="E4044" s="346">
        <v>280</v>
      </c>
      <c r="F4044" s="346">
        <v>4599.9200000000501</v>
      </c>
      <c r="G4044" s="343" t="s">
        <v>2061</v>
      </c>
      <c r="H4044" s="343" t="s">
        <v>2117</v>
      </c>
      <c r="I4044" s="343" t="s">
        <v>1880</v>
      </c>
      <c r="J4044" s="343" t="s">
        <v>757</v>
      </c>
      <c r="K4044" s="343" t="s">
        <v>741</v>
      </c>
      <c r="L4044" s="344">
        <v>44286</v>
      </c>
      <c r="M4044" s="347">
        <v>0</v>
      </c>
    </row>
    <row r="4045" spans="1:13" hidden="1" x14ac:dyDescent="0.25">
      <c r="A4045" s="344">
        <v>44286</v>
      </c>
      <c r="B4045" s="343" t="s">
        <v>2060</v>
      </c>
      <c r="C4045" s="343" t="s">
        <v>1060</v>
      </c>
      <c r="D4045" s="345">
        <v>10</v>
      </c>
      <c r="E4045" s="346">
        <v>-280</v>
      </c>
      <c r="F4045" s="346">
        <v>4319.9200000000501</v>
      </c>
      <c r="G4045" s="343" t="s">
        <v>2061</v>
      </c>
      <c r="H4045" s="343" t="s">
        <v>2117</v>
      </c>
      <c r="I4045" s="343" t="s">
        <v>1880</v>
      </c>
      <c r="J4045" s="343" t="s">
        <v>757</v>
      </c>
      <c r="K4045" s="343" t="s">
        <v>741</v>
      </c>
      <c r="L4045" s="344">
        <v>44286</v>
      </c>
      <c r="M4045" s="347">
        <v>0</v>
      </c>
    </row>
    <row r="4046" spans="1:13" hidden="1" x14ac:dyDescent="0.25">
      <c r="A4046" s="344">
        <v>44301</v>
      </c>
      <c r="B4046" s="343" t="s">
        <v>1889</v>
      </c>
      <c r="C4046" s="343" t="s">
        <v>1059</v>
      </c>
      <c r="D4046" s="345">
        <v>10</v>
      </c>
      <c r="E4046" s="346">
        <v>-161.55000000000001</v>
      </c>
      <c r="F4046" s="346">
        <v>4158.3700000000499</v>
      </c>
      <c r="G4046" s="343" t="s">
        <v>1890</v>
      </c>
      <c r="H4046" s="343" t="s">
        <v>2117</v>
      </c>
      <c r="I4046" s="343" t="s">
        <v>1880</v>
      </c>
      <c r="J4046" s="343" t="s">
        <v>757</v>
      </c>
      <c r="K4046" s="343" t="s">
        <v>741</v>
      </c>
      <c r="L4046" s="344">
        <v>44301</v>
      </c>
      <c r="M4046" s="347">
        <v>0</v>
      </c>
    </row>
    <row r="4047" spans="1:13" hidden="1" x14ac:dyDescent="0.25">
      <c r="A4047" s="344">
        <v>44315</v>
      </c>
      <c r="B4047" s="343" t="s">
        <v>1920</v>
      </c>
      <c r="C4047" s="343" t="s">
        <v>1059</v>
      </c>
      <c r="D4047" s="345">
        <v>10</v>
      </c>
      <c r="E4047" s="346">
        <v>-161.55000000000001</v>
      </c>
      <c r="F4047" s="346">
        <v>3996.8200000000402</v>
      </c>
      <c r="G4047" s="343" t="s">
        <v>1921</v>
      </c>
      <c r="H4047" s="343" t="s">
        <v>2117</v>
      </c>
      <c r="I4047" s="343" t="s">
        <v>1880</v>
      </c>
      <c r="J4047" s="343" t="s">
        <v>757</v>
      </c>
      <c r="K4047" s="343" t="s">
        <v>741</v>
      </c>
      <c r="L4047" s="344">
        <v>44315</v>
      </c>
      <c r="M4047" s="347">
        <v>0</v>
      </c>
    </row>
    <row r="4048" spans="1:13" hidden="1" x14ac:dyDescent="0.25">
      <c r="A4048" s="344">
        <v>44316</v>
      </c>
      <c r="B4048" s="343" t="s">
        <v>1078</v>
      </c>
      <c r="C4048" s="343" t="s">
        <v>1060</v>
      </c>
      <c r="D4048" s="345">
        <v>10</v>
      </c>
      <c r="E4048" s="346">
        <v>280</v>
      </c>
      <c r="F4048" s="346">
        <v>4276.8200000000397</v>
      </c>
      <c r="G4048" s="343" t="s">
        <v>2064</v>
      </c>
      <c r="H4048" s="343" t="s">
        <v>2117</v>
      </c>
      <c r="I4048" s="343" t="s">
        <v>1880</v>
      </c>
      <c r="J4048" s="343" t="s">
        <v>757</v>
      </c>
      <c r="K4048" s="343" t="s">
        <v>741</v>
      </c>
      <c r="L4048" s="344">
        <v>44316</v>
      </c>
      <c r="M4048" s="347">
        <v>0</v>
      </c>
    </row>
    <row r="4049" spans="1:13" hidden="1" x14ac:dyDescent="0.25">
      <c r="A4049" s="344">
        <v>44327</v>
      </c>
      <c r="B4049" s="343" t="s">
        <v>1924</v>
      </c>
      <c r="C4049" s="343" t="s">
        <v>1059</v>
      </c>
      <c r="D4049" s="345">
        <v>10</v>
      </c>
      <c r="E4049" s="346">
        <v>-129.24</v>
      </c>
      <c r="F4049" s="346">
        <v>4147.5800000000499</v>
      </c>
      <c r="G4049" s="343" t="s">
        <v>1923</v>
      </c>
      <c r="H4049" s="343" t="s">
        <v>2117</v>
      </c>
      <c r="I4049" s="343" t="s">
        <v>1880</v>
      </c>
      <c r="J4049" s="343" t="s">
        <v>757</v>
      </c>
      <c r="K4049" s="343" t="s">
        <v>741</v>
      </c>
      <c r="L4049" s="344">
        <v>44327</v>
      </c>
      <c r="M4049" s="347">
        <v>0</v>
      </c>
    </row>
    <row r="4050" spans="1:13" hidden="1" x14ac:dyDescent="0.25">
      <c r="A4050" s="344">
        <v>44327</v>
      </c>
      <c r="B4050" s="343" t="s">
        <v>1922</v>
      </c>
      <c r="C4050" s="343" t="s">
        <v>1059</v>
      </c>
      <c r="D4050" s="345">
        <v>10</v>
      </c>
      <c r="E4050" s="346">
        <v>129.24</v>
      </c>
      <c r="F4050" s="346">
        <v>4276.8200000000397</v>
      </c>
      <c r="G4050" s="343" t="s">
        <v>1923</v>
      </c>
      <c r="H4050" s="343" t="s">
        <v>2117</v>
      </c>
      <c r="I4050" s="343" t="s">
        <v>1880</v>
      </c>
      <c r="J4050" s="343" t="s">
        <v>757</v>
      </c>
      <c r="K4050" s="343" t="s">
        <v>741</v>
      </c>
      <c r="L4050" s="344">
        <v>44327</v>
      </c>
      <c r="M4050" s="347">
        <v>0</v>
      </c>
    </row>
    <row r="4051" spans="1:13" hidden="1" x14ac:dyDescent="0.25">
      <c r="A4051" s="344">
        <v>44048</v>
      </c>
      <c r="B4051" s="343" t="s">
        <v>2035</v>
      </c>
      <c r="C4051" s="343" t="s">
        <v>936</v>
      </c>
      <c r="D4051" s="345">
        <v>2</v>
      </c>
      <c r="E4051" s="346">
        <v>-213.18</v>
      </c>
      <c r="F4051" s="346">
        <v>3654.4000000000501</v>
      </c>
      <c r="G4051" s="343" t="s">
        <v>2036</v>
      </c>
      <c r="H4051" s="343" t="s">
        <v>2118</v>
      </c>
      <c r="I4051" s="343" t="s">
        <v>1880</v>
      </c>
      <c r="J4051" s="343" t="s">
        <v>757</v>
      </c>
      <c r="K4051" s="343" t="s">
        <v>770</v>
      </c>
      <c r="L4051" s="344">
        <v>43862</v>
      </c>
      <c r="M4051" s="347">
        <v>0</v>
      </c>
    </row>
    <row r="4052" spans="1:13" hidden="1" x14ac:dyDescent="0.25">
      <c r="A4052" s="344">
        <v>44048</v>
      </c>
      <c r="B4052" s="343" t="s">
        <v>2038</v>
      </c>
      <c r="C4052" s="343" t="s">
        <v>936</v>
      </c>
      <c r="D4052" s="345">
        <v>2</v>
      </c>
      <c r="E4052" s="346">
        <v>-213.18</v>
      </c>
      <c r="F4052" s="346">
        <v>3441.2200000000498</v>
      </c>
      <c r="G4052" s="343" t="s">
        <v>2039</v>
      </c>
      <c r="H4052" s="343" t="s">
        <v>2118</v>
      </c>
      <c r="I4052" s="343" t="s">
        <v>1880</v>
      </c>
      <c r="J4052" s="343" t="s">
        <v>757</v>
      </c>
      <c r="K4052" s="343" t="s">
        <v>770</v>
      </c>
      <c r="L4052" s="344">
        <v>43891</v>
      </c>
      <c r="M4052" s="347">
        <v>0</v>
      </c>
    </row>
    <row r="4053" spans="1:13" hidden="1" x14ac:dyDescent="0.25">
      <c r="A4053" s="344">
        <v>44048</v>
      </c>
      <c r="B4053" s="343" t="s">
        <v>2040</v>
      </c>
      <c r="C4053" s="343" t="s">
        <v>769</v>
      </c>
      <c r="D4053" s="345">
        <v>2</v>
      </c>
      <c r="E4053" s="346">
        <v>213.18</v>
      </c>
      <c r="F4053" s="346">
        <v>3654.4000000000501</v>
      </c>
      <c r="G4053" s="343" t="s">
        <v>2041</v>
      </c>
      <c r="H4053" s="343" t="s">
        <v>2118</v>
      </c>
      <c r="I4053" s="343" t="s">
        <v>1880</v>
      </c>
      <c r="J4053" s="343" t="s">
        <v>757</v>
      </c>
      <c r="K4053" s="343" t="s">
        <v>770</v>
      </c>
      <c r="L4053" s="344">
        <v>44048</v>
      </c>
      <c r="M4053" s="347">
        <v>0</v>
      </c>
    </row>
    <row r="4054" spans="1:13" hidden="1" x14ac:dyDescent="0.25">
      <c r="A4054" s="344">
        <v>44048</v>
      </c>
      <c r="B4054" s="343" t="s">
        <v>2042</v>
      </c>
      <c r="C4054" s="343" t="s">
        <v>769</v>
      </c>
      <c r="D4054" s="345">
        <v>2</v>
      </c>
      <c r="E4054" s="346">
        <v>213.18</v>
      </c>
      <c r="F4054" s="346">
        <v>3867.5800000000499</v>
      </c>
      <c r="G4054" s="343" t="s">
        <v>2043</v>
      </c>
      <c r="H4054" s="343" t="s">
        <v>2118</v>
      </c>
      <c r="I4054" s="343" t="s">
        <v>1880</v>
      </c>
      <c r="J4054" s="343" t="s">
        <v>757</v>
      </c>
      <c r="K4054" s="343" t="s">
        <v>770</v>
      </c>
      <c r="L4054" s="344">
        <v>44048</v>
      </c>
      <c r="M4054" s="347">
        <v>0</v>
      </c>
    </row>
    <row r="4055" spans="1:13" hidden="1" x14ac:dyDescent="0.25">
      <c r="A4055" s="344">
        <v>44104</v>
      </c>
      <c r="B4055" s="343" t="s">
        <v>2066</v>
      </c>
      <c r="C4055" s="343" t="s">
        <v>1060</v>
      </c>
      <c r="D4055" s="345">
        <v>3</v>
      </c>
      <c r="E4055" s="346">
        <v>70</v>
      </c>
      <c r="F4055" s="346">
        <v>3937.5800000000499</v>
      </c>
      <c r="G4055" s="343" t="s">
        <v>2067</v>
      </c>
      <c r="H4055" s="343" t="s">
        <v>2118</v>
      </c>
      <c r="I4055" s="343" t="s">
        <v>1880</v>
      </c>
      <c r="J4055" s="343" t="s">
        <v>757</v>
      </c>
      <c r="K4055" s="343" t="s">
        <v>741</v>
      </c>
      <c r="L4055" s="344">
        <v>44104</v>
      </c>
      <c r="M4055" s="347">
        <v>0</v>
      </c>
    </row>
    <row r="4056" spans="1:13" hidden="1" x14ac:dyDescent="0.25">
      <c r="A4056" s="344">
        <v>44104</v>
      </c>
      <c r="B4056" s="343" t="s">
        <v>2066</v>
      </c>
      <c r="C4056" s="343" t="s">
        <v>1060</v>
      </c>
      <c r="D4056" s="345">
        <v>4</v>
      </c>
      <c r="E4056" s="346">
        <v>-70</v>
      </c>
      <c r="F4056" s="346">
        <v>3867.5800000000499</v>
      </c>
      <c r="G4056" s="343" t="s">
        <v>2067</v>
      </c>
      <c r="H4056" s="343" t="s">
        <v>2118</v>
      </c>
      <c r="I4056" s="343" t="s">
        <v>1880</v>
      </c>
      <c r="J4056" s="343" t="s">
        <v>757</v>
      </c>
      <c r="K4056" s="343" t="s">
        <v>741</v>
      </c>
      <c r="L4056" s="344">
        <v>44104</v>
      </c>
      <c r="M4056" s="347">
        <v>0</v>
      </c>
    </row>
    <row r="4057" spans="1:13" hidden="1" x14ac:dyDescent="0.25">
      <c r="A4057" s="344">
        <v>44135</v>
      </c>
      <c r="B4057" s="343" t="s">
        <v>1954</v>
      </c>
      <c r="C4057" s="343" t="s">
        <v>1059</v>
      </c>
      <c r="D4057" s="345">
        <v>4</v>
      </c>
      <c r="E4057" s="346">
        <v>-32.31</v>
      </c>
      <c r="F4057" s="346">
        <v>3835.27000000005</v>
      </c>
      <c r="G4057" s="343" t="s">
        <v>1955</v>
      </c>
      <c r="H4057" s="343" t="s">
        <v>2118</v>
      </c>
      <c r="I4057" s="343" t="s">
        <v>1880</v>
      </c>
      <c r="J4057" s="343" t="s">
        <v>757</v>
      </c>
      <c r="K4057" s="343" t="s">
        <v>741</v>
      </c>
      <c r="L4057" s="344">
        <v>44135</v>
      </c>
      <c r="M4057" s="347">
        <v>0</v>
      </c>
    </row>
    <row r="4058" spans="1:13" hidden="1" x14ac:dyDescent="0.25">
      <c r="A4058" s="344">
        <v>44135</v>
      </c>
      <c r="B4058" s="343" t="s">
        <v>2068</v>
      </c>
      <c r="C4058" s="343" t="s">
        <v>1060</v>
      </c>
      <c r="D4058" s="345">
        <v>4</v>
      </c>
      <c r="E4058" s="346">
        <v>140</v>
      </c>
      <c r="F4058" s="346">
        <v>3975.27000000005</v>
      </c>
      <c r="G4058" s="343" t="s">
        <v>2069</v>
      </c>
      <c r="H4058" s="343" t="s">
        <v>2118</v>
      </c>
      <c r="I4058" s="343" t="s">
        <v>1880</v>
      </c>
      <c r="J4058" s="343" t="s">
        <v>757</v>
      </c>
      <c r="K4058" s="343" t="s">
        <v>741</v>
      </c>
      <c r="L4058" s="344">
        <v>44135</v>
      </c>
      <c r="M4058" s="347">
        <v>0</v>
      </c>
    </row>
    <row r="4059" spans="1:13" hidden="1" x14ac:dyDescent="0.25">
      <c r="A4059" s="344">
        <v>44135</v>
      </c>
      <c r="B4059" s="343" t="s">
        <v>2068</v>
      </c>
      <c r="C4059" s="343" t="s">
        <v>1060</v>
      </c>
      <c r="D4059" s="345">
        <v>5</v>
      </c>
      <c r="E4059" s="346">
        <v>-140</v>
      </c>
      <c r="F4059" s="346">
        <v>3835.27000000005</v>
      </c>
      <c r="G4059" s="343" t="s">
        <v>2069</v>
      </c>
      <c r="H4059" s="343" t="s">
        <v>2118</v>
      </c>
      <c r="I4059" s="343" t="s">
        <v>1880</v>
      </c>
      <c r="J4059" s="343" t="s">
        <v>757</v>
      </c>
      <c r="K4059" s="343" t="s">
        <v>741</v>
      </c>
      <c r="L4059" s="344">
        <v>44135</v>
      </c>
      <c r="M4059" s="347">
        <v>0</v>
      </c>
    </row>
    <row r="4060" spans="1:13" hidden="1" x14ac:dyDescent="0.25">
      <c r="A4060" s="344">
        <v>44187</v>
      </c>
      <c r="B4060" s="343" t="s">
        <v>1966</v>
      </c>
      <c r="C4060" s="343" t="s">
        <v>1059</v>
      </c>
      <c r="D4060" s="345">
        <v>6</v>
      </c>
      <c r="E4060" s="346">
        <v>-32.31</v>
      </c>
      <c r="F4060" s="346">
        <v>3802.9600000000501</v>
      </c>
      <c r="G4060" s="343" t="s">
        <v>1967</v>
      </c>
      <c r="H4060" s="343" t="s">
        <v>2118</v>
      </c>
      <c r="I4060" s="343" t="s">
        <v>1880</v>
      </c>
      <c r="J4060" s="343" t="s">
        <v>757</v>
      </c>
      <c r="K4060" s="343" t="s">
        <v>741</v>
      </c>
      <c r="L4060" s="344">
        <v>44187</v>
      </c>
      <c r="M4060" s="347">
        <v>0</v>
      </c>
    </row>
    <row r="4061" spans="1:13" hidden="1" x14ac:dyDescent="0.25">
      <c r="A4061" s="344">
        <v>44196</v>
      </c>
      <c r="B4061" s="343" t="s">
        <v>2048</v>
      </c>
      <c r="C4061" s="343" t="s">
        <v>1060</v>
      </c>
      <c r="D4061" s="345">
        <v>6</v>
      </c>
      <c r="E4061" s="346">
        <v>70</v>
      </c>
      <c r="F4061" s="346">
        <v>3872.9600000000501</v>
      </c>
      <c r="G4061" s="343" t="s">
        <v>2049</v>
      </c>
      <c r="H4061" s="343" t="s">
        <v>2118</v>
      </c>
      <c r="I4061" s="343" t="s">
        <v>1880</v>
      </c>
      <c r="J4061" s="343" t="s">
        <v>757</v>
      </c>
      <c r="K4061" s="343" t="s">
        <v>741</v>
      </c>
      <c r="L4061" s="344">
        <v>44196</v>
      </c>
      <c r="M4061" s="347">
        <v>0</v>
      </c>
    </row>
    <row r="4062" spans="1:13" hidden="1" x14ac:dyDescent="0.25">
      <c r="A4062" s="344">
        <v>44196</v>
      </c>
      <c r="B4062" s="343" t="s">
        <v>2048</v>
      </c>
      <c r="C4062" s="343" t="s">
        <v>1060</v>
      </c>
      <c r="D4062" s="345">
        <v>7</v>
      </c>
      <c r="E4062" s="346">
        <v>-70</v>
      </c>
      <c r="F4062" s="346">
        <v>3802.9600000000501</v>
      </c>
      <c r="G4062" s="343" t="s">
        <v>2049</v>
      </c>
      <c r="H4062" s="343" t="s">
        <v>2118</v>
      </c>
      <c r="I4062" s="343" t="s">
        <v>1880</v>
      </c>
      <c r="J4062" s="343" t="s">
        <v>757</v>
      </c>
      <c r="K4062" s="343" t="s">
        <v>741</v>
      </c>
      <c r="L4062" s="344">
        <v>44196</v>
      </c>
      <c r="M4062" s="347">
        <v>0</v>
      </c>
    </row>
    <row r="4063" spans="1:13" hidden="1" x14ac:dyDescent="0.25">
      <c r="A4063" s="344">
        <v>44227</v>
      </c>
      <c r="B4063" s="343" t="s">
        <v>2052</v>
      </c>
      <c r="C4063" s="343" t="s">
        <v>1060</v>
      </c>
      <c r="D4063" s="345">
        <v>7</v>
      </c>
      <c r="E4063" s="346">
        <v>70</v>
      </c>
      <c r="F4063" s="346">
        <v>3872.9600000000501</v>
      </c>
      <c r="G4063" s="343" t="s">
        <v>2053</v>
      </c>
      <c r="H4063" s="343" t="s">
        <v>2118</v>
      </c>
      <c r="I4063" s="343" t="s">
        <v>1880</v>
      </c>
      <c r="J4063" s="343" t="s">
        <v>757</v>
      </c>
      <c r="K4063" s="343" t="s">
        <v>741</v>
      </c>
      <c r="L4063" s="344">
        <v>44227</v>
      </c>
      <c r="M4063" s="347">
        <v>0</v>
      </c>
    </row>
    <row r="4064" spans="1:13" hidden="1" x14ac:dyDescent="0.25">
      <c r="A4064" s="344">
        <v>44227</v>
      </c>
      <c r="B4064" s="343" t="s">
        <v>2052</v>
      </c>
      <c r="C4064" s="343" t="s">
        <v>1060</v>
      </c>
      <c r="D4064" s="345">
        <v>8</v>
      </c>
      <c r="E4064" s="346">
        <v>-70</v>
      </c>
      <c r="F4064" s="346">
        <v>3802.9600000000501</v>
      </c>
      <c r="G4064" s="343" t="s">
        <v>2053</v>
      </c>
      <c r="H4064" s="343" t="s">
        <v>2118</v>
      </c>
      <c r="I4064" s="343" t="s">
        <v>1880</v>
      </c>
      <c r="J4064" s="343" t="s">
        <v>757</v>
      </c>
      <c r="K4064" s="343" t="s">
        <v>741</v>
      </c>
      <c r="L4064" s="344">
        <v>44227</v>
      </c>
      <c r="M4064" s="347">
        <v>0</v>
      </c>
    </row>
    <row r="4065" spans="1:13" hidden="1" x14ac:dyDescent="0.25">
      <c r="A4065" s="344">
        <v>44227</v>
      </c>
      <c r="B4065" s="343" t="s">
        <v>1974</v>
      </c>
      <c r="C4065" s="343" t="s">
        <v>1059</v>
      </c>
      <c r="D4065" s="345">
        <v>8</v>
      </c>
      <c r="E4065" s="346">
        <v>-64.62</v>
      </c>
      <c r="F4065" s="346">
        <v>3738.3400000000502</v>
      </c>
      <c r="G4065" s="343" t="s">
        <v>1975</v>
      </c>
      <c r="H4065" s="343" t="s">
        <v>2118</v>
      </c>
      <c r="I4065" s="343" t="s">
        <v>1880</v>
      </c>
      <c r="J4065" s="343" t="s">
        <v>757</v>
      </c>
      <c r="K4065" s="343" t="s">
        <v>741</v>
      </c>
      <c r="L4065" s="344">
        <v>44227</v>
      </c>
      <c r="M4065" s="347">
        <v>0</v>
      </c>
    </row>
    <row r="4066" spans="1:13" hidden="1" x14ac:dyDescent="0.25">
      <c r="A4066" s="344">
        <v>44244</v>
      </c>
      <c r="B4066" s="343" t="s">
        <v>1978</v>
      </c>
      <c r="C4066" s="343" t="s">
        <v>1059</v>
      </c>
      <c r="D4066" s="345">
        <v>8</v>
      </c>
      <c r="E4066" s="346">
        <v>-64.62</v>
      </c>
      <c r="F4066" s="346">
        <v>3673.7200000000498</v>
      </c>
      <c r="G4066" s="343" t="s">
        <v>1979</v>
      </c>
      <c r="H4066" s="343" t="s">
        <v>2118</v>
      </c>
      <c r="I4066" s="343" t="s">
        <v>1880</v>
      </c>
      <c r="J4066" s="343" t="s">
        <v>757</v>
      </c>
      <c r="K4066" s="343" t="s">
        <v>741</v>
      </c>
      <c r="L4066" s="344">
        <v>44244</v>
      </c>
      <c r="M4066" s="347">
        <v>0</v>
      </c>
    </row>
    <row r="4067" spans="1:13" hidden="1" x14ac:dyDescent="0.25">
      <c r="A4067" s="344">
        <v>44255</v>
      </c>
      <c r="B4067" s="343" t="s">
        <v>2056</v>
      </c>
      <c r="C4067" s="343" t="s">
        <v>1060</v>
      </c>
      <c r="D4067" s="345">
        <v>8</v>
      </c>
      <c r="E4067" s="346">
        <v>70</v>
      </c>
      <c r="F4067" s="346">
        <v>3743.7200000000498</v>
      </c>
      <c r="G4067" s="343" t="s">
        <v>2057</v>
      </c>
      <c r="H4067" s="343" t="s">
        <v>2118</v>
      </c>
      <c r="I4067" s="343" t="s">
        <v>1880</v>
      </c>
      <c r="J4067" s="343" t="s">
        <v>757</v>
      </c>
      <c r="K4067" s="343" t="s">
        <v>741</v>
      </c>
      <c r="L4067" s="344">
        <v>44255</v>
      </c>
      <c r="M4067" s="347">
        <v>0</v>
      </c>
    </row>
    <row r="4068" spans="1:13" hidden="1" x14ac:dyDescent="0.25">
      <c r="A4068" s="344">
        <v>44255</v>
      </c>
      <c r="B4068" s="343" t="s">
        <v>2056</v>
      </c>
      <c r="C4068" s="343" t="s">
        <v>1060</v>
      </c>
      <c r="D4068" s="345">
        <v>9</v>
      </c>
      <c r="E4068" s="346">
        <v>-70</v>
      </c>
      <c r="F4068" s="346">
        <v>3673.7200000000498</v>
      </c>
      <c r="G4068" s="343" t="s">
        <v>2057</v>
      </c>
      <c r="H4068" s="343" t="s">
        <v>2118</v>
      </c>
      <c r="I4068" s="343" t="s">
        <v>1880</v>
      </c>
      <c r="J4068" s="343" t="s">
        <v>757</v>
      </c>
      <c r="K4068" s="343" t="s">
        <v>741</v>
      </c>
      <c r="L4068" s="344">
        <v>44255</v>
      </c>
      <c r="M4068" s="347">
        <v>0</v>
      </c>
    </row>
    <row r="4069" spans="1:13" hidden="1" x14ac:dyDescent="0.25">
      <c r="A4069" s="344">
        <v>44259</v>
      </c>
      <c r="B4069" s="343" t="s">
        <v>1939</v>
      </c>
      <c r="C4069" s="343" t="s">
        <v>1059</v>
      </c>
      <c r="D4069" s="345">
        <v>9</v>
      </c>
      <c r="E4069" s="346">
        <v>-96.93</v>
      </c>
      <c r="F4069" s="346">
        <v>3576.79000000005</v>
      </c>
      <c r="G4069" s="343" t="s">
        <v>1940</v>
      </c>
      <c r="H4069" s="343" t="s">
        <v>2118</v>
      </c>
      <c r="I4069" s="343" t="s">
        <v>1880</v>
      </c>
      <c r="J4069" s="343" t="s">
        <v>757</v>
      </c>
      <c r="K4069" s="343" t="s">
        <v>741</v>
      </c>
      <c r="L4069" s="344">
        <v>44259</v>
      </c>
      <c r="M4069" s="347">
        <v>0</v>
      </c>
    </row>
    <row r="4070" spans="1:13" hidden="1" x14ac:dyDescent="0.25">
      <c r="A4070" s="344">
        <v>44272</v>
      </c>
      <c r="B4070" s="343" t="s">
        <v>1982</v>
      </c>
      <c r="C4070" s="343" t="s">
        <v>1059</v>
      </c>
      <c r="D4070" s="345">
        <v>9</v>
      </c>
      <c r="E4070" s="346">
        <v>-96.93</v>
      </c>
      <c r="F4070" s="346">
        <v>3479.8600000000501</v>
      </c>
      <c r="G4070" s="343" t="s">
        <v>1983</v>
      </c>
      <c r="H4070" s="343" t="s">
        <v>2118</v>
      </c>
      <c r="I4070" s="343" t="s">
        <v>1880</v>
      </c>
      <c r="J4070" s="343" t="s">
        <v>757</v>
      </c>
      <c r="K4070" s="343" t="s">
        <v>741</v>
      </c>
      <c r="L4070" s="344">
        <v>44272</v>
      </c>
      <c r="M4070" s="347">
        <v>0</v>
      </c>
    </row>
    <row r="4071" spans="1:13" hidden="1" x14ac:dyDescent="0.25">
      <c r="A4071" s="344">
        <v>44286</v>
      </c>
      <c r="B4071" s="343" t="s">
        <v>1918</v>
      </c>
      <c r="C4071" s="343" t="s">
        <v>1059</v>
      </c>
      <c r="D4071" s="345">
        <v>9</v>
      </c>
      <c r="E4071" s="346">
        <v>-129.24</v>
      </c>
      <c r="F4071" s="346">
        <v>3350.6200000000499</v>
      </c>
      <c r="G4071" s="343" t="s">
        <v>1919</v>
      </c>
      <c r="H4071" s="343" t="s">
        <v>2118</v>
      </c>
      <c r="I4071" s="343" t="s">
        <v>1880</v>
      </c>
      <c r="J4071" s="343" t="s">
        <v>757</v>
      </c>
      <c r="K4071" s="343" t="s">
        <v>741</v>
      </c>
      <c r="L4071" s="344">
        <v>44286</v>
      </c>
      <c r="M4071" s="347">
        <v>0</v>
      </c>
    </row>
    <row r="4072" spans="1:13" hidden="1" x14ac:dyDescent="0.25">
      <c r="A4072" s="344">
        <v>44301</v>
      </c>
      <c r="B4072" s="343" t="s">
        <v>1889</v>
      </c>
      <c r="C4072" s="343" t="s">
        <v>1059</v>
      </c>
      <c r="D4072" s="345">
        <v>10</v>
      </c>
      <c r="E4072" s="346">
        <v>-96.93</v>
      </c>
      <c r="F4072" s="346">
        <v>3253.6900000000501</v>
      </c>
      <c r="G4072" s="343" t="s">
        <v>1890</v>
      </c>
      <c r="H4072" s="343" t="s">
        <v>2118</v>
      </c>
      <c r="I4072" s="343" t="s">
        <v>1880</v>
      </c>
      <c r="J4072" s="343" t="s">
        <v>757</v>
      </c>
      <c r="K4072" s="343" t="s">
        <v>741</v>
      </c>
      <c r="L4072" s="344">
        <v>44301</v>
      </c>
      <c r="M4072" s="347">
        <v>0</v>
      </c>
    </row>
    <row r="4073" spans="1:13" hidden="1" x14ac:dyDescent="0.25">
      <c r="A4073" s="344">
        <v>44315</v>
      </c>
      <c r="B4073" s="343" t="s">
        <v>1920</v>
      </c>
      <c r="C4073" s="343" t="s">
        <v>1059</v>
      </c>
      <c r="D4073" s="345">
        <v>10</v>
      </c>
      <c r="E4073" s="346">
        <v>-96.93</v>
      </c>
      <c r="F4073" s="346">
        <v>3156.7600000000498</v>
      </c>
      <c r="G4073" s="343" t="s">
        <v>1921</v>
      </c>
      <c r="H4073" s="343" t="s">
        <v>2118</v>
      </c>
      <c r="I4073" s="343" t="s">
        <v>1880</v>
      </c>
      <c r="J4073" s="343" t="s">
        <v>757</v>
      </c>
      <c r="K4073" s="343" t="s">
        <v>741</v>
      </c>
      <c r="L4073" s="344">
        <v>44315</v>
      </c>
      <c r="M4073" s="347">
        <v>0</v>
      </c>
    </row>
    <row r="4074" spans="1:13" hidden="1" x14ac:dyDescent="0.25">
      <c r="A4074" s="344">
        <v>44327</v>
      </c>
      <c r="B4074" s="343" t="s">
        <v>1924</v>
      </c>
      <c r="C4074" s="343" t="s">
        <v>1059</v>
      </c>
      <c r="D4074" s="345">
        <v>10</v>
      </c>
      <c r="E4074" s="346">
        <v>-96.93</v>
      </c>
      <c r="F4074" s="346">
        <v>3059.8300000000499</v>
      </c>
      <c r="G4074" s="343" t="s">
        <v>1923</v>
      </c>
      <c r="H4074" s="343" t="s">
        <v>2118</v>
      </c>
      <c r="I4074" s="343" t="s">
        <v>1880</v>
      </c>
      <c r="J4074" s="343" t="s">
        <v>757</v>
      </c>
      <c r="K4074" s="343" t="s">
        <v>741</v>
      </c>
      <c r="L4074" s="344">
        <v>44327</v>
      </c>
      <c r="M4074" s="347">
        <v>0</v>
      </c>
    </row>
    <row r="4075" spans="1:13" hidden="1" x14ac:dyDescent="0.25">
      <c r="A4075" s="344">
        <v>44327</v>
      </c>
      <c r="B4075" s="343" t="s">
        <v>1922</v>
      </c>
      <c r="C4075" s="343" t="s">
        <v>1059</v>
      </c>
      <c r="D4075" s="345">
        <v>10</v>
      </c>
      <c r="E4075" s="346">
        <v>96.93</v>
      </c>
      <c r="F4075" s="346">
        <v>3156.7600000000498</v>
      </c>
      <c r="G4075" s="343" t="s">
        <v>1923</v>
      </c>
      <c r="H4075" s="343" t="s">
        <v>2118</v>
      </c>
      <c r="I4075" s="343" t="s">
        <v>1880</v>
      </c>
      <c r="J4075" s="343" t="s">
        <v>757</v>
      </c>
      <c r="K4075" s="343" t="s">
        <v>741</v>
      </c>
      <c r="L4075" s="344">
        <v>44327</v>
      </c>
      <c r="M4075" s="347">
        <v>0</v>
      </c>
    </row>
    <row r="4076" spans="1:13" hidden="1" x14ac:dyDescent="0.25">
      <c r="A4076" s="344">
        <v>44048</v>
      </c>
      <c r="B4076" s="343" t="s">
        <v>2035</v>
      </c>
      <c r="C4076" s="343" t="s">
        <v>936</v>
      </c>
      <c r="D4076" s="345">
        <v>2</v>
      </c>
      <c r="E4076" s="346">
        <v>-142.12</v>
      </c>
      <c r="F4076" s="346">
        <v>2917.7100000000501</v>
      </c>
      <c r="G4076" s="343" t="s">
        <v>2036</v>
      </c>
      <c r="H4076" s="343" t="s">
        <v>2119</v>
      </c>
      <c r="I4076" s="343" t="s">
        <v>1880</v>
      </c>
      <c r="J4076" s="343" t="s">
        <v>757</v>
      </c>
      <c r="K4076" s="343" t="s">
        <v>770</v>
      </c>
      <c r="L4076" s="344">
        <v>43862</v>
      </c>
      <c r="M4076" s="347">
        <v>0</v>
      </c>
    </row>
    <row r="4077" spans="1:13" hidden="1" x14ac:dyDescent="0.25">
      <c r="A4077" s="344">
        <v>44048</v>
      </c>
      <c r="B4077" s="343" t="s">
        <v>2038</v>
      </c>
      <c r="C4077" s="343" t="s">
        <v>936</v>
      </c>
      <c r="D4077" s="345">
        <v>2</v>
      </c>
      <c r="E4077" s="346">
        <v>-142.12</v>
      </c>
      <c r="F4077" s="346">
        <v>2775.5900000000502</v>
      </c>
      <c r="G4077" s="343" t="s">
        <v>2039</v>
      </c>
      <c r="H4077" s="343" t="s">
        <v>2119</v>
      </c>
      <c r="I4077" s="343" t="s">
        <v>1880</v>
      </c>
      <c r="J4077" s="343" t="s">
        <v>757</v>
      </c>
      <c r="K4077" s="343" t="s">
        <v>770</v>
      </c>
      <c r="L4077" s="344">
        <v>43891</v>
      </c>
      <c r="M4077" s="347">
        <v>0</v>
      </c>
    </row>
    <row r="4078" spans="1:13" hidden="1" x14ac:dyDescent="0.25">
      <c r="A4078" s="344">
        <v>44048</v>
      </c>
      <c r="B4078" s="343" t="s">
        <v>2040</v>
      </c>
      <c r="C4078" s="343" t="s">
        <v>769</v>
      </c>
      <c r="D4078" s="345">
        <v>2</v>
      </c>
      <c r="E4078" s="346">
        <v>142.12</v>
      </c>
      <c r="F4078" s="346">
        <v>2917.7100000000501</v>
      </c>
      <c r="G4078" s="343" t="s">
        <v>2041</v>
      </c>
      <c r="H4078" s="343" t="s">
        <v>2119</v>
      </c>
      <c r="I4078" s="343" t="s">
        <v>1880</v>
      </c>
      <c r="J4078" s="343" t="s">
        <v>757</v>
      </c>
      <c r="K4078" s="343" t="s">
        <v>770</v>
      </c>
      <c r="L4078" s="344">
        <v>44048</v>
      </c>
      <c r="M4078" s="347">
        <v>0</v>
      </c>
    </row>
    <row r="4079" spans="1:13" hidden="1" x14ac:dyDescent="0.25">
      <c r="A4079" s="344">
        <v>44048</v>
      </c>
      <c r="B4079" s="343" t="s">
        <v>2042</v>
      </c>
      <c r="C4079" s="343" t="s">
        <v>769</v>
      </c>
      <c r="D4079" s="345">
        <v>2</v>
      </c>
      <c r="E4079" s="346">
        <v>142.12</v>
      </c>
      <c r="F4079" s="346">
        <v>3059.8300000000499</v>
      </c>
      <c r="G4079" s="343" t="s">
        <v>2043</v>
      </c>
      <c r="H4079" s="343" t="s">
        <v>2119</v>
      </c>
      <c r="I4079" s="343" t="s">
        <v>1880</v>
      </c>
      <c r="J4079" s="343" t="s">
        <v>757</v>
      </c>
      <c r="K4079" s="343" t="s">
        <v>770</v>
      </c>
      <c r="L4079" s="344">
        <v>44048</v>
      </c>
      <c r="M4079" s="347">
        <v>0</v>
      </c>
    </row>
    <row r="4080" spans="1:13" hidden="1" x14ac:dyDescent="0.25">
      <c r="A4080" s="344">
        <v>44062</v>
      </c>
      <c r="B4080" s="343" t="s">
        <v>1932</v>
      </c>
      <c r="C4080" s="343" t="s">
        <v>1059</v>
      </c>
      <c r="D4080" s="345">
        <v>2</v>
      </c>
      <c r="E4080" s="346">
        <v>-4.55</v>
      </c>
      <c r="F4080" s="346">
        <v>3055.2800000000502</v>
      </c>
      <c r="G4080" s="343" t="s">
        <v>1933</v>
      </c>
      <c r="H4080" s="343" t="s">
        <v>2119</v>
      </c>
      <c r="I4080" s="343" t="s">
        <v>1880</v>
      </c>
      <c r="J4080" s="343" t="s">
        <v>757</v>
      </c>
      <c r="K4080" s="343" t="s">
        <v>741</v>
      </c>
      <c r="L4080" s="344">
        <v>44062</v>
      </c>
      <c r="M4080" s="347">
        <v>0</v>
      </c>
    </row>
    <row r="4081" spans="1:13" hidden="1" x14ac:dyDescent="0.25">
      <c r="A4081" s="344">
        <v>44104</v>
      </c>
      <c r="B4081" s="343" t="s">
        <v>1934</v>
      </c>
      <c r="C4081" s="343" t="s">
        <v>1059</v>
      </c>
      <c r="D4081" s="345">
        <v>3</v>
      </c>
      <c r="E4081" s="346">
        <v>-18.2</v>
      </c>
      <c r="F4081" s="346">
        <v>3037.0800000000499</v>
      </c>
      <c r="G4081" s="343" t="s">
        <v>1935</v>
      </c>
      <c r="H4081" s="343" t="s">
        <v>2119</v>
      </c>
      <c r="I4081" s="343" t="s">
        <v>1880</v>
      </c>
      <c r="J4081" s="343" t="s">
        <v>757</v>
      </c>
      <c r="K4081" s="343" t="s">
        <v>741</v>
      </c>
      <c r="L4081" s="344">
        <v>44104</v>
      </c>
      <c r="M4081" s="347">
        <v>0</v>
      </c>
    </row>
    <row r="4082" spans="1:13" hidden="1" x14ac:dyDescent="0.25">
      <c r="A4082" s="344">
        <v>44144</v>
      </c>
      <c r="B4082" s="343" t="s">
        <v>2044</v>
      </c>
      <c r="C4082" s="343" t="s">
        <v>769</v>
      </c>
      <c r="D4082" s="345">
        <v>6</v>
      </c>
      <c r="E4082" s="346">
        <v>70</v>
      </c>
      <c r="F4082" s="346">
        <v>3107.0800000000499</v>
      </c>
      <c r="G4082" s="343" t="s">
        <v>2045</v>
      </c>
      <c r="H4082" s="343" t="s">
        <v>2119</v>
      </c>
      <c r="I4082" s="343" t="s">
        <v>1880</v>
      </c>
      <c r="J4082" s="343" t="s">
        <v>757</v>
      </c>
      <c r="K4082" s="343" t="s">
        <v>770</v>
      </c>
      <c r="L4082" s="344">
        <v>44144</v>
      </c>
      <c r="M4082" s="347">
        <v>0</v>
      </c>
    </row>
    <row r="4083" spans="1:13" hidden="1" x14ac:dyDescent="0.25">
      <c r="A4083" s="344">
        <v>44168</v>
      </c>
      <c r="B4083" s="343" t="s">
        <v>2046</v>
      </c>
      <c r="C4083" s="343" t="s">
        <v>769</v>
      </c>
      <c r="D4083" s="345">
        <v>6</v>
      </c>
      <c r="E4083" s="346">
        <v>70</v>
      </c>
      <c r="F4083" s="346">
        <v>3177.0800000000499</v>
      </c>
      <c r="G4083" s="343" t="s">
        <v>2047</v>
      </c>
      <c r="H4083" s="343" t="s">
        <v>2119</v>
      </c>
      <c r="I4083" s="343" t="s">
        <v>1880</v>
      </c>
      <c r="J4083" s="343" t="s">
        <v>757</v>
      </c>
      <c r="K4083" s="343" t="s">
        <v>770</v>
      </c>
      <c r="L4083" s="344">
        <v>44168</v>
      </c>
      <c r="M4083" s="347">
        <v>0</v>
      </c>
    </row>
    <row r="4084" spans="1:13" hidden="1" x14ac:dyDescent="0.25">
      <c r="A4084" s="344">
        <v>44196</v>
      </c>
      <c r="B4084" s="343" t="s">
        <v>2048</v>
      </c>
      <c r="C4084" s="343" t="s">
        <v>1060</v>
      </c>
      <c r="D4084" s="345">
        <v>6</v>
      </c>
      <c r="E4084" s="346">
        <v>70</v>
      </c>
      <c r="F4084" s="346">
        <v>3247.0800000000499</v>
      </c>
      <c r="G4084" s="343" t="s">
        <v>2049</v>
      </c>
      <c r="H4084" s="343" t="s">
        <v>2119</v>
      </c>
      <c r="I4084" s="343" t="s">
        <v>1880</v>
      </c>
      <c r="J4084" s="343" t="s">
        <v>757</v>
      </c>
      <c r="K4084" s="343" t="s">
        <v>741</v>
      </c>
      <c r="L4084" s="344">
        <v>44196</v>
      </c>
      <c r="M4084" s="347">
        <v>0</v>
      </c>
    </row>
    <row r="4085" spans="1:13" hidden="1" x14ac:dyDescent="0.25">
      <c r="A4085" s="344">
        <v>44196</v>
      </c>
      <c r="B4085" s="343" t="s">
        <v>2048</v>
      </c>
      <c r="C4085" s="343" t="s">
        <v>1060</v>
      </c>
      <c r="D4085" s="345">
        <v>7</v>
      </c>
      <c r="E4085" s="346">
        <v>-70</v>
      </c>
      <c r="F4085" s="346">
        <v>3177.0800000000499</v>
      </c>
      <c r="G4085" s="343" t="s">
        <v>2049</v>
      </c>
      <c r="H4085" s="343" t="s">
        <v>2119</v>
      </c>
      <c r="I4085" s="343" t="s">
        <v>1880</v>
      </c>
      <c r="J4085" s="343" t="s">
        <v>757</v>
      </c>
      <c r="K4085" s="343" t="s">
        <v>741</v>
      </c>
      <c r="L4085" s="344">
        <v>44196</v>
      </c>
      <c r="M4085" s="347">
        <v>0</v>
      </c>
    </row>
    <row r="4086" spans="1:13" hidden="1" x14ac:dyDescent="0.25">
      <c r="A4086" s="344">
        <v>44196</v>
      </c>
      <c r="B4086" s="343" t="s">
        <v>2050</v>
      </c>
      <c r="C4086" s="343" t="s">
        <v>769</v>
      </c>
      <c r="D4086" s="345">
        <v>7</v>
      </c>
      <c r="E4086" s="346">
        <v>70</v>
      </c>
      <c r="F4086" s="346">
        <v>3247.0800000000499</v>
      </c>
      <c r="G4086" s="343" t="s">
        <v>2051</v>
      </c>
      <c r="H4086" s="343" t="s">
        <v>2119</v>
      </c>
      <c r="I4086" s="343" t="s">
        <v>1880</v>
      </c>
      <c r="J4086" s="343" t="s">
        <v>757</v>
      </c>
      <c r="K4086" s="343" t="s">
        <v>770</v>
      </c>
      <c r="L4086" s="344">
        <v>44196</v>
      </c>
      <c r="M4086" s="347">
        <v>0</v>
      </c>
    </row>
    <row r="4087" spans="1:13" hidden="1" x14ac:dyDescent="0.25">
      <c r="A4087" s="344">
        <v>44227</v>
      </c>
      <c r="B4087" s="343" t="s">
        <v>2052</v>
      </c>
      <c r="C4087" s="343" t="s">
        <v>1060</v>
      </c>
      <c r="D4087" s="345">
        <v>7</v>
      </c>
      <c r="E4087" s="346">
        <v>70</v>
      </c>
      <c r="F4087" s="346">
        <v>3317.0800000000499</v>
      </c>
      <c r="G4087" s="343" t="s">
        <v>2053</v>
      </c>
      <c r="H4087" s="343" t="s">
        <v>2119</v>
      </c>
      <c r="I4087" s="343" t="s">
        <v>1880</v>
      </c>
      <c r="J4087" s="343" t="s">
        <v>757</v>
      </c>
      <c r="K4087" s="343" t="s">
        <v>741</v>
      </c>
      <c r="L4087" s="344">
        <v>44227</v>
      </c>
      <c r="M4087" s="347">
        <v>0</v>
      </c>
    </row>
    <row r="4088" spans="1:13" hidden="1" x14ac:dyDescent="0.25">
      <c r="A4088" s="344">
        <v>44227</v>
      </c>
      <c r="B4088" s="343" t="s">
        <v>2052</v>
      </c>
      <c r="C4088" s="343" t="s">
        <v>1060</v>
      </c>
      <c r="D4088" s="345">
        <v>8</v>
      </c>
      <c r="E4088" s="346">
        <v>-70</v>
      </c>
      <c r="F4088" s="346">
        <v>3247.0800000000499</v>
      </c>
      <c r="G4088" s="343" t="s">
        <v>2053</v>
      </c>
      <c r="H4088" s="343" t="s">
        <v>2119</v>
      </c>
      <c r="I4088" s="343" t="s">
        <v>1880</v>
      </c>
      <c r="J4088" s="343" t="s">
        <v>757</v>
      </c>
      <c r="K4088" s="343" t="s">
        <v>741</v>
      </c>
      <c r="L4088" s="344">
        <v>44227</v>
      </c>
      <c r="M4088" s="347">
        <v>0</v>
      </c>
    </row>
    <row r="4089" spans="1:13" hidden="1" x14ac:dyDescent="0.25">
      <c r="A4089" s="344">
        <v>44228</v>
      </c>
      <c r="B4089" s="343" t="s">
        <v>2054</v>
      </c>
      <c r="C4089" s="343" t="s">
        <v>769</v>
      </c>
      <c r="D4089" s="345">
        <v>8</v>
      </c>
      <c r="E4089" s="346">
        <v>70</v>
      </c>
      <c r="F4089" s="346">
        <v>3317.0800000000499</v>
      </c>
      <c r="G4089" s="343" t="s">
        <v>2055</v>
      </c>
      <c r="H4089" s="343" t="s">
        <v>2119</v>
      </c>
      <c r="I4089" s="343" t="s">
        <v>1880</v>
      </c>
      <c r="J4089" s="343" t="s">
        <v>757</v>
      </c>
      <c r="K4089" s="343" t="s">
        <v>770</v>
      </c>
      <c r="L4089" s="344">
        <v>44228</v>
      </c>
      <c r="M4089" s="347">
        <v>0</v>
      </c>
    </row>
    <row r="4090" spans="1:13" hidden="1" x14ac:dyDescent="0.25">
      <c r="A4090" s="344">
        <v>44255</v>
      </c>
      <c r="B4090" s="343" t="s">
        <v>2056</v>
      </c>
      <c r="C4090" s="343" t="s">
        <v>1060</v>
      </c>
      <c r="D4090" s="345">
        <v>8</v>
      </c>
      <c r="E4090" s="346">
        <v>70</v>
      </c>
      <c r="F4090" s="346">
        <v>3387.0800000000499</v>
      </c>
      <c r="G4090" s="343" t="s">
        <v>2057</v>
      </c>
      <c r="H4090" s="343" t="s">
        <v>2119</v>
      </c>
      <c r="I4090" s="343" t="s">
        <v>1880</v>
      </c>
      <c r="J4090" s="343" t="s">
        <v>757</v>
      </c>
      <c r="K4090" s="343" t="s">
        <v>741</v>
      </c>
      <c r="L4090" s="344">
        <v>44255</v>
      </c>
      <c r="M4090" s="347">
        <v>0</v>
      </c>
    </row>
    <row r="4091" spans="1:13" hidden="1" x14ac:dyDescent="0.25">
      <c r="A4091" s="344">
        <v>44255</v>
      </c>
      <c r="B4091" s="343" t="s">
        <v>2056</v>
      </c>
      <c r="C4091" s="343" t="s">
        <v>1060</v>
      </c>
      <c r="D4091" s="345">
        <v>9</v>
      </c>
      <c r="E4091" s="346">
        <v>-70</v>
      </c>
      <c r="F4091" s="346">
        <v>3317.0800000000499</v>
      </c>
      <c r="G4091" s="343" t="s">
        <v>2057</v>
      </c>
      <c r="H4091" s="343" t="s">
        <v>2119</v>
      </c>
      <c r="I4091" s="343" t="s">
        <v>1880</v>
      </c>
      <c r="J4091" s="343" t="s">
        <v>757</v>
      </c>
      <c r="K4091" s="343" t="s">
        <v>741</v>
      </c>
      <c r="L4091" s="344">
        <v>44255</v>
      </c>
      <c r="M4091" s="347">
        <v>0</v>
      </c>
    </row>
    <row r="4092" spans="1:13" hidden="1" x14ac:dyDescent="0.25">
      <c r="A4092" s="344">
        <v>44255</v>
      </c>
      <c r="B4092" s="343" t="s">
        <v>2058</v>
      </c>
      <c r="C4092" s="343" t="s">
        <v>769</v>
      </c>
      <c r="D4092" s="345">
        <v>9</v>
      </c>
      <c r="E4092" s="346">
        <v>70</v>
      </c>
      <c r="F4092" s="346">
        <v>3387.0800000000499</v>
      </c>
      <c r="G4092" s="343" t="s">
        <v>2059</v>
      </c>
      <c r="H4092" s="343" t="s">
        <v>2119</v>
      </c>
      <c r="I4092" s="343" t="s">
        <v>1880</v>
      </c>
      <c r="J4092" s="343" t="s">
        <v>757</v>
      </c>
      <c r="K4092" s="343" t="s">
        <v>770</v>
      </c>
      <c r="L4092" s="344">
        <v>44255</v>
      </c>
      <c r="M4092" s="347">
        <v>0</v>
      </c>
    </row>
    <row r="4093" spans="1:13" hidden="1" x14ac:dyDescent="0.25">
      <c r="A4093" s="344">
        <v>44286</v>
      </c>
      <c r="B4093" s="343" t="s">
        <v>2060</v>
      </c>
      <c r="C4093" s="343" t="s">
        <v>1060</v>
      </c>
      <c r="D4093" s="345">
        <v>9</v>
      </c>
      <c r="E4093" s="346">
        <v>70</v>
      </c>
      <c r="F4093" s="346">
        <v>3457.0800000000499</v>
      </c>
      <c r="G4093" s="343" t="s">
        <v>2061</v>
      </c>
      <c r="H4093" s="343" t="s">
        <v>2119</v>
      </c>
      <c r="I4093" s="343" t="s">
        <v>1880</v>
      </c>
      <c r="J4093" s="343" t="s">
        <v>757</v>
      </c>
      <c r="K4093" s="343" t="s">
        <v>741</v>
      </c>
      <c r="L4093" s="344">
        <v>44286</v>
      </c>
      <c r="M4093" s="347">
        <v>0</v>
      </c>
    </row>
    <row r="4094" spans="1:13" hidden="1" x14ac:dyDescent="0.25">
      <c r="A4094" s="344">
        <v>44286</v>
      </c>
      <c r="B4094" s="343" t="s">
        <v>2060</v>
      </c>
      <c r="C4094" s="343" t="s">
        <v>1060</v>
      </c>
      <c r="D4094" s="345">
        <v>10</v>
      </c>
      <c r="E4094" s="346">
        <v>-70</v>
      </c>
      <c r="F4094" s="346">
        <v>3387.0800000000499</v>
      </c>
      <c r="G4094" s="343" t="s">
        <v>2061</v>
      </c>
      <c r="H4094" s="343" t="s">
        <v>2119</v>
      </c>
      <c r="I4094" s="343" t="s">
        <v>1880</v>
      </c>
      <c r="J4094" s="343" t="s">
        <v>757</v>
      </c>
      <c r="K4094" s="343" t="s">
        <v>741</v>
      </c>
      <c r="L4094" s="344">
        <v>44286</v>
      </c>
      <c r="M4094" s="347">
        <v>0</v>
      </c>
    </row>
    <row r="4095" spans="1:13" hidden="1" x14ac:dyDescent="0.25">
      <c r="A4095" s="344">
        <v>44293</v>
      </c>
      <c r="B4095" s="343" t="s">
        <v>2062</v>
      </c>
      <c r="C4095" s="343" t="s">
        <v>769</v>
      </c>
      <c r="D4095" s="345">
        <v>10</v>
      </c>
      <c r="E4095" s="346">
        <v>70</v>
      </c>
      <c r="F4095" s="346">
        <v>3457.0800000000499</v>
      </c>
      <c r="G4095" s="343" t="s">
        <v>2063</v>
      </c>
      <c r="H4095" s="343" t="s">
        <v>2119</v>
      </c>
      <c r="I4095" s="343" t="s">
        <v>1880</v>
      </c>
      <c r="J4095" s="343" t="s">
        <v>757</v>
      </c>
      <c r="K4095" s="343" t="s">
        <v>770</v>
      </c>
      <c r="L4095" s="344">
        <v>44293</v>
      </c>
      <c r="M4095" s="347">
        <v>0</v>
      </c>
    </row>
    <row r="4096" spans="1:13" hidden="1" x14ac:dyDescent="0.25">
      <c r="A4096" s="344">
        <v>44316</v>
      </c>
      <c r="B4096" s="343" t="s">
        <v>1078</v>
      </c>
      <c r="C4096" s="343" t="s">
        <v>1060</v>
      </c>
      <c r="D4096" s="345">
        <v>10</v>
      </c>
      <c r="E4096" s="346">
        <v>70</v>
      </c>
      <c r="F4096" s="346">
        <v>3527.0800000000499</v>
      </c>
      <c r="G4096" s="343" t="s">
        <v>2064</v>
      </c>
      <c r="H4096" s="343" t="s">
        <v>2119</v>
      </c>
      <c r="I4096" s="343" t="s">
        <v>1880</v>
      </c>
      <c r="J4096" s="343" t="s">
        <v>757</v>
      </c>
      <c r="K4096" s="343" t="s">
        <v>741</v>
      </c>
      <c r="L4096" s="344">
        <v>44316</v>
      </c>
      <c r="M4096" s="347">
        <v>0</v>
      </c>
    </row>
    <row r="4097" spans="1:13" hidden="1" x14ac:dyDescent="0.25">
      <c r="A4097" s="344">
        <v>44048</v>
      </c>
      <c r="B4097" s="343" t="s">
        <v>2035</v>
      </c>
      <c r="C4097" s="343" t="s">
        <v>936</v>
      </c>
      <c r="D4097" s="345">
        <v>2</v>
      </c>
      <c r="E4097" s="346">
        <v>-1136.96</v>
      </c>
      <c r="F4097" s="346">
        <v>2390.1200000000499</v>
      </c>
      <c r="G4097" s="343" t="s">
        <v>2036</v>
      </c>
      <c r="H4097" s="343" t="s">
        <v>2120</v>
      </c>
      <c r="I4097" s="343" t="s">
        <v>1880</v>
      </c>
      <c r="J4097" s="343" t="s">
        <v>757</v>
      </c>
      <c r="K4097" s="343" t="s">
        <v>770</v>
      </c>
      <c r="L4097" s="344">
        <v>43862</v>
      </c>
      <c r="M4097" s="347">
        <v>0</v>
      </c>
    </row>
    <row r="4098" spans="1:13" hidden="1" x14ac:dyDescent="0.25">
      <c r="A4098" s="344">
        <v>44048</v>
      </c>
      <c r="B4098" s="343" t="s">
        <v>2038</v>
      </c>
      <c r="C4098" s="343" t="s">
        <v>936</v>
      </c>
      <c r="D4098" s="345">
        <v>2</v>
      </c>
      <c r="E4098" s="346">
        <v>-1136.96</v>
      </c>
      <c r="F4098" s="346">
        <v>1253.1600000000501</v>
      </c>
      <c r="G4098" s="343" t="s">
        <v>2039</v>
      </c>
      <c r="H4098" s="343" t="s">
        <v>2120</v>
      </c>
      <c r="I4098" s="343" t="s">
        <v>1880</v>
      </c>
      <c r="J4098" s="343" t="s">
        <v>757</v>
      </c>
      <c r="K4098" s="343" t="s">
        <v>770</v>
      </c>
      <c r="L4098" s="344">
        <v>43891</v>
      </c>
      <c r="M4098" s="347">
        <v>0</v>
      </c>
    </row>
    <row r="4099" spans="1:13" hidden="1" x14ac:dyDescent="0.25">
      <c r="A4099" s="344">
        <v>44048</v>
      </c>
      <c r="B4099" s="343" t="s">
        <v>2040</v>
      </c>
      <c r="C4099" s="343" t="s">
        <v>769</v>
      </c>
      <c r="D4099" s="345">
        <v>2</v>
      </c>
      <c r="E4099" s="346">
        <v>1136.96</v>
      </c>
      <c r="F4099" s="346">
        <v>2390.1200000000499</v>
      </c>
      <c r="G4099" s="343" t="s">
        <v>2041</v>
      </c>
      <c r="H4099" s="343" t="s">
        <v>2120</v>
      </c>
      <c r="I4099" s="343" t="s">
        <v>1880</v>
      </c>
      <c r="J4099" s="343" t="s">
        <v>757</v>
      </c>
      <c r="K4099" s="343" t="s">
        <v>770</v>
      </c>
      <c r="L4099" s="344">
        <v>44048</v>
      </c>
      <c r="M4099" s="347">
        <v>0</v>
      </c>
    </row>
    <row r="4100" spans="1:13" hidden="1" x14ac:dyDescent="0.25">
      <c r="A4100" s="344">
        <v>44048</v>
      </c>
      <c r="B4100" s="343" t="s">
        <v>2042</v>
      </c>
      <c r="C4100" s="343" t="s">
        <v>769</v>
      </c>
      <c r="D4100" s="345">
        <v>2</v>
      </c>
      <c r="E4100" s="346">
        <v>1136.96</v>
      </c>
      <c r="F4100" s="346">
        <v>3527.0800000000499</v>
      </c>
      <c r="G4100" s="343" t="s">
        <v>2043</v>
      </c>
      <c r="H4100" s="343" t="s">
        <v>2120</v>
      </c>
      <c r="I4100" s="343" t="s">
        <v>1880</v>
      </c>
      <c r="J4100" s="343" t="s">
        <v>757</v>
      </c>
      <c r="K4100" s="343" t="s">
        <v>770</v>
      </c>
      <c r="L4100" s="344">
        <v>44048</v>
      </c>
      <c r="M4100" s="347">
        <v>0</v>
      </c>
    </row>
    <row r="4101" spans="1:13" hidden="1" x14ac:dyDescent="0.25">
      <c r="A4101" s="344">
        <v>44052</v>
      </c>
      <c r="B4101" s="343" t="s">
        <v>1930</v>
      </c>
      <c r="C4101" s="343" t="s">
        <v>1059</v>
      </c>
      <c r="D4101" s="345">
        <v>2</v>
      </c>
      <c r="E4101" s="346">
        <v>-31.85</v>
      </c>
      <c r="F4101" s="346">
        <v>3495.23000000005</v>
      </c>
      <c r="G4101" s="343" t="s">
        <v>1931</v>
      </c>
      <c r="H4101" s="343" t="s">
        <v>2120</v>
      </c>
      <c r="I4101" s="343" t="s">
        <v>1880</v>
      </c>
      <c r="J4101" s="343" t="s">
        <v>757</v>
      </c>
      <c r="K4101" s="343" t="s">
        <v>741</v>
      </c>
      <c r="L4101" s="344">
        <v>44052</v>
      </c>
      <c r="M4101" s="347">
        <v>0</v>
      </c>
    </row>
    <row r="4102" spans="1:13" hidden="1" x14ac:dyDescent="0.25">
      <c r="A4102" s="344">
        <v>44062</v>
      </c>
      <c r="B4102" s="343" t="s">
        <v>1932</v>
      </c>
      <c r="C4102" s="343" t="s">
        <v>1059</v>
      </c>
      <c r="D4102" s="345">
        <v>2</v>
      </c>
      <c r="E4102" s="346">
        <v>-36.4</v>
      </c>
      <c r="F4102" s="346">
        <v>3458.8300000000499</v>
      </c>
      <c r="G4102" s="343" t="s">
        <v>1933</v>
      </c>
      <c r="H4102" s="343" t="s">
        <v>2120</v>
      </c>
      <c r="I4102" s="343" t="s">
        <v>1880</v>
      </c>
      <c r="J4102" s="343" t="s">
        <v>757</v>
      </c>
      <c r="K4102" s="343" t="s">
        <v>741</v>
      </c>
      <c r="L4102" s="344">
        <v>44062</v>
      </c>
      <c r="M4102" s="347">
        <v>0</v>
      </c>
    </row>
    <row r="4103" spans="1:13" hidden="1" x14ac:dyDescent="0.25">
      <c r="A4103" s="344">
        <v>44083</v>
      </c>
      <c r="B4103" s="343" t="s">
        <v>1948</v>
      </c>
      <c r="C4103" s="343" t="s">
        <v>1059</v>
      </c>
      <c r="D4103" s="345">
        <v>3</v>
      </c>
      <c r="E4103" s="346">
        <v>4.55</v>
      </c>
      <c r="F4103" s="346">
        <v>3463.3800000000501</v>
      </c>
      <c r="G4103" s="343" t="s">
        <v>1949</v>
      </c>
      <c r="H4103" s="343" t="s">
        <v>2120</v>
      </c>
      <c r="I4103" s="343" t="s">
        <v>1880</v>
      </c>
      <c r="J4103" s="343" t="s">
        <v>757</v>
      </c>
      <c r="K4103" s="343" t="s">
        <v>741</v>
      </c>
      <c r="L4103" s="344">
        <v>44083</v>
      </c>
      <c r="M4103" s="347">
        <v>0</v>
      </c>
    </row>
    <row r="4104" spans="1:13" hidden="1" x14ac:dyDescent="0.25">
      <c r="A4104" s="344">
        <v>44090</v>
      </c>
      <c r="B4104" s="343" t="s">
        <v>2098</v>
      </c>
      <c r="C4104" s="343" t="s">
        <v>769</v>
      </c>
      <c r="D4104" s="345">
        <v>3</v>
      </c>
      <c r="E4104" s="346">
        <v>75.75</v>
      </c>
      <c r="F4104" s="346">
        <v>3539.1300000000501</v>
      </c>
      <c r="G4104" s="343" t="s">
        <v>2099</v>
      </c>
      <c r="H4104" s="343" t="s">
        <v>2120</v>
      </c>
      <c r="I4104" s="343" t="s">
        <v>1880</v>
      </c>
      <c r="J4104" s="343" t="s">
        <v>757</v>
      </c>
      <c r="K4104" s="343" t="s">
        <v>770</v>
      </c>
      <c r="L4104" s="344">
        <v>44090</v>
      </c>
      <c r="M4104" s="347">
        <v>0</v>
      </c>
    </row>
    <row r="4105" spans="1:13" hidden="1" x14ac:dyDescent="0.25">
      <c r="A4105" s="344">
        <v>44094</v>
      </c>
      <c r="B4105" s="343" t="s">
        <v>1950</v>
      </c>
      <c r="C4105" s="343" t="s">
        <v>1059</v>
      </c>
      <c r="D4105" s="345">
        <v>3</v>
      </c>
      <c r="E4105" s="346">
        <v>-63.7</v>
      </c>
      <c r="F4105" s="346">
        <v>3475.4300000000499</v>
      </c>
      <c r="G4105" s="343" t="s">
        <v>1951</v>
      </c>
      <c r="H4105" s="343" t="s">
        <v>2120</v>
      </c>
      <c r="I4105" s="343" t="s">
        <v>1880</v>
      </c>
      <c r="J4105" s="343" t="s">
        <v>757</v>
      </c>
      <c r="K4105" s="343" t="s">
        <v>741</v>
      </c>
      <c r="L4105" s="344">
        <v>44094</v>
      </c>
      <c r="M4105" s="347">
        <v>0</v>
      </c>
    </row>
    <row r="4106" spans="1:13" hidden="1" x14ac:dyDescent="0.25">
      <c r="A4106" s="344">
        <v>44104</v>
      </c>
      <c r="B4106" s="343" t="s">
        <v>1934</v>
      </c>
      <c r="C4106" s="343" t="s">
        <v>1059</v>
      </c>
      <c r="D4106" s="345">
        <v>3</v>
      </c>
      <c r="E4106" s="346">
        <v>-36.4</v>
      </c>
      <c r="F4106" s="346">
        <v>3439.0300000000502</v>
      </c>
      <c r="G4106" s="343" t="s">
        <v>1935</v>
      </c>
      <c r="H4106" s="343" t="s">
        <v>2120</v>
      </c>
      <c r="I4106" s="343" t="s">
        <v>1880</v>
      </c>
      <c r="J4106" s="343" t="s">
        <v>757</v>
      </c>
      <c r="K4106" s="343" t="s">
        <v>741</v>
      </c>
      <c r="L4106" s="344">
        <v>44104</v>
      </c>
      <c r="M4106" s="347">
        <v>0</v>
      </c>
    </row>
    <row r="4107" spans="1:13" hidden="1" x14ac:dyDescent="0.25">
      <c r="A4107" s="344">
        <v>44104</v>
      </c>
      <c r="B4107" s="343" t="s">
        <v>2066</v>
      </c>
      <c r="C4107" s="343" t="s">
        <v>1060</v>
      </c>
      <c r="D4107" s="345">
        <v>3</v>
      </c>
      <c r="E4107" s="346">
        <v>420</v>
      </c>
      <c r="F4107" s="346">
        <v>3859.0300000000502</v>
      </c>
      <c r="G4107" s="343" t="s">
        <v>2067</v>
      </c>
      <c r="H4107" s="343" t="s">
        <v>2120</v>
      </c>
      <c r="I4107" s="343" t="s">
        <v>1880</v>
      </c>
      <c r="J4107" s="343" t="s">
        <v>757</v>
      </c>
      <c r="K4107" s="343" t="s">
        <v>741</v>
      </c>
      <c r="L4107" s="344">
        <v>44104</v>
      </c>
      <c r="M4107" s="347">
        <v>0</v>
      </c>
    </row>
    <row r="4108" spans="1:13" hidden="1" x14ac:dyDescent="0.25">
      <c r="A4108" s="344">
        <v>44104</v>
      </c>
      <c r="B4108" s="343" t="s">
        <v>2066</v>
      </c>
      <c r="C4108" s="343" t="s">
        <v>1060</v>
      </c>
      <c r="D4108" s="345">
        <v>4</v>
      </c>
      <c r="E4108" s="346">
        <v>-420</v>
      </c>
      <c r="F4108" s="346">
        <v>3439.0300000000502</v>
      </c>
      <c r="G4108" s="343" t="s">
        <v>2067</v>
      </c>
      <c r="H4108" s="343" t="s">
        <v>2120</v>
      </c>
      <c r="I4108" s="343" t="s">
        <v>1880</v>
      </c>
      <c r="J4108" s="343" t="s">
        <v>757</v>
      </c>
      <c r="K4108" s="343" t="s">
        <v>741</v>
      </c>
      <c r="L4108" s="344">
        <v>44104</v>
      </c>
      <c r="M4108" s="347">
        <v>0</v>
      </c>
    </row>
    <row r="4109" spans="1:13" hidden="1" x14ac:dyDescent="0.25">
      <c r="A4109" s="344">
        <v>44120</v>
      </c>
      <c r="B4109" s="343" t="s">
        <v>1936</v>
      </c>
      <c r="C4109" s="343" t="s">
        <v>1059</v>
      </c>
      <c r="D4109" s="345">
        <v>4</v>
      </c>
      <c r="E4109" s="346">
        <v>-32.31</v>
      </c>
      <c r="F4109" s="346">
        <v>3406.7200000000498</v>
      </c>
      <c r="G4109" s="343" t="s">
        <v>1937</v>
      </c>
      <c r="H4109" s="343" t="s">
        <v>2120</v>
      </c>
      <c r="I4109" s="343" t="s">
        <v>1880</v>
      </c>
      <c r="J4109" s="343" t="s">
        <v>757</v>
      </c>
      <c r="K4109" s="343" t="s">
        <v>741</v>
      </c>
      <c r="L4109" s="344">
        <v>44120</v>
      </c>
      <c r="M4109" s="347">
        <v>0</v>
      </c>
    </row>
    <row r="4110" spans="1:13" hidden="1" x14ac:dyDescent="0.25">
      <c r="A4110" s="344">
        <v>44135</v>
      </c>
      <c r="B4110" s="343" t="s">
        <v>1954</v>
      </c>
      <c r="C4110" s="343" t="s">
        <v>1059</v>
      </c>
      <c r="D4110" s="345">
        <v>4</v>
      </c>
      <c r="E4110" s="346">
        <v>-64.62</v>
      </c>
      <c r="F4110" s="346">
        <v>3342.1000000000499</v>
      </c>
      <c r="G4110" s="343" t="s">
        <v>1955</v>
      </c>
      <c r="H4110" s="343" t="s">
        <v>2120</v>
      </c>
      <c r="I4110" s="343" t="s">
        <v>1880</v>
      </c>
      <c r="J4110" s="343" t="s">
        <v>757</v>
      </c>
      <c r="K4110" s="343" t="s">
        <v>741</v>
      </c>
      <c r="L4110" s="344">
        <v>44135</v>
      </c>
      <c r="M4110" s="347">
        <v>0</v>
      </c>
    </row>
    <row r="4111" spans="1:13" hidden="1" x14ac:dyDescent="0.25">
      <c r="A4111" s="344">
        <v>44135</v>
      </c>
      <c r="B4111" s="343" t="s">
        <v>2068</v>
      </c>
      <c r="C4111" s="343" t="s">
        <v>1060</v>
      </c>
      <c r="D4111" s="345">
        <v>4</v>
      </c>
      <c r="E4111" s="346">
        <v>840</v>
      </c>
      <c r="F4111" s="346">
        <v>4182.1000000000504</v>
      </c>
      <c r="G4111" s="343" t="s">
        <v>2069</v>
      </c>
      <c r="H4111" s="343" t="s">
        <v>2120</v>
      </c>
      <c r="I4111" s="343" t="s">
        <v>1880</v>
      </c>
      <c r="J4111" s="343" t="s">
        <v>757</v>
      </c>
      <c r="K4111" s="343" t="s">
        <v>741</v>
      </c>
      <c r="L4111" s="344">
        <v>44135</v>
      </c>
      <c r="M4111" s="347">
        <v>0</v>
      </c>
    </row>
    <row r="4112" spans="1:13" hidden="1" x14ac:dyDescent="0.25">
      <c r="A4112" s="344">
        <v>44135</v>
      </c>
      <c r="B4112" s="343" t="s">
        <v>2068</v>
      </c>
      <c r="C4112" s="343" t="s">
        <v>1060</v>
      </c>
      <c r="D4112" s="345">
        <v>5</v>
      </c>
      <c r="E4112" s="346">
        <v>-840</v>
      </c>
      <c r="F4112" s="346">
        <v>3342.1000000000499</v>
      </c>
      <c r="G4112" s="343" t="s">
        <v>2069</v>
      </c>
      <c r="H4112" s="343" t="s">
        <v>2120</v>
      </c>
      <c r="I4112" s="343" t="s">
        <v>1880</v>
      </c>
      <c r="J4112" s="343" t="s">
        <v>757</v>
      </c>
      <c r="K4112" s="343" t="s">
        <v>741</v>
      </c>
      <c r="L4112" s="344">
        <v>44135</v>
      </c>
      <c r="M4112" s="347">
        <v>0</v>
      </c>
    </row>
    <row r="4113" spans="1:13" hidden="1" x14ac:dyDescent="0.25">
      <c r="A4113" s="344">
        <v>44144</v>
      </c>
      <c r="B4113" s="343" t="s">
        <v>2044</v>
      </c>
      <c r="C4113" s="343" t="s">
        <v>769</v>
      </c>
      <c r="D4113" s="345">
        <v>6</v>
      </c>
      <c r="E4113" s="346">
        <v>280</v>
      </c>
      <c r="F4113" s="346">
        <v>3622.1000000000499</v>
      </c>
      <c r="G4113" s="343" t="s">
        <v>2045</v>
      </c>
      <c r="H4113" s="343" t="s">
        <v>2120</v>
      </c>
      <c r="I4113" s="343" t="s">
        <v>1880</v>
      </c>
      <c r="J4113" s="343" t="s">
        <v>757</v>
      </c>
      <c r="K4113" s="343" t="s">
        <v>770</v>
      </c>
      <c r="L4113" s="344">
        <v>44144</v>
      </c>
      <c r="M4113" s="347">
        <v>0</v>
      </c>
    </row>
    <row r="4114" spans="1:13" hidden="1" x14ac:dyDescent="0.25">
      <c r="A4114" s="344">
        <v>44168</v>
      </c>
      <c r="B4114" s="343" t="s">
        <v>2046</v>
      </c>
      <c r="C4114" s="343" t="s">
        <v>769</v>
      </c>
      <c r="D4114" s="345">
        <v>6</v>
      </c>
      <c r="E4114" s="346">
        <v>280</v>
      </c>
      <c r="F4114" s="346">
        <v>3902.1000000000499</v>
      </c>
      <c r="G4114" s="343" t="s">
        <v>2047</v>
      </c>
      <c r="H4114" s="343" t="s">
        <v>2120</v>
      </c>
      <c r="I4114" s="343" t="s">
        <v>1880</v>
      </c>
      <c r="J4114" s="343" t="s">
        <v>757</v>
      </c>
      <c r="K4114" s="343" t="s">
        <v>770</v>
      </c>
      <c r="L4114" s="344">
        <v>44168</v>
      </c>
      <c r="M4114" s="347">
        <v>0</v>
      </c>
    </row>
    <row r="4115" spans="1:13" hidden="1" x14ac:dyDescent="0.25">
      <c r="A4115" s="344">
        <v>44196</v>
      </c>
      <c r="B4115" s="343" t="s">
        <v>2048</v>
      </c>
      <c r="C4115" s="343" t="s">
        <v>1060</v>
      </c>
      <c r="D4115" s="345">
        <v>6</v>
      </c>
      <c r="E4115" s="346">
        <v>700</v>
      </c>
      <c r="F4115" s="346">
        <v>4602.1000000000504</v>
      </c>
      <c r="G4115" s="343" t="s">
        <v>2049</v>
      </c>
      <c r="H4115" s="343" t="s">
        <v>2120</v>
      </c>
      <c r="I4115" s="343" t="s">
        <v>1880</v>
      </c>
      <c r="J4115" s="343" t="s">
        <v>757</v>
      </c>
      <c r="K4115" s="343" t="s">
        <v>741</v>
      </c>
      <c r="L4115" s="344">
        <v>44196</v>
      </c>
      <c r="M4115" s="347">
        <v>0</v>
      </c>
    </row>
    <row r="4116" spans="1:13" hidden="1" x14ac:dyDescent="0.25">
      <c r="A4116" s="344">
        <v>44196</v>
      </c>
      <c r="B4116" s="343" t="s">
        <v>2048</v>
      </c>
      <c r="C4116" s="343" t="s">
        <v>1060</v>
      </c>
      <c r="D4116" s="345">
        <v>7</v>
      </c>
      <c r="E4116" s="346">
        <v>-700</v>
      </c>
      <c r="F4116" s="346">
        <v>3902.1000000000499</v>
      </c>
      <c r="G4116" s="343" t="s">
        <v>2049</v>
      </c>
      <c r="H4116" s="343" t="s">
        <v>2120</v>
      </c>
      <c r="I4116" s="343" t="s">
        <v>1880</v>
      </c>
      <c r="J4116" s="343" t="s">
        <v>757</v>
      </c>
      <c r="K4116" s="343" t="s">
        <v>741</v>
      </c>
      <c r="L4116" s="344">
        <v>44196</v>
      </c>
      <c r="M4116" s="347">
        <v>0</v>
      </c>
    </row>
    <row r="4117" spans="1:13" hidden="1" x14ac:dyDescent="0.25">
      <c r="A4117" s="344">
        <v>44196</v>
      </c>
      <c r="B4117" s="343" t="s">
        <v>2050</v>
      </c>
      <c r="C4117" s="343" t="s">
        <v>769</v>
      </c>
      <c r="D4117" s="345">
        <v>7</v>
      </c>
      <c r="E4117" s="346">
        <v>280</v>
      </c>
      <c r="F4117" s="346">
        <v>4182.1000000000504</v>
      </c>
      <c r="G4117" s="343" t="s">
        <v>2051</v>
      </c>
      <c r="H4117" s="343" t="s">
        <v>2120</v>
      </c>
      <c r="I4117" s="343" t="s">
        <v>1880</v>
      </c>
      <c r="J4117" s="343" t="s">
        <v>757</v>
      </c>
      <c r="K4117" s="343" t="s">
        <v>770</v>
      </c>
      <c r="L4117" s="344">
        <v>44196</v>
      </c>
      <c r="M4117" s="347">
        <v>0</v>
      </c>
    </row>
    <row r="4118" spans="1:13" hidden="1" x14ac:dyDescent="0.25">
      <c r="A4118" s="344">
        <v>44227</v>
      </c>
      <c r="B4118" s="343" t="s">
        <v>2052</v>
      </c>
      <c r="C4118" s="343" t="s">
        <v>1060</v>
      </c>
      <c r="D4118" s="345">
        <v>7</v>
      </c>
      <c r="E4118" s="346">
        <v>700</v>
      </c>
      <c r="F4118" s="346">
        <v>4882.1000000000504</v>
      </c>
      <c r="G4118" s="343" t="s">
        <v>2053</v>
      </c>
      <c r="H4118" s="343" t="s">
        <v>2120</v>
      </c>
      <c r="I4118" s="343" t="s">
        <v>1880</v>
      </c>
      <c r="J4118" s="343" t="s">
        <v>757</v>
      </c>
      <c r="K4118" s="343" t="s">
        <v>741</v>
      </c>
      <c r="L4118" s="344">
        <v>44227</v>
      </c>
      <c r="M4118" s="347">
        <v>0</v>
      </c>
    </row>
    <row r="4119" spans="1:13" hidden="1" x14ac:dyDescent="0.25">
      <c r="A4119" s="344">
        <v>44227</v>
      </c>
      <c r="B4119" s="343" t="s">
        <v>2052</v>
      </c>
      <c r="C4119" s="343" t="s">
        <v>1060</v>
      </c>
      <c r="D4119" s="345">
        <v>8</v>
      </c>
      <c r="E4119" s="346">
        <v>-700</v>
      </c>
      <c r="F4119" s="346">
        <v>4182.1000000000504</v>
      </c>
      <c r="G4119" s="343" t="s">
        <v>2053</v>
      </c>
      <c r="H4119" s="343" t="s">
        <v>2120</v>
      </c>
      <c r="I4119" s="343" t="s">
        <v>1880</v>
      </c>
      <c r="J4119" s="343" t="s">
        <v>757</v>
      </c>
      <c r="K4119" s="343" t="s">
        <v>741</v>
      </c>
      <c r="L4119" s="344">
        <v>44227</v>
      </c>
      <c r="M4119" s="347">
        <v>0</v>
      </c>
    </row>
    <row r="4120" spans="1:13" hidden="1" x14ac:dyDescent="0.25">
      <c r="A4120" s="344">
        <v>44228</v>
      </c>
      <c r="B4120" s="343" t="s">
        <v>2054</v>
      </c>
      <c r="C4120" s="343" t="s">
        <v>769</v>
      </c>
      <c r="D4120" s="345">
        <v>8</v>
      </c>
      <c r="E4120" s="346">
        <v>280</v>
      </c>
      <c r="F4120" s="346">
        <v>4462.1000000000504</v>
      </c>
      <c r="G4120" s="343" t="s">
        <v>2055</v>
      </c>
      <c r="H4120" s="343" t="s">
        <v>2120</v>
      </c>
      <c r="I4120" s="343" t="s">
        <v>1880</v>
      </c>
      <c r="J4120" s="343" t="s">
        <v>757</v>
      </c>
      <c r="K4120" s="343" t="s">
        <v>770</v>
      </c>
      <c r="L4120" s="344">
        <v>44228</v>
      </c>
      <c r="M4120" s="347">
        <v>0</v>
      </c>
    </row>
    <row r="4121" spans="1:13" hidden="1" x14ac:dyDescent="0.25">
      <c r="A4121" s="344">
        <v>44255</v>
      </c>
      <c r="B4121" s="343" t="s">
        <v>2056</v>
      </c>
      <c r="C4121" s="343" t="s">
        <v>1060</v>
      </c>
      <c r="D4121" s="345">
        <v>8</v>
      </c>
      <c r="E4121" s="346">
        <v>700</v>
      </c>
      <c r="F4121" s="346">
        <v>5162.1000000000504</v>
      </c>
      <c r="G4121" s="343" t="s">
        <v>2057</v>
      </c>
      <c r="H4121" s="343" t="s">
        <v>2120</v>
      </c>
      <c r="I4121" s="343" t="s">
        <v>1880</v>
      </c>
      <c r="J4121" s="343" t="s">
        <v>757</v>
      </c>
      <c r="K4121" s="343" t="s">
        <v>741</v>
      </c>
      <c r="L4121" s="344">
        <v>44255</v>
      </c>
      <c r="M4121" s="347">
        <v>0</v>
      </c>
    </row>
    <row r="4122" spans="1:13" hidden="1" x14ac:dyDescent="0.25">
      <c r="A4122" s="344">
        <v>44255</v>
      </c>
      <c r="B4122" s="343" t="s">
        <v>2056</v>
      </c>
      <c r="C4122" s="343" t="s">
        <v>1060</v>
      </c>
      <c r="D4122" s="345">
        <v>9</v>
      </c>
      <c r="E4122" s="346">
        <v>-700</v>
      </c>
      <c r="F4122" s="346">
        <v>4462.1000000000504</v>
      </c>
      <c r="G4122" s="343" t="s">
        <v>2057</v>
      </c>
      <c r="H4122" s="343" t="s">
        <v>2120</v>
      </c>
      <c r="I4122" s="343" t="s">
        <v>1880</v>
      </c>
      <c r="J4122" s="343" t="s">
        <v>757</v>
      </c>
      <c r="K4122" s="343" t="s">
        <v>741</v>
      </c>
      <c r="L4122" s="344">
        <v>44255</v>
      </c>
      <c r="M4122" s="347">
        <v>0</v>
      </c>
    </row>
    <row r="4123" spans="1:13" hidden="1" x14ac:dyDescent="0.25">
      <c r="A4123" s="344">
        <v>44255</v>
      </c>
      <c r="B4123" s="343" t="s">
        <v>2058</v>
      </c>
      <c r="C4123" s="343" t="s">
        <v>769</v>
      </c>
      <c r="D4123" s="345">
        <v>9</v>
      </c>
      <c r="E4123" s="346">
        <v>350</v>
      </c>
      <c r="F4123" s="346">
        <v>4812.1000000000504</v>
      </c>
      <c r="G4123" s="343" t="s">
        <v>2059</v>
      </c>
      <c r="H4123" s="343" t="s">
        <v>2120</v>
      </c>
      <c r="I4123" s="343" t="s">
        <v>1880</v>
      </c>
      <c r="J4123" s="343" t="s">
        <v>757</v>
      </c>
      <c r="K4123" s="343" t="s">
        <v>770</v>
      </c>
      <c r="L4123" s="344">
        <v>44255</v>
      </c>
      <c r="M4123" s="347">
        <v>0</v>
      </c>
    </row>
    <row r="4124" spans="1:13" hidden="1" x14ac:dyDescent="0.25">
      <c r="A4124" s="344">
        <v>44286</v>
      </c>
      <c r="B4124" s="343" t="s">
        <v>2060</v>
      </c>
      <c r="C4124" s="343" t="s">
        <v>1060</v>
      </c>
      <c r="D4124" s="345">
        <v>9</v>
      </c>
      <c r="E4124" s="346">
        <v>350</v>
      </c>
      <c r="F4124" s="346">
        <v>5162.1000000000504</v>
      </c>
      <c r="G4124" s="343" t="s">
        <v>2061</v>
      </c>
      <c r="H4124" s="343" t="s">
        <v>2120</v>
      </c>
      <c r="I4124" s="343" t="s">
        <v>1880</v>
      </c>
      <c r="J4124" s="343" t="s">
        <v>757</v>
      </c>
      <c r="K4124" s="343" t="s">
        <v>741</v>
      </c>
      <c r="L4124" s="344">
        <v>44286</v>
      </c>
      <c r="M4124" s="347">
        <v>0</v>
      </c>
    </row>
    <row r="4125" spans="1:13" hidden="1" x14ac:dyDescent="0.25">
      <c r="A4125" s="344">
        <v>44286</v>
      </c>
      <c r="B4125" s="343" t="s">
        <v>2060</v>
      </c>
      <c r="C4125" s="343" t="s">
        <v>1060</v>
      </c>
      <c r="D4125" s="345">
        <v>10</v>
      </c>
      <c r="E4125" s="346">
        <v>-350</v>
      </c>
      <c r="F4125" s="346">
        <v>4812.1000000000504</v>
      </c>
      <c r="G4125" s="343" t="s">
        <v>2061</v>
      </c>
      <c r="H4125" s="343" t="s">
        <v>2120</v>
      </c>
      <c r="I4125" s="343" t="s">
        <v>1880</v>
      </c>
      <c r="J4125" s="343" t="s">
        <v>757</v>
      </c>
      <c r="K4125" s="343" t="s">
        <v>741</v>
      </c>
      <c r="L4125" s="344">
        <v>44286</v>
      </c>
      <c r="M4125" s="347">
        <v>0</v>
      </c>
    </row>
    <row r="4126" spans="1:13" hidden="1" x14ac:dyDescent="0.25">
      <c r="A4126" s="344">
        <v>44293</v>
      </c>
      <c r="B4126" s="343" t="s">
        <v>2062</v>
      </c>
      <c r="C4126" s="343" t="s">
        <v>769</v>
      </c>
      <c r="D4126" s="345">
        <v>10</v>
      </c>
      <c r="E4126" s="346">
        <v>350</v>
      </c>
      <c r="F4126" s="346">
        <v>5162.1000000000504</v>
      </c>
      <c r="G4126" s="343" t="s">
        <v>2063</v>
      </c>
      <c r="H4126" s="343" t="s">
        <v>2120</v>
      </c>
      <c r="I4126" s="343" t="s">
        <v>1880</v>
      </c>
      <c r="J4126" s="343" t="s">
        <v>757</v>
      </c>
      <c r="K4126" s="343" t="s">
        <v>770</v>
      </c>
      <c r="L4126" s="344">
        <v>44293</v>
      </c>
      <c r="M4126" s="347">
        <v>0</v>
      </c>
    </row>
    <row r="4127" spans="1:13" hidden="1" x14ac:dyDescent="0.25">
      <c r="A4127" s="344">
        <v>44316</v>
      </c>
      <c r="B4127" s="343" t="s">
        <v>1078</v>
      </c>
      <c r="C4127" s="343" t="s">
        <v>1060</v>
      </c>
      <c r="D4127" s="345">
        <v>10</v>
      </c>
      <c r="E4127" s="346">
        <v>350</v>
      </c>
      <c r="F4127" s="346">
        <v>5512.1000000000504</v>
      </c>
      <c r="G4127" s="343" t="s">
        <v>2064</v>
      </c>
      <c r="H4127" s="343" t="s">
        <v>2120</v>
      </c>
      <c r="I4127" s="343" t="s">
        <v>1880</v>
      </c>
      <c r="J4127" s="343" t="s">
        <v>757</v>
      </c>
      <c r="K4127" s="343" t="s">
        <v>741</v>
      </c>
      <c r="L4127" s="344">
        <v>44316</v>
      </c>
      <c r="M4127" s="347">
        <v>0</v>
      </c>
    </row>
    <row r="4128" spans="1:13" hidden="1" x14ac:dyDescent="0.25">
      <c r="A4128" s="344">
        <v>44048</v>
      </c>
      <c r="B4128" s="343" t="s">
        <v>2035</v>
      </c>
      <c r="C4128" s="343" t="s">
        <v>936</v>
      </c>
      <c r="D4128" s="345">
        <v>2</v>
      </c>
      <c r="E4128" s="346">
        <v>-852.72</v>
      </c>
      <c r="F4128" s="346">
        <v>4519.3800000000501</v>
      </c>
      <c r="G4128" s="343" t="s">
        <v>2036</v>
      </c>
      <c r="H4128" s="343" t="s">
        <v>2121</v>
      </c>
      <c r="I4128" s="343" t="s">
        <v>1880</v>
      </c>
      <c r="J4128" s="343" t="s">
        <v>757</v>
      </c>
      <c r="K4128" s="343" t="s">
        <v>770</v>
      </c>
      <c r="L4128" s="344">
        <v>43862</v>
      </c>
      <c r="M4128" s="347">
        <v>0</v>
      </c>
    </row>
    <row r="4129" spans="1:13" hidden="1" x14ac:dyDescent="0.25">
      <c r="A4129" s="344">
        <v>44048</v>
      </c>
      <c r="B4129" s="343" t="s">
        <v>2038</v>
      </c>
      <c r="C4129" s="343" t="s">
        <v>936</v>
      </c>
      <c r="D4129" s="345">
        <v>2</v>
      </c>
      <c r="E4129" s="346">
        <v>-852.72</v>
      </c>
      <c r="F4129" s="346">
        <v>3666.6600000000499</v>
      </c>
      <c r="G4129" s="343" t="s">
        <v>2039</v>
      </c>
      <c r="H4129" s="343" t="s">
        <v>2121</v>
      </c>
      <c r="I4129" s="343" t="s">
        <v>1880</v>
      </c>
      <c r="J4129" s="343" t="s">
        <v>757</v>
      </c>
      <c r="K4129" s="343" t="s">
        <v>770</v>
      </c>
      <c r="L4129" s="344">
        <v>43891</v>
      </c>
      <c r="M4129" s="347">
        <v>0</v>
      </c>
    </row>
    <row r="4130" spans="1:13" hidden="1" x14ac:dyDescent="0.25">
      <c r="A4130" s="344">
        <v>44048</v>
      </c>
      <c r="B4130" s="343" t="s">
        <v>2040</v>
      </c>
      <c r="C4130" s="343" t="s">
        <v>769</v>
      </c>
      <c r="D4130" s="345">
        <v>2</v>
      </c>
      <c r="E4130" s="346">
        <v>852.72</v>
      </c>
      <c r="F4130" s="346">
        <v>4519.3800000000501</v>
      </c>
      <c r="G4130" s="343" t="s">
        <v>2041</v>
      </c>
      <c r="H4130" s="343" t="s">
        <v>2121</v>
      </c>
      <c r="I4130" s="343" t="s">
        <v>1880</v>
      </c>
      <c r="J4130" s="343" t="s">
        <v>757</v>
      </c>
      <c r="K4130" s="343" t="s">
        <v>770</v>
      </c>
      <c r="L4130" s="344">
        <v>44048</v>
      </c>
      <c r="M4130" s="347">
        <v>0</v>
      </c>
    </row>
    <row r="4131" spans="1:13" hidden="1" x14ac:dyDescent="0.25">
      <c r="A4131" s="344">
        <v>44048</v>
      </c>
      <c r="B4131" s="343" t="s">
        <v>2042</v>
      </c>
      <c r="C4131" s="343" t="s">
        <v>769</v>
      </c>
      <c r="D4131" s="345">
        <v>2</v>
      </c>
      <c r="E4131" s="346">
        <v>852.72</v>
      </c>
      <c r="F4131" s="346">
        <v>5372.1000000000504</v>
      </c>
      <c r="G4131" s="343" t="s">
        <v>2043</v>
      </c>
      <c r="H4131" s="343" t="s">
        <v>2121</v>
      </c>
      <c r="I4131" s="343" t="s">
        <v>1880</v>
      </c>
      <c r="J4131" s="343" t="s">
        <v>757</v>
      </c>
      <c r="K4131" s="343" t="s">
        <v>770</v>
      </c>
      <c r="L4131" s="344">
        <v>44048</v>
      </c>
      <c r="M4131" s="347">
        <v>0</v>
      </c>
    </row>
    <row r="4132" spans="1:13" hidden="1" x14ac:dyDescent="0.25">
      <c r="A4132" s="344">
        <v>44062</v>
      </c>
      <c r="B4132" s="343" t="s">
        <v>1932</v>
      </c>
      <c r="C4132" s="343" t="s">
        <v>1059</v>
      </c>
      <c r="D4132" s="345">
        <v>2</v>
      </c>
      <c r="E4132" s="346">
        <v>-9.1</v>
      </c>
      <c r="F4132" s="346">
        <v>5363.00000000005</v>
      </c>
      <c r="G4132" s="343" t="s">
        <v>1933</v>
      </c>
      <c r="H4132" s="343" t="s">
        <v>2121</v>
      </c>
      <c r="I4132" s="343" t="s">
        <v>1880</v>
      </c>
      <c r="J4132" s="343" t="s">
        <v>757</v>
      </c>
      <c r="K4132" s="343" t="s">
        <v>741</v>
      </c>
      <c r="L4132" s="344">
        <v>44062</v>
      </c>
      <c r="M4132" s="347">
        <v>0</v>
      </c>
    </row>
    <row r="4133" spans="1:13" hidden="1" x14ac:dyDescent="0.25">
      <c r="A4133" s="344">
        <v>44083</v>
      </c>
      <c r="B4133" s="343" t="s">
        <v>2122</v>
      </c>
      <c r="C4133" s="343" t="s">
        <v>1059</v>
      </c>
      <c r="D4133" s="345">
        <v>2</v>
      </c>
      <c r="E4133" s="346">
        <v>-9.1</v>
      </c>
      <c r="F4133" s="346">
        <v>5353.9000000000497</v>
      </c>
      <c r="G4133" s="343" t="s">
        <v>1949</v>
      </c>
      <c r="H4133" s="343" t="s">
        <v>2121</v>
      </c>
      <c r="I4133" s="343" t="s">
        <v>1880</v>
      </c>
      <c r="J4133" s="343" t="s">
        <v>757</v>
      </c>
      <c r="K4133" s="343" t="s">
        <v>741</v>
      </c>
      <c r="L4133" s="344">
        <v>44083</v>
      </c>
      <c r="M4133" s="347">
        <v>0</v>
      </c>
    </row>
    <row r="4134" spans="1:13" hidden="1" x14ac:dyDescent="0.25">
      <c r="A4134" s="344">
        <v>44094</v>
      </c>
      <c r="B4134" s="343" t="s">
        <v>2123</v>
      </c>
      <c r="C4134" s="343" t="s">
        <v>1059</v>
      </c>
      <c r="D4134" s="345">
        <v>3</v>
      </c>
      <c r="E4134" s="346">
        <v>-13.65</v>
      </c>
      <c r="F4134" s="346">
        <v>5340.25000000005</v>
      </c>
      <c r="G4134" s="343" t="s">
        <v>2124</v>
      </c>
      <c r="H4134" s="343" t="s">
        <v>2121</v>
      </c>
      <c r="I4134" s="343" t="s">
        <v>1880</v>
      </c>
      <c r="J4134" s="343" t="s">
        <v>757</v>
      </c>
      <c r="K4134" s="343" t="s">
        <v>741</v>
      </c>
      <c r="L4134" s="344">
        <v>44094</v>
      </c>
      <c r="M4134" s="347">
        <v>0</v>
      </c>
    </row>
    <row r="4135" spans="1:13" hidden="1" x14ac:dyDescent="0.25">
      <c r="A4135" s="344">
        <v>44104</v>
      </c>
      <c r="B4135" s="343" t="s">
        <v>1934</v>
      </c>
      <c r="C4135" s="343" t="s">
        <v>1059</v>
      </c>
      <c r="D4135" s="345">
        <v>3</v>
      </c>
      <c r="E4135" s="346">
        <v>-18.2</v>
      </c>
      <c r="F4135" s="346">
        <v>5322.0500000000502</v>
      </c>
      <c r="G4135" s="343" t="s">
        <v>1935</v>
      </c>
      <c r="H4135" s="343" t="s">
        <v>2121</v>
      </c>
      <c r="I4135" s="343" t="s">
        <v>1880</v>
      </c>
      <c r="J4135" s="343" t="s">
        <v>757</v>
      </c>
      <c r="K4135" s="343" t="s">
        <v>741</v>
      </c>
      <c r="L4135" s="344">
        <v>44104</v>
      </c>
      <c r="M4135" s="347">
        <v>0</v>
      </c>
    </row>
    <row r="4136" spans="1:13" hidden="1" x14ac:dyDescent="0.25">
      <c r="A4136" s="344">
        <v>44104</v>
      </c>
      <c r="B4136" s="343" t="s">
        <v>2066</v>
      </c>
      <c r="C4136" s="343" t="s">
        <v>1060</v>
      </c>
      <c r="D4136" s="345">
        <v>3</v>
      </c>
      <c r="E4136" s="346">
        <v>210</v>
      </c>
      <c r="F4136" s="346">
        <v>5532.0500000000502</v>
      </c>
      <c r="G4136" s="343" t="s">
        <v>2067</v>
      </c>
      <c r="H4136" s="343" t="s">
        <v>2121</v>
      </c>
      <c r="I4136" s="343" t="s">
        <v>1880</v>
      </c>
      <c r="J4136" s="343" t="s">
        <v>757</v>
      </c>
      <c r="K4136" s="343" t="s">
        <v>741</v>
      </c>
      <c r="L4136" s="344">
        <v>44104</v>
      </c>
      <c r="M4136" s="347">
        <v>0</v>
      </c>
    </row>
    <row r="4137" spans="1:13" hidden="1" x14ac:dyDescent="0.25">
      <c r="A4137" s="344">
        <v>44104</v>
      </c>
      <c r="B4137" s="343" t="s">
        <v>2066</v>
      </c>
      <c r="C4137" s="343" t="s">
        <v>1060</v>
      </c>
      <c r="D4137" s="345">
        <v>4</v>
      </c>
      <c r="E4137" s="346">
        <v>-210</v>
      </c>
      <c r="F4137" s="346">
        <v>5322.0500000000502</v>
      </c>
      <c r="G4137" s="343" t="s">
        <v>2067</v>
      </c>
      <c r="H4137" s="343" t="s">
        <v>2121</v>
      </c>
      <c r="I4137" s="343" t="s">
        <v>1880</v>
      </c>
      <c r="J4137" s="343" t="s">
        <v>757</v>
      </c>
      <c r="K4137" s="343" t="s">
        <v>741</v>
      </c>
      <c r="L4137" s="344">
        <v>44104</v>
      </c>
      <c r="M4137" s="347">
        <v>0</v>
      </c>
    </row>
    <row r="4138" spans="1:13" hidden="1" x14ac:dyDescent="0.25">
      <c r="A4138" s="344">
        <v>44135</v>
      </c>
      <c r="B4138" s="343" t="s">
        <v>2068</v>
      </c>
      <c r="C4138" s="343" t="s">
        <v>1060</v>
      </c>
      <c r="D4138" s="345">
        <v>4</v>
      </c>
      <c r="E4138" s="346">
        <v>420</v>
      </c>
      <c r="F4138" s="346">
        <v>5742.0500000000502</v>
      </c>
      <c r="G4138" s="343" t="s">
        <v>2069</v>
      </c>
      <c r="H4138" s="343" t="s">
        <v>2121</v>
      </c>
      <c r="I4138" s="343" t="s">
        <v>1880</v>
      </c>
      <c r="J4138" s="343" t="s">
        <v>757</v>
      </c>
      <c r="K4138" s="343" t="s">
        <v>741</v>
      </c>
      <c r="L4138" s="344">
        <v>44135</v>
      </c>
      <c r="M4138" s="347">
        <v>0</v>
      </c>
    </row>
    <row r="4139" spans="1:13" hidden="1" x14ac:dyDescent="0.25">
      <c r="A4139" s="344">
        <v>44135</v>
      </c>
      <c r="B4139" s="343" t="s">
        <v>2068</v>
      </c>
      <c r="C4139" s="343" t="s">
        <v>1060</v>
      </c>
      <c r="D4139" s="345">
        <v>5</v>
      </c>
      <c r="E4139" s="346">
        <v>-420</v>
      </c>
      <c r="F4139" s="346">
        <v>5322.0500000000502</v>
      </c>
      <c r="G4139" s="343" t="s">
        <v>2069</v>
      </c>
      <c r="H4139" s="343" t="s">
        <v>2121</v>
      </c>
      <c r="I4139" s="343" t="s">
        <v>1880</v>
      </c>
      <c r="J4139" s="343" t="s">
        <v>757</v>
      </c>
      <c r="K4139" s="343" t="s">
        <v>741</v>
      </c>
      <c r="L4139" s="344">
        <v>44135</v>
      </c>
      <c r="M4139" s="347">
        <v>0</v>
      </c>
    </row>
    <row r="4140" spans="1:13" hidden="1" x14ac:dyDescent="0.25">
      <c r="A4140" s="344">
        <v>44144</v>
      </c>
      <c r="B4140" s="343" t="s">
        <v>2044</v>
      </c>
      <c r="C4140" s="343" t="s">
        <v>769</v>
      </c>
      <c r="D4140" s="345">
        <v>6</v>
      </c>
      <c r="E4140" s="346">
        <v>210</v>
      </c>
      <c r="F4140" s="346">
        <v>5532.0500000000502</v>
      </c>
      <c r="G4140" s="343" t="s">
        <v>2045</v>
      </c>
      <c r="H4140" s="343" t="s">
        <v>2121</v>
      </c>
      <c r="I4140" s="343" t="s">
        <v>1880</v>
      </c>
      <c r="J4140" s="343" t="s">
        <v>757</v>
      </c>
      <c r="K4140" s="343" t="s">
        <v>770</v>
      </c>
      <c r="L4140" s="344">
        <v>44144</v>
      </c>
      <c r="M4140" s="347">
        <v>0</v>
      </c>
    </row>
    <row r="4141" spans="1:13" hidden="1" x14ac:dyDescent="0.25">
      <c r="A4141" s="344">
        <v>44168</v>
      </c>
      <c r="B4141" s="343" t="s">
        <v>2046</v>
      </c>
      <c r="C4141" s="343" t="s">
        <v>769</v>
      </c>
      <c r="D4141" s="345">
        <v>6</v>
      </c>
      <c r="E4141" s="346">
        <v>210</v>
      </c>
      <c r="F4141" s="346">
        <v>5742.0500000000502</v>
      </c>
      <c r="G4141" s="343" t="s">
        <v>2047</v>
      </c>
      <c r="H4141" s="343" t="s">
        <v>2121</v>
      </c>
      <c r="I4141" s="343" t="s">
        <v>1880</v>
      </c>
      <c r="J4141" s="343" t="s">
        <v>757</v>
      </c>
      <c r="K4141" s="343" t="s">
        <v>770</v>
      </c>
      <c r="L4141" s="344">
        <v>44168</v>
      </c>
      <c r="M4141" s="347">
        <v>0</v>
      </c>
    </row>
    <row r="4142" spans="1:13" hidden="1" x14ac:dyDescent="0.25">
      <c r="A4142" s="344">
        <v>44196</v>
      </c>
      <c r="B4142" s="343" t="s">
        <v>2048</v>
      </c>
      <c r="C4142" s="343" t="s">
        <v>1060</v>
      </c>
      <c r="D4142" s="345">
        <v>6</v>
      </c>
      <c r="E4142" s="346">
        <v>420</v>
      </c>
      <c r="F4142" s="346">
        <v>6162.0500000000502</v>
      </c>
      <c r="G4142" s="343" t="s">
        <v>2049</v>
      </c>
      <c r="H4142" s="343" t="s">
        <v>2121</v>
      </c>
      <c r="I4142" s="343" t="s">
        <v>1880</v>
      </c>
      <c r="J4142" s="343" t="s">
        <v>757</v>
      </c>
      <c r="K4142" s="343" t="s">
        <v>741</v>
      </c>
      <c r="L4142" s="344">
        <v>44196</v>
      </c>
      <c r="M4142" s="347">
        <v>0</v>
      </c>
    </row>
    <row r="4143" spans="1:13" hidden="1" x14ac:dyDescent="0.25">
      <c r="A4143" s="344">
        <v>44196</v>
      </c>
      <c r="B4143" s="343" t="s">
        <v>2048</v>
      </c>
      <c r="C4143" s="343" t="s">
        <v>1060</v>
      </c>
      <c r="D4143" s="345">
        <v>7</v>
      </c>
      <c r="E4143" s="346">
        <v>-420</v>
      </c>
      <c r="F4143" s="346">
        <v>5742.0500000000502</v>
      </c>
      <c r="G4143" s="343" t="s">
        <v>2049</v>
      </c>
      <c r="H4143" s="343" t="s">
        <v>2121</v>
      </c>
      <c r="I4143" s="343" t="s">
        <v>1880</v>
      </c>
      <c r="J4143" s="343" t="s">
        <v>757</v>
      </c>
      <c r="K4143" s="343" t="s">
        <v>741</v>
      </c>
      <c r="L4143" s="344">
        <v>44196</v>
      </c>
      <c r="M4143" s="347">
        <v>0</v>
      </c>
    </row>
    <row r="4144" spans="1:13" hidden="1" x14ac:dyDescent="0.25">
      <c r="A4144" s="344">
        <v>44196</v>
      </c>
      <c r="B4144" s="343" t="s">
        <v>2050</v>
      </c>
      <c r="C4144" s="343" t="s">
        <v>769</v>
      </c>
      <c r="D4144" s="345">
        <v>7</v>
      </c>
      <c r="E4144" s="346">
        <v>210</v>
      </c>
      <c r="F4144" s="346">
        <v>5952.0500000000502</v>
      </c>
      <c r="G4144" s="343" t="s">
        <v>2051</v>
      </c>
      <c r="H4144" s="343" t="s">
        <v>2121</v>
      </c>
      <c r="I4144" s="343" t="s">
        <v>1880</v>
      </c>
      <c r="J4144" s="343" t="s">
        <v>757</v>
      </c>
      <c r="K4144" s="343" t="s">
        <v>770</v>
      </c>
      <c r="L4144" s="344">
        <v>44196</v>
      </c>
      <c r="M4144" s="347">
        <v>0</v>
      </c>
    </row>
    <row r="4145" spans="1:13" hidden="1" x14ac:dyDescent="0.25">
      <c r="A4145" s="344">
        <v>44227</v>
      </c>
      <c r="B4145" s="343" t="s">
        <v>2052</v>
      </c>
      <c r="C4145" s="343" t="s">
        <v>1060</v>
      </c>
      <c r="D4145" s="345">
        <v>7</v>
      </c>
      <c r="E4145" s="346">
        <v>420</v>
      </c>
      <c r="F4145" s="346">
        <v>6372.0500000000502</v>
      </c>
      <c r="G4145" s="343" t="s">
        <v>2053</v>
      </c>
      <c r="H4145" s="343" t="s">
        <v>2121</v>
      </c>
      <c r="I4145" s="343" t="s">
        <v>1880</v>
      </c>
      <c r="J4145" s="343" t="s">
        <v>757</v>
      </c>
      <c r="K4145" s="343" t="s">
        <v>741</v>
      </c>
      <c r="L4145" s="344">
        <v>44227</v>
      </c>
      <c r="M4145" s="347">
        <v>0</v>
      </c>
    </row>
    <row r="4146" spans="1:13" hidden="1" x14ac:dyDescent="0.25">
      <c r="A4146" s="344">
        <v>44227</v>
      </c>
      <c r="B4146" s="343" t="s">
        <v>2052</v>
      </c>
      <c r="C4146" s="343" t="s">
        <v>1060</v>
      </c>
      <c r="D4146" s="345">
        <v>8</v>
      </c>
      <c r="E4146" s="346">
        <v>-420</v>
      </c>
      <c r="F4146" s="346">
        <v>5952.0500000000502</v>
      </c>
      <c r="G4146" s="343" t="s">
        <v>2053</v>
      </c>
      <c r="H4146" s="343" t="s">
        <v>2121</v>
      </c>
      <c r="I4146" s="343" t="s">
        <v>1880</v>
      </c>
      <c r="J4146" s="343" t="s">
        <v>757</v>
      </c>
      <c r="K4146" s="343" t="s">
        <v>741</v>
      </c>
      <c r="L4146" s="344">
        <v>44227</v>
      </c>
      <c r="M4146" s="347">
        <v>0</v>
      </c>
    </row>
    <row r="4147" spans="1:13" hidden="1" x14ac:dyDescent="0.25">
      <c r="A4147" s="344">
        <v>44228</v>
      </c>
      <c r="B4147" s="343" t="s">
        <v>2054</v>
      </c>
      <c r="C4147" s="343" t="s">
        <v>769</v>
      </c>
      <c r="D4147" s="345">
        <v>8</v>
      </c>
      <c r="E4147" s="346">
        <v>210</v>
      </c>
      <c r="F4147" s="346">
        <v>6162.0500000000502</v>
      </c>
      <c r="G4147" s="343" t="s">
        <v>2055</v>
      </c>
      <c r="H4147" s="343" t="s">
        <v>2121</v>
      </c>
      <c r="I4147" s="343" t="s">
        <v>1880</v>
      </c>
      <c r="J4147" s="343" t="s">
        <v>757</v>
      </c>
      <c r="K4147" s="343" t="s">
        <v>770</v>
      </c>
      <c r="L4147" s="344">
        <v>44228</v>
      </c>
      <c r="M4147" s="347">
        <v>0</v>
      </c>
    </row>
    <row r="4148" spans="1:13" hidden="1" x14ac:dyDescent="0.25">
      <c r="A4148" s="344">
        <v>44255</v>
      </c>
      <c r="B4148" s="343" t="s">
        <v>2056</v>
      </c>
      <c r="C4148" s="343" t="s">
        <v>1060</v>
      </c>
      <c r="D4148" s="345">
        <v>8</v>
      </c>
      <c r="E4148" s="346">
        <v>420</v>
      </c>
      <c r="F4148" s="346">
        <v>6582.0500000000502</v>
      </c>
      <c r="G4148" s="343" t="s">
        <v>2057</v>
      </c>
      <c r="H4148" s="343" t="s">
        <v>2121</v>
      </c>
      <c r="I4148" s="343" t="s">
        <v>1880</v>
      </c>
      <c r="J4148" s="343" t="s">
        <v>757</v>
      </c>
      <c r="K4148" s="343" t="s">
        <v>741</v>
      </c>
      <c r="L4148" s="344">
        <v>44255</v>
      </c>
      <c r="M4148" s="347">
        <v>0</v>
      </c>
    </row>
    <row r="4149" spans="1:13" hidden="1" x14ac:dyDescent="0.25">
      <c r="A4149" s="344">
        <v>44255</v>
      </c>
      <c r="B4149" s="343" t="s">
        <v>2056</v>
      </c>
      <c r="C4149" s="343" t="s">
        <v>1060</v>
      </c>
      <c r="D4149" s="345">
        <v>9</v>
      </c>
      <c r="E4149" s="346">
        <v>-420</v>
      </c>
      <c r="F4149" s="346">
        <v>6162.0500000000502</v>
      </c>
      <c r="G4149" s="343" t="s">
        <v>2057</v>
      </c>
      <c r="H4149" s="343" t="s">
        <v>2121</v>
      </c>
      <c r="I4149" s="343" t="s">
        <v>1880</v>
      </c>
      <c r="J4149" s="343" t="s">
        <v>757</v>
      </c>
      <c r="K4149" s="343" t="s">
        <v>741</v>
      </c>
      <c r="L4149" s="344">
        <v>44255</v>
      </c>
      <c r="M4149" s="347">
        <v>0</v>
      </c>
    </row>
    <row r="4150" spans="1:13" hidden="1" x14ac:dyDescent="0.25">
      <c r="A4150" s="344">
        <v>44255</v>
      </c>
      <c r="B4150" s="343" t="s">
        <v>2058</v>
      </c>
      <c r="C4150" s="343" t="s">
        <v>769</v>
      </c>
      <c r="D4150" s="345">
        <v>9</v>
      </c>
      <c r="E4150" s="346">
        <v>210</v>
      </c>
      <c r="F4150" s="346">
        <v>6372.0500000000502</v>
      </c>
      <c r="G4150" s="343" t="s">
        <v>2059</v>
      </c>
      <c r="H4150" s="343" t="s">
        <v>2121</v>
      </c>
      <c r="I4150" s="343" t="s">
        <v>1880</v>
      </c>
      <c r="J4150" s="343" t="s">
        <v>757</v>
      </c>
      <c r="K4150" s="343" t="s">
        <v>770</v>
      </c>
      <c r="L4150" s="344">
        <v>44255</v>
      </c>
      <c r="M4150" s="347">
        <v>0</v>
      </c>
    </row>
    <row r="4151" spans="1:13" hidden="1" x14ac:dyDescent="0.25">
      <c r="A4151" s="344">
        <v>44286</v>
      </c>
      <c r="B4151" s="343" t="s">
        <v>2060</v>
      </c>
      <c r="C4151" s="343" t="s">
        <v>1060</v>
      </c>
      <c r="D4151" s="345">
        <v>9</v>
      </c>
      <c r="E4151" s="346">
        <v>210</v>
      </c>
      <c r="F4151" s="346">
        <v>6582.0500000000502</v>
      </c>
      <c r="G4151" s="343" t="s">
        <v>2061</v>
      </c>
      <c r="H4151" s="343" t="s">
        <v>2121</v>
      </c>
      <c r="I4151" s="343" t="s">
        <v>1880</v>
      </c>
      <c r="J4151" s="343" t="s">
        <v>757</v>
      </c>
      <c r="K4151" s="343" t="s">
        <v>741</v>
      </c>
      <c r="L4151" s="344">
        <v>44286</v>
      </c>
      <c r="M4151" s="347">
        <v>0</v>
      </c>
    </row>
    <row r="4152" spans="1:13" hidden="1" x14ac:dyDescent="0.25">
      <c r="A4152" s="344">
        <v>44286</v>
      </c>
      <c r="B4152" s="343" t="s">
        <v>2060</v>
      </c>
      <c r="C4152" s="343" t="s">
        <v>1060</v>
      </c>
      <c r="D4152" s="345">
        <v>10</v>
      </c>
      <c r="E4152" s="346">
        <v>-210</v>
      </c>
      <c r="F4152" s="346">
        <v>6372.0500000000502</v>
      </c>
      <c r="G4152" s="343" t="s">
        <v>2061</v>
      </c>
      <c r="H4152" s="343" t="s">
        <v>2121</v>
      </c>
      <c r="I4152" s="343" t="s">
        <v>1880</v>
      </c>
      <c r="J4152" s="343" t="s">
        <v>757</v>
      </c>
      <c r="K4152" s="343" t="s">
        <v>741</v>
      </c>
      <c r="L4152" s="344">
        <v>44286</v>
      </c>
      <c r="M4152" s="347">
        <v>0</v>
      </c>
    </row>
    <row r="4153" spans="1:13" hidden="1" x14ac:dyDescent="0.25">
      <c r="A4153" s="344">
        <v>44293</v>
      </c>
      <c r="B4153" s="343" t="s">
        <v>2062</v>
      </c>
      <c r="C4153" s="343" t="s">
        <v>769</v>
      </c>
      <c r="D4153" s="345">
        <v>10</v>
      </c>
      <c r="E4153" s="346">
        <v>280</v>
      </c>
      <c r="F4153" s="346">
        <v>6652.0500000000502</v>
      </c>
      <c r="G4153" s="343" t="s">
        <v>2063</v>
      </c>
      <c r="H4153" s="343" t="s">
        <v>2121</v>
      </c>
      <c r="I4153" s="343" t="s">
        <v>1880</v>
      </c>
      <c r="J4153" s="343" t="s">
        <v>757</v>
      </c>
      <c r="K4153" s="343" t="s">
        <v>770</v>
      </c>
      <c r="L4153" s="344">
        <v>44293</v>
      </c>
      <c r="M4153" s="347">
        <v>0</v>
      </c>
    </row>
    <row r="4154" spans="1:13" hidden="1" x14ac:dyDescent="0.25">
      <c r="A4154" s="344">
        <v>44316</v>
      </c>
      <c r="B4154" s="343" t="s">
        <v>1078</v>
      </c>
      <c r="C4154" s="343" t="s">
        <v>1060</v>
      </c>
      <c r="D4154" s="345">
        <v>10</v>
      </c>
      <c r="E4154" s="346">
        <v>210</v>
      </c>
      <c r="F4154" s="346">
        <v>6862.0500000000502</v>
      </c>
      <c r="G4154" s="343" t="s">
        <v>2064</v>
      </c>
      <c r="H4154" s="343" t="s">
        <v>2121</v>
      </c>
      <c r="I4154" s="343" t="s">
        <v>1880</v>
      </c>
      <c r="J4154" s="343" t="s">
        <v>757</v>
      </c>
      <c r="K4154" s="343" t="s">
        <v>741</v>
      </c>
      <c r="L4154" s="344">
        <v>44316</v>
      </c>
      <c r="M4154" s="347">
        <v>0</v>
      </c>
    </row>
    <row r="4155" spans="1:13" hidden="1" x14ac:dyDescent="0.25">
      <c r="A4155" s="344">
        <v>44048</v>
      </c>
      <c r="B4155" s="343" t="s">
        <v>2040</v>
      </c>
      <c r="C4155" s="343" t="s">
        <v>769</v>
      </c>
      <c r="D4155" s="345">
        <v>2</v>
      </c>
      <c r="E4155" s="346">
        <v>639.54</v>
      </c>
      <c r="F4155" s="346">
        <v>7571.5900000000502</v>
      </c>
      <c r="G4155" s="343" t="s">
        <v>2041</v>
      </c>
      <c r="H4155" s="343" t="s">
        <v>2125</v>
      </c>
      <c r="I4155" s="343" t="s">
        <v>1880</v>
      </c>
      <c r="J4155" s="343" t="s">
        <v>757</v>
      </c>
      <c r="K4155" s="343" t="s">
        <v>770</v>
      </c>
      <c r="L4155" s="344">
        <v>44048</v>
      </c>
      <c r="M4155" s="347">
        <v>0</v>
      </c>
    </row>
    <row r="4156" spans="1:13" hidden="1" x14ac:dyDescent="0.25">
      <c r="A4156" s="344">
        <v>44048</v>
      </c>
      <c r="B4156" s="343" t="s">
        <v>2042</v>
      </c>
      <c r="C4156" s="343" t="s">
        <v>769</v>
      </c>
      <c r="D4156" s="345">
        <v>2</v>
      </c>
      <c r="E4156" s="346">
        <v>639.54</v>
      </c>
      <c r="F4156" s="346">
        <v>8211.1300000000501</v>
      </c>
      <c r="G4156" s="343" t="s">
        <v>2043</v>
      </c>
      <c r="H4156" s="343" t="s">
        <v>2125</v>
      </c>
      <c r="I4156" s="343" t="s">
        <v>1880</v>
      </c>
      <c r="J4156" s="343" t="s">
        <v>757</v>
      </c>
      <c r="K4156" s="343" t="s">
        <v>770</v>
      </c>
      <c r="L4156" s="344">
        <v>44048</v>
      </c>
      <c r="M4156" s="347">
        <v>0</v>
      </c>
    </row>
    <row r="4157" spans="1:13" hidden="1" x14ac:dyDescent="0.25">
      <c r="A4157" s="344">
        <v>44048</v>
      </c>
      <c r="B4157" s="343" t="s">
        <v>2035</v>
      </c>
      <c r="C4157" s="343" t="s">
        <v>936</v>
      </c>
      <c r="D4157" s="345">
        <v>2</v>
      </c>
      <c r="E4157" s="346">
        <v>-639.54</v>
      </c>
      <c r="F4157" s="346">
        <v>7571.5900000000502</v>
      </c>
      <c r="G4157" s="343" t="s">
        <v>2036</v>
      </c>
      <c r="H4157" s="343" t="s">
        <v>2125</v>
      </c>
      <c r="I4157" s="343" t="s">
        <v>1880</v>
      </c>
      <c r="J4157" s="343" t="s">
        <v>757</v>
      </c>
      <c r="K4157" s="343" t="s">
        <v>770</v>
      </c>
      <c r="L4157" s="344">
        <v>43862</v>
      </c>
      <c r="M4157" s="347">
        <v>0</v>
      </c>
    </row>
    <row r="4158" spans="1:13" hidden="1" x14ac:dyDescent="0.25">
      <c r="A4158" s="344">
        <v>44048</v>
      </c>
      <c r="B4158" s="343" t="s">
        <v>2038</v>
      </c>
      <c r="C4158" s="343" t="s">
        <v>936</v>
      </c>
      <c r="D4158" s="345">
        <v>2</v>
      </c>
      <c r="E4158" s="346">
        <v>-639.54</v>
      </c>
      <c r="F4158" s="346">
        <v>6932.0500000000502</v>
      </c>
      <c r="G4158" s="343" t="s">
        <v>2039</v>
      </c>
      <c r="H4158" s="343" t="s">
        <v>2125</v>
      </c>
      <c r="I4158" s="343" t="s">
        <v>1880</v>
      </c>
      <c r="J4158" s="343" t="s">
        <v>757</v>
      </c>
      <c r="K4158" s="343" t="s">
        <v>770</v>
      </c>
      <c r="L4158" s="344">
        <v>43891</v>
      </c>
      <c r="M4158" s="347">
        <v>0</v>
      </c>
    </row>
    <row r="4159" spans="1:13" hidden="1" x14ac:dyDescent="0.25">
      <c r="A4159" s="344">
        <v>44062</v>
      </c>
      <c r="B4159" s="343" t="s">
        <v>1932</v>
      </c>
      <c r="C4159" s="343" t="s">
        <v>1059</v>
      </c>
      <c r="D4159" s="345">
        <v>2</v>
      </c>
      <c r="E4159" s="346">
        <v>-4.55</v>
      </c>
      <c r="F4159" s="346">
        <v>6927.50000000005</v>
      </c>
      <c r="G4159" s="343" t="s">
        <v>1933</v>
      </c>
      <c r="H4159" s="343" t="s">
        <v>2125</v>
      </c>
      <c r="I4159" s="343" t="s">
        <v>1880</v>
      </c>
      <c r="J4159" s="343" t="s">
        <v>757</v>
      </c>
      <c r="K4159" s="343" t="s">
        <v>741</v>
      </c>
      <c r="L4159" s="344">
        <v>44062</v>
      </c>
      <c r="M4159" s="347">
        <v>0</v>
      </c>
    </row>
    <row r="4160" spans="1:13" hidden="1" x14ac:dyDescent="0.25">
      <c r="A4160" s="344">
        <v>44064</v>
      </c>
      <c r="B4160" s="343" t="s">
        <v>2092</v>
      </c>
      <c r="C4160" s="343" t="s">
        <v>769</v>
      </c>
      <c r="D4160" s="345">
        <v>2</v>
      </c>
      <c r="E4160" s="346">
        <v>101</v>
      </c>
      <c r="F4160" s="346">
        <v>7028.50000000005</v>
      </c>
      <c r="G4160" s="343" t="s">
        <v>2093</v>
      </c>
      <c r="H4160" s="343" t="s">
        <v>2125</v>
      </c>
      <c r="I4160" s="343" t="s">
        <v>1880</v>
      </c>
      <c r="J4160" s="343" t="s">
        <v>757</v>
      </c>
      <c r="K4160" s="343" t="s">
        <v>770</v>
      </c>
      <c r="L4160" s="344">
        <v>44064</v>
      </c>
      <c r="M4160" s="347">
        <v>0</v>
      </c>
    </row>
    <row r="4161" spans="1:13" hidden="1" x14ac:dyDescent="0.25">
      <c r="A4161" s="344">
        <v>44064</v>
      </c>
      <c r="B4161" s="343" t="s">
        <v>2094</v>
      </c>
      <c r="C4161" s="343" t="s">
        <v>769</v>
      </c>
      <c r="D4161" s="345">
        <v>2</v>
      </c>
      <c r="E4161" s="346">
        <v>101.01</v>
      </c>
      <c r="F4161" s="346">
        <v>7129.5100000000502</v>
      </c>
      <c r="G4161" s="343" t="s">
        <v>2095</v>
      </c>
      <c r="H4161" s="343" t="s">
        <v>2125</v>
      </c>
      <c r="I4161" s="343" t="s">
        <v>1880</v>
      </c>
      <c r="J4161" s="343" t="s">
        <v>757</v>
      </c>
      <c r="K4161" s="343" t="s">
        <v>770</v>
      </c>
      <c r="L4161" s="344">
        <v>44064</v>
      </c>
      <c r="M4161" s="347">
        <v>0</v>
      </c>
    </row>
    <row r="4162" spans="1:13" hidden="1" x14ac:dyDescent="0.25">
      <c r="A4162" s="344">
        <v>44064</v>
      </c>
      <c r="B4162" s="343" t="s">
        <v>2092</v>
      </c>
      <c r="C4162" s="343" t="s">
        <v>936</v>
      </c>
      <c r="D4162" s="345">
        <v>2</v>
      </c>
      <c r="E4162" s="346">
        <v>-101</v>
      </c>
      <c r="F4162" s="346">
        <v>7028.5100000000502</v>
      </c>
      <c r="G4162" s="343" t="s">
        <v>2093</v>
      </c>
      <c r="H4162" s="343" t="s">
        <v>2125</v>
      </c>
      <c r="I4162" s="343" t="s">
        <v>1880</v>
      </c>
      <c r="J4162" s="343" t="s">
        <v>757</v>
      </c>
      <c r="K4162" s="343" t="s">
        <v>770</v>
      </c>
      <c r="L4162" s="344">
        <v>44064</v>
      </c>
      <c r="M4162" s="347">
        <v>0</v>
      </c>
    </row>
    <row r="4163" spans="1:13" hidden="1" x14ac:dyDescent="0.25">
      <c r="A4163" s="344">
        <v>44077</v>
      </c>
      <c r="B4163" s="343" t="s">
        <v>2096</v>
      </c>
      <c r="C4163" s="343" t="s">
        <v>769</v>
      </c>
      <c r="D4163" s="345">
        <v>3</v>
      </c>
      <c r="E4163" s="346">
        <v>75.75</v>
      </c>
      <c r="F4163" s="346">
        <v>7104.2600000000502</v>
      </c>
      <c r="G4163" s="343" t="s">
        <v>2097</v>
      </c>
      <c r="H4163" s="343" t="s">
        <v>2125</v>
      </c>
      <c r="I4163" s="343" t="s">
        <v>1880</v>
      </c>
      <c r="J4163" s="343" t="s">
        <v>757</v>
      </c>
      <c r="K4163" s="343" t="s">
        <v>770</v>
      </c>
      <c r="L4163" s="344">
        <v>44077</v>
      </c>
      <c r="M4163" s="347">
        <v>0</v>
      </c>
    </row>
    <row r="4164" spans="1:13" hidden="1" x14ac:dyDescent="0.25">
      <c r="A4164" s="344">
        <v>44083</v>
      </c>
      <c r="B4164" s="343" t="s">
        <v>1948</v>
      </c>
      <c r="C4164" s="343" t="s">
        <v>1059</v>
      </c>
      <c r="D4164" s="345">
        <v>3</v>
      </c>
      <c r="E4164" s="346">
        <v>-36.4</v>
      </c>
      <c r="F4164" s="346">
        <v>7067.8600000000497</v>
      </c>
      <c r="G4164" s="343" t="s">
        <v>1949</v>
      </c>
      <c r="H4164" s="343" t="s">
        <v>2125</v>
      </c>
      <c r="I4164" s="343" t="s">
        <v>1880</v>
      </c>
      <c r="J4164" s="343" t="s">
        <v>757</v>
      </c>
      <c r="K4164" s="343" t="s">
        <v>741</v>
      </c>
      <c r="L4164" s="344">
        <v>44083</v>
      </c>
      <c r="M4164" s="347">
        <v>0</v>
      </c>
    </row>
    <row r="4165" spans="1:13" hidden="1" x14ac:dyDescent="0.25">
      <c r="A4165" s="344">
        <v>44090</v>
      </c>
      <c r="B4165" s="343" t="s">
        <v>2098</v>
      </c>
      <c r="C4165" s="343" t="s">
        <v>769</v>
      </c>
      <c r="D4165" s="345">
        <v>3</v>
      </c>
      <c r="E4165" s="346">
        <v>75.75</v>
      </c>
      <c r="F4165" s="346">
        <v>7143.6100000000497</v>
      </c>
      <c r="G4165" s="343" t="s">
        <v>2099</v>
      </c>
      <c r="H4165" s="343" t="s">
        <v>2125</v>
      </c>
      <c r="I4165" s="343" t="s">
        <v>1880</v>
      </c>
      <c r="J4165" s="343" t="s">
        <v>757</v>
      </c>
      <c r="K4165" s="343" t="s">
        <v>770</v>
      </c>
      <c r="L4165" s="344">
        <v>44090</v>
      </c>
      <c r="M4165" s="347">
        <v>0</v>
      </c>
    </row>
    <row r="4166" spans="1:13" hidden="1" x14ac:dyDescent="0.25">
      <c r="A4166" s="344">
        <v>44094</v>
      </c>
      <c r="B4166" s="343" t="s">
        <v>1950</v>
      </c>
      <c r="C4166" s="343" t="s">
        <v>1059</v>
      </c>
      <c r="D4166" s="345">
        <v>3</v>
      </c>
      <c r="E4166" s="346">
        <v>-36.4</v>
      </c>
      <c r="F4166" s="346">
        <v>7107.2100000000501</v>
      </c>
      <c r="G4166" s="343" t="s">
        <v>1951</v>
      </c>
      <c r="H4166" s="343" t="s">
        <v>2125</v>
      </c>
      <c r="I4166" s="343" t="s">
        <v>1880</v>
      </c>
      <c r="J4166" s="343" t="s">
        <v>757</v>
      </c>
      <c r="K4166" s="343" t="s">
        <v>741</v>
      </c>
      <c r="L4166" s="344">
        <v>44094</v>
      </c>
      <c r="M4166" s="347">
        <v>0</v>
      </c>
    </row>
    <row r="4167" spans="1:13" hidden="1" x14ac:dyDescent="0.25">
      <c r="A4167" s="344">
        <v>44104</v>
      </c>
      <c r="B4167" s="343" t="s">
        <v>1934</v>
      </c>
      <c r="C4167" s="343" t="s">
        <v>1059</v>
      </c>
      <c r="D4167" s="345">
        <v>3</v>
      </c>
      <c r="E4167" s="346">
        <v>-36.4</v>
      </c>
      <c r="F4167" s="346">
        <v>7070.8100000000504</v>
      </c>
      <c r="G4167" s="343" t="s">
        <v>1935</v>
      </c>
      <c r="H4167" s="343" t="s">
        <v>2125</v>
      </c>
      <c r="I4167" s="343" t="s">
        <v>1880</v>
      </c>
      <c r="J4167" s="343" t="s">
        <v>757</v>
      </c>
      <c r="K4167" s="343" t="s">
        <v>741</v>
      </c>
      <c r="L4167" s="344">
        <v>44104</v>
      </c>
      <c r="M4167" s="347">
        <v>0</v>
      </c>
    </row>
    <row r="4168" spans="1:13" hidden="1" x14ac:dyDescent="0.25">
      <c r="A4168" s="344">
        <v>44104</v>
      </c>
      <c r="B4168" s="343" t="s">
        <v>2066</v>
      </c>
      <c r="C4168" s="343" t="s">
        <v>1060</v>
      </c>
      <c r="D4168" s="345">
        <v>3</v>
      </c>
      <c r="E4168" s="346">
        <v>280</v>
      </c>
      <c r="F4168" s="346">
        <v>7350.8100000000504</v>
      </c>
      <c r="G4168" s="343" t="s">
        <v>2067</v>
      </c>
      <c r="H4168" s="343" t="s">
        <v>2125</v>
      </c>
      <c r="I4168" s="343" t="s">
        <v>1880</v>
      </c>
      <c r="J4168" s="343" t="s">
        <v>757</v>
      </c>
      <c r="K4168" s="343" t="s">
        <v>741</v>
      </c>
      <c r="L4168" s="344">
        <v>44104</v>
      </c>
      <c r="M4168" s="347">
        <v>0</v>
      </c>
    </row>
    <row r="4169" spans="1:13" hidden="1" x14ac:dyDescent="0.25">
      <c r="A4169" s="344">
        <v>44104</v>
      </c>
      <c r="B4169" s="343" t="s">
        <v>2066</v>
      </c>
      <c r="C4169" s="343" t="s">
        <v>1060</v>
      </c>
      <c r="D4169" s="345">
        <v>4</v>
      </c>
      <c r="E4169" s="346">
        <v>-280</v>
      </c>
      <c r="F4169" s="346">
        <v>7070.8100000000504</v>
      </c>
      <c r="G4169" s="343" t="s">
        <v>2067</v>
      </c>
      <c r="H4169" s="343" t="s">
        <v>2125</v>
      </c>
      <c r="I4169" s="343" t="s">
        <v>1880</v>
      </c>
      <c r="J4169" s="343" t="s">
        <v>757</v>
      </c>
      <c r="K4169" s="343" t="s">
        <v>741</v>
      </c>
      <c r="L4169" s="344">
        <v>44104</v>
      </c>
      <c r="M4169" s="347">
        <v>0</v>
      </c>
    </row>
    <row r="4170" spans="1:13" hidden="1" x14ac:dyDescent="0.25">
      <c r="A4170" s="344">
        <v>44120</v>
      </c>
      <c r="B4170" s="343" t="s">
        <v>1936</v>
      </c>
      <c r="C4170" s="343" t="s">
        <v>1059</v>
      </c>
      <c r="D4170" s="345">
        <v>4</v>
      </c>
      <c r="E4170" s="346">
        <v>-128.94</v>
      </c>
      <c r="F4170" s="346">
        <v>6941.8700000000499</v>
      </c>
      <c r="G4170" s="343" t="s">
        <v>1937</v>
      </c>
      <c r="H4170" s="343" t="s">
        <v>2125</v>
      </c>
      <c r="I4170" s="343" t="s">
        <v>1880</v>
      </c>
      <c r="J4170" s="343" t="s">
        <v>757</v>
      </c>
      <c r="K4170" s="343" t="s">
        <v>741</v>
      </c>
      <c r="L4170" s="344">
        <v>44120</v>
      </c>
      <c r="M4170" s="347">
        <v>0</v>
      </c>
    </row>
    <row r="4171" spans="1:13" hidden="1" x14ac:dyDescent="0.25">
      <c r="A4171" s="344">
        <v>44135</v>
      </c>
      <c r="B4171" s="343" t="s">
        <v>1954</v>
      </c>
      <c r="C4171" s="343" t="s">
        <v>1059</v>
      </c>
      <c r="D4171" s="345">
        <v>4</v>
      </c>
      <c r="E4171" s="346">
        <v>-32.01</v>
      </c>
      <c r="F4171" s="346">
        <v>6909.8600000000497</v>
      </c>
      <c r="G4171" s="343" t="s">
        <v>1955</v>
      </c>
      <c r="H4171" s="343" t="s">
        <v>2125</v>
      </c>
      <c r="I4171" s="343" t="s">
        <v>1880</v>
      </c>
      <c r="J4171" s="343" t="s">
        <v>757</v>
      </c>
      <c r="K4171" s="343" t="s">
        <v>741</v>
      </c>
      <c r="L4171" s="344">
        <v>44135</v>
      </c>
      <c r="M4171" s="347">
        <v>0</v>
      </c>
    </row>
    <row r="4172" spans="1:13" hidden="1" x14ac:dyDescent="0.25">
      <c r="A4172" s="344">
        <v>44135</v>
      </c>
      <c r="B4172" s="343" t="s">
        <v>2068</v>
      </c>
      <c r="C4172" s="343" t="s">
        <v>1060</v>
      </c>
      <c r="D4172" s="345">
        <v>4</v>
      </c>
      <c r="E4172" s="346">
        <v>560</v>
      </c>
      <c r="F4172" s="346">
        <v>7469.8600000000497</v>
      </c>
      <c r="G4172" s="343" t="s">
        <v>2069</v>
      </c>
      <c r="H4172" s="343" t="s">
        <v>2125</v>
      </c>
      <c r="I4172" s="343" t="s">
        <v>1880</v>
      </c>
      <c r="J4172" s="343" t="s">
        <v>757</v>
      </c>
      <c r="K4172" s="343" t="s">
        <v>741</v>
      </c>
      <c r="L4172" s="344">
        <v>44135</v>
      </c>
      <c r="M4172" s="347">
        <v>0</v>
      </c>
    </row>
    <row r="4173" spans="1:13" hidden="1" x14ac:dyDescent="0.25">
      <c r="A4173" s="344">
        <v>44135</v>
      </c>
      <c r="B4173" s="343" t="s">
        <v>2068</v>
      </c>
      <c r="C4173" s="343" t="s">
        <v>1060</v>
      </c>
      <c r="D4173" s="345">
        <v>5</v>
      </c>
      <c r="E4173" s="346">
        <v>-560</v>
      </c>
      <c r="F4173" s="346">
        <v>6909.8600000000497</v>
      </c>
      <c r="G4173" s="343" t="s">
        <v>2069</v>
      </c>
      <c r="H4173" s="343" t="s">
        <v>2125</v>
      </c>
      <c r="I4173" s="343" t="s">
        <v>1880</v>
      </c>
      <c r="J4173" s="343" t="s">
        <v>757</v>
      </c>
      <c r="K4173" s="343" t="s">
        <v>741</v>
      </c>
      <c r="L4173" s="344">
        <v>44135</v>
      </c>
      <c r="M4173" s="347">
        <v>0</v>
      </c>
    </row>
    <row r="4174" spans="1:13" hidden="1" x14ac:dyDescent="0.25">
      <c r="A4174" s="344">
        <v>44144</v>
      </c>
      <c r="B4174" s="343" t="s">
        <v>2044</v>
      </c>
      <c r="C4174" s="343" t="s">
        <v>769</v>
      </c>
      <c r="D4174" s="345">
        <v>6</v>
      </c>
      <c r="E4174" s="346">
        <v>210</v>
      </c>
      <c r="F4174" s="346">
        <v>7119.8600000000497</v>
      </c>
      <c r="G4174" s="343" t="s">
        <v>2045</v>
      </c>
      <c r="H4174" s="343" t="s">
        <v>2125</v>
      </c>
      <c r="I4174" s="343" t="s">
        <v>1880</v>
      </c>
      <c r="J4174" s="343" t="s">
        <v>757</v>
      </c>
      <c r="K4174" s="343" t="s">
        <v>770</v>
      </c>
      <c r="L4174" s="344">
        <v>44144</v>
      </c>
      <c r="M4174" s="347">
        <v>0</v>
      </c>
    </row>
    <row r="4175" spans="1:13" hidden="1" x14ac:dyDescent="0.25">
      <c r="A4175" s="344">
        <v>44168</v>
      </c>
      <c r="B4175" s="343" t="s">
        <v>2046</v>
      </c>
      <c r="C4175" s="343" t="s">
        <v>769</v>
      </c>
      <c r="D4175" s="345">
        <v>6</v>
      </c>
      <c r="E4175" s="346">
        <v>210</v>
      </c>
      <c r="F4175" s="346">
        <v>7329.8600000000497</v>
      </c>
      <c r="G4175" s="343" t="s">
        <v>2047</v>
      </c>
      <c r="H4175" s="343" t="s">
        <v>2125</v>
      </c>
      <c r="I4175" s="343" t="s">
        <v>1880</v>
      </c>
      <c r="J4175" s="343" t="s">
        <v>757</v>
      </c>
      <c r="K4175" s="343" t="s">
        <v>770</v>
      </c>
      <c r="L4175" s="344">
        <v>44168</v>
      </c>
      <c r="M4175" s="347">
        <v>0</v>
      </c>
    </row>
    <row r="4176" spans="1:13" hidden="1" x14ac:dyDescent="0.25">
      <c r="A4176" s="344">
        <v>44196</v>
      </c>
      <c r="B4176" s="343" t="s">
        <v>2048</v>
      </c>
      <c r="C4176" s="343" t="s">
        <v>1060</v>
      </c>
      <c r="D4176" s="345">
        <v>6</v>
      </c>
      <c r="E4176" s="346">
        <v>490</v>
      </c>
      <c r="F4176" s="346">
        <v>7819.8600000000497</v>
      </c>
      <c r="G4176" s="343" t="s">
        <v>2049</v>
      </c>
      <c r="H4176" s="343" t="s">
        <v>2125</v>
      </c>
      <c r="I4176" s="343" t="s">
        <v>1880</v>
      </c>
      <c r="J4176" s="343" t="s">
        <v>757</v>
      </c>
      <c r="K4176" s="343" t="s">
        <v>741</v>
      </c>
      <c r="L4176" s="344">
        <v>44196</v>
      </c>
      <c r="M4176" s="347">
        <v>0</v>
      </c>
    </row>
    <row r="4177" spans="1:13" hidden="1" x14ac:dyDescent="0.25">
      <c r="A4177" s="344">
        <v>44196</v>
      </c>
      <c r="B4177" s="343" t="s">
        <v>2048</v>
      </c>
      <c r="C4177" s="343" t="s">
        <v>1060</v>
      </c>
      <c r="D4177" s="345">
        <v>7</v>
      </c>
      <c r="E4177" s="346">
        <v>-490</v>
      </c>
      <c r="F4177" s="346">
        <v>7329.8600000000497</v>
      </c>
      <c r="G4177" s="343" t="s">
        <v>2049</v>
      </c>
      <c r="H4177" s="343" t="s">
        <v>2125</v>
      </c>
      <c r="I4177" s="343" t="s">
        <v>1880</v>
      </c>
      <c r="J4177" s="343" t="s">
        <v>757</v>
      </c>
      <c r="K4177" s="343" t="s">
        <v>741</v>
      </c>
      <c r="L4177" s="344">
        <v>44196</v>
      </c>
      <c r="M4177" s="347">
        <v>0</v>
      </c>
    </row>
    <row r="4178" spans="1:13" hidden="1" x14ac:dyDescent="0.25">
      <c r="A4178" s="344">
        <v>44196</v>
      </c>
      <c r="B4178" s="343" t="s">
        <v>2050</v>
      </c>
      <c r="C4178" s="343" t="s">
        <v>769</v>
      </c>
      <c r="D4178" s="345">
        <v>7</v>
      </c>
      <c r="E4178" s="346">
        <v>140</v>
      </c>
      <c r="F4178" s="346">
        <v>7469.8600000000497</v>
      </c>
      <c r="G4178" s="343" t="s">
        <v>2051</v>
      </c>
      <c r="H4178" s="343" t="s">
        <v>2125</v>
      </c>
      <c r="I4178" s="343" t="s">
        <v>1880</v>
      </c>
      <c r="J4178" s="343" t="s">
        <v>757</v>
      </c>
      <c r="K4178" s="343" t="s">
        <v>770</v>
      </c>
      <c r="L4178" s="344">
        <v>44196</v>
      </c>
      <c r="M4178" s="347">
        <v>0</v>
      </c>
    </row>
    <row r="4179" spans="1:13" hidden="1" x14ac:dyDescent="0.25">
      <c r="A4179" s="344">
        <v>44227</v>
      </c>
      <c r="B4179" s="343" t="s">
        <v>2052</v>
      </c>
      <c r="C4179" s="343" t="s">
        <v>1060</v>
      </c>
      <c r="D4179" s="345">
        <v>7</v>
      </c>
      <c r="E4179" s="346">
        <v>420</v>
      </c>
      <c r="F4179" s="346">
        <v>7889.8600000000497</v>
      </c>
      <c r="G4179" s="343" t="s">
        <v>2053</v>
      </c>
      <c r="H4179" s="343" t="s">
        <v>2125</v>
      </c>
      <c r="I4179" s="343" t="s">
        <v>1880</v>
      </c>
      <c r="J4179" s="343" t="s">
        <v>757</v>
      </c>
      <c r="K4179" s="343" t="s">
        <v>741</v>
      </c>
      <c r="L4179" s="344">
        <v>44227</v>
      </c>
      <c r="M4179" s="347">
        <v>0</v>
      </c>
    </row>
    <row r="4180" spans="1:13" hidden="1" x14ac:dyDescent="0.25">
      <c r="A4180" s="344">
        <v>44227</v>
      </c>
      <c r="B4180" s="343" t="s">
        <v>2052</v>
      </c>
      <c r="C4180" s="343" t="s">
        <v>1060</v>
      </c>
      <c r="D4180" s="345">
        <v>8</v>
      </c>
      <c r="E4180" s="346">
        <v>-420</v>
      </c>
      <c r="F4180" s="346">
        <v>7469.8600000000497</v>
      </c>
      <c r="G4180" s="343" t="s">
        <v>2053</v>
      </c>
      <c r="H4180" s="343" t="s">
        <v>2125</v>
      </c>
      <c r="I4180" s="343" t="s">
        <v>1880</v>
      </c>
      <c r="J4180" s="343" t="s">
        <v>757</v>
      </c>
      <c r="K4180" s="343" t="s">
        <v>741</v>
      </c>
      <c r="L4180" s="344">
        <v>44227</v>
      </c>
      <c r="M4180" s="347">
        <v>0</v>
      </c>
    </row>
    <row r="4181" spans="1:13" hidden="1" x14ac:dyDescent="0.25">
      <c r="A4181" s="344">
        <v>44228</v>
      </c>
      <c r="B4181" s="343" t="s">
        <v>2054</v>
      </c>
      <c r="C4181" s="343" t="s">
        <v>769</v>
      </c>
      <c r="D4181" s="345">
        <v>8</v>
      </c>
      <c r="E4181" s="346">
        <v>140</v>
      </c>
      <c r="F4181" s="346">
        <v>7609.8600000000497</v>
      </c>
      <c r="G4181" s="343" t="s">
        <v>2055</v>
      </c>
      <c r="H4181" s="343" t="s">
        <v>2125</v>
      </c>
      <c r="I4181" s="343" t="s">
        <v>1880</v>
      </c>
      <c r="J4181" s="343" t="s">
        <v>757</v>
      </c>
      <c r="K4181" s="343" t="s">
        <v>770</v>
      </c>
      <c r="L4181" s="344">
        <v>44228</v>
      </c>
      <c r="M4181" s="347">
        <v>0</v>
      </c>
    </row>
    <row r="4182" spans="1:13" hidden="1" x14ac:dyDescent="0.25">
      <c r="A4182" s="344">
        <v>44255</v>
      </c>
      <c r="B4182" s="343" t="s">
        <v>2056</v>
      </c>
      <c r="C4182" s="343" t="s">
        <v>1060</v>
      </c>
      <c r="D4182" s="345">
        <v>8</v>
      </c>
      <c r="E4182" s="346">
        <v>420</v>
      </c>
      <c r="F4182" s="346">
        <v>8029.8600000000497</v>
      </c>
      <c r="G4182" s="343" t="s">
        <v>2057</v>
      </c>
      <c r="H4182" s="343" t="s">
        <v>2125</v>
      </c>
      <c r="I4182" s="343" t="s">
        <v>1880</v>
      </c>
      <c r="J4182" s="343" t="s">
        <v>757</v>
      </c>
      <c r="K4182" s="343" t="s">
        <v>741</v>
      </c>
      <c r="L4182" s="344">
        <v>44255</v>
      </c>
      <c r="M4182" s="347">
        <v>0</v>
      </c>
    </row>
    <row r="4183" spans="1:13" hidden="1" x14ac:dyDescent="0.25">
      <c r="A4183" s="344">
        <v>44255</v>
      </c>
      <c r="B4183" s="343" t="s">
        <v>2056</v>
      </c>
      <c r="C4183" s="343" t="s">
        <v>1060</v>
      </c>
      <c r="D4183" s="345">
        <v>9</v>
      </c>
      <c r="E4183" s="346">
        <v>-420</v>
      </c>
      <c r="F4183" s="346">
        <v>7609.8600000000497</v>
      </c>
      <c r="G4183" s="343" t="s">
        <v>2057</v>
      </c>
      <c r="H4183" s="343" t="s">
        <v>2125</v>
      </c>
      <c r="I4183" s="343" t="s">
        <v>1880</v>
      </c>
      <c r="J4183" s="343" t="s">
        <v>757</v>
      </c>
      <c r="K4183" s="343" t="s">
        <v>741</v>
      </c>
      <c r="L4183" s="344">
        <v>44255</v>
      </c>
      <c r="M4183" s="347">
        <v>0</v>
      </c>
    </row>
    <row r="4184" spans="1:13" hidden="1" x14ac:dyDescent="0.25">
      <c r="A4184" s="344">
        <v>44255</v>
      </c>
      <c r="B4184" s="343" t="s">
        <v>2058</v>
      </c>
      <c r="C4184" s="343" t="s">
        <v>769</v>
      </c>
      <c r="D4184" s="345">
        <v>9</v>
      </c>
      <c r="E4184" s="346">
        <v>140</v>
      </c>
      <c r="F4184" s="346">
        <v>7749.8600000000497</v>
      </c>
      <c r="G4184" s="343" t="s">
        <v>2059</v>
      </c>
      <c r="H4184" s="343" t="s">
        <v>2125</v>
      </c>
      <c r="I4184" s="343" t="s">
        <v>1880</v>
      </c>
      <c r="J4184" s="343" t="s">
        <v>757</v>
      </c>
      <c r="K4184" s="343" t="s">
        <v>770</v>
      </c>
      <c r="L4184" s="344">
        <v>44255</v>
      </c>
      <c r="M4184" s="347">
        <v>0</v>
      </c>
    </row>
    <row r="4185" spans="1:13" hidden="1" x14ac:dyDescent="0.25">
      <c r="A4185" s="344">
        <v>44286</v>
      </c>
      <c r="B4185" s="343" t="s">
        <v>2060</v>
      </c>
      <c r="C4185" s="343" t="s">
        <v>1060</v>
      </c>
      <c r="D4185" s="345">
        <v>9</v>
      </c>
      <c r="E4185" s="346">
        <v>140</v>
      </c>
      <c r="F4185" s="346">
        <v>7889.8600000000497</v>
      </c>
      <c r="G4185" s="343" t="s">
        <v>2061</v>
      </c>
      <c r="H4185" s="343" t="s">
        <v>2125</v>
      </c>
      <c r="I4185" s="343" t="s">
        <v>1880</v>
      </c>
      <c r="J4185" s="343" t="s">
        <v>757</v>
      </c>
      <c r="K4185" s="343" t="s">
        <v>741</v>
      </c>
      <c r="L4185" s="344">
        <v>44286</v>
      </c>
      <c r="M4185" s="347">
        <v>0</v>
      </c>
    </row>
    <row r="4186" spans="1:13" hidden="1" x14ac:dyDescent="0.25">
      <c r="A4186" s="344">
        <v>44286</v>
      </c>
      <c r="B4186" s="343" t="s">
        <v>2060</v>
      </c>
      <c r="C4186" s="343" t="s">
        <v>1060</v>
      </c>
      <c r="D4186" s="345">
        <v>10</v>
      </c>
      <c r="E4186" s="346">
        <v>-140</v>
      </c>
      <c r="F4186" s="346">
        <v>7749.8600000000497</v>
      </c>
      <c r="G4186" s="343" t="s">
        <v>2061</v>
      </c>
      <c r="H4186" s="343" t="s">
        <v>2125</v>
      </c>
      <c r="I4186" s="343" t="s">
        <v>1880</v>
      </c>
      <c r="J4186" s="343" t="s">
        <v>757</v>
      </c>
      <c r="K4186" s="343" t="s">
        <v>741</v>
      </c>
      <c r="L4186" s="344">
        <v>44286</v>
      </c>
      <c r="M4186" s="347">
        <v>0</v>
      </c>
    </row>
    <row r="4187" spans="1:13" hidden="1" x14ac:dyDescent="0.25">
      <c r="A4187" s="344">
        <v>44293</v>
      </c>
      <c r="B4187" s="343" t="s">
        <v>2062</v>
      </c>
      <c r="C4187" s="343" t="s">
        <v>769</v>
      </c>
      <c r="D4187" s="345">
        <v>10</v>
      </c>
      <c r="E4187" s="346">
        <v>140</v>
      </c>
      <c r="F4187" s="346">
        <v>7889.8600000000497</v>
      </c>
      <c r="G4187" s="343" t="s">
        <v>2063</v>
      </c>
      <c r="H4187" s="343" t="s">
        <v>2125</v>
      </c>
      <c r="I4187" s="343" t="s">
        <v>1880</v>
      </c>
      <c r="J4187" s="343" t="s">
        <v>757</v>
      </c>
      <c r="K4187" s="343" t="s">
        <v>770</v>
      </c>
      <c r="L4187" s="344">
        <v>44293</v>
      </c>
      <c r="M4187" s="347">
        <v>0</v>
      </c>
    </row>
    <row r="4188" spans="1:13" hidden="1" x14ac:dyDescent="0.25">
      <c r="A4188" s="344">
        <v>44316</v>
      </c>
      <c r="B4188" s="343" t="s">
        <v>1078</v>
      </c>
      <c r="C4188" s="343" t="s">
        <v>1060</v>
      </c>
      <c r="D4188" s="345">
        <v>10</v>
      </c>
      <c r="E4188" s="346">
        <v>140</v>
      </c>
      <c r="F4188" s="346">
        <v>8029.8600000000497</v>
      </c>
      <c r="G4188" s="343" t="s">
        <v>2064</v>
      </c>
      <c r="H4188" s="343" t="s">
        <v>2125</v>
      </c>
      <c r="I4188" s="343" t="s">
        <v>1880</v>
      </c>
      <c r="J4188" s="343" t="s">
        <v>757</v>
      </c>
      <c r="K4188" s="343" t="s">
        <v>741</v>
      </c>
      <c r="L4188" s="344">
        <v>44316</v>
      </c>
      <c r="M4188" s="347">
        <v>0</v>
      </c>
    </row>
    <row r="4189" spans="1:13" hidden="1" x14ac:dyDescent="0.25">
      <c r="A4189" s="344">
        <v>44062</v>
      </c>
      <c r="B4189" s="343" t="s">
        <v>1932</v>
      </c>
      <c r="C4189" s="343" t="s">
        <v>1059</v>
      </c>
      <c r="D4189" s="345">
        <v>2</v>
      </c>
      <c r="E4189" s="346">
        <v>-27.3</v>
      </c>
      <c r="F4189" s="346">
        <v>8002.5600000000504</v>
      </c>
      <c r="G4189" s="343" t="s">
        <v>1933</v>
      </c>
      <c r="H4189" s="343" t="s">
        <v>2126</v>
      </c>
      <c r="I4189" s="343" t="s">
        <v>1880</v>
      </c>
      <c r="J4189" s="343" t="s">
        <v>757</v>
      </c>
      <c r="K4189" s="343" t="s">
        <v>741</v>
      </c>
      <c r="L4189" s="344">
        <v>44062</v>
      </c>
      <c r="M4189" s="347">
        <v>0</v>
      </c>
    </row>
    <row r="4190" spans="1:13" hidden="1" x14ac:dyDescent="0.25">
      <c r="A4190" s="344">
        <v>44131</v>
      </c>
      <c r="B4190" s="343" t="s">
        <v>2110</v>
      </c>
      <c r="C4190" s="343" t="s">
        <v>1059</v>
      </c>
      <c r="D4190" s="345">
        <v>2</v>
      </c>
      <c r="E4190" s="346">
        <v>27.3</v>
      </c>
      <c r="F4190" s="346">
        <v>8029.8600000000497</v>
      </c>
      <c r="G4190" s="343" t="s">
        <v>2111</v>
      </c>
      <c r="H4190" s="343" t="s">
        <v>2126</v>
      </c>
      <c r="I4190" s="343" t="s">
        <v>1880</v>
      </c>
      <c r="J4190" s="343" t="s">
        <v>757</v>
      </c>
      <c r="K4190" s="343" t="s">
        <v>741</v>
      </c>
      <c r="L4190" s="344">
        <v>44131</v>
      </c>
      <c r="M4190" s="347">
        <v>0</v>
      </c>
    </row>
    <row r="4191" spans="1:13" hidden="1" x14ac:dyDescent="0.25">
      <c r="A4191" s="344">
        <v>44083</v>
      </c>
      <c r="B4191" s="343" t="s">
        <v>1948</v>
      </c>
      <c r="C4191" s="343" t="s">
        <v>1059</v>
      </c>
      <c r="D4191" s="345">
        <v>3</v>
      </c>
      <c r="E4191" s="346">
        <v>-36.4</v>
      </c>
      <c r="F4191" s="346">
        <v>7993.4600000000501</v>
      </c>
      <c r="G4191" s="343" t="s">
        <v>1949</v>
      </c>
      <c r="H4191" s="343" t="s">
        <v>2126</v>
      </c>
      <c r="I4191" s="343" t="s">
        <v>1880</v>
      </c>
      <c r="J4191" s="343" t="s">
        <v>757</v>
      </c>
      <c r="K4191" s="343" t="s">
        <v>741</v>
      </c>
      <c r="L4191" s="344">
        <v>44083</v>
      </c>
      <c r="M4191" s="347">
        <v>0</v>
      </c>
    </row>
    <row r="4192" spans="1:13" hidden="1" x14ac:dyDescent="0.25">
      <c r="A4192" s="344">
        <v>44094</v>
      </c>
      <c r="B4192" s="343" t="s">
        <v>1950</v>
      </c>
      <c r="C4192" s="343" t="s">
        <v>1059</v>
      </c>
      <c r="D4192" s="345">
        <v>3</v>
      </c>
      <c r="E4192" s="346">
        <v>-36.4</v>
      </c>
      <c r="F4192" s="346">
        <v>7957.0600000000504</v>
      </c>
      <c r="G4192" s="343" t="s">
        <v>1951</v>
      </c>
      <c r="H4192" s="343" t="s">
        <v>2126</v>
      </c>
      <c r="I4192" s="343" t="s">
        <v>1880</v>
      </c>
      <c r="J4192" s="343" t="s">
        <v>757</v>
      </c>
      <c r="K4192" s="343" t="s">
        <v>741</v>
      </c>
      <c r="L4192" s="344">
        <v>44094</v>
      </c>
      <c r="M4192" s="347">
        <v>0</v>
      </c>
    </row>
    <row r="4193" spans="1:13" hidden="1" x14ac:dyDescent="0.25">
      <c r="A4193" s="344">
        <v>44104</v>
      </c>
      <c r="B4193" s="343" t="s">
        <v>1934</v>
      </c>
      <c r="C4193" s="343" t="s">
        <v>1059</v>
      </c>
      <c r="D4193" s="345">
        <v>3</v>
      </c>
      <c r="E4193" s="346">
        <v>-36.4</v>
      </c>
      <c r="F4193" s="346">
        <v>7920.6600000000499</v>
      </c>
      <c r="G4193" s="343" t="s">
        <v>1935</v>
      </c>
      <c r="H4193" s="343" t="s">
        <v>2126</v>
      </c>
      <c r="I4193" s="343" t="s">
        <v>1880</v>
      </c>
      <c r="J4193" s="343" t="s">
        <v>757</v>
      </c>
      <c r="K4193" s="343" t="s">
        <v>741</v>
      </c>
      <c r="L4193" s="344">
        <v>44104</v>
      </c>
      <c r="M4193" s="347">
        <v>0</v>
      </c>
    </row>
    <row r="4194" spans="1:13" hidden="1" x14ac:dyDescent="0.25">
      <c r="A4194" s="344">
        <v>44131</v>
      </c>
      <c r="B4194" s="343" t="s">
        <v>2112</v>
      </c>
      <c r="C4194" s="343" t="s">
        <v>1059</v>
      </c>
      <c r="D4194" s="345">
        <v>3</v>
      </c>
      <c r="E4194" s="346">
        <v>109.2</v>
      </c>
      <c r="F4194" s="346">
        <v>8029.8600000000497</v>
      </c>
      <c r="G4194" s="343" t="s">
        <v>2113</v>
      </c>
      <c r="H4194" s="343" t="s">
        <v>2126</v>
      </c>
      <c r="I4194" s="343" t="s">
        <v>1880</v>
      </c>
      <c r="J4194" s="343" t="s">
        <v>757</v>
      </c>
      <c r="K4194" s="343" t="s">
        <v>741</v>
      </c>
      <c r="L4194" s="344">
        <v>44131</v>
      </c>
      <c r="M4194" s="347">
        <v>0</v>
      </c>
    </row>
    <row r="4195" spans="1:13" hidden="1" x14ac:dyDescent="0.25">
      <c r="A4195" s="344">
        <v>44048</v>
      </c>
      <c r="B4195" s="343" t="s">
        <v>2035</v>
      </c>
      <c r="C4195" s="343" t="s">
        <v>936</v>
      </c>
      <c r="D4195" s="345">
        <v>2</v>
      </c>
      <c r="E4195" s="346">
        <v>-71.06</v>
      </c>
      <c r="F4195" s="346">
        <v>7958.8000000000502</v>
      </c>
      <c r="G4195" s="343" t="s">
        <v>2036</v>
      </c>
      <c r="H4195" s="343" t="s">
        <v>2127</v>
      </c>
      <c r="I4195" s="343" t="s">
        <v>1880</v>
      </c>
      <c r="J4195" s="343" t="s">
        <v>757</v>
      </c>
      <c r="K4195" s="343" t="s">
        <v>770</v>
      </c>
      <c r="L4195" s="344">
        <v>43862</v>
      </c>
      <c r="M4195" s="347">
        <v>0</v>
      </c>
    </row>
    <row r="4196" spans="1:13" hidden="1" x14ac:dyDescent="0.25">
      <c r="A4196" s="344">
        <v>44048</v>
      </c>
      <c r="B4196" s="343" t="s">
        <v>2038</v>
      </c>
      <c r="C4196" s="343" t="s">
        <v>936</v>
      </c>
      <c r="D4196" s="345">
        <v>2</v>
      </c>
      <c r="E4196" s="346">
        <v>-71.06</v>
      </c>
      <c r="F4196" s="346">
        <v>7887.7400000000498</v>
      </c>
      <c r="G4196" s="343" t="s">
        <v>2039</v>
      </c>
      <c r="H4196" s="343" t="s">
        <v>2127</v>
      </c>
      <c r="I4196" s="343" t="s">
        <v>1880</v>
      </c>
      <c r="J4196" s="343" t="s">
        <v>757</v>
      </c>
      <c r="K4196" s="343" t="s">
        <v>770</v>
      </c>
      <c r="L4196" s="344">
        <v>43891</v>
      </c>
      <c r="M4196" s="347">
        <v>0</v>
      </c>
    </row>
    <row r="4197" spans="1:13" hidden="1" x14ac:dyDescent="0.25">
      <c r="A4197" s="344">
        <v>44048</v>
      </c>
      <c r="B4197" s="343" t="s">
        <v>2040</v>
      </c>
      <c r="C4197" s="343" t="s">
        <v>769</v>
      </c>
      <c r="D4197" s="345">
        <v>2</v>
      </c>
      <c r="E4197" s="346">
        <v>71.06</v>
      </c>
      <c r="F4197" s="346">
        <v>7958.8000000000502</v>
      </c>
      <c r="G4197" s="343" t="s">
        <v>2041</v>
      </c>
      <c r="H4197" s="343" t="s">
        <v>2127</v>
      </c>
      <c r="I4197" s="343" t="s">
        <v>1880</v>
      </c>
      <c r="J4197" s="343" t="s">
        <v>757</v>
      </c>
      <c r="K4197" s="343" t="s">
        <v>770</v>
      </c>
      <c r="L4197" s="344">
        <v>44048</v>
      </c>
      <c r="M4197" s="347">
        <v>0</v>
      </c>
    </row>
    <row r="4198" spans="1:13" hidden="1" x14ac:dyDescent="0.25">
      <c r="A4198" s="344">
        <v>44048</v>
      </c>
      <c r="B4198" s="343" t="s">
        <v>2042</v>
      </c>
      <c r="C4198" s="343" t="s">
        <v>769</v>
      </c>
      <c r="D4198" s="345">
        <v>2</v>
      </c>
      <c r="E4198" s="346">
        <v>71.06</v>
      </c>
      <c r="F4198" s="346">
        <v>8029.8600000000497</v>
      </c>
      <c r="G4198" s="343" t="s">
        <v>2043</v>
      </c>
      <c r="H4198" s="343" t="s">
        <v>2127</v>
      </c>
      <c r="I4198" s="343" t="s">
        <v>1880</v>
      </c>
      <c r="J4198" s="343" t="s">
        <v>757</v>
      </c>
      <c r="K4198" s="343" t="s">
        <v>770</v>
      </c>
      <c r="L4198" s="344">
        <v>44048</v>
      </c>
      <c r="M4198" s="347">
        <v>0</v>
      </c>
    </row>
    <row r="4199" spans="1:13" hidden="1" x14ac:dyDescent="0.25">
      <c r="A4199" s="344">
        <v>44052</v>
      </c>
      <c r="B4199" s="343" t="s">
        <v>1930</v>
      </c>
      <c r="C4199" s="343" t="s">
        <v>1059</v>
      </c>
      <c r="D4199" s="345">
        <v>2</v>
      </c>
      <c r="E4199" s="346">
        <v>-18.2</v>
      </c>
      <c r="F4199" s="346">
        <v>8011.6600000000499</v>
      </c>
      <c r="G4199" s="343" t="s">
        <v>1931</v>
      </c>
      <c r="H4199" s="343" t="s">
        <v>2127</v>
      </c>
      <c r="I4199" s="343" t="s">
        <v>1880</v>
      </c>
      <c r="J4199" s="343" t="s">
        <v>757</v>
      </c>
      <c r="K4199" s="343" t="s">
        <v>741</v>
      </c>
      <c r="L4199" s="344">
        <v>44052</v>
      </c>
      <c r="M4199" s="347">
        <v>0</v>
      </c>
    </row>
    <row r="4200" spans="1:13" hidden="1" x14ac:dyDescent="0.25">
      <c r="A4200" s="344">
        <v>44062</v>
      </c>
      <c r="B4200" s="343" t="s">
        <v>1932</v>
      </c>
      <c r="C4200" s="343" t="s">
        <v>1059</v>
      </c>
      <c r="D4200" s="345">
        <v>2</v>
      </c>
      <c r="E4200" s="346">
        <v>-13.65</v>
      </c>
      <c r="F4200" s="346">
        <v>7998.0100000000502</v>
      </c>
      <c r="G4200" s="343" t="s">
        <v>1933</v>
      </c>
      <c r="H4200" s="343" t="s">
        <v>2127</v>
      </c>
      <c r="I4200" s="343" t="s">
        <v>1880</v>
      </c>
      <c r="J4200" s="343" t="s">
        <v>757</v>
      </c>
      <c r="K4200" s="343" t="s">
        <v>741</v>
      </c>
      <c r="L4200" s="344">
        <v>44062</v>
      </c>
      <c r="M4200" s="347">
        <v>0</v>
      </c>
    </row>
    <row r="4201" spans="1:13" hidden="1" x14ac:dyDescent="0.25">
      <c r="A4201" s="344">
        <v>44094</v>
      </c>
      <c r="B4201" s="343" t="s">
        <v>1950</v>
      </c>
      <c r="C4201" s="343" t="s">
        <v>1059</v>
      </c>
      <c r="D4201" s="345">
        <v>3</v>
      </c>
      <c r="E4201" s="346">
        <v>-18.2</v>
      </c>
      <c r="F4201" s="346">
        <v>7979.8100000000504</v>
      </c>
      <c r="G4201" s="343" t="s">
        <v>1951</v>
      </c>
      <c r="H4201" s="343" t="s">
        <v>2127</v>
      </c>
      <c r="I4201" s="343" t="s">
        <v>1880</v>
      </c>
      <c r="J4201" s="343" t="s">
        <v>757</v>
      </c>
      <c r="K4201" s="343" t="s">
        <v>741</v>
      </c>
      <c r="L4201" s="344">
        <v>44094</v>
      </c>
      <c r="M4201" s="347">
        <v>0</v>
      </c>
    </row>
    <row r="4202" spans="1:13" hidden="1" x14ac:dyDescent="0.25">
      <c r="A4202" s="344">
        <v>44104</v>
      </c>
      <c r="B4202" s="343" t="s">
        <v>1934</v>
      </c>
      <c r="C4202" s="343" t="s">
        <v>1059</v>
      </c>
      <c r="D4202" s="345">
        <v>3</v>
      </c>
      <c r="E4202" s="346">
        <v>-22.75</v>
      </c>
      <c r="F4202" s="346">
        <v>7957.0600000000504</v>
      </c>
      <c r="G4202" s="343" t="s">
        <v>1935</v>
      </c>
      <c r="H4202" s="343" t="s">
        <v>2127</v>
      </c>
      <c r="I4202" s="343" t="s">
        <v>1880</v>
      </c>
      <c r="J4202" s="343" t="s">
        <v>757</v>
      </c>
      <c r="K4202" s="343" t="s">
        <v>741</v>
      </c>
      <c r="L4202" s="344">
        <v>44104</v>
      </c>
      <c r="M4202" s="347">
        <v>0</v>
      </c>
    </row>
    <row r="4203" spans="1:13" hidden="1" x14ac:dyDescent="0.25">
      <c r="A4203" s="344">
        <v>44104</v>
      </c>
      <c r="B4203" s="343" t="s">
        <v>2066</v>
      </c>
      <c r="C4203" s="343" t="s">
        <v>1060</v>
      </c>
      <c r="D4203" s="345">
        <v>3</v>
      </c>
      <c r="E4203" s="346">
        <v>70</v>
      </c>
      <c r="F4203" s="346">
        <v>8027.0600000000504</v>
      </c>
      <c r="G4203" s="343" t="s">
        <v>2067</v>
      </c>
      <c r="H4203" s="343" t="s">
        <v>2127</v>
      </c>
      <c r="I4203" s="343" t="s">
        <v>1880</v>
      </c>
      <c r="J4203" s="343" t="s">
        <v>757</v>
      </c>
      <c r="K4203" s="343" t="s">
        <v>741</v>
      </c>
      <c r="L4203" s="344">
        <v>44104</v>
      </c>
      <c r="M4203" s="347">
        <v>0</v>
      </c>
    </row>
    <row r="4204" spans="1:13" hidden="1" x14ac:dyDescent="0.25">
      <c r="A4204" s="344">
        <v>44104</v>
      </c>
      <c r="B4204" s="343" t="s">
        <v>2066</v>
      </c>
      <c r="C4204" s="343" t="s">
        <v>1060</v>
      </c>
      <c r="D4204" s="345">
        <v>4</v>
      </c>
      <c r="E4204" s="346">
        <v>-70</v>
      </c>
      <c r="F4204" s="346">
        <v>7957.0600000000504</v>
      </c>
      <c r="G4204" s="343" t="s">
        <v>2067</v>
      </c>
      <c r="H4204" s="343" t="s">
        <v>2127</v>
      </c>
      <c r="I4204" s="343" t="s">
        <v>1880</v>
      </c>
      <c r="J4204" s="343" t="s">
        <v>757</v>
      </c>
      <c r="K4204" s="343" t="s">
        <v>741</v>
      </c>
      <c r="L4204" s="344">
        <v>44104</v>
      </c>
      <c r="M4204" s="347">
        <v>0</v>
      </c>
    </row>
    <row r="4205" spans="1:13" hidden="1" x14ac:dyDescent="0.25">
      <c r="A4205" s="344">
        <v>44120</v>
      </c>
      <c r="B4205" s="343" t="s">
        <v>1936</v>
      </c>
      <c r="C4205" s="343" t="s">
        <v>1059</v>
      </c>
      <c r="D4205" s="345">
        <v>4</v>
      </c>
      <c r="E4205" s="346">
        <v>-32.31</v>
      </c>
      <c r="F4205" s="346">
        <v>7924.75000000005</v>
      </c>
      <c r="G4205" s="343" t="s">
        <v>1937</v>
      </c>
      <c r="H4205" s="343" t="s">
        <v>2127</v>
      </c>
      <c r="I4205" s="343" t="s">
        <v>1880</v>
      </c>
      <c r="J4205" s="343" t="s">
        <v>757</v>
      </c>
      <c r="K4205" s="343" t="s">
        <v>741</v>
      </c>
      <c r="L4205" s="344">
        <v>44120</v>
      </c>
      <c r="M4205" s="347">
        <v>0</v>
      </c>
    </row>
    <row r="4206" spans="1:13" hidden="1" x14ac:dyDescent="0.25">
      <c r="A4206" s="344">
        <v>44135</v>
      </c>
      <c r="B4206" s="343" t="s">
        <v>2068</v>
      </c>
      <c r="C4206" s="343" t="s">
        <v>1060</v>
      </c>
      <c r="D4206" s="345">
        <v>4</v>
      </c>
      <c r="E4206" s="346">
        <v>140</v>
      </c>
      <c r="F4206" s="346">
        <v>8064.75000000005</v>
      </c>
      <c r="G4206" s="343" t="s">
        <v>2069</v>
      </c>
      <c r="H4206" s="343" t="s">
        <v>2127</v>
      </c>
      <c r="I4206" s="343" t="s">
        <v>1880</v>
      </c>
      <c r="J4206" s="343" t="s">
        <v>757</v>
      </c>
      <c r="K4206" s="343" t="s">
        <v>741</v>
      </c>
      <c r="L4206" s="344">
        <v>44135</v>
      </c>
      <c r="M4206" s="347">
        <v>0</v>
      </c>
    </row>
    <row r="4207" spans="1:13" hidden="1" x14ac:dyDescent="0.25">
      <c r="A4207" s="344">
        <v>44135</v>
      </c>
      <c r="B4207" s="343" t="s">
        <v>2068</v>
      </c>
      <c r="C4207" s="343" t="s">
        <v>1060</v>
      </c>
      <c r="D4207" s="345">
        <v>5</v>
      </c>
      <c r="E4207" s="346">
        <v>-140</v>
      </c>
      <c r="F4207" s="346">
        <v>7924.75000000005</v>
      </c>
      <c r="G4207" s="343" t="s">
        <v>2069</v>
      </c>
      <c r="H4207" s="343" t="s">
        <v>2127</v>
      </c>
      <c r="I4207" s="343" t="s">
        <v>1880</v>
      </c>
      <c r="J4207" s="343" t="s">
        <v>757</v>
      </c>
      <c r="K4207" s="343" t="s">
        <v>741</v>
      </c>
      <c r="L4207" s="344">
        <v>44135</v>
      </c>
      <c r="M4207" s="347">
        <v>0</v>
      </c>
    </row>
    <row r="4208" spans="1:13" hidden="1" x14ac:dyDescent="0.25">
      <c r="A4208" s="344">
        <v>44144</v>
      </c>
      <c r="B4208" s="343" t="s">
        <v>2044</v>
      </c>
      <c r="C4208" s="343" t="s">
        <v>769</v>
      </c>
      <c r="D4208" s="345">
        <v>6</v>
      </c>
      <c r="E4208" s="346">
        <v>140</v>
      </c>
      <c r="F4208" s="346">
        <v>8064.75000000005</v>
      </c>
      <c r="G4208" s="343" t="s">
        <v>2045</v>
      </c>
      <c r="H4208" s="343" t="s">
        <v>2127</v>
      </c>
      <c r="I4208" s="343" t="s">
        <v>1880</v>
      </c>
      <c r="J4208" s="343" t="s">
        <v>757</v>
      </c>
      <c r="K4208" s="343" t="s">
        <v>770</v>
      </c>
      <c r="L4208" s="344">
        <v>44144</v>
      </c>
      <c r="M4208" s="347">
        <v>0</v>
      </c>
    </row>
    <row r="4209" spans="1:13" hidden="1" x14ac:dyDescent="0.25">
      <c r="A4209" s="344">
        <v>44168</v>
      </c>
      <c r="B4209" s="343" t="s">
        <v>2046</v>
      </c>
      <c r="C4209" s="343" t="s">
        <v>769</v>
      </c>
      <c r="D4209" s="345">
        <v>6</v>
      </c>
      <c r="E4209" s="346">
        <v>140</v>
      </c>
      <c r="F4209" s="346">
        <v>8204.7500000000491</v>
      </c>
      <c r="G4209" s="343" t="s">
        <v>2047</v>
      </c>
      <c r="H4209" s="343" t="s">
        <v>2127</v>
      </c>
      <c r="I4209" s="343" t="s">
        <v>1880</v>
      </c>
      <c r="J4209" s="343" t="s">
        <v>757</v>
      </c>
      <c r="K4209" s="343" t="s">
        <v>770</v>
      </c>
      <c r="L4209" s="344">
        <v>44168</v>
      </c>
      <c r="M4209" s="347">
        <v>0</v>
      </c>
    </row>
    <row r="4210" spans="1:13" hidden="1" x14ac:dyDescent="0.25">
      <c r="A4210" s="344">
        <v>44196</v>
      </c>
      <c r="B4210" s="343" t="s">
        <v>2048</v>
      </c>
      <c r="C4210" s="343" t="s">
        <v>1060</v>
      </c>
      <c r="D4210" s="345">
        <v>6</v>
      </c>
      <c r="E4210" s="346">
        <v>210</v>
      </c>
      <c r="F4210" s="346">
        <v>8414.7500000000491</v>
      </c>
      <c r="G4210" s="343" t="s">
        <v>2049</v>
      </c>
      <c r="H4210" s="343" t="s">
        <v>2127</v>
      </c>
      <c r="I4210" s="343" t="s">
        <v>1880</v>
      </c>
      <c r="J4210" s="343" t="s">
        <v>757</v>
      </c>
      <c r="K4210" s="343" t="s">
        <v>741</v>
      </c>
      <c r="L4210" s="344">
        <v>44196</v>
      </c>
      <c r="M4210" s="347">
        <v>0</v>
      </c>
    </row>
    <row r="4211" spans="1:13" hidden="1" x14ac:dyDescent="0.25">
      <c r="A4211" s="344">
        <v>44196</v>
      </c>
      <c r="B4211" s="343" t="s">
        <v>2048</v>
      </c>
      <c r="C4211" s="343" t="s">
        <v>1060</v>
      </c>
      <c r="D4211" s="345">
        <v>7</v>
      </c>
      <c r="E4211" s="346">
        <v>-210</v>
      </c>
      <c r="F4211" s="346">
        <v>8204.7500000000491</v>
      </c>
      <c r="G4211" s="343" t="s">
        <v>2049</v>
      </c>
      <c r="H4211" s="343" t="s">
        <v>2127</v>
      </c>
      <c r="I4211" s="343" t="s">
        <v>1880</v>
      </c>
      <c r="J4211" s="343" t="s">
        <v>757</v>
      </c>
      <c r="K4211" s="343" t="s">
        <v>741</v>
      </c>
      <c r="L4211" s="344">
        <v>44196</v>
      </c>
      <c r="M4211" s="347">
        <v>0</v>
      </c>
    </row>
    <row r="4212" spans="1:13" hidden="1" x14ac:dyDescent="0.25">
      <c r="A4212" s="344">
        <v>44196</v>
      </c>
      <c r="B4212" s="343" t="s">
        <v>2050</v>
      </c>
      <c r="C4212" s="343" t="s">
        <v>769</v>
      </c>
      <c r="D4212" s="345">
        <v>7</v>
      </c>
      <c r="E4212" s="346">
        <v>140</v>
      </c>
      <c r="F4212" s="346">
        <v>8344.7500000000491</v>
      </c>
      <c r="G4212" s="343" t="s">
        <v>2051</v>
      </c>
      <c r="H4212" s="343" t="s">
        <v>2127</v>
      </c>
      <c r="I4212" s="343" t="s">
        <v>1880</v>
      </c>
      <c r="J4212" s="343" t="s">
        <v>757</v>
      </c>
      <c r="K4212" s="343" t="s">
        <v>770</v>
      </c>
      <c r="L4212" s="344">
        <v>44196</v>
      </c>
      <c r="M4212" s="347">
        <v>0</v>
      </c>
    </row>
    <row r="4213" spans="1:13" hidden="1" x14ac:dyDescent="0.25">
      <c r="A4213" s="344">
        <v>44227</v>
      </c>
      <c r="B4213" s="343" t="s">
        <v>2052</v>
      </c>
      <c r="C4213" s="343" t="s">
        <v>1060</v>
      </c>
      <c r="D4213" s="345">
        <v>7</v>
      </c>
      <c r="E4213" s="346">
        <v>140</v>
      </c>
      <c r="F4213" s="346">
        <v>8484.7500000000491</v>
      </c>
      <c r="G4213" s="343" t="s">
        <v>2053</v>
      </c>
      <c r="H4213" s="343" t="s">
        <v>2127</v>
      </c>
      <c r="I4213" s="343" t="s">
        <v>1880</v>
      </c>
      <c r="J4213" s="343" t="s">
        <v>757</v>
      </c>
      <c r="K4213" s="343" t="s">
        <v>741</v>
      </c>
      <c r="L4213" s="344">
        <v>44227</v>
      </c>
      <c r="M4213" s="347">
        <v>0</v>
      </c>
    </row>
    <row r="4214" spans="1:13" hidden="1" x14ac:dyDescent="0.25">
      <c r="A4214" s="344">
        <v>44223</v>
      </c>
      <c r="B4214" s="343" t="s">
        <v>2128</v>
      </c>
      <c r="C4214" s="343" t="s">
        <v>936</v>
      </c>
      <c r="D4214" s="345">
        <v>8</v>
      </c>
      <c r="E4214" s="346">
        <v>-70</v>
      </c>
      <c r="F4214" s="346">
        <v>8414.7500000000491</v>
      </c>
      <c r="G4214" s="343" t="s">
        <v>2129</v>
      </c>
      <c r="H4214" s="343" t="s">
        <v>2127</v>
      </c>
      <c r="I4214" s="343" t="s">
        <v>1880</v>
      </c>
      <c r="J4214" s="343" t="s">
        <v>757</v>
      </c>
      <c r="K4214" s="343" t="s">
        <v>770</v>
      </c>
      <c r="L4214" s="344">
        <v>44223</v>
      </c>
      <c r="M4214" s="347">
        <v>0</v>
      </c>
    </row>
    <row r="4215" spans="1:13" hidden="1" x14ac:dyDescent="0.25">
      <c r="A4215" s="344">
        <v>44227</v>
      </c>
      <c r="B4215" s="343" t="s">
        <v>2052</v>
      </c>
      <c r="C4215" s="343" t="s">
        <v>1060</v>
      </c>
      <c r="D4215" s="345">
        <v>8</v>
      </c>
      <c r="E4215" s="346">
        <v>-140</v>
      </c>
      <c r="F4215" s="346">
        <v>8274.7500000000491</v>
      </c>
      <c r="G4215" s="343" t="s">
        <v>2053</v>
      </c>
      <c r="H4215" s="343" t="s">
        <v>2127</v>
      </c>
      <c r="I4215" s="343" t="s">
        <v>1880</v>
      </c>
      <c r="J4215" s="343" t="s">
        <v>757</v>
      </c>
      <c r="K4215" s="343" t="s">
        <v>741</v>
      </c>
      <c r="L4215" s="344">
        <v>44227</v>
      </c>
      <c r="M4215" s="347">
        <v>0</v>
      </c>
    </row>
    <row r="4216" spans="1:13" hidden="1" x14ac:dyDescent="0.25">
      <c r="A4216" s="344">
        <v>44228</v>
      </c>
      <c r="B4216" s="343" t="s">
        <v>2054</v>
      </c>
      <c r="C4216" s="343" t="s">
        <v>769</v>
      </c>
      <c r="D4216" s="345">
        <v>8</v>
      </c>
      <c r="E4216" s="346">
        <v>70</v>
      </c>
      <c r="F4216" s="346">
        <v>8344.7500000000491</v>
      </c>
      <c r="G4216" s="343" t="s">
        <v>2055</v>
      </c>
      <c r="H4216" s="343" t="s">
        <v>2127</v>
      </c>
      <c r="I4216" s="343" t="s">
        <v>1880</v>
      </c>
      <c r="J4216" s="343" t="s">
        <v>757</v>
      </c>
      <c r="K4216" s="343" t="s">
        <v>770</v>
      </c>
      <c r="L4216" s="344">
        <v>44228</v>
      </c>
      <c r="M4216" s="347">
        <v>0</v>
      </c>
    </row>
    <row r="4217" spans="1:13" hidden="1" x14ac:dyDescent="0.25">
      <c r="A4217" s="344">
        <v>44255</v>
      </c>
      <c r="B4217" s="343" t="s">
        <v>2056</v>
      </c>
      <c r="C4217" s="343" t="s">
        <v>1060</v>
      </c>
      <c r="D4217" s="345">
        <v>8</v>
      </c>
      <c r="E4217" s="346">
        <v>140</v>
      </c>
      <c r="F4217" s="346">
        <v>8484.7500000000491</v>
      </c>
      <c r="G4217" s="343" t="s">
        <v>2057</v>
      </c>
      <c r="H4217" s="343" t="s">
        <v>2127</v>
      </c>
      <c r="I4217" s="343" t="s">
        <v>1880</v>
      </c>
      <c r="J4217" s="343" t="s">
        <v>757</v>
      </c>
      <c r="K4217" s="343" t="s">
        <v>741</v>
      </c>
      <c r="L4217" s="344">
        <v>44255</v>
      </c>
      <c r="M4217" s="347">
        <v>0</v>
      </c>
    </row>
    <row r="4218" spans="1:13" hidden="1" x14ac:dyDescent="0.25">
      <c r="A4218" s="344">
        <v>44255</v>
      </c>
      <c r="B4218" s="343" t="s">
        <v>2056</v>
      </c>
      <c r="C4218" s="343" t="s">
        <v>1060</v>
      </c>
      <c r="D4218" s="345">
        <v>9</v>
      </c>
      <c r="E4218" s="346">
        <v>-140</v>
      </c>
      <c r="F4218" s="346">
        <v>8344.7500000000491</v>
      </c>
      <c r="G4218" s="343" t="s">
        <v>2057</v>
      </c>
      <c r="H4218" s="343" t="s">
        <v>2127</v>
      </c>
      <c r="I4218" s="343" t="s">
        <v>1880</v>
      </c>
      <c r="J4218" s="343" t="s">
        <v>757</v>
      </c>
      <c r="K4218" s="343" t="s">
        <v>741</v>
      </c>
      <c r="L4218" s="344">
        <v>44255</v>
      </c>
      <c r="M4218" s="347">
        <v>0</v>
      </c>
    </row>
    <row r="4219" spans="1:13" hidden="1" x14ac:dyDescent="0.25">
      <c r="A4219" s="344">
        <v>44255</v>
      </c>
      <c r="B4219" s="343" t="s">
        <v>2058</v>
      </c>
      <c r="C4219" s="343" t="s">
        <v>769</v>
      </c>
      <c r="D4219" s="345">
        <v>9</v>
      </c>
      <c r="E4219" s="346">
        <v>140</v>
      </c>
      <c r="F4219" s="346">
        <v>8484.7500000000491</v>
      </c>
      <c r="G4219" s="343" t="s">
        <v>2059</v>
      </c>
      <c r="H4219" s="343" t="s">
        <v>2127</v>
      </c>
      <c r="I4219" s="343" t="s">
        <v>1880</v>
      </c>
      <c r="J4219" s="343" t="s">
        <v>757</v>
      </c>
      <c r="K4219" s="343" t="s">
        <v>770</v>
      </c>
      <c r="L4219" s="344">
        <v>44255</v>
      </c>
      <c r="M4219" s="347">
        <v>0</v>
      </c>
    </row>
    <row r="4220" spans="1:13" hidden="1" x14ac:dyDescent="0.25">
      <c r="A4220" s="344">
        <v>44286</v>
      </c>
      <c r="B4220" s="343" t="s">
        <v>2060</v>
      </c>
      <c r="C4220" s="343" t="s">
        <v>1060</v>
      </c>
      <c r="D4220" s="345">
        <v>9</v>
      </c>
      <c r="E4220" s="346">
        <v>140</v>
      </c>
      <c r="F4220" s="346">
        <v>8624.7500000000491</v>
      </c>
      <c r="G4220" s="343" t="s">
        <v>2061</v>
      </c>
      <c r="H4220" s="343" t="s">
        <v>2127</v>
      </c>
      <c r="I4220" s="343" t="s">
        <v>1880</v>
      </c>
      <c r="J4220" s="343" t="s">
        <v>757</v>
      </c>
      <c r="K4220" s="343" t="s">
        <v>741</v>
      </c>
      <c r="L4220" s="344">
        <v>44286</v>
      </c>
      <c r="M4220" s="347">
        <v>0</v>
      </c>
    </row>
    <row r="4221" spans="1:13" hidden="1" x14ac:dyDescent="0.25">
      <c r="A4221" s="344">
        <v>44286</v>
      </c>
      <c r="B4221" s="343" t="s">
        <v>2060</v>
      </c>
      <c r="C4221" s="343" t="s">
        <v>1060</v>
      </c>
      <c r="D4221" s="345">
        <v>10</v>
      </c>
      <c r="E4221" s="346">
        <v>-140</v>
      </c>
      <c r="F4221" s="346">
        <v>8484.7500000000491</v>
      </c>
      <c r="G4221" s="343" t="s">
        <v>2061</v>
      </c>
      <c r="H4221" s="343" t="s">
        <v>2127</v>
      </c>
      <c r="I4221" s="343" t="s">
        <v>1880</v>
      </c>
      <c r="J4221" s="343" t="s">
        <v>757</v>
      </c>
      <c r="K4221" s="343" t="s">
        <v>741</v>
      </c>
      <c r="L4221" s="344">
        <v>44286</v>
      </c>
      <c r="M4221" s="347">
        <v>0</v>
      </c>
    </row>
    <row r="4222" spans="1:13" hidden="1" x14ac:dyDescent="0.25">
      <c r="A4222" s="344">
        <v>44293</v>
      </c>
      <c r="B4222" s="343" t="s">
        <v>2062</v>
      </c>
      <c r="C4222" s="343" t="s">
        <v>769</v>
      </c>
      <c r="D4222" s="345">
        <v>10</v>
      </c>
      <c r="E4222" s="346">
        <v>70</v>
      </c>
      <c r="F4222" s="346">
        <v>8554.7500000000491</v>
      </c>
      <c r="G4222" s="343" t="s">
        <v>2063</v>
      </c>
      <c r="H4222" s="343" t="s">
        <v>2127</v>
      </c>
      <c r="I4222" s="343" t="s">
        <v>1880</v>
      </c>
      <c r="J4222" s="343" t="s">
        <v>757</v>
      </c>
      <c r="K4222" s="343" t="s">
        <v>770</v>
      </c>
      <c r="L4222" s="344">
        <v>44293</v>
      </c>
      <c r="M4222" s="347">
        <v>0</v>
      </c>
    </row>
    <row r="4223" spans="1:13" hidden="1" x14ac:dyDescent="0.25">
      <c r="A4223" s="344">
        <v>44316</v>
      </c>
      <c r="B4223" s="343" t="s">
        <v>1078</v>
      </c>
      <c r="C4223" s="343" t="s">
        <v>1060</v>
      </c>
      <c r="D4223" s="345">
        <v>10</v>
      </c>
      <c r="E4223" s="346">
        <v>140</v>
      </c>
      <c r="F4223" s="346">
        <v>8694.7500000000491</v>
      </c>
      <c r="G4223" s="343" t="s">
        <v>2064</v>
      </c>
      <c r="H4223" s="343" t="s">
        <v>2127</v>
      </c>
      <c r="I4223" s="343" t="s">
        <v>1880</v>
      </c>
      <c r="J4223" s="343" t="s">
        <v>757</v>
      </c>
      <c r="K4223" s="343" t="s">
        <v>741</v>
      </c>
      <c r="L4223" s="344">
        <v>44316</v>
      </c>
      <c r="M4223" s="347">
        <v>0</v>
      </c>
    </row>
    <row r="4224" spans="1:13" hidden="1" x14ac:dyDescent="0.25">
      <c r="A4224" s="344">
        <v>44048</v>
      </c>
      <c r="B4224" s="343" t="s">
        <v>2130</v>
      </c>
      <c r="C4224" s="343" t="s">
        <v>936</v>
      </c>
      <c r="D4224" s="345">
        <v>2</v>
      </c>
      <c r="E4224" s="346">
        <v>-234.29</v>
      </c>
      <c r="F4224" s="346">
        <v>8390.4600000000501</v>
      </c>
      <c r="G4224" s="343" t="s">
        <v>2131</v>
      </c>
      <c r="H4224" s="343" t="s">
        <v>2132</v>
      </c>
      <c r="I4224" s="343" t="s">
        <v>1880</v>
      </c>
      <c r="J4224" s="343" t="s">
        <v>757</v>
      </c>
      <c r="K4224" s="343" t="s">
        <v>770</v>
      </c>
      <c r="L4224" s="344">
        <v>43862</v>
      </c>
      <c r="M4224" s="347">
        <v>0</v>
      </c>
    </row>
    <row r="4225" spans="1:13" hidden="1" x14ac:dyDescent="0.25">
      <c r="A4225" s="344">
        <v>44048</v>
      </c>
      <c r="B4225" s="343" t="s">
        <v>2035</v>
      </c>
      <c r="C4225" s="343" t="s">
        <v>936</v>
      </c>
      <c r="D4225" s="345">
        <v>2</v>
      </c>
      <c r="E4225" s="346">
        <v>-2487.1</v>
      </c>
      <c r="F4225" s="346">
        <v>5903.3600000000497</v>
      </c>
      <c r="G4225" s="343" t="s">
        <v>2036</v>
      </c>
      <c r="H4225" s="343" t="s">
        <v>2132</v>
      </c>
      <c r="I4225" s="343" t="s">
        <v>1880</v>
      </c>
      <c r="J4225" s="343" t="s">
        <v>757</v>
      </c>
      <c r="K4225" s="343" t="s">
        <v>770</v>
      </c>
      <c r="L4225" s="344">
        <v>43862</v>
      </c>
      <c r="M4225" s="347">
        <v>0</v>
      </c>
    </row>
    <row r="4226" spans="1:13" hidden="1" x14ac:dyDescent="0.25">
      <c r="A4226" s="344">
        <v>44048</v>
      </c>
      <c r="B4226" s="343" t="s">
        <v>2133</v>
      </c>
      <c r="C4226" s="343" t="s">
        <v>936</v>
      </c>
      <c r="D4226" s="345">
        <v>2</v>
      </c>
      <c r="E4226" s="346">
        <v>-234.29</v>
      </c>
      <c r="F4226" s="346">
        <v>5669.0700000000497</v>
      </c>
      <c r="G4226" s="343" t="s">
        <v>2134</v>
      </c>
      <c r="H4226" s="343" t="s">
        <v>2132</v>
      </c>
      <c r="I4226" s="343" t="s">
        <v>1880</v>
      </c>
      <c r="J4226" s="343" t="s">
        <v>757</v>
      </c>
      <c r="K4226" s="343" t="s">
        <v>770</v>
      </c>
      <c r="L4226" s="344">
        <v>43891</v>
      </c>
      <c r="M4226" s="347">
        <v>0</v>
      </c>
    </row>
    <row r="4227" spans="1:13" hidden="1" x14ac:dyDescent="0.25">
      <c r="A4227" s="344">
        <v>44048</v>
      </c>
      <c r="B4227" s="343" t="s">
        <v>2038</v>
      </c>
      <c r="C4227" s="343" t="s">
        <v>936</v>
      </c>
      <c r="D4227" s="345">
        <v>2</v>
      </c>
      <c r="E4227" s="346">
        <v>-2487.1</v>
      </c>
      <c r="F4227" s="346">
        <v>3181.9700000000498</v>
      </c>
      <c r="G4227" s="343" t="s">
        <v>2039</v>
      </c>
      <c r="H4227" s="343" t="s">
        <v>2132</v>
      </c>
      <c r="I4227" s="343" t="s">
        <v>1880</v>
      </c>
      <c r="J4227" s="343" t="s">
        <v>757</v>
      </c>
      <c r="K4227" s="343" t="s">
        <v>770</v>
      </c>
      <c r="L4227" s="344">
        <v>43891</v>
      </c>
      <c r="M4227" s="347">
        <v>0</v>
      </c>
    </row>
    <row r="4228" spans="1:13" hidden="1" x14ac:dyDescent="0.25">
      <c r="A4228" s="344">
        <v>44048</v>
      </c>
      <c r="B4228" s="343" t="s">
        <v>2135</v>
      </c>
      <c r="C4228" s="343" t="s">
        <v>936</v>
      </c>
      <c r="D4228" s="345">
        <v>2</v>
      </c>
      <c r="E4228" s="346">
        <v>-117.15</v>
      </c>
      <c r="F4228" s="346">
        <v>3064.8200000000502</v>
      </c>
      <c r="G4228" s="343" t="s">
        <v>2136</v>
      </c>
      <c r="H4228" s="343" t="s">
        <v>2132</v>
      </c>
      <c r="I4228" s="343" t="s">
        <v>1880</v>
      </c>
      <c r="J4228" s="343" t="s">
        <v>757</v>
      </c>
      <c r="K4228" s="343" t="s">
        <v>770</v>
      </c>
      <c r="L4228" s="344">
        <v>43952</v>
      </c>
      <c r="M4228" s="347">
        <v>0</v>
      </c>
    </row>
    <row r="4229" spans="1:13" hidden="1" x14ac:dyDescent="0.25">
      <c r="A4229" s="344">
        <v>44048</v>
      </c>
      <c r="B4229" s="343" t="s">
        <v>2088</v>
      </c>
      <c r="C4229" s="343" t="s">
        <v>936</v>
      </c>
      <c r="D4229" s="345">
        <v>2</v>
      </c>
      <c r="E4229" s="346">
        <v>-151.6</v>
      </c>
      <c r="F4229" s="346">
        <v>2913.2200000000498</v>
      </c>
      <c r="G4229" s="343" t="s">
        <v>2089</v>
      </c>
      <c r="H4229" s="343" t="s">
        <v>2132</v>
      </c>
      <c r="I4229" s="343" t="s">
        <v>1880</v>
      </c>
      <c r="J4229" s="343" t="s">
        <v>757</v>
      </c>
      <c r="K4229" s="343" t="s">
        <v>770</v>
      </c>
      <c r="L4229" s="344">
        <v>43952</v>
      </c>
      <c r="M4229" s="347">
        <v>0</v>
      </c>
    </row>
    <row r="4230" spans="1:13" hidden="1" x14ac:dyDescent="0.25">
      <c r="A4230" s="344">
        <v>44048</v>
      </c>
      <c r="B4230" s="343" t="s">
        <v>2137</v>
      </c>
      <c r="C4230" s="343" t="s">
        <v>769</v>
      </c>
      <c r="D4230" s="345">
        <v>2</v>
      </c>
      <c r="E4230" s="346">
        <v>234.29</v>
      </c>
      <c r="F4230" s="346">
        <v>3147.5100000000498</v>
      </c>
      <c r="G4230" s="343" t="s">
        <v>2138</v>
      </c>
      <c r="H4230" s="343" t="s">
        <v>2132</v>
      </c>
      <c r="I4230" s="343" t="s">
        <v>1880</v>
      </c>
      <c r="J4230" s="343" t="s">
        <v>757</v>
      </c>
      <c r="K4230" s="343" t="s">
        <v>770</v>
      </c>
      <c r="L4230" s="344">
        <v>44048</v>
      </c>
      <c r="M4230" s="347">
        <v>0</v>
      </c>
    </row>
    <row r="4231" spans="1:13" hidden="1" x14ac:dyDescent="0.25">
      <c r="A4231" s="344">
        <v>44048</v>
      </c>
      <c r="B4231" s="343" t="s">
        <v>2040</v>
      </c>
      <c r="C4231" s="343" t="s">
        <v>769</v>
      </c>
      <c r="D4231" s="345">
        <v>2</v>
      </c>
      <c r="E4231" s="346">
        <v>2487.1</v>
      </c>
      <c r="F4231" s="346">
        <v>5634.6100000000497</v>
      </c>
      <c r="G4231" s="343" t="s">
        <v>2041</v>
      </c>
      <c r="H4231" s="343" t="s">
        <v>2132</v>
      </c>
      <c r="I4231" s="343" t="s">
        <v>1880</v>
      </c>
      <c r="J4231" s="343" t="s">
        <v>757</v>
      </c>
      <c r="K4231" s="343" t="s">
        <v>770</v>
      </c>
      <c r="L4231" s="344">
        <v>44048</v>
      </c>
      <c r="M4231" s="347">
        <v>0</v>
      </c>
    </row>
    <row r="4232" spans="1:13" hidden="1" x14ac:dyDescent="0.25">
      <c r="A4232" s="344">
        <v>44048</v>
      </c>
      <c r="B4232" s="343" t="s">
        <v>2139</v>
      </c>
      <c r="C4232" s="343" t="s">
        <v>769</v>
      </c>
      <c r="D4232" s="345">
        <v>2</v>
      </c>
      <c r="E4232" s="346">
        <v>234.29</v>
      </c>
      <c r="F4232" s="346">
        <v>5868.9000000000497</v>
      </c>
      <c r="G4232" s="343" t="s">
        <v>2043</v>
      </c>
      <c r="H4232" s="343" t="s">
        <v>2132</v>
      </c>
      <c r="I4232" s="343" t="s">
        <v>1880</v>
      </c>
      <c r="J4232" s="343" t="s">
        <v>757</v>
      </c>
      <c r="K4232" s="343" t="s">
        <v>770</v>
      </c>
      <c r="L4232" s="344">
        <v>44048</v>
      </c>
      <c r="M4232" s="347">
        <v>0</v>
      </c>
    </row>
    <row r="4233" spans="1:13" hidden="1" x14ac:dyDescent="0.25">
      <c r="A4233" s="344">
        <v>44048</v>
      </c>
      <c r="B4233" s="343" t="s">
        <v>2042</v>
      </c>
      <c r="C4233" s="343" t="s">
        <v>769</v>
      </c>
      <c r="D4233" s="345">
        <v>2</v>
      </c>
      <c r="E4233" s="346">
        <v>2487.1</v>
      </c>
      <c r="F4233" s="346">
        <v>8356.0000000000491</v>
      </c>
      <c r="G4233" s="343" t="s">
        <v>2043</v>
      </c>
      <c r="H4233" s="343" t="s">
        <v>2132</v>
      </c>
      <c r="I4233" s="343" t="s">
        <v>1880</v>
      </c>
      <c r="J4233" s="343" t="s">
        <v>757</v>
      </c>
      <c r="K4233" s="343" t="s">
        <v>770</v>
      </c>
      <c r="L4233" s="344">
        <v>44048</v>
      </c>
      <c r="M4233" s="347">
        <v>0</v>
      </c>
    </row>
    <row r="4234" spans="1:13" hidden="1" x14ac:dyDescent="0.25">
      <c r="A4234" s="344">
        <v>44048</v>
      </c>
      <c r="B4234" s="343" t="s">
        <v>2140</v>
      </c>
      <c r="C4234" s="343" t="s">
        <v>769</v>
      </c>
      <c r="D4234" s="345">
        <v>2</v>
      </c>
      <c r="E4234" s="346">
        <v>117.15</v>
      </c>
      <c r="F4234" s="346">
        <v>8473.1500000000506</v>
      </c>
      <c r="G4234" s="343" t="s">
        <v>2141</v>
      </c>
      <c r="H4234" s="343" t="s">
        <v>2132</v>
      </c>
      <c r="I4234" s="343" t="s">
        <v>1880</v>
      </c>
      <c r="J4234" s="343" t="s">
        <v>757</v>
      </c>
      <c r="K4234" s="343" t="s">
        <v>770</v>
      </c>
      <c r="L4234" s="344">
        <v>44048</v>
      </c>
      <c r="M4234" s="347">
        <v>0</v>
      </c>
    </row>
    <row r="4235" spans="1:13" hidden="1" x14ac:dyDescent="0.25">
      <c r="A4235" s="344">
        <v>44048</v>
      </c>
      <c r="B4235" s="343" t="s">
        <v>2090</v>
      </c>
      <c r="C4235" s="343" t="s">
        <v>769</v>
      </c>
      <c r="D4235" s="345">
        <v>2</v>
      </c>
      <c r="E4235" s="346">
        <v>151.6</v>
      </c>
      <c r="F4235" s="346">
        <v>8624.7500000000491</v>
      </c>
      <c r="G4235" s="343" t="s">
        <v>2091</v>
      </c>
      <c r="H4235" s="343" t="s">
        <v>2132</v>
      </c>
      <c r="I4235" s="343" t="s">
        <v>1880</v>
      </c>
      <c r="J4235" s="343" t="s">
        <v>757</v>
      </c>
      <c r="K4235" s="343" t="s">
        <v>770</v>
      </c>
      <c r="L4235" s="344">
        <v>44048</v>
      </c>
      <c r="M4235" s="347">
        <v>0</v>
      </c>
    </row>
    <row r="4236" spans="1:13" hidden="1" x14ac:dyDescent="0.25">
      <c r="A4236" s="344">
        <v>44052</v>
      </c>
      <c r="B4236" s="343" t="s">
        <v>1930</v>
      </c>
      <c r="C4236" s="343" t="s">
        <v>1059</v>
      </c>
      <c r="D4236" s="345">
        <v>2</v>
      </c>
      <c r="E4236" s="346">
        <v>-95.55</v>
      </c>
      <c r="F4236" s="346">
        <v>8529.2000000000498</v>
      </c>
      <c r="G4236" s="343" t="s">
        <v>1931</v>
      </c>
      <c r="H4236" s="343" t="s">
        <v>2132</v>
      </c>
      <c r="I4236" s="343" t="s">
        <v>1880</v>
      </c>
      <c r="J4236" s="343" t="s">
        <v>757</v>
      </c>
      <c r="K4236" s="343" t="s">
        <v>741</v>
      </c>
      <c r="L4236" s="344">
        <v>44052</v>
      </c>
      <c r="M4236" s="347">
        <v>0</v>
      </c>
    </row>
    <row r="4237" spans="1:13" hidden="1" x14ac:dyDescent="0.25">
      <c r="A4237" s="344">
        <v>44062</v>
      </c>
      <c r="B4237" s="343" t="s">
        <v>1932</v>
      </c>
      <c r="C4237" s="343" t="s">
        <v>1059</v>
      </c>
      <c r="D4237" s="345">
        <v>2</v>
      </c>
      <c r="E4237" s="346">
        <v>-118.3</v>
      </c>
      <c r="F4237" s="346">
        <v>8410.9000000000506</v>
      </c>
      <c r="G4237" s="343" t="s">
        <v>1933</v>
      </c>
      <c r="H4237" s="343" t="s">
        <v>2132</v>
      </c>
      <c r="I4237" s="343" t="s">
        <v>1880</v>
      </c>
      <c r="J4237" s="343" t="s">
        <v>757</v>
      </c>
      <c r="K4237" s="343" t="s">
        <v>741</v>
      </c>
      <c r="L4237" s="344">
        <v>44062</v>
      </c>
      <c r="M4237" s="347">
        <v>0</v>
      </c>
    </row>
    <row r="4238" spans="1:13" hidden="1" x14ac:dyDescent="0.25">
      <c r="A4238" s="344">
        <v>44064</v>
      </c>
      <c r="B4238" s="343" t="s">
        <v>2092</v>
      </c>
      <c r="C4238" s="343" t="s">
        <v>769</v>
      </c>
      <c r="D4238" s="345">
        <v>2</v>
      </c>
      <c r="E4238" s="346">
        <v>101.01</v>
      </c>
      <c r="F4238" s="346">
        <v>8511.9100000000508</v>
      </c>
      <c r="G4238" s="343" t="s">
        <v>2093</v>
      </c>
      <c r="H4238" s="343" t="s">
        <v>2132</v>
      </c>
      <c r="I4238" s="343" t="s">
        <v>1880</v>
      </c>
      <c r="J4238" s="343" t="s">
        <v>757</v>
      </c>
      <c r="K4238" s="343" t="s">
        <v>770</v>
      </c>
      <c r="L4238" s="344">
        <v>44064</v>
      </c>
      <c r="M4238" s="347">
        <v>0</v>
      </c>
    </row>
    <row r="4239" spans="1:13" hidden="1" x14ac:dyDescent="0.25">
      <c r="A4239" s="344">
        <v>44064</v>
      </c>
      <c r="B4239" s="343" t="s">
        <v>2094</v>
      </c>
      <c r="C4239" s="343" t="s">
        <v>769</v>
      </c>
      <c r="D4239" s="345">
        <v>2</v>
      </c>
      <c r="E4239" s="346">
        <v>101.01</v>
      </c>
      <c r="F4239" s="346">
        <v>8612.9200000000492</v>
      </c>
      <c r="G4239" s="343" t="s">
        <v>2095</v>
      </c>
      <c r="H4239" s="343" t="s">
        <v>2132</v>
      </c>
      <c r="I4239" s="343" t="s">
        <v>1880</v>
      </c>
      <c r="J4239" s="343" t="s">
        <v>757</v>
      </c>
      <c r="K4239" s="343" t="s">
        <v>770</v>
      </c>
      <c r="L4239" s="344">
        <v>44064</v>
      </c>
      <c r="M4239" s="347">
        <v>0</v>
      </c>
    </row>
    <row r="4240" spans="1:13" hidden="1" x14ac:dyDescent="0.25">
      <c r="A4240" s="344">
        <v>44064</v>
      </c>
      <c r="B4240" s="343" t="s">
        <v>2092</v>
      </c>
      <c r="C4240" s="343" t="s">
        <v>936</v>
      </c>
      <c r="D4240" s="345">
        <v>2</v>
      </c>
      <c r="E4240" s="346">
        <v>-101.01</v>
      </c>
      <c r="F4240" s="346">
        <v>8511.9100000000508</v>
      </c>
      <c r="G4240" s="343" t="s">
        <v>2093</v>
      </c>
      <c r="H4240" s="343" t="s">
        <v>2132</v>
      </c>
      <c r="I4240" s="343" t="s">
        <v>1880</v>
      </c>
      <c r="J4240" s="343" t="s">
        <v>757</v>
      </c>
      <c r="K4240" s="343" t="s">
        <v>770</v>
      </c>
      <c r="L4240" s="344">
        <v>44064</v>
      </c>
      <c r="M4240" s="347">
        <v>0</v>
      </c>
    </row>
    <row r="4241" spans="1:13" hidden="1" x14ac:dyDescent="0.25">
      <c r="A4241" s="344">
        <v>44077</v>
      </c>
      <c r="B4241" s="343" t="s">
        <v>2096</v>
      </c>
      <c r="C4241" s="343" t="s">
        <v>769</v>
      </c>
      <c r="D4241" s="345">
        <v>3</v>
      </c>
      <c r="E4241" s="346">
        <v>75.75</v>
      </c>
      <c r="F4241" s="346">
        <v>8587.6600000000508</v>
      </c>
      <c r="G4241" s="343" t="s">
        <v>2097</v>
      </c>
      <c r="H4241" s="343" t="s">
        <v>2132</v>
      </c>
      <c r="I4241" s="343" t="s">
        <v>1880</v>
      </c>
      <c r="J4241" s="343" t="s">
        <v>757</v>
      </c>
      <c r="K4241" s="343" t="s">
        <v>770</v>
      </c>
      <c r="L4241" s="344">
        <v>44077</v>
      </c>
      <c r="M4241" s="347">
        <v>0</v>
      </c>
    </row>
    <row r="4242" spans="1:13" hidden="1" x14ac:dyDescent="0.25">
      <c r="A4242" s="344">
        <v>44083</v>
      </c>
      <c r="B4242" s="343" t="s">
        <v>1948</v>
      </c>
      <c r="C4242" s="343" t="s">
        <v>1059</v>
      </c>
      <c r="D4242" s="345">
        <v>3</v>
      </c>
      <c r="E4242" s="346">
        <v>-168.35</v>
      </c>
      <c r="F4242" s="346">
        <v>8419.3100000000504</v>
      </c>
      <c r="G4242" s="343" t="s">
        <v>1949</v>
      </c>
      <c r="H4242" s="343" t="s">
        <v>2132</v>
      </c>
      <c r="I4242" s="343" t="s">
        <v>1880</v>
      </c>
      <c r="J4242" s="343" t="s">
        <v>757</v>
      </c>
      <c r="K4242" s="343" t="s">
        <v>741</v>
      </c>
      <c r="L4242" s="344">
        <v>44083</v>
      </c>
      <c r="M4242" s="347">
        <v>0</v>
      </c>
    </row>
    <row r="4243" spans="1:13" hidden="1" x14ac:dyDescent="0.25">
      <c r="A4243" s="344">
        <v>44094</v>
      </c>
      <c r="B4243" s="343" t="s">
        <v>1950</v>
      </c>
      <c r="C4243" s="343" t="s">
        <v>1059</v>
      </c>
      <c r="D4243" s="345">
        <v>3</v>
      </c>
      <c r="E4243" s="346">
        <v>-104.65</v>
      </c>
      <c r="F4243" s="346">
        <v>8314.6600000000508</v>
      </c>
      <c r="G4243" s="343" t="s">
        <v>1951</v>
      </c>
      <c r="H4243" s="343" t="s">
        <v>2132</v>
      </c>
      <c r="I4243" s="343" t="s">
        <v>1880</v>
      </c>
      <c r="J4243" s="343" t="s">
        <v>757</v>
      </c>
      <c r="K4243" s="343" t="s">
        <v>741</v>
      </c>
      <c r="L4243" s="344">
        <v>44094</v>
      </c>
      <c r="M4243" s="347">
        <v>0</v>
      </c>
    </row>
    <row r="4244" spans="1:13" hidden="1" x14ac:dyDescent="0.25">
      <c r="A4244" s="344">
        <v>44094</v>
      </c>
      <c r="B4244" s="343" t="s">
        <v>2123</v>
      </c>
      <c r="C4244" s="343" t="s">
        <v>1059</v>
      </c>
      <c r="D4244" s="345">
        <v>3</v>
      </c>
      <c r="E4244" s="346">
        <v>-18.2</v>
      </c>
      <c r="F4244" s="346">
        <v>8296.4600000000501</v>
      </c>
      <c r="G4244" s="343" t="s">
        <v>2124</v>
      </c>
      <c r="H4244" s="343" t="s">
        <v>2132</v>
      </c>
      <c r="I4244" s="343" t="s">
        <v>1880</v>
      </c>
      <c r="J4244" s="343" t="s">
        <v>757</v>
      </c>
      <c r="K4244" s="343" t="s">
        <v>741</v>
      </c>
      <c r="L4244" s="344">
        <v>44094</v>
      </c>
      <c r="M4244" s="347">
        <v>0</v>
      </c>
    </row>
    <row r="4245" spans="1:13" hidden="1" x14ac:dyDescent="0.25">
      <c r="A4245" s="344">
        <v>44099</v>
      </c>
      <c r="B4245" s="343" t="s">
        <v>2100</v>
      </c>
      <c r="C4245" s="343" t="s">
        <v>769</v>
      </c>
      <c r="D4245" s="345">
        <v>3</v>
      </c>
      <c r="E4245" s="346">
        <v>42.61</v>
      </c>
      <c r="F4245" s="346">
        <v>8339.0700000000506</v>
      </c>
      <c r="G4245" s="343" t="s">
        <v>2101</v>
      </c>
      <c r="H4245" s="343" t="s">
        <v>2132</v>
      </c>
      <c r="I4245" s="343" t="s">
        <v>1880</v>
      </c>
      <c r="J4245" s="343" t="s">
        <v>757</v>
      </c>
      <c r="K4245" s="343" t="s">
        <v>770</v>
      </c>
      <c r="L4245" s="344">
        <v>44099</v>
      </c>
      <c r="M4245" s="347">
        <v>0</v>
      </c>
    </row>
    <row r="4246" spans="1:13" hidden="1" x14ac:dyDescent="0.25">
      <c r="A4246" s="344">
        <v>44104</v>
      </c>
      <c r="B4246" s="343" t="s">
        <v>1934</v>
      </c>
      <c r="C4246" s="343" t="s">
        <v>1059</v>
      </c>
      <c r="D4246" s="345">
        <v>3</v>
      </c>
      <c r="E4246" s="346">
        <v>-113.75</v>
      </c>
      <c r="F4246" s="346">
        <v>8225.3200000000506</v>
      </c>
      <c r="G4246" s="343" t="s">
        <v>1935</v>
      </c>
      <c r="H4246" s="343" t="s">
        <v>2132</v>
      </c>
      <c r="I4246" s="343" t="s">
        <v>1880</v>
      </c>
      <c r="J4246" s="343" t="s">
        <v>757</v>
      </c>
      <c r="K4246" s="343" t="s">
        <v>741</v>
      </c>
      <c r="L4246" s="344">
        <v>44104</v>
      </c>
      <c r="M4246" s="347">
        <v>0</v>
      </c>
    </row>
    <row r="4247" spans="1:13" hidden="1" x14ac:dyDescent="0.25">
      <c r="A4247" s="344">
        <v>44104</v>
      </c>
      <c r="B4247" s="343" t="s">
        <v>2066</v>
      </c>
      <c r="C4247" s="343" t="s">
        <v>1060</v>
      </c>
      <c r="D4247" s="345">
        <v>3</v>
      </c>
      <c r="E4247" s="346">
        <v>490</v>
      </c>
      <c r="F4247" s="346">
        <v>8715.3200000000506</v>
      </c>
      <c r="G4247" s="343" t="s">
        <v>2067</v>
      </c>
      <c r="H4247" s="343" t="s">
        <v>2132</v>
      </c>
      <c r="I4247" s="343" t="s">
        <v>1880</v>
      </c>
      <c r="J4247" s="343" t="s">
        <v>757</v>
      </c>
      <c r="K4247" s="343" t="s">
        <v>741</v>
      </c>
      <c r="L4247" s="344">
        <v>44104</v>
      </c>
      <c r="M4247" s="347">
        <v>0</v>
      </c>
    </row>
    <row r="4248" spans="1:13" hidden="1" x14ac:dyDescent="0.25">
      <c r="A4248" s="344">
        <v>44104</v>
      </c>
      <c r="B4248" s="343" t="s">
        <v>2066</v>
      </c>
      <c r="C4248" s="343" t="s">
        <v>1060</v>
      </c>
      <c r="D4248" s="345">
        <v>4</v>
      </c>
      <c r="E4248" s="346">
        <v>-490</v>
      </c>
      <c r="F4248" s="346">
        <v>8225.3200000000506</v>
      </c>
      <c r="G4248" s="343" t="s">
        <v>2067</v>
      </c>
      <c r="H4248" s="343" t="s">
        <v>2132</v>
      </c>
      <c r="I4248" s="343" t="s">
        <v>1880</v>
      </c>
      <c r="J4248" s="343" t="s">
        <v>757</v>
      </c>
      <c r="K4248" s="343" t="s">
        <v>741</v>
      </c>
      <c r="L4248" s="344">
        <v>44104</v>
      </c>
      <c r="M4248" s="347">
        <v>0</v>
      </c>
    </row>
    <row r="4249" spans="1:13" hidden="1" x14ac:dyDescent="0.25">
      <c r="A4249" s="344">
        <v>44120</v>
      </c>
      <c r="B4249" s="343" t="s">
        <v>1936</v>
      </c>
      <c r="C4249" s="343" t="s">
        <v>1059</v>
      </c>
      <c r="D4249" s="345">
        <v>4</v>
      </c>
      <c r="E4249" s="346">
        <v>-161.55000000000001</v>
      </c>
      <c r="F4249" s="346">
        <v>8063.7700000000495</v>
      </c>
      <c r="G4249" s="343" t="s">
        <v>1937</v>
      </c>
      <c r="H4249" s="343" t="s">
        <v>2132</v>
      </c>
      <c r="I4249" s="343" t="s">
        <v>1880</v>
      </c>
      <c r="J4249" s="343" t="s">
        <v>757</v>
      </c>
      <c r="K4249" s="343" t="s">
        <v>741</v>
      </c>
      <c r="L4249" s="344">
        <v>44120</v>
      </c>
      <c r="M4249" s="347">
        <v>0</v>
      </c>
    </row>
    <row r="4250" spans="1:13" hidden="1" x14ac:dyDescent="0.25">
      <c r="A4250" s="344">
        <v>44135</v>
      </c>
      <c r="B4250" s="343" t="s">
        <v>1954</v>
      </c>
      <c r="C4250" s="343" t="s">
        <v>1059</v>
      </c>
      <c r="D4250" s="345">
        <v>4</v>
      </c>
      <c r="E4250" s="346">
        <v>-96.93</v>
      </c>
      <c r="F4250" s="346">
        <v>7966.8400000000502</v>
      </c>
      <c r="G4250" s="343" t="s">
        <v>1955</v>
      </c>
      <c r="H4250" s="343" t="s">
        <v>2132</v>
      </c>
      <c r="I4250" s="343" t="s">
        <v>1880</v>
      </c>
      <c r="J4250" s="343" t="s">
        <v>757</v>
      </c>
      <c r="K4250" s="343" t="s">
        <v>741</v>
      </c>
      <c r="L4250" s="344">
        <v>44135</v>
      </c>
      <c r="M4250" s="347">
        <v>0</v>
      </c>
    </row>
    <row r="4251" spans="1:13" hidden="1" x14ac:dyDescent="0.25">
      <c r="A4251" s="344">
        <v>44135</v>
      </c>
      <c r="B4251" s="343" t="s">
        <v>2068</v>
      </c>
      <c r="C4251" s="343" t="s">
        <v>1060</v>
      </c>
      <c r="D4251" s="345">
        <v>4</v>
      </c>
      <c r="E4251" s="346">
        <v>980</v>
      </c>
      <c r="F4251" s="346">
        <v>8946.8400000000493</v>
      </c>
      <c r="G4251" s="343" t="s">
        <v>2069</v>
      </c>
      <c r="H4251" s="343" t="s">
        <v>2132</v>
      </c>
      <c r="I4251" s="343" t="s">
        <v>1880</v>
      </c>
      <c r="J4251" s="343" t="s">
        <v>757</v>
      </c>
      <c r="K4251" s="343" t="s">
        <v>741</v>
      </c>
      <c r="L4251" s="344">
        <v>44135</v>
      </c>
      <c r="M4251" s="347">
        <v>0</v>
      </c>
    </row>
    <row r="4252" spans="1:13" hidden="1" x14ac:dyDescent="0.25">
      <c r="A4252" s="344">
        <v>44039</v>
      </c>
      <c r="B4252" s="343" t="s">
        <v>2102</v>
      </c>
      <c r="C4252" s="343" t="s">
        <v>769</v>
      </c>
      <c r="D4252" s="345">
        <v>5</v>
      </c>
      <c r="E4252" s="346">
        <v>129.87</v>
      </c>
      <c r="F4252" s="346">
        <v>9076.7100000000501</v>
      </c>
      <c r="G4252" s="343" t="s">
        <v>2103</v>
      </c>
      <c r="H4252" s="343" t="s">
        <v>2132</v>
      </c>
      <c r="I4252" s="343" t="s">
        <v>1880</v>
      </c>
      <c r="J4252" s="343" t="s">
        <v>757</v>
      </c>
      <c r="K4252" s="343" t="s">
        <v>770</v>
      </c>
      <c r="L4252" s="344">
        <v>44039</v>
      </c>
      <c r="M4252" s="347">
        <v>0</v>
      </c>
    </row>
    <row r="4253" spans="1:13" hidden="1" x14ac:dyDescent="0.25">
      <c r="A4253" s="344">
        <v>44039</v>
      </c>
      <c r="B4253" s="343" t="s">
        <v>2104</v>
      </c>
      <c r="C4253" s="343" t="s">
        <v>769</v>
      </c>
      <c r="D4253" s="345">
        <v>5</v>
      </c>
      <c r="E4253" s="346">
        <v>64.94</v>
      </c>
      <c r="F4253" s="346">
        <v>9141.6500000000506</v>
      </c>
      <c r="G4253" s="343" t="s">
        <v>2105</v>
      </c>
      <c r="H4253" s="343" t="s">
        <v>2132</v>
      </c>
      <c r="I4253" s="343" t="s">
        <v>1880</v>
      </c>
      <c r="J4253" s="343" t="s">
        <v>757</v>
      </c>
      <c r="K4253" s="343" t="s">
        <v>770</v>
      </c>
      <c r="L4253" s="344">
        <v>44039</v>
      </c>
      <c r="M4253" s="347">
        <v>0</v>
      </c>
    </row>
    <row r="4254" spans="1:13" hidden="1" x14ac:dyDescent="0.25">
      <c r="A4254" s="344">
        <v>44135</v>
      </c>
      <c r="B4254" s="343" t="s">
        <v>2068</v>
      </c>
      <c r="C4254" s="343" t="s">
        <v>1060</v>
      </c>
      <c r="D4254" s="345">
        <v>5</v>
      </c>
      <c r="E4254" s="346">
        <v>-980</v>
      </c>
      <c r="F4254" s="346">
        <v>8161.6500000000497</v>
      </c>
      <c r="G4254" s="343" t="s">
        <v>2069</v>
      </c>
      <c r="H4254" s="343" t="s">
        <v>2132</v>
      </c>
      <c r="I4254" s="343" t="s">
        <v>1880</v>
      </c>
      <c r="J4254" s="343" t="s">
        <v>757</v>
      </c>
      <c r="K4254" s="343" t="s">
        <v>741</v>
      </c>
      <c r="L4254" s="344">
        <v>44135</v>
      </c>
      <c r="M4254" s="347">
        <v>0</v>
      </c>
    </row>
    <row r="4255" spans="1:13" hidden="1" x14ac:dyDescent="0.25">
      <c r="A4255" s="344">
        <v>44148</v>
      </c>
      <c r="B4255" s="343" t="s">
        <v>1958</v>
      </c>
      <c r="C4255" s="343" t="s">
        <v>1059</v>
      </c>
      <c r="D4255" s="345">
        <v>5</v>
      </c>
      <c r="E4255" s="346">
        <v>-129.24</v>
      </c>
      <c r="F4255" s="346">
        <v>8032.4100000000499</v>
      </c>
      <c r="G4255" s="343" t="s">
        <v>1959</v>
      </c>
      <c r="H4255" s="343" t="s">
        <v>2132</v>
      </c>
      <c r="I4255" s="343" t="s">
        <v>1880</v>
      </c>
      <c r="J4255" s="343" t="s">
        <v>757</v>
      </c>
      <c r="K4255" s="343" t="s">
        <v>741</v>
      </c>
      <c r="L4255" s="344">
        <v>44148</v>
      </c>
      <c r="M4255" s="347">
        <v>0</v>
      </c>
    </row>
    <row r="4256" spans="1:13" hidden="1" x14ac:dyDescent="0.25">
      <c r="A4256" s="344">
        <v>44160</v>
      </c>
      <c r="B4256" s="343" t="s">
        <v>1960</v>
      </c>
      <c r="C4256" s="343" t="s">
        <v>1059</v>
      </c>
      <c r="D4256" s="345">
        <v>5</v>
      </c>
      <c r="E4256" s="346">
        <v>-129.24</v>
      </c>
      <c r="F4256" s="346">
        <v>7903.1700000000501</v>
      </c>
      <c r="G4256" s="343" t="s">
        <v>1961</v>
      </c>
      <c r="H4256" s="343" t="s">
        <v>2132</v>
      </c>
      <c r="I4256" s="343" t="s">
        <v>1880</v>
      </c>
      <c r="J4256" s="343" t="s">
        <v>757</v>
      </c>
      <c r="K4256" s="343" t="s">
        <v>741</v>
      </c>
      <c r="L4256" s="344">
        <v>44160</v>
      </c>
      <c r="M4256" s="347">
        <v>0</v>
      </c>
    </row>
    <row r="4257" spans="1:13" hidden="1" x14ac:dyDescent="0.25">
      <c r="A4257" s="344">
        <v>44165</v>
      </c>
      <c r="B4257" s="343" t="s">
        <v>1906</v>
      </c>
      <c r="C4257" s="343" t="s">
        <v>1060</v>
      </c>
      <c r="D4257" s="345">
        <v>5</v>
      </c>
      <c r="E4257" s="346">
        <v>247.71</v>
      </c>
      <c r="F4257" s="346">
        <v>8150.8800000000501</v>
      </c>
      <c r="G4257" s="343" t="s">
        <v>2106</v>
      </c>
      <c r="H4257" s="343" t="s">
        <v>2132</v>
      </c>
      <c r="I4257" s="343" t="s">
        <v>1880</v>
      </c>
      <c r="J4257" s="343" t="s">
        <v>757</v>
      </c>
      <c r="K4257" s="343" t="s">
        <v>741</v>
      </c>
      <c r="L4257" s="344">
        <v>44165</v>
      </c>
      <c r="M4257" s="347">
        <v>0</v>
      </c>
    </row>
    <row r="4258" spans="1:13" hidden="1" x14ac:dyDescent="0.25">
      <c r="A4258" s="344">
        <v>44144</v>
      </c>
      <c r="B4258" s="343" t="s">
        <v>2044</v>
      </c>
      <c r="C4258" s="343" t="s">
        <v>769</v>
      </c>
      <c r="D4258" s="345">
        <v>6</v>
      </c>
      <c r="E4258" s="346">
        <v>770</v>
      </c>
      <c r="F4258" s="346">
        <v>8920.8800000000501</v>
      </c>
      <c r="G4258" s="343" t="s">
        <v>2045</v>
      </c>
      <c r="H4258" s="343" t="s">
        <v>2132</v>
      </c>
      <c r="I4258" s="343" t="s">
        <v>1880</v>
      </c>
      <c r="J4258" s="343" t="s">
        <v>757</v>
      </c>
      <c r="K4258" s="343" t="s">
        <v>770</v>
      </c>
      <c r="L4258" s="344">
        <v>44144</v>
      </c>
      <c r="M4258" s="347">
        <v>0</v>
      </c>
    </row>
    <row r="4259" spans="1:13" hidden="1" x14ac:dyDescent="0.25">
      <c r="A4259" s="344">
        <v>44165</v>
      </c>
      <c r="B4259" s="343" t="s">
        <v>1962</v>
      </c>
      <c r="C4259" s="343" t="s">
        <v>1059</v>
      </c>
      <c r="D4259" s="345">
        <v>6</v>
      </c>
      <c r="E4259" s="346">
        <v>-129.24</v>
      </c>
      <c r="F4259" s="346">
        <v>8791.6400000000503</v>
      </c>
      <c r="G4259" s="343" t="s">
        <v>1963</v>
      </c>
      <c r="H4259" s="343" t="s">
        <v>2132</v>
      </c>
      <c r="I4259" s="343" t="s">
        <v>1880</v>
      </c>
      <c r="J4259" s="343" t="s">
        <v>757</v>
      </c>
      <c r="K4259" s="343" t="s">
        <v>741</v>
      </c>
      <c r="L4259" s="344">
        <v>44165</v>
      </c>
      <c r="M4259" s="347">
        <v>0</v>
      </c>
    </row>
    <row r="4260" spans="1:13" hidden="1" x14ac:dyDescent="0.25">
      <c r="A4260" s="344">
        <v>44165</v>
      </c>
      <c r="B4260" s="343" t="s">
        <v>1906</v>
      </c>
      <c r="C4260" s="343" t="s">
        <v>1060</v>
      </c>
      <c r="D4260" s="345">
        <v>6</v>
      </c>
      <c r="E4260" s="346">
        <v>-247.71</v>
      </c>
      <c r="F4260" s="346">
        <v>8543.9300000000494</v>
      </c>
      <c r="G4260" s="343" t="s">
        <v>2106</v>
      </c>
      <c r="H4260" s="343" t="s">
        <v>2132</v>
      </c>
      <c r="I4260" s="343" t="s">
        <v>1880</v>
      </c>
      <c r="J4260" s="343" t="s">
        <v>757</v>
      </c>
      <c r="K4260" s="343" t="s">
        <v>741</v>
      </c>
      <c r="L4260" s="344">
        <v>44165</v>
      </c>
      <c r="M4260" s="347">
        <v>0</v>
      </c>
    </row>
    <row r="4261" spans="1:13" hidden="1" x14ac:dyDescent="0.25">
      <c r="A4261" s="344">
        <v>44168</v>
      </c>
      <c r="B4261" s="343" t="s">
        <v>2046</v>
      </c>
      <c r="C4261" s="343" t="s">
        <v>769</v>
      </c>
      <c r="D4261" s="345">
        <v>6</v>
      </c>
      <c r="E4261" s="346">
        <v>770</v>
      </c>
      <c r="F4261" s="346">
        <v>9313.9300000000494</v>
      </c>
      <c r="G4261" s="343" t="s">
        <v>2047</v>
      </c>
      <c r="H4261" s="343" t="s">
        <v>2132</v>
      </c>
      <c r="I4261" s="343" t="s">
        <v>1880</v>
      </c>
      <c r="J4261" s="343" t="s">
        <v>757</v>
      </c>
      <c r="K4261" s="343" t="s">
        <v>770</v>
      </c>
      <c r="L4261" s="344">
        <v>44168</v>
      </c>
      <c r="M4261" s="347">
        <v>0</v>
      </c>
    </row>
    <row r="4262" spans="1:13" hidden="1" x14ac:dyDescent="0.25">
      <c r="A4262" s="344">
        <v>44187</v>
      </c>
      <c r="B4262" s="343" t="s">
        <v>1966</v>
      </c>
      <c r="C4262" s="343" t="s">
        <v>1059</v>
      </c>
      <c r="D4262" s="345">
        <v>6</v>
      </c>
      <c r="E4262" s="346">
        <v>-96.93</v>
      </c>
      <c r="F4262" s="346">
        <v>9217.0000000000491</v>
      </c>
      <c r="G4262" s="343" t="s">
        <v>1967</v>
      </c>
      <c r="H4262" s="343" t="s">
        <v>2132</v>
      </c>
      <c r="I4262" s="343" t="s">
        <v>1880</v>
      </c>
      <c r="J4262" s="343" t="s">
        <v>757</v>
      </c>
      <c r="K4262" s="343" t="s">
        <v>741</v>
      </c>
      <c r="L4262" s="344">
        <v>44187</v>
      </c>
      <c r="M4262" s="347">
        <v>0</v>
      </c>
    </row>
    <row r="4263" spans="1:13" hidden="1" x14ac:dyDescent="0.25">
      <c r="A4263" s="344">
        <v>44196</v>
      </c>
      <c r="B4263" s="343" t="s">
        <v>2048</v>
      </c>
      <c r="C4263" s="343" t="s">
        <v>1060</v>
      </c>
      <c r="D4263" s="345">
        <v>6</v>
      </c>
      <c r="E4263" s="346">
        <v>1260</v>
      </c>
      <c r="F4263" s="346">
        <v>10477.0000000001</v>
      </c>
      <c r="G4263" s="343" t="s">
        <v>2049</v>
      </c>
      <c r="H4263" s="343" t="s">
        <v>2132</v>
      </c>
      <c r="I4263" s="343" t="s">
        <v>1880</v>
      </c>
      <c r="J4263" s="343" t="s">
        <v>757</v>
      </c>
      <c r="K4263" s="343" t="s">
        <v>741</v>
      </c>
      <c r="L4263" s="344">
        <v>44196</v>
      </c>
      <c r="M4263" s="347">
        <v>0</v>
      </c>
    </row>
    <row r="4264" spans="1:13" hidden="1" x14ac:dyDescent="0.25">
      <c r="A4264" s="344">
        <v>44196</v>
      </c>
      <c r="B4264" s="343" t="s">
        <v>2048</v>
      </c>
      <c r="C4264" s="343" t="s">
        <v>1060</v>
      </c>
      <c r="D4264" s="345">
        <v>7</v>
      </c>
      <c r="E4264" s="346">
        <v>-1260</v>
      </c>
      <c r="F4264" s="346">
        <v>9217.0000000000491</v>
      </c>
      <c r="G4264" s="343" t="s">
        <v>2049</v>
      </c>
      <c r="H4264" s="343" t="s">
        <v>2132</v>
      </c>
      <c r="I4264" s="343" t="s">
        <v>1880</v>
      </c>
      <c r="J4264" s="343" t="s">
        <v>757</v>
      </c>
      <c r="K4264" s="343" t="s">
        <v>741</v>
      </c>
      <c r="L4264" s="344">
        <v>44196</v>
      </c>
      <c r="M4264" s="347">
        <v>0</v>
      </c>
    </row>
    <row r="4265" spans="1:13" hidden="1" x14ac:dyDescent="0.25">
      <c r="A4265" s="344">
        <v>44196</v>
      </c>
      <c r="B4265" s="343" t="s">
        <v>2050</v>
      </c>
      <c r="C4265" s="343" t="s">
        <v>769</v>
      </c>
      <c r="D4265" s="345">
        <v>7</v>
      </c>
      <c r="E4265" s="346">
        <v>840</v>
      </c>
      <c r="F4265" s="346">
        <v>10057.0000000001</v>
      </c>
      <c r="G4265" s="343" t="s">
        <v>2051</v>
      </c>
      <c r="H4265" s="343" t="s">
        <v>2132</v>
      </c>
      <c r="I4265" s="343" t="s">
        <v>1880</v>
      </c>
      <c r="J4265" s="343" t="s">
        <v>757</v>
      </c>
      <c r="K4265" s="343" t="s">
        <v>770</v>
      </c>
      <c r="L4265" s="344">
        <v>44196</v>
      </c>
      <c r="M4265" s="347">
        <v>0</v>
      </c>
    </row>
    <row r="4266" spans="1:13" hidden="1" x14ac:dyDescent="0.25">
      <c r="A4266" s="344">
        <v>44203</v>
      </c>
      <c r="B4266" s="343" t="s">
        <v>1970</v>
      </c>
      <c r="C4266" s="343" t="s">
        <v>1059</v>
      </c>
      <c r="D4266" s="345">
        <v>7</v>
      </c>
      <c r="E4266" s="346">
        <v>-96.93</v>
      </c>
      <c r="F4266" s="346">
        <v>9960.0700000000506</v>
      </c>
      <c r="G4266" s="343" t="s">
        <v>1971</v>
      </c>
      <c r="H4266" s="343" t="s">
        <v>2132</v>
      </c>
      <c r="I4266" s="343" t="s">
        <v>1880</v>
      </c>
      <c r="J4266" s="343" t="s">
        <v>757</v>
      </c>
      <c r="K4266" s="343" t="s">
        <v>741</v>
      </c>
      <c r="L4266" s="344">
        <v>44203</v>
      </c>
      <c r="M4266" s="347">
        <v>0</v>
      </c>
    </row>
    <row r="4267" spans="1:13" hidden="1" x14ac:dyDescent="0.25">
      <c r="A4267" s="344">
        <v>44218</v>
      </c>
      <c r="B4267" s="343" t="s">
        <v>1972</v>
      </c>
      <c r="C4267" s="343" t="s">
        <v>1059</v>
      </c>
      <c r="D4267" s="345">
        <v>7</v>
      </c>
      <c r="E4267" s="346">
        <v>-64.62</v>
      </c>
      <c r="F4267" s="346">
        <v>9895.4500000000498</v>
      </c>
      <c r="G4267" s="343" t="s">
        <v>1973</v>
      </c>
      <c r="H4267" s="343" t="s">
        <v>2132</v>
      </c>
      <c r="I4267" s="343" t="s">
        <v>1880</v>
      </c>
      <c r="J4267" s="343" t="s">
        <v>757</v>
      </c>
      <c r="K4267" s="343" t="s">
        <v>741</v>
      </c>
      <c r="L4267" s="344">
        <v>44218</v>
      </c>
      <c r="M4267" s="347">
        <v>0</v>
      </c>
    </row>
    <row r="4268" spans="1:13" hidden="1" x14ac:dyDescent="0.25">
      <c r="A4268" s="344">
        <v>44227</v>
      </c>
      <c r="B4268" s="343" t="s">
        <v>2052</v>
      </c>
      <c r="C4268" s="343" t="s">
        <v>1060</v>
      </c>
      <c r="D4268" s="345">
        <v>7</v>
      </c>
      <c r="E4268" s="346">
        <v>1330</v>
      </c>
      <c r="F4268" s="346">
        <v>11225.450000000101</v>
      </c>
      <c r="G4268" s="343" t="s">
        <v>2053</v>
      </c>
      <c r="H4268" s="343" t="s">
        <v>2132</v>
      </c>
      <c r="I4268" s="343" t="s">
        <v>1880</v>
      </c>
      <c r="J4268" s="343" t="s">
        <v>757</v>
      </c>
      <c r="K4268" s="343" t="s">
        <v>741</v>
      </c>
      <c r="L4268" s="344">
        <v>44227</v>
      </c>
      <c r="M4268" s="347">
        <v>0</v>
      </c>
    </row>
    <row r="4269" spans="1:13" hidden="1" x14ac:dyDescent="0.25">
      <c r="A4269" s="344">
        <v>44227</v>
      </c>
      <c r="B4269" s="343" t="s">
        <v>2052</v>
      </c>
      <c r="C4269" s="343" t="s">
        <v>1060</v>
      </c>
      <c r="D4269" s="345">
        <v>8</v>
      </c>
      <c r="E4269" s="346">
        <v>-1330</v>
      </c>
      <c r="F4269" s="346">
        <v>9895.4500000000498</v>
      </c>
      <c r="G4269" s="343" t="s">
        <v>2053</v>
      </c>
      <c r="H4269" s="343" t="s">
        <v>2132</v>
      </c>
      <c r="I4269" s="343" t="s">
        <v>1880</v>
      </c>
      <c r="J4269" s="343" t="s">
        <v>757</v>
      </c>
      <c r="K4269" s="343" t="s">
        <v>741</v>
      </c>
      <c r="L4269" s="344">
        <v>44227</v>
      </c>
      <c r="M4269" s="347">
        <v>0</v>
      </c>
    </row>
    <row r="4270" spans="1:13" hidden="1" x14ac:dyDescent="0.25">
      <c r="A4270" s="344">
        <v>44227</v>
      </c>
      <c r="B4270" s="343" t="s">
        <v>1974</v>
      </c>
      <c r="C4270" s="343" t="s">
        <v>1059</v>
      </c>
      <c r="D4270" s="345">
        <v>8</v>
      </c>
      <c r="E4270" s="346">
        <v>-32.31</v>
      </c>
      <c r="F4270" s="346">
        <v>9863.1400000000503</v>
      </c>
      <c r="G4270" s="343" t="s">
        <v>1975</v>
      </c>
      <c r="H4270" s="343" t="s">
        <v>2132</v>
      </c>
      <c r="I4270" s="343" t="s">
        <v>1880</v>
      </c>
      <c r="J4270" s="343" t="s">
        <v>757</v>
      </c>
      <c r="K4270" s="343" t="s">
        <v>741</v>
      </c>
      <c r="L4270" s="344">
        <v>44227</v>
      </c>
      <c r="M4270" s="347">
        <v>0</v>
      </c>
    </row>
    <row r="4271" spans="1:13" hidden="1" x14ac:dyDescent="0.25">
      <c r="A4271" s="344">
        <v>44228</v>
      </c>
      <c r="B4271" s="343" t="s">
        <v>2054</v>
      </c>
      <c r="C4271" s="343" t="s">
        <v>769</v>
      </c>
      <c r="D4271" s="345">
        <v>8</v>
      </c>
      <c r="E4271" s="346">
        <v>700</v>
      </c>
      <c r="F4271" s="346">
        <v>10563.140000000099</v>
      </c>
      <c r="G4271" s="343" t="s">
        <v>2055</v>
      </c>
      <c r="H4271" s="343" t="s">
        <v>2132</v>
      </c>
      <c r="I4271" s="343" t="s">
        <v>1880</v>
      </c>
      <c r="J4271" s="343" t="s">
        <v>757</v>
      </c>
      <c r="K4271" s="343" t="s">
        <v>770</v>
      </c>
      <c r="L4271" s="344">
        <v>44228</v>
      </c>
      <c r="M4271" s="347">
        <v>0</v>
      </c>
    </row>
    <row r="4272" spans="1:13" hidden="1" x14ac:dyDescent="0.25">
      <c r="A4272" s="344">
        <v>44244</v>
      </c>
      <c r="B4272" s="343" t="s">
        <v>1978</v>
      </c>
      <c r="C4272" s="343" t="s">
        <v>1059</v>
      </c>
      <c r="D4272" s="345">
        <v>8</v>
      </c>
      <c r="E4272" s="346">
        <v>-32.31</v>
      </c>
      <c r="F4272" s="346">
        <v>10530.8300000001</v>
      </c>
      <c r="G4272" s="343" t="s">
        <v>1979</v>
      </c>
      <c r="H4272" s="343" t="s">
        <v>2132</v>
      </c>
      <c r="I4272" s="343" t="s">
        <v>1880</v>
      </c>
      <c r="J4272" s="343" t="s">
        <v>757</v>
      </c>
      <c r="K4272" s="343" t="s">
        <v>741</v>
      </c>
      <c r="L4272" s="344">
        <v>44244</v>
      </c>
      <c r="M4272" s="347">
        <v>0</v>
      </c>
    </row>
    <row r="4273" spans="1:13" hidden="1" x14ac:dyDescent="0.25">
      <c r="A4273" s="344">
        <v>44255</v>
      </c>
      <c r="B4273" s="343" t="s">
        <v>2056</v>
      </c>
      <c r="C4273" s="343" t="s">
        <v>1060</v>
      </c>
      <c r="D4273" s="345">
        <v>8</v>
      </c>
      <c r="E4273" s="346">
        <v>1190</v>
      </c>
      <c r="F4273" s="346">
        <v>11720.8300000001</v>
      </c>
      <c r="G4273" s="343" t="s">
        <v>2057</v>
      </c>
      <c r="H4273" s="343" t="s">
        <v>2132</v>
      </c>
      <c r="I4273" s="343" t="s">
        <v>1880</v>
      </c>
      <c r="J4273" s="343" t="s">
        <v>757</v>
      </c>
      <c r="K4273" s="343" t="s">
        <v>741</v>
      </c>
      <c r="L4273" s="344">
        <v>44255</v>
      </c>
      <c r="M4273" s="347">
        <v>0</v>
      </c>
    </row>
    <row r="4274" spans="1:13" hidden="1" x14ac:dyDescent="0.25">
      <c r="A4274" s="344">
        <v>44255</v>
      </c>
      <c r="B4274" s="343" t="s">
        <v>2056</v>
      </c>
      <c r="C4274" s="343" t="s">
        <v>1060</v>
      </c>
      <c r="D4274" s="345">
        <v>9</v>
      </c>
      <c r="E4274" s="346">
        <v>-1190</v>
      </c>
      <c r="F4274" s="346">
        <v>10530.8300000001</v>
      </c>
      <c r="G4274" s="343" t="s">
        <v>2057</v>
      </c>
      <c r="H4274" s="343" t="s">
        <v>2132</v>
      </c>
      <c r="I4274" s="343" t="s">
        <v>1880</v>
      </c>
      <c r="J4274" s="343" t="s">
        <v>757</v>
      </c>
      <c r="K4274" s="343" t="s">
        <v>741</v>
      </c>
      <c r="L4274" s="344">
        <v>44255</v>
      </c>
      <c r="M4274" s="347">
        <v>0</v>
      </c>
    </row>
    <row r="4275" spans="1:13" hidden="1" x14ac:dyDescent="0.25">
      <c r="A4275" s="344">
        <v>44255</v>
      </c>
      <c r="B4275" s="343" t="s">
        <v>2058</v>
      </c>
      <c r="C4275" s="343" t="s">
        <v>769</v>
      </c>
      <c r="D4275" s="345">
        <v>9</v>
      </c>
      <c r="E4275" s="346">
        <v>630</v>
      </c>
      <c r="F4275" s="346">
        <v>11160.8300000001</v>
      </c>
      <c r="G4275" s="343" t="s">
        <v>2059</v>
      </c>
      <c r="H4275" s="343" t="s">
        <v>2132</v>
      </c>
      <c r="I4275" s="343" t="s">
        <v>1880</v>
      </c>
      <c r="J4275" s="343" t="s">
        <v>757</v>
      </c>
      <c r="K4275" s="343" t="s">
        <v>770</v>
      </c>
      <c r="L4275" s="344">
        <v>44255</v>
      </c>
      <c r="M4275" s="347">
        <v>0</v>
      </c>
    </row>
    <row r="4276" spans="1:13" hidden="1" x14ac:dyDescent="0.25">
      <c r="A4276" s="344">
        <v>44259</v>
      </c>
      <c r="B4276" s="343" t="s">
        <v>1939</v>
      </c>
      <c r="C4276" s="343" t="s">
        <v>1059</v>
      </c>
      <c r="D4276" s="345">
        <v>9</v>
      </c>
      <c r="E4276" s="346">
        <v>-64.62</v>
      </c>
      <c r="F4276" s="346">
        <v>11096.210000000099</v>
      </c>
      <c r="G4276" s="343" t="s">
        <v>1940</v>
      </c>
      <c r="H4276" s="343" t="s">
        <v>2132</v>
      </c>
      <c r="I4276" s="343" t="s">
        <v>1880</v>
      </c>
      <c r="J4276" s="343" t="s">
        <v>757</v>
      </c>
      <c r="K4276" s="343" t="s">
        <v>741</v>
      </c>
      <c r="L4276" s="344">
        <v>44259</v>
      </c>
      <c r="M4276" s="347">
        <v>0</v>
      </c>
    </row>
    <row r="4277" spans="1:13" hidden="1" x14ac:dyDescent="0.25">
      <c r="A4277" s="344">
        <v>44272</v>
      </c>
      <c r="B4277" s="343" t="s">
        <v>1982</v>
      </c>
      <c r="C4277" s="343" t="s">
        <v>1059</v>
      </c>
      <c r="D4277" s="345">
        <v>9</v>
      </c>
      <c r="E4277" s="346">
        <v>-32.31</v>
      </c>
      <c r="F4277" s="346">
        <v>11063.9000000001</v>
      </c>
      <c r="G4277" s="343" t="s">
        <v>1983</v>
      </c>
      <c r="H4277" s="343" t="s">
        <v>2132</v>
      </c>
      <c r="I4277" s="343" t="s">
        <v>1880</v>
      </c>
      <c r="J4277" s="343" t="s">
        <v>757</v>
      </c>
      <c r="K4277" s="343" t="s">
        <v>741</v>
      </c>
      <c r="L4277" s="344">
        <v>44272</v>
      </c>
      <c r="M4277" s="347">
        <v>0</v>
      </c>
    </row>
    <row r="4278" spans="1:13" hidden="1" x14ac:dyDescent="0.25">
      <c r="A4278" s="344">
        <v>44286</v>
      </c>
      <c r="B4278" s="343" t="s">
        <v>1918</v>
      </c>
      <c r="C4278" s="343" t="s">
        <v>1059</v>
      </c>
      <c r="D4278" s="345">
        <v>9</v>
      </c>
      <c r="E4278" s="346">
        <v>-64.62</v>
      </c>
      <c r="F4278" s="346">
        <v>10999.280000000101</v>
      </c>
      <c r="G4278" s="343" t="s">
        <v>1919</v>
      </c>
      <c r="H4278" s="343" t="s">
        <v>2132</v>
      </c>
      <c r="I4278" s="343" t="s">
        <v>1880</v>
      </c>
      <c r="J4278" s="343" t="s">
        <v>757</v>
      </c>
      <c r="K4278" s="343" t="s">
        <v>741</v>
      </c>
      <c r="L4278" s="344">
        <v>44286</v>
      </c>
      <c r="M4278" s="347">
        <v>0</v>
      </c>
    </row>
    <row r="4279" spans="1:13" hidden="1" x14ac:dyDescent="0.25">
      <c r="A4279" s="344">
        <v>44286</v>
      </c>
      <c r="B4279" s="343" t="s">
        <v>2060</v>
      </c>
      <c r="C4279" s="343" t="s">
        <v>1060</v>
      </c>
      <c r="D4279" s="345">
        <v>9</v>
      </c>
      <c r="E4279" s="346">
        <v>630</v>
      </c>
      <c r="F4279" s="346">
        <v>11629.280000000101</v>
      </c>
      <c r="G4279" s="343" t="s">
        <v>2061</v>
      </c>
      <c r="H4279" s="343" t="s">
        <v>2132</v>
      </c>
      <c r="I4279" s="343" t="s">
        <v>1880</v>
      </c>
      <c r="J4279" s="343" t="s">
        <v>757</v>
      </c>
      <c r="K4279" s="343" t="s">
        <v>741</v>
      </c>
      <c r="L4279" s="344">
        <v>44286</v>
      </c>
      <c r="M4279" s="347">
        <v>0</v>
      </c>
    </row>
    <row r="4280" spans="1:13" hidden="1" x14ac:dyDescent="0.25">
      <c r="A4280" s="344">
        <v>44286</v>
      </c>
      <c r="B4280" s="343" t="s">
        <v>2060</v>
      </c>
      <c r="C4280" s="343" t="s">
        <v>1060</v>
      </c>
      <c r="D4280" s="345">
        <v>10</v>
      </c>
      <c r="E4280" s="346">
        <v>-630</v>
      </c>
      <c r="F4280" s="346">
        <v>10999.280000000101</v>
      </c>
      <c r="G4280" s="343" t="s">
        <v>2061</v>
      </c>
      <c r="H4280" s="343" t="s">
        <v>2132</v>
      </c>
      <c r="I4280" s="343" t="s">
        <v>1880</v>
      </c>
      <c r="J4280" s="343" t="s">
        <v>757</v>
      </c>
      <c r="K4280" s="343" t="s">
        <v>741</v>
      </c>
      <c r="L4280" s="344">
        <v>44286</v>
      </c>
      <c r="M4280" s="347">
        <v>0</v>
      </c>
    </row>
    <row r="4281" spans="1:13" hidden="1" x14ac:dyDescent="0.25">
      <c r="A4281" s="344">
        <v>44293</v>
      </c>
      <c r="B4281" s="343" t="s">
        <v>2062</v>
      </c>
      <c r="C4281" s="343" t="s">
        <v>769</v>
      </c>
      <c r="D4281" s="345">
        <v>10</v>
      </c>
      <c r="E4281" s="346">
        <v>490</v>
      </c>
      <c r="F4281" s="346">
        <v>11489.280000000101</v>
      </c>
      <c r="G4281" s="343" t="s">
        <v>2063</v>
      </c>
      <c r="H4281" s="343" t="s">
        <v>2132</v>
      </c>
      <c r="I4281" s="343" t="s">
        <v>1880</v>
      </c>
      <c r="J4281" s="343" t="s">
        <v>757</v>
      </c>
      <c r="K4281" s="343" t="s">
        <v>770</v>
      </c>
      <c r="L4281" s="344">
        <v>44293</v>
      </c>
      <c r="M4281" s="347">
        <v>0</v>
      </c>
    </row>
    <row r="4282" spans="1:13" hidden="1" x14ac:dyDescent="0.25">
      <c r="A4282" s="344">
        <v>44315</v>
      </c>
      <c r="B4282" s="343" t="s">
        <v>1920</v>
      </c>
      <c r="C4282" s="343" t="s">
        <v>1059</v>
      </c>
      <c r="D4282" s="345">
        <v>10</v>
      </c>
      <c r="E4282" s="346">
        <v>-32.31</v>
      </c>
      <c r="F4282" s="346">
        <v>11456.970000000099</v>
      </c>
      <c r="G4282" s="343" t="s">
        <v>1921</v>
      </c>
      <c r="H4282" s="343" t="s">
        <v>2132</v>
      </c>
      <c r="I4282" s="343" t="s">
        <v>1880</v>
      </c>
      <c r="J4282" s="343" t="s">
        <v>757</v>
      </c>
      <c r="K4282" s="343" t="s">
        <v>741</v>
      </c>
      <c r="L4282" s="344">
        <v>44315</v>
      </c>
      <c r="M4282" s="347">
        <v>0</v>
      </c>
    </row>
    <row r="4283" spans="1:13" hidden="1" x14ac:dyDescent="0.25">
      <c r="A4283" s="344">
        <v>44316</v>
      </c>
      <c r="B4283" s="343" t="s">
        <v>1078</v>
      </c>
      <c r="C4283" s="343" t="s">
        <v>1060</v>
      </c>
      <c r="D4283" s="345">
        <v>10</v>
      </c>
      <c r="E4283" s="346">
        <v>630</v>
      </c>
      <c r="F4283" s="346">
        <v>12086.970000000099</v>
      </c>
      <c r="G4283" s="343" t="s">
        <v>2064</v>
      </c>
      <c r="H4283" s="343" t="s">
        <v>2132</v>
      </c>
      <c r="I4283" s="343" t="s">
        <v>1880</v>
      </c>
      <c r="J4283" s="343" t="s">
        <v>757</v>
      </c>
      <c r="K4283" s="343" t="s">
        <v>741</v>
      </c>
      <c r="L4283" s="344">
        <v>44316</v>
      </c>
      <c r="M4283" s="347">
        <v>0</v>
      </c>
    </row>
    <row r="4284" spans="1:13" hidden="1" x14ac:dyDescent="0.25">
      <c r="A4284" s="344">
        <v>44327</v>
      </c>
      <c r="B4284" s="343" t="s">
        <v>1924</v>
      </c>
      <c r="C4284" s="343" t="s">
        <v>1059</v>
      </c>
      <c r="D4284" s="345">
        <v>10</v>
      </c>
      <c r="E4284" s="346">
        <v>-32.31</v>
      </c>
      <c r="F4284" s="346">
        <v>12054.6600000001</v>
      </c>
      <c r="G4284" s="343" t="s">
        <v>1923</v>
      </c>
      <c r="H4284" s="343" t="s">
        <v>2132</v>
      </c>
      <c r="I4284" s="343" t="s">
        <v>1880</v>
      </c>
      <c r="J4284" s="343" t="s">
        <v>757</v>
      </c>
      <c r="K4284" s="343" t="s">
        <v>741</v>
      </c>
      <c r="L4284" s="344">
        <v>44327</v>
      </c>
      <c r="M4284" s="347">
        <v>0</v>
      </c>
    </row>
    <row r="4285" spans="1:13" hidden="1" x14ac:dyDescent="0.25">
      <c r="A4285" s="344">
        <v>44327</v>
      </c>
      <c r="B4285" s="343" t="s">
        <v>1922</v>
      </c>
      <c r="C4285" s="343" t="s">
        <v>1059</v>
      </c>
      <c r="D4285" s="345">
        <v>10</v>
      </c>
      <c r="E4285" s="346">
        <v>32.31</v>
      </c>
      <c r="F4285" s="346">
        <v>12086.970000000099</v>
      </c>
      <c r="G4285" s="343" t="s">
        <v>1923</v>
      </c>
      <c r="H4285" s="343" t="s">
        <v>2132</v>
      </c>
      <c r="I4285" s="343" t="s">
        <v>1880</v>
      </c>
      <c r="J4285" s="343" t="s">
        <v>757</v>
      </c>
      <c r="K4285" s="343" t="s">
        <v>741</v>
      </c>
      <c r="L4285" s="344">
        <v>44327</v>
      </c>
      <c r="M4285" s="347">
        <v>0</v>
      </c>
    </row>
    <row r="4286" spans="1:13" hidden="1" x14ac:dyDescent="0.25">
      <c r="A4286" s="344">
        <v>44048</v>
      </c>
      <c r="B4286" s="343" t="s">
        <v>2035</v>
      </c>
      <c r="C4286" s="343" t="s">
        <v>936</v>
      </c>
      <c r="D4286" s="345">
        <v>2</v>
      </c>
      <c r="E4286" s="346">
        <v>-781.66</v>
      </c>
      <c r="F4286" s="346">
        <v>11133.0000000001</v>
      </c>
      <c r="G4286" s="343" t="s">
        <v>2036</v>
      </c>
      <c r="H4286" s="343" t="s">
        <v>2142</v>
      </c>
      <c r="I4286" s="343" t="s">
        <v>1880</v>
      </c>
      <c r="J4286" s="343" t="s">
        <v>757</v>
      </c>
      <c r="K4286" s="343" t="s">
        <v>770</v>
      </c>
      <c r="L4286" s="344">
        <v>43862</v>
      </c>
      <c r="M4286" s="347">
        <v>0</v>
      </c>
    </row>
    <row r="4287" spans="1:13" hidden="1" x14ac:dyDescent="0.25">
      <c r="A4287" s="344">
        <v>44048</v>
      </c>
      <c r="B4287" s="343" t="s">
        <v>2038</v>
      </c>
      <c r="C4287" s="343" t="s">
        <v>936</v>
      </c>
      <c r="D4287" s="345">
        <v>2</v>
      </c>
      <c r="E4287" s="346">
        <v>-781.66</v>
      </c>
      <c r="F4287" s="346">
        <v>10351.3400000001</v>
      </c>
      <c r="G4287" s="343" t="s">
        <v>2039</v>
      </c>
      <c r="H4287" s="343" t="s">
        <v>2142</v>
      </c>
      <c r="I4287" s="343" t="s">
        <v>1880</v>
      </c>
      <c r="J4287" s="343" t="s">
        <v>757</v>
      </c>
      <c r="K4287" s="343" t="s">
        <v>770</v>
      </c>
      <c r="L4287" s="344">
        <v>43891</v>
      </c>
      <c r="M4287" s="347">
        <v>0</v>
      </c>
    </row>
    <row r="4288" spans="1:13" hidden="1" x14ac:dyDescent="0.25">
      <c r="A4288" s="344">
        <v>44048</v>
      </c>
      <c r="B4288" s="343" t="s">
        <v>2040</v>
      </c>
      <c r="C4288" s="343" t="s">
        <v>769</v>
      </c>
      <c r="D4288" s="345">
        <v>2</v>
      </c>
      <c r="E4288" s="346">
        <v>781.66</v>
      </c>
      <c r="F4288" s="346">
        <v>11133.0000000001</v>
      </c>
      <c r="G4288" s="343" t="s">
        <v>2041</v>
      </c>
      <c r="H4288" s="343" t="s">
        <v>2142</v>
      </c>
      <c r="I4288" s="343" t="s">
        <v>1880</v>
      </c>
      <c r="J4288" s="343" t="s">
        <v>757</v>
      </c>
      <c r="K4288" s="343" t="s">
        <v>770</v>
      </c>
      <c r="L4288" s="344">
        <v>44048</v>
      </c>
      <c r="M4288" s="347">
        <v>0</v>
      </c>
    </row>
    <row r="4289" spans="1:13" hidden="1" x14ac:dyDescent="0.25">
      <c r="A4289" s="344">
        <v>44048</v>
      </c>
      <c r="B4289" s="343" t="s">
        <v>2042</v>
      </c>
      <c r="C4289" s="343" t="s">
        <v>769</v>
      </c>
      <c r="D4289" s="345">
        <v>2</v>
      </c>
      <c r="E4289" s="346">
        <v>781.66</v>
      </c>
      <c r="F4289" s="346">
        <v>11914.6600000001</v>
      </c>
      <c r="G4289" s="343" t="s">
        <v>2043</v>
      </c>
      <c r="H4289" s="343" t="s">
        <v>2142</v>
      </c>
      <c r="I4289" s="343" t="s">
        <v>1880</v>
      </c>
      <c r="J4289" s="343" t="s">
        <v>757</v>
      </c>
      <c r="K4289" s="343" t="s">
        <v>770</v>
      </c>
      <c r="L4289" s="344">
        <v>44048</v>
      </c>
      <c r="M4289" s="347">
        <v>0</v>
      </c>
    </row>
    <row r="4290" spans="1:13" hidden="1" x14ac:dyDescent="0.25">
      <c r="A4290" s="344">
        <v>44052</v>
      </c>
      <c r="B4290" s="343" t="s">
        <v>1930</v>
      </c>
      <c r="C4290" s="343" t="s">
        <v>1059</v>
      </c>
      <c r="D4290" s="345">
        <v>2</v>
      </c>
      <c r="E4290" s="346">
        <v>-50.05</v>
      </c>
      <c r="F4290" s="346">
        <v>11864.610000000101</v>
      </c>
      <c r="G4290" s="343" t="s">
        <v>1931</v>
      </c>
      <c r="H4290" s="343" t="s">
        <v>2142</v>
      </c>
      <c r="I4290" s="343" t="s">
        <v>1880</v>
      </c>
      <c r="J4290" s="343" t="s">
        <v>757</v>
      </c>
      <c r="K4290" s="343" t="s">
        <v>741</v>
      </c>
      <c r="L4290" s="344">
        <v>44052</v>
      </c>
      <c r="M4290" s="347">
        <v>0</v>
      </c>
    </row>
    <row r="4291" spans="1:13" hidden="1" x14ac:dyDescent="0.25">
      <c r="A4291" s="344">
        <v>44062</v>
      </c>
      <c r="B4291" s="343" t="s">
        <v>1932</v>
      </c>
      <c r="C4291" s="343" t="s">
        <v>1059</v>
      </c>
      <c r="D4291" s="345">
        <v>2</v>
      </c>
      <c r="E4291" s="346">
        <v>-36.4</v>
      </c>
      <c r="F4291" s="346">
        <v>11828.210000000099</v>
      </c>
      <c r="G4291" s="343" t="s">
        <v>1933</v>
      </c>
      <c r="H4291" s="343" t="s">
        <v>2142</v>
      </c>
      <c r="I4291" s="343" t="s">
        <v>1880</v>
      </c>
      <c r="J4291" s="343" t="s">
        <v>757</v>
      </c>
      <c r="K4291" s="343" t="s">
        <v>741</v>
      </c>
      <c r="L4291" s="344">
        <v>44062</v>
      </c>
      <c r="M4291" s="347">
        <v>0</v>
      </c>
    </row>
    <row r="4292" spans="1:13" hidden="1" x14ac:dyDescent="0.25">
      <c r="A4292" s="344">
        <v>44064</v>
      </c>
      <c r="B4292" s="343" t="s">
        <v>2092</v>
      </c>
      <c r="C4292" s="343" t="s">
        <v>769</v>
      </c>
      <c r="D4292" s="345">
        <v>2</v>
      </c>
      <c r="E4292" s="346">
        <v>101.01</v>
      </c>
      <c r="F4292" s="346">
        <v>11929.220000000099</v>
      </c>
      <c r="G4292" s="343" t="s">
        <v>2093</v>
      </c>
      <c r="H4292" s="343" t="s">
        <v>2142</v>
      </c>
      <c r="I4292" s="343" t="s">
        <v>1880</v>
      </c>
      <c r="J4292" s="343" t="s">
        <v>757</v>
      </c>
      <c r="K4292" s="343" t="s">
        <v>770</v>
      </c>
      <c r="L4292" s="344">
        <v>44064</v>
      </c>
      <c r="M4292" s="347">
        <v>0</v>
      </c>
    </row>
    <row r="4293" spans="1:13" hidden="1" x14ac:dyDescent="0.25">
      <c r="A4293" s="344">
        <v>44064</v>
      </c>
      <c r="B4293" s="343" t="s">
        <v>2092</v>
      </c>
      <c r="C4293" s="343" t="s">
        <v>936</v>
      </c>
      <c r="D4293" s="345">
        <v>2</v>
      </c>
      <c r="E4293" s="346">
        <v>-101.01</v>
      </c>
      <c r="F4293" s="346">
        <v>11828.210000000099</v>
      </c>
      <c r="G4293" s="343" t="s">
        <v>2093</v>
      </c>
      <c r="H4293" s="343" t="s">
        <v>2142</v>
      </c>
      <c r="I4293" s="343" t="s">
        <v>1880</v>
      </c>
      <c r="J4293" s="343" t="s">
        <v>757</v>
      </c>
      <c r="K4293" s="343" t="s">
        <v>770</v>
      </c>
      <c r="L4293" s="344">
        <v>44064</v>
      </c>
      <c r="M4293" s="347">
        <v>0</v>
      </c>
    </row>
    <row r="4294" spans="1:13" hidden="1" x14ac:dyDescent="0.25">
      <c r="A4294" s="344">
        <v>44064</v>
      </c>
      <c r="B4294" s="343" t="s">
        <v>2094</v>
      </c>
      <c r="C4294" s="343" t="s">
        <v>769</v>
      </c>
      <c r="D4294" s="345">
        <v>2</v>
      </c>
      <c r="E4294" s="346">
        <v>101.01</v>
      </c>
      <c r="F4294" s="346">
        <v>11929.220000000099</v>
      </c>
      <c r="G4294" s="343" t="s">
        <v>2095</v>
      </c>
      <c r="H4294" s="343" t="s">
        <v>2142</v>
      </c>
      <c r="I4294" s="343" t="s">
        <v>1880</v>
      </c>
      <c r="J4294" s="343" t="s">
        <v>757</v>
      </c>
      <c r="K4294" s="343" t="s">
        <v>770</v>
      </c>
      <c r="L4294" s="344">
        <v>44064</v>
      </c>
      <c r="M4294" s="347">
        <v>0</v>
      </c>
    </row>
    <row r="4295" spans="1:13" hidden="1" x14ac:dyDescent="0.25">
      <c r="A4295" s="344">
        <v>44077</v>
      </c>
      <c r="B4295" s="343" t="s">
        <v>2096</v>
      </c>
      <c r="C4295" s="343" t="s">
        <v>769</v>
      </c>
      <c r="D4295" s="345">
        <v>3</v>
      </c>
      <c r="E4295" s="346">
        <v>75.790000000000006</v>
      </c>
      <c r="F4295" s="346">
        <v>12005.0100000001</v>
      </c>
      <c r="G4295" s="343" t="s">
        <v>2097</v>
      </c>
      <c r="H4295" s="343" t="s">
        <v>2142</v>
      </c>
      <c r="I4295" s="343" t="s">
        <v>1880</v>
      </c>
      <c r="J4295" s="343" t="s">
        <v>757</v>
      </c>
      <c r="K4295" s="343" t="s">
        <v>770</v>
      </c>
      <c r="L4295" s="344">
        <v>44077</v>
      </c>
      <c r="M4295" s="347">
        <v>0</v>
      </c>
    </row>
    <row r="4296" spans="1:13" hidden="1" x14ac:dyDescent="0.25">
      <c r="A4296" s="344">
        <v>44083</v>
      </c>
      <c r="B4296" s="343" t="s">
        <v>1948</v>
      </c>
      <c r="C4296" s="343" t="s">
        <v>1059</v>
      </c>
      <c r="D4296" s="345">
        <v>3</v>
      </c>
      <c r="E4296" s="346">
        <v>-118.3</v>
      </c>
      <c r="F4296" s="346">
        <v>11886.710000000099</v>
      </c>
      <c r="G4296" s="343" t="s">
        <v>1949</v>
      </c>
      <c r="H4296" s="343" t="s">
        <v>2142</v>
      </c>
      <c r="I4296" s="343" t="s">
        <v>1880</v>
      </c>
      <c r="J4296" s="343" t="s">
        <v>757</v>
      </c>
      <c r="K4296" s="343" t="s">
        <v>741</v>
      </c>
      <c r="L4296" s="344">
        <v>44083</v>
      </c>
      <c r="M4296" s="347">
        <v>0</v>
      </c>
    </row>
    <row r="4297" spans="1:13" hidden="1" x14ac:dyDescent="0.25">
      <c r="A4297" s="344">
        <v>44090</v>
      </c>
      <c r="B4297" s="343" t="s">
        <v>2098</v>
      </c>
      <c r="C4297" s="343" t="s">
        <v>769</v>
      </c>
      <c r="D4297" s="345">
        <v>3</v>
      </c>
      <c r="E4297" s="346">
        <v>75.75</v>
      </c>
      <c r="F4297" s="346">
        <v>11962.460000000099</v>
      </c>
      <c r="G4297" s="343" t="s">
        <v>2099</v>
      </c>
      <c r="H4297" s="343" t="s">
        <v>2142</v>
      </c>
      <c r="I4297" s="343" t="s">
        <v>1880</v>
      </c>
      <c r="J4297" s="343" t="s">
        <v>757</v>
      </c>
      <c r="K4297" s="343" t="s">
        <v>770</v>
      </c>
      <c r="L4297" s="344">
        <v>44090</v>
      </c>
      <c r="M4297" s="347">
        <v>0</v>
      </c>
    </row>
    <row r="4298" spans="1:13" hidden="1" x14ac:dyDescent="0.25">
      <c r="A4298" s="344">
        <v>44094</v>
      </c>
      <c r="B4298" s="343" t="s">
        <v>1950</v>
      </c>
      <c r="C4298" s="343" t="s">
        <v>1059</v>
      </c>
      <c r="D4298" s="345">
        <v>3</v>
      </c>
      <c r="E4298" s="346">
        <v>-68.25</v>
      </c>
      <c r="F4298" s="346">
        <v>11894.210000000099</v>
      </c>
      <c r="G4298" s="343" t="s">
        <v>1951</v>
      </c>
      <c r="H4298" s="343" t="s">
        <v>2142</v>
      </c>
      <c r="I4298" s="343" t="s">
        <v>1880</v>
      </c>
      <c r="J4298" s="343" t="s">
        <v>757</v>
      </c>
      <c r="K4298" s="343" t="s">
        <v>741</v>
      </c>
      <c r="L4298" s="344">
        <v>44094</v>
      </c>
      <c r="M4298" s="347">
        <v>0</v>
      </c>
    </row>
    <row r="4299" spans="1:13" hidden="1" x14ac:dyDescent="0.25">
      <c r="A4299" s="344">
        <v>44099</v>
      </c>
      <c r="B4299" s="343" t="s">
        <v>2100</v>
      </c>
      <c r="C4299" s="343" t="s">
        <v>769</v>
      </c>
      <c r="D4299" s="345">
        <v>3</v>
      </c>
      <c r="E4299" s="346">
        <v>42.61</v>
      </c>
      <c r="F4299" s="346">
        <v>11936.8200000001</v>
      </c>
      <c r="G4299" s="343" t="s">
        <v>2101</v>
      </c>
      <c r="H4299" s="343" t="s">
        <v>2142</v>
      </c>
      <c r="I4299" s="343" t="s">
        <v>1880</v>
      </c>
      <c r="J4299" s="343" t="s">
        <v>757</v>
      </c>
      <c r="K4299" s="343" t="s">
        <v>770</v>
      </c>
      <c r="L4299" s="344">
        <v>44099</v>
      </c>
      <c r="M4299" s="347">
        <v>0</v>
      </c>
    </row>
    <row r="4300" spans="1:13" hidden="1" x14ac:dyDescent="0.25">
      <c r="A4300" s="344">
        <v>44104</v>
      </c>
      <c r="B4300" s="343" t="s">
        <v>1934</v>
      </c>
      <c r="C4300" s="343" t="s">
        <v>1059</v>
      </c>
      <c r="D4300" s="345">
        <v>3</v>
      </c>
      <c r="E4300" s="346">
        <v>-50.05</v>
      </c>
      <c r="F4300" s="346">
        <v>11886.7700000001</v>
      </c>
      <c r="G4300" s="343" t="s">
        <v>1935</v>
      </c>
      <c r="H4300" s="343" t="s">
        <v>2142</v>
      </c>
      <c r="I4300" s="343" t="s">
        <v>1880</v>
      </c>
      <c r="J4300" s="343" t="s">
        <v>757</v>
      </c>
      <c r="K4300" s="343" t="s">
        <v>741</v>
      </c>
      <c r="L4300" s="344">
        <v>44104</v>
      </c>
      <c r="M4300" s="347">
        <v>0</v>
      </c>
    </row>
    <row r="4301" spans="1:13" hidden="1" x14ac:dyDescent="0.25">
      <c r="A4301" s="344">
        <v>44104</v>
      </c>
      <c r="B4301" s="343" t="s">
        <v>2066</v>
      </c>
      <c r="C4301" s="343" t="s">
        <v>1060</v>
      </c>
      <c r="D4301" s="345">
        <v>3</v>
      </c>
      <c r="E4301" s="346">
        <v>280</v>
      </c>
      <c r="F4301" s="346">
        <v>12166.7700000001</v>
      </c>
      <c r="G4301" s="343" t="s">
        <v>2067</v>
      </c>
      <c r="H4301" s="343" t="s">
        <v>2142</v>
      </c>
      <c r="I4301" s="343" t="s">
        <v>1880</v>
      </c>
      <c r="J4301" s="343" t="s">
        <v>757</v>
      </c>
      <c r="K4301" s="343" t="s">
        <v>741</v>
      </c>
      <c r="L4301" s="344">
        <v>44104</v>
      </c>
      <c r="M4301" s="347">
        <v>0</v>
      </c>
    </row>
    <row r="4302" spans="1:13" hidden="1" x14ac:dyDescent="0.25">
      <c r="A4302" s="344">
        <v>44104</v>
      </c>
      <c r="B4302" s="343" t="s">
        <v>2066</v>
      </c>
      <c r="C4302" s="343" t="s">
        <v>1060</v>
      </c>
      <c r="D4302" s="345">
        <v>4</v>
      </c>
      <c r="E4302" s="346">
        <v>-280</v>
      </c>
      <c r="F4302" s="346">
        <v>11886.7700000001</v>
      </c>
      <c r="G4302" s="343" t="s">
        <v>2067</v>
      </c>
      <c r="H4302" s="343" t="s">
        <v>2142</v>
      </c>
      <c r="I4302" s="343" t="s">
        <v>1880</v>
      </c>
      <c r="J4302" s="343" t="s">
        <v>757</v>
      </c>
      <c r="K4302" s="343" t="s">
        <v>741</v>
      </c>
      <c r="L4302" s="344">
        <v>44104</v>
      </c>
      <c r="M4302" s="347">
        <v>0</v>
      </c>
    </row>
    <row r="4303" spans="1:13" hidden="1" x14ac:dyDescent="0.25">
      <c r="A4303" s="344">
        <v>44120</v>
      </c>
      <c r="B4303" s="343" t="s">
        <v>1936</v>
      </c>
      <c r="C4303" s="343" t="s">
        <v>1059</v>
      </c>
      <c r="D4303" s="345">
        <v>4</v>
      </c>
      <c r="E4303" s="346">
        <v>-161.55000000000001</v>
      </c>
      <c r="F4303" s="346">
        <v>11725.220000000099</v>
      </c>
      <c r="G4303" s="343" t="s">
        <v>1937</v>
      </c>
      <c r="H4303" s="343" t="s">
        <v>2142</v>
      </c>
      <c r="I4303" s="343" t="s">
        <v>1880</v>
      </c>
      <c r="J4303" s="343" t="s">
        <v>757</v>
      </c>
      <c r="K4303" s="343" t="s">
        <v>741</v>
      </c>
      <c r="L4303" s="344">
        <v>44120</v>
      </c>
      <c r="M4303" s="347">
        <v>0</v>
      </c>
    </row>
    <row r="4304" spans="1:13" hidden="1" x14ac:dyDescent="0.25">
      <c r="A4304" s="344">
        <v>44135</v>
      </c>
      <c r="B4304" s="343" t="s">
        <v>1954</v>
      </c>
      <c r="C4304" s="343" t="s">
        <v>1059</v>
      </c>
      <c r="D4304" s="345">
        <v>4</v>
      </c>
      <c r="E4304" s="346">
        <v>-161.55000000000001</v>
      </c>
      <c r="F4304" s="346">
        <v>11563.6700000001</v>
      </c>
      <c r="G4304" s="343" t="s">
        <v>1955</v>
      </c>
      <c r="H4304" s="343" t="s">
        <v>2142</v>
      </c>
      <c r="I4304" s="343" t="s">
        <v>1880</v>
      </c>
      <c r="J4304" s="343" t="s">
        <v>757</v>
      </c>
      <c r="K4304" s="343" t="s">
        <v>741</v>
      </c>
      <c r="L4304" s="344">
        <v>44135</v>
      </c>
      <c r="M4304" s="347">
        <v>0</v>
      </c>
    </row>
    <row r="4305" spans="1:13" hidden="1" x14ac:dyDescent="0.25">
      <c r="A4305" s="344">
        <v>44135</v>
      </c>
      <c r="B4305" s="343" t="s">
        <v>2068</v>
      </c>
      <c r="C4305" s="343" t="s">
        <v>1060</v>
      </c>
      <c r="D4305" s="345">
        <v>4</v>
      </c>
      <c r="E4305" s="346">
        <v>560</v>
      </c>
      <c r="F4305" s="346">
        <v>12123.6700000001</v>
      </c>
      <c r="G4305" s="343" t="s">
        <v>2069</v>
      </c>
      <c r="H4305" s="343" t="s">
        <v>2142</v>
      </c>
      <c r="I4305" s="343" t="s">
        <v>1880</v>
      </c>
      <c r="J4305" s="343" t="s">
        <v>757</v>
      </c>
      <c r="K4305" s="343" t="s">
        <v>741</v>
      </c>
      <c r="L4305" s="344">
        <v>44135</v>
      </c>
      <c r="M4305" s="347">
        <v>0</v>
      </c>
    </row>
    <row r="4306" spans="1:13" hidden="1" x14ac:dyDescent="0.25">
      <c r="A4306" s="344">
        <v>44039</v>
      </c>
      <c r="B4306" s="343" t="s">
        <v>2102</v>
      </c>
      <c r="C4306" s="343" t="s">
        <v>769</v>
      </c>
      <c r="D4306" s="345">
        <v>5</v>
      </c>
      <c r="E4306" s="346">
        <v>129.87</v>
      </c>
      <c r="F4306" s="346">
        <v>12253.540000000099</v>
      </c>
      <c r="G4306" s="343" t="s">
        <v>2103</v>
      </c>
      <c r="H4306" s="343" t="s">
        <v>2142</v>
      </c>
      <c r="I4306" s="343" t="s">
        <v>1880</v>
      </c>
      <c r="J4306" s="343" t="s">
        <v>757</v>
      </c>
      <c r="K4306" s="343" t="s">
        <v>770</v>
      </c>
      <c r="L4306" s="344">
        <v>44039</v>
      </c>
      <c r="M4306" s="347">
        <v>0</v>
      </c>
    </row>
    <row r="4307" spans="1:13" hidden="1" x14ac:dyDescent="0.25">
      <c r="A4307" s="344">
        <v>44039</v>
      </c>
      <c r="B4307" s="343" t="s">
        <v>2104</v>
      </c>
      <c r="C4307" s="343" t="s">
        <v>769</v>
      </c>
      <c r="D4307" s="345">
        <v>5</v>
      </c>
      <c r="E4307" s="346">
        <v>64.930000000000007</v>
      </c>
      <c r="F4307" s="346">
        <v>12318.470000000099</v>
      </c>
      <c r="G4307" s="343" t="s">
        <v>2105</v>
      </c>
      <c r="H4307" s="343" t="s">
        <v>2142</v>
      </c>
      <c r="I4307" s="343" t="s">
        <v>1880</v>
      </c>
      <c r="J4307" s="343" t="s">
        <v>757</v>
      </c>
      <c r="K4307" s="343" t="s">
        <v>770</v>
      </c>
      <c r="L4307" s="344">
        <v>44039</v>
      </c>
      <c r="M4307" s="347">
        <v>0</v>
      </c>
    </row>
    <row r="4308" spans="1:13" hidden="1" x14ac:dyDescent="0.25">
      <c r="A4308" s="344">
        <v>44135</v>
      </c>
      <c r="B4308" s="343" t="s">
        <v>2068</v>
      </c>
      <c r="C4308" s="343" t="s">
        <v>1060</v>
      </c>
      <c r="D4308" s="345">
        <v>5</v>
      </c>
      <c r="E4308" s="346">
        <v>-560</v>
      </c>
      <c r="F4308" s="346">
        <v>11758.470000000099</v>
      </c>
      <c r="G4308" s="343" t="s">
        <v>2069</v>
      </c>
      <c r="H4308" s="343" t="s">
        <v>2142</v>
      </c>
      <c r="I4308" s="343" t="s">
        <v>1880</v>
      </c>
      <c r="J4308" s="343" t="s">
        <v>757</v>
      </c>
      <c r="K4308" s="343" t="s">
        <v>741</v>
      </c>
      <c r="L4308" s="344">
        <v>44135</v>
      </c>
      <c r="M4308" s="347">
        <v>0</v>
      </c>
    </row>
    <row r="4309" spans="1:13" hidden="1" x14ac:dyDescent="0.25">
      <c r="A4309" s="344">
        <v>44148</v>
      </c>
      <c r="B4309" s="343" t="s">
        <v>1958</v>
      </c>
      <c r="C4309" s="343" t="s">
        <v>1059</v>
      </c>
      <c r="D4309" s="345">
        <v>5</v>
      </c>
      <c r="E4309" s="346">
        <v>-161.25</v>
      </c>
      <c r="F4309" s="346">
        <v>11597.220000000099</v>
      </c>
      <c r="G4309" s="343" t="s">
        <v>1959</v>
      </c>
      <c r="H4309" s="343" t="s">
        <v>2142</v>
      </c>
      <c r="I4309" s="343" t="s">
        <v>1880</v>
      </c>
      <c r="J4309" s="343" t="s">
        <v>757</v>
      </c>
      <c r="K4309" s="343" t="s">
        <v>741</v>
      </c>
      <c r="L4309" s="344">
        <v>44148</v>
      </c>
      <c r="M4309" s="347">
        <v>0</v>
      </c>
    </row>
    <row r="4310" spans="1:13" hidden="1" x14ac:dyDescent="0.25">
      <c r="A4310" s="344">
        <v>44160</v>
      </c>
      <c r="B4310" s="343" t="s">
        <v>1960</v>
      </c>
      <c r="C4310" s="343" t="s">
        <v>1059</v>
      </c>
      <c r="D4310" s="345">
        <v>5</v>
      </c>
      <c r="E4310" s="346">
        <v>-225.87</v>
      </c>
      <c r="F4310" s="346">
        <v>11371.3500000001</v>
      </c>
      <c r="G4310" s="343" t="s">
        <v>1961</v>
      </c>
      <c r="H4310" s="343" t="s">
        <v>2142</v>
      </c>
      <c r="I4310" s="343" t="s">
        <v>1880</v>
      </c>
      <c r="J4310" s="343" t="s">
        <v>757</v>
      </c>
      <c r="K4310" s="343" t="s">
        <v>741</v>
      </c>
      <c r="L4310" s="344">
        <v>44160</v>
      </c>
      <c r="M4310" s="347">
        <v>0</v>
      </c>
    </row>
    <row r="4311" spans="1:13" hidden="1" x14ac:dyDescent="0.25">
      <c r="A4311" s="344">
        <v>44165</v>
      </c>
      <c r="B4311" s="343" t="s">
        <v>1906</v>
      </c>
      <c r="C4311" s="343" t="s">
        <v>1060</v>
      </c>
      <c r="D4311" s="345">
        <v>5</v>
      </c>
      <c r="E4311" s="346">
        <v>152.65</v>
      </c>
      <c r="F4311" s="346">
        <v>11524.0000000001</v>
      </c>
      <c r="G4311" s="343" t="s">
        <v>2106</v>
      </c>
      <c r="H4311" s="343" t="s">
        <v>2142</v>
      </c>
      <c r="I4311" s="343" t="s">
        <v>1880</v>
      </c>
      <c r="J4311" s="343" t="s">
        <v>757</v>
      </c>
      <c r="K4311" s="343" t="s">
        <v>741</v>
      </c>
      <c r="L4311" s="344">
        <v>44165</v>
      </c>
      <c r="M4311" s="347">
        <v>0</v>
      </c>
    </row>
    <row r="4312" spans="1:13" hidden="1" x14ac:dyDescent="0.25">
      <c r="A4312" s="344">
        <v>44144</v>
      </c>
      <c r="B4312" s="343" t="s">
        <v>2044</v>
      </c>
      <c r="C4312" s="343" t="s">
        <v>769</v>
      </c>
      <c r="D4312" s="345">
        <v>6</v>
      </c>
      <c r="E4312" s="346">
        <v>210</v>
      </c>
      <c r="F4312" s="346">
        <v>11734.0000000001</v>
      </c>
      <c r="G4312" s="343" t="s">
        <v>2045</v>
      </c>
      <c r="H4312" s="343" t="s">
        <v>2142</v>
      </c>
      <c r="I4312" s="343" t="s">
        <v>1880</v>
      </c>
      <c r="J4312" s="343" t="s">
        <v>757</v>
      </c>
      <c r="K4312" s="343" t="s">
        <v>770</v>
      </c>
      <c r="L4312" s="344">
        <v>44144</v>
      </c>
      <c r="M4312" s="347">
        <v>0</v>
      </c>
    </row>
    <row r="4313" spans="1:13" hidden="1" x14ac:dyDescent="0.25">
      <c r="A4313" s="344">
        <v>44165</v>
      </c>
      <c r="B4313" s="343" t="s">
        <v>1962</v>
      </c>
      <c r="C4313" s="343" t="s">
        <v>1059</v>
      </c>
      <c r="D4313" s="345">
        <v>6</v>
      </c>
      <c r="E4313" s="346">
        <v>-193.56</v>
      </c>
      <c r="F4313" s="346">
        <v>11540.440000000101</v>
      </c>
      <c r="G4313" s="343" t="s">
        <v>1963</v>
      </c>
      <c r="H4313" s="343" t="s">
        <v>2142</v>
      </c>
      <c r="I4313" s="343" t="s">
        <v>1880</v>
      </c>
      <c r="J4313" s="343" t="s">
        <v>757</v>
      </c>
      <c r="K4313" s="343" t="s">
        <v>741</v>
      </c>
      <c r="L4313" s="344">
        <v>44165</v>
      </c>
      <c r="M4313" s="347">
        <v>0</v>
      </c>
    </row>
    <row r="4314" spans="1:13" hidden="1" x14ac:dyDescent="0.25">
      <c r="A4314" s="344">
        <v>44165</v>
      </c>
      <c r="B4314" s="343" t="s">
        <v>1906</v>
      </c>
      <c r="C4314" s="343" t="s">
        <v>1060</v>
      </c>
      <c r="D4314" s="345">
        <v>6</v>
      </c>
      <c r="E4314" s="346">
        <v>-152.65</v>
      </c>
      <c r="F4314" s="346">
        <v>11387.790000000099</v>
      </c>
      <c r="G4314" s="343" t="s">
        <v>2106</v>
      </c>
      <c r="H4314" s="343" t="s">
        <v>2142</v>
      </c>
      <c r="I4314" s="343" t="s">
        <v>1880</v>
      </c>
      <c r="J4314" s="343" t="s">
        <v>757</v>
      </c>
      <c r="K4314" s="343" t="s">
        <v>741</v>
      </c>
      <c r="L4314" s="344">
        <v>44165</v>
      </c>
      <c r="M4314" s="347">
        <v>0</v>
      </c>
    </row>
    <row r="4315" spans="1:13" hidden="1" x14ac:dyDescent="0.25">
      <c r="A4315" s="344">
        <v>44168</v>
      </c>
      <c r="B4315" s="343" t="s">
        <v>2046</v>
      </c>
      <c r="C4315" s="343" t="s">
        <v>769</v>
      </c>
      <c r="D4315" s="345">
        <v>6</v>
      </c>
      <c r="E4315" s="346">
        <v>210</v>
      </c>
      <c r="F4315" s="346">
        <v>11597.790000000099</v>
      </c>
      <c r="G4315" s="343" t="s">
        <v>2047</v>
      </c>
      <c r="H4315" s="343" t="s">
        <v>2142</v>
      </c>
      <c r="I4315" s="343" t="s">
        <v>1880</v>
      </c>
      <c r="J4315" s="343" t="s">
        <v>757</v>
      </c>
      <c r="K4315" s="343" t="s">
        <v>770</v>
      </c>
      <c r="L4315" s="344">
        <v>44168</v>
      </c>
      <c r="M4315" s="347">
        <v>0</v>
      </c>
    </row>
    <row r="4316" spans="1:13" hidden="1" x14ac:dyDescent="0.25">
      <c r="A4316" s="344">
        <v>44187</v>
      </c>
      <c r="B4316" s="343" t="s">
        <v>1966</v>
      </c>
      <c r="C4316" s="343" t="s">
        <v>1059</v>
      </c>
      <c r="D4316" s="345">
        <v>6</v>
      </c>
      <c r="E4316" s="346">
        <v>-128.94</v>
      </c>
      <c r="F4316" s="346">
        <v>11468.8500000001</v>
      </c>
      <c r="G4316" s="343" t="s">
        <v>1967</v>
      </c>
      <c r="H4316" s="343" t="s">
        <v>2142</v>
      </c>
      <c r="I4316" s="343" t="s">
        <v>1880</v>
      </c>
      <c r="J4316" s="343" t="s">
        <v>757</v>
      </c>
      <c r="K4316" s="343" t="s">
        <v>741</v>
      </c>
      <c r="L4316" s="344">
        <v>44187</v>
      </c>
      <c r="M4316" s="347">
        <v>0</v>
      </c>
    </row>
    <row r="4317" spans="1:13" hidden="1" x14ac:dyDescent="0.25">
      <c r="A4317" s="344">
        <v>44196</v>
      </c>
      <c r="B4317" s="343" t="s">
        <v>2048</v>
      </c>
      <c r="C4317" s="343" t="s">
        <v>1060</v>
      </c>
      <c r="D4317" s="345">
        <v>6</v>
      </c>
      <c r="E4317" s="346">
        <v>490</v>
      </c>
      <c r="F4317" s="346">
        <v>11958.8500000001</v>
      </c>
      <c r="G4317" s="343" t="s">
        <v>2049</v>
      </c>
      <c r="H4317" s="343" t="s">
        <v>2142</v>
      </c>
      <c r="I4317" s="343" t="s">
        <v>1880</v>
      </c>
      <c r="J4317" s="343" t="s">
        <v>757</v>
      </c>
      <c r="K4317" s="343" t="s">
        <v>741</v>
      </c>
      <c r="L4317" s="344">
        <v>44196</v>
      </c>
      <c r="M4317" s="347">
        <v>0</v>
      </c>
    </row>
    <row r="4318" spans="1:13" hidden="1" x14ac:dyDescent="0.25">
      <c r="A4318" s="344">
        <v>44196</v>
      </c>
      <c r="B4318" s="343" t="s">
        <v>2048</v>
      </c>
      <c r="C4318" s="343" t="s">
        <v>1060</v>
      </c>
      <c r="D4318" s="345">
        <v>7</v>
      </c>
      <c r="E4318" s="346">
        <v>-490</v>
      </c>
      <c r="F4318" s="346">
        <v>11468.8500000001</v>
      </c>
      <c r="G4318" s="343" t="s">
        <v>2049</v>
      </c>
      <c r="H4318" s="343" t="s">
        <v>2142</v>
      </c>
      <c r="I4318" s="343" t="s">
        <v>1880</v>
      </c>
      <c r="J4318" s="343" t="s">
        <v>757</v>
      </c>
      <c r="K4318" s="343" t="s">
        <v>741</v>
      </c>
      <c r="L4318" s="344">
        <v>44196</v>
      </c>
      <c r="M4318" s="347">
        <v>0</v>
      </c>
    </row>
    <row r="4319" spans="1:13" hidden="1" x14ac:dyDescent="0.25">
      <c r="A4319" s="344">
        <v>44196</v>
      </c>
      <c r="B4319" s="343" t="s">
        <v>2050</v>
      </c>
      <c r="C4319" s="343" t="s">
        <v>769</v>
      </c>
      <c r="D4319" s="345">
        <v>7</v>
      </c>
      <c r="E4319" s="346">
        <v>210</v>
      </c>
      <c r="F4319" s="346">
        <v>11678.8500000001</v>
      </c>
      <c r="G4319" s="343" t="s">
        <v>2051</v>
      </c>
      <c r="H4319" s="343" t="s">
        <v>2142</v>
      </c>
      <c r="I4319" s="343" t="s">
        <v>1880</v>
      </c>
      <c r="J4319" s="343" t="s">
        <v>757</v>
      </c>
      <c r="K4319" s="343" t="s">
        <v>770</v>
      </c>
      <c r="L4319" s="344">
        <v>44196</v>
      </c>
      <c r="M4319" s="347">
        <v>0</v>
      </c>
    </row>
    <row r="4320" spans="1:13" hidden="1" x14ac:dyDescent="0.25">
      <c r="A4320" s="344">
        <v>44203</v>
      </c>
      <c r="B4320" s="343" t="s">
        <v>1970</v>
      </c>
      <c r="C4320" s="343" t="s">
        <v>1059</v>
      </c>
      <c r="D4320" s="345">
        <v>7</v>
      </c>
      <c r="E4320" s="346">
        <v>-128.94</v>
      </c>
      <c r="F4320" s="346">
        <v>11549.9100000001</v>
      </c>
      <c r="G4320" s="343" t="s">
        <v>1971</v>
      </c>
      <c r="H4320" s="343" t="s">
        <v>2142</v>
      </c>
      <c r="I4320" s="343" t="s">
        <v>1880</v>
      </c>
      <c r="J4320" s="343" t="s">
        <v>757</v>
      </c>
      <c r="K4320" s="343" t="s">
        <v>741</v>
      </c>
      <c r="L4320" s="344">
        <v>44203</v>
      </c>
      <c r="M4320" s="347">
        <v>0</v>
      </c>
    </row>
    <row r="4321" spans="1:13" hidden="1" x14ac:dyDescent="0.25">
      <c r="A4321" s="344">
        <v>44218</v>
      </c>
      <c r="B4321" s="343" t="s">
        <v>1972</v>
      </c>
      <c r="C4321" s="343" t="s">
        <v>1059</v>
      </c>
      <c r="D4321" s="345">
        <v>7</v>
      </c>
      <c r="E4321" s="346">
        <v>-161.25</v>
      </c>
      <c r="F4321" s="346">
        <v>11388.6600000001</v>
      </c>
      <c r="G4321" s="343" t="s">
        <v>1973</v>
      </c>
      <c r="H4321" s="343" t="s">
        <v>2142</v>
      </c>
      <c r="I4321" s="343" t="s">
        <v>1880</v>
      </c>
      <c r="J4321" s="343" t="s">
        <v>757</v>
      </c>
      <c r="K4321" s="343" t="s">
        <v>741</v>
      </c>
      <c r="L4321" s="344">
        <v>44218</v>
      </c>
      <c r="M4321" s="347">
        <v>0</v>
      </c>
    </row>
    <row r="4322" spans="1:13" hidden="1" x14ac:dyDescent="0.25">
      <c r="A4322" s="344">
        <v>44227</v>
      </c>
      <c r="B4322" s="343" t="s">
        <v>2052</v>
      </c>
      <c r="C4322" s="343" t="s">
        <v>1060</v>
      </c>
      <c r="D4322" s="345">
        <v>7</v>
      </c>
      <c r="E4322" s="346">
        <v>490</v>
      </c>
      <c r="F4322" s="346">
        <v>11878.6600000001</v>
      </c>
      <c r="G4322" s="343" t="s">
        <v>2053</v>
      </c>
      <c r="H4322" s="343" t="s">
        <v>2142</v>
      </c>
      <c r="I4322" s="343" t="s">
        <v>1880</v>
      </c>
      <c r="J4322" s="343" t="s">
        <v>757</v>
      </c>
      <c r="K4322" s="343" t="s">
        <v>741</v>
      </c>
      <c r="L4322" s="344">
        <v>44227</v>
      </c>
      <c r="M4322" s="347">
        <v>0</v>
      </c>
    </row>
    <row r="4323" spans="1:13" hidden="1" x14ac:dyDescent="0.25">
      <c r="A4323" s="344">
        <v>44227</v>
      </c>
      <c r="B4323" s="343" t="s">
        <v>2052</v>
      </c>
      <c r="C4323" s="343" t="s">
        <v>1060</v>
      </c>
      <c r="D4323" s="345">
        <v>8</v>
      </c>
      <c r="E4323" s="346">
        <v>-490</v>
      </c>
      <c r="F4323" s="346">
        <v>11388.6600000001</v>
      </c>
      <c r="G4323" s="343" t="s">
        <v>2053</v>
      </c>
      <c r="H4323" s="343" t="s">
        <v>2142</v>
      </c>
      <c r="I4323" s="343" t="s">
        <v>1880</v>
      </c>
      <c r="J4323" s="343" t="s">
        <v>757</v>
      </c>
      <c r="K4323" s="343" t="s">
        <v>741</v>
      </c>
      <c r="L4323" s="344">
        <v>44227</v>
      </c>
      <c r="M4323" s="347">
        <v>0</v>
      </c>
    </row>
    <row r="4324" spans="1:13" hidden="1" x14ac:dyDescent="0.25">
      <c r="A4324" s="344">
        <v>44227</v>
      </c>
      <c r="B4324" s="343" t="s">
        <v>1974</v>
      </c>
      <c r="C4324" s="343" t="s">
        <v>1059</v>
      </c>
      <c r="D4324" s="345">
        <v>8</v>
      </c>
      <c r="E4324" s="346">
        <v>-96.63</v>
      </c>
      <c r="F4324" s="346">
        <v>11292.030000000101</v>
      </c>
      <c r="G4324" s="343" t="s">
        <v>1975</v>
      </c>
      <c r="H4324" s="343" t="s">
        <v>2142</v>
      </c>
      <c r="I4324" s="343" t="s">
        <v>1880</v>
      </c>
      <c r="J4324" s="343" t="s">
        <v>757</v>
      </c>
      <c r="K4324" s="343" t="s">
        <v>741</v>
      </c>
      <c r="L4324" s="344">
        <v>44227</v>
      </c>
      <c r="M4324" s="347">
        <v>0</v>
      </c>
    </row>
    <row r="4325" spans="1:13" hidden="1" x14ac:dyDescent="0.25">
      <c r="A4325" s="344">
        <v>44228</v>
      </c>
      <c r="B4325" s="343" t="s">
        <v>2054</v>
      </c>
      <c r="C4325" s="343" t="s">
        <v>769</v>
      </c>
      <c r="D4325" s="345">
        <v>8</v>
      </c>
      <c r="E4325" s="346">
        <v>280</v>
      </c>
      <c r="F4325" s="346">
        <v>11572.030000000101</v>
      </c>
      <c r="G4325" s="343" t="s">
        <v>2055</v>
      </c>
      <c r="H4325" s="343" t="s">
        <v>2142</v>
      </c>
      <c r="I4325" s="343" t="s">
        <v>1880</v>
      </c>
      <c r="J4325" s="343" t="s">
        <v>757</v>
      </c>
      <c r="K4325" s="343" t="s">
        <v>770</v>
      </c>
      <c r="L4325" s="344">
        <v>44228</v>
      </c>
      <c r="M4325" s="347">
        <v>0</v>
      </c>
    </row>
    <row r="4326" spans="1:13" hidden="1" x14ac:dyDescent="0.25">
      <c r="A4326" s="344">
        <v>44244</v>
      </c>
      <c r="B4326" s="343" t="s">
        <v>1978</v>
      </c>
      <c r="C4326" s="343" t="s">
        <v>1059</v>
      </c>
      <c r="D4326" s="345">
        <v>8</v>
      </c>
      <c r="E4326" s="346">
        <v>-128.94</v>
      </c>
      <c r="F4326" s="346">
        <v>11443.0900000001</v>
      </c>
      <c r="G4326" s="343" t="s">
        <v>1979</v>
      </c>
      <c r="H4326" s="343" t="s">
        <v>2142</v>
      </c>
      <c r="I4326" s="343" t="s">
        <v>1880</v>
      </c>
      <c r="J4326" s="343" t="s">
        <v>757</v>
      </c>
      <c r="K4326" s="343" t="s">
        <v>741</v>
      </c>
      <c r="L4326" s="344">
        <v>44244</v>
      </c>
      <c r="M4326" s="347">
        <v>0</v>
      </c>
    </row>
    <row r="4327" spans="1:13" hidden="1" x14ac:dyDescent="0.25">
      <c r="A4327" s="344">
        <v>44255</v>
      </c>
      <c r="B4327" s="343" t="s">
        <v>2056</v>
      </c>
      <c r="C4327" s="343" t="s">
        <v>1060</v>
      </c>
      <c r="D4327" s="345">
        <v>8</v>
      </c>
      <c r="E4327" s="346">
        <v>560</v>
      </c>
      <c r="F4327" s="346">
        <v>12003.0900000001</v>
      </c>
      <c r="G4327" s="343" t="s">
        <v>2057</v>
      </c>
      <c r="H4327" s="343" t="s">
        <v>2142</v>
      </c>
      <c r="I4327" s="343" t="s">
        <v>1880</v>
      </c>
      <c r="J4327" s="343" t="s">
        <v>757</v>
      </c>
      <c r="K4327" s="343" t="s">
        <v>741</v>
      </c>
      <c r="L4327" s="344">
        <v>44255</v>
      </c>
      <c r="M4327" s="347">
        <v>0</v>
      </c>
    </row>
    <row r="4328" spans="1:13" hidden="1" x14ac:dyDescent="0.25">
      <c r="A4328" s="344">
        <v>44255</v>
      </c>
      <c r="B4328" s="343" t="s">
        <v>2056</v>
      </c>
      <c r="C4328" s="343" t="s">
        <v>1060</v>
      </c>
      <c r="D4328" s="345">
        <v>9</v>
      </c>
      <c r="E4328" s="346">
        <v>-560</v>
      </c>
      <c r="F4328" s="346">
        <v>11443.0900000001</v>
      </c>
      <c r="G4328" s="343" t="s">
        <v>2057</v>
      </c>
      <c r="H4328" s="343" t="s">
        <v>2142</v>
      </c>
      <c r="I4328" s="343" t="s">
        <v>1880</v>
      </c>
      <c r="J4328" s="343" t="s">
        <v>757</v>
      </c>
      <c r="K4328" s="343" t="s">
        <v>741</v>
      </c>
      <c r="L4328" s="344">
        <v>44255</v>
      </c>
      <c r="M4328" s="347">
        <v>0</v>
      </c>
    </row>
    <row r="4329" spans="1:13" hidden="1" x14ac:dyDescent="0.25">
      <c r="A4329" s="344">
        <v>44255</v>
      </c>
      <c r="B4329" s="343" t="s">
        <v>2058</v>
      </c>
      <c r="C4329" s="343" t="s">
        <v>769</v>
      </c>
      <c r="D4329" s="345">
        <v>9</v>
      </c>
      <c r="E4329" s="346">
        <v>280</v>
      </c>
      <c r="F4329" s="346">
        <v>11723.0900000001</v>
      </c>
      <c r="G4329" s="343" t="s">
        <v>2059</v>
      </c>
      <c r="H4329" s="343" t="s">
        <v>2142</v>
      </c>
      <c r="I4329" s="343" t="s">
        <v>1880</v>
      </c>
      <c r="J4329" s="343" t="s">
        <v>757</v>
      </c>
      <c r="K4329" s="343" t="s">
        <v>770</v>
      </c>
      <c r="L4329" s="344">
        <v>44255</v>
      </c>
      <c r="M4329" s="347">
        <v>0</v>
      </c>
    </row>
    <row r="4330" spans="1:13" hidden="1" x14ac:dyDescent="0.25">
      <c r="A4330" s="344">
        <v>44259</v>
      </c>
      <c r="B4330" s="343" t="s">
        <v>1939</v>
      </c>
      <c r="C4330" s="343" t="s">
        <v>1059</v>
      </c>
      <c r="D4330" s="345">
        <v>9</v>
      </c>
      <c r="E4330" s="346">
        <v>-64.62</v>
      </c>
      <c r="F4330" s="346">
        <v>11658.470000000099</v>
      </c>
      <c r="G4330" s="343" t="s">
        <v>1940</v>
      </c>
      <c r="H4330" s="343" t="s">
        <v>2142</v>
      </c>
      <c r="I4330" s="343" t="s">
        <v>1880</v>
      </c>
      <c r="J4330" s="343" t="s">
        <v>757</v>
      </c>
      <c r="K4330" s="343" t="s">
        <v>741</v>
      </c>
      <c r="L4330" s="344">
        <v>44259</v>
      </c>
      <c r="M4330" s="347">
        <v>0</v>
      </c>
    </row>
    <row r="4331" spans="1:13" hidden="1" x14ac:dyDescent="0.25">
      <c r="A4331" s="344">
        <v>44272</v>
      </c>
      <c r="B4331" s="343" t="s">
        <v>1982</v>
      </c>
      <c r="C4331" s="343" t="s">
        <v>1059</v>
      </c>
      <c r="D4331" s="345">
        <v>9</v>
      </c>
      <c r="E4331" s="346">
        <v>-32.31</v>
      </c>
      <c r="F4331" s="346">
        <v>11626.1600000001</v>
      </c>
      <c r="G4331" s="343" t="s">
        <v>1983</v>
      </c>
      <c r="H4331" s="343" t="s">
        <v>2142</v>
      </c>
      <c r="I4331" s="343" t="s">
        <v>1880</v>
      </c>
      <c r="J4331" s="343" t="s">
        <v>757</v>
      </c>
      <c r="K4331" s="343" t="s">
        <v>741</v>
      </c>
      <c r="L4331" s="344">
        <v>44272</v>
      </c>
      <c r="M4331" s="347">
        <v>0</v>
      </c>
    </row>
    <row r="4332" spans="1:13" hidden="1" x14ac:dyDescent="0.25">
      <c r="A4332" s="344">
        <v>44286</v>
      </c>
      <c r="B4332" s="343" t="s">
        <v>1918</v>
      </c>
      <c r="C4332" s="343" t="s">
        <v>1059</v>
      </c>
      <c r="D4332" s="345">
        <v>9</v>
      </c>
      <c r="E4332" s="346">
        <v>-32.31</v>
      </c>
      <c r="F4332" s="346">
        <v>11593.8500000001</v>
      </c>
      <c r="G4332" s="343" t="s">
        <v>1919</v>
      </c>
      <c r="H4332" s="343" t="s">
        <v>2142</v>
      </c>
      <c r="I4332" s="343" t="s">
        <v>1880</v>
      </c>
      <c r="J4332" s="343" t="s">
        <v>757</v>
      </c>
      <c r="K4332" s="343" t="s">
        <v>741</v>
      </c>
      <c r="L4332" s="344">
        <v>44286</v>
      </c>
      <c r="M4332" s="347">
        <v>0</v>
      </c>
    </row>
    <row r="4333" spans="1:13" hidden="1" x14ac:dyDescent="0.25">
      <c r="A4333" s="344">
        <v>44286</v>
      </c>
      <c r="B4333" s="343" t="s">
        <v>2060</v>
      </c>
      <c r="C4333" s="343" t="s">
        <v>1060</v>
      </c>
      <c r="D4333" s="345">
        <v>9</v>
      </c>
      <c r="E4333" s="346">
        <v>280</v>
      </c>
      <c r="F4333" s="346">
        <v>11873.8500000001</v>
      </c>
      <c r="G4333" s="343" t="s">
        <v>2061</v>
      </c>
      <c r="H4333" s="343" t="s">
        <v>2142</v>
      </c>
      <c r="I4333" s="343" t="s">
        <v>1880</v>
      </c>
      <c r="J4333" s="343" t="s">
        <v>757</v>
      </c>
      <c r="K4333" s="343" t="s">
        <v>741</v>
      </c>
      <c r="L4333" s="344">
        <v>44286</v>
      </c>
      <c r="M4333" s="347">
        <v>0</v>
      </c>
    </row>
    <row r="4334" spans="1:13" hidden="1" x14ac:dyDescent="0.25">
      <c r="A4334" s="344">
        <v>44286</v>
      </c>
      <c r="B4334" s="343" t="s">
        <v>2060</v>
      </c>
      <c r="C4334" s="343" t="s">
        <v>1060</v>
      </c>
      <c r="D4334" s="345">
        <v>10</v>
      </c>
      <c r="E4334" s="346">
        <v>-280</v>
      </c>
      <c r="F4334" s="346">
        <v>11593.8500000001</v>
      </c>
      <c r="G4334" s="343" t="s">
        <v>2061</v>
      </c>
      <c r="H4334" s="343" t="s">
        <v>2142</v>
      </c>
      <c r="I4334" s="343" t="s">
        <v>1880</v>
      </c>
      <c r="J4334" s="343" t="s">
        <v>757</v>
      </c>
      <c r="K4334" s="343" t="s">
        <v>741</v>
      </c>
      <c r="L4334" s="344">
        <v>44286</v>
      </c>
      <c r="M4334" s="347">
        <v>0</v>
      </c>
    </row>
    <row r="4335" spans="1:13" hidden="1" x14ac:dyDescent="0.25">
      <c r="A4335" s="344">
        <v>44293</v>
      </c>
      <c r="B4335" s="343" t="s">
        <v>2062</v>
      </c>
      <c r="C4335" s="343" t="s">
        <v>769</v>
      </c>
      <c r="D4335" s="345">
        <v>10</v>
      </c>
      <c r="E4335" s="346">
        <v>350</v>
      </c>
      <c r="F4335" s="346">
        <v>11943.8500000001</v>
      </c>
      <c r="G4335" s="343" t="s">
        <v>2063</v>
      </c>
      <c r="H4335" s="343" t="s">
        <v>2142</v>
      </c>
      <c r="I4335" s="343" t="s">
        <v>1880</v>
      </c>
      <c r="J4335" s="343" t="s">
        <v>757</v>
      </c>
      <c r="K4335" s="343" t="s">
        <v>770</v>
      </c>
      <c r="L4335" s="344">
        <v>44293</v>
      </c>
      <c r="M4335" s="347">
        <v>0</v>
      </c>
    </row>
    <row r="4336" spans="1:13" hidden="1" x14ac:dyDescent="0.25">
      <c r="A4336" s="344">
        <v>44315</v>
      </c>
      <c r="B4336" s="343" t="s">
        <v>1920</v>
      </c>
      <c r="C4336" s="343" t="s">
        <v>1059</v>
      </c>
      <c r="D4336" s="345">
        <v>10</v>
      </c>
      <c r="E4336" s="346">
        <v>-32.31</v>
      </c>
      <c r="F4336" s="346">
        <v>11911.540000000099</v>
      </c>
      <c r="G4336" s="343" t="s">
        <v>1921</v>
      </c>
      <c r="H4336" s="343" t="s">
        <v>2142</v>
      </c>
      <c r="I4336" s="343" t="s">
        <v>1880</v>
      </c>
      <c r="J4336" s="343" t="s">
        <v>757</v>
      </c>
      <c r="K4336" s="343" t="s">
        <v>741</v>
      </c>
      <c r="L4336" s="344">
        <v>44315</v>
      </c>
      <c r="M4336" s="347">
        <v>0</v>
      </c>
    </row>
    <row r="4337" spans="1:13" hidden="1" x14ac:dyDescent="0.25">
      <c r="A4337" s="344">
        <v>44316</v>
      </c>
      <c r="B4337" s="343" t="s">
        <v>1078</v>
      </c>
      <c r="C4337" s="343" t="s">
        <v>1060</v>
      </c>
      <c r="D4337" s="345">
        <v>10</v>
      </c>
      <c r="E4337" s="346">
        <v>280</v>
      </c>
      <c r="F4337" s="346">
        <v>12191.540000000099</v>
      </c>
      <c r="G4337" s="343" t="s">
        <v>2064</v>
      </c>
      <c r="H4337" s="343" t="s">
        <v>2142</v>
      </c>
      <c r="I4337" s="343" t="s">
        <v>1880</v>
      </c>
      <c r="J4337" s="343" t="s">
        <v>757</v>
      </c>
      <c r="K4337" s="343" t="s">
        <v>741</v>
      </c>
      <c r="L4337" s="344">
        <v>44316</v>
      </c>
      <c r="M4337" s="347">
        <v>0</v>
      </c>
    </row>
    <row r="4338" spans="1:13" hidden="1" x14ac:dyDescent="0.25">
      <c r="A4338" s="344">
        <v>44001</v>
      </c>
      <c r="B4338" s="343" t="s">
        <v>2143</v>
      </c>
      <c r="C4338" s="343" t="s">
        <v>769</v>
      </c>
      <c r="D4338" s="345">
        <v>1</v>
      </c>
      <c r="E4338" s="346">
        <v>227.27</v>
      </c>
      <c r="F4338" s="346">
        <v>12488.8100000001</v>
      </c>
      <c r="G4338" s="343" t="s">
        <v>2144</v>
      </c>
      <c r="H4338" s="343" t="s">
        <v>2145</v>
      </c>
      <c r="I4338" s="343" t="s">
        <v>1880</v>
      </c>
      <c r="J4338" s="343" t="s">
        <v>757</v>
      </c>
      <c r="K4338" s="343" t="s">
        <v>770</v>
      </c>
      <c r="L4338" s="344">
        <v>44001</v>
      </c>
      <c r="M4338" s="347">
        <v>0</v>
      </c>
    </row>
    <row r="4339" spans="1:13" hidden="1" x14ac:dyDescent="0.25">
      <c r="A4339" s="344">
        <v>44012</v>
      </c>
      <c r="B4339" s="343" t="s">
        <v>2146</v>
      </c>
      <c r="C4339" s="343" t="s">
        <v>1059</v>
      </c>
      <c r="D4339" s="345">
        <v>1</v>
      </c>
      <c r="E4339" s="346">
        <v>-1136.3699999999999</v>
      </c>
      <c r="F4339" s="346">
        <v>11352.440000000101</v>
      </c>
      <c r="G4339" s="343" t="s">
        <v>2147</v>
      </c>
      <c r="H4339" s="343" t="s">
        <v>2145</v>
      </c>
      <c r="I4339" s="343" t="s">
        <v>1880</v>
      </c>
      <c r="J4339" s="343" t="s">
        <v>757</v>
      </c>
      <c r="K4339" s="343" t="s">
        <v>741</v>
      </c>
      <c r="L4339" s="344">
        <v>44012</v>
      </c>
      <c r="M4339" s="347">
        <v>0</v>
      </c>
    </row>
    <row r="4340" spans="1:13" hidden="1" x14ac:dyDescent="0.25">
      <c r="A4340" s="344">
        <v>44026</v>
      </c>
      <c r="B4340" s="343" t="s">
        <v>2148</v>
      </c>
      <c r="C4340" s="343" t="s">
        <v>769</v>
      </c>
      <c r="D4340" s="345">
        <v>1</v>
      </c>
      <c r="E4340" s="346">
        <v>454.55</v>
      </c>
      <c r="F4340" s="346">
        <v>11806.9900000001</v>
      </c>
      <c r="G4340" s="343" t="s">
        <v>2149</v>
      </c>
      <c r="H4340" s="343" t="s">
        <v>2145</v>
      </c>
      <c r="I4340" s="343" t="s">
        <v>1880</v>
      </c>
      <c r="J4340" s="343" t="s">
        <v>757</v>
      </c>
      <c r="K4340" s="343" t="s">
        <v>770</v>
      </c>
      <c r="L4340" s="344">
        <v>44026</v>
      </c>
      <c r="M4340" s="347">
        <v>0</v>
      </c>
    </row>
    <row r="4341" spans="1:13" hidden="1" x14ac:dyDescent="0.25">
      <c r="A4341" s="344">
        <v>44043</v>
      </c>
      <c r="B4341" s="343" t="s">
        <v>1891</v>
      </c>
      <c r="C4341" s="343" t="s">
        <v>1060</v>
      </c>
      <c r="D4341" s="345">
        <v>1</v>
      </c>
      <c r="E4341" s="346">
        <v>454.55</v>
      </c>
      <c r="F4341" s="346">
        <v>12261.540000000099</v>
      </c>
      <c r="G4341" s="343" t="s">
        <v>2150</v>
      </c>
      <c r="H4341" s="343" t="s">
        <v>2145</v>
      </c>
      <c r="I4341" s="343" t="s">
        <v>1880</v>
      </c>
      <c r="J4341" s="343" t="s">
        <v>757</v>
      </c>
      <c r="K4341" s="343" t="s">
        <v>741</v>
      </c>
      <c r="L4341" s="344">
        <v>44043</v>
      </c>
      <c r="M4341" s="347">
        <v>0</v>
      </c>
    </row>
    <row r="4342" spans="1:13" hidden="1" x14ac:dyDescent="0.25">
      <c r="A4342" s="344">
        <v>43978</v>
      </c>
      <c r="B4342" s="343" t="s">
        <v>2151</v>
      </c>
      <c r="C4342" s="343" t="s">
        <v>769</v>
      </c>
      <c r="D4342" s="345">
        <v>2</v>
      </c>
      <c r="E4342" s="346">
        <v>454.55</v>
      </c>
      <c r="F4342" s="346">
        <v>12716.0900000001</v>
      </c>
      <c r="G4342" s="343" t="s">
        <v>2152</v>
      </c>
      <c r="H4342" s="343" t="s">
        <v>2145</v>
      </c>
      <c r="I4342" s="343" t="s">
        <v>1880</v>
      </c>
      <c r="J4342" s="343" t="s">
        <v>757</v>
      </c>
      <c r="K4342" s="343" t="s">
        <v>770</v>
      </c>
      <c r="L4342" s="344">
        <v>43978</v>
      </c>
      <c r="M4342" s="347">
        <v>0</v>
      </c>
    </row>
    <row r="4343" spans="1:13" hidden="1" x14ac:dyDescent="0.25">
      <c r="A4343" s="344">
        <v>44013</v>
      </c>
      <c r="B4343" s="343" t="s">
        <v>2153</v>
      </c>
      <c r="C4343" s="343" t="s">
        <v>769</v>
      </c>
      <c r="D4343" s="345">
        <v>2</v>
      </c>
      <c r="E4343" s="346">
        <v>454.55</v>
      </c>
      <c r="F4343" s="346">
        <v>13170.640000000099</v>
      </c>
      <c r="G4343" s="343" t="s">
        <v>2154</v>
      </c>
      <c r="H4343" s="343" t="s">
        <v>2145</v>
      </c>
      <c r="I4343" s="343" t="s">
        <v>1880</v>
      </c>
      <c r="J4343" s="343" t="s">
        <v>757</v>
      </c>
      <c r="K4343" s="343" t="s">
        <v>770</v>
      </c>
      <c r="L4343" s="344">
        <v>44013</v>
      </c>
      <c r="M4343" s="347">
        <v>0</v>
      </c>
    </row>
    <row r="4344" spans="1:13" hidden="1" x14ac:dyDescent="0.25">
      <c r="A4344" s="344">
        <v>44043</v>
      </c>
      <c r="B4344" s="343" t="s">
        <v>1891</v>
      </c>
      <c r="C4344" s="343" t="s">
        <v>1060</v>
      </c>
      <c r="D4344" s="345">
        <v>2</v>
      </c>
      <c r="E4344" s="346">
        <v>-454.55</v>
      </c>
      <c r="F4344" s="346">
        <v>12716.0900000001</v>
      </c>
      <c r="G4344" s="343" t="s">
        <v>2150</v>
      </c>
      <c r="H4344" s="343" t="s">
        <v>2145</v>
      </c>
      <c r="I4344" s="343" t="s">
        <v>1880</v>
      </c>
      <c r="J4344" s="343" t="s">
        <v>757</v>
      </c>
      <c r="K4344" s="343" t="s">
        <v>741</v>
      </c>
      <c r="L4344" s="344">
        <v>44043</v>
      </c>
      <c r="M4344" s="347">
        <v>0</v>
      </c>
    </row>
    <row r="4345" spans="1:13" hidden="1" x14ac:dyDescent="0.25">
      <c r="A4345" s="344">
        <v>44047</v>
      </c>
      <c r="B4345" s="343" t="s">
        <v>2086</v>
      </c>
      <c r="C4345" s="343" t="s">
        <v>769</v>
      </c>
      <c r="D4345" s="345">
        <v>2</v>
      </c>
      <c r="E4345" s="346">
        <v>181.82</v>
      </c>
      <c r="F4345" s="346">
        <v>12897.9100000001</v>
      </c>
      <c r="G4345" s="343" t="s">
        <v>2087</v>
      </c>
      <c r="H4345" s="343" t="s">
        <v>2145</v>
      </c>
      <c r="I4345" s="343" t="s">
        <v>1880</v>
      </c>
      <c r="J4345" s="343" t="s">
        <v>757</v>
      </c>
      <c r="K4345" s="343" t="s">
        <v>770</v>
      </c>
      <c r="L4345" s="344">
        <v>44047</v>
      </c>
      <c r="M4345" s="347">
        <v>0</v>
      </c>
    </row>
    <row r="4346" spans="1:13" hidden="1" x14ac:dyDescent="0.25">
      <c r="A4346" s="344">
        <v>44047</v>
      </c>
      <c r="B4346" s="343" t="s">
        <v>2083</v>
      </c>
      <c r="C4346" s="343" t="s">
        <v>769</v>
      </c>
      <c r="D4346" s="345">
        <v>2</v>
      </c>
      <c r="E4346" s="346">
        <v>181.82</v>
      </c>
      <c r="F4346" s="346">
        <v>13079.7300000001</v>
      </c>
      <c r="G4346" s="343" t="s">
        <v>2084</v>
      </c>
      <c r="H4346" s="343" t="s">
        <v>2145</v>
      </c>
      <c r="I4346" s="343" t="s">
        <v>1880</v>
      </c>
      <c r="J4346" s="343" t="s">
        <v>757</v>
      </c>
      <c r="K4346" s="343" t="s">
        <v>770</v>
      </c>
      <c r="L4346" s="344">
        <v>44047</v>
      </c>
      <c r="M4346" s="347">
        <v>0</v>
      </c>
    </row>
    <row r="4347" spans="1:13" hidden="1" x14ac:dyDescent="0.25">
      <c r="A4347" s="344">
        <v>44048</v>
      </c>
      <c r="B4347" s="343" t="s">
        <v>2035</v>
      </c>
      <c r="C4347" s="343" t="s">
        <v>936</v>
      </c>
      <c r="D4347" s="345">
        <v>2</v>
      </c>
      <c r="E4347" s="346">
        <v>-1492.66</v>
      </c>
      <c r="F4347" s="346">
        <v>11587.0700000001</v>
      </c>
      <c r="G4347" s="343" t="s">
        <v>2036</v>
      </c>
      <c r="H4347" s="343" t="s">
        <v>2145</v>
      </c>
      <c r="I4347" s="343" t="s">
        <v>1880</v>
      </c>
      <c r="J4347" s="343" t="s">
        <v>757</v>
      </c>
      <c r="K4347" s="343" t="s">
        <v>770</v>
      </c>
      <c r="L4347" s="344">
        <v>43862</v>
      </c>
      <c r="M4347" s="347">
        <v>0</v>
      </c>
    </row>
    <row r="4348" spans="1:13" hidden="1" x14ac:dyDescent="0.25">
      <c r="A4348" s="344">
        <v>44048</v>
      </c>
      <c r="B4348" s="343" t="s">
        <v>2038</v>
      </c>
      <c r="C4348" s="343" t="s">
        <v>936</v>
      </c>
      <c r="D4348" s="345">
        <v>2</v>
      </c>
      <c r="E4348" s="346">
        <v>-1492.66</v>
      </c>
      <c r="F4348" s="346">
        <v>10094.4100000001</v>
      </c>
      <c r="G4348" s="343" t="s">
        <v>2039</v>
      </c>
      <c r="H4348" s="343" t="s">
        <v>2145</v>
      </c>
      <c r="I4348" s="343" t="s">
        <v>1880</v>
      </c>
      <c r="J4348" s="343" t="s">
        <v>757</v>
      </c>
      <c r="K4348" s="343" t="s">
        <v>770</v>
      </c>
      <c r="L4348" s="344">
        <v>43891</v>
      </c>
      <c r="M4348" s="347">
        <v>0</v>
      </c>
    </row>
    <row r="4349" spans="1:13" hidden="1" x14ac:dyDescent="0.25">
      <c r="A4349" s="344">
        <v>44048</v>
      </c>
      <c r="B4349" s="343" t="s">
        <v>2088</v>
      </c>
      <c r="C4349" s="343" t="s">
        <v>936</v>
      </c>
      <c r="D4349" s="345">
        <v>2</v>
      </c>
      <c r="E4349" s="346">
        <v>-75.8</v>
      </c>
      <c r="F4349" s="346">
        <v>10018.610000000101</v>
      </c>
      <c r="G4349" s="343" t="s">
        <v>2089</v>
      </c>
      <c r="H4349" s="343" t="s">
        <v>2145</v>
      </c>
      <c r="I4349" s="343" t="s">
        <v>1880</v>
      </c>
      <c r="J4349" s="343" t="s">
        <v>757</v>
      </c>
      <c r="K4349" s="343" t="s">
        <v>770</v>
      </c>
      <c r="L4349" s="344">
        <v>43952</v>
      </c>
      <c r="M4349" s="347">
        <v>0</v>
      </c>
    </row>
    <row r="4350" spans="1:13" hidden="1" x14ac:dyDescent="0.25">
      <c r="A4350" s="344">
        <v>44048</v>
      </c>
      <c r="B4350" s="343" t="s">
        <v>2083</v>
      </c>
      <c r="C4350" s="343" t="s">
        <v>936</v>
      </c>
      <c r="D4350" s="345">
        <v>2</v>
      </c>
      <c r="E4350" s="346">
        <v>-181.82</v>
      </c>
      <c r="F4350" s="346">
        <v>9836.7900000000609</v>
      </c>
      <c r="G4350" s="343" t="s">
        <v>2084</v>
      </c>
      <c r="H4350" s="343" t="s">
        <v>2145</v>
      </c>
      <c r="I4350" s="343" t="s">
        <v>1880</v>
      </c>
      <c r="J4350" s="343" t="s">
        <v>757</v>
      </c>
      <c r="K4350" s="343" t="s">
        <v>770</v>
      </c>
      <c r="L4350" s="344">
        <v>44047</v>
      </c>
      <c r="M4350" s="347">
        <v>0</v>
      </c>
    </row>
    <row r="4351" spans="1:13" hidden="1" x14ac:dyDescent="0.25">
      <c r="A4351" s="344">
        <v>44048</v>
      </c>
      <c r="B4351" s="343" t="s">
        <v>2040</v>
      </c>
      <c r="C4351" s="343" t="s">
        <v>769</v>
      </c>
      <c r="D4351" s="345">
        <v>2</v>
      </c>
      <c r="E4351" s="346">
        <v>1492.66</v>
      </c>
      <c r="F4351" s="346">
        <v>11329.450000000101</v>
      </c>
      <c r="G4351" s="343" t="s">
        <v>2041</v>
      </c>
      <c r="H4351" s="343" t="s">
        <v>2145</v>
      </c>
      <c r="I4351" s="343" t="s">
        <v>1880</v>
      </c>
      <c r="J4351" s="343" t="s">
        <v>757</v>
      </c>
      <c r="K4351" s="343" t="s">
        <v>770</v>
      </c>
      <c r="L4351" s="344">
        <v>44048</v>
      </c>
      <c r="M4351" s="347">
        <v>0</v>
      </c>
    </row>
    <row r="4352" spans="1:13" hidden="1" x14ac:dyDescent="0.25">
      <c r="A4352" s="344">
        <v>44048</v>
      </c>
      <c r="B4352" s="343" t="s">
        <v>2042</v>
      </c>
      <c r="C4352" s="343" t="s">
        <v>769</v>
      </c>
      <c r="D4352" s="345">
        <v>2</v>
      </c>
      <c r="E4352" s="346">
        <v>1492.66</v>
      </c>
      <c r="F4352" s="346">
        <v>12822.110000000101</v>
      </c>
      <c r="G4352" s="343" t="s">
        <v>2043</v>
      </c>
      <c r="H4352" s="343" t="s">
        <v>2145</v>
      </c>
      <c r="I4352" s="343" t="s">
        <v>1880</v>
      </c>
      <c r="J4352" s="343" t="s">
        <v>757</v>
      </c>
      <c r="K4352" s="343" t="s">
        <v>770</v>
      </c>
      <c r="L4352" s="344">
        <v>44048</v>
      </c>
      <c r="M4352" s="347">
        <v>0</v>
      </c>
    </row>
    <row r="4353" spans="1:13" hidden="1" x14ac:dyDescent="0.25">
      <c r="A4353" s="344">
        <v>44048</v>
      </c>
      <c r="B4353" s="343" t="s">
        <v>2090</v>
      </c>
      <c r="C4353" s="343" t="s">
        <v>769</v>
      </c>
      <c r="D4353" s="345">
        <v>2</v>
      </c>
      <c r="E4353" s="346">
        <v>75.8</v>
      </c>
      <c r="F4353" s="346">
        <v>12897.9100000001</v>
      </c>
      <c r="G4353" s="343" t="s">
        <v>2091</v>
      </c>
      <c r="H4353" s="343" t="s">
        <v>2145</v>
      </c>
      <c r="I4353" s="343" t="s">
        <v>1880</v>
      </c>
      <c r="J4353" s="343" t="s">
        <v>757</v>
      </c>
      <c r="K4353" s="343" t="s">
        <v>770</v>
      </c>
      <c r="L4353" s="344">
        <v>44048</v>
      </c>
      <c r="M4353" s="347">
        <v>0</v>
      </c>
    </row>
    <row r="4354" spans="1:13" hidden="1" x14ac:dyDescent="0.25">
      <c r="A4354" s="344">
        <v>44052</v>
      </c>
      <c r="B4354" s="343" t="s">
        <v>1930</v>
      </c>
      <c r="C4354" s="343" t="s">
        <v>1059</v>
      </c>
      <c r="D4354" s="345">
        <v>2</v>
      </c>
      <c r="E4354" s="346">
        <v>-286.64999999999998</v>
      </c>
      <c r="F4354" s="346">
        <v>12611.2600000001</v>
      </c>
      <c r="G4354" s="343" t="s">
        <v>1931</v>
      </c>
      <c r="H4354" s="343" t="s">
        <v>2145</v>
      </c>
      <c r="I4354" s="343" t="s">
        <v>1880</v>
      </c>
      <c r="J4354" s="343" t="s">
        <v>757</v>
      </c>
      <c r="K4354" s="343" t="s">
        <v>741</v>
      </c>
      <c r="L4354" s="344">
        <v>44052</v>
      </c>
      <c r="M4354" s="347">
        <v>0</v>
      </c>
    </row>
    <row r="4355" spans="1:13" hidden="1" x14ac:dyDescent="0.25">
      <c r="A4355" s="344">
        <v>44062</v>
      </c>
      <c r="B4355" s="343" t="s">
        <v>1932</v>
      </c>
      <c r="C4355" s="343" t="s">
        <v>1059</v>
      </c>
      <c r="D4355" s="345">
        <v>2</v>
      </c>
      <c r="E4355" s="346">
        <v>-141.05000000000001</v>
      </c>
      <c r="F4355" s="346">
        <v>12470.210000000099</v>
      </c>
      <c r="G4355" s="343" t="s">
        <v>1933</v>
      </c>
      <c r="H4355" s="343" t="s">
        <v>2145</v>
      </c>
      <c r="I4355" s="343" t="s">
        <v>1880</v>
      </c>
      <c r="J4355" s="343" t="s">
        <v>757</v>
      </c>
      <c r="K4355" s="343" t="s">
        <v>741</v>
      </c>
      <c r="L4355" s="344">
        <v>44062</v>
      </c>
      <c r="M4355" s="347">
        <v>0</v>
      </c>
    </row>
    <row r="4356" spans="1:13" hidden="1" x14ac:dyDescent="0.25">
      <c r="A4356" s="344">
        <v>44064</v>
      </c>
      <c r="B4356" s="343" t="s">
        <v>2092</v>
      </c>
      <c r="C4356" s="343" t="s">
        <v>936</v>
      </c>
      <c r="D4356" s="345">
        <v>2</v>
      </c>
      <c r="E4356" s="346">
        <v>-101.02</v>
      </c>
      <c r="F4356" s="346">
        <v>12369.190000000101</v>
      </c>
      <c r="G4356" s="343" t="s">
        <v>2093</v>
      </c>
      <c r="H4356" s="343" t="s">
        <v>2145</v>
      </c>
      <c r="I4356" s="343" t="s">
        <v>1880</v>
      </c>
      <c r="J4356" s="343" t="s">
        <v>757</v>
      </c>
      <c r="K4356" s="343" t="s">
        <v>770</v>
      </c>
      <c r="L4356" s="344">
        <v>44064</v>
      </c>
      <c r="M4356" s="347">
        <v>0</v>
      </c>
    </row>
    <row r="4357" spans="1:13" hidden="1" x14ac:dyDescent="0.25">
      <c r="A4357" s="344">
        <v>44064</v>
      </c>
      <c r="B4357" s="343" t="s">
        <v>2092</v>
      </c>
      <c r="C4357" s="343" t="s">
        <v>769</v>
      </c>
      <c r="D4357" s="345">
        <v>2</v>
      </c>
      <c r="E4357" s="346">
        <v>101.02</v>
      </c>
      <c r="F4357" s="346">
        <v>12470.210000000099</v>
      </c>
      <c r="G4357" s="343" t="s">
        <v>2093</v>
      </c>
      <c r="H4357" s="343" t="s">
        <v>2145</v>
      </c>
      <c r="I4357" s="343" t="s">
        <v>1880</v>
      </c>
      <c r="J4357" s="343" t="s">
        <v>757</v>
      </c>
      <c r="K4357" s="343" t="s">
        <v>770</v>
      </c>
      <c r="L4357" s="344">
        <v>44064</v>
      </c>
      <c r="M4357" s="347">
        <v>0</v>
      </c>
    </row>
    <row r="4358" spans="1:13" hidden="1" x14ac:dyDescent="0.25">
      <c r="A4358" s="344">
        <v>44064</v>
      </c>
      <c r="B4358" s="343" t="s">
        <v>2094</v>
      </c>
      <c r="C4358" s="343" t="s">
        <v>769</v>
      </c>
      <c r="D4358" s="345">
        <v>2</v>
      </c>
      <c r="E4358" s="346">
        <v>101.02</v>
      </c>
      <c r="F4358" s="346">
        <v>12571.2300000001</v>
      </c>
      <c r="G4358" s="343" t="s">
        <v>2095</v>
      </c>
      <c r="H4358" s="343" t="s">
        <v>2145</v>
      </c>
      <c r="I4358" s="343" t="s">
        <v>1880</v>
      </c>
      <c r="J4358" s="343" t="s">
        <v>757</v>
      </c>
      <c r="K4358" s="343" t="s">
        <v>770</v>
      </c>
      <c r="L4358" s="344">
        <v>44064</v>
      </c>
      <c r="M4358" s="347">
        <v>0</v>
      </c>
    </row>
    <row r="4359" spans="1:13" hidden="1" x14ac:dyDescent="0.25">
      <c r="A4359" s="344">
        <v>44077</v>
      </c>
      <c r="B4359" s="343" t="s">
        <v>2096</v>
      </c>
      <c r="C4359" s="343" t="s">
        <v>769</v>
      </c>
      <c r="D4359" s="345">
        <v>3</v>
      </c>
      <c r="E4359" s="346">
        <v>75.78</v>
      </c>
      <c r="F4359" s="346">
        <v>12647.0100000001</v>
      </c>
      <c r="G4359" s="343" t="s">
        <v>2097</v>
      </c>
      <c r="H4359" s="343" t="s">
        <v>2145</v>
      </c>
      <c r="I4359" s="343" t="s">
        <v>1880</v>
      </c>
      <c r="J4359" s="343" t="s">
        <v>757</v>
      </c>
      <c r="K4359" s="343" t="s">
        <v>770</v>
      </c>
      <c r="L4359" s="344">
        <v>44077</v>
      </c>
      <c r="M4359" s="347">
        <v>0</v>
      </c>
    </row>
    <row r="4360" spans="1:13" hidden="1" x14ac:dyDescent="0.25">
      <c r="A4360" s="344">
        <v>44083</v>
      </c>
      <c r="B4360" s="343" t="s">
        <v>1948</v>
      </c>
      <c r="C4360" s="343" t="s">
        <v>1059</v>
      </c>
      <c r="D4360" s="345">
        <v>3</v>
      </c>
      <c r="E4360" s="346">
        <v>-109.2</v>
      </c>
      <c r="F4360" s="346">
        <v>12537.8100000001</v>
      </c>
      <c r="G4360" s="343" t="s">
        <v>1949</v>
      </c>
      <c r="H4360" s="343" t="s">
        <v>2145</v>
      </c>
      <c r="I4360" s="343" t="s">
        <v>1880</v>
      </c>
      <c r="J4360" s="343" t="s">
        <v>757</v>
      </c>
      <c r="K4360" s="343" t="s">
        <v>741</v>
      </c>
      <c r="L4360" s="344">
        <v>44083</v>
      </c>
      <c r="M4360" s="347">
        <v>0</v>
      </c>
    </row>
    <row r="4361" spans="1:13" hidden="1" x14ac:dyDescent="0.25">
      <c r="A4361" s="344">
        <v>44090</v>
      </c>
      <c r="B4361" s="343" t="s">
        <v>2098</v>
      </c>
      <c r="C4361" s="343" t="s">
        <v>769</v>
      </c>
      <c r="D4361" s="345">
        <v>3</v>
      </c>
      <c r="E4361" s="346">
        <v>75.819999999999993</v>
      </c>
      <c r="F4361" s="346">
        <v>12613.630000000099</v>
      </c>
      <c r="G4361" s="343" t="s">
        <v>2099</v>
      </c>
      <c r="H4361" s="343" t="s">
        <v>2145</v>
      </c>
      <c r="I4361" s="343" t="s">
        <v>1880</v>
      </c>
      <c r="J4361" s="343" t="s">
        <v>757</v>
      </c>
      <c r="K4361" s="343" t="s">
        <v>770</v>
      </c>
      <c r="L4361" s="344">
        <v>44090</v>
      </c>
      <c r="M4361" s="347">
        <v>0</v>
      </c>
    </row>
    <row r="4362" spans="1:13" hidden="1" x14ac:dyDescent="0.25">
      <c r="A4362" s="344">
        <v>44094</v>
      </c>
      <c r="B4362" s="343" t="s">
        <v>1950</v>
      </c>
      <c r="C4362" s="343" t="s">
        <v>1059</v>
      </c>
      <c r="D4362" s="345">
        <v>3</v>
      </c>
      <c r="E4362" s="346">
        <v>-150.15</v>
      </c>
      <c r="F4362" s="346">
        <v>12463.4800000001</v>
      </c>
      <c r="G4362" s="343" t="s">
        <v>1951</v>
      </c>
      <c r="H4362" s="343" t="s">
        <v>2145</v>
      </c>
      <c r="I4362" s="343" t="s">
        <v>1880</v>
      </c>
      <c r="J4362" s="343" t="s">
        <v>757</v>
      </c>
      <c r="K4362" s="343" t="s">
        <v>741</v>
      </c>
      <c r="L4362" s="344">
        <v>44094</v>
      </c>
      <c r="M4362" s="347">
        <v>0</v>
      </c>
    </row>
    <row r="4363" spans="1:13" hidden="1" x14ac:dyDescent="0.25">
      <c r="A4363" s="344">
        <v>44094</v>
      </c>
      <c r="B4363" s="343" t="s">
        <v>2123</v>
      </c>
      <c r="C4363" s="343" t="s">
        <v>1059</v>
      </c>
      <c r="D4363" s="345">
        <v>3</v>
      </c>
      <c r="E4363" s="346">
        <v>-22.75</v>
      </c>
      <c r="F4363" s="346">
        <v>12440.7300000001</v>
      </c>
      <c r="G4363" s="343" t="s">
        <v>2124</v>
      </c>
      <c r="H4363" s="343" t="s">
        <v>2145</v>
      </c>
      <c r="I4363" s="343" t="s">
        <v>1880</v>
      </c>
      <c r="J4363" s="343" t="s">
        <v>757</v>
      </c>
      <c r="K4363" s="343" t="s">
        <v>741</v>
      </c>
      <c r="L4363" s="344">
        <v>44094</v>
      </c>
      <c r="M4363" s="347">
        <v>0</v>
      </c>
    </row>
    <row r="4364" spans="1:13" hidden="1" x14ac:dyDescent="0.25">
      <c r="A4364" s="344">
        <v>44099</v>
      </c>
      <c r="B4364" s="343" t="s">
        <v>2100</v>
      </c>
      <c r="C4364" s="343" t="s">
        <v>769</v>
      </c>
      <c r="D4364" s="345">
        <v>3</v>
      </c>
      <c r="E4364" s="346">
        <v>42.64</v>
      </c>
      <c r="F4364" s="346">
        <v>12483.370000000101</v>
      </c>
      <c r="G4364" s="343" t="s">
        <v>2101</v>
      </c>
      <c r="H4364" s="343" t="s">
        <v>2145</v>
      </c>
      <c r="I4364" s="343" t="s">
        <v>1880</v>
      </c>
      <c r="J4364" s="343" t="s">
        <v>757</v>
      </c>
      <c r="K4364" s="343" t="s">
        <v>770</v>
      </c>
      <c r="L4364" s="344">
        <v>44099</v>
      </c>
      <c r="M4364" s="347">
        <v>0</v>
      </c>
    </row>
    <row r="4365" spans="1:13" hidden="1" x14ac:dyDescent="0.25">
      <c r="A4365" s="344">
        <v>44104</v>
      </c>
      <c r="B4365" s="343" t="s">
        <v>1934</v>
      </c>
      <c r="C4365" s="343" t="s">
        <v>1059</v>
      </c>
      <c r="D4365" s="345">
        <v>3</v>
      </c>
      <c r="E4365" s="346">
        <v>-86.45</v>
      </c>
      <c r="F4365" s="346">
        <v>12396.9200000001</v>
      </c>
      <c r="G4365" s="343" t="s">
        <v>1935</v>
      </c>
      <c r="H4365" s="343" t="s">
        <v>2145</v>
      </c>
      <c r="I4365" s="343" t="s">
        <v>1880</v>
      </c>
      <c r="J4365" s="343" t="s">
        <v>757</v>
      </c>
      <c r="K4365" s="343" t="s">
        <v>741</v>
      </c>
      <c r="L4365" s="344">
        <v>44104</v>
      </c>
      <c r="M4365" s="347">
        <v>0</v>
      </c>
    </row>
    <row r="4366" spans="1:13" hidden="1" x14ac:dyDescent="0.25">
      <c r="A4366" s="344">
        <v>44104</v>
      </c>
      <c r="B4366" s="343" t="s">
        <v>2066</v>
      </c>
      <c r="C4366" s="343" t="s">
        <v>1060</v>
      </c>
      <c r="D4366" s="345">
        <v>3</v>
      </c>
      <c r="E4366" s="346">
        <v>630</v>
      </c>
      <c r="F4366" s="346">
        <v>13026.9200000001</v>
      </c>
      <c r="G4366" s="343" t="s">
        <v>2067</v>
      </c>
      <c r="H4366" s="343" t="s">
        <v>2145</v>
      </c>
      <c r="I4366" s="343" t="s">
        <v>1880</v>
      </c>
      <c r="J4366" s="343" t="s">
        <v>757</v>
      </c>
      <c r="K4366" s="343" t="s">
        <v>741</v>
      </c>
      <c r="L4366" s="344">
        <v>44104</v>
      </c>
      <c r="M4366" s="347">
        <v>0</v>
      </c>
    </row>
    <row r="4367" spans="1:13" hidden="1" x14ac:dyDescent="0.25">
      <c r="A4367" s="344">
        <v>44104</v>
      </c>
      <c r="B4367" s="343" t="s">
        <v>2066</v>
      </c>
      <c r="C4367" s="343" t="s">
        <v>1060</v>
      </c>
      <c r="D4367" s="345">
        <v>4</v>
      </c>
      <c r="E4367" s="346">
        <v>-630</v>
      </c>
      <c r="F4367" s="346">
        <v>12396.9200000001</v>
      </c>
      <c r="G4367" s="343" t="s">
        <v>2067</v>
      </c>
      <c r="H4367" s="343" t="s">
        <v>2145</v>
      </c>
      <c r="I4367" s="343" t="s">
        <v>1880</v>
      </c>
      <c r="J4367" s="343" t="s">
        <v>757</v>
      </c>
      <c r="K4367" s="343" t="s">
        <v>741</v>
      </c>
      <c r="L4367" s="344">
        <v>44104</v>
      </c>
      <c r="M4367" s="347">
        <v>0</v>
      </c>
    </row>
    <row r="4368" spans="1:13" hidden="1" x14ac:dyDescent="0.25">
      <c r="A4368" s="344">
        <v>44120</v>
      </c>
      <c r="B4368" s="343" t="s">
        <v>1936</v>
      </c>
      <c r="C4368" s="343" t="s">
        <v>1059</v>
      </c>
      <c r="D4368" s="345">
        <v>4</v>
      </c>
      <c r="E4368" s="346">
        <v>-129.24</v>
      </c>
      <c r="F4368" s="346">
        <v>12267.6800000001</v>
      </c>
      <c r="G4368" s="343" t="s">
        <v>1937</v>
      </c>
      <c r="H4368" s="343" t="s">
        <v>2145</v>
      </c>
      <c r="I4368" s="343" t="s">
        <v>1880</v>
      </c>
      <c r="J4368" s="343" t="s">
        <v>757</v>
      </c>
      <c r="K4368" s="343" t="s">
        <v>741</v>
      </c>
      <c r="L4368" s="344">
        <v>44120</v>
      </c>
      <c r="M4368" s="347">
        <v>0</v>
      </c>
    </row>
    <row r="4369" spans="1:13" hidden="1" x14ac:dyDescent="0.25">
      <c r="A4369" s="344">
        <v>44135</v>
      </c>
      <c r="B4369" s="343" t="s">
        <v>1954</v>
      </c>
      <c r="C4369" s="343" t="s">
        <v>1059</v>
      </c>
      <c r="D4369" s="345">
        <v>4</v>
      </c>
      <c r="E4369" s="346">
        <v>-96.93</v>
      </c>
      <c r="F4369" s="346">
        <v>12170.7500000001</v>
      </c>
      <c r="G4369" s="343" t="s">
        <v>1955</v>
      </c>
      <c r="H4369" s="343" t="s">
        <v>2145</v>
      </c>
      <c r="I4369" s="343" t="s">
        <v>1880</v>
      </c>
      <c r="J4369" s="343" t="s">
        <v>757</v>
      </c>
      <c r="K4369" s="343" t="s">
        <v>741</v>
      </c>
      <c r="L4369" s="344">
        <v>44135</v>
      </c>
      <c r="M4369" s="347">
        <v>0</v>
      </c>
    </row>
    <row r="4370" spans="1:13" hidden="1" x14ac:dyDescent="0.25">
      <c r="A4370" s="344">
        <v>44135</v>
      </c>
      <c r="B4370" s="343" t="s">
        <v>2068</v>
      </c>
      <c r="C4370" s="343" t="s">
        <v>1060</v>
      </c>
      <c r="D4370" s="345">
        <v>4</v>
      </c>
      <c r="E4370" s="346">
        <v>1260</v>
      </c>
      <c r="F4370" s="346">
        <v>13430.7500000001</v>
      </c>
      <c r="G4370" s="343" t="s">
        <v>2069</v>
      </c>
      <c r="H4370" s="343" t="s">
        <v>2145</v>
      </c>
      <c r="I4370" s="343" t="s">
        <v>1880</v>
      </c>
      <c r="J4370" s="343" t="s">
        <v>757</v>
      </c>
      <c r="K4370" s="343" t="s">
        <v>741</v>
      </c>
      <c r="L4370" s="344">
        <v>44135</v>
      </c>
      <c r="M4370" s="347">
        <v>0</v>
      </c>
    </row>
    <row r="4371" spans="1:13" hidden="1" x14ac:dyDescent="0.25">
      <c r="A4371" s="344">
        <v>44135</v>
      </c>
      <c r="B4371" s="343" t="s">
        <v>2068</v>
      </c>
      <c r="C4371" s="343" t="s">
        <v>1060</v>
      </c>
      <c r="D4371" s="345">
        <v>5</v>
      </c>
      <c r="E4371" s="346">
        <v>-1260</v>
      </c>
      <c r="F4371" s="346">
        <v>12170.7500000001</v>
      </c>
      <c r="G4371" s="343" t="s">
        <v>2069</v>
      </c>
      <c r="H4371" s="343" t="s">
        <v>2145</v>
      </c>
      <c r="I4371" s="343" t="s">
        <v>1880</v>
      </c>
      <c r="J4371" s="343" t="s">
        <v>757</v>
      </c>
      <c r="K4371" s="343" t="s">
        <v>741</v>
      </c>
      <c r="L4371" s="344">
        <v>44135</v>
      </c>
      <c r="M4371" s="347">
        <v>0</v>
      </c>
    </row>
    <row r="4372" spans="1:13" hidden="1" x14ac:dyDescent="0.25">
      <c r="A4372" s="344">
        <v>44148</v>
      </c>
      <c r="B4372" s="343" t="s">
        <v>1958</v>
      </c>
      <c r="C4372" s="343" t="s">
        <v>1059</v>
      </c>
      <c r="D4372" s="345">
        <v>5</v>
      </c>
      <c r="E4372" s="346">
        <v>-32.31</v>
      </c>
      <c r="F4372" s="346">
        <v>12138.440000000101</v>
      </c>
      <c r="G4372" s="343" t="s">
        <v>1959</v>
      </c>
      <c r="H4372" s="343" t="s">
        <v>2145</v>
      </c>
      <c r="I4372" s="343" t="s">
        <v>1880</v>
      </c>
      <c r="J4372" s="343" t="s">
        <v>757</v>
      </c>
      <c r="K4372" s="343" t="s">
        <v>741</v>
      </c>
      <c r="L4372" s="344">
        <v>44148</v>
      </c>
      <c r="M4372" s="347">
        <v>0</v>
      </c>
    </row>
    <row r="4373" spans="1:13" hidden="1" x14ac:dyDescent="0.25">
      <c r="A4373" s="344">
        <v>44165</v>
      </c>
      <c r="B4373" s="343" t="s">
        <v>1906</v>
      </c>
      <c r="C4373" s="343" t="s">
        <v>1060</v>
      </c>
      <c r="D4373" s="345">
        <v>5</v>
      </c>
      <c r="E4373" s="346">
        <v>980</v>
      </c>
      <c r="F4373" s="346">
        <v>13118.440000000101</v>
      </c>
      <c r="G4373" s="343" t="s">
        <v>2106</v>
      </c>
      <c r="H4373" s="343" t="s">
        <v>2145</v>
      </c>
      <c r="I4373" s="343" t="s">
        <v>1880</v>
      </c>
      <c r="J4373" s="343" t="s">
        <v>757</v>
      </c>
      <c r="K4373" s="343" t="s">
        <v>741</v>
      </c>
      <c r="L4373" s="344">
        <v>44165</v>
      </c>
      <c r="M4373" s="347">
        <v>0</v>
      </c>
    </row>
    <row r="4374" spans="1:13" hidden="1" x14ac:dyDescent="0.25">
      <c r="A4374" s="344">
        <v>44144</v>
      </c>
      <c r="B4374" s="343" t="s">
        <v>2044</v>
      </c>
      <c r="C4374" s="343" t="s">
        <v>769</v>
      </c>
      <c r="D4374" s="345">
        <v>6</v>
      </c>
      <c r="E4374" s="346">
        <v>490</v>
      </c>
      <c r="F4374" s="346">
        <v>13608.440000000101</v>
      </c>
      <c r="G4374" s="343" t="s">
        <v>2045</v>
      </c>
      <c r="H4374" s="343" t="s">
        <v>2145</v>
      </c>
      <c r="I4374" s="343" t="s">
        <v>1880</v>
      </c>
      <c r="J4374" s="343" t="s">
        <v>757</v>
      </c>
      <c r="K4374" s="343" t="s">
        <v>770</v>
      </c>
      <c r="L4374" s="344">
        <v>44144</v>
      </c>
      <c r="M4374" s="347">
        <v>0</v>
      </c>
    </row>
    <row r="4375" spans="1:13" hidden="1" x14ac:dyDescent="0.25">
      <c r="A4375" s="344">
        <v>44165</v>
      </c>
      <c r="B4375" s="343" t="s">
        <v>1906</v>
      </c>
      <c r="C4375" s="343" t="s">
        <v>1060</v>
      </c>
      <c r="D4375" s="345">
        <v>6</v>
      </c>
      <c r="E4375" s="346">
        <v>-980</v>
      </c>
      <c r="F4375" s="346">
        <v>12628.440000000101</v>
      </c>
      <c r="G4375" s="343" t="s">
        <v>2106</v>
      </c>
      <c r="H4375" s="343" t="s">
        <v>2145</v>
      </c>
      <c r="I4375" s="343" t="s">
        <v>1880</v>
      </c>
      <c r="J4375" s="343" t="s">
        <v>757</v>
      </c>
      <c r="K4375" s="343" t="s">
        <v>741</v>
      </c>
      <c r="L4375" s="344">
        <v>44165</v>
      </c>
      <c r="M4375" s="347">
        <v>0</v>
      </c>
    </row>
    <row r="4376" spans="1:13" hidden="1" x14ac:dyDescent="0.25">
      <c r="A4376" s="344">
        <v>44168</v>
      </c>
      <c r="B4376" s="343" t="s">
        <v>2046</v>
      </c>
      <c r="C4376" s="343" t="s">
        <v>769</v>
      </c>
      <c r="D4376" s="345">
        <v>6</v>
      </c>
      <c r="E4376" s="346">
        <v>490</v>
      </c>
      <c r="F4376" s="346">
        <v>13118.440000000101</v>
      </c>
      <c r="G4376" s="343" t="s">
        <v>2047</v>
      </c>
      <c r="H4376" s="343" t="s">
        <v>2145</v>
      </c>
      <c r="I4376" s="343" t="s">
        <v>1880</v>
      </c>
      <c r="J4376" s="343" t="s">
        <v>757</v>
      </c>
      <c r="K4376" s="343" t="s">
        <v>770</v>
      </c>
      <c r="L4376" s="344">
        <v>44168</v>
      </c>
      <c r="M4376" s="347">
        <v>0</v>
      </c>
    </row>
    <row r="4377" spans="1:13" hidden="1" x14ac:dyDescent="0.25">
      <c r="A4377" s="344">
        <v>44196</v>
      </c>
      <c r="B4377" s="343" t="s">
        <v>2048</v>
      </c>
      <c r="C4377" s="343" t="s">
        <v>1060</v>
      </c>
      <c r="D4377" s="345">
        <v>6</v>
      </c>
      <c r="E4377" s="346">
        <v>1120</v>
      </c>
      <c r="F4377" s="346">
        <v>14238.440000000101</v>
      </c>
      <c r="G4377" s="343" t="s">
        <v>2049</v>
      </c>
      <c r="H4377" s="343" t="s">
        <v>2145</v>
      </c>
      <c r="I4377" s="343" t="s">
        <v>1880</v>
      </c>
      <c r="J4377" s="343" t="s">
        <v>757</v>
      </c>
      <c r="K4377" s="343" t="s">
        <v>741</v>
      </c>
      <c r="L4377" s="344">
        <v>44196</v>
      </c>
      <c r="M4377" s="347">
        <v>0</v>
      </c>
    </row>
    <row r="4378" spans="1:13" hidden="1" x14ac:dyDescent="0.25">
      <c r="A4378" s="344">
        <v>44196</v>
      </c>
      <c r="B4378" s="343" t="s">
        <v>2048</v>
      </c>
      <c r="C4378" s="343" t="s">
        <v>1060</v>
      </c>
      <c r="D4378" s="345">
        <v>7</v>
      </c>
      <c r="E4378" s="346">
        <v>-1120</v>
      </c>
      <c r="F4378" s="346">
        <v>13118.440000000101</v>
      </c>
      <c r="G4378" s="343" t="s">
        <v>2049</v>
      </c>
      <c r="H4378" s="343" t="s">
        <v>2145</v>
      </c>
      <c r="I4378" s="343" t="s">
        <v>1880</v>
      </c>
      <c r="J4378" s="343" t="s">
        <v>757</v>
      </c>
      <c r="K4378" s="343" t="s">
        <v>741</v>
      </c>
      <c r="L4378" s="344">
        <v>44196</v>
      </c>
      <c r="M4378" s="347">
        <v>0</v>
      </c>
    </row>
    <row r="4379" spans="1:13" hidden="1" x14ac:dyDescent="0.25">
      <c r="A4379" s="344">
        <v>44196</v>
      </c>
      <c r="B4379" s="343" t="s">
        <v>2050</v>
      </c>
      <c r="C4379" s="343" t="s">
        <v>769</v>
      </c>
      <c r="D4379" s="345">
        <v>7</v>
      </c>
      <c r="E4379" s="346">
        <v>560</v>
      </c>
      <c r="F4379" s="346">
        <v>13678.440000000101</v>
      </c>
      <c r="G4379" s="343" t="s">
        <v>2051</v>
      </c>
      <c r="H4379" s="343" t="s">
        <v>2145</v>
      </c>
      <c r="I4379" s="343" t="s">
        <v>1880</v>
      </c>
      <c r="J4379" s="343" t="s">
        <v>757</v>
      </c>
      <c r="K4379" s="343" t="s">
        <v>770</v>
      </c>
      <c r="L4379" s="344">
        <v>44196</v>
      </c>
      <c r="M4379" s="347">
        <v>0</v>
      </c>
    </row>
    <row r="4380" spans="1:13" hidden="1" x14ac:dyDescent="0.25">
      <c r="A4380" s="344">
        <v>44227</v>
      </c>
      <c r="B4380" s="343" t="s">
        <v>2052</v>
      </c>
      <c r="C4380" s="343" t="s">
        <v>1060</v>
      </c>
      <c r="D4380" s="345">
        <v>7</v>
      </c>
      <c r="E4380" s="346">
        <v>1120</v>
      </c>
      <c r="F4380" s="346">
        <v>14798.440000000101</v>
      </c>
      <c r="G4380" s="343" t="s">
        <v>2053</v>
      </c>
      <c r="H4380" s="343" t="s">
        <v>2145</v>
      </c>
      <c r="I4380" s="343" t="s">
        <v>1880</v>
      </c>
      <c r="J4380" s="343" t="s">
        <v>757</v>
      </c>
      <c r="K4380" s="343" t="s">
        <v>741</v>
      </c>
      <c r="L4380" s="344">
        <v>44227</v>
      </c>
      <c r="M4380" s="347">
        <v>0</v>
      </c>
    </row>
    <row r="4381" spans="1:13" hidden="1" x14ac:dyDescent="0.25">
      <c r="A4381" s="344">
        <v>44223</v>
      </c>
      <c r="B4381" s="343" t="s">
        <v>2128</v>
      </c>
      <c r="C4381" s="343" t="s">
        <v>936</v>
      </c>
      <c r="D4381" s="345">
        <v>8</v>
      </c>
      <c r="E4381" s="346">
        <v>-70</v>
      </c>
      <c r="F4381" s="346">
        <v>14728.440000000101</v>
      </c>
      <c r="G4381" s="343" t="s">
        <v>2129</v>
      </c>
      <c r="H4381" s="343" t="s">
        <v>2145</v>
      </c>
      <c r="I4381" s="343" t="s">
        <v>1880</v>
      </c>
      <c r="J4381" s="343" t="s">
        <v>757</v>
      </c>
      <c r="K4381" s="343" t="s">
        <v>770</v>
      </c>
      <c r="L4381" s="344">
        <v>44223</v>
      </c>
      <c r="M4381" s="347">
        <v>0</v>
      </c>
    </row>
    <row r="4382" spans="1:13" hidden="1" x14ac:dyDescent="0.25">
      <c r="A4382" s="344">
        <v>44227</v>
      </c>
      <c r="B4382" s="343" t="s">
        <v>2052</v>
      </c>
      <c r="C4382" s="343" t="s">
        <v>1060</v>
      </c>
      <c r="D4382" s="345">
        <v>8</v>
      </c>
      <c r="E4382" s="346">
        <v>-1120</v>
      </c>
      <c r="F4382" s="346">
        <v>13608.440000000101</v>
      </c>
      <c r="G4382" s="343" t="s">
        <v>2053</v>
      </c>
      <c r="H4382" s="343" t="s">
        <v>2145</v>
      </c>
      <c r="I4382" s="343" t="s">
        <v>1880</v>
      </c>
      <c r="J4382" s="343" t="s">
        <v>757</v>
      </c>
      <c r="K4382" s="343" t="s">
        <v>741</v>
      </c>
      <c r="L4382" s="344">
        <v>44227</v>
      </c>
      <c r="M4382" s="347">
        <v>0</v>
      </c>
    </row>
    <row r="4383" spans="1:13" hidden="1" x14ac:dyDescent="0.25">
      <c r="A4383" s="344">
        <v>44228</v>
      </c>
      <c r="B4383" s="343" t="s">
        <v>2054</v>
      </c>
      <c r="C4383" s="343" t="s">
        <v>769</v>
      </c>
      <c r="D4383" s="345">
        <v>8</v>
      </c>
      <c r="E4383" s="346">
        <v>420</v>
      </c>
      <c r="F4383" s="346">
        <v>14028.440000000101</v>
      </c>
      <c r="G4383" s="343" t="s">
        <v>2055</v>
      </c>
      <c r="H4383" s="343" t="s">
        <v>2145</v>
      </c>
      <c r="I4383" s="343" t="s">
        <v>1880</v>
      </c>
      <c r="J4383" s="343" t="s">
        <v>757</v>
      </c>
      <c r="K4383" s="343" t="s">
        <v>770</v>
      </c>
      <c r="L4383" s="344">
        <v>44228</v>
      </c>
      <c r="M4383" s="347">
        <v>0</v>
      </c>
    </row>
    <row r="4384" spans="1:13" hidden="1" x14ac:dyDescent="0.25">
      <c r="A4384" s="344">
        <v>44255</v>
      </c>
      <c r="B4384" s="343" t="s">
        <v>2056</v>
      </c>
      <c r="C4384" s="343" t="s">
        <v>1060</v>
      </c>
      <c r="D4384" s="345">
        <v>8</v>
      </c>
      <c r="E4384" s="346">
        <v>1050</v>
      </c>
      <c r="F4384" s="346">
        <v>15078.440000000101</v>
      </c>
      <c r="G4384" s="343" t="s">
        <v>2057</v>
      </c>
      <c r="H4384" s="343" t="s">
        <v>2145</v>
      </c>
      <c r="I4384" s="343" t="s">
        <v>1880</v>
      </c>
      <c r="J4384" s="343" t="s">
        <v>757</v>
      </c>
      <c r="K4384" s="343" t="s">
        <v>741</v>
      </c>
      <c r="L4384" s="344">
        <v>44255</v>
      </c>
      <c r="M4384" s="347">
        <v>0</v>
      </c>
    </row>
    <row r="4385" spans="1:13" hidden="1" x14ac:dyDescent="0.25">
      <c r="A4385" s="344">
        <v>44255</v>
      </c>
      <c r="B4385" s="343" t="s">
        <v>2056</v>
      </c>
      <c r="C4385" s="343" t="s">
        <v>1060</v>
      </c>
      <c r="D4385" s="345">
        <v>9</v>
      </c>
      <c r="E4385" s="346">
        <v>-1050</v>
      </c>
      <c r="F4385" s="346">
        <v>14028.440000000101</v>
      </c>
      <c r="G4385" s="343" t="s">
        <v>2057</v>
      </c>
      <c r="H4385" s="343" t="s">
        <v>2145</v>
      </c>
      <c r="I4385" s="343" t="s">
        <v>1880</v>
      </c>
      <c r="J4385" s="343" t="s">
        <v>757</v>
      </c>
      <c r="K4385" s="343" t="s">
        <v>741</v>
      </c>
      <c r="L4385" s="344">
        <v>44255</v>
      </c>
      <c r="M4385" s="347">
        <v>0</v>
      </c>
    </row>
    <row r="4386" spans="1:13" hidden="1" x14ac:dyDescent="0.25">
      <c r="A4386" s="344">
        <v>44255</v>
      </c>
      <c r="B4386" s="343" t="s">
        <v>2058</v>
      </c>
      <c r="C4386" s="343" t="s">
        <v>769</v>
      </c>
      <c r="D4386" s="345">
        <v>9</v>
      </c>
      <c r="E4386" s="346">
        <v>350</v>
      </c>
      <c r="F4386" s="346">
        <v>14378.440000000101</v>
      </c>
      <c r="G4386" s="343" t="s">
        <v>2059</v>
      </c>
      <c r="H4386" s="343" t="s">
        <v>2145</v>
      </c>
      <c r="I4386" s="343" t="s">
        <v>1880</v>
      </c>
      <c r="J4386" s="343" t="s">
        <v>757</v>
      </c>
      <c r="K4386" s="343" t="s">
        <v>770</v>
      </c>
      <c r="L4386" s="344">
        <v>44255</v>
      </c>
      <c r="M4386" s="347">
        <v>0</v>
      </c>
    </row>
    <row r="4387" spans="1:13" hidden="1" x14ac:dyDescent="0.25">
      <c r="A4387" s="344">
        <v>44286</v>
      </c>
      <c r="B4387" s="343" t="s">
        <v>2060</v>
      </c>
      <c r="C4387" s="343" t="s">
        <v>1060</v>
      </c>
      <c r="D4387" s="345">
        <v>9</v>
      </c>
      <c r="E4387" s="346">
        <v>350</v>
      </c>
      <c r="F4387" s="346">
        <v>14728.440000000101</v>
      </c>
      <c r="G4387" s="343" t="s">
        <v>2061</v>
      </c>
      <c r="H4387" s="343" t="s">
        <v>2145</v>
      </c>
      <c r="I4387" s="343" t="s">
        <v>1880</v>
      </c>
      <c r="J4387" s="343" t="s">
        <v>757</v>
      </c>
      <c r="K4387" s="343" t="s">
        <v>741</v>
      </c>
      <c r="L4387" s="344">
        <v>44286</v>
      </c>
      <c r="M4387" s="347">
        <v>0</v>
      </c>
    </row>
    <row r="4388" spans="1:13" hidden="1" x14ac:dyDescent="0.25">
      <c r="A4388" s="344">
        <v>44286</v>
      </c>
      <c r="B4388" s="343" t="s">
        <v>2060</v>
      </c>
      <c r="C4388" s="343" t="s">
        <v>1060</v>
      </c>
      <c r="D4388" s="345">
        <v>10</v>
      </c>
      <c r="E4388" s="346">
        <v>-350</v>
      </c>
      <c r="F4388" s="346">
        <v>14378.440000000101</v>
      </c>
      <c r="G4388" s="343" t="s">
        <v>2061</v>
      </c>
      <c r="H4388" s="343" t="s">
        <v>2145</v>
      </c>
      <c r="I4388" s="343" t="s">
        <v>1880</v>
      </c>
      <c r="J4388" s="343" t="s">
        <v>757</v>
      </c>
      <c r="K4388" s="343" t="s">
        <v>741</v>
      </c>
      <c r="L4388" s="344">
        <v>44286</v>
      </c>
      <c r="M4388" s="347">
        <v>0</v>
      </c>
    </row>
    <row r="4389" spans="1:13" hidden="1" x14ac:dyDescent="0.25">
      <c r="A4389" s="344">
        <v>44293</v>
      </c>
      <c r="B4389" s="343" t="s">
        <v>2062</v>
      </c>
      <c r="C4389" s="343" t="s">
        <v>769</v>
      </c>
      <c r="D4389" s="345">
        <v>10</v>
      </c>
      <c r="E4389" s="346">
        <v>280</v>
      </c>
      <c r="F4389" s="346">
        <v>14658.440000000101</v>
      </c>
      <c r="G4389" s="343" t="s">
        <v>2063</v>
      </c>
      <c r="H4389" s="343" t="s">
        <v>2145</v>
      </c>
      <c r="I4389" s="343" t="s">
        <v>1880</v>
      </c>
      <c r="J4389" s="343" t="s">
        <v>757</v>
      </c>
      <c r="K4389" s="343" t="s">
        <v>770</v>
      </c>
      <c r="L4389" s="344">
        <v>44293</v>
      </c>
      <c r="M4389" s="347">
        <v>0</v>
      </c>
    </row>
    <row r="4390" spans="1:13" hidden="1" x14ac:dyDescent="0.25">
      <c r="A4390" s="344">
        <v>44316</v>
      </c>
      <c r="B4390" s="343" t="s">
        <v>1078</v>
      </c>
      <c r="C4390" s="343" t="s">
        <v>1060</v>
      </c>
      <c r="D4390" s="345">
        <v>10</v>
      </c>
      <c r="E4390" s="346">
        <v>350</v>
      </c>
      <c r="F4390" s="346">
        <v>15008.440000000101</v>
      </c>
      <c r="G4390" s="343" t="s">
        <v>2064</v>
      </c>
      <c r="H4390" s="343" t="s">
        <v>2145</v>
      </c>
      <c r="I4390" s="343" t="s">
        <v>1880</v>
      </c>
      <c r="J4390" s="343" t="s">
        <v>757</v>
      </c>
      <c r="K4390" s="343" t="s">
        <v>741</v>
      </c>
      <c r="L4390" s="344">
        <v>44316</v>
      </c>
      <c r="M4390" s="347">
        <v>0</v>
      </c>
    </row>
    <row r="4391" spans="1:13" hidden="1" x14ac:dyDescent="0.25">
      <c r="A4391" s="344">
        <v>44012</v>
      </c>
      <c r="B4391" s="343" t="s">
        <v>1925</v>
      </c>
      <c r="C4391" s="343" t="s">
        <v>1059</v>
      </c>
      <c r="D4391" s="345">
        <v>1</v>
      </c>
      <c r="E4391" s="346">
        <v>-87.18</v>
      </c>
      <c r="F4391" s="346">
        <v>14851.2600000001</v>
      </c>
      <c r="G4391" s="343" t="s">
        <v>2155</v>
      </c>
      <c r="H4391" s="343" t="s">
        <v>2156</v>
      </c>
      <c r="I4391" s="343" t="s">
        <v>1880</v>
      </c>
      <c r="J4391" s="343" t="s">
        <v>757</v>
      </c>
      <c r="K4391" s="343" t="s">
        <v>741</v>
      </c>
      <c r="L4391" s="344">
        <v>44012</v>
      </c>
      <c r="M4391" s="347">
        <v>0</v>
      </c>
    </row>
    <row r="4392" spans="1:13" hidden="1" x14ac:dyDescent="0.25">
      <c r="A4392" s="344">
        <v>44013</v>
      </c>
      <c r="B4392" s="343" t="s">
        <v>2157</v>
      </c>
      <c r="C4392" s="343" t="s">
        <v>769</v>
      </c>
      <c r="D4392" s="345">
        <v>1</v>
      </c>
      <c r="E4392" s="346">
        <v>47.73</v>
      </c>
      <c r="F4392" s="346">
        <v>14898.9900000001</v>
      </c>
      <c r="G4392" s="343" t="s">
        <v>2158</v>
      </c>
      <c r="H4392" s="343" t="s">
        <v>2156</v>
      </c>
      <c r="I4392" s="343" t="s">
        <v>1880</v>
      </c>
      <c r="J4392" s="343" t="s">
        <v>757</v>
      </c>
      <c r="K4392" s="343" t="s">
        <v>770</v>
      </c>
      <c r="L4392" s="344">
        <v>44013</v>
      </c>
      <c r="M4392" s="347">
        <v>0</v>
      </c>
    </row>
    <row r="4393" spans="1:13" hidden="1" x14ac:dyDescent="0.25">
      <c r="A4393" s="344">
        <v>44013</v>
      </c>
      <c r="B4393" s="343" t="s">
        <v>2159</v>
      </c>
      <c r="C4393" s="343" t="s">
        <v>769</v>
      </c>
      <c r="D4393" s="345">
        <v>1</v>
      </c>
      <c r="E4393" s="346">
        <v>39.450000000000003</v>
      </c>
      <c r="F4393" s="346">
        <v>14938.440000000101</v>
      </c>
      <c r="G4393" s="343" t="s">
        <v>2160</v>
      </c>
      <c r="H4393" s="343" t="s">
        <v>2156</v>
      </c>
      <c r="I4393" s="343" t="s">
        <v>1880</v>
      </c>
      <c r="J4393" s="343" t="s">
        <v>757</v>
      </c>
      <c r="K4393" s="343" t="s">
        <v>770</v>
      </c>
      <c r="L4393" s="344">
        <v>44013</v>
      </c>
      <c r="M4393" s="347">
        <v>0</v>
      </c>
    </row>
    <row r="4394" spans="1:13" hidden="1" x14ac:dyDescent="0.25">
      <c r="A4394" s="344">
        <v>44043</v>
      </c>
      <c r="B4394" s="343" t="s">
        <v>1891</v>
      </c>
      <c r="C4394" s="343" t="s">
        <v>1060</v>
      </c>
      <c r="D4394" s="345">
        <v>1</v>
      </c>
      <c r="E4394" s="346">
        <v>157.63999999999999</v>
      </c>
      <c r="F4394" s="346">
        <v>15096.0800000001</v>
      </c>
      <c r="G4394" s="343" t="s">
        <v>2161</v>
      </c>
      <c r="H4394" s="343" t="s">
        <v>2156</v>
      </c>
      <c r="I4394" s="343" t="s">
        <v>1880</v>
      </c>
      <c r="J4394" s="343" t="s">
        <v>757</v>
      </c>
      <c r="K4394" s="343" t="s">
        <v>741</v>
      </c>
      <c r="L4394" s="344">
        <v>44043</v>
      </c>
      <c r="M4394" s="347">
        <v>0</v>
      </c>
    </row>
    <row r="4395" spans="1:13" hidden="1" x14ac:dyDescent="0.25">
      <c r="A4395" s="344">
        <v>44043</v>
      </c>
      <c r="B4395" s="343" t="s">
        <v>1891</v>
      </c>
      <c r="C4395" s="343" t="s">
        <v>1060</v>
      </c>
      <c r="D4395" s="345">
        <v>2</v>
      </c>
      <c r="E4395" s="346">
        <v>-157.63999999999999</v>
      </c>
      <c r="F4395" s="346">
        <v>14938.440000000101</v>
      </c>
      <c r="G4395" s="343" t="s">
        <v>2161</v>
      </c>
      <c r="H4395" s="343" t="s">
        <v>2156</v>
      </c>
      <c r="I4395" s="343" t="s">
        <v>1880</v>
      </c>
      <c r="J4395" s="343" t="s">
        <v>757</v>
      </c>
      <c r="K4395" s="343" t="s">
        <v>741</v>
      </c>
      <c r="L4395" s="344">
        <v>44043</v>
      </c>
      <c r="M4395" s="347">
        <v>0</v>
      </c>
    </row>
    <row r="4396" spans="1:13" hidden="1" x14ac:dyDescent="0.25">
      <c r="A4396" s="344">
        <v>44043</v>
      </c>
      <c r="B4396" s="343" t="s">
        <v>2162</v>
      </c>
      <c r="C4396" s="343" t="s">
        <v>769</v>
      </c>
      <c r="D4396" s="345">
        <v>2</v>
      </c>
      <c r="E4396" s="346">
        <v>98.64</v>
      </c>
      <c r="F4396" s="346">
        <v>15037.0800000001</v>
      </c>
      <c r="G4396" s="343" t="s">
        <v>2163</v>
      </c>
      <c r="H4396" s="343" t="s">
        <v>2156</v>
      </c>
      <c r="I4396" s="343" t="s">
        <v>1880</v>
      </c>
      <c r="J4396" s="343" t="s">
        <v>757</v>
      </c>
      <c r="K4396" s="343" t="s">
        <v>770</v>
      </c>
      <c r="L4396" s="344">
        <v>44043</v>
      </c>
      <c r="M4396" s="347">
        <v>0</v>
      </c>
    </row>
    <row r="4397" spans="1:13" hidden="1" x14ac:dyDescent="0.25">
      <c r="A4397" s="344">
        <v>44043</v>
      </c>
      <c r="B4397" s="343" t="s">
        <v>2164</v>
      </c>
      <c r="C4397" s="343" t="s">
        <v>769</v>
      </c>
      <c r="D4397" s="345">
        <v>2</v>
      </c>
      <c r="E4397" s="346">
        <v>11.27</v>
      </c>
      <c r="F4397" s="346">
        <v>15048.3500000001</v>
      </c>
      <c r="G4397" s="343" t="s">
        <v>2165</v>
      </c>
      <c r="H4397" s="343" t="s">
        <v>2156</v>
      </c>
      <c r="I4397" s="343" t="s">
        <v>1880</v>
      </c>
      <c r="J4397" s="343" t="s">
        <v>757</v>
      </c>
      <c r="K4397" s="343" t="s">
        <v>770</v>
      </c>
      <c r="L4397" s="344">
        <v>44043</v>
      </c>
      <c r="M4397" s="347">
        <v>0</v>
      </c>
    </row>
    <row r="4398" spans="1:13" hidden="1" x14ac:dyDescent="0.25">
      <c r="A4398" s="344">
        <v>44043</v>
      </c>
      <c r="B4398" s="343" t="s">
        <v>2166</v>
      </c>
      <c r="C4398" s="343" t="s">
        <v>769</v>
      </c>
      <c r="D4398" s="345">
        <v>2</v>
      </c>
      <c r="E4398" s="346">
        <v>47.73</v>
      </c>
      <c r="F4398" s="346">
        <v>15096.0800000001</v>
      </c>
      <c r="G4398" s="343" t="s">
        <v>2167</v>
      </c>
      <c r="H4398" s="343" t="s">
        <v>2156</v>
      </c>
      <c r="I4398" s="343" t="s">
        <v>1880</v>
      </c>
      <c r="J4398" s="343" t="s">
        <v>757</v>
      </c>
      <c r="K4398" s="343" t="s">
        <v>770</v>
      </c>
      <c r="L4398" s="344">
        <v>44043</v>
      </c>
      <c r="M4398" s="347">
        <v>0</v>
      </c>
    </row>
    <row r="4399" spans="1:13" hidden="1" x14ac:dyDescent="0.25">
      <c r="A4399" s="344">
        <v>44052</v>
      </c>
      <c r="B4399" s="343" t="s">
        <v>1930</v>
      </c>
      <c r="C4399" s="343" t="s">
        <v>1059</v>
      </c>
      <c r="D4399" s="345">
        <v>2</v>
      </c>
      <c r="E4399" s="346">
        <v>-45.12</v>
      </c>
      <c r="F4399" s="346">
        <v>15050.960000000099</v>
      </c>
      <c r="G4399" s="343" t="s">
        <v>1931</v>
      </c>
      <c r="H4399" s="343" t="s">
        <v>2156</v>
      </c>
      <c r="I4399" s="343" t="s">
        <v>1880</v>
      </c>
      <c r="J4399" s="343" t="s">
        <v>757</v>
      </c>
      <c r="K4399" s="343" t="s">
        <v>741</v>
      </c>
      <c r="L4399" s="344">
        <v>44052</v>
      </c>
      <c r="M4399" s="347">
        <v>0</v>
      </c>
    </row>
    <row r="4400" spans="1:13" hidden="1" x14ac:dyDescent="0.25">
      <c r="A4400" s="344">
        <v>44062</v>
      </c>
      <c r="B4400" s="343" t="s">
        <v>1932</v>
      </c>
      <c r="C4400" s="343" t="s">
        <v>1059</v>
      </c>
      <c r="D4400" s="345">
        <v>2</v>
      </c>
      <c r="E4400" s="346">
        <v>-64.86</v>
      </c>
      <c r="F4400" s="346">
        <v>14986.1000000001</v>
      </c>
      <c r="G4400" s="343" t="s">
        <v>1933</v>
      </c>
      <c r="H4400" s="343" t="s">
        <v>2156</v>
      </c>
      <c r="I4400" s="343" t="s">
        <v>1880</v>
      </c>
      <c r="J4400" s="343" t="s">
        <v>757</v>
      </c>
      <c r="K4400" s="343" t="s">
        <v>741</v>
      </c>
      <c r="L4400" s="344">
        <v>44062</v>
      </c>
      <c r="M4400" s="347">
        <v>0</v>
      </c>
    </row>
    <row r="4401" spans="1:13" hidden="1" x14ac:dyDescent="0.25">
      <c r="A4401" s="344">
        <v>44074</v>
      </c>
      <c r="B4401" s="343" t="s">
        <v>1896</v>
      </c>
      <c r="C4401" s="343" t="s">
        <v>1060</v>
      </c>
      <c r="D4401" s="345">
        <v>2</v>
      </c>
      <c r="E4401" s="346">
        <v>153.09</v>
      </c>
      <c r="F4401" s="346">
        <v>15139.190000000101</v>
      </c>
      <c r="G4401" s="343" t="s">
        <v>2168</v>
      </c>
      <c r="H4401" s="343" t="s">
        <v>2156</v>
      </c>
      <c r="I4401" s="343" t="s">
        <v>1880</v>
      </c>
      <c r="J4401" s="343" t="s">
        <v>757</v>
      </c>
      <c r="K4401" s="343" t="s">
        <v>741</v>
      </c>
      <c r="L4401" s="344">
        <v>44074</v>
      </c>
      <c r="M4401" s="347">
        <v>0</v>
      </c>
    </row>
    <row r="4402" spans="1:13" hidden="1" x14ac:dyDescent="0.25">
      <c r="A4402" s="344">
        <v>44074</v>
      </c>
      <c r="B4402" s="343" t="s">
        <v>1896</v>
      </c>
      <c r="C4402" s="343" t="s">
        <v>1060</v>
      </c>
      <c r="D4402" s="345">
        <v>3</v>
      </c>
      <c r="E4402" s="346">
        <v>-153.09</v>
      </c>
      <c r="F4402" s="346">
        <v>14986.1000000001</v>
      </c>
      <c r="G4402" s="343" t="s">
        <v>2168</v>
      </c>
      <c r="H4402" s="343" t="s">
        <v>2156</v>
      </c>
      <c r="I4402" s="343" t="s">
        <v>1880</v>
      </c>
      <c r="J4402" s="343" t="s">
        <v>757</v>
      </c>
      <c r="K4402" s="343" t="s">
        <v>741</v>
      </c>
      <c r="L4402" s="344">
        <v>44074</v>
      </c>
      <c r="M4402" s="347">
        <v>0</v>
      </c>
    </row>
    <row r="4403" spans="1:13" hidden="1" x14ac:dyDescent="0.25">
      <c r="A4403" s="344">
        <v>44074</v>
      </c>
      <c r="B4403" s="343" t="s">
        <v>2169</v>
      </c>
      <c r="C4403" s="343" t="s">
        <v>769</v>
      </c>
      <c r="D4403" s="345">
        <v>3</v>
      </c>
      <c r="E4403" s="346">
        <v>47.73</v>
      </c>
      <c r="F4403" s="346">
        <v>15033.8300000001</v>
      </c>
      <c r="G4403" s="343" t="s">
        <v>2170</v>
      </c>
      <c r="H4403" s="343" t="s">
        <v>2156</v>
      </c>
      <c r="I4403" s="343" t="s">
        <v>1880</v>
      </c>
      <c r="J4403" s="343" t="s">
        <v>757</v>
      </c>
      <c r="K4403" s="343" t="s">
        <v>770</v>
      </c>
      <c r="L4403" s="344">
        <v>44074</v>
      </c>
      <c r="M4403" s="347">
        <v>0</v>
      </c>
    </row>
    <row r="4404" spans="1:13" hidden="1" x14ac:dyDescent="0.25">
      <c r="A4404" s="344">
        <v>44083</v>
      </c>
      <c r="B4404" s="343" t="s">
        <v>1948</v>
      </c>
      <c r="C4404" s="343" t="s">
        <v>1059</v>
      </c>
      <c r="D4404" s="345">
        <v>3</v>
      </c>
      <c r="E4404" s="346">
        <v>-11.28</v>
      </c>
      <c r="F4404" s="346">
        <v>15022.550000000099</v>
      </c>
      <c r="G4404" s="343" t="s">
        <v>1949</v>
      </c>
      <c r="H4404" s="343" t="s">
        <v>2156</v>
      </c>
      <c r="I4404" s="343" t="s">
        <v>1880</v>
      </c>
      <c r="J4404" s="343" t="s">
        <v>757</v>
      </c>
      <c r="K4404" s="343" t="s">
        <v>741</v>
      </c>
      <c r="L4404" s="344">
        <v>44083</v>
      </c>
      <c r="M4404" s="347">
        <v>0</v>
      </c>
    </row>
    <row r="4405" spans="1:13" hidden="1" x14ac:dyDescent="0.25">
      <c r="A4405" s="344">
        <v>44085</v>
      </c>
      <c r="B4405" s="343" t="s">
        <v>2171</v>
      </c>
      <c r="C4405" s="343" t="s">
        <v>1059</v>
      </c>
      <c r="D4405" s="345">
        <v>3</v>
      </c>
      <c r="E4405" s="346">
        <v>105.36</v>
      </c>
      <c r="F4405" s="346">
        <v>15127.9100000001</v>
      </c>
      <c r="G4405" s="343" t="s">
        <v>2172</v>
      </c>
      <c r="H4405" s="343" t="s">
        <v>2156</v>
      </c>
      <c r="I4405" s="343" t="s">
        <v>1880</v>
      </c>
      <c r="J4405" s="343" t="s">
        <v>757</v>
      </c>
      <c r="K4405" s="343" t="s">
        <v>741</v>
      </c>
      <c r="L4405" s="344">
        <v>44085</v>
      </c>
      <c r="M4405" s="347">
        <v>0</v>
      </c>
    </row>
    <row r="4406" spans="1:13" hidden="1" x14ac:dyDescent="0.25">
      <c r="A4406" s="344">
        <v>44094</v>
      </c>
      <c r="B4406" s="343" t="s">
        <v>1950</v>
      </c>
      <c r="C4406" s="343" t="s">
        <v>1059</v>
      </c>
      <c r="D4406" s="345">
        <v>3</v>
      </c>
      <c r="E4406" s="346">
        <v>-39.479999999999997</v>
      </c>
      <c r="F4406" s="346">
        <v>15088.4300000001</v>
      </c>
      <c r="G4406" s="343" t="s">
        <v>1951</v>
      </c>
      <c r="H4406" s="343" t="s">
        <v>2156</v>
      </c>
      <c r="I4406" s="343" t="s">
        <v>1880</v>
      </c>
      <c r="J4406" s="343" t="s">
        <v>757</v>
      </c>
      <c r="K4406" s="343" t="s">
        <v>741</v>
      </c>
      <c r="L4406" s="344">
        <v>44094</v>
      </c>
      <c r="M4406" s="347">
        <v>0</v>
      </c>
    </row>
    <row r="4407" spans="1:13" hidden="1" x14ac:dyDescent="0.25">
      <c r="A4407" s="344">
        <v>44104</v>
      </c>
      <c r="B4407" s="343" t="s">
        <v>1934</v>
      </c>
      <c r="C4407" s="343" t="s">
        <v>1059</v>
      </c>
      <c r="D4407" s="345">
        <v>3</v>
      </c>
      <c r="E4407" s="346">
        <v>-42.3</v>
      </c>
      <c r="F4407" s="346">
        <v>15046.130000000099</v>
      </c>
      <c r="G4407" s="343" t="s">
        <v>1935</v>
      </c>
      <c r="H4407" s="343" t="s">
        <v>2156</v>
      </c>
      <c r="I4407" s="343" t="s">
        <v>1880</v>
      </c>
      <c r="J4407" s="343" t="s">
        <v>757</v>
      </c>
      <c r="K4407" s="343" t="s">
        <v>741</v>
      </c>
      <c r="L4407" s="344">
        <v>44104</v>
      </c>
      <c r="M4407" s="347">
        <v>0</v>
      </c>
    </row>
    <row r="4408" spans="1:13" hidden="1" x14ac:dyDescent="0.25">
      <c r="A4408" s="344">
        <v>44104</v>
      </c>
      <c r="B4408" s="343" t="s">
        <v>1900</v>
      </c>
      <c r="C4408" s="343" t="s">
        <v>1060</v>
      </c>
      <c r="D4408" s="345">
        <v>3</v>
      </c>
      <c r="E4408" s="346">
        <v>148.09</v>
      </c>
      <c r="F4408" s="346">
        <v>15194.220000000099</v>
      </c>
      <c r="G4408" s="343" t="s">
        <v>2173</v>
      </c>
      <c r="H4408" s="343" t="s">
        <v>2156</v>
      </c>
      <c r="I4408" s="343" t="s">
        <v>1880</v>
      </c>
      <c r="J4408" s="343" t="s">
        <v>757</v>
      </c>
      <c r="K4408" s="343" t="s">
        <v>741</v>
      </c>
      <c r="L4408" s="344">
        <v>44104</v>
      </c>
      <c r="M4408" s="347">
        <v>0</v>
      </c>
    </row>
    <row r="4409" spans="1:13" hidden="1" x14ac:dyDescent="0.25">
      <c r="A4409" s="344">
        <v>44104</v>
      </c>
      <c r="B4409" s="343" t="s">
        <v>1900</v>
      </c>
      <c r="C4409" s="343" t="s">
        <v>1060</v>
      </c>
      <c r="D4409" s="345">
        <v>4</v>
      </c>
      <c r="E4409" s="346">
        <v>-148.09</v>
      </c>
      <c r="F4409" s="346">
        <v>15046.130000000099</v>
      </c>
      <c r="G4409" s="343" t="s">
        <v>2173</v>
      </c>
      <c r="H4409" s="343" t="s">
        <v>2156</v>
      </c>
      <c r="I4409" s="343" t="s">
        <v>1880</v>
      </c>
      <c r="J4409" s="343" t="s">
        <v>757</v>
      </c>
      <c r="K4409" s="343" t="s">
        <v>741</v>
      </c>
      <c r="L4409" s="344">
        <v>44104</v>
      </c>
      <c r="M4409" s="347">
        <v>0</v>
      </c>
    </row>
    <row r="4410" spans="1:13" hidden="1" x14ac:dyDescent="0.25">
      <c r="A4410" s="344">
        <v>44120</v>
      </c>
      <c r="B4410" s="343" t="s">
        <v>1936</v>
      </c>
      <c r="C4410" s="343" t="s">
        <v>1059</v>
      </c>
      <c r="D4410" s="345">
        <v>4</v>
      </c>
      <c r="E4410" s="346">
        <v>-31.02</v>
      </c>
      <c r="F4410" s="346">
        <v>15015.110000000101</v>
      </c>
      <c r="G4410" s="343" t="s">
        <v>1937</v>
      </c>
      <c r="H4410" s="343" t="s">
        <v>2156</v>
      </c>
      <c r="I4410" s="343" t="s">
        <v>1880</v>
      </c>
      <c r="J4410" s="343" t="s">
        <v>757</v>
      </c>
      <c r="K4410" s="343" t="s">
        <v>741</v>
      </c>
      <c r="L4410" s="344">
        <v>44120</v>
      </c>
      <c r="M4410" s="347">
        <v>0</v>
      </c>
    </row>
    <row r="4411" spans="1:13" hidden="1" x14ac:dyDescent="0.25">
      <c r="A4411" s="344">
        <v>44135</v>
      </c>
      <c r="B4411" s="343" t="s">
        <v>1954</v>
      </c>
      <c r="C4411" s="343" t="s">
        <v>1059</v>
      </c>
      <c r="D4411" s="345">
        <v>4</v>
      </c>
      <c r="E4411" s="346">
        <v>-3.09</v>
      </c>
      <c r="F4411" s="346">
        <v>15012.0200000001</v>
      </c>
      <c r="G4411" s="343" t="s">
        <v>1955</v>
      </c>
      <c r="H4411" s="343" t="s">
        <v>2156</v>
      </c>
      <c r="I4411" s="343" t="s">
        <v>1880</v>
      </c>
      <c r="J4411" s="343" t="s">
        <v>757</v>
      </c>
      <c r="K4411" s="343" t="s">
        <v>741</v>
      </c>
      <c r="L4411" s="344">
        <v>44135</v>
      </c>
      <c r="M4411" s="347">
        <v>0</v>
      </c>
    </row>
    <row r="4412" spans="1:13" hidden="1" x14ac:dyDescent="0.25">
      <c r="A4412" s="344">
        <v>44135</v>
      </c>
      <c r="B4412" s="343" t="s">
        <v>1904</v>
      </c>
      <c r="C4412" s="343" t="s">
        <v>1060</v>
      </c>
      <c r="D4412" s="345">
        <v>4</v>
      </c>
      <c r="E4412" s="346">
        <v>324</v>
      </c>
      <c r="F4412" s="346">
        <v>15336.0200000001</v>
      </c>
      <c r="G4412" s="343" t="s">
        <v>2174</v>
      </c>
      <c r="H4412" s="343" t="s">
        <v>2156</v>
      </c>
      <c r="I4412" s="343" t="s">
        <v>1880</v>
      </c>
      <c r="J4412" s="343" t="s">
        <v>757</v>
      </c>
      <c r="K4412" s="343" t="s">
        <v>741</v>
      </c>
      <c r="L4412" s="344">
        <v>44135</v>
      </c>
      <c r="M4412" s="347">
        <v>0</v>
      </c>
    </row>
    <row r="4413" spans="1:13" hidden="1" x14ac:dyDescent="0.25">
      <c r="A4413" s="344">
        <v>44104</v>
      </c>
      <c r="B4413" s="343" t="s">
        <v>2175</v>
      </c>
      <c r="C4413" s="343" t="s">
        <v>769</v>
      </c>
      <c r="D4413" s="345">
        <v>5</v>
      </c>
      <c r="E4413" s="346">
        <v>86.55</v>
      </c>
      <c r="F4413" s="346">
        <v>15422.5700000001</v>
      </c>
      <c r="G4413" s="343" t="s">
        <v>2176</v>
      </c>
      <c r="H4413" s="343" t="s">
        <v>2156</v>
      </c>
      <c r="I4413" s="343" t="s">
        <v>1880</v>
      </c>
      <c r="J4413" s="343" t="s">
        <v>757</v>
      </c>
      <c r="K4413" s="343" t="s">
        <v>770</v>
      </c>
      <c r="L4413" s="344">
        <v>44104</v>
      </c>
      <c r="M4413" s="347">
        <v>0</v>
      </c>
    </row>
    <row r="4414" spans="1:13" hidden="1" x14ac:dyDescent="0.25">
      <c r="A4414" s="344">
        <v>44104</v>
      </c>
      <c r="B4414" s="343" t="s">
        <v>2177</v>
      </c>
      <c r="C4414" s="343" t="s">
        <v>769</v>
      </c>
      <c r="D4414" s="345">
        <v>5</v>
      </c>
      <c r="E4414" s="346">
        <v>9.27</v>
      </c>
      <c r="F4414" s="346">
        <v>15431.8400000001</v>
      </c>
      <c r="G4414" s="343" t="s">
        <v>2178</v>
      </c>
      <c r="H4414" s="343" t="s">
        <v>2156</v>
      </c>
      <c r="I4414" s="343" t="s">
        <v>1880</v>
      </c>
      <c r="J4414" s="343" t="s">
        <v>757</v>
      </c>
      <c r="K4414" s="343" t="s">
        <v>770</v>
      </c>
      <c r="L4414" s="344">
        <v>44104</v>
      </c>
      <c r="M4414" s="347">
        <v>0</v>
      </c>
    </row>
    <row r="4415" spans="1:13" hidden="1" x14ac:dyDescent="0.25">
      <c r="A4415" s="344">
        <v>44104</v>
      </c>
      <c r="B4415" s="343" t="s">
        <v>2179</v>
      </c>
      <c r="C4415" s="343" t="s">
        <v>769</v>
      </c>
      <c r="D4415" s="345">
        <v>5</v>
      </c>
      <c r="E4415" s="346">
        <v>52.27</v>
      </c>
      <c r="F4415" s="346">
        <v>15484.110000000101</v>
      </c>
      <c r="G4415" s="343" t="s">
        <v>2180</v>
      </c>
      <c r="H4415" s="343" t="s">
        <v>2156</v>
      </c>
      <c r="I4415" s="343" t="s">
        <v>1880</v>
      </c>
      <c r="J4415" s="343" t="s">
        <v>757</v>
      </c>
      <c r="K4415" s="343" t="s">
        <v>770</v>
      </c>
      <c r="L4415" s="344">
        <v>44104</v>
      </c>
      <c r="M4415" s="347">
        <v>0</v>
      </c>
    </row>
    <row r="4416" spans="1:13" hidden="1" x14ac:dyDescent="0.25">
      <c r="A4416" s="344">
        <v>44135</v>
      </c>
      <c r="B4416" s="343" t="s">
        <v>1904</v>
      </c>
      <c r="C4416" s="343" t="s">
        <v>1060</v>
      </c>
      <c r="D4416" s="345">
        <v>5</v>
      </c>
      <c r="E4416" s="346">
        <v>-324</v>
      </c>
      <c r="F4416" s="346">
        <v>15160.110000000101</v>
      </c>
      <c r="G4416" s="343" t="s">
        <v>2174</v>
      </c>
      <c r="H4416" s="343" t="s">
        <v>2156</v>
      </c>
      <c r="I4416" s="343" t="s">
        <v>1880</v>
      </c>
      <c r="J4416" s="343" t="s">
        <v>757</v>
      </c>
      <c r="K4416" s="343" t="s">
        <v>741</v>
      </c>
      <c r="L4416" s="344">
        <v>44135</v>
      </c>
      <c r="M4416" s="347">
        <v>0</v>
      </c>
    </row>
    <row r="4417" spans="1:13" hidden="1" x14ac:dyDescent="0.25">
      <c r="A4417" s="344">
        <v>44138</v>
      </c>
      <c r="B4417" s="343" t="s">
        <v>2181</v>
      </c>
      <c r="C4417" s="343" t="s">
        <v>769</v>
      </c>
      <c r="D4417" s="345">
        <v>5</v>
      </c>
      <c r="E4417" s="346">
        <v>92.73</v>
      </c>
      <c r="F4417" s="346">
        <v>15252.8400000001</v>
      </c>
      <c r="G4417" s="343" t="s">
        <v>2182</v>
      </c>
      <c r="H4417" s="343" t="s">
        <v>2156</v>
      </c>
      <c r="I4417" s="343" t="s">
        <v>1880</v>
      </c>
      <c r="J4417" s="343" t="s">
        <v>757</v>
      </c>
      <c r="K4417" s="343" t="s">
        <v>770</v>
      </c>
      <c r="L4417" s="344">
        <v>44138</v>
      </c>
      <c r="M4417" s="347">
        <v>0</v>
      </c>
    </row>
    <row r="4418" spans="1:13" hidden="1" x14ac:dyDescent="0.25">
      <c r="A4418" s="344">
        <v>44138</v>
      </c>
      <c r="B4418" s="343" t="s">
        <v>2183</v>
      </c>
      <c r="C4418" s="343" t="s">
        <v>769</v>
      </c>
      <c r="D4418" s="345">
        <v>5</v>
      </c>
      <c r="E4418" s="346">
        <v>30.91</v>
      </c>
      <c r="F4418" s="346">
        <v>15283.7500000001</v>
      </c>
      <c r="G4418" s="343" t="s">
        <v>2184</v>
      </c>
      <c r="H4418" s="343" t="s">
        <v>2156</v>
      </c>
      <c r="I4418" s="343" t="s">
        <v>1880</v>
      </c>
      <c r="J4418" s="343" t="s">
        <v>757</v>
      </c>
      <c r="K4418" s="343" t="s">
        <v>770</v>
      </c>
      <c r="L4418" s="344">
        <v>44138</v>
      </c>
      <c r="M4418" s="347">
        <v>0</v>
      </c>
    </row>
    <row r="4419" spans="1:13" hidden="1" x14ac:dyDescent="0.25">
      <c r="A4419" s="344">
        <v>44138</v>
      </c>
      <c r="B4419" s="343" t="s">
        <v>2185</v>
      </c>
      <c r="C4419" s="343" t="s">
        <v>769</v>
      </c>
      <c r="D4419" s="345">
        <v>5</v>
      </c>
      <c r="E4419" s="346">
        <v>52.27</v>
      </c>
      <c r="F4419" s="346">
        <v>15336.0200000001</v>
      </c>
      <c r="G4419" s="343" t="s">
        <v>2186</v>
      </c>
      <c r="H4419" s="343" t="s">
        <v>2156</v>
      </c>
      <c r="I4419" s="343" t="s">
        <v>1880</v>
      </c>
      <c r="J4419" s="343" t="s">
        <v>757</v>
      </c>
      <c r="K4419" s="343" t="s">
        <v>770</v>
      </c>
      <c r="L4419" s="344">
        <v>44138</v>
      </c>
      <c r="M4419" s="347">
        <v>0</v>
      </c>
    </row>
    <row r="4420" spans="1:13" hidden="1" x14ac:dyDescent="0.25">
      <c r="A4420" s="344">
        <v>44141</v>
      </c>
      <c r="B4420" s="343" t="s">
        <v>2187</v>
      </c>
      <c r="C4420" s="343" t="s">
        <v>1059</v>
      </c>
      <c r="D4420" s="345">
        <v>5</v>
      </c>
      <c r="E4420" s="346">
        <v>-2.82</v>
      </c>
      <c r="F4420" s="346">
        <v>15333.200000000101</v>
      </c>
      <c r="G4420" s="343" t="s">
        <v>2188</v>
      </c>
      <c r="H4420" s="343" t="s">
        <v>2156</v>
      </c>
      <c r="I4420" s="343" t="s">
        <v>1880</v>
      </c>
      <c r="J4420" s="343" t="s">
        <v>757</v>
      </c>
      <c r="K4420" s="343" t="s">
        <v>741</v>
      </c>
      <c r="L4420" s="344">
        <v>44141</v>
      </c>
      <c r="M4420" s="347">
        <v>0</v>
      </c>
    </row>
    <row r="4421" spans="1:13" hidden="1" x14ac:dyDescent="0.25">
      <c r="A4421" s="344">
        <v>44148</v>
      </c>
      <c r="B4421" s="343" t="s">
        <v>1958</v>
      </c>
      <c r="C4421" s="343" t="s">
        <v>1059</v>
      </c>
      <c r="D4421" s="345">
        <v>5</v>
      </c>
      <c r="E4421" s="346">
        <v>-3.09</v>
      </c>
      <c r="F4421" s="346">
        <v>15330.110000000101</v>
      </c>
      <c r="G4421" s="343" t="s">
        <v>1959</v>
      </c>
      <c r="H4421" s="343" t="s">
        <v>2156</v>
      </c>
      <c r="I4421" s="343" t="s">
        <v>1880</v>
      </c>
      <c r="J4421" s="343" t="s">
        <v>757</v>
      </c>
      <c r="K4421" s="343" t="s">
        <v>741</v>
      </c>
      <c r="L4421" s="344">
        <v>44148</v>
      </c>
      <c r="M4421" s="347">
        <v>0</v>
      </c>
    </row>
    <row r="4422" spans="1:13" hidden="1" x14ac:dyDescent="0.25">
      <c r="A4422" s="344">
        <v>44160</v>
      </c>
      <c r="B4422" s="343" t="s">
        <v>1960</v>
      </c>
      <c r="C4422" s="343" t="s">
        <v>1059</v>
      </c>
      <c r="D4422" s="345">
        <v>5</v>
      </c>
      <c r="E4422" s="346">
        <v>-21.36</v>
      </c>
      <c r="F4422" s="346">
        <v>15308.7500000001</v>
      </c>
      <c r="G4422" s="343" t="s">
        <v>1961</v>
      </c>
      <c r="H4422" s="343" t="s">
        <v>2156</v>
      </c>
      <c r="I4422" s="343" t="s">
        <v>1880</v>
      </c>
      <c r="J4422" s="343" t="s">
        <v>757</v>
      </c>
      <c r="K4422" s="343" t="s">
        <v>741</v>
      </c>
      <c r="L4422" s="344">
        <v>44160</v>
      </c>
      <c r="M4422" s="347">
        <v>0</v>
      </c>
    </row>
    <row r="4423" spans="1:13" hidden="1" x14ac:dyDescent="0.25">
      <c r="A4423" s="344">
        <v>44165</v>
      </c>
      <c r="B4423" s="343" t="s">
        <v>1906</v>
      </c>
      <c r="C4423" s="343" t="s">
        <v>1060</v>
      </c>
      <c r="D4423" s="345">
        <v>5</v>
      </c>
      <c r="E4423" s="346">
        <v>228.45</v>
      </c>
      <c r="F4423" s="346">
        <v>15537.200000000101</v>
      </c>
      <c r="G4423" s="343" t="s">
        <v>2189</v>
      </c>
      <c r="H4423" s="343" t="s">
        <v>2156</v>
      </c>
      <c r="I4423" s="343" t="s">
        <v>1880</v>
      </c>
      <c r="J4423" s="343" t="s">
        <v>757</v>
      </c>
      <c r="K4423" s="343" t="s">
        <v>741</v>
      </c>
      <c r="L4423" s="344">
        <v>44165</v>
      </c>
      <c r="M4423" s="347">
        <v>0</v>
      </c>
    </row>
    <row r="4424" spans="1:13" hidden="1" x14ac:dyDescent="0.25">
      <c r="A4424" s="344">
        <v>44165</v>
      </c>
      <c r="B4424" s="343" t="s">
        <v>1906</v>
      </c>
      <c r="C4424" s="343" t="s">
        <v>1060</v>
      </c>
      <c r="D4424" s="345">
        <v>6</v>
      </c>
      <c r="E4424" s="346">
        <v>-228.45</v>
      </c>
      <c r="F4424" s="346">
        <v>15308.7500000001</v>
      </c>
      <c r="G4424" s="343" t="s">
        <v>2189</v>
      </c>
      <c r="H4424" s="343" t="s">
        <v>2156</v>
      </c>
      <c r="I4424" s="343" t="s">
        <v>1880</v>
      </c>
      <c r="J4424" s="343" t="s">
        <v>757</v>
      </c>
      <c r="K4424" s="343" t="s">
        <v>741</v>
      </c>
      <c r="L4424" s="344">
        <v>44165</v>
      </c>
      <c r="M4424" s="347">
        <v>0</v>
      </c>
    </row>
    <row r="4425" spans="1:13" hidden="1" x14ac:dyDescent="0.25">
      <c r="A4425" s="344">
        <v>44165</v>
      </c>
      <c r="B4425" s="343" t="s">
        <v>1962</v>
      </c>
      <c r="C4425" s="343" t="s">
        <v>1059</v>
      </c>
      <c r="D4425" s="345">
        <v>6</v>
      </c>
      <c r="E4425" s="346">
        <v>-33.99</v>
      </c>
      <c r="F4425" s="346">
        <v>15274.7600000001</v>
      </c>
      <c r="G4425" s="343" t="s">
        <v>1963</v>
      </c>
      <c r="H4425" s="343" t="s">
        <v>2156</v>
      </c>
      <c r="I4425" s="343" t="s">
        <v>1880</v>
      </c>
      <c r="J4425" s="343" t="s">
        <v>757</v>
      </c>
      <c r="K4425" s="343" t="s">
        <v>741</v>
      </c>
      <c r="L4425" s="344">
        <v>44165</v>
      </c>
      <c r="M4425" s="347">
        <v>0</v>
      </c>
    </row>
    <row r="4426" spans="1:13" hidden="1" x14ac:dyDescent="0.25">
      <c r="A4426" s="344">
        <v>44166</v>
      </c>
      <c r="B4426" s="343" t="s">
        <v>2190</v>
      </c>
      <c r="C4426" s="343" t="s">
        <v>769</v>
      </c>
      <c r="D4426" s="345">
        <v>6</v>
      </c>
      <c r="E4426" s="346">
        <v>98.91</v>
      </c>
      <c r="F4426" s="346">
        <v>15373.6700000001</v>
      </c>
      <c r="G4426" s="343" t="s">
        <v>2191</v>
      </c>
      <c r="H4426" s="343" t="s">
        <v>2156</v>
      </c>
      <c r="I4426" s="343" t="s">
        <v>1880</v>
      </c>
      <c r="J4426" s="343" t="s">
        <v>757</v>
      </c>
      <c r="K4426" s="343" t="s">
        <v>770</v>
      </c>
      <c r="L4426" s="344">
        <v>44166</v>
      </c>
      <c r="M4426" s="347">
        <v>0</v>
      </c>
    </row>
    <row r="4427" spans="1:13" hidden="1" x14ac:dyDescent="0.25">
      <c r="A4427" s="344">
        <v>44166</v>
      </c>
      <c r="B4427" s="343" t="s">
        <v>2192</v>
      </c>
      <c r="C4427" s="343" t="s">
        <v>769</v>
      </c>
      <c r="D4427" s="345">
        <v>6</v>
      </c>
      <c r="E4427" s="346">
        <v>77.27</v>
      </c>
      <c r="F4427" s="346">
        <v>15450.940000000101</v>
      </c>
      <c r="G4427" s="343" t="s">
        <v>2193</v>
      </c>
      <c r="H4427" s="343" t="s">
        <v>2156</v>
      </c>
      <c r="I4427" s="343" t="s">
        <v>1880</v>
      </c>
      <c r="J4427" s="343" t="s">
        <v>757</v>
      </c>
      <c r="K4427" s="343" t="s">
        <v>770</v>
      </c>
      <c r="L4427" s="344">
        <v>44166</v>
      </c>
      <c r="M4427" s="347">
        <v>0</v>
      </c>
    </row>
    <row r="4428" spans="1:13" hidden="1" x14ac:dyDescent="0.25">
      <c r="A4428" s="344">
        <v>44166</v>
      </c>
      <c r="B4428" s="343" t="s">
        <v>2194</v>
      </c>
      <c r="C4428" s="343" t="s">
        <v>769</v>
      </c>
      <c r="D4428" s="345">
        <v>6</v>
      </c>
      <c r="E4428" s="346">
        <v>52.27</v>
      </c>
      <c r="F4428" s="346">
        <v>15503.210000000099</v>
      </c>
      <c r="G4428" s="343" t="s">
        <v>2195</v>
      </c>
      <c r="H4428" s="343" t="s">
        <v>2156</v>
      </c>
      <c r="I4428" s="343" t="s">
        <v>1880</v>
      </c>
      <c r="J4428" s="343" t="s">
        <v>757</v>
      </c>
      <c r="K4428" s="343" t="s">
        <v>770</v>
      </c>
      <c r="L4428" s="344">
        <v>44166</v>
      </c>
      <c r="M4428" s="347">
        <v>0</v>
      </c>
    </row>
    <row r="4429" spans="1:13" hidden="1" x14ac:dyDescent="0.25">
      <c r="A4429" s="344">
        <v>44187</v>
      </c>
      <c r="B4429" s="343" t="s">
        <v>1966</v>
      </c>
      <c r="C4429" s="343" t="s">
        <v>1059</v>
      </c>
      <c r="D4429" s="345">
        <v>6</v>
      </c>
      <c r="E4429" s="346">
        <v>-73.56</v>
      </c>
      <c r="F4429" s="346">
        <v>15429.6500000001</v>
      </c>
      <c r="G4429" s="343" t="s">
        <v>1967</v>
      </c>
      <c r="H4429" s="343" t="s">
        <v>2156</v>
      </c>
      <c r="I4429" s="343" t="s">
        <v>1880</v>
      </c>
      <c r="J4429" s="343" t="s">
        <v>757</v>
      </c>
      <c r="K4429" s="343" t="s">
        <v>741</v>
      </c>
      <c r="L4429" s="344">
        <v>44187</v>
      </c>
      <c r="M4429" s="347">
        <v>0</v>
      </c>
    </row>
    <row r="4430" spans="1:13" hidden="1" x14ac:dyDescent="0.25">
      <c r="A4430" s="344">
        <v>44196</v>
      </c>
      <c r="B4430" s="343" t="s">
        <v>1910</v>
      </c>
      <c r="C4430" s="343" t="s">
        <v>1060</v>
      </c>
      <c r="D4430" s="345">
        <v>6</v>
      </c>
      <c r="E4430" s="346">
        <v>506.36</v>
      </c>
      <c r="F4430" s="346">
        <v>15936.0100000001</v>
      </c>
      <c r="G4430" s="343" t="s">
        <v>2196</v>
      </c>
      <c r="H4430" s="343" t="s">
        <v>2156</v>
      </c>
      <c r="I4430" s="343" t="s">
        <v>1880</v>
      </c>
      <c r="J4430" s="343" t="s">
        <v>757</v>
      </c>
      <c r="K4430" s="343" t="s">
        <v>741</v>
      </c>
      <c r="L4430" s="344">
        <v>44196</v>
      </c>
      <c r="M4430" s="347">
        <v>0</v>
      </c>
    </row>
    <row r="4431" spans="1:13" hidden="1" x14ac:dyDescent="0.25">
      <c r="A4431" s="344">
        <v>44196</v>
      </c>
      <c r="B4431" s="343" t="s">
        <v>1910</v>
      </c>
      <c r="C4431" s="343" t="s">
        <v>1060</v>
      </c>
      <c r="D4431" s="345">
        <v>7</v>
      </c>
      <c r="E4431" s="346">
        <v>-506.36</v>
      </c>
      <c r="F4431" s="346">
        <v>15429.6500000001</v>
      </c>
      <c r="G4431" s="343" t="s">
        <v>2196</v>
      </c>
      <c r="H4431" s="343" t="s">
        <v>2156</v>
      </c>
      <c r="I4431" s="343" t="s">
        <v>1880</v>
      </c>
      <c r="J4431" s="343" t="s">
        <v>757</v>
      </c>
      <c r="K4431" s="343" t="s">
        <v>741</v>
      </c>
      <c r="L4431" s="344">
        <v>44196</v>
      </c>
      <c r="M4431" s="347">
        <v>0</v>
      </c>
    </row>
    <row r="4432" spans="1:13" hidden="1" x14ac:dyDescent="0.25">
      <c r="A4432" s="344">
        <v>44200</v>
      </c>
      <c r="B4432" s="343" t="s">
        <v>2197</v>
      </c>
      <c r="C4432" s="343" t="s">
        <v>769</v>
      </c>
      <c r="D4432" s="345">
        <v>7</v>
      </c>
      <c r="E4432" s="346">
        <v>104.55</v>
      </c>
      <c r="F4432" s="346">
        <v>15534.200000000101</v>
      </c>
      <c r="G4432" s="343" t="s">
        <v>2198</v>
      </c>
      <c r="H4432" s="343" t="s">
        <v>2156</v>
      </c>
      <c r="I4432" s="343" t="s">
        <v>1880</v>
      </c>
      <c r="J4432" s="343" t="s">
        <v>757</v>
      </c>
      <c r="K4432" s="343" t="s">
        <v>770</v>
      </c>
      <c r="L4432" s="344">
        <v>43834</v>
      </c>
      <c r="M4432" s="347">
        <v>0</v>
      </c>
    </row>
    <row r="4433" spans="1:13" hidden="1" x14ac:dyDescent="0.25">
      <c r="A4433" s="344">
        <v>44200</v>
      </c>
      <c r="B4433" s="343" t="s">
        <v>2199</v>
      </c>
      <c r="C4433" s="343" t="s">
        <v>769</v>
      </c>
      <c r="D4433" s="345">
        <v>7</v>
      </c>
      <c r="E4433" s="346">
        <v>278.18</v>
      </c>
      <c r="F4433" s="346">
        <v>15812.380000000099</v>
      </c>
      <c r="G4433" s="343" t="s">
        <v>2200</v>
      </c>
      <c r="H4433" s="343" t="s">
        <v>2156</v>
      </c>
      <c r="I4433" s="343" t="s">
        <v>1880</v>
      </c>
      <c r="J4433" s="343" t="s">
        <v>757</v>
      </c>
      <c r="K4433" s="343" t="s">
        <v>770</v>
      </c>
      <c r="L4433" s="344">
        <v>44200</v>
      </c>
      <c r="M4433" s="347">
        <v>0</v>
      </c>
    </row>
    <row r="4434" spans="1:13" hidden="1" x14ac:dyDescent="0.25">
      <c r="A4434" s="344">
        <v>44200</v>
      </c>
      <c r="B4434" s="343" t="s">
        <v>2201</v>
      </c>
      <c r="C4434" s="343" t="s">
        <v>769</v>
      </c>
      <c r="D4434" s="345">
        <v>7</v>
      </c>
      <c r="E4434" s="346">
        <v>123.64</v>
      </c>
      <c r="F4434" s="346">
        <v>15936.0200000001</v>
      </c>
      <c r="G4434" s="343" t="s">
        <v>2202</v>
      </c>
      <c r="H4434" s="343" t="s">
        <v>2156</v>
      </c>
      <c r="I4434" s="343" t="s">
        <v>1880</v>
      </c>
      <c r="J4434" s="343" t="s">
        <v>757</v>
      </c>
      <c r="K4434" s="343" t="s">
        <v>770</v>
      </c>
      <c r="L4434" s="344">
        <v>44200</v>
      </c>
      <c r="M4434" s="347">
        <v>0</v>
      </c>
    </row>
    <row r="4435" spans="1:13" hidden="1" x14ac:dyDescent="0.25">
      <c r="A4435" s="344">
        <v>44203</v>
      </c>
      <c r="B4435" s="343" t="s">
        <v>1970</v>
      </c>
      <c r="C4435" s="343" t="s">
        <v>1059</v>
      </c>
      <c r="D4435" s="345">
        <v>7</v>
      </c>
      <c r="E4435" s="346">
        <v>-54.4</v>
      </c>
      <c r="F4435" s="346">
        <v>15881.620000000101</v>
      </c>
      <c r="G4435" s="343" t="s">
        <v>1971</v>
      </c>
      <c r="H4435" s="343" t="s">
        <v>2156</v>
      </c>
      <c r="I4435" s="343" t="s">
        <v>1880</v>
      </c>
      <c r="J4435" s="343" t="s">
        <v>757</v>
      </c>
      <c r="K4435" s="343" t="s">
        <v>741</v>
      </c>
      <c r="L4435" s="344">
        <v>44203</v>
      </c>
      <c r="M4435" s="347">
        <v>0</v>
      </c>
    </row>
    <row r="4436" spans="1:13" hidden="1" x14ac:dyDescent="0.25">
      <c r="A4436" s="344">
        <v>44218</v>
      </c>
      <c r="B4436" s="343" t="s">
        <v>1972</v>
      </c>
      <c r="C4436" s="343" t="s">
        <v>1059</v>
      </c>
      <c r="D4436" s="345">
        <v>7</v>
      </c>
      <c r="E4436" s="346">
        <v>-20.399999999999999</v>
      </c>
      <c r="F4436" s="346">
        <v>15861.220000000099</v>
      </c>
      <c r="G4436" s="343" t="s">
        <v>1973</v>
      </c>
      <c r="H4436" s="343" t="s">
        <v>2156</v>
      </c>
      <c r="I4436" s="343" t="s">
        <v>1880</v>
      </c>
      <c r="J4436" s="343" t="s">
        <v>757</v>
      </c>
      <c r="K4436" s="343" t="s">
        <v>741</v>
      </c>
      <c r="L4436" s="344">
        <v>44218</v>
      </c>
      <c r="M4436" s="347">
        <v>0</v>
      </c>
    </row>
    <row r="4437" spans="1:13" hidden="1" x14ac:dyDescent="0.25">
      <c r="A4437" s="344">
        <v>44227</v>
      </c>
      <c r="B4437" s="343" t="s">
        <v>2009</v>
      </c>
      <c r="C4437" s="343" t="s">
        <v>1060</v>
      </c>
      <c r="D4437" s="345">
        <v>7</v>
      </c>
      <c r="E4437" s="346">
        <v>506.36</v>
      </c>
      <c r="F4437" s="346">
        <v>16367.5800000001</v>
      </c>
      <c r="G4437" s="343" t="s">
        <v>2203</v>
      </c>
      <c r="H4437" s="343" t="s">
        <v>2156</v>
      </c>
      <c r="I4437" s="343" t="s">
        <v>1880</v>
      </c>
      <c r="J4437" s="343" t="s">
        <v>757</v>
      </c>
      <c r="K4437" s="343" t="s">
        <v>741</v>
      </c>
      <c r="L4437" s="344">
        <v>44227</v>
      </c>
      <c r="M4437" s="347">
        <v>0</v>
      </c>
    </row>
    <row r="4438" spans="1:13" hidden="1" x14ac:dyDescent="0.25">
      <c r="A4438" s="344">
        <v>44227</v>
      </c>
      <c r="B4438" s="343" t="s">
        <v>2009</v>
      </c>
      <c r="C4438" s="343" t="s">
        <v>1060</v>
      </c>
      <c r="D4438" s="345">
        <v>8</v>
      </c>
      <c r="E4438" s="346">
        <v>-506.36</v>
      </c>
      <c r="F4438" s="346">
        <v>15861.220000000099</v>
      </c>
      <c r="G4438" s="343" t="s">
        <v>2203</v>
      </c>
      <c r="H4438" s="343" t="s">
        <v>2156</v>
      </c>
      <c r="I4438" s="343" t="s">
        <v>1880</v>
      </c>
      <c r="J4438" s="343" t="s">
        <v>757</v>
      </c>
      <c r="K4438" s="343" t="s">
        <v>741</v>
      </c>
      <c r="L4438" s="344">
        <v>44227</v>
      </c>
      <c r="M4438" s="347">
        <v>0</v>
      </c>
    </row>
    <row r="4439" spans="1:13" hidden="1" x14ac:dyDescent="0.25">
      <c r="A4439" s="344">
        <v>44227</v>
      </c>
      <c r="B4439" s="343" t="s">
        <v>1974</v>
      </c>
      <c r="C4439" s="343" t="s">
        <v>1059</v>
      </c>
      <c r="D4439" s="345">
        <v>8</v>
      </c>
      <c r="E4439" s="346">
        <v>-68</v>
      </c>
      <c r="F4439" s="346">
        <v>15793.220000000099</v>
      </c>
      <c r="G4439" s="343" t="s">
        <v>1975</v>
      </c>
      <c r="H4439" s="343" t="s">
        <v>2156</v>
      </c>
      <c r="I4439" s="343" t="s">
        <v>1880</v>
      </c>
      <c r="J4439" s="343" t="s">
        <v>757</v>
      </c>
      <c r="K4439" s="343" t="s">
        <v>741</v>
      </c>
      <c r="L4439" s="344">
        <v>44227</v>
      </c>
      <c r="M4439" s="347">
        <v>0</v>
      </c>
    </row>
    <row r="4440" spans="1:13" hidden="1" x14ac:dyDescent="0.25">
      <c r="A4440" s="344">
        <v>44232</v>
      </c>
      <c r="B4440" s="343" t="s">
        <v>2204</v>
      </c>
      <c r="C4440" s="343" t="s">
        <v>769</v>
      </c>
      <c r="D4440" s="345">
        <v>8</v>
      </c>
      <c r="E4440" s="346">
        <v>104.55</v>
      </c>
      <c r="F4440" s="346">
        <v>15897.7700000001</v>
      </c>
      <c r="G4440" s="343" t="s">
        <v>2205</v>
      </c>
      <c r="H4440" s="343" t="s">
        <v>2156</v>
      </c>
      <c r="I4440" s="343" t="s">
        <v>1880</v>
      </c>
      <c r="J4440" s="343" t="s">
        <v>757</v>
      </c>
      <c r="K4440" s="343" t="s">
        <v>770</v>
      </c>
      <c r="L4440" s="344">
        <v>44232</v>
      </c>
      <c r="M4440" s="347">
        <v>0</v>
      </c>
    </row>
    <row r="4441" spans="1:13" hidden="1" x14ac:dyDescent="0.25">
      <c r="A4441" s="344">
        <v>44232</v>
      </c>
      <c r="B4441" s="343" t="s">
        <v>2206</v>
      </c>
      <c r="C4441" s="343" t="s">
        <v>769</v>
      </c>
      <c r="D4441" s="345">
        <v>8</v>
      </c>
      <c r="E4441" s="346">
        <v>278.18</v>
      </c>
      <c r="F4441" s="346">
        <v>16175.950000000101</v>
      </c>
      <c r="G4441" s="343" t="s">
        <v>2207</v>
      </c>
      <c r="H4441" s="343" t="s">
        <v>2156</v>
      </c>
      <c r="I4441" s="343" t="s">
        <v>1880</v>
      </c>
      <c r="J4441" s="343" t="s">
        <v>757</v>
      </c>
      <c r="K4441" s="343" t="s">
        <v>770</v>
      </c>
      <c r="L4441" s="344">
        <v>44232</v>
      </c>
      <c r="M4441" s="347">
        <v>0</v>
      </c>
    </row>
    <row r="4442" spans="1:13" hidden="1" x14ac:dyDescent="0.25">
      <c r="A4442" s="344">
        <v>44232</v>
      </c>
      <c r="B4442" s="343" t="s">
        <v>2208</v>
      </c>
      <c r="C4442" s="343" t="s">
        <v>769</v>
      </c>
      <c r="D4442" s="345">
        <v>8</v>
      </c>
      <c r="E4442" s="346">
        <v>117.45</v>
      </c>
      <c r="F4442" s="346">
        <v>16293.4000000001</v>
      </c>
      <c r="G4442" s="343" t="s">
        <v>2209</v>
      </c>
      <c r="H4442" s="343" t="s">
        <v>2156</v>
      </c>
      <c r="I4442" s="343" t="s">
        <v>1880</v>
      </c>
      <c r="J4442" s="343" t="s">
        <v>757</v>
      </c>
      <c r="K4442" s="343" t="s">
        <v>770</v>
      </c>
      <c r="L4442" s="344">
        <v>44232</v>
      </c>
      <c r="M4442" s="347">
        <v>0</v>
      </c>
    </row>
    <row r="4443" spans="1:13" hidden="1" x14ac:dyDescent="0.25">
      <c r="A4443" s="344">
        <v>44244</v>
      </c>
      <c r="B4443" s="343" t="s">
        <v>1978</v>
      </c>
      <c r="C4443" s="343" t="s">
        <v>1059</v>
      </c>
      <c r="D4443" s="345">
        <v>8</v>
      </c>
      <c r="E4443" s="346">
        <v>-13.6</v>
      </c>
      <c r="F4443" s="346">
        <v>16279.800000000099</v>
      </c>
      <c r="G4443" s="343" t="s">
        <v>1979</v>
      </c>
      <c r="H4443" s="343" t="s">
        <v>2156</v>
      </c>
      <c r="I4443" s="343" t="s">
        <v>1880</v>
      </c>
      <c r="J4443" s="343" t="s">
        <v>757</v>
      </c>
      <c r="K4443" s="343" t="s">
        <v>741</v>
      </c>
      <c r="L4443" s="344">
        <v>44244</v>
      </c>
      <c r="M4443" s="347">
        <v>0</v>
      </c>
    </row>
    <row r="4444" spans="1:13" hidden="1" x14ac:dyDescent="0.25">
      <c r="A4444" s="344">
        <v>44255</v>
      </c>
      <c r="B4444" s="343" t="s">
        <v>2073</v>
      </c>
      <c r="C4444" s="343" t="s">
        <v>1060</v>
      </c>
      <c r="D4444" s="345">
        <v>8</v>
      </c>
      <c r="E4444" s="346">
        <v>500.18</v>
      </c>
      <c r="F4444" s="346">
        <v>16779.980000000101</v>
      </c>
      <c r="G4444" s="343" t="s">
        <v>2210</v>
      </c>
      <c r="H4444" s="343" t="s">
        <v>2156</v>
      </c>
      <c r="I4444" s="343" t="s">
        <v>1880</v>
      </c>
      <c r="J4444" s="343" t="s">
        <v>757</v>
      </c>
      <c r="K4444" s="343" t="s">
        <v>741</v>
      </c>
      <c r="L4444" s="344">
        <v>44255</v>
      </c>
      <c r="M4444" s="347">
        <v>0</v>
      </c>
    </row>
    <row r="4445" spans="1:13" hidden="1" x14ac:dyDescent="0.25">
      <c r="A4445" s="344">
        <v>44255</v>
      </c>
      <c r="B4445" s="343" t="s">
        <v>2073</v>
      </c>
      <c r="C4445" s="343" t="s">
        <v>1060</v>
      </c>
      <c r="D4445" s="345">
        <v>9</v>
      </c>
      <c r="E4445" s="346">
        <v>-500.18</v>
      </c>
      <c r="F4445" s="346">
        <v>16279.800000000099</v>
      </c>
      <c r="G4445" s="343" t="s">
        <v>2210</v>
      </c>
      <c r="H4445" s="343" t="s">
        <v>2156</v>
      </c>
      <c r="I4445" s="343" t="s">
        <v>1880</v>
      </c>
      <c r="J4445" s="343" t="s">
        <v>757</v>
      </c>
      <c r="K4445" s="343" t="s">
        <v>741</v>
      </c>
      <c r="L4445" s="344">
        <v>44255</v>
      </c>
      <c r="M4445" s="347">
        <v>0</v>
      </c>
    </row>
    <row r="4446" spans="1:13" hidden="1" x14ac:dyDescent="0.25">
      <c r="A4446" s="344">
        <v>44255</v>
      </c>
      <c r="B4446" s="343" t="s">
        <v>2211</v>
      </c>
      <c r="C4446" s="343" t="s">
        <v>769</v>
      </c>
      <c r="D4446" s="345">
        <v>9</v>
      </c>
      <c r="E4446" s="346">
        <v>104.55</v>
      </c>
      <c r="F4446" s="346">
        <v>16384.3500000001</v>
      </c>
      <c r="G4446" s="343" t="s">
        <v>2212</v>
      </c>
      <c r="H4446" s="343" t="s">
        <v>2156</v>
      </c>
      <c r="I4446" s="343" t="s">
        <v>1880</v>
      </c>
      <c r="J4446" s="343" t="s">
        <v>757</v>
      </c>
      <c r="K4446" s="343" t="s">
        <v>770</v>
      </c>
      <c r="L4446" s="344">
        <v>44255</v>
      </c>
      <c r="M4446" s="347">
        <v>0</v>
      </c>
    </row>
    <row r="4447" spans="1:13" hidden="1" x14ac:dyDescent="0.25">
      <c r="A4447" s="344">
        <v>44255</v>
      </c>
      <c r="B4447" s="343" t="s">
        <v>2213</v>
      </c>
      <c r="C4447" s="343" t="s">
        <v>769</v>
      </c>
      <c r="D4447" s="345">
        <v>9</v>
      </c>
      <c r="E4447" s="346">
        <v>272</v>
      </c>
      <c r="F4447" s="346">
        <v>16656.3500000001</v>
      </c>
      <c r="G4447" s="343" t="s">
        <v>2212</v>
      </c>
      <c r="H4447" s="343" t="s">
        <v>2156</v>
      </c>
      <c r="I4447" s="343" t="s">
        <v>1880</v>
      </c>
      <c r="J4447" s="343" t="s">
        <v>757</v>
      </c>
      <c r="K4447" s="343" t="s">
        <v>770</v>
      </c>
      <c r="L4447" s="344">
        <v>44255</v>
      </c>
      <c r="M4447" s="347">
        <v>0</v>
      </c>
    </row>
    <row r="4448" spans="1:13" hidden="1" x14ac:dyDescent="0.25">
      <c r="A4448" s="344">
        <v>44255</v>
      </c>
      <c r="B4448" s="343" t="s">
        <v>2214</v>
      </c>
      <c r="C4448" s="343" t="s">
        <v>769</v>
      </c>
      <c r="D4448" s="345">
        <v>9</v>
      </c>
      <c r="E4448" s="346">
        <v>117.45</v>
      </c>
      <c r="F4448" s="346">
        <v>16773.800000000101</v>
      </c>
      <c r="G4448" s="343" t="s">
        <v>2212</v>
      </c>
      <c r="H4448" s="343" t="s">
        <v>2156</v>
      </c>
      <c r="I4448" s="343" t="s">
        <v>1880</v>
      </c>
      <c r="J4448" s="343" t="s">
        <v>757</v>
      </c>
      <c r="K4448" s="343" t="s">
        <v>770</v>
      </c>
      <c r="L4448" s="344">
        <v>44255</v>
      </c>
      <c r="M4448" s="347">
        <v>0</v>
      </c>
    </row>
    <row r="4449" spans="1:13" hidden="1" x14ac:dyDescent="0.25">
      <c r="A4449" s="344">
        <v>44286</v>
      </c>
      <c r="B4449" s="343" t="s">
        <v>2060</v>
      </c>
      <c r="C4449" s="343" t="s">
        <v>1060</v>
      </c>
      <c r="D4449" s="345">
        <v>9</v>
      </c>
      <c r="E4449" s="346">
        <v>494</v>
      </c>
      <c r="F4449" s="346">
        <v>17267.800000000101</v>
      </c>
      <c r="G4449" s="343" t="s">
        <v>2215</v>
      </c>
      <c r="H4449" s="343" t="s">
        <v>2156</v>
      </c>
      <c r="I4449" s="343" t="s">
        <v>1880</v>
      </c>
      <c r="J4449" s="343" t="s">
        <v>757</v>
      </c>
      <c r="K4449" s="343" t="s">
        <v>741</v>
      </c>
      <c r="L4449" s="344">
        <v>44286</v>
      </c>
      <c r="M4449" s="347">
        <v>0</v>
      </c>
    </row>
    <row r="4450" spans="1:13" hidden="1" x14ac:dyDescent="0.25">
      <c r="A4450" s="344">
        <v>44286</v>
      </c>
      <c r="B4450" s="343" t="s">
        <v>2060</v>
      </c>
      <c r="C4450" s="343" t="s">
        <v>1060</v>
      </c>
      <c r="D4450" s="345">
        <v>10</v>
      </c>
      <c r="E4450" s="346">
        <v>-494</v>
      </c>
      <c r="F4450" s="346">
        <v>16773.800000000101</v>
      </c>
      <c r="G4450" s="343" t="s">
        <v>2215</v>
      </c>
      <c r="H4450" s="343" t="s">
        <v>2156</v>
      </c>
      <c r="I4450" s="343" t="s">
        <v>1880</v>
      </c>
      <c r="J4450" s="343" t="s">
        <v>757</v>
      </c>
      <c r="K4450" s="343" t="s">
        <v>741</v>
      </c>
      <c r="L4450" s="344">
        <v>44286</v>
      </c>
      <c r="M4450" s="347">
        <v>0</v>
      </c>
    </row>
    <row r="4451" spans="1:13" hidden="1" x14ac:dyDescent="0.25">
      <c r="A4451" s="344">
        <v>44286</v>
      </c>
      <c r="B4451" s="343" t="s">
        <v>2216</v>
      </c>
      <c r="C4451" s="343" t="s">
        <v>769</v>
      </c>
      <c r="D4451" s="345">
        <v>10</v>
      </c>
      <c r="E4451" s="346">
        <v>179.27</v>
      </c>
      <c r="F4451" s="346">
        <v>16953.070000000102</v>
      </c>
      <c r="G4451" s="343" t="s">
        <v>2217</v>
      </c>
      <c r="H4451" s="343" t="s">
        <v>2156</v>
      </c>
      <c r="I4451" s="343" t="s">
        <v>1880</v>
      </c>
      <c r="J4451" s="343" t="s">
        <v>757</v>
      </c>
      <c r="K4451" s="343" t="s">
        <v>770</v>
      </c>
      <c r="L4451" s="344">
        <v>44286</v>
      </c>
      <c r="M4451" s="347">
        <v>0</v>
      </c>
    </row>
    <row r="4452" spans="1:13" hidden="1" x14ac:dyDescent="0.25">
      <c r="A4452" s="344">
        <v>44286</v>
      </c>
      <c r="B4452" s="343" t="s">
        <v>2218</v>
      </c>
      <c r="C4452" s="343" t="s">
        <v>769</v>
      </c>
      <c r="D4452" s="345">
        <v>10</v>
      </c>
      <c r="E4452" s="346">
        <v>104.55</v>
      </c>
      <c r="F4452" s="346">
        <v>17057.620000000101</v>
      </c>
      <c r="G4452" s="343" t="s">
        <v>2219</v>
      </c>
      <c r="H4452" s="343" t="s">
        <v>2156</v>
      </c>
      <c r="I4452" s="343" t="s">
        <v>1880</v>
      </c>
      <c r="J4452" s="343" t="s">
        <v>757</v>
      </c>
      <c r="K4452" s="343" t="s">
        <v>770</v>
      </c>
      <c r="L4452" s="344">
        <v>44286</v>
      </c>
      <c r="M4452" s="347">
        <v>0</v>
      </c>
    </row>
    <row r="4453" spans="1:13" hidden="1" x14ac:dyDescent="0.25">
      <c r="A4453" s="344">
        <v>44286</v>
      </c>
      <c r="B4453" s="343" t="s">
        <v>2220</v>
      </c>
      <c r="C4453" s="343" t="s">
        <v>769</v>
      </c>
      <c r="D4453" s="345">
        <v>10</v>
      </c>
      <c r="E4453" s="346">
        <v>136</v>
      </c>
      <c r="F4453" s="346">
        <v>17193.620000000101</v>
      </c>
      <c r="G4453" s="343" t="s">
        <v>2221</v>
      </c>
      <c r="H4453" s="343" t="s">
        <v>2156</v>
      </c>
      <c r="I4453" s="343" t="s">
        <v>1880</v>
      </c>
      <c r="J4453" s="343" t="s">
        <v>757</v>
      </c>
      <c r="K4453" s="343" t="s">
        <v>770</v>
      </c>
      <c r="L4453" s="344">
        <v>44286</v>
      </c>
      <c r="M4453" s="347">
        <v>0</v>
      </c>
    </row>
    <row r="4454" spans="1:13" hidden="1" x14ac:dyDescent="0.25">
      <c r="A4454" s="344">
        <v>44316</v>
      </c>
      <c r="B4454" s="343" t="s">
        <v>1078</v>
      </c>
      <c r="C4454" s="343" t="s">
        <v>1060</v>
      </c>
      <c r="D4454" s="345">
        <v>10</v>
      </c>
      <c r="E4454" s="346">
        <v>419.82</v>
      </c>
      <c r="F4454" s="346">
        <v>17613.440000000101</v>
      </c>
      <c r="G4454" s="343" t="s">
        <v>1077</v>
      </c>
      <c r="H4454" s="343" t="s">
        <v>2156</v>
      </c>
      <c r="I4454" s="343" t="s">
        <v>1880</v>
      </c>
      <c r="J4454" s="343" t="s">
        <v>757</v>
      </c>
      <c r="K4454" s="343" t="s">
        <v>741</v>
      </c>
      <c r="L4454" s="344">
        <v>44316</v>
      </c>
      <c r="M4454" s="347">
        <v>0</v>
      </c>
    </row>
    <row r="4455" spans="1:13" hidden="1" x14ac:dyDescent="0.25">
      <c r="A4455" s="344">
        <v>44012</v>
      </c>
      <c r="B4455" s="343" t="s">
        <v>1925</v>
      </c>
      <c r="C4455" s="343" t="s">
        <v>1059</v>
      </c>
      <c r="D4455" s="345">
        <v>1</v>
      </c>
      <c r="E4455" s="346">
        <v>-104.27</v>
      </c>
      <c r="F4455" s="346">
        <v>17434.9900000001</v>
      </c>
      <c r="G4455" s="343" t="s">
        <v>2155</v>
      </c>
      <c r="H4455" s="343" t="s">
        <v>2222</v>
      </c>
      <c r="I4455" s="343" t="s">
        <v>1880</v>
      </c>
      <c r="J4455" s="343" t="s">
        <v>757</v>
      </c>
      <c r="K4455" s="343" t="s">
        <v>741</v>
      </c>
      <c r="L4455" s="344">
        <v>44012</v>
      </c>
      <c r="M4455" s="347">
        <v>0</v>
      </c>
    </row>
    <row r="4456" spans="1:13" hidden="1" x14ac:dyDescent="0.25">
      <c r="A4456" s="344">
        <v>44013</v>
      </c>
      <c r="B4456" s="343" t="s">
        <v>2159</v>
      </c>
      <c r="C4456" s="343" t="s">
        <v>769</v>
      </c>
      <c r="D4456" s="345">
        <v>1</v>
      </c>
      <c r="E4456" s="346">
        <v>81.73</v>
      </c>
      <c r="F4456" s="346">
        <v>17516.720000000099</v>
      </c>
      <c r="G4456" s="343" t="s">
        <v>2160</v>
      </c>
      <c r="H4456" s="343" t="s">
        <v>2222</v>
      </c>
      <c r="I4456" s="343" t="s">
        <v>1880</v>
      </c>
      <c r="J4456" s="343" t="s">
        <v>757</v>
      </c>
      <c r="K4456" s="343" t="s">
        <v>770</v>
      </c>
      <c r="L4456" s="344">
        <v>44013</v>
      </c>
      <c r="M4456" s="347">
        <v>0</v>
      </c>
    </row>
    <row r="4457" spans="1:13" hidden="1" x14ac:dyDescent="0.25">
      <c r="A4457" s="344">
        <v>44013</v>
      </c>
      <c r="B4457" s="343" t="s">
        <v>2223</v>
      </c>
      <c r="C4457" s="343" t="s">
        <v>769</v>
      </c>
      <c r="D4457" s="345">
        <v>1</v>
      </c>
      <c r="E4457" s="346">
        <v>22.55</v>
      </c>
      <c r="F4457" s="346">
        <v>17539.270000000099</v>
      </c>
      <c r="G4457" s="343" t="s">
        <v>2224</v>
      </c>
      <c r="H4457" s="343" t="s">
        <v>2222</v>
      </c>
      <c r="I4457" s="343" t="s">
        <v>1880</v>
      </c>
      <c r="J4457" s="343" t="s">
        <v>757</v>
      </c>
      <c r="K4457" s="343" t="s">
        <v>770</v>
      </c>
      <c r="L4457" s="344">
        <v>44013</v>
      </c>
      <c r="M4457" s="347">
        <v>0</v>
      </c>
    </row>
    <row r="4458" spans="1:13" hidden="1" x14ac:dyDescent="0.25">
      <c r="A4458" s="344">
        <v>44043</v>
      </c>
      <c r="B4458" s="343" t="s">
        <v>1891</v>
      </c>
      <c r="C4458" s="343" t="s">
        <v>1060</v>
      </c>
      <c r="D4458" s="345">
        <v>1</v>
      </c>
      <c r="E4458" s="346">
        <v>155</v>
      </c>
      <c r="F4458" s="346">
        <v>17694.270000000099</v>
      </c>
      <c r="G4458" s="343" t="s">
        <v>2161</v>
      </c>
      <c r="H4458" s="343" t="s">
        <v>2222</v>
      </c>
      <c r="I4458" s="343" t="s">
        <v>1880</v>
      </c>
      <c r="J4458" s="343" t="s">
        <v>757</v>
      </c>
      <c r="K4458" s="343" t="s">
        <v>741</v>
      </c>
      <c r="L4458" s="344">
        <v>44043</v>
      </c>
      <c r="M4458" s="347">
        <v>0</v>
      </c>
    </row>
    <row r="4459" spans="1:13" hidden="1" x14ac:dyDescent="0.25">
      <c r="A4459" s="344">
        <v>44043</v>
      </c>
      <c r="B4459" s="343" t="s">
        <v>2162</v>
      </c>
      <c r="C4459" s="343" t="s">
        <v>769</v>
      </c>
      <c r="D4459" s="345">
        <v>2</v>
      </c>
      <c r="E4459" s="346">
        <v>129.63</v>
      </c>
      <c r="F4459" s="346">
        <v>17823.9000000001</v>
      </c>
      <c r="G4459" s="343" t="s">
        <v>2163</v>
      </c>
      <c r="H4459" s="343" t="s">
        <v>2222</v>
      </c>
      <c r="I4459" s="343" t="s">
        <v>1880</v>
      </c>
      <c r="J4459" s="343" t="s">
        <v>757</v>
      </c>
      <c r="K4459" s="343" t="s">
        <v>770</v>
      </c>
      <c r="L4459" s="344">
        <v>44043</v>
      </c>
      <c r="M4459" s="347">
        <v>0</v>
      </c>
    </row>
    <row r="4460" spans="1:13" hidden="1" x14ac:dyDescent="0.25">
      <c r="A4460" s="344">
        <v>44043</v>
      </c>
      <c r="B4460" s="343" t="s">
        <v>2164</v>
      </c>
      <c r="C4460" s="343" t="s">
        <v>769</v>
      </c>
      <c r="D4460" s="345">
        <v>2</v>
      </c>
      <c r="E4460" s="346">
        <v>25.36</v>
      </c>
      <c r="F4460" s="346">
        <v>17849.2600000001</v>
      </c>
      <c r="G4460" s="343" t="s">
        <v>2165</v>
      </c>
      <c r="H4460" s="343" t="s">
        <v>2222</v>
      </c>
      <c r="I4460" s="343" t="s">
        <v>1880</v>
      </c>
      <c r="J4460" s="343" t="s">
        <v>757</v>
      </c>
      <c r="K4460" s="343" t="s">
        <v>770</v>
      </c>
      <c r="L4460" s="344">
        <v>44043</v>
      </c>
      <c r="M4460" s="347">
        <v>0</v>
      </c>
    </row>
    <row r="4461" spans="1:13" hidden="1" x14ac:dyDescent="0.25">
      <c r="A4461" s="344">
        <v>44043</v>
      </c>
      <c r="B4461" s="343" t="s">
        <v>1891</v>
      </c>
      <c r="C4461" s="343" t="s">
        <v>1060</v>
      </c>
      <c r="D4461" s="345">
        <v>2</v>
      </c>
      <c r="E4461" s="346">
        <v>-155</v>
      </c>
      <c r="F4461" s="346">
        <v>17694.2600000001</v>
      </c>
      <c r="G4461" s="343" t="s">
        <v>2161</v>
      </c>
      <c r="H4461" s="343" t="s">
        <v>2222</v>
      </c>
      <c r="I4461" s="343" t="s">
        <v>1880</v>
      </c>
      <c r="J4461" s="343" t="s">
        <v>757</v>
      </c>
      <c r="K4461" s="343" t="s">
        <v>741</v>
      </c>
      <c r="L4461" s="344">
        <v>44043</v>
      </c>
      <c r="M4461" s="347">
        <v>0</v>
      </c>
    </row>
    <row r="4462" spans="1:13" hidden="1" x14ac:dyDescent="0.25">
      <c r="A4462" s="344">
        <v>44052</v>
      </c>
      <c r="B4462" s="343" t="s">
        <v>1930</v>
      </c>
      <c r="C4462" s="343" t="s">
        <v>1059</v>
      </c>
      <c r="D4462" s="345">
        <v>2</v>
      </c>
      <c r="E4462" s="346">
        <v>-78.959999999999994</v>
      </c>
      <c r="F4462" s="346">
        <v>17615.300000000101</v>
      </c>
      <c r="G4462" s="343" t="s">
        <v>1931</v>
      </c>
      <c r="H4462" s="343" t="s">
        <v>2222</v>
      </c>
      <c r="I4462" s="343" t="s">
        <v>1880</v>
      </c>
      <c r="J4462" s="343" t="s">
        <v>757</v>
      </c>
      <c r="K4462" s="343" t="s">
        <v>741</v>
      </c>
      <c r="L4462" s="344">
        <v>44052</v>
      </c>
      <c r="M4462" s="347">
        <v>0</v>
      </c>
    </row>
    <row r="4463" spans="1:13" hidden="1" x14ac:dyDescent="0.25">
      <c r="A4463" s="344">
        <v>44062</v>
      </c>
      <c r="B4463" s="343" t="s">
        <v>1932</v>
      </c>
      <c r="C4463" s="343" t="s">
        <v>1059</v>
      </c>
      <c r="D4463" s="345">
        <v>2</v>
      </c>
      <c r="E4463" s="346">
        <v>-70.5</v>
      </c>
      <c r="F4463" s="346">
        <v>17544.800000000101</v>
      </c>
      <c r="G4463" s="343" t="s">
        <v>1933</v>
      </c>
      <c r="H4463" s="343" t="s">
        <v>2222</v>
      </c>
      <c r="I4463" s="343" t="s">
        <v>1880</v>
      </c>
      <c r="J4463" s="343" t="s">
        <v>757</v>
      </c>
      <c r="K4463" s="343" t="s">
        <v>741</v>
      </c>
      <c r="L4463" s="344">
        <v>44062</v>
      </c>
      <c r="M4463" s="347">
        <v>0</v>
      </c>
    </row>
    <row r="4464" spans="1:13" hidden="1" x14ac:dyDescent="0.25">
      <c r="A4464" s="344">
        <v>44074</v>
      </c>
      <c r="B4464" s="343" t="s">
        <v>1896</v>
      </c>
      <c r="C4464" s="343" t="s">
        <v>1060</v>
      </c>
      <c r="D4464" s="345">
        <v>2</v>
      </c>
      <c r="E4464" s="346">
        <v>148.44999999999999</v>
      </c>
      <c r="F4464" s="346">
        <v>17693.250000000098</v>
      </c>
      <c r="G4464" s="343" t="s">
        <v>2168</v>
      </c>
      <c r="H4464" s="343" t="s">
        <v>2222</v>
      </c>
      <c r="I4464" s="343" t="s">
        <v>1880</v>
      </c>
      <c r="J4464" s="343" t="s">
        <v>757</v>
      </c>
      <c r="K4464" s="343" t="s">
        <v>741</v>
      </c>
      <c r="L4464" s="344">
        <v>44074</v>
      </c>
      <c r="M4464" s="347">
        <v>0</v>
      </c>
    </row>
    <row r="4465" spans="1:13" hidden="1" x14ac:dyDescent="0.25">
      <c r="A4465" s="344">
        <v>44074</v>
      </c>
      <c r="B4465" s="343" t="s">
        <v>1896</v>
      </c>
      <c r="C4465" s="343" t="s">
        <v>1060</v>
      </c>
      <c r="D4465" s="345">
        <v>3</v>
      </c>
      <c r="E4465" s="346">
        <v>-148.44999999999999</v>
      </c>
      <c r="F4465" s="346">
        <v>17544.800000000101</v>
      </c>
      <c r="G4465" s="343" t="s">
        <v>2168</v>
      </c>
      <c r="H4465" s="343" t="s">
        <v>2222</v>
      </c>
      <c r="I4465" s="343" t="s">
        <v>1880</v>
      </c>
      <c r="J4465" s="343" t="s">
        <v>757</v>
      </c>
      <c r="K4465" s="343" t="s">
        <v>741</v>
      </c>
      <c r="L4465" s="344">
        <v>44074</v>
      </c>
      <c r="M4465" s="347">
        <v>0</v>
      </c>
    </row>
    <row r="4466" spans="1:13" hidden="1" x14ac:dyDescent="0.25">
      <c r="A4466" s="344">
        <v>44085</v>
      </c>
      <c r="B4466" s="343" t="s">
        <v>2171</v>
      </c>
      <c r="C4466" s="343" t="s">
        <v>1059</v>
      </c>
      <c r="D4466" s="345">
        <v>3</v>
      </c>
      <c r="E4466" s="346">
        <v>148.44999999999999</v>
      </c>
      <c r="F4466" s="346">
        <v>17693.250000000098</v>
      </c>
      <c r="G4466" s="343" t="s">
        <v>2172</v>
      </c>
      <c r="H4466" s="343" t="s">
        <v>2222</v>
      </c>
      <c r="I4466" s="343" t="s">
        <v>1880</v>
      </c>
      <c r="J4466" s="343" t="s">
        <v>757</v>
      </c>
      <c r="K4466" s="343" t="s">
        <v>741</v>
      </c>
      <c r="L4466" s="344">
        <v>44085</v>
      </c>
      <c r="M4466" s="347">
        <v>0</v>
      </c>
    </row>
    <row r="4467" spans="1:13" hidden="1" x14ac:dyDescent="0.25">
      <c r="A4467" s="344">
        <v>44094</v>
      </c>
      <c r="B4467" s="343" t="s">
        <v>1950</v>
      </c>
      <c r="C4467" s="343" t="s">
        <v>1059</v>
      </c>
      <c r="D4467" s="345">
        <v>3</v>
      </c>
      <c r="E4467" s="346">
        <v>-56.4</v>
      </c>
      <c r="F4467" s="346">
        <v>17636.8500000001</v>
      </c>
      <c r="G4467" s="343" t="s">
        <v>1951</v>
      </c>
      <c r="H4467" s="343" t="s">
        <v>2222</v>
      </c>
      <c r="I4467" s="343" t="s">
        <v>1880</v>
      </c>
      <c r="J4467" s="343" t="s">
        <v>757</v>
      </c>
      <c r="K4467" s="343" t="s">
        <v>741</v>
      </c>
      <c r="L4467" s="344">
        <v>44094</v>
      </c>
      <c r="M4467" s="347">
        <v>0</v>
      </c>
    </row>
    <row r="4468" spans="1:13" hidden="1" x14ac:dyDescent="0.25">
      <c r="A4468" s="344">
        <v>44104</v>
      </c>
      <c r="B4468" s="343" t="s">
        <v>1934</v>
      </c>
      <c r="C4468" s="343" t="s">
        <v>1059</v>
      </c>
      <c r="D4468" s="345">
        <v>3</v>
      </c>
      <c r="E4468" s="346">
        <v>-39.479999999999997</v>
      </c>
      <c r="F4468" s="346">
        <v>17597.370000000101</v>
      </c>
      <c r="G4468" s="343" t="s">
        <v>1935</v>
      </c>
      <c r="H4468" s="343" t="s">
        <v>2222</v>
      </c>
      <c r="I4468" s="343" t="s">
        <v>1880</v>
      </c>
      <c r="J4468" s="343" t="s">
        <v>757</v>
      </c>
      <c r="K4468" s="343" t="s">
        <v>741</v>
      </c>
      <c r="L4468" s="344">
        <v>44104</v>
      </c>
      <c r="M4468" s="347">
        <v>0</v>
      </c>
    </row>
    <row r="4469" spans="1:13" hidden="1" x14ac:dyDescent="0.25">
      <c r="A4469" s="344">
        <v>44104</v>
      </c>
      <c r="B4469" s="343" t="s">
        <v>1900</v>
      </c>
      <c r="C4469" s="343" t="s">
        <v>1060</v>
      </c>
      <c r="D4469" s="345">
        <v>3</v>
      </c>
      <c r="E4469" s="346">
        <v>210.18</v>
      </c>
      <c r="F4469" s="346">
        <v>17807.550000000101</v>
      </c>
      <c r="G4469" s="343" t="s">
        <v>2173</v>
      </c>
      <c r="H4469" s="343" t="s">
        <v>2222</v>
      </c>
      <c r="I4469" s="343" t="s">
        <v>1880</v>
      </c>
      <c r="J4469" s="343" t="s">
        <v>757</v>
      </c>
      <c r="K4469" s="343" t="s">
        <v>741</v>
      </c>
      <c r="L4469" s="344">
        <v>44104</v>
      </c>
      <c r="M4469" s="347">
        <v>0</v>
      </c>
    </row>
    <row r="4470" spans="1:13" hidden="1" x14ac:dyDescent="0.25">
      <c r="A4470" s="344">
        <v>44104</v>
      </c>
      <c r="B4470" s="343" t="s">
        <v>1900</v>
      </c>
      <c r="C4470" s="343" t="s">
        <v>1060</v>
      </c>
      <c r="D4470" s="345">
        <v>4</v>
      </c>
      <c r="E4470" s="346">
        <v>-210.18</v>
      </c>
      <c r="F4470" s="346">
        <v>17597.370000000101</v>
      </c>
      <c r="G4470" s="343" t="s">
        <v>2173</v>
      </c>
      <c r="H4470" s="343" t="s">
        <v>2222</v>
      </c>
      <c r="I4470" s="343" t="s">
        <v>1880</v>
      </c>
      <c r="J4470" s="343" t="s">
        <v>757</v>
      </c>
      <c r="K4470" s="343" t="s">
        <v>741</v>
      </c>
      <c r="L4470" s="344">
        <v>44104</v>
      </c>
      <c r="M4470" s="347">
        <v>0</v>
      </c>
    </row>
    <row r="4471" spans="1:13" hidden="1" x14ac:dyDescent="0.25">
      <c r="A4471" s="344">
        <v>44120</v>
      </c>
      <c r="B4471" s="343" t="s">
        <v>1936</v>
      </c>
      <c r="C4471" s="343" t="s">
        <v>1059</v>
      </c>
      <c r="D4471" s="345">
        <v>4</v>
      </c>
      <c r="E4471" s="346">
        <v>-47.94</v>
      </c>
      <c r="F4471" s="346">
        <v>17549.430000000099</v>
      </c>
      <c r="G4471" s="343" t="s">
        <v>1937</v>
      </c>
      <c r="H4471" s="343" t="s">
        <v>2222</v>
      </c>
      <c r="I4471" s="343" t="s">
        <v>1880</v>
      </c>
      <c r="J4471" s="343" t="s">
        <v>757</v>
      </c>
      <c r="K4471" s="343" t="s">
        <v>741</v>
      </c>
      <c r="L4471" s="344">
        <v>44120</v>
      </c>
      <c r="M4471" s="347">
        <v>0</v>
      </c>
    </row>
    <row r="4472" spans="1:13" hidden="1" x14ac:dyDescent="0.25">
      <c r="A4472" s="344">
        <v>44135</v>
      </c>
      <c r="B4472" s="343" t="s">
        <v>1954</v>
      </c>
      <c r="C4472" s="343" t="s">
        <v>1059</v>
      </c>
      <c r="D4472" s="345">
        <v>4</v>
      </c>
      <c r="E4472" s="346">
        <v>-55.62</v>
      </c>
      <c r="F4472" s="346">
        <v>17493.8100000001</v>
      </c>
      <c r="G4472" s="343" t="s">
        <v>1955</v>
      </c>
      <c r="H4472" s="343" t="s">
        <v>2222</v>
      </c>
      <c r="I4472" s="343" t="s">
        <v>1880</v>
      </c>
      <c r="J4472" s="343" t="s">
        <v>757</v>
      </c>
      <c r="K4472" s="343" t="s">
        <v>741</v>
      </c>
      <c r="L4472" s="344">
        <v>44135</v>
      </c>
      <c r="M4472" s="347">
        <v>0</v>
      </c>
    </row>
    <row r="4473" spans="1:13" hidden="1" x14ac:dyDescent="0.25">
      <c r="A4473" s="344">
        <v>44135</v>
      </c>
      <c r="B4473" s="343" t="s">
        <v>1904</v>
      </c>
      <c r="C4473" s="343" t="s">
        <v>1060</v>
      </c>
      <c r="D4473" s="345">
        <v>4</v>
      </c>
      <c r="E4473" s="346">
        <v>426.55</v>
      </c>
      <c r="F4473" s="346">
        <v>17920.360000000099</v>
      </c>
      <c r="G4473" s="343" t="s">
        <v>2174</v>
      </c>
      <c r="H4473" s="343" t="s">
        <v>2222</v>
      </c>
      <c r="I4473" s="343" t="s">
        <v>1880</v>
      </c>
      <c r="J4473" s="343" t="s">
        <v>757</v>
      </c>
      <c r="K4473" s="343" t="s">
        <v>741</v>
      </c>
      <c r="L4473" s="344">
        <v>44135</v>
      </c>
      <c r="M4473" s="347">
        <v>0</v>
      </c>
    </row>
    <row r="4474" spans="1:13" hidden="1" x14ac:dyDescent="0.25">
      <c r="A4474" s="344">
        <v>44104</v>
      </c>
      <c r="B4474" s="343" t="s">
        <v>2175</v>
      </c>
      <c r="C4474" s="343" t="s">
        <v>769</v>
      </c>
      <c r="D4474" s="345">
        <v>5</v>
      </c>
      <c r="E4474" s="346">
        <v>151.44999999999999</v>
      </c>
      <c r="F4474" s="346">
        <v>18071.8100000001</v>
      </c>
      <c r="G4474" s="343" t="s">
        <v>2176</v>
      </c>
      <c r="H4474" s="343" t="s">
        <v>2222</v>
      </c>
      <c r="I4474" s="343" t="s">
        <v>1880</v>
      </c>
      <c r="J4474" s="343" t="s">
        <v>757</v>
      </c>
      <c r="K4474" s="343" t="s">
        <v>770</v>
      </c>
      <c r="L4474" s="344">
        <v>44104</v>
      </c>
      <c r="M4474" s="347">
        <v>0</v>
      </c>
    </row>
    <row r="4475" spans="1:13" hidden="1" x14ac:dyDescent="0.25">
      <c r="A4475" s="344">
        <v>44104</v>
      </c>
      <c r="B4475" s="343" t="s">
        <v>2177</v>
      </c>
      <c r="C4475" s="343" t="s">
        <v>769</v>
      </c>
      <c r="D4475" s="345">
        <v>5</v>
      </c>
      <c r="E4475" s="346">
        <v>58.73</v>
      </c>
      <c r="F4475" s="346">
        <v>18130.540000000099</v>
      </c>
      <c r="G4475" s="343" t="s">
        <v>2178</v>
      </c>
      <c r="H4475" s="343" t="s">
        <v>2222</v>
      </c>
      <c r="I4475" s="343" t="s">
        <v>1880</v>
      </c>
      <c r="J4475" s="343" t="s">
        <v>757</v>
      </c>
      <c r="K4475" s="343" t="s">
        <v>770</v>
      </c>
      <c r="L4475" s="344">
        <v>44104</v>
      </c>
      <c r="M4475" s="347">
        <v>0</v>
      </c>
    </row>
    <row r="4476" spans="1:13" hidden="1" x14ac:dyDescent="0.25">
      <c r="A4476" s="344">
        <v>44135</v>
      </c>
      <c r="B4476" s="343" t="s">
        <v>1904</v>
      </c>
      <c r="C4476" s="343" t="s">
        <v>1060</v>
      </c>
      <c r="D4476" s="345">
        <v>5</v>
      </c>
      <c r="E4476" s="346">
        <v>-426.55</v>
      </c>
      <c r="F4476" s="346">
        <v>17703.9900000001</v>
      </c>
      <c r="G4476" s="343" t="s">
        <v>2174</v>
      </c>
      <c r="H4476" s="343" t="s">
        <v>2222</v>
      </c>
      <c r="I4476" s="343" t="s">
        <v>1880</v>
      </c>
      <c r="J4476" s="343" t="s">
        <v>757</v>
      </c>
      <c r="K4476" s="343" t="s">
        <v>741</v>
      </c>
      <c r="L4476" s="344">
        <v>44135</v>
      </c>
      <c r="M4476" s="347">
        <v>0</v>
      </c>
    </row>
    <row r="4477" spans="1:13" hidden="1" x14ac:dyDescent="0.25">
      <c r="A4477" s="344">
        <v>44138</v>
      </c>
      <c r="B4477" s="343" t="s">
        <v>2181</v>
      </c>
      <c r="C4477" s="343" t="s">
        <v>769</v>
      </c>
      <c r="D4477" s="345">
        <v>5</v>
      </c>
      <c r="E4477" s="346">
        <v>157.63</v>
      </c>
      <c r="F4477" s="346">
        <v>17861.620000000101</v>
      </c>
      <c r="G4477" s="343" t="s">
        <v>2182</v>
      </c>
      <c r="H4477" s="343" t="s">
        <v>2222</v>
      </c>
      <c r="I4477" s="343" t="s">
        <v>1880</v>
      </c>
      <c r="J4477" s="343" t="s">
        <v>757</v>
      </c>
      <c r="K4477" s="343" t="s">
        <v>770</v>
      </c>
      <c r="L4477" s="344">
        <v>44138</v>
      </c>
      <c r="M4477" s="347">
        <v>0</v>
      </c>
    </row>
    <row r="4478" spans="1:13" hidden="1" x14ac:dyDescent="0.25">
      <c r="A4478" s="344">
        <v>44138</v>
      </c>
      <c r="B4478" s="343" t="s">
        <v>2183</v>
      </c>
      <c r="C4478" s="343" t="s">
        <v>769</v>
      </c>
      <c r="D4478" s="345">
        <v>5</v>
      </c>
      <c r="E4478" s="346">
        <v>58.73</v>
      </c>
      <c r="F4478" s="346">
        <v>17920.3500000001</v>
      </c>
      <c r="G4478" s="343" t="s">
        <v>2184</v>
      </c>
      <c r="H4478" s="343" t="s">
        <v>2222</v>
      </c>
      <c r="I4478" s="343" t="s">
        <v>1880</v>
      </c>
      <c r="J4478" s="343" t="s">
        <v>757</v>
      </c>
      <c r="K4478" s="343" t="s">
        <v>770</v>
      </c>
      <c r="L4478" s="344">
        <v>44138</v>
      </c>
      <c r="M4478" s="347">
        <v>0</v>
      </c>
    </row>
    <row r="4479" spans="1:13" hidden="1" x14ac:dyDescent="0.25">
      <c r="A4479" s="344">
        <v>44148</v>
      </c>
      <c r="B4479" s="343" t="s">
        <v>1958</v>
      </c>
      <c r="C4479" s="343" t="s">
        <v>1059</v>
      </c>
      <c r="D4479" s="345">
        <v>5</v>
      </c>
      <c r="E4479" s="346">
        <v>-58.71</v>
      </c>
      <c r="F4479" s="346">
        <v>17861.640000000101</v>
      </c>
      <c r="G4479" s="343" t="s">
        <v>1959</v>
      </c>
      <c r="H4479" s="343" t="s">
        <v>2222</v>
      </c>
      <c r="I4479" s="343" t="s">
        <v>1880</v>
      </c>
      <c r="J4479" s="343" t="s">
        <v>757</v>
      </c>
      <c r="K4479" s="343" t="s">
        <v>741</v>
      </c>
      <c r="L4479" s="344">
        <v>44148</v>
      </c>
      <c r="M4479" s="347">
        <v>0</v>
      </c>
    </row>
    <row r="4480" spans="1:13" hidden="1" x14ac:dyDescent="0.25">
      <c r="A4480" s="344">
        <v>44160</v>
      </c>
      <c r="B4480" s="343" t="s">
        <v>1960</v>
      </c>
      <c r="C4480" s="343" t="s">
        <v>1059</v>
      </c>
      <c r="D4480" s="345">
        <v>5</v>
      </c>
      <c r="E4480" s="346">
        <v>-40.17</v>
      </c>
      <c r="F4480" s="346">
        <v>17821.470000000099</v>
      </c>
      <c r="G4480" s="343" t="s">
        <v>1961</v>
      </c>
      <c r="H4480" s="343" t="s">
        <v>2222</v>
      </c>
      <c r="I4480" s="343" t="s">
        <v>1880</v>
      </c>
      <c r="J4480" s="343" t="s">
        <v>757</v>
      </c>
      <c r="K4480" s="343" t="s">
        <v>741</v>
      </c>
      <c r="L4480" s="344">
        <v>44160</v>
      </c>
      <c r="M4480" s="347">
        <v>0</v>
      </c>
    </row>
    <row r="4481" spans="1:13" hidden="1" x14ac:dyDescent="0.25">
      <c r="A4481" s="344">
        <v>44165</v>
      </c>
      <c r="B4481" s="343" t="s">
        <v>1906</v>
      </c>
      <c r="C4481" s="343" t="s">
        <v>1060</v>
      </c>
      <c r="D4481" s="345">
        <v>5</v>
      </c>
      <c r="E4481" s="346">
        <v>238</v>
      </c>
      <c r="F4481" s="346">
        <v>18059.470000000099</v>
      </c>
      <c r="G4481" s="343" t="s">
        <v>2189</v>
      </c>
      <c r="H4481" s="343" t="s">
        <v>2222</v>
      </c>
      <c r="I4481" s="343" t="s">
        <v>1880</v>
      </c>
      <c r="J4481" s="343" t="s">
        <v>757</v>
      </c>
      <c r="K4481" s="343" t="s">
        <v>741</v>
      </c>
      <c r="L4481" s="344">
        <v>44165</v>
      </c>
      <c r="M4481" s="347">
        <v>0</v>
      </c>
    </row>
    <row r="4482" spans="1:13" hidden="1" x14ac:dyDescent="0.25">
      <c r="A4482" s="344">
        <v>44165</v>
      </c>
      <c r="B4482" s="343" t="s">
        <v>1906</v>
      </c>
      <c r="C4482" s="343" t="s">
        <v>1060</v>
      </c>
      <c r="D4482" s="345">
        <v>6</v>
      </c>
      <c r="E4482" s="346">
        <v>-238</v>
      </c>
      <c r="F4482" s="346">
        <v>17821.470000000099</v>
      </c>
      <c r="G4482" s="343" t="s">
        <v>2189</v>
      </c>
      <c r="H4482" s="343" t="s">
        <v>2222</v>
      </c>
      <c r="I4482" s="343" t="s">
        <v>1880</v>
      </c>
      <c r="J4482" s="343" t="s">
        <v>757</v>
      </c>
      <c r="K4482" s="343" t="s">
        <v>741</v>
      </c>
      <c r="L4482" s="344">
        <v>44165</v>
      </c>
      <c r="M4482" s="347">
        <v>0</v>
      </c>
    </row>
    <row r="4483" spans="1:13" hidden="1" x14ac:dyDescent="0.25">
      <c r="A4483" s="344">
        <v>44165</v>
      </c>
      <c r="B4483" s="343" t="s">
        <v>1962</v>
      </c>
      <c r="C4483" s="343" t="s">
        <v>1059</v>
      </c>
      <c r="D4483" s="345">
        <v>6</v>
      </c>
      <c r="E4483" s="346">
        <v>-77.25</v>
      </c>
      <c r="F4483" s="346">
        <v>17744.220000000099</v>
      </c>
      <c r="G4483" s="343" t="s">
        <v>1963</v>
      </c>
      <c r="H4483" s="343" t="s">
        <v>2222</v>
      </c>
      <c r="I4483" s="343" t="s">
        <v>1880</v>
      </c>
      <c r="J4483" s="343" t="s">
        <v>757</v>
      </c>
      <c r="K4483" s="343" t="s">
        <v>741</v>
      </c>
      <c r="L4483" s="344">
        <v>44165</v>
      </c>
      <c r="M4483" s="347">
        <v>0</v>
      </c>
    </row>
    <row r="4484" spans="1:13" hidden="1" x14ac:dyDescent="0.25">
      <c r="A4484" s="344">
        <v>44166</v>
      </c>
      <c r="B4484" s="343" t="s">
        <v>2190</v>
      </c>
      <c r="C4484" s="343" t="s">
        <v>769</v>
      </c>
      <c r="D4484" s="345">
        <v>6</v>
      </c>
      <c r="E4484" s="346">
        <v>204</v>
      </c>
      <c r="F4484" s="346">
        <v>17948.220000000099</v>
      </c>
      <c r="G4484" s="343" t="s">
        <v>2191</v>
      </c>
      <c r="H4484" s="343" t="s">
        <v>2222</v>
      </c>
      <c r="I4484" s="343" t="s">
        <v>1880</v>
      </c>
      <c r="J4484" s="343" t="s">
        <v>757</v>
      </c>
      <c r="K4484" s="343" t="s">
        <v>770</v>
      </c>
      <c r="L4484" s="344">
        <v>44166</v>
      </c>
      <c r="M4484" s="347">
        <v>0</v>
      </c>
    </row>
    <row r="4485" spans="1:13" hidden="1" x14ac:dyDescent="0.25">
      <c r="A4485" s="344">
        <v>44166</v>
      </c>
      <c r="B4485" s="343" t="s">
        <v>2192</v>
      </c>
      <c r="C4485" s="343" t="s">
        <v>769</v>
      </c>
      <c r="D4485" s="345">
        <v>6</v>
      </c>
      <c r="E4485" s="346">
        <v>34</v>
      </c>
      <c r="F4485" s="346">
        <v>17982.220000000099</v>
      </c>
      <c r="G4485" s="343" t="s">
        <v>2193</v>
      </c>
      <c r="H4485" s="343" t="s">
        <v>2222</v>
      </c>
      <c r="I4485" s="343" t="s">
        <v>1880</v>
      </c>
      <c r="J4485" s="343" t="s">
        <v>757</v>
      </c>
      <c r="K4485" s="343" t="s">
        <v>770</v>
      </c>
      <c r="L4485" s="344">
        <v>44166</v>
      </c>
      <c r="M4485" s="347">
        <v>0</v>
      </c>
    </row>
    <row r="4486" spans="1:13" hidden="1" x14ac:dyDescent="0.25">
      <c r="A4486" s="344">
        <v>44187</v>
      </c>
      <c r="B4486" s="343" t="s">
        <v>1966</v>
      </c>
      <c r="C4486" s="343" t="s">
        <v>1059</v>
      </c>
      <c r="D4486" s="345">
        <v>6</v>
      </c>
      <c r="E4486" s="346">
        <v>-115.6</v>
      </c>
      <c r="F4486" s="346">
        <v>17866.620000000101</v>
      </c>
      <c r="G4486" s="343" t="s">
        <v>1967</v>
      </c>
      <c r="H4486" s="343" t="s">
        <v>2222</v>
      </c>
      <c r="I4486" s="343" t="s">
        <v>1880</v>
      </c>
      <c r="J4486" s="343" t="s">
        <v>757</v>
      </c>
      <c r="K4486" s="343" t="s">
        <v>741</v>
      </c>
      <c r="L4486" s="344">
        <v>44187</v>
      </c>
      <c r="M4486" s="347">
        <v>0</v>
      </c>
    </row>
    <row r="4487" spans="1:13" hidden="1" x14ac:dyDescent="0.25">
      <c r="A4487" s="344">
        <v>44196</v>
      </c>
      <c r="B4487" s="343" t="s">
        <v>1910</v>
      </c>
      <c r="C4487" s="343" t="s">
        <v>1060</v>
      </c>
      <c r="D4487" s="345">
        <v>6</v>
      </c>
      <c r="E4487" s="346">
        <v>568.73</v>
      </c>
      <c r="F4487" s="346">
        <v>18435.3500000001</v>
      </c>
      <c r="G4487" s="343" t="s">
        <v>2196</v>
      </c>
      <c r="H4487" s="343" t="s">
        <v>2222</v>
      </c>
      <c r="I4487" s="343" t="s">
        <v>1880</v>
      </c>
      <c r="J4487" s="343" t="s">
        <v>757</v>
      </c>
      <c r="K4487" s="343" t="s">
        <v>741</v>
      </c>
      <c r="L4487" s="344">
        <v>44196</v>
      </c>
      <c r="M4487" s="347">
        <v>0</v>
      </c>
    </row>
    <row r="4488" spans="1:13" hidden="1" x14ac:dyDescent="0.25">
      <c r="A4488" s="344">
        <v>44196</v>
      </c>
      <c r="B4488" s="343" t="s">
        <v>1910</v>
      </c>
      <c r="C4488" s="343" t="s">
        <v>1060</v>
      </c>
      <c r="D4488" s="345">
        <v>7</v>
      </c>
      <c r="E4488" s="346">
        <v>-568.73</v>
      </c>
      <c r="F4488" s="346">
        <v>17866.620000000101</v>
      </c>
      <c r="G4488" s="343" t="s">
        <v>2196</v>
      </c>
      <c r="H4488" s="343" t="s">
        <v>2222</v>
      </c>
      <c r="I4488" s="343" t="s">
        <v>1880</v>
      </c>
      <c r="J4488" s="343" t="s">
        <v>757</v>
      </c>
      <c r="K4488" s="343" t="s">
        <v>741</v>
      </c>
      <c r="L4488" s="344">
        <v>44196</v>
      </c>
      <c r="M4488" s="347">
        <v>0</v>
      </c>
    </row>
    <row r="4489" spans="1:13" hidden="1" x14ac:dyDescent="0.25">
      <c r="A4489" s="344">
        <v>44200</v>
      </c>
      <c r="B4489" s="343" t="s">
        <v>2199</v>
      </c>
      <c r="C4489" s="343" t="s">
        <v>769</v>
      </c>
      <c r="D4489" s="345">
        <v>7</v>
      </c>
      <c r="E4489" s="346">
        <v>476</v>
      </c>
      <c r="F4489" s="346">
        <v>18342.620000000101</v>
      </c>
      <c r="G4489" s="343" t="s">
        <v>2200</v>
      </c>
      <c r="H4489" s="343" t="s">
        <v>2222</v>
      </c>
      <c r="I4489" s="343" t="s">
        <v>1880</v>
      </c>
      <c r="J4489" s="343" t="s">
        <v>757</v>
      </c>
      <c r="K4489" s="343" t="s">
        <v>770</v>
      </c>
      <c r="L4489" s="344">
        <v>44200</v>
      </c>
      <c r="M4489" s="347">
        <v>0</v>
      </c>
    </row>
    <row r="4490" spans="1:13" hidden="1" x14ac:dyDescent="0.25">
      <c r="A4490" s="344">
        <v>44200</v>
      </c>
      <c r="B4490" s="343" t="s">
        <v>2201</v>
      </c>
      <c r="C4490" s="343" t="s">
        <v>769</v>
      </c>
      <c r="D4490" s="345">
        <v>7</v>
      </c>
      <c r="E4490" s="346">
        <v>92.73</v>
      </c>
      <c r="F4490" s="346">
        <v>18435.3500000001</v>
      </c>
      <c r="G4490" s="343" t="s">
        <v>2202</v>
      </c>
      <c r="H4490" s="343" t="s">
        <v>2222</v>
      </c>
      <c r="I4490" s="343" t="s">
        <v>1880</v>
      </c>
      <c r="J4490" s="343" t="s">
        <v>757</v>
      </c>
      <c r="K4490" s="343" t="s">
        <v>770</v>
      </c>
      <c r="L4490" s="344">
        <v>44200</v>
      </c>
      <c r="M4490" s="347">
        <v>0</v>
      </c>
    </row>
    <row r="4491" spans="1:13" hidden="1" x14ac:dyDescent="0.25">
      <c r="A4491" s="344">
        <v>44203</v>
      </c>
      <c r="B4491" s="343" t="s">
        <v>1970</v>
      </c>
      <c r="C4491" s="343" t="s">
        <v>1059</v>
      </c>
      <c r="D4491" s="345">
        <v>7</v>
      </c>
      <c r="E4491" s="346">
        <v>-170</v>
      </c>
      <c r="F4491" s="346">
        <v>18265.3500000001</v>
      </c>
      <c r="G4491" s="343" t="s">
        <v>1971</v>
      </c>
      <c r="H4491" s="343" t="s">
        <v>2222</v>
      </c>
      <c r="I4491" s="343" t="s">
        <v>1880</v>
      </c>
      <c r="J4491" s="343" t="s">
        <v>757</v>
      </c>
      <c r="K4491" s="343" t="s">
        <v>741</v>
      </c>
      <c r="L4491" s="344">
        <v>44203</v>
      </c>
      <c r="M4491" s="347">
        <v>0</v>
      </c>
    </row>
    <row r="4492" spans="1:13" hidden="1" x14ac:dyDescent="0.25">
      <c r="A4492" s="344">
        <v>44218</v>
      </c>
      <c r="B4492" s="343" t="s">
        <v>1972</v>
      </c>
      <c r="C4492" s="343" t="s">
        <v>1059</v>
      </c>
      <c r="D4492" s="345">
        <v>7</v>
      </c>
      <c r="E4492" s="346">
        <v>-197.2</v>
      </c>
      <c r="F4492" s="346">
        <v>18068.1500000001</v>
      </c>
      <c r="G4492" s="343" t="s">
        <v>1973</v>
      </c>
      <c r="H4492" s="343" t="s">
        <v>2222</v>
      </c>
      <c r="I4492" s="343" t="s">
        <v>1880</v>
      </c>
      <c r="J4492" s="343" t="s">
        <v>757</v>
      </c>
      <c r="K4492" s="343" t="s">
        <v>741</v>
      </c>
      <c r="L4492" s="344">
        <v>44218</v>
      </c>
      <c r="M4492" s="347">
        <v>0</v>
      </c>
    </row>
    <row r="4493" spans="1:13" hidden="1" x14ac:dyDescent="0.25">
      <c r="A4493" s="344">
        <v>44227</v>
      </c>
      <c r="B4493" s="343" t="s">
        <v>2009</v>
      </c>
      <c r="C4493" s="343" t="s">
        <v>1060</v>
      </c>
      <c r="D4493" s="345">
        <v>7</v>
      </c>
      <c r="E4493" s="346">
        <v>568.73</v>
      </c>
      <c r="F4493" s="346">
        <v>18636.880000000099</v>
      </c>
      <c r="G4493" s="343" t="s">
        <v>2203</v>
      </c>
      <c r="H4493" s="343" t="s">
        <v>2222</v>
      </c>
      <c r="I4493" s="343" t="s">
        <v>1880</v>
      </c>
      <c r="J4493" s="343" t="s">
        <v>757</v>
      </c>
      <c r="K4493" s="343" t="s">
        <v>741</v>
      </c>
      <c r="L4493" s="344">
        <v>44227</v>
      </c>
      <c r="M4493" s="347">
        <v>0</v>
      </c>
    </row>
    <row r="4494" spans="1:13" hidden="1" x14ac:dyDescent="0.25">
      <c r="A4494" s="344">
        <v>44227</v>
      </c>
      <c r="B4494" s="343" t="s">
        <v>2009</v>
      </c>
      <c r="C4494" s="343" t="s">
        <v>1060</v>
      </c>
      <c r="D4494" s="345">
        <v>8</v>
      </c>
      <c r="E4494" s="346">
        <v>-568.73</v>
      </c>
      <c r="F4494" s="346">
        <v>18068.1500000001</v>
      </c>
      <c r="G4494" s="343" t="s">
        <v>2203</v>
      </c>
      <c r="H4494" s="343" t="s">
        <v>2222</v>
      </c>
      <c r="I4494" s="343" t="s">
        <v>1880</v>
      </c>
      <c r="J4494" s="343" t="s">
        <v>757</v>
      </c>
      <c r="K4494" s="343" t="s">
        <v>741</v>
      </c>
      <c r="L4494" s="344">
        <v>44227</v>
      </c>
      <c r="M4494" s="347">
        <v>0</v>
      </c>
    </row>
    <row r="4495" spans="1:13" hidden="1" x14ac:dyDescent="0.25">
      <c r="A4495" s="344">
        <v>44227</v>
      </c>
      <c r="B4495" s="343" t="s">
        <v>1974</v>
      </c>
      <c r="C4495" s="343" t="s">
        <v>1059</v>
      </c>
      <c r="D4495" s="345">
        <v>8</v>
      </c>
      <c r="E4495" s="346">
        <v>-149.6</v>
      </c>
      <c r="F4495" s="346">
        <v>17918.550000000101</v>
      </c>
      <c r="G4495" s="343" t="s">
        <v>1975</v>
      </c>
      <c r="H4495" s="343" t="s">
        <v>2222</v>
      </c>
      <c r="I4495" s="343" t="s">
        <v>1880</v>
      </c>
      <c r="J4495" s="343" t="s">
        <v>757</v>
      </c>
      <c r="K4495" s="343" t="s">
        <v>741</v>
      </c>
      <c r="L4495" s="344">
        <v>44227</v>
      </c>
      <c r="M4495" s="347">
        <v>0</v>
      </c>
    </row>
    <row r="4496" spans="1:13" hidden="1" x14ac:dyDescent="0.25">
      <c r="A4496" s="344">
        <v>44232</v>
      </c>
      <c r="B4496" s="343" t="s">
        <v>2206</v>
      </c>
      <c r="C4496" s="343" t="s">
        <v>769</v>
      </c>
      <c r="D4496" s="345">
        <v>8</v>
      </c>
      <c r="E4496" s="346">
        <v>451.27</v>
      </c>
      <c r="F4496" s="346">
        <v>18369.820000000102</v>
      </c>
      <c r="G4496" s="343" t="s">
        <v>2207</v>
      </c>
      <c r="H4496" s="343" t="s">
        <v>2222</v>
      </c>
      <c r="I4496" s="343" t="s">
        <v>1880</v>
      </c>
      <c r="J4496" s="343" t="s">
        <v>757</v>
      </c>
      <c r="K4496" s="343" t="s">
        <v>770</v>
      </c>
      <c r="L4496" s="344">
        <v>44232</v>
      </c>
      <c r="M4496" s="347">
        <v>0</v>
      </c>
    </row>
    <row r="4497" spans="1:13" hidden="1" x14ac:dyDescent="0.25">
      <c r="A4497" s="344">
        <v>44232</v>
      </c>
      <c r="B4497" s="343" t="s">
        <v>2208</v>
      </c>
      <c r="C4497" s="343" t="s">
        <v>769</v>
      </c>
      <c r="D4497" s="345">
        <v>8</v>
      </c>
      <c r="E4497" s="346">
        <v>80.36</v>
      </c>
      <c r="F4497" s="346">
        <v>18450.180000000099</v>
      </c>
      <c r="G4497" s="343" t="s">
        <v>2209</v>
      </c>
      <c r="H4497" s="343" t="s">
        <v>2222</v>
      </c>
      <c r="I4497" s="343" t="s">
        <v>1880</v>
      </c>
      <c r="J4497" s="343" t="s">
        <v>757</v>
      </c>
      <c r="K4497" s="343" t="s">
        <v>770</v>
      </c>
      <c r="L4497" s="344">
        <v>44232</v>
      </c>
      <c r="M4497" s="347">
        <v>0</v>
      </c>
    </row>
    <row r="4498" spans="1:13" hidden="1" x14ac:dyDescent="0.25">
      <c r="A4498" s="344">
        <v>44244</v>
      </c>
      <c r="B4498" s="343" t="s">
        <v>1978</v>
      </c>
      <c r="C4498" s="343" t="s">
        <v>1059</v>
      </c>
      <c r="D4498" s="345">
        <v>8</v>
      </c>
      <c r="E4498" s="346">
        <v>-136</v>
      </c>
      <c r="F4498" s="346">
        <v>18314.180000000099</v>
      </c>
      <c r="G4498" s="343" t="s">
        <v>1979</v>
      </c>
      <c r="H4498" s="343" t="s">
        <v>2222</v>
      </c>
      <c r="I4498" s="343" t="s">
        <v>1880</v>
      </c>
      <c r="J4498" s="343" t="s">
        <v>757</v>
      </c>
      <c r="K4498" s="343" t="s">
        <v>741</v>
      </c>
      <c r="L4498" s="344">
        <v>44244</v>
      </c>
      <c r="M4498" s="347">
        <v>0</v>
      </c>
    </row>
    <row r="4499" spans="1:13" hidden="1" x14ac:dyDescent="0.25">
      <c r="A4499" s="344">
        <v>44255</v>
      </c>
      <c r="B4499" s="343" t="s">
        <v>2073</v>
      </c>
      <c r="C4499" s="343" t="s">
        <v>1060</v>
      </c>
      <c r="D4499" s="345">
        <v>8</v>
      </c>
      <c r="E4499" s="346">
        <v>531.64</v>
      </c>
      <c r="F4499" s="346">
        <v>18845.820000000102</v>
      </c>
      <c r="G4499" s="343" t="s">
        <v>2210</v>
      </c>
      <c r="H4499" s="343" t="s">
        <v>2222</v>
      </c>
      <c r="I4499" s="343" t="s">
        <v>1880</v>
      </c>
      <c r="J4499" s="343" t="s">
        <v>757</v>
      </c>
      <c r="K4499" s="343" t="s">
        <v>741</v>
      </c>
      <c r="L4499" s="344">
        <v>44255</v>
      </c>
      <c r="M4499" s="347">
        <v>0</v>
      </c>
    </row>
    <row r="4500" spans="1:13" hidden="1" x14ac:dyDescent="0.25">
      <c r="A4500" s="344">
        <v>44255</v>
      </c>
      <c r="B4500" s="343" t="s">
        <v>2073</v>
      </c>
      <c r="C4500" s="343" t="s">
        <v>1060</v>
      </c>
      <c r="D4500" s="345">
        <v>9</v>
      </c>
      <c r="E4500" s="346">
        <v>-531.64</v>
      </c>
      <c r="F4500" s="346">
        <v>18314.180000000099</v>
      </c>
      <c r="G4500" s="343" t="s">
        <v>2210</v>
      </c>
      <c r="H4500" s="343" t="s">
        <v>2222</v>
      </c>
      <c r="I4500" s="343" t="s">
        <v>1880</v>
      </c>
      <c r="J4500" s="343" t="s">
        <v>757</v>
      </c>
      <c r="K4500" s="343" t="s">
        <v>741</v>
      </c>
      <c r="L4500" s="344">
        <v>44255</v>
      </c>
      <c r="M4500" s="347">
        <v>0</v>
      </c>
    </row>
    <row r="4501" spans="1:13" hidden="1" x14ac:dyDescent="0.25">
      <c r="A4501" s="344">
        <v>44255</v>
      </c>
      <c r="B4501" s="343" t="s">
        <v>2213</v>
      </c>
      <c r="C4501" s="343" t="s">
        <v>769</v>
      </c>
      <c r="D4501" s="345">
        <v>9</v>
      </c>
      <c r="E4501" s="346">
        <v>321.45</v>
      </c>
      <c r="F4501" s="346">
        <v>18635.630000000099</v>
      </c>
      <c r="G4501" s="343" t="s">
        <v>2212</v>
      </c>
      <c r="H4501" s="343" t="s">
        <v>2222</v>
      </c>
      <c r="I4501" s="343" t="s">
        <v>1880</v>
      </c>
      <c r="J4501" s="343" t="s">
        <v>757</v>
      </c>
      <c r="K4501" s="343" t="s">
        <v>770</v>
      </c>
      <c r="L4501" s="344">
        <v>44255</v>
      </c>
      <c r="M4501" s="347">
        <v>0</v>
      </c>
    </row>
    <row r="4502" spans="1:13" hidden="1" x14ac:dyDescent="0.25">
      <c r="A4502" s="344">
        <v>44255</v>
      </c>
      <c r="B4502" s="343" t="s">
        <v>2214</v>
      </c>
      <c r="C4502" s="343" t="s">
        <v>769</v>
      </c>
      <c r="D4502" s="345">
        <v>9</v>
      </c>
      <c r="E4502" s="346">
        <v>68</v>
      </c>
      <c r="F4502" s="346">
        <v>18703.630000000099</v>
      </c>
      <c r="G4502" s="343" t="s">
        <v>2212</v>
      </c>
      <c r="H4502" s="343" t="s">
        <v>2222</v>
      </c>
      <c r="I4502" s="343" t="s">
        <v>1880</v>
      </c>
      <c r="J4502" s="343" t="s">
        <v>757</v>
      </c>
      <c r="K4502" s="343" t="s">
        <v>770</v>
      </c>
      <c r="L4502" s="344">
        <v>44255</v>
      </c>
      <c r="M4502" s="347">
        <v>0</v>
      </c>
    </row>
    <row r="4503" spans="1:13" hidden="1" x14ac:dyDescent="0.25">
      <c r="A4503" s="344">
        <v>44259</v>
      </c>
      <c r="B4503" s="343" t="s">
        <v>1939</v>
      </c>
      <c r="C4503" s="343" t="s">
        <v>1059</v>
      </c>
      <c r="D4503" s="345">
        <v>9</v>
      </c>
      <c r="E4503" s="346">
        <v>-251.6</v>
      </c>
      <c r="F4503" s="346">
        <v>18452.030000000101</v>
      </c>
      <c r="G4503" s="343" t="s">
        <v>1940</v>
      </c>
      <c r="H4503" s="343" t="s">
        <v>2222</v>
      </c>
      <c r="I4503" s="343" t="s">
        <v>1880</v>
      </c>
      <c r="J4503" s="343" t="s">
        <v>757</v>
      </c>
      <c r="K4503" s="343" t="s">
        <v>741</v>
      </c>
      <c r="L4503" s="344">
        <v>44259</v>
      </c>
      <c r="M4503" s="347">
        <v>0</v>
      </c>
    </row>
    <row r="4504" spans="1:13" hidden="1" x14ac:dyDescent="0.25">
      <c r="A4504" s="344">
        <v>44272</v>
      </c>
      <c r="B4504" s="343" t="s">
        <v>1982</v>
      </c>
      <c r="C4504" s="343" t="s">
        <v>1059</v>
      </c>
      <c r="D4504" s="345">
        <v>9</v>
      </c>
      <c r="E4504" s="346">
        <v>-217.6</v>
      </c>
      <c r="F4504" s="346">
        <v>18234.430000000099</v>
      </c>
      <c r="G4504" s="343" t="s">
        <v>1983</v>
      </c>
      <c r="H4504" s="343" t="s">
        <v>2222</v>
      </c>
      <c r="I4504" s="343" t="s">
        <v>1880</v>
      </c>
      <c r="J4504" s="343" t="s">
        <v>757</v>
      </c>
      <c r="K4504" s="343" t="s">
        <v>741</v>
      </c>
      <c r="L4504" s="344">
        <v>44272</v>
      </c>
      <c r="M4504" s="347">
        <v>0</v>
      </c>
    </row>
    <row r="4505" spans="1:13" hidden="1" x14ac:dyDescent="0.25">
      <c r="A4505" s="344">
        <v>44286</v>
      </c>
      <c r="B4505" s="343" t="s">
        <v>1918</v>
      </c>
      <c r="C4505" s="343" t="s">
        <v>1059</v>
      </c>
      <c r="D4505" s="345">
        <v>9</v>
      </c>
      <c r="E4505" s="346">
        <v>-27.2</v>
      </c>
      <c r="F4505" s="346">
        <v>18207.230000000101</v>
      </c>
      <c r="G4505" s="343" t="s">
        <v>1919</v>
      </c>
      <c r="H4505" s="343" t="s">
        <v>2222</v>
      </c>
      <c r="I4505" s="343" t="s">
        <v>1880</v>
      </c>
      <c r="J4505" s="343" t="s">
        <v>757</v>
      </c>
      <c r="K4505" s="343" t="s">
        <v>741</v>
      </c>
      <c r="L4505" s="344">
        <v>44286</v>
      </c>
      <c r="M4505" s="347">
        <v>0</v>
      </c>
    </row>
    <row r="4506" spans="1:13" hidden="1" x14ac:dyDescent="0.25">
      <c r="A4506" s="344">
        <v>44286</v>
      </c>
      <c r="B4506" s="343" t="s">
        <v>2060</v>
      </c>
      <c r="C4506" s="343" t="s">
        <v>1060</v>
      </c>
      <c r="D4506" s="345">
        <v>9</v>
      </c>
      <c r="E4506" s="346">
        <v>389.45</v>
      </c>
      <c r="F4506" s="346">
        <v>18596.680000000099</v>
      </c>
      <c r="G4506" s="343" t="s">
        <v>2215</v>
      </c>
      <c r="H4506" s="343" t="s">
        <v>2222</v>
      </c>
      <c r="I4506" s="343" t="s">
        <v>1880</v>
      </c>
      <c r="J4506" s="343" t="s">
        <v>757</v>
      </c>
      <c r="K4506" s="343" t="s">
        <v>741</v>
      </c>
      <c r="L4506" s="344">
        <v>44286</v>
      </c>
      <c r="M4506" s="347">
        <v>0</v>
      </c>
    </row>
    <row r="4507" spans="1:13" hidden="1" x14ac:dyDescent="0.25">
      <c r="A4507" s="344">
        <v>44286</v>
      </c>
      <c r="B4507" s="343" t="s">
        <v>2060</v>
      </c>
      <c r="C4507" s="343" t="s">
        <v>1060</v>
      </c>
      <c r="D4507" s="345">
        <v>10</v>
      </c>
      <c r="E4507" s="346">
        <v>-389.45</v>
      </c>
      <c r="F4507" s="346">
        <v>18207.230000000101</v>
      </c>
      <c r="G4507" s="343" t="s">
        <v>2215</v>
      </c>
      <c r="H4507" s="343" t="s">
        <v>2222</v>
      </c>
      <c r="I4507" s="343" t="s">
        <v>1880</v>
      </c>
      <c r="J4507" s="343" t="s">
        <v>757</v>
      </c>
      <c r="K4507" s="343" t="s">
        <v>741</v>
      </c>
      <c r="L4507" s="344">
        <v>44286</v>
      </c>
      <c r="M4507" s="347">
        <v>0</v>
      </c>
    </row>
    <row r="4508" spans="1:13" hidden="1" x14ac:dyDescent="0.25">
      <c r="A4508" s="344">
        <v>44286</v>
      </c>
      <c r="B4508" s="343" t="s">
        <v>2216</v>
      </c>
      <c r="C4508" s="343" t="s">
        <v>769</v>
      </c>
      <c r="D4508" s="345">
        <v>10</v>
      </c>
      <c r="E4508" s="346">
        <v>55.64</v>
      </c>
      <c r="F4508" s="346">
        <v>18262.870000000101</v>
      </c>
      <c r="G4508" s="343" t="s">
        <v>2217</v>
      </c>
      <c r="H4508" s="343" t="s">
        <v>2222</v>
      </c>
      <c r="I4508" s="343" t="s">
        <v>1880</v>
      </c>
      <c r="J4508" s="343" t="s">
        <v>757</v>
      </c>
      <c r="K4508" s="343" t="s">
        <v>770</v>
      </c>
      <c r="L4508" s="344">
        <v>44286</v>
      </c>
      <c r="M4508" s="347">
        <v>0</v>
      </c>
    </row>
    <row r="4509" spans="1:13" hidden="1" x14ac:dyDescent="0.25">
      <c r="A4509" s="344">
        <v>44286</v>
      </c>
      <c r="B4509" s="343" t="s">
        <v>2220</v>
      </c>
      <c r="C4509" s="343" t="s">
        <v>769</v>
      </c>
      <c r="D4509" s="345">
        <v>10</v>
      </c>
      <c r="E4509" s="346">
        <v>284.36</v>
      </c>
      <c r="F4509" s="346">
        <v>18547.230000000101</v>
      </c>
      <c r="G4509" s="343" t="s">
        <v>2221</v>
      </c>
      <c r="H4509" s="343" t="s">
        <v>2222</v>
      </c>
      <c r="I4509" s="343" t="s">
        <v>1880</v>
      </c>
      <c r="J4509" s="343" t="s">
        <v>757</v>
      </c>
      <c r="K4509" s="343" t="s">
        <v>770</v>
      </c>
      <c r="L4509" s="344">
        <v>44286</v>
      </c>
      <c r="M4509" s="347">
        <v>0</v>
      </c>
    </row>
    <row r="4510" spans="1:13" hidden="1" x14ac:dyDescent="0.25">
      <c r="A4510" s="344">
        <v>44316</v>
      </c>
      <c r="B4510" s="343" t="s">
        <v>1078</v>
      </c>
      <c r="C4510" s="343" t="s">
        <v>1060</v>
      </c>
      <c r="D4510" s="345">
        <v>10</v>
      </c>
      <c r="E4510" s="346">
        <v>340</v>
      </c>
      <c r="F4510" s="346">
        <v>18887.230000000101</v>
      </c>
      <c r="G4510" s="343" t="s">
        <v>1077</v>
      </c>
      <c r="H4510" s="343" t="s">
        <v>2222</v>
      </c>
      <c r="I4510" s="343" t="s">
        <v>1880</v>
      </c>
      <c r="J4510" s="343" t="s">
        <v>757</v>
      </c>
      <c r="K4510" s="343" t="s">
        <v>741</v>
      </c>
      <c r="L4510" s="344">
        <v>44316</v>
      </c>
      <c r="M4510" s="347">
        <v>0</v>
      </c>
    </row>
    <row r="4511" spans="1:13" hidden="1" x14ac:dyDescent="0.25">
      <c r="A4511" s="344">
        <v>44327</v>
      </c>
      <c r="B4511" s="343" t="s">
        <v>1924</v>
      </c>
      <c r="C4511" s="343" t="s">
        <v>1059</v>
      </c>
      <c r="D4511" s="345">
        <v>10</v>
      </c>
      <c r="E4511" s="346">
        <v>-54.4</v>
      </c>
      <c r="F4511" s="346">
        <v>18832.8300000001</v>
      </c>
      <c r="G4511" s="343" t="s">
        <v>1923</v>
      </c>
      <c r="H4511" s="343" t="s">
        <v>2222</v>
      </c>
      <c r="I4511" s="343" t="s">
        <v>1880</v>
      </c>
      <c r="J4511" s="343" t="s">
        <v>757</v>
      </c>
      <c r="K4511" s="343" t="s">
        <v>741</v>
      </c>
      <c r="L4511" s="344">
        <v>44327</v>
      </c>
      <c r="M4511" s="347">
        <v>0</v>
      </c>
    </row>
    <row r="4512" spans="1:13" hidden="1" x14ac:dyDescent="0.25">
      <c r="A4512" s="344">
        <v>44327</v>
      </c>
      <c r="B4512" s="343" t="s">
        <v>1922</v>
      </c>
      <c r="C4512" s="343" t="s">
        <v>1059</v>
      </c>
      <c r="D4512" s="345">
        <v>10</v>
      </c>
      <c r="E4512" s="346">
        <v>54.4</v>
      </c>
      <c r="F4512" s="346">
        <v>18887.230000000101</v>
      </c>
      <c r="G4512" s="343" t="s">
        <v>1923</v>
      </c>
      <c r="H4512" s="343" t="s">
        <v>2222</v>
      </c>
      <c r="I4512" s="343" t="s">
        <v>1880</v>
      </c>
      <c r="J4512" s="343" t="s">
        <v>757</v>
      </c>
      <c r="K4512" s="343" t="s">
        <v>741</v>
      </c>
      <c r="L4512" s="344">
        <v>44327</v>
      </c>
      <c r="M4512" s="347">
        <v>0</v>
      </c>
    </row>
    <row r="4513" spans="1:13" hidden="1" x14ac:dyDescent="0.25">
      <c r="A4513" s="344">
        <v>44012</v>
      </c>
      <c r="B4513" s="343" t="s">
        <v>1925</v>
      </c>
      <c r="C4513" s="343" t="s">
        <v>1059</v>
      </c>
      <c r="D4513" s="345">
        <v>1</v>
      </c>
      <c r="E4513" s="346">
        <v>-2.82</v>
      </c>
      <c r="F4513" s="346">
        <v>18712.5600000001</v>
      </c>
      <c r="G4513" s="343" t="s">
        <v>2155</v>
      </c>
      <c r="H4513" s="343" t="s">
        <v>2225</v>
      </c>
      <c r="I4513" s="343" t="s">
        <v>1880</v>
      </c>
      <c r="J4513" s="343" t="s">
        <v>757</v>
      </c>
      <c r="K4513" s="343" t="s">
        <v>741</v>
      </c>
      <c r="L4513" s="344">
        <v>44012</v>
      </c>
      <c r="M4513" s="347">
        <v>0</v>
      </c>
    </row>
    <row r="4514" spans="1:13" hidden="1" x14ac:dyDescent="0.25">
      <c r="A4514" s="344">
        <v>44013</v>
      </c>
      <c r="B4514" s="343" t="s">
        <v>2223</v>
      </c>
      <c r="C4514" s="343" t="s">
        <v>769</v>
      </c>
      <c r="D4514" s="345">
        <v>1</v>
      </c>
      <c r="E4514" s="346">
        <v>2.81</v>
      </c>
      <c r="F4514" s="346">
        <v>18715.370000000101</v>
      </c>
      <c r="G4514" s="343" t="s">
        <v>2224</v>
      </c>
      <c r="H4514" s="343" t="s">
        <v>2225</v>
      </c>
      <c r="I4514" s="343" t="s">
        <v>1880</v>
      </c>
      <c r="J4514" s="343" t="s">
        <v>757</v>
      </c>
      <c r="K4514" s="343" t="s">
        <v>770</v>
      </c>
      <c r="L4514" s="344">
        <v>44013</v>
      </c>
      <c r="M4514" s="347">
        <v>0</v>
      </c>
    </row>
    <row r="4515" spans="1:13" hidden="1" x14ac:dyDescent="0.25">
      <c r="A4515" s="344">
        <v>44043</v>
      </c>
      <c r="B4515" s="343" t="s">
        <v>1891</v>
      </c>
      <c r="C4515" s="343" t="s">
        <v>1060</v>
      </c>
      <c r="D4515" s="345">
        <v>1</v>
      </c>
      <c r="E4515" s="346">
        <v>8.4499999999999993</v>
      </c>
      <c r="F4515" s="346">
        <v>18723.820000000102</v>
      </c>
      <c r="G4515" s="343" t="s">
        <v>2161</v>
      </c>
      <c r="H4515" s="343" t="s">
        <v>2225</v>
      </c>
      <c r="I4515" s="343" t="s">
        <v>1880</v>
      </c>
      <c r="J4515" s="343" t="s">
        <v>757</v>
      </c>
      <c r="K4515" s="343" t="s">
        <v>741</v>
      </c>
      <c r="L4515" s="344">
        <v>44043</v>
      </c>
      <c r="M4515" s="347">
        <v>0</v>
      </c>
    </row>
    <row r="4516" spans="1:13" hidden="1" x14ac:dyDescent="0.25">
      <c r="A4516" s="344">
        <v>44043</v>
      </c>
      <c r="B4516" s="343" t="s">
        <v>2164</v>
      </c>
      <c r="C4516" s="343" t="s">
        <v>769</v>
      </c>
      <c r="D4516" s="345">
        <v>2</v>
      </c>
      <c r="E4516" s="346">
        <v>8.4499999999999993</v>
      </c>
      <c r="F4516" s="346">
        <v>18732.270000000099</v>
      </c>
      <c r="G4516" s="343" t="s">
        <v>2165</v>
      </c>
      <c r="H4516" s="343" t="s">
        <v>2225</v>
      </c>
      <c r="I4516" s="343" t="s">
        <v>1880</v>
      </c>
      <c r="J4516" s="343" t="s">
        <v>757</v>
      </c>
      <c r="K4516" s="343" t="s">
        <v>770</v>
      </c>
      <c r="L4516" s="344">
        <v>44043</v>
      </c>
      <c r="M4516" s="347">
        <v>0</v>
      </c>
    </row>
    <row r="4517" spans="1:13" hidden="1" x14ac:dyDescent="0.25">
      <c r="A4517" s="344">
        <v>44043</v>
      </c>
      <c r="B4517" s="343" t="s">
        <v>1891</v>
      </c>
      <c r="C4517" s="343" t="s">
        <v>1060</v>
      </c>
      <c r="D4517" s="345">
        <v>2</v>
      </c>
      <c r="E4517" s="346">
        <v>-8.4499999999999993</v>
      </c>
      <c r="F4517" s="346">
        <v>18723.820000000102</v>
      </c>
      <c r="G4517" s="343" t="s">
        <v>2161</v>
      </c>
      <c r="H4517" s="343" t="s">
        <v>2225</v>
      </c>
      <c r="I4517" s="343" t="s">
        <v>1880</v>
      </c>
      <c r="J4517" s="343" t="s">
        <v>757</v>
      </c>
      <c r="K4517" s="343" t="s">
        <v>741</v>
      </c>
      <c r="L4517" s="344">
        <v>44043</v>
      </c>
      <c r="M4517" s="347">
        <v>0</v>
      </c>
    </row>
    <row r="4518" spans="1:13" hidden="1" x14ac:dyDescent="0.25">
      <c r="A4518" s="344">
        <v>44052</v>
      </c>
      <c r="B4518" s="343" t="s">
        <v>1930</v>
      </c>
      <c r="C4518" s="343" t="s">
        <v>1059</v>
      </c>
      <c r="D4518" s="345">
        <v>2</v>
      </c>
      <c r="E4518" s="346">
        <v>-16.920000000000002</v>
      </c>
      <c r="F4518" s="346">
        <v>18706.9000000001</v>
      </c>
      <c r="G4518" s="343" t="s">
        <v>1931</v>
      </c>
      <c r="H4518" s="343" t="s">
        <v>2225</v>
      </c>
      <c r="I4518" s="343" t="s">
        <v>1880</v>
      </c>
      <c r="J4518" s="343" t="s">
        <v>757</v>
      </c>
      <c r="K4518" s="343" t="s">
        <v>741</v>
      </c>
      <c r="L4518" s="344">
        <v>44052</v>
      </c>
      <c r="M4518" s="347">
        <v>0</v>
      </c>
    </row>
    <row r="4519" spans="1:13" hidden="1" x14ac:dyDescent="0.25">
      <c r="A4519" s="344">
        <v>44062</v>
      </c>
      <c r="B4519" s="343" t="s">
        <v>1932</v>
      </c>
      <c r="C4519" s="343" t="s">
        <v>1059</v>
      </c>
      <c r="D4519" s="345">
        <v>2</v>
      </c>
      <c r="E4519" s="346">
        <v>-14.1</v>
      </c>
      <c r="F4519" s="346">
        <v>18692.800000000101</v>
      </c>
      <c r="G4519" s="343" t="s">
        <v>1933</v>
      </c>
      <c r="H4519" s="343" t="s">
        <v>2225</v>
      </c>
      <c r="I4519" s="343" t="s">
        <v>1880</v>
      </c>
      <c r="J4519" s="343" t="s">
        <v>757</v>
      </c>
      <c r="K4519" s="343" t="s">
        <v>741</v>
      </c>
      <c r="L4519" s="344">
        <v>44062</v>
      </c>
      <c r="M4519" s="347">
        <v>0</v>
      </c>
    </row>
    <row r="4520" spans="1:13" hidden="1" x14ac:dyDescent="0.25">
      <c r="A4520" s="344">
        <v>44074</v>
      </c>
      <c r="B4520" s="343" t="s">
        <v>1896</v>
      </c>
      <c r="C4520" s="343" t="s">
        <v>1060</v>
      </c>
      <c r="D4520" s="345">
        <v>2</v>
      </c>
      <c r="E4520" s="346">
        <v>25.64</v>
      </c>
      <c r="F4520" s="346">
        <v>18718.440000000101</v>
      </c>
      <c r="G4520" s="343" t="s">
        <v>2168</v>
      </c>
      <c r="H4520" s="343" t="s">
        <v>2225</v>
      </c>
      <c r="I4520" s="343" t="s">
        <v>1880</v>
      </c>
      <c r="J4520" s="343" t="s">
        <v>757</v>
      </c>
      <c r="K4520" s="343" t="s">
        <v>741</v>
      </c>
      <c r="L4520" s="344">
        <v>44074</v>
      </c>
      <c r="M4520" s="347">
        <v>0</v>
      </c>
    </row>
    <row r="4521" spans="1:13" hidden="1" x14ac:dyDescent="0.25">
      <c r="A4521" s="344">
        <v>44074</v>
      </c>
      <c r="B4521" s="343" t="s">
        <v>1896</v>
      </c>
      <c r="C4521" s="343" t="s">
        <v>1060</v>
      </c>
      <c r="D4521" s="345">
        <v>3</v>
      </c>
      <c r="E4521" s="346">
        <v>-25.64</v>
      </c>
      <c r="F4521" s="346">
        <v>18692.800000000101</v>
      </c>
      <c r="G4521" s="343" t="s">
        <v>2168</v>
      </c>
      <c r="H4521" s="343" t="s">
        <v>2225</v>
      </c>
      <c r="I4521" s="343" t="s">
        <v>1880</v>
      </c>
      <c r="J4521" s="343" t="s">
        <v>757</v>
      </c>
      <c r="K4521" s="343" t="s">
        <v>741</v>
      </c>
      <c r="L4521" s="344">
        <v>44074</v>
      </c>
      <c r="M4521" s="347">
        <v>0</v>
      </c>
    </row>
    <row r="4522" spans="1:13" hidden="1" x14ac:dyDescent="0.25">
      <c r="A4522" s="344">
        <v>44083</v>
      </c>
      <c r="B4522" s="343" t="s">
        <v>1948</v>
      </c>
      <c r="C4522" s="343" t="s">
        <v>1059</v>
      </c>
      <c r="D4522" s="345">
        <v>3</v>
      </c>
      <c r="E4522" s="346">
        <v>-5.64</v>
      </c>
      <c r="F4522" s="346">
        <v>18687.160000000102</v>
      </c>
      <c r="G4522" s="343" t="s">
        <v>1949</v>
      </c>
      <c r="H4522" s="343" t="s">
        <v>2225</v>
      </c>
      <c r="I4522" s="343" t="s">
        <v>1880</v>
      </c>
      <c r="J4522" s="343" t="s">
        <v>757</v>
      </c>
      <c r="K4522" s="343" t="s">
        <v>741</v>
      </c>
      <c r="L4522" s="344">
        <v>44083</v>
      </c>
      <c r="M4522" s="347">
        <v>0</v>
      </c>
    </row>
    <row r="4523" spans="1:13" hidden="1" x14ac:dyDescent="0.25">
      <c r="A4523" s="344">
        <v>44085</v>
      </c>
      <c r="B4523" s="343" t="s">
        <v>2171</v>
      </c>
      <c r="C4523" s="343" t="s">
        <v>1059</v>
      </c>
      <c r="D4523" s="345">
        <v>3</v>
      </c>
      <c r="E4523" s="346">
        <v>25.64</v>
      </c>
      <c r="F4523" s="346">
        <v>18712.800000000101</v>
      </c>
      <c r="G4523" s="343" t="s">
        <v>2172</v>
      </c>
      <c r="H4523" s="343" t="s">
        <v>2225</v>
      </c>
      <c r="I4523" s="343" t="s">
        <v>1880</v>
      </c>
      <c r="J4523" s="343" t="s">
        <v>757</v>
      </c>
      <c r="K4523" s="343" t="s">
        <v>741</v>
      </c>
      <c r="L4523" s="344">
        <v>44085</v>
      </c>
      <c r="M4523" s="347">
        <v>0</v>
      </c>
    </row>
    <row r="4524" spans="1:13" hidden="1" x14ac:dyDescent="0.25">
      <c r="A4524" s="344">
        <v>44094</v>
      </c>
      <c r="B4524" s="343" t="s">
        <v>1950</v>
      </c>
      <c r="C4524" s="343" t="s">
        <v>1059</v>
      </c>
      <c r="D4524" s="345">
        <v>3</v>
      </c>
      <c r="E4524" s="346">
        <v>-11.28</v>
      </c>
      <c r="F4524" s="346">
        <v>18701.520000000099</v>
      </c>
      <c r="G4524" s="343" t="s">
        <v>1951</v>
      </c>
      <c r="H4524" s="343" t="s">
        <v>2225</v>
      </c>
      <c r="I4524" s="343" t="s">
        <v>1880</v>
      </c>
      <c r="J4524" s="343" t="s">
        <v>757</v>
      </c>
      <c r="K4524" s="343" t="s">
        <v>741</v>
      </c>
      <c r="L4524" s="344">
        <v>44094</v>
      </c>
      <c r="M4524" s="347">
        <v>0</v>
      </c>
    </row>
    <row r="4525" spans="1:13" hidden="1" x14ac:dyDescent="0.25">
      <c r="A4525" s="344">
        <v>44104</v>
      </c>
      <c r="B4525" s="343" t="s">
        <v>1934</v>
      </c>
      <c r="C4525" s="343" t="s">
        <v>1059</v>
      </c>
      <c r="D4525" s="345">
        <v>3</v>
      </c>
      <c r="E4525" s="346">
        <v>-11.28</v>
      </c>
      <c r="F4525" s="346">
        <v>18690.2400000001</v>
      </c>
      <c r="G4525" s="343" t="s">
        <v>1935</v>
      </c>
      <c r="H4525" s="343" t="s">
        <v>2225</v>
      </c>
      <c r="I4525" s="343" t="s">
        <v>1880</v>
      </c>
      <c r="J4525" s="343" t="s">
        <v>757</v>
      </c>
      <c r="K4525" s="343" t="s">
        <v>741</v>
      </c>
      <c r="L4525" s="344">
        <v>44104</v>
      </c>
      <c r="M4525" s="347">
        <v>0</v>
      </c>
    </row>
    <row r="4526" spans="1:13" hidden="1" x14ac:dyDescent="0.25">
      <c r="A4526" s="344">
        <v>44104</v>
      </c>
      <c r="B4526" s="343" t="s">
        <v>1900</v>
      </c>
      <c r="C4526" s="343" t="s">
        <v>1060</v>
      </c>
      <c r="D4526" s="345">
        <v>3</v>
      </c>
      <c r="E4526" s="346">
        <v>27.82</v>
      </c>
      <c r="F4526" s="346">
        <v>18718.0600000001</v>
      </c>
      <c r="G4526" s="343" t="s">
        <v>2173</v>
      </c>
      <c r="H4526" s="343" t="s">
        <v>2225</v>
      </c>
      <c r="I4526" s="343" t="s">
        <v>1880</v>
      </c>
      <c r="J4526" s="343" t="s">
        <v>757</v>
      </c>
      <c r="K4526" s="343" t="s">
        <v>741</v>
      </c>
      <c r="L4526" s="344">
        <v>44104</v>
      </c>
      <c r="M4526" s="347">
        <v>0</v>
      </c>
    </row>
    <row r="4527" spans="1:13" hidden="1" x14ac:dyDescent="0.25">
      <c r="A4527" s="344">
        <v>44104</v>
      </c>
      <c r="B4527" s="343" t="s">
        <v>1900</v>
      </c>
      <c r="C4527" s="343" t="s">
        <v>1060</v>
      </c>
      <c r="D4527" s="345">
        <v>4</v>
      </c>
      <c r="E4527" s="346">
        <v>-27.82</v>
      </c>
      <c r="F4527" s="346">
        <v>18690.2400000001</v>
      </c>
      <c r="G4527" s="343" t="s">
        <v>2173</v>
      </c>
      <c r="H4527" s="343" t="s">
        <v>2225</v>
      </c>
      <c r="I4527" s="343" t="s">
        <v>1880</v>
      </c>
      <c r="J4527" s="343" t="s">
        <v>757</v>
      </c>
      <c r="K4527" s="343" t="s">
        <v>741</v>
      </c>
      <c r="L4527" s="344">
        <v>44104</v>
      </c>
      <c r="M4527" s="347">
        <v>0</v>
      </c>
    </row>
    <row r="4528" spans="1:13" hidden="1" x14ac:dyDescent="0.25">
      <c r="A4528" s="344">
        <v>44120</v>
      </c>
      <c r="B4528" s="343" t="s">
        <v>1936</v>
      </c>
      <c r="C4528" s="343" t="s">
        <v>1059</v>
      </c>
      <c r="D4528" s="345">
        <v>4</v>
      </c>
      <c r="E4528" s="346">
        <v>-8.4600000000000009</v>
      </c>
      <c r="F4528" s="346">
        <v>18681.780000000101</v>
      </c>
      <c r="G4528" s="343" t="s">
        <v>1937</v>
      </c>
      <c r="H4528" s="343" t="s">
        <v>2225</v>
      </c>
      <c r="I4528" s="343" t="s">
        <v>1880</v>
      </c>
      <c r="J4528" s="343" t="s">
        <v>757</v>
      </c>
      <c r="K4528" s="343" t="s">
        <v>741</v>
      </c>
      <c r="L4528" s="344">
        <v>44120</v>
      </c>
      <c r="M4528" s="347">
        <v>0</v>
      </c>
    </row>
    <row r="4529" spans="1:13" hidden="1" x14ac:dyDescent="0.25">
      <c r="A4529" s="344">
        <v>44135</v>
      </c>
      <c r="B4529" s="343" t="s">
        <v>1904</v>
      </c>
      <c r="C4529" s="343" t="s">
        <v>1060</v>
      </c>
      <c r="D4529" s="345">
        <v>4</v>
      </c>
      <c r="E4529" s="346">
        <v>46.36</v>
      </c>
      <c r="F4529" s="346">
        <v>18728.140000000101</v>
      </c>
      <c r="G4529" s="343" t="s">
        <v>2174</v>
      </c>
      <c r="H4529" s="343" t="s">
        <v>2225</v>
      </c>
      <c r="I4529" s="343" t="s">
        <v>1880</v>
      </c>
      <c r="J4529" s="343" t="s">
        <v>757</v>
      </c>
      <c r="K4529" s="343" t="s">
        <v>741</v>
      </c>
      <c r="L4529" s="344">
        <v>44135</v>
      </c>
      <c r="M4529" s="347">
        <v>0</v>
      </c>
    </row>
    <row r="4530" spans="1:13" hidden="1" x14ac:dyDescent="0.25">
      <c r="A4530" s="344">
        <v>44104</v>
      </c>
      <c r="B4530" s="343" t="s">
        <v>2177</v>
      </c>
      <c r="C4530" s="343" t="s">
        <v>769</v>
      </c>
      <c r="D4530" s="345">
        <v>5</v>
      </c>
      <c r="E4530" s="346">
        <v>27.82</v>
      </c>
      <c r="F4530" s="346">
        <v>18755.960000000101</v>
      </c>
      <c r="G4530" s="343" t="s">
        <v>2178</v>
      </c>
      <c r="H4530" s="343" t="s">
        <v>2225</v>
      </c>
      <c r="I4530" s="343" t="s">
        <v>1880</v>
      </c>
      <c r="J4530" s="343" t="s">
        <v>757</v>
      </c>
      <c r="K4530" s="343" t="s">
        <v>770</v>
      </c>
      <c r="L4530" s="344">
        <v>44104</v>
      </c>
      <c r="M4530" s="347">
        <v>0</v>
      </c>
    </row>
    <row r="4531" spans="1:13" hidden="1" x14ac:dyDescent="0.25">
      <c r="A4531" s="344">
        <v>44135</v>
      </c>
      <c r="B4531" s="343" t="s">
        <v>1904</v>
      </c>
      <c r="C4531" s="343" t="s">
        <v>1060</v>
      </c>
      <c r="D4531" s="345">
        <v>5</v>
      </c>
      <c r="E4531" s="346">
        <v>-46.36</v>
      </c>
      <c r="F4531" s="346">
        <v>18709.6000000001</v>
      </c>
      <c r="G4531" s="343" t="s">
        <v>2174</v>
      </c>
      <c r="H4531" s="343" t="s">
        <v>2225</v>
      </c>
      <c r="I4531" s="343" t="s">
        <v>1880</v>
      </c>
      <c r="J4531" s="343" t="s">
        <v>757</v>
      </c>
      <c r="K4531" s="343" t="s">
        <v>741</v>
      </c>
      <c r="L4531" s="344">
        <v>44135</v>
      </c>
      <c r="M4531" s="347">
        <v>0</v>
      </c>
    </row>
    <row r="4532" spans="1:13" hidden="1" x14ac:dyDescent="0.25">
      <c r="A4532" s="344">
        <v>44138</v>
      </c>
      <c r="B4532" s="343" t="s">
        <v>2183</v>
      </c>
      <c r="C4532" s="343" t="s">
        <v>769</v>
      </c>
      <c r="D4532" s="345">
        <v>5</v>
      </c>
      <c r="E4532" s="346">
        <v>18.54</v>
      </c>
      <c r="F4532" s="346">
        <v>18728.140000000101</v>
      </c>
      <c r="G4532" s="343" t="s">
        <v>2184</v>
      </c>
      <c r="H4532" s="343" t="s">
        <v>2225</v>
      </c>
      <c r="I4532" s="343" t="s">
        <v>1880</v>
      </c>
      <c r="J4532" s="343" t="s">
        <v>757</v>
      </c>
      <c r="K4532" s="343" t="s">
        <v>770</v>
      </c>
      <c r="L4532" s="344">
        <v>44138</v>
      </c>
      <c r="M4532" s="347">
        <v>0</v>
      </c>
    </row>
    <row r="4533" spans="1:13" hidden="1" x14ac:dyDescent="0.25">
      <c r="A4533" s="344">
        <v>44165</v>
      </c>
      <c r="B4533" s="343" t="s">
        <v>1906</v>
      </c>
      <c r="C4533" s="343" t="s">
        <v>1060</v>
      </c>
      <c r="D4533" s="345">
        <v>5</v>
      </c>
      <c r="E4533" s="346">
        <v>37.08</v>
      </c>
      <c r="F4533" s="346">
        <v>18765.220000000099</v>
      </c>
      <c r="G4533" s="343" t="s">
        <v>2189</v>
      </c>
      <c r="H4533" s="343" t="s">
        <v>2225</v>
      </c>
      <c r="I4533" s="343" t="s">
        <v>1880</v>
      </c>
      <c r="J4533" s="343" t="s">
        <v>757</v>
      </c>
      <c r="K4533" s="343" t="s">
        <v>741</v>
      </c>
      <c r="L4533" s="344">
        <v>44165</v>
      </c>
      <c r="M4533" s="347">
        <v>0</v>
      </c>
    </row>
    <row r="4534" spans="1:13" hidden="1" x14ac:dyDescent="0.25">
      <c r="A4534" s="344">
        <v>44165</v>
      </c>
      <c r="B4534" s="343" t="s">
        <v>1906</v>
      </c>
      <c r="C4534" s="343" t="s">
        <v>1060</v>
      </c>
      <c r="D4534" s="345">
        <v>6</v>
      </c>
      <c r="E4534" s="346">
        <v>-37.08</v>
      </c>
      <c r="F4534" s="346">
        <v>18728.140000000101</v>
      </c>
      <c r="G4534" s="343" t="s">
        <v>2189</v>
      </c>
      <c r="H4534" s="343" t="s">
        <v>2225</v>
      </c>
      <c r="I4534" s="343" t="s">
        <v>1880</v>
      </c>
      <c r="J4534" s="343" t="s">
        <v>757</v>
      </c>
      <c r="K4534" s="343" t="s">
        <v>741</v>
      </c>
      <c r="L4534" s="344">
        <v>44165</v>
      </c>
      <c r="M4534" s="347">
        <v>0</v>
      </c>
    </row>
    <row r="4535" spans="1:13" hidden="1" x14ac:dyDescent="0.25">
      <c r="A4535" s="344">
        <v>44166</v>
      </c>
      <c r="B4535" s="343" t="s">
        <v>2192</v>
      </c>
      <c r="C4535" s="343" t="s">
        <v>769</v>
      </c>
      <c r="D4535" s="345">
        <v>6</v>
      </c>
      <c r="E4535" s="346">
        <v>37.090000000000003</v>
      </c>
      <c r="F4535" s="346">
        <v>18765.230000000101</v>
      </c>
      <c r="G4535" s="343" t="s">
        <v>2193</v>
      </c>
      <c r="H4535" s="343" t="s">
        <v>2225</v>
      </c>
      <c r="I4535" s="343" t="s">
        <v>1880</v>
      </c>
      <c r="J4535" s="343" t="s">
        <v>757</v>
      </c>
      <c r="K4535" s="343" t="s">
        <v>770</v>
      </c>
      <c r="L4535" s="344">
        <v>44166</v>
      </c>
      <c r="M4535" s="347">
        <v>0</v>
      </c>
    </row>
    <row r="4536" spans="1:13" hidden="1" x14ac:dyDescent="0.25">
      <c r="A4536" s="344">
        <v>44196</v>
      </c>
      <c r="B4536" s="343" t="s">
        <v>1910</v>
      </c>
      <c r="C4536" s="343" t="s">
        <v>1060</v>
      </c>
      <c r="D4536" s="345">
        <v>6</v>
      </c>
      <c r="E4536" s="346">
        <v>86.55</v>
      </c>
      <c r="F4536" s="346">
        <v>18851.780000000101</v>
      </c>
      <c r="G4536" s="343" t="s">
        <v>2196</v>
      </c>
      <c r="H4536" s="343" t="s">
        <v>2225</v>
      </c>
      <c r="I4536" s="343" t="s">
        <v>1880</v>
      </c>
      <c r="J4536" s="343" t="s">
        <v>757</v>
      </c>
      <c r="K4536" s="343" t="s">
        <v>741</v>
      </c>
      <c r="L4536" s="344">
        <v>44196</v>
      </c>
      <c r="M4536" s="347">
        <v>0</v>
      </c>
    </row>
    <row r="4537" spans="1:13" hidden="1" x14ac:dyDescent="0.25">
      <c r="A4537" s="344">
        <v>44196</v>
      </c>
      <c r="B4537" s="343" t="s">
        <v>1910</v>
      </c>
      <c r="C4537" s="343" t="s">
        <v>1060</v>
      </c>
      <c r="D4537" s="345">
        <v>7</v>
      </c>
      <c r="E4537" s="346">
        <v>-86.55</v>
      </c>
      <c r="F4537" s="346">
        <v>18765.230000000101</v>
      </c>
      <c r="G4537" s="343" t="s">
        <v>2196</v>
      </c>
      <c r="H4537" s="343" t="s">
        <v>2225</v>
      </c>
      <c r="I4537" s="343" t="s">
        <v>1880</v>
      </c>
      <c r="J4537" s="343" t="s">
        <v>757</v>
      </c>
      <c r="K4537" s="343" t="s">
        <v>741</v>
      </c>
      <c r="L4537" s="344">
        <v>44196</v>
      </c>
      <c r="M4537" s="347">
        <v>0</v>
      </c>
    </row>
    <row r="4538" spans="1:13" hidden="1" x14ac:dyDescent="0.25">
      <c r="A4538" s="344">
        <v>44200</v>
      </c>
      <c r="B4538" s="343" t="s">
        <v>2201</v>
      </c>
      <c r="C4538" s="343" t="s">
        <v>769</v>
      </c>
      <c r="D4538" s="345">
        <v>7</v>
      </c>
      <c r="E4538" s="346">
        <v>86.54</v>
      </c>
      <c r="F4538" s="346">
        <v>18851.770000000099</v>
      </c>
      <c r="G4538" s="343" t="s">
        <v>2202</v>
      </c>
      <c r="H4538" s="343" t="s">
        <v>2225</v>
      </c>
      <c r="I4538" s="343" t="s">
        <v>1880</v>
      </c>
      <c r="J4538" s="343" t="s">
        <v>757</v>
      </c>
      <c r="K4538" s="343" t="s">
        <v>770</v>
      </c>
      <c r="L4538" s="344">
        <v>44200</v>
      </c>
      <c r="M4538" s="347">
        <v>0</v>
      </c>
    </row>
    <row r="4539" spans="1:13" hidden="1" x14ac:dyDescent="0.25">
      <c r="A4539" s="344">
        <v>44227</v>
      </c>
      <c r="B4539" s="343" t="s">
        <v>2009</v>
      </c>
      <c r="C4539" s="343" t="s">
        <v>1060</v>
      </c>
      <c r="D4539" s="345">
        <v>7</v>
      </c>
      <c r="E4539" s="346">
        <v>86.55</v>
      </c>
      <c r="F4539" s="346">
        <v>18938.320000000102</v>
      </c>
      <c r="G4539" s="343" t="s">
        <v>2203</v>
      </c>
      <c r="H4539" s="343" t="s">
        <v>2225</v>
      </c>
      <c r="I4539" s="343" t="s">
        <v>1880</v>
      </c>
      <c r="J4539" s="343" t="s">
        <v>757</v>
      </c>
      <c r="K4539" s="343" t="s">
        <v>741</v>
      </c>
      <c r="L4539" s="344">
        <v>44227</v>
      </c>
      <c r="M4539" s="347">
        <v>0</v>
      </c>
    </row>
    <row r="4540" spans="1:13" hidden="1" x14ac:dyDescent="0.25">
      <c r="A4540" s="344">
        <v>44227</v>
      </c>
      <c r="B4540" s="343" t="s">
        <v>2009</v>
      </c>
      <c r="C4540" s="343" t="s">
        <v>1060</v>
      </c>
      <c r="D4540" s="345">
        <v>8</v>
      </c>
      <c r="E4540" s="346">
        <v>-86.55</v>
      </c>
      <c r="F4540" s="346">
        <v>18851.770000000099</v>
      </c>
      <c r="G4540" s="343" t="s">
        <v>2203</v>
      </c>
      <c r="H4540" s="343" t="s">
        <v>2225</v>
      </c>
      <c r="I4540" s="343" t="s">
        <v>1880</v>
      </c>
      <c r="J4540" s="343" t="s">
        <v>757</v>
      </c>
      <c r="K4540" s="343" t="s">
        <v>741</v>
      </c>
      <c r="L4540" s="344">
        <v>44227</v>
      </c>
      <c r="M4540" s="347">
        <v>0</v>
      </c>
    </row>
    <row r="4541" spans="1:13" hidden="1" x14ac:dyDescent="0.25">
      <c r="A4541" s="344">
        <v>44232</v>
      </c>
      <c r="B4541" s="343" t="s">
        <v>2208</v>
      </c>
      <c r="C4541" s="343" t="s">
        <v>769</v>
      </c>
      <c r="D4541" s="345">
        <v>8</v>
      </c>
      <c r="E4541" s="346">
        <v>74.19</v>
      </c>
      <c r="F4541" s="346">
        <v>18925.960000000101</v>
      </c>
      <c r="G4541" s="343" t="s">
        <v>2209</v>
      </c>
      <c r="H4541" s="343" t="s">
        <v>2225</v>
      </c>
      <c r="I4541" s="343" t="s">
        <v>1880</v>
      </c>
      <c r="J4541" s="343" t="s">
        <v>757</v>
      </c>
      <c r="K4541" s="343" t="s">
        <v>770</v>
      </c>
      <c r="L4541" s="344">
        <v>44232</v>
      </c>
      <c r="M4541" s="347">
        <v>0</v>
      </c>
    </row>
    <row r="4542" spans="1:13" hidden="1" x14ac:dyDescent="0.25">
      <c r="A4542" s="344">
        <v>44255</v>
      </c>
      <c r="B4542" s="343" t="s">
        <v>2073</v>
      </c>
      <c r="C4542" s="343" t="s">
        <v>1060</v>
      </c>
      <c r="D4542" s="345">
        <v>8</v>
      </c>
      <c r="E4542" s="346">
        <v>74.180000000000007</v>
      </c>
      <c r="F4542" s="346">
        <v>19000.140000000101</v>
      </c>
      <c r="G4542" s="343" t="s">
        <v>2210</v>
      </c>
      <c r="H4542" s="343" t="s">
        <v>2225</v>
      </c>
      <c r="I4542" s="343" t="s">
        <v>1880</v>
      </c>
      <c r="J4542" s="343" t="s">
        <v>757</v>
      </c>
      <c r="K4542" s="343" t="s">
        <v>741</v>
      </c>
      <c r="L4542" s="344">
        <v>44255</v>
      </c>
      <c r="M4542" s="347">
        <v>0</v>
      </c>
    </row>
    <row r="4543" spans="1:13" hidden="1" x14ac:dyDescent="0.25">
      <c r="A4543" s="344">
        <v>44255</v>
      </c>
      <c r="B4543" s="343" t="s">
        <v>2073</v>
      </c>
      <c r="C4543" s="343" t="s">
        <v>1060</v>
      </c>
      <c r="D4543" s="345">
        <v>9</v>
      </c>
      <c r="E4543" s="346">
        <v>-74.180000000000007</v>
      </c>
      <c r="F4543" s="346">
        <v>18925.960000000101</v>
      </c>
      <c r="G4543" s="343" t="s">
        <v>2210</v>
      </c>
      <c r="H4543" s="343" t="s">
        <v>2225</v>
      </c>
      <c r="I4543" s="343" t="s">
        <v>1880</v>
      </c>
      <c r="J4543" s="343" t="s">
        <v>757</v>
      </c>
      <c r="K4543" s="343" t="s">
        <v>741</v>
      </c>
      <c r="L4543" s="344">
        <v>44255</v>
      </c>
      <c r="M4543" s="347">
        <v>0</v>
      </c>
    </row>
    <row r="4544" spans="1:13" hidden="1" x14ac:dyDescent="0.25">
      <c r="A4544" s="344">
        <v>44286</v>
      </c>
      <c r="B4544" s="343" t="s">
        <v>2216</v>
      </c>
      <c r="C4544" s="343" t="s">
        <v>769</v>
      </c>
      <c r="D4544" s="345">
        <v>10</v>
      </c>
      <c r="E4544" s="346">
        <v>68</v>
      </c>
      <c r="F4544" s="346">
        <v>18993.960000000101</v>
      </c>
      <c r="G4544" s="343" t="s">
        <v>2217</v>
      </c>
      <c r="H4544" s="343" t="s">
        <v>2225</v>
      </c>
      <c r="I4544" s="343" t="s">
        <v>1880</v>
      </c>
      <c r="J4544" s="343" t="s">
        <v>757</v>
      </c>
      <c r="K4544" s="343" t="s">
        <v>770</v>
      </c>
      <c r="L4544" s="344">
        <v>44286</v>
      </c>
      <c r="M4544" s="347">
        <v>0</v>
      </c>
    </row>
    <row r="4545" spans="1:13" hidden="1" x14ac:dyDescent="0.25">
      <c r="A4545" s="344">
        <v>44286</v>
      </c>
      <c r="B4545" s="343" t="s">
        <v>2220</v>
      </c>
      <c r="C4545" s="343" t="s">
        <v>769</v>
      </c>
      <c r="D4545" s="345">
        <v>10</v>
      </c>
      <c r="E4545" s="346">
        <v>37.090000000000003</v>
      </c>
      <c r="F4545" s="346">
        <v>19031.050000000101</v>
      </c>
      <c r="G4545" s="343" t="s">
        <v>2221</v>
      </c>
      <c r="H4545" s="343" t="s">
        <v>2225</v>
      </c>
      <c r="I4545" s="343" t="s">
        <v>1880</v>
      </c>
      <c r="J4545" s="343" t="s">
        <v>757</v>
      </c>
      <c r="K4545" s="343" t="s">
        <v>770</v>
      </c>
      <c r="L4545" s="344">
        <v>44286</v>
      </c>
      <c r="M4545" s="347">
        <v>0</v>
      </c>
    </row>
    <row r="4546" spans="1:13" hidden="1" x14ac:dyDescent="0.25">
      <c r="A4546" s="344">
        <v>44316</v>
      </c>
      <c r="B4546" s="343" t="s">
        <v>1078</v>
      </c>
      <c r="C4546" s="343" t="s">
        <v>1060</v>
      </c>
      <c r="D4546" s="345">
        <v>10</v>
      </c>
      <c r="E4546" s="346">
        <v>105.09</v>
      </c>
      <c r="F4546" s="346">
        <v>19136.140000000101</v>
      </c>
      <c r="G4546" s="343" t="s">
        <v>1077</v>
      </c>
      <c r="H4546" s="343" t="s">
        <v>2225</v>
      </c>
      <c r="I4546" s="343" t="s">
        <v>1880</v>
      </c>
      <c r="J4546" s="343" t="s">
        <v>757</v>
      </c>
      <c r="K4546" s="343" t="s">
        <v>741</v>
      </c>
      <c r="L4546" s="344">
        <v>44316</v>
      </c>
      <c r="M4546" s="347">
        <v>0</v>
      </c>
    </row>
    <row r="4547" spans="1:13" hidden="1" x14ac:dyDescent="0.25">
      <c r="A4547" s="344">
        <v>44286</v>
      </c>
      <c r="B4547" s="343" t="s">
        <v>2220</v>
      </c>
      <c r="C4547" s="343" t="s">
        <v>769</v>
      </c>
      <c r="D4547" s="345">
        <v>10</v>
      </c>
      <c r="E4547" s="346">
        <v>234.91</v>
      </c>
      <c r="F4547" s="346">
        <v>19371.050000000101</v>
      </c>
      <c r="G4547" s="343" t="s">
        <v>2221</v>
      </c>
      <c r="H4547" s="343" t="s">
        <v>2226</v>
      </c>
      <c r="I4547" s="343" t="s">
        <v>1880</v>
      </c>
      <c r="J4547" s="343" t="s">
        <v>757</v>
      </c>
      <c r="K4547" s="343" t="s">
        <v>770</v>
      </c>
      <c r="L4547" s="344">
        <v>44286</v>
      </c>
      <c r="M4547" s="347">
        <v>0</v>
      </c>
    </row>
    <row r="4548" spans="1:13" hidden="1" x14ac:dyDescent="0.25">
      <c r="A4548" s="344">
        <v>44012</v>
      </c>
      <c r="B4548" s="343" t="s">
        <v>1925</v>
      </c>
      <c r="C4548" s="343" t="s">
        <v>1059</v>
      </c>
      <c r="D4548" s="345">
        <v>1</v>
      </c>
      <c r="E4548" s="346">
        <v>-33.82</v>
      </c>
      <c r="F4548" s="346">
        <v>19337.230000000101</v>
      </c>
      <c r="G4548" s="343" t="s">
        <v>2155</v>
      </c>
      <c r="H4548" s="343" t="s">
        <v>2227</v>
      </c>
      <c r="I4548" s="343" t="s">
        <v>1880</v>
      </c>
      <c r="J4548" s="343" t="s">
        <v>757</v>
      </c>
      <c r="K4548" s="343" t="s">
        <v>741</v>
      </c>
      <c r="L4548" s="344">
        <v>44012</v>
      </c>
      <c r="M4548" s="347">
        <v>0</v>
      </c>
    </row>
    <row r="4549" spans="1:13" hidden="1" x14ac:dyDescent="0.25">
      <c r="A4549" s="344">
        <v>44013</v>
      </c>
      <c r="B4549" s="343" t="s">
        <v>2159</v>
      </c>
      <c r="C4549" s="343" t="s">
        <v>769</v>
      </c>
      <c r="D4549" s="345">
        <v>1</v>
      </c>
      <c r="E4549" s="346">
        <v>33.82</v>
      </c>
      <c r="F4549" s="346">
        <v>19371.050000000101</v>
      </c>
      <c r="G4549" s="343" t="s">
        <v>2160</v>
      </c>
      <c r="H4549" s="343" t="s">
        <v>2227</v>
      </c>
      <c r="I4549" s="343" t="s">
        <v>1880</v>
      </c>
      <c r="J4549" s="343" t="s">
        <v>757</v>
      </c>
      <c r="K4549" s="343" t="s">
        <v>770</v>
      </c>
      <c r="L4549" s="344">
        <v>44013</v>
      </c>
      <c r="M4549" s="347">
        <v>0</v>
      </c>
    </row>
    <row r="4550" spans="1:13" hidden="1" x14ac:dyDescent="0.25">
      <c r="A4550" s="344">
        <v>44043</v>
      </c>
      <c r="B4550" s="343" t="s">
        <v>1891</v>
      </c>
      <c r="C4550" s="343" t="s">
        <v>1060</v>
      </c>
      <c r="D4550" s="345">
        <v>1</v>
      </c>
      <c r="E4550" s="346">
        <v>50.73</v>
      </c>
      <c r="F4550" s="346">
        <v>19421.780000000101</v>
      </c>
      <c r="G4550" s="343" t="s">
        <v>2161</v>
      </c>
      <c r="H4550" s="343" t="s">
        <v>2227</v>
      </c>
      <c r="I4550" s="343" t="s">
        <v>1880</v>
      </c>
      <c r="J4550" s="343" t="s">
        <v>757</v>
      </c>
      <c r="K4550" s="343" t="s">
        <v>741</v>
      </c>
      <c r="L4550" s="344">
        <v>44043</v>
      </c>
      <c r="M4550" s="347">
        <v>0</v>
      </c>
    </row>
    <row r="4551" spans="1:13" hidden="1" x14ac:dyDescent="0.25">
      <c r="A4551" s="344">
        <v>44043</v>
      </c>
      <c r="B4551" s="343" t="s">
        <v>2162</v>
      </c>
      <c r="C4551" s="343" t="s">
        <v>769</v>
      </c>
      <c r="D4551" s="345">
        <v>2</v>
      </c>
      <c r="E4551" s="346">
        <v>50.73</v>
      </c>
      <c r="F4551" s="346">
        <v>19472.5100000001</v>
      </c>
      <c r="G4551" s="343" t="s">
        <v>2163</v>
      </c>
      <c r="H4551" s="343" t="s">
        <v>2227</v>
      </c>
      <c r="I4551" s="343" t="s">
        <v>1880</v>
      </c>
      <c r="J4551" s="343" t="s">
        <v>757</v>
      </c>
      <c r="K4551" s="343" t="s">
        <v>770</v>
      </c>
      <c r="L4551" s="344">
        <v>44043</v>
      </c>
      <c r="M4551" s="347">
        <v>0</v>
      </c>
    </row>
    <row r="4552" spans="1:13" hidden="1" x14ac:dyDescent="0.25">
      <c r="A4552" s="344">
        <v>44043</v>
      </c>
      <c r="B4552" s="343" t="s">
        <v>1891</v>
      </c>
      <c r="C4552" s="343" t="s">
        <v>1060</v>
      </c>
      <c r="D4552" s="345">
        <v>2</v>
      </c>
      <c r="E4552" s="346">
        <v>-50.73</v>
      </c>
      <c r="F4552" s="346">
        <v>19421.780000000101</v>
      </c>
      <c r="G4552" s="343" t="s">
        <v>2161</v>
      </c>
      <c r="H4552" s="343" t="s">
        <v>2227</v>
      </c>
      <c r="I4552" s="343" t="s">
        <v>1880</v>
      </c>
      <c r="J4552" s="343" t="s">
        <v>757</v>
      </c>
      <c r="K4552" s="343" t="s">
        <v>741</v>
      </c>
      <c r="L4552" s="344">
        <v>44043</v>
      </c>
      <c r="M4552" s="347">
        <v>0</v>
      </c>
    </row>
    <row r="4553" spans="1:13" hidden="1" x14ac:dyDescent="0.25">
      <c r="A4553" s="344">
        <v>44052</v>
      </c>
      <c r="B4553" s="343" t="s">
        <v>1930</v>
      </c>
      <c r="C4553" s="343" t="s">
        <v>1059</v>
      </c>
      <c r="D4553" s="345">
        <v>2</v>
      </c>
      <c r="E4553" s="346">
        <v>-90.24</v>
      </c>
      <c r="F4553" s="346">
        <v>19331.540000000099</v>
      </c>
      <c r="G4553" s="343" t="s">
        <v>1931</v>
      </c>
      <c r="H4553" s="343" t="s">
        <v>2227</v>
      </c>
      <c r="I4553" s="343" t="s">
        <v>1880</v>
      </c>
      <c r="J4553" s="343" t="s">
        <v>757</v>
      </c>
      <c r="K4553" s="343" t="s">
        <v>741</v>
      </c>
      <c r="L4553" s="344">
        <v>44052</v>
      </c>
      <c r="M4553" s="347">
        <v>0</v>
      </c>
    </row>
    <row r="4554" spans="1:13" hidden="1" x14ac:dyDescent="0.25">
      <c r="A4554" s="344">
        <v>44062</v>
      </c>
      <c r="B4554" s="343" t="s">
        <v>1932</v>
      </c>
      <c r="C4554" s="343" t="s">
        <v>1059</v>
      </c>
      <c r="D4554" s="345">
        <v>2</v>
      </c>
      <c r="E4554" s="346">
        <v>-36.659999999999997</v>
      </c>
      <c r="F4554" s="346">
        <v>19294.880000000099</v>
      </c>
      <c r="G4554" s="343" t="s">
        <v>1933</v>
      </c>
      <c r="H4554" s="343" t="s">
        <v>2227</v>
      </c>
      <c r="I4554" s="343" t="s">
        <v>1880</v>
      </c>
      <c r="J4554" s="343" t="s">
        <v>757</v>
      </c>
      <c r="K4554" s="343" t="s">
        <v>741</v>
      </c>
      <c r="L4554" s="344">
        <v>44062</v>
      </c>
      <c r="M4554" s="347">
        <v>0</v>
      </c>
    </row>
    <row r="4555" spans="1:13" hidden="1" x14ac:dyDescent="0.25">
      <c r="A4555" s="344">
        <v>44074</v>
      </c>
      <c r="B4555" s="343" t="s">
        <v>1896</v>
      </c>
      <c r="C4555" s="343" t="s">
        <v>1060</v>
      </c>
      <c r="D4555" s="345">
        <v>2</v>
      </c>
      <c r="E4555" s="346">
        <v>65.64</v>
      </c>
      <c r="F4555" s="346">
        <v>19360.520000000099</v>
      </c>
      <c r="G4555" s="343" t="s">
        <v>2168</v>
      </c>
      <c r="H4555" s="343" t="s">
        <v>2227</v>
      </c>
      <c r="I4555" s="343" t="s">
        <v>1880</v>
      </c>
      <c r="J4555" s="343" t="s">
        <v>757</v>
      </c>
      <c r="K4555" s="343" t="s">
        <v>741</v>
      </c>
      <c r="L4555" s="344">
        <v>44074</v>
      </c>
      <c r="M4555" s="347">
        <v>0</v>
      </c>
    </row>
    <row r="4556" spans="1:13" hidden="1" x14ac:dyDescent="0.25">
      <c r="A4556" s="344">
        <v>44074</v>
      </c>
      <c r="B4556" s="343" t="s">
        <v>1896</v>
      </c>
      <c r="C4556" s="343" t="s">
        <v>1060</v>
      </c>
      <c r="D4556" s="345">
        <v>3</v>
      </c>
      <c r="E4556" s="346">
        <v>-65.64</v>
      </c>
      <c r="F4556" s="346">
        <v>19294.880000000099</v>
      </c>
      <c r="G4556" s="343" t="s">
        <v>2168</v>
      </c>
      <c r="H4556" s="343" t="s">
        <v>2227</v>
      </c>
      <c r="I4556" s="343" t="s">
        <v>1880</v>
      </c>
      <c r="J4556" s="343" t="s">
        <v>757</v>
      </c>
      <c r="K4556" s="343" t="s">
        <v>741</v>
      </c>
      <c r="L4556" s="344">
        <v>44074</v>
      </c>
      <c r="M4556" s="347">
        <v>0</v>
      </c>
    </row>
    <row r="4557" spans="1:13" hidden="1" x14ac:dyDescent="0.25">
      <c r="A4557" s="344">
        <v>44074</v>
      </c>
      <c r="B4557" s="343" t="s">
        <v>2228</v>
      </c>
      <c r="C4557" s="343" t="s">
        <v>769</v>
      </c>
      <c r="D4557" s="345">
        <v>3</v>
      </c>
      <c r="E4557" s="346">
        <v>77.180000000000007</v>
      </c>
      <c r="F4557" s="346">
        <v>19372.0600000001</v>
      </c>
      <c r="G4557" s="343" t="s">
        <v>2170</v>
      </c>
      <c r="H4557" s="343" t="s">
        <v>2227</v>
      </c>
      <c r="I4557" s="343" t="s">
        <v>1880</v>
      </c>
      <c r="J4557" s="343" t="s">
        <v>757</v>
      </c>
      <c r="K4557" s="343" t="s">
        <v>770</v>
      </c>
      <c r="L4557" s="344">
        <v>44074</v>
      </c>
      <c r="M4557" s="347">
        <v>0</v>
      </c>
    </row>
    <row r="4558" spans="1:13" hidden="1" x14ac:dyDescent="0.25">
      <c r="A4558" s="344">
        <v>44074</v>
      </c>
      <c r="B4558" s="343" t="s">
        <v>2229</v>
      </c>
      <c r="C4558" s="343" t="s">
        <v>769</v>
      </c>
      <c r="D4558" s="345">
        <v>3</v>
      </c>
      <c r="E4558" s="346">
        <v>287.64</v>
      </c>
      <c r="F4558" s="346">
        <v>19659.700000000099</v>
      </c>
      <c r="G4558" s="343" t="s">
        <v>2170</v>
      </c>
      <c r="H4558" s="343" t="s">
        <v>2227</v>
      </c>
      <c r="I4558" s="343" t="s">
        <v>1880</v>
      </c>
      <c r="J4558" s="343" t="s">
        <v>757</v>
      </c>
      <c r="K4558" s="343" t="s">
        <v>770</v>
      </c>
      <c r="L4558" s="344">
        <v>44074</v>
      </c>
      <c r="M4558" s="347">
        <v>0</v>
      </c>
    </row>
    <row r="4559" spans="1:13" hidden="1" x14ac:dyDescent="0.25">
      <c r="A4559" s="344">
        <v>44083</v>
      </c>
      <c r="B4559" s="343" t="s">
        <v>1948</v>
      </c>
      <c r="C4559" s="343" t="s">
        <v>1059</v>
      </c>
      <c r="D4559" s="345">
        <v>3</v>
      </c>
      <c r="E4559" s="346">
        <v>-22.56</v>
      </c>
      <c r="F4559" s="346">
        <v>19637.140000000101</v>
      </c>
      <c r="G4559" s="343" t="s">
        <v>1949</v>
      </c>
      <c r="H4559" s="343" t="s">
        <v>2227</v>
      </c>
      <c r="I4559" s="343" t="s">
        <v>1880</v>
      </c>
      <c r="J4559" s="343" t="s">
        <v>757</v>
      </c>
      <c r="K4559" s="343" t="s">
        <v>741</v>
      </c>
      <c r="L4559" s="344">
        <v>44083</v>
      </c>
      <c r="M4559" s="347">
        <v>0</v>
      </c>
    </row>
    <row r="4560" spans="1:13" hidden="1" x14ac:dyDescent="0.25">
      <c r="A4560" s="344">
        <v>44085</v>
      </c>
      <c r="B4560" s="343" t="s">
        <v>2171</v>
      </c>
      <c r="C4560" s="343" t="s">
        <v>1059</v>
      </c>
      <c r="D4560" s="345">
        <v>3</v>
      </c>
      <c r="E4560" s="346">
        <v>-364.82</v>
      </c>
      <c r="F4560" s="346">
        <v>19272.320000000102</v>
      </c>
      <c r="G4560" s="343" t="s">
        <v>2172</v>
      </c>
      <c r="H4560" s="343" t="s">
        <v>2227</v>
      </c>
      <c r="I4560" s="343" t="s">
        <v>1880</v>
      </c>
      <c r="J4560" s="343" t="s">
        <v>757</v>
      </c>
      <c r="K4560" s="343" t="s">
        <v>741</v>
      </c>
      <c r="L4560" s="344">
        <v>44085</v>
      </c>
      <c r="M4560" s="347">
        <v>0</v>
      </c>
    </row>
    <row r="4561" spans="1:13" hidden="1" x14ac:dyDescent="0.25">
      <c r="A4561" s="344">
        <v>44085</v>
      </c>
      <c r="B4561" s="343" t="s">
        <v>2171</v>
      </c>
      <c r="C4561" s="343" t="s">
        <v>1059</v>
      </c>
      <c r="D4561" s="345">
        <v>3</v>
      </c>
      <c r="E4561" s="346">
        <v>65.64</v>
      </c>
      <c r="F4561" s="346">
        <v>19337.960000000101</v>
      </c>
      <c r="G4561" s="343" t="s">
        <v>2172</v>
      </c>
      <c r="H4561" s="343" t="s">
        <v>2227</v>
      </c>
      <c r="I4561" s="343" t="s">
        <v>1880</v>
      </c>
      <c r="J4561" s="343" t="s">
        <v>757</v>
      </c>
      <c r="K4561" s="343" t="s">
        <v>741</v>
      </c>
      <c r="L4561" s="344">
        <v>44085</v>
      </c>
      <c r="M4561" s="347">
        <v>0</v>
      </c>
    </row>
    <row r="4562" spans="1:13" hidden="1" x14ac:dyDescent="0.25">
      <c r="A4562" s="344">
        <v>44094</v>
      </c>
      <c r="B4562" s="343" t="s">
        <v>1950</v>
      </c>
      <c r="C4562" s="343" t="s">
        <v>1059</v>
      </c>
      <c r="D4562" s="345">
        <v>3</v>
      </c>
      <c r="E4562" s="346">
        <v>-42.3</v>
      </c>
      <c r="F4562" s="346">
        <v>19295.660000000102</v>
      </c>
      <c r="G4562" s="343" t="s">
        <v>1951</v>
      </c>
      <c r="H4562" s="343" t="s">
        <v>2227</v>
      </c>
      <c r="I4562" s="343" t="s">
        <v>1880</v>
      </c>
      <c r="J4562" s="343" t="s">
        <v>757</v>
      </c>
      <c r="K4562" s="343" t="s">
        <v>741</v>
      </c>
      <c r="L4562" s="344">
        <v>44094</v>
      </c>
      <c r="M4562" s="347">
        <v>0</v>
      </c>
    </row>
    <row r="4563" spans="1:13" hidden="1" x14ac:dyDescent="0.25">
      <c r="A4563" s="344">
        <v>44104</v>
      </c>
      <c r="B4563" s="343" t="s">
        <v>1900</v>
      </c>
      <c r="C4563" s="343" t="s">
        <v>1060</v>
      </c>
      <c r="D4563" s="345">
        <v>3</v>
      </c>
      <c r="E4563" s="346">
        <v>68</v>
      </c>
      <c r="F4563" s="346">
        <v>19363.660000000102</v>
      </c>
      <c r="G4563" s="343" t="s">
        <v>2173</v>
      </c>
      <c r="H4563" s="343" t="s">
        <v>2227</v>
      </c>
      <c r="I4563" s="343" t="s">
        <v>1880</v>
      </c>
      <c r="J4563" s="343" t="s">
        <v>757</v>
      </c>
      <c r="K4563" s="343" t="s">
        <v>741</v>
      </c>
      <c r="L4563" s="344">
        <v>44104</v>
      </c>
      <c r="M4563" s="347">
        <v>0</v>
      </c>
    </row>
    <row r="4564" spans="1:13" hidden="1" x14ac:dyDescent="0.25">
      <c r="A4564" s="344">
        <v>44104</v>
      </c>
      <c r="B4564" s="343" t="s">
        <v>1934</v>
      </c>
      <c r="C4564" s="343" t="s">
        <v>1059</v>
      </c>
      <c r="D4564" s="345">
        <v>3</v>
      </c>
      <c r="E4564" s="346">
        <v>-62.04</v>
      </c>
      <c r="F4564" s="346">
        <v>19301.620000000101</v>
      </c>
      <c r="G4564" s="343" t="s">
        <v>1935</v>
      </c>
      <c r="H4564" s="343" t="s">
        <v>2227</v>
      </c>
      <c r="I4564" s="343" t="s">
        <v>1880</v>
      </c>
      <c r="J4564" s="343" t="s">
        <v>757</v>
      </c>
      <c r="K4564" s="343" t="s">
        <v>741</v>
      </c>
      <c r="L4564" s="344">
        <v>44104</v>
      </c>
      <c r="M4564" s="347">
        <v>0</v>
      </c>
    </row>
    <row r="4565" spans="1:13" hidden="1" x14ac:dyDescent="0.25">
      <c r="A4565" s="344">
        <v>44104</v>
      </c>
      <c r="B4565" s="343" t="s">
        <v>1900</v>
      </c>
      <c r="C4565" s="343" t="s">
        <v>1060</v>
      </c>
      <c r="D4565" s="345">
        <v>4</v>
      </c>
      <c r="E4565" s="346">
        <v>-68</v>
      </c>
      <c r="F4565" s="346">
        <v>19233.620000000101</v>
      </c>
      <c r="G4565" s="343" t="s">
        <v>2173</v>
      </c>
      <c r="H4565" s="343" t="s">
        <v>2227</v>
      </c>
      <c r="I4565" s="343" t="s">
        <v>1880</v>
      </c>
      <c r="J4565" s="343" t="s">
        <v>757</v>
      </c>
      <c r="K4565" s="343" t="s">
        <v>741</v>
      </c>
      <c r="L4565" s="344">
        <v>44104</v>
      </c>
      <c r="M4565" s="347">
        <v>0</v>
      </c>
    </row>
    <row r="4566" spans="1:13" hidden="1" x14ac:dyDescent="0.25">
      <c r="A4566" s="344">
        <v>44120</v>
      </c>
      <c r="B4566" s="343" t="s">
        <v>1936</v>
      </c>
      <c r="C4566" s="343" t="s">
        <v>1059</v>
      </c>
      <c r="D4566" s="345">
        <v>4</v>
      </c>
      <c r="E4566" s="346">
        <v>-95.88</v>
      </c>
      <c r="F4566" s="346">
        <v>19137.7400000001</v>
      </c>
      <c r="G4566" s="343" t="s">
        <v>1937</v>
      </c>
      <c r="H4566" s="343" t="s">
        <v>2227</v>
      </c>
      <c r="I4566" s="343" t="s">
        <v>1880</v>
      </c>
      <c r="J4566" s="343" t="s">
        <v>757</v>
      </c>
      <c r="K4566" s="343" t="s">
        <v>741</v>
      </c>
      <c r="L4566" s="344">
        <v>44120</v>
      </c>
      <c r="M4566" s="347">
        <v>0</v>
      </c>
    </row>
    <row r="4567" spans="1:13" hidden="1" x14ac:dyDescent="0.25">
      <c r="A4567" s="344">
        <v>44135</v>
      </c>
      <c r="B4567" s="343" t="s">
        <v>1954</v>
      </c>
      <c r="C4567" s="343" t="s">
        <v>1059</v>
      </c>
      <c r="D4567" s="345">
        <v>4</v>
      </c>
      <c r="E4567" s="346">
        <v>-114.33</v>
      </c>
      <c r="F4567" s="346">
        <v>19023.410000000102</v>
      </c>
      <c r="G4567" s="343" t="s">
        <v>1955</v>
      </c>
      <c r="H4567" s="343" t="s">
        <v>2227</v>
      </c>
      <c r="I4567" s="343" t="s">
        <v>1880</v>
      </c>
      <c r="J4567" s="343" t="s">
        <v>757</v>
      </c>
      <c r="K4567" s="343" t="s">
        <v>741</v>
      </c>
      <c r="L4567" s="344">
        <v>44135</v>
      </c>
      <c r="M4567" s="347">
        <v>0</v>
      </c>
    </row>
    <row r="4568" spans="1:13" hidden="1" x14ac:dyDescent="0.25">
      <c r="A4568" s="344">
        <v>44135</v>
      </c>
      <c r="B4568" s="343" t="s">
        <v>1904</v>
      </c>
      <c r="C4568" s="343" t="s">
        <v>1060</v>
      </c>
      <c r="D4568" s="345">
        <v>4</v>
      </c>
      <c r="E4568" s="346">
        <v>136</v>
      </c>
      <c r="F4568" s="346">
        <v>19159.410000000102</v>
      </c>
      <c r="G4568" s="343" t="s">
        <v>2174</v>
      </c>
      <c r="H4568" s="343" t="s">
        <v>2227</v>
      </c>
      <c r="I4568" s="343" t="s">
        <v>1880</v>
      </c>
      <c r="J4568" s="343" t="s">
        <v>757</v>
      </c>
      <c r="K4568" s="343" t="s">
        <v>741</v>
      </c>
      <c r="L4568" s="344">
        <v>44135</v>
      </c>
      <c r="M4568" s="347">
        <v>0</v>
      </c>
    </row>
    <row r="4569" spans="1:13" hidden="1" x14ac:dyDescent="0.25">
      <c r="A4569" s="344">
        <v>44104</v>
      </c>
      <c r="B4569" s="343" t="s">
        <v>2175</v>
      </c>
      <c r="C4569" s="343" t="s">
        <v>769</v>
      </c>
      <c r="D4569" s="345">
        <v>5</v>
      </c>
      <c r="E4569" s="346">
        <v>68</v>
      </c>
      <c r="F4569" s="346">
        <v>19227.410000000102</v>
      </c>
      <c r="G4569" s="343" t="s">
        <v>2176</v>
      </c>
      <c r="H4569" s="343" t="s">
        <v>2227</v>
      </c>
      <c r="I4569" s="343" t="s">
        <v>1880</v>
      </c>
      <c r="J4569" s="343" t="s">
        <v>757</v>
      </c>
      <c r="K4569" s="343" t="s">
        <v>770</v>
      </c>
      <c r="L4569" s="344">
        <v>44104</v>
      </c>
      <c r="M4569" s="347">
        <v>0</v>
      </c>
    </row>
    <row r="4570" spans="1:13" hidden="1" x14ac:dyDescent="0.25">
      <c r="A4570" s="344">
        <v>44135</v>
      </c>
      <c r="B4570" s="343" t="s">
        <v>1904</v>
      </c>
      <c r="C4570" s="343" t="s">
        <v>1060</v>
      </c>
      <c r="D4570" s="345">
        <v>5</v>
      </c>
      <c r="E4570" s="346">
        <v>-136</v>
      </c>
      <c r="F4570" s="346">
        <v>19091.410000000102</v>
      </c>
      <c r="G4570" s="343" t="s">
        <v>2174</v>
      </c>
      <c r="H4570" s="343" t="s">
        <v>2227</v>
      </c>
      <c r="I4570" s="343" t="s">
        <v>1880</v>
      </c>
      <c r="J4570" s="343" t="s">
        <v>757</v>
      </c>
      <c r="K4570" s="343" t="s">
        <v>741</v>
      </c>
      <c r="L4570" s="344">
        <v>44135</v>
      </c>
      <c r="M4570" s="347">
        <v>0</v>
      </c>
    </row>
    <row r="4571" spans="1:13" hidden="1" x14ac:dyDescent="0.25">
      <c r="A4571" s="344">
        <v>44138</v>
      </c>
      <c r="B4571" s="343" t="s">
        <v>2181</v>
      </c>
      <c r="C4571" s="343" t="s">
        <v>769</v>
      </c>
      <c r="D4571" s="345">
        <v>5</v>
      </c>
      <c r="E4571" s="346">
        <v>68</v>
      </c>
      <c r="F4571" s="346">
        <v>19159.410000000102</v>
      </c>
      <c r="G4571" s="343" t="s">
        <v>2182</v>
      </c>
      <c r="H4571" s="343" t="s">
        <v>2227</v>
      </c>
      <c r="I4571" s="343" t="s">
        <v>1880</v>
      </c>
      <c r="J4571" s="343" t="s">
        <v>757</v>
      </c>
      <c r="K4571" s="343" t="s">
        <v>770</v>
      </c>
      <c r="L4571" s="344">
        <v>44138</v>
      </c>
      <c r="M4571" s="347">
        <v>0</v>
      </c>
    </row>
    <row r="4572" spans="1:13" hidden="1" x14ac:dyDescent="0.25">
      <c r="A4572" s="344">
        <v>44141</v>
      </c>
      <c r="B4572" s="343" t="s">
        <v>2187</v>
      </c>
      <c r="C4572" s="343" t="s">
        <v>1059</v>
      </c>
      <c r="D4572" s="345">
        <v>5</v>
      </c>
      <c r="E4572" s="346">
        <v>-6.18</v>
      </c>
      <c r="F4572" s="346">
        <v>19153.230000000101</v>
      </c>
      <c r="G4572" s="343" t="s">
        <v>2188</v>
      </c>
      <c r="H4572" s="343" t="s">
        <v>2227</v>
      </c>
      <c r="I4572" s="343" t="s">
        <v>1880</v>
      </c>
      <c r="J4572" s="343" t="s">
        <v>757</v>
      </c>
      <c r="K4572" s="343" t="s">
        <v>741</v>
      </c>
      <c r="L4572" s="344">
        <v>44141</v>
      </c>
      <c r="M4572" s="347">
        <v>0</v>
      </c>
    </row>
    <row r="4573" spans="1:13" hidden="1" x14ac:dyDescent="0.25">
      <c r="A4573" s="344">
        <v>44148</v>
      </c>
      <c r="B4573" s="343" t="s">
        <v>1958</v>
      </c>
      <c r="C4573" s="343" t="s">
        <v>1059</v>
      </c>
      <c r="D4573" s="345">
        <v>5</v>
      </c>
      <c r="E4573" s="346">
        <v>-132.33000000000001</v>
      </c>
      <c r="F4573" s="346">
        <v>19020.9000000001</v>
      </c>
      <c r="G4573" s="343" t="s">
        <v>1959</v>
      </c>
      <c r="H4573" s="343" t="s">
        <v>2227</v>
      </c>
      <c r="I4573" s="343" t="s">
        <v>1880</v>
      </c>
      <c r="J4573" s="343" t="s">
        <v>757</v>
      </c>
      <c r="K4573" s="343" t="s">
        <v>741</v>
      </c>
      <c r="L4573" s="344">
        <v>44148</v>
      </c>
      <c r="M4573" s="347">
        <v>0</v>
      </c>
    </row>
    <row r="4574" spans="1:13" hidden="1" x14ac:dyDescent="0.25">
      <c r="A4574" s="344">
        <v>44160</v>
      </c>
      <c r="B4574" s="343" t="s">
        <v>1960</v>
      </c>
      <c r="C4574" s="343" t="s">
        <v>1059</v>
      </c>
      <c r="D4574" s="345">
        <v>5</v>
      </c>
      <c r="E4574" s="346">
        <v>-174.24</v>
      </c>
      <c r="F4574" s="346">
        <v>18846.660000000102</v>
      </c>
      <c r="G4574" s="343" t="s">
        <v>1961</v>
      </c>
      <c r="H4574" s="343" t="s">
        <v>2227</v>
      </c>
      <c r="I4574" s="343" t="s">
        <v>1880</v>
      </c>
      <c r="J4574" s="343" t="s">
        <v>757</v>
      </c>
      <c r="K4574" s="343" t="s">
        <v>741</v>
      </c>
      <c r="L4574" s="344">
        <v>44160</v>
      </c>
      <c r="M4574" s="347">
        <v>0</v>
      </c>
    </row>
    <row r="4575" spans="1:13" hidden="1" x14ac:dyDescent="0.25">
      <c r="A4575" s="344">
        <v>44165</v>
      </c>
      <c r="B4575" s="343" t="s">
        <v>1906</v>
      </c>
      <c r="C4575" s="343" t="s">
        <v>1060</v>
      </c>
      <c r="D4575" s="345">
        <v>5</v>
      </c>
      <c r="E4575" s="346">
        <v>95.81</v>
      </c>
      <c r="F4575" s="346">
        <v>18942.470000000099</v>
      </c>
      <c r="G4575" s="343" t="s">
        <v>2189</v>
      </c>
      <c r="H4575" s="343" t="s">
        <v>2227</v>
      </c>
      <c r="I4575" s="343" t="s">
        <v>1880</v>
      </c>
      <c r="J4575" s="343" t="s">
        <v>757</v>
      </c>
      <c r="K4575" s="343" t="s">
        <v>741</v>
      </c>
      <c r="L4575" s="344">
        <v>44165</v>
      </c>
      <c r="M4575" s="347">
        <v>0</v>
      </c>
    </row>
    <row r="4576" spans="1:13" hidden="1" x14ac:dyDescent="0.25">
      <c r="A4576" s="344">
        <v>44165</v>
      </c>
      <c r="B4576" s="343" t="s">
        <v>1906</v>
      </c>
      <c r="C4576" s="343" t="s">
        <v>1060</v>
      </c>
      <c r="D4576" s="345">
        <v>6</v>
      </c>
      <c r="E4576" s="346">
        <v>-95.81</v>
      </c>
      <c r="F4576" s="346">
        <v>18846.660000000102</v>
      </c>
      <c r="G4576" s="343" t="s">
        <v>2189</v>
      </c>
      <c r="H4576" s="343" t="s">
        <v>2227</v>
      </c>
      <c r="I4576" s="343" t="s">
        <v>1880</v>
      </c>
      <c r="J4576" s="343" t="s">
        <v>757</v>
      </c>
      <c r="K4576" s="343" t="s">
        <v>741</v>
      </c>
      <c r="L4576" s="344">
        <v>44165</v>
      </c>
      <c r="M4576" s="347">
        <v>0</v>
      </c>
    </row>
    <row r="4577" spans="1:13" hidden="1" x14ac:dyDescent="0.25">
      <c r="A4577" s="344">
        <v>44165</v>
      </c>
      <c r="B4577" s="343" t="s">
        <v>1962</v>
      </c>
      <c r="C4577" s="343" t="s">
        <v>1059</v>
      </c>
      <c r="D4577" s="345">
        <v>6</v>
      </c>
      <c r="E4577" s="346">
        <v>-157.59</v>
      </c>
      <c r="F4577" s="346">
        <v>18689.070000000102</v>
      </c>
      <c r="G4577" s="343" t="s">
        <v>1963</v>
      </c>
      <c r="H4577" s="343" t="s">
        <v>2227</v>
      </c>
      <c r="I4577" s="343" t="s">
        <v>1880</v>
      </c>
      <c r="J4577" s="343" t="s">
        <v>757</v>
      </c>
      <c r="K4577" s="343" t="s">
        <v>741</v>
      </c>
      <c r="L4577" s="344">
        <v>44165</v>
      </c>
      <c r="M4577" s="347">
        <v>0</v>
      </c>
    </row>
    <row r="4578" spans="1:13" hidden="1" x14ac:dyDescent="0.25">
      <c r="A4578" s="344">
        <v>44166</v>
      </c>
      <c r="B4578" s="343" t="s">
        <v>2190</v>
      </c>
      <c r="C4578" s="343" t="s">
        <v>769</v>
      </c>
      <c r="D4578" s="345">
        <v>6</v>
      </c>
      <c r="E4578" s="346">
        <v>95.82</v>
      </c>
      <c r="F4578" s="346">
        <v>18784.890000000101</v>
      </c>
      <c r="G4578" s="343" t="s">
        <v>2191</v>
      </c>
      <c r="H4578" s="343" t="s">
        <v>2227</v>
      </c>
      <c r="I4578" s="343" t="s">
        <v>1880</v>
      </c>
      <c r="J4578" s="343" t="s">
        <v>757</v>
      </c>
      <c r="K4578" s="343" t="s">
        <v>770</v>
      </c>
      <c r="L4578" s="344">
        <v>44166</v>
      </c>
      <c r="M4578" s="347">
        <v>0</v>
      </c>
    </row>
    <row r="4579" spans="1:13" hidden="1" x14ac:dyDescent="0.25">
      <c r="A4579" s="344">
        <v>44187</v>
      </c>
      <c r="B4579" s="343" t="s">
        <v>1966</v>
      </c>
      <c r="C4579" s="343" t="s">
        <v>1059</v>
      </c>
      <c r="D4579" s="345">
        <v>6</v>
      </c>
      <c r="E4579" s="346">
        <v>-374</v>
      </c>
      <c r="F4579" s="346">
        <v>18410.890000000101</v>
      </c>
      <c r="G4579" s="343" t="s">
        <v>1967</v>
      </c>
      <c r="H4579" s="343" t="s">
        <v>2227</v>
      </c>
      <c r="I4579" s="343" t="s">
        <v>1880</v>
      </c>
      <c r="J4579" s="343" t="s">
        <v>757</v>
      </c>
      <c r="K4579" s="343" t="s">
        <v>741</v>
      </c>
      <c r="L4579" s="344">
        <v>44187</v>
      </c>
      <c r="M4579" s="347">
        <v>0</v>
      </c>
    </row>
    <row r="4580" spans="1:13" hidden="1" x14ac:dyDescent="0.25">
      <c r="A4580" s="344">
        <v>44196</v>
      </c>
      <c r="B4580" s="343" t="s">
        <v>1910</v>
      </c>
      <c r="C4580" s="343" t="s">
        <v>1060</v>
      </c>
      <c r="D4580" s="345">
        <v>6</v>
      </c>
      <c r="E4580" s="346">
        <v>160.72999999999999</v>
      </c>
      <c r="F4580" s="346">
        <v>18571.620000000101</v>
      </c>
      <c r="G4580" s="343" t="s">
        <v>2196</v>
      </c>
      <c r="H4580" s="343" t="s">
        <v>2227</v>
      </c>
      <c r="I4580" s="343" t="s">
        <v>1880</v>
      </c>
      <c r="J4580" s="343" t="s">
        <v>757</v>
      </c>
      <c r="K4580" s="343" t="s">
        <v>741</v>
      </c>
      <c r="L4580" s="344">
        <v>44196</v>
      </c>
      <c r="M4580" s="347">
        <v>0</v>
      </c>
    </row>
    <row r="4581" spans="1:13" hidden="1" x14ac:dyDescent="0.25">
      <c r="A4581" s="344">
        <v>44196</v>
      </c>
      <c r="B4581" s="343" t="s">
        <v>1910</v>
      </c>
      <c r="C4581" s="343" t="s">
        <v>1060</v>
      </c>
      <c r="D4581" s="345">
        <v>7</v>
      </c>
      <c r="E4581" s="346">
        <v>-160.72999999999999</v>
      </c>
      <c r="F4581" s="346">
        <v>18410.890000000101</v>
      </c>
      <c r="G4581" s="343" t="s">
        <v>2196</v>
      </c>
      <c r="H4581" s="343" t="s">
        <v>2227</v>
      </c>
      <c r="I4581" s="343" t="s">
        <v>1880</v>
      </c>
      <c r="J4581" s="343" t="s">
        <v>757</v>
      </c>
      <c r="K4581" s="343" t="s">
        <v>741</v>
      </c>
      <c r="L4581" s="344">
        <v>44196</v>
      </c>
      <c r="M4581" s="347">
        <v>0</v>
      </c>
    </row>
    <row r="4582" spans="1:13" hidden="1" x14ac:dyDescent="0.25">
      <c r="A4582" s="344">
        <v>44200</v>
      </c>
      <c r="B4582" s="343" t="s">
        <v>2199</v>
      </c>
      <c r="C4582" s="343" t="s">
        <v>769</v>
      </c>
      <c r="D4582" s="345">
        <v>7</v>
      </c>
      <c r="E4582" s="346">
        <v>160.72999999999999</v>
      </c>
      <c r="F4582" s="346">
        <v>18571.620000000101</v>
      </c>
      <c r="G4582" s="343" t="s">
        <v>2200</v>
      </c>
      <c r="H4582" s="343" t="s">
        <v>2227</v>
      </c>
      <c r="I4582" s="343" t="s">
        <v>1880</v>
      </c>
      <c r="J4582" s="343" t="s">
        <v>757</v>
      </c>
      <c r="K4582" s="343" t="s">
        <v>770</v>
      </c>
      <c r="L4582" s="344">
        <v>44200</v>
      </c>
      <c r="M4582" s="347">
        <v>0</v>
      </c>
    </row>
    <row r="4583" spans="1:13" hidden="1" x14ac:dyDescent="0.25">
      <c r="A4583" s="344">
        <v>44203</v>
      </c>
      <c r="B4583" s="343" t="s">
        <v>1970</v>
      </c>
      <c r="C4583" s="343" t="s">
        <v>1059</v>
      </c>
      <c r="D4583" s="345">
        <v>7</v>
      </c>
      <c r="E4583" s="346">
        <v>-312.8</v>
      </c>
      <c r="F4583" s="346">
        <v>18258.820000000102</v>
      </c>
      <c r="G4583" s="343" t="s">
        <v>1971</v>
      </c>
      <c r="H4583" s="343" t="s">
        <v>2227</v>
      </c>
      <c r="I4583" s="343" t="s">
        <v>1880</v>
      </c>
      <c r="J4583" s="343" t="s">
        <v>757</v>
      </c>
      <c r="K4583" s="343" t="s">
        <v>741</v>
      </c>
      <c r="L4583" s="344">
        <v>44203</v>
      </c>
      <c r="M4583" s="347">
        <v>0</v>
      </c>
    </row>
    <row r="4584" spans="1:13" hidden="1" x14ac:dyDescent="0.25">
      <c r="A4584" s="344">
        <v>44218</v>
      </c>
      <c r="B4584" s="343" t="s">
        <v>1972</v>
      </c>
      <c r="C4584" s="343" t="s">
        <v>1059</v>
      </c>
      <c r="D4584" s="345">
        <v>7</v>
      </c>
      <c r="E4584" s="346">
        <v>-333.2</v>
      </c>
      <c r="F4584" s="346">
        <v>17925.620000000101</v>
      </c>
      <c r="G4584" s="343" t="s">
        <v>1973</v>
      </c>
      <c r="H4584" s="343" t="s">
        <v>2227</v>
      </c>
      <c r="I4584" s="343" t="s">
        <v>1880</v>
      </c>
      <c r="J4584" s="343" t="s">
        <v>757</v>
      </c>
      <c r="K4584" s="343" t="s">
        <v>741</v>
      </c>
      <c r="L4584" s="344">
        <v>44218</v>
      </c>
      <c r="M4584" s="347">
        <v>0</v>
      </c>
    </row>
    <row r="4585" spans="1:13" hidden="1" x14ac:dyDescent="0.25">
      <c r="A4585" s="344">
        <v>44227</v>
      </c>
      <c r="B4585" s="343" t="s">
        <v>2009</v>
      </c>
      <c r="C4585" s="343" t="s">
        <v>1060</v>
      </c>
      <c r="D4585" s="345">
        <v>7</v>
      </c>
      <c r="E4585" s="346">
        <v>160.72999999999999</v>
      </c>
      <c r="F4585" s="346">
        <v>18086.3500000001</v>
      </c>
      <c r="G4585" s="343" t="s">
        <v>2203</v>
      </c>
      <c r="H4585" s="343" t="s">
        <v>2227</v>
      </c>
      <c r="I4585" s="343" t="s">
        <v>1880</v>
      </c>
      <c r="J4585" s="343" t="s">
        <v>757</v>
      </c>
      <c r="K4585" s="343" t="s">
        <v>741</v>
      </c>
      <c r="L4585" s="344">
        <v>44227</v>
      </c>
      <c r="M4585" s="347">
        <v>0</v>
      </c>
    </row>
    <row r="4586" spans="1:13" hidden="1" x14ac:dyDescent="0.25">
      <c r="A4586" s="344">
        <v>44227</v>
      </c>
      <c r="B4586" s="343" t="s">
        <v>2009</v>
      </c>
      <c r="C4586" s="343" t="s">
        <v>1060</v>
      </c>
      <c r="D4586" s="345">
        <v>8</v>
      </c>
      <c r="E4586" s="346">
        <v>-160.72999999999999</v>
      </c>
      <c r="F4586" s="346">
        <v>17925.620000000101</v>
      </c>
      <c r="G4586" s="343" t="s">
        <v>2203</v>
      </c>
      <c r="H4586" s="343" t="s">
        <v>2227</v>
      </c>
      <c r="I4586" s="343" t="s">
        <v>1880</v>
      </c>
      <c r="J4586" s="343" t="s">
        <v>757</v>
      </c>
      <c r="K4586" s="343" t="s">
        <v>741</v>
      </c>
      <c r="L4586" s="344">
        <v>44227</v>
      </c>
      <c r="M4586" s="347">
        <v>0</v>
      </c>
    </row>
    <row r="4587" spans="1:13" hidden="1" x14ac:dyDescent="0.25">
      <c r="A4587" s="344">
        <v>44227</v>
      </c>
      <c r="B4587" s="343" t="s">
        <v>1974</v>
      </c>
      <c r="C4587" s="343" t="s">
        <v>1059</v>
      </c>
      <c r="D4587" s="345">
        <v>8</v>
      </c>
      <c r="E4587" s="346">
        <v>-312.8</v>
      </c>
      <c r="F4587" s="346">
        <v>17612.820000000102</v>
      </c>
      <c r="G4587" s="343" t="s">
        <v>1975</v>
      </c>
      <c r="H4587" s="343" t="s">
        <v>2227</v>
      </c>
      <c r="I4587" s="343" t="s">
        <v>1880</v>
      </c>
      <c r="J4587" s="343" t="s">
        <v>757</v>
      </c>
      <c r="K4587" s="343" t="s">
        <v>741</v>
      </c>
      <c r="L4587" s="344">
        <v>44227</v>
      </c>
      <c r="M4587" s="347">
        <v>0</v>
      </c>
    </row>
    <row r="4588" spans="1:13" hidden="1" x14ac:dyDescent="0.25">
      <c r="A4588" s="344">
        <v>44232</v>
      </c>
      <c r="B4588" s="343" t="s">
        <v>2206</v>
      </c>
      <c r="C4588" s="343" t="s">
        <v>769</v>
      </c>
      <c r="D4588" s="345">
        <v>8</v>
      </c>
      <c r="E4588" s="346">
        <v>154.55000000000001</v>
      </c>
      <c r="F4588" s="346">
        <v>17767.370000000101</v>
      </c>
      <c r="G4588" s="343" t="s">
        <v>2207</v>
      </c>
      <c r="H4588" s="343" t="s">
        <v>2227</v>
      </c>
      <c r="I4588" s="343" t="s">
        <v>1880</v>
      </c>
      <c r="J4588" s="343" t="s">
        <v>757</v>
      </c>
      <c r="K4588" s="343" t="s">
        <v>770</v>
      </c>
      <c r="L4588" s="344">
        <v>44232</v>
      </c>
      <c r="M4588" s="347">
        <v>0</v>
      </c>
    </row>
    <row r="4589" spans="1:13" hidden="1" x14ac:dyDescent="0.25">
      <c r="A4589" s="344">
        <v>44244</v>
      </c>
      <c r="B4589" s="343" t="s">
        <v>1978</v>
      </c>
      <c r="C4589" s="343" t="s">
        <v>1059</v>
      </c>
      <c r="D4589" s="345">
        <v>8</v>
      </c>
      <c r="E4589" s="346">
        <v>-258.39999999999998</v>
      </c>
      <c r="F4589" s="346">
        <v>17508.970000000099</v>
      </c>
      <c r="G4589" s="343" t="s">
        <v>1979</v>
      </c>
      <c r="H4589" s="343" t="s">
        <v>2227</v>
      </c>
      <c r="I4589" s="343" t="s">
        <v>1880</v>
      </c>
      <c r="J4589" s="343" t="s">
        <v>757</v>
      </c>
      <c r="K4589" s="343" t="s">
        <v>741</v>
      </c>
      <c r="L4589" s="344">
        <v>44244</v>
      </c>
      <c r="M4589" s="347">
        <v>0</v>
      </c>
    </row>
    <row r="4590" spans="1:13" hidden="1" x14ac:dyDescent="0.25">
      <c r="A4590" s="344">
        <v>44255</v>
      </c>
      <c r="B4590" s="343" t="s">
        <v>2073</v>
      </c>
      <c r="C4590" s="343" t="s">
        <v>1060</v>
      </c>
      <c r="D4590" s="345">
        <v>8</v>
      </c>
      <c r="E4590" s="346">
        <v>154.55000000000001</v>
      </c>
      <c r="F4590" s="346">
        <v>17663.520000000099</v>
      </c>
      <c r="G4590" s="343" t="s">
        <v>2210</v>
      </c>
      <c r="H4590" s="343" t="s">
        <v>2227</v>
      </c>
      <c r="I4590" s="343" t="s">
        <v>1880</v>
      </c>
      <c r="J4590" s="343" t="s">
        <v>757</v>
      </c>
      <c r="K4590" s="343" t="s">
        <v>741</v>
      </c>
      <c r="L4590" s="344">
        <v>44255</v>
      </c>
      <c r="M4590" s="347">
        <v>0</v>
      </c>
    </row>
    <row r="4591" spans="1:13" hidden="1" x14ac:dyDescent="0.25">
      <c r="A4591" s="344">
        <v>44255</v>
      </c>
      <c r="B4591" s="343" t="s">
        <v>2073</v>
      </c>
      <c r="C4591" s="343" t="s">
        <v>1060</v>
      </c>
      <c r="D4591" s="345">
        <v>9</v>
      </c>
      <c r="E4591" s="346">
        <v>-154.55000000000001</v>
      </c>
      <c r="F4591" s="346">
        <v>17508.970000000099</v>
      </c>
      <c r="G4591" s="343" t="s">
        <v>2210</v>
      </c>
      <c r="H4591" s="343" t="s">
        <v>2227</v>
      </c>
      <c r="I4591" s="343" t="s">
        <v>1880</v>
      </c>
      <c r="J4591" s="343" t="s">
        <v>757</v>
      </c>
      <c r="K4591" s="343" t="s">
        <v>741</v>
      </c>
      <c r="L4591" s="344">
        <v>44255</v>
      </c>
      <c r="M4591" s="347">
        <v>0</v>
      </c>
    </row>
    <row r="4592" spans="1:13" hidden="1" x14ac:dyDescent="0.25">
      <c r="A4592" s="344">
        <v>44255</v>
      </c>
      <c r="B4592" s="343" t="s">
        <v>2214</v>
      </c>
      <c r="C4592" s="343" t="s">
        <v>769</v>
      </c>
      <c r="D4592" s="345">
        <v>9</v>
      </c>
      <c r="E4592" s="346">
        <v>55.64</v>
      </c>
      <c r="F4592" s="346">
        <v>17564.610000000099</v>
      </c>
      <c r="G4592" s="343" t="s">
        <v>2212</v>
      </c>
      <c r="H4592" s="343" t="s">
        <v>2227</v>
      </c>
      <c r="I4592" s="343" t="s">
        <v>1880</v>
      </c>
      <c r="J4592" s="343" t="s">
        <v>757</v>
      </c>
      <c r="K4592" s="343" t="s">
        <v>770</v>
      </c>
      <c r="L4592" s="344">
        <v>44255</v>
      </c>
      <c r="M4592" s="347">
        <v>0</v>
      </c>
    </row>
    <row r="4593" spans="1:13" hidden="1" x14ac:dyDescent="0.25">
      <c r="A4593" s="344">
        <v>44255</v>
      </c>
      <c r="B4593" s="343" t="s">
        <v>2213</v>
      </c>
      <c r="C4593" s="343" t="s">
        <v>769</v>
      </c>
      <c r="D4593" s="345">
        <v>9</v>
      </c>
      <c r="E4593" s="346">
        <v>129.82</v>
      </c>
      <c r="F4593" s="346">
        <v>17694.430000000099</v>
      </c>
      <c r="G4593" s="343" t="s">
        <v>2212</v>
      </c>
      <c r="H4593" s="343" t="s">
        <v>2227</v>
      </c>
      <c r="I4593" s="343" t="s">
        <v>1880</v>
      </c>
      <c r="J4593" s="343" t="s">
        <v>757</v>
      </c>
      <c r="K4593" s="343" t="s">
        <v>770</v>
      </c>
      <c r="L4593" s="344">
        <v>44255</v>
      </c>
      <c r="M4593" s="347">
        <v>0</v>
      </c>
    </row>
    <row r="4594" spans="1:13" hidden="1" x14ac:dyDescent="0.25">
      <c r="A4594" s="344">
        <v>44259</v>
      </c>
      <c r="B4594" s="343" t="s">
        <v>1939</v>
      </c>
      <c r="C4594" s="343" t="s">
        <v>1059</v>
      </c>
      <c r="D4594" s="345">
        <v>9</v>
      </c>
      <c r="E4594" s="346">
        <v>-340</v>
      </c>
      <c r="F4594" s="346">
        <v>17354.430000000099</v>
      </c>
      <c r="G4594" s="343" t="s">
        <v>1940</v>
      </c>
      <c r="H4594" s="343" t="s">
        <v>2227</v>
      </c>
      <c r="I4594" s="343" t="s">
        <v>1880</v>
      </c>
      <c r="J4594" s="343" t="s">
        <v>757</v>
      </c>
      <c r="K4594" s="343" t="s">
        <v>741</v>
      </c>
      <c r="L4594" s="344">
        <v>44259</v>
      </c>
      <c r="M4594" s="347">
        <v>0</v>
      </c>
    </row>
    <row r="4595" spans="1:13" hidden="1" x14ac:dyDescent="0.25">
      <c r="A4595" s="344">
        <v>44272</v>
      </c>
      <c r="B4595" s="343" t="s">
        <v>1982</v>
      </c>
      <c r="C4595" s="343" t="s">
        <v>1059</v>
      </c>
      <c r="D4595" s="345">
        <v>9</v>
      </c>
      <c r="E4595" s="346">
        <v>-353.6</v>
      </c>
      <c r="F4595" s="346">
        <v>17000.8300000001</v>
      </c>
      <c r="G4595" s="343" t="s">
        <v>1983</v>
      </c>
      <c r="H4595" s="343" t="s">
        <v>2227</v>
      </c>
      <c r="I4595" s="343" t="s">
        <v>1880</v>
      </c>
      <c r="J4595" s="343" t="s">
        <v>757</v>
      </c>
      <c r="K4595" s="343" t="s">
        <v>741</v>
      </c>
      <c r="L4595" s="344">
        <v>44272</v>
      </c>
      <c r="M4595" s="347">
        <v>0</v>
      </c>
    </row>
    <row r="4596" spans="1:13" hidden="1" x14ac:dyDescent="0.25">
      <c r="A4596" s="344">
        <v>44286</v>
      </c>
      <c r="B4596" s="343" t="s">
        <v>2060</v>
      </c>
      <c r="C4596" s="343" t="s">
        <v>1060</v>
      </c>
      <c r="D4596" s="345">
        <v>9</v>
      </c>
      <c r="E4596" s="346">
        <v>185.45</v>
      </c>
      <c r="F4596" s="346">
        <v>17186.280000000101</v>
      </c>
      <c r="G4596" s="343" t="s">
        <v>2215</v>
      </c>
      <c r="H4596" s="343" t="s">
        <v>2227</v>
      </c>
      <c r="I4596" s="343" t="s">
        <v>1880</v>
      </c>
      <c r="J4596" s="343" t="s">
        <v>757</v>
      </c>
      <c r="K4596" s="343" t="s">
        <v>741</v>
      </c>
      <c r="L4596" s="344">
        <v>44286</v>
      </c>
      <c r="M4596" s="347">
        <v>0</v>
      </c>
    </row>
    <row r="4597" spans="1:13" hidden="1" x14ac:dyDescent="0.25">
      <c r="A4597" s="344">
        <v>44286</v>
      </c>
      <c r="B4597" s="343" t="s">
        <v>1918</v>
      </c>
      <c r="C4597" s="343" t="s">
        <v>1059</v>
      </c>
      <c r="D4597" s="345">
        <v>9</v>
      </c>
      <c r="E4597" s="346">
        <v>-340</v>
      </c>
      <c r="F4597" s="346">
        <v>16846.280000000101</v>
      </c>
      <c r="G4597" s="343" t="s">
        <v>1919</v>
      </c>
      <c r="H4597" s="343" t="s">
        <v>2227</v>
      </c>
      <c r="I4597" s="343" t="s">
        <v>1880</v>
      </c>
      <c r="J4597" s="343" t="s">
        <v>757</v>
      </c>
      <c r="K4597" s="343" t="s">
        <v>741</v>
      </c>
      <c r="L4597" s="344">
        <v>44286</v>
      </c>
      <c r="M4597" s="347">
        <v>0</v>
      </c>
    </row>
    <row r="4598" spans="1:13" hidden="1" x14ac:dyDescent="0.25">
      <c r="A4598" s="344">
        <v>44286</v>
      </c>
      <c r="B4598" s="343" t="s">
        <v>2060</v>
      </c>
      <c r="C4598" s="343" t="s">
        <v>1060</v>
      </c>
      <c r="D4598" s="345">
        <v>10</v>
      </c>
      <c r="E4598" s="346">
        <v>-185.45</v>
      </c>
      <c r="F4598" s="346">
        <v>16660.8300000001</v>
      </c>
      <c r="G4598" s="343" t="s">
        <v>2215</v>
      </c>
      <c r="H4598" s="343" t="s">
        <v>2227</v>
      </c>
      <c r="I4598" s="343" t="s">
        <v>1880</v>
      </c>
      <c r="J4598" s="343" t="s">
        <v>757</v>
      </c>
      <c r="K4598" s="343" t="s">
        <v>741</v>
      </c>
      <c r="L4598" s="344">
        <v>44286</v>
      </c>
      <c r="M4598" s="347">
        <v>0</v>
      </c>
    </row>
    <row r="4599" spans="1:13" hidden="1" x14ac:dyDescent="0.25">
      <c r="A4599" s="344">
        <v>44301</v>
      </c>
      <c r="B4599" s="343" t="s">
        <v>1889</v>
      </c>
      <c r="C4599" s="343" t="s">
        <v>1059</v>
      </c>
      <c r="D4599" s="345">
        <v>10</v>
      </c>
      <c r="E4599" s="346">
        <v>-374</v>
      </c>
      <c r="F4599" s="346">
        <v>16286.8300000001</v>
      </c>
      <c r="G4599" s="343" t="s">
        <v>1890</v>
      </c>
      <c r="H4599" s="343" t="s">
        <v>2227</v>
      </c>
      <c r="I4599" s="343" t="s">
        <v>1880</v>
      </c>
      <c r="J4599" s="343" t="s">
        <v>757</v>
      </c>
      <c r="K4599" s="343" t="s">
        <v>741</v>
      </c>
      <c r="L4599" s="344">
        <v>44301</v>
      </c>
      <c r="M4599" s="347">
        <v>0</v>
      </c>
    </row>
    <row r="4600" spans="1:13" hidden="1" x14ac:dyDescent="0.25">
      <c r="A4600" s="344">
        <v>44315</v>
      </c>
      <c r="B4600" s="343" t="s">
        <v>1920</v>
      </c>
      <c r="C4600" s="343" t="s">
        <v>1059</v>
      </c>
      <c r="D4600" s="345">
        <v>10</v>
      </c>
      <c r="E4600" s="346">
        <v>-299.2</v>
      </c>
      <c r="F4600" s="346">
        <v>15987.630000000099</v>
      </c>
      <c r="G4600" s="343" t="s">
        <v>1921</v>
      </c>
      <c r="H4600" s="343" t="s">
        <v>2227</v>
      </c>
      <c r="I4600" s="343" t="s">
        <v>1880</v>
      </c>
      <c r="J4600" s="343" t="s">
        <v>757</v>
      </c>
      <c r="K4600" s="343" t="s">
        <v>741</v>
      </c>
      <c r="L4600" s="344">
        <v>44315</v>
      </c>
      <c r="M4600" s="347">
        <v>0</v>
      </c>
    </row>
    <row r="4601" spans="1:13" hidden="1" x14ac:dyDescent="0.25">
      <c r="A4601" s="344">
        <v>44316</v>
      </c>
      <c r="B4601" s="343" t="s">
        <v>1078</v>
      </c>
      <c r="C4601" s="343" t="s">
        <v>1060</v>
      </c>
      <c r="D4601" s="345">
        <v>10</v>
      </c>
      <c r="E4601" s="346">
        <v>234.91</v>
      </c>
      <c r="F4601" s="346">
        <v>16222.540000000099</v>
      </c>
      <c r="G4601" s="343" t="s">
        <v>1077</v>
      </c>
      <c r="H4601" s="343" t="s">
        <v>2227</v>
      </c>
      <c r="I4601" s="343" t="s">
        <v>1880</v>
      </c>
      <c r="J4601" s="343" t="s">
        <v>757</v>
      </c>
      <c r="K4601" s="343" t="s">
        <v>741</v>
      </c>
      <c r="L4601" s="344">
        <v>44316</v>
      </c>
      <c r="M4601" s="347">
        <v>0</v>
      </c>
    </row>
    <row r="4602" spans="1:13" hidden="1" x14ac:dyDescent="0.25">
      <c r="A4602" s="344">
        <v>44327</v>
      </c>
      <c r="B4602" s="343" t="s">
        <v>1924</v>
      </c>
      <c r="C4602" s="343" t="s">
        <v>1059</v>
      </c>
      <c r="D4602" s="345">
        <v>10</v>
      </c>
      <c r="E4602" s="346">
        <v>-340</v>
      </c>
      <c r="F4602" s="346">
        <v>15882.540000000099</v>
      </c>
      <c r="G4602" s="343" t="s">
        <v>1923</v>
      </c>
      <c r="H4602" s="343" t="s">
        <v>2227</v>
      </c>
      <c r="I4602" s="343" t="s">
        <v>1880</v>
      </c>
      <c r="J4602" s="343" t="s">
        <v>757</v>
      </c>
      <c r="K4602" s="343" t="s">
        <v>741</v>
      </c>
      <c r="L4602" s="344">
        <v>44327</v>
      </c>
      <c r="M4602" s="347">
        <v>0</v>
      </c>
    </row>
    <row r="4603" spans="1:13" hidden="1" x14ac:dyDescent="0.25">
      <c r="A4603" s="344">
        <v>44327</v>
      </c>
      <c r="B4603" s="343" t="s">
        <v>1922</v>
      </c>
      <c r="C4603" s="343" t="s">
        <v>1059</v>
      </c>
      <c r="D4603" s="345">
        <v>10</v>
      </c>
      <c r="E4603" s="346">
        <v>340</v>
      </c>
      <c r="F4603" s="346">
        <v>16222.540000000099</v>
      </c>
      <c r="G4603" s="343" t="s">
        <v>1923</v>
      </c>
      <c r="H4603" s="343" t="s">
        <v>2227</v>
      </c>
      <c r="I4603" s="343" t="s">
        <v>1880</v>
      </c>
      <c r="J4603" s="343" t="s">
        <v>757</v>
      </c>
      <c r="K4603" s="343" t="s">
        <v>741</v>
      </c>
      <c r="L4603" s="344">
        <v>44327</v>
      </c>
      <c r="M4603" s="347">
        <v>0</v>
      </c>
    </row>
    <row r="4604" spans="1:13" hidden="1" x14ac:dyDescent="0.25">
      <c r="A4604" s="344">
        <v>44012</v>
      </c>
      <c r="B4604" s="343" t="s">
        <v>1925</v>
      </c>
      <c r="C4604" s="343" t="s">
        <v>1059</v>
      </c>
      <c r="D4604" s="345">
        <v>1</v>
      </c>
      <c r="E4604" s="346">
        <v>-42.27</v>
      </c>
      <c r="F4604" s="346">
        <v>15784.630000000099</v>
      </c>
      <c r="G4604" s="343" t="s">
        <v>2155</v>
      </c>
      <c r="H4604" s="343" t="s">
        <v>2230</v>
      </c>
      <c r="I4604" s="343" t="s">
        <v>1880</v>
      </c>
      <c r="J4604" s="343" t="s">
        <v>757</v>
      </c>
      <c r="K4604" s="343" t="s">
        <v>741</v>
      </c>
      <c r="L4604" s="344">
        <v>44012</v>
      </c>
      <c r="M4604" s="347">
        <v>0</v>
      </c>
    </row>
    <row r="4605" spans="1:13" hidden="1" x14ac:dyDescent="0.25">
      <c r="A4605" s="344">
        <v>44013</v>
      </c>
      <c r="B4605" s="343" t="s">
        <v>2159</v>
      </c>
      <c r="C4605" s="343" t="s">
        <v>769</v>
      </c>
      <c r="D4605" s="345">
        <v>1</v>
      </c>
      <c r="E4605" s="346">
        <v>42.27</v>
      </c>
      <c r="F4605" s="346">
        <v>15826.9000000001</v>
      </c>
      <c r="G4605" s="343" t="s">
        <v>2160</v>
      </c>
      <c r="H4605" s="343" t="s">
        <v>2230</v>
      </c>
      <c r="I4605" s="343" t="s">
        <v>1880</v>
      </c>
      <c r="J4605" s="343" t="s">
        <v>757</v>
      </c>
      <c r="K4605" s="343" t="s">
        <v>770</v>
      </c>
      <c r="L4605" s="344">
        <v>44013</v>
      </c>
      <c r="M4605" s="347">
        <v>0</v>
      </c>
    </row>
    <row r="4606" spans="1:13" hidden="1" x14ac:dyDescent="0.25">
      <c r="A4606" s="344">
        <v>44043</v>
      </c>
      <c r="B4606" s="343" t="s">
        <v>1891</v>
      </c>
      <c r="C4606" s="343" t="s">
        <v>1060</v>
      </c>
      <c r="D4606" s="345">
        <v>1</v>
      </c>
      <c r="E4606" s="346">
        <v>25.36</v>
      </c>
      <c r="F4606" s="346">
        <v>15852.2600000001</v>
      </c>
      <c r="G4606" s="343" t="s">
        <v>2161</v>
      </c>
      <c r="H4606" s="343" t="s">
        <v>2230</v>
      </c>
      <c r="I4606" s="343" t="s">
        <v>1880</v>
      </c>
      <c r="J4606" s="343" t="s">
        <v>757</v>
      </c>
      <c r="K4606" s="343" t="s">
        <v>741</v>
      </c>
      <c r="L4606" s="344">
        <v>44043</v>
      </c>
      <c r="M4606" s="347">
        <v>0</v>
      </c>
    </row>
    <row r="4607" spans="1:13" hidden="1" x14ac:dyDescent="0.25">
      <c r="A4607" s="344">
        <v>44043</v>
      </c>
      <c r="B4607" s="343" t="s">
        <v>1891</v>
      </c>
      <c r="C4607" s="343" t="s">
        <v>1060</v>
      </c>
      <c r="D4607" s="345">
        <v>2</v>
      </c>
      <c r="E4607" s="346">
        <v>-25.36</v>
      </c>
      <c r="F4607" s="346">
        <v>15826.9000000001</v>
      </c>
      <c r="G4607" s="343" t="s">
        <v>2161</v>
      </c>
      <c r="H4607" s="343" t="s">
        <v>2230</v>
      </c>
      <c r="I4607" s="343" t="s">
        <v>1880</v>
      </c>
      <c r="J4607" s="343" t="s">
        <v>757</v>
      </c>
      <c r="K4607" s="343" t="s">
        <v>741</v>
      </c>
      <c r="L4607" s="344">
        <v>44043</v>
      </c>
      <c r="M4607" s="347">
        <v>0</v>
      </c>
    </row>
    <row r="4608" spans="1:13" hidden="1" x14ac:dyDescent="0.25">
      <c r="A4608" s="344">
        <v>44043</v>
      </c>
      <c r="B4608" s="343" t="s">
        <v>2162</v>
      </c>
      <c r="C4608" s="343" t="s">
        <v>769</v>
      </c>
      <c r="D4608" s="345">
        <v>2</v>
      </c>
      <c r="E4608" s="346">
        <v>25.36</v>
      </c>
      <c r="F4608" s="346">
        <v>15852.2600000001</v>
      </c>
      <c r="G4608" s="343" t="s">
        <v>2163</v>
      </c>
      <c r="H4608" s="343" t="s">
        <v>2230</v>
      </c>
      <c r="I4608" s="343" t="s">
        <v>1880</v>
      </c>
      <c r="J4608" s="343" t="s">
        <v>757</v>
      </c>
      <c r="K4608" s="343" t="s">
        <v>770</v>
      </c>
      <c r="L4608" s="344">
        <v>44043</v>
      </c>
      <c r="M4608" s="347">
        <v>0</v>
      </c>
    </row>
    <row r="4609" spans="1:13" hidden="1" x14ac:dyDescent="0.25">
      <c r="A4609" s="344">
        <v>44052</v>
      </c>
      <c r="B4609" s="343" t="s">
        <v>1930</v>
      </c>
      <c r="C4609" s="343" t="s">
        <v>1059</v>
      </c>
      <c r="D4609" s="345">
        <v>2</v>
      </c>
      <c r="E4609" s="346">
        <v>-16.920000000000002</v>
      </c>
      <c r="F4609" s="346">
        <v>15835.3400000001</v>
      </c>
      <c r="G4609" s="343" t="s">
        <v>1931</v>
      </c>
      <c r="H4609" s="343" t="s">
        <v>2230</v>
      </c>
      <c r="I4609" s="343" t="s">
        <v>1880</v>
      </c>
      <c r="J4609" s="343" t="s">
        <v>757</v>
      </c>
      <c r="K4609" s="343" t="s">
        <v>741</v>
      </c>
      <c r="L4609" s="344">
        <v>44052</v>
      </c>
      <c r="M4609" s="347">
        <v>0</v>
      </c>
    </row>
    <row r="4610" spans="1:13" hidden="1" x14ac:dyDescent="0.25">
      <c r="A4610" s="344">
        <v>44062</v>
      </c>
      <c r="B4610" s="343" t="s">
        <v>1932</v>
      </c>
      <c r="C4610" s="343" t="s">
        <v>1059</v>
      </c>
      <c r="D4610" s="345">
        <v>2</v>
      </c>
      <c r="E4610" s="346">
        <v>-11.28</v>
      </c>
      <c r="F4610" s="346">
        <v>15824.0600000001</v>
      </c>
      <c r="G4610" s="343" t="s">
        <v>1933</v>
      </c>
      <c r="H4610" s="343" t="s">
        <v>2230</v>
      </c>
      <c r="I4610" s="343" t="s">
        <v>1880</v>
      </c>
      <c r="J4610" s="343" t="s">
        <v>757</v>
      </c>
      <c r="K4610" s="343" t="s">
        <v>741</v>
      </c>
      <c r="L4610" s="344">
        <v>44062</v>
      </c>
      <c r="M4610" s="347">
        <v>0</v>
      </c>
    </row>
    <row r="4611" spans="1:13" hidden="1" x14ac:dyDescent="0.25">
      <c r="A4611" s="344">
        <v>44074</v>
      </c>
      <c r="B4611" s="343" t="s">
        <v>1896</v>
      </c>
      <c r="C4611" s="343" t="s">
        <v>1060</v>
      </c>
      <c r="D4611" s="345">
        <v>2</v>
      </c>
      <c r="E4611" s="346">
        <v>19.73</v>
      </c>
      <c r="F4611" s="346">
        <v>15843.790000000099</v>
      </c>
      <c r="G4611" s="343" t="s">
        <v>2168</v>
      </c>
      <c r="H4611" s="343" t="s">
        <v>2230</v>
      </c>
      <c r="I4611" s="343" t="s">
        <v>1880</v>
      </c>
      <c r="J4611" s="343" t="s">
        <v>757</v>
      </c>
      <c r="K4611" s="343" t="s">
        <v>741</v>
      </c>
      <c r="L4611" s="344">
        <v>44074</v>
      </c>
      <c r="M4611" s="347">
        <v>0</v>
      </c>
    </row>
    <row r="4612" spans="1:13" hidden="1" x14ac:dyDescent="0.25">
      <c r="A4612" s="344">
        <v>44074</v>
      </c>
      <c r="B4612" s="343" t="s">
        <v>1896</v>
      </c>
      <c r="C4612" s="343" t="s">
        <v>1060</v>
      </c>
      <c r="D4612" s="345">
        <v>3</v>
      </c>
      <c r="E4612" s="346">
        <v>-19.73</v>
      </c>
      <c r="F4612" s="346">
        <v>15824.0600000001</v>
      </c>
      <c r="G4612" s="343" t="s">
        <v>2168</v>
      </c>
      <c r="H4612" s="343" t="s">
        <v>2230</v>
      </c>
      <c r="I4612" s="343" t="s">
        <v>1880</v>
      </c>
      <c r="J4612" s="343" t="s">
        <v>757</v>
      </c>
      <c r="K4612" s="343" t="s">
        <v>741</v>
      </c>
      <c r="L4612" s="344">
        <v>44074</v>
      </c>
      <c r="M4612" s="347">
        <v>0</v>
      </c>
    </row>
    <row r="4613" spans="1:13" hidden="1" x14ac:dyDescent="0.25">
      <c r="A4613" s="344">
        <v>44083</v>
      </c>
      <c r="B4613" s="343" t="s">
        <v>1948</v>
      </c>
      <c r="C4613" s="343" t="s">
        <v>1059</v>
      </c>
      <c r="D4613" s="345">
        <v>3</v>
      </c>
      <c r="E4613" s="346">
        <v>2.82</v>
      </c>
      <c r="F4613" s="346">
        <v>15826.880000000099</v>
      </c>
      <c r="G4613" s="343" t="s">
        <v>1949</v>
      </c>
      <c r="H4613" s="343" t="s">
        <v>2230</v>
      </c>
      <c r="I4613" s="343" t="s">
        <v>1880</v>
      </c>
      <c r="J4613" s="343" t="s">
        <v>757</v>
      </c>
      <c r="K4613" s="343" t="s">
        <v>741</v>
      </c>
      <c r="L4613" s="344">
        <v>44083</v>
      </c>
      <c r="M4613" s="347">
        <v>0</v>
      </c>
    </row>
    <row r="4614" spans="1:13" hidden="1" x14ac:dyDescent="0.25">
      <c r="A4614" s="344">
        <v>44085</v>
      </c>
      <c r="B4614" s="343" t="s">
        <v>2171</v>
      </c>
      <c r="C4614" s="343" t="s">
        <v>1059</v>
      </c>
      <c r="D4614" s="345">
        <v>3</v>
      </c>
      <c r="E4614" s="346">
        <v>19.73</v>
      </c>
      <c r="F4614" s="346">
        <v>15846.610000000101</v>
      </c>
      <c r="G4614" s="343" t="s">
        <v>2172</v>
      </c>
      <c r="H4614" s="343" t="s">
        <v>2230</v>
      </c>
      <c r="I4614" s="343" t="s">
        <v>1880</v>
      </c>
      <c r="J4614" s="343" t="s">
        <v>757</v>
      </c>
      <c r="K4614" s="343" t="s">
        <v>741</v>
      </c>
      <c r="L4614" s="344">
        <v>44085</v>
      </c>
      <c r="M4614" s="347">
        <v>0</v>
      </c>
    </row>
    <row r="4615" spans="1:13" hidden="1" x14ac:dyDescent="0.25">
      <c r="A4615" s="344">
        <v>44094</v>
      </c>
      <c r="B4615" s="343" t="s">
        <v>1950</v>
      </c>
      <c r="C4615" s="343" t="s">
        <v>1059</v>
      </c>
      <c r="D4615" s="345">
        <v>3</v>
      </c>
      <c r="E4615" s="346">
        <v>-2.82</v>
      </c>
      <c r="F4615" s="346">
        <v>15843.790000000099</v>
      </c>
      <c r="G4615" s="343" t="s">
        <v>1951</v>
      </c>
      <c r="H4615" s="343" t="s">
        <v>2230</v>
      </c>
      <c r="I4615" s="343" t="s">
        <v>1880</v>
      </c>
      <c r="J4615" s="343" t="s">
        <v>757</v>
      </c>
      <c r="K4615" s="343" t="s">
        <v>741</v>
      </c>
      <c r="L4615" s="344">
        <v>44094</v>
      </c>
      <c r="M4615" s="347">
        <v>0</v>
      </c>
    </row>
    <row r="4616" spans="1:13" hidden="1" x14ac:dyDescent="0.25">
      <c r="A4616" s="344">
        <v>44104</v>
      </c>
      <c r="B4616" s="343" t="s">
        <v>1900</v>
      </c>
      <c r="C4616" s="343" t="s">
        <v>1060</v>
      </c>
      <c r="D4616" s="345">
        <v>3</v>
      </c>
      <c r="E4616" s="346">
        <v>15.45</v>
      </c>
      <c r="F4616" s="346">
        <v>15859.2400000001</v>
      </c>
      <c r="G4616" s="343" t="s">
        <v>2173</v>
      </c>
      <c r="H4616" s="343" t="s">
        <v>2230</v>
      </c>
      <c r="I4616" s="343" t="s">
        <v>1880</v>
      </c>
      <c r="J4616" s="343" t="s">
        <v>757</v>
      </c>
      <c r="K4616" s="343" t="s">
        <v>741</v>
      </c>
      <c r="L4616" s="344">
        <v>44104</v>
      </c>
      <c r="M4616" s="347">
        <v>0</v>
      </c>
    </row>
    <row r="4617" spans="1:13" hidden="1" x14ac:dyDescent="0.25">
      <c r="A4617" s="344">
        <v>44104</v>
      </c>
      <c r="B4617" s="343" t="s">
        <v>1934</v>
      </c>
      <c r="C4617" s="343" t="s">
        <v>1059</v>
      </c>
      <c r="D4617" s="345">
        <v>3</v>
      </c>
      <c r="E4617" s="346">
        <v>-11.28</v>
      </c>
      <c r="F4617" s="346">
        <v>15847.960000000099</v>
      </c>
      <c r="G4617" s="343" t="s">
        <v>1935</v>
      </c>
      <c r="H4617" s="343" t="s">
        <v>2230</v>
      </c>
      <c r="I4617" s="343" t="s">
        <v>1880</v>
      </c>
      <c r="J4617" s="343" t="s">
        <v>757</v>
      </c>
      <c r="K4617" s="343" t="s">
        <v>741</v>
      </c>
      <c r="L4617" s="344">
        <v>44104</v>
      </c>
      <c r="M4617" s="347">
        <v>0</v>
      </c>
    </row>
    <row r="4618" spans="1:13" hidden="1" x14ac:dyDescent="0.25">
      <c r="A4618" s="344">
        <v>44104</v>
      </c>
      <c r="B4618" s="343" t="s">
        <v>1900</v>
      </c>
      <c r="C4618" s="343" t="s">
        <v>1060</v>
      </c>
      <c r="D4618" s="345">
        <v>4</v>
      </c>
      <c r="E4618" s="346">
        <v>-15.45</v>
      </c>
      <c r="F4618" s="346">
        <v>15832.5100000001</v>
      </c>
      <c r="G4618" s="343" t="s">
        <v>2173</v>
      </c>
      <c r="H4618" s="343" t="s">
        <v>2230</v>
      </c>
      <c r="I4618" s="343" t="s">
        <v>1880</v>
      </c>
      <c r="J4618" s="343" t="s">
        <v>757</v>
      </c>
      <c r="K4618" s="343" t="s">
        <v>741</v>
      </c>
      <c r="L4618" s="344">
        <v>44104</v>
      </c>
      <c r="M4618" s="347">
        <v>0</v>
      </c>
    </row>
    <row r="4619" spans="1:13" hidden="1" x14ac:dyDescent="0.25">
      <c r="A4619" s="344">
        <v>44120</v>
      </c>
      <c r="B4619" s="343" t="s">
        <v>1936</v>
      </c>
      <c r="C4619" s="343" t="s">
        <v>1059</v>
      </c>
      <c r="D4619" s="345">
        <v>4</v>
      </c>
      <c r="E4619" s="346">
        <v>-8.4600000000000009</v>
      </c>
      <c r="F4619" s="346">
        <v>15824.050000000099</v>
      </c>
      <c r="G4619" s="343" t="s">
        <v>1937</v>
      </c>
      <c r="H4619" s="343" t="s">
        <v>2230</v>
      </c>
      <c r="I4619" s="343" t="s">
        <v>1880</v>
      </c>
      <c r="J4619" s="343" t="s">
        <v>757</v>
      </c>
      <c r="K4619" s="343" t="s">
        <v>741</v>
      </c>
      <c r="L4619" s="344">
        <v>44120</v>
      </c>
      <c r="M4619" s="347">
        <v>0</v>
      </c>
    </row>
    <row r="4620" spans="1:13" hidden="1" x14ac:dyDescent="0.25">
      <c r="A4620" s="344">
        <v>44135</v>
      </c>
      <c r="B4620" s="343" t="s">
        <v>1954</v>
      </c>
      <c r="C4620" s="343" t="s">
        <v>1059</v>
      </c>
      <c r="D4620" s="345">
        <v>4</v>
      </c>
      <c r="E4620" s="346">
        <v>-18.54</v>
      </c>
      <c r="F4620" s="346">
        <v>15805.5100000001</v>
      </c>
      <c r="G4620" s="343" t="s">
        <v>1955</v>
      </c>
      <c r="H4620" s="343" t="s">
        <v>2230</v>
      </c>
      <c r="I4620" s="343" t="s">
        <v>1880</v>
      </c>
      <c r="J4620" s="343" t="s">
        <v>757</v>
      </c>
      <c r="K4620" s="343" t="s">
        <v>741</v>
      </c>
      <c r="L4620" s="344">
        <v>44135</v>
      </c>
      <c r="M4620" s="347">
        <v>0</v>
      </c>
    </row>
    <row r="4621" spans="1:13" hidden="1" x14ac:dyDescent="0.25">
      <c r="A4621" s="344">
        <v>44135</v>
      </c>
      <c r="B4621" s="343" t="s">
        <v>1904</v>
      </c>
      <c r="C4621" s="343" t="s">
        <v>1060</v>
      </c>
      <c r="D4621" s="345">
        <v>4</v>
      </c>
      <c r="E4621" s="346">
        <v>40.18</v>
      </c>
      <c r="F4621" s="346">
        <v>15845.690000000101</v>
      </c>
      <c r="G4621" s="343" t="s">
        <v>2174</v>
      </c>
      <c r="H4621" s="343" t="s">
        <v>2230</v>
      </c>
      <c r="I4621" s="343" t="s">
        <v>1880</v>
      </c>
      <c r="J4621" s="343" t="s">
        <v>757</v>
      </c>
      <c r="K4621" s="343" t="s">
        <v>741</v>
      </c>
      <c r="L4621" s="344">
        <v>44135</v>
      </c>
      <c r="M4621" s="347">
        <v>0</v>
      </c>
    </row>
    <row r="4622" spans="1:13" hidden="1" x14ac:dyDescent="0.25">
      <c r="A4622" s="344">
        <v>44104</v>
      </c>
      <c r="B4622" s="343" t="s">
        <v>2175</v>
      </c>
      <c r="C4622" s="343" t="s">
        <v>769</v>
      </c>
      <c r="D4622" s="345">
        <v>5</v>
      </c>
      <c r="E4622" s="346">
        <v>15.45</v>
      </c>
      <c r="F4622" s="346">
        <v>15861.140000000099</v>
      </c>
      <c r="G4622" s="343" t="s">
        <v>2176</v>
      </c>
      <c r="H4622" s="343" t="s">
        <v>2230</v>
      </c>
      <c r="I4622" s="343" t="s">
        <v>1880</v>
      </c>
      <c r="J4622" s="343" t="s">
        <v>757</v>
      </c>
      <c r="K4622" s="343" t="s">
        <v>770</v>
      </c>
      <c r="L4622" s="344">
        <v>44104</v>
      </c>
      <c r="M4622" s="347">
        <v>0</v>
      </c>
    </row>
    <row r="4623" spans="1:13" hidden="1" x14ac:dyDescent="0.25">
      <c r="A4623" s="344">
        <v>44135</v>
      </c>
      <c r="B4623" s="343" t="s">
        <v>1904</v>
      </c>
      <c r="C4623" s="343" t="s">
        <v>1060</v>
      </c>
      <c r="D4623" s="345">
        <v>5</v>
      </c>
      <c r="E4623" s="346">
        <v>-40.18</v>
      </c>
      <c r="F4623" s="346">
        <v>15820.960000000099</v>
      </c>
      <c r="G4623" s="343" t="s">
        <v>2174</v>
      </c>
      <c r="H4623" s="343" t="s">
        <v>2230</v>
      </c>
      <c r="I4623" s="343" t="s">
        <v>1880</v>
      </c>
      <c r="J4623" s="343" t="s">
        <v>757</v>
      </c>
      <c r="K4623" s="343" t="s">
        <v>741</v>
      </c>
      <c r="L4623" s="344">
        <v>44135</v>
      </c>
      <c r="M4623" s="347">
        <v>0</v>
      </c>
    </row>
    <row r="4624" spans="1:13" hidden="1" x14ac:dyDescent="0.25">
      <c r="A4624" s="344">
        <v>44138</v>
      </c>
      <c r="B4624" s="343" t="s">
        <v>2181</v>
      </c>
      <c r="C4624" s="343" t="s">
        <v>769</v>
      </c>
      <c r="D4624" s="345">
        <v>5</v>
      </c>
      <c r="E4624" s="346">
        <v>24.73</v>
      </c>
      <c r="F4624" s="346">
        <v>15845.690000000101</v>
      </c>
      <c r="G4624" s="343" t="s">
        <v>2182</v>
      </c>
      <c r="H4624" s="343" t="s">
        <v>2230</v>
      </c>
      <c r="I4624" s="343" t="s">
        <v>1880</v>
      </c>
      <c r="J4624" s="343" t="s">
        <v>757</v>
      </c>
      <c r="K4624" s="343" t="s">
        <v>770</v>
      </c>
      <c r="L4624" s="344">
        <v>44138</v>
      </c>
      <c r="M4624" s="347">
        <v>0</v>
      </c>
    </row>
    <row r="4625" spans="1:13" hidden="1" x14ac:dyDescent="0.25">
      <c r="A4625" s="344">
        <v>44148</v>
      </c>
      <c r="B4625" s="343" t="s">
        <v>1958</v>
      </c>
      <c r="C4625" s="343" t="s">
        <v>1059</v>
      </c>
      <c r="D4625" s="345">
        <v>5</v>
      </c>
      <c r="E4625" s="346">
        <v>-3.09</v>
      </c>
      <c r="F4625" s="346">
        <v>15842.6000000001</v>
      </c>
      <c r="G4625" s="343" t="s">
        <v>1959</v>
      </c>
      <c r="H4625" s="343" t="s">
        <v>2230</v>
      </c>
      <c r="I4625" s="343" t="s">
        <v>1880</v>
      </c>
      <c r="J4625" s="343" t="s">
        <v>757</v>
      </c>
      <c r="K4625" s="343" t="s">
        <v>741</v>
      </c>
      <c r="L4625" s="344">
        <v>44148</v>
      </c>
      <c r="M4625" s="347">
        <v>0</v>
      </c>
    </row>
    <row r="4626" spans="1:13" hidden="1" x14ac:dyDescent="0.25">
      <c r="A4626" s="344">
        <v>44160</v>
      </c>
      <c r="B4626" s="343" t="s">
        <v>1960</v>
      </c>
      <c r="C4626" s="343" t="s">
        <v>1059</v>
      </c>
      <c r="D4626" s="345">
        <v>5</v>
      </c>
      <c r="E4626" s="346">
        <v>-24.72</v>
      </c>
      <c r="F4626" s="346">
        <v>15817.880000000099</v>
      </c>
      <c r="G4626" s="343" t="s">
        <v>1961</v>
      </c>
      <c r="H4626" s="343" t="s">
        <v>2230</v>
      </c>
      <c r="I4626" s="343" t="s">
        <v>1880</v>
      </c>
      <c r="J4626" s="343" t="s">
        <v>757</v>
      </c>
      <c r="K4626" s="343" t="s">
        <v>741</v>
      </c>
      <c r="L4626" s="344">
        <v>44160</v>
      </c>
      <c r="M4626" s="347">
        <v>0</v>
      </c>
    </row>
    <row r="4627" spans="1:13" hidden="1" x14ac:dyDescent="0.25">
      <c r="A4627" s="344">
        <v>44165</v>
      </c>
      <c r="B4627" s="343" t="s">
        <v>1906</v>
      </c>
      <c r="C4627" s="343" t="s">
        <v>1060</v>
      </c>
      <c r="D4627" s="345">
        <v>5</v>
      </c>
      <c r="E4627" s="346">
        <v>37.08</v>
      </c>
      <c r="F4627" s="346">
        <v>15854.960000000099</v>
      </c>
      <c r="G4627" s="343" t="s">
        <v>2189</v>
      </c>
      <c r="H4627" s="343" t="s">
        <v>2230</v>
      </c>
      <c r="I4627" s="343" t="s">
        <v>1880</v>
      </c>
      <c r="J4627" s="343" t="s">
        <v>757</v>
      </c>
      <c r="K4627" s="343" t="s">
        <v>741</v>
      </c>
      <c r="L4627" s="344">
        <v>44165</v>
      </c>
      <c r="M4627" s="347">
        <v>0</v>
      </c>
    </row>
    <row r="4628" spans="1:13" hidden="1" x14ac:dyDescent="0.25">
      <c r="A4628" s="344">
        <v>44165</v>
      </c>
      <c r="B4628" s="343" t="s">
        <v>1906</v>
      </c>
      <c r="C4628" s="343" t="s">
        <v>1060</v>
      </c>
      <c r="D4628" s="345">
        <v>6</v>
      </c>
      <c r="E4628" s="346">
        <v>-37.08</v>
      </c>
      <c r="F4628" s="346">
        <v>15817.880000000099</v>
      </c>
      <c r="G4628" s="343" t="s">
        <v>2189</v>
      </c>
      <c r="H4628" s="343" t="s">
        <v>2230</v>
      </c>
      <c r="I4628" s="343" t="s">
        <v>1880</v>
      </c>
      <c r="J4628" s="343" t="s">
        <v>757</v>
      </c>
      <c r="K4628" s="343" t="s">
        <v>741</v>
      </c>
      <c r="L4628" s="344">
        <v>44165</v>
      </c>
      <c r="M4628" s="347">
        <v>0</v>
      </c>
    </row>
    <row r="4629" spans="1:13" hidden="1" x14ac:dyDescent="0.25">
      <c r="A4629" s="344">
        <v>44165</v>
      </c>
      <c r="B4629" s="343" t="s">
        <v>1962</v>
      </c>
      <c r="C4629" s="343" t="s">
        <v>1059</v>
      </c>
      <c r="D4629" s="345">
        <v>6</v>
      </c>
      <c r="E4629" s="346">
        <v>-9.27</v>
      </c>
      <c r="F4629" s="346">
        <v>15808.610000000101</v>
      </c>
      <c r="G4629" s="343" t="s">
        <v>1963</v>
      </c>
      <c r="H4629" s="343" t="s">
        <v>2230</v>
      </c>
      <c r="I4629" s="343" t="s">
        <v>1880</v>
      </c>
      <c r="J4629" s="343" t="s">
        <v>757</v>
      </c>
      <c r="K4629" s="343" t="s">
        <v>741</v>
      </c>
      <c r="L4629" s="344">
        <v>44165</v>
      </c>
      <c r="M4629" s="347">
        <v>0</v>
      </c>
    </row>
    <row r="4630" spans="1:13" hidden="1" x14ac:dyDescent="0.25">
      <c r="A4630" s="344">
        <v>44166</v>
      </c>
      <c r="B4630" s="343" t="s">
        <v>2190</v>
      </c>
      <c r="C4630" s="343" t="s">
        <v>769</v>
      </c>
      <c r="D4630" s="345">
        <v>6</v>
      </c>
      <c r="E4630" s="346">
        <v>37.090000000000003</v>
      </c>
      <c r="F4630" s="346">
        <v>15845.700000000101</v>
      </c>
      <c r="G4630" s="343" t="s">
        <v>2191</v>
      </c>
      <c r="H4630" s="343" t="s">
        <v>2230</v>
      </c>
      <c r="I4630" s="343" t="s">
        <v>1880</v>
      </c>
      <c r="J4630" s="343" t="s">
        <v>757</v>
      </c>
      <c r="K4630" s="343" t="s">
        <v>770</v>
      </c>
      <c r="L4630" s="344">
        <v>44166</v>
      </c>
      <c r="M4630" s="347">
        <v>0</v>
      </c>
    </row>
    <row r="4631" spans="1:13" hidden="1" x14ac:dyDescent="0.25">
      <c r="A4631" s="344">
        <v>44187</v>
      </c>
      <c r="B4631" s="343" t="s">
        <v>1966</v>
      </c>
      <c r="C4631" s="343" t="s">
        <v>1059</v>
      </c>
      <c r="D4631" s="345">
        <v>6</v>
      </c>
      <c r="E4631" s="346">
        <v>-27.2</v>
      </c>
      <c r="F4631" s="346">
        <v>15818.5000000001</v>
      </c>
      <c r="G4631" s="343" t="s">
        <v>1967</v>
      </c>
      <c r="H4631" s="343" t="s">
        <v>2230</v>
      </c>
      <c r="I4631" s="343" t="s">
        <v>1880</v>
      </c>
      <c r="J4631" s="343" t="s">
        <v>757</v>
      </c>
      <c r="K4631" s="343" t="s">
        <v>741</v>
      </c>
      <c r="L4631" s="344">
        <v>44187</v>
      </c>
      <c r="M4631" s="347">
        <v>0</v>
      </c>
    </row>
    <row r="4632" spans="1:13" hidden="1" x14ac:dyDescent="0.25">
      <c r="A4632" s="344">
        <v>44196</v>
      </c>
      <c r="B4632" s="343" t="s">
        <v>1910</v>
      </c>
      <c r="C4632" s="343" t="s">
        <v>1060</v>
      </c>
      <c r="D4632" s="345">
        <v>6</v>
      </c>
      <c r="E4632" s="346">
        <v>37.090000000000003</v>
      </c>
      <c r="F4632" s="346">
        <v>15855.5900000001</v>
      </c>
      <c r="G4632" s="343" t="s">
        <v>2196</v>
      </c>
      <c r="H4632" s="343" t="s">
        <v>2230</v>
      </c>
      <c r="I4632" s="343" t="s">
        <v>1880</v>
      </c>
      <c r="J4632" s="343" t="s">
        <v>757</v>
      </c>
      <c r="K4632" s="343" t="s">
        <v>741</v>
      </c>
      <c r="L4632" s="344">
        <v>44196</v>
      </c>
      <c r="M4632" s="347">
        <v>0</v>
      </c>
    </row>
    <row r="4633" spans="1:13" hidden="1" x14ac:dyDescent="0.25">
      <c r="A4633" s="344">
        <v>44196</v>
      </c>
      <c r="B4633" s="343" t="s">
        <v>1910</v>
      </c>
      <c r="C4633" s="343" t="s">
        <v>1060</v>
      </c>
      <c r="D4633" s="345">
        <v>7</v>
      </c>
      <c r="E4633" s="346">
        <v>-37.090000000000003</v>
      </c>
      <c r="F4633" s="346">
        <v>15818.5000000001</v>
      </c>
      <c r="G4633" s="343" t="s">
        <v>2196</v>
      </c>
      <c r="H4633" s="343" t="s">
        <v>2230</v>
      </c>
      <c r="I4633" s="343" t="s">
        <v>1880</v>
      </c>
      <c r="J4633" s="343" t="s">
        <v>757</v>
      </c>
      <c r="K4633" s="343" t="s">
        <v>741</v>
      </c>
      <c r="L4633" s="344">
        <v>44196</v>
      </c>
      <c r="M4633" s="347">
        <v>0</v>
      </c>
    </row>
    <row r="4634" spans="1:13" hidden="1" x14ac:dyDescent="0.25">
      <c r="A4634" s="344">
        <v>44200</v>
      </c>
      <c r="B4634" s="343" t="s">
        <v>2199</v>
      </c>
      <c r="C4634" s="343" t="s">
        <v>769</v>
      </c>
      <c r="D4634" s="345">
        <v>7</v>
      </c>
      <c r="E4634" s="346">
        <v>37.090000000000003</v>
      </c>
      <c r="F4634" s="346">
        <v>15855.5900000001</v>
      </c>
      <c r="G4634" s="343" t="s">
        <v>2200</v>
      </c>
      <c r="H4634" s="343" t="s">
        <v>2230</v>
      </c>
      <c r="I4634" s="343" t="s">
        <v>1880</v>
      </c>
      <c r="J4634" s="343" t="s">
        <v>757</v>
      </c>
      <c r="K4634" s="343" t="s">
        <v>770</v>
      </c>
      <c r="L4634" s="344">
        <v>44200</v>
      </c>
      <c r="M4634" s="347">
        <v>0</v>
      </c>
    </row>
    <row r="4635" spans="1:13" hidden="1" x14ac:dyDescent="0.25">
      <c r="A4635" s="344">
        <v>44203</v>
      </c>
      <c r="B4635" s="343" t="s">
        <v>1970</v>
      </c>
      <c r="C4635" s="343" t="s">
        <v>1059</v>
      </c>
      <c r="D4635" s="345">
        <v>7</v>
      </c>
      <c r="E4635" s="346">
        <v>-6.8</v>
      </c>
      <c r="F4635" s="346">
        <v>15848.790000000099</v>
      </c>
      <c r="G4635" s="343" t="s">
        <v>1971</v>
      </c>
      <c r="H4635" s="343" t="s">
        <v>2230</v>
      </c>
      <c r="I4635" s="343" t="s">
        <v>1880</v>
      </c>
      <c r="J4635" s="343" t="s">
        <v>757</v>
      </c>
      <c r="K4635" s="343" t="s">
        <v>741</v>
      </c>
      <c r="L4635" s="344">
        <v>44203</v>
      </c>
      <c r="M4635" s="347">
        <v>0</v>
      </c>
    </row>
    <row r="4636" spans="1:13" hidden="1" x14ac:dyDescent="0.25">
      <c r="A4636" s="344">
        <v>44218</v>
      </c>
      <c r="B4636" s="343" t="s">
        <v>1972</v>
      </c>
      <c r="C4636" s="343" t="s">
        <v>1059</v>
      </c>
      <c r="D4636" s="345">
        <v>7</v>
      </c>
      <c r="E4636" s="346">
        <v>-27.2</v>
      </c>
      <c r="F4636" s="346">
        <v>15821.5900000001</v>
      </c>
      <c r="G4636" s="343" t="s">
        <v>1973</v>
      </c>
      <c r="H4636" s="343" t="s">
        <v>2230</v>
      </c>
      <c r="I4636" s="343" t="s">
        <v>1880</v>
      </c>
      <c r="J4636" s="343" t="s">
        <v>757</v>
      </c>
      <c r="K4636" s="343" t="s">
        <v>741</v>
      </c>
      <c r="L4636" s="344">
        <v>44218</v>
      </c>
      <c r="M4636" s="347">
        <v>0</v>
      </c>
    </row>
    <row r="4637" spans="1:13" hidden="1" x14ac:dyDescent="0.25">
      <c r="A4637" s="344">
        <v>44227</v>
      </c>
      <c r="B4637" s="343" t="s">
        <v>2009</v>
      </c>
      <c r="C4637" s="343" t="s">
        <v>1060</v>
      </c>
      <c r="D4637" s="345">
        <v>7</v>
      </c>
      <c r="E4637" s="346">
        <v>37.090000000000003</v>
      </c>
      <c r="F4637" s="346">
        <v>15858.6800000001</v>
      </c>
      <c r="G4637" s="343" t="s">
        <v>2203</v>
      </c>
      <c r="H4637" s="343" t="s">
        <v>2230</v>
      </c>
      <c r="I4637" s="343" t="s">
        <v>1880</v>
      </c>
      <c r="J4637" s="343" t="s">
        <v>757</v>
      </c>
      <c r="K4637" s="343" t="s">
        <v>741</v>
      </c>
      <c r="L4637" s="344">
        <v>44227</v>
      </c>
      <c r="M4637" s="347">
        <v>0</v>
      </c>
    </row>
    <row r="4638" spans="1:13" hidden="1" x14ac:dyDescent="0.25">
      <c r="A4638" s="344">
        <v>44227</v>
      </c>
      <c r="B4638" s="343" t="s">
        <v>2009</v>
      </c>
      <c r="C4638" s="343" t="s">
        <v>1060</v>
      </c>
      <c r="D4638" s="345">
        <v>8</v>
      </c>
      <c r="E4638" s="346">
        <v>-37.090000000000003</v>
      </c>
      <c r="F4638" s="346">
        <v>15821.5900000001</v>
      </c>
      <c r="G4638" s="343" t="s">
        <v>2203</v>
      </c>
      <c r="H4638" s="343" t="s">
        <v>2230</v>
      </c>
      <c r="I4638" s="343" t="s">
        <v>1880</v>
      </c>
      <c r="J4638" s="343" t="s">
        <v>757</v>
      </c>
      <c r="K4638" s="343" t="s">
        <v>741</v>
      </c>
      <c r="L4638" s="344">
        <v>44227</v>
      </c>
      <c r="M4638" s="347">
        <v>0</v>
      </c>
    </row>
    <row r="4639" spans="1:13" hidden="1" x14ac:dyDescent="0.25">
      <c r="A4639" s="344">
        <v>44227</v>
      </c>
      <c r="B4639" s="343" t="s">
        <v>1974</v>
      </c>
      <c r="C4639" s="343" t="s">
        <v>1059</v>
      </c>
      <c r="D4639" s="345">
        <v>8</v>
      </c>
      <c r="E4639" s="346">
        <v>-13.6</v>
      </c>
      <c r="F4639" s="346">
        <v>15807.9900000001</v>
      </c>
      <c r="G4639" s="343" t="s">
        <v>1975</v>
      </c>
      <c r="H4639" s="343" t="s">
        <v>2230</v>
      </c>
      <c r="I4639" s="343" t="s">
        <v>1880</v>
      </c>
      <c r="J4639" s="343" t="s">
        <v>757</v>
      </c>
      <c r="K4639" s="343" t="s">
        <v>741</v>
      </c>
      <c r="L4639" s="344">
        <v>44227</v>
      </c>
      <c r="M4639" s="347">
        <v>0</v>
      </c>
    </row>
    <row r="4640" spans="1:13" hidden="1" x14ac:dyDescent="0.25">
      <c r="A4640" s="344">
        <v>44232</v>
      </c>
      <c r="B4640" s="343" t="s">
        <v>2206</v>
      </c>
      <c r="C4640" s="343" t="s">
        <v>769</v>
      </c>
      <c r="D4640" s="345">
        <v>8</v>
      </c>
      <c r="E4640" s="346">
        <v>37.090000000000003</v>
      </c>
      <c r="F4640" s="346">
        <v>15845.0800000001</v>
      </c>
      <c r="G4640" s="343" t="s">
        <v>2207</v>
      </c>
      <c r="H4640" s="343" t="s">
        <v>2230</v>
      </c>
      <c r="I4640" s="343" t="s">
        <v>1880</v>
      </c>
      <c r="J4640" s="343" t="s">
        <v>757</v>
      </c>
      <c r="K4640" s="343" t="s">
        <v>770</v>
      </c>
      <c r="L4640" s="344">
        <v>44232</v>
      </c>
      <c r="M4640" s="347">
        <v>0</v>
      </c>
    </row>
    <row r="4641" spans="1:13" hidden="1" x14ac:dyDescent="0.25">
      <c r="A4641" s="344">
        <v>44255</v>
      </c>
      <c r="B4641" s="343" t="s">
        <v>2073</v>
      </c>
      <c r="C4641" s="343" t="s">
        <v>1060</v>
      </c>
      <c r="D4641" s="345">
        <v>8</v>
      </c>
      <c r="E4641" s="346">
        <v>37.090000000000003</v>
      </c>
      <c r="F4641" s="346">
        <v>15882.1700000001</v>
      </c>
      <c r="G4641" s="343" t="s">
        <v>2210</v>
      </c>
      <c r="H4641" s="343" t="s">
        <v>2230</v>
      </c>
      <c r="I4641" s="343" t="s">
        <v>1880</v>
      </c>
      <c r="J4641" s="343" t="s">
        <v>757</v>
      </c>
      <c r="K4641" s="343" t="s">
        <v>741</v>
      </c>
      <c r="L4641" s="344">
        <v>44255</v>
      </c>
      <c r="M4641" s="347">
        <v>0</v>
      </c>
    </row>
    <row r="4642" spans="1:13" hidden="1" x14ac:dyDescent="0.25">
      <c r="A4642" s="344">
        <v>44255</v>
      </c>
      <c r="B4642" s="343" t="s">
        <v>2073</v>
      </c>
      <c r="C4642" s="343" t="s">
        <v>1060</v>
      </c>
      <c r="D4642" s="345">
        <v>9</v>
      </c>
      <c r="E4642" s="346">
        <v>-37.090000000000003</v>
      </c>
      <c r="F4642" s="346">
        <v>15845.0800000001</v>
      </c>
      <c r="G4642" s="343" t="s">
        <v>2210</v>
      </c>
      <c r="H4642" s="343" t="s">
        <v>2230</v>
      </c>
      <c r="I4642" s="343" t="s">
        <v>1880</v>
      </c>
      <c r="J4642" s="343" t="s">
        <v>757</v>
      </c>
      <c r="K4642" s="343" t="s">
        <v>741</v>
      </c>
      <c r="L4642" s="344">
        <v>44255</v>
      </c>
      <c r="M4642" s="347">
        <v>0</v>
      </c>
    </row>
    <row r="4643" spans="1:13" hidden="1" x14ac:dyDescent="0.25">
      <c r="A4643" s="344">
        <v>44255</v>
      </c>
      <c r="B4643" s="343" t="s">
        <v>2213</v>
      </c>
      <c r="C4643" s="343" t="s">
        <v>769</v>
      </c>
      <c r="D4643" s="345">
        <v>9</v>
      </c>
      <c r="E4643" s="346">
        <v>18.55</v>
      </c>
      <c r="F4643" s="346">
        <v>15863.630000000099</v>
      </c>
      <c r="G4643" s="343" t="s">
        <v>2212</v>
      </c>
      <c r="H4643" s="343" t="s">
        <v>2230</v>
      </c>
      <c r="I4643" s="343" t="s">
        <v>1880</v>
      </c>
      <c r="J4643" s="343" t="s">
        <v>757</v>
      </c>
      <c r="K4643" s="343" t="s">
        <v>770</v>
      </c>
      <c r="L4643" s="344">
        <v>44255</v>
      </c>
      <c r="M4643" s="347">
        <v>0</v>
      </c>
    </row>
    <row r="4644" spans="1:13" hidden="1" x14ac:dyDescent="0.25">
      <c r="A4644" s="344">
        <v>44259</v>
      </c>
      <c r="B4644" s="343" t="s">
        <v>1939</v>
      </c>
      <c r="C4644" s="343" t="s">
        <v>1059</v>
      </c>
      <c r="D4644" s="345">
        <v>9</v>
      </c>
      <c r="E4644" s="346">
        <v>-27.2</v>
      </c>
      <c r="F4644" s="346">
        <v>15836.4300000001</v>
      </c>
      <c r="G4644" s="343" t="s">
        <v>1940</v>
      </c>
      <c r="H4644" s="343" t="s">
        <v>2230</v>
      </c>
      <c r="I4644" s="343" t="s">
        <v>1880</v>
      </c>
      <c r="J4644" s="343" t="s">
        <v>757</v>
      </c>
      <c r="K4644" s="343" t="s">
        <v>741</v>
      </c>
      <c r="L4644" s="344">
        <v>44259</v>
      </c>
      <c r="M4644" s="347">
        <v>0</v>
      </c>
    </row>
    <row r="4645" spans="1:13" hidden="1" x14ac:dyDescent="0.25">
      <c r="A4645" s="344">
        <v>44272</v>
      </c>
      <c r="B4645" s="343" t="s">
        <v>1982</v>
      </c>
      <c r="C4645" s="343" t="s">
        <v>1059</v>
      </c>
      <c r="D4645" s="345">
        <v>9</v>
      </c>
      <c r="E4645" s="346">
        <v>-20.399999999999999</v>
      </c>
      <c r="F4645" s="346">
        <v>15816.030000000101</v>
      </c>
      <c r="G4645" s="343" t="s">
        <v>1983</v>
      </c>
      <c r="H4645" s="343" t="s">
        <v>2230</v>
      </c>
      <c r="I4645" s="343" t="s">
        <v>1880</v>
      </c>
      <c r="J4645" s="343" t="s">
        <v>757</v>
      </c>
      <c r="K4645" s="343" t="s">
        <v>741</v>
      </c>
      <c r="L4645" s="344">
        <v>44272</v>
      </c>
      <c r="M4645" s="347">
        <v>0</v>
      </c>
    </row>
    <row r="4646" spans="1:13" hidden="1" x14ac:dyDescent="0.25">
      <c r="A4646" s="344">
        <v>44286</v>
      </c>
      <c r="B4646" s="343" t="s">
        <v>2060</v>
      </c>
      <c r="C4646" s="343" t="s">
        <v>1060</v>
      </c>
      <c r="D4646" s="345">
        <v>9</v>
      </c>
      <c r="E4646" s="346">
        <v>18.55</v>
      </c>
      <c r="F4646" s="346">
        <v>15834.5800000001</v>
      </c>
      <c r="G4646" s="343" t="s">
        <v>2215</v>
      </c>
      <c r="H4646" s="343" t="s">
        <v>2230</v>
      </c>
      <c r="I4646" s="343" t="s">
        <v>1880</v>
      </c>
      <c r="J4646" s="343" t="s">
        <v>757</v>
      </c>
      <c r="K4646" s="343" t="s">
        <v>741</v>
      </c>
      <c r="L4646" s="344">
        <v>44286</v>
      </c>
      <c r="M4646" s="347">
        <v>0</v>
      </c>
    </row>
    <row r="4647" spans="1:13" hidden="1" x14ac:dyDescent="0.25">
      <c r="A4647" s="344">
        <v>44286</v>
      </c>
      <c r="B4647" s="343" t="s">
        <v>2060</v>
      </c>
      <c r="C4647" s="343" t="s">
        <v>1060</v>
      </c>
      <c r="D4647" s="345">
        <v>10</v>
      </c>
      <c r="E4647" s="346">
        <v>-18.55</v>
      </c>
      <c r="F4647" s="346">
        <v>15816.030000000101</v>
      </c>
      <c r="G4647" s="343" t="s">
        <v>2215</v>
      </c>
      <c r="H4647" s="343" t="s">
        <v>2230</v>
      </c>
      <c r="I4647" s="343" t="s">
        <v>1880</v>
      </c>
      <c r="J4647" s="343" t="s">
        <v>757</v>
      </c>
      <c r="K4647" s="343" t="s">
        <v>741</v>
      </c>
      <c r="L4647" s="344">
        <v>44286</v>
      </c>
      <c r="M4647" s="347">
        <v>0</v>
      </c>
    </row>
    <row r="4648" spans="1:13" hidden="1" x14ac:dyDescent="0.25">
      <c r="A4648" s="344">
        <v>44286</v>
      </c>
      <c r="B4648" s="343" t="s">
        <v>2220</v>
      </c>
      <c r="C4648" s="343" t="s">
        <v>769</v>
      </c>
      <c r="D4648" s="345">
        <v>10</v>
      </c>
      <c r="E4648" s="346">
        <v>18.55</v>
      </c>
      <c r="F4648" s="346">
        <v>15834.5800000001</v>
      </c>
      <c r="G4648" s="343" t="s">
        <v>2221</v>
      </c>
      <c r="H4648" s="343" t="s">
        <v>2230</v>
      </c>
      <c r="I4648" s="343" t="s">
        <v>1880</v>
      </c>
      <c r="J4648" s="343" t="s">
        <v>757</v>
      </c>
      <c r="K4648" s="343" t="s">
        <v>770</v>
      </c>
      <c r="L4648" s="344">
        <v>44286</v>
      </c>
      <c r="M4648" s="347">
        <v>0</v>
      </c>
    </row>
    <row r="4649" spans="1:13" hidden="1" x14ac:dyDescent="0.25">
      <c r="A4649" s="344">
        <v>44316</v>
      </c>
      <c r="B4649" s="343" t="s">
        <v>1078</v>
      </c>
      <c r="C4649" s="343" t="s">
        <v>1060</v>
      </c>
      <c r="D4649" s="345">
        <v>10</v>
      </c>
      <c r="E4649" s="346">
        <v>18.54</v>
      </c>
      <c r="F4649" s="346">
        <v>15853.120000000101</v>
      </c>
      <c r="G4649" s="343" t="s">
        <v>1077</v>
      </c>
      <c r="H4649" s="343" t="s">
        <v>2230</v>
      </c>
      <c r="I4649" s="343" t="s">
        <v>1880</v>
      </c>
      <c r="J4649" s="343" t="s">
        <v>757</v>
      </c>
      <c r="K4649" s="343" t="s">
        <v>741</v>
      </c>
      <c r="L4649" s="344">
        <v>44316</v>
      </c>
      <c r="M4649" s="347">
        <v>0</v>
      </c>
    </row>
    <row r="4650" spans="1:13" hidden="1" x14ac:dyDescent="0.25">
      <c r="A4650" s="344">
        <v>44135</v>
      </c>
      <c r="B4650" s="343" t="s">
        <v>1954</v>
      </c>
      <c r="C4650" s="343" t="s">
        <v>1059</v>
      </c>
      <c r="D4650" s="345">
        <v>4</v>
      </c>
      <c r="E4650" s="346">
        <v>-22.75</v>
      </c>
      <c r="F4650" s="346">
        <v>15811.8300000001</v>
      </c>
      <c r="G4650" s="343" t="s">
        <v>1955</v>
      </c>
      <c r="H4650" s="343" t="s">
        <v>2231</v>
      </c>
      <c r="I4650" s="343" t="s">
        <v>1880</v>
      </c>
      <c r="J4650" s="343" t="s">
        <v>757</v>
      </c>
      <c r="K4650" s="343" t="s">
        <v>741</v>
      </c>
      <c r="L4650" s="344">
        <v>44135</v>
      </c>
      <c r="M4650" s="347">
        <v>0</v>
      </c>
    </row>
    <row r="4651" spans="1:13" hidden="1" x14ac:dyDescent="0.25">
      <c r="A4651" s="344">
        <v>44148</v>
      </c>
      <c r="B4651" s="343" t="s">
        <v>1958</v>
      </c>
      <c r="C4651" s="343" t="s">
        <v>1059</v>
      </c>
      <c r="D4651" s="345">
        <v>5</v>
      </c>
      <c r="E4651" s="346">
        <v>-36.4</v>
      </c>
      <c r="F4651" s="346">
        <v>15775.4300000001</v>
      </c>
      <c r="G4651" s="343" t="s">
        <v>1959</v>
      </c>
      <c r="H4651" s="343" t="s">
        <v>2231</v>
      </c>
      <c r="I4651" s="343" t="s">
        <v>1880</v>
      </c>
      <c r="J4651" s="343" t="s">
        <v>757</v>
      </c>
      <c r="K4651" s="343" t="s">
        <v>741</v>
      </c>
      <c r="L4651" s="344">
        <v>44148</v>
      </c>
      <c r="M4651" s="347">
        <v>0</v>
      </c>
    </row>
    <row r="4652" spans="1:13" hidden="1" x14ac:dyDescent="0.25">
      <c r="A4652" s="344">
        <v>44160</v>
      </c>
      <c r="B4652" s="343" t="s">
        <v>1960</v>
      </c>
      <c r="C4652" s="343" t="s">
        <v>1059</v>
      </c>
      <c r="D4652" s="345">
        <v>5</v>
      </c>
      <c r="E4652" s="346">
        <v>-36.4</v>
      </c>
      <c r="F4652" s="346">
        <v>15739.030000000101</v>
      </c>
      <c r="G4652" s="343" t="s">
        <v>1961</v>
      </c>
      <c r="H4652" s="343" t="s">
        <v>2231</v>
      </c>
      <c r="I4652" s="343" t="s">
        <v>1880</v>
      </c>
      <c r="J4652" s="343" t="s">
        <v>757</v>
      </c>
      <c r="K4652" s="343" t="s">
        <v>741</v>
      </c>
      <c r="L4652" s="344">
        <v>44160</v>
      </c>
      <c r="M4652" s="347">
        <v>0</v>
      </c>
    </row>
    <row r="4653" spans="1:13" hidden="1" x14ac:dyDescent="0.25">
      <c r="A4653" s="344">
        <v>44165</v>
      </c>
      <c r="B4653" s="343" t="s">
        <v>1962</v>
      </c>
      <c r="C4653" s="343" t="s">
        <v>1059</v>
      </c>
      <c r="D4653" s="345">
        <v>6</v>
      </c>
      <c r="E4653" s="346">
        <v>-36.4</v>
      </c>
      <c r="F4653" s="346">
        <v>15702.630000000099</v>
      </c>
      <c r="G4653" s="343" t="s">
        <v>1963</v>
      </c>
      <c r="H4653" s="343" t="s">
        <v>2231</v>
      </c>
      <c r="I4653" s="343" t="s">
        <v>1880</v>
      </c>
      <c r="J4653" s="343" t="s">
        <v>757</v>
      </c>
      <c r="K4653" s="343" t="s">
        <v>741</v>
      </c>
      <c r="L4653" s="344">
        <v>44165</v>
      </c>
      <c r="M4653" s="347">
        <v>0</v>
      </c>
    </row>
    <row r="4654" spans="1:13" hidden="1" x14ac:dyDescent="0.25">
      <c r="A4654" s="344">
        <v>44187</v>
      </c>
      <c r="B4654" s="343" t="s">
        <v>1966</v>
      </c>
      <c r="C4654" s="343" t="s">
        <v>1059</v>
      </c>
      <c r="D4654" s="345">
        <v>6</v>
      </c>
      <c r="E4654" s="346">
        <v>-63.7</v>
      </c>
      <c r="F4654" s="346">
        <v>15638.9300000001</v>
      </c>
      <c r="G4654" s="343" t="s">
        <v>1967</v>
      </c>
      <c r="H4654" s="343" t="s">
        <v>2231</v>
      </c>
      <c r="I4654" s="343" t="s">
        <v>1880</v>
      </c>
      <c r="J4654" s="343" t="s">
        <v>757</v>
      </c>
      <c r="K4654" s="343" t="s">
        <v>741</v>
      </c>
      <c r="L4654" s="344">
        <v>44187</v>
      </c>
      <c r="M4654" s="347">
        <v>0</v>
      </c>
    </row>
    <row r="4655" spans="1:13" hidden="1" x14ac:dyDescent="0.25">
      <c r="A4655" s="344">
        <v>44203</v>
      </c>
      <c r="B4655" s="343" t="s">
        <v>1970</v>
      </c>
      <c r="C4655" s="343" t="s">
        <v>1059</v>
      </c>
      <c r="D4655" s="345">
        <v>7</v>
      </c>
      <c r="E4655" s="346">
        <v>-136.5</v>
      </c>
      <c r="F4655" s="346">
        <v>15502.4300000001</v>
      </c>
      <c r="G4655" s="343" t="s">
        <v>1971</v>
      </c>
      <c r="H4655" s="343" t="s">
        <v>2231</v>
      </c>
      <c r="I4655" s="343" t="s">
        <v>1880</v>
      </c>
      <c r="J4655" s="343" t="s">
        <v>757</v>
      </c>
      <c r="K4655" s="343" t="s">
        <v>741</v>
      </c>
      <c r="L4655" s="344">
        <v>44203</v>
      </c>
      <c r="M4655" s="347">
        <v>0</v>
      </c>
    </row>
    <row r="4656" spans="1:13" hidden="1" x14ac:dyDescent="0.25">
      <c r="A4656" s="344">
        <v>44218</v>
      </c>
      <c r="B4656" s="343" t="s">
        <v>1972</v>
      </c>
      <c r="C4656" s="343" t="s">
        <v>1059</v>
      </c>
      <c r="D4656" s="345">
        <v>7</v>
      </c>
      <c r="E4656" s="346">
        <v>-77.349999999999994</v>
      </c>
      <c r="F4656" s="346">
        <v>15425.0800000001</v>
      </c>
      <c r="G4656" s="343" t="s">
        <v>1973</v>
      </c>
      <c r="H4656" s="343" t="s">
        <v>2231</v>
      </c>
      <c r="I4656" s="343" t="s">
        <v>1880</v>
      </c>
      <c r="J4656" s="343" t="s">
        <v>757</v>
      </c>
      <c r="K4656" s="343" t="s">
        <v>741</v>
      </c>
      <c r="L4656" s="344">
        <v>44218</v>
      </c>
      <c r="M4656" s="347">
        <v>0</v>
      </c>
    </row>
    <row r="4657" spans="1:13" hidden="1" x14ac:dyDescent="0.25">
      <c r="A4657" s="344">
        <v>44227</v>
      </c>
      <c r="B4657" s="343" t="s">
        <v>1974</v>
      </c>
      <c r="C4657" s="343" t="s">
        <v>1059</v>
      </c>
      <c r="D4657" s="345">
        <v>8</v>
      </c>
      <c r="E4657" s="346">
        <v>-72.8</v>
      </c>
      <c r="F4657" s="346">
        <v>15352.280000000101</v>
      </c>
      <c r="G4657" s="343" t="s">
        <v>1975</v>
      </c>
      <c r="H4657" s="343" t="s">
        <v>2231</v>
      </c>
      <c r="I4657" s="343" t="s">
        <v>1880</v>
      </c>
      <c r="J4657" s="343" t="s">
        <v>757</v>
      </c>
      <c r="K4657" s="343" t="s">
        <v>741</v>
      </c>
      <c r="L4657" s="344">
        <v>44227</v>
      </c>
      <c r="M4657" s="347">
        <v>0</v>
      </c>
    </row>
    <row r="4658" spans="1:13" hidden="1" x14ac:dyDescent="0.25">
      <c r="A4658" s="344">
        <v>44244</v>
      </c>
      <c r="B4658" s="343" t="s">
        <v>1978</v>
      </c>
      <c r="C4658" s="343" t="s">
        <v>1059</v>
      </c>
      <c r="D4658" s="345">
        <v>8</v>
      </c>
      <c r="E4658" s="346">
        <v>-72.8</v>
      </c>
      <c r="F4658" s="346">
        <v>15279.4800000001</v>
      </c>
      <c r="G4658" s="343" t="s">
        <v>1979</v>
      </c>
      <c r="H4658" s="343" t="s">
        <v>2231</v>
      </c>
      <c r="I4658" s="343" t="s">
        <v>1880</v>
      </c>
      <c r="J4658" s="343" t="s">
        <v>757</v>
      </c>
      <c r="K4658" s="343" t="s">
        <v>741</v>
      </c>
      <c r="L4658" s="344">
        <v>44244</v>
      </c>
      <c r="M4658" s="347">
        <v>0</v>
      </c>
    </row>
    <row r="4659" spans="1:13" hidden="1" x14ac:dyDescent="0.25">
      <c r="A4659" s="344">
        <v>44259</v>
      </c>
      <c r="B4659" s="343" t="s">
        <v>1939</v>
      </c>
      <c r="C4659" s="343" t="s">
        <v>1059</v>
      </c>
      <c r="D4659" s="345">
        <v>9</v>
      </c>
      <c r="E4659" s="346">
        <v>-86.45</v>
      </c>
      <c r="F4659" s="346">
        <v>15193.030000000101</v>
      </c>
      <c r="G4659" s="343" t="s">
        <v>1940</v>
      </c>
      <c r="H4659" s="343" t="s">
        <v>2231</v>
      </c>
      <c r="I4659" s="343" t="s">
        <v>1880</v>
      </c>
      <c r="J4659" s="343" t="s">
        <v>757</v>
      </c>
      <c r="K4659" s="343" t="s">
        <v>741</v>
      </c>
      <c r="L4659" s="344">
        <v>44259</v>
      </c>
      <c r="M4659" s="347">
        <v>0</v>
      </c>
    </row>
    <row r="4660" spans="1:13" hidden="1" x14ac:dyDescent="0.25">
      <c r="A4660" s="344">
        <v>44272</v>
      </c>
      <c r="B4660" s="343" t="s">
        <v>1982</v>
      </c>
      <c r="C4660" s="343" t="s">
        <v>1059</v>
      </c>
      <c r="D4660" s="345">
        <v>9</v>
      </c>
      <c r="E4660" s="346">
        <v>-104.65</v>
      </c>
      <c r="F4660" s="346">
        <v>15088.380000000099</v>
      </c>
      <c r="G4660" s="343" t="s">
        <v>1983</v>
      </c>
      <c r="H4660" s="343" t="s">
        <v>2231</v>
      </c>
      <c r="I4660" s="343" t="s">
        <v>1880</v>
      </c>
      <c r="J4660" s="343" t="s">
        <v>757</v>
      </c>
      <c r="K4660" s="343" t="s">
        <v>741</v>
      </c>
      <c r="L4660" s="344">
        <v>44272</v>
      </c>
      <c r="M4660" s="347">
        <v>0</v>
      </c>
    </row>
    <row r="4661" spans="1:13" hidden="1" x14ac:dyDescent="0.25">
      <c r="A4661" s="344">
        <v>44286</v>
      </c>
      <c r="B4661" s="343" t="s">
        <v>1918</v>
      </c>
      <c r="C4661" s="343" t="s">
        <v>1059</v>
      </c>
      <c r="D4661" s="345">
        <v>9</v>
      </c>
      <c r="E4661" s="346">
        <v>-100.1</v>
      </c>
      <c r="F4661" s="346">
        <v>14988.280000000101</v>
      </c>
      <c r="G4661" s="343" t="s">
        <v>1919</v>
      </c>
      <c r="H4661" s="343" t="s">
        <v>2231</v>
      </c>
      <c r="I4661" s="343" t="s">
        <v>1880</v>
      </c>
      <c r="J4661" s="343" t="s">
        <v>757</v>
      </c>
      <c r="K4661" s="343" t="s">
        <v>741</v>
      </c>
      <c r="L4661" s="344">
        <v>44286</v>
      </c>
      <c r="M4661" s="347">
        <v>0</v>
      </c>
    </row>
    <row r="4662" spans="1:13" hidden="1" x14ac:dyDescent="0.25">
      <c r="A4662" s="344">
        <v>44301</v>
      </c>
      <c r="B4662" s="343" t="s">
        <v>1889</v>
      </c>
      <c r="C4662" s="343" t="s">
        <v>1059</v>
      </c>
      <c r="D4662" s="345">
        <v>10</v>
      </c>
      <c r="E4662" s="346">
        <v>-81.900000000000006</v>
      </c>
      <c r="F4662" s="346">
        <v>14906.380000000099</v>
      </c>
      <c r="G4662" s="343" t="s">
        <v>1890</v>
      </c>
      <c r="H4662" s="343" t="s">
        <v>2231</v>
      </c>
      <c r="I4662" s="343" t="s">
        <v>1880</v>
      </c>
      <c r="J4662" s="343" t="s">
        <v>757</v>
      </c>
      <c r="K4662" s="343" t="s">
        <v>741</v>
      </c>
      <c r="L4662" s="344">
        <v>44301</v>
      </c>
      <c r="M4662" s="347">
        <v>0</v>
      </c>
    </row>
    <row r="4663" spans="1:13" hidden="1" x14ac:dyDescent="0.25">
      <c r="A4663" s="344">
        <v>44315</v>
      </c>
      <c r="B4663" s="343" t="s">
        <v>1920</v>
      </c>
      <c r="C4663" s="343" t="s">
        <v>1059</v>
      </c>
      <c r="D4663" s="345">
        <v>10</v>
      </c>
      <c r="E4663" s="346">
        <v>-91</v>
      </c>
      <c r="F4663" s="346">
        <v>14815.380000000099</v>
      </c>
      <c r="G4663" s="343" t="s">
        <v>1921</v>
      </c>
      <c r="H4663" s="343" t="s">
        <v>2231</v>
      </c>
      <c r="I4663" s="343" t="s">
        <v>1880</v>
      </c>
      <c r="J4663" s="343" t="s">
        <v>757</v>
      </c>
      <c r="K4663" s="343" t="s">
        <v>741</v>
      </c>
      <c r="L4663" s="344">
        <v>44315</v>
      </c>
      <c r="M4663" s="347">
        <v>0</v>
      </c>
    </row>
    <row r="4664" spans="1:13" hidden="1" x14ac:dyDescent="0.25">
      <c r="A4664" s="344">
        <v>44327</v>
      </c>
      <c r="B4664" s="343" t="s">
        <v>1922</v>
      </c>
      <c r="C4664" s="343" t="s">
        <v>1059</v>
      </c>
      <c r="D4664" s="345">
        <v>10</v>
      </c>
      <c r="E4664" s="346">
        <v>95.55</v>
      </c>
      <c r="F4664" s="346">
        <v>14910.9300000001</v>
      </c>
      <c r="G4664" s="343" t="s">
        <v>1923</v>
      </c>
      <c r="H4664" s="343" t="s">
        <v>2231</v>
      </c>
      <c r="I4664" s="343" t="s">
        <v>1880</v>
      </c>
      <c r="J4664" s="343" t="s">
        <v>757</v>
      </c>
      <c r="K4664" s="343" t="s">
        <v>741</v>
      </c>
      <c r="L4664" s="344">
        <v>44327</v>
      </c>
      <c r="M4664" s="347">
        <v>0</v>
      </c>
    </row>
    <row r="4665" spans="1:13" hidden="1" x14ac:dyDescent="0.25">
      <c r="A4665" s="344">
        <v>44327</v>
      </c>
      <c r="B4665" s="343" t="s">
        <v>1924</v>
      </c>
      <c r="C4665" s="343" t="s">
        <v>1059</v>
      </c>
      <c r="D4665" s="345">
        <v>10</v>
      </c>
      <c r="E4665" s="346">
        <v>-95.55</v>
      </c>
      <c r="F4665" s="346">
        <v>14815.380000000099</v>
      </c>
      <c r="G4665" s="343" t="s">
        <v>1923</v>
      </c>
      <c r="H4665" s="343" t="s">
        <v>2231</v>
      </c>
      <c r="I4665" s="343" t="s">
        <v>1880</v>
      </c>
      <c r="J4665" s="343" t="s">
        <v>757</v>
      </c>
      <c r="K4665" s="343" t="s">
        <v>741</v>
      </c>
      <c r="L4665" s="344">
        <v>44327</v>
      </c>
      <c r="M4665" s="347">
        <v>0</v>
      </c>
    </row>
    <row r="4666" spans="1:13" hidden="1" x14ac:dyDescent="0.25">
      <c r="A4666" s="344">
        <v>44074</v>
      </c>
      <c r="B4666" s="343" t="s">
        <v>1896</v>
      </c>
      <c r="C4666" s="343" t="s">
        <v>1060</v>
      </c>
      <c r="D4666" s="345">
        <v>2</v>
      </c>
      <c r="E4666" s="346">
        <v>645.45000000000005</v>
      </c>
      <c r="F4666" s="346">
        <v>15365.280000000101</v>
      </c>
      <c r="G4666" s="343" t="s">
        <v>2232</v>
      </c>
      <c r="H4666" s="343" t="s">
        <v>2233</v>
      </c>
      <c r="I4666" s="343" t="s">
        <v>1880</v>
      </c>
      <c r="J4666" s="343" t="s">
        <v>757</v>
      </c>
      <c r="K4666" s="343" t="s">
        <v>741</v>
      </c>
      <c r="L4666" s="344">
        <v>44074</v>
      </c>
      <c r="M4666" s="347">
        <v>0</v>
      </c>
    </row>
    <row r="4667" spans="1:13" hidden="1" x14ac:dyDescent="0.25">
      <c r="A4667" s="344">
        <v>44043</v>
      </c>
      <c r="B4667" s="343" t="s">
        <v>2234</v>
      </c>
      <c r="C4667" s="343" t="s">
        <v>769</v>
      </c>
      <c r="D4667" s="345">
        <v>3</v>
      </c>
      <c r="E4667" s="346">
        <v>268.18</v>
      </c>
      <c r="F4667" s="346">
        <v>15633.460000000099</v>
      </c>
      <c r="G4667" s="343" t="s">
        <v>2235</v>
      </c>
      <c r="H4667" s="343" t="s">
        <v>2233</v>
      </c>
      <c r="I4667" s="343" t="s">
        <v>1880</v>
      </c>
      <c r="J4667" s="343" t="s">
        <v>757</v>
      </c>
      <c r="K4667" s="343" t="s">
        <v>770</v>
      </c>
      <c r="L4667" s="344">
        <v>44043</v>
      </c>
      <c r="M4667" s="347">
        <v>0</v>
      </c>
    </row>
    <row r="4668" spans="1:13" hidden="1" x14ac:dyDescent="0.25">
      <c r="A4668" s="344">
        <v>44049</v>
      </c>
      <c r="B4668" s="343" t="s">
        <v>2236</v>
      </c>
      <c r="C4668" s="343" t="s">
        <v>769</v>
      </c>
      <c r="D4668" s="345">
        <v>3</v>
      </c>
      <c r="E4668" s="346">
        <v>268.18</v>
      </c>
      <c r="F4668" s="346">
        <v>15901.640000000099</v>
      </c>
      <c r="G4668" s="343" t="s">
        <v>2235</v>
      </c>
      <c r="H4668" s="343" t="s">
        <v>2233</v>
      </c>
      <c r="I4668" s="343" t="s">
        <v>1880</v>
      </c>
      <c r="J4668" s="343" t="s">
        <v>757</v>
      </c>
      <c r="K4668" s="343" t="s">
        <v>770</v>
      </c>
      <c r="L4668" s="344">
        <v>44049</v>
      </c>
      <c r="M4668" s="347">
        <v>0</v>
      </c>
    </row>
    <row r="4669" spans="1:13" hidden="1" x14ac:dyDescent="0.25">
      <c r="A4669" s="344">
        <v>44049</v>
      </c>
      <c r="B4669" s="343" t="s">
        <v>2234</v>
      </c>
      <c r="C4669" s="343" t="s">
        <v>936</v>
      </c>
      <c r="D4669" s="345">
        <v>3</v>
      </c>
      <c r="E4669" s="346">
        <v>-268.18</v>
      </c>
      <c r="F4669" s="346">
        <v>15633.460000000099</v>
      </c>
      <c r="G4669" s="343" t="s">
        <v>2237</v>
      </c>
      <c r="H4669" s="343" t="s">
        <v>2233</v>
      </c>
      <c r="I4669" s="343" t="s">
        <v>1880</v>
      </c>
      <c r="J4669" s="343" t="s">
        <v>757</v>
      </c>
      <c r="K4669" s="343" t="s">
        <v>770</v>
      </c>
      <c r="L4669" s="344">
        <v>44049</v>
      </c>
      <c r="M4669" s="347">
        <v>0</v>
      </c>
    </row>
    <row r="4670" spans="1:13" hidden="1" x14ac:dyDescent="0.25">
      <c r="A4670" s="344">
        <v>44074</v>
      </c>
      <c r="B4670" s="343" t="s">
        <v>1896</v>
      </c>
      <c r="C4670" s="343" t="s">
        <v>1060</v>
      </c>
      <c r="D4670" s="345">
        <v>3</v>
      </c>
      <c r="E4670" s="346">
        <v>-645.45000000000005</v>
      </c>
      <c r="F4670" s="346">
        <v>14988.0100000001</v>
      </c>
      <c r="G4670" s="343" t="s">
        <v>2232</v>
      </c>
      <c r="H4670" s="343" t="s">
        <v>2233</v>
      </c>
      <c r="I4670" s="343" t="s">
        <v>1880</v>
      </c>
      <c r="J4670" s="343" t="s">
        <v>757</v>
      </c>
      <c r="K4670" s="343" t="s">
        <v>741</v>
      </c>
      <c r="L4670" s="344">
        <v>44074</v>
      </c>
      <c r="M4670" s="347">
        <v>0</v>
      </c>
    </row>
    <row r="4671" spans="1:13" hidden="1" x14ac:dyDescent="0.25">
      <c r="A4671" s="344">
        <v>44084</v>
      </c>
      <c r="B4671" s="343" t="s">
        <v>2238</v>
      </c>
      <c r="C4671" s="343" t="s">
        <v>769</v>
      </c>
      <c r="D4671" s="345">
        <v>3</v>
      </c>
      <c r="E4671" s="346">
        <v>377.27</v>
      </c>
      <c r="F4671" s="346">
        <v>15365.280000000101</v>
      </c>
      <c r="G4671" s="343" t="s">
        <v>2239</v>
      </c>
      <c r="H4671" s="343" t="s">
        <v>2233</v>
      </c>
      <c r="I4671" s="343" t="s">
        <v>1880</v>
      </c>
      <c r="J4671" s="343" t="s">
        <v>757</v>
      </c>
      <c r="K4671" s="343" t="s">
        <v>770</v>
      </c>
      <c r="L4671" s="344">
        <v>44084</v>
      </c>
      <c r="M4671" s="347">
        <v>0</v>
      </c>
    </row>
    <row r="4672" spans="1:13" hidden="1" x14ac:dyDescent="0.25">
      <c r="A4672" s="344">
        <v>44094</v>
      </c>
      <c r="B4672" s="343" t="s">
        <v>1950</v>
      </c>
      <c r="C4672" s="343" t="s">
        <v>1059</v>
      </c>
      <c r="D4672" s="345">
        <v>3</v>
      </c>
      <c r="E4672" s="346">
        <v>-191.1</v>
      </c>
      <c r="F4672" s="346">
        <v>15174.1800000001</v>
      </c>
      <c r="G4672" s="343" t="s">
        <v>1951</v>
      </c>
      <c r="H4672" s="343" t="s">
        <v>2233</v>
      </c>
      <c r="I4672" s="343" t="s">
        <v>1880</v>
      </c>
      <c r="J4672" s="343" t="s">
        <v>757</v>
      </c>
      <c r="K4672" s="343" t="s">
        <v>741</v>
      </c>
      <c r="L4672" s="344">
        <v>44094</v>
      </c>
      <c r="M4672" s="347">
        <v>0</v>
      </c>
    </row>
    <row r="4673" spans="1:13" hidden="1" x14ac:dyDescent="0.25">
      <c r="A4673" s="344">
        <v>44104</v>
      </c>
      <c r="B4673" s="343" t="s">
        <v>2240</v>
      </c>
      <c r="C4673" s="343" t="s">
        <v>1060</v>
      </c>
      <c r="D4673" s="345">
        <v>3</v>
      </c>
      <c r="E4673" s="346">
        <v>372.73</v>
      </c>
      <c r="F4673" s="346">
        <v>15546.9100000001</v>
      </c>
      <c r="G4673" s="343" t="s">
        <v>2241</v>
      </c>
      <c r="H4673" s="343" t="s">
        <v>2233</v>
      </c>
      <c r="I4673" s="343" t="s">
        <v>1880</v>
      </c>
      <c r="J4673" s="343" t="s">
        <v>757</v>
      </c>
      <c r="K4673" s="343" t="s">
        <v>741</v>
      </c>
      <c r="L4673" s="344">
        <v>44104</v>
      </c>
      <c r="M4673" s="347">
        <v>0</v>
      </c>
    </row>
    <row r="4674" spans="1:13" hidden="1" x14ac:dyDescent="0.25">
      <c r="A4674" s="344">
        <v>44104</v>
      </c>
      <c r="B4674" s="343" t="s">
        <v>1934</v>
      </c>
      <c r="C4674" s="343" t="s">
        <v>1059</v>
      </c>
      <c r="D4674" s="345">
        <v>3</v>
      </c>
      <c r="E4674" s="346">
        <v>-236.6</v>
      </c>
      <c r="F4674" s="346">
        <v>15310.3100000001</v>
      </c>
      <c r="G4674" s="343" t="s">
        <v>1935</v>
      </c>
      <c r="H4674" s="343" t="s">
        <v>2233</v>
      </c>
      <c r="I4674" s="343" t="s">
        <v>1880</v>
      </c>
      <c r="J4674" s="343" t="s">
        <v>757</v>
      </c>
      <c r="K4674" s="343" t="s">
        <v>741</v>
      </c>
      <c r="L4674" s="344">
        <v>44104</v>
      </c>
      <c r="M4674" s="347">
        <v>0</v>
      </c>
    </row>
    <row r="4675" spans="1:13" hidden="1" x14ac:dyDescent="0.25">
      <c r="A4675" s="344">
        <v>44104</v>
      </c>
      <c r="B4675" s="343" t="s">
        <v>2240</v>
      </c>
      <c r="C4675" s="343" t="s">
        <v>1060</v>
      </c>
      <c r="D4675" s="345">
        <v>4</v>
      </c>
      <c r="E4675" s="346">
        <v>-372.73</v>
      </c>
      <c r="F4675" s="346">
        <v>14937.5800000001</v>
      </c>
      <c r="G4675" s="343" t="s">
        <v>2241</v>
      </c>
      <c r="H4675" s="343" t="s">
        <v>2233</v>
      </c>
      <c r="I4675" s="343" t="s">
        <v>1880</v>
      </c>
      <c r="J4675" s="343" t="s">
        <v>757</v>
      </c>
      <c r="K4675" s="343" t="s">
        <v>741</v>
      </c>
      <c r="L4675" s="344">
        <v>44104</v>
      </c>
      <c r="M4675" s="347">
        <v>0</v>
      </c>
    </row>
    <row r="4676" spans="1:13" hidden="1" x14ac:dyDescent="0.25">
      <c r="A4676" s="344">
        <v>44110</v>
      </c>
      <c r="B4676" s="343" t="s">
        <v>2242</v>
      </c>
      <c r="C4676" s="343" t="s">
        <v>769</v>
      </c>
      <c r="D4676" s="345">
        <v>4</v>
      </c>
      <c r="E4676" s="346">
        <v>372.73</v>
      </c>
      <c r="F4676" s="346">
        <v>15310.3100000001</v>
      </c>
      <c r="G4676" s="343" t="s">
        <v>2243</v>
      </c>
      <c r="H4676" s="343" t="s">
        <v>2233</v>
      </c>
      <c r="I4676" s="343" t="s">
        <v>1880</v>
      </c>
      <c r="J4676" s="343" t="s">
        <v>757</v>
      </c>
      <c r="K4676" s="343" t="s">
        <v>770</v>
      </c>
      <c r="L4676" s="344">
        <v>44110</v>
      </c>
      <c r="M4676" s="347">
        <v>0</v>
      </c>
    </row>
    <row r="4677" spans="1:13" hidden="1" x14ac:dyDescent="0.25">
      <c r="A4677" s="344">
        <v>44120</v>
      </c>
      <c r="B4677" s="343" t="s">
        <v>1936</v>
      </c>
      <c r="C4677" s="343" t="s">
        <v>1059</v>
      </c>
      <c r="D4677" s="345">
        <v>4</v>
      </c>
      <c r="E4677" s="346">
        <v>-59.15</v>
      </c>
      <c r="F4677" s="346">
        <v>15251.1600000001</v>
      </c>
      <c r="G4677" s="343" t="s">
        <v>1937</v>
      </c>
      <c r="H4677" s="343" t="s">
        <v>2233</v>
      </c>
      <c r="I4677" s="343" t="s">
        <v>1880</v>
      </c>
      <c r="J4677" s="343" t="s">
        <v>757</v>
      </c>
      <c r="K4677" s="343" t="s">
        <v>741</v>
      </c>
      <c r="L4677" s="344">
        <v>44120</v>
      </c>
      <c r="M4677" s="347">
        <v>0</v>
      </c>
    </row>
    <row r="4678" spans="1:13" hidden="1" x14ac:dyDescent="0.25">
      <c r="A4678" s="344">
        <v>44135</v>
      </c>
      <c r="B4678" s="343" t="s">
        <v>1904</v>
      </c>
      <c r="C4678" s="343" t="s">
        <v>1060</v>
      </c>
      <c r="D4678" s="345">
        <v>4</v>
      </c>
      <c r="E4678" s="346">
        <v>359.09</v>
      </c>
      <c r="F4678" s="346">
        <v>15610.2500000001</v>
      </c>
      <c r="G4678" s="343" t="s">
        <v>2244</v>
      </c>
      <c r="H4678" s="343" t="s">
        <v>2233</v>
      </c>
      <c r="I4678" s="343" t="s">
        <v>1880</v>
      </c>
      <c r="J4678" s="343" t="s">
        <v>757</v>
      </c>
      <c r="K4678" s="343" t="s">
        <v>741</v>
      </c>
      <c r="L4678" s="344">
        <v>44135</v>
      </c>
      <c r="M4678" s="347">
        <v>0</v>
      </c>
    </row>
    <row r="4679" spans="1:13" hidden="1" x14ac:dyDescent="0.25">
      <c r="A4679" s="344">
        <v>44135</v>
      </c>
      <c r="B4679" s="343" t="s">
        <v>1954</v>
      </c>
      <c r="C4679" s="343" t="s">
        <v>1059</v>
      </c>
      <c r="D4679" s="345">
        <v>4</v>
      </c>
      <c r="E4679" s="346">
        <v>-54.6</v>
      </c>
      <c r="F4679" s="346">
        <v>15555.6500000001</v>
      </c>
      <c r="G4679" s="343" t="s">
        <v>1955</v>
      </c>
      <c r="H4679" s="343" t="s">
        <v>2233</v>
      </c>
      <c r="I4679" s="343" t="s">
        <v>1880</v>
      </c>
      <c r="J4679" s="343" t="s">
        <v>757</v>
      </c>
      <c r="K4679" s="343" t="s">
        <v>741</v>
      </c>
      <c r="L4679" s="344">
        <v>44135</v>
      </c>
      <c r="M4679" s="347">
        <v>0</v>
      </c>
    </row>
    <row r="4680" spans="1:13" hidden="1" x14ac:dyDescent="0.25">
      <c r="A4680" s="344">
        <v>44135</v>
      </c>
      <c r="B4680" s="343" t="s">
        <v>1904</v>
      </c>
      <c r="C4680" s="343" t="s">
        <v>1060</v>
      </c>
      <c r="D4680" s="345">
        <v>5</v>
      </c>
      <c r="E4680" s="346">
        <v>-359.09</v>
      </c>
      <c r="F4680" s="346">
        <v>15196.5600000001</v>
      </c>
      <c r="G4680" s="343" t="s">
        <v>2244</v>
      </c>
      <c r="H4680" s="343" t="s">
        <v>2233</v>
      </c>
      <c r="I4680" s="343" t="s">
        <v>1880</v>
      </c>
      <c r="J4680" s="343" t="s">
        <v>757</v>
      </c>
      <c r="K4680" s="343" t="s">
        <v>741</v>
      </c>
      <c r="L4680" s="344">
        <v>44135</v>
      </c>
      <c r="M4680" s="347">
        <v>0</v>
      </c>
    </row>
    <row r="4681" spans="1:13" hidden="1" x14ac:dyDescent="0.25">
      <c r="A4681" s="344">
        <v>44141</v>
      </c>
      <c r="B4681" s="343" t="s">
        <v>2245</v>
      </c>
      <c r="C4681" s="343" t="s">
        <v>1059</v>
      </c>
      <c r="D4681" s="345">
        <v>5</v>
      </c>
      <c r="E4681" s="346">
        <v>63.7</v>
      </c>
      <c r="F4681" s="346">
        <v>15260.2600000001</v>
      </c>
      <c r="G4681" s="343" t="s">
        <v>2246</v>
      </c>
      <c r="H4681" s="343" t="s">
        <v>2233</v>
      </c>
      <c r="I4681" s="343" t="s">
        <v>1880</v>
      </c>
      <c r="J4681" s="343" t="s">
        <v>757</v>
      </c>
      <c r="K4681" s="343" t="s">
        <v>741</v>
      </c>
      <c r="L4681" s="344">
        <v>44141</v>
      </c>
      <c r="M4681" s="347">
        <v>0</v>
      </c>
    </row>
    <row r="4682" spans="1:13" hidden="1" x14ac:dyDescent="0.25">
      <c r="A4682" s="344">
        <v>44141</v>
      </c>
      <c r="B4682" s="343" t="s">
        <v>2247</v>
      </c>
      <c r="C4682" s="343" t="s">
        <v>769</v>
      </c>
      <c r="D4682" s="345">
        <v>5</v>
      </c>
      <c r="E4682" s="346">
        <v>359.09</v>
      </c>
      <c r="F4682" s="346">
        <v>15619.3500000001</v>
      </c>
      <c r="G4682" s="343" t="s">
        <v>2248</v>
      </c>
      <c r="H4682" s="343" t="s">
        <v>2233</v>
      </c>
      <c r="I4682" s="343" t="s">
        <v>1880</v>
      </c>
      <c r="J4682" s="343" t="s">
        <v>757</v>
      </c>
      <c r="K4682" s="343" t="s">
        <v>770</v>
      </c>
      <c r="L4682" s="344">
        <v>44141</v>
      </c>
      <c r="M4682" s="347">
        <v>0</v>
      </c>
    </row>
    <row r="4683" spans="1:13" hidden="1" x14ac:dyDescent="0.25">
      <c r="A4683" s="344">
        <v>44148</v>
      </c>
      <c r="B4683" s="343" t="s">
        <v>1958</v>
      </c>
      <c r="C4683" s="343" t="s">
        <v>1059</v>
      </c>
      <c r="D4683" s="345">
        <v>5</v>
      </c>
      <c r="E4683" s="346">
        <v>-86.45</v>
      </c>
      <c r="F4683" s="346">
        <v>15532.9000000001</v>
      </c>
      <c r="G4683" s="343" t="s">
        <v>1959</v>
      </c>
      <c r="H4683" s="343" t="s">
        <v>2233</v>
      </c>
      <c r="I4683" s="343" t="s">
        <v>1880</v>
      </c>
      <c r="J4683" s="343" t="s">
        <v>757</v>
      </c>
      <c r="K4683" s="343" t="s">
        <v>741</v>
      </c>
      <c r="L4683" s="344">
        <v>44148</v>
      </c>
      <c r="M4683" s="347">
        <v>0</v>
      </c>
    </row>
    <row r="4684" spans="1:13" hidden="1" x14ac:dyDescent="0.25">
      <c r="A4684" s="344">
        <v>44160</v>
      </c>
      <c r="B4684" s="343" t="s">
        <v>1960</v>
      </c>
      <c r="C4684" s="343" t="s">
        <v>1059</v>
      </c>
      <c r="D4684" s="345">
        <v>5</v>
      </c>
      <c r="E4684" s="346">
        <v>-109.2</v>
      </c>
      <c r="F4684" s="346">
        <v>15423.700000000101</v>
      </c>
      <c r="G4684" s="343" t="s">
        <v>1961</v>
      </c>
      <c r="H4684" s="343" t="s">
        <v>2233</v>
      </c>
      <c r="I4684" s="343" t="s">
        <v>1880</v>
      </c>
      <c r="J4684" s="343" t="s">
        <v>757</v>
      </c>
      <c r="K4684" s="343" t="s">
        <v>741</v>
      </c>
      <c r="L4684" s="344">
        <v>44160</v>
      </c>
      <c r="M4684" s="347">
        <v>0</v>
      </c>
    </row>
    <row r="4685" spans="1:13" hidden="1" x14ac:dyDescent="0.25">
      <c r="A4685" s="344">
        <v>44165</v>
      </c>
      <c r="B4685" s="343" t="s">
        <v>1906</v>
      </c>
      <c r="C4685" s="343" t="s">
        <v>1060</v>
      </c>
      <c r="D4685" s="345">
        <v>5</v>
      </c>
      <c r="E4685" s="346">
        <v>554.54999999999995</v>
      </c>
      <c r="F4685" s="346">
        <v>15978.2500000001</v>
      </c>
      <c r="G4685" s="343" t="s">
        <v>2249</v>
      </c>
      <c r="H4685" s="343" t="s">
        <v>2233</v>
      </c>
      <c r="I4685" s="343" t="s">
        <v>1880</v>
      </c>
      <c r="J4685" s="343" t="s">
        <v>757</v>
      </c>
      <c r="K4685" s="343" t="s">
        <v>741</v>
      </c>
      <c r="L4685" s="344">
        <v>44165</v>
      </c>
      <c r="M4685" s="347">
        <v>0</v>
      </c>
    </row>
    <row r="4686" spans="1:13" hidden="1" x14ac:dyDescent="0.25">
      <c r="A4686" s="344">
        <v>44165</v>
      </c>
      <c r="B4686" s="343" t="s">
        <v>1906</v>
      </c>
      <c r="C4686" s="343" t="s">
        <v>1060</v>
      </c>
      <c r="D4686" s="345">
        <v>6</v>
      </c>
      <c r="E4686" s="346">
        <v>-554.54999999999995</v>
      </c>
      <c r="F4686" s="346">
        <v>15423.700000000101</v>
      </c>
      <c r="G4686" s="343" t="s">
        <v>2249</v>
      </c>
      <c r="H4686" s="343" t="s">
        <v>2233</v>
      </c>
      <c r="I4686" s="343" t="s">
        <v>1880</v>
      </c>
      <c r="J4686" s="343" t="s">
        <v>757</v>
      </c>
      <c r="K4686" s="343" t="s">
        <v>741</v>
      </c>
      <c r="L4686" s="344">
        <v>44165</v>
      </c>
      <c r="M4686" s="347">
        <v>0</v>
      </c>
    </row>
    <row r="4687" spans="1:13" hidden="1" x14ac:dyDescent="0.25">
      <c r="A4687" s="344">
        <v>44165</v>
      </c>
      <c r="B4687" s="343" t="s">
        <v>1962</v>
      </c>
      <c r="C4687" s="343" t="s">
        <v>1059</v>
      </c>
      <c r="D4687" s="345">
        <v>6</v>
      </c>
      <c r="E4687" s="346">
        <v>-195.65</v>
      </c>
      <c r="F4687" s="346">
        <v>15228.050000000099</v>
      </c>
      <c r="G4687" s="343" t="s">
        <v>1963</v>
      </c>
      <c r="H4687" s="343" t="s">
        <v>2233</v>
      </c>
      <c r="I4687" s="343" t="s">
        <v>1880</v>
      </c>
      <c r="J4687" s="343" t="s">
        <v>757</v>
      </c>
      <c r="K4687" s="343" t="s">
        <v>741</v>
      </c>
      <c r="L4687" s="344">
        <v>44165</v>
      </c>
      <c r="M4687" s="347">
        <v>0</v>
      </c>
    </row>
    <row r="4688" spans="1:13" hidden="1" x14ac:dyDescent="0.25">
      <c r="A4688" s="344">
        <v>44168</v>
      </c>
      <c r="B4688" s="343" t="s">
        <v>2250</v>
      </c>
      <c r="C4688" s="343" t="s">
        <v>769</v>
      </c>
      <c r="D4688" s="345">
        <v>6</v>
      </c>
      <c r="E4688" s="346">
        <v>45.43</v>
      </c>
      <c r="F4688" s="346">
        <v>15273.4800000001</v>
      </c>
      <c r="G4688" s="343" t="s">
        <v>2251</v>
      </c>
      <c r="H4688" s="343" t="s">
        <v>2233</v>
      </c>
      <c r="I4688" s="343" t="s">
        <v>1880</v>
      </c>
      <c r="J4688" s="343" t="s">
        <v>757</v>
      </c>
      <c r="K4688" s="343" t="s">
        <v>770</v>
      </c>
      <c r="L4688" s="344">
        <v>44168</v>
      </c>
      <c r="M4688" s="347">
        <v>0</v>
      </c>
    </row>
    <row r="4689" spans="1:13" hidden="1" x14ac:dyDescent="0.25">
      <c r="A4689" s="344">
        <v>44168</v>
      </c>
      <c r="B4689" s="343" t="s">
        <v>2250</v>
      </c>
      <c r="C4689" s="343" t="s">
        <v>769</v>
      </c>
      <c r="D4689" s="345">
        <v>6</v>
      </c>
      <c r="E4689" s="346">
        <v>36.36</v>
      </c>
      <c r="F4689" s="346">
        <v>15309.8400000001</v>
      </c>
      <c r="G4689" s="343" t="s">
        <v>2251</v>
      </c>
      <c r="H4689" s="343" t="s">
        <v>2233</v>
      </c>
      <c r="I4689" s="343" t="s">
        <v>1880</v>
      </c>
      <c r="J4689" s="343" t="s">
        <v>757</v>
      </c>
      <c r="K4689" s="343" t="s">
        <v>770</v>
      </c>
      <c r="L4689" s="344">
        <v>44168</v>
      </c>
      <c r="M4689" s="347">
        <v>0</v>
      </c>
    </row>
    <row r="4690" spans="1:13" hidden="1" x14ac:dyDescent="0.25">
      <c r="A4690" s="344">
        <v>44168</v>
      </c>
      <c r="B4690" s="343" t="s">
        <v>2250</v>
      </c>
      <c r="C4690" s="343" t="s">
        <v>769</v>
      </c>
      <c r="D4690" s="345">
        <v>6</v>
      </c>
      <c r="E4690" s="346">
        <v>54.55</v>
      </c>
      <c r="F4690" s="346">
        <v>15364.390000000099</v>
      </c>
      <c r="G4690" s="343" t="s">
        <v>2251</v>
      </c>
      <c r="H4690" s="343" t="s">
        <v>2233</v>
      </c>
      <c r="I4690" s="343" t="s">
        <v>1880</v>
      </c>
      <c r="J4690" s="343" t="s">
        <v>757</v>
      </c>
      <c r="K4690" s="343" t="s">
        <v>770</v>
      </c>
      <c r="L4690" s="344">
        <v>44168</v>
      </c>
      <c r="M4690" s="347">
        <v>0</v>
      </c>
    </row>
    <row r="4691" spans="1:13" hidden="1" x14ac:dyDescent="0.25">
      <c r="A4691" s="344">
        <v>44168</v>
      </c>
      <c r="B4691" s="343" t="s">
        <v>2250</v>
      </c>
      <c r="C4691" s="343" t="s">
        <v>769</v>
      </c>
      <c r="D4691" s="345">
        <v>6</v>
      </c>
      <c r="E4691" s="346">
        <v>72.73</v>
      </c>
      <c r="F4691" s="346">
        <v>15437.120000000101</v>
      </c>
      <c r="G4691" s="343" t="s">
        <v>2251</v>
      </c>
      <c r="H4691" s="343" t="s">
        <v>2233</v>
      </c>
      <c r="I4691" s="343" t="s">
        <v>1880</v>
      </c>
      <c r="J4691" s="343" t="s">
        <v>757</v>
      </c>
      <c r="K4691" s="343" t="s">
        <v>770</v>
      </c>
      <c r="L4691" s="344">
        <v>44168</v>
      </c>
      <c r="M4691" s="347">
        <v>0</v>
      </c>
    </row>
    <row r="4692" spans="1:13" hidden="1" x14ac:dyDescent="0.25">
      <c r="A4692" s="344">
        <v>44168</v>
      </c>
      <c r="B4692" s="343" t="s">
        <v>2250</v>
      </c>
      <c r="C4692" s="343" t="s">
        <v>769</v>
      </c>
      <c r="D4692" s="345">
        <v>6</v>
      </c>
      <c r="E4692" s="346">
        <v>22.73</v>
      </c>
      <c r="F4692" s="346">
        <v>15459.8500000001</v>
      </c>
      <c r="G4692" s="343" t="s">
        <v>2251</v>
      </c>
      <c r="H4692" s="343" t="s">
        <v>2233</v>
      </c>
      <c r="I4692" s="343" t="s">
        <v>1880</v>
      </c>
      <c r="J4692" s="343" t="s">
        <v>757</v>
      </c>
      <c r="K4692" s="343" t="s">
        <v>770</v>
      </c>
      <c r="L4692" s="344">
        <v>44168</v>
      </c>
      <c r="M4692" s="347">
        <v>0</v>
      </c>
    </row>
    <row r="4693" spans="1:13" hidden="1" x14ac:dyDescent="0.25">
      <c r="A4693" s="344">
        <v>44168</v>
      </c>
      <c r="B4693" s="343" t="s">
        <v>2250</v>
      </c>
      <c r="C4693" s="343" t="s">
        <v>769</v>
      </c>
      <c r="D4693" s="345">
        <v>6</v>
      </c>
      <c r="E4693" s="346">
        <v>4.55</v>
      </c>
      <c r="F4693" s="346">
        <v>15464.4000000001</v>
      </c>
      <c r="G4693" s="343" t="s">
        <v>2251</v>
      </c>
      <c r="H4693" s="343" t="s">
        <v>2233</v>
      </c>
      <c r="I4693" s="343" t="s">
        <v>1880</v>
      </c>
      <c r="J4693" s="343" t="s">
        <v>757</v>
      </c>
      <c r="K4693" s="343" t="s">
        <v>770</v>
      </c>
      <c r="L4693" s="344">
        <v>44168</v>
      </c>
      <c r="M4693" s="347">
        <v>0</v>
      </c>
    </row>
    <row r="4694" spans="1:13" hidden="1" x14ac:dyDescent="0.25">
      <c r="A4694" s="344">
        <v>44168</v>
      </c>
      <c r="B4694" s="343" t="s">
        <v>2250</v>
      </c>
      <c r="C4694" s="343" t="s">
        <v>769</v>
      </c>
      <c r="D4694" s="345">
        <v>6</v>
      </c>
      <c r="E4694" s="346">
        <v>72.73</v>
      </c>
      <c r="F4694" s="346">
        <v>15537.130000000099</v>
      </c>
      <c r="G4694" s="343" t="s">
        <v>2251</v>
      </c>
      <c r="H4694" s="343" t="s">
        <v>2233</v>
      </c>
      <c r="I4694" s="343" t="s">
        <v>1880</v>
      </c>
      <c r="J4694" s="343" t="s">
        <v>757</v>
      </c>
      <c r="K4694" s="343" t="s">
        <v>770</v>
      </c>
      <c r="L4694" s="344">
        <v>44168</v>
      </c>
      <c r="M4694" s="347">
        <v>0</v>
      </c>
    </row>
    <row r="4695" spans="1:13" hidden="1" x14ac:dyDescent="0.25">
      <c r="A4695" s="344">
        <v>44168</v>
      </c>
      <c r="B4695" s="343" t="s">
        <v>2250</v>
      </c>
      <c r="C4695" s="343" t="s">
        <v>769</v>
      </c>
      <c r="D4695" s="345">
        <v>6</v>
      </c>
      <c r="E4695" s="346">
        <v>31.82</v>
      </c>
      <c r="F4695" s="346">
        <v>15568.950000000101</v>
      </c>
      <c r="G4695" s="343" t="s">
        <v>2251</v>
      </c>
      <c r="H4695" s="343" t="s">
        <v>2233</v>
      </c>
      <c r="I4695" s="343" t="s">
        <v>1880</v>
      </c>
      <c r="J4695" s="343" t="s">
        <v>757</v>
      </c>
      <c r="K4695" s="343" t="s">
        <v>770</v>
      </c>
      <c r="L4695" s="344">
        <v>44168</v>
      </c>
      <c r="M4695" s="347">
        <v>0</v>
      </c>
    </row>
    <row r="4696" spans="1:13" hidden="1" x14ac:dyDescent="0.25">
      <c r="A4696" s="344">
        <v>44168</v>
      </c>
      <c r="B4696" s="343" t="s">
        <v>2250</v>
      </c>
      <c r="C4696" s="343" t="s">
        <v>769</v>
      </c>
      <c r="D4696" s="345">
        <v>6</v>
      </c>
      <c r="E4696" s="346">
        <v>54.55</v>
      </c>
      <c r="F4696" s="346">
        <v>15623.5000000001</v>
      </c>
      <c r="G4696" s="343" t="s">
        <v>2251</v>
      </c>
      <c r="H4696" s="343" t="s">
        <v>2233</v>
      </c>
      <c r="I4696" s="343" t="s">
        <v>1880</v>
      </c>
      <c r="J4696" s="343" t="s">
        <v>757</v>
      </c>
      <c r="K4696" s="343" t="s">
        <v>770</v>
      </c>
      <c r="L4696" s="344">
        <v>44168</v>
      </c>
      <c r="M4696" s="347">
        <v>0</v>
      </c>
    </row>
    <row r="4697" spans="1:13" hidden="1" x14ac:dyDescent="0.25">
      <c r="A4697" s="344">
        <v>44168</v>
      </c>
      <c r="B4697" s="343" t="s">
        <v>2250</v>
      </c>
      <c r="C4697" s="343" t="s">
        <v>769</v>
      </c>
      <c r="D4697" s="345">
        <v>6</v>
      </c>
      <c r="E4697" s="346">
        <v>72.73</v>
      </c>
      <c r="F4697" s="346">
        <v>15696.2300000001</v>
      </c>
      <c r="G4697" s="343" t="s">
        <v>2251</v>
      </c>
      <c r="H4697" s="343" t="s">
        <v>2233</v>
      </c>
      <c r="I4697" s="343" t="s">
        <v>1880</v>
      </c>
      <c r="J4697" s="343" t="s">
        <v>757</v>
      </c>
      <c r="K4697" s="343" t="s">
        <v>770</v>
      </c>
      <c r="L4697" s="344">
        <v>44168</v>
      </c>
      <c r="M4697" s="347">
        <v>0</v>
      </c>
    </row>
    <row r="4698" spans="1:13" hidden="1" x14ac:dyDescent="0.25">
      <c r="A4698" s="344">
        <v>44168</v>
      </c>
      <c r="B4698" s="343" t="s">
        <v>2250</v>
      </c>
      <c r="C4698" s="343" t="s">
        <v>769</v>
      </c>
      <c r="D4698" s="345">
        <v>6</v>
      </c>
      <c r="E4698" s="346">
        <v>45.45</v>
      </c>
      <c r="F4698" s="346">
        <v>15741.6800000001</v>
      </c>
      <c r="G4698" s="343" t="s">
        <v>2251</v>
      </c>
      <c r="H4698" s="343" t="s">
        <v>2233</v>
      </c>
      <c r="I4698" s="343" t="s">
        <v>1880</v>
      </c>
      <c r="J4698" s="343" t="s">
        <v>757</v>
      </c>
      <c r="K4698" s="343" t="s">
        <v>770</v>
      </c>
      <c r="L4698" s="344">
        <v>44168</v>
      </c>
      <c r="M4698" s="347">
        <v>0</v>
      </c>
    </row>
    <row r="4699" spans="1:13" hidden="1" x14ac:dyDescent="0.25">
      <c r="A4699" s="344">
        <v>44168</v>
      </c>
      <c r="B4699" s="343" t="s">
        <v>2250</v>
      </c>
      <c r="C4699" s="343" t="s">
        <v>769</v>
      </c>
      <c r="D4699" s="345">
        <v>6</v>
      </c>
      <c r="E4699" s="346">
        <v>40.909999999999997</v>
      </c>
      <c r="F4699" s="346">
        <v>15782.5900000001</v>
      </c>
      <c r="G4699" s="343" t="s">
        <v>2251</v>
      </c>
      <c r="H4699" s="343" t="s">
        <v>2233</v>
      </c>
      <c r="I4699" s="343" t="s">
        <v>1880</v>
      </c>
      <c r="J4699" s="343" t="s">
        <v>757</v>
      </c>
      <c r="K4699" s="343" t="s">
        <v>770</v>
      </c>
      <c r="L4699" s="344">
        <v>44168</v>
      </c>
      <c r="M4699" s="347">
        <v>0</v>
      </c>
    </row>
    <row r="4700" spans="1:13" hidden="1" x14ac:dyDescent="0.25">
      <c r="A4700" s="344">
        <v>44187</v>
      </c>
      <c r="B4700" s="343" t="s">
        <v>1966</v>
      </c>
      <c r="C4700" s="343" t="s">
        <v>1059</v>
      </c>
      <c r="D4700" s="345">
        <v>6</v>
      </c>
      <c r="E4700" s="346">
        <v>-222.95</v>
      </c>
      <c r="F4700" s="346">
        <v>15559.640000000099</v>
      </c>
      <c r="G4700" s="343" t="s">
        <v>1967</v>
      </c>
      <c r="H4700" s="343" t="s">
        <v>2233</v>
      </c>
      <c r="I4700" s="343" t="s">
        <v>1880</v>
      </c>
      <c r="J4700" s="343" t="s">
        <v>757</v>
      </c>
      <c r="K4700" s="343" t="s">
        <v>741</v>
      </c>
      <c r="L4700" s="344">
        <v>44187</v>
      </c>
      <c r="M4700" s="347">
        <v>0</v>
      </c>
    </row>
    <row r="4701" spans="1:13" hidden="1" x14ac:dyDescent="0.25">
      <c r="A4701" s="344">
        <v>44196</v>
      </c>
      <c r="B4701" s="343" t="s">
        <v>1910</v>
      </c>
      <c r="C4701" s="343" t="s">
        <v>1060</v>
      </c>
      <c r="D4701" s="345">
        <v>6</v>
      </c>
      <c r="E4701" s="346">
        <v>554.54999999999995</v>
      </c>
      <c r="F4701" s="346">
        <v>16114.190000000101</v>
      </c>
      <c r="G4701" s="343" t="s">
        <v>2252</v>
      </c>
      <c r="H4701" s="343" t="s">
        <v>2233</v>
      </c>
      <c r="I4701" s="343" t="s">
        <v>1880</v>
      </c>
      <c r="J4701" s="343" t="s">
        <v>757</v>
      </c>
      <c r="K4701" s="343" t="s">
        <v>741</v>
      </c>
      <c r="L4701" s="344">
        <v>44196</v>
      </c>
      <c r="M4701" s="347">
        <v>0</v>
      </c>
    </row>
    <row r="4702" spans="1:13" hidden="1" x14ac:dyDescent="0.25">
      <c r="A4702" s="344">
        <v>44196</v>
      </c>
      <c r="B4702" s="343" t="s">
        <v>1910</v>
      </c>
      <c r="C4702" s="343" t="s">
        <v>1060</v>
      </c>
      <c r="D4702" s="345">
        <v>7</v>
      </c>
      <c r="E4702" s="346">
        <v>-554.54999999999995</v>
      </c>
      <c r="F4702" s="346">
        <v>15559.640000000099</v>
      </c>
      <c r="G4702" s="343" t="s">
        <v>2252</v>
      </c>
      <c r="H4702" s="343" t="s">
        <v>2233</v>
      </c>
      <c r="I4702" s="343" t="s">
        <v>1880</v>
      </c>
      <c r="J4702" s="343" t="s">
        <v>757</v>
      </c>
      <c r="K4702" s="343" t="s">
        <v>741</v>
      </c>
      <c r="L4702" s="344">
        <v>44196</v>
      </c>
      <c r="M4702" s="347">
        <v>0</v>
      </c>
    </row>
    <row r="4703" spans="1:13" hidden="1" x14ac:dyDescent="0.25">
      <c r="A4703" s="344">
        <v>44203</v>
      </c>
      <c r="B4703" s="343" t="s">
        <v>1970</v>
      </c>
      <c r="C4703" s="343" t="s">
        <v>1059</v>
      </c>
      <c r="D4703" s="345">
        <v>7</v>
      </c>
      <c r="E4703" s="346">
        <v>-86.45</v>
      </c>
      <c r="F4703" s="346">
        <v>15473.190000000101</v>
      </c>
      <c r="G4703" s="343" t="s">
        <v>1971</v>
      </c>
      <c r="H4703" s="343" t="s">
        <v>2233</v>
      </c>
      <c r="I4703" s="343" t="s">
        <v>1880</v>
      </c>
      <c r="J4703" s="343" t="s">
        <v>757</v>
      </c>
      <c r="K4703" s="343" t="s">
        <v>741</v>
      </c>
      <c r="L4703" s="344">
        <v>44203</v>
      </c>
      <c r="M4703" s="347">
        <v>0</v>
      </c>
    </row>
    <row r="4704" spans="1:13" hidden="1" x14ac:dyDescent="0.25">
      <c r="A4704" s="344">
        <v>44208</v>
      </c>
      <c r="B4704" s="343" t="s">
        <v>2253</v>
      </c>
      <c r="C4704" s="343" t="s">
        <v>769</v>
      </c>
      <c r="D4704" s="345">
        <v>7</v>
      </c>
      <c r="E4704" s="346">
        <v>904.55</v>
      </c>
      <c r="F4704" s="346">
        <v>16377.7400000001</v>
      </c>
      <c r="G4704" s="343" t="s">
        <v>2254</v>
      </c>
      <c r="H4704" s="343" t="s">
        <v>2233</v>
      </c>
      <c r="I4704" s="343" t="s">
        <v>1880</v>
      </c>
      <c r="J4704" s="343" t="s">
        <v>757</v>
      </c>
      <c r="K4704" s="343" t="s">
        <v>770</v>
      </c>
      <c r="L4704" s="344">
        <v>44208</v>
      </c>
      <c r="M4704" s="347">
        <v>0</v>
      </c>
    </row>
    <row r="4705" spans="1:13" hidden="1" x14ac:dyDescent="0.25">
      <c r="A4705" s="344">
        <v>44218</v>
      </c>
      <c r="B4705" s="343" t="s">
        <v>1972</v>
      </c>
      <c r="C4705" s="343" t="s">
        <v>1059</v>
      </c>
      <c r="D4705" s="345">
        <v>7</v>
      </c>
      <c r="E4705" s="346">
        <v>-191.1</v>
      </c>
      <c r="F4705" s="346">
        <v>16186.640000000099</v>
      </c>
      <c r="G4705" s="343" t="s">
        <v>1973</v>
      </c>
      <c r="H4705" s="343" t="s">
        <v>2233</v>
      </c>
      <c r="I4705" s="343" t="s">
        <v>1880</v>
      </c>
      <c r="J4705" s="343" t="s">
        <v>757</v>
      </c>
      <c r="K4705" s="343" t="s">
        <v>741</v>
      </c>
      <c r="L4705" s="344">
        <v>44218</v>
      </c>
      <c r="M4705" s="347">
        <v>0</v>
      </c>
    </row>
    <row r="4706" spans="1:13" hidden="1" x14ac:dyDescent="0.25">
      <c r="A4706" s="344">
        <v>44227</v>
      </c>
      <c r="B4706" s="343" t="s">
        <v>2009</v>
      </c>
      <c r="C4706" s="343" t="s">
        <v>1060</v>
      </c>
      <c r="D4706" s="345">
        <v>7</v>
      </c>
      <c r="E4706" s="346">
        <v>904.55</v>
      </c>
      <c r="F4706" s="346">
        <v>17091.190000000101</v>
      </c>
      <c r="G4706" s="343" t="s">
        <v>2255</v>
      </c>
      <c r="H4706" s="343" t="s">
        <v>2233</v>
      </c>
      <c r="I4706" s="343" t="s">
        <v>1880</v>
      </c>
      <c r="J4706" s="343" t="s">
        <v>757</v>
      </c>
      <c r="K4706" s="343" t="s">
        <v>741</v>
      </c>
      <c r="L4706" s="344">
        <v>44227</v>
      </c>
      <c r="M4706" s="347">
        <v>0</v>
      </c>
    </row>
    <row r="4707" spans="1:13" hidden="1" x14ac:dyDescent="0.25">
      <c r="A4707" s="344">
        <v>44227</v>
      </c>
      <c r="B4707" s="343" t="s">
        <v>1974</v>
      </c>
      <c r="C4707" s="343" t="s">
        <v>1059</v>
      </c>
      <c r="D4707" s="345">
        <v>8</v>
      </c>
      <c r="E4707" s="346">
        <v>-145.6</v>
      </c>
      <c r="F4707" s="346">
        <v>16945.590000000098</v>
      </c>
      <c r="G4707" s="343" t="s">
        <v>1975</v>
      </c>
      <c r="H4707" s="343" t="s">
        <v>2233</v>
      </c>
      <c r="I4707" s="343" t="s">
        <v>1880</v>
      </c>
      <c r="J4707" s="343" t="s">
        <v>757</v>
      </c>
      <c r="K4707" s="343" t="s">
        <v>741</v>
      </c>
      <c r="L4707" s="344">
        <v>44227</v>
      </c>
      <c r="M4707" s="347">
        <v>0</v>
      </c>
    </row>
    <row r="4708" spans="1:13" hidden="1" x14ac:dyDescent="0.25">
      <c r="A4708" s="344">
        <v>44227</v>
      </c>
      <c r="B4708" s="343" t="s">
        <v>2009</v>
      </c>
      <c r="C4708" s="343" t="s">
        <v>1060</v>
      </c>
      <c r="D4708" s="345">
        <v>8</v>
      </c>
      <c r="E4708" s="346">
        <v>-904.55</v>
      </c>
      <c r="F4708" s="346">
        <v>16041.040000000099</v>
      </c>
      <c r="G4708" s="343" t="s">
        <v>2255</v>
      </c>
      <c r="H4708" s="343" t="s">
        <v>2233</v>
      </c>
      <c r="I4708" s="343" t="s">
        <v>1880</v>
      </c>
      <c r="J4708" s="343" t="s">
        <v>757</v>
      </c>
      <c r="K4708" s="343" t="s">
        <v>741</v>
      </c>
      <c r="L4708" s="344">
        <v>44227</v>
      </c>
      <c r="M4708" s="347">
        <v>0</v>
      </c>
    </row>
    <row r="4709" spans="1:13" hidden="1" x14ac:dyDescent="0.25">
      <c r="A4709" s="344">
        <v>44237</v>
      </c>
      <c r="B4709" s="343" t="s">
        <v>2256</v>
      </c>
      <c r="C4709" s="343" t="s">
        <v>769</v>
      </c>
      <c r="D4709" s="345">
        <v>8</v>
      </c>
      <c r="E4709" s="346">
        <v>809.09</v>
      </c>
      <c r="F4709" s="346">
        <v>16850.130000000099</v>
      </c>
      <c r="G4709" s="343" t="s">
        <v>2257</v>
      </c>
      <c r="H4709" s="343" t="s">
        <v>2233</v>
      </c>
      <c r="I4709" s="343" t="s">
        <v>1880</v>
      </c>
      <c r="J4709" s="343" t="s">
        <v>757</v>
      </c>
      <c r="K4709" s="343" t="s">
        <v>770</v>
      </c>
      <c r="L4709" s="344">
        <v>44237</v>
      </c>
      <c r="M4709" s="347">
        <v>0</v>
      </c>
    </row>
    <row r="4710" spans="1:13" hidden="1" x14ac:dyDescent="0.25">
      <c r="A4710" s="344">
        <v>44244</v>
      </c>
      <c r="B4710" s="343" t="s">
        <v>1978</v>
      </c>
      <c r="C4710" s="343" t="s">
        <v>1059</v>
      </c>
      <c r="D4710" s="345">
        <v>8</v>
      </c>
      <c r="E4710" s="346">
        <v>-163.80000000000001</v>
      </c>
      <c r="F4710" s="346">
        <v>16686.3300000001</v>
      </c>
      <c r="G4710" s="343" t="s">
        <v>1979</v>
      </c>
      <c r="H4710" s="343" t="s">
        <v>2233</v>
      </c>
      <c r="I4710" s="343" t="s">
        <v>1880</v>
      </c>
      <c r="J4710" s="343" t="s">
        <v>757</v>
      </c>
      <c r="K4710" s="343" t="s">
        <v>741</v>
      </c>
      <c r="L4710" s="344">
        <v>44244</v>
      </c>
      <c r="M4710" s="347">
        <v>0</v>
      </c>
    </row>
    <row r="4711" spans="1:13" hidden="1" x14ac:dyDescent="0.25">
      <c r="A4711" s="344">
        <v>44255</v>
      </c>
      <c r="B4711" s="343" t="s">
        <v>2073</v>
      </c>
      <c r="C4711" s="343" t="s">
        <v>1060</v>
      </c>
      <c r="D4711" s="345">
        <v>8</v>
      </c>
      <c r="E4711" s="346">
        <v>809.09</v>
      </c>
      <c r="F4711" s="346">
        <v>17495.4200000001</v>
      </c>
      <c r="G4711" s="343" t="s">
        <v>2258</v>
      </c>
      <c r="H4711" s="343" t="s">
        <v>2233</v>
      </c>
      <c r="I4711" s="343" t="s">
        <v>1880</v>
      </c>
      <c r="J4711" s="343" t="s">
        <v>757</v>
      </c>
      <c r="K4711" s="343" t="s">
        <v>741</v>
      </c>
      <c r="L4711" s="344">
        <v>44255</v>
      </c>
      <c r="M4711" s="347">
        <v>0</v>
      </c>
    </row>
    <row r="4712" spans="1:13" hidden="1" x14ac:dyDescent="0.25">
      <c r="A4712" s="344">
        <v>44255</v>
      </c>
      <c r="B4712" s="343" t="s">
        <v>2073</v>
      </c>
      <c r="C4712" s="343" t="s">
        <v>1060</v>
      </c>
      <c r="D4712" s="345">
        <v>9</v>
      </c>
      <c r="E4712" s="346">
        <v>-809.09</v>
      </c>
      <c r="F4712" s="346">
        <v>16686.3300000001</v>
      </c>
      <c r="G4712" s="343" t="s">
        <v>2258</v>
      </c>
      <c r="H4712" s="343" t="s">
        <v>2233</v>
      </c>
      <c r="I4712" s="343" t="s">
        <v>1880</v>
      </c>
      <c r="J4712" s="343" t="s">
        <v>757</v>
      </c>
      <c r="K4712" s="343" t="s">
        <v>741</v>
      </c>
      <c r="L4712" s="344">
        <v>44255</v>
      </c>
      <c r="M4712" s="347">
        <v>0</v>
      </c>
    </row>
    <row r="4713" spans="1:13" hidden="1" x14ac:dyDescent="0.25">
      <c r="A4713" s="344">
        <v>44259</v>
      </c>
      <c r="B4713" s="343" t="s">
        <v>1939</v>
      </c>
      <c r="C4713" s="343" t="s">
        <v>1059</v>
      </c>
      <c r="D4713" s="345">
        <v>9</v>
      </c>
      <c r="E4713" s="346">
        <v>-204.75</v>
      </c>
      <c r="F4713" s="346">
        <v>16481.5800000001</v>
      </c>
      <c r="G4713" s="343" t="s">
        <v>1940</v>
      </c>
      <c r="H4713" s="343" t="s">
        <v>2233</v>
      </c>
      <c r="I4713" s="343" t="s">
        <v>1880</v>
      </c>
      <c r="J4713" s="343" t="s">
        <v>757</v>
      </c>
      <c r="K4713" s="343" t="s">
        <v>741</v>
      </c>
      <c r="L4713" s="344">
        <v>44259</v>
      </c>
      <c r="M4713" s="347">
        <v>0</v>
      </c>
    </row>
    <row r="4714" spans="1:13" hidden="1" x14ac:dyDescent="0.25">
      <c r="A4714" s="344">
        <v>44265</v>
      </c>
      <c r="B4714" s="343" t="s">
        <v>2259</v>
      </c>
      <c r="C4714" s="343" t="s">
        <v>769</v>
      </c>
      <c r="D4714" s="345">
        <v>9</v>
      </c>
      <c r="E4714" s="346">
        <v>745.45</v>
      </c>
      <c r="F4714" s="346">
        <v>17227.030000000101</v>
      </c>
      <c r="G4714" s="343" t="s">
        <v>2260</v>
      </c>
      <c r="H4714" s="343" t="s">
        <v>2233</v>
      </c>
      <c r="I4714" s="343" t="s">
        <v>1880</v>
      </c>
      <c r="J4714" s="343" t="s">
        <v>757</v>
      </c>
      <c r="K4714" s="343" t="s">
        <v>770</v>
      </c>
      <c r="L4714" s="344">
        <v>44265</v>
      </c>
      <c r="M4714" s="347">
        <v>0</v>
      </c>
    </row>
    <row r="4715" spans="1:13" hidden="1" x14ac:dyDescent="0.25">
      <c r="A4715" s="344">
        <v>44272</v>
      </c>
      <c r="B4715" s="343" t="s">
        <v>1982</v>
      </c>
      <c r="C4715" s="343" t="s">
        <v>1059</v>
      </c>
      <c r="D4715" s="345">
        <v>9</v>
      </c>
      <c r="E4715" s="346">
        <v>-186.55</v>
      </c>
      <c r="F4715" s="346">
        <v>17040.480000000101</v>
      </c>
      <c r="G4715" s="343" t="s">
        <v>1983</v>
      </c>
      <c r="H4715" s="343" t="s">
        <v>2233</v>
      </c>
      <c r="I4715" s="343" t="s">
        <v>1880</v>
      </c>
      <c r="J4715" s="343" t="s">
        <v>757</v>
      </c>
      <c r="K4715" s="343" t="s">
        <v>741</v>
      </c>
      <c r="L4715" s="344">
        <v>44272</v>
      </c>
      <c r="M4715" s="347">
        <v>0</v>
      </c>
    </row>
    <row r="4716" spans="1:13" hidden="1" x14ac:dyDescent="0.25">
      <c r="A4716" s="344">
        <v>44286</v>
      </c>
      <c r="B4716" s="343" t="s">
        <v>1918</v>
      </c>
      <c r="C4716" s="343" t="s">
        <v>1059</v>
      </c>
      <c r="D4716" s="345">
        <v>9</v>
      </c>
      <c r="E4716" s="346">
        <v>-127.4</v>
      </c>
      <c r="F4716" s="346">
        <v>16913.0800000001</v>
      </c>
      <c r="G4716" s="343" t="s">
        <v>1919</v>
      </c>
      <c r="H4716" s="343" t="s">
        <v>2233</v>
      </c>
      <c r="I4716" s="343" t="s">
        <v>1880</v>
      </c>
      <c r="J4716" s="343" t="s">
        <v>757</v>
      </c>
      <c r="K4716" s="343" t="s">
        <v>741</v>
      </c>
      <c r="L4716" s="344">
        <v>44286</v>
      </c>
      <c r="M4716" s="347">
        <v>0</v>
      </c>
    </row>
    <row r="4717" spans="1:13" hidden="1" x14ac:dyDescent="0.25">
      <c r="A4717" s="344">
        <v>44286</v>
      </c>
      <c r="B4717" s="343" t="s">
        <v>2060</v>
      </c>
      <c r="C4717" s="343" t="s">
        <v>1060</v>
      </c>
      <c r="D4717" s="345">
        <v>9</v>
      </c>
      <c r="E4717" s="346">
        <v>745.45</v>
      </c>
      <c r="F4717" s="346">
        <v>17658.530000000101</v>
      </c>
      <c r="G4717" s="343" t="s">
        <v>2261</v>
      </c>
      <c r="H4717" s="343" t="s">
        <v>2233</v>
      </c>
      <c r="I4717" s="343" t="s">
        <v>1880</v>
      </c>
      <c r="J4717" s="343" t="s">
        <v>757</v>
      </c>
      <c r="K4717" s="343" t="s">
        <v>741</v>
      </c>
      <c r="L4717" s="344">
        <v>44286</v>
      </c>
      <c r="M4717" s="347">
        <v>0</v>
      </c>
    </row>
    <row r="4718" spans="1:13" hidden="1" x14ac:dyDescent="0.25">
      <c r="A4718" s="344">
        <v>44286</v>
      </c>
      <c r="B4718" s="343" t="s">
        <v>2060</v>
      </c>
      <c r="C4718" s="343" t="s">
        <v>1060</v>
      </c>
      <c r="D4718" s="345">
        <v>10</v>
      </c>
      <c r="E4718" s="346">
        <v>-745.45</v>
      </c>
      <c r="F4718" s="346">
        <v>16913.0800000001</v>
      </c>
      <c r="G4718" s="343" t="s">
        <v>2261</v>
      </c>
      <c r="H4718" s="343" t="s">
        <v>2233</v>
      </c>
      <c r="I4718" s="343" t="s">
        <v>1880</v>
      </c>
      <c r="J4718" s="343" t="s">
        <v>757</v>
      </c>
      <c r="K4718" s="343" t="s">
        <v>741</v>
      </c>
      <c r="L4718" s="344">
        <v>44286</v>
      </c>
      <c r="M4718" s="347">
        <v>0</v>
      </c>
    </row>
    <row r="4719" spans="1:13" hidden="1" x14ac:dyDescent="0.25">
      <c r="A4719" s="344">
        <v>44293</v>
      </c>
      <c r="B4719" s="343" t="s">
        <v>1991</v>
      </c>
      <c r="C4719" s="343" t="s">
        <v>769</v>
      </c>
      <c r="D4719" s="345">
        <v>10</v>
      </c>
      <c r="E4719" s="346">
        <v>86.36</v>
      </c>
      <c r="F4719" s="346">
        <v>16999.440000000101</v>
      </c>
      <c r="G4719" s="343" t="s">
        <v>1992</v>
      </c>
      <c r="H4719" s="343" t="s">
        <v>2233</v>
      </c>
      <c r="I4719" s="343" t="s">
        <v>1880</v>
      </c>
      <c r="J4719" s="343" t="s">
        <v>757</v>
      </c>
      <c r="K4719" s="343" t="s">
        <v>770</v>
      </c>
      <c r="L4719" s="344">
        <v>44293</v>
      </c>
      <c r="M4719" s="347">
        <v>0</v>
      </c>
    </row>
    <row r="4720" spans="1:13" hidden="1" x14ac:dyDescent="0.25">
      <c r="A4720" s="344">
        <v>44293</v>
      </c>
      <c r="B4720" s="343" t="s">
        <v>1991</v>
      </c>
      <c r="C4720" s="343" t="s">
        <v>769</v>
      </c>
      <c r="D4720" s="345">
        <v>10</v>
      </c>
      <c r="E4720" s="346">
        <v>59.09</v>
      </c>
      <c r="F4720" s="346">
        <v>17058.530000000101</v>
      </c>
      <c r="G4720" s="343" t="s">
        <v>1992</v>
      </c>
      <c r="H4720" s="343" t="s">
        <v>2233</v>
      </c>
      <c r="I4720" s="343" t="s">
        <v>1880</v>
      </c>
      <c r="J4720" s="343" t="s">
        <v>757</v>
      </c>
      <c r="K4720" s="343" t="s">
        <v>770</v>
      </c>
      <c r="L4720" s="344">
        <v>44293</v>
      </c>
      <c r="M4720" s="347">
        <v>0</v>
      </c>
    </row>
    <row r="4721" spans="1:13" hidden="1" x14ac:dyDescent="0.25">
      <c r="A4721" s="344">
        <v>44293</v>
      </c>
      <c r="B4721" s="343" t="s">
        <v>1991</v>
      </c>
      <c r="C4721" s="343" t="s">
        <v>769</v>
      </c>
      <c r="D4721" s="345">
        <v>10</v>
      </c>
      <c r="E4721" s="346">
        <v>90.91</v>
      </c>
      <c r="F4721" s="346">
        <v>17149.440000000101</v>
      </c>
      <c r="G4721" s="343" t="s">
        <v>1992</v>
      </c>
      <c r="H4721" s="343" t="s">
        <v>2233</v>
      </c>
      <c r="I4721" s="343" t="s">
        <v>1880</v>
      </c>
      <c r="J4721" s="343" t="s">
        <v>757</v>
      </c>
      <c r="K4721" s="343" t="s">
        <v>770</v>
      </c>
      <c r="L4721" s="344">
        <v>44293</v>
      </c>
      <c r="M4721" s="347">
        <v>0</v>
      </c>
    </row>
    <row r="4722" spans="1:13" hidden="1" x14ac:dyDescent="0.25">
      <c r="A4722" s="344">
        <v>44293</v>
      </c>
      <c r="B4722" s="343" t="s">
        <v>1991</v>
      </c>
      <c r="C4722" s="343" t="s">
        <v>769</v>
      </c>
      <c r="D4722" s="345">
        <v>10</v>
      </c>
      <c r="E4722" s="346">
        <v>90.9</v>
      </c>
      <c r="F4722" s="346">
        <v>17240.340000000098</v>
      </c>
      <c r="G4722" s="343" t="s">
        <v>1992</v>
      </c>
      <c r="H4722" s="343" t="s">
        <v>2233</v>
      </c>
      <c r="I4722" s="343" t="s">
        <v>1880</v>
      </c>
      <c r="J4722" s="343" t="s">
        <v>757</v>
      </c>
      <c r="K4722" s="343" t="s">
        <v>770</v>
      </c>
      <c r="L4722" s="344">
        <v>44293</v>
      </c>
      <c r="M4722" s="347">
        <v>0</v>
      </c>
    </row>
    <row r="4723" spans="1:13" hidden="1" x14ac:dyDescent="0.25">
      <c r="A4723" s="344">
        <v>44293</v>
      </c>
      <c r="B4723" s="343" t="s">
        <v>1991</v>
      </c>
      <c r="C4723" s="343" t="s">
        <v>769</v>
      </c>
      <c r="D4723" s="345">
        <v>10</v>
      </c>
      <c r="E4723" s="346">
        <v>27.27</v>
      </c>
      <c r="F4723" s="346">
        <v>17267.610000000099</v>
      </c>
      <c r="G4723" s="343" t="s">
        <v>1992</v>
      </c>
      <c r="H4723" s="343" t="s">
        <v>2233</v>
      </c>
      <c r="I4723" s="343" t="s">
        <v>1880</v>
      </c>
      <c r="J4723" s="343" t="s">
        <v>757</v>
      </c>
      <c r="K4723" s="343" t="s">
        <v>770</v>
      </c>
      <c r="L4723" s="344">
        <v>44293</v>
      </c>
      <c r="M4723" s="347">
        <v>0</v>
      </c>
    </row>
    <row r="4724" spans="1:13" hidden="1" x14ac:dyDescent="0.25">
      <c r="A4724" s="344">
        <v>44293</v>
      </c>
      <c r="B4724" s="343" t="s">
        <v>1991</v>
      </c>
      <c r="C4724" s="343" t="s">
        <v>769</v>
      </c>
      <c r="D4724" s="345">
        <v>10</v>
      </c>
      <c r="E4724" s="346">
        <v>90.91</v>
      </c>
      <c r="F4724" s="346">
        <v>17358.520000000099</v>
      </c>
      <c r="G4724" s="343" t="s">
        <v>1992</v>
      </c>
      <c r="H4724" s="343" t="s">
        <v>2233</v>
      </c>
      <c r="I4724" s="343" t="s">
        <v>1880</v>
      </c>
      <c r="J4724" s="343" t="s">
        <v>757</v>
      </c>
      <c r="K4724" s="343" t="s">
        <v>770</v>
      </c>
      <c r="L4724" s="344">
        <v>44293</v>
      </c>
      <c r="M4724" s="347">
        <v>0</v>
      </c>
    </row>
    <row r="4725" spans="1:13" hidden="1" x14ac:dyDescent="0.25">
      <c r="A4725" s="344">
        <v>44293</v>
      </c>
      <c r="B4725" s="343" t="s">
        <v>1991</v>
      </c>
      <c r="C4725" s="343" t="s">
        <v>769</v>
      </c>
      <c r="D4725" s="345">
        <v>10</v>
      </c>
      <c r="E4725" s="346">
        <v>95.45</v>
      </c>
      <c r="F4725" s="346">
        <v>17453.970000000099</v>
      </c>
      <c r="G4725" s="343" t="s">
        <v>1992</v>
      </c>
      <c r="H4725" s="343" t="s">
        <v>2233</v>
      </c>
      <c r="I4725" s="343" t="s">
        <v>1880</v>
      </c>
      <c r="J4725" s="343" t="s">
        <v>757</v>
      </c>
      <c r="K4725" s="343" t="s">
        <v>770</v>
      </c>
      <c r="L4725" s="344">
        <v>44293</v>
      </c>
      <c r="M4725" s="347">
        <v>0</v>
      </c>
    </row>
    <row r="4726" spans="1:13" hidden="1" x14ac:dyDescent="0.25">
      <c r="A4726" s="344">
        <v>44293</v>
      </c>
      <c r="B4726" s="343" t="s">
        <v>1991</v>
      </c>
      <c r="C4726" s="343" t="s">
        <v>769</v>
      </c>
      <c r="D4726" s="345">
        <v>10</v>
      </c>
      <c r="E4726" s="346">
        <v>81.819999999999993</v>
      </c>
      <c r="F4726" s="346">
        <v>17535.790000000099</v>
      </c>
      <c r="G4726" s="343" t="s">
        <v>1992</v>
      </c>
      <c r="H4726" s="343" t="s">
        <v>2233</v>
      </c>
      <c r="I4726" s="343" t="s">
        <v>1880</v>
      </c>
      <c r="J4726" s="343" t="s">
        <v>757</v>
      </c>
      <c r="K4726" s="343" t="s">
        <v>770</v>
      </c>
      <c r="L4726" s="344">
        <v>44293</v>
      </c>
      <c r="M4726" s="347">
        <v>0</v>
      </c>
    </row>
    <row r="4727" spans="1:13" hidden="1" x14ac:dyDescent="0.25">
      <c r="A4727" s="344">
        <v>44293</v>
      </c>
      <c r="B4727" s="343" t="s">
        <v>1991</v>
      </c>
      <c r="C4727" s="343" t="s">
        <v>769</v>
      </c>
      <c r="D4727" s="345">
        <v>10</v>
      </c>
      <c r="E4727" s="346">
        <v>72.73</v>
      </c>
      <c r="F4727" s="346">
        <v>17608.520000000099</v>
      </c>
      <c r="G4727" s="343" t="s">
        <v>1992</v>
      </c>
      <c r="H4727" s="343" t="s">
        <v>2233</v>
      </c>
      <c r="I4727" s="343" t="s">
        <v>1880</v>
      </c>
      <c r="J4727" s="343" t="s">
        <v>757</v>
      </c>
      <c r="K4727" s="343" t="s">
        <v>770</v>
      </c>
      <c r="L4727" s="344">
        <v>44293</v>
      </c>
      <c r="M4727" s="347">
        <v>0</v>
      </c>
    </row>
    <row r="4728" spans="1:13" hidden="1" x14ac:dyDescent="0.25">
      <c r="A4728" s="344">
        <v>44293</v>
      </c>
      <c r="B4728" s="343" t="s">
        <v>1991</v>
      </c>
      <c r="C4728" s="343" t="s">
        <v>769</v>
      </c>
      <c r="D4728" s="345">
        <v>10</v>
      </c>
      <c r="E4728" s="346">
        <v>4.55</v>
      </c>
      <c r="F4728" s="346">
        <v>17613.070000000102</v>
      </c>
      <c r="G4728" s="343" t="s">
        <v>1992</v>
      </c>
      <c r="H4728" s="343" t="s">
        <v>2233</v>
      </c>
      <c r="I4728" s="343" t="s">
        <v>1880</v>
      </c>
      <c r="J4728" s="343" t="s">
        <v>757</v>
      </c>
      <c r="K4728" s="343" t="s">
        <v>770</v>
      </c>
      <c r="L4728" s="344">
        <v>44293</v>
      </c>
      <c r="M4728" s="347">
        <v>0</v>
      </c>
    </row>
    <row r="4729" spans="1:13" hidden="1" x14ac:dyDescent="0.25">
      <c r="A4729" s="344">
        <v>44293</v>
      </c>
      <c r="B4729" s="343" t="s">
        <v>1991</v>
      </c>
      <c r="C4729" s="343" t="s">
        <v>769</v>
      </c>
      <c r="D4729" s="345">
        <v>10</v>
      </c>
      <c r="E4729" s="346">
        <v>68.180000000000007</v>
      </c>
      <c r="F4729" s="346">
        <v>17681.250000000098</v>
      </c>
      <c r="G4729" s="343" t="s">
        <v>1992</v>
      </c>
      <c r="H4729" s="343" t="s">
        <v>2233</v>
      </c>
      <c r="I4729" s="343" t="s">
        <v>1880</v>
      </c>
      <c r="J4729" s="343" t="s">
        <v>757</v>
      </c>
      <c r="K4729" s="343" t="s">
        <v>770</v>
      </c>
      <c r="L4729" s="344">
        <v>44293</v>
      </c>
      <c r="M4729" s="347">
        <v>0</v>
      </c>
    </row>
    <row r="4730" spans="1:13" hidden="1" x14ac:dyDescent="0.25">
      <c r="A4730" s="344">
        <v>44301</v>
      </c>
      <c r="B4730" s="343" t="s">
        <v>1889</v>
      </c>
      <c r="C4730" s="343" t="s">
        <v>1059</v>
      </c>
      <c r="D4730" s="345">
        <v>10</v>
      </c>
      <c r="E4730" s="346">
        <v>-177.45</v>
      </c>
      <c r="F4730" s="346">
        <v>17503.800000000101</v>
      </c>
      <c r="G4730" s="343" t="s">
        <v>1890</v>
      </c>
      <c r="H4730" s="343" t="s">
        <v>2233</v>
      </c>
      <c r="I4730" s="343" t="s">
        <v>1880</v>
      </c>
      <c r="J4730" s="343" t="s">
        <v>757</v>
      </c>
      <c r="K4730" s="343" t="s">
        <v>741</v>
      </c>
      <c r="L4730" s="344">
        <v>44301</v>
      </c>
      <c r="M4730" s="347">
        <v>0</v>
      </c>
    </row>
    <row r="4731" spans="1:13" hidden="1" x14ac:dyDescent="0.25">
      <c r="A4731" s="344">
        <v>44315</v>
      </c>
      <c r="B4731" s="343" t="s">
        <v>1920</v>
      </c>
      <c r="C4731" s="343" t="s">
        <v>1059</v>
      </c>
      <c r="D4731" s="345">
        <v>10</v>
      </c>
      <c r="E4731" s="346">
        <v>-177.45</v>
      </c>
      <c r="F4731" s="346">
        <v>17326.3500000001</v>
      </c>
      <c r="G4731" s="343" t="s">
        <v>1921</v>
      </c>
      <c r="H4731" s="343" t="s">
        <v>2233</v>
      </c>
      <c r="I4731" s="343" t="s">
        <v>1880</v>
      </c>
      <c r="J4731" s="343" t="s">
        <v>757</v>
      </c>
      <c r="K4731" s="343" t="s">
        <v>741</v>
      </c>
      <c r="L4731" s="344">
        <v>44315</v>
      </c>
      <c r="M4731" s="347">
        <v>0</v>
      </c>
    </row>
    <row r="4732" spans="1:13" hidden="1" x14ac:dyDescent="0.25">
      <c r="A4732" s="344">
        <v>44316</v>
      </c>
      <c r="B4732" s="343" t="s">
        <v>1078</v>
      </c>
      <c r="C4732" s="343" t="s">
        <v>1060</v>
      </c>
      <c r="D4732" s="345">
        <v>10</v>
      </c>
      <c r="E4732" s="346">
        <v>768.18</v>
      </c>
      <c r="F4732" s="346">
        <v>18094.530000000101</v>
      </c>
      <c r="G4732" s="343" t="s">
        <v>1076</v>
      </c>
      <c r="H4732" s="343" t="s">
        <v>2233</v>
      </c>
      <c r="I4732" s="343" t="s">
        <v>1880</v>
      </c>
      <c r="J4732" s="343" t="s">
        <v>757</v>
      </c>
      <c r="K4732" s="343" t="s">
        <v>741</v>
      </c>
      <c r="L4732" s="344">
        <v>44316</v>
      </c>
      <c r="M4732" s="347">
        <v>0</v>
      </c>
    </row>
    <row r="4733" spans="1:13" hidden="1" x14ac:dyDescent="0.25">
      <c r="A4733" s="344">
        <v>44327</v>
      </c>
      <c r="B4733" s="343" t="s">
        <v>1922</v>
      </c>
      <c r="C4733" s="343" t="s">
        <v>1059</v>
      </c>
      <c r="D4733" s="345">
        <v>10</v>
      </c>
      <c r="E4733" s="346">
        <v>145.6</v>
      </c>
      <c r="F4733" s="346">
        <v>18240.130000000099</v>
      </c>
      <c r="G4733" s="343" t="s">
        <v>1923</v>
      </c>
      <c r="H4733" s="343" t="s">
        <v>2233</v>
      </c>
      <c r="I4733" s="343" t="s">
        <v>1880</v>
      </c>
      <c r="J4733" s="343" t="s">
        <v>757</v>
      </c>
      <c r="K4733" s="343" t="s">
        <v>741</v>
      </c>
      <c r="L4733" s="344">
        <v>44327</v>
      </c>
      <c r="M4733" s="347">
        <v>0</v>
      </c>
    </row>
    <row r="4734" spans="1:13" hidden="1" x14ac:dyDescent="0.25">
      <c r="A4734" s="344">
        <v>44327</v>
      </c>
      <c r="B4734" s="343" t="s">
        <v>1924</v>
      </c>
      <c r="C4734" s="343" t="s">
        <v>1059</v>
      </c>
      <c r="D4734" s="345">
        <v>10</v>
      </c>
      <c r="E4734" s="346">
        <v>-145.6</v>
      </c>
      <c r="F4734" s="346">
        <v>18094.530000000101</v>
      </c>
      <c r="G4734" s="343" t="s">
        <v>1923</v>
      </c>
      <c r="H4734" s="343" t="s">
        <v>2233</v>
      </c>
      <c r="I4734" s="343" t="s">
        <v>1880</v>
      </c>
      <c r="J4734" s="343" t="s">
        <v>757</v>
      </c>
      <c r="K4734" s="343" t="s">
        <v>741</v>
      </c>
      <c r="L4734" s="344">
        <v>44327</v>
      </c>
      <c r="M4734" s="347">
        <v>0</v>
      </c>
    </row>
    <row r="4735" spans="1:13" hidden="1" x14ac:dyDescent="0.25">
      <c r="A4735" s="344">
        <v>44074</v>
      </c>
      <c r="B4735" s="343" t="s">
        <v>1896</v>
      </c>
      <c r="C4735" s="343" t="s">
        <v>1060</v>
      </c>
      <c r="D4735" s="345">
        <v>2</v>
      </c>
      <c r="E4735" s="346">
        <v>209.1</v>
      </c>
      <c r="F4735" s="346">
        <v>18130.7600000001</v>
      </c>
      <c r="G4735" s="343" t="s">
        <v>2232</v>
      </c>
      <c r="H4735" s="343" t="s">
        <v>2262</v>
      </c>
      <c r="I4735" s="343" t="s">
        <v>1880</v>
      </c>
      <c r="J4735" s="343" t="s">
        <v>757</v>
      </c>
      <c r="K4735" s="343" t="s">
        <v>741</v>
      </c>
      <c r="L4735" s="344">
        <v>44074</v>
      </c>
      <c r="M4735" s="347">
        <v>0</v>
      </c>
    </row>
    <row r="4736" spans="1:13" hidden="1" x14ac:dyDescent="0.25">
      <c r="A4736" s="344">
        <v>44043</v>
      </c>
      <c r="B4736" s="343" t="s">
        <v>2234</v>
      </c>
      <c r="C4736" s="343" t="s">
        <v>769</v>
      </c>
      <c r="D4736" s="345">
        <v>3</v>
      </c>
      <c r="E4736" s="346">
        <v>104.55</v>
      </c>
      <c r="F4736" s="346">
        <v>18235.3100000001</v>
      </c>
      <c r="G4736" s="343" t="s">
        <v>2235</v>
      </c>
      <c r="H4736" s="343" t="s">
        <v>2262</v>
      </c>
      <c r="I4736" s="343" t="s">
        <v>1880</v>
      </c>
      <c r="J4736" s="343" t="s">
        <v>757</v>
      </c>
      <c r="K4736" s="343" t="s">
        <v>770</v>
      </c>
      <c r="L4736" s="344">
        <v>44043</v>
      </c>
      <c r="M4736" s="347">
        <v>0</v>
      </c>
    </row>
    <row r="4737" spans="1:13" hidden="1" x14ac:dyDescent="0.25">
      <c r="A4737" s="344">
        <v>44049</v>
      </c>
      <c r="B4737" s="343" t="s">
        <v>2236</v>
      </c>
      <c r="C4737" s="343" t="s">
        <v>769</v>
      </c>
      <c r="D4737" s="345">
        <v>3</v>
      </c>
      <c r="E4737" s="346">
        <v>104.55</v>
      </c>
      <c r="F4737" s="346">
        <v>18339.860000000099</v>
      </c>
      <c r="G4737" s="343" t="s">
        <v>2235</v>
      </c>
      <c r="H4737" s="343" t="s">
        <v>2262</v>
      </c>
      <c r="I4737" s="343" t="s">
        <v>1880</v>
      </c>
      <c r="J4737" s="343" t="s">
        <v>757</v>
      </c>
      <c r="K4737" s="343" t="s">
        <v>770</v>
      </c>
      <c r="L4737" s="344">
        <v>44049</v>
      </c>
      <c r="M4737" s="347">
        <v>0</v>
      </c>
    </row>
    <row r="4738" spans="1:13" hidden="1" x14ac:dyDescent="0.25">
      <c r="A4738" s="344">
        <v>44049</v>
      </c>
      <c r="B4738" s="343" t="s">
        <v>2234</v>
      </c>
      <c r="C4738" s="343" t="s">
        <v>936</v>
      </c>
      <c r="D4738" s="345">
        <v>3</v>
      </c>
      <c r="E4738" s="346">
        <v>-104.55</v>
      </c>
      <c r="F4738" s="346">
        <v>18235.3100000001</v>
      </c>
      <c r="G4738" s="343" t="s">
        <v>2237</v>
      </c>
      <c r="H4738" s="343" t="s">
        <v>2262</v>
      </c>
      <c r="I4738" s="343" t="s">
        <v>1880</v>
      </c>
      <c r="J4738" s="343" t="s">
        <v>757</v>
      </c>
      <c r="K4738" s="343" t="s">
        <v>770</v>
      </c>
      <c r="L4738" s="344">
        <v>44049</v>
      </c>
      <c r="M4738" s="347">
        <v>0</v>
      </c>
    </row>
    <row r="4739" spans="1:13" hidden="1" x14ac:dyDescent="0.25">
      <c r="A4739" s="344">
        <v>44074</v>
      </c>
      <c r="B4739" s="343" t="s">
        <v>1896</v>
      </c>
      <c r="C4739" s="343" t="s">
        <v>1060</v>
      </c>
      <c r="D4739" s="345">
        <v>3</v>
      </c>
      <c r="E4739" s="346">
        <v>-209.1</v>
      </c>
      <c r="F4739" s="346">
        <v>18026.210000000101</v>
      </c>
      <c r="G4739" s="343" t="s">
        <v>2232</v>
      </c>
      <c r="H4739" s="343" t="s">
        <v>2262</v>
      </c>
      <c r="I4739" s="343" t="s">
        <v>1880</v>
      </c>
      <c r="J4739" s="343" t="s">
        <v>757</v>
      </c>
      <c r="K4739" s="343" t="s">
        <v>741</v>
      </c>
      <c r="L4739" s="344">
        <v>44074</v>
      </c>
      <c r="M4739" s="347">
        <v>0</v>
      </c>
    </row>
    <row r="4740" spans="1:13" hidden="1" x14ac:dyDescent="0.25">
      <c r="A4740" s="344">
        <v>44084</v>
      </c>
      <c r="B4740" s="343" t="s">
        <v>2238</v>
      </c>
      <c r="C4740" s="343" t="s">
        <v>769</v>
      </c>
      <c r="D4740" s="345">
        <v>3</v>
      </c>
      <c r="E4740" s="346">
        <v>104.55</v>
      </c>
      <c r="F4740" s="346">
        <v>18130.7600000001</v>
      </c>
      <c r="G4740" s="343" t="s">
        <v>2239</v>
      </c>
      <c r="H4740" s="343" t="s">
        <v>2262</v>
      </c>
      <c r="I4740" s="343" t="s">
        <v>1880</v>
      </c>
      <c r="J4740" s="343" t="s">
        <v>757</v>
      </c>
      <c r="K4740" s="343" t="s">
        <v>770</v>
      </c>
      <c r="L4740" s="344">
        <v>44084</v>
      </c>
      <c r="M4740" s="347">
        <v>0</v>
      </c>
    </row>
    <row r="4741" spans="1:13" hidden="1" x14ac:dyDescent="0.25">
      <c r="A4741" s="344">
        <v>44094</v>
      </c>
      <c r="B4741" s="343" t="s">
        <v>1950</v>
      </c>
      <c r="C4741" s="343" t="s">
        <v>1059</v>
      </c>
      <c r="D4741" s="345">
        <v>3</v>
      </c>
      <c r="E4741" s="346">
        <v>-45.5</v>
      </c>
      <c r="F4741" s="346">
        <v>18085.2600000001</v>
      </c>
      <c r="G4741" s="343" t="s">
        <v>1951</v>
      </c>
      <c r="H4741" s="343" t="s">
        <v>2262</v>
      </c>
      <c r="I4741" s="343" t="s">
        <v>1880</v>
      </c>
      <c r="J4741" s="343" t="s">
        <v>757</v>
      </c>
      <c r="K4741" s="343" t="s">
        <v>741</v>
      </c>
      <c r="L4741" s="344">
        <v>44094</v>
      </c>
      <c r="M4741" s="347">
        <v>0</v>
      </c>
    </row>
    <row r="4742" spans="1:13" hidden="1" x14ac:dyDescent="0.25">
      <c r="A4742" s="344">
        <v>44104</v>
      </c>
      <c r="B4742" s="343" t="s">
        <v>2240</v>
      </c>
      <c r="C4742" s="343" t="s">
        <v>1060</v>
      </c>
      <c r="D4742" s="345">
        <v>3</v>
      </c>
      <c r="E4742" s="346">
        <v>104.54</v>
      </c>
      <c r="F4742" s="346">
        <v>18189.800000000101</v>
      </c>
      <c r="G4742" s="343" t="s">
        <v>2241</v>
      </c>
      <c r="H4742" s="343" t="s">
        <v>2262</v>
      </c>
      <c r="I4742" s="343" t="s">
        <v>1880</v>
      </c>
      <c r="J4742" s="343" t="s">
        <v>757</v>
      </c>
      <c r="K4742" s="343" t="s">
        <v>741</v>
      </c>
      <c r="L4742" s="344">
        <v>44104</v>
      </c>
      <c r="M4742" s="347">
        <v>0</v>
      </c>
    </row>
    <row r="4743" spans="1:13" hidden="1" x14ac:dyDescent="0.25">
      <c r="A4743" s="344">
        <v>44104</v>
      </c>
      <c r="B4743" s="343" t="s">
        <v>1934</v>
      </c>
      <c r="C4743" s="343" t="s">
        <v>1059</v>
      </c>
      <c r="D4743" s="345">
        <v>3</v>
      </c>
      <c r="E4743" s="346">
        <v>-77.349999999999994</v>
      </c>
      <c r="F4743" s="346">
        <v>18112.450000000099</v>
      </c>
      <c r="G4743" s="343" t="s">
        <v>1935</v>
      </c>
      <c r="H4743" s="343" t="s">
        <v>2262</v>
      </c>
      <c r="I4743" s="343" t="s">
        <v>1880</v>
      </c>
      <c r="J4743" s="343" t="s">
        <v>757</v>
      </c>
      <c r="K4743" s="343" t="s">
        <v>741</v>
      </c>
      <c r="L4743" s="344">
        <v>44104</v>
      </c>
      <c r="M4743" s="347">
        <v>0</v>
      </c>
    </row>
    <row r="4744" spans="1:13" hidden="1" x14ac:dyDescent="0.25">
      <c r="A4744" s="344">
        <v>44104</v>
      </c>
      <c r="B4744" s="343" t="s">
        <v>2240</v>
      </c>
      <c r="C4744" s="343" t="s">
        <v>1060</v>
      </c>
      <c r="D4744" s="345">
        <v>4</v>
      </c>
      <c r="E4744" s="346">
        <v>-104.54</v>
      </c>
      <c r="F4744" s="346">
        <v>18007.910000000102</v>
      </c>
      <c r="G4744" s="343" t="s">
        <v>2241</v>
      </c>
      <c r="H4744" s="343" t="s">
        <v>2262</v>
      </c>
      <c r="I4744" s="343" t="s">
        <v>1880</v>
      </c>
      <c r="J4744" s="343" t="s">
        <v>757</v>
      </c>
      <c r="K4744" s="343" t="s">
        <v>741</v>
      </c>
      <c r="L4744" s="344">
        <v>44104</v>
      </c>
      <c r="M4744" s="347">
        <v>0</v>
      </c>
    </row>
    <row r="4745" spans="1:13" hidden="1" x14ac:dyDescent="0.25">
      <c r="A4745" s="344">
        <v>44110</v>
      </c>
      <c r="B4745" s="343" t="s">
        <v>2242</v>
      </c>
      <c r="C4745" s="343" t="s">
        <v>769</v>
      </c>
      <c r="D4745" s="345">
        <v>4</v>
      </c>
      <c r="E4745" s="346">
        <v>104.54</v>
      </c>
      <c r="F4745" s="346">
        <v>18112.450000000099</v>
      </c>
      <c r="G4745" s="343" t="s">
        <v>2243</v>
      </c>
      <c r="H4745" s="343" t="s">
        <v>2262</v>
      </c>
      <c r="I4745" s="343" t="s">
        <v>1880</v>
      </c>
      <c r="J4745" s="343" t="s">
        <v>757</v>
      </c>
      <c r="K4745" s="343" t="s">
        <v>770</v>
      </c>
      <c r="L4745" s="344">
        <v>44110</v>
      </c>
      <c r="M4745" s="347">
        <v>0</v>
      </c>
    </row>
    <row r="4746" spans="1:13" hidden="1" x14ac:dyDescent="0.25">
      <c r="A4746" s="344">
        <v>44120</v>
      </c>
      <c r="B4746" s="343" t="s">
        <v>1936</v>
      </c>
      <c r="C4746" s="343" t="s">
        <v>1059</v>
      </c>
      <c r="D4746" s="345">
        <v>4</v>
      </c>
      <c r="E4746" s="346">
        <v>-13.65</v>
      </c>
      <c r="F4746" s="346">
        <v>18098.800000000101</v>
      </c>
      <c r="G4746" s="343" t="s">
        <v>1937</v>
      </c>
      <c r="H4746" s="343" t="s">
        <v>2262</v>
      </c>
      <c r="I4746" s="343" t="s">
        <v>1880</v>
      </c>
      <c r="J4746" s="343" t="s">
        <v>757</v>
      </c>
      <c r="K4746" s="343" t="s">
        <v>741</v>
      </c>
      <c r="L4746" s="344">
        <v>44120</v>
      </c>
      <c r="M4746" s="347">
        <v>0</v>
      </c>
    </row>
    <row r="4747" spans="1:13" hidden="1" x14ac:dyDescent="0.25">
      <c r="A4747" s="344">
        <v>44135</v>
      </c>
      <c r="B4747" s="343" t="s">
        <v>1904</v>
      </c>
      <c r="C4747" s="343" t="s">
        <v>1060</v>
      </c>
      <c r="D4747" s="345">
        <v>4</v>
      </c>
      <c r="E4747" s="346">
        <v>100</v>
      </c>
      <c r="F4747" s="346">
        <v>18198.800000000101</v>
      </c>
      <c r="G4747" s="343" t="s">
        <v>2244</v>
      </c>
      <c r="H4747" s="343" t="s">
        <v>2262</v>
      </c>
      <c r="I4747" s="343" t="s">
        <v>1880</v>
      </c>
      <c r="J4747" s="343" t="s">
        <v>757</v>
      </c>
      <c r="K4747" s="343" t="s">
        <v>741</v>
      </c>
      <c r="L4747" s="344">
        <v>44135</v>
      </c>
      <c r="M4747" s="347">
        <v>0</v>
      </c>
    </row>
    <row r="4748" spans="1:13" hidden="1" x14ac:dyDescent="0.25">
      <c r="A4748" s="344">
        <v>44135</v>
      </c>
      <c r="B4748" s="343" t="s">
        <v>1954</v>
      </c>
      <c r="C4748" s="343" t="s">
        <v>1059</v>
      </c>
      <c r="D4748" s="345">
        <v>4</v>
      </c>
      <c r="E4748" s="346">
        <v>-68.25</v>
      </c>
      <c r="F4748" s="346">
        <v>18130.550000000101</v>
      </c>
      <c r="G4748" s="343" t="s">
        <v>1955</v>
      </c>
      <c r="H4748" s="343" t="s">
        <v>2262</v>
      </c>
      <c r="I4748" s="343" t="s">
        <v>1880</v>
      </c>
      <c r="J4748" s="343" t="s">
        <v>757</v>
      </c>
      <c r="K4748" s="343" t="s">
        <v>741</v>
      </c>
      <c r="L4748" s="344">
        <v>44135</v>
      </c>
      <c r="M4748" s="347">
        <v>0</v>
      </c>
    </row>
    <row r="4749" spans="1:13" hidden="1" x14ac:dyDescent="0.25">
      <c r="A4749" s="344">
        <v>44135</v>
      </c>
      <c r="B4749" s="343" t="s">
        <v>1904</v>
      </c>
      <c r="C4749" s="343" t="s">
        <v>1060</v>
      </c>
      <c r="D4749" s="345">
        <v>5</v>
      </c>
      <c r="E4749" s="346">
        <v>-100</v>
      </c>
      <c r="F4749" s="346">
        <v>18030.550000000101</v>
      </c>
      <c r="G4749" s="343" t="s">
        <v>2244</v>
      </c>
      <c r="H4749" s="343" t="s">
        <v>2262</v>
      </c>
      <c r="I4749" s="343" t="s">
        <v>1880</v>
      </c>
      <c r="J4749" s="343" t="s">
        <v>757</v>
      </c>
      <c r="K4749" s="343" t="s">
        <v>741</v>
      </c>
      <c r="L4749" s="344">
        <v>44135</v>
      </c>
      <c r="M4749" s="347">
        <v>0</v>
      </c>
    </row>
    <row r="4750" spans="1:13" hidden="1" x14ac:dyDescent="0.25">
      <c r="A4750" s="344">
        <v>44141</v>
      </c>
      <c r="B4750" s="343" t="s">
        <v>2247</v>
      </c>
      <c r="C4750" s="343" t="s">
        <v>769</v>
      </c>
      <c r="D4750" s="345">
        <v>5</v>
      </c>
      <c r="E4750" s="346">
        <v>100.01</v>
      </c>
      <c r="F4750" s="346">
        <v>18130.5600000001</v>
      </c>
      <c r="G4750" s="343" t="s">
        <v>2248</v>
      </c>
      <c r="H4750" s="343" t="s">
        <v>2262</v>
      </c>
      <c r="I4750" s="343" t="s">
        <v>1880</v>
      </c>
      <c r="J4750" s="343" t="s">
        <v>757</v>
      </c>
      <c r="K4750" s="343" t="s">
        <v>770</v>
      </c>
      <c r="L4750" s="344">
        <v>44141</v>
      </c>
      <c r="M4750" s="347">
        <v>0</v>
      </c>
    </row>
    <row r="4751" spans="1:13" hidden="1" x14ac:dyDescent="0.25">
      <c r="A4751" s="344">
        <v>44148</v>
      </c>
      <c r="B4751" s="343" t="s">
        <v>1958</v>
      </c>
      <c r="C4751" s="343" t="s">
        <v>1059</v>
      </c>
      <c r="D4751" s="345">
        <v>5</v>
      </c>
      <c r="E4751" s="346">
        <v>-122.85</v>
      </c>
      <c r="F4751" s="346">
        <v>18007.710000000101</v>
      </c>
      <c r="G4751" s="343" t="s">
        <v>1959</v>
      </c>
      <c r="H4751" s="343" t="s">
        <v>2262</v>
      </c>
      <c r="I4751" s="343" t="s">
        <v>1880</v>
      </c>
      <c r="J4751" s="343" t="s">
        <v>757</v>
      </c>
      <c r="K4751" s="343" t="s">
        <v>741</v>
      </c>
      <c r="L4751" s="344">
        <v>44148</v>
      </c>
      <c r="M4751" s="347">
        <v>0</v>
      </c>
    </row>
    <row r="4752" spans="1:13" hidden="1" x14ac:dyDescent="0.25">
      <c r="A4752" s="344">
        <v>44160</v>
      </c>
      <c r="B4752" s="343" t="s">
        <v>1960</v>
      </c>
      <c r="C4752" s="343" t="s">
        <v>1059</v>
      </c>
      <c r="D4752" s="345">
        <v>5</v>
      </c>
      <c r="E4752" s="346">
        <v>-145.6</v>
      </c>
      <c r="F4752" s="346">
        <v>17862.110000000099</v>
      </c>
      <c r="G4752" s="343" t="s">
        <v>1961</v>
      </c>
      <c r="H4752" s="343" t="s">
        <v>2262</v>
      </c>
      <c r="I4752" s="343" t="s">
        <v>1880</v>
      </c>
      <c r="J4752" s="343" t="s">
        <v>757</v>
      </c>
      <c r="K4752" s="343" t="s">
        <v>741</v>
      </c>
      <c r="L4752" s="344">
        <v>44160</v>
      </c>
      <c r="M4752" s="347">
        <v>0</v>
      </c>
    </row>
    <row r="4753" spans="1:13" hidden="1" x14ac:dyDescent="0.25">
      <c r="A4753" s="344">
        <v>44165</v>
      </c>
      <c r="B4753" s="343" t="s">
        <v>1906</v>
      </c>
      <c r="C4753" s="343" t="s">
        <v>1060</v>
      </c>
      <c r="D4753" s="345">
        <v>5</v>
      </c>
      <c r="E4753" s="346">
        <v>172.73</v>
      </c>
      <c r="F4753" s="346">
        <v>18034.840000000098</v>
      </c>
      <c r="G4753" s="343" t="s">
        <v>2249</v>
      </c>
      <c r="H4753" s="343" t="s">
        <v>2262</v>
      </c>
      <c r="I4753" s="343" t="s">
        <v>1880</v>
      </c>
      <c r="J4753" s="343" t="s">
        <v>757</v>
      </c>
      <c r="K4753" s="343" t="s">
        <v>741</v>
      </c>
      <c r="L4753" s="344">
        <v>44165</v>
      </c>
      <c r="M4753" s="347">
        <v>0</v>
      </c>
    </row>
    <row r="4754" spans="1:13" hidden="1" x14ac:dyDescent="0.25">
      <c r="A4754" s="344">
        <v>44165</v>
      </c>
      <c r="B4754" s="343" t="s">
        <v>1962</v>
      </c>
      <c r="C4754" s="343" t="s">
        <v>1059</v>
      </c>
      <c r="D4754" s="345">
        <v>6</v>
      </c>
      <c r="E4754" s="346">
        <v>-186.55</v>
      </c>
      <c r="F4754" s="346">
        <v>17848.290000000099</v>
      </c>
      <c r="G4754" s="343" t="s">
        <v>1963</v>
      </c>
      <c r="H4754" s="343" t="s">
        <v>2262</v>
      </c>
      <c r="I4754" s="343" t="s">
        <v>1880</v>
      </c>
      <c r="J4754" s="343" t="s">
        <v>757</v>
      </c>
      <c r="K4754" s="343" t="s">
        <v>741</v>
      </c>
      <c r="L4754" s="344">
        <v>44165</v>
      </c>
      <c r="M4754" s="347">
        <v>0</v>
      </c>
    </row>
    <row r="4755" spans="1:13" hidden="1" x14ac:dyDescent="0.25">
      <c r="A4755" s="344">
        <v>44165</v>
      </c>
      <c r="B4755" s="343" t="s">
        <v>1906</v>
      </c>
      <c r="C4755" s="343" t="s">
        <v>1060</v>
      </c>
      <c r="D4755" s="345">
        <v>6</v>
      </c>
      <c r="E4755" s="346">
        <v>-172.73</v>
      </c>
      <c r="F4755" s="346">
        <v>17675.5600000001</v>
      </c>
      <c r="G4755" s="343" t="s">
        <v>2249</v>
      </c>
      <c r="H4755" s="343" t="s">
        <v>2262</v>
      </c>
      <c r="I4755" s="343" t="s">
        <v>1880</v>
      </c>
      <c r="J4755" s="343" t="s">
        <v>757</v>
      </c>
      <c r="K4755" s="343" t="s">
        <v>741</v>
      </c>
      <c r="L4755" s="344">
        <v>44165</v>
      </c>
      <c r="M4755" s="347">
        <v>0</v>
      </c>
    </row>
    <row r="4756" spans="1:13" hidden="1" x14ac:dyDescent="0.25">
      <c r="A4756" s="344">
        <v>44168</v>
      </c>
      <c r="B4756" s="343" t="s">
        <v>2250</v>
      </c>
      <c r="C4756" s="343" t="s">
        <v>769</v>
      </c>
      <c r="D4756" s="345">
        <v>6</v>
      </c>
      <c r="E4756" s="346">
        <v>40.909999999999997</v>
      </c>
      <c r="F4756" s="346">
        <v>17716.470000000099</v>
      </c>
      <c r="G4756" s="343" t="s">
        <v>2251</v>
      </c>
      <c r="H4756" s="343" t="s">
        <v>2262</v>
      </c>
      <c r="I4756" s="343" t="s">
        <v>1880</v>
      </c>
      <c r="J4756" s="343" t="s">
        <v>757</v>
      </c>
      <c r="K4756" s="343" t="s">
        <v>770</v>
      </c>
      <c r="L4756" s="344">
        <v>44168</v>
      </c>
      <c r="M4756" s="347">
        <v>0</v>
      </c>
    </row>
    <row r="4757" spans="1:13" hidden="1" x14ac:dyDescent="0.25">
      <c r="A4757" s="344">
        <v>44168</v>
      </c>
      <c r="B4757" s="343" t="s">
        <v>2250</v>
      </c>
      <c r="C4757" s="343" t="s">
        <v>769</v>
      </c>
      <c r="D4757" s="345">
        <v>6</v>
      </c>
      <c r="E4757" s="346">
        <v>63.64</v>
      </c>
      <c r="F4757" s="346">
        <v>17780.110000000099</v>
      </c>
      <c r="G4757" s="343" t="s">
        <v>2251</v>
      </c>
      <c r="H4757" s="343" t="s">
        <v>2262</v>
      </c>
      <c r="I4757" s="343" t="s">
        <v>1880</v>
      </c>
      <c r="J4757" s="343" t="s">
        <v>757</v>
      </c>
      <c r="K4757" s="343" t="s">
        <v>770</v>
      </c>
      <c r="L4757" s="344">
        <v>44168</v>
      </c>
      <c r="M4757" s="347">
        <v>0</v>
      </c>
    </row>
    <row r="4758" spans="1:13" hidden="1" x14ac:dyDescent="0.25">
      <c r="A4758" s="344">
        <v>44168</v>
      </c>
      <c r="B4758" s="343" t="s">
        <v>2250</v>
      </c>
      <c r="C4758" s="343" t="s">
        <v>769</v>
      </c>
      <c r="D4758" s="345">
        <v>6</v>
      </c>
      <c r="E4758" s="346">
        <v>68.180000000000007</v>
      </c>
      <c r="F4758" s="346">
        <v>17848.290000000099</v>
      </c>
      <c r="G4758" s="343" t="s">
        <v>2251</v>
      </c>
      <c r="H4758" s="343" t="s">
        <v>2262</v>
      </c>
      <c r="I4758" s="343" t="s">
        <v>1880</v>
      </c>
      <c r="J4758" s="343" t="s">
        <v>757</v>
      </c>
      <c r="K4758" s="343" t="s">
        <v>770</v>
      </c>
      <c r="L4758" s="344">
        <v>44168</v>
      </c>
      <c r="M4758" s="347">
        <v>0</v>
      </c>
    </row>
    <row r="4759" spans="1:13" hidden="1" x14ac:dyDescent="0.25">
      <c r="A4759" s="344">
        <v>44187</v>
      </c>
      <c r="B4759" s="343" t="s">
        <v>1966</v>
      </c>
      <c r="C4759" s="343" t="s">
        <v>1059</v>
      </c>
      <c r="D4759" s="345">
        <v>6</v>
      </c>
      <c r="E4759" s="346">
        <v>-195.65</v>
      </c>
      <c r="F4759" s="346">
        <v>17652.640000000101</v>
      </c>
      <c r="G4759" s="343" t="s">
        <v>1967</v>
      </c>
      <c r="H4759" s="343" t="s">
        <v>2262</v>
      </c>
      <c r="I4759" s="343" t="s">
        <v>1880</v>
      </c>
      <c r="J4759" s="343" t="s">
        <v>757</v>
      </c>
      <c r="K4759" s="343" t="s">
        <v>741</v>
      </c>
      <c r="L4759" s="344">
        <v>44187</v>
      </c>
      <c r="M4759" s="347">
        <v>0</v>
      </c>
    </row>
    <row r="4760" spans="1:13" hidden="1" x14ac:dyDescent="0.25">
      <c r="A4760" s="344">
        <v>44196</v>
      </c>
      <c r="B4760" s="343" t="s">
        <v>1910</v>
      </c>
      <c r="C4760" s="343" t="s">
        <v>1060</v>
      </c>
      <c r="D4760" s="345">
        <v>6</v>
      </c>
      <c r="E4760" s="346">
        <v>172.73</v>
      </c>
      <c r="F4760" s="346">
        <v>17825.370000000101</v>
      </c>
      <c r="G4760" s="343" t="s">
        <v>2252</v>
      </c>
      <c r="H4760" s="343" t="s">
        <v>2262</v>
      </c>
      <c r="I4760" s="343" t="s">
        <v>1880</v>
      </c>
      <c r="J4760" s="343" t="s">
        <v>757</v>
      </c>
      <c r="K4760" s="343" t="s">
        <v>741</v>
      </c>
      <c r="L4760" s="344">
        <v>44196</v>
      </c>
      <c r="M4760" s="347">
        <v>0</v>
      </c>
    </row>
    <row r="4761" spans="1:13" hidden="1" x14ac:dyDescent="0.25">
      <c r="A4761" s="344">
        <v>44196</v>
      </c>
      <c r="B4761" s="343" t="s">
        <v>1910</v>
      </c>
      <c r="C4761" s="343" t="s">
        <v>1060</v>
      </c>
      <c r="D4761" s="345">
        <v>7</v>
      </c>
      <c r="E4761" s="346">
        <v>-172.73</v>
      </c>
      <c r="F4761" s="346">
        <v>17652.640000000101</v>
      </c>
      <c r="G4761" s="343" t="s">
        <v>2252</v>
      </c>
      <c r="H4761" s="343" t="s">
        <v>2262</v>
      </c>
      <c r="I4761" s="343" t="s">
        <v>1880</v>
      </c>
      <c r="J4761" s="343" t="s">
        <v>757</v>
      </c>
      <c r="K4761" s="343" t="s">
        <v>741</v>
      </c>
      <c r="L4761" s="344">
        <v>44196</v>
      </c>
      <c r="M4761" s="347">
        <v>0</v>
      </c>
    </row>
    <row r="4762" spans="1:13" hidden="1" x14ac:dyDescent="0.25">
      <c r="A4762" s="344">
        <v>44203</v>
      </c>
      <c r="B4762" s="343" t="s">
        <v>1970</v>
      </c>
      <c r="C4762" s="343" t="s">
        <v>1059</v>
      </c>
      <c r="D4762" s="345">
        <v>7</v>
      </c>
      <c r="E4762" s="346">
        <v>-172.9</v>
      </c>
      <c r="F4762" s="346">
        <v>17479.7400000001</v>
      </c>
      <c r="G4762" s="343" t="s">
        <v>1971</v>
      </c>
      <c r="H4762" s="343" t="s">
        <v>2262</v>
      </c>
      <c r="I4762" s="343" t="s">
        <v>1880</v>
      </c>
      <c r="J4762" s="343" t="s">
        <v>757</v>
      </c>
      <c r="K4762" s="343" t="s">
        <v>741</v>
      </c>
      <c r="L4762" s="344">
        <v>44203</v>
      </c>
      <c r="M4762" s="347">
        <v>0</v>
      </c>
    </row>
    <row r="4763" spans="1:13" hidden="1" x14ac:dyDescent="0.25">
      <c r="A4763" s="344">
        <v>44208</v>
      </c>
      <c r="B4763" s="343" t="s">
        <v>2253</v>
      </c>
      <c r="C4763" s="343" t="s">
        <v>769</v>
      </c>
      <c r="D4763" s="345">
        <v>7</v>
      </c>
      <c r="E4763" s="346">
        <v>195.45</v>
      </c>
      <c r="F4763" s="346">
        <v>17675.190000000101</v>
      </c>
      <c r="G4763" s="343" t="s">
        <v>2254</v>
      </c>
      <c r="H4763" s="343" t="s">
        <v>2262</v>
      </c>
      <c r="I4763" s="343" t="s">
        <v>1880</v>
      </c>
      <c r="J4763" s="343" t="s">
        <v>757</v>
      </c>
      <c r="K4763" s="343" t="s">
        <v>770</v>
      </c>
      <c r="L4763" s="344">
        <v>44208</v>
      </c>
      <c r="M4763" s="347">
        <v>0</v>
      </c>
    </row>
    <row r="4764" spans="1:13" hidden="1" x14ac:dyDescent="0.25">
      <c r="A4764" s="344">
        <v>44218</v>
      </c>
      <c r="B4764" s="343" t="s">
        <v>1972</v>
      </c>
      <c r="C4764" s="343" t="s">
        <v>1059</v>
      </c>
      <c r="D4764" s="345">
        <v>7</v>
      </c>
      <c r="E4764" s="346">
        <v>-204.75</v>
      </c>
      <c r="F4764" s="346">
        <v>17470.440000000101</v>
      </c>
      <c r="G4764" s="343" t="s">
        <v>1973</v>
      </c>
      <c r="H4764" s="343" t="s">
        <v>2262</v>
      </c>
      <c r="I4764" s="343" t="s">
        <v>1880</v>
      </c>
      <c r="J4764" s="343" t="s">
        <v>757</v>
      </c>
      <c r="K4764" s="343" t="s">
        <v>741</v>
      </c>
      <c r="L4764" s="344">
        <v>44218</v>
      </c>
      <c r="M4764" s="347">
        <v>0</v>
      </c>
    </row>
    <row r="4765" spans="1:13" hidden="1" x14ac:dyDescent="0.25">
      <c r="A4765" s="344">
        <v>44227</v>
      </c>
      <c r="B4765" s="343" t="s">
        <v>2009</v>
      </c>
      <c r="C4765" s="343" t="s">
        <v>1060</v>
      </c>
      <c r="D4765" s="345">
        <v>7</v>
      </c>
      <c r="E4765" s="346">
        <v>195.45</v>
      </c>
      <c r="F4765" s="346">
        <v>17665.890000000101</v>
      </c>
      <c r="G4765" s="343" t="s">
        <v>2255</v>
      </c>
      <c r="H4765" s="343" t="s">
        <v>2262</v>
      </c>
      <c r="I4765" s="343" t="s">
        <v>1880</v>
      </c>
      <c r="J4765" s="343" t="s">
        <v>757</v>
      </c>
      <c r="K4765" s="343" t="s">
        <v>741</v>
      </c>
      <c r="L4765" s="344">
        <v>44227</v>
      </c>
      <c r="M4765" s="347">
        <v>0</v>
      </c>
    </row>
    <row r="4766" spans="1:13" hidden="1" x14ac:dyDescent="0.25">
      <c r="A4766" s="344">
        <v>44227</v>
      </c>
      <c r="B4766" s="343" t="s">
        <v>1974</v>
      </c>
      <c r="C4766" s="343" t="s">
        <v>1059</v>
      </c>
      <c r="D4766" s="345">
        <v>8</v>
      </c>
      <c r="E4766" s="346">
        <v>-195.65</v>
      </c>
      <c r="F4766" s="346">
        <v>17470.2400000001</v>
      </c>
      <c r="G4766" s="343" t="s">
        <v>1975</v>
      </c>
      <c r="H4766" s="343" t="s">
        <v>2262</v>
      </c>
      <c r="I4766" s="343" t="s">
        <v>1880</v>
      </c>
      <c r="J4766" s="343" t="s">
        <v>757</v>
      </c>
      <c r="K4766" s="343" t="s">
        <v>741</v>
      </c>
      <c r="L4766" s="344">
        <v>44227</v>
      </c>
      <c r="M4766" s="347">
        <v>0</v>
      </c>
    </row>
    <row r="4767" spans="1:13" hidden="1" x14ac:dyDescent="0.25">
      <c r="A4767" s="344">
        <v>44227</v>
      </c>
      <c r="B4767" s="343" t="s">
        <v>2009</v>
      </c>
      <c r="C4767" s="343" t="s">
        <v>1060</v>
      </c>
      <c r="D4767" s="345">
        <v>8</v>
      </c>
      <c r="E4767" s="346">
        <v>-195.45</v>
      </c>
      <c r="F4767" s="346">
        <v>17274.790000000099</v>
      </c>
      <c r="G4767" s="343" t="s">
        <v>2255</v>
      </c>
      <c r="H4767" s="343" t="s">
        <v>2262</v>
      </c>
      <c r="I4767" s="343" t="s">
        <v>1880</v>
      </c>
      <c r="J4767" s="343" t="s">
        <v>757</v>
      </c>
      <c r="K4767" s="343" t="s">
        <v>741</v>
      </c>
      <c r="L4767" s="344">
        <v>44227</v>
      </c>
      <c r="M4767" s="347">
        <v>0</v>
      </c>
    </row>
    <row r="4768" spans="1:13" hidden="1" x14ac:dyDescent="0.25">
      <c r="A4768" s="344">
        <v>44237</v>
      </c>
      <c r="B4768" s="343" t="s">
        <v>2256</v>
      </c>
      <c r="C4768" s="343" t="s">
        <v>769</v>
      </c>
      <c r="D4768" s="345">
        <v>8</v>
      </c>
      <c r="E4768" s="346">
        <v>213.64</v>
      </c>
      <c r="F4768" s="346">
        <v>17488.430000000099</v>
      </c>
      <c r="G4768" s="343" t="s">
        <v>2257</v>
      </c>
      <c r="H4768" s="343" t="s">
        <v>2262</v>
      </c>
      <c r="I4768" s="343" t="s">
        <v>1880</v>
      </c>
      <c r="J4768" s="343" t="s">
        <v>757</v>
      </c>
      <c r="K4768" s="343" t="s">
        <v>770</v>
      </c>
      <c r="L4768" s="344">
        <v>44237</v>
      </c>
      <c r="M4768" s="347">
        <v>0</v>
      </c>
    </row>
    <row r="4769" spans="1:13" hidden="1" x14ac:dyDescent="0.25">
      <c r="A4769" s="344">
        <v>44244</v>
      </c>
      <c r="B4769" s="343" t="s">
        <v>1978</v>
      </c>
      <c r="C4769" s="343" t="s">
        <v>1059</v>
      </c>
      <c r="D4769" s="345">
        <v>8</v>
      </c>
      <c r="E4769" s="346">
        <v>-186.55</v>
      </c>
      <c r="F4769" s="346">
        <v>17301.880000000099</v>
      </c>
      <c r="G4769" s="343" t="s">
        <v>1979</v>
      </c>
      <c r="H4769" s="343" t="s">
        <v>2262</v>
      </c>
      <c r="I4769" s="343" t="s">
        <v>1880</v>
      </c>
      <c r="J4769" s="343" t="s">
        <v>757</v>
      </c>
      <c r="K4769" s="343" t="s">
        <v>741</v>
      </c>
      <c r="L4769" s="344">
        <v>44244</v>
      </c>
      <c r="M4769" s="347">
        <v>0</v>
      </c>
    </row>
    <row r="4770" spans="1:13" hidden="1" x14ac:dyDescent="0.25">
      <c r="A4770" s="344">
        <v>44255</v>
      </c>
      <c r="B4770" s="343" t="s">
        <v>2073</v>
      </c>
      <c r="C4770" s="343" t="s">
        <v>1060</v>
      </c>
      <c r="D4770" s="345">
        <v>8</v>
      </c>
      <c r="E4770" s="346">
        <v>213.64</v>
      </c>
      <c r="F4770" s="346">
        <v>17515.520000000099</v>
      </c>
      <c r="G4770" s="343" t="s">
        <v>2258</v>
      </c>
      <c r="H4770" s="343" t="s">
        <v>2262</v>
      </c>
      <c r="I4770" s="343" t="s">
        <v>1880</v>
      </c>
      <c r="J4770" s="343" t="s">
        <v>757</v>
      </c>
      <c r="K4770" s="343" t="s">
        <v>741</v>
      </c>
      <c r="L4770" s="344">
        <v>44255</v>
      </c>
      <c r="M4770" s="347">
        <v>0</v>
      </c>
    </row>
    <row r="4771" spans="1:13" hidden="1" x14ac:dyDescent="0.25">
      <c r="A4771" s="344">
        <v>44255</v>
      </c>
      <c r="B4771" s="343" t="s">
        <v>2073</v>
      </c>
      <c r="C4771" s="343" t="s">
        <v>1060</v>
      </c>
      <c r="D4771" s="345">
        <v>9</v>
      </c>
      <c r="E4771" s="346">
        <v>-213.64</v>
      </c>
      <c r="F4771" s="346">
        <v>17301.880000000099</v>
      </c>
      <c r="G4771" s="343" t="s">
        <v>2258</v>
      </c>
      <c r="H4771" s="343" t="s">
        <v>2262</v>
      </c>
      <c r="I4771" s="343" t="s">
        <v>1880</v>
      </c>
      <c r="J4771" s="343" t="s">
        <v>757</v>
      </c>
      <c r="K4771" s="343" t="s">
        <v>741</v>
      </c>
      <c r="L4771" s="344">
        <v>44255</v>
      </c>
      <c r="M4771" s="347">
        <v>0</v>
      </c>
    </row>
    <row r="4772" spans="1:13" hidden="1" x14ac:dyDescent="0.25">
      <c r="A4772" s="344">
        <v>44259</v>
      </c>
      <c r="B4772" s="343" t="s">
        <v>1939</v>
      </c>
      <c r="C4772" s="343" t="s">
        <v>1059</v>
      </c>
      <c r="D4772" s="345">
        <v>9</v>
      </c>
      <c r="E4772" s="346">
        <v>-122.85</v>
      </c>
      <c r="F4772" s="346">
        <v>17179.030000000101</v>
      </c>
      <c r="G4772" s="343" t="s">
        <v>1940</v>
      </c>
      <c r="H4772" s="343" t="s">
        <v>2262</v>
      </c>
      <c r="I4772" s="343" t="s">
        <v>1880</v>
      </c>
      <c r="J4772" s="343" t="s">
        <v>757</v>
      </c>
      <c r="K4772" s="343" t="s">
        <v>741</v>
      </c>
      <c r="L4772" s="344">
        <v>44259</v>
      </c>
      <c r="M4772" s="347">
        <v>0</v>
      </c>
    </row>
    <row r="4773" spans="1:13" hidden="1" x14ac:dyDescent="0.25">
      <c r="A4773" s="344">
        <v>44265</v>
      </c>
      <c r="B4773" s="343" t="s">
        <v>2259</v>
      </c>
      <c r="C4773" s="343" t="s">
        <v>769</v>
      </c>
      <c r="D4773" s="345">
        <v>9</v>
      </c>
      <c r="E4773" s="346">
        <v>154.55000000000001</v>
      </c>
      <c r="F4773" s="346">
        <v>17333.5800000001</v>
      </c>
      <c r="G4773" s="343" t="s">
        <v>2260</v>
      </c>
      <c r="H4773" s="343" t="s">
        <v>2262</v>
      </c>
      <c r="I4773" s="343" t="s">
        <v>1880</v>
      </c>
      <c r="J4773" s="343" t="s">
        <v>757</v>
      </c>
      <c r="K4773" s="343" t="s">
        <v>770</v>
      </c>
      <c r="L4773" s="344">
        <v>44265</v>
      </c>
      <c r="M4773" s="347">
        <v>0</v>
      </c>
    </row>
    <row r="4774" spans="1:13" hidden="1" x14ac:dyDescent="0.25">
      <c r="A4774" s="344">
        <v>44272</v>
      </c>
      <c r="B4774" s="343" t="s">
        <v>1982</v>
      </c>
      <c r="C4774" s="343" t="s">
        <v>1059</v>
      </c>
      <c r="D4774" s="345">
        <v>9</v>
      </c>
      <c r="E4774" s="346">
        <v>-159.25</v>
      </c>
      <c r="F4774" s="346">
        <v>17174.3300000001</v>
      </c>
      <c r="G4774" s="343" t="s">
        <v>1983</v>
      </c>
      <c r="H4774" s="343" t="s">
        <v>2262</v>
      </c>
      <c r="I4774" s="343" t="s">
        <v>1880</v>
      </c>
      <c r="J4774" s="343" t="s">
        <v>757</v>
      </c>
      <c r="K4774" s="343" t="s">
        <v>741</v>
      </c>
      <c r="L4774" s="344">
        <v>44272</v>
      </c>
      <c r="M4774" s="347">
        <v>0</v>
      </c>
    </row>
    <row r="4775" spans="1:13" hidden="1" x14ac:dyDescent="0.25">
      <c r="A4775" s="344">
        <v>44286</v>
      </c>
      <c r="B4775" s="343" t="s">
        <v>1918</v>
      </c>
      <c r="C4775" s="343" t="s">
        <v>1059</v>
      </c>
      <c r="D4775" s="345">
        <v>9</v>
      </c>
      <c r="E4775" s="346">
        <v>-213.85</v>
      </c>
      <c r="F4775" s="346">
        <v>16960.480000000101</v>
      </c>
      <c r="G4775" s="343" t="s">
        <v>1919</v>
      </c>
      <c r="H4775" s="343" t="s">
        <v>2262</v>
      </c>
      <c r="I4775" s="343" t="s">
        <v>1880</v>
      </c>
      <c r="J4775" s="343" t="s">
        <v>757</v>
      </c>
      <c r="K4775" s="343" t="s">
        <v>741</v>
      </c>
      <c r="L4775" s="344">
        <v>44286</v>
      </c>
      <c r="M4775" s="347">
        <v>0</v>
      </c>
    </row>
    <row r="4776" spans="1:13" hidden="1" x14ac:dyDescent="0.25">
      <c r="A4776" s="344">
        <v>44286</v>
      </c>
      <c r="B4776" s="343" t="s">
        <v>2060</v>
      </c>
      <c r="C4776" s="343" t="s">
        <v>1060</v>
      </c>
      <c r="D4776" s="345">
        <v>9</v>
      </c>
      <c r="E4776" s="346">
        <v>154.55000000000001</v>
      </c>
      <c r="F4776" s="346">
        <v>17115.030000000101</v>
      </c>
      <c r="G4776" s="343" t="s">
        <v>2261</v>
      </c>
      <c r="H4776" s="343" t="s">
        <v>2262</v>
      </c>
      <c r="I4776" s="343" t="s">
        <v>1880</v>
      </c>
      <c r="J4776" s="343" t="s">
        <v>757</v>
      </c>
      <c r="K4776" s="343" t="s">
        <v>741</v>
      </c>
      <c r="L4776" s="344">
        <v>44286</v>
      </c>
      <c r="M4776" s="347">
        <v>0</v>
      </c>
    </row>
    <row r="4777" spans="1:13" hidden="1" x14ac:dyDescent="0.25">
      <c r="A4777" s="344">
        <v>44286</v>
      </c>
      <c r="B4777" s="343" t="s">
        <v>2060</v>
      </c>
      <c r="C4777" s="343" t="s">
        <v>1060</v>
      </c>
      <c r="D4777" s="345">
        <v>10</v>
      </c>
      <c r="E4777" s="346">
        <v>-154.55000000000001</v>
      </c>
      <c r="F4777" s="346">
        <v>16960.480000000101</v>
      </c>
      <c r="G4777" s="343" t="s">
        <v>2261</v>
      </c>
      <c r="H4777" s="343" t="s">
        <v>2262</v>
      </c>
      <c r="I4777" s="343" t="s">
        <v>1880</v>
      </c>
      <c r="J4777" s="343" t="s">
        <v>757</v>
      </c>
      <c r="K4777" s="343" t="s">
        <v>741</v>
      </c>
      <c r="L4777" s="344">
        <v>44286</v>
      </c>
      <c r="M4777" s="347">
        <v>0</v>
      </c>
    </row>
    <row r="4778" spans="1:13" hidden="1" x14ac:dyDescent="0.25">
      <c r="A4778" s="344">
        <v>44293</v>
      </c>
      <c r="B4778" s="343" t="s">
        <v>1991</v>
      </c>
      <c r="C4778" s="343" t="s">
        <v>769</v>
      </c>
      <c r="D4778" s="345">
        <v>10</v>
      </c>
      <c r="E4778" s="346">
        <v>81.819999999999993</v>
      </c>
      <c r="F4778" s="346">
        <v>17042.300000000101</v>
      </c>
      <c r="G4778" s="343" t="s">
        <v>1992</v>
      </c>
      <c r="H4778" s="343" t="s">
        <v>2262</v>
      </c>
      <c r="I4778" s="343" t="s">
        <v>1880</v>
      </c>
      <c r="J4778" s="343" t="s">
        <v>757</v>
      </c>
      <c r="K4778" s="343" t="s">
        <v>770</v>
      </c>
      <c r="L4778" s="344">
        <v>44293</v>
      </c>
      <c r="M4778" s="347">
        <v>0</v>
      </c>
    </row>
    <row r="4779" spans="1:13" hidden="1" x14ac:dyDescent="0.25">
      <c r="A4779" s="344">
        <v>44293</v>
      </c>
      <c r="B4779" s="343" t="s">
        <v>1991</v>
      </c>
      <c r="C4779" s="343" t="s">
        <v>769</v>
      </c>
      <c r="D4779" s="345">
        <v>10</v>
      </c>
      <c r="E4779" s="346">
        <v>13.64</v>
      </c>
      <c r="F4779" s="346">
        <v>17055.940000000101</v>
      </c>
      <c r="G4779" s="343" t="s">
        <v>1992</v>
      </c>
      <c r="H4779" s="343" t="s">
        <v>2262</v>
      </c>
      <c r="I4779" s="343" t="s">
        <v>1880</v>
      </c>
      <c r="J4779" s="343" t="s">
        <v>757</v>
      </c>
      <c r="K4779" s="343" t="s">
        <v>770</v>
      </c>
      <c r="L4779" s="344">
        <v>44293</v>
      </c>
      <c r="M4779" s="347">
        <v>0</v>
      </c>
    </row>
    <row r="4780" spans="1:13" hidden="1" x14ac:dyDescent="0.25">
      <c r="A4780" s="344">
        <v>44293</v>
      </c>
      <c r="B4780" s="343" t="s">
        <v>1991</v>
      </c>
      <c r="C4780" s="343" t="s">
        <v>769</v>
      </c>
      <c r="D4780" s="345">
        <v>10</v>
      </c>
      <c r="E4780" s="346">
        <v>81.819999999999993</v>
      </c>
      <c r="F4780" s="346">
        <v>17137.7600000001</v>
      </c>
      <c r="G4780" s="343" t="s">
        <v>1992</v>
      </c>
      <c r="H4780" s="343" t="s">
        <v>2262</v>
      </c>
      <c r="I4780" s="343" t="s">
        <v>1880</v>
      </c>
      <c r="J4780" s="343" t="s">
        <v>757</v>
      </c>
      <c r="K4780" s="343" t="s">
        <v>770</v>
      </c>
      <c r="L4780" s="344">
        <v>44293</v>
      </c>
      <c r="M4780" s="347">
        <v>0</v>
      </c>
    </row>
    <row r="4781" spans="1:13" hidden="1" x14ac:dyDescent="0.25">
      <c r="A4781" s="344">
        <v>44301</v>
      </c>
      <c r="B4781" s="343" t="s">
        <v>1889</v>
      </c>
      <c r="C4781" s="343" t="s">
        <v>1059</v>
      </c>
      <c r="D4781" s="345">
        <v>10</v>
      </c>
      <c r="E4781" s="346">
        <v>-204.75</v>
      </c>
      <c r="F4781" s="346">
        <v>16933.0100000001</v>
      </c>
      <c r="G4781" s="343" t="s">
        <v>1890</v>
      </c>
      <c r="H4781" s="343" t="s">
        <v>2262</v>
      </c>
      <c r="I4781" s="343" t="s">
        <v>1880</v>
      </c>
      <c r="J4781" s="343" t="s">
        <v>757</v>
      </c>
      <c r="K4781" s="343" t="s">
        <v>741</v>
      </c>
      <c r="L4781" s="344">
        <v>44301</v>
      </c>
      <c r="M4781" s="347">
        <v>0</v>
      </c>
    </row>
    <row r="4782" spans="1:13" hidden="1" x14ac:dyDescent="0.25">
      <c r="A4782" s="344">
        <v>44315</v>
      </c>
      <c r="B4782" s="343" t="s">
        <v>1920</v>
      </c>
      <c r="C4782" s="343" t="s">
        <v>1059</v>
      </c>
      <c r="D4782" s="345">
        <v>10</v>
      </c>
      <c r="E4782" s="346">
        <v>-177.45</v>
      </c>
      <c r="F4782" s="346">
        <v>16755.5600000001</v>
      </c>
      <c r="G4782" s="343" t="s">
        <v>1921</v>
      </c>
      <c r="H4782" s="343" t="s">
        <v>2262</v>
      </c>
      <c r="I4782" s="343" t="s">
        <v>1880</v>
      </c>
      <c r="J4782" s="343" t="s">
        <v>757</v>
      </c>
      <c r="K4782" s="343" t="s">
        <v>741</v>
      </c>
      <c r="L4782" s="344">
        <v>44315</v>
      </c>
      <c r="M4782" s="347">
        <v>0</v>
      </c>
    </row>
    <row r="4783" spans="1:13" hidden="1" x14ac:dyDescent="0.25">
      <c r="A4783" s="344">
        <v>44316</v>
      </c>
      <c r="B4783" s="343" t="s">
        <v>1078</v>
      </c>
      <c r="C4783" s="343" t="s">
        <v>1060</v>
      </c>
      <c r="D4783" s="345">
        <v>10</v>
      </c>
      <c r="E4783" s="346">
        <v>177.27</v>
      </c>
      <c r="F4783" s="346">
        <v>16932.8300000001</v>
      </c>
      <c r="G4783" s="343" t="s">
        <v>1076</v>
      </c>
      <c r="H4783" s="343" t="s">
        <v>2262</v>
      </c>
      <c r="I4783" s="343" t="s">
        <v>1880</v>
      </c>
      <c r="J4783" s="343" t="s">
        <v>757</v>
      </c>
      <c r="K4783" s="343" t="s">
        <v>741</v>
      </c>
      <c r="L4783" s="344">
        <v>44316</v>
      </c>
      <c r="M4783" s="347">
        <v>0</v>
      </c>
    </row>
    <row r="4784" spans="1:13" hidden="1" x14ac:dyDescent="0.25">
      <c r="A4784" s="344">
        <v>44327</v>
      </c>
      <c r="B4784" s="343" t="s">
        <v>1924</v>
      </c>
      <c r="C4784" s="343" t="s">
        <v>1059</v>
      </c>
      <c r="D4784" s="345">
        <v>10</v>
      </c>
      <c r="E4784" s="346">
        <v>-204.75</v>
      </c>
      <c r="F4784" s="346">
        <v>16728.0800000001</v>
      </c>
      <c r="G4784" s="343" t="s">
        <v>1923</v>
      </c>
      <c r="H4784" s="343" t="s">
        <v>2262</v>
      </c>
      <c r="I4784" s="343" t="s">
        <v>1880</v>
      </c>
      <c r="J4784" s="343" t="s">
        <v>757</v>
      </c>
      <c r="K4784" s="343" t="s">
        <v>741</v>
      </c>
      <c r="L4784" s="344">
        <v>44327</v>
      </c>
      <c r="M4784" s="347">
        <v>0</v>
      </c>
    </row>
    <row r="4785" spans="1:13" hidden="1" x14ac:dyDescent="0.25">
      <c r="A4785" s="344">
        <v>44327</v>
      </c>
      <c r="B4785" s="343" t="s">
        <v>1922</v>
      </c>
      <c r="C4785" s="343" t="s">
        <v>1059</v>
      </c>
      <c r="D4785" s="345">
        <v>10</v>
      </c>
      <c r="E4785" s="346">
        <v>204.75</v>
      </c>
      <c r="F4785" s="346">
        <v>16932.8300000001</v>
      </c>
      <c r="G4785" s="343" t="s">
        <v>1923</v>
      </c>
      <c r="H4785" s="343" t="s">
        <v>2262</v>
      </c>
      <c r="I4785" s="343" t="s">
        <v>1880</v>
      </c>
      <c r="J4785" s="343" t="s">
        <v>757</v>
      </c>
      <c r="K4785" s="343" t="s">
        <v>741</v>
      </c>
      <c r="L4785" s="344">
        <v>44327</v>
      </c>
      <c r="M4785" s="347">
        <v>0</v>
      </c>
    </row>
    <row r="4786" spans="1:13" hidden="1" x14ac:dyDescent="0.25">
      <c r="A4786" s="344">
        <v>43983</v>
      </c>
      <c r="B4786" s="343" t="s">
        <v>2263</v>
      </c>
      <c r="C4786" s="343" t="s">
        <v>769</v>
      </c>
      <c r="D4786" s="345">
        <v>1</v>
      </c>
      <c r="E4786" s="346">
        <v>211</v>
      </c>
      <c r="F4786" s="346">
        <v>16952.720000000099</v>
      </c>
      <c r="G4786" s="343" t="s">
        <v>2264</v>
      </c>
      <c r="H4786" s="343" t="s">
        <v>2265</v>
      </c>
      <c r="I4786" s="343" t="s">
        <v>1880</v>
      </c>
      <c r="J4786" s="343" t="s">
        <v>757</v>
      </c>
      <c r="K4786" s="343" t="s">
        <v>770</v>
      </c>
      <c r="L4786" s="344">
        <v>43983</v>
      </c>
      <c r="M4786" s="347">
        <v>0</v>
      </c>
    </row>
    <row r="4787" spans="1:13" hidden="1" x14ac:dyDescent="0.25">
      <c r="A4787" s="344">
        <v>44043</v>
      </c>
      <c r="B4787" s="343" t="s">
        <v>2266</v>
      </c>
      <c r="C4787" s="343" t="s">
        <v>1060</v>
      </c>
      <c r="D4787" s="345">
        <v>1</v>
      </c>
      <c r="E4787" s="346">
        <v>-211</v>
      </c>
      <c r="F4787" s="346">
        <v>16741.720000000099</v>
      </c>
      <c r="G4787" s="343" t="s">
        <v>2267</v>
      </c>
      <c r="H4787" s="343" t="s">
        <v>2265</v>
      </c>
      <c r="I4787" s="343" t="s">
        <v>1880</v>
      </c>
      <c r="J4787" s="343" t="s">
        <v>757</v>
      </c>
      <c r="K4787" s="343" t="s">
        <v>741</v>
      </c>
      <c r="L4787" s="344">
        <v>44043</v>
      </c>
      <c r="M4787" s="347">
        <v>0</v>
      </c>
    </row>
    <row r="4788" spans="1:13" hidden="1" x14ac:dyDescent="0.25">
      <c r="A4788" s="344">
        <v>44013</v>
      </c>
      <c r="B4788" s="343" t="s">
        <v>2268</v>
      </c>
      <c r="C4788" s="343" t="s">
        <v>769</v>
      </c>
      <c r="D4788" s="345">
        <v>2</v>
      </c>
      <c r="E4788" s="346">
        <v>211</v>
      </c>
      <c r="F4788" s="346">
        <v>16952.720000000099</v>
      </c>
      <c r="G4788" s="343" t="s">
        <v>2269</v>
      </c>
      <c r="H4788" s="343" t="s">
        <v>2265</v>
      </c>
      <c r="I4788" s="343" t="s">
        <v>1880</v>
      </c>
      <c r="J4788" s="343" t="s">
        <v>757</v>
      </c>
      <c r="K4788" s="343" t="s">
        <v>770</v>
      </c>
      <c r="L4788" s="344">
        <v>44013</v>
      </c>
      <c r="M4788" s="347">
        <v>0</v>
      </c>
    </row>
    <row r="4789" spans="1:13" hidden="1" x14ac:dyDescent="0.25">
      <c r="A4789" s="344">
        <v>44043</v>
      </c>
      <c r="B4789" s="343" t="s">
        <v>2266</v>
      </c>
      <c r="C4789" s="343" t="s">
        <v>1060</v>
      </c>
      <c r="D4789" s="345">
        <v>2</v>
      </c>
      <c r="E4789" s="346">
        <v>211</v>
      </c>
      <c r="F4789" s="346">
        <v>17163.720000000099</v>
      </c>
      <c r="G4789" s="343" t="s">
        <v>2267</v>
      </c>
      <c r="H4789" s="343" t="s">
        <v>2265</v>
      </c>
      <c r="I4789" s="343" t="s">
        <v>1880</v>
      </c>
      <c r="J4789" s="343" t="s">
        <v>757</v>
      </c>
      <c r="K4789" s="343" t="s">
        <v>741</v>
      </c>
      <c r="L4789" s="344">
        <v>44043</v>
      </c>
      <c r="M4789" s="347">
        <v>0</v>
      </c>
    </row>
    <row r="4790" spans="1:13" hidden="1" x14ac:dyDescent="0.25">
      <c r="A4790" s="344">
        <v>44074</v>
      </c>
      <c r="B4790" s="343" t="s">
        <v>2270</v>
      </c>
      <c r="C4790" s="343" t="s">
        <v>1060</v>
      </c>
      <c r="D4790" s="345">
        <v>2</v>
      </c>
      <c r="E4790" s="346">
        <v>-422</v>
      </c>
      <c r="F4790" s="346">
        <v>16741.720000000099</v>
      </c>
      <c r="G4790" s="343" t="s">
        <v>2271</v>
      </c>
      <c r="H4790" s="343" t="s">
        <v>2265</v>
      </c>
      <c r="I4790" s="343" t="s">
        <v>1880</v>
      </c>
      <c r="J4790" s="343" t="s">
        <v>757</v>
      </c>
      <c r="K4790" s="343" t="s">
        <v>741</v>
      </c>
      <c r="L4790" s="344">
        <v>44074</v>
      </c>
      <c r="M4790" s="347">
        <v>0</v>
      </c>
    </row>
    <row r="4791" spans="1:13" hidden="1" x14ac:dyDescent="0.25">
      <c r="A4791" s="344">
        <v>44044</v>
      </c>
      <c r="B4791" s="343" t="s">
        <v>2272</v>
      </c>
      <c r="C4791" s="343" t="s">
        <v>769</v>
      </c>
      <c r="D4791" s="345">
        <v>3</v>
      </c>
      <c r="E4791" s="346">
        <v>211</v>
      </c>
      <c r="F4791" s="346">
        <v>16952.720000000099</v>
      </c>
      <c r="G4791" s="343" t="s">
        <v>2273</v>
      </c>
      <c r="H4791" s="343" t="s">
        <v>2265</v>
      </c>
      <c r="I4791" s="343" t="s">
        <v>1880</v>
      </c>
      <c r="J4791" s="343" t="s">
        <v>757</v>
      </c>
      <c r="K4791" s="343" t="s">
        <v>770</v>
      </c>
      <c r="L4791" s="344">
        <v>44044</v>
      </c>
      <c r="M4791" s="347">
        <v>0</v>
      </c>
    </row>
    <row r="4792" spans="1:13" hidden="1" x14ac:dyDescent="0.25">
      <c r="A4792" s="344">
        <v>44074</v>
      </c>
      <c r="B4792" s="343" t="s">
        <v>2270</v>
      </c>
      <c r="C4792" s="343" t="s">
        <v>1060</v>
      </c>
      <c r="D4792" s="345">
        <v>3</v>
      </c>
      <c r="E4792" s="346">
        <v>422</v>
      </c>
      <c r="F4792" s="346">
        <v>17374.720000000099</v>
      </c>
      <c r="G4792" s="343" t="s">
        <v>2271</v>
      </c>
      <c r="H4792" s="343" t="s">
        <v>2265</v>
      </c>
      <c r="I4792" s="343" t="s">
        <v>1880</v>
      </c>
      <c r="J4792" s="343" t="s">
        <v>757</v>
      </c>
      <c r="K4792" s="343" t="s">
        <v>741</v>
      </c>
      <c r="L4792" s="344">
        <v>44074</v>
      </c>
      <c r="M4792" s="347">
        <v>0</v>
      </c>
    </row>
    <row r="4793" spans="1:13" hidden="1" x14ac:dyDescent="0.25">
      <c r="A4793" s="344">
        <v>44104</v>
      </c>
      <c r="B4793" s="343" t="s">
        <v>2274</v>
      </c>
      <c r="C4793" s="343" t="s">
        <v>1060</v>
      </c>
      <c r="D4793" s="345">
        <v>3</v>
      </c>
      <c r="E4793" s="346">
        <v>-633</v>
      </c>
      <c r="F4793" s="346">
        <v>16741.720000000099</v>
      </c>
      <c r="G4793" s="343" t="s">
        <v>2275</v>
      </c>
      <c r="H4793" s="343" t="s">
        <v>2265</v>
      </c>
      <c r="I4793" s="343" t="s">
        <v>1880</v>
      </c>
      <c r="J4793" s="343" t="s">
        <v>757</v>
      </c>
      <c r="K4793" s="343" t="s">
        <v>741</v>
      </c>
      <c r="L4793" s="344">
        <v>44104</v>
      </c>
      <c r="M4793" s="347">
        <v>0</v>
      </c>
    </row>
    <row r="4794" spans="1:13" hidden="1" x14ac:dyDescent="0.25">
      <c r="A4794" s="344">
        <v>44075</v>
      </c>
      <c r="B4794" s="343" t="s">
        <v>2276</v>
      </c>
      <c r="C4794" s="343" t="s">
        <v>769</v>
      </c>
      <c r="D4794" s="345">
        <v>4</v>
      </c>
      <c r="E4794" s="346">
        <v>211</v>
      </c>
      <c r="F4794" s="346">
        <v>16952.720000000099</v>
      </c>
      <c r="G4794" s="343" t="s">
        <v>2277</v>
      </c>
      <c r="H4794" s="343" t="s">
        <v>2265</v>
      </c>
      <c r="I4794" s="343" t="s">
        <v>1880</v>
      </c>
      <c r="J4794" s="343" t="s">
        <v>757</v>
      </c>
      <c r="K4794" s="343" t="s">
        <v>770</v>
      </c>
      <c r="L4794" s="344">
        <v>44075</v>
      </c>
      <c r="M4794" s="347">
        <v>0</v>
      </c>
    </row>
    <row r="4795" spans="1:13" hidden="1" x14ac:dyDescent="0.25">
      <c r="A4795" s="344">
        <v>44104</v>
      </c>
      <c r="B4795" s="343" t="s">
        <v>2274</v>
      </c>
      <c r="C4795" s="343" t="s">
        <v>1060</v>
      </c>
      <c r="D4795" s="345">
        <v>4</v>
      </c>
      <c r="E4795" s="346">
        <v>633</v>
      </c>
      <c r="F4795" s="346">
        <v>17585.720000000099</v>
      </c>
      <c r="G4795" s="343" t="s">
        <v>2275</v>
      </c>
      <c r="H4795" s="343" t="s">
        <v>2265</v>
      </c>
      <c r="I4795" s="343" t="s">
        <v>1880</v>
      </c>
      <c r="J4795" s="343" t="s">
        <v>757</v>
      </c>
      <c r="K4795" s="343" t="s">
        <v>741</v>
      </c>
      <c r="L4795" s="344">
        <v>44104</v>
      </c>
      <c r="M4795" s="347">
        <v>0</v>
      </c>
    </row>
    <row r="4796" spans="1:13" hidden="1" x14ac:dyDescent="0.25">
      <c r="A4796" s="344">
        <v>44105</v>
      </c>
      <c r="B4796" s="343" t="s">
        <v>2278</v>
      </c>
      <c r="C4796" s="343" t="s">
        <v>936</v>
      </c>
      <c r="D4796" s="345">
        <v>4</v>
      </c>
      <c r="E4796" s="346">
        <v>-211</v>
      </c>
      <c r="F4796" s="346">
        <v>17374.720000000099</v>
      </c>
      <c r="G4796" s="343" t="s">
        <v>2279</v>
      </c>
      <c r="H4796" s="343" t="s">
        <v>2265</v>
      </c>
      <c r="I4796" s="343" t="s">
        <v>1880</v>
      </c>
      <c r="J4796" s="343" t="s">
        <v>757</v>
      </c>
      <c r="K4796" s="343" t="s">
        <v>770</v>
      </c>
      <c r="L4796" s="344">
        <v>44105</v>
      </c>
      <c r="M4796" s="347">
        <v>0</v>
      </c>
    </row>
    <row r="4797" spans="1:13" hidden="1" x14ac:dyDescent="0.25">
      <c r="A4797" s="344">
        <v>44105</v>
      </c>
      <c r="B4797" s="343" t="s">
        <v>2280</v>
      </c>
      <c r="C4797" s="343" t="s">
        <v>936</v>
      </c>
      <c r="D4797" s="345">
        <v>4</v>
      </c>
      <c r="E4797" s="346">
        <v>-211</v>
      </c>
      <c r="F4797" s="346">
        <v>17163.720000000099</v>
      </c>
      <c r="G4797" s="343" t="s">
        <v>2281</v>
      </c>
      <c r="H4797" s="343" t="s">
        <v>2265</v>
      </c>
      <c r="I4797" s="343" t="s">
        <v>1880</v>
      </c>
      <c r="J4797" s="343" t="s">
        <v>757</v>
      </c>
      <c r="K4797" s="343" t="s">
        <v>770</v>
      </c>
      <c r="L4797" s="344">
        <v>44105</v>
      </c>
      <c r="M4797" s="347">
        <v>0</v>
      </c>
    </row>
    <row r="4798" spans="1:13" hidden="1" x14ac:dyDescent="0.25">
      <c r="A4798" s="344">
        <v>44105</v>
      </c>
      <c r="B4798" s="343" t="s">
        <v>2282</v>
      </c>
      <c r="C4798" s="343" t="s">
        <v>936</v>
      </c>
      <c r="D4798" s="345">
        <v>4</v>
      </c>
      <c r="E4798" s="346">
        <v>-211</v>
      </c>
      <c r="F4798" s="346">
        <v>16952.720000000099</v>
      </c>
      <c r="G4798" s="343" t="s">
        <v>2283</v>
      </c>
      <c r="H4798" s="343" t="s">
        <v>2265</v>
      </c>
      <c r="I4798" s="343" t="s">
        <v>1880</v>
      </c>
      <c r="J4798" s="343" t="s">
        <v>757</v>
      </c>
      <c r="K4798" s="343" t="s">
        <v>770</v>
      </c>
      <c r="L4798" s="344">
        <v>44105</v>
      </c>
      <c r="M4798" s="347">
        <v>0</v>
      </c>
    </row>
    <row r="4799" spans="1:13" hidden="1" x14ac:dyDescent="0.25">
      <c r="A4799" s="344">
        <v>44105</v>
      </c>
      <c r="B4799" s="343" t="s">
        <v>2284</v>
      </c>
      <c r="C4799" s="343" t="s">
        <v>936</v>
      </c>
      <c r="D4799" s="345">
        <v>4</v>
      </c>
      <c r="E4799" s="346">
        <v>-211</v>
      </c>
      <c r="F4799" s="346">
        <v>16741.720000000099</v>
      </c>
      <c r="G4799" s="343" t="s">
        <v>2285</v>
      </c>
      <c r="H4799" s="343" t="s">
        <v>2265</v>
      </c>
      <c r="I4799" s="343" t="s">
        <v>1880</v>
      </c>
      <c r="J4799" s="343" t="s">
        <v>757</v>
      </c>
      <c r="K4799" s="343" t="s">
        <v>770</v>
      </c>
      <c r="L4799" s="344">
        <v>44105</v>
      </c>
      <c r="M4799" s="347">
        <v>0</v>
      </c>
    </row>
    <row r="4800" spans="1:13" hidden="1" x14ac:dyDescent="0.25">
      <c r="A4800" s="344">
        <v>44105</v>
      </c>
      <c r="B4800" s="343" t="s">
        <v>2286</v>
      </c>
      <c r="C4800" s="343" t="s">
        <v>936</v>
      </c>
      <c r="D4800" s="345">
        <v>4</v>
      </c>
      <c r="E4800" s="346">
        <v>-211</v>
      </c>
      <c r="F4800" s="346">
        <v>16530.720000000099</v>
      </c>
      <c r="G4800" s="343" t="s">
        <v>2287</v>
      </c>
      <c r="H4800" s="343" t="s">
        <v>2265</v>
      </c>
      <c r="I4800" s="343" t="s">
        <v>1880</v>
      </c>
      <c r="J4800" s="343" t="s">
        <v>757</v>
      </c>
      <c r="K4800" s="343" t="s">
        <v>770</v>
      </c>
      <c r="L4800" s="344">
        <v>44105</v>
      </c>
      <c r="M4800" s="347">
        <v>0</v>
      </c>
    </row>
    <row r="4801" spans="1:13" hidden="1" x14ac:dyDescent="0.25">
      <c r="A4801" s="344">
        <v>44105</v>
      </c>
      <c r="B4801" s="343" t="s">
        <v>2288</v>
      </c>
      <c r="C4801" s="343" t="s">
        <v>936</v>
      </c>
      <c r="D4801" s="345">
        <v>4</v>
      </c>
      <c r="E4801" s="346">
        <v>-211</v>
      </c>
      <c r="F4801" s="346">
        <v>16319.720000000099</v>
      </c>
      <c r="G4801" s="343" t="s">
        <v>2289</v>
      </c>
      <c r="H4801" s="343" t="s">
        <v>2265</v>
      </c>
      <c r="I4801" s="343" t="s">
        <v>1880</v>
      </c>
      <c r="J4801" s="343" t="s">
        <v>757</v>
      </c>
      <c r="K4801" s="343" t="s">
        <v>770</v>
      </c>
      <c r="L4801" s="344">
        <v>44105</v>
      </c>
      <c r="M4801" s="347">
        <v>0</v>
      </c>
    </row>
    <row r="4802" spans="1:13" hidden="1" x14ac:dyDescent="0.25">
      <c r="A4802" s="344">
        <v>44105</v>
      </c>
      <c r="B4802" s="343" t="s">
        <v>2290</v>
      </c>
      <c r="C4802" s="343" t="s">
        <v>936</v>
      </c>
      <c r="D4802" s="345">
        <v>4</v>
      </c>
      <c r="E4802" s="346">
        <v>-211</v>
      </c>
      <c r="F4802" s="346">
        <v>16108.720000000099</v>
      </c>
      <c r="G4802" s="343" t="s">
        <v>2291</v>
      </c>
      <c r="H4802" s="343" t="s">
        <v>2265</v>
      </c>
      <c r="I4802" s="343" t="s">
        <v>1880</v>
      </c>
      <c r="J4802" s="343" t="s">
        <v>757</v>
      </c>
      <c r="K4802" s="343" t="s">
        <v>770</v>
      </c>
      <c r="L4802" s="344">
        <v>44105</v>
      </c>
      <c r="M4802" s="347">
        <v>0</v>
      </c>
    </row>
    <row r="4803" spans="1:13" hidden="1" x14ac:dyDescent="0.25">
      <c r="A4803" s="344">
        <v>43983</v>
      </c>
      <c r="B4803" s="343" t="s">
        <v>2263</v>
      </c>
      <c r="C4803" s="343" t="s">
        <v>769</v>
      </c>
      <c r="D4803" s="345">
        <v>1</v>
      </c>
      <c r="E4803" s="346">
        <v>211</v>
      </c>
      <c r="F4803" s="346">
        <v>16319.720000000099</v>
      </c>
      <c r="G4803" s="343" t="s">
        <v>2264</v>
      </c>
      <c r="H4803" s="343" t="s">
        <v>2292</v>
      </c>
      <c r="I4803" s="343" t="s">
        <v>1880</v>
      </c>
      <c r="J4803" s="343" t="s">
        <v>757</v>
      </c>
      <c r="K4803" s="343" t="s">
        <v>770</v>
      </c>
      <c r="L4803" s="344">
        <v>43983</v>
      </c>
      <c r="M4803" s="347">
        <v>0</v>
      </c>
    </row>
    <row r="4804" spans="1:13" hidden="1" x14ac:dyDescent="0.25">
      <c r="A4804" s="344">
        <v>44043</v>
      </c>
      <c r="B4804" s="343" t="s">
        <v>2266</v>
      </c>
      <c r="C4804" s="343" t="s">
        <v>1060</v>
      </c>
      <c r="D4804" s="345">
        <v>1</v>
      </c>
      <c r="E4804" s="346">
        <v>-211</v>
      </c>
      <c r="F4804" s="346">
        <v>16108.720000000099</v>
      </c>
      <c r="G4804" s="343" t="s">
        <v>2267</v>
      </c>
      <c r="H4804" s="343" t="s">
        <v>2292</v>
      </c>
      <c r="I4804" s="343" t="s">
        <v>1880</v>
      </c>
      <c r="J4804" s="343" t="s">
        <v>757</v>
      </c>
      <c r="K4804" s="343" t="s">
        <v>741</v>
      </c>
      <c r="L4804" s="344">
        <v>44043</v>
      </c>
      <c r="M4804" s="347">
        <v>0</v>
      </c>
    </row>
    <row r="4805" spans="1:13" hidden="1" x14ac:dyDescent="0.25">
      <c r="A4805" s="344">
        <v>44013</v>
      </c>
      <c r="B4805" s="343" t="s">
        <v>2268</v>
      </c>
      <c r="C4805" s="343" t="s">
        <v>769</v>
      </c>
      <c r="D4805" s="345">
        <v>2</v>
      </c>
      <c r="E4805" s="346">
        <v>211</v>
      </c>
      <c r="F4805" s="346">
        <v>16319.720000000099</v>
      </c>
      <c r="G4805" s="343" t="s">
        <v>2269</v>
      </c>
      <c r="H4805" s="343" t="s">
        <v>2292</v>
      </c>
      <c r="I4805" s="343" t="s">
        <v>1880</v>
      </c>
      <c r="J4805" s="343" t="s">
        <v>757</v>
      </c>
      <c r="K4805" s="343" t="s">
        <v>770</v>
      </c>
      <c r="L4805" s="344">
        <v>44013</v>
      </c>
      <c r="M4805" s="347">
        <v>0</v>
      </c>
    </row>
    <row r="4806" spans="1:13" hidden="1" x14ac:dyDescent="0.25">
      <c r="A4806" s="344">
        <v>44043</v>
      </c>
      <c r="B4806" s="343" t="s">
        <v>2266</v>
      </c>
      <c r="C4806" s="343" t="s">
        <v>1060</v>
      </c>
      <c r="D4806" s="345">
        <v>2</v>
      </c>
      <c r="E4806" s="346">
        <v>211</v>
      </c>
      <c r="F4806" s="346">
        <v>16530.720000000099</v>
      </c>
      <c r="G4806" s="343" t="s">
        <v>2267</v>
      </c>
      <c r="H4806" s="343" t="s">
        <v>2292</v>
      </c>
      <c r="I4806" s="343" t="s">
        <v>1880</v>
      </c>
      <c r="J4806" s="343" t="s">
        <v>757</v>
      </c>
      <c r="K4806" s="343" t="s">
        <v>741</v>
      </c>
      <c r="L4806" s="344">
        <v>44043</v>
      </c>
      <c r="M4806" s="347">
        <v>0</v>
      </c>
    </row>
    <row r="4807" spans="1:13" hidden="1" x14ac:dyDescent="0.25">
      <c r="A4807" s="344">
        <v>44074</v>
      </c>
      <c r="B4807" s="343" t="s">
        <v>2270</v>
      </c>
      <c r="C4807" s="343" t="s">
        <v>1060</v>
      </c>
      <c r="D4807" s="345">
        <v>2</v>
      </c>
      <c r="E4807" s="346">
        <v>-422</v>
      </c>
      <c r="F4807" s="346">
        <v>16108.720000000099</v>
      </c>
      <c r="G4807" s="343" t="s">
        <v>2271</v>
      </c>
      <c r="H4807" s="343" t="s">
        <v>2292</v>
      </c>
      <c r="I4807" s="343" t="s">
        <v>1880</v>
      </c>
      <c r="J4807" s="343" t="s">
        <v>757</v>
      </c>
      <c r="K4807" s="343" t="s">
        <v>741</v>
      </c>
      <c r="L4807" s="344">
        <v>44074</v>
      </c>
      <c r="M4807" s="347">
        <v>0</v>
      </c>
    </row>
    <row r="4808" spans="1:13" hidden="1" x14ac:dyDescent="0.25">
      <c r="A4808" s="344">
        <v>44044</v>
      </c>
      <c r="B4808" s="343" t="s">
        <v>2272</v>
      </c>
      <c r="C4808" s="343" t="s">
        <v>769</v>
      </c>
      <c r="D4808" s="345">
        <v>3</v>
      </c>
      <c r="E4808" s="346">
        <v>211</v>
      </c>
      <c r="F4808" s="346">
        <v>16319.720000000099</v>
      </c>
      <c r="G4808" s="343" t="s">
        <v>2273</v>
      </c>
      <c r="H4808" s="343" t="s">
        <v>2292</v>
      </c>
      <c r="I4808" s="343" t="s">
        <v>1880</v>
      </c>
      <c r="J4808" s="343" t="s">
        <v>757</v>
      </c>
      <c r="K4808" s="343" t="s">
        <v>770</v>
      </c>
      <c r="L4808" s="344">
        <v>44044</v>
      </c>
      <c r="M4808" s="347">
        <v>0</v>
      </c>
    </row>
    <row r="4809" spans="1:13" hidden="1" x14ac:dyDescent="0.25">
      <c r="A4809" s="344">
        <v>44074</v>
      </c>
      <c r="B4809" s="343" t="s">
        <v>2270</v>
      </c>
      <c r="C4809" s="343" t="s">
        <v>1060</v>
      </c>
      <c r="D4809" s="345">
        <v>3</v>
      </c>
      <c r="E4809" s="346">
        <v>422</v>
      </c>
      <c r="F4809" s="346">
        <v>16741.720000000099</v>
      </c>
      <c r="G4809" s="343" t="s">
        <v>2271</v>
      </c>
      <c r="H4809" s="343" t="s">
        <v>2292</v>
      </c>
      <c r="I4809" s="343" t="s">
        <v>1880</v>
      </c>
      <c r="J4809" s="343" t="s">
        <v>757</v>
      </c>
      <c r="K4809" s="343" t="s">
        <v>741</v>
      </c>
      <c r="L4809" s="344">
        <v>44074</v>
      </c>
      <c r="M4809" s="347">
        <v>0</v>
      </c>
    </row>
    <row r="4810" spans="1:13" hidden="1" x14ac:dyDescent="0.25">
      <c r="A4810" s="344">
        <v>44104</v>
      </c>
      <c r="B4810" s="343" t="s">
        <v>2274</v>
      </c>
      <c r="C4810" s="343" t="s">
        <v>1060</v>
      </c>
      <c r="D4810" s="345">
        <v>3</v>
      </c>
      <c r="E4810" s="346">
        <v>-633</v>
      </c>
      <c r="F4810" s="346">
        <v>16108.720000000099</v>
      </c>
      <c r="G4810" s="343" t="s">
        <v>2275</v>
      </c>
      <c r="H4810" s="343" t="s">
        <v>2292</v>
      </c>
      <c r="I4810" s="343" t="s">
        <v>1880</v>
      </c>
      <c r="J4810" s="343" t="s">
        <v>757</v>
      </c>
      <c r="K4810" s="343" t="s">
        <v>741</v>
      </c>
      <c r="L4810" s="344">
        <v>44104</v>
      </c>
      <c r="M4810" s="347">
        <v>0</v>
      </c>
    </row>
    <row r="4811" spans="1:13" hidden="1" x14ac:dyDescent="0.25">
      <c r="A4811" s="344">
        <v>44075</v>
      </c>
      <c r="B4811" s="343" t="s">
        <v>2276</v>
      </c>
      <c r="C4811" s="343" t="s">
        <v>769</v>
      </c>
      <c r="D4811" s="345">
        <v>4</v>
      </c>
      <c r="E4811" s="346">
        <v>211</v>
      </c>
      <c r="F4811" s="346">
        <v>16319.720000000099</v>
      </c>
      <c r="G4811" s="343" t="s">
        <v>2277</v>
      </c>
      <c r="H4811" s="343" t="s">
        <v>2292</v>
      </c>
      <c r="I4811" s="343" t="s">
        <v>1880</v>
      </c>
      <c r="J4811" s="343" t="s">
        <v>757</v>
      </c>
      <c r="K4811" s="343" t="s">
        <v>770</v>
      </c>
      <c r="L4811" s="344">
        <v>44075</v>
      </c>
      <c r="M4811" s="347">
        <v>0</v>
      </c>
    </row>
    <row r="4812" spans="1:13" hidden="1" x14ac:dyDescent="0.25">
      <c r="A4812" s="344">
        <v>44104</v>
      </c>
      <c r="B4812" s="343" t="s">
        <v>2274</v>
      </c>
      <c r="C4812" s="343" t="s">
        <v>1060</v>
      </c>
      <c r="D4812" s="345">
        <v>4</v>
      </c>
      <c r="E4812" s="346">
        <v>633</v>
      </c>
      <c r="F4812" s="346">
        <v>16952.720000000099</v>
      </c>
      <c r="G4812" s="343" t="s">
        <v>2275</v>
      </c>
      <c r="H4812" s="343" t="s">
        <v>2292</v>
      </c>
      <c r="I4812" s="343" t="s">
        <v>1880</v>
      </c>
      <c r="J4812" s="343" t="s">
        <v>757</v>
      </c>
      <c r="K4812" s="343" t="s">
        <v>741</v>
      </c>
      <c r="L4812" s="344">
        <v>44104</v>
      </c>
      <c r="M4812" s="347">
        <v>0</v>
      </c>
    </row>
    <row r="4813" spans="1:13" hidden="1" x14ac:dyDescent="0.25">
      <c r="A4813" s="344">
        <v>44105</v>
      </c>
      <c r="B4813" s="343" t="s">
        <v>2282</v>
      </c>
      <c r="C4813" s="343" t="s">
        <v>936</v>
      </c>
      <c r="D4813" s="345">
        <v>4</v>
      </c>
      <c r="E4813" s="346">
        <v>-211</v>
      </c>
      <c r="F4813" s="346">
        <v>16741.720000000099</v>
      </c>
      <c r="G4813" s="343" t="s">
        <v>2283</v>
      </c>
      <c r="H4813" s="343" t="s">
        <v>2292</v>
      </c>
      <c r="I4813" s="343" t="s">
        <v>1880</v>
      </c>
      <c r="J4813" s="343" t="s">
        <v>757</v>
      </c>
      <c r="K4813" s="343" t="s">
        <v>770</v>
      </c>
      <c r="L4813" s="344">
        <v>44105</v>
      </c>
      <c r="M4813" s="347">
        <v>0</v>
      </c>
    </row>
    <row r="4814" spans="1:13" hidden="1" x14ac:dyDescent="0.25">
      <c r="A4814" s="344">
        <v>44105</v>
      </c>
      <c r="B4814" s="343" t="s">
        <v>2284</v>
      </c>
      <c r="C4814" s="343" t="s">
        <v>936</v>
      </c>
      <c r="D4814" s="345">
        <v>4</v>
      </c>
      <c r="E4814" s="346">
        <v>-211</v>
      </c>
      <c r="F4814" s="346">
        <v>16530.720000000099</v>
      </c>
      <c r="G4814" s="343" t="s">
        <v>2285</v>
      </c>
      <c r="H4814" s="343" t="s">
        <v>2292</v>
      </c>
      <c r="I4814" s="343" t="s">
        <v>1880</v>
      </c>
      <c r="J4814" s="343" t="s">
        <v>757</v>
      </c>
      <c r="K4814" s="343" t="s">
        <v>770</v>
      </c>
      <c r="L4814" s="344">
        <v>44105</v>
      </c>
      <c r="M4814" s="347">
        <v>0</v>
      </c>
    </row>
    <row r="4815" spans="1:13" hidden="1" x14ac:dyDescent="0.25">
      <c r="A4815" s="344">
        <v>44105</v>
      </c>
      <c r="B4815" s="343" t="s">
        <v>2286</v>
      </c>
      <c r="C4815" s="343" t="s">
        <v>936</v>
      </c>
      <c r="D4815" s="345">
        <v>4</v>
      </c>
      <c r="E4815" s="346">
        <v>-211</v>
      </c>
      <c r="F4815" s="346">
        <v>16319.720000000099</v>
      </c>
      <c r="G4815" s="343" t="s">
        <v>2287</v>
      </c>
      <c r="H4815" s="343" t="s">
        <v>2292</v>
      </c>
      <c r="I4815" s="343" t="s">
        <v>1880</v>
      </c>
      <c r="J4815" s="343" t="s">
        <v>757</v>
      </c>
      <c r="K4815" s="343" t="s">
        <v>770</v>
      </c>
      <c r="L4815" s="344">
        <v>44105</v>
      </c>
      <c r="M4815" s="347">
        <v>0</v>
      </c>
    </row>
    <row r="4816" spans="1:13" hidden="1" x14ac:dyDescent="0.25">
      <c r="A4816" s="344">
        <v>44105</v>
      </c>
      <c r="B4816" s="343" t="s">
        <v>2288</v>
      </c>
      <c r="C4816" s="343" t="s">
        <v>936</v>
      </c>
      <c r="D4816" s="345">
        <v>4</v>
      </c>
      <c r="E4816" s="346">
        <v>-211</v>
      </c>
      <c r="F4816" s="346">
        <v>16108.720000000099</v>
      </c>
      <c r="G4816" s="343" t="s">
        <v>2289</v>
      </c>
      <c r="H4816" s="343" t="s">
        <v>2292</v>
      </c>
      <c r="I4816" s="343" t="s">
        <v>1880</v>
      </c>
      <c r="J4816" s="343" t="s">
        <v>757</v>
      </c>
      <c r="K4816" s="343" t="s">
        <v>770</v>
      </c>
      <c r="L4816" s="344">
        <v>44105</v>
      </c>
      <c r="M4816" s="347">
        <v>0</v>
      </c>
    </row>
    <row r="4817" spans="1:13" hidden="1" x14ac:dyDescent="0.25">
      <c r="A4817" s="344">
        <v>44105</v>
      </c>
      <c r="B4817" s="343" t="s">
        <v>2290</v>
      </c>
      <c r="C4817" s="343" t="s">
        <v>936</v>
      </c>
      <c r="D4817" s="345">
        <v>4</v>
      </c>
      <c r="E4817" s="346">
        <v>-211</v>
      </c>
      <c r="F4817" s="346">
        <v>15897.720000000099</v>
      </c>
      <c r="G4817" s="343" t="s">
        <v>2291</v>
      </c>
      <c r="H4817" s="343" t="s">
        <v>2292</v>
      </c>
      <c r="I4817" s="343" t="s">
        <v>1880</v>
      </c>
      <c r="J4817" s="343" t="s">
        <v>757</v>
      </c>
      <c r="K4817" s="343" t="s">
        <v>770</v>
      </c>
      <c r="L4817" s="344">
        <v>44105</v>
      </c>
      <c r="M4817" s="347">
        <v>0</v>
      </c>
    </row>
    <row r="4818" spans="1:13" hidden="1" x14ac:dyDescent="0.25">
      <c r="A4818" s="344">
        <v>44105</v>
      </c>
      <c r="B4818" s="343" t="s">
        <v>2280</v>
      </c>
      <c r="C4818" s="343" t="s">
        <v>936</v>
      </c>
      <c r="D4818" s="345">
        <v>4</v>
      </c>
      <c r="E4818" s="346">
        <v>-211</v>
      </c>
      <c r="F4818" s="346">
        <v>15686.720000000099</v>
      </c>
      <c r="G4818" s="343" t="s">
        <v>2281</v>
      </c>
      <c r="H4818" s="343" t="s">
        <v>2292</v>
      </c>
      <c r="I4818" s="343" t="s">
        <v>1880</v>
      </c>
      <c r="J4818" s="343" t="s">
        <v>757</v>
      </c>
      <c r="K4818" s="343" t="s">
        <v>770</v>
      </c>
      <c r="L4818" s="344">
        <v>44105</v>
      </c>
      <c r="M4818" s="347">
        <v>0</v>
      </c>
    </row>
    <row r="4819" spans="1:13" hidden="1" x14ac:dyDescent="0.25">
      <c r="A4819" s="344">
        <v>44105</v>
      </c>
      <c r="B4819" s="343" t="s">
        <v>2278</v>
      </c>
      <c r="C4819" s="343" t="s">
        <v>936</v>
      </c>
      <c r="D4819" s="345">
        <v>4</v>
      </c>
      <c r="E4819" s="346">
        <v>-211</v>
      </c>
      <c r="F4819" s="346">
        <v>15475.720000000099</v>
      </c>
      <c r="G4819" s="343" t="s">
        <v>2279</v>
      </c>
      <c r="H4819" s="343" t="s">
        <v>2292</v>
      </c>
      <c r="I4819" s="343" t="s">
        <v>1880</v>
      </c>
      <c r="J4819" s="343" t="s">
        <v>757</v>
      </c>
      <c r="K4819" s="343" t="s">
        <v>770</v>
      </c>
      <c r="L4819" s="344">
        <v>44105</v>
      </c>
      <c r="M4819" s="347">
        <v>0</v>
      </c>
    </row>
    <row r="4820" spans="1:13" hidden="1" x14ac:dyDescent="0.25">
      <c r="A4820" s="344">
        <v>44105</v>
      </c>
      <c r="B4820" s="343" t="s">
        <v>2293</v>
      </c>
      <c r="C4820" s="343" t="s">
        <v>769</v>
      </c>
      <c r="D4820" s="345">
        <v>4</v>
      </c>
      <c r="E4820" s="346">
        <v>140.66999999999999</v>
      </c>
      <c r="F4820" s="346">
        <v>15616.390000000099</v>
      </c>
      <c r="G4820" s="343" t="s">
        <v>2277</v>
      </c>
      <c r="H4820" s="343" t="s">
        <v>2292</v>
      </c>
      <c r="I4820" s="343" t="s">
        <v>1880</v>
      </c>
      <c r="J4820" s="343" t="s">
        <v>757</v>
      </c>
      <c r="K4820" s="343" t="s">
        <v>770</v>
      </c>
      <c r="L4820" s="344">
        <v>44105</v>
      </c>
      <c r="M4820" s="347">
        <v>0</v>
      </c>
    </row>
    <row r="4821" spans="1:13" hidden="1" x14ac:dyDescent="0.25">
      <c r="A4821" s="344">
        <v>44105</v>
      </c>
      <c r="B4821" s="343" t="s">
        <v>2294</v>
      </c>
      <c r="C4821" s="343" t="s">
        <v>769</v>
      </c>
      <c r="D4821" s="345">
        <v>5</v>
      </c>
      <c r="E4821" s="346">
        <v>140.66999999999999</v>
      </c>
      <c r="F4821" s="346">
        <v>15757.0600000001</v>
      </c>
      <c r="G4821" s="343" t="s">
        <v>2295</v>
      </c>
      <c r="H4821" s="343" t="s">
        <v>2292</v>
      </c>
      <c r="I4821" s="343" t="s">
        <v>1880</v>
      </c>
      <c r="J4821" s="343" t="s">
        <v>757</v>
      </c>
      <c r="K4821" s="343" t="s">
        <v>770</v>
      </c>
      <c r="L4821" s="344">
        <v>44105</v>
      </c>
      <c r="M4821" s="347">
        <v>0</v>
      </c>
    </row>
    <row r="4822" spans="1:13" hidden="1" x14ac:dyDescent="0.25">
      <c r="A4822" s="344">
        <v>44136</v>
      </c>
      <c r="B4822" s="343" t="s">
        <v>2296</v>
      </c>
      <c r="C4822" s="343" t="s">
        <v>769</v>
      </c>
      <c r="D4822" s="345">
        <v>6</v>
      </c>
      <c r="E4822" s="346">
        <v>140.66999999999999</v>
      </c>
      <c r="F4822" s="346">
        <v>15897.7300000001</v>
      </c>
      <c r="G4822" s="343" t="s">
        <v>2297</v>
      </c>
      <c r="H4822" s="343" t="s">
        <v>2292</v>
      </c>
      <c r="I4822" s="343" t="s">
        <v>1880</v>
      </c>
      <c r="J4822" s="343" t="s">
        <v>757</v>
      </c>
      <c r="K4822" s="343" t="s">
        <v>770</v>
      </c>
      <c r="L4822" s="344">
        <v>44136</v>
      </c>
      <c r="M4822" s="347">
        <v>0</v>
      </c>
    </row>
    <row r="4823" spans="1:13" hidden="1" x14ac:dyDescent="0.25">
      <c r="A4823" s="344">
        <v>44166</v>
      </c>
      <c r="B4823" s="343" t="s">
        <v>2298</v>
      </c>
      <c r="C4823" s="343" t="s">
        <v>769</v>
      </c>
      <c r="D4823" s="345">
        <v>7</v>
      </c>
      <c r="E4823" s="346">
        <v>140.66999999999999</v>
      </c>
      <c r="F4823" s="346">
        <v>16038.4000000001</v>
      </c>
      <c r="G4823" s="343" t="s">
        <v>2299</v>
      </c>
      <c r="H4823" s="343" t="s">
        <v>2292</v>
      </c>
      <c r="I4823" s="343" t="s">
        <v>1880</v>
      </c>
      <c r="J4823" s="343" t="s">
        <v>757</v>
      </c>
      <c r="K4823" s="343" t="s">
        <v>770</v>
      </c>
      <c r="L4823" s="344">
        <v>44166</v>
      </c>
      <c r="M4823" s="347">
        <v>0</v>
      </c>
    </row>
    <row r="4824" spans="1:13" hidden="1" x14ac:dyDescent="0.25">
      <c r="A4824" s="344">
        <v>44197</v>
      </c>
      <c r="B4824" s="343" t="s">
        <v>2300</v>
      </c>
      <c r="C4824" s="343" t="s">
        <v>769</v>
      </c>
      <c r="D4824" s="345">
        <v>8</v>
      </c>
      <c r="E4824" s="346">
        <v>140.66999999999999</v>
      </c>
      <c r="F4824" s="346">
        <v>16179.0700000001</v>
      </c>
      <c r="G4824" s="343" t="s">
        <v>2301</v>
      </c>
      <c r="H4824" s="343" t="s">
        <v>2292</v>
      </c>
      <c r="I4824" s="343" t="s">
        <v>1880</v>
      </c>
      <c r="J4824" s="343" t="s">
        <v>757</v>
      </c>
      <c r="K4824" s="343" t="s">
        <v>770</v>
      </c>
      <c r="L4824" s="344">
        <v>44197</v>
      </c>
      <c r="M4824" s="347">
        <v>0</v>
      </c>
    </row>
    <row r="4825" spans="1:13" hidden="1" x14ac:dyDescent="0.25">
      <c r="A4825" s="344">
        <v>44228</v>
      </c>
      <c r="B4825" s="343" t="s">
        <v>2302</v>
      </c>
      <c r="C4825" s="343" t="s">
        <v>769</v>
      </c>
      <c r="D4825" s="345">
        <v>9</v>
      </c>
      <c r="E4825" s="346">
        <v>140.66999999999999</v>
      </c>
      <c r="F4825" s="346">
        <v>16319.7400000001</v>
      </c>
      <c r="G4825" s="343" t="s">
        <v>2303</v>
      </c>
      <c r="H4825" s="343" t="s">
        <v>2292</v>
      </c>
      <c r="I4825" s="343" t="s">
        <v>1880</v>
      </c>
      <c r="J4825" s="343" t="s">
        <v>757</v>
      </c>
      <c r="K4825" s="343" t="s">
        <v>770</v>
      </c>
      <c r="L4825" s="344">
        <v>44228</v>
      </c>
      <c r="M4825" s="347">
        <v>0</v>
      </c>
    </row>
    <row r="4826" spans="1:13" hidden="1" x14ac:dyDescent="0.25">
      <c r="A4826" s="344">
        <v>44264</v>
      </c>
      <c r="B4826" s="343" t="s">
        <v>2304</v>
      </c>
      <c r="C4826" s="343" t="s">
        <v>769</v>
      </c>
      <c r="D4826" s="345">
        <v>9</v>
      </c>
      <c r="E4826" s="346">
        <v>81.819999999999993</v>
      </c>
      <c r="F4826" s="346">
        <v>16401.5600000001</v>
      </c>
      <c r="G4826" s="343" t="s">
        <v>2305</v>
      </c>
      <c r="H4826" s="343" t="s">
        <v>2292</v>
      </c>
      <c r="I4826" s="343" t="s">
        <v>1880</v>
      </c>
      <c r="J4826" s="343" t="s">
        <v>757</v>
      </c>
      <c r="K4826" s="343" t="s">
        <v>770</v>
      </c>
      <c r="L4826" s="344">
        <v>44264</v>
      </c>
      <c r="M4826" s="347">
        <v>0</v>
      </c>
    </row>
    <row r="4827" spans="1:13" hidden="1" x14ac:dyDescent="0.25">
      <c r="A4827" s="344">
        <v>44264</v>
      </c>
      <c r="B4827" s="343" t="s">
        <v>2304</v>
      </c>
      <c r="C4827" s="343" t="s">
        <v>769</v>
      </c>
      <c r="D4827" s="345">
        <v>9</v>
      </c>
      <c r="E4827" s="346">
        <v>-81.819999999999993</v>
      </c>
      <c r="F4827" s="346">
        <v>16319.7400000001</v>
      </c>
      <c r="G4827" s="343" t="s">
        <v>2305</v>
      </c>
      <c r="H4827" s="343" t="s">
        <v>2292</v>
      </c>
      <c r="I4827" s="343" t="s">
        <v>1880</v>
      </c>
      <c r="J4827" s="343" t="s">
        <v>757</v>
      </c>
      <c r="K4827" s="343" t="s">
        <v>770</v>
      </c>
      <c r="L4827" s="344">
        <v>44264</v>
      </c>
      <c r="M4827" s="347">
        <v>0</v>
      </c>
    </row>
    <row r="4828" spans="1:13" hidden="1" x14ac:dyDescent="0.25">
      <c r="A4828" s="344">
        <v>44256</v>
      </c>
      <c r="B4828" s="343" t="s">
        <v>2306</v>
      </c>
      <c r="C4828" s="343" t="s">
        <v>769</v>
      </c>
      <c r="D4828" s="345">
        <v>10</v>
      </c>
      <c r="E4828" s="346">
        <v>140.66999999999999</v>
      </c>
      <c r="F4828" s="346">
        <v>16460.410000000102</v>
      </c>
      <c r="G4828" s="343" t="s">
        <v>2307</v>
      </c>
      <c r="H4828" s="343" t="s">
        <v>2292</v>
      </c>
      <c r="I4828" s="343" t="s">
        <v>1880</v>
      </c>
      <c r="J4828" s="343" t="s">
        <v>757</v>
      </c>
      <c r="K4828" s="343" t="s">
        <v>770</v>
      </c>
      <c r="L4828" s="344">
        <v>44256</v>
      </c>
      <c r="M4828" s="347">
        <v>0</v>
      </c>
    </row>
    <row r="4829" spans="1:13" hidden="1" x14ac:dyDescent="0.25">
      <c r="A4829" s="344">
        <v>44040</v>
      </c>
      <c r="B4829" s="343" t="s">
        <v>2308</v>
      </c>
      <c r="C4829" s="343" t="s">
        <v>1059</v>
      </c>
      <c r="D4829" s="345">
        <v>1</v>
      </c>
      <c r="E4829" s="346">
        <v>-161.55000000000001</v>
      </c>
      <c r="F4829" s="346">
        <v>16439.530000000101</v>
      </c>
      <c r="G4829" s="343" t="s">
        <v>2309</v>
      </c>
      <c r="H4829" s="343" t="s">
        <v>2310</v>
      </c>
      <c r="I4829" s="343" t="s">
        <v>1880</v>
      </c>
      <c r="J4829" s="343" t="s">
        <v>757</v>
      </c>
      <c r="K4829" s="343" t="s">
        <v>741</v>
      </c>
      <c r="L4829" s="344">
        <v>44040</v>
      </c>
      <c r="M4829" s="347">
        <v>0</v>
      </c>
    </row>
    <row r="4830" spans="1:13" hidden="1" x14ac:dyDescent="0.25">
      <c r="A4830" s="344">
        <v>44043</v>
      </c>
      <c r="B4830" s="343" t="s">
        <v>1891</v>
      </c>
      <c r="C4830" s="343" t="s">
        <v>1060</v>
      </c>
      <c r="D4830" s="345">
        <v>1</v>
      </c>
      <c r="E4830" s="346">
        <v>420</v>
      </c>
      <c r="F4830" s="346">
        <v>16859.530000000101</v>
      </c>
      <c r="G4830" s="343" t="s">
        <v>2311</v>
      </c>
      <c r="H4830" s="343" t="s">
        <v>2310</v>
      </c>
      <c r="I4830" s="343" t="s">
        <v>1880</v>
      </c>
      <c r="J4830" s="343" t="s">
        <v>757</v>
      </c>
      <c r="K4830" s="343" t="s">
        <v>741</v>
      </c>
      <c r="L4830" s="344">
        <v>44043</v>
      </c>
      <c r="M4830" s="347">
        <v>0</v>
      </c>
    </row>
    <row r="4831" spans="1:13" hidden="1" x14ac:dyDescent="0.25">
      <c r="A4831" s="344">
        <v>44013</v>
      </c>
      <c r="B4831" s="343" t="s">
        <v>2312</v>
      </c>
      <c r="C4831" s="343" t="s">
        <v>769</v>
      </c>
      <c r="D4831" s="345">
        <v>2</v>
      </c>
      <c r="E4831" s="346">
        <v>420</v>
      </c>
      <c r="F4831" s="346">
        <v>17279.530000000101</v>
      </c>
      <c r="G4831" s="343" t="s">
        <v>2313</v>
      </c>
      <c r="H4831" s="343" t="s">
        <v>2310</v>
      </c>
      <c r="I4831" s="343" t="s">
        <v>1880</v>
      </c>
      <c r="J4831" s="343" t="s">
        <v>757</v>
      </c>
      <c r="K4831" s="343" t="s">
        <v>770</v>
      </c>
      <c r="L4831" s="344">
        <v>44013</v>
      </c>
      <c r="M4831" s="347">
        <v>0</v>
      </c>
    </row>
    <row r="4832" spans="1:13" hidden="1" x14ac:dyDescent="0.25">
      <c r="A4832" s="344">
        <v>44043</v>
      </c>
      <c r="B4832" s="343" t="s">
        <v>1891</v>
      </c>
      <c r="C4832" s="343" t="s">
        <v>1060</v>
      </c>
      <c r="D4832" s="345">
        <v>2</v>
      </c>
      <c r="E4832" s="346">
        <v>-420</v>
      </c>
      <c r="F4832" s="346">
        <v>16859.530000000101</v>
      </c>
      <c r="G4832" s="343" t="s">
        <v>2311</v>
      </c>
      <c r="H4832" s="343" t="s">
        <v>2310</v>
      </c>
      <c r="I4832" s="343" t="s">
        <v>1880</v>
      </c>
      <c r="J4832" s="343" t="s">
        <v>757</v>
      </c>
      <c r="K4832" s="343" t="s">
        <v>741</v>
      </c>
      <c r="L4832" s="344">
        <v>44043</v>
      </c>
      <c r="M4832" s="347">
        <v>0</v>
      </c>
    </row>
    <row r="4833" spans="1:13" hidden="1" x14ac:dyDescent="0.25">
      <c r="A4833" s="344">
        <v>44044</v>
      </c>
      <c r="B4833" s="343" t="s">
        <v>2314</v>
      </c>
      <c r="C4833" s="343" t="s">
        <v>769</v>
      </c>
      <c r="D4833" s="345">
        <v>2</v>
      </c>
      <c r="E4833" s="346">
        <v>420</v>
      </c>
      <c r="F4833" s="346">
        <v>17279.530000000101</v>
      </c>
      <c r="G4833" s="343" t="s">
        <v>2315</v>
      </c>
      <c r="H4833" s="343" t="s">
        <v>2310</v>
      </c>
      <c r="I4833" s="343" t="s">
        <v>1880</v>
      </c>
      <c r="J4833" s="343" t="s">
        <v>757</v>
      </c>
      <c r="K4833" s="343" t="s">
        <v>770</v>
      </c>
      <c r="L4833" s="344">
        <v>44044</v>
      </c>
      <c r="M4833" s="347">
        <v>0</v>
      </c>
    </row>
    <row r="4834" spans="1:13" hidden="1" x14ac:dyDescent="0.25">
      <c r="A4834" s="344">
        <v>44052</v>
      </c>
      <c r="B4834" s="343" t="s">
        <v>1930</v>
      </c>
      <c r="C4834" s="343" t="s">
        <v>1059</v>
      </c>
      <c r="D4834" s="345">
        <v>2</v>
      </c>
      <c r="E4834" s="346">
        <v>-161.55000000000001</v>
      </c>
      <c r="F4834" s="346">
        <v>17117.980000000101</v>
      </c>
      <c r="G4834" s="343" t="s">
        <v>1931</v>
      </c>
      <c r="H4834" s="343" t="s">
        <v>2310</v>
      </c>
      <c r="I4834" s="343" t="s">
        <v>1880</v>
      </c>
      <c r="J4834" s="343" t="s">
        <v>757</v>
      </c>
      <c r="K4834" s="343" t="s">
        <v>741</v>
      </c>
      <c r="L4834" s="344">
        <v>44052</v>
      </c>
      <c r="M4834" s="347">
        <v>0</v>
      </c>
    </row>
    <row r="4835" spans="1:13" hidden="1" x14ac:dyDescent="0.25">
      <c r="A4835" s="344">
        <v>44062</v>
      </c>
      <c r="B4835" s="343" t="s">
        <v>1932</v>
      </c>
      <c r="C4835" s="343" t="s">
        <v>1059</v>
      </c>
      <c r="D4835" s="345">
        <v>2</v>
      </c>
      <c r="E4835" s="346">
        <v>-387.72</v>
      </c>
      <c r="F4835" s="346">
        <v>16730.2600000001</v>
      </c>
      <c r="G4835" s="343" t="s">
        <v>1933</v>
      </c>
      <c r="H4835" s="343" t="s">
        <v>2310</v>
      </c>
      <c r="I4835" s="343" t="s">
        <v>1880</v>
      </c>
      <c r="J4835" s="343" t="s">
        <v>757</v>
      </c>
      <c r="K4835" s="343" t="s">
        <v>741</v>
      </c>
      <c r="L4835" s="344">
        <v>44062</v>
      </c>
      <c r="M4835" s="347">
        <v>0</v>
      </c>
    </row>
    <row r="4836" spans="1:13" hidden="1" x14ac:dyDescent="0.25">
      <c r="A4836" s="344">
        <v>44075</v>
      </c>
      <c r="B4836" s="343" t="s">
        <v>2316</v>
      </c>
      <c r="C4836" s="343" t="s">
        <v>769</v>
      </c>
      <c r="D4836" s="345">
        <v>3</v>
      </c>
      <c r="E4836" s="346">
        <v>350</v>
      </c>
      <c r="F4836" s="346">
        <v>17080.2600000001</v>
      </c>
      <c r="G4836" s="343" t="s">
        <v>2317</v>
      </c>
      <c r="H4836" s="343" t="s">
        <v>2310</v>
      </c>
      <c r="I4836" s="343" t="s">
        <v>1880</v>
      </c>
      <c r="J4836" s="343" t="s">
        <v>757</v>
      </c>
      <c r="K4836" s="343" t="s">
        <v>770</v>
      </c>
      <c r="L4836" s="344">
        <v>44075</v>
      </c>
      <c r="M4836" s="347">
        <v>0</v>
      </c>
    </row>
    <row r="4837" spans="1:13" hidden="1" x14ac:dyDescent="0.25">
      <c r="A4837" s="344">
        <v>44083</v>
      </c>
      <c r="B4837" s="343" t="s">
        <v>1948</v>
      </c>
      <c r="C4837" s="343" t="s">
        <v>1059</v>
      </c>
      <c r="D4837" s="345">
        <v>3</v>
      </c>
      <c r="E4837" s="346">
        <v>-161.55000000000001</v>
      </c>
      <c r="F4837" s="346">
        <v>16918.710000000101</v>
      </c>
      <c r="G4837" s="343" t="s">
        <v>1949</v>
      </c>
      <c r="H4837" s="343" t="s">
        <v>2310</v>
      </c>
      <c r="I4837" s="343" t="s">
        <v>1880</v>
      </c>
      <c r="J4837" s="343" t="s">
        <v>757</v>
      </c>
      <c r="K4837" s="343" t="s">
        <v>741</v>
      </c>
      <c r="L4837" s="344">
        <v>44083</v>
      </c>
      <c r="M4837" s="347">
        <v>0</v>
      </c>
    </row>
    <row r="4838" spans="1:13" hidden="1" x14ac:dyDescent="0.25">
      <c r="A4838" s="344">
        <v>44094</v>
      </c>
      <c r="B4838" s="343" t="s">
        <v>1950</v>
      </c>
      <c r="C4838" s="343" t="s">
        <v>1059</v>
      </c>
      <c r="D4838" s="345">
        <v>3</v>
      </c>
      <c r="E4838" s="346">
        <v>-97.29</v>
      </c>
      <c r="F4838" s="346">
        <v>16821.4200000001</v>
      </c>
      <c r="G4838" s="343" t="s">
        <v>1951</v>
      </c>
      <c r="H4838" s="343" t="s">
        <v>2310</v>
      </c>
      <c r="I4838" s="343" t="s">
        <v>1880</v>
      </c>
      <c r="J4838" s="343" t="s">
        <v>757</v>
      </c>
      <c r="K4838" s="343" t="s">
        <v>741</v>
      </c>
      <c r="L4838" s="344">
        <v>44094</v>
      </c>
      <c r="M4838" s="347">
        <v>0</v>
      </c>
    </row>
    <row r="4839" spans="1:13" hidden="1" x14ac:dyDescent="0.25">
      <c r="A4839" s="344">
        <v>44104</v>
      </c>
      <c r="B4839" s="343" t="s">
        <v>1934</v>
      </c>
      <c r="C4839" s="343" t="s">
        <v>1059</v>
      </c>
      <c r="D4839" s="345">
        <v>3</v>
      </c>
      <c r="E4839" s="346">
        <v>-193.86</v>
      </c>
      <c r="F4839" s="346">
        <v>16627.5600000001</v>
      </c>
      <c r="G4839" s="343" t="s">
        <v>1935</v>
      </c>
      <c r="H4839" s="343" t="s">
        <v>2310</v>
      </c>
      <c r="I4839" s="343" t="s">
        <v>1880</v>
      </c>
      <c r="J4839" s="343" t="s">
        <v>757</v>
      </c>
      <c r="K4839" s="343" t="s">
        <v>741</v>
      </c>
      <c r="L4839" s="344">
        <v>44104</v>
      </c>
      <c r="M4839" s="347">
        <v>0</v>
      </c>
    </row>
    <row r="4840" spans="1:13" hidden="1" x14ac:dyDescent="0.25">
      <c r="A4840" s="344">
        <v>44105</v>
      </c>
      <c r="B4840" s="343" t="s">
        <v>2318</v>
      </c>
      <c r="C4840" s="343" t="s">
        <v>769</v>
      </c>
      <c r="D4840" s="345">
        <v>4</v>
      </c>
      <c r="E4840" s="346">
        <v>350</v>
      </c>
      <c r="F4840" s="346">
        <v>16977.5600000001</v>
      </c>
      <c r="G4840" s="343" t="s">
        <v>2319</v>
      </c>
      <c r="H4840" s="343" t="s">
        <v>2310</v>
      </c>
      <c r="I4840" s="343" t="s">
        <v>1880</v>
      </c>
      <c r="J4840" s="343" t="s">
        <v>757</v>
      </c>
      <c r="K4840" s="343" t="s">
        <v>770</v>
      </c>
      <c r="L4840" s="344">
        <v>44105</v>
      </c>
      <c r="M4840" s="347">
        <v>0</v>
      </c>
    </row>
    <row r="4841" spans="1:13" hidden="1" x14ac:dyDescent="0.25">
      <c r="A4841" s="344">
        <v>44120</v>
      </c>
      <c r="B4841" s="343" t="s">
        <v>1936</v>
      </c>
      <c r="C4841" s="343" t="s">
        <v>1059</v>
      </c>
      <c r="D4841" s="345">
        <v>4</v>
      </c>
      <c r="E4841" s="346">
        <v>-226.17</v>
      </c>
      <c r="F4841" s="346">
        <v>16751.390000000101</v>
      </c>
      <c r="G4841" s="343" t="s">
        <v>1937</v>
      </c>
      <c r="H4841" s="343" t="s">
        <v>2310</v>
      </c>
      <c r="I4841" s="343" t="s">
        <v>1880</v>
      </c>
      <c r="J4841" s="343" t="s">
        <v>757</v>
      </c>
      <c r="K4841" s="343" t="s">
        <v>741</v>
      </c>
      <c r="L4841" s="344">
        <v>44120</v>
      </c>
      <c r="M4841" s="347">
        <v>0</v>
      </c>
    </row>
    <row r="4842" spans="1:13" hidden="1" x14ac:dyDescent="0.25">
      <c r="A4842" s="344">
        <v>44135</v>
      </c>
      <c r="B4842" s="343" t="s">
        <v>1954</v>
      </c>
      <c r="C4842" s="343" t="s">
        <v>1059</v>
      </c>
      <c r="D4842" s="345">
        <v>4</v>
      </c>
      <c r="E4842" s="346">
        <v>-387.72</v>
      </c>
      <c r="F4842" s="346">
        <v>16363.6700000001</v>
      </c>
      <c r="G4842" s="343" t="s">
        <v>1955</v>
      </c>
      <c r="H4842" s="343" t="s">
        <v>2310</v>
      </c>
      <c r="I4842" s="343" t="s">
        <v>1880</v>
      </c>
      <c r="J4842" s="343" t="s">
        <v>757</v>
      </c>
      <c r="K4842" s="343" t="s">
        <v>741</v>
      </c>
      <c r="L4842" s="344">
        <v>44135</v>
      </c>
      <c r="M4842" s="347">
        <v>0</v>
      </c>
    </row>
    <row r="4843" spans="1:13" hidden="1" x14ac:dyDescent="0.25">
      <c r="A4843" s="344">
        <v>44136</v>
      </c>
      <c r="B4843" s="343" t="s">
        <v>2320</v>
      </c>
      <c r="C4843" s="343" t="s">
        <v>769</v>
      </c>
      <c r="D4843" s="345">
        <v>5</v>
      </c>
      <c r="E4843" s="346">
        <v>700</v>
      </c>
      <c r="F4843" s="346">
        <v>17063.6700000001</v>
      </c>
      <c r="G4843" s="343" t="s">
        <v>2321</v>
      </c>
      <c r="H4843" s="343" t="s">
        <v>2310</v>
      </c>
      <c r="I4843" s="343" t="s">
        <v>1880</v>
      </c>
      <c r="J4843" s="343" t="s">
        <v>757</v>
      </c>
      <c r="K4843" s="343" t="s">
        <v>770</v>
      </c>
      <c r="L4843" s="344">
        <v>44136</v>
      </c>
      <c r="M4843" s="347">
        <v>0</v>
      </c>
    </row>
    <row r="4844" spans="1:13" hidden="1" x14ac:dyDescent="0.25">
      <c r="A4844" s="344">
        <v>44148</v>
      </c>
      <c r="B4844" s="343" t="s">
        <v>1958</v>
      </c>
      <c r="C4844" s="343" t="s">
        <v>1059</v>
      </c>
      <c r="D4844" s="345">
        <v>5</v>
      </c>
      <c r="E4844" s="346">
        <v>-355.41</v>
      </c>
      <c r="F4844" s="346">
        <v>16708.2600000001</v>
      </c>
      <c r="G4844" s="343" t="s">
        <v>1959</v>
      </c>
      <c r="H4844" s="343" t="s">
        <v>2310</v>
      </c>
      <c r="I4844" s="343" t="s">
        <v>1880</v>
      </c>
      <c r="J4844" s="343" t="s">
        <v>757</v>
      </c>
      <c r="K4844" s="343" t="s">
        <v>741</v>
      </c>
      <c r="L4844" s="344">
        <v>44148</v>
      </c>
      <c r="M4844" s="347">
        <v>0</v>
      </c>
    </row>
    <row r="4845" spans="1:13" hidden="1" x14ac:dyDescent="0.25">
      <c r="A4845" s="344">
        <v>44160</v>
      </c>
      <c r="B4845" s="343" t="s">
        <v>1960</v>
      </c>
      <c r="C4845" s="343" t="s">
        <v>1059</v>
      </c>
      <c r="D4845" s="345">
        <v>5</v>
      </c>
      <c r="E4845" s="346">
        <v>-420.03</v>
      </c>
      <c r="F4845" s="346">
        <v>16288.2300000001</v>
      </c>
      <c r="G4845" s="343" t="s">
        <v>1961</v>
      </c>
      <c r="H4845" s="343" t="s">
        <v>2310</v>
      </c>
      <c r="I4845" s="343" t="s">
        <v>1880</v>
      </c>
      <c r="J4845" s="343" t="s">
        <v>757</v>
      </c>
      <c r="K4845" s="343" t="s">
        <v>741</v>
      </c>
      <c r="L4845" s="344">
        <v>44160</v>
      </c>
      <c r="M4845" s="347">
        <v>0</v>
      </c>
    </row>
    <row r="4846" spans="1:13" hidden="1" x14ac:dyDescent="0.25">
      <c r="A4846" s="344">
        <v>44165</v>
      </c>
      <c r="B4846" s="343" t="s">
        <v>1962</v>
      </c>
      <c r="C4846" s="343" t="s">
        <v>1059</v>
      </c>
      <c r="D4846" s="345">
        <v>6</v>
      </c>
      <c r="E4846" s="346">
        <v>-290.79000000000002</v>
      </c>
      <c r="F4846" s="346">
        <v>15997.440000000101</v>
      </c>
      <c r="G4846" s="343" t="s">
        <v>1963</v>
      </c>
      <c r="H4846" s="343" t="s">
        <v>2310</v>
      </c>
      <c r="I4846" s="343" t="s">
        <v>1880</v>
      </c>
      <c r="J4846" s="343" t="s">
        <v>757</v>
      </c>
      <c r="K4846" s="343" t="s">
        <v>741</v>
      </c>
      <c r="L4846" s="344">
        <v>44165</v>
      </c>
      <c r="M4846" s="347">
        <v>0</v>
      </c>
    </row>
    <row r="4847" spans="1:13" hidden="1" x14ac:dyDescent="0.25">
      <c r="A4847" s="344">
        <v>44187</v>
      </c>
      <c r="B4847" s="343" t="s">
        <v>1966</v>
      </c>
      <c r="C4847" s="343" t="s">
        <v>1059</v>
      </c>
      <c r="D4847" s="345">
        <v>6</v>
      </c>
      <c r="E4847" s="346">
        <v>-323.10000000000002</v>
      </c>
      <c r="F4847" s="346">
        <v>15674.3400000001</v>
      </c>
      <c r="G4847" s="343" t="s">
        <v>1967</v>
      </c>
      <c r="H4847" s="343" t="s">
        <v>2310</v>
      </c>
      <c r="I4847" s="343" t="s">
        <v>1880</v>
      </c>
      <c r="J4847" s="343" t="s">
        <v>757</v>
      </c>
      <c r="K4847" s="343" t="s">
        <v>741</v>
      </c>
      <c r="L4847" s="344">
        <v>44187</v>
      </c>
      <c r="M4847" s="347">
        <v>0</v>
      </c>
    </row>
    <row r="4848" spans="1:13" hidden="1" x14ac:dyDescent="0.25">
      <c r="A4848" s="344">
        <v>44166</v>
      </c>
      <c r="B4848" s="343" t="s">
        <v>2322</v>
      </c>
      <c r="C4848" s="343" t="s">
        <v>769</v>
      </c>
      <c r="D4848" s="345">
        <v>7</v>
      </c>
      <c r="E4848" s="346">
        <v>700</v>
      </c>
      <c r="F4848" s="346">
        <v>16374.3400000001</v>
      </c>
      <c r="G4848" s="343" t="s">
        <v>2323</v>
      </c>
      <c r="H4848" s="343" t="s">
        <v>2310</v>
      </c>
      <c r="I4848" s="343" t="s">
        <v>1880</v>
      </c>
      <c r="J4848" s="343" t="s">
        <v>757</v>
      </c>
      <c r="K4848" s="343" t="s">
        <v>770</v>
      </c>
      <c r="L4848" s="344">
        <v>44166</v>
      </c>
      <c r="M4848" s="347">
        <v>0</v>
      </c>
    </row>
    <row r="4849" spans="1:13" hidden="1" x14ac:dyDescent="0.25">
      <c r="A4849" s="344">
        <v>44203</v>
      </c>
      <c r="B4849" s="343" t="s">
        <v>1970</v>
      </c>
      <c r="C4849" s="343" t="s">
        <v>1059</v>
      </c>
      <c r="D4849" s="345">
        <v>7</v>
      </c>
      <c r="E4849" s="346">
        <v>-323.10000000000002</v>
      </c>
      <c r="F4849" s="346">
        <v>16051.2400000001</v>
      </c>
      <c r="G4849" s="343" t="s">
        <v>1971</v>
      </c>
      <c r="H4849" s="343" t="s">
        <v>2310</v>
      </c>
      <c r="I4849" s="343" t="s">
        <v>1880</v>
      </c>
      <c r="J4849" s="343" t="s">
        <v>757</v>
      </c>
      <c r="K4849" s="343" t="s">
        <v>741</v>
      </c>
      <c r="L4849" s="344">
        <v>44203</v>
      </c>
      <c r="M4849" s="347">
        <v>0</v>
      </c>
    </row>
    <row r="4850" spans="1:13" hidden="1" x14ac:dyDescent="0.25">
      <c r="A4850" s="344">
        <v>44218</v>
      </c>
      <c r="B4850" s="343" t="s">
        <v>1972</v>
      </c>
      <c r="C4850" s="343" t="s">
        <v>1059</v>
      </c>
      <c r="D4850" s="345">
        <v>7</v>
      </c>
      <c r="E4850" s="346">
        <v>-355.41</v>
      </c>
      <c r="F4850" s="346">
        <v>15695.8300000001</v>
      </c>
      <c r="G4850" s="343" t="s">
        <v>1973</v>
      </c>
      <c r="H4850" s="343" t="s">
        <v>2310</v>
      </c>
      <c r="I4850" s="343" t="s">
        <v>1880</v>
      </c>
      <c r="J4850" s="343" t="s">
        <v>757</v>
      </c>
      <c r="K4850" s="343" t="s">
        <v>741</v>
      </c>
      <c r="L4850" s="344">
        <v>44218</v>
      </c>
      <c r="M4850" s="347">
        <v>0</v>
      </c>
    </row>
    <row r="4851" spans="1:13" hidden="1" x14ac:dyDescent="0.25">
      <c r="A4851" s="344">
        <v>44227</v>
      </c>
      <c r="B4851" s="343" t="s">
        <v>2009</v>
      </c>
      <c r="C4851" s="343" t="s">
        <v>1060</v>
      </c>
      <c r="D4851" s="345">
        <v>7</v>
      </c>
      <c r="E4851" s="346">
        <v>840</v>
      </c>
      <c r="F4851" s="346">
        <v>16535.8300000001</v>
      </c>
      <c r="G4851" s="343" t="s">
        <v>2324</v>
      </c>
      <c r="H4851" s="343" t="s">
        <v>2310</v>
      </c>
      <c r="I4851" s="343" t="s">
        <v>1880</v>
      </c>
      <c r="J4851" s="343" t="s">
        <v>757</v>
      </c>
      <c r="K4851" s="343" t="s">
        <v>741</v>
      </c>
      <c r="L4851" s="344">
        <v>44227</v>
      </c>
      <c r="M4851" s="347">
        <v>0</v>
      </c>
    </row>
    <row r="4852" spans="1:13" hidden="1" x14ac:dyDescent="0.25">
      <c r="A4852" s="344">
        <v>44227</v>
      </c>
      <c r="B4852" s="343" t="s">
        <v>1974</v>
      </c>
      <c r="C4852" s="343" t="s">
        <v>1059</v>
      </c>
      <c r="D4852" s="345">
        <v>8</v>
      </c>
      <c r="E4852" s="346">
        <v>-323.10000000000002</v>
      </c>
      <c r="F4852" s="346">
        <v>16212.7300000001</v>
      </c>
      <c r="G4852" s="343" t="s">
        <v>1975</v>
      </c>
      <c r="H4852" s="343" t="s">
        <v>2310</v>
      </c>
      <c r="I4852" s="343" t="s">
        <v>1880</v>
      </c>
      <c r="J4852" s="343" t="s">
        <v>757</v>
      </c>
      <c r="K4852" s="343" t="s">
        <v>741</v>
      </c>
      <c r="L4852" s="344">
        <v>44227</v>
      </c>
      <c r="M4852" s="347">
        <v>0</v>
      </c>
    </row>
    <row r="4853" spans="1:13" hidden="1" x14ac:dyDescent="0.25">
      <c r="A4853" s="344">
        <v>44227</v>
      </c>
      <c r="B4853" s="343" t="s">
        <v>2009</v>
      </c>
      <c r="C4853" s="343" t="s">
        <v>1060</v>
      </c>
      <c r="D4853" s="345">
        <v>8</v>
      </c>
      <c r="E4853" s="346">
        <v>-840</v>
      </c>
      <c r="F4853" s="346">
        <v>15372.7300000001</v>
      </c>
      <c r="G4853" s="343" t="s">
        <v>2324</v>
      </c>
      <c r="H4853" s="343" t="s">
        <v>2310</v>
      </c>
      <c r="I4853" s="343" t="s">
        <v>1880</v>
      </c>
      <c r="J4853" s="343" t="s">
        <v>757</v>
      </c>
      <c r="K4853" s="343" t="s">
        <v>741</v>
      </c>
      <c r="L4853" s="344">
        <v>44227</v>
      </c>
      <c r="M4853" s="347">
        <v>0</v>
      </c>
    </row>
    <row r="4854" spans="1:13" hidden="1" x14ac:dyDescent="0.25">
      <c r="A4854" s="344">
        <v>44244</v>
      </c>
      <c r="B4854" s="343" t="s">
        <v>1978</v>
      </c>
      <c r="C4854" s="343" t="s">
        <v>1059</v>
      </c>
      <c r="D4854" s="345">
        <v>8</v>
      </c>
      <c r="E4854" s="346">
        <v>-323.10000000000002</v>
      </c>
      <c r="F4854" s="346">
        <v>15049.630000000099</v>
      </c>
      <c r="G4854" s="343" t="s">
        <v>1979</v>
      </c>
      <c r="H4854" s="343" t="s">
        <v>2310</v>
      </c>
      <c r="I4854" s="343" t="s">
        <v>1880</v>
      </c>
      <c r="J4854" s="343" t="s">
        <v>757</v>
      </c>
      <c r="K4854" s="343" t="s">
        <v>741</v>
      </c>
      <c r="L4854" s="344">
        <v>44244</v>
      </c>
      <c r="M4854" s="347">
        <v>0</v>
      </c>
    </row>
    <row r="4855" spans="1:13" hidden="1" x14ac:dyDescent="0.25">
      <c r="A4855" s="344">
        <v>44255</v>
      </c>
      <c r="B4855" s="343" t="s">
        <v>2073</v>
      </c>
      <c r="C4855" s="343" t="s">
        <v>1060</v>
      </c>
      <c r="D4855" s="345">
        <v>8</v>
      </c>
      <c r="E4855" s="346">
        <v>1680</v>
      </c>
      <c r="F4855" s="346">
        <v>16729.630000000099</v>
      </c>
      <c r="G4855" s="343" t="s">
        <v>2325</v>
      </c>
      <c r="H4855" s="343" t="s">
        <v>2310</v>
      </c>
      <c r="I4855" s="343" t="s">
        <v>1880</v>
      </c>
      <c r="J4855" s="343" t="s">
        <v>757</v>
      </c>
      <c r="K4855" s="343" t="s">
        <v>741</v>
      </c>
      <c r="L4855" s="344">
        <v>44255</v>
      </c>
      <c r="M4855" s="347">
        <v>0</v>
      </c>
    </row>
    <row r="4856" spans="1:13" hidden="1" x14ac:dyDescent="0.25">
      <c r="A4856" s="344">
        <v>44197</v>
      </c>
      <c r="B4856" s="343" t="s">
        <v>2326</v>
      </c>
      <c r="C4856" s="343" t="s">
        <v>769</v>
      </c>
      <c r="D4856" s="345">
        <v>9</v>
      </c>
      <c r="E4856" s="346">
        <v>840</v>
      </c>
      <c r="F4856" s="346">
        <v>17569.630000000099</v>
      </c>
      <c r="G4856" s="343" t="s">
        <v>2323</v>
      </c>
      <c r="H4856" s="343" t="s">
        <v>2310</v>
      </c>
      <c r="I4856" s="343" t="s">
        <v>1880</v>
      </c>
      <c r="J4856" s="343" t="s">
        <v>757</v>
      </c>
      <c r="K4856" s="343" t="s">
        <v>770</v>
      </c>
      <c r="L4856" s="344">
        <v>44197</v>
      </c>
      <c r="M4856" s="347">
        <v>0</v>
      </c>
    </row>
    <row r="4857" spans="1:13" hidden="1" x14ac:dyDescent="0.25">
      <c r="A4857" s="344">
        <v>44228</v>
      </c>
      <c r="B4857" s="343" t="s">
        <v>2327</v>
      </c>
      <c r="C4857" s="343" t="s">
        <v>769</v>
      </c>
      <c r="D4857" s="345">
        <v>9</v>
      </c>
      <c r="E4857" s="346">
        <v>840</v>
      </c>
      <c r="F4857" s="346">
        <v>18409.630000000099</v>
      </c>
      <c r="G4857" s="343" t="s">
        <v>2328</v>
      </c>
      <c r="H4857" s="343" t="s">
        <v>2310</v>
      </c>
      <c r="I4857" s="343" t="s">
        <v>1880</v>
      </c>
      <c r="J4857" s="343" t="s">
        <v>757</v>
      </c>
      <c r="K4857" s="343" t="s">
        <v>770</v>
      </c>
      <c r="L4857" s="344">
        <v>44228</v>
      </c>
      <c r="M4857" s="347">
        <v>0</v>
      </c>
    </row>
    <row r="4858" spans="1:13" hidden="1" x14ac:dyDescent="0.25">
      <c r="A4858" s="344">
        <v>44255</v>
      </c>
      <c r="B4858" s="343" t="s">
        <v>2073</v>
      </c>
      <c r="C4858" s="343" t="s">
        <v>1060</v>
      </c>
      <c r="D4858" s="345">
        <v>9</v>
      </c>
      <c r="E4858" s="346">
        <v>-1680</v>
      </c>
      <c r="F4858" s="346">
        <v>16729.630000000099</v>
      </c>
      <c r="G4858" s="343" t="s">
        <v>2325</v>
      </c>
      <c r="H4858" s="343" t="s">
        <v>2310</v>
      </c>
      <c r="I4858" s="343" t="s">
        <v>1880</v>
      </c>
      <c r="J4858" s="343" t="s">
        <v>757</v>
      </c>
      <c r="K4858" s="343" t="s">
        <v>741</v>
      </c>
      <c r="L4858" s="344">
        <v>44255</v>
      </c>
      <c r="M4858" s="347">
        <v>0</v>
      </c>
    </row>
    <row r="4859" spans="1:13" hidden="1" x14ac:dyDescent="0.25">
      <c r="A4859" s="344">
        <v>44256</v>
      </c>
      <c r="B4859" s="343" t="s">
        <v>2329</v>
      </c>
      <c r="C4859" s="343" t="s">
        <v>769</v>
      </c>
      <c r="D4859" s="345">
        <v>9</v>
      </c>
      <c r="E4859" s="346">
        <v>840</v>
      </c>
      <c r="F4859" s="346">
        <v>17569.630000000099</v>
      </c>
      <c r="G4859" s="343" t="s">
        <v>2330</v>
      </c>
      <c r="H4859" s="343" t="s">
        <v>2310</v>
      </c>
      <c r="I4859" s="343" t="s">
        <v>1880</v>
      </c>
      <c r="J4859" s="343" t="s">
        <v>757</v>
      </c>
      <c r="K4859" s="343" t="s">
        <v>770</v>
      </c>
      <c r="L4859" s="344">
        <v>44256</v>
      </c>
      <c r="M4859" s="347">
        <v>0</v>
      </c>
    </row>
    <row r="4860" spans="1:13" hidden="1" x14ac:dyDescent="0.25">
      <c r="A4860" s="344">
        <v>44259</v>
      </c>
      <c r="B4860" s="343" t="s">
        <v>1939</v>
      </c>
      <c r="C4860" s="343" t="s">
        <v>1059</v>
      </c>
      <c r="D4860" s="345">
        <v>9</v>
      </c>
      <c r="E4860" s="346">
        <v>-290.79000000000002</v>
      </c>
      <c r="F4860" s="346">
        <v>17278.84</v>
      </c>
      <c r="G4860" s="343" t="s">
        <v>1940</v>
      </c>
      <c r="H4860" s="343" t="s">
        <v>2310</v>
      </c>
      <c r="I4860" s="343" t="s">
        <v>1880</v>
      </c>
      <c r="J4860" s="343" t="s">
        <v>757</v>
      </c>
      <c r="K4860" s="343" t="s">
        <v>741</v>
      </c>
      <c r="L4860" s="344">
        <v>44259</v>
      </c>
      <c r="M4860" s="347">
        <v>0</v>
      </c>
    </row>
    <row r="4861" spans="1:13" hidden="1" x14ac:dyDescent="0.25">
      <c r="A4861" s="344">
        <v>44272</v>
      </c>
      <c r="B4861" s="343" t="s">
        <v>1982</v>
      </c>
      <c r="C4861" s="343" t="s">
        <v>1059</v>
      </c>
      <c r="D4861" s="345">
        <v>9</v>
      </c>
      <c r="E4861" s="346">
        <v>-290.79000000000002</v>
      </c>
      <c r="F4861" s="346">
        <v>16988.05</v>
      </c>
      <c r="G4861" s="343" t="s">
        <v>1983</v>
      </c>
      <c r="H4861" s="343" t="s">
        <v>2310</v>
      </c>
      <c r="I4861" s="343" t="s">
        <v>1880</v>
      </c>
      <c r="J4861" s="343" t="s">
        <v>757</v>
      </c>
      <c r="K4861" s="343" t="s">
        <v>741</v>
      </c>
      <c r="L4861" s="344">
        <v>44272</v>
      </c>
      <c r="M4861" s="347">
        <v>0</v>
      </c>
    </row>
    <row r="4862" spans="1:13" hidden="1" x14ac:dyDescent="0.25">
      <c r="A4862" s="344">
        <v>44286</v>
      </c>
      <c r="B4862" s="343" t="s">
        <v>1918</v>
      </c>
      <c r="C4862" s="343" t="s">
        <v>1059</v>
      </c>
      <c r="D4862" s="345">
        <v>9</v>
      </c>
      <c r="E4862" s="346">
        <v>-258.48</v>
      </c>
      <c r="F4862" s="346">
        <v>16729.57</v>
      </c>
      <c r="G4862" s="343" t="s">
        <v>1919</v>
      </c>
      <c r="H4862" s="343" t="s">
        <v>2310</v>
      </c>
      <c r="I4862" s="343" t="s">
        <v>1880</v>
      </c>
      <c r="J4862" s="343" t="s">
        <v>757</v>
      </c>
      <c r="K4862" s="343" t="s">
        <v>741</v>
      </c>
      <c r="L4862" s="344">
        <v>44286</v>
      </c>
      <c r="M4862" s="347">
        <v>0</v>
      </c>
    </row>
    <row r="4863" spans="1:13" hidden="1" x14ac:dyDescent="0.25">
      <c r="A4863" s="344">
        <v>44287</v>
      </c>
      <c r="B4863" s="343" t="s">
        <v>2331</v>
      </c>
      <c r="C4863" s="343" t="s">
        <v>769</v>
      </c>
      <c r="D4863" s="345">
        <v>10</v>
      </c>
      <c r="E4863" s="346">
        <v>770</v>
      </c>
      <c r="F4863" s="346">
        <v>17499.57</v>
      </c>
      <c r="G4863" s="343" t="s">
        <v>2332</v>
      </c>
      <c r="H4863" s="343" t="s">
        <v>2310</v>
      </c>
      <c r="I4863" s="343" t="s">
        <v>1880</v>
      </c>
      <c r="J4863" s="343" t="s">
        <v>757</v>
      </c>
      <c r="K4863" s="343" t="s">
        <v>770</v>
      </c>
      <c r="L4863" s="344">
        <v>44287</v>
      </c>
      <c r="M4863" s="347">
        <v>0</v>
      </c>
    </row>
    <row r="4864" spans="1:13" hidden="1" x14ac:dyDescent="0.25">
      <c r="A4864" s="344">
        <v>44287</v>
      </c>
      <c r="B4864" s="343" t="s">
        <v>2333</v>
      </c>
      <c r="C4864" s="343" t="s">
        <v>936</v>
      </c>
      <c r="D4864" s="345">
        <v>10</v>
      </c>
      <c r="E4864" s="346">
        <v>-70</v>
      </c>
      <c r="F4864" s="346">
        <v>17429.57</v>
      </c>
      <c r="G4864" s="343" t="s">
        <v>2334</v>
      </c>
      <c r="H4864" s="343" t="s">
        <v>2310</v>
      </c>
      <c r="I4864" s="343" t="s">
        <v>1880</v>
      </c>
      <c r="J4864" s="343" t="s">
        <v>757</v>
      </c>
      <c r="K4864" s="343" t="s">
        <v>770</v>
      </c>
      <c r="L4864" s="344">
        <v>44287</v>
      </c>
      <c r="M4864" s="347">
        <v>0</v>
      </c>
    </row>
    <row r="4865" spans="1:13" hidden="1" x14ac:dyDescent="0.25">
      <c r="A4865" s="344">
        <v>44301</v>
      </c>
      <c r="B4865" s="343" t="s">
        <v>1889</v>
      </c>
      <c r="C4865" s="343" t="s">
        <v>1059</v>
      </c>
      <c r="D4865" s="345">
        <v>10</v>
      </c>
      <c r="E4865" s="346">
        <v>-258.48</v>
      </c>
      <c r="F4865" s="346">
        <v>17171.09</v>
      </c>
      <c r="G4865" s="343" t="s">
        <v>1890</v>
      </c>
      <c r="H4865" s="343" t="s">
        <v>2310</v>
      </c>
      <c r="I4865" s="343" t="s">
        <v>1880</v>
      </c>
      <c r="J4865" s="343" t="s">
        <v>757</v>
      </c>
      <c r="K4865" s="343" t="s">
        <v>741</v>
      </c>
      <c r="L4865" s="344">
        <v>44301</v>
      </c>
      <c r="M4865" s="347">
        <v>0</v>
      </c>
    </row>
    <row r="4866" spans="1:13" hidden="1" x14ac:dyDescent="0.25">
      <c r="A4866" s="344">
        <v>44315</v>
      </c>
      <c r="B4866" s="343" t="s">
        <v>1920</v>
      </c>
      <c r="C4866" s="343" t="s">
        <v>1059</v>
      </c>
      <c r="D4866" s="345">
        <v>10</v>
      </c>
      <c r="E4866" s="346">
        <v>-258.48</v>
      </c>
      <c r="F4866" s="346">
        <v>16912.61</v>
      </c>
      <c r="G4866" s="343" t="s">
        <v>1921</v>
      </c>
      <c r="H4866" s="343" t="s">
        <v>2310</v>
      </c>
      <c r="I4866" s="343" t="s">
        <v>1880</v>
      </c>
      <c r="J4866" s="343" t="s">
        <v>757</v>
      </c>
      <c r="K4866" s="343" t="s">
        <v>741</v>
      </c>
      <c r="L4866" s="344">
        <v>44315</v>
      </c>
      <c r="M4866" s="347">
        <v>0</v>
      </c>
    </row>
    <row r="4867" spans="1:13" hidden="1" x14ac:dyDescent="0.25">
      <c r="A4867" s="344">
        <v>44327</v>
      </c>
      <c r="B4867" s="343" t="s">
        <v>1922</v>
      </c>
      <c r="C4867" s="343" t="s">
        <v>1059</v>
      </c>
      <c r="D4867" s="345">
        <v>10</v>
      </c>
      <c r="E4867" s="346">
        <v>258.48</v>
      </c>
      <c r="F4867" s="346">
        <v>17171.09</v>
      </c>
      <c r="G4867" s="343" t="s">
        <v>1923</v>
      </c>
      <c r="H4867" s="343" t="s">
        <v>2310</v>
      </c>
      <c r="I4867" s="343" t="s">
        <v>1880</v>
      </c>
      <c r="J4867" s="343" t="s">
        <v>757</v>
      </c>
      <c r="K4867" s="343" t="s">
        <v>741</v>
      </c>
      <c r="L4867" s="344">
        <v>44327</v>
      </c>
      <c r="M4867" s="347">
        <v>0</v>
      </c>
    </row>
    <row r="4868" spans="1:13" hidden="1" x14ac:dyDescent="0.25">
      <c r="A4868" s="344">
        <v>44327</v>
      </c>
      <c r="B4868" s="343" t="s">
        <v>1924</v>
      </c>
      <c r="C4868" s="343" t="s">
        <v>1059</v>
      </c>
      <c r="D4868" s="345">
        <v>10</v>
      </c>
      <c r="E4868" s="346">
        <v>-258.48</v>
      </c>
      <c r="F4868" s="346">
        <v>16912.61</v>
      </c>
      <c r="G4868" s="343" t="s">
        <v>1923</v>
      </c>
      <c r="H4868" s="343" t="s">
        <v>2310</v>
      </c>
      <c r="I4868" s="343" t="s">
        <v>1880</v>
      </c>
      <c r="J4868" s="343" t="s">
        <v>757</v>
      </c>
      <c r="K4868" s="343" t="s">
        <v>741</v>
      </c>
      <c r="L4868" s="344">
        <v>44327</v>
      </c>
      <c r="M4868" s="347">
        <v>0</v>
      </c>
    </row>
    <row r="4869" spans="1:13" hidden="1" x14ac:dyDescent="0.25">
      <c r="A4869" s="344">
        <v>44062</v>
      </c>
      <c r="B4869" s="343" t="s">
        <v>1932</v>
      </c>
      <c r="C4869" s="343" t="s">
        <v>1059</v>
      </c>
      <c r="D4869" s="345">
        <v>2</v>
      </c>
      <c r="E4869" s="346">
        <v>-32.31</v>
      </c>
      <c r="F4869" s="346">
        <v>17391.82</v>
      </c>
      <c r="G4869" s="343" t="s">
        <v>1933</v>
      </c>
      <c r="H4869" s="343" t="s">
        <v>2335</v>
      </c>
      <c r="I4869" s="343" t="s">
        <v>1880</v>
      </c>
      <c r="J4869" s="343" t="s">
        <v>757</v>
      </c>
      <c r="K4869" s="343" t="s">
        <v>741</v>
      </c>
      <c r="L4869" s="344">
        <v>44062</v>
      </c>
      <c r="M4869" s="347">
        <v>0</v>
      </c>
    </row>
    <row r="4870" spans="1:13" hidden="1" x14ac:dyDescent="0.25">
      <c r="A4870" s="344">
        <v>44012</v>
      </c>
      <c r="B4870" s="343" t="s">
        <v>2336</v>
      </c>
      <c r="C4870" s="343" t="s">
        <v>769</v>
      </c>
      <c r="D4870" s="345">
        <v>1</v>
      </c>
      <c r="E4870" s="346">
        <v>76.510000000000005</v>
      </c>
      <c r="F4870" s="346">
        <v>17468.330000000002</v>
      </c>
      <c r="G4870" s="343" t="s">
        <v>2337</v>
      </c>
      <c r="H4870" s="343" t="s">
        <v>2338</v>
      </c>
      <c r="I4870" s="343" t="s">
        <v>1880</v>
      </c>
      <c r="J4870" s="343" t="s">
        <v>757</v>
      </c>
      <c r="K4870" s="343" t="s">
        <v>770</v>
      </c>
      <c r="L4870" s="344">
        <v>44012</v>
      </c>
      <c r="M4870" s="347">
        <v>0</v>
      </c>
    </row>
    <row r="4871" spans="1:13" hidden="1" x14ac:dyDescent="0.25">
      <c r="A4871" s="344">
        <v>44068</v>
      </c>
      <c r="B4871" s="343" t="s">
        <v>1008</v>
      </c>
      <c r="C4871" s="343" t="s">
        <v>769</v>
      </c>
      <c r="D4871" s="345">
        <v>2</v>
      </c>
      <c r="E4871" s="346">
        <v>125</v>
      </c>
      <c r="F4871" s="346">
        <v>17593.330000000002</v>
      </c>
      <c r="G4871" s="343" t="s">
        <v>2339</v>
      </c>
      <c r="H4871" s="343" t="s">
        <v>2338</v>
      </c>
      <c r="I4871" s="343" t="s">
        <v>1880</v>
      </c>
      <c r="J4871" s="343" t="s">
        <v>757</v>
      </c>
      <c r="K4871" s="343" t="s">
        <v>770</v>
      </c>
      <c r="L4871" s="344">
        <v>44068</v>
      </c>
      <c r="M4871" s="347">
        <v>0</v>
      </c>
    </row>
    <row r="4872" spans="1:13" hidden="1" x14ac:dyDescent="0.25">
      <c r="A4872" s="344">
        <v>44068</v>
      </c>
      <c r="B4872" s="343" t="s">
        <v>1008</v>
      </c>
      <c r="C4872" s="343" t="s">
        <v>769</v>
      </c>
      <c r="D4872" s="345">
        <v>2</v>
      </c>
      <c r="E4872" s="346">
        <v>92.86</v>
      </c>
      <c r="F4872" s="346">
        <v>17686.189999999999</v>
      </c>
      <c r="G4872" s="343" t="s">
        <v>2340</v>
      </c>
      <c r="H4872" s="343" t="s">
        <v>2338</v>
      </c>
      <c r="I4872" s="343" t="s">
        <v>1880</v>
      </c>
      <c r="J4872" s="343" t="s">
        <v>757</v>
      </c>
      <c r="K4872" s="343" t="s">
        <v>770</v>
      </c>
      <c r="L4872" s="344">
        <v>44068</v>
      </c>
      <c r="M4872" s="347">
        <v>0</v>
      </c>
    </row>
    <row r="4873" spans="1:13" hidden="1" x14ac:dyDescent="0.25">
      <c r="A4873" s="344">
        <v>44153</v>
      </c>
      <c r="B4873" s="343" t="s">
        <v>2341</v>
      </c>
      <c r="C4873" s="343" t="s">
        <v>769</v>
      </c>
      <c r="D4873" s="345">
        <v>5</v>
      </c>
      <c r="E4873" s="346">
        <v>352.36</v>
      </c>
      <c r="F4873" s="346">
        <v>18038.55</v>
      </c>
      <c r="G4873" s="343" t="s">
        <v>2342</v>
      </c>
      <c r="H4873" s="343" t="s">
        <v>2338</v>
      </c>
      <c r="I4873" s="343" t="s">
        <v>1880</v>
      </c>
      <c r="J4873" s="343" t="s">
        <v>757</v>
      </c>
      <c r="K4873" s="343" t="s">
        <v>770</v>
      </c>
      <c r="L4873" s="344">
        <v>44153</v>
      </c>
      <c r="M4873" s="347">
        <v>0</v>
      </c>
    </row>
    <row r="4874" spans="1:13" hidden="1" x14ac:dyDescent="0.25">
      <c r="A4874" s="344">
        <v>44160</v>
      </c>
      <c r="B4874" s="343" t="s">
        <v>1014</v>
      </c>
      <c r="C4874" s="343" t="s">
        <v>769</v>
      </c>
      <c r="D4874" s="345">
        <v>5</v>
      </c>
      <c r="E4874" s="346">
        <v>92.86</v>
      </c>
      <c r="F4874" s="346">
        <v>18131.41</v>
      </c>
      <c r="G4874" s="343" t="s">
        <v>2340</v>
      </c>
      <c r="H4874" s="343" t="s">
        <v>2338</v>
      </c>
      <c r="I4874" s="343" t="s">
        <v>1880</v>
      </c>
      <c r="J4874" s="343" t="s">
        <v>757</v>
      </c>
      <c r="K4874" s="343" t="s">
        <v>770</v>
      </c>
      <c r="L4874" s="344">
        <v>44160</v>
      </c>
      <c r="M4874" s="347">
        <v>0</v>
      </c>
    </row>
    <row r="4875" spans="1:13" hidden="1" x14ac:dyDescent="0.25">
      <c r="A4875" s="344">
        <v>44165</v>
      </c>
      <c r="B4875" s="343" t="s">
        <v>1906</v>
      </c>
      <c r="C4875" s="343" t="s">
        <v>1060</v>
      </c>
      <c r="D4875" s="345">
        <v>5</v>
      </c>
      <c r="E4875" s="346">
        <v>78.180000000000007</v>
      </c>
      <c r="F4875" s="346">
        <v>18209.59</v>
      </c>
      <c r="G4875" s="343" t="s">
        <v>2001</v>
      </c>
      <c r="H4875" s="343" t="s">
        <v>2338</v>
      </c>
      <c r="I4875" s="343" t="s">
        <v>1880</v>
      </c>
      <c r="J4875" s="343" t="s">
        <v>757</v>
      </c>
      <c r="K4875" s="343" t="s">
        <v>741</v>
      </c>
      <c r="L4875" s="344">
        <v>44165</v>
      </c>
      <c r="M4875" s="347">
        <v>0</v>
      </c>
    </row>
    <row r="4876" spans="1:13" hidden="1" x14ac:dyDescent="0.25">
      <c r="A4876" s="344">
        <v>44165</v>
      </c>
      <c r="B4876" s="343" t="s">
        <v>1906</v>
      </c>
      <c r="C4876" s="343" t="s">
        <v>1060</v>
      </c>
      <c r="D4876" s="345">
        <v>6</v>
      </c>
      <c r="E4876" s="346">
        <v>-78.180000000000007</v>
      </c>
      <c r="F4876" s="346">
        <v>18131.41</v>
      </c>
      <c r="G4876" s="343" t="s">
        <v>2001</v>
      </c>
      <c r="H4876" s="343" t="s">
        <v>2338</v>
      </c>
      <c r="I4876" s="343" t="s">
        <v>1880</v>
      </c>
      <c r="J4876" s="343" t="s">
        <v>757</v>
      </c>
      <c r="K4876" s="343" t="s">
        <v>741</v>
      </c>
      <c r="L4876" s="344">
        <v>44165</v>
      </c>
      <c r="M4876" s="347">
        <v>0</v>
      </c>
    </row>
    <row r="4877" spans="1:13" hidden="1" x14ac:dyDescent="0.25">
      <c r="A4877" s="344">
        <v>44221</v>
      </c>
      <c r="B4877" s="343" t="s">
        <v>1004</v>
      </c>
      <c r="C4877" s="343" t="s">
        <v>769</v>
      </c>
      <c r="D4877" s="345">
        <v>7</v>
      </c>
      <c r="E4877" s="346">
        <v>92.86</v>
      </c>
      <c r="F4877" s="346">
        <v>18224.27</v>
      </c>
      <c r="G4877" s="343" t="s">
        <v>2340</v>
      </c>
      <c r="H4877" s="343" t="s">
        <v>2338</v>
      </c>
      <c r="I4877" s="343" t="s">
        <v>1880</v>
      </c>
      <c r="J4877" s="343" t="s">
        <v>757</v>
      </c>
      <c r="K4877" s="343" t="s">
        <v>770</v>
      </c>
      <c r="L4877" s="344">
        <v>44221</v>
      </c>
      <c r="M4877" s="347">
        <v>0</v>
      </c>
    </row>
    <row r="4878" spans="1:13" hidden="1" x14ac:dyDescent="0.25">
      <c r="A4878" s="344">
        <v>44225</v>
      </c>
      <c r="B4878" s="343" t="s">
        <v>1820</v>
      </c>
      <c r="C4878" s="343" t="s">
        <v>769</v>
      </c>
      <c r="D4878" s="345">
        <v>8</v>
      </c>
      <c r="E4878" s="346">
        <v>19.899999999999999</v>
      </c>
      <c r="F4878" s="346">
        <v>18244.1700000001</v>
      </c>
      <c r="G4878" s="343" t="s">
        <v>1821</v>
      </c>
      <c r="H4878" s="343" t="s">
        <v>2338</v>
      </c>
      <c r="I4878" s="343" t="s">
        <v>1880</v>
      </c>
      <c r="J4878" s="343" t="s">
        <v>757</v>
      </c>
      <c r="K4878" s="343" t="s">
        <v>770</v>
      </c>
      <c r="L4878" s="344">
        <v>44225</v>
      </c>
      <c r="M4878" s="347">
        <v>0</v>
      </c>
    </row>
    <row r="4879" spans="1:13" hidden="1" x14ac:dyDescent="0.25">
      <c r="A4879" s="344">
        <v>44287</v>
      </c>
      <c r="B4879" s="343" t="s">
        <v>2021</v>
      </c>
      <c r="C4879" s="343" t="s">
        <v>769</v>
      </c>
      <c r="D4879" s="345">
        <v>10</v>
      </c>
      <c r="E4879" s="346">
        <v>78.180000000000007</v>
      </c>
      <c r="F4879" s="346">
        <v>18322.3500000001</v>
      </c>
      <c r="G4879" s="343" t="s">
        <v>2022</v>
      </c>
      <c r="H4879" s="343" t="s">
        <v>2338</v>
      </c>
      <c r="I4879" s="343" t="s">
        <v>1880</v>
      </c>
      <c r="J4879" s="343" t="s">
        <v>757</v>
      </c>
      <c r="K4879" s="343" t="s">
        <v>770</v>
      </c>
      <c r="L4879" s="344">
        <v>44287</v>
      </c>
      <c r="M4879" s="347">
        <v>0</v>
      </c>
    </row>
    <row r="4880" spans="1:13" hidden="1" x14ac:dyDescent="0.25">
      <c r="A4880" s="344">
        <v>44013</v>
      </c>
      <c r="B4880" s="343" t="s">
        <v>2343</v>
      </c>
      <c r="C4880" s="343" t="s">
        <v>769</v>
      </c>
      <c r="D4880" s="345">
        <v>1</v>
      </c>
      <c r="E4880" s="346">
        <v>14.9</v>
      </c>
      <c r="F4880" s="346">
        <v>18415.430000000099</v>
      </c>
      <c r="G4880" s="343" t="s">
        <v>2344</v>
      </c>
      <c r="H4880" s="343" t="s">
        <v>2345</v>
      </c>
      <c r="I4880" s="343" t="s">
        <v>1880</v>
      </c>
      <c r="J4880" s="343" t="s">
        <v>757</v>
      </c>
      <c r="K4880" s="343" t="s">
        <v>770</v>
      </c>
      <c r="L4880" s="344">
        <v>44013</v>
      </c>
      <c r="M4880" s="347">
        <v>0</v>
      </c>
    </row>
    <row r="4881" spans="1:13" hidden="1" x14ac:dyDescent="0.25">
      <c r="A4881" s="344">
        <v>44082</v>
      </c>
      <c r="B4881" s="343" t="s">
        <v>2346</v>
      </c>
      <c r="C4881" s="343" t="s">
        <v>769</v>
      </c>
      <c r="D4881" s="345">
        <v>3</v>
      </c>
      <c r="E4881" s="346">
        <v>92.86</v>
      </c>
      <c r="F4881" s="346">
        <v>18508.290000000099</v>
      </c>
      <c r="G4881" s="343" t="s">
        <v>2347</v>
      </c>
      <c r="H4881" s="343" t="s">
        <v>2345</v>
      </c>
      <c r="I4881" s="343" t="s">
        <v>1880</v>
      </c>
      <c r="J4881" s="343" t="s">
        <v>757</v>
      </c>
      <c r="K4881" s="343" t="s">
        <v>770</v>
      </c>
      <c r="L4881" s="344">
        <v>44082</v>
      </c>
      <c r="M4881" s="347">
        <v>0</v>
      </c>
    </row>
    <row r="4882" spans="1:13" hidden="1" x14ac:dyDescent="0.25">
      <c r="A4882" s="344">
        <v>44166</v>
      </c>
      <c r="B4882" s="343" t="s">
        <v>2003</v>
      </c>
      <c r="C4882" s="343" t="s">
        <v>769</v>
      </c>
      <c r="D4882" s="345">
        <v>6</v>
      </c>
      <c r="E4882" s="346">
        <v>78.180000000000007</v>
      </c>
      <c r="F4882" s="346">
        <v>18586.470000000099</v>
      </c>
      <c r="G4882" s="343" t="s">
        <v>2004</v>
      </c>
      <c r="H4882" s="343" t="s">
        <v>2345</v>
      </c>
      <c r="I4882" s="343" t="s">
        <v>1880</v>
      </c>
      <c r="J4882" s="343" t="s">
        <v>757</v>
      </c>
      <c r="K4882" s="343" t="s">
        <v>770</v>
      </c>
      <c r="L4882" s="344">
        <v>44166</v>
      </c>
      <c r="M4882" s="347">
        <v>0</v>
      </c>
    </row>
    <row r="4883" spans="1:13" hidden="1" x14ac:dyDescent="0.25">
      <c r="A4883" s="344">
        <v>44190</v>
      </c>
      <c r="B4883" s="343" t="s">
        <v>935</v>
      </c>
      <c r="C4883" s="343" t="s">
        <v>769</v>
      </c>
      <c r="D4883" s="345">
        <v>7</v>
      </c>
      <c r="E4883" s="346">
        <v>185.73</v>
      </c>
      <c r="F4883" s="346">
        <v>18772.200000000099</v>
      </c>
      <c r="G4883" s="343" t="s">
        <v>2347</v>
      </c>
      <c r="H4883" s="343" t="s">
        <v>2345</v>
      </c>
      <c r="I4883" s="343" t="s">
        <v>1880</v>
      </c>
      <c r="J4883" s="343" t="s">
        <v>757</v>
      </c>
      <c r="K4883" s="343" t="s">
        <v>770</v>
      </c>
      <c r="L4883" s="344">
        <v>44190</v>
      </c>
      <c r="M4883" s="347">
        <v>0</v>
      </c>
    </row>
    <row r="4884" spans="1:13" hidden="1" x14ac:dyDescent="0.25">
      <c r="A4884" s="344">
        <v>44214</v>
      </c>
      <c r="B4884" s="343" t="s">
        <v>998</v>
      </c>
      <c r="C4884" s="343" t="s">
        <v>769</v>
      </c>
      <c r="D4884" s="345">
        <v>7</v>
      </c>
      <c r="E4884" s="346">
        <v>5.45</v>
      </c>
      <c r="F4884" s="346">
        <v>18777.6500000001</v>
      </c>
      <c r="G4884" s="343" t="s">
        <v>2348</v>
      </c>
      <c r="H4884" s="343" t="s">
        <v>2345</v>
      </c>
      <c r="I4884" s="343" t="s">
        <v>1880</v>
      </c>
      <c r="J4884" s="343" t="s">
        <v>757</v>
      </c>
      <c r="K4884" s="343" t="s">
        <v>770</v>
      </c>
      <c r="L4884" s="344">
        <v>44214</v>
      </c>
      <c r="M4884" s="347">
        <v>0</v>
      </c>
    </row>
    <row r="4885" spans="1:13" hidden="1" x14ac:dyDescent="0.25">
      <c r="A4885" s="344">
        <v>44227</v>
      </c>
      <c r="B4885" s="343" t="s">
        <v>2009</v>
      </c>
      <c r="C4885" s="343" t="s">
        <v>1060</v>
      </c>
      <c r="D4885" s="345">
        <v>7</v>
      </c>
      <c r="E4885" s="346">
        <v>78.180000000000007</v>
      </c>
      <c r="F4885" s="346">
        <v>18855.8300000001</v>
      </c>
      <c r="G4885" s="343" t="s">
        <v>2010</v>
      </c>
      <c r="H4885" s="343" t="s">
        <v>2345</v>
      </c>
      <c r="I4885" s="343" t="s">
        <v>1880</v>
      </c>
      <c r="J4885" s="343" t="s">
        <v>757</v>
      </c>
      <c r="K4885" s="343" t="s">
        <v>741</v>
      </c>
      <c r="L4885" s="344">
        <v>44227</v>
      </c>
      <c r="M4885" s="347">
        <v>0</v>
      </c>
    </row>
    <row r="4886" spans="1:13" hidden="1" x14ac:dyDescent="0.25">
      <c r="A4886" s="344">
        <v>44197</v>
      </c>
      <c r="B4886" s="343" t="s">
        <v>2011</v>
      </c>
      <c r="C4886" s="343" t="s">
        <v>769</v>
      </c>
      <c r="D4886" s="345">
        <v>8</v>
      </c>
      <c r="E4886" s="346">
        <v>78.180000000000007</v>
      </c>
      <c r="F4886" s="346">
        <v>18934.0100000001</v>
      </c>
      <c r="G4886" s="343" t="s">
        <v>2012</v>
      </c>
      <c r="H4886" s="343" t="s">
        <v>2345</v>
      </c>
      <c r="I4886" s="343" t="s">
        <v>1880</v>
      </c>
      <c r="J4886" s="343" t="s">
        <v>757</v>
      </c>
      <c r="K4886" s="343" t="s">
        <v>770</v>
      </c>
      <c r="L4886" s="344">
        <v>44197</v>
      </c>
      <c r="M4886" s="347">
        <v>0</v>
      </c>
    </row>
    <row r="4887" spans="1:13" hidden="1" x14ac:dyDescent="0.25">
      <c r="A4887" s="344">
        <v>44227</v>
      </c>
      <c r="B4887" s="343" t="s">
        <v>2009</v>
      </c>
      <c r="C4887" s="343" t="s">
        <v>1060</v>
      </c>
      <c r="D4887" s="345">
        <v>8</v>
      </c>
      <c r="E4887" s="346">
        <v>-78.180000000000007</v>
      </c>
      <c r="F4887" s="346">
        <v>18855.8300000001</v>
      </c>
      <c r="G4887" s="343" t="s">
        <v>2010</v>
      </c>
      <c r="H4887" s="343" t="s">
        <v>2345</v>
      </c>
      <c r="I4887" s="343" t="s">
        <v>1880</v>
      </c>
      <c r="J4887" s="343" t="s">
        <v>757</v>
      </c>
      <c r="K4887" s="343" t="s">
        <v>741</v>
      </c>
      <c r="L4887" s="344">
        <v>44227</v>
      </c>
      <c r="M4887" s="347">
        <v>0</v>
      </c>
    </row>
    <row r="4888" spans="1:13" hidden="1" x14ac:dyDescent="0.25">
      <c r="A4888" s="344">
        <v>44228</v>
      </c>
      <c r="B4888" s="343" t="s">
        <v>2013</v>
      </c>
      <c r="C4888" s="343" t="s">
        <v>769</v>
      </c>
      <c r="D4888" s="345">
        <v>8</v>
      </c>
      <c r="E4888" s="346">
        <v>78.180000000000007</v>
      </c>
      <c r="F4888" s="346">
        <v>18934.0100000001</v>
      </c>
      <c r="G4888" s="343" t="s">
        <v>2014</v>
      </c>
      <c r="H4888" s="343" t="s">
        <v>2345</v>
      </c>
      <c r="I4888" s="343" t="s">
        <v>1880</v>
      </c>
      <c r="J4888" s="343" t="s">
        <v>757</v>
      </c>
      <c r="K4888" s="343" t="s">
        <v>770</v>
      </c>
      <c r="L4888" s="344">
        <v>44228</v>
      </c>
      <c r="M4888" s="347">
        <v>0</v>
      </c>
    </row>
    <row r="4889" spans="1:13" hidden="1" x14ac:dyDescent="0.25">
      <c r="A4889" s="344">
        <v>44256</v>
      </c>
      <c r="B4889" s="343" t="s">
        <v>2017</v>
      </c>
      <c r="C4889" s="343" t="s">
        <v>769</v>
      </c>
      <c r="D4889" s="345">
        <v>9</v>
      </c>
      <c r="E4889" s="346">
        <v>78.180000000000007</v>
      </c>
      <c r="F4889" s="346">
        <v>19012.190000000101</v>
      </c>
      <c r="G4889" s="343" t="s">
        <v>2018</v>
      </c>
      <c r="H4889" s="343" t="s">
        <v>2345</v>
      </c>
      <c r="I4889" s="343" t="s">
        <v>1880</v>
      </c>
      <c r="J4889" s="343" t="s">
        <v>757</v>
      </c>
      <c r="K4889" s="343" t="s">
        <v>770</v>
      </c>
      <c r="L4889" s="344">
        <v>44256</v>
      </c>
      <c r="M4889" s="347">
        <v>0</v>
      </c>
    </row>
    <row r="4890" spans="1:13" hidden="1" x14ac:dyDescent="0.25">
      <c r="A4890" s="344">
        <v>44280</v>
      </c>
      <c r="B4890" s="343" t="s">
        <v>1058</v>
      </c>
      <c r="C4890" s="343" t="s">
        <v>769</v>
      </c>
      <c r="D4890" s="345">
        <v>9</v>
      </c>
      <c r="E4890" s="346">
        <v>92.86</v>
      </c>
      <c r="F4890" s="346">
        <v>19105.050000000101</v>
      </c>
      <c r="G4890" s="343" t="s">
        <v>2340</v>
      </c>
      <c r="H4890" s="343" t="s">
        <v>2345</v>
      </c>
      <c r="I4890" s="343" t="s">
        <v>1880</v>
      </c>
      <c r="J4890" s="343" t="s">
        <v>757</v>
      </c>
      <c r="K4890" s="343" t="s">
        <v>770</v>
      </c>
      <c r="L4890" s="344">
        <v>44280</v>
      </c>
      <c r="M4890" s="347">
        <v>0</v>
      </c>
    </row>
    <row r="4891" spans="1:13" hidden="1" x14ac:dyDescent="0.25">
      <c r="A4891" s="344">
        <v>44129</v>
      </c>
      <c r="B4891" s="343" t="s">
        <v>1011</v>
      </c>
      <c r="C4891" s="343" t="s">
        <v>769</v>
      </c>
      <c r="D4891" s="345">
        <v>4</v>
      </c>
      <c r="E4891" s="346">
        <v>92.86</v>
      </c>
      <c r="F4891" s="346">
        <v>19197.910000000102</v>
      </c>
      <c r="G4891" s="343" t="s">
        <v>2340</v>
      </c>
      <c r="H4891" s="343" t="s">
        <v>2349</v>
      </c>
      <c r="I4891" s="343" t="s">
        <v>1880</v>
      </c>
      <c r="J4891" s="343" t="s">
        <v>757</v>
      </c>
      <c r="K4891" s="343" t="s">
        <v>770</v>
      </c>
      <c r="L4891" s="344">
        <v>44129</v>
      </c>
      <c r="M4891" s="347">
        <v>0</v>
      </c>
    </row>
    <row r="4892" spans="1:13" hidden="1" x14ac:dyDescent="0.25">
      <c r="A4892" s="344">
        <v>44227</v>
      </c>
      <c r="B4892" s="343" t="s">
        <v>1974</v>
      </c>
      <c r="C4892" s="343" t="s">
        <v>1059</v>
      </c>
      <c r="D4892" s="345">
        <v>8</v>
      </c>
      <c r="E4892" s="346">
        <v>-72.16</v>
      </c>
      <c r="F4892" s="346">
        <v>19125.750000000098</v>
      </c>
      <c r="G4892" s="343" t="s">
        <v>1975</v>
      </c>
      <c r="H4892" s="343" t="s">
        <v>2349</v>
      </c>
      <c r="I4892" s="343" t="s">
        <v>1880</v>
      </c>
      <c r="J4892" s="343" t="s">
        <v>757</v>
      </c>
      <c r="K4892" s="343" t="s">
        <v>741</v>
      </c>
      <c r="L4892" s="344">
        <v>44227</v>
      </c>
      <c r="M4892" s="347">
        <v>0</v>
      </c>
    </row>
    <row r="4893" spans="1:13" hidden="1" x14ac:dyDescent="0.25">
      <c r="A4893" s="349">
        <v>44172</v>
      </c>
      <c r="B4893" s="348" t="s">
        <v>2350</v>
      </c>
      <c r="C4893" s="348" t="s">
        <v>769</v>
      </c>
      <c r="D4893" s="350">
        <v>6</v>
      </c>
      <c r="E4893" s="351">
        <v>57.71</v>
      </c>
      <c r="F4893" s="351">
        <v>57.71</v>
      </c>
      <c r="G4893" s="348" t="s">
        <v>2351</v>
      </c>
      <c r="H4893" s="348" t="s">
        <v>2352</v>
      </c>
      <c r="I4893" s="348" t="s">
        <v>2353</v>
      </c>
      <c r="J4893" s="348" t="s">
        <v>757</v>
      </c>
      <c r="K4893" s="348" t="s">
        <v>770</v>
      </c>
      <c r="L4893" s="349">
        <v>44172</v>
      </c>
      <c r="M4893" s="352">
        <v>0</v>
      </c>
    </row>
    <row r="4894" spans="1:13" hidden="1" x14ac:dyDescent="0.25">
      <c r="A4894" s="349">
        <v>44176</v>
      </c>
      <c r="B4894" s="348" t="s">
        <v>2354</v>
      </c>
      <c r="C4894" s="348" t="s">
        <v>769</v>
      </c>
      <c r="D4894" s="350">
        <v>6</v>
      </c>
      <c r="E4894" s="351">
        <v>5.37</v>
      </c>
      <c r="F4894" s="351">
        <v>63.08</v>
      </c>
      <c r="G4894" s="348" t="s">
        <v>2355</v>
      </c>
      <c r="H4894" s="348" t="s">
        <v>2352</v>
      </c>
      <c r="I4894" s="348" t="s">
        <v>2353</v>
      </c>
      <c r="J4894" s="348" t="s">
        <v>757</v>
      </c>
      <c r="K4894" s="348" t="s">
        <v>770</v>
      </c>
      <c r="L4894" s="349">
        <v>44176</v>
      </c>
      <c r="M4894" s="352">
        <v>0</v>
      </c>
    </row>
    <row r="4895" spans="1:13" hidden="1" x14ac:dyDescent="0.25">
      <c r="A4895" s="349">
        <v>44179</v>
      </c>
      <c r="B4895" s="348" t="s">
        <v>2356</v>
      </c>
      <c r="C4895" s="348" t="s">
        <v>769</v>
      </c>
      <c r="D4895" s="350">
        <v>6</v>
      </c>
      <c r="E4895" s="351">
        <v>8.06</v>
      </c>
      <c r="F4895" s="351">
        <v>71.14</v>
      </c>
      <c r="G4895" s="348" t="s">
        <v>2357</v>
      </c>
      <c r="H4895" s="348" t="s">
        <v>2352</v>
      </c>
      <c r="I4895" s="348" t="s">
        <v>2353</v>
      </c>
      <c r="J4895" s="348" t="s">
        <v>757</v>
      </c>
      <c r="K4895" s="348" t="s">
        <v>770</v>
      </c>
      <c r="L4895" s="349">
        <v>44179</v>
      </c>
      <c r="M4895" s="352">
        <v>0</v>
      </c>
    </row>
    <row r="4896" spans="1:13" hidden="1" x14ac:dyDescent="0.25">
      <c r="A4896" s="349">
        <v>44172</v>
      </c>
      <c r="B4896" s="348" t="s">
        <v>2350</v>
      </c>
      <c r="C4896" s="348" t="s">
        <v>769</v>
      </c>
      <c r="D4896" s="350">
        <v>6</v>
      </c>
      <c r="E4896" s="351">
        <v>57.71</v>
      </c>
      <c r="F4896" s="351">
        <v>128.85</v>
      </c>
      <c r="G4896" s="348" t="s">
        <v>2351</v>
      </c>
      <c r="H4896" s="348" t="s">
        <v>2358</v>
      </c>
      <c r="I4896" s="348" t="s">
        <v>2353</v>
      </c>
      <c r="J4896" s="348" t="s">
        <v>757</v>
      </c>
      <c r="K4896" s="348" t="s">
        <v>770</v>
      </c>
      <c r="L4896" s="349">
        <v>44172</v>
      </c>
      <c r="M4896" s="352">
        <v>0</v>
      </c>
    </row>
    <row r="4897" spans="1:13" hidden="1" x14ac:dyDescent="0.25">
      <c r="A4897" s="349">
        <v>44176</v>
      </c>
      <c r="B4897" s="348" t="s">
        <v>2354</v>
      </c>
      <c r="C4897" s="348" t="s">
        <v>769</v>
      </c>
      <c r="D4897" s="350">
        <v>6</v>
      </c>
      <c r="E4897" s="351">
        <v>5.37</v>
      </c>
      <c r="F4897" s="351">
        <v>134.22</v>
      </c>
      <c r="G4897" s="348" t="s">
        <v>2355</v>
      </c>
      <c r="H4897" s="348" t="s">
        <v>2358</v>
      </c>
      <c r="I4897" s="348" t="s">
        <v>2353</v>
      </c>
      <c r="J4897" s="348" t="s">
        <v>757</v>
      </c>
      <c r="K4897" s="348" t="s">
        <v>770</v>
      </c>
      <c r="L4897" s="349">
        <v>44176</v>
      </c>
      <c r="M4897" s="352">
        <v>0</v>
      </c>
    </row>
    <row r="4898" spans="1:13" hidden="1" x14ac:dyDescent="0.25">
      <c r="A4898" s="349">
        <v>44179</v>
      </c>
      <c r="B4898" s="348" t="s">
        <v>2356</v>
      </c>
      <c r="C4898" s="348" t="s">
        <v>769</v>
      </c>
      <c r="D4898" s="350">
        <v>6</v>
      </c>
      <c r="E4898" s="351">
        <v>8.06</v>
      </c>
      <c r="F4898" s="351">
        <v>142.28</v>
      </c>
      <c r="G4898" s="348" t="s">
        <v>2357</v>
      </c>
      <c r="H4898" s="348" t="s">
        <v>2358</v>
      </c>
      <c r="I4898" s="348" t="s">
        <v>2353</v>
      </c>
      <c r="J4898" s="348" t="s">
        <v>757</v>
      </c>
      <c r="K4898" s="348" t="s">
        <v>770</v>
      </c>
      <c r="L4898" s="349">
        <v>44179</v>
      </c>
      <c r="M4898" s="352">
        <v>0</v>
      </c>
    </row>
    <row r="4899" spans="1:13" hidden="1" x14ac:dyDescent="0.25">
      <c r="A4899" s="349">
        <v>44172</v>
      </c>
      <c r="B4899" s="348" t="s">
        <v>2350</v>
      </c>
      <c r="C4899" s="348" t="s">
        <v>769</v>
      </c>
      <c r="D4899" s="350">
        <v>6</v>
      </c>
      <c r="E4899" s="351">
        <v>57.71</v>
      </c>
      <c r="F4899" s="351">
        <v>199.99</v>
      </c>
      <c r="G4899" s="348" t="s">
        <v>2351</v>
      </c>
      <c r="H4899" s="348" t="s">
        <v>2359</v>
      </c>
      <c r="I4899" s="348" t="s">
        <v>2353</v>
      </c>
      <c r="J4899" s="348" t="s">
        <v>757</v>
      </c>
      <c r="K4899" s="348" t="s">
        <v>770</v>
      </c>
      <c r="L4899" s="349">
        <v>44172</v>
      </c>
      <c r="M4899" s="352">
        <v>0</v>
      </c>
    </row>
    <row r="4900" spans="1:13" hidden="1" x14ac:dyDescent="0.25">
      <c r="A4900" s="349">
        <v>44176</v>
      </c>
      <c r="B4900" s="348" t="s">
        <v>2354</v>
      </c>
      <c r="C4900" s="348" t="s">
        <v>769</v>
      </c>
      <c r="D4900" s="350">
        <v>6</v>
      </c>
      <c r="E4900" s="351">
        <v>5.37</v>
      </c>
      <c r="F4900" s="351">
        <v>205.36</v>
      </c>
      <c r="G4900" s="348" t="s">
        <v>2355</v>
      </c>
      <c r="H4900" s="348" t="s">
        <v>2359</v>
      </c>
      <c r="I4900" s="348" t="s">
        <v>2353</v>
      </c>
      <c r="J4900" s="348" t="s">
        <v>757</v>
      </c>
      <c r="K4900" s="348" t="s">
        <v>770</v>
      </c>
      <c r="L4900" s="349">
        <v>44176</v>
      </c>
      <c r="M4900" s="352">
        <v>0</v>
      </c>
    </row>
    <row r="4901" spans="1:13" hidden="1" x14ac:dyDescent="0.25">
      <c r="A4901" s="349">
        <v>44179</v>
      </c>
      <c r="B4901" s="348" t="s">
        <v>2356</v>
      </c>
      <c r="C4901" s="348" t="s">
        <v>769</v>
      </c>
      <c r="D4901" s="350">
        <v>6</v>
      </c>
      <c r="E4901" s="351">
        <v>8.06</v>
      </c>
      <c r="F4901" s="351">
        <v>213.42</v>
      </c>
      <c r="G4901" s="348" t="s">
        <v>2357</v>
      </c>
      <c r="H4901" s="348" t="s">
        <v>2359</v>
      </c>
      <c r="I4901" s="348" t="s">
        <v>2353</v>
      </c>
      <c r="J4901" s="348" t="s">
        <v>757</v>
      </c>
      <c r="K4901" s="348" t="s">
        <v>770</v>
      </c>
      <c r="L4901" s="349">
        <v>44179</v>
      </c>
      <c r="M4901" s="352">
        <v>0</v>
      </c>
    </row>
    <row r="4902" spans="1:13" hidden="1" x14ac:dyDescent="0.25">
      <c r="A4902" s="349">
        <v>44263</v>
      </c>
      <c r="B4902" s="348" t="s">
        <v>1345</v>
      </c>
      <c r="C4902" s="348" t="s">
        <v>769</v>
      </c>
      <c r="D4902" s="350">
        <v>9</v>
      </c>
      <c r="E4902" s="351">
        <v>6.32</v>
      </c>
      <c r="F4902" s="351">
        <v>219.74</v>
      </c>
      <c r="G4902" s="348" t="s">
        <v>2360</v>
      </c>
      <c r="H4902" s="348" t="s">
        <v>2359</v>
      </c>
      <c r="I4902" s="348" t="s">
        <v>2353</v>
      </c>
      <c r="J4902" s="348" t="s">
        <v>757</v>
      </c>
      <c r="K4902" s="348" t="s">
        <v>770</v>
      </c>
      <c r="L4902" s="349">
        <v>44263</v>
      </c>
      <c r="M4902" s="352">
        <v>0</v>
      </c>
    </row>
    <row r="4903" spans="1:13" hidden="1" x14ac:dyDescent="0.25">
      <c r="A4903" s="349">
        <v>44176</v>
      </c>
      <c r="B4903" s="348" t="s">
        <v>2354</v>
      </c>
      <c r="C4903" s="348" t="s">
        <v>769</v>
      </c>
      <c r="D4903" s="350">
        <v>6</v>
      </c>
      <c r="E4903" s="351">
        <v>5.37</v>
      </c>
      <c r="F4903" s="351">
        <v>225.11</v>
      </c>
      <c r="G4903" s="348" t="s">
        <v>2355</v>
      </c>
      <c r="H4903" s="348" t="s">
        <v>2361</v>
      </c>
      <c r="I4903" s="348" t="s">
        <v>2353</v>
      </c>
      <c r="J4903" s="348" t="s">
        <v>757</v>
      </c>
      <c r="K4903" s="348" t="s">
        <v>770</v>
      </c>
      <c r="L4903" s="349">
        <v>44176</v>
      </c>
      <c r="M4903" s="352">
        <v>0</v>
      </c>
    </row>
    <row r="4904" spans="1:13" hidden="1" x14ac:dyDescent="0.25">
      <c r="A4904" s="349">
        <v>44179</v>
      </c>
      <c r="B4904" s="348" t="s">
        <v>2356</v>
      </c>
      <c r="C4904" s="348" t="s">
        <v>769</v>
      </c>
      <c r="D4904" s="350">
        <v>6</v>
      </c>
      <c r="E4904" s="351">
        <v>8.06</v>
      </c>
      <c r="F4904" s="351">
        <v>233.17</v>
      </c>
      <c r="G4904" s="348" t="s">
        <v>2357</v>
      </c>
      <c r="H4904" s="348" t="s">
        <v>2361</v>
      </c>
      <c r="I4904" s="348" t="s">
        <v>2353</v>
      </c>
      <c r="J4904" s="348" t="s">
        <v>757</v>
      </c>
      <c r="K4904" s="348" t="s">
        <v>770</v>
      </c>
      <c r="L4904" s="349">
        <v>44179</v>
      </c>
      <c r="M4904" s="352">
        <v>0</v>
      </c>
    </row>
    <row r="4905" spans="1:13" hidden="1" x14ac:dyDescent="0.25">
      <c r="A4905" s="349">
        <v>44039</v>
      </c>
      <c r="B4905" s="348" t="s">
        <v>1350</v>
      </c>
      <c r="C4905" s="348" t="s">
        <v>769</v>
      </c>
      <c r="D4905" s="350">
        <v>1</v>
      </c>
      <c r="E4905" s="351">
        <v>46.27</v>
      </c>
      <c r="F4905" s="351">
        <v>279.44</v>
      </c>
      <c r="G4905" s="348" t="s">
        <v>1351</v>
      </c>
      <c r="H4905" s="348" t="s">
        <v>2362</v>
      </c>
      <c r="I4905" s="348" t="s">
        <v>2353</v>
      </c>
      <c r="J4905" s="348" t="s">
        <v>757</v>
      </c>
      <c r="K4905" s="348" t="s">
        <v>770</v>
      </c>
      <c r="L4905" s="349">
        <v>44039</v>
      </c>
      <c r="M4905" s="352">
        <v>0</v>
      </c>
    </row>
    <row r="4906" spans="1:13" hidden="1" x14ac:dyDescent="0.25">
      <c r="A4906" s="349">
        <v>44266</v>
      </c>
      <c r="B4906" s="348" t="s">
        <v>2363</v>
      </c>
      <c r="C4906" s="348" t="s">
        <v>769</v>
      </c>
      <c r="D4906" s="350">
        <v>9</v>
      </c>
      <c r="E4906" s="351">
        <v>46.18</v>
      </c>
      <c r="F4906" s="351">
        <v>325.62</v>
      </c>
      <c r="G4906" s="348" t="s">
        <v>2364</v>
      </c>
      <c r="H4906" s="348" t="s">
        <v>2362</v>
      </c>
      <c r="I4906" s="348" t="s">
        <v>2353</v>
      </c>
      <c r="J4906" s="348" t="s">
        <v>757</v>
      </c>
      <c r="K4906" s="348" t="s">
        <v>770</v>
      </c>
      <c r="L4906" s="349">
        <v>44266</v>
      </c>
      <c r="M4906" s="352">
        <v>0</v>
      </c>
    </row>
    <row r="4907" spans="1:13" hidden="1" x14ac:dyDescent="0.25">
      <c r="A4907" s="349">
        <v>44284</v>
      </c>
      <c r="B4907" s="348" t="s">
        <v>2365</v>
      </c>
      <c r="C4907" s="348" t="s">
        <v>2366</v>
      </c>
      <c r="D4907" s="350">
        <v>9</v>
      </c>
      <c r="E4907" s="351">
        <v>-3.63</v>
      </c>
      <c r="F4907" s="351">
        <v>321.99</v>
      </c>
      <c r="G4907" s="348" t="s">
        <v>2367</v>
      </c>
      <c r="H4907" s="348" t="s">
        <v>2362</v>
      </c>
      <c r="I4907" s="348" t="s">
        <v>2353</v>
      </c>
      <c r="J4907" s="348" t="s">
        <v>757</v>
      </c>
      <c r="K4907" s="348" t="s">
        <v>2368</v>
      </c>
      <c r="L4907" s="349">
        <v>44284</v>
      </c>
      <c r="M4907" s="352">
        <v>0</v>
      </c>
    </row>
    <row r="4908" spans="1:13" hidden="1" x14ac:dyDescent="0.25">
      <c r="A4908" s="349">
        <v>44133</v>
      </c>
      <c r="B4908" s="348" t="s">
        <v>2369</v>
      </c>
      <c r="C4908" s="348" t="s">
        <v>2366</v>
      </c>
      <c r="D4908" s="350">
        <v>4</v>
      </c>
      <c r="E4908" s="351">
        <v>-0.91</v>
      </c>
      <c r="F4908" s="351">
        <v>321.08</v>
      </c>
      <c r="G4908" s="348" t="s">
        <v>2370</v>
      </c>
      <c r="H4908" s="348" t="s">
        <v>2371</v>
      </c>
      <c r="I4908" s="348" t="s">
        <v>2353</v>
      </c>
      <c r="J4908" s="348" t="s">
        <v>757</v>
      </c>
      <c r="K4908" s="348" t="s">
        <v>2368</v>
      </c>
      <c r="L4908" s="349">
        <v>44133</v>
      </c>
      <c r="M4908" s="352">
        <v>0</v>
      </c>
    </row>
    <row r="4909" spans="1:13" hidden="1" x14ac:dyDescent="0.25">
      <c r="A4909" s="349">
        <v>44176</v>
      </c>
      <c r="B4909" s="348" t="s">
        <v>2354</v>
      </c>
      <c r="C4909" s="348" t="s">
        <v>769</v>
      </c>
      <c r="D4909" s="350">
        <v>6</v>
      </c>
      <c r="E4909" s="351">
        <v>5.37</v>
      </c>
      <c r="F4909" s="351">
        <v>326.45</v>
      </c>
      <c r="G4909" s="348" t="s">
        <v>2355</v>
      </c>
      <c r="H4909" s="348" t="s">
        <v>2371</v>
      </c>
      <c r="I4909" s="348" t="s">
        <v>2353</v>
      </c>
      <c r="J4909" s="348" t="s">
        <v>757</v>
      </c>
      <c r="K4909" s="348" t="s">
        <v>770</v>
      </c>
      <c r="L4909" s="349">
        <v>44176</v>
      </c>
      <c r="M4909" s="352">
        <v>0</v>
      </c>
    </row>
    <row r="4910" spans="1:13" hidden="1" x14ac:dyDescent="0.25">
      <c r="A4910" s="349">
        <v>44179</v>
      </c>
      <c r="B4910" s="348" t="s">
        <v>2356</v>
      </c>
      <c r="C4910" s="348" t="s">
        <v>769</v>
      </c>
      <c r="D4910" s="350">
        <v>6</v>
      </c>
      <c r="E4910" s="351">
        <v>8.06</v>
      </c>
      <c r="F4910" s="351">
        <v>334.51</v>
      </c>
      <c r="G4910" s="348" t="s">
        <v>2357</v>
      </c>
      <c r="H4910" s="348" t="s">
        <v>2371</v>
      </c>
      <c r="I4910" s="348" t="s">
        <v>2353</v>
      </c>
      <c r="J4910" s="348" t="s">
        <v>757</v>
      </c>
      <c r="K4910" s="348" t="s">
        <v>770</v>
      </c>
      <c r="L4910" s="349">
        <v>44179</v>
      </c>
      <c r="M4910" s="352">
        <v>0</v>
      </c>
    </row>
    <row r="4911" spans="1:13" hidden="1" x14ac:dyDescent="0.25">
      <c r="A4911" s="349">
        <v>44176</v>
      </c>
      <c r="B4911" s="348" t="s">
        <v>2354</v>
      </c>
      <c r="C4911" s="348" t="s">
        <v>769</v>
      </c>
      <c r="D4911" s="350">
        <v>6</v>
      </c>
      <c r="E4911" s="351">
        <v>5.37</v>
      </c>
      <c r="F4911" s="351">
        <v>339.88</v>
      </c>
      <c r="G4911" s="348" t="s">
        <v>2355</v>
      </c>
      <c r="H4911" s="348" t="s">
        <v>2372</v>
      </c>
      <c r="I4911" s="348" t="s">
        <v>2353</v>
      </c>
      <c r="J4911" s="348" t="s">
        <v>757</v>
      </c>
      <c r="K4911" s="348" t="s">
        <v>770</v>
      </c>
      <c r="L4911" s="349">
        <v>44176</v>
      </c>
      <c r="M4911" s="352">
        <v>0</v>
      </c>
    </row>
    <row r="4912" spans="1:13" hidden="1" x14ac:dyDescent="0.25">
      <c r="A4912" s="349">
        <v>44179</v>
      </c>
      <c r="B4912" s="348" t="s">
        <v>2356</v>
      </c>
      <c r="C4912" s="348" t="s">
        <v>769</v>
      </c>
      <c r="D4912" s="350">
        <v>6</v>
      </c>
      <c r="E4912" s="351">
        <v>8.06</v>
      </c>
      <c r="F4912" s="351">
        <v>347.94</v>
      </c>
      <c r="G4912" s="348" t="s">
        <v>2357</v>
      </c>
      <c r="H4912" s="348" t="s">
        <v>2372</v>
      </c>
      <c r="I4912" s="348" t="s">
        <v>2353</v>
      </c>
      <c r="J4912" s="348" t="s">
        <v>757</v>
      </c>
      <c r="K4912" s="348" t="s">
        <v>770</v>
      </c>
      <c r="L4912" s="349">
        <v>44179</v>
      </c>
      <c r="M4912" s="352">
        <v>0</v>
      </c>
    </row>
    <row r="4913" spans="1:13" hidden="1" x14ac:dyDescent="0.25">
      <c r="A4913" s="349">
        <v>44176</v>
      </c>
      <c r="B4913" s="348" t="s">
        <v>2354</v>
      </c>
      <c r="C4913" s="348" t="s">
        <v>769</v>
      </c>
      <c r="D4913" s="350">
        <v>6</v>
      </c>
      <c r="E4913" s="351">
        <v>5.42</v>
      </c>
      <c r="F4913" s="351">
        <v>353.36</v>
      </c>
      <c r="G4913" s="348" t="s">
        <v>2355</v>
      </c>
      <c r="H4913" s="348" t="s">
        <v>2373</v>
      </c>
      <c r="I4913" s="348" t="s">
        <v>2353</v>
      </c>
      <c r="J4913" s="348" t="s">
        <v>757</v>
      </c>
      <c r="K4913" s="348" t="s">
        <v>770</v>
      </c>
      <c r="L4913" s="349">
        <v>44176</v>
      </c>
      <c r="M4913" s="352">
        <v>0</v>
      </c>
    </row>
    <row r="4914" spans="1:13" hidden="1" x14ac:dyDescent="0.25">
      <c r="A4914" s="349">
        <v>44179</v>
      </c>
      <c r="B4914" s="348" t="s">
        <v>2356</v>
      </c>
      <c r="C4914" s="348" t="s">
        <v>769</v>
      </c>
      <c r="D4914" s="350">
        <v>6</v>
      </c>
      <c r="E4914" s="351">
        <v>8.09</v>
      </c>
      <c r="F4914" s="351">
        <v>361.45</v>
      </c>
      <c r="G4914" s="348" t="s">
        <v>2357</v>
      </c>
      <c r="H4914" s="348" t="s">
        <v>2373</v>
      </c>
      <c r="I4914" s="348" t="s">
        <v>2353</v>
      </c>
      <c r="J4914" s="348" t="s">
        <v>757</v>
      </c>
      <c r="K4914" s="348" t="s">
        <v>770</v>
      </c>
      <c r="L4914" s="349">
        <v>44179</v>
      </c>
      <c r="M4914" s="352">
        <v>0</v>
      </c>
    </row>
    <row r="4915" spans="1:13" hidden="1" x14ac:dyDescent="0.25">
      <c r="A4915" s="349">
        <v>44047</v>
      </c>
      <c r="B4915" s="348" t="s">
        <v>2374</v>
      </c>
      <c r="C4915" s="348" t="s">
        <v>769</v>
      </c>
      <c r="D4915" s="350">
        <v>2</v>
      </c>
      <c r="E4915" s="351">
        <v>2.02</v>
      </c>
      <c r="F4915" s="351">
        <v>363.47</v>
      </c>
      <c r="G4915" s="348" t="s">
        <v>2375</v>
      </c>
      <c r="H4915" s="348" t="s">
        <v>2376</v>
      </c>
      <c r="I4915" s="348" t="s">
        <v>2353</v>
      </c>
      <c r="J4915" s="348" t="s">
        <v>757</v>
      </c>
      <c r="K4915" s="348" t="s">
        <v>770</v>
      </c>
      <c r="L4915" s="349">
        <v>44047</v>
      </c>
      <c r="M4915" s="352">
        <v>0</v>
      </c>
    </row>
    <row r="4916" spans="1:13" hidden="1" x14ac:dyDescent="0.25">
      <c r="A4916" s="349">
        <v>44229</v>
      </c>
      <c r="B4916" s="348" t="s">
        <v>2377</v>
      </c>
      <c r="C4916" s="348" t="s">
        <v>769</v>
      </c>
      <c r="D4916" s="350">
        <v>8</v>
      </c>
      <c r="E4916" s="351">
        <v>8.18</v>
      </c>
      <c r="F4916" s="351">
        <v>371.65</v>
      </c>
      <c r="G4916" s="348" t="s">
        <v>2378</v>
      </c>
      <c r="H4916" s="348" t="s">
        <v>2379</v>
      </c>
      <c r="I4916" s="348" t="s">
        <v>2353</v>
      </c>
      <c r="J4916" s="348" t="s">
        <v>757</v>
      </c>
      <c r="K4916" s="348" t="s">
        <v>770</v>
      </c>
      <c r="L4916" s="349">
        <v>44229</v>
      </c>
      <c r="M4916" s="352">
        <v>0</v>
      </c>
    </row>
    <row r="4917" spans="1:13" hidden="1" x14ac:dyDescent="0.25">
      <c r="A4917" s="349">
        <v>44229</v>
      </c>
      <c r="B4917" s="348" t="s">
        <v>2377</v>
      </c>
      <c r="C4917" s="348" t="s">
        <v>769</v>
      </c>
      <c r="D4917" s="350">
        <v>8</v>
      </c>
      <c r="E4917" s="351">
        <v>8.18</v>
      </c>
      <c r="F4917" s="351">
        <v>379.83</v>
      </c>
      <c r="G4917" s="348" t="s">
        <v>2378</v>
      </c>
      <c r="H4917" s="348" t="s">
        <v>2380</v>
      </c>
      <c r="I4917" s="348" t="s">
        <v>2353</v>
      </c>
      <c r="J4917" s="348" t="s">
        <v>757</v>
      </c>
      <c r="K4917" s="348" t="s">
        <v>770</v>
      </c>
      <c r="L4917" s="349">
        <v>44229</v>
      </c>
      <c r="M4917" s="352">
        <v>0</v>
      </c>
    </row>
    <row r="4918" spans="1:13" hidden="1" x14ac:dyDescent="0.25">
      <c r="A4918" s="349">
        <v>44229</v>
      </c>
      <c r="B4918" s="348" t="s">
        <v>2377</v>
      </c>
      <c r="C4918" s="348" t="s">
        <v>769</v>
      </c>
      <c r="D4918" s="350">
        <v>8</v>
      </c>
      <c r="E4918" s="351">
        <v>8.19</v>
      </c>
      <c r="F4918" s="351">
        <v>388.02</v>
      </c>
      <c r="G4918" s="348" t="s">
        <v>2378</v>
      </c>
      <c r="H4918" s="348" t="s">
        <v>2381</v>
      </c>
      <c r="I4918" s="348" t="s">
        <v>2353</v>
      </c>
      <c r="J4918" s="348" t="s">
        <v>757</v>
      </c>
      <c r="K4918" s="348" t="s">
        <v>770</v>
      </c>
      <c r="L4918" s="349">
        <v>44229</v>
      </c>
      <c r="M4918" s="352">
        <v>0</v>
      </c>
    </row>
    <row r="4919" spans="1:13" hidden="1" x14ac:dyDescent="0.25">
      <c r="A4919" s="349">
        <v>44289</v>
      </c>
      <c r="B4919" s="348" t="s">
        <v>2382</v>
      </c>
      <c r="C4919" s="348" t="s">
        <v>2366</v>
      </c>
      <c r="D4919" s="350">
        <v>10</v>
      </c>
      <c r="E4919" s="351">
        <v>-3.64</v>
      </c>
      <c r="F4919" s="351">
        <v>384.38</v>
      </c>
      <c r="G4919" s="348" t="s">
        <v>2383</v>
      </c>
      <c r="H4919" s="348" t="s">
        <v>2384</v>
      </c>
      <c r="I4919" s="348" t="s">
        <v>2353</v>
      </c>
      <c r="J4919" s="348" t="s">
        <v>757</v>
      </c>
      <c r="K4919" s="348" t="s">
        <v>2368</v>
      </c>
      <c r="L4919" s="349">
        <v>44289</v>
      </c>
      <c r="M4919" s="352">
        <v>0</v>
      </c>
    </row>
    <row r="4920" spans="1:13" hidden="1" x14ac:dyDescent="0.25">
      <c r="A4920" s="349">
        <v>44259</v>
      </c>
      <c r="B4920" s="348" t="s">
        <v>2385</v>
      </c>
      <c r="C4920" s="348" t="s">
        <v>769</v>
      </c>
      <c r="D4920" s="350">
        <v>9</v>
      </c>
      <c r="E4920" s="351">
        <v>92.82</v>
      </c>
      <c r="F4920" s="351">
        <v>477.2</v>
      </c>
      <c r="G4920" s="348" t="s">
        <v>2364</v>
      </c>
      <c r="H4920" s="348" t="s">
        <v>2386</v>
      </c>
      <c r="I4920" s="348" t="s">
        <v>2353</v>
      </c>
      <c r="J4920" s="348" t="s">
        <v>757</v>
      </c>
      <c r="K4920" s="348" t="s">
        <v>770</v>
      </c>
      <c r="L4920" s="349">
        <v>44259</v>
      </c>
      <c r="M4920" s="352">
        <v>0</v>
      </c>
    </row>
    <row r="4921" spans="1:13" hidden="1" x14ac:dyDescent="0.25">
      <c r="A4921" s="349">
        <v>44286</v>
      </c>
      <c r="B4921" s="348" t="s">
        <v>2387</v>
      </c>
      <c r="C4921" s="348" t="s">
        <v>769</v>
      </c>
      <c r="D4921" s="350">
        <v>9</v>
      </c>
      <c r="E4921" s="351">
        <v>53.78</v>
      </c>
      <c r="F4921" s="351">
        <v>530.98</v>
      </c>
      <c r="G4921" s="348" t="s">
        <v>1432</v>
      </c>
      <c r="H4921" s="348" t="s">
        <v>2388</v>
      </c>
      <c r="I4921" s="348" t="s">
        <v>2353</v>
      </c>
      <c r="J4921" s="348" t="s">
        <v>757</v>
      </c>
      <c r="K4921" s="348" t="s">
        <v>770</v>
      </c>
      <c r="L4921" s="349">
        <v>44272</v>
      </c>
      <c r="M4921" s="352">
        <v>0</v>
      </c>
    </row>
    <row r="4922" spans="1:13" hidden="1" x14ac:dyDescent="0.25">
      <c r="A4922" s="349">
        <v>44229</v>
      </c>
      <c r="B4922" s="348" t="s">
        <v>2389</v>
      </c>
      <c r="C4922" s="348" t="s">
        <v>769</v>
      </c>
      <c r="D4922" s="350">
        <v>8</v>
      </c>
      <c r="E4922" s="351">
        <v>19.03</v>
      </c>
      <c r="F4922" s="351">
        <v>550.01</v>
      </c>
      <c r="G4922" s="348" t="s">
        <v>2390</v>
      </c>
      <c r="H4922" s="348" t="s">
        <v>2391</v>
      </c>
      <c r="I4922" s="348" t="s">
        <v>2353</v>
      </c>
      <c r="J4922" s="348" t="s">
        <v>757</v>
      </c>
      <c r="K4922" s="348" t="s">
        <v>770</v>
      </c>
      <c r="L4922" s="349">
        <v>44229</v>
      </c>
      <c r="M4922" s="352">
        <v>0</v>
      </c>
    </row>
    <row r="4923" spans="1:13" hidden="1" x14ac:dyDescent="0.25">
      <c r="A4923" s="349">
        <v>44257</v>
      </c>
      <c r="B4923" s="348" t="s">
        <v>2392</v>
      </c>
      <c r="C4923" s="348" t="s">
        <v>769</v>
      </c>
      <c r="D4923" s="350">
        <v>9</v>
      </c>
      <c r="E4923" s="351">
        <v>18.510000000000002</v>
      </c>
      <c r="F4923" s="351">
        <v>568.52</v>
      </c>
      <c r="G4923" s="348" t="s">
        <v>2364</v>
      </c>
      <c r="H4923" s="348" t="s">
        <v>2391</v>
      </c>
      <c r="I4923" s="348" t="s">
        <v>2353</v>
      </c>
      <c r="J4923" s="348" t="s">
        <v>757</v>
      </c>
      <c r="K4923" s="348" t="s">
        <v>770</v>
      </c>
      <c r="L4923" s="349">
        <v>44257</v>
      </c>
      <c r="M4923" s="352">
        <v>0</v>
      </c>
    </row>
    <row r="4924" spans="1:13" hidden="1" x14ac:dyDescent="0.25">
      <c r="A4924" s="349">
        <v>44229</v>
      </c>
      <c r="B4924" s="348" t="s">
        <v>2389</v>
      </c>
      <c r="C4924" s="348" t="s">
        <v>769</v>
      </c>
      <c r="D4924" s="350">
        <v>8</v>
      </c>
      <c r="E4924" s="351">
        <v>19.05</v>
      </c>
      <c r="F4924" s="351">
        <v>587.57000000000005</v>
      </c>
      <c r="G4924" s="348" t="s">
        <v>2390</v>
      </c>
      <c r="H4924" s="348" t="s">
        <v>2393</v>
      </c>
      <c r="I4924" s="348" t="s">
        <v>2353</v>
      </c>
      <c r="J4924" s="348" t="s">
        <v>757</v>
      </c>
      <c r="K4924" s="348" t="s">
        <v>770</v>
      </c>
      <c r="L4924" s="349">
        <v>44229</v>
      </c>
      <c r="M4924" s="352">
        <v>0</v>
      </c>
    </row>
    <row r="4925" spans="1:13" hidden="1" x14ac:dyDescent="0.25">
      <c r="A4925" s="349">
        <v>44257</v>
      </c>
      <c r="B4925" s="348" t="s">
        <v>2392</v>
      </c>
      <c r="C4925" s="348" t="s">
        <v>769</v>
      </c>
      <c r="D4925" s="350">
        <v>9</v>
      </c>
      <c r="E4925" s="351">
        <v>18.510000000000002</v>
      </c>
      <c r="F4925" s="351">
        <v>606.08000000000004</v>
      </c>
      <c r="G4925" s="348" t="s">
        <v>2364</v>
      </c>
      <c r="H4925" s="348" t="s">
        <v>2393</v>
      </c>
      <c r="I4925" s="348" t="s">
        <v>2353</v>
      </c>
      <c r="J4925" s="348" t="s">
        <v>757</v>
      </c>
      <c r="K4925" s="348" t="s">
        <v>770</v>
      </c>
      <c r="L4925" s="349">
        <v>44257</v>
      </c>
      <c r="M4925" s="352">
        <v>0</v>
      </c>
    </row>
    <row r="4926" spans="1:13" hidden="1" x14ac:dyDescent="0.25">
      <c r="A4926" s="349">
        <v>44229</v>
      </c>
      <c r="B4926" s="348" t="s">
        <v>2389</v>
      </c>
      <c r="C4926" s="348" t="s">
        <v>769</v>
      </c>
      <c r="D4926" s="350">
        <v>8</v>
      </c>
      <c r="E4926" s="351">
        <v>19.05</v>
      </c>
      <c r="F4926" s="351">
        <v>625.13</v>
      </c>
      <c r="G4926" s="348" t="s">
        <v>2390</v>
      </c>
      <c r="H4926" s="348" t="s">
        <v>2394</v>
      </c>
      <c r="I4926" s="348" t="s">
        <v>2353</v>
      </c>
      <c r="J4926" s="348" t="s">
        <v>757</v>
      </c>
      <c r="K4926" s="348" t="s">
        <v>770</v>
      </c>
      <c r="L4926" s="349">
        <v>44229</v>
      </c>
      <c r="M4926" s="352">
        <v>0</v>
      </c>
    </row>
    <row r="4927" spans="1:13" hidden="1" x14ac:dyDescent="0.25">
      <c r="A4927" s="349">
        <v>44257</v>
      </c>
      <c r="B4927" s="348" t="s">
        <v>2392</v>
      </c>
      <c r="C4927" s="348" t="s">
        <v>769</v>
      </c>
      <c r="D4927" s="350">
        <v>9</v>
      </c>
      <c r="E4927" s="351">
        <v>18.510000000000002</v>
      </c>
      <c r="F4927" s="351">
        <v>643.64</v>
      </c>
      <c r="G4927" s="348" t="s">
        <v>2364</v>
      </c>
      <c r="H4927" s="348" t="s">
        <v>2394</v>
      </c>
      <c r="I4927" s="348" t="s">
        <v>2353</v>
      </c>
      <c r="J4927" s="348" t="s">
        <v>757</v>
      </c>
      <c r="K4927" s="348" t="s">
        <v>770</v>
      </c>
      <c r="L4927" s="349">
        <v>44257</v>
      </c>
      <c r="M4927" s="352">
        <v>0</v>
      </c>
    </row>
    <row r="4928" spans="1:13" hidden="1" x14ac:dyDescent="0.25">
      <c r="A4928" s="349">
        <v>43910</v>
      </c>
      <c r="B4928" s="348" t="s">
        <v>2395</v>
      </c>
      <c r="C4928" s="348" t="s">
        <v>769</v>
      </c>
      <c r="D4928" s="350">
        <v>1</v>
      </c>
      <c r="E4928" s="351">
        <v>144</v>
      </c>
      <c r="F4928" s="351">
        <v>787.64</v>
      </c>
      <c r="G4928" s="348" t="s">
        <v>2396</v>
      </c>
      <c r="H4928" s="348" t="s">
        <v>2397</v>
      </c>
      <c r="I4928" s="348" t="s">
        <v>2353</v>
      </c>
      <c r="J4928" s="348" t="s">
        <v>757</v>
      </c>
      <c r="K4928" s="348" t="s">
        <v>770</v>
      </c>
      <c r="L4928" s="349">
        <v>43910</v>
      </c>
      <c r="M4928" s="352">
        <v>0</v>
      </c>
    </row>
    <row r="4929" spans="1:13" hidden="1" x14ac:dyDescent="0.25">
      <c r="A4929" s="349">
        <v>44012</v>
      </c>
      <c r="B4929" s="348" t="s">
        <v>1113</v>
      </c>
      <c r="C4929" s="348" t="s">
        <v>1059</v>
      </c>
      <c r="D4929" s="350">
        <v>1</v>
      </c>
      <c r="E4929" s="351">
        <v>7917</v>
      </c>
      <c r="F4929" s="351">
        <v>8704.64</v>
      </c>
      <c r="G4929" s="348" t="s">
        <v>2398</v>
      </c>
      <c r="H4929" s="348" t="s">
        <v>2397</v>
      </c>
      <c r="I4929" s="348" t="s">
        <v>2353</v>
      </c>
      <c r="J4929" s="348" t="s">
        <v>757</v>
      </c>
      <c r="K4929" s="348" t="s">
        <v>741</v>
      </c>
      <c r="L4929" s="349">
        <v>44012</v>
      </c>
      <c r="M4929" s="352">
        <v>0</v>
      </c>
    </row>
    <row r="4930" spans="1:13" hidden="1" x14ac:dyDescent="0.25">
      <c r="A4930" s="349">
        <v>44012</v>
      </c>
      <c r="B4930" s="348" t="s">
        <v>1119</v>
      </c>
      <c r="C4930" s="348" t="s">
        <v>1059</v>
      </c>
      <c r="D4930" s="350">
        <v>1</v>
      </c>
      <c r="E4930" s="351">
        <v>-7917</v>
      </c>
      <c r="F4930" s="351">
        <v>787.63999999999896</v>
      </c>
      <c r="G4930" s="348" t="s">
        <v>2399</v>
      </c>
      <c r="H4930" s="348" t="s">
        <v>2397</v>
      </c>
      <c r="I4930" s="348" t="s">
        <v>2353</v>
      </c>
      <c r="J4930" s="348" t="s">
        <v>757</v>
      </c>
      <c r="K4930" s="348" t="s">
        <v>741</v>
      </c>
      <c r="L4930" s="349">
        <v>44012</v>
      </c>
      <c r="M4930" s="352">
        <v>0</v>
      </c>
    </row>
    <row r="4931" spans="1:13" hidden="1" x14ac:dyDescent="0.25">
      <c r="A4931" s="349">
        <v>44013</v>
      </c>
      <c r="B4931" s="348" t="s">
        <v>2400</v>
      </c>
      <c r="C4931" s="348" t="s">
        <v>769</v>
      </c>
      <c r="D4931" s="350">
        <v>1</v>
      </c>
      <c r="E4931" s="351">
        <v>296.20999999999998</v>
      </c>
      <c r="F4931" s="351">
        <v>1083.8499999999999</v>
      </c>
      <c r="G4931" s="348" t="s">
        <v>2401</v>
      </c>
      <c r="H4931" s="348" t="s">
        <v>2397</v>
      </c>
      <c r="I4931" s="348" t="s">
        <v>2353</v>
      </c>
      <c r="J4931" s="348" t="s">
        <v>757</v>
      </c>
      <c r="K4931" s="348" t="s">
        <v>770</v>
      </c>
      <c r="L4931" s="349">
        <v>44013</v>
      </c>
      <c r="M4931" s="352">
        <v>0</v>
      </c>
    </row>
    <row r="4932" spans="1:13" hidden="1" x14ac:dyDescent="0.25">
      <c r="A4932" s="349">
        <v>44014</v>
      </c>
      <c r="B4932" s="348" t="s">
        <v>2402</v>
      </c>
      <c r="C4932" s="348" t="s">
        <v>769</v>
      </c>
      <c r="D4932" s="350">
        <v>1</v>
      </c>
      <c r="E4932" s="351">
        <v>54.54</v>
      </c>
      <c r="F4932" s="351">
        <v>1138.3900000000001</v>
      </c>
      <c r="G4932" s="348" t="s">
        <v>2403</v>
      </c>
      <c r="H4932" s="348" t="s">
        <v>2397</v>
      </c>
      <c r="I4932" s="348" t="s">
        <v>2353</v>
      </c>
      <c r="J4932" s="348" t="s">
        <v>757</v>
      </c>
      <c r="K4932" s="348" t="s">
        <v>770</v>
      </c>
      <c r="L4932" s="349">
        <v>44014</v>
      </c>
      <c r="M4932" s="352">
        <v>0</v>
      </c>
    </row>
    <row r="4933" spans="1:13" hidden="1" x14ac:dyDescent="0.25">
      <c r="A4933" s="349">
        <v>44020</v>
      </c>
      <c r="B4933" s="348" t="s">
        <v>2404</v>
      </c>
      <c r="C4933" s="348" t="s">
        <v>1059</v>
      </c>
      <c r="D4933" s="350">
        <v>1</v>
      </c>
      <c r="E4933" s="351">
        <v>-296.20999999999998</v>
      </c>
      <c r="F4933" s="351">
        <v>842.17999999999904</v>
      </c>
      <c r="G4933" s="348" t="s">
        <v>2405</v>
      </c>
      <c r="H4933" s="348" t="s">
        <v>2397</v>
      </c>
      <c r="I4933" s="348" t="s">
        <v>2353</v>
      </c>
      <c r="J4933" s="348" t="s">
        <v>757</v>
      </c>
      <c r="K4933" s="348" t="s">
        <v>741</v>
      </c>
      <c r="L4933" s="349">
        <v>44020</v>
      </c>
      <c r="M4933" s="352">
        <v>0</v>
      </c>
    </row>
    <row r="4934" spans="1:13" hidden="1" x14ac:dyDescent="0.25">
      <c r="A4934" s="349">
        <v>44046</v>
      </c>
      <c r="B4934" s="348" t="s">
        <v>2406</v>
      </c>
      <c r="C4934" s="348" t="s">
        <v>769</v>
      </c>
      <c r="D4934" s="350">
        <v>2</v>
      </c>
      <c r="E4934" s="351">
        <v>98.48</v>
      </c>
      <c r="F4934" s="351">
        <v>940.65999999999894</v>
      </c>
      <c r="G4934" s="348" t="s">
        <v>2407</v>
      </c>
      <c r="H4934" s="348" t="s">
        <v>2397</v>
      </c>
      <c r="I4934" s="348" t="s">
        <v>2353</v>
      </c>
      <c r="J4934" s="348" t="s">
        <v>757</v>
      </c>
      <c r="K4934" s="348" t="s">
        <v>770</v>
      </c>
      <c r="L4934" s="349">
        <v>44046</v>
      </c>
      <c r="M4934" s="352">
        <v>0</v>
      </c>
    </row>
    <row r="4935" spans="1:13" hidden="1" x14ac:dyDescent="0.25">
      <c r="A4935" s="349">
        <v>44066</v>
      </c>
      <c r="B4935" s="348" t="s">
        <v>2408</v>
      </c>
      <c r="C4935" s="348" t="s">
        <v>1059</v>
      </c>
      <c r="D4935" s="350">
        <v>2</v>
      </c>
      <c r="E4935" s="351">
        <v>-98.48</v>
      </c>
      <c r="F4935" s="351">
        <v>842.17999999999904</v>
      </c>
      <c r="G4935" s="348" t="s">
        <v>2409</v>
      </c>
      <c r="H4935" s="348" t="s">
        <v>2397</v>
      </c>
      <c r="I4935" s="348" t="s">
        <v>2353</v>
      </c>
      <c r="J4935" s="348" t="s">
        <v>757</v>
      </c>
      <c r="K4935" s="348" t="s">
        <v>741</v>
      </c>
      <c r="L4935" s="349">
        <v>44066</v>
      </c>
      <c r="M4935" s="352">
        <v>0</v>
      </c>
    </row>
    <row r="4936" spans="1:13" hidden="1" x14ac:dyDescent="0.25">
      <c r="A4936" s="349">
        <v>44066</v>
      </c>
      <c r="B4936" s="348" t="s">
        <v>2410</v>
      </c>
      <c r="C4936" s="348" t="s">
        <v>1059</v>
      </c>
      <c r="D4936" s="350">
        <v>2</v>
      </c>
      <c r="E4936" s="351">
        <v>-98.48</v>
      </c>
      <c r="F4936" s="351">
        <v>743.69999999999902</v>
      </c>
      <c r="G4936" s="348" t="s">
        <v>2409</v>
      </c>
      <c r="H4936" s="348" t="s">
        <v>2397</v>
      </c>
      <c r="I4936" s="348" t="s">
        <v>2353</v>
      </c>
      <c r="J4936" s="348" t="s">
        <v>757</v>
      </c>
      <c r="K4936" s="348" t="s">
        <v>741</v>
      </c>
      <c r="L4936" s="349">
        <v>44066</v>
      </c>
      <c r="M4936" s="352">
        <v>0</v>
      </c>
    </row>
    <row r="4937" spans="1:13" hidden="1" x14ac:dyDescent="0.25">
      <c r="A4937" s="349">
        <v>44066</v>
      </c>
      <c r="B4937" s="348" t="s">
        <v>2411</v>
      </c>
      <c r="C4937" s="348" t="s">
        <v>1059</v>
      </c>
      <c r="D4937" s="350">
        <v>2</v>
      </c>
      <c r="E4937" s="351">
        <v>98.48</v>
      </c>
      <c r="F4937" s="351">
        <v>842.17999999999904</v>
      </c>
      <c r="G4937" s="348" t="s">
        <v>2409</v>
      </c>
      <c r="H4937" s="348" t="s">
        <v>2397</v>
      </c>
      <c r="I4937" s="348" t="s">
        <v>2353</v>
      </c>
      <c r="J4937" s="348" t="s">
        <v>757</v>
      </c>
      <c r="K4937" s="348" t="s">
        <v>741</v>
      </c>
      <c r="L4937" s="349">
        <v>44066</v>
      </c>
      <c r="M4937" s="352">
        <v>0</v>
      </c>
    </row>
    <row r="4938" spans="1:13" hidden="1" x14ac:dyDescent="0.25">
      <c r="A4938" s="349">
        <v>44075</v>
      </c>
      <c r="B4938" s="348" t="s">
        <v>2412</v>
      </c>
      <c r="C4938" s="348" t="s">
        <v>769</v>
      </c>
      <c r="D4938" s="350">
        <v>3</v>
      </c>
      <c r="E4938" s="351">
        <v>19.600000000000001</v>
      </c>
      <c r="F4938" s="351">
        <v>861.77999999999895</v>
      </c>
      <c r="G4938" s="348" t="s">
        <v>2413</v>
      </c>
      <c r="H4938" s="348" t="s">
        <v>2397</v>
      </c>
      <c r="I4938" s="348" t="s">
        <v>2353</v>
      </c>
      <c r="J4938" s="348" t="s">
        <v>757</v>
      </c>
      <c r="K4938" s="348" t="s">
        <v>770</v>
      </c>
      <c r="L4938" s="349">
        <v>44075</v>
      </c>
      <c r="M4938" s="352">
        <v>0</v>
      </c>
    </row>
    <row r="4939" spans="1:13" hidden="1" x14ac:dyDescent="0.25">
      <c r="A4939" s="349">
        <v>44105</v>
      </c>
      <c r="B4939" s="348" t="s">
        <v>2414</v>
      </c>
      <c r="C4939" s="348" t="s">
        <v>769</v>
      </c>
      <c r="D4939" s="350">
        <v>4</v>
      </c>
      <c r="E4939" s="351">
        <v>29.77</v>
      </c>
      <c r="F4939" s="351">
        <v>891.54999999999905</v>
      </c>
      <c r="G4939" s="348" t="s">
        <v>2415</v>
      </c>
      <c r="H4939" s="348" t="s">
        <v>2397</v>
      </c>
      <c r="I4939" s="348" t="s">
        <v>2353</v>
      </c>
      <c r="J4939" s="348" t="s">
        <v>757</v>
      </c>
      <c r="K4939" s="348" t="s">
        <v>770</v>
      </c>
      <c r="L4939" s="349">
        <v>44105</v>
      </c>
      <c r="M4939" s="352">
        <v>0</v>
      </c>
    </row>
    <row r="4940" spans="1:13" hidden="1" x14ac:dyDescent="0.25">
      <c r="A4940" s="349">
        <v>44137</v>
      </c>
      <c r="B4940" s="348" t="s">
        <v>2416</v>
      </c>
      <c r="C4940" s="348" t="s">
        <v>769</v>
      </c>
      <c r="D4940" s="350">
        <v>5</v>
      </c>
      <c r="E4940" s="351">
        <v>46.34</v>
      </c>
      <c r="F4940" s="351">
        <v>937.88999999999896</v>
      </c>
      <c r="G4940" s="348" t="s">
        <v>2417</v>
      </c>
      <c r="H4940" s="348" t="s">
        <v>2397</v>
      </c>
      <c r="I4940" s="348" t="s">
        <v>2353</v>
      </c>
      <c r="J4940" s="348" t="s">
        <v>757</v>
      </c>
      <c r="K4940" s="348" t="s">
        <v>770</v>
      </c>
      <c r="L4940" s="349">
        <v>44137</v>
      </c>
      <c r="M4940" s="352">
        <v>0</v>
      </c>
    </row>
    <row r="4941" spans="1:13" hidden="1" x14ac:dyDescent="0.25">
      <c r="A4941" s="349">
        <v>44140</v>
      </c>
      <c r="B4941" s="348" t="s">
        <v>2418</v>
      </c>
      <c r="C4941" s="348" t="s">
        <v>769</v>
      </c>
      <c r="D4941" s="350">
        <v>5</v>
      </c>
      <c r="E4941" s="351">
        <v>149.69999999999999</v>
      </c>
      <c r="F4941" s="351">
        <v>1087.5899999999999</v>
      </c>
      <c r="G4941" s="348" t="s">
        <v>2419</v>
      </c>
      <c r="H4941" s="348" t="s">
        <v>2397</v>
      </c>
      <c r="I4941" s="348" t="s">
        <v>2353</v>
      </c>
      <c r="J4941" s="348" t="s">
        <v>757</v>
      </c>
      <c r="K4941" s="348" t="s">
        <v>770</v>
      </c>
      <c r="L4941" s="349">
        <v>44140</v>
      </c>
      <c r="M4941" s="352">
        <v>0</v>
      </c>
    </row>
    <row r="4942" spans="1:13" hidden="1" x14ac:dyDescent="0.25">
      <c r="A4942" s="349">
        <v>44165</v>
      </c>
      <c r="B4942" s="348" t="s">
        <v>1128</v>
      </c>
      <c r="C4942" s="348" t="s">
        <v>1060</v>
      </c>
      <c r="D4942" s="350">
        <v>5</v>
      </c>
      <c r="E4942" s="351">
        <v>46.34</v>
      </c>
      <c r="F4942" s="351">
        <v>1133.93</v>
      </c>
      <c r="G4942" s="348" t="s">
        <v>2420</v>
      </c>
      <c r="H4942" s="348" t="s">
        <v>2397</v>
      </c>
      <c r="I4942" s="348" t="s">
        <v>2353</v>
      </c>
      <c r="J4942" s="348" t="s">
        <v>757</v>
      </c>
      <c r="K4942" s="348" t="s">
        <v>741</v>
      </c>
      <c r="L4942" s="349">
        <v>44165</v>
      </c>
      <c r="M4942" s="352">
        <v>0</v>
      </c>
    </row>
    <row r="4943" spans="1:13" hidden="1" x14ac:dyDescent="0.25">
      <c r="A4943" s="349">
        <v>44165</v>
      </c>
      <c r="B4943" s="348" t="s">
        <v>1128</v>
      </c>
      <c r="C4943" s="348" t="s">
        <v>1060</v>
      </c>
      <c r="D4943" s="350">
        <v>6</v>
      </c>
      <c r="E4943" s="351">
        <v>-46.34</v>
      </c>
      <c r="F4943" s="351">
        <v>1087.5899999999999</v>
      </c>
      <c r="G4943" s="348" t="s">
        <v>2420</v>
      </c>
      <c r="H4943" s="348" t="s">
        <v>2397</v>
      </c>
      <c r="I4943" s="348" t="s">
        <v>2353</v>
      </c>
      <c r="J4943" s="348" t="s">
        <v>757</v>
      </c>
      <c r="K4943" s="348" t="s">
        <v>741</v>
      </c>
      <c r="L4943" s="349">
        <v>44165</v>
      </c>
      <c r="M4943" s="352">
        <v>0</v>
      </c>
    </row>
    <row r="4944" spans="1:13" hidden="1" x14ac:dyDescent="0.25">
      <c r="A4944" s="349">
        <v>44167</v>
      </c>
      <c r="B4944" s="348" t="s">
        <v>2421</v>
      </c>
      <c r="C4944" s="348" t="s">
        <v>769</v>
      </c>
      <c r="D4944" s="350">
        <v>6</v>
      </c>
      <c r="E4944" s="351">
        <v>112.18</v>
      </c>
      <c r="F4944" s="351">
        <v>1199.77</v>
      </c>
      <c r="G4944" s="348" t="s">
        <v>2422</v>
      </c>
      <c r="H4944" s="348" t="s">
        <v>2397</v>
      </c>
      <c r="I4944" s="348" t="s">
        <v>2353</v>
      </c>
      <c r="J4944" s="348" t="s">
        <v>757</v>
      </c>
      <c r="K4944" s="348" t="s">
        <v>770</v>
      </c>
      <c r="L4944" s="349">
        <v>44167</v>
      </c>
      <c r="M4944" s="352">
        <v>0</v>
      </c>
    </row>
    <row r="4945" spans="1:13" hidden="1" x14ac:dyDescent="0.25">
      <c r="A4945" s="349">
        <v>44196</v>
      </c>
      <c r="B4945" s="348" t="s">
        <v>1073</v>
      </c>
      <c r="C4945" s="348" t="s">
        <v>1060</v>
      </c>
      <c r="D4945" s="350">
        <v>6</v>
      </c>
      <c r="E4945" s="351">
        <v>112</v>
      </c>
      <c r="F4945" s="351">
        <v>1311.77</v>
      </c>
      <c r="G4945" s="348" t="s">
        <v>2420</v>
      </c>
      <c r="H4945" s="348" t="s">
        <v>2397</v>
      </c>
      <c r="I4945" s="348" t="s">
        <v>2353</v>
      </c>
      <c r="J4945" s="348" t="s">
        <v>757</v>
      </c>
      <c r="K4945" s="348" t="s">
        <v>741</v>
      </c>
      <c r="L4945" s="349">
        <v>44196</v>
      </c>
      <c r="M4945" s="352">
        <v>0</v>
      </c>
    </row>
    <row r="4946" spans="1:13" hidden="1" x14ac:dyDescent="0.25">
      <c r="A4946" s="349">
        <v>44196</v>
      </c>
      <c r="B4946" s="348" t="s">
        <v>1073</v>
      </c>
      <c r="C4946" s="348" t="s">
        <v>1060</v>
      </c>
      <c r="D4946" s="350">
        <v>7</v>
      </c>
      <c r="E4946" s="351">
        <v>-112</v>
      </c>
      <c r="F4946" s="351">
        <v>1199.77</v>
      </c>
      <c r="G4946" s="348" t="s">
        <v>2420</v>
      </c>
      <c r="H4946" s="348" t="s">
        <v>2397</v>
      </c>
      <c r="I4946" s="348" t="s">
        <v>2353</v>
      </c>
      <c r="J4946" s="348" t="s">
        <v>757</v>
      </c>
      <c r="K4946" s="348" t="s">
        <v>741</v>
      </c>
      <c r="L4946" s="349">
        <v>44196</v>
      </c>
      <c r="M4946" s="352">
        <v>0</v>
      </c>
    </row>
    <row r="4947" spans="1:13" hidden="1" x14ac:dyDescent="0.25">
      <c r="A4947" s="349">
        <v>44200</v>
      </c>
      <c r="B4947" s="348" t="s">
        <v>2423</v>
      </c>
      <c r="C4947" s="348" t="s">
        <v>769</v>
      </c>
      <c r="D4947" s="350">
        <v>7</v>
      </c>
      <c r="E4947" s="351">
        <v>63.3</v>
      </c>
      <c r="F4947" s="351">
        <v>1263.07</v>
      </c>
      <c r="G4947" s="348" t="s">
        <v>2424</v>
      </c>
      <c r="H4947" s="348" t="s">
        <v>2397</v>
      </c>
      <c r="I4947" s="348" t="s">
        <v>2353</v>
      </c>
      <c r="J4947" s="348" t="s">
        <v>757</v>
      </c>
      <c r="K4947" s="348" t="s">
        <v>770</v>
      </c>
      <c r="L4947" s="349">
        <v>44200</v>
      </c>
      <c r="M4947" s="352">
        <v>0</v>
      </c>
    </row>
    <row r="4948" spans="1:13" hidden="1" x14ac:dyDescent="0.25">
      <c r="A4948" s="349">
        <v>44227</v>
      </c>
      <c r="B4948" s="348" t="s">
        <v>1074</v>
      </c>
      <c r="C4948" s="348" t="s">
        <v>1060</v>
      </c>
      <c r="D4948" s="350">
        <v>7</v>
      </c>
      <c r="E4948" s="351">
        <v>112</v>
      </c>
      <c r="F4948" s="351">
        <v>1375.07</v>
      </c>
      <c r="G4948" s="348" t="s">
        <v>2420</v>
      </c>
      <c r="H4948" s="348" t="s">
        <v>2397</v>
      </c>
      <c r="I4948" s="348" t="s">
        <v>2353</v>
      </c>
      <c r="J4948" s="348" t="s">
        <v>757</v>
      </c>
      <c r="K4948" s="348" t="s">
        <v>741</v>
      </c>
      <c r="L4948" s="349">
        <v>44227</v>
      </c>
      <c r="M4948" s="352">
        <v>0</v>
      </c>
    </row>
    <row r="4949" spans="1:13" hidden="1" x14ac:dyDescent="0.25">
      <c r="A4949" s="349">
        <v>44227</v>
      </c>
      <c r="B4949" s="348" t="s">
        <v>1074</v>
      </c>
      <c r="C4949" s="348" t="s">
        <v>1060</v>
      </c>
      <c r="D4949" s="350">
        <v>8</v>
      </c>
      <c r="E4949" s="351">
        <v>-112</v>
      </c>
      <c r="F4949" s="351">
        <v>1263.07</v>
      </c>
      <c r="G4949" s="348" t="s">
        <v>2420</v>
      </c>
      <c r="H4949" s="348" t="s">
        <v>2397</v>
      </c>
      <c r="I4949" s="348" t="s">
        <v>2353</v>
      </c>
      <c r="J4949" s="348" t="s">
        <v>757</v>
      </c>
      <c r="K4949" s="348" t="s">
        <v>741</v>
      </c>
      <c r="L4949" s="349">
        <v>44227</v>
      </c>
      <c r="M4949" s="352">
        <v>0</v>
      </c>
    </row>
    <row r="4950" spans="1:13" hidden="1" x14ac:dyDescent="0.25">
      <c r="A4950" s="349">
        <v>44228</v>
      </c>
      <c r="B4950" s="348" t="s">
        <v>2425</v>
      </c>
      <c r="C4950" s="348" t="s">
        <v>769</v>
      </c>
      <c r="D4950" s="350">
        <v>8</v>
      </c>
      <c r="E4950" s="351">
        <v>54.98</v>
      </c>
      <c r="F4950" s="351">
        <v>1318.05</v>
      </c>
      <c r="G4950" s="348" t="s">
        <v>2426</v>
      </c>
      <c r="H4950" s="348" t="s">
        <v>2397</v>
      </c>
      <c r="I4950" s="348" t="s">
        <v>2353</v>
      </c>
      <c r="J4950" s="348" t="s">
        <v>757</v>
      </c>
      <c r="K4950" s="348" t="s">
        <v>770</v>
      </c>
      <c r="L4950" s="349">
        <v>44228</v>
      </c>
      <c r="M4950" s="352">
        <v>0</v>
      </c>
    </row>
    <row r="4951" spans="1:13" hidden="1" x14ac:dyDescent="0.25">
      <c r="A4951" s="349">
        <v>44255</v>
      </c>
      <c r="B4951" s="348" t="s">
        <v>1075</v>
      </c>
      <c r="C4951" s="348" t="s">
        <v>1060</v>
      </c>
      <c r="D4951" s="350">
        <v>8</v>
      </c>
      <c r="E4951" s="351">
        <v>54.98</v>
      </c>
      <c r="F4951" s="351">
        <v>1373.03</v>
      </c>
      <c r="G4951" s="348" t="s">
        <v>2420</v>
      </c>
      <c r="H4951" s="348" t="s">
        <v>2397</v>
      </c>
      <c r="I4951" s="348" t="s">
        <v>2353</v>
      </c>
      <c r="J4951" s="348" t="s">
        <v>757</v>
      </c>
      <c r="K4951" s="348" t="s">
        <v>741</v>
      </c>
      <c r="L4951" s="349">
        <v>44255</v>
      </c>
      <c r="M4951" s="352">
        <v>0</v>
      </c>
    </row>
    <row r="4952" spans="1:13" hidden="1" x14ac:dyDescent="0.25">
      <c r="A4952" s="349">
        <v>44255</v>
      </c>
      <c r="B4952" s="348" t="s">
        <v>1075</v>
      </c>
      <c r="C4952" s="348" t="s">
        <v>1060</v>
      </c>
      <c r="D4952" s="350">
        <v>9</v>
      </c>
      <c r="E4952" s="351">
        <v>-54.98</v>
      </c>
      <c r="F4952" s="351">
        <v>1318.05</v>
      </c>
      <c r="G4952" s="348" t="s">
        <v>2420</v>
      </c>
      <c r="H4952" s="348" t="s">
        <v>2397</v>
      </c>
      <c r="I4952" s="348" t="s">
        <v>2353</v>
      </c>
      <c r="J4952" s="348" t="s">
        <v>757</v>
      </c>
      <c r="K4952" s="348" t="s">
        <v>741</v>
      </c>
      <c r="L4952" s="349">
        <v>44255</v>
      </c>
      <c r="M4952" s="352">
        <v>0</v>
      </c>
    </row>
    <row r="4953" spans="1:13" hidden="1" x14ac:dyDescent="0.25">
      <c r="A4953" s="349">
        <v>44286</v>
      </c>
      <c r="B4953" s="348" t="s">
        <v>1288</v>
      </c>
      <c r="C4953" s="348" t="s">
        <v>1060</v>
      </c>
      <c r="D4953" s="350">
        <v>9</v>
      </c>
      <c r="E4953" s="351">
        <v>120</v>
      </c>
      <c r="F4953" s="351">
        <v>1438.05</v>
      </c>
      <c r="G4953" s="348" t="s">
        <v>2427</v>
      </c>
      <c r="H4953" s="348" t="s">
        <v>2397</v>
      </c>
      <c r="I4953" s="348" t="s">
        <v>2353</v>
      </c>
      <c r="J4953" s="348" t="s">
        <v>757</v>
      </c>
      <c r="K4953" s="348" t="s">
        <v>741</v>
      </c>
      <c r="L4953" s="349">
        <v>44286</v>
      </c>
      <c r="M4953" s="352">
        <v>0</v>
      </c>
    </row>
    <row r="4954" spans="1:13" hidden="1" x14ac:dyDescent="0.25">
      <c r="A4954" s="349">
        <v>44286</v>
      </c>
      <c r="B4954" s="348" t="s">
        <v>1135</v>
      </c>
      <c r="C4954" s="348" t="s">
        <v>1060</v>
      </c>
      <c r="D4954" s="350">
        <v>9</v>
      </c>
      <c r="E4954" s="351">
        <v>109.96</v>
      </c>
      <c r="F4954" s="351">
        <v>1548.01</v>
      </c>
      <c r="G4954" s="348" t="s">
        <v>2428</v>
      </c>
      <c r="H4954" s="348" t="s">
        <v>2397</v>
      </c>
      <c r="I4954" s="348" t="s">
        <v>2353</v>
      </c>
      <c r="J4954" s="348" t="s">
        <v>757</v>
      </c>
      <c r="K4954" s="348" t="s">
        <v>741</v>
      </c>
      <c r="L4954" s="349">
        <v>44286</v>
      </c>
      <c r="M4954" s="352">
        <v>0</v>
      </c>
    </row>
    <row r="4955" spans="1:13" hidden="1" x14ac:dyDescent="0.25">
      <c r="A4955" s="349">
        <v>44256</v>
      </c>
      <c r="B4955" s="348" t="s">
        <v>2429</v>
      </c>
      <c r="C4955" s="348" t="s">
        <v>769</v>
      </c>
      <c r="D4955" s="350">
        <v>10</v>
      </c>
      <c r="E4955" s="351">
        <v>86.37</v>
      </c>
      <c r="F4955" s="351">
        <v>1634.38</v>
      </c>
      <c r="G4955" s="348" t="s">
        <v>2430</v>
      </c>
      <c r="H4955" s="348" t="s">
        <v>2397</v>
      </c>
      <c r="I4955" s="348" t="s">
        <v>2353</v>
      </c>
      <c r="J4955" s="348" t="s">
        <v>757</v>
      </c>
      <c r="K4955" s="348" t="s">
        <v>770</v>
      </c>
      <c r="L4955" s="349">
        <v>44256</v>
      </c>
      <c r="M4955" s="352">
        <v>0</v>
      </c>
    </row>
    <row r="4956" spans="1:13" hidden="1" x14ac:dyDescent="0.25">
      <c r="A4956" s="349">
        <v>44286</v>
      </c>
      <c r="B4956" s="348" t="s">
        <v>1288</v>
      </c>
      <c r="C4956" s="348" t="s">
        <v>1060</v>
      </c>
      <c r="D4956" s="350">
        <v>10</v>
      </c>
      <c r="E4956" s="351">
        <v>-120</v>
      </c>
      <c r="F4956" s="351">
        <v>1514.38</v>
      </c>
      <c r="G4956" s="348" t="s">
        <v>2427</v>
      </c>
      <c r="H4956" s="348" t="s">
        <v>2397</v>
      </c>
      <c r="I4956" s="348" t="s">
        <v>2353</v>
      </c>
      <c r="J4956" s="348" t="s">
        <v>757</v>
      </c>
      <c r="K4956" s="348" t="s">
        <v>741</v>
      </c>
      <c r="L4956" s="349">
        <v>44286</v>
      </c>
      <c r="M4956" s="352">
        <v>0</v>
      </c>
    </row>
    <row r="4957" spans="1:13" hidden="1" x14ac:dyDescent="0.25">
      <c r="A4957" s="349">
        <v>44286</v>
      </c>
      <c r="B4957" s="348" t="s">
        <v>1135</v>
      </c>
      <c r="C4957" s="348" t="s">
        <v>1060</v>
      </c>
      <c r="D4957" s="350">
        <v>10</v>
      </c>
      <c r="E4957" s="351">
        <v>-109.96</v>
      </c>
      <c r="F4957" s="351">
        <v>1404.42</v>
      </c>
      <c r="G4957" s="348" t="s">
        <v>2428</v>
      </c>
      <c r="H4957" s="348" t="s">
        <v>2397</v>
      </c>
      <c r="I4957" s="348" t="s">
        <v>2353</v>
      </c>
      <c r="J4957" s="348" t="s">
        <v>757</v>
      </c>
      <c r="K4957" s="348" t="s">
        <v>741</v>
      </c>
      <c r="L4957" s="349">
        <v>44286</v>
      </c>
      <c r="M4957" s="352">
        <v>0</v>
      </c>
    </row>
    <row r="4958" spans="1:13" hidden="1" x14ac:dyDescent="0.25">
      <c r="A4958" s="349">
        <v>44287</v>
      </c>
      <c r="B4958" s="348" t="s">
        <v>2431</v>
      </c>
      <c r="C4958" s="348" t="s">
        <v>769</v>
      </c>
      <c r="D4958" s="350">
        <v>10</v>
      </c>
      <c r="E4958" s="351">
        <v>153.75</v>
      </c>
      <c r="F4958" s="351">
        <v>1558.17</v>
      </c>
      <c r="G4958" s="348" t="s">
        <v>2432</v>
      </c>
      <c r="H4958" s="348" t="s">
        <v>2397</v>
      </c>
      <c r="I4958" s="348" t="s">
        <v>2353</v>
      </c>
      <c r="J4958" s="348" t="s">
        <v>757</v>
      </c>
      <c r="K4958" s="348" t="s">
        <v>770</v>
      </c>
      <c r="L4958" s="349">
        <v>44287</v>
      </c>
      <c r="M4958" s="352">
        <v>0</v>
      </c>
    </row>
    <row r="4959" spans="1:13" hidden="1" x14ac:dyDescent="0.25">
      <c r="A4959" s="349">
        <v>44316</v>
      </c>
      <c r="B4959" s="348" t="s">
        <v>1083</v>
      </c>
      <c r="C4959" s="348" t="s">
        <v>1060</v>
      </c>
      <c r="D4959" s="350">
        <v>10</v>
      </c>
      <c r="E4959" s="351">
        <v>153.75</v>
      </c>
      <c r="F4959" s="351">
        <v>1711.92</v>
      </c>
      <c r="G4959" s="348" t="s">
        <v>2433</v>
      </c>
      <c r="H4959" s="348" t="s">
        <v>2397</v>
      </c>
      <c r="I4959" s="348" t="s">
        <v>2353</v>
      </c>
      <c r="J4959" s="348" t="s">
        <v>757</v>
      </c>
      <c r="K4959" s="348" t="s">
        <v>741</v>
      </c>
      <c r="L4959" s="349">
        <v>44316</v>
      </c>
      <c r="M4959" s="352">
        <v>0</v>
      </c>
    </row>
    <row r="4960" spans="1:13" hidden="1" x14ac:dyDescent="0.25">
      <c r="A4960" s="349">
        <v>44183</v>
      </c>
      <c r="B4960" s="348" t="s">
        <v>2434</v>
      </c>
      <c r="C4960" s="348" t="s">
        <v>769</v>
      </c>
      <c r="D4960" s="350">
        <v>7</v>
      </c>
      <c r="E4960" s="351">
        <v>271.82</v>
      </c>
      <c r="F4960" s="351">
        <v>2080.6</v>
      </c>
      <c r="G4960" s="348" t="s">
        <v>2435</v>
      </c>
      <c r="H4960" s="348" t="s">
        <v>2436</v>
      </c>
      <c r="I4960" s="348" t="s">
        <v>2353</v>
      </c>
      <c r="J4960" s="348" t="s">
        <v>757</v>
      </c>
      <c r="K4960" s="348" t="s">
        <v>770</v>
      </c>
      <c r="L4960" s="349">
        <v>44183</v>
      </c>
      <c r="M4960" s="352">
        <v>0</v>
      </c>
    </row>
    <row r="4961" spans="1:13" hidden="1" x14ac:dyDescent="0.25">
      <c r="A4961" s="349">
        <v>44230</v>
      </c>
      <c r="B4961" s="348" t="s">
        <v>2437</v>
      </c>
      <c r="C4961" s="348" t="s">
        <v>769</v>
      </c>
      <c r="D4961" s="350">
        <v>8</v>
      </c>
      <c r="E4961" s="351">
        <v>195.45</v>
      </c>
      <c r="F4961" s="351">
        <v>2276.0500000000002</v>
      </c>
      <c r="G4961" s="348" t="s">
        <v>2438</v>
      </c>
      <c r="H4961" s="348" t="s">
        <v>2436</v>
      </c>
      <c r="I4961" s="348" t="s">
        <v>2353</v>
      </c>
      <c r="J4961" s="348" t="s">
        <v>757</v>
      </c>
      <c r="K4961" s="348" t="s">
        <v>770</v>
      </c>
      <c r="L4961" s="349">
        <v>44230</v>
      </c>
      <c r="M4961" s="352">
        <v>0</v>
      </c>
    </row>
    <row r="4962" spans="1:13" hidden="1" x14ac:dyDescent="0.25">
      <c r="A4962" s="354">
        <v>44013</v>
      </c>
      <c r="B4962" s="353" t="s">
        <v>1209</v>
      </c>
      <c r="C4962" s="353" t="s">
        <v>769</v>
      </c>
      <c r="D4962" s="355">
        <v>1</v>
      </c>
      <c r="E4962" s="356">
        <v>6818.13</v>
      </c>
      <c r="F4962" s="356">
        <v>6818.13</v>
      </c>
      <c r="G4962" s="353" t="s">
        <v>1210</v>
      </c>
      <c r="H4962" s="353" t="s">
        <v>2439</v>
      </c>
      <c r="I4962" s="353" t="s">
        <v>2440</v>
      </c>
      <c r="J4962" s="353" t="s">
        <v>757</v>
      </c>
      <c r="K4962" s="353" t="s">
        <v>770</v>
      </c>
      <c r="L4962" s="354">
        <v>44013</v>
      </c>
      <c r="M4962" s="357">
        <v>0</v>
      </c>
    </row>
    <row r="4963" spans="1:13" hidden="1" x14ac:dyDescent="0.25">
      <c r="A4963" s="354">
        <v>44013</v>
      </c>
      <c r="B4963" s="353" t="s">
        <v>1209</v>
      </c>
      <c r="C4963" s="353" t="s">
        <v>769</v>
      </c>
      <c r="D4963" s="355">
        <v>1</v>
      </c>
      <c r="E4963" s="356">
        <v>-6818.13</v>
      </c>
      <c r="F4963" s="356">
        <v>0</v>
      </c>
      <c r="G4963" s="353" t="s">
        <v>1210</v>
      </c>
      <c r="H4963" s="353" t="s">
        <v>2439</v>
      </c>
      <c r="I4963" s="353" t="s">
        <v>2440</v>
      </c>
      <c r="J4963" s="353" t="s">
        <v>757</v>
      </c>
      <c r="K4963" s="353" t="s">
        <v>770</v>
      </c>
      <c r="L4963" s="354">
        <v>44013</v>
      </c>
      <c r="M4963" s="357">
        <v>0</v>
      </c>
    </row>
    <row r="4964" spans="1:13" hidden="1" x14ac:dyDescent="0.25">
      <c r="A4964" s="354">
        <v>44044</v>
      </c>
      <c r="B4964" s="353" t="s">
        <v>1212</v>
      </c>
      <c r="C4964" s="353" t="s">
        <v>769</v>
      </c>
      <c r="D4964" s="355">
        <v>2</v>
      </c>
      <c r="E4964" s="356">
        <v>6818.13</v>
      </c>
      <c r="F4964" s="356">
        <v>6818.13</v>
      </c>
      <c r="G4964" s="353" t="s">
        <v>2441</v>
      </c>
      <c r="H4964" s="353" t="s">
        <v>2439</v>
      </c>
      <c r="I4964" s="353" t="s">
        <v>2440</v>
      </c>
      <c r="J4964" s="353" t="s">
        <v>757</v>
      </c>
      <c r="K4964" s="353" t="s">
        <v>770</v>
      </c>
      <c r="L4964" s="354">
        <v>44044</v>
      </c>
      <c r="M4964" s="357">
        <v>0</v>
      </c>
    </row>
    <row r="4965" spans="1:13" hidden="1" x14ac:dyDescent="0.25">
      <c r="A4965" s="354">
        <v>44074</v>
      </c>
      <c r="B4965" s="353" t="s">
        <v>1214</v>
      </c>
      <c r="C4965" s="353" t="s">
        <v>1060</v>
      </c>
      <c r="D4965" s="355">
        <v>2</v>
      </c>
      <c r="E4965" s="356">
        <v>-6818.13</v>
      </c>
      <c r="F4965" s="356">
        <v>0</v>
      </c>
      <c r="G4965" s="353" t="s">
        <v>1215</v>
      </c>
      <c r="H4965" s="353" t="s">
        <v>2439</v>
      </c>
      <c r="I4965" s="353" t="s">
        <v>2440</v>
      </c>
      <c r="J4965" s="353" t="s">
        <v>757</v>
      </c>
      <c r="K4965" s="353" t="s">
        <v>741</v>
      </c>
      <c r="L4965" s="354">
        <v>44074</v>
      </c>
      <c r="M4965" s="357">
        <v>0</v>
      </c>
    </row>
    <row r="4966" spans="1:13" hidden="1" x14ac:dyDescent="0.25">
      <c r="A4966" s="354">
        <v>44046</v>
      </c>
      <c r="B4966" s="353" t="s">
        <v>1216</v>
      </c>
      <c r="C4966" s="353" t="s">
        <v>769</v>
      </c>
      <c r="D4966" s="355">
        <v>3</v>
      </c>
      <c r="E4966" s="356">
        <v>6818.13</v>
      </c>
      <c r="F4966" s="356">
        <v>6818.13</v>
      </c>
      <c r="G4966" s="353" t="s">
        <v>2442</v>
      </c>
      <c r="H4966" s="353" t="s">
        <v>2439</v>
      </c>
      <c r="I4966" s="353" t="s">
        <v>2440</v>
      </c>
      <c r="J4966" s="353" t="s">
        <v>757</v>
      </c>
      <c r="K4966" s="353" t="s">
        <v>770</v>
      </c>
      <c r="L4966" s="354">
        <v>44046</v>
      </c>
      <c r="M4966" s="357">
        <v>0</v>
      </c>
    </row>
    <row r="4967" spans="1:13" hidden="1" x14ac:dyDescent="0.25">
      <c r="A4967" s="354">
        <v>44074</v>
      </c>
      <c r="B4967" s="353" t="s">
        <v>1214</v>
      </c>
      <c r="C4967" s="353" t="s">
        <v>1060</v>
      </c>
      <c r="D4967" s="355">
        <v>3</v>
      </c>
      <c r="E4967" s="356">
        <v>6818.13</v>
      </c>
      <c r="F4967" s="356">
        <v>13636.26</v>
      </c>
      <c r="G4967" s="353" t="s">
        <v>1215</v>
      </c>
      <c r="H4967" s="353" t="s">
        <v>2439</v>
      </c>
      <c r="I4967" s="353" t="s">
        <v>2440</v>
      </c>
      <c r="J4967" s="353" t="s">
        <v>757</v>
      </c>
      <c r="K4967" s="353" t="s">
        <v>741</v>
      </c>
      <c r="L4967" s="354">
        <v>44074</v>
      </c>
      <c r="M4967" s="357">
        <v>0</v>
      </c>
    </row>
    <row r="4968" spans="1:13" hidden="1" x14ac:dyDescent="0.25">
      <c r="A4968" s="354">
        <v>44075</v>
      </c>
      <c r="B4968" s="353" t="s">
        <v>1218</v>
      </c>
      <c r="C4968" s="353" t="s">
        <v>936</v>
      </c>
      <c r="D4968" s="355">
        <v>3</v>
      </c>
      <c r="E4968" s="356">
        <v>-6818.13</v>
      </c>
      <c r="F4968" s="356">
        <v>6818.13</v>
      </c>
      <c r="G4968" s="353" t="s">
        <v>1219</v>
      </c>
      <c r="H4968" s="353" t="s">
        <v>2439</v>
      </c>
      <c r="I4968" s="353" t="s">
        <v>2440</v>
      </c>
      <c r="J4968" s="353" t="s">
        <v>757</v>
      </c>
      <c r="K4968" s="353" t="s">
        <v>770</v>
      </c>
      <c r="L4968" s="354">
        <v>44075</v>
      </c>
      <c r="M4968" s="357">
        <v>0</v>
      </c>
    </row>
    <row r="4969" spans="1:13" hidden="1" x14ac:dyDescent="0.25">
      <c r="A4969" s="354">
        <v>44104</v>
      </c>
      <c r="B4969" s="353" t="s">
        <v>1220</v>
      </c>
      <c r="C4969" s="353" t="s">
        <v>1060</v>
      </c>
      <c r="D4969" s="355">
        <v>3</v>
      </c>
      <c r="E4969" s="356">
        <v>-6818.13</v>
      </c>
      <c r="F4969" s="356">
        <v>0</v>
      </c>
      <c r="G4969" s="353" t="s">
        <v>1221</v>
      </c>
      <c r="H4969" s="353" t="s">
        <v>2439</v>
      </c>
      <c r="I4969" s="353" t="s">
        <v>2440</v>
      </c>
      <c r="J4969" s="353" t="s">
        <v>757</v>
      </c>
      <c r="K4969" s="353" t="s">
        <v>741</v>
      </c>
      <c r="L4969" s="354">
        <v>44104</v>
      </c>
      <c r="M4969" s="357">
        <v>0</v>
      </c>
    </row>
    <row r="4970" spans="1:13" hidden="1" x14ac:dyDescent="0.25">
      <c r="A4970" s="354">
        <v>44076</v>
      </c>
      <c r="B4970" s="353" t="s">
        <v>1222</v>
      </c>
      <c r="C4970" s="353" t="s">
        <v>769</v>
      </c>
      <c r="D4970" s="355">
        <v>4</v>
      </c>
      <c r="E4970" s="356">
        <v>7280.05</v>
      </c>
      <c r="F4970" s="356">
        <v>7280.05</v>
      </c>
      <c r="G4970" s="353" t="s">
        <v>2443</v>
      </c>
      <c r="H4970" s="353" t="s">
        <v>2439</v>
      </c>
      <c r="I4970" s="353" t="s">
        <v>2440</v>
      </c>
      <c r="J4970" s="353" t="s">
        <v>757</v>
      </c>
      <c r="K4970" s="353" t="s">
        <v>770</v>
      </c>
      <c r="L4970" s="354">
        <v>44076</v>
      </c>
      <c r="M4970" s="357">
        <v>0</v>
      </c>
    </row>
    <row r="4971" spans="1:13" hidden="1" x14ac:dyDescent="0.25">
      <c r="A4971" s="354">
        <v>44104</v>
      </c>
      <c r="B4971" s="353" t="s">
        <v>1220</v>
      </c>
      <c r="C4971" s="353" t="s">
        <v>1060</v>
      </c>
      <c r="D4971" s="355">
        <v>4</v>
      </c>
      <c r="E4971" s="356">
        <v>6818.13</v>
      </c>
      <c r="F4971" s="356">
        <v>14098.18</v>
      </c>
      <c r="G4971" s="353" t="s">
        <v>1221</v>
      </c>
      <c r="H4971" s="353" t="s">
        <v>2439</v>
      </c>
      <c r="I4971" s="353" t="s">
        <v>2440</v>
      </c>
      <c r="J4971" s="353" t="s">
        <v>757</v>
      </c>
      <c r="K4971" s="353" t="s">
        <v>741</v>
      </c>
      <c r="L4971" s="354">
        <v>44104</v>
      </c>
      <c r="M4971" s="357">
        <v>0</v>
      </c>
    </row>
    <row r="4972" spans="1:13" hidden="1" x14ac:dyDescent="0.25">
      <c r="A4972" s="354">
        <v>44105</v>
      </c>
      <c r="B4972" s="353" t="s">
        <v>1224</v>
      </c>
      <c r="C4972" s="353" t="s">
        <v>936</v>
      </c>
      <c r="D4972" s="355">
        <v>4</v>
      </c>
      <c r="E4972" s="356">
        <v>-7280.06</v>
      </c>
      <c r="F4972" s="356">
        <v>6818.12</v>
      </c>
      <c r="G4972" s="353" t="s">
        <v>2444</v>
      </c>
      <c r="H4972" s="353" t="s">
        <v>2439</v>
      </c>
      <c r="I4972" s="353" t="s">
        <v>2440</v>
      </c>
      <c r="J4972" s="353" t="s">
        <v>757</v>
      </c>
      <c r="K4972" s="353" t="s">
        <v>770</v>
      </c>
      <c r="L4972" s="354">
        <v>44105</v>
      </c>
      <c r="M4972" s="357">
        <v>0</v>
      </c>
    </row>
    <row r="4973" spans="1:13" hidden="1" x14ac:dyDescent="0.25">
      <c r="A4973" s="354">
        <v>44135</v>
      </c>
      <c r="B4973" s="353" t="s">
        <v>1200</v>
      </c>
      <c r="C4973" s="353" t="s">
        <v>1060</v>
      </c>
      <c r="D4973" s="355">
        <v>4</v>
      </c>
      <c r="E4973" s="356">
        <v>-6818.13</v>
      </c>
      <c r="F4973" s="356">
        <v>-1.00000000002183E-2</v>
      </c>
      <c r="G4973" s="353" t="s">
        <v>2445</v>
      </c>
      <c r="H4973" s="353" t="s">
        <v>2439</v>
      </c>
      <c r="I4973" s="353" t="s">
        <v>2440</v>
      </c>
      <c r="J4973" s="353" t="s">
        <v>757</v>
      </c>
      <c r="K4973" s="353" t="s">
        <v>741</v>
      </c>
      <c r="L4973" s="354">
        <v>44135</v>
      </c>
      <c r="M4973" s="357">
        <v>0</v>
      </c>
    </row>
    <row r="4974" spans="1:13" hidden="1" x14ac:dyDescent="0.25">
      <c r="A4974" s="354">
        <v>44135</v>
      </c>
      <c r="B4974" s="353" t="s">
        <v>1200</v>
      </c>
      <c r="C4974" s="353" t="s">
        <v>1060</v>
      </c>
      <c r="D4974" s="355">
        <v>5</v>
      </c>
      <c r="E4974" s="356">
        <v>6818.13</v>
      </c>
      <c r="F4974" s="356">
        <v>6818.12</v>
      </c>
      <c r="G4974" s="353" t="s">
        <v>2445</v>
      </c>
      <c r="H4974" s="353" t="s">
        <v>2439</v>
      </c>
      <c r="I4974" s="353" t="s">
        <v>2440</v>
      </c>
      <c r="J4974" s="353" t="s">
        <v>757</v>
      </c>
      <c r="K4974" s="353" t="s">
        <v>741</v>
      </c>
      <c r="L4974" s="354">
        <v>44135</v>
      </c>
      <c r="M4974" s="357">
        <v>0</v>
      </c>
    </row>
    <row r="4975" spans="1:13" hidden="1" x14ac:dyDescent="0.25">
      <c r="A4975" s="354">
        <v>44136</v>
      </c>
      <c r="B4975" s="353" t="s">
        <v>1226</v>
      </c>
      <c r="C4975" s="353" t="s">
        <v>769</v>
      </c>
      <c r="D4975" s="355">
        <v>5</v>
      </c>
      <c r="E4975" s="356">
        <v>7280.05</v>
      </c>
      <c r="F4975" s="356">
        <v>14098.17</v>
      </c>
      <c r="G4975" s="353" t="s">
        <v>2446</v>
      </c>
      <c r="H4975" s="353" t="s">
        <v>2439</v>
      </c>
      <c r="I4975" s="353" t="s">
        <v>2440</v>
      </c>
      <c r="J4975" s="353" t="s">
        <v>757</v>
      </c>
      <c r="K4975" s="353" t="s">
        <v>770</v>
      </c>
      <c r="L4975" s="354">
        <v>44136</v>
      </c>
      <c r="M4975" s="357">
        <v>0</v>
      </c>
    </row>
    <row r="4976" spans="1:13" hidden="1" x14ac:dyDescent="0.25">
      <c r="A4976" s="354">
        <v>44136</v>
      </c>
      <c r="B4976" s="353" t="s">
        <v>1228</v>
      </c>
      <c r="C4976" s="353" t="s">
        <v>936</v>
      </c>
      <c r="D4976" s="355">
        <v>5</v>
      </c>
      <c r="E4976" s="356">
        <v>-7280.05</v>
      </c>
      <c r="F4976" s="356">
        <v>6818.12</v>
      </c>
      <c r="G4976" s="353" t="s">
        <v>2447</v>
      </c>
      <c r="H4976" s="353" t="s">
        <v>2439</v>
      </c>
      <c r="I4976" s="353" t="s">
        <v>2440</v>
      </c>
      <c r="J4976" s="353" t="s">
        <v>757</v>
      </c>
      <c r="K4976" s="353" t="s">
        <v>770</v>
      </c>
      <c r="L4976" s="354">
        <v>44136</v>
      </c>
      <c r="M4976" s="357">
        <v>0</v>
      </c>
    </row>
    <row r="4977" spans="1:13" hidden="1" x14ac:dyDescent="0.25">
      <c r="A4977" s="354">
        <v>44165</v>
      </c>
      <c r="B4977" s="353" t="s">
        <v>1158</v>
      </c>
      <c r="C4977" s="353" t="s">
        <v>1060</v>
      </c>
      <c r="D4977" s="355">
        <v>5</v>
      </c>
      <c r="E4977" s="356">
        <v>-6818.13</v>
      </c>
      <c r="F4977" s="356">
        <v>-1.00000000002183E-2</v>
      </c>
      <c r="G4977" s="353" t="s">
        <v>2448</v>
      </c>
      <c r="H4977" s="353" t="s">
        <v>2439</v>
      </c>
      <c r="I4977" s="353" t="s">
        <v>2440</v>
      </c>
      <c r="J4977" s="353" t="s">
        <v>757</v>
      </c>
      <c r="K4977" s="353" t="s">
        <v>741</v>
      </c>
      <c r="L4977" s="354">
        <v>44165</v>
      </c>
      <c r="M4977" s="357">
        <v>0</v>
      </c>
    </row>
    <row r="4978" spans="1:13" hidden="1" x14ac:dyDescent="0.25">
      <c r="A4978" s="354">
        <v>44165</v>
      </c>
      <c r="B4978" s="353" t="s">
        <v>1158</v>
      </c>
      <c r="C4978" s="353" t="s">
        <v>1060</v>
      </c>
      <c r="D4978" s="355">
        <v>6</v>
      </c>
      <c r="E4978" s="356">
        <v>6818.13</v>
      </c>
      <c r="F4978" s="356">
        <v>6818.12</v>
      </c>
      <c r="G4978" s="353" t="s">
        <v>2448</v>
      </c>
      <c r="H4978" s="353" t="s">
        <v>2439</v>
      </c>
      <c r="I4978" s="353" t="s">
        <v>2440</v>
      </c>
      <c r="J4978" s="353" t="s">
        <v>757</v>
      </c>
      <c r="K4978" s="353" t="s">
        <v>741</v>
      </c>
      <c r="L4978" s="354">
        <v>44165</v>
      </c>
      <c r="M4978" s="357">
        <v>0</v>
      </c>
    </row>
    <row r="4979" spans="1:13" hidden="1" x14ac:dyDescent="0.25">
      <c r="A4979" s="354">
        <v>44166</v>
      </c>
      <c r="B4979" s="353" t="s">
        <v>1232</v>
      </c>
      <c r="C4979" s="353" t="s">
        <v>936</v>
      </c>
      <c r="D4979" s="355">
        <v>6</v>
      </c>
      <c r="E4979" s="356">
        <v>-7280.06</v>
      </c>
      <c r="F4979" s="356">
        <v>-461.94</v>
      </c>
      <c r="G4979" s="353" t="s">
        <v>2449</v>
      </c>
      <c r="H4979" s="353" t="s">
        <v>2439</v>
      </c>
      <c r="I4979" s="353" t="s">
        <v>2440</v>
      </c>
      <c r="J4979" s="353" t="s">
        <v>757</v>
      </c>
      <c r="K4979" s="353" t="s">
        <v>770</v>
      </c>
      <c r="L4979" s="354">
        <v>44166</v>
      </c>
      <c r="M4979" s="357">
        <v>0</v>
      </c>
    </row>
    <row r="4980" spans="1:13" hidden="1" x14ac:dyDescent="0.25">
      <c r="A4980" s="354">
        <v>44166</v>
      </c>
      <c r="B4980" s="353" t="s">
        <v>1230</v>
      </c>
      <c r="C4980" s="353" t="s">
        <v>769</v>
      </c>
      <c r="D4980" s="355">
        <v>6</v>
      </c>
      <c r="E4980" s="356">
        <v>7280.06</v>
      </c>
      <c r="F4980" s="356">
        <v>6818.12</v>
      </c>
      <c r="G4980" s="353" t="s">
        <v>2450</v>
      </c>
      <c r="H4980" s="353" t="s">
        <v>2439</v>
      </c>
      <c r="I4980" s="353" t="s">
        <v>2440</v>
      </c>
      <c r="J4980" s="353" t="s">
        <v>757</v>
      </c>
      <c r="K4980" s="353" t="s">
        <v>770</v>
      </c>
      <c r="L4980" s="354">
        <v>44166</v>
      </c>
      <c r="M4980" s="357">
        <v>0</v>
      </c>
    </row>
    <row r="4981" spans="1:13" hidden="1" x14ac:dyDescent="0.25">
      <c r="A4981" s="354">
        <v>44196</v>
      </c>
      <c r="B4981" s="353" t="s">
        <v>1160</v>
      </c>
      <c r="C4981" s="353" t="s">
        <v>1060</v>
      </c>
      <c r="D4981" s="355">
        <v>6</v>
      </c>
      <c r="E4981" s="356">
        <v>-6818.13</v>
      </c>
      <c r="F4981" s="356">
        <v>-1.00000000002183E-2</v>
      </c>
      <c r="G4981" s="353" t="s">
        <v>2451</v>
      </c>
      <c r="H4981" s="353" t="s">
        <v>2439</v>
      </c>
      <c r="I4981" s="353" t="s">
        <v>2440</v>
      </c>
      <c r="J4981" s="353" t="s">
        <v>757</v>
      </c>
      <c r="K4981" s="353" t="s">
        <v>741</v>
      </c>
      <c r="L4981" s="354">
        <v>44196</v>
      </c>
      <c r="M4981" s="357">
        <v>0</v>
      </c>
    </row>
    <row r="4982" spans="1:13" hidden="1" x14ac:dyDescent="0.25">
      <c r="A4982" s="354">
        <v>44044</v>
      </c>
      <c r="B4982" s="353" t="s">
        <v>1234</v>
      </c>
      <c r="C4982" s="353" t="s">
        <v>936</v>
      </c>
      <c r="D4982" s="355">
        <v>7</v>
      </c>
      <c r="E4982" s="356">
        <v>-6818.13</v>
      </c>
      <c r="F4982" s="356">
        <v>-6818.14</v>
      </c>
      <c r="G4982" s="353" t="s">
        <v>2452</v>
      </c>
      <c r="H4982" s="353" t="s">
        <v>2439</v>
      </c>
      <c r="I4982" s="353" t="s">
        <v>2440</v>
      </c>
      <c r="J4982" s="353" t="s">
        <v>757</v>
      </c>
      <c r="K4982" s="353" t="s">
        <v>770</v>
      </c>
      <c r="L4982" s="354">
        <v>44044</v>
      </c>
      <c r="M4982" s="357">
        <v>0</v>
      </c>
    </row>
    <row r="4983" spans="1:13" hidden="1" x14ac:dyDescent="0.25">
      <c r="A4983" s="354">
        <v>44196</v>
      </c>
      <c r="B4983" s="353" t="s">
        <v>1160</v>
      </c>
      <c r="C4983" s="353" t="s">
        <v>1060</v>
      </c>
      <c r="D4983" s="355">
        <v>7</v>
      </c>
      <c r="E4983" s="356">
        <v>6818.13</v>
      </c>
      <c r="F4983" s="356">
        <v>-1.00000000002183E-2</v>
      </c>
      <c r="G4983" s="353" t="s">
        <v>2451</v>
      </c>
      <c r="H4983" s="353" t="s">
        <v>2439</v>
      </c>
      <c r="I4983" s="353" t="s">
        <v>2440</v>
      </c>
      <c r="J4983" s="353" t="s">
        <v>757</v>
      </c>
      <c r="K4983" s="353" t="s">
        <v>741</v>
      </c>
      <c r="L4983" s="354">
        <v>44196</v>
      </c>
      <c r="M4983" s="357">
        <v>0</v>
      </c>
    </row>
    <row r="4984" spans="1:13" hidden="1" x14ac:dyDescent="0.25">
      <c r="A4984" s="354">
        <v>44197</v>
      </c>
      <c r="B4984" s="353" t="s">
        <v>1238</v>
      </c>
      <c r="C4984" s="353" t="s">
        <v>769</v>
      </c>
      <c r="D4984" s="355">
        <v>7</v>
      </c>
      <c r="E4984" s="356">
        <v>7280.05</v>
      </c>
      <c r="F4984" s="356">
        <v>7280.04</v>
      </c>
      <c r="G4984" s="353" t="s">
        <v>2453</v>
      </c>
      <c r="H4984" s="353" t="s">
        <v>2439</v>
      </c>
      <c r="I4984" s="353" t="s">
        <v>2440</v>
      </c>
      <c r="J4984" s="353" t="s">
        <v>757</v>
      </c>
      <c r="K4984" s="353" t="s">
        <v>770</v>
      </c>
      <c r="L4984" s="354">
        <v>44197</v>
      </c>
      <c r="M4984" s="357">
        <v>0</v>
      </c>
    </row>
    <row r="4985" spans="1:13" hidden="1" x14ac:dyDescent="0.25">
      <c r="A4985" s="354">
        <v>44197</v>
      </c>
      <c r="B4985" s="353" t="s">
        <v>1236</v>
      </c>
      <c r="C4985" s="353" t="s">
        <v>936</v>
      </c>
      <c r="D4985" s="355">
        <v>7</v>
      </c>
      <c r="E4985" s="356">
        <v>-7280.06</v>
      </c>
      <c r="F4985" s="356">
        <v>-2.0000000000436599E-2</v>
      </c>
      <c r="G4985" s="353" t="s">
        <v>2454</v>
      </c>
      <c r="H4985" s="353" t="s">
        <v>2439</v>
      </c>
      <c r="I4985" s="353" t="s">
        <v>2440</v>
      </c>
      <c r="J4985" s="353" t="s">
        <v>757</v>
      </c>
      <c r="K4985" s="353" t="s">
        <v>770</v>
      </c>
      <c r="L4985" s="354">
        <v>44197</v>
      </c>
      <c r="M4985" s="357">
        <v>0</v>
      </c>
    </row>
    <row r="4986" spans="1:13" hidden="1" x14ac:dyDescent="0.25">
      <c r="A4986" s="354">
        <v>44227</v>
      </c>
      <c r="B4986" s="353" t="s">
        <v>2455</v>
      </c>
      <c r="C4986" s="353" t="s">
        <v>1060</v>
      </c>
      <c r="D4986" s="355">
        <v>7</v>
      </c>
      <c r="E4986" s="356">
        <v>6818.13</v>
      </c>
      <c r="F4986" s="356">
        <v>6818.11</v>
      </c>
      <c r="G4986" s="353" t="s">
        <v>2456</v>
      </c>
      <c r="H4986" s="353" t="s">
        <v>2439</v>
      </c>
      <c r="I4986" s="353" t="s">
        <v>2440</v>
      </c>
      <c r="J4986" s="353" t="s">
        <v>757</v>
      </c>
      <c r="K4986" s="353" t="s">
        <v>741</v>
      </c>
      <c r="L4986" s="354">
        <v>44227</v>
      </c>
      <c r="M4986" s="357">
        <v>0</v>
      </c>
    </row>
    <row r="4987" spans="1:13" hidden="1" x14ac:dyDescent="0.25">
      <c r="A4987" s="354">
        <v>44230</v>
      </c>
      <c r="B4987" s="353" t="s">
        <v>1166</v>
      </c>
      <c r="C4987" s="353" t="s">
        <v>1060</v>
      </c>
      <c r="D4987" s="355">
        <v>7</v>
      </c>
      <c r="E4987" s="356">
        <v>-6818.13</v>
      </c>
      <c r="F4987" s="356">
        <v>-2.0000000000436599E-2</v>
      </c>
      <c r="G4987" s="353" t="s">
        <v>2457</v>
      </c>
      <c r="H4987" s="353" t="s">
        <v>2439</v>
      </c>
      <c r="I4987" s="353" t="s">
        <v>2440</v>
      </c>
      <c r="J4987" s="353" t="s">
        <v>757</v>
      </c>
      <c r="K4987" s="353" t="s">
        <v>741</v>
      </c>
      <c r="L4987" s="354">
        <v>44230</v>
      </c>
      <c r="M4987" s="357">
        <v>0</v>
      </c>
    </row>
    <row r="4988" spans="1:13" hidden="1" x14ac:dyDescent="0.25">
      <c r="A4988" s="354">
        <v>44223</v>
      </c>
      <c r="B4988" s="353" t="s">
        <v>2458</v>
      </c>
      <c r="C4988" s="353" t="s">
        <v>769</v>
      </c>
      <c r="D4988" s="355">
        <v>8</v>
      </c>
      <c r="E4988" s="356">
        <v>1001.95</v>
      </c>
      <c r="F4988" s="356">
        <v>1001.93</v>
      </c>
      <c r="G4988" s="353" t="s">
        <v>2459</v>
      </c>
      <c r="H4988" s="353" t="s">
        <v>2439</v>
      </c>
      <c r="I4988" s="353" t="s">
        <v>2440</v>
      </c>
      <c r="J4988" s="353" t="s">
        <v>757</v>
      </c>
      <c r="K4988" s="353" t="s">
        <v>770</v>
      </c>
      <c r="L4988" s="354">
        <v>44223</v>
      </c>
      <c r="M4988" s="357">
        <v>0</v>
      </c>
    </row>
    <row r="4989" spans="1:13" hidden="1" x14ac:dyDescent="0.25">
      <c r="A4989" s="354">
        <v>44227</v>
      </c>
      <c r="B4989" s="353" t="s">
        <v>2455</v>
      </c>
      <c r="C4989" s="353" t="s">
        <v>1060</v>
      </c>
      <c r="D4989" s="355">
        <v>8</v>
      </c>
      <c r="E4989" s="356">
        <v>-6818.13</v>
      </c>
      <c r="F4989" s="356">
        <v>-5816.2</v>
      </c>
      <c r="G4989" s="353" t="s">
        <v>2456</v>
      </c>
      <c r="H4989" s="353" t="s">
        <v>2439</v>
      </c>
      <c r="I4989" s="353" t="s">
        <v>2440</v>
      </c>
      <c r="J4989" s="353" t="s">
        <v>757</v>
      </c>
      <c r="K4989" s="353" t="s">
        <v>741</v>
      </c>
      <c r="L4989" s="354">
        <v>44227</v>
      </c>
      <c r="M4989" s="357">
        <v>0</v>
      </c>
    </row>
    <row r="4990" spans="1:13" hidden="1" x14ac:dyDescent="0.25">
      <c r="A4990" s="354">
        <v>44228</v>
      </c>
      <c r="B4990" s="353" t="s">
        <v>1242</v>
      </c>
      <c r="C4990" s="353" t="s">
        <v>769</v>
      </c>
      <c r="D4990" s="355">
        <v>8</v>
      </c>
      <c r="E4990" s="356">
        <v>7280.06</v>
      </c>
      <c r="F4990" s="356">
        <v>1463.86</v>
      </c>
      <c r="G4990" s="353" t="s">
        <v>2460</v>
      </c>
      <c r="H4990" s="353" t="s">
        <v>2439</v>
      </c>
      <c r="I4990" s="353" t="s">
        <v>2440</v>
      </c>
      <c r="J4990" s="353" t="s">
        <v>757</v>
      </c>
      <c r="K4990" s="353" t="s">
        <v>770</v>
      </c>
      <c r="L4990" s="354">
        <v>44228</v>
      </c>
      <c r="M4990" s="357">
        <v>0</v>
      </c>
    </row>
    <row r="4991" spans="1:13" hidden="1" x14ac:dyDescent="0.25">
      <c r="A4991" s="354">
        <v>44228</v>
      </c>
      <c r="B4991" s="353" t="s">
        <v>1240</v>
      </c>
      <c r="C4991" s="353" t="s">
        <v>936</v>
      </c>
      <c r="D4991" s="355">
        <v>8</v>
      </c>
      <c r="E4991" s="356">
        <v>-7280.06</v>
      </c>
      <c r="F4991" s="356">
        <v>-5816.2</v>
      </c>
      <c r="G4991" s="353" t="s">
        <v>2461</v>
      </c>
      <c r="H4991" s="353" t="s">
        <v>2439</v>
      </c>
      <c r="I4991" s="353" t="s">
        <v>2440</v>
      </c>
      <c r="J4991" s="353" t="s">
        <v>757</v>
      </c>
      <c r="K4991" s="353" t="s">
        <v>770</v>
      </c>
      <c r="L4991" s="354">
        <v>44228</v>
      </c>
      <c r="M4991" s="357">
        <v>0</v>
      </c>
    </row>
    <row r="4992" spans="1:13" hidden="1" x14ac:dyDescent="0.25">
      <c r="A4992" s="354">
        <v>44230</v>
      </c>
      <c r="B4992" s="353" t="s">
        <v>1166</v>
      </c>
      <c r="C4992" s="353" t="s">
        <v>1060</v>
      </c>
      <c r="D4992" s="355">
        <v>8</v>
      </c>
      <c r="E4992" s="356">
        <v>6818.13</v>
      </c>
      <c r="F4992" s="356">
        <v>1001.93</v>
      </c>
      <c r="G4992" s="353" t="s">
        <v>2457</v>
      </c>
      <c r="H4992" s="353" t="s">
        <v>2439</v>
      </c>
      <c r="I4992" s="353" t="s">
        <v>2440</v>
      </c>
      <c r="J4992" s="353" t="s">
        <v>757</v>
      </c>
      <c r="K4992" s="353" t="s">
        <v>741</v>
      </c>
      <c r="L4992" s="354">
        <v>44230</v>
      </c>
      <c r="M4992" s="357">
        <v>0</v>
      </c>
    </row>
    <row r="4993" spans="1:13" hidden="1" x14ac:dyDescent="0.25">
      <c r="A4993" s="354">
        <v>44230</v>
      </c>
      <c r="B4993" s="353" t="s">
        <v>1245</v>
      </c>
      <c r="C4993" s="353" t="s">
        <v>769</v>
      </c>
      <c r="D4993" s="355">
        <v>9</v>
      </c>
      <c r="E4993" s="356">
        <v>7280.05</v>
      </c>
      <c r="F4993" s="356">
        <v>8281.98</v>
      </c>
      <c r="G4993" s="353" t="s">
        <v>2462</v>
      </c>
      <c r="H4993" s="353" t="s">
        <v>2439</v>
      </c>
      <c r="I4993" s="353" t="s">
        <v>2440</v>
      </c>
      <c r="J4993" s="353" t="s">
        <v>757</v>
      </c>
      <c r="K4993" s="353" t="s">
        <v>770</v>
      </c>
      <c r="L4993" s="354">
        <v>44230</v>
      </c>
      <c r="M4993" s="357">
        <v>0</v>
      </c>
    </row>
    <row r="4994" spans="1:13" hidden="1" x14ac:dyDescent="0.25">
      <c r="A4994" s="354">
        <v>44256</v>
      </c>
      <c r="B4994" s="353" t="s">
        <v>1247</v>
      </c>
      <c r="C4994" s="353" t="s">
        <v>936</v>
      </c>
      <c r="D4994" s="355">
        <v>9</v>
      </c>
      <c r="E4994" s="356">
        <v>-7280.05</v>
      </c>
      <c r="F4994" s="356">
        <v>1001.93</v>
      </c>
      <c r="G4994" s="353" t="s">
        <v>2463</v>
      </c>
      <c r="H4994" s="353" t="s">
        <v>2439</v>
      </c>
      <c r="I4994" s="353" t="s">
        <v>2440</v>
      </c>
      <c r="J4994" s="353" t="s">
        <v>757</v>
      </c>
      <c r="K4994" s="353" t="s">
        <v>770</v>
      </c>
      <c r="L4994" s="354">
        <v>44256</v>
      </c>
      <c r="M4994" s="357">
        <v>0</v>
      </c>
    </row>
    <row r="4995" spans="1:13" hidden="1" x14ac:dyDescent="0.25">
      <c r="A4995" s="354">
        <v>44287</v>
      </c>
      <c r="B4995" s="353" t="s">
        <v>1249</v>
      </c>
      <c r="C4995" s="353" t="s">
        <v>936</v>
      </c>
      <c r="D4995" s="355">
        <v>10</v>
      </c>
      <c r="E4995" s="356">
        <v>-7280.05</v>
      </c>
      <c r="F4995" s="356">
        <v>-6278.12</v>
      </c>
      <c r="G4995" s="353" t="s">
        <v>2464</v>
      </c>
      <c r="H4995" s="353" t="s">
        <v>2439</v>
      </c>
      <c r="I4995" s="353" t="s">
        <v>2440</v>
      </c>
      <c r="J4995" s="353" t="s">
        <v>757</v>
      </c>
      <c r="K4995" s="353" t="s">
        <v>770</v>
      </c>
      <c r="L4995" s="354">
        <v>44287</v>
      </c>
      <c r="M4995" s="357">
        <v>0</v>
      </c>
    </row>
    <row r="4996" spans="1:13" hidden="1" x14ac:dyDescent="0.25">
      <c r="A4996" s="354">
        <v>44287</v>
      </c>
      <c r="B4996" s="353" t="s">
        <v>1251</v>
      </c>
      <c r="C4996" s="353" t="s">
        <v>769</v>
      </c>
      <c r="D4996" s="355">
        <v>10</v>
      </c>
      <c r="E4996" s="356">
        <v>7280.05</v>
      </c>
      <c r="F4996" s="356">
        <v>1001.93</v>
      </c>
      <c r="G4996" s="353" t="s">
        <v>2465</v>
      </c>
      <c r="H4996" s="353" t="s">
        <v>2439</v>
      </c>
      <c r="I4996" s="353" t="s">
        <v>2440</v>
      </c>
      <c r="J4996" s="353" t="s">
        <v>757</v>
      </c>
      <c r="K4996" s="353" t="s">
        <v>770</v>
      </c>
      <c r="L4996" s="354">
        <v>44287</v>
      </c>
      <c r="M4996" s="357">
        <v>0</v>
      </c>
    </row>
    <row r="4997" spans="1:13" hidden="1" x14ac:dyDescent="0.25">
      <c r="A4997" s="354">
        <v>44043</v>
      </c>
      <c r="B4997" s="353" t="s">
        <v>1143</v>
      </c>
      <c r="C4997" s="353" t="s">
        <v>1060</v>
      </c>
      <c r="D4997" s="355">
        <v>1</v>
      </c>
      <c r="E4997" s="356">
        <v>1615</v>
      </c>
      <c r="F4997" s="356">
        <v>2616.9299999999998</v>
      </c>
      <c r="G4997" s="353" t="s">
        <v>2466</v>
      </c>
      <c r="H4997" s="353" t="s">
        <v>2467</v>
      </c>
      <c r="I4997" s="353" t="s">
        <v>2440</v>
      </c>
      <c r="J4997" s="353" t="s">
        <v>757</v>
      </c>
      <c r="K4997" s="353" t="s">
        <v>741</v>
      </c>
      <c r="L4997" s="354">
        <v>44043</v>
      </c>
      <c r="M4997" s="357">
        <v>0</v>
      </c>
    </row>
    <row r="4998" spans="1:13" hidden="1" x14ac:dyDescent="0.25">
      <c r="A4998" s="354">
        <v>44043</v>
      </c>
      <c r="B4998" s="353" t="s">
        <v>1143</v>
      </c>
      <c r="C4998" s="353" t="s">
        <v>1060</v>
      </c>
      <c r="D4998" s="355">
        <v>2</v>
      </c>
      <c r="E4998" s="356">
        <v>-1615</v>
      </c>
      <c r="F4998" s="356">
        <v>1001.93</v>
      </c>
      <c r="G4998" s="353" t="s">
        <v>2466</v>
      </c>
      <c r="H4998" s="353" t="s">
        <v>2467</v>
      </c>
      <c r="I4998" s="353" t="s">
        <v>2440</v>
      </c>
      <c r="J4998" s="353" t="s">
        <v>757</v>
      </c>
      <c r="K4998" s="353" t="s">
        <v>741</v>
      </c>
      <c r="L4998" s="354">
        <v>44043</v>
      </c>
      <c r="M4998" s="357">
        <v>0</v>
      </c>
    </row>
    <row r="4999" spans="1:13" hidden="1" x14ac:dyDescent="0.25">
      <c r="A4999" s="354">
        <v>44074</v>
      </c>
      <c r="B4999" s="353" t="s">
        <v>1147</v>
      </c>
      <c r="C4999" s="353" t="s">
        <v>1060</v>
      </c>
      <c r="D4999" s="355">
        <v>2</v>
      </c>
      <c r="E4999" s="356">
        <v>3230</v>
      </c>
      <c r="F4999" s="356">
        <v>4231.93</v>
      </c>
      <c r="G4999" s="353" t="s">
        <v>2468</v>
      </c>
      <c r="H4999" s="353" t="s">
        <v>2467</v>
      </c>
      <c r="I4999" s="353" t="s">
        <v>2440</v>
      </c>
      <c r="J4999" s="353" t="s">
        <v>757</v>
      </c>
      <c r="K4999" s="353" t="s">
        <v>741</v>
      </c>
      <c r="L4999" s="354">
        <v>44074</v>
      </c>
      <c r="M4999" s="357">
        <v>0</v>
      </c>
    </row>
    <row r="5000" spans="1:13" hidden="1" x14ac:dyDescent="0.25">
      <c r="A5000" s="354">
        <v>44074</v>
      </c>
      <c r="B5000" s="353" t="s">
        <v>1147</v>
      </c>
      <c r="C5000" s="353" t="s">
        <v>1060</v>
      </c>
      <c r="D5000" s="355">
        <v>3</v>
      </c>
      <c r="E5000" s="356">
        <v>-3230</v>
      </c>
      <c r="F5000" s="356">
        <v>1001.93</v>
      </c>
      <c r="G5000" s="353" t="s">
        <v>2468</v>
      </c>
      <c r="H5000" s="353" t="s">
        <v>2467</v>
      </c>
      <c r="I5000" s="353" t="s">
        <v>2440</v>
      </c>
      <c r="J5000" s="353" t="s">
        <v>757</v>
      </c>
      <c r="K5000" s="353" t="s">
        <v>741</v>
      </c>
      <c r="L5000" s="354">
        <v>44074</v>
      </c>
      <c r="M5000" s="357">
        <v>0</v>
      </c>
    </row>
    <row r="5001" spans="1:13" hidden="1" x14ac:dyDescent="0.25">
      <c r="A5001" s="354">
        <v>44104</v>
      </c>
      <c r="B5001" s="353" t="s">
        <v>1198</v>
      </c>
      <c r="C5001" s="353" t="s">
        <v>1060</v>
      </c>
      <c r="D5001" s="355">
        <v>3</v>
      </c>
      <c r="E5001" s="356">
        <v>4845</v>
      </c>
      <c r="F5001" s="356">
        <v>5846.93</v>
      </c>
      <c r="G5001" s="353" t="s">
        <v>2469</v>
      </c>
      <c r="H5001" s="353" t="s">
        <v>2467</v>
      </c>
      <c r="I5001" s="353" t="s">
        <v>2440</v>
      </c>
      <c r="J5001" s="353" t="s">
        <v>757</v>
      </c>
      <c r="K5001" s="353" t="s">
        <v>741</v>
      </c>
      <c r="L5001" s="354">
        <v>44104</v>
      </c>
      <c r="M5001" s="357">
        <v>0</v>
      </c>
    </row>
    <row r="5002" spans="1:13" hidden="1" x14ac:dyDescent="0.25">
      <c r="A5002" s="354">
        <v>44104</v>
      </c>
      <c r="B5002" s="353" t="s">
        <v>1198</v>
      </c>
      <c r="C5002" s="353" t="s">
        <v>1060</v>
      </c>
      <c r="D5002" s="355">
        <v>4</v>
      </c>
      <c r="E5002" s="356">
        <v>-4845</v>
      </c>
      <c r="F5002" s="356">
        <v>1001.93</v>
      </c>
      <c r="G5002" s="353" t="s">
        <v>2469</v>
      </c>
      <c r="H5002" s="353" t="s">
        <v>2467</v>
      </c>
      <c r="I5002" s="353" t="s">
        <v>2440</v>
      </c>
      <c r="J5002" s="353" t="s">
        <v>757</v>
      </c>
      <c r="K5002" s="353" t="s">
        <v>741</v>
      </c>
      <c r="L5002" s="354">
        <v>44104</v>
      </c>
      <c r="M5002" s="357">
        <v>0</v>
      </c>
    </row>
    <row r="5003" spans="1:13" hidden="1" x14ac:dyDescent="0.25">
      <c r="A5003" s="354">
        <v>44135</v>
      </c>
      <c r="B5003" s="353" t="s">
        <v>1200</v>
      </c>
      <c r="C5003" s="353" t="s">
        <v>1060</v>
      </c>
      <c r="D5003" s="355">
        <v>4</v>
      </c>
      <c r="E5003" s="356">
        <v>6460</v>
      </c>
      <c r="F5003" s="356">
        <v>7461.93</v>
      </c>
      <c r="G5003" s="353" t="s">
        <v>2445</v>
      </c>
      <c r="H5003" s="353" t="s">
        <v>2467</v>
      </c>
      <c r="I5003" s="353" t="s">
        <v>2440</v>
      </c>
      <c r="J5003" s="353" t="s">
        <v>757</v>
      </c>
      <c r="K5003" s="353" t="s">
        <v>741</v>
      </c>
      <c r="L5003" s="354">
        <v>44135</v>
      </c>
      <c r="M5003" s="357">
        <v>0</v>
      </c>
    </row>
    <row r="5004" spans="1:13" hidden="1" x14ac:dyDescent="0.25">
      <c r="A5004" s="354">
        <v>44135</v>
      </c>
      <c r="B5004" s="353" t="s">
        <v>1200</v>
      </c>
      <c r="C5004" s="353" t="s">
        <v>1060</v>
      </c>
      <c r="D5004" s="355">
        <v>5</v>
      </c>
      <c r="E5004" s="356">
        <v>-6460</v>
      </c>
      <c r="F5004" s="356">
        <v>1001.93</v>
      </c>
      <c r="G5004" s="353" t="s">
        <v>2445</v>
      </c>
      <c r="H5004" s="353" t="s">
        <v>2467</v>
      </c>
      <c r="I5004" s="353" t="s">
        <v>2440</v>
      </c>
      <c r="J5004" s="353" t="s">
        <v>757</v>
      </c>
      <c r="K5004" s="353" t="s">
        <v>741</v>
      </c>
      <c r="L5004" s="354">
        <v>44135</v>
      </c>
      <c r="M5004" s="357">
        <v>0</v>
      </c>
    </row>
    <row r="5005" spans="1:13" hidden="1" x14ac:dyDescent="0.25">
      <c r="A5005" s="354">
        <v>44165</v>
      </c>
      <c r="B5005" s="353" t="s">
        <v>1158</v>
      </c>
      <c r="C5005" s="353" t="s">
        <v>1060</v>
      </c>
      <c r="D5005" s="355">
        <v>5</v>
      </c>
      <c r="E5005" s="356">
        <v>8075</v>
      </c>
      <c r="F5005" s="356">
        <v>9076.93</v>
      </c>
      <c r="G5005" s="353" t="s">
        <v>2448</v>
      </c>
      <c r="H5005" s="353" t="s">
        <v>2467</v>
      </c>
      <c r="I5005" s="353" t="s">
        <v>2440</v>
      </c>
      <c r="J5005" s="353" t="s">
        <v>757</v>
      </c>
      <c r="K5005" s="353" t="s">
        <v>741</v>
      </c>
      <c r="L5005" s="354">
        <v>44165</v>
      </c>
      <c r="M5005" s="357">
        <v>0</v>
      </c>
    </row>
    <row r="5006" spans="1:13" hidden="1" x14ac:dyDescent="0.25">
      <c r="A5006" s="354">
        <v>44165</v>
      </c>
      <c r="B5006" s="353" t="s">
        <v>1158</v>
      </c>
      <c r="C5006" s="353" t="s">
        <v>1060</v>
      </c>
      <c r="D5006" s="355">
        <v>6</v>
      </c>
      <c r="E5006" s="356">
        <v>-8075</v>
      </c>
      <c r="F5006" s="356">
        <v>1001.93</v>
      </c>
      <c r="G5006" s="353" t="s">
        <v>2448</v>
      </c>
      <c r="H5006" s="353" t="s">
        <v>2467</v>
      </c>
      <c r="I5006" s="353" t="s">
        <v>2440</v>
      </c>
      <c r="J5006" s="353" t="s">
        <v>757</v>
      </c>
      <c r="K5006" s="353" t="s">
        <v>741</v>
      </c>
      <c r="L5006" s="354">
        <v>44165</v>
      </c>
      <c r="M5006" s="357">
        <v>0</v>
      </c>
    </row>
    <row r="5007" spans="1:13" hidden="1" x14ac:dyDescent="0.25">
      <c r="A5007" s="354">
        <v>44196</v>
      </c>
      <c r="B5007" s="353" t="s">
        <v>1160</v>
      </c>
      <c r="C5007" s="353" t="s">
        <v>1060</v>
      </c>
      <c r="D5007" s="355">
        <v>6</v>
      </c>
      <c r="E5007" s="356">
        <v>9690</v>
      </c>
      <c r="F5007" s="356">
        <v>10691.93</v>
      </c>
      <c r="G5007" s="353" t="s">
        <v>2451</v>
      </c>
      <c r="H5007" s="353" t="s">
        <v>2467</v>
      </c>
      <c r="I5007" s="353" t="s">
        <v>2440</v>
      </c>
      <c r="J5007" s="353" t="s">
        <v>757</v>
      </c>
      <c r="K5007" s="353" t="s">
        <v>741</v>
      </c>
      <c r="L5007" s="354">
        <v>44196</v>
      </c>
      <c r="M5007" s="357">
        <v>0</v>
      </c>
    </row>
    <row r="5008" spans="1:13" hidden="1" x14ac:dyDescent="0.25">
      <c r="A5008" s="354">
        <v>44196</v>
      </c>
      <c r="B5008" s="353" t="s">
        <v>1160</v>
      </c>
      <c r="C5008" s="353" t="s">
        <v>1060</v>
      </c>
      <c r="D5008" s="355">
        <v>7</v>
      </c>
      <c r="E5008" s="356">
        <v>-9690</v>
      </c>
      <c r="F5008" s="356">
        <v>1001.93</v>
      </c>
      <c r="G5008" s="353" t="s">
        <v>2451</v>
      </c>
      <c r="H5008" s="353" t="s">
        <v>2467</v>
      </c>
      <c r="I5008" s="353" t="s">
        <v>2440</v>
      </c>
      <c r="J5008" s="353" t="s">
        <v>757</v>
      </c>
      <c r="K5008" s="353" t="s">
        <v>741</v>
      </c>
      <c r="L5008" s="354">
        <v>44196</v>
      </c>
      <c r="M5008" s="357">
        <v>0</v>
      </c>
    </row>
    <row r="5009" spans="1:13" hidden="1" x14ac:dyDescent="0.25">
      <c r="A5009" s="354">
        <v>44196</v>
      </c>
      <c r="B5009" s="353" t="s">
        <v>2470</v>
      </c>
      <c r="C5009" s="353" t="s">
        <v>936</v>
      </c>
      <c r="D5009" s="355">
        <v>7</v>
      </c>
      <c r="E5009" s="356">
        <v>-6166.36</v>
      </c>
      <c r="F5009" s="356">
        <v>-5164.43</v>
      </c>
      <c r="G5009" s="353" t="s">
        <v>2471</v>
      </c>
      <c r="H5009" s="353" t="s">
        <v>2467</v>
      </c>
      <c r="I5009" s="353" t="s">
        <v>2440</v>
      </c>
      <c r="J5009" s="353" t="s">
        <v>757</v>
      </c>
      <c r="K5009" s="353" t="s">
        <v>770</v>
      </c>
      <c r="L5009" s="354">
        <v>44196</v>
      </c>
      <c r="M5009" s="357">
        <v>0</v>
      </c>
    </row>
    <row r="5010" spans="1:13" hidden="1" x14ac:dyDescent="0.25">
      <c r="A5010" s="354">
        <v>44230</v>
      </c>
      <c r="B5010" s="353" t="s">
        <v>1166</v>
      </c>
      <c r="C5010" s="353" t="s">
        <v>1060</v>
      </c>
      <c r="D5010" s="355">
        <v>7</v>
      </c>
      <c r="E5010" s="356">
        <v>11305</v>
      </c>
      <c r="F5010" s="356">
        <v>6140.57</v>
      </c>
      <c r="G5010" s="353" t="s">
        <v>2457</v>
      </c>
      <c r="H5010" s="353" t="s">
        <v>2467</v>
      </c>
      <c r="I5010" s="353" t="s">
        <v>2440</v>
      </c>
      <c r="J5010" s="353" t="s">
        <v>757</v>
      </c>
      <c r="K5010" s="353" t="s">
        <v>741</v>
      </c>
      <c r="L5010" s="354">
        <v>44230</v>
      </c>
      <c r="M5010" s="357">
        <v>0</v>
      </c>
    </row>
    <row r="5011" spans="1:13" hidden="1" x14ac:dyDescent="0.25">
      <c r="A5011" s="354">
        <v>44230</v>
      </c>
      <c r="B5011" s="353" t="s">
        <v>1166</v>
      </c>
      <c r="C5011" s="353" t="s">
        <v>1060</v>
      </c>
      <c r="D5011" s="355">
        <v>8</v>
      </c>
      <c r="E5011" s="356">
        <v>-11305</v>
      </c>
      <c r="F5011" s="356">
        <v>-5164.43</v>
      </c>
      <c r="G5011" s="353" t="s">
        <v>2457</v>
      </c>
      <c r="H5011" s="353" t="s">
        <v>2467</v>
      </c>
      <c r="I5011" s="353" t="s">
        <v>2440</v>
      </c>
      <c r="J5011" s="353" t="s">
        <v>757</v>
      </c>
      <c r="K5011" s="353" t="s">
        <v>741</v>
      </c>
      <c r="L5011" s="354">
        <v>44230</v>
      </c>
      <c r="M5011" s="357">
        <v>0</v>
      </c>
    </row>
    <row r="5012" spans="1:13" hidden="1" x14ac:dyDescent="0.25">
      <c r="A5012" s="354">
        <v>44255</v>
      </c>
      <c r="B5012" s="353" t="s">
        <v>1178</v>
      </c>
      <c r="C5012" s="353" t="s">
        <v>1060</v>
      </c>
      <c r="D5012" s="355">
        <v>8</v>
      </c>
      <c r="E5012" s="356">
        <v>12920</v>
      </c>
      <c r="F5012" s="356">
        <v>7755.57</v>
      </c>
      <c r="G5012" s="353" t="s">
        <v>2472</v>
      </c>
      <c r="H5012" s="353" t="s">
        <v>2467</v>
      </c>
      <c r="I5012" s="353" t="s">
        <v>2440</v>
      </c>
      <c r="J5012" s="353" t="s">
        <v>757</v>
      </c>
      <c r="K5012" s="353" t="s">
        <v>741</v>
      </c>
      <c r="L5012" s="354">
        <v>44255</v>
      </c>
      <c r="M5012" s="357">
        <v>0</v>
      </c>
    </row>
    <row r="5013" spans="1:13" hidden="1" x14ac:dyDescent="0.25">
      <c r="A5013" s="354">
        <v>44255</v>
      </c>
      <c r="B5013" s="353" t="s">
        <v>1178</v>
      </c>
      <c r="C5013" s="353" t="s">
        <v>1060</v>
      </c>
      <c r="D5013" s="355">
        <v>9</v>
      </c>
      <c r="E5013" s="356">
        <v>-12920</v>
      </c>
      <c r="F5013" s="356">
        <v>-5164.43</v>
      </c>
      <c r="G5013" s="353" t="s">
        <v>2472</v>
      </c>
      <c r="H5013" s="353" t="s">
        <v>2467</v>
      </c>
      <c r="I5013" s="353" t="s">
        <v>2440</v>
      </c>
      <c r="J5013" s="353" t="s">
        <v>757</v>
      </c>
      <c r="K5013" s="353" t="s">
        <v>741</v>
      </c>
      <c r="L5013" s="354">
        <v>44255</v>
      </c>
      <c r="M5013" s="357">
        <v>0</v>
      </c>
    </row>
    <row r="5014" spans="1:13" hidden="1" x14ac:dyDescent="0.25">
      <c r="A5014" s="354">
        <v>44255</v>
      </c>
      <c r="B5014" s="353" t="s">
        <v>2473</v>
      </c>
      <c r="C5014" s="353" t="s">
        <v>769</v>
      </c>
      <c r="D5014" s="355">
        <v>9</v>
      </c>
      <c r="E5014" s="356">
        <v>8993.35</v>
      </c>
      <c r="F5014" s="356">
        <v>3828.92</v>
      </c>
      <c r="G5014" s="353" t="s">
        <v>2474</v>
      </c>
      <c r="H5014" s="353" t="s">
        <v>2467</v>
      </c>
      <c r="I5014" s="353" t="s">
        <v>2440</v>
      </c>
      <c r="J5014" s="353" t="s">
        <v>757</v>
      </c>
      <c r="K5014" s="353" t="s">
        <v>770</v>
      </c>
      <c r="L5014" s="354">
        <v>44255</v>
      </c>
      <c r="M5014" s="357">
        <v>0</v>
      </c>
    </row>
    <row r="5015" spans="1:13" hidden="1" x14ac:dyDescent="0.25">
      <c r="A5015" s="354">
        <v>44286</v>
      </c>
      <c r="B5015" s="353" t="s">
        <v>2475</v>
      </c>
      <c r="C5015" s="353" t="s">
        <v>1060</v>
      </c>
      <c r="D5015" s="355">
        <v>9</v>
      </c>
      <c r="E5015" s="356">
        <v>1124.17</v>
      </c>
      <c r="F5015" s="356">
        <v>4953.09</v>
      </c>
      <c r="G5015" s="353" t="s">
        <v>2476</v>
      </c>
      <c r="H5015" s="353" t="s">
        <v>2467</v>
      </c>
      <c r="I5015" s="353" t="s">
        <v>2440</v>
      </c>
      <c r="J5015" s="353" t="s">
        <v>757</v>
      </c>
      <c r="K5015" s="353" t="s">
        <v>741</v>
      </c>
      <c r="L5015" s="354">
        <v>44286</v>
      </c>
      <c r="M5015" s="357">
        <v>0</v>
      </c>
    </row>
    <row r="5016" spans="1:13" hidden="1" x14ac:dyDescent="0.25">
      <c r="A5016" s="354">
        <v>44286</v>
      </c>
      <c r="B5016" s="353" t="s">
        <v>2475</v>
      </c>
      <c r="C5016" s="353" t="s">
        <v>1060</v>
      </c>
      <c r="D5016" s="355">
        <v>10</v>
      </c>
      <c r="E5016" s="356">
        <v>-1124.17</v>
      </c>
      <c r="F5016" s="356">
        <v>3828.92</v>
      </c>
      <c r="G5016" s="353" t="s">
        <v>2476</v>
      </c>
      <c r="H5016" s="353" t="s">
        <v>2467</v>
      </c>
      <c r="I5016" s="353" t="s">
        <v>2440</v>
      </c>
      <c r="J5016" s="353" t="s">
        <v>757</v>
      </c>
      <c r="K5016" s="353" t="s">
        <v>741</v>
      </c>
      <c r="L5016" s="354">
        <v>44286</v>
      </c>
      <c r="M5016" s="357">
        <v>0</v>
      </c>
    </row>
    <row r="5017" spans="1:13" hidden="1" x14ac:dyDescent="0.25">
      <c r="A5017" s="354">
        <v>44286</v>
      </c>
      <c r="B5017" s="353" t="s">
        <v>2477</v>
      </c>
      <c r="C5017" s="353" t="s">
        <v>769</v>
      </c>
      <c r="D5017" s="355">
        <v>10</v>
      </c>
      <c r="E5017" s="356">
        <v>1124.17</v>
      </c>
      <c r="F5017" s="356">
        <v>4953.09</v>
      </c>
      <c r="G5017" s="353" t="s">
        <v>2478</v>
      </c>
      <c r="H5017" s="353" t="s">
        <v>2467</v>
      </c>
      <c r="I5017" s="353" t="s">
        <v>2440</v>
      </c>
      <c r="J5017" s="353" t="s">
        <v>757</v>
      </c>
      <c r="K5017" s="353" t="s">
        <v>770</v>
      </c>
      <c r="L5017" s="354">
        <v>44286</v>
      </c>
      <c r="M5017" s="357">
        <v>0</v>
      </c>
    </row>
    <row r="5018" spans="1:13" hidden="1" x14ac:dyDescent="0.25">
      <c r="A5018" s="354">
        <v>44316</v>
      </c>
      <c r="B5018" s="353" t="s">
        <v>1104</v>
      </c>
      <c r="C5018" s="353" t="s">
        <v>1060</v>
      </c>
      <c r="D5018" s="355">
        <v>10</v>
      </c>
      <c r="E5018" s="356">
        <v>1124.17</v>
      </c>
      <c r="F5018" s="356">
        <v>6077.26</v>
      </c>
      <c r="G5018" s="353" t="s">
        <v>1095</v>
      </c>
      <c r="H5018" s="353" t="s">
        <v>2467</v>
      </c>
      <c r="I5018" s="353" t="s">
        <v>2440</v>
      </c>
      <c r="J5018" s="353" t="s">
        <v>757</v>
      </c>
      <c r="K5018" s="353" t="s">
        <v>741</v>
      </c>
      <c r="L5018" s="354">
        <v>44316</v>
      </c>
      <c r="M5018" s="357">
        <v>0</v>
      </c>
    </row>
    <row r="5019" spans="1:13" hidden="1" x14ac:dyDescent="0.25">
      <c r="A5019" s="354">
        <v>44043</v>
      </c>
      <c r="B5019" s="353" t="s">
        <v>1143</v>
      </c>
      <c r="C5019" s="353" t="s">
        <v>1060</v>
      </c>
      <c r="D5019" s="355">
        <v>1</v>
      </c>
      <c r="E5019" s="356">
        <v>986</v>
      </c>
      <c r="F5019" s="356">
        <v>5939.09</v>
      </c>
      <c r="G5019" s="353" t="s">
        <v>2466</v>
      </c>
      <c r="H5019" s="353" t="s">
        <v>2479</v>
      </c>
      <c r="I5019" s="353" t="s">
        <v>2440</v>
      </c>
      <c r="J5019" s="353" t="s">
        <v>757</v>
      </c>
      <c r="K5019" s="353" t="s">
        <v>741</v>
      </c>
      <c r="L5019" s="354">
        <v>44043</v>
      </c>
      <c r="M5019" s="357">
        <v>0</v>
      </c>
    </row>
    <row r="5020" spans="1:13" hidden="1" x14ac:dyDescent="0.25">
      <c r="A5020" s="354">
        <v>44043</v>
      </c>
      <c r="B5020" s="353" t="s">
        <v>1143</v>
      </c>
      <c r="C5020" s="353" t="s">
        <v>1060</v>
      </c>
      <c r="D5020" s="355">
        <v>2</v>
      </c>
      <c r="E5020" s="356">
        <v>-986</v>
      </c>
      <c r="F5020" s="356">
        <v>4953.09</v>
      </c>
      <c r="G5020" s="353" t="s">
        <v>2466</v>
      </c>
      <c r="H5020" s="353" t="s">
        <v>2479</v>
      </c>
      <c r="I5020" s="353" t="s">
        <v>2440</v>
      </c>
      <c r="J5020" s="353" t="s">
        <v>757</v>
      </c>
      <c r="K5020" s="353" t="s">
        <v>741</v>
      </c>
      <c r="L5020" s="354">
        <v>44043</v>
      </c>
      <c r="M5020" s="357">
        <v>0</v>
      </c>
    </row>
    <row r="5021" spans="1:13" hidden="1" x14ac:dyDescent="0.25">
      <c r="A5021" s="354">
        <v>44074</v>
      </c>
      <c r="B5021" s="353" t="s">
        <v>1147</v>
      </c>
      <c r="C5021" s="353" t="s">
        <v>1060</v>
      </c>
      <c r="D5021" s="355">
        <v>2</v>
      </c>
      <c r="E5021" s="356">
        <v>1972</v>
      </c>
      <c r="F5021" s="356">
        <v>6925.09</v>
      </c>
      <c r="G5021" s="353" t="s">
        <v>2468</v>
      </c>
      <c r="H5021" s="353" t="s">
        <v>2479</v>
      </c>
      <c r="I5021" s="353" t="s">
        <v>2440</v>
      </c>
      <c r="J5021" s="353" t="s">
        <v>757</v>
      </c>
      <c r="K5021" s="353" t="s">
        <v>741</v>
      </c>
      <c r="L5021" s="354">
        <v>44074</v>
      </c>
      <c r="M5021" s="357">
        <v>0</v>
      </c>
    </row>
    <row r="5022" spans="1:13" hidden="1" x14ac:dyDescent="0.25">
      <c r="A5022" s="354">
        <v>44074</v>
      </c>
      <c r="B5022" s="353" t="s">
        <v>1147</v>
      </c>
      <c r="C5022" s="353" t="s">
        <v>1060</v>
      </c>
      <c r="D5022" s="355">
        <v>3</v>
      </c>
      <c r="E5022" s="356">
        <v>-1972</v>
      </c>
      <c r="F5022" s="356">
        <v>4953.09</v>
      </c>
      <c r="G5022" s="353" t="s">
        <v>2468</v>
      </c>
      <c r="H5022" s="353" t="s">
        <v>2479</v>
      </c>
      <c r="I5022" s="353" t="s">
        <v>2440</v>
      </c>
      <c r="J5022" s="353" t="s">
        <v>757</v>
      </c>
      <c r="K5022" s="353" t="s">
        <v>741</v>
      </c>
      <c r="L5022" s="354">
        <v>44074</v>
      </c>
      <c r="M5022" s="357">
        <v>0</v>
      </c>
    </row>
    <row r="5023" spans="1:13" hidden="1" x14ac:dyDescent="0.25">
      <c r="A5023" s="354">
        <v>44104</v>
      </c>
      <c r="B5023" s="353" t="s">
        <v>1198</v>
      </c>
      <c r="C5023" s="353" t="s">
        <v>1060</v>
      </c>
      <c r="D5023" s="355">
        <v>3</v>
      </c>
      <c r="E5023" s="356">
        <v>2958</v>
      </c>
      <c r="F5023" s="356">
        <v>7911.09</v>
      </c>
      <c r="G5023" s="353" t="s">
        <v>2469</v>
      </c>
      <c r="H5023" s="353" t="s">
        <v>2479</v>
      </c>
      <c r="I5023" s="353" t="s">
        <v>2440</v>
      </c>
      <c r="J5023" s="353" t="s">
        <v>757</v>
      </c>
      <c r="K5023" s="353" t="s">
        <v>741</v>
      </c>
      <c r="L5023" s="354">
        <v>44104</v>
      </c>
      <c r="M5023" s="357">
        <v>0</v>
      </c>
    </row>
    <row r="5024" spans="1:13" hidden="1" x14ac:dyDescent="0.25">
      <c r="A5024" s="354">
        <v>44104</v>
      </c>
      <c r="B5024" s="353" t="s">
        <v>1198</v>
      </c>
      <c r="C5024" s="353" t="s">
        <v>1060</v>
      </c>
      <c r="D5024" s="355">
        <v>4</v>
      </c>
      <c r="E5024" s="356">
        <v>-2958</v>
      </c>
      <c r="F5024" s="356">
        <v>4953.09</v>
      </c>
      <c r="G5024" s="353" t="s">
        <v>2469</v>
      </c>
      <c r="H5024" s="353" t="s">
        <v>2479</v>
      </c>
      <c r="I5024" s="353" t="s">
        <v>2440</v>
      </c>
      <c r="J5024" s="353" t="s">
        <v>757</v>
      </c>
      <c r="K5024" s="353" t="s">
        <v>741</v>
      </c>
      <c r="L5024" s="354">
        <v>44104</v>
      </c>
      <c r="M5024" s="357">
        <v>0</v>
      </c>
    </row>
    <row r="5025" spans="1:13" hidden="1" x14ac:dyDescent="0.25">
      <c r="A5025" s="354">
        <v>44135</v>
      </c>
      <c r="B5025" s="353" t="s">
        <v>1200</v>
      </c>
      <c r="C5025" s="353" t="s">
        <v>1060</v>
      </c>
      <c r="D5025" s="355">
        <v>4</v>
      </c>
      <c r="E5025" s="356">
        <v>3944</v>
      </c>
      <c r="F5025" s="356">
        <v>8897.09</v>
      </c>
      <c r="G5025" s="353" t="s">
        <v>2445</v>
      </c>
      <c r="H5025" s="353" t="s">
        <v>2479</v>
      </c>
      <c r="I5025" s="353" t="s">
        <v>2440</v>
      </c>
      <c r="J5025" s="353" t="s">
        <v>757</v>
      </c>
      <c r="K5025" s="353" t="s">
        <v>741</v>
      </c>
      <c r="L5025" s="354">
        <v>44135</v>
      </c>
      <c r="M5025" s="357">
        <v>0</v>
      </c>
    </row>
    <row r="5026" spans="1:13" hidden="1" x14ac:dyDescent="0.25">
      <c r="A5026" s="354">
        <v>44135</v>
      </c>
      <c r="B5026" s="353" t="s">
        <v>1200</v>
      </c>
      <c r="C5026" s="353" t="s">
        <v>1060</v>
      </c>
      <c r="D5026" s="355">
        <v>5</v>
      </c>
      <c r="E5026" s="356">
        <v>-3944</v>
      </c>
      <c r="F5026" s="356">
        <v>4953.09</v>
      </c>
      <c r="G5026" s="353" t="s">
        <v>2445</v>
      </c>
      <c r="H5026" s="353" t="s">
        <v>2479</v>
      </c>
      <c r="I5026" s="353" t="s">
        <v>2440</v>
      </c>
      <c r="J5026" s="353" t="s">
        <v>757</v>
      </c>
      <c r="K5026" s="353" t="s">
        <v>741</v>
      </c>
      <c r="L5026" s="354">
        <v>44135</v>
      </c>
      <c r="M5026" s="357">
        <v>0</v>
      </c>
    </row>
    <row r="5027" spans="1:13" hidden="1" x14ac:dyDescent="0.25">
      <c r="A5027" s="354">
        <v>44165</v>
      </c>
      <c r="B5027" s="353" t="s">
        <v>1158</v>
      </c>
      <c r="C5027" s="353" t="s">
        <v>1060</v>
      </c>
      <c r="D5027" s="355">
        <v>5</v>
      </c>
      <c r="E5027" s="356">
        <v>4930</v>
      </c>
      <c r="F5027" s="356">
        <v>9883.09</v>
      </c>
      <c r="G5027" s="353" t="s">
        <v>2448</v>
      </c>
      <c r="H5027" s="353" t="s">
        <v>2479</v>
      </c>
      <c r="I5027" s="353" t="s">
        <v>2440</v>
      </c>
      <c r="J5027" s="353" t="s">
        <v>757</v>
      </c>
      <c r="K5027" s="353" t="s">
        <v>741</v>
      </c>
      <c r="L5027" s="354">
        <v>44165</v>
      </c>
      <c r="M5027" s="357">
        <v>0</v>
      </c>
    </row>
    <row r="5028" spans="1:13" hidden="1" x14ac:dyDescent="0.25">
      <c r="A5028" s="354">
        <v>44165</v>
      </c>
      <c r="B5028" s="353" t="s">
        <v>1158</v>
      </c>
      <c r="C5028" s="353" t="s">
        <v>1060</v>
      </c>
      <c r="D5028" s="355">
        <v>6</v>
      </c>
      <c r="E5028" s="356">
        <v>-4930</v>
      </c>
      <c r="F5028" s="356">
        <v>4953.09</v>
      </c>
      <c r="G5028" s="353" t="s">
        <v>2448</v>
      </c>
      <c r="H5028" s="353" t="s">
        <v>2479</v>
      </c>
      <c r="I5028" s="353" t="s">
        <v>2440</v>
      </c>
      <c r="J5028" s="353" t="s">
        <v>757</v>
      </c>
      <c r="K5028" s="353" t="s">
        <v>741</v>
      </c>
      <c r="L5028" s="354">
        <v>44165</v>
      </c>
      <c r="M5028" s="357">
        <v>0</v>
      </c>
    </row>
    <row r="5029" spans="1:13" hidden="1" x14ac:dyDescent="0.25">
      <c r="A5029" s="354">
        <v>44196</v>
      </c>
      <c r="B5029" s="353" t="s">
        <v>1160</v>
      </c>
      <c r="C5029" s="353" t="s">
        <v>1060</v>
      </c>
      <c r="D5029" s="355">
        <v>6</v>
      </c>
      <c r="E5029" s="356">
        <v>5916</v>
      </c>
      <c r="F5029" s="356">
        <v>10869.09</v>
      </c>
      <c r="G5029" s="353" t="s">
        <v>2451</v>
      </c>
      <c r="H5029" s="353" t="s">
        <v>2479</v>
      </c>
      <c r="I5029" s="353" t="s">
        <v>2440</v>
      </c>
      <c r="J5029" s="353" t="s">
        <v>757</v>
      </c>
      <c r="K5029" s="353" t="s">
        <v>741</v>
      </c>
      <c r="L5029" s="354">
        <v>44196</v>
      </c>
      <c r="M5029" s="357">
        <v>0</v>
      </c>
    </row>
    <row r="5030" spans="1:13" hidden="1" x14ac:dyDescent="0.25">
      <c r="A5030" s="354">
        <v>44196</v>
      </c>
      <c r="B5030" s="353" t="s">
        <v>1160</v>
      </c>
      <c r="C5030" s="353" t="s">
        <v>1060</v>
      </c>
      <c r="D5030" s="355">
        <v>7</v>
      </c>
      <c r="E5030" s="356">
        <v>-5916</v>
      </c>
      <c r="F5030" s="356">
        <v>4953.09</v>
      </c>
      <c r="G5030" s="353" t="s">
        <v>2451</v>
      </c>
      <c r="H5030" s="353" t="s">
        <v>2479</v>
      </c>
      <c r="I5030" s="353" t="s">
        <v>2440</v>
      </c>
      <c r="J5030" s="353" t="s">
        <v>757</v>
      </c>
      <c r="K5030" s="353" t="s">
        <v>741</v>
      </c>
      <c r="L5030" s="354">
        <v>44196</v>
      </c>
      <c r="M5030" s="357">
        <v>0</v>
      </c>
    </row>
    <row r="5031" spans="1:13" hidden="1" x14ac:dyDescent="0.25">
      <c r="A5031" s="354">
        <v>44196</v>
      </c>
      <c r="B5031" s="353" t="s">
        <v>2470</v>
      </c>
      <c r="C5031" s="353" t="s">
        <v>936</v>
      </c>
      <c r="D5031" s="355">
        <v>7</v>
      </c>
      <c r="E5031" s="356">
        <v>-3764.73</v>
      </c>
      <c r="F5031" s="356">
        <v>1188.3599999999999</v>
      </c>
      <c r="G5031" s="353" t="s">
        <v>2471</v>
      </c>
      <c r="H5031" s="353" t="s">
        <v>2479</v>
      </c>
      <c r="I5031" s="353" t="s">
        <v>2440</v>
      </c>
      <c r="J5031" s="353" t="s">
        <v>757</v>
      </c>
      <c r="K5031" s="353" t="s">
        <v>770</v>
      </c>
      <c r="L5031" s="354">
        <v>44196</v>
      </c>
      <c r="M5031" s="357">
        <v>0</v>
      </c>
    </row>
    <row r="5032" spans="1:13" hidden="1" x14ac:dyDescent="0.25">
      <c r="A5032" s="354">
        <v>44230</v>
      </c>
      <c r="B5032" s="353" t="s">
        <v>1166</v>
      </c>
      <c r="C5032" s="353" t="s">
        <v>1060</v>
      </c>
      <c r="D5032" s="355">
        <v>7</v>
      </c>
      <c r="E5032" s="356">
        <v>6902</v>
      </c>
      <c r="F5032" s="356">
        <v>8090.36</v>
      </c>
      <c r="G5032" s="353" t="s">
        <v>2457</v>
      </c>
      <c r="H5032" s="353" t="s">
        <v>2479</v>
      </c>
      <c r="I5032" s="353" t="s">
        <v>2440</v>
      </c>
      <c r="J5032" s="353" t="s">
        <v>757</v>
      </c>
      <c r="K5032" s="353" t="s">
        <v>741</v>
      </c>
      <c r="L5032" s="354">
        <v>44230</v>
      </c>
      <c r="M5032" s="357">
        <v>0</v>
      </c>
    </row>
    <row r="5033" spans="1:13" hidden="1" x14ac:dyDescent="0.25">
      <c r="A5033" s="354">
        <v>44230</v>
      </c>
      <c r="B5033" s="353" t="s">
        <v>1166</v>
      </c>
      <c r="C5033" s="353" t="s">
        <v>1060</v>
      </c>
      <c r="D5033" s="355">
        <v>8</v>
      </c>
      <c r="E5033" s="356">
        <v>-6902</v>
      </c>
      <c r="F5033" s="356">
        <v>1188.3599999999999</v>
      </c>
      <c r="G5033" s="353" t="s">
        <v>2457</v>
      </c>
      <c r="H5033" s="353" t="s">
        <v>2479</v>
      </c>
      <c r="I5033" s="353" t="s">
        <v>2440</v>
      </c>
      <c r="J5033" s="353" t="s">
        <v>757</v>
      </c>
      <c r="K5033" s="353" t="s">
        <v>741</v>
      </c>
      <c r="L5033" s="354">
        <v>44230</v>
      </c>
      <c r="M5033" s="357">
        <v>0</v>
      </c>
    </row>
    <row r="5034" spans="1:13" hidden="1" x14ac:dyDescent="0.25">
      <c r="A5034" s="354">
        <v>44255</v>
      </c>
      <c r="B5034" s="353" t="s">
        <v>1178</v>
      </c>
      <c r="C5034" s="353" t="s">
        <v>1060</v>
      </c>
      <c r="D5034" s="355">
        <v>8</v>
      </c>
      <c r="E5034" s="356">
        <v>7888</v>
      </c>
      <c r="F5034" s="356">
        <v>9076.36</v>
      </c>
      <c r="G5034" s="353" t="s">
        <v>2472</v>
      </c>
      <c r="H5034" s="353" t="s">
        <v>2479</v>
      </c>
      <c r="I5034" s="353" t="s">
        <v>2440</v>
      </c>
      <c r="J5034" s="353" t="s">
        <v>757</v>
      </c>
      <c r="K5034" s="353" t="s">
        <v>741</v>
      </c>
      <c r="L5034" s="354">
        <v>44255</v>
      </c>
      <c r="M5034" s="357">
        <v>0</v>
      </c>
    </row>
    <row r="5035" spans="1:13" hidden="1" x14ac:dyDescent="0.25">
      <c r="A5035" s="354">
        <v>44255</v>
      </c>
      <c r="B5035" s="353" t="s">
        <v>1178</v>
      </c>
      <c r="C5035" s="353" t="s">
        <v>1060</v>
      </c>
      <c r="D5035" s="355">
        <v>9</v>
      </c>
      <c r="E5035" s="356">
        <v>-7888</v>
      </c>
      <c r="F5035" s="356">
        <v>1188.3599999999999</v>
      </c>
      <c r="G5035" s="353" t="s">
        <v>2472</v>
      </c>
      <c r="H5035" s="353" t="s">
        <v>2479</v>
      </c>
      <c r="I5035" s="353" t="s">
        <v>2440</v>
      </c>
      <c r="J5035" s="353" t="s">
        <v>757</v>
      </c>
      <c r="K5035" s="353" t="s">
        <v>741</v>
      </c>
      <c r="L5035" s="354">
        <v>44255</v>
      </c>
      <c r="M5035" s="357">
        <v>0</v>
      </c>
    </row>
    <row r="5036" spans="1:13" hidden="1" x14ac:dyDescent="0.25">
      <c r="A5036" s="354">
        <v>44255</v>
      </c>
      <c r="B5036" s="353" t="s">
        <v>2473</v>
      </c>
      <c r="C5036" s="353" t="s">
        <v>769</v>
      </c>
      <c r="D5036" s="355">
        <v>9</v>
      </c>
      <c r="E5036" s="356">
        <v>2775.4</v>
      </c>
      <c r="F5036" s="356">
        <v>3963.76</v>
      </c>
      <c r="G5036" s="353" t="s">
        <v>2480</v>
      </c>
      <c r="H5036" s="353" t="s">
        <v>2479</v>
      </c>
      <c r="I5036" s="353" t="s">
        <v>2440</v>
      </c>
      <c r="J5036" s="353" t="s">
        <v>757</v>
      </c>
      <c r="K5036" s="353" t="s">
        <v>770</v>
      </c>
      <c r="L5036" s="354">
        <v>44255</v>
      </c>
      <c r="M5036" s="357">
        <v>0</v>
      </c>
    </row>
    <row r="5037" spans="1:13" hidden="1" x14ac:dyDescent="0.25">
      <c r="A5037" s="354">
        <v>44286</v>
      </c>
      <c r="B5037" s="353" t="s">
        <v>2475</v>
      </c>
      <c r="C5037" s="353" t="s">
        <v>1060</v>
      </c>
      <c r="D5037" s="355">
        <v>9</v>
      </c>
      <c r="E5037" s="356">
        <v>5550.8</v>
      </c>
      <c r="F5037" s="356">
        <v>9514.56</v>
      </c>
      <c r="G5037" s="353" t="s">
        <v>2476</v>
      </c>
      <c r="H5037" s="353" t="s">
        <v>2479</v>
      </c>
      <c r="I5037" s="353" t="s">
        <v>2440</v>
      </c>
      <c r="J5037" s="353" t="s">
        <v>757</v>
      </c>
      <c r="K5037" s="353" t="s">
        <v>741</v>
      </c>
      <c r="L5037" s="354">
        <v>44286</v>
      </c>
      <c r="M5037" s="357">
        <v>0</v>
      </c>
    </row>
    <row r="5038" spans="1:13" hidden="1" x14ac:dyDescent="0.25">
      <c r="A5038" s="354">
        <v>44286</v>
      </c>
      <c r="B5038" s="353" t="s">
        <v>2475</v>
      </c>
      <c r="C5038" s="353" t="s">
        <v>1060</v>
      </c>
      <c r="D5038" s="355">
        <v>10</v>
      </c>
      <c r="E5038" s="356">
        <v>-5550.8</v>
      </c>
      <c r="F5038" s="356">
        <v>3963.76</v>
      </c>
      <c r="G5038" s="353" t="s">
        <v>2476</v>
      </c>
      <c r="H5038" s="353" t="s">
        <v>2479</v>
      </c>
      <c r="I5038" s="353" t="s">
        <v>2440</v>
      </c>
      <c r="J5038" s="353" t="s">
        <v>757</v>
      </c>
      <c r="K5038" s="353" t="s">
        <v>741</v>
      </c>
      <c r="L5038" s="354">
        <v>44286</v>
      </c>
      <c r="M5038" s="357">
        <v>0</v>
      </c>
    </row>
    <row r="5039" spans="1:13" hidden="1" x14ac:dyDescent="0.25">
      <c r="A5039" s="354">
        <v>44316</v>
      </c>
      <c r="B5039" s="353" t="s">
        <v>1104</v>
      </c>
      <c r="C5039" s="353" t="s">
        <v>1060</v>
      </c>
      <c r="D5039" s="355">
        <v>10</v>
      </c>
      <c r="E5039" s="356">
        <v>6475.93</v>
      </c>
      <c r="F5039" s="356">
        <v>10439.69</v>
      </c>
      <c r="G5039" s="353" t="s">
        <v>1095</v>
      </c>
      <c r="H5039" s="353" t="s">
        <v>2479</v>
      </c>
      <c r="I5039" s="353" t="s">
        <v>2440</v>
      </c>
      <c r="J5039" s="353" t="s">
        <v>757</v>
      </c>
      <c r="K5039" s="353" t="s">
        <v>741</v>
      </c>
      <c r="L5039" s="354">
        <v>44316</v>
      </c>
      <c r="M5039" s="357">
        <v>0</v>
      </c>
    </row>
    <row r="5040" spans="1:13" hidden="1" x14ac:dyDescent="0.25">
      <c r="A5040" s="354">
        <v>44043</v>
      </c>
      <c r="B5040" s="353" t="s">
        <v>1143</v>
      </c>
      <c r="C5040" s="353" t="s">
        <v>1060</v>
      </c>
      <c r="D5040" s="355">
        <v>1</v>
      </c>
      <c r="E5040" s="356">
        <v>1054</v>
      </c>
      <c r="F5040" s="356">
        <v>5017.76</v>
      </c>
      <c r="G5040" s="353" t="s">
        <v>2466</v>
      </c>
      <c r="H5040" s="353" t="s">
        <v>2481</v>
      </c>
      <c r="I5040" s="353" t="s">
        <v>2440</v>
      </c>
      <c r="J5040" s="353" t="s">
        <v>757</v>
      </c>
      <c r="K5040" s="353" t="s">
        <v>741</v>
      </c>
      <c r="L5040" s="354">
        <v>44043</v>
      </c>
      <c r="M5040" s="357">
        <v>0</v>
      </c>
    </row>
    <row r="5041" spans="1:13" hidden="1" x14ac:dyDescent="0.25">
      <c r="A5041" s="354">
        <v>44043</v>
      </c>
      <c r="B5041" s="353" t="s">
        <v>1143</v>
      </c>
      <c r="C5041" s="353" t="s">
        <v>1060</v>
      </c>
      <c r="D5041" s="355">
        <v>2</v>
      </c>
      <c r="E5041" s="356">
        <v>-1054</v>
      </c>
      <c r="F5041" s="356">
        <v>3963.76</v>
      </c>
      <c r="G5041" s="353" t="s">
        <v>2466</v>
      </c>
      <c r="H5041" s="353" t="s">
        <v>2481</v>
      </c>
      <c r="I5041" s="353" t="s">
        <v>2440</v>
      </c>
      <c r="J5041" s="353" t="s">
        <v>757</v>
      </c>
      <c r="K5041" s="353" t="s">
        <v>741</v>
      </c>
      <c r="L5041" s="354">
        <v>44043</v>
      </c>
      <c r="M5041" s="357">
        <v>0</v>
      </c>
    </row>
    <row r="5042" spans="1:13" hidden="1" x14ac:dyDescent="0.25">
      <c r="A5042" s="354">
        <v>44074</v>
      </c>
      <c r="B5042" s="353" t="s">
        <v>1147</v>
      </c>
      <c r="C5042" s="353" t="s">
        <v>1060</v>
      </c>
      <c r="D5042" s="355">
        <v>2</v>
      </c>
      <c r="E5042" s="356">
        <v>2108</v>
      </c>
      <c r="F5042" s="356">
        <v>6071.76</v>
      </c>
      <c r="G5042" s="353" t="s">
        <v>2468</v>
      </c>
      <c r="H5042" s="353" t="s">
        <v>2481</v>
      </c>
      <c r="I5042" s="353" t="s">
        <v>2440</v>
      </c>
      <c r="J5042" s="353" t="s">
        <v>757</v>
      </c>
      <c r="K5042" s="353" t="s">
        <v>741</v>
      </c>
      <c r="L5042" s="354">
        <v>44074</v>
      </c>
      <c r="M5042" s="357">
        <v>0</v>
      </c>
    </row>
    <row r="5043" spans="1:13" hidden="1" x14ac:dyDescent="0.25">
      <c r="A5043" s="354">
        <v>44074</v>
      </c>
      <c r="B5043" s="353" t="s">
        <v>1147</v>
      </c>
      <c r="C5043" s="353" t="s">
        <v>1060</v>
      </c>
      <c r="D5043" s="355">
        <v>3</v>
      </c>
      <c r="E5043" s="356">
        <v>-2108</v>
      </c>
      <c r="F5043" s="356">
        <v>3963.76</v>
      </c>
      <c r="G5043" s="353" t="s">
        <v>2468</v>
      </c>
      <c r="H5043" s="353" t="s">
        <v>2481</v>
      </c>
      <c r="I5043" s="353" t="s">
        <v>2440</v>
      </c>
      <c r="J5043" s="353" t="s">
        <v>757</v>
      </c>
      <c r="K5043" s="353" t="s">
        <v>741</v>
      </c>
      <c r="L5043" s="354">
        <v>44074</v>
      </c>
      <c r="M5043" s="357">
        <v>0</v>
      </c>
    </row>
    <row r="5044" spans="1:13" hidden="1" x14ac:dyDescent="0.25">
      <c r="A5044" s="354">
        <v>44104</v>
      </c>
      <c r="B5044" s="353" t="s">
        <v>1198</v>
      </c>
      <c r="C5044" s="353" t="s">
        <v>1060</v>
      </c>
      <c r="D5044" s="355">
        <v>3</v>
      </c>
      <c r="E5044" s="356">
        <v>3162</v>
      </c>
      <c r="F5044" s="356">
        <v>7125.76</v>
      </c>
      <c r="G5044" s="353" t="s">
        <v>2469</v>
      </c>
      <c r="H5044" s="353" t="s">
        <v>2481</v>
      </c>
      <c r="I5044" s="353" t="s">
        <v>2440</v>
      </c>
      <c r="J5044" s="353" t="s">
        <v>757</v>
      </c>
      <c r="K5044" s="353" t="s">
        <v>741</v>
      </c>
      <c r="L5044" s="354">
        <v>44104</v>
      </c>
      <c r="M5044" s="357">
        <v>0</v>
      </c>
    </row>
    <row r="5045" spans="1:13" hidden="1" x14ac:dyDescent="0.25">
      <c r="A5045" s="354">
        <v>44104</v>
      </c>
      <c r="B5045" s="353" t="s">
        <v>1198</v>
      </c>
      <c r="C5045" s="353" t="s">
        <v>1060</v>
      </c>
      <c r="D5045" s="355">
        <v>4</v>
      </c>
      <c r="E5045" s="356">
        <v>-3162</v>
      </c>
      <c r="F5045" s="356">
        <v>3963.76</v>
      </c>
      <c r="G5045" s="353" t="s">
        <v>2469</v>
      </c>
      <c r="H5045" s="353" t="s">
        <v>2481</v>
      </c>
      <c r="I5045" s="353" t="s">
        <v>2440</v>
      </c>
      <c r="J5045" s="353" t="s">
        <v>757</v>
      </c>
      <c r="K5045" s="353" t="s">
        <v>741</v>
      </c>
      <c r="L5045" s="354">
        <v>44104</v>
      </c>
      <c r="M5045" s="357">
        <v>0</v>
      </c>
    </row>
    <row r="5046" spans="1:13" hidden="1" x14ac:dyDescent="0.25">
      <c r="A5046" s="354">
        <v>44135</v>
      </c>
      <c r="B5046" s="353" t="s">
        <v>1200</v>
      </c>
      <c r="C5046" s="353" t="s">
        <v>1060</v>
      </c>
      <c r="D5046" s="355">
        <v>4</v>
      </c>
      <c r="E5046" s="356">
        <v>4216</v>
      </c>
      <c r="F5046" s="356">
        <v>8179.76</v>
      </c>
      <c r="G5046" s="353" t="s">
        <v>2445</v>
      </c>
      <c r="H5046" s="353" t="s">
        <v>2481</v>
      </c>
      <c r="I5046" s="353" t="s">
        <v>2440</v>
      </c>
      <c r="J5046" s="353" t="s">
        <v>757</v>
      </c>
      <c r="K5046" s="353" t="s">
        <v>741</v>
      </c>
      <c r="L5046" s="354">
        <v>44135</v>
      </c>
      <c r="M5046" s="357">
        <v>0</v>
      </c>
    </row>
    <row r="5047" spans="1:13" hidden="1" x14ac:dyDescent="0.25">
      <c r="A5047" s="354">
        <v>44135</v>
      </c>
      <c r="B5047" s="353" t="s">
        <v>1200</v>
      </c>
      <c r="C5047" s="353" t="s">
        <v>1060</v>
      </c>
      <c r="D5047" s="355">
        <v>5</v>
      </c>
      <c r="E5047" s="356">
        <v>-4216</v>
      </c>
      <c r="F5047" s="356">
        <v>3963.76</v>
      </c>
      <c r="G5047" s="353" t="s">
        <v>2445</v>
      </c>
      <c r="H5047" s="353" t="s">
        <v>2481</v>
      </c>
      <c r="I5047" s="353" t="s">
        <v>2440</v>
      </c>
      <c r="J5047" s="353" t="s">
        <v>757</v>
      </c>
      <c r="K5047" s="353" t="s">
        <v>741</v>
      </c>
      <c r="L5047" s="354">
        <v>44135</v>
      </c>
      <c r="M5047" s="357">
        <v>0</v>
      </c>
    </row>
    <row r="5048" spans="1:13" hidden="1" x14ac:dyDescent="0.25">
      <c r="A5048" s="354">
        <v>44165</v>
      </c>
      <c r="B5048" s="353" t="s">
        <v>1158</v>
      </c>
      <c r="C5048" s="353" t="s">
        <v>1060</v>
      </c>
      <c r="D5048" s="355">
        <v>5</v>
      </c>
      <c r="E5048" s="356">
        <v>5270</v>
      </c>
      <c r="F5048" s="356">
        <v>9233.76</v>
      </c>
      <c r="G5048" s="353" t="s">
        <v>2448</v>
      </c>
      <c r="H5048" s="353" t="s">
        <v>2481</v>
      </c>
      <c r="I5048" s="353" t="s">
        <v>2440</v>
      </c>
      <c r="J5048" s="353" t="s">
        <v>757</v>
      </c>
      <c r="K5048" s="353" t="s">
        <v>741</v>
      </c>
      <c r="L5048" s="354">
        <v>44165</v>
      </c>
      <c r="M5048" s="357">
        <v>0</v>
      </c>
    </row>
    <row r="5049" spans="1:13" hidden="1" x14ac:dyDescent="0.25">
      <c r="A5049" s="354">
        <v>44165</v>
      </c>
      <c r="B5049" s="353" t="s">
        <v>1158</v>
      </c>
      <c r="C5049" s="353" t="s">
        <v>1060</v>
      </c>
      <c r="D5049" s="355">
        <v>6</v>
      </c>
      <c r="E5049" s="356">
        <v>-5270</v>
      </c>
      <c r="F5049" s="356">
        <v>3963.76</v>
      </c>
      <c r="G5049" s="353" t="s">
        <v>2448</v>
      </c>
      <c r="H5049" s="353" t="s">
        <v>2481</v>
      </c>
      <c r="I5049" s="353" t="s">
        <v>2440</v>
      </c>
      <c r="J5049" s="353" t="s">
        <v>757</v>
      </c>
      <c r="K5049" s="353" t="s">
        <v>741</v>
      </c>
      <c r="L5049" s="354">
        <v>44165</v>
      </c>
      <c r="M5049" s="357">
        <v>0</v>
      </c>
    </row>
    <row r="5050" spans="1:13" hidden="1" x14ac:dyDescent="0.25">
      <c r="A5050" s="354">
        <v>44196</v>
      </c>
      <c r="B5050" s="353" t="s">
        <v>1160</v>
      </c>
      <c r="C5050" s="353" t="s">
        <v>1060</v>
      </c>
      <c r="D5050" s="355">
        <v>6</v>
      </c>
      <c r="E5050" s="356">
        <v>6324</v>
      </c>
      <c r="F5050" s="356">
        <v>10287.76</v>
      </c>
      <c r="G5050" s="353" t="s">
        <v>2451</v>
      </c>
      <c r="H5050" s="353" t="s">
        <v>2481</v>
      </c>
      <c r="I5050" s="353" t="s">
        <v>2440</v>
      </c>
      <c r="J5050" s="353" t="s">
        <v>757</v>
      </c>
      <c r="K5050" s="353" t="s">
        <v>741</v>
      </c>
      <c r="L5050" s="354">
        <v>44196</v>
      </c>
      <c r="M5050" s="357">
        <v>0</v>
      </c>
    </row>
    <row r="5051" spans="1:13" hidden="1" x14ac:dyDescent="0.25">
      <c r="A5051" s="354">
        <v>44196</v>
      </c>
      <c r="B5051" s="353" t="s">
        <v>1160</v>
      </c>
      <c r="C5051" s="353" t="s">
        <v>1060</v>
      </c>
      <c r="D5051" s="355">
        <v>7</v>
      </c>
      <c r="E5051" s="356">
        <v>-6324</v>
      </c>
      <c r="F5051" s="356">
        <v>3963.76</v>
      </c>
      <c r="G5051" s="353" t="s">
        <v>2451</v>
      </c>
      <c r="H5051" s="353" t="s">
        <v>2481</v>
      </c>
      <c r="I5051" s="353" t="s">
        <v>2440</v>
      </c>
      <c r="J5051" s="353" t="s">
        <v>757</v>
      </c>
      <c r="K5051" s="353" t="s">
        <v>741</v>
      </c>
      <c r="L5051" s="354">
        <v>44196</v>
      </c>
      <c r="M5051" s="357">
        <v>0</v>
      </c>
    </row>
    <row r="5052" spans="1:13" hidden="1" x14ac:dyDescent="0.25">
      <c r="A5052" s="354">
        <v>44196</v>
      </c>
      <c r="B5052" s="353" t="s">
        <v>2470</v>
      </c>
      <c r="C5052" s="353" t="s">
        <v>936</v>
      </c>
      <c r="D5052" s="355">
        <v>7</v>
      </c>
      <c r="E5052" s="356">
        <v>-4024.36</v>
      </c>
      <c r="F5052" s="356">
        <v>-60.599999999998097</v>
      </c>
      <c r="G5052" s="353" t="s">
        <v>2471</v>
      </c>
      <c r="H5052" s="353" t="s">
        <v>2481</v>
      </c>
      <c r="I5052" s="353" t="s">
        <v>2440</v>
      </c>
      <c r="J5052" s="353" t="s">
        <v>757</v>
      </c>
      <c r="K5052" s="353" t="s">
        <v>770</v>
      </c>
      <c r="L5052" s="354">
        <v>44196</v>
      </c>
      <c r="M5052" s="357">
        <v>0</v>
      </c>
    </row>
    <row r="5053" spans="1:13" hidden="1" x14ac:dyDescent="0.25">
      <c r="A5053" s="354">
        <v>44230</v>
      </c>
      <c r="B5053" s="353" t="s">
        <v>1166</v>
      </c>
      <c r="C5053" s="353" t="s">
        <v>1060</v>
      </c>
      <c r="D5053" s="355">
        <v>7</v>
      </c>
      <c r="E5053" s="356">
        <v>7378</v>
      </c>
      <c r="F5053" s="356">
        <v>7317.4</v>
      </c>
      <c r="G5053" s="353" t="s">
        <v>2457</v>
      </c>
      <c r="H5053" s="353" t="s">
        <v>2481</v>
      </c>
      <c r="I5053" s="353" t="s">
        <v>2440</v>
      </c>
      <c r="J5053" s="353" t="s">
        <v>757</v>
      </c>
      <c r="K5053" s="353" t="s">
        <v>741</v>
      </c>
      <c r="L5053" s="354">
        <v>44230</v>
      </c>
      <c r="M5053" s="357">
        <v>0</v>
      </c>
    </row>
    <row r="5054" spans="1:13" hidden="1" x14ac:dyDescent="0.25">
      <c r="A5054" s="354">
        <v>44230</v>
      </c>
      <c r="B5054" s="353" t="s">
        <v>1166</v>
      </c>
      <c r="C5054" s="353" t="s">
        <v>1060</v>
      </c>
      <c r="D5054" s="355">
        <v>8</v>
      </c>
      <c r="E5054" s="356">
        <v>-7378</v>
      </c>
      <c r="F5054" s="356">
        <v>-60.599999999998602</v>
      </c>
      <c r="G5054" s="353" t="s">
        <v>2457</v>
      </c>
      <c r="H5054" s="353" t="s">
        <v>2481</v>
      </c>
      <c r="I5054" s="353" t="s">
        <v>2440</v>
      </c>
      <c r="J5054" s="353" t="s">
        <v>757</v>
      </c>
      <c r="K5054" s="353" t="s">
        <v>741</v>
      </c>
      <c r="L5054" s="354">
        <v>44230</v>
      </c>
      <c r="M5054" s="357">
        <v>0</v>
      </c>
    </row>
    <row r="5055" spans="1:13" hidden="1" x14ac:dyDescent="0.25">
      <c r="A5055" s="354">
        <v>44255</v>
      </c>
      <c r="B5055" s="353" t="s">
        <v>1178</v>
      </c>
      <c r="C5055" s="353" t="s">
        <v>1060</v>
      </c>
      <c r="D5055" s="355">
        <v>8</v>
      </c>
      <c r="E5055" s="356">
        <v>8432</v>
      </c>
      <c r="F5055" s="356">
        <v>8371.4</v>
      </c>
      <c r="G5055" s="353" t="s">
        <v>2472</v>
      </c>
      <c r="H5055" s="353" t="s">
        <v>2481</v>
      </c>
      <c r="I5055" s="353" t="s">
        <v>2440</v>
      </c>
      <c r="J5055" s="353" t="s">
        <v>757</v>
      </c>
      <c r="K5055" s="353" t="s">
        <v>741</v>
      </c>
      <c r="L5055" s="354">
        <v>44255</v>
      </c>
      <c r="M5055" s="357">
        <v>0</v>
      </c>
    </row>
    <row r="5056" spans="1:13" hidden="1" x14ac:dyDescent="0.25">
      <c r="A5056" s="354">
        <v>44255</v>
      </c>
      <c r="B5056" s="353" t="s">
        <v>1178</v>
      </c>
      <c r="C5056" s="353" t="s">
        <v>1060</v>
      </c>
      <c r="D5056" s="355">
        <v>9</v>
      </c>
      <c r="E5056" s="356">
        <v>-8432</v>
      </c>
      <c r="F5056" s="356">
        <v>-60.599999999998602</v>
      </c>
      <c r="G5056" s="353" t="s">
        <v>2472</v>
      </c>
      <c r="H5056" s="353" t="s">
        <v>2481</v>
      </c>
      <c r="I5056" s="353" t="s">
        <v>2440</v>
      </c>
      <c r="J5056" s="353" t="s">
        <v>757</v>
      </c>
      <c r="K5056" s="353" t="s">
        <v>741</v>
      </c>
      <c r="L5056" s="354">
        <v>44255</v>
      </c>
      <c r="M5056" s="357">
        <v>0</v>
      </c>
    </row>
    <row r="5057" spans="1:13" hidden="1" x14ac:dyDescent="0.25">
      <c r="A5057" s="354">
        <v>44255</v>
      </c>
      <c r="B5057" s="353" t="s">
        <v>2473</v>
      </c>
      <c r="C5057" s="353" t="s">
        <v>769</v>
      </c>
      <c r="D5057" s="355">
        <v>9</v>
      </c>
      <c r="E5057" s="356">
        <v>5869.36</v>
      </c>
      <c r="F5057" s="356">
        <v>5808.76</v>
      </c>
      <c r="G5057" s="353" t="s">
        <v>2474</v>
      </c>
      <c r="H5057" s="353" t="s">
        <v>2481</v>
      </c>
      <c r="I5057" s="353" t="s">
        <v>2440</v>
      </c>
      <c r="J5057" s="353" t="s">
        <v>757</v>
      </c>
      <c r="K5057" s="353" t="s">
        <v>770</v>
      </c>
      <c r="L5057" s="354">
        <v>44255</v>
      </c>
      <c r="M5057" s="357">
        <v>0</v>
      </c>
    </row>
    <row r="5058" spans="1:13" hidden="1" x14ac:dyDescent="0.25">
      <c r="A5058" s="354">
        <v>44286</v>
      </c>
      <c r="B5058" s="353" t="s">
        <v>2475</v>
      </c>
      <c r="C5058" s="353" t="s">
        <v>1060</v>
      </c>
      <c r="D5058" s="355">
        <v>9</v>
      </c>
      <c r="E5058" s="356">
        <v>733.67</v>
      </c>
      <c r="F5058" s="356">
        <v>6542.43</v>
      </c>
      <c r="G5058" s="353" t="s">
        <v>2476</v>
      </c>
      <c r="H5058" s="353" t="s">
        <v>2481</v>
      </c>
      <c r="I5058" s="353" t="s">
        <v>2440</v>
      </c>
      <c r="J5058" s="353" t="s">
        <v>757</v>
      </c>
      <c r="K5058" s="353" t="s">
        <v>741</v>
      </c>
      <c r="L5058" s="354">
        <v>44286</v>
      </c>
      <c r="M5058" s="357">
        <v>0</v>
      </c>
    </row>
    <row r="5059" spans="1:13" hidden="1" x14ac:dyDescent="0.25">
      <c r="A5059" s="354">
        <v>44286</v>
      </c>
      <c r="B5059" s="353" t="s">
        <v>2475</v>
      </c>
      <c r="C5059" s="353" t="s">
        <v>1060</v>
      </c>
      <c r="D5059" s="355">
        <v>10</v>
      </c>
      <c r="E5059" s="356">
        <v>-733.67</v>
      </c>
      <c r="F5059" s="356">
        <v>5808.76</v>
      </c>
      <c r="G5059" s="353" t="s">
        <v>2476</v>
      </c>
      <c r="H5059" s="353" t="s">
        <v>2481</v>
      </c>
      <c r="I5059" s="353" t="s">
        <v>2440</v>
      </c>
      <c r="J5059" s="353" t="s">
        <v>757</v>
      </c>
      <c r="K5059" s="353" t="s">
        <v>741</v>
      </c>
      <c r="L5059" s="354">
        <v>44286</v>
      </c>
      <c r="M5059" s="357">
        <v>0</v>
      </c>
    </row>
    <row r="5060" spans="1:13" hidden="1" x14ac:dyDescent="0.25">
      <c r="A5060" s="354">
        <v>44286</v>
      </c>
      <c r="B5060" s="353" t="s">
        <v>2477</v>
      </c>
      <c r="C5060" s="353" t="s">
        <v>769</v>
      </c>
      <c r="D5060" s="355">
        <v>10</v>
      </c>
      <c r="E5060" s="356">
        <v>733.67</v>
      </c>
      <c r="F5060" s="356">
        <v>6542.43</v>
      </c>
      <c r="G5060" s="353" t="s">
        <v>2478</v>
      </c>
      <c r="H5060" s="353" t="s">
        <v>2481</v>
      </c>
      <c r="I5060" s="353" t="s">
        <v>2440</v>
      </c>
      <c r="J5060" s="353" t="s">
        <v>757</v>
      </c>
      <c r="K5060" s="353" t="s">
        <v>770</v>
      </c>
      <c r="L5060" s="354">
        <v>44286</v>
      </c>
      <c r="M5060" s="357">
        <v>0</v>
      </c>
    </row>
    <row r="5061" spans="1:13" hidden="1" x14ac:dyDescent="0.25">
      <c r="A5061" s="354">
        <v>44316</v>
      </c>
      <c r="B5061" s="353" t="s">
        <v>1104</v>
      </c>
      <c r="C5061" s="353" t="s">
        <v>1060</v>
      </c>
      <c r="D5061" s="355">
        <v>10</v>
      </c>
      <c r="E5061" s="356">
        <v>733.67</v>
      </c>
      <c r="F5061" s="356">
        <v>7276.1</v>
      </c>
      <c r="G5061" s="353" t="s">
        <v>1095</v>
      </c>
      <c r="H5061" s="353" t="s">
        <v>2481</v>
      </c>
      <c r="I5061" s="353" t="s">
        <v>2440</v>
      </c>
      <c r="J5061" s="353" t="s">
        <v>757</v>
      </c>
      <c r="K5061" s="353" t="s">
        <v>741</v>
      </c>
      <c r="L5061" s="354">
        <v>44316</v>
      </c>
      <c r="M5061" s="357">
        <v>0</v>
      </c>
    </row>
    <row r="5062" spans="1:13" hidden="1" x14ac:dyDescent="0.25">
      <c r="A5062" s="354">
        <v>44012</v>
      </c>
      <c r="B5062" s="353" t="s">
        <v>1141</v>
      </c>
      <c r="C5062" s="353" t="s">
        <v>1059</v>
      </c>
      <c r="D5062" s="355">
        <v>1</v>
      </c>
      <c r="E5062" s="356">
        <v>-36888</v>
      </c>
      <c r="F5062" s="356">
        <v>-30345.57</v>
      </c>
      <c r="G5062" s="353" t="s">
        <v>2482</v>
      </c>
      <c r="H5062" s="353" t="s">
        <v>2483</v>
      </c>
      <c r="I5062" s="353" t="s">
        <v>2440</v>
      </c>
      <c r="J5062" s="353" t="s">
        <v>757</v>
      </c>
      <c r="K5062" s="353" t="s">
        <v>741</v>
      </c>
      <c r="L5062" s="354">
        <v>44012</v>
      </c>
      <c r="M5062" s="357">
        <v>0</v>
      </c>
    </row>
    <row r="5063" spans="1:13" hidden="1" x14ac:dyDescent="0.25">
      <c r="A5063" s="354">
        <v>44012</v>
      </c>
      <c r="B5063" s="353" t="s">
        <v>1137</v>
      </c>
      <c r="C5063" s="353" t="s">
        <v>1059</v>
      </c>
      <c r="D5063" s="355">
        <v>1</v>
      </c>
      <c r="E5063" s="356">
        <v>36888</v>
      </c>
      <c r="F5063" s="356">
        <v>6542.43</v>
      </c>
      <c r="G5063" s="353" t="s">
        <v>2484</v>
      </c>
      <c r="H5063" s="353" t="s">
        <v>2483</v>
      </c>
      <c r="I5063" s="353" t="s">
        <v>2440</v>
      </c>
      <c r="J5063" s="353" t="s">
        <v>757</v>
      </c>
      <c r="K5063" s="353" t="s">
        <v>741</v>
      </c>
      <c r="L5063" s="354">
        <v>44012</v>
      </c>
      <c r="M5063" s="357">
        <v>0</v>
      </c>
    </row>
    <row r="5064" spans="1:13" hidden="1" x14ac:dyDescent="0.25">
      <c r="A5064" s="354">
        <v>44043</v>
      </c>
      <c r="B5064" s="353" t="s">
        <v>1145</v>
      </c>
      <c r="C5064" s="353" t="s">
        <v>1060</v>
      </c>
      <c r="D5064" s="355">
        <v>1</v>
      </c>
      <c r="E5064" s="356">
        <v>-36888</v>
      </c>
      <c r="F5064" s="356">
        <v>-30345.57</v>
      </c>
      <c r="G5064" s="353" t="s">
        <v>2485</v>
      </c>
      <c r="H5064" s="353" t="s">
        <v>2483</v>
      </c>
      <c r="I5064" s="353" t="s">
        <v>2440</v>
      </c>
      <c r="J5064" s="353" t="s">
        <v>757</v>
      </c>
      <c r="K5064" s="353" t="s">
        <v>741</v>
      </c>
      <c r="L5064" s="354">
        <v>44043</v>
      </c>
      <c r="M5064" s="357">
        <v>0</v>
      </c>
    </row>
    <row r="5065" spans="1:13" hidden="1" x14ac:dyDescent="0.25">
      <c r="A5065" s="354">
        <v>44043</v>
      </c>
      <c r="B5065" s="353" t="s">
        <v>1143</v>
      </c>
      <c r="C5065" s="353" t="s">
        <v>1060</v>
      </c>
      <c r="D5065" s="355">
        <v>1</v>
      </c>
      <c r="E5065" s="356">
        <v>36888</v>
      </c>
      <c r="F5065" s="356">
        <v>6542.43</v>
      </c>
      <c r="G5065" s="353" t="s">
        <v>2466</v>
      </c>
      <c r="H5065" s="353" t="s">
        <v>2483</v>
      </c>
      <c r="I5065" s="353" t="s">
        <v>2440</v>
      </c>
      <c r="J5065" s="353" t="s">
        <v>757</v>
      </c>
      <c r="K5065" s="353" t="s">
        <v>741</v>
      </c>
      <c r="L5065" s="354">
        <v>44043</v>
      </c>
      <c r="M5065" s="357">
        <v>0</v>
      </c>
    </row>
    <row r="5066" spans="1:13" hidden="1" x14ac:dyDescent="0.25">
      <c r="A5066" s="354">
        <v>44043</v>
      </c>
      <c r="B5066" s="353" t="s">
        <v>1143</v>
      </c>
      <c r="C5066" s="353" t="s">
        <v>1060</v>
      </c>
      <c r="D5066" s="355">
        <v>2</v>
      </c>
      <c r="E5066" s="356">
        <v>-36888</v>
      </c>
      <c r="F5066" s="356">
        <v>-30345.57</v>
      </c>
      <c r="G5066" s="353" t="s">
        <v>2466</v>
      </c>
      <c r="H5066" s="353" t="s">
        <v>2483</v>
      </c>
      <c r="I5066" s="353" t="s">
        <v>2440</v>
      </c>
      <c r="J5066" s="353" t="s">
        <v>757</v>
      </c>
      <c r="K5066" s="353" t="s">
        <v>741</v>
      </c>
      <c r="L5066" s="354">
        <v>44043</v>
      </c>
      <c r="M5066" s="357">
        <v>0</v>
      </c>
    </row>
    <row r="5067" spans="1:13" hidden="1" x14ac:dyDescent="0.25">
      <c r="A5067" s="354">
        <v>44043</v>
      </c>
      <c r="B5067" s="353" t="s">
        <v>1145</v>
      </c>
      <c r="C5067" s="353" t="s">
        <v>1060</v>
      </c>
      <c r="D5067" s="355">
        <v>2</v>
      </c>
      <c r="E5067" s="356">
        <v>36888</v>
      </c>
      <c r="F5067" s="356">
        <v>6542.43</v>
      </c>
      <c r="G5067" s="353" t="s">
        <v>2485</v>
      </c>
      <c r="H5067" s="353" t="s">
        <v>2483</v>
      </c>
      <c r="I5067" s="353" t="s">
        <v>2440</v>
      </c>
      <c r="J5067" s="353" t="s">
        <v>757</v>
      </c>
      <c r="K5067" s="353" t="s">
        <v>741</v>
      </c>
      <c r="L5067" s="354">
        <v>44043</v>
      </c>
      <c r="M5067" s="357">
        <v>0</v>
      </c>
    </row>
    <row r="5068" spans="1:13" hidden="1" x14ac:dyDescent="0.25">
      <c r="A5068" s="354">
        <v>44074</v>
      </c>
      <c r="B5068" s="353" t="s">
        <v>1147</v>
      </c>
      <c r="C5068" s="353" t="s">
        <v>1060</v>
      </c>
      <c r="D5068" s="355">
        <v>2</v>
      </c>
      <c r="E5068" s="356">
        <v>36888</v>
      </c>
      <c r="F5068" s="356">
        <v>43430.43</v>
      </c>
      <c r="G5068" s="353" t="s">
        <v>2468</v>
      </c>
      <c r="H5068" s="353" t="s">
        <v>2483</v>
      </c>
      <c r="I5068" s="353" t="s">
        <v>2440</v>
      </c>
      <c r="J5068" s="353" t="s">
        <v>757</v>
      </c>
      <c r="K5068" s="353" t="s">
        <v>741</v>
      </c>
      <c r="L5068" s="354">
        <v>44074</v>
      </c>
      <c r="M5068" s="357">
        <v>0</v>
      </c>
    </row>
    <row r="5069" spans="1:13" hidden="1" x14ac:dyDescent="0.25">
      <c r="A5069" s="354">
        <v>44124</v>
      </c>
      <c r="B5069" s="353" t="s">
        <v>1149</v>
      </c>
      <c r="C5069" s="353" t="s">
        <v>1060</v>
      </c>
      <c r="D5069" s="355">
        <v>2</v>
      </c>
      <c r="E5069" s="356">
        <v>-36888</v>
      </c>
      <c r="F5069" s="356">
        <v>6542.43</v>
      </c>
      <c r="G5069" s="353" t="s">
        <v>2486</v>
      </c>
      <c r="H5069" s="353" t="s">
        <v>2483</v>
      </c>
      <c r="I5069" s="353" t="s">
        <v>2440</v>
      </c>
      <c r="J5069" s="353" t="s">
        <v>757</v>
      </c>
      <c r="K5069" s="353" t="s">
        <v>741</v>
      </c>
      <c r="L5069" s="354">
        <v>44124</v>
      </c>
      <c r="M5069" s="357">
        <v>0</v>
      </c>
    </row>
    <row r="5070" spans="1:13" hidden="1" x14ac:dyDescent="0.25">
      <c r="A5070" s="354">
        <v>44074</v>
      </c>
      <c r="B5070" s="353" t="s">
        <v>1147</v>
      </c>
      <c r="C5070" s="353" t="s">
        <v>1060</v>
      </c>
      <c r="D5070" s="355">
        <v>3</v>
      </c>
      <c r="E5070" s="356">
        <v>-36888</v>
      </c>
      <c r="F5070" s="356">
        <v>-30345.57</v>
      </c>
      <c r="G5070" s="353" t="s">
        <v>2468</v>
      </c>
      <c r="H5070" s="353" t="s">
        <v>2483</v>
      </c>
      <c r="I5070" s="353" t="s">
        <v>2440</v>
      </c>
      <c r="J5070" s="353" t="s">
        <v>757</v>
      </c>
      <c r="K5070" s="353" t="s">
        <v>741</v>
      </c>
      <c r="L5070" s="354">
        <v>44074</v>
      </c>
      <c r="M5070" s="357">
        <v>0</v>
      </c>
    </row>
    <row r="5071" spans="1:13" hidden="1" x14ac:dyDescent="0.25">
      <c r="A5071" s="354">
        <v>44124</v>
      </c>
      <c r="B5071" s="353" t="s">
        <v>1152</v>
      </c>
      <c r="C5071" s="353" t="s">
        <v>1060</v>
      </c>
      <c r="D5071" s="355">
        <v>3</v>
      </c>
      <c r="E5071" s="356">
        <v>-36888</v>
      </c>
      <c r="F5071" s="356">
        <v>-67233.570000000007</v>
      </c>
      <c r="G5071" s="353" t="s">
        <v>2485</v>
      </c>
      <c r="H5071" s="353" t="s">
        <v>2483</v>
      </c>
      <c r="I5071" s="353" t="s">
        <v>2440</v>
      </c>
      <c r="J5071" s="353" t="s">
        <v>757</v>
      </c>
      <c r="K5071" s="353" t="s">
        <v>741</v>
      </c>
      <c r="L5071" s="354">
        <v>44124</v>
      </c>
      <c r="M5071" s="357">
        <v>0</v>
      </c>
    </row>
    <row r="5072" spans="1:13" hidden="1" x14ac:dyDescent="0.25">
      <c r="A5072" s="354">
        <v>44124</v>
      </c>
      <c r="B5072" s="353" t="s">
        <v>1151</v>
      </c>
      <c r="C5072" s="353" t="s">
        <v>1060</v>
      </c>
      <c r="D5072" s="355">
        <v>3</v>
      </c>
      <c r="E5072" s="356">
        <v>36888</v>
      </c>
      <c r="F5072" s="356">
        <v>-30345.57</v>
      </c>
      <c r="G5072" s="353" t="s">
        <v>2485</v>
      </c>
      <c r="H5072" s="353" t="s">
        <v>2483</v>
      </c>
      <c r="I5072" s="353" t="s">
        <v>2440</v>
      </c>
      <c r="J5072" s="353" t="s">
        <v>757</v>
      </c>
      <c r="K5072" s="353" t="s">
        <v>741</v>
      </c>
      <c r="L5072" s="354">
        <v>44124</v>
      </c>
      <c r="M5072" s="357">
        <v>0</v>
      </c>
    </row>
    <row r="5073" spans="1:13" hidden="1" x14ac:dyDescent="0.25">
      <c r="A5073" s="354">
        <v>44124</v>
      </c>
      <c r="B5073" s="353" t="s">
        <v>1149</v>
      </c>
      <c r="C5073" s="353" t="s">
        <v>1060</v>
      </c>
      <c r="D5073" s="355">
        <v>3</v>
      </c>
      <c r="E5073" s="356">
        <v>36888</v>
      </c>
      <c r="F5073" s="356">
        <v>6542.4299999999903</v>
      </c>
      <c r="G5073" s="353" t="s">
        <v>2486</v>
      </c>
      <c r="H5073" s="353" t="s">
        <v>2483</v>
      </c>
      <c r="I5073" s="353" t="s">
        <v>2440</v>
      </c>
      <c r="J5073" s="353" t="s">
        <v>757</v>
      </c>
      <c r="K5073" s="353" t="s">
        <v>741</v>
      </c>
      <c r="L5073" s="354">
        <v>44124</v>
      </c>
      <c r="M5073" s="357">
        <v>0</v>
      </c>
    </row>
    <row r="5074" spans="1:13" hidden="1" x14ac:dyDescent="0.25">
      <c r="A5074" s="354">
        <v>44124</v>
      </c>
      <c r="B5074" s="353" t="s">
        <v>1152</v>
      </c>
      <c r="C5074" s="353" t="s">
        <v>1060</v>
      </c>
      <c r="D5074" s="355">
        <v>4</v>
      </c>
      <c r="E5074" s="356">
        <v>36888</v>
      </c>
      <c r="F5074" s="356">
        <v>43430.43</v>
      </c>
      <c r="G5074" s="353" t="s">
        <v>2485</v>
      </c>
      <c r="H5074" s="353" t="s">
        <v>2483</v>
      </c>
      <c r="I5074" s="353" t="s">
        <v>2440</v>
      </c>
      <c r="J5074" s="353" t="s">
        <v>757</v>
      </c>
      <c r="K5074" s="353" t="s">
        <v>741</v>
      </c>
      <c r="L5074" s="354">
        <v>44124</v>
      </c>
      <c r="M5074" s="357">
        <v>0</v>
      </c>
    </row>
    <row r="5075" spans="1:13" hidden="1" x14ac:dyDescent="0.25">
      <c r="A5075" s="354">
        <v>44124</v>
      </c>
      <c r="B5075" s="353" t="s">
        <v>1151</v>
      </c>
      <c r="C5075" s="353" t="s">
        <v>1060</v>
      </c>
      <c r="D5075" s="355">
        <v>4</v>
      </c>
      <c r="E5075" s="356">
        <v>-36888</v>
      </c>
      <c r="F5075" s="356">
        <v>6542.4299999999903</v>
      </c>
      <c r="G5075" s="353" t="s">
        <v>2485</v>
      </c>
      <c r="H5075" s="353" t="s">
        <v>2483</v>
      </c>
      <c r="I5075" s="353" t="s">
        <v>2440</v>
      </c>
      <c r="J5075" s="353" t="s">
        <v>757</v>
      </c>
      <c r="K5075" s="353" t="s">
        <v>741</v>
      </c>
      <c r="L5075" s="354">
        <v>44124</v>
      </c>
      <c r="M5075" s="357">
        <v>0</v>
      </c>
    </row>
    <row r="5076" spans="1:13" hidden="1" x14ac:dyDescent="0.25">
      <c r="A5076" s="354">
        <v>44012</v>
      </c>
      <c r="B5076" s="353" t="s">
        <v>1141</v>
      </c>
      <c r="C5076" s="353" t="s">
        <v>1059</v>
      </c>
      <c r="D5076" s="355">
        <v>1</v>
      </c>
      <c r="E5076" s="356">
        <v>-53232.78</v>
      </c>
      <c r="F5076" s="356">
        <v>-46690.35</v>
      </c>
      <c r="G5076" s="353" t="s">
        <v>2482</v>
      </c>
      <c r="H5076" s="353" t="s">
        <v>2487</v>
      </c>
      <c r="I5076" s="353" t="s">
        <v>2440</v>
      </c>
      <c r="J5076" s="353" t="s">
        <v>757</v>
      </c>
      <c r="K5076" s="353" t="s">
        <v>741</v>
      </c>
      <c r="L5076" s="354">
        <v>44012</v>
      </c>
      <c r="M5076" s="357">
        <v>0</v>
      </c>
    </row>
    <row r="5077" spans="1:13" hidden="1" x14ac:dyDescent="0.25">
      <c r="A5077" s="354">
        <v>44043</v>
      </c>
      <c r="B5077" s="353" t="s">
        <v>1143</v>
      </c>
      <c r="C5077" s="353" t="s">
        <v>1060</v>
      </c>
      <c r="D5077" s="355">
        <v>1</v>
      </c>
      <c r="E5077" s="356">
        <v>56959.65</v>
      </c>
      <c r="F5077" s="356">
        <v>10269.299999999999</v>
      </c>
      <c r="G5077" s="353" t="s">
        <v>2466</v>
      </c>
      <c r="H5077" s="353" t="s">
        <v>2487</v>
      </c>
      <c r="I5077" s="353" t="s">
        <v>2440</v>
      </c>
      <c r="J5077" s="353" t="s">
        <v>757</v>
      </c>
      <c r="K5077" s="353" t="s">
        <v>741</v>
      </c>
      <c r="L5077" s="354">
        <v>44043</v>
      </c>
      <c r="M5077" s="357">
        <v>0</v>
      </c>
    </row>
    <row r="5078" spans="1:13" hidden="1" x14ac:dyDescent="0.25">
      <c r="A5078" s="354">
        <v>44043</v>
      </c>
      <c r="B5078" s="353" t="s">
        <v>1143</v>
      </c>
      <c r="C5078" s="353" t="s">
        <v>1060</v>
      </c>
      <c r="D5078" s="355">
        <v>2</v>
      </c>
      <c r="E5078" s="356">
        <v>-56959.65</v>
      </c>
      <c r="F5078" s="356">
        <v>-46690.35</v>
      </c>
      <c r="G5078" s="353" t="s">
        <v>2466</v>
      </c>
      <c r="H5078" s="353" t="s">
        <v>2487</v>
      </c>
      <c r="I5078" s="353" t="s">
        <v>2440</v>
      </c>
      <c r="J5078" s="353" t="s">
        <v>757</v>
      </c>
      <c r="K5078" s="353" t="s">
        <v>741</v>
      </c>
      <c r="L5078" s="354">
        <v>44043</v>
      </c>
      <c r="M5078" s="357">
        <v>0</v>
      </c>
    </row>
    <row r="5079" spans="1:13" hidden="1" x14ac:dyDescent="0.25">
      <c r="A5079" s="354">
        <v>44074</v>
      </c>
      <c r="B5079" s="353" t="s">
        <v>1147</v>
      </c>
      <c r="C5079" s="353" t="s">
        <v>1060</v>
      </c>
      <c r="D5079" s="355">
        <v>2</v>
      </c>
      <c r="E5079" s="356">
        <v>60686.52</v>
      </c>
      <c r="F5079" s="356">
        <v>13996.17</v>
      </c>
      <c r="G5079" s="353" t="s">
        <v>2468</v>
      </c>
      <c r="H5079" s="353" t="s">
        <v>2487</v>
      </c>
      <c r="I5079" s="353" t="s">
        <v>2440</v>
      </c>
      <c r="J5079" s="353" t="s">
        <v>757</v>
      </c>
      <c r="K5079" s="353" t="s">
        <v>741</v>
      </c>
      <c r="L5079" s="354">
        <v>44074</v>
      </c>
      <c r="M5079" s="357">
        <v>0</v>
      </c>
    </row>
    <row r="5080" spans="1:13" hidden="1" x14ac:dyDescent="0.25">
      <c r="A5080" s="354">
        <v>44074</v>
      </c>
      <c r="B5080" s="353" t="s">
        <v>1147</v>
      </c>
      <c r="C5080" s="353" t="s">
        <v>1060</v>
      </c>
      <c r="D5080" s="355">
        <v>3</v>
      </c>
      <c r="E5080" s="356">
        <v>-60686.52</v>
      </c>
      <c r="F5080" s="356">
        <v>-46690.35</v>
      </c>
      <c r="G5080" s="353" t="s">
        <v>2468</v>
      </c>
      <c r="H5080" s="353" t="s">
        <v>2487</v>
      </c>
      <c r="I5080" s="353" t="s">
        <v>2440</v>
      </c>
      <c r="J5080" s="353" t="s">
        <v>757</v>
      </c>
      <c r="K5080" s="353" t="s">
        <v>741</v>
      </c>
      <c r="L5080" s="354">
        <v>44074</v>
      </c>
      <c r="M5080" s="357">
        <v>0</v>
      </c>
    </row>
    <row r="5081" spans="1:13" hidden="1" x14ac:dyDescent="0.25">
      <c r="A5081" s="354">
        <v>44104</v>
      </c>
      <c r="B5081" s="353" t="s">
        <v>1198</v>
      </c>
      <c r="C5081" s="353" t="s">
        <v>1060</v>
      </c>
      <c r="D5081" s="355">
        <v>3</v>
      </c>
      <c r="E5081" s="356">
        <v>64413.39</v>
      </c>
      <c r="F5081" s="356">
        <v>17723.04</v>
      </c>
      <c r="G5081" s="353" t="s">
        <v>2469</v>
      </c>
      <c r="H5081" s="353" t="s">
        <v>2487</v>
      </c>
      <c r="I5081" s="353" t="s">
        <v>2440</v>
      </c>
      <c r="J5081" s="353" t="s">
        <v>757</v>
      </c>
      <c r="K5081" s="353" t="s">
        <v>741</v>
      </c>
      <c r="L5081" s="354">
        <v>44104</v>
      </c>
      <c r="M5081" s="357">
        <v>0</v>
      </c>
    </row>
    <row r="5082" spans="1:13" hidden="1" x14ac:dyDescent="0.25">
      <c r="A5082" s="354">
        <v>44104</v>
      </c>
      <c r="B5082" s="353" t="s">
        <v>1198</v>
      </c>
      <c r="C5082" s="353" t="s">
        <v>1060</v>
      </c>
      <c r="D5082" s="355">
        <v>4</v>
      </c>
      <c r="E5082" s="356">
        <v>-64413.39</v>
      </c>
      <c r="F5082" s="356">
        <v>-46690.35</v>
      </c>
      <c r="G5082" s="353" t="s">
        <v>2469</v>
      </c>
      <c r="H5082" s="353" t="s">
        <v>2487</v>
      </c>
      <c r="I5082" s="353" t="s">
        <v>2440</v>
      </c>
      <c r="J5082" s="353" t="s">
        <v>757</v>
      </c>
      <c r="K5082" s="353" t="s">
        <v>741</v>
      </c>
      <c r="L5082" s="354">
        <v>44104</v>
      </c>
      <c r="M5082" s="357">
        <v>0</v>
      </c>
    </row>
    <row r="5083" spans="1:13" hidden="1" x14ac:dyDescent="0.25">
      <c r="A5083" s="354">
        <v>44135</v>
      </c>
      <c r="B5083" s="353" t="s">
        <v>1200</v>
      </c>
      <c r="C5083" s="353" t="s">
        <v>1060</v>
      </c>
      <c r="D5083" s="355">
        <v>4</v>
      </c>
      <c r="E5083" s="356">
        <v>68140.259999999995</v>
      </c>
      <c r="F5083" s="356">
        <v>21449.91</v>
      </c>
      <c r="G5083" s="353" t="s">
        <v>2445</v>
      </c>
      <c r="H5083" s="353" t="s">
        <v>2487</v>
      </c>
      <c r="I5083" s="353" t="s">
        <v>2440</v>
      </c>
      <c r="J5083" s="353" t="s">
        <v>757</v>
      </c>
      <c r="K5083" s="353" t="s">
        <v>741</v>
      </c>
      <c r="L5083" s="354">
        <v>44135</v>
      </c>
      <c r="M5083" s="357">
        <v>0</v>
      </c>
    </row>
    <row r="5084" spans="1:13" hidden="1" x14ac:dyDescent="0.25">
      <c r="A5084" s="354">
        <v>44135</v>
      </c>
      <c r="B5084" s="353" t="s">
        <v>1200</v>
      </c>
      <c r="C5084" s="353" t="s">
        <v>1060</v>
      </c>
      <c r="D5084" s="355">
        <v>5</v>
      </c>
      <c r="E5084" s="356">
        <v>-68140.259999999995</v>
      </c>
      <c r="F5084" s="356">
        <v>-46690.35</v>
      </c>
      <c r="G5084" s="353" t="s">
        <v>2445</v>
      </c>
      <c r="H5084" s="353" t="s">
        <v>2487</v>
      </c>
      <c r="I5084" s="353" t="s">
        <v>2440</v>
      </c>
      <c r="J5084" s="353" t="s">
        <v>757</v>
      </c>
      <c r="K5084" s="353" t="s">
        <v>741</v>
      </c>
      <c r="L5084" s="354">
        <v>44135</v>
      </c>
      <c r="M5084" s="357">
        <v>0</v>
      </c>
    </row>
    <row r="5085" spans="1:13" hidden="1" x14ac:dyDescent="0.25">
      <c r="A5085" s="354">
        <v>44165</v>
      </c>
      <c r="B5085" s="353" t="s">
        <v>1158</v>
      </c>
      <c r="C5085" s="353" t="s">
        <v>1060</v>
      </c>
      <c r="D5085" s="355">
        <v>5</v>
      </c>
      <c r="E5085" s="356">
        <v>71867.13</v>
      </c>
      <c r="F5085" s="356">
        <v>25176.78</v>
      </c>
      <c r="G5085" s="353" t="s">
        <v>2448</v>
      </c>
      <c r="H5085" s="353" t="s">
        <v>2487</v>
      </c>
      <c r="I5085" s="353" t="s">
        <v>2440</v>
      </c>
      <c r="J5085" s="353" t="s">
        <v>757</v>
      </c>
      <c r="K5085" s="353" t="s">
        <v>741</v>
      </c>
      <c r="L5085" s="354">
        <v>44165</v>
      </c>
      <c r="M5085" s="357">
        <v>0</v>
      </c>
    </row>
    <row r="5086" spans="1:13" hidden="1" x14ac:dyDescent="0.25">
      <c r="A5086" s="354">
        <v>44165</v>
      </c>
      <c r="B5086" s="353" t="s">
        <v>1158</v>
      </c>
      <c r="C5086" s="353" t="s">
        <v>1060</v>
      </c>
      <c r="D5086" s="355">
        <v>6</v>
      </c>
      <c r="E5086" s="356">
        <v>-71867.13</v>
      </c>
      <c r="F5086" s="356">
        <v>-46690.35</v>
      </c>
      <c r="G5086" s="353" t="s">
        <v>2448</v>
      </c>
      <c r="H5086" s="353" t="s">
        <v>2487</v>
      </c>
      <c r="I5086" s="353" t="s">
        <v>2440</v>
      </c>
      <c r="J5086" s="353" t="s">
        <v>757</v>
      </c>
      <c r="K5086" s="353" t="s">
        <v>741</v>
      </c>
      <c r="L5086" s="354">
        <v>44165</v>
      </c>
      <c r="M5086" s="357">
        <v>0</v>
      </c>
    </row>
    <row r="5087" spans="1:13" hidden="1" x14ac:dyDescent="0.25">
      <c r="A5087" s="354">
        <v>44196</v>
      </c>
      <c r="B5087" s="353" t="s">
        <v>1160</v>
      </c>
      <c r="C5087" s="353" t="s">
        <v>1060</v>
      </c>
      <c r="D5087" s="355">
        <v>6</v>
      </c>
      <c r="E5087" s="356">
        <v>75594</v>
      </c>
      <c r="F5087" s="356">
        <v>28903.65</v>
      </c>
      <c r="G5087" s="353" t="s">
        <v>2451</v>
      </c>
      <c r="H5087" s="353" t="s">
        <v>2487</v>
      </c>
      <c r="I5087" s="353" t="s">
        <v>2440</v>
      </c>
      <c r="J5087" s="353" t="s">
        <v>757</v>
      </c>
      <c r="K5087" s="353" t="s">
        <v>741</v>
      </c>
      <c r="L5087" s="354">
        <v>44196</v>
      </c>
      <c r="M5087" s="357">
        <v>0</v>
      </c>
    </row>
    <row r="5088" spans="1:13" hidden="1" x14ac:dyDescent="0.25">
      <c r="A5088" s="354">
        <v>44196</v>
      </c>
      <c r="B5088" s="353" t="s">
        <v>1160</v>
      </c>
      <c r="C5088" s="353" t="s">
        <v>1060</v>
      </c>
      <c r="D5088" s="355">
        <v>7</v>
      </c>
      <c r="E5088" s="356">
        <v>-75594</v>
      </c>
      <c r="F5088" s="356">
        <v>-46690.35</v>
      </c>
      <c r="G5088" s="353" t="s">
        <v>2451</v>
      </c>
      <c r="H5088" s="353" t="s">
        <v>2487</v>
      </c>
      <c r="I5088" s="353" t="s">
        <v>2440</v>
      </c>
      <c r="J5088" s="353" t="s">
        <v>757</v>
      </c>
      <c r="K5088" s="353" t="s">
        <v>741</v>
      </c>
      <c r="L5088" s="354">
        <v>44196</v>
      </c>
      <c r="M5088" s="357">
        <v>0</v>
      </c>
    </row>
    <row r="5089" spans="1:13" hidden="1" x14ac:dyDescent="0.25">
      <c r="A5089" s="354">
        <v>44196</v>
      </c>
      <c r="B5089" s="353" t="s">
        <v>2488</v>
      </c>
      <c r="C5089" s="353" t="s">
        <v>936</v>
      </c>
      <c r="D5089" s="355">
        <v>7</v>
      </c>
      <c r="E5089" s="356">
        <v>-14229.87</v>
      </c>
      <c r="F5089" s="356">
        <v>-60920.22</v>
      </c>
      <c r="G5089" s="353" t="s">
        <v>2489</v>
      </c>
      <c r="H5089" s="353" t="s">
        <v>2487</v>
      </c>
      <c r="I5089" s="353" t="s">
        <v>2440</v>
      </c>
      <c r="J5089" s="353" t="s">
        <v>757</v>
      </c>
      <c r="K5089" s="353" t="s">
        <v>770</v>
      </c>
      <c r="L5089" s="354">
        <v>44196</v>
      </c>
      <c r="M5089" s="357">
        <v>0</v>
      </c>
    </row>
    <row r="5090" spans="1:13" hidden="1" x14ac:dyDescent="0.25">
      <c r="A5090" s="354">
        <v>44230</v>
      </c>
      <c r="B5090" s="353" t="s">
        <v>1166</v>
      </c>
      <c r="C5090" s="353" t="s">
        <v>1060</v>
      </c>
      <c r="D5090" s="355">
        <v>7</v>
      </c>
      <c r="E5090" s="356">
        <v>79320.87</v>
      </c>
      <c r="F5090" s="356">
        <v>18400.650000000001</v>
      </c>
      <c r="G5090" s="353" t="s">
        <v>2457</v>
      </c>
      <c r="H5090" s="353" t="s">
        <v>2487</v>
      </c>
      <c r="I5090" s="353" t="s">
        <v>2440</v>
      </c>
      <c r="J5090" s="353" t="s">
        <v>757</v>
      </c>
      <c r="K5090" s="353" t="s">
        <v>741</v>
      </c>
      <c r="L5090" s="354">
        <v>44230</v>
      </c>
      <c r="M5090" s="357">
        <v>0</v>
      </c>
    </row>
    <row r="5091" spans="1:13" hidden="1" x14ac:dyDescent="0.25">
      <c r="A5091" s="354">
        <v>44230</v>
      </c>
      <c r="B5091" s="353" t="s">
        <v>1166</v>
      </c>
      <c r="C5091" s="353" t="s">
        <v>1060</v>
      </c>
      <c r="D5091" s="355">
        <v>8</v>
      </c>
      <c r="E5091" s="356">
        <v>-79320.87</v>
      </c>
      <c r="F5091" s="356">
        <v>-60920.22</v>
      </c>
      <c r="G5091" s="353" t="s">
        <v>2457</v>
      </c>
      <c r="H5091" s="353" t="s">
        <v>2487</v>
      </c>
      <c r="I5091" s="353" t="s">
        <v>2440</v>
      </c>
      <c r="J5091" s="353" t="s">
        <v>757</v>
      </c>
      <c r="K5091" s="353" t="s">
        <v>741</v>
      </c>
      <c r="L5091" s="354">
        <v>44230</v>
      </c>
      <c r="M5091" s="357">
        <v>0</v>
      </c>
    </row>
    <row r="5092" spans="1:13" hidden="1" x14ac:dyDescent="0.25">
      <c r="A5092" s="354">
        <v>44255</v>
      </c>
      <c r="B5092" s="353" t="s">
        <v>1178</v>
      </c>
      <c r="C5092" s="353" t="s">
        <v>1060</v>
      </c>
      <c r="D5092" s="355">
        <v>8</v>
      </c>
      <c r="E5092" s="356">
        <v>83047.740000000005</v>
      </c>
      <c r="F5092" s="356">
        <v>22127.52</v>
      </c>
      <c r="G5092" s="353" t="s">
        <v>2472</v>
      </c>
      <c r="H5092" s="353" t="s">
        <v>2487</v>
      </c>
      <c r="I5092" s="353" t="s">
        <v>2440</v>
      </c>
      <c r="J5092" s="353" t="s">
        <v>757</v>
      </c>
      <c r="K5092" s="353" t="s">
        <v>741</v>
      </c>
      <c r="L5092" s="354">
        <v>44255</v>
      </c>
      <c r="M5092" s="357">
        <v>0</v>
      </c>
    </row>
    <row r="5093" spans="1:13" hidden="1" x14ac:dyDescent="0.25">
      <c r="A5093" s="354">
        <v>44255</v>
      </c>
      <c r="B5093" s="353" t="s">
        <v>2490</v>
      </c>
      <c r="C5093" s="353" t="s">
        <v>769</v>
      </c>
      <c r="D5093" s="355">
        <v>9</v>
      </c>
      <c r="E5093" s="356">
        <v>23686.639999999999</v>
      </c>
      <c r="F5093" s="356">
        <v>45814.16</v>
      </c>
      <c r="G5093" s="353" t="s">
        <v>2491</v>
      </c>
      <c r="H5093" s="353" t="s">
        <v>2487</v>
      </c>
      <c r="I5093" s="353" t="s">
        <v>2440</v>
      </c>
      <c r="J5093" s="353" t="s">
        <v>757</v>
      </c>
      <c r="K5093" s="353" t="s">
        <v>770</v>
      </c>
      <c r="L5093" s="354">
        <v>44255</v>
      </c>
      <c r="M5093" s="357">
        <v>0</v>
      </c>
    </row>
    <row r="5094" spans="1:13" hidden="1" x14ac:dyDescent="0.25">
      <c r="A5094" s="354">
        <v>44255</v>
      </c>
      <c r="B5094" s="353" t="s">
        <v>1178</v>
      </c>
      <c r="C5094" s="353" t="s">
        <v>1060</v>
      </c>
      <c r="D5094" s="355">
        <v>9</v>
      </c>
      <c r="E5094" s="356">
        <v>-83047.740000000005</v>
      </c>
      <c r="F5094" s="356">
        <v>-37233.58</v>
      </c>
      <c r="G5094" s="353" t="s">
        <v>2472</v>
      </c>
      <c r="H5094" s="353" t="s">
        <v>2487</v>
      </c>
      <c r="I5094" s="353" t="s">
        <v>2440</v>
      </c>
      <c r="J5094" s="353" t="s">
        <v>757</v>
      </c>
      <c r="K5094" s="353" t="s">
        <v>741</v>
      </c>
      <c r="L5094" s="354">
        <v>44255</v>
      </c>
      <c r="M5094" s="357">
        <v>0</v>
      </c>
    </row>
    <row r="5095" spans="1:13" hidden="1" x14ac:dyDescent="0.25">
      <c r="A5095" s="354">
        <v>44286</v>
      </c>
      <c r="B5095" s="353" t="s">
        <v>2475</v>
      </c>
      <c r="C5095" s="353" t="s">
        <v>1060</v>
      </c>
      <c r="D5095" s="355">
        <v>9</v>
      </c>
      <c r="E5095" s="356">
        <v>56193.61</v>
      </c>
      <c r="F5095" s="356">
        <v>18960.03</v>
      </c>
      <c r="G5095" s="353" t="s">
        <v>2476</v>
      </c>
      <c r="H5095" s="353" t="s">
        <v>2487</v>
      </c>
      <c r="I5095" s="353" t="s">
        <v>2440</v>
      </c>
      <c r="J5095" s="353" t="s">
        <v>757</v>
      </c>
      <c r="K5095" s="353" t="s">
        <v>741</v>
      </c>
      <c r="L5095" s="354">
        <v>44286</v>
      </c>
      <c r="M5095" s="357">
        <v>0</v>
      </c>
    </row>
    <row r="5096" spans="1:13" hidden="1" x14ac:dyDescent="0.25">
      <c r="A5096" s="354">
        <v>44286</v>
      </c>
      <c r="B5096" s="353" t="s">
        <v>2492</v>
      </c>
      <c r="C5096" s="353" t="s">
        <v>769</v>
      </c>
      <c r="D5096" s="355">
        <v>10</v>
      </c>
      <c r="E5096" s="356">
        <v>2960.83</v>
      </c>
      <c r="F5096" s="356">
        <v>21920.86</v>
      </c>
      <c r="G5096" s="353" t="s">
        <v>2478</v>
      </c>
      <c r="H5096" s="353" t="s">
        <v>2487</v>
      </c>
      <c r="I5096" s="353" t="s">
        <v>2440</v>
      </c>
      <c r="J5096" s="353" t="s">
        <v>757</v>
      </c>
      <c r="K5096" s="353" t="s">
        <v>770</v>
      </c>
      <c r="L5096" s="354">
        <v>44286</v>
      </c>
      <c r="M5096" s="357">
        <v>0</v>
      </c>
    </row>
    <row r="5097" spans="1:13" hidden="1" x14ac:dyDescent="0.25">
      <c r="A5097" s="354">
        <v>44286</v>
      </c>
      <c r="B5097" s="353" t="s">
        <v>2475</v>
      </c>
      <c r="C5097" s="353" t="s">
        <v>1060</v>
      </c>
      <c r="D5097" s="355">
        <v>10</v>
      </c>
      <c r="E5097" s="356">
        <v>-56193.61</v>
      </c>
      <c r="F5097" s="356">
        <v>-34272.75</v>
      </c>
      <c r="G5097" s="353" t="s">
        <v>2476</v>
      </c>
      <c r="H5097" s="353" t="s">
        <v>2487</v>
      </c>
      <c r="I5097" s="353" t="s">
        <v>2440</v>
      </c>
      <c r="J5097" s="353" t="s">
        <v>757</v>
      </c>
      <c r="K5097" s="353" t="s">
        <v>741</v>
      </c>
      <c r="L5097" s="354">
        <v>44286</v>
      </c>
      <c r="M5097" s="357">
        <v>0</v>
      </c>
    </row>
    <row r="5098" spans="1:13" hidden="1" x14ac:dyDescent="0.25">
      <c r="A5098" s="354">
        <v>44316</v>
      </c>
      <c r="B5098" s="353" t="s">
        <v>1104</v>
      </c>
      <c r="C5098" s="353" t="s">
        <v>1060</v>
      </c>
      <c r="D5098" s="355">
        <v>10</v>
      </c>
      <c r="E5098" s="356">
        <v>56193.61</v>
      </c>
      <c r="F5098" s="356">
        <v>21920.86</v>
      </c>
      <c r="G5098" s="353" t="s">
        <v>1095</v>
      </c>
      <c r="H5098" s="353" t="s">
        <v>2487</v>
      </c>
      <c r="I5098" s="353" t="s">
        <v>2440</v>
      </c>
      <c r="J5098" s="353" t="s">
        <v>757</v>
      </c>
      <c r="K5098" s="353" t="s">
        <v>741</v>
      </c>
      <c r="L5098" s="354">
        <v>44316</v>
      </c>
      <c r="M5098" s="357">
        <v>0</v>
      </c>
    </row>
    <row r="5099" spans="1:13" hidden="1" x14ac:dyDescent="0.25">
      <c r="A5099" s="354">
        <v>44043</v>
      </c>
      <c r="B5099" s="353" t="s">
        <v>1143</v>
      </c>
      <c r="C5099" s="353" t="s">
        <v>1060</v>
      </c>
      <c r="D5099" s="355">
        <v>1</v>
      </c>
      <c r="E5099" s="356">
        <v>943.5</v>
      </c>
      <c r="F5099" s="356">
        <v>-33329.25</v>
      </c>
      <c r="G5099" s="353" t="s">
        <v>2466</v>
      </c>
      <c r="H5099" s="353" t="s">
        <v>2493</v>
      </c>
      <c r="I5099" s="353" t="s">
        <v>2440</v>
      </c>
      <c r="J5099" s="353" t="s">
        <v>757</v>
      </c>
      <c r="K5099" s="353" t="s">
        <v>741</v>
      </c>
      <c r="L5099" s="354">
        <v>44043</v>
      </c>
      <c r="M5099" s="357">
        <v>0</v>
      </c>
    </row>
    <row r="5100" spans="1:13" hidden="1" x14ac:dyDescent="0.25">
      <c r="A5100" s="354">
        <v>44043</v>
      </c>
      <c r="B5100" s="353" t="s">
        <v>1143</v>
      </c>
      <c r="C5100" s="353" t="s">
        <v>1060</v>
      </c>
      <c r="D5100" s="355">
        <v>2</v>
      </c>
      <c r="E5100" s="356">
        <v>-943.5</v>
      </c>
      <c r="F5100" s="356">
        <v>-34272.75</v>
      </c>
      <c r="G5100" s="353" t="s">
        <v>2466</v>
      </c>
      <c r="H5100" s="353" t="s">
        <v>2493</v>
      </c>
      <c r="I5100" s="353" t="s">
        <v>2440</v>
      </c>
      <c r="J5100" s="353" t="s">
        <v>757</v>
      </c>
      <c r="K5100" s="353" t="s">
        <v>741</v>
      </c>
      <c r="L5100" s="354">
        <v>44043</v>
      </c>
      <c r="M5100" s="357">
        <v>0</v>
      </c>
    </row>
    <row r="5101" spans="1:13" hidden="1" x14ac:dyDescent="0.25">
      <c r="A5101" s="354">
        <v>44074</v>
      </c>
      <c r="B5101" s="353" t="s">
        <v>1147</v>
      </c>
      <c r="C5101" s="353" t="s">
        <v>1060</v>
      </c>
      <c r="D5101" s="355">
        <v>2</v>
      </c>
      <c r="E5101" s="356">
        <v>1887</v>
      </c>
      <c r="F5101" s="356">
        <v>-32385.75</v>
      </c>
      <c r="G5101" s="353" t="s">
        <v>2468</v>
      </c>
      <c r="H5101" s="353" t="s">
        <v>2493</v>
      </c>
      <c r="I5101" s="353" t="s">
        <v>2440</v>
      </c>
      <c r="J5101" s="353" t="s">
        <v>757</v>
      </c>
      <c r="K5101" s="353" t="s">
        <v>741</v>
      </c>
      <c r="L5101" s="354">
        <v>44074</v>
      </c>
      <c r="M5101" s="357">
        <v>0</v>
      </c>
    </row>
    <row r="5102" spans="1:13" hidden="1" x14ac:dyDescent="0.25">
      <c r="A5102" s="354">
        <v>44074</v>
      </c>
      <c r="B5102" s="353" t="s">
        <v>1147</v>
      </c>
      <c r="C5102" s="353" t="s">
        <v>1060</v>
      </c>
      <c r="D5102" s="355">
        <v>3</v>
      </c>
      <c r="E5102" s="356">
        <v>-1887</v>
      </c>
      <c r="F5102" s="356">
        <v>-34272.75</v>
      </c>
      <c r="G5102" s="353" t="s">
        <v>2468</v>
      </c>
      <c r="H5102" s="353" t="s">
        <v>2493</v>
      </c>
      <c r="I5102" s="353" t="s">
        <v>2440</v>
      </c>
      <c r="J5102" s="353" t="s">
        <v>757</v>
      </c>
      <c r="K5102" s="353" t="s">
        <v>741</v>
      </c>
      <c r="L5102" s="354">
        <v>44074</v>
      </c>
      <c r="M5102" s="357">
        <v>0</v>
      </c>
    </row>
    <row r="5103" spans="1:13" hidden="1" x14ac:dyDescent="0.25">
      <c r="A5103" s="354">
        <v>44104</v>
      </c>
      <c r="B5103" s="353" t="s">
        <v>1198</v>
      </c>
      <c r="C5103" s="353" t="s">
        <v>1060</v>
      </c>
      <c r="D5103" s="355">
        <v>3</v>
      </c>
      <c r="E5103" s="356">
        <v>2830.5</v>
      </c>
      <c r="F5103" s="356">
        <v>-31442.25</v>
      </c>
      <c r="G5103" s="353" t="s">
        <v>2469</v>
      </c>
      <c r="H5103" s="353" t="s">
        <v>2493</v>
      </c>
      <c r="I5103" s="353" t="s">
        <v>2440</v>
      </c>
      <c r="J5103" s="353" t="s">
        <v>757</v>
      </c>
      <c r="K5103" s="353" t="s">
        <v>741</v>
      </c>
      <c r="L5103" s="354">
        <v>44104</v>
      </c>
      <c r="M5103" s="357">
        <v>0</v>
      </c>
    </row>
    <row r="5104" spans="1:13" hidden="1" x14ac:dyDescent="0.25">
      <c r="A5104" s="354">
        <v>44104</v>
      </c>
      <c r="B5104" s="353" t="s">
        <v>1198</v>
      </c>
      <c r="C5104" s="353" t="s">
        <v>1060</v>
      </c>
      <c r="D5104" s="355">
        <v>4</v>
      </c>
      <c r="E5104" s="356">
        <v>-2830.5</v>
      </c>
      <c r="F5104" s="356">
        <v>-34272.75</v>
      </c>
      <c r="G5104" s="353" t="s">
        <v>2469</v>
      </c>
      <c r="H5104" s="353" t="s">
        <v>2493</v>
      </c>
      <c r="I5104" s="353" t="s">
        <v>2440</v>
      </c>
      <c r="J5104" s="353" t="s">
        <v>757</v>
      </c>
      <c r="K5104" s="353" t="s">
        <v>741</v>
      </c>
      <c r="L5104" s="354">
        <v>44104</v>
      </c>
      <c r="M5104" s="357">
        <v>0</v>
      </c>
    </row>
    <row r="5105" spans="1:13" hidden="1" x14ac:dyDescent="0.25">
      <c r="A5105" s="354">
        <v>44135</v>
      </c>
      <c r="B5105" s="353" t="s">
        <v>1200</v>
      </c>
      <c r="C5105" s="353" t="s">
        <v>1060</v>
      </c>
      <c r="D5105" s="355">
        <v>4</v>
      </c>
      <c r="E5105" s="356">
        <v>3774</v>
      </c>
      <c r="F5105" s="356">
        <v>-30498.75</v>
      </c>
      <c r="G5105" s="353" t="s">
        <v>2445</v>
      </c>
      <c r="H5105" s="353" t="s">
        <v>2493</v>
      </c>
      <c r="I5105" s="353" t="s">
        <v>2440</v>
      </c>
      <c r="J5105" s="353" t="s">
        <v>757</v>
      </c>
      <c r="K5105" s="353" t="s">
        <v>741</v>
      </c>
      <c r="L5105" s="354">
        <v>44135</v>
      </c>
      <c r="M5105" s="357">
        <v>0</v>
      </c>
    </row>
    <row r="5106" spans="1:13" hidden="1" x14ac:dyDescent="0.25">
      <c r="A5106" s="354">
        <v>44135</v>
      </c>
      <c r="B5106" s="353" t="s">
        <v>1200</v>
      </c>
      <c r="C5106" s="353" t="s">
        <v>1060</v>
      </c>
      <c r="D5106" s="355">
        <v>5</v>
      </c>
      <c r="E5106" s="356">
        <v>-3774</v>
      </c>
      <c r="F5106" s="356">
        <v>-34272.75</v>
      </c>
      <c r="G5106" s="353" t="s">
        <v>2445</v>
      </c>
      <c r="H5106" s="353" t="s">
        <v>2493</v>
      </c>
      <c r="I5106" s="353" t="s">
        <v>2440</v>
      </c>
      <c r="J5106" s="353" t="s">
        <v>757</v>
      </c>
      <c r="K5106" s="353" t="s">
        <v>741</v>
      </c>
      <c r="L5106" s="354">
        <v>44135</v>
      </c>
      <c r="M5106" s="357">
        <v>0</v>
      </c>
    </row>
    <row r="5107" spans="1:13" hidden="1" x14ac:dyDescent="0.25">
      <c r="A5107" s="354">
        <v>44165</v>
      </c>
      <c r="B5107" s="353" t="s">
        <v>1158</v>
      </c>
      <c r="C5107" s="353" t="s">
        <v>1060</v>
      </c>
      <c r="D5107" s="355">
        <v>5</v>
      </c>
      <c r="E5107" s="356">
        <v>4717.5</v>
      </c>
      <c r="F5107" s="356">
        <v>-29555.25</v>
      </c>
      <c r="G5107" s="353" t="s">
        <v>2448</v>
      </c>
      <c r="H5107" s="353" t="s">
        <v>2493</v>
      </c>
      <c r="I5107" s="353" t="s">
        <v>2440</v>
      </c>
      <c r="J5107" s="353" t="s">
        <v>757</v>
      </c>
      <c r="K5107" s="353" t="s">
        <v>741</v>
      </c>
      <c r="L5107" s="354">
        <v>44165</v>
      </c>
      <c r="M5107" s="357">
        <v>0</v>
      </c>
    </row>
    <row r="5108" spans="1:13" hidden="1" x14ac:dyDescent="0.25">
      <c r="A5108" s="354">
        <v>44165</v>
      </c>
      <c r="B5108" s="353" t="s">
        <v>1158</v>
      </c>
      <c r="C5108" s="353" t="s">
        <v>1060</v>
      </c>
      <c r="D5108" s="355">
        <v>6</v>
      </c>
      <c r="E5108" s="356">
        <v>-4717.5</v>
      </c>
      <c r="F5108" s="356">
        <v>-34272.75</v>
      </c>
      <c r="G5108" s="353" t="s">
        <v>2448</v>
      </c>
      <c r="H5108" s="353" t="s">
        <v>2493</v>
      </c>
      <c r="I5108" s="353" t="s">
        <v>2440</v>
      </c>
      <c r="J5108" s="353" t="s">
        <v>757</v>
      </c>
      <c r="K5108" s="353" t="s">
        <v>741</v>
      </c>
      <c r="L5108" s="354">
        <v>44165</v>
      </c>
      <c r="M5108" s="357">
        <v>0</v>
      </c>
    </row>
    <row r="5109" spans="1:13" hidden="1" x14ac:dyDescent="0.25">
      <c r="A5109" s="354">
        <v>44196</v>
      </c>
      <c r="B5109" s="353" t="s">
        <v>1160</v>
      </c>
      <c r="C5109" s="353" t="s">
        <v>1060</v>
      </c>
      <c r="D5109" s="355">
        <v>6</v>
      </c>
      <c r="E5109" s="356">
        <v>5661</v>
      </c>
      <c r="F5109" s="356">
        <v>-28611.75</v>
      </c>
      <c r="G5109" s="353" t="s">
        <v>2451</v>
      </c>
      <c r="H5109" s="353" t="s">
        <v>2493</v>
      </c>
      <c r="I5109" s="353" t="s">
        <v>2440</v>
      </c>
      <c r="J5109" s="353" t="s">
        <v>757</v>
      </c>
      <c r="K5109" s="353" t="s">
        <v>741</v>
      </c>
      <c r="L5109" s="354">
        <v>44196</v>
      </c>
      <c r="M5109" s="357">
        <v>0</v>
      </c>
    </row>
    <row r="5110" spans="1:13" hidden="1" x14ac:dyDescent="0.25">
      <c r="A5110" s="354">
        <v>44196</v>
      </c>
      <c r="B5110" s="353" t="s">
        <v>1160</v>
      </c>
      <c r="C5110" s="353" t="s">
        <v>1060</v>
      </c>
      <c r="D5110" s="355">
        <v>7</v>
      </c>
      <c r="E5110" s="356">
        <v>-5661</v>
      </c>
      <c r="F5110" s="356">
        <v>-34272.75</v>
      </c>
      <c r="G5110" s="353" t="s">
        <v>2451</v>
      </c>
      <c r="H5110" s="353" t="s">
        <v>2493</v>
      </c>
      <c r="I5110" s="353" t="s">
        <v>2440</v>
      </c>
      <c r="J5110" s="353" t="s">
        <v>757</v>
      </c>
      <c r="K5110" s="353" t="s">
        <v>741</v>
      </c>
      <c r="L5110" s="354">
        <v>44196</v>
      </c>
      <c r="M5110" s="357">
        <v>0</v>
      </c>
    </row>
    <row r="5111" spans="1:13" hidden="1" x14ac:dyDescent="0.25">
      <c r="A5111" s="354">
        <v>44196</v>
      </c>
      <c r="B5111" s="353" t="s">
        <v>2470</v>
      </c>
      <c r="C5111" s="353" t="s">
        <v>936</v>
      </c>
      <c r="D5111" s="355">
        <v>7</v>
      </c>
      <c r="E5111" s="356">
        <v>-3602.45</v>
      </c>
      <c r="F5111" s="356">
        <v>-37875.199999999997</v>
      </c>
      <c r="G5111" s="353" t="s">
        <v>2471</v>
      </c>
      <c r="H5111" s="353" t="s">
        <v>2493</v>
      </c>
      <c r="I5111" s="353" t="s">
        <v>2440</v>
      </c>
      <c r="J5111" s="353" t="s">
        <v>757</v>
      </c>
      <c r="K5111" s="353" t="s">
        <v>770</v>
      </c>
      <c r="L5111" s="354">
        <v>44196</v>
      </c>
      <c r="M5111" s="357">
        <v>0</v>
      </c>
    </row>
    <row r="5112" spans="1:13" hidden="1" x14ac:dyDescent="0.25">
      <c r="A5112" s="354">
        <v>44230</v>
      </c>
      <c r="B5112" s="353" t="s">
        <v>1166</v>
      </c>
      <c r="C5112" s="353" t="s">
        <v>1060</v>
      </c>
      <c r="D5112" s="355">
        <v>7</v>
      </c>
      <c r="E5112" s="356">
        <v>6604.5</v>
      </c>
      <c r="F5112" s="356">
        <v>-31270.7</v>
      </c>
      <c r="G5112" s="353" t="s">
        <v>2457</v>
      </c>
      <c r="H5112" s="353" t="s">
        <v>2493</v>
      </c>
      <c r="I5112" s="353" t="s">
        <v>2440</v>
      </c>
      <c r="J5112" s="353" t="s">
        <v>757</v>
      </c>
      <c r="K5112" s="353" t="s">
        <v>741</v>
      </c>
      <c r="L5112" s="354">
        <v>44230</v>
      </c>
      <c r="M5112" s="357">
        <v>0</v>
      </c>
    </row>
    <row r="5113" spans="1:13" hidden="1" x14ac:dyDescent="0.25">
      <c r="A5113" s="354">
        <v>44230</v>
      </c>
      <c r="B5113" s="353" t="s">
        <v>1166</v>
      </c>
      <c r="C5113" s="353" t="s">
        <v>1060</v>
      </c>
      <c r="D5113" s="355">
        <v>8</v>
      </c>
      <c r="E5113" s="356">
        <v>-6604.5</v>
      </c>
      <c r="F5113" s="356">
        <v>-37875.199999999997</v>
      </c>
      <c r="G5113" s="353" t="s">
        <v>2457</v>
      </c>
      <c r="H5113" s="353" t="s">
        <v>2493</v>
      </c>
      <c r="I5113" s="353" t="s">
        <v>2440</v>
      </c>
      <c r="J5113" s="353" t="s">
        <v>757</v>
      </c>
      <c r="K5113" s="353" t="s">
        <v>741</v>
      </c>
      <c r="L5113" s="354">
        <v>44230</v>
      </c>
      <c r="M5113" s="357">
        <v>0</v>
      </c>
    </row>
    <row r="5114" spans="1:13" hidden="1" x14ac:dyDescent="0.25">
      <c r="A5114" s="354">
        <v>44255</v>
      </c>
      <c r="B5114" s="353" t="s">
        <v>1178</v>
      </c>
      <c r="C5114" s="353" t="s">
        <v>1060</v>
      </c>
      <c r="D5114" s="355">
        <v>8</v>
      </c>
      <c r="E5114" s="356">
        <v>7548</v>
      </c>
      <c r="F5114" s="356">
        <v>-30327.200000000001</v>
      </c>
      <c r="G5114" s="353" t="s">
        <v>2472</v>
      </c>
      <c r="H5114" s="353" t="s">
        <v>2493</v>
      </c>
      <c r="I5114" s="353" t="s">
        <v>2440</v>
      </c>
      <c r="J5114" s="353" t="s">
        <v>757</v>
      </c>
      <c r="K5114" s="353" t="s">
        <v>741</v>
      </c>
      <c r="L5114" s="354">
        <v>44255</v>
      </c>
      <c r="M5114" s="357">
        <v>0</v>
      </c>
    </row>
    <row r="5115" spans="1:13" hidden="1" x14ac:dyDescent="0.25">
      <c r="A5115" s="354">
        <v>44255</v>
      </c>
      <c r="B5115" s="353" t="s">
        <v>1178</v>
      </c>
      <c r="C5115" s="353" t="s">
        <v>1060</v>
      </c>
      <c r="D5115" s="355">
        <v>9</v>
      </c>
      <c r="E5115" s="356">
        <v>-7548</v>
      </c>
      <c r="F5115" s="356">
        <v>-37875.199999999997</v>
      </c>
      <c r="G5115" s="353" t="s">
        <v>2472</v>
      </c>
      <c r="H5115" s="353" t="s">
        <v>2493</v>
      </c>
      <c r="I5115" s="353" t="s">
        <v>2440</v>
      </c>
      <c r="J5115" s="353" t="s">
        <v>757</v>
      </c>
      <c r="K5115" s="353" t="s">
        <v>741</v>
      </c>
      <c r="L5115" s="354">
        <v>44255</v>
      </c>
      <c r="M5115" s="357">
        <v>0</v>
      </c>
    </row>
    <row r="5116" spans="1:13" hidden="1" x14ac:dyDescent="0.25">
      <c r="A5116" s="354">
        <v>44255</v>
      </c>
      <c r="B5116" s="353" t="s">
        <v>2473</v>
      </c>
      <c r="C5116" s="353" t="s">
        <v>769</v>
      </c>
      <c r="D5116" s="355">
        <v>9</v>
      </c>
      <c r="E5116" s="356">
        <v>2655.81</v>
      </c>
      <c r="F5116" s="356">
        <v>-35219.39</v>
      </c>
      <c r="G5116" s="353" t="s">
        <v>2480</v>
      </c>
      <c r="H5116" s="353" t="s">
        <v>2493</v>
      </c>
      <c r="I5116" s="353" t="s">
        <v>2440</v>
      </c>
      <c r="J5116" s="353" t="s">
        <v>757</v>
      </c>
      <c r="K5116" s="353" t="s">
        <v>770</v>
      </c>
      <c r="L5116" s="354">
        <v>44255</v>
      </c>
      <c r="M5116" s="357">
        <v>0</v>
      </c>
    </row>
    <row r="5117" spans="1:13" hidden="1" x14ac:dyDescent="0.25">
      <c r="A5117" s="354">
        <v>44286</v>
      </c>
      <c r="B5117" s="353" t="s">
        <v>2475</v>
      </c>
      <c r="C5117" s="353" t="s">
        <v>1060</v>
      </c>
      <c r="D5117" s="355">
        <v>9</v>
      </c>
      <c r="E5117" s="356">
        <v>5311.62</v>
      </c>
      <c r="F5117" s="356">
        <v>-29907.77</v>
      </c>
      <c r="G5117" s="353" t="s">
        <v>2476</v>
      </c>
      <c r="H5117" s="353" t="s">
        <v>2493</v>
      </c>
      <c r="I5117" s="353" t="s">
        <v>2440</v>
      </c>
      <c r="J5117" s="353" t="s">
        <v>757</v>
      </c>
      <c r="K5117" s="353" t="s">
        <v>741</v>
      </c>
      <c r="L5117" s="354">
        <v>44286</v>
      </c>
      <c r="M5117" s="357">
        <v>0</v>
      </c>
    </row>
    <row r="5118" spans="1:13" hidden="1" x14ac:dyDescent="0.25">
      <c r="A5118" s="354">
        <v>44286</v>
      </c>
      <c r="B5118" s="353" t="s">
        <v>2475</v>
      </c>
      <c r="C5118" s="353" t="s">
        <v>1060</v>
      </c>
      <c r="D5118" s="355">
        <v>10</v>
      </c>
      <c r="E5118" s="356">
        <v>-5311.62</v>
      </c>
      <c r="F5118" s="356">
        <v>-35219.39</v>
      </c>
      <c r="G5118" s="353" t="s">
        <v>2476</v>
      </c>
      <c r="H5118" s="353" t="s">
        <v>2493</v>
      </c>
      <c r="I5118" s="353" t="s">
        <v>2440</v>
      </c>
      <c r="J5118" s="353" t="s">
        <v>757</v>
      </c>
      <c r="K5118" s="353" t="s">
        <v>741</v>
      </c>
      <c r="L5118" s="354">
        <v>44286</v>
      </c>
      <c r="M5118" s="357">
        <v>0</v>
      </c>
    </row>
    <row r="5119" spans="1:13" hidden="1" x14ac:dyDescent="0.25">
      <c r="A5119" s="354">
        <v>44316</v>
      </c>
      <c r="B5119" s="353" t="s">
        <v>1104</v>
      </c>
      <c r="C5119" s="353" t="s">
        <v>1060</v>
      </c>
      <c r="D5119" s="355">
        <v>10</v>
      </c>
      <c r="E5119" s="356">
        <v>6196.89</v>
      </c>
      <c r="F5119" s="356">
        <v>-29022.5</v>
      </c>
      <c r="G5119" s="353" t="s">
        <v>1095</v>
      </c>
      <c r="H5119" s="353" t="s">
        <v>2493</v>
      </c>
      <c r="I5119" s="353" t="s">
        <v>2440</v>
      </c>
      <c r="J5119" s="353" t="s">
        <v>757</v>
      </c>
      <c r="K5119" s="353" t="s">
        <v>741</v>
      </c>
      <c r="L5119" s="354">
        <v>44316</v>
      </c>
      <c r="M5119" s="357">
        <v>0</v>
      </c>
    </row>
    <row r="5120" spans="1:13" hidden="1" x14ac:dyDescent="0.25">
      <c r="A5120" s="354">
        <v>44099</v>
      </c>
      <c r="B5120" s="353" t="s">
        <v>2494</v>
      </c>
      <c r="C5120" s="353" t="s">
        <v>769</v>
      </c>
      <c r="D5120" s="355">
        <v>4</v>
      </c>
      <c r="E5120" s="356">
        <v>25.21</v>
      </c>
      <c r="F5120" s="356">
        <v>-35194.18</v>
      </c>
      <c r="G5120" s="353" t="s">
        <v>2495</v>
      </c>
      <c r="H5120" s="353" t="s">
        <v>2496</v>
      </c>
      <c r="I5120" s="353" t="s">
        <v>2440</v>
      </c>
      <c r="J5120" s="353" t="s">
        <v>757</v>
      </c>
      <c r="K5120" s="353" t="s">
        <v>770</v>
      </c>
      <c r="L5120" s="354">
        <v>44099</v>
      </c>
      <c r="M5120" s="357">
        <v>0</v>
      </c>
    </row>
    <row r="5121" spans="1:13" hidden="1" x14ac:dyDescent="0.25">
      <c r="A5121" s="354">
        <v>44135</v>
      </c>
      <c r="B5121" s="353" t="s">
        <v>2497</v>
      </c>
      <c r="C5121" s="353" t="s">
        <v>1059</v>
      </c>
      <c r="D5121" s="355">
        <v>4</v>
      </c>
      <c r="E5121" s="356">
        <v>-25.21</v>
      </c>
      <c r="F5121" s="356">
        <v>-35219.39</v>
      </c>
      <c r="G5121" s="353" t="s">
        <v>2498</v>
      </c>
      <c r="H5121" s="353" t="s">
        <v>2496</v>
      </c>
      <c r="I5121" s="353" t="s">
        <v>2440</v>
      </c>
      <c r="J5121" s="353" t="s">
        <v>757</v>
      </c>
      <c r="K5121" s="353" t="s">
        <v>741</v>
      </c>
      <c r="L5121" s="354">
        <v>44135</v>
      </c>
      <c r="M5121" s="357">
        <v>0</v>
      </c>
    </row>
    <row r="5122" spans="1:13" hidden="1" x14ac:dyDescent="0.25">
      <c r="A5122" s="354">
        <v>44007</v>
      </c>
      <c r="B5122" s="353" t="s">
        <v>2499</v>
      </c>
      <c r="C5122" s="353" t="s">
        <v>769</v>
      </c>
      <c r="D5122" s="355">
        <v>1</v>
      </c>
      <c r="E5122" s="356">
        <v>25.21</v>
      </c>
      <c r="F5122" s="356">
        <v>-35194.18</v>
      </c>
      <c r="G5122" s="353" t="s">
        <v>2500</v>
      </c>
      <c r="H5122" s="353" t="s">
        <v>2501</v>
      </c>
      <c r="I5122" s="353" t="s">
        <v>2440</v>
      </c>
      <c r="J5122" s="353" t="s">
        <v>757</v>
      </c>
      <c r="K5122" s="353" t="s">
        <v>770</v>
      </c>
      <c r="L5122" s="354">
        <v>44007</v>
      </c>
      <c r="M5122" s="357">
        <v>0</v>
      </c>
    </row>
    <row r="5123" spans="1:13" hidden="1" x14ac:dyDescent="0.25">
      <c r="A5123" s="354">
        <v>44074</v>
      </c>
      <c r="B5123" s="353" t="s">
        <v>2502</v>
      </c>
      <c r="C5123" s="353" t="s">
        <v>1059</v>
      </c>
      <c r="D5123" s="355">
        <v>2</v>
      </c>
      <c r="E5123" s="356">
        <v>25.21</v>
      </c>
      <c r="F5123" s="356">
        <v>-35168.97</v>
      </c>
      <c r="G5123" s="353" t="s">
        <v>2503</v>
      </c>
      <c r="H5123" s="353" t="s">
        <v>2501</v>
      </c>
      <c r="I5123" s="353" t="s">
        <v>2440</v>
      </c>
      <c r="J5123" s="353" t="s">
        <v>757</v>
      </c>
      <c r="K5123" s="353" t="s">
        <v>741</v>
      </c>
      <c r="L5123" s="354">
        <v>44074</v>
      </c>
      <c r="M5123" s="357">
        <v>0</v>
      </c>
    </row>
    <row r="5124" spans="1:13" hidden="1" x14ac:dyDescent="0.25">
      <c r="A5124" s="354">
        <v>44063</v>
      </c>
      <c r="B5124" s="353" t="s">
        <v>2504</v>
      </c>
      <c r="C5124" s="353" t="s">
        <v>769</v>
      </c>
      <c r="D5124" s="355">
        <v>3</v>
      </c>
      <c r="E5124" s="356">
        <v>25.21</v>
      </c>
      <c r="F5124" s="356">
        <v>-35143.760000000002</v>
      </c>
      <c r="G5124" s="353" t="s">
        <v>2505</v>
      </c>
      <c r="H5124" s="353" t="s">
        <v>2501</v>
      </c>
      <c r="I5124" s="353" t="s">
        <v>2440</v>
      </c>
      <c r="J5124" s="353" t="s">
        <v>757</v>
      </c>
      <c r="K5124" s="353" t="s">
        <v>770</v>
      </c>
      <c r="L5124" s="354">
        <v>44063</v>
      </c>
      <c r="M5124" s="357">
        <v>0</v>
      </c>
    </row>
    <row r="5125" spans="1:13" hidden="1" x14ac:dyDescent="0.25">
      <c r="A5125" s="354">
        <v>44135</v>
      </c>
      <c r="B5125" s="353" t="s">
        <v>2497</v>
      </c>
      <c r="C5125" s="353" t="s">
        <v>1059</v>
      </c>
      <c r="D5125" s="355">
        <v>4</v>
      </c>
      <c r="E5125" s="356">
        <v>25.21</v>
      </c>
      <c r="F5125" s="356">
        <v>-35118.550000000003</v>
      </c>
      <c r="G5125" s="353" t="s">
        <v>2498</v>
      </c>
      <c r="H5125" s="353" t="s">
        <v>2501</v>
      </c>
      <c r="I5125" s="353" t="s">
        <v>2440</v>
      </c>
      <c r="J5125" s="353" t="s">
        <v>757</v>
      </c>
      <c r="K5125" s="353" t="s">
        <v>741</v>
      </c>
      <c r="L5125" s="354">
        <v>44135</v>
      </c>
      <c r="M5125" s="357">
        <v>0</v>
      </c>
    </row>
    <row r="5126" spans="1:13" hidden="1" x14ac:dyDescent="0.25">
      <c r="A5126" s="354">
        <v>44126</v>
      </c>
      <c r="B5126" s="353" t="s">
        <v>2506</v>
      </c>
      <c r="C5126" s="353" t="s">
        <v>769</v>
      </c>
      <c r="D5126" s="355">
        <v>5</v>
      </c>
      <c r="E5126" s="356">
        <v>25.21</v>
      </c>
      <c r="F5126" s="356">
        <v>-35093.339999999997</v>
      </c>
      <c r="G5126" s="353" t="s">
        <v>2507</v>
      </c>
      <c r="H5126" s="353" t="s">
        <v>2501</v>
      </c>
      <c r="I5126" s="353" t="s">
        <v>2440</v>
      </c>
      <c r="J5126" s="353" t="s">
        <v>757</v>
      </c>
      <c r="K5126" s="353" t="s">
        <v>770</v>
      </c>
      <c r="L5126" s="354">
        <v>44126</v>
      </c>
      <c r="M5126" s="357">
        <v>0</v>
      </c>
    </row>
    <row r="5127" spans="1:13" hidden="1" x14ac:dyDescent="0.25">
      <c r="A5127" s="354">
        <v>44158</v>
      </c>
      <c r="B5127" s="353" t="s">
        <v>2508</v>
      </c>
      <c r="C5127" s="353" t="s">
        <v>769</v>
      </c>
      <c r="D5127" s="355">
        <v>6</v>
      </c>
      <c r="E5127" s="356">
        <v>25.21</v>
      </c>
      <c r="F5127" s="356">
        <v>-35068.129999999997</v>
      </c>
      <c r="G5127" s="353" t="s">
        <v>2509</v>
      </c>
      <c r="H5127" s="353" t="s">
        <v>2501</v>
      </c>
      <c r="I5127" s="353" t="s">
        <v>2440</v>
      </c>
      <c r="J5127" s="353" t="s">
        <v>757</v>
      </c>
      <c r="K5127" s="353" t="s">
        <v>770</v>
      </c>
      <c r="L5127" s="354">
        <v>44158</v>
      </c>
      <c r="M5127" s="357">
        <v>0</v>
      </c>
    </row>
    <row r="5128" spans="1:13" hidden="1" x14ac:dyDescent="0.25">
      <c r="A5128" s="354">
        <v>44183</v>
      </c>
      <c r="B5128" s="353" t="s">
        <v>2510</v>
      </c>
      <c r="C5128" s="353" t="s">
        <v>769</v>
      </c>
      <c r="D5128" s="355">
        <v>7</v>
      </c>
      <c r="E5128" s="356">
        <v>25.21</v>
      </c>
      <c r="F5128" s="356">
        <v>-35042.92</v>
      </c>
      <c r="G5128" s="353" t="s">
        <v>2511</v>
      </c>
      <c r="H5128" s="353" t="s">
        <v>2501</v>
      </c>
      <c r="I5128" s="353" t="s">
        <v>2440</v>
      </c>
      <c r="J5128" s="353" t="s">
        <v>757</v>
      </c>
      <c r="K5128" s="353" t="s">
        <v>770</v>
      </c>
      <c r="L5128" s="354">
        <v>44183</v>
      </c>
      <c r="M5128" s="357">
        <v>0</v>
      </c>
    </row>
    <row r="5129" spans="1:13" hidden="1" x14ac:dyDescent="0.25">
      <c r="A5129" s="354">
        <v>44216</v>
      </c>
      <c r="B5129" s="353" t="s">
        <v>2512</v>
      </c>
      <c r="C5129" s="353" t="s">
        <v>769</v>
      </c>
      <c r="D5129" s="355">
        <v>8</v>
      </c>
      <c r="E5129" s="356">
        <v>25.21</v>
      </c>
      <c r="F5129" s="356">
        <v>-35017.71</v>
      </c>
      <c r="G5129" s="353" t="s">
        <v>2513</v>
      </c>
      <c r="H5129" s="353" t="s">
        <v>2501</v>
      </c>
      <c r="I5129" s="353" t="s">
        <v>2440</v>
      </c>
      <c r="J5129" s="353" t="s">
        <v>757</v>
      </c>
      <c r="K5129" s="353" t="s">
        <v>770</v>
      </c>
      <c r="L5129" s="354">
        <v>44216</v>
      </c>
      <c r="M5129" s="357">
        <v>0</v>
      </c>
    </row>
    <row r="5130" spans="1:13" hidden="1" x14ac:dyDescent="0.25">
      <c r="A5130" s="354">
        <v>44244</v>
      </c>
      <c r="B5130" s="353" t="s">
        <v>2514</v>
      </c>
      <c r="C5130" s="353" t="s">
        <v>769</v>
      </c>
      <c r="D5130" s="355">
        <v>9</v>
      </c>
      <c r="E5130" s="356">
        <v>25.21</v>
      </c>
      <c r="F5130" s="356">
        <v>-34992.5</v>
      </c>
      <c r="G5130" s="353" t="s">
        <v>2515</v>
      </c>
      <c r="H5130" s="353" t="s">
        <v>2501</v>
      </c>
      <c r="I5130" s="353" t="s">
        <v>2440</v>
      </c>
      <c r="J5130" s="353" t="s">
        <v>757</v>
      </c>
      <c r="K5130" s="353" t="s">
        <v>770</v>
      </c>
      <c r="L5130" s="354">
        <v>44244</v>
      </c>
      <c r="M5130" s="357">
        <v>0</v>
      </c>
    </row>
    <row r="5131" spans="1:13" hidden="1" x14ac:dyDescent="0.25">
      <c r="A5131" s="354">
        <v>44281</v>
      </c>
      <c r="B5131" s="353" t="s">
        <v>2516</v>
      </c>
      <c r="C5131" s="353" t="s">
        <v>936</v>
      </c>
      <c r="D5131" s="355">
        <v>10</v>
      </c>
      <c r="E5131" s="356">
        <v>-226.88</v>
      </c>
      <c r="F5131" s="356">
        <v>-35219.379999999997</v>
      </c>
      <c r="G5131" s="353" t="s">
        <v>2517</v>
      </c>
      <c r="H5131" s="353" t="s">
        <v>2501</v>
      </c>
      <c r="I5131" s="353" t="s">
        <v>2440</v>
      </c>
      <c r="J5131" s="353" t="s">
        <v>757</v>
      </c>
      <c r="K5131" s="353" t="s">
        <v>770</v>
      </c>
      <c r="L5131" s="354">
        <v>44281</v>
      </c>
      <c r="M5131" s="357">
        <v>0</v>
      </c>
    </row>
    <row r="5132" spans="1:13" hidden="1" x14ac:dyDescent="0.25">
      <c r="A5132" s="354">
        <v>44281</v>
      </c>
      <c r="B5132" s="353" t="s">
        <v>2516</v>
      </c>
      <c r="C5132" s="353" t="s">
        <v>936</v>
      </c>
      <c r="D5132" s="355">
        <v>10</v>
      </c>
      <c r="E5132" s="356">
        <v>-41.58</v>
      </c>
      <c r="F5132" s="356">
        <v>-35260.959999999999</v>
      </c>
      <c r="G5132" s="353" t="s">
        <v>2518</v>
      </c>
      <c r="H5132" s="353" t="s">
        <v>2501</v>
      </c>
      <c r="I5132" s="353" t="s">
        <v>2440</v>
      </c>
      <c r="J5132" s="353" t="s">
        <v>757</v>
      </c>
      <c r="K5132" s="353" t="s">
        <v>770</v>
      </c>
      <c r="L5132" s="354">
        <v>44281</v>
      </c>
      <c r="M5132" s="357">
        <v>0</v>
      </c>
    </row>
    <row r="5133" spans="1:13" hidden="1" x14ac:dyDescent="0.25">
      <c r="A5133" s="354">
        <v>44281</v>
      </c>
      <c r="B5133" s="353" t="s">
        <v>2516</v>
      </c>
      <c r="C5133" s="353" t="s">
        <v>936</v>
      </c>
      <c r="D5133" s="355">
        <v>10</v>
      </c>
      <c r="E5133" s="356">
        <v>-41.58</v>
      </c>
      <c r="F5133" s="356">
        <v>-35302.54</v>
      </c>
      <c r="G5133" s="353" t="s">
        <v>2519</v>
      </c>
      <c r="H5133" s="353" t="s">
        <v>2501</v>
      </c>
      <c r="I5133" s="353" t="s">
        <v>2440</v>
      </c>
      <c r="J5133" s="353" t="s">
        <v>757</v>
      </c>
      <c r="K5133" s="353" t="s">
        <v>770</v>
      </c>
      <c r="L5133" s="354">
        <v>44281</v>
      </c>
      <c r="M5133" s="357">
        <v>0</v>
      </c>
    </row>
    <row r="5134" spans="1:13" hidden="1" x14ac:dyDescent="0.25">
      <c r="A5134" s="354">
        <v>44281</v>
      </c>
      <c r="B5134" s="353" t="s">
        <v>2516</v>
      </c>
      <c r="C5134" s="353" t="s">
        <v>936</v>
      </c>
      <c r="D5134" s="355">
        <v>10</v>
      </c>
      <c r="E5134" s="356">
        <v>-41.58</v>
      </c>
      <c r="F5134" s="356">
        <v>-35344.120000000003</v>
      </c>
      <c r="G5134" s="353" t="s">
        <v>2520</v>
      </c>
      <c r="H5134" s="353" t="s">
        <v>2501</v>
      </c>
      <c r="I5134" s="353" t="s">
        <v>2440</v>
      </c>
      <c r="J5134" s="353" t="s">
        <v>757</v>
      </c>
      <c r="K5134" s="353" t="s">
        <v>770</v>
      </c>
      <c r="L5134" s="354">
        <v>44281</v>
      </c>
      <c r="M5134" s="357">
        <v>0</v>
      </c>
    </row>
    <row r="5135" spans="1:13" hidden="1" x14ac:dyDescent="0.25">
      <c r="A5135" s="354">
        <v>43983</v>
      </c>
      <c r="B5135" s="353" t="s">
        <v>2521</v>
      </c>
      <c r="C5135" s="353" t="s">
        <v>769</v>
      </c>
      <c r="D5135" s="355">
        <v>1</v>
      </c>
      <c r="E5135" s="356">
        <v>-139.71</v>
      </c>
      <c r="F5135" s="356">
        <v>-35483.83</v>
      </c>
      <c r="G5135" s="353" t="s">
        <v>2522</v>
      </c>
      <c r="H5135" s="353" t="s">
        <v>2523</v>
      </c>
      <c r="I5135" s="353" t="s">
        <v>2440</v>
      </c>
      <c r="J5135" s="353" t="s">
        <v>757</v>
      </c>
      <c r="K5135" s="353" t="s">
        <v>770</v>
      </c>
      <c r="L5135" s="354">
        <v>43983</v>
      </c>
      <c r="M5135" s="357">
        <v>0</v>
      </c>
    </row>
    <row r="5136" spans="1:13" hidden="1" x14ac:dyDescent="0.25">
      <c r="A5136" s="354">
        <v>43983</v>
      </c>
      <c r="B5136" s="353" t="s">
        <v>2521</v>
      </c>
      <c r="C5136" s="353" t="s">
        <v>769</v>
      </c>
      <c r="D5136" s="355">
        <v>1</v>
      </c>
      <c r="E5136" s="356">
        <v>30.32</v>
      </c>
      <c r="F5136" s="356">
        <v>-35453.51</v>
      </c>
      <c r="G5136" s="353" t="s">
        <v>2524</v>
      </c>
      <c r="H5136" s="353" t="s">
        <v>2523</v>
      </c>
      <c r="I5136" s="353" t="s">
        <v>2440</v>
      </c>
      <c r="J5136" s="353" t="s">
        <v>757</v>
      </c>
      <c r="K5136" s="353" t="s">
        <v>770</v>
      </c>
      <c r="L5136" s="354">
        <v>43983</v>
      </c>
      <c r="M5136" s="357">
        <v>0</v>
      </c>
    </row>
    <row r="5137" spans="1:13" hidden="1" x14ac:dyDescent="0.25">
      <c r="A5137" s="354">
        <v>43983</v>
      </c>
      <c r="B5137" s="353" t="s">
        <v>2521</v>
      </c>
      <c r="C5137" s="353" t="s">
        <v>769</v>
      </c>
      <c r="D5137" s="355">
        <v>1</v>
      </c>
      <c r="E5137" s="356">
        <v>1588.7</v>
      </c>
      <c r="F5137" s="356">
        <v>-33864.81</v>
      </c>
      <c r="G5137" s="353" t="s">
        <v>2524</v>
      </c>
      <c r="H5137" s="353" t="s">
        <v>2523</v>
      </c>
      <c r="I5137" s="353" t="s">
        <v>2440</v>
      </c>
      <c r="J5137" s="353" t="s">
        <v>757</v>
      </c>
      <c r="K5137" s="353" t="s">
        <v>770</v>
      </c>
      <c r="L5137" s="354">
        <v>43983</v>
      </c>
      <c r="M5137" s="357">
        <v>0</v>
      </c>
    </row>
    <row r="5138" spans="1:13" hidden="1" x14ac:dyDescent="0.25">
      <c r="A5138" s="354">
        <v>43983</v>
      </c>
      <c r="B5138" s="353" t="s">
        <v>2525</v>
      </c>
      <c r="C5138" s="353" t="s">
        <v>769</v>
      </c>
      <c r="D5138" s="355">
        <v>1</v>
      </c>
      <c r="E5138" s="356">
        <v>100.52</v>
      </c>
      <c r="F5138" s="356">
        <v>-33764.29</v>
      </c>
      <c r="G5138" s="353" t="s">
        <v>2526</v>
      </c>
      <c r="H5138" s="353" t="s">
        <v>2523</v>
      </c>
      <c r="I5138" s="353" t="s">
        <v>2440</v>
      </c>
      <c r="J5138" s="353" t="s">
        <v>757</v>
      </c>
      <c r="K5138" s="353" t="s">
        <v>770</v>
      </c>
      <c r="L5138" s="354">
        <v>43983</v>
      </c>
      <c r="M5138" s="357">
        <v>0</v>
      </c>
    </row>
    <row r="5139" spans="1:13" hidden="1" x14ac:dyDescent="0.25">
      <c r="A5139" s="354">
        <v>44043</v>
      </c>
      <c r="B5139" s="353" t="s">
        <v>2527</v>
      </c>
      <c r="C5139" s="353" t="s">
        <v>1059</v>
      </c>
      <c r="D5139" s="355">
        <v>1</v>
      </c>
      <c r="E5139" s="356">
        <v>237.54</v>
      </c>
      <c r="F5139" s="356">
        <v>-33526.75</v>
      </c>
      <c r="G5139" s="353" t="s">
        <v>2528</v>
      </c>
      <c r="H5139" s="353" t="s">
        <v>2523</v>
      </c>
      <c r="I5139" s="353" t="s">
        <v>2440</v>
      </c>
      <c r="J5139" s="353" t="s">
        <v>757</v>
      </c>
      <c r="K5139" s="353" t="s">
        <v>741</v>
      </c>
      <c r="L5139" s="354">
        <v>44043</v>
      </c>
      <c r="M5139" s="357">
        <v>0</v>
      </c>
    </row>
    <row r="5140" spans="1:13" hidden="1" x14ac:dyDescent="0.25">
      <c r="A5140" s="354">
        <v>44043</v>
      </c>
      <c r="B5140" s="353" t="s">
        <v>2529</v>
      </c>
      <c r="C5140" s="353" t="s">
        <v>1059</v>
      </c>
      <c r="D5140" s="355">
        <v>1</v>
      </c>
      <c r="E5140" s="356">
        <v>-237.54</v>
      </c>
      <c r="F5140" s="356">
        <v>-33764.29</v>
      </c>
      <c r="G5140" s="353" t="s">
        <v>2528</v>
      </c>
      <c r="H5140" s="353" t="s">
        <v>2523</v>
      </c>
      <c r="I5140" s="353" t="s">
        <v>2440</v>
      </c>
      <c r="J5140" s="353" t="s">
        <v>757</v>
      </c>
      <c r="K5140" s="353" t="s">
        <v>741</v>
      </c>
      <c r="L5140" s="354">
        <v>44043</v>
      </c>
      <c r="M5140" s="357">
        <v>0</v>
      </c>
    </row>
    <row r="5141" spans="1:13" hidden="1" x14ac:dyDescent="0.25">
      <c r="A5141" s="354">
        <v>44043</v>
      </c>
      <c r="B5141" s="353" t="s">
        <v>2530</v>
      </c>
      <c r="C5141" s="353" t="s">
        <v>1059</v>
      </c>
      <c r="D5141" s="355">
        <v>1</v>
      </c>
      <c r="E5141" s="356">
        <v>139.71</v>
      </c>
      <c r="F5141" s="356">
        <v>-33624.58</v>
      </c>
      <c r="G5141" s="353" t="s">
        <v>2528</v>
      </c>
      <c r="H5141" s="353" t="s">
        <v>2523</v>
      </c>
      <c r="I5141" s="353" t="s">
        <v>2440</v>
      </c>
      <c r="J5141" s="353" t="s">
        <v>757</v>
      </c>
      <c r="K5141" s="353" t="s">
        <v>741</v>
      </c>
      <c r="L5141" s="354">
        <v>44043</v>
      </c>
      <c r="M5141" s="357">
        <v>0</v>
      </c>
    </row>
    <row r="5142" spans="1:13" hidden="1" x14ac:dyDescent="0.25">
      <c r="A5142" s="354">
        <v>44013</v>
      </c>
      <c r="B5142" s="353" t="s">
        <v>2531</v>
      </c>
      <c r="C5142" s="353" t="s">
        <v>769</v>
      </c>
      <c r="D5142" s="355">
        <v>2</v>
      </c>
      <c r="E5142" s="356">
        <v>68.069999999999993</v>
      </c>
      <c r="F5142" s="356">
        <v>-33556.51</v>
      </c>
      <c r="G5142" s="353" t="s">
        <v>2532</v>
      </c>
      <c r="H5142" s="353" t="s">
        <v>2523</v>
      </c>
      <c r="I5142" s="353" t="s">
        <v>2440</v>
      </c>
      <c r="J5142" s="353" t="s">
        <v>757</v>
      </c>
      <c r="K5142" s="353" t="s">
        <v>770</v>
      </c>
      <c r="L5142" s="354">
        <v>44013</v>
      </c>
      <c r="M5142" s="357">
        <v>0</v>
      </c>
    </row>
    <row r="5143" spans="1:13" hidden="1" x14ac:dyDescent="0.25">
      <c r="A5143" s="354">
        <v>44013</v>
      </c>
      <c r="B5143" s="353" t="s">
        <v>2533</v>
      </c>
      <c r="C5143" s="353" t="s">
        <v>769</v>
      </c>
      <c r="D5143" s="355">
        <v>2</v>
      </c>
      <c r="E5143" s="356">
        <v>1588.7</v>
      </c>
      <c r="F5143" s="356">
        <v>-31967.81</v>
      </c>
      <c r="G5143" s="353" t="s">
        <v>2534</v>
      </c>
      <c r="H5143" s="353" t="s">
        <v>2523</v>
      </c>
      <c r="I5143" s="353" t="s">
        <v>2440</v>
      </c>
      <c r="J5143" s="353" t="s">
        <v>757</v>
      </c>
      <c r="K5143" s="353" t="s">
        <v>770</v>
      </c>
      <c r="L5143" s="354">
        <v>44013</v>
      </c>
      <c r="M5143" s="357">
        <v>0</v>
      </c>
    </row>
    <row r="5144" spans="1:13" hidden="1" x14ac:dyDescent="0.25">
      <c r="A5144" s="354">
        <v>44013</v>
      </c>
      <c r="B5144" s="353" t="s">
        <v>2533</v>
      </c>
      <c r="C5144" s="353" t="s">
        <v>769</v>
      </c>
      <c r="D5144" s="355">
        <v>2</v>
      </c>
      <c r="E5144" s="356">
        <v>30.32</v>
      </c>
      <c r="F5144" s="356">
        <v>-31937.49</v>
      </c>
      <c r="G5144" s="353" t="s">
        <v>2535</v>
      </c>
      <c r="H5144" s="353" t="s">
        <v>2523</v>
      </c>
      <c r="I5144" s="353" t="s">
        <v>2440</v>
      </c>
      <c r="J5144" s="353" t="s">
        <v>757</v>
      </c>
      <c r="K5144" s="353" t="s">
        <v>770</v>
      </c>
      <c r="L5144" s="354">
        <v>44013</v>
      </c>
      <c r="M5144" s="357">
        <v>0</v>
      </c>
    </row>
    <row r="5145" spans="1:13" hidden="1" x14ac:dyDescent="0.25">
      <c r="A5145" s="354">
        <v>44044</v>
      </c>
      <c r="B5145" s="353" t="s">
        <v>2536</v>
      </c>
      <c r="C5145" s="353" t="s">
        <v>769</v>
      </c>
      <c r="D5145" s="355">
        <v>3</v>
      </c>
      <c r="E5145" s="356">
        <v>1588.7</v>
      </c>
      <c r="F5145" s="356">
        <v>-30348.79</v>
      </c>
      <c r="G5145" s="353" t="s">
        <v>2537</v>
      </c>
      <c r="H5145" s="353" t="s">
        <v>2523</v>
      </c>
      <c r="I5145" s="353" t="s">
        <v>2440</v>
      </c>
      <c r="J5145" s="353" t="s">
        <v>757</v>
      </c>
      <c r="K5145" s="353" t="s">
        <v>770</v>
      </c>
      <c r="L5145" s="354">
        <v>44044</v>
      </c>
      <c r="M5145" s="357">
        <v>0</v>
      </c>
    </row>
    <row r="5146" spans="1:13" hidden="1" x14ac:dyDescent="0.25">
      <c r="A5146" s="354">
        <v>44044</v>
      </c>
      <c r="B5146" s="353" t="s">
        <v>2536</v>
      </c>
      <c r="C5146" s="353" t="s">
        <v>769</v>
      </c>
      <c r="D5146" s="355">
        <v>3</v>
      </c>
      <c r="E5146" s="356">
        <v>30.32</v>
      </c>
      <c r="F5146" s="356">
        <v>-30318.47</v>
      </c>
      <c r="G5146" s="353" t="s">
        <v>2537</v>
      </c>
      <c r="H5146" s="353" t="s">
        <v>2523</v>
      </c>
      <c r="I5146" s="353" t="s">
        <v>2440</v>
      </c>
      <c r="J5146" s="353" t="s">
        <v>757</v>
      </c>
      <c r="K5146" s="353" t="s">
        <v>770</v>
      </c>
      <c r="L5146" s="354">
        <v>44044</v>
      </c>
      <c r="M5146" s="357">
        <v>0</v>
      </c>
    </row>
    <row r="5147" spans="1:13" hidden="1" x14ac:dyDescent="0.25">
      <c r="A5147" s="354">
        <v>44044</v>
      </c>
      <c r="B5147" s="353" t="s">
        <v>2538</v>
      </c>
      <c r="C5147" s="353" t="s">
        <v>769</v>
      </c>
      <c r="D5147" s="355">
        <v>3</v>
      </c>
      <c r="E5147" s="356">
        <v>100.52</v>
      </c>
      <c r="F5147" s="356">
        <v>-30217.95</v>
      </c>
      <c r="G5147" s="353" t="s">
        <v>2539</v>
      </c>
      <c r="H5147" s="353" t="s">
        <v>2523</v>
      </c>
      <c r="I5147" s="353" t="s">
        <v>2440</v>
      </c>
      <c r="J5147" s="353" t="s">
        <v>757</v>
      </c>
      <c r="K5147" s="353" t="s">
        <v>770</v>
      </c>
      <c r="L5147" s="354">
        <v>44044</v>
      </c>
      <c r="M5147" s="357">
        <v>0</v>
      </c>
    </row>
    <row r="5148" spans="1:13" hidden="1" x14ac:dyDescent="0.25">
      <c r="A5148" s="354">
        <v>44075</v>
      </c>
      <c r="B5148" s="353" t="s">
        <v>2540</v>
      </c>
      <c r="C5148" s="353" t="s">
        <v>769</v>
      </c>
      <c r="D5148" s="355">
        <v>4</v>
      </c>
      <c r="E5148" s="356">
        <v>68.069999999999993</v>
      </c>
      <c r="F5148" s="356">
        <v>-30149.88</v>
      </c>
      <c r="G5148" s="353" t="s">
        <v>2541</v>
      </c>
      <c r="H5148" s="353" t="s">
        <v>2523</v>
      </c>
      <c r="I5148" s="353" t="s">
        <v>2440</v>
      </c>
      <c r="J5148" s="353" t="s">
        <v>757</v>
      </c>
      <c r="K5148" s="353" t="s">
        <v>770</v>
      </c>
      <c r="L5148" s="354">
        <v>44075</v>
      </c>
      <c r="M5148" s="357">
        <v>0</v>
      </c>
    </row>
    <row r="5149" spans="1:13" hidden="1" x14ac:dyDescent="0.25">
      <c r="A5149" s="354">
        <v>44075</v>
      </c>
      <c r="B5149" s="353" t="s">
        <v>2542</v>
      </c>
      <c r="C5149" s="353" t="s">
        <v>769</v>
      </c>
      <c r="D5149" s="355">
        <v>4</v>
      </c>
      <c r="E5149" s="356">
        <v>1588.7</v>
      </c>
      <c r="F5149" s="356">
        <v>-28561.18</v>
      </c>
      <c r="G5149" s="353" t="s">
        <v>2543</v>
      </c>
      <c r="H5149" s="353" t="s">
        <v>2523</v>
      </c>
      <c r="I5149" s="353" t="s">
        <v>2440</v>
      </c>
      <c r="J5149" s="353" t="s">
        <v>757</v>
      </c>
      <c r="K5149" s="353" t="s">
        <v>770</v>
      </c>
      <c r="L5149" s="354">
        <v>44075</v>
      </c>
      <c r="M5149" s="357">
        <v>0</v>
      </c>
    </row>
    <row r="5150" spans="1:13" hidden="1" x14ac:dyDescent="0.25">
      <c r="A5150" s="354">
        <v>44075</v>
      </c>
      <c r="B5150" s="353" t="s">
        <v>2542</v>
      </c>
      <c r="C5150" s="353" t="s">
        <v>769</v>
      </c>
      <c r="D5150" s="355">
        <v>4</v>
      </c>
      <c r="E5150" s="356">
        <v>30.32</v>
      </c>
      <c r="F5150" s="356">
        <v>-28530.86</v>
      </c>
      <c r="G5150" s="353" t="s">
        <v>2543</v>
      </c>
      <c r="H5150" s="353" t="s">
        <v>2523</v>
      </c>
      <c r="I5150" s="353" t="s">
        <v>2440</v>
      </c>
      <c r="J5150" s="353" t="s">
        <v>757</v>
      </c>
      <c r="K5150" s="353" t="s">
        <v>770</v>
      </c>
      <c r="L5150" s="354">
        <v>44075</v>
      </c>
      <c r="M5150" s="357">
        <v>0</v>
      </c>
    </row>
    <row r="5151" spans="1:13" hidden="1" x14ac:dyDescent="0.25">
      <c r="A5151" s="354">
        <v>44105</v>
      </c>
      <c r="B5151" s="353" t="s">
        <v>2544</v>
      </c>
      <c r="C5151" s="353" t="s">
        <v>769</v>
      </c>
      <c r="D5151" s="355">
        <v>5</v>
      </c>
      <c r="E5151" s="356">
        <v>24.52</v>
      </c>
      <c r="F5151" s="356">
        <v>-28506.34</v>
      </c>
      <c r="G5151" s="353" t="s">
        <v>2545</v>
      </c>
      <c r="H5151" s="353" t="s">
        <v>2523</v>
      </c>
      <c r="I5151" s="353" t="s">
        <v>2440</v>
      </c>
      <c r="J5151" s="353" t="s">
        <v>757</v>
      </c>
      <c r="K5151" s="353" t="s">
        <v>770</v>
      </c>
      <c r="L5151" s="354">
        <v>44105</v>
      </c>
      <c r="M5151" s="357">
        <v>0</v>
      </c>
    </row>
    <row r="5152" spans="1:13" hidden="1" x14ac:dyDescent="0.25">
      <c r="A5152" s="354">
        <v>44105</v>
      </c>
      <c r="B5152" s="353" t="s">
        <v>2544</v>
      </c>
      <c r="C5152" s="353" t="s">
        <v>769</v>
      </c>
      <c r="D5152" s="355">
        <v>5</v>
      </c>
      <c r="E5152" s="356">
        <v>55.41</v>
      </c>
      <c r="F5152" s="356">
        <v>-28450.93</v>
      </c>
      <c r="G5152" s="353" t="s">
        <v>2546</v>
      </c>
      <c r="H5152" s="353" t="s">
        <v>2523</v>
      </c>
      <c r="I5152" s="353" t="s">
        <v>2440</v>
      </c>
      <c r="J5152" s="353" t="s">
        <v>757</v>
      </c>
      <c r="K5152" s="353" t="s">
        <v>770</v>
      </c>
      <c r="L5152" s="354">
        <v>44105</v>
      </c>
      <c r="M5152" s="357">
        <v>0</v>
      </c>
    </row>
    <row r="5153" spans="1:13" hidden="1" x14ac:dyDescent="0.25">
      <c r="A5153" s="354">
        <v>44105</v>
      </c>
      <c r="B5153" s="353" t="s">
        <v>2544</v>
      </c>
      <c r="C5153" s="353" t="s">
        <v>769</v>
      </c>
      <c r="D5153" s="355">
        <v>5</v>
      </c>
      <c r="E5153" s="356">
        <v>293.36</v>
      </c>
      <c r="F5153" s="356">
        <v>-28157.57</v>
      </c>
      <c r="G5153" s="353" t="s">
        <v>2547</v>
      </c>
      <c r="H5153" s="353" t="s">
        <v>2523</v>
      </c>
      <c r="I5153" s="353" t="s">
        <v>2440</v>
      </c>
      <c r="J5153" s="353" t="s">
        <v>757</v>
      </c>
      <c r="K5153" s="353" t="s">
        <v>770</v>
      </c>
      <c r="L5153" s="354">
        <v>44105</v>
      </c>
      <c r="M5153" s="357">
        <v>0</v>
      </c>
    </row>
    <row r="5154" spans="1:13" hidden="1" x14ac:dyDescent="0.25">
      <c r="A5154" s="354">
        <v>44105</v>
      </c>
      <c r="B5154" s="353" t="s">
        <v>2544</v>
      </c>
      <c r="C5154" s="353" t="s">
        <v>769</v>
      </c>
      <c r="D5154" s="355">
        <v>5</v>
      </c>
      <c r="E5154" s="356">
        <v>1239.93</v>
      </c>
      <c r="F5154" s="356">
        <v>-26917.64</v>
      </c>
      <c r="G5154" s="353" t="s">
        <v>2548</v>
      </c>
      <c r="H5154" s="353" t="s">
        <v>2523</v>
      </c>
      <c r="I5154" s="353" t="s">
        <v>2440</v>
      </c>
      <c r="J5154" s="353" t="s">
        <v>757</v>
      </c>
      <c r="K5154" s="353" t="s">
        <v>770</v>
      </c>
      <c r="L5154" s="354">
        <v>44105</v>
      </c>
      <c r="M5154" s="357">
        <v>0</v>
      </c>
    </row>
    <row r="5155" spans="1:13" hidden="1" x14ac:dyDescent="0.25">
      <c r="A5155" s="354">
        <v>44105</v>
      </c>
      <c r="B5155" s="353" t="s">
        <v>2549</v>
      </c>
      <c r="C5155" s="353" t="s">
        <v>769</v>
      </c>
      <c r="D5155" s="355">
        <v>5</v>
      </c>
      <c r="E5155" s="356">
        <v>13.03</v>
      </c>
      <c r="F5155" s="356">
        <v>-26904.61</v>
      </c>
      <c r="G5155" s="353" t="s">
        <v>2550</v>
      </c>
      <c r="H5155" s="353" t="s">
        <v>2523</v>
      </c>
      <c r="I5155" s="353" t="s">
        <v>2440</v>
      </c>
      <c r="J5155" s="353" t="s">
        <v>757</v>
      </c>
      <c r="K5155" s="353" t="s">
        <v>770</v>
      </c>
      <c r="L5155" s="354">
        <v>44105</v>
      </c>
      <c r="M5155" s="357">
        <v>0</v>
      </c>
    </row>
    <row r="5156" spans="1:13" hidden="1" x14ac:dyDescent="0.25">
      <c r="A5156" s="354">
        <v>44105</v>
      </c>
      <c r="B5156" s="353" t="s">
        <v>2549</v>
      </c>
      <c r="C5156" s="353" t="s">
        <v>769</v>
      </c>
      <c r="D5156" s="355">
        <v>5</v>
      </c>
      <c r="E5156" s="356">
        <v>55.05</v>
      </c>
      <c r="F5156" s="356">
        <v>-26849.56</v>
      </c>
      <c r="G5156" s="353" t="s">
        <v>2551</v>
      </c>
      <c r="H5156" s="353" t="s">
        <v>2523</v>
      </c>
      <c r="I5156" s="353" t="s">
        <v>2440</v>
      </c>
      <c r="J5156" s="353" t="s">
        <v>757</v>
      </c>
      <c r="K5156" s="353" t="s">
        <v>770</v>
      </c>
      <c r="L5156" s="354">
        <v>44105</v>
      </c>
      <c r="M5156" s="357">
        <v>0</v>
      </c>
    </row>
    <row r="5157" spans="1:13" hidden="1" x14ac:dyDescent="0.25">
      <c r="A5157" s="354">
        <v>44105</v>
      </c>
      <c r="B5157" s="353" t="s">
        <v>2544</v>
      </c>
      <c r="C5157" s="353" t="s">
        <v>769</v>
      </c>
      <c r="D5157" s="355">
        <v>5</v>
      </c>
      <c r="E5157" s="356">
        <v>5.8</v>
      </c>
      <c r="F5157" s="356">
        <v>-26843.759999999998</v>
      </c>
      <c r="G5157" s="353" t="s">
        <v>2550</v>
      </c>
      <c r="H5157" s="353" t="s">
        <v>2523</v>
      </c>
      <c r="I5157" s="353" t="s">
        <v>2440</v>
      </c>
      <c r="J5157" s="353" t="s">
        <v>757</v>
      </c>
      <c r="K5157" s="353" t="s">
        <v>770</v>
      </c>
      <c r="L5157" s="354">
        <v>44105</v>
      </c>
      <c r="M5157" s="357">
        <v>0</v>
      </c>
    </row>
    <row r="5158" spans="1:13" hidden="1" x14ac:dyDescent="0.25">
      <c r="A5158" s="354">
        <v>44136</v>
      </c>
      <c r="B5158" s="353" t="s">
        <v>2552</v>
      </c>
      <c r="C5158" s="353" t="s">
        <v>769</v>
      </c>
      <c r="D5158" s="355">
        <v>6</v>
      </c>
      <c r="E5158" s="356">
        <v>68.069999999999993</v>
      </c>
      <c r="F5158" s="356">
        <v>-26775.69</v>
      </c>
      <c r="G5158" s="353" t="s">
        <v>2553</v>
      </c>
      <c r="H5158" s="353" t="s">
        <v>2523</v>
      </c>
      <c r="I5158" s="353" t="s">
        <v>2440</v>
      </c>
      <c r="J5158" s="353" t="s">
        <v>757</v>
      </c>
      <c r="K5158" s="353" t="s">
        <v>770</v>
      </c>
      <c r="L5158" s="354">
        <v>44136</v>
      </c>
      <c r="M5158" s="357">
        <v>0</v>
      </c>
    </row>
    <row r="5159" spans="1:13" hidden="1" x14ac:dyDescent="0.25">
      <c r="A5159" s="354">
        <v>44136</v>
      </c>
      <c r="B5159" s="353" t="s">
        <v>2554</v>
      </c>
      <c r="C5159" s="353" t="s">
        <v>769</v>
      </c>
      <c r="D5159" s="355">
        <v>6</v>
      </c>
      <c r="E5159" s="356">
        <v>1588.7</v>
      </c>
      <c r="F5159" s="356">
        <v>-25186.99</v>
      </c>
      <c r="G5159" s="353" t="s">
        <v>2555</v>
      </c>
      <c r="H5159" s="353" t="s">
        <v>2523</v>
      </c>
      <c r="I5159" s="353" t="s">
        <v>2440</v>
      </c>
      <c r="J5159" s="353" t="s">
        <v>757</v>
      </c>
      <c r="K5159" s="353" t="s">
        <v>770</v>
      </c>
      <c r="L5159" s="354">
        <v>44136</v>
      </c>
      <c r="M5159" s="357">
        <v>0</v>
      </c>
    </row>
    <row r="5160" spans="1:13" hidden="1" x14ac:dyDescent="0.25">
      <c r="A5160" s="354">
        <v>44136</v>
      </c>
      <c r="B5160" s="353" t="s">
        <v>2554</v>
      </c>
      <c r="C5160" s="353" t="s">
        <v>769</v>
      </c>
      <c r="D5160" s="355">
        <v>6</v>
      </c>
      <c r="E5160" s="356">
        <v>30.32</v>
      </c>
      <c r="F5160" s="356">
        <v>-25156.67</v>
      </c>
      <c r="G5160" s="353" t="s">
        <v>2555</v>
      </c>
      <c r="H5160" s="353" t="s">
        <v>2523</v>
      </c>
      <c r="I5160" s="353" t="s">
        <v>2440</v>
      </c>
      <c r="J5160" s="353" t="s">
        <v>757</v>
      </c>
      <c r="K5160" s="353" t="s">
        <v>770</v>
      </c>
      <c r="L5160" s="354">
        <v>44136</v>
      </c>
      <c r="M5160" s="357">
        <v>0</v>
      </c>
    </row>
    <row r="5161" spans="1:13" hidden="1" x14ac:dyDescent="0.25">
      <c r="A5161" s="354">
        <v>44167</v>
      </c>
      <c r="B5161" s="353" t="s">
        <v>2556</v>
      </c>
      <c r="C5161" s="353" t="s">
        <v>769</v>
      </c>
      <c r="D5161" s="355">
        <v>7</v>
      </c>
      <c r="E5161" s="356">
        <v>95.3</v>
      </c>
      <c r="F5161" s="356">
        <v>-25061.37</v>
      </c>
      <c r="G5161" s="353" t="s">
        <v>2557</v>
      </c>
      <c r="H5161" s="353" t="s">
        <v>2523</v>
      </c>
      <c r="I5161" s="353" t="s">
        <v>2440</v>
      </c>
      <c r="J5161" s="353" t="s">
        <v>757</v>
      </c>
      <c r="K5161" s="353" t="s">
        <v>770</v>
      </c>
      <c r="L5161" s="354">
        <v>44167</v>
      </c>
      <c r="M5161" s="357">
        <v>0</v>
      </c>
    </row>
    <row r="5162" spans="1:13" hidden="1" x14ac:dyDescent="0.25">
      <c r="A5162" s="354">
        <v>44167</v>
      </c>
      <c r="B5162" s="353" t="s">
        <v>2556</v>
      </c>
      <c r="C5162" s="353" t="s">
        <v>769</v>
      </c>
      <c r="D5162" s="355">
        <v>7</v>
      </c>
      <c r="E5162" s="356">
        <v>13.02</v>
      </c>
      <c r="F5162" s="356">
        <v>-25048.35</v>
      </c>
      <c r="G5162" s="353" t="s">
        <v>2558</v>
      </c>
      <c r="H5162" s="353" t="s">
        <v>2523</v>
      </c>
      <c r="I5162" s="353" t="s">
        <v>2440</v>
      </c>
      <c r="J5162" s="353" t="s">
        <v>757</v>
      </c>
      <c r="K5162" s="353" t="s">
        <v>770</v>
      </c>
      <c r="L5162" s="354">
        <v>44167</v>
      </c>
      <c r="M5162" s="357">
        <v>0</v>
      </c>
    </row>
    <row r="5163" spans="1:13" hidden="1" x14ac:dyDescent="0.25">
      <c r="A5163" s="354">
        <v>44167</v>
      </c>
      <c r="B5163" s="353" t="s">
        <v>2559</v>
      </c>
      <c r="C5163" s="353" t="s">
        <v>769</v>
      </c>
      <c r="D5163" s="355">
        <v>7</v>
      </c>
      <c r="E5163" s="356">
        <v>1525.55</v>
      </c>
      <c r="F5163" s="356">
        <v>-23522.799999999999</v>
      </c>
      <c r="G5163" s="353" t="s">
        <v>2560</v>
      </c>
      <c r="H5163" s="353" t="s">
        <v>2523</v>
      </c>
      <c r="I5163" s="353" t="s">
        <v>2440</v>
      </c>
      <c r="J5163" s="353" t="s">
        <v>757</v>
      </c>
      <c r="K5163" s="353" t="s">
        <v>770</v>
      </c>
      <c r="L5163" s="354">
        <v>44167</v>
      </c>
      <c r="M5163" s="357">
        <v>0</v>
      </c>
    </row>
    <row r="5164" spans="1:13" hidden="1" x14ac:dyDescent="0.25">
      <c r="A5164" s="354">
        <v>44167</v>
      </c>
      <c r="B5164" s="353" t="s">
        <v>2559</v>
      </c>
      <c r="C5164" s="353" t="s">
        <v>769</v>
      </c>
      <c r="D5164" s="355">
        <v>7</v>
      </c>
      <c r="E5164" s="356">
        <v>48.24</v>
      </c>
      <c r="F5164" s="356">
        <v>-23474.560000000001</v>
      </c>
      <c r="G5164" s="353" t="s">
        <v>2560</v>
      </c>
      <c r="H5164" s="353" t="s">
        <v>2523</v>
      </c>
      <c r="I5164" s="353" t="s">
        <v>2440</v>
      </c>
      <c r="J5164" s="353" t="s">
        <v>757</v>
      </c>
      <c r="K5164" s="353" t="s">
        <v>770</v>
      </c>
      <c r="L5164" s="354">
        <v>44167</v>
      </c>
      <c r="M5164" s="357">
        <v>0</v>
      </c>
    </row>
    <row r="5165" spans="1:13" hidden="1" x14ac:dyDescent="0.25">
      <c r="A5165" s="354">
        <v>44198</v>
      </c>
      <c r="B5165" s="353" t="s">
        <v>2561</v>
      </c>
      <c r="C5165" s="353" t="s">
        <v>769</v>
      </c>
      <c r="D5165" s="355">
        <v>8</v>
      </c>
      <c r="E5165" s="356">
        <v>32.880000000000003</v>
      </c>
      <c r="F5165" s="356">
        <v>-23441.68</v>
      </c>
      <c r="G5165" s="353" t="s">
        <v>2562</v>
      </c>
      <c r="H5165" s="353" t="s">
        <v>2523</v>
      </c>
      <c r="I5165" s="353" t="s">
        <v>2440</v>
      </c>
      <c r="J5165" s="353" t="s">
        <v>757</v>
      </c>
      <c r="K5165" s="353" t="s">
        <v>770</v>
      </c>
      <c r="L5165" s="354">
        <v>44198</v>
      </c>
      <c r="M5165" s="357">
        <v>0</v>
      </c>
    </row>
    <row r="5166" spans="1:13" hidden="1" x14ac:dyDescent="0.25">
      <c r="A5166" s="354">
        <v>44198</v>
      </c>
      <c r="B5166" s="353" t="s">
        <v>2561</v>
      </c>
      <c r="C5166" s="353" t="s">
        <v>769</v>
      </c>
      <c r="D5166" s="355">
        <v>8</v>
      </c>
      <c r="E5166" s="356">
        <v>1579.68</v>
      </c>
      <c r="F5166" s="356">
        <v>-21862</v>
      </c>
      <c r="G5166" s="353" t="s">
        <v>2563</v>
      </c>
      <c r="H5166" s="353" t="s">
        <v>2523</v>
      </c>
      <c r="I5166" s="353" t="s">
        <v>2440</v>
      </c>
      <c r="J5166" s="353" t="s">
        <v>757</v>
      </c>
      <c r="K5166" s="353" t="s">
        <v>770</v>
      </c>
      <c r="L5166" s="354">
        <v>44198</v>
      </c>
      <c r="M5166" s="357">
        <v>0</v>
      </c>
    </row>
    <row r="5167" spans="1:13" hidden="1" x14ac:dyDescent="0.25">
      <c r="A5167" s="354">
        <v>44198</v>
      </c>
      <c r="B5167" s="353" t="s">
        <v>2564</v>
      </c>
      <c r="C5167" s="353" t="s">
        <v>769</v>
      </c>
      <c r="D5167" s="355">
        <v>8</v>
      </c>
      <c r="E5167" s="356">
        <v>73.819999999999993</v>
      </c>
      <c r="F5167" s="356">
        <v>-21788.18</v>
      </c>
      <c r="G5167" s="353" t="s">
        <v>2565</v>
      </c>
      <c r="H5167" s="353" t="s">
        <v>2523</v>
      </c>
      <c r="I5167" s="353" t="s">
        <v>2440</v>
      </c>
      <c r="J5167" s="353" t="s">
        <v>757</v>
      </c>
      <c r="K5167" s="353" t="s">
        <v>770</v>
      </c>
      <c r="L5167" s="354">
        <v>44198</v>
      </c>
      <c r="M5167" s="357">
        <v>0</v>
      </c>
    </row>
    <row r="5168" spans="1:13" hidden="1" x14ac:dyDescent="0.25">
      <c r="A5168" s="354">
        <v>44226</v>
      </c>
      <c r="B5168" s="353" t="s">
        <v>2566</v>
      </c>
      <c r="C5168" s="353" t="s">
        <v>769</v>
      </c>
      <c r="D5168" s="355">
        <v>9</v>
      </c>
      <c r="E5168" s="356">
        <v>32.880000000000003</v>
      </c>
      <c r="F5168" s="356">
        <v>-21755.3</v>
      </c>
      <c r="G5168" s="353" t="s">
        <v>2567</v>
      </c>
      <c r="H5168" s="353" t="s">
        <v>2523</v>
      </c>
      <c r="I5168" s="353" t="s">
        <v>2440</v>
      </c>
      <c r="J5168" s="353" t="s">
        <v>757</v>
      </c>
      <c r="K5168" s="353" t="s">
        <v>770</v>
      </c>
      <c r="L5168" s="354">
        <v>44226</v>
      </c>
      <c r="M5168" s="357">
        <v>0</v>
      </c>
    </row>
    <row r="5169" spans="1:13" hidden="1" x14ac:dyDescent="0.25">
      <c r="A5169" s="354">
        <v>44226</v>
      </c>
      <c r="B5169" s="353" t="s">
        <v>2566</v>
      </c>
      <c r="C5169" s="353" t="s">
        <v>769</v>
      </c>
      <c r="D5169" s="355">
        <v>9</v>
      </c>
      <c r="E5169" s="356">
        <v>1579.68</v>
      </c>
      <c r="F5169" s="356">
        <v>-20175.62</v>
      </c>
      <c r="G5169" s="353" t="s">
        <v>2568</v>
      </c>
      <c r="H5169" s="353" t="s">
        <v>2523</v>
      </c>
      <c r="I5169" s="353" t="s">
        <v>2440</v>
      </c>
      <c r="J5169" s="353" t="s">
        <v>757</v>
      </c>
      <c r="K5169" s="353" t="s">
        <v>770</v>
      </c>
      <c r="L5169" s="354">
        <v>44226</v>
      </c>
      <c r="M5169" s="357">
        <v>0</v>
      </c>
    </row>
    <row r="5170" spans="1:13" hidden="1" x14ac:dyDescent="0.25">
      <c r="A5170" s="354">
        <v>44226</v>
      </c>
      <c r="B5170" s="353" t="s">
        <v>2569</v>
      </c>
      <c r="C5170" s="353" t="s">
        <v>769</v>
      </c>
      <c r="D5170" s="355">
        <v>9</v>
      </c>
      <c r="E5170" s="356">
        <v>73.819999999999993</v>
      </c>
      <c r="F5170" s="356">
        <v>-20101.8</v>
      </c>
      <c r="G5170" s="353" t="s">
        <v>2570</v>
      </c>
      <c r="H5170" s="353" t="s">
        <v>2523</v>
      </c>
      <c r="I5170" s="353" t="s">
        <v>2440</v>
      </c>
      <c r="J5170" s="353" t="s">
        <v>757</v>
      </c>
      <c r="K5170" s="353" t="s">
        <v>770</v>
      </c>
      <c r="L5170" s="354">
        <v>44226</v>
      </c>
      <c r="M5170" s="357">
        <v>0</v>
      </c>
    </row>
    <row r="5171" spans="1:13" hidden="1" x14ac:dyDescent="0.25">
      <c r="A5171" s="354">
        <v>44257</v>
      </c>
      <c r="B5171" s="353" t="s">
        <v>2571</v>
      </c>
      <c r="C5171" s="353" t="s">
        <v>769</v>
      </c>
      <c r="D5171" s="355">
        <v>10</v>
      </c>
      <c r="E5171" s="356">
        <v>32.880000000000003</v>
      </c>
      <c r="F5171" s="356">
        <v>-20068.919999999998</v>
      </c>
      <c r="G5171" s="353" t="s">
        <v>2572</v>
      </c>
      <c r="H5171" s="353" t="s">
        <v>2523</v>
      </c>
      <c r="I5171" s="353" t="s">
        <v>2440</v>
      </c>
      <c r="J5171" s="353" t="s">
        <v>757</v>
      </c>
      <c r="K5171" s="353" t="s">
        <v>770</v>
      </c>
      <c r="L5171" s="354">
        <v>44257</v>
      </c>
      <c r="M5171" s="357">
        <v>0</v>
      </c>
    </row>
    <row r="5172" spans="1:13" hidden="1" x14ac:dyDescent="0.25">
      <c r="A5172" s="354">
        <v>44257</v>
      </c>
      <c r="B5172" s="353" t="s">
        <v>2571</v>
      </c>
      <c r="C5172" s="353" t="s">
        <v>769</v>
      </c>
      <c r="D5172" s="355">
        <v>10</v>
      </c>
      <c r="E5172" s="356">
        <v>1579.68</v>
      </c>
      <c r="F5172" s="356">
        <v>-18489.240000000002</v>
      </c>
      <c r="G5172" s="353" t="s">
        <v>2572</v>
      </c>
      <c r="H5172" s="353" t="s">
        <v>2523</v>
      </c>
      <c r="I5172" s="353" t="s">
        <v>2440</v>
      </c>
      <c r="J5172" s="353" t="s">
        <v>757</v>
      </c>
      <c r="K5172" s="353" t="s">
        <v>770</v>
      </c>
      <c r="L5172" s="354">
        <v>44257</v>
      </c>
      <c r="M5172" s="357">
        <v>0</v>
      </c>
    </row>
    <row r="5173" spans="1:13" hidden="1" x14ac:dyDescent="0.25">
      <c r="A5173" s="354">
        <v>44257</v>
      </c>
      <c r="B5173" s="353" t="s">
        <v>2573</v>
      </c>
      <c r="C5173" s="353" t="s">
        <v>769</v>
      </c>
      <c r="D5173" s="355">
        <v>10</v>
      </c>
      <c r="E5173" s="356">
        <v>73.819999999999993</v>
      </c>
      <c r="F5173" s="356">
        <v>-18415.419999999998</v>
      </c>
      <c r="G5173" s="353" t="s">
        <v>2574</v>
      </c>
      <c r="H5173" s="353" t="s">
        <v>2523</v>
      </c>
      <c r="I5173" s="353" t="s">
        <v>2440</v>
      </c>
      <c r="J5173" s="353" t="s">
        <v>757</v>
      </c>
      <c r="K5173" s="353" t="s">
        <v>770</v>
      </c>
      <c r="L5173" s="354">
        <v>44257</v>
      </c>
      <c r="M5173" s="357">
        <v>0</v>
      </c>
    </row>
    <row r="5174" spans="1:13" hidden="1" x14ac:dyDescent="0.25">
      <c r="A5174" s="354">
        <v>43983</v>
      </c>
      <c r="B5174" s="353" t="s">
        <v>2521</v>
      </c>
      <c r="C5174" s="353" t="s">
        <v>769</v>
      </c>
      <c r="D5174" s="355">
        <v>1</v>
      </c>
      <c r="E5174" s="356">
        <v>2556.44</v>
      </c>
      <c r="F5174" s="356">
        <v>-14172.6</v>
      </c>
      <c r="G5174" s="353" t="s">
        <v>2575</v>
      </c>
      <c r="H5174" s="353" t="s">
        <v>2576</v>
      </c>
      <c r="I5174" s="353" t="s">
        <v>2440</v>
      </c>
      <c r="J5174" s="353" t="s">
        <v>757</v>
      </c>
      <c r="K5174" s="353" t="s">
        <v>770</v>
      </c>
      <c r="L5174" s="354">
        <v>43983</v>
      </c>
      <c r="M5174" s="357">
        <v>0</v>
      </c>
    </row>
    <row r="5175" spans="1:13" hidden="1" x14ac:dyDescent="0.25">
      <c r="A5175" s="354">
        <v>43983</v>
      </c>
      <c r="B5175" s="353" t="s">
        <v>2521</v>
      </c>
      <c r="C5175" s="353" t="s">
        <v>769</v>
      </c>
      <c r="D5175" s="355">
        <v>1</v>
      </c>
      <c r="E5175" s="356">
        <v>-237.54</v>
      </c>
      <c r="F5175" s="356">
        <v>-14410.14</v>
      </c>
      <c r="G5175" s="353" t="s">
        <v>2522</v>
      </c>
      <c r="H5175" s="353" t="s">
        <v>2576</v>
      </c>
      <c r="I5175" s="353" t="s">
        <v>2440</v>
      </c>
      <c r="J5175" s="353" t="s">
        <v>757</v>
      </c>
      <c r="K5175" s="353" t="s">
        <v>770</v>
      </c>
      <c r="L5175" s="354">
        <v>43983</v>
      </c>
      <c r="M5175" s="357">
        <v>0</v>
      </c>
    </row>
    <row r="5176" spans="1:13" hidden="1" x14ac:dyDescent="0.25">
      <c r="A5176" s="354">
        <v>44043</v>
      </c>
      <c r="B5176" s="353" t="s">
        <v>2527</v>
      </c>
      <c r="C5176" s="353" t="s">
        <v>1059</v>
      </c>
      <c r="D5176" s="355">
        <v>1</v>
      </c>
      <c r="E5176" s="356">
        <v>139.71</v>
      </c>
      <c r="F5176" s="356">
        <v>-14270.43</v>
      </c>
      <c r="G5176" s="353" t="s">
        <v>2528</v>
      </c>
      <c r="H5176" s="353" t="s">
        <v>2576</v>
      </c>
      <c r="I5176" s="353" t="s">
        <v>2440</v>
      </c>
      <c r="J5176" s="353" t="s">
        <v>757</v>
      </c>
      <c r="K5176" s="353" t="s">
        <v>741</v>
      </c>
      <c r="L5176" s="354">
        <v>44043</v>
      </c>
      <c r="M5176" s="357">
        <v>0</v>
      </c>
    </row>
    <row r="5177" spans="1:13" hidden="1" x14ac:dyDescent="0.25">
      <c r="A5177" s="354">
        <v>44043</v>
      </c>
      <c r="B5177" s="353" t="s">
        <v>2529</v>
      </c>
      <c r="C5177" s="353" t="s">
        <v>1059</v>
      </c>
      <c r="D5177" s="355">
        <v>1</v>
      </c>
      <c r="E5177" s="356">
        <v>-139.71</v>
      </c>
      <c r="F5177" s="356">
        <v>-14410.14</v>
      </c>
      <c r="G5177" s="353" t="s">
        <v>2528</v>
      </c>
      <c r="H5177" s="353" t="s">
        <v>2576</v>
      </c>
      <c r="I5177" s="353" t="s">
        <v>2440</v>
      </c>
      <c r="J5177" s="353" t="s">
        <v>757</v>
      </c>
      <c r="K5177" s="353" t="s">
        <v>741</v>
      </c>
      <c r="L5177" s="354">
        <v>44043</v>
      </c>
      <c r="M5177" s="357">
        <v>0</v>
      </c>
    </row>
    <row r="5178" spans="1:13" hidden="1" x14ac:dyDescent="0.25">
      <c r="A5178" s="354">
        <v>44043</v>
      </c>
      <c r="B5178" s="353" t="s">
        <v>2530</v>
      </c>
      <c r="C5178" s="353" t="s">
        <v>1059</v>
      </c>
      <c r="D5178" s="355">
        <v>1</v>
      </c>
      <c r="E5178" s="356">
        <v>237.54</v>
      </c>
      <c r="F5178" s="356">
        <v>-14172.6</v>
      </c>
      <c r="G5178" s="353" t="s">
        <v>2528</v>
      </c>
      <c r="H5178" s="353" t="s">
        <v>2576</v>
      </c>
      <c r="I5178" s="353" t="s">
        <v>2440</v>
      </c>
      <c r="J5178" s="353" t="s">
        <v>757</v>
      </c>
      <c r="K5178" s="353" t="s">
        <v>741</v>
      </c>
      <c r="L5178" s="354">
        <v>44043</v>
      </c>
      <c r="M5178" s="357">
        <v>0</v>
      </c>
    </row>
    <row r="5179" spans="1:13" hidden="1" x14ac:dyDescent="0.25">
      <c r="A5179" s="354">
        <v>44013</v>
      </c>
      <c r="B5179" s="353" t="s">
        <v>2533</v>
      </c>
      <c r="C5179" s="353" t="s">
        <v>769</v>
      </c>
      <c r="D5179" s="355">
        <v>2</v>
      </c>
      <c r="E5179" s="356">
        <v>2556.44</v>
      </c>
      <c r="F5179" s="356">
        <v>-11616.16</v>
      </c>
      <c r="G5179" s="353" t="s">
        <v>2534</v>
      </c>
      <c r="H5179" s="353" t="s">
        <v>2576</v>
      </c>
      <c r="I5179" s="353" t="s">
        <v>2440</v>
      </c>
      <c r="J5179" s="353" t="s">
        <v>757</v>
      </c>
      <c r="K5179" s="353" t="s">
        <v>770</v>
      </c>
      <c r="L5179" s="354">
        <v>44013</v>
      </c>
      <c r="M5179" s="357">
        <v>0</v>
      </c>
    </row>
    <row r="5180" spans="1:13" hidden="1" x14ac:dyDescent="0.25">
      <c r="A5180" s="354">
        <v>44044</v>
      </c>
      <c r="B5180" s="353" t="s">
        <v>2536</v>
      </c>
      <c r="C5180" s="353" t="s">
        <v>769</v>
      </c>
      <c r="D5180" s="355">
        <v>3</v>
      </c>
      <c r="E5180" s="356">
        <v>2556.44</v>
      </c>
      <c r="F5180" s="356">
        <v>-9059.7200000000194</v>
      </c>
      <c r="G5180" s="353" t="s">
        <v>2537</v>
      </c>
      <c r="H5180" s="353" t="s">
        <v>2576</v>
      </c>
      <c r="I5180" s="353" t="s">
        <v>2440</v>
      </c>
      <c r="J5180" s="353" t="s">
        <v>757</v>
      </c>
      <c r="K5180" s="353" t="s">
        <v>770</v>
      </c>
      <c r="L5180" s="354">
        <v>44044</v>
      </c>
      <c r="M5180" s="357">
        <v>0</v>
      </c>
    </row>
    <row r="5181" spans="1:13" hidden="1" x14ac:dyDescent="0.25">
      <c r="A5181" s="354">
        <v>44075</v>
      </c>
      <c r="B5181" s="353" t="s">
        <v>2542</v>
      </c>
      <c r="C5181" s="353" t="s">
        <v>769</v>
      </c>
      <c r="D5181" s="355">
        <v>4</v>
      </c>
      <c r="E5181" s="356">
        <v>2556.44</v>
      </c>
      <c r="F5181" s="356">
        <v>-6503.2800000000198</v>
      </c>
      <c r="G5181" s="353" t="s">
        <v>2543</v>
      </c>
      <c r="H5181" s="353" t="s">
        <v>2576</v>
      </c>
      <c r="I5181" s="353" t="s">
        <v>2440</v>
      </c>
      <c r="J5181" s="353" t="s">
        <v>757</v>
      </c>
      <c r="K5181" s="353" t="s">
        <v>770</v>
      </c>
      <c r="L5181" s="354">
        <v>44075</v>
      </c>
      <c r="M5181" s="357">
        <v>0</v>
      </c>
    </row>
    <row r="5182" spans="1:13" hidden="1" x14ac:dyDescent="0.25">
      <c r="A5182" s="354">
        <v>44105</v>
      </c>
      <c r="B5182" s="353" t="s">
        <v>2544</v>
      </c>
      <c r="C5182" s="353" t="s">
        <v>769</v>
      </c>
      <c r="D5182" s="355">
        <v>5</v>
      </c>
      <c r="E5182" s="356">
        <v>1991.13</v>
      </c>
      <c r="F5182" s="356">
        <v>-4512.1500000000196</v>
      </c>
      <c r="G5182" s="353" t="s">
        <v>2577</v>
      </c>
      <c r="H5182" s="353" t="s">
        <v>2576</v>
      </c>
      <c r="I5182" s="353" t="s">
        <v>2440</v>
      </c>
      <c r="J5182" s="353" t="s">
        <v>757</v>
      </c>
      <c r="K5182" s="353" t="s">
        <v>770</v>
      </c>
      <c r="L5182" s="354">
        <v>44105</v>
      </c>
      <c r="M5182" s="357">
        <v>0</v>
      </c>
    </row>
    <row r="5183" spans="1:13" hidden="1" x14ac:dyDescent="0.25">
      <c r="A5183" s="354">
        <v>44105</v>
      </c>
      <c r="B5183" s="353" t="s">
        <v>2544</v>
      </c>
      <c r="C5183" s="353" t="s">
        <v>769</v>
      </c>
      <c r="D5183" s="355">
        <v>5</v>
      </c>
      <c r="E5183" s="356">
        <v>471.1</v>
      </c>
      <c r="F5183" s="356">
        <v>-4041.0500000000202</v>
      </c>
      <c r="G5183" s="353" t="s">
        <v>2547</v>
      </c>
      <c r="H5183" s="353" t="s">
        <v>2576</v>
      </c>
      <c r="I5183" s="353" t="s">
        <v>2440</v>
      </c>
      <c r="J5183" s="353" t="s">
        <v>757</v>
      </c>
      <c r="K5183" s="353" t="s">
        <v>770</v>
      </c>
      <c r="L5183" s="354">
        <v>44105</v>
      </c>
      <c r="M5183" s="357">
        <v>0</v>
      </c>
    </row>
    <row r="5184" spans="1:13" hidden="1" x14ac:dyDescent="0.25">
      <c r="A5184" s="354">
        <v>44105</v>
      </c>
      <c r="B5184" s="353" t="s">
        <v>2544</v>
      </c>
      <c r="C5184" s="353" t="s">
        <v>769</v>
      </c>
      <c r="D5184" s="355">
        <v>5</v>
      </c>
      <c r="E5184" s="356">
        <v>94.21</v>
      </c>
      <c r="F5184" s="356">
        <v>-3946.8400000000202</v>
      </c>
      <c r="G5184" s="353" t="s">
        <v>2546</v>
      </c>
      <c r="H5184" s="353" t="s">
        <v>2576</v>
      </c>
      <c r="I5184" s="353" t="s">
        <v>2440</v>
      </c>
      <c r="J5184" s="353" t="s">
        <v>757</v>
      </c>
      <c r="K5184" s="353" t="s">
        <v>770</v>
      </c>
      <c r="L5184" s="354">
        <v>44105</v>
      </c>
      <c r="M5184" s="357">
        <v>0</v>
      </c>
    </row>
    <row r="5185" spans="1:13" hidden="1" x14ac:dyDescent="0.25">
      <c r="A5185" s="354">
        <v>44136</v>
      </c>
      <c r="B5185" s="353" t="s">
        <v>2554</v>
      </c>
      <c r="C5185" s="353" t="s">
        <v>769</v>
      </c>
      <c r="D5185" s="355">
        <v>6</v>
      </c>
      <c r="E5185" s="356">
        <v>2556.44</v>
      </c>
      <c r="F5185" s="356">
        <v>-1390.4000000000201</v>
      </c>
      <c r="G5185" s="353" t="s">
        <v>2555</v>
      </c>
      <c r="H5185" s="353" t="s">
        <v>2576</v>
      </c>
      <c r="I5185" s="353" t="s">
        <v>2440</v>
      </c>
      <c r="J5185" s="353" t="s">
        <v>757</v>
      </c>
      <c r="K5185" s="353" t="s">
        <v>770</v>
      </c>
      <c r="L5185" s="354">
        <v>44136</v>
      </c>
      <c r="M5185" s="357">
        <v>0</v>
      </c>
    </row>
    <row r="5186" spans="1:13" hidden="1" x14ac:dyDescent="0.25">
      <c r="A5186" s="354">
        <v>44167</v>
      </c>
      <c r="B5186" s="353" t="s">
        <v>2559</v>
      </c>
      <c r="C5186" s="353" t="s">
        <v>769</v>
      </c>
      <c r="D5186" s="355">
        <v>7</v>
      </c>
      <c r="E5186" s="356">
        <v>1813.67</v>
      </c>
      <c r="F5186" s="356">
        <v>423.26999999998299</v>
      </c>
      <c r="G5186" s="353" t="s">
        <v>2560</v>
      </c>
      <c r="H5186" s="353" t="s">
        <v>2576</v>
      </c>
      <c r="I5186" s="353" t="s">
        <v>2440</v>
      </c>
      <c r="J5186" s="353" t="s">
        <v>757</v>
      </c>
      <c r="K5186" s="353" t="s">
        <v>770</v>
      </c>
      <c r="L5186" s="354">
        <v>44167</v>
      </c>
      <c r="M5186" s="357">
        <v>0</v>
      </c>
    </row>
    <row r="5187" spans="1:13" hidden="1" x14ac:dyDescent="0.25">
      <c r="A5187" s="354">
        <v>44198</v>
      </c>
      <c r="B5187" s="353" t="s">
        <v>2561</v>
      </c>
      <c r="C5187" s="353" t="s">
        <v>769</v>
      </c>
      <c r="D5187" s="355">
        <v>8</v>
      </c>
      <c r="E5187" s="356">
        <v>2450.34</v>
      </c>
      <c r="F5187" s="356">
        <v>2873.6099999999801</v>
      </c>
      <c r="G5187" s="353" t="s">
        <v>2563</v>
      </c>
      <c r="H5187" s="353" t="s">
        <v>2576</v>
      </c>
      <c r="I5187" s="353" t="s">
        <v>2440</v>
      </c>
      <c r="J5187" s="353" t="s">
        <v>757</v>
      </c>
      <c r="K5187" s="353" t="s">
        <v>770</v>
      </c>
      <c r="L5187" s="354">
        <v>44198</v>
      </c>
      <c r="M5187" s="357">
        <v>0</v>
      </c>
    </row>
    <row r="5188" spans="1:13" hidden="1" x14ac:dyDescent="0.25">
      <c r="A5188" s="354">
        <v>44226</v>
      </c>
      <c r="B5188" s="353" t="s">
        <v>2566</v>
      </c>
      <c r="C5188" s="353" t="s">
        <v>769</v>
      </c>
      <c r="D5188" s="355">
        <v>9</v>
      </c>
      <c r="E5188" s="356">
        <v>2450.34</v>
      </c>
      <c r="F5188" s="356">
        <v>5323.9499999999798</v>
      </c>
      <c r="G5188" s="353" t="s">
        <v>2568</v>
      </c>
      <c r="H5188" s="353" t="s">
        <v>2576</v>
      </c>
      <c r="I5188" s="353" t="s">
        <v>2440</v>
      </c>
      <c r="J5188" s="353" t="s">
        <v>757</v>
      </c>
      <c r="K5188" s="353" t="s">
        <v>770</v>
      </c>
      <c r="L5188" s="354">
        <v>44226</v>
      </c>
      <c r="M5188" s="357">
        <v>0</v>
      </c>
    </row>
    <row r="5189" spans="1:13" hidden="1" x14ac:dyDescent="0.25">
      <c r="A5189" s="354">
        <v>44257</v>
      </c>
      <c r="B5189" s="353" t="s">
        <v>2571</v>
      </c>
      <c r="C5189" s="353" t="s">
        <v>769</v>
      </c>
      <c r="D5189" s="355">
        <v>10</v>
      </c>
      <c r="E5189" s="356">
        <v>2450.34</v>
      </c>
      <c r="F5189" s="356">
        <v>7774.28999999998</v>
      </c>
      <c r="G5189" s="353" t="s">
        <v>2572</v>
      </c>
      <c r="H5189" s="353" t="s">
        <v>2576</v>
      </c>
      <c r="I5189" s="353" t="s">
        <v>2440</v>
      </c>
      <c r="J5189" s="353" t="s">
        <v>757</v>
      </c>
      <c r="K5189" s="353" t="s">
        <v>770</v>
      </c>
      <c r="L5189" s="354">
        <v>44257</v>
      </c>
      <c r="M5189" s="357">
        <v>0</v>
      </c>
    </row>
    <row r="5190" spans="1:13" hidden="1" x14ac:dyDescent="0.25">
      <c r="A5190" s="354">
        <v>43983</v>
      </c>
      <c r="B5190" s="353" t="s">
        <v>2521</v>
      </c>
      <c r="C5190" s="353" t="s">
        <v>769</v>
      </c>
      <c r="D5190" s="355">
        <v>1</v>
      </c>
      <c r="E5190" s="356">
        <v>1329.62</v>
      </c>
      <c r="F5190" s="356">
        <v>11554.25</v>
      </c>
      <c r="G5190" s="353" t="s">
        <v>2524</v>
      </c>
      <c r="H5190" s="353" t="s">
        <v>2578</v>
      </c>
      <c r="I5190" s="353" t="s">
        <v>2440</v>
      </c>
      <c r="J5190" s="353" t="s">
        <v>757</v>
      </c>
      <c r="K5190" s="353" t="s">
        <v>770</v>
      </c>
      <c r="L5190" s="354">
        <v>43983</v>
      </c>
      <c r="M5190" s="357">
        <v>0</v>
      </c>
    </row>
    <row r="5191" spans="1:13" hidden="1" x14ac:dyDescent="0.25">
      <c r="A5191" s="354">
        <v>43983</v>
      </c>
      <c r="B5191" s="353" t="s">
        <v>2521</v>
      </c>
      <c r="C5191" s="353" t="s">
        <v>769</v>
      </c>
      <c r="D5191" s="355">
        <v>1</v>
      </c>
      <c r="E5191" s="356">
        <v>-110.97</v>
      </c>
      <c r="F5191" s="356">
        <v>11443.28</v>
      </c>
      <c r="G5191" s="353" t="s">
        <v>2522</v>
      </c>
      <c r="H5191" s="353" t="s">
        <v>2578</v>
      </c>
      <c r="I5191" s="353" t="s">
        <v>2440</v>
      </c>
      <c r="J5191" s="353" t="s">
        <v>757</v>
      </c>
      <c r="K5191" s="353" t="s">
        <v>770</v>
      </c>
      <c r="L5191" s="354">
        <v>43983</v>
      </c>
      <c r="M5191" s="357">
        <v>0</v>
      </c>
    </row>
    <row r="5192" spans="1:13" hidden="1" x14ac:dyDescent="0.25">
      <c r="A5192" s="354">
        <v>44043</v>
      </c>
      <c r="B5192" s="353" t="s">
        <v>2527</v>
      </c>
      <c r="C5192" s="353" t="s">
        <v>1059</v>
      </c>
      <c r="D5192" s="355">
        <v>1</v>
      </c>
      <c r="E5192" s="356">
        <v>110.97</v>
      </c>
      <c r="F5192" s="356">
        <v>11554.25</v>
      </c>
      <c r="G5192" s="353" t="s">
        <v>2528</v>
      </c>
      <c r="H5192" s="353" t="s">
        <v>2578</v>
      </c>
      <c r="I5192" s="353" t="s">
        <v>2440</v>
      </c>
      <c r="J5192" s="353" t="s">
        <v>757</v>
      </c>
      <c r="K5192" s="353" t="s">
        <v>741</v>
      </c>
      <c r="L5192" s="354">
        <v>44043</v>
      </c>
      <c r="M5192" s="357">
        <v>0</v>
      </c>
    </row>
    <row r="5193" spans="1:13" hidden="1" x14ac:dyDescent="0.25">
      <c r="A5193" s="354">
        <v>44043</v>
      </c>
      <c r="B5193" s="353" t="s">
        <v>2529</v>
      </c>
      <c r="C5193" s="353" t="s">
        <v>1059</v>
      </c>
      <c r="D5193" s="355">
        <v>1</v>
      </c>
      <c r="E5193" s="356">
        <v>-110.97</v>
      </c>
      <c r="F5193" s="356">
        <v>11443.28</v>
      </c>
      <c r="G5193" s="353" t="s">
        <v>2528</v>
      </c>
      <c r="H5193" s="353" t="s">
        <v>2578</v>
      </c>
      <c r="I5193" s="353" t="s">
        <v>2440</v>
      </c>
      <c r="J5193" s="353" t="s">
        <v>757</v>
      </c>
      <c r="K5193" s="353" t="s">
        <v>741</v>
      </c>
      <c r="L5193" s="354">
        <v>44043</v>
      </c>
      <c r="M5193" s="357">
        <v>0</v>
      </c>
    </row>
    <row r="5194" spans="1:13" hidden="1" x14ac:dyDescent="0.25">
      <c r="A5194" s="354">
        <v>44043</v>
      </c>
      <c r="B5194" s="353" t="s">
        <v>2530</v>
      </c>
      <c r="C5194" s="353" t="s">
        <v>1059</v>
      </c>
      <c r="D5194" s="355">
        <v>1</v>
      </c>
      <c r="E5194" s="356">
        <v>110.97</v>
      </c>
      <c r="F5194" s="356">
        <v>11554.25</v>
      </c>
      <c r="G5194" s="353" t="s">
        <v>2528</v>
      </c>
      <c r="H5194" s="353" t="s">
        <v>2578</v>
      </c>
      <c r="I5194" s="353" t="s">
        <v>2440</v>
      </c>
      <c r="J5194" s="353" t="s">
        <v>757</v>
      </c>
      <c r="K5194" s="353" t="s">
        <v>741</v>
      </c>
      <c r="L5194" s="354">
        <v>44043</v>
      </c>
      <c r="M5194" s="357">
        <v>0</v>
      </c>
    </row>
    <row r="5195" spans="1:13" hidden="1" x14ac:dyDescent="0.25">
      <c r="A5195" s="354">
        <v>44013</v>
      </c>
      <c r="B5195" s="353" t="s">
        <v>2533</v>
      </c>
      <c r="C5195" s="353" t="s">
        <v>769</v>
      </c>
      <c r="D5195" s="355">
        <v>2</v>
      </c>
      <c r="E5195" s="356">
        <v>1329.62</v>
      </c>
      <c r="F5195" s="356">
        <v>12883.87</v>
      </c>
      <c r="G5195" s="353" t="s">
        <v>2534</v>
      </c>
      <c r="H5195" s="353" t="s">
        <v>2578</v>
      </c>
      <c r="I5195" s="353" t="s">
        <v>2440</v>
      </c>
      <c r="J5195" s="353" t="s">
        <v>757</v>
      </c>
      <c r="K5195" s="353" t="s">
        <v>770</v>
      </c>
      <c r="L5195" s="354">
        <v>44013</v>
      </c>
      <c r="M5195" s="357">
        <v>0</v>
      </c>
    </row>
    <row r="5196" spans="1:13" hidden="1" x14ac:dyDescent="0.25">
      <c r="A5196" s="354">
        <v>44044</v>
      </c>
      <c r="B5196" s="353" t="s">
        <v>2536</v>
      </c>
      <c r="C5196" s="353" t="s">
        <v>769</v>
      </c>
      <c r="D5196" s="355">
        <v>3</v>
      </c>
      <c r="E5196" s="356">
        <v>-5018.25</v>
      </c>
      <c r="F5196" s="356">
        <v>7865.6199999999799</v>
      </c>
      <c r="G5196" s="353" t="s">
        <v>2579</v>
      </c>
      <c r="H5196" s="353" t="s">
        <v>2578</v>
      </c>
      <c r="I5196" s="353" t="s">
        <v>2440</v>
      </c>
      <c r="J5196" s="353" t="s">
        <v>757</v>
      </c>
      <c r="K5196" s="353" t="s">
        <v>770</v>
      </c>
      <c r="L5196" s="354">
        <v>44044</v>
      </c>
      <c r="M5196" s="357">
        <v>0</v>
      </c>
    </row>
    <row r="5197" spans="1:13" hidden="1" x14ac:dyDescent="0.25">
      <c r="A5197" s="354">
        <v>43983</v>
      </c>
      <c r="B5197" s="353" t="s">
        <v>2521</v>
      </c>
      <c r="C5197" s="353" t="s">
        <v>769</v>
      </c>
      <c r="D5197" s="355">
        <v>1</v>
      </c>
      <c r="E5197" s="356">
        <v>2300.8200000000002</v>
      </c>
      <c r="F5197" s="356">
        <v>10166.44</v>
      </c>
      <c r="G5197" s="353" t="s">
        <v>2524</v>
      </c>
      <c r="H5197" s="353" t="s">
        <v>2580</v>
      </c>
      <c r="I5197" s="353" t="s">
        <v>2440</v>
      </c>
      <c r="J5197" s="353" t="s">
        <v>757</v>
      </c>
      <c r="K5197" s="353" t="s">
        <v>770</v>
      </c>
      <c r="L5197" s="354">
        <v>43983</v>
      </c>
      <c r="M5197" s="357">
        <v>0</v>
      </c>
    </row>
    <row r="5198" spans="1:13" hidden="1" x14ac:dyDescent="0.25">
      <c r="A5198" s="354">
        <v>44013</v>
      </c>
      <c r="B5198" s="353" t="s">
        <v>2533</v>
      </c>
      <c r="C5198" s="353" t="s">
        <v>769</v>
      </c>
      <c r="D5198" s="355">
        <v>2</v>
      </c>
      <c r="E5198" s="356">
        <v>2300.8200000000002</v>
      </c>
      <c r="F5198" s="356">
        <v>12467.26</v>
      </c>
      <c r="G5198" s="353" t="s">
        <v>2534</v>
      </c>
      <c r="H5198" s="353" t="s">
        <v>2580</v>
      </c>
      <c r="I5198" s="353" t="s">
        <v>2440</v>
      </c>
      <c r="J5198" s="353" t="s">
        <v>757</v>
      </c>
      <c r="K5198" s="353" t="s">
        <v>770</v>
      </c>
      <c r="L5198" s="354">
        <v>44013</v>
      </c>
      <c r="M5198" s="357">
        <v>0</v>
      </c>
    </row>
    <row r="5199" spans="1:13" hidden="1" x14ac:dyDescent="0.25">
      <c r="A5199" s="354">
        <v>44044</v>
      </c>
      <c r="B5199" s="353" t="s">
        <v>2536</v>
      </c>
      <c r="C5199" s="353" t="s">
        <v>769</v>
      </c>
      <c r="D5199" s="355">
        <v>3</v>
      </c>
      <c r="E5199" s="356">
        <v>2300.8200000000002</v>
      </c>
      <c r="F5199" s="356">
        <v>14768.08</v>
      </c>
      <c r="G5199" s="353" t="s">
        <v>2537</v>
      </c>
      <c r="H5199" s="353" t="s">
        <v>2580</v>
      </c>
      <c r="I5199" s="353" t="s">
        <v>2440</v>
      </c>
      <c r="J5199" s="353" t="s">
        <v>757</v>
      </c>
      <c r="K5199" s="353" t="s">
        <v>770</v>
      </c>
      <c r="L5199" s="354">
        <v>44044</v>
      </c>
      <c r="M5199" s="357">
        <v>0</v>
      </c>
    </row>
    <row r="5200" spans="1:13" hidden="1" x14ac:dyDescent="0.25">
      <c r="A5200" s="354">
        <v>44075</v>
      </c>
      <c r="B5200" s="353" t="s">
        <v>2542</v>
      </c>
      <c r="C5200" s="353" t="s">
        <v>769</v>
      </c>
      <c r="D5200" s="355">
        <v>4</v>
      </c>
      <c r="E5200" s="356">
        <v>2300.8200000000002</v>
      </c>
      <c r="F5200" s="356">
        <v>17068.900000000001</v>
      </c>
      <c r="G5200" s="353" t="s">
        <v>2543</v>
      </c>
      <c r="H5200" s="353" t="s">
        <v>2580</v>
      </c>
      <c r="I5200" s="353" t="s">
        <v>2440</v>
      </c>
      <c r="J5200" s="353" t="s">
        <v>757</v>
      </c>
      <c r="K5200" s="353" t="s">
        <v>770</v>
      </c>
      <c r="L5200" s="354">
        <v>44075</v>
      </c>
      <c r="M5200" s="357">
        <v>0</v>
      </c>
    </row>
    <row r="5201" spans="1:13" hidden="1" x14ac:dyDescent="0.25">
      <c r="A5201" s="354">
        <v>44105</v>
      </c>
      <c r="B5201" s="353" t="s">
        <v>2544</v>
      </c>
      <c r="C5201" s="353" t="s">
        <v>769</v>
      </c>
      <c r="D5201" s="355">
        <v>5</v>
      </c>
      <c r="E5201" s="356">
        <v>1748.78</v>
      </c>
      <c r="F5201" s="356">
        <v>18817.68</v>
      </c>
      <c r="G5201" s="353" t="s">
        <v>2548</v>
      </c>
      <c r="H5201" s="353" t="s">
        <v>2580</v>
      </c>
      <c r="I5201" s="353" t="s">
        <v>2440</v>
      </c>
      <c r="J5201" s="353" t="s">
        <v>757</v>
      </c>
      <c r="K5201" s="353" t="s">
        <v>770</v>
      </c>
      <c r="L5201" s="354">
        <v>44105</v>
      </c>
      <c r="M5201" s="357">
        <v>0</v>
      </c>
    </row>
    <row r="5202" spans="1:13" hidden="1" x14ac:dyDescent="0.25">
      <c r="A5202" s="354">
        <v>44105</v>
      </c>
      <c r="B5202" s="353" t="s">
        <v>2544</v>
      </c>
      <c r="C5202" s="353" t="s">
        <v>769</v>
      </c>
      <c r="D5202" s="355">
        <v>5</v>
      </c>
      <c r="E5202" s="356">
        <v>413.76</v>
      </c>
      <c r="F5202" s="356">
        <v>19231.439999999999</v>
      </c>
      <c r="G5202" s="353" t="s">
        <v>2547</v>
      </c>
      <c r="H5202" s="353" t="s">
        <v>2580</v>
      </c>
      <c r="I5202" s="353" t="s">
        <v>2440</v>
      </c>
      <c r="J5202" s="353" t="s">
        <v>757</v>
      </c>
      <c r="K5202" s="353" t="s">
        <v>770</v>
      </c>
      <c r="L5202" s="354">
        <v>44105</v>
      </c>
      <c r="M5202" s="357">
        <v>0</v>
      </c>
    </row>
    <row r="5203" spans="1:13" hidden="1" x14ac:dyDescent="0.25">
      <c r="A5203" s="354">
        <v>44105</v>
      </c>
      <c r="B5203" s="353" t="s">
        <v>2544</v>
      </c>
      <c r="C5203" s="353" t="s">
        <v>769</v>
      </c>
      <c r="D5203" s="355">
        <v>5</v>
      </c>
      <c r="E5203" s="356">
        <v>138.27000000000001</v>
      </c>
      <c r="F5203" s="356">
        <v>19369.71</v>
      </c>
      <c r="G5203" s="353" t="s">
        <v>2546</v>
      </c>
      <c r="H5203" s="353" t="s">
        <v>2580</v>
      </c>
      <c r="I5203" s="353" t="s">
        <v>2440</v>
      </c>
      <c r="J5203" s="353" t="s">
        <v>757</v>
      </c>
      <c r="K5203" s="353" t="s">
        <v>770</v>
      </c>
      <c r="L5203" s="354">
        <v>44105</v>
      </c>
      <c r="M5203" s="357">
        <v>0</v>
      </c>
    </row>
    <row r="5204" spans="1:13" hidden="1" x14ac:dyDescent="0.25">
      <c r="A5204" s="354">
        <v>44136</v>
      </c>
      <c r="B5204" s="353" t="s">
        <v>2554</v>
      </c>
      <c r="C5204" s="353" t="s">
        <v>769</v>
      </c>
      <c r="D5204" s="355">
        <v>6</v>
      </c>
      <c r="E5204" s="356">
        <v>2300.8200000000002</v>
      </c>
      <c r="F5204" s="356">
        <v>21670.53</v>
      </c>
      <c r="G5204" s="353" t="s">
        <v>2555</v>
      </c>
      <c r="H5204" s="353" t="s">
        <v>2580</v>
      </c>
      <c r="I5204" s="353" t="s">
        <v>2440</v>
      </c>
      <c r="J5204" s="353" t="s">
        <v>757</v>
      </c>
      <c r="K5204" s="353" t="s">
        <v>770</v>
      </c>
      <c r="L5204" s="354">
        <v>44136</v>
      </c>
      <c r="M5204" s="357">
        <v>0</v>
      </c>
    </row>
    <row r="5205" spans="1:13" hidden="1" x14ac:dyDescent="0.25">
      <c r="A5205" s="354">
        <v>44167</v>
      </c>
      <c r="B5205" s="353" t="s">
        <v>2559</v>
      </c>
      <c r="C5205" s="353" t="s">
        <v>769</v>
      </c>
      <c r="D5205" s="355">
        <v>7</v>
      </c>
      <c r="E5205" s="356">
        <v>1938.15</v>
      </c>
      <c r="F5205" s="356">
        <v>23608.68</v>
      </c>
      <c r="G5205" s="353" t="s">
        <v>2560</v>
      </c>
      <c r="H5205" s="353" t="s">
        <v>2580</v>
      </c>
      <c r="I5205" s="353" t="s">
        <v>2440</v>
      </c>
      <c r="J5205" s="353" t="s">
        <v>757</v>
      </c>
      <c r="K5205" s="353" t="s">
        <v>770</v>
      </c>
      <c r="L5205" s="354">
        <v>44167</v>
      </c>
      <c r="M5205" s="357">
        <v>0</v>
      </c>
    </row>
    <row r="5206" spans="1:13" hidden="1" x14ac:dyDescent="0.25">
      <c r="A5206" s="354">
        <v>44198</v>
      </c>
      <c r="B5206" s="353" t="s">
        <v>2561</v>
      </c>
      <c r="C5206" s="353" t="s">
        <v>769</v>
      </c>
      <c r="D5206" s="355">
        <v>8</v>
      </c>
      <c r="E5206" s="356">
        <v>2249.0100000000002</v>
      </c>
      <c r="F5206" s="356">
        <v>25857.69</v>
      </c>
      <c r="G5206" s="353" t="s">
        <v>2563</v>
      </c>
      <c r="H5206" s="353" t="s">
        <v>2580</v>
      </c>
      <c r="I5206" s="353" t="s">
        <v>2440</v>
      </c>
      <c r="J5206" s="353" t="s">
        <v>757</v>
      </c>
      <c r="K5206" s="353" t="s">
        <v>770</v>
      </c>
      <c r="L5206" s="354">
        <v>44198</v>
      </c>
      <c r="M5206" s="357">
        <v>0</v>
      </c>
    </row>
    <row r="5207" spans="1:13" hidden="1" x14ac:dyDescent="0.25">
      <c r="A5207" s="354">
        <v>44226</v>
      </c>
      <c r="B5207" s="353" t="s">
        <v>2566</v>
      </c>
      <c r="C5207" s="353" t="s">
        <v>769</v>
      </c>
      <c r="D5207" s="355">
        <v>9</v>
      </c>
      <c r="E5207" s="356">
        <v>2249.0100000000002</v>
      </c>
      <c r="F5207" s="356">
        <v>28106.7</v>
      </c>
      <c r="G5207" s="353" t="s">
        <v>2568</v>
      </c>
      <c r="H5207" s="353" t="s">
        <v>2580</v>
      </c>
      <c r="I5207" s="353" t="s">
        <v>2440</v>
      </c>
      <c r="J5207" s="353" t="s">
        <v>757</v>
      </c>
      <c r="K5207" s="353" t="s">
        <v>770</v>
      </c>
      <c r="L5207" s="354">
        <v>44226</v>
      </c>
      <c r="M5207" s="357">
        <v>0</v>
      </c>
    </row>
    <row r="5208" spans="1:13" hidden="1" x14ac:dyDescent="0.25">
      <c r="A5208" s="354">
        <v>44257</v>
      </c>
      <c r="B5208" s="353" t="s">
        <v>2571</v>
      </c>
      <c r="C5208" s="353" t="s">
        <v>769</v>
      </c>
      <c r="D5208" s="355">
        <v>10</v>
      </c>
      <c r="E5208" s="356">
        <v>2249.0100000000002</v>
      </c>
      <c r="F5208" s="356">
        <v>30355.71</v>
      </c>
      <c r="G5208" s="353" t="s">
        <v>2572</v>
      </c>
      <c r="H5208" s="353" t="s">
        <v>2580</v>
      </c>
      <c r="I5208" s="353" t="s">
        <v>2440</v>
      </c>
      <c r="J5208" s="353" t="s">
        <v>757</v>
      </c>
      <c r="K5208" s="353" t="s">
        <v>770</v>
      </c>
      <c r="L5208" s="354">
        <v>44257</v>
      </c>
      <c r="M5208" s="357">
        <v>0</v>
      </c>
    </row>
    <row r="5209" spans="1:13" hidden="1" x14ac:dyDescent="0.25">
      <c r="A5209" s="354">
        <v>44012</v>
      </c>
      <c r="B5209" s="353" t="s">
        <v>1141</v>
      </c>
      <c r="C5209" s="353" t="s">
        <v>1059</v>
      </c>
      <c r="D5209" s="355">
        <v>1</v>
      </c>
      <c r="E5209" s="356">
        <v>-1599.7</v>
      </c>
      <c r="F5209" s="356">
        <v>31005.02</v>
      </c>
      <c r="G5209" s="353" t="s">
        <v>2482</v>
      </c>
      <c r="H5209" s="353" t="s">
        <v>2581</v>
      </c>
      <c r="I5209" s="353" t="s">
        <v>2440</v>
      </c>
      <c r="J5209" s="353" t="s">
        <v>757</v>
      </c>
      <c r="K5209" s="353" t="s">
        <v>741</v>
      </c>
      <c r="L5209" s="354">
        <v>44012</v>
      </c>
      <c r="M5209" s="357">
        <v>0</v>
      </c>
    </row>
    <row r="5210" spans="1:13" hidden="1" x14ac:dyDescent="0.25">
      <c r="A5210" s="354">
        <v>44025</v>
      </c>
      <c r="B5210" s="353" t="s">
        <v>2582</v>
      </c>
      <c r="C5210" s="353" t="s">
        <v>769</v>
      </c>
      <c r="D5210" s="355">
        <v>1</v>
      </c>
      <c r="E5210" s="356">
        <v>758.96</v>
      </c>
      <c r="F5210" s="356">
        <v>31763.98</v>
      </c>
      <c r="G5210" s="353" t="s">
        <v>2583</v>
      </c>
      <c r="H5210" s="353" t="s">
        <v>2581</v>
      </c>
      <c r="I5210" s="353" t="s">
        <v>2440</v>
      </c>
      <c r="J5210" s="353" t="s">
        <v>757</v>
      </c>
      <c r="K5210" s="353" t="s">
        <v>770</v>
      </c>
      <c r="L5210" s="354">
        <v>44025</v>
      </c>
      <c r="M5210" s="357">
        <v>0</v>
      </c>
    </row>
    <row r="5211" spans="1:13" hidden="1" x14ac:dyDescent="0.25">
      <c r="A5211" s="354">
        <v>44032</v>
      </c>
      <c r="B5211" s="353" t="s">
        <v>2584</v>
      </c>
      <c r="C5211" s="353" t="s">
        <v>769</v>
      </c>
      <c r="D5211" s="355">
        <v>1</v>
      </c>
      <c r="E5211" s="356">
        <v>57.15</v>
      </c>
      <c r="F5211" s="356">
        <v>31821.13</v>
      </c>
      <c r="G5211" s="353" t="s">
        <v>2585</v>
      </c>
      <c r="H5211" s="353" t="s">
        <v>2581</v>
      </c>
      <c r="I5211" s="353" t="s">
        <v>2440</v>
      </c>
      <c r="J5211" s="353" t="s">
        <v>757</v>
      </c>
      <c r="K5211" s="353" t="s">
        <v>770</v>
      </c>
      <c r="L5211" s="354">
        <v>44032</v>
      </c>
      <c r="M5211" s="357">
        <v>0</v>
      </c>
    </row>
    <row r="5212" spans="1:13" hidden="1" x14ac:dyDescent="0.25">
      <c r="A5212" s="354">
        <v>44043</v>
      </c>
      <c r="B5212" s="353" t="s">
        <v>1143</v>
      </c>
      <c r="C5212" s="353" t="s">
        <v>1060</v>
      </c>
      <c r="D5212" s="355">
        <v>1</v>
      </c>
      <c r="E5212" s="356">
        <v>1072.3699999999999</v>
      </c>
      <c r="F5212" s="356">
        <v>32893.5</v>
      </c>
      <c r="G5212" s="353" t="s">
        <v>2466</v>
      </c>
      <c r="H5212" s="353" t="s">
        <v>2581</v>
      </c>
      <c r="I5212" s="353" t="s">
        <v>2440</v>
      </c>
      <c r="J5212" s="353" t="s">
        <v>757</v>
      </c>
      <c r="K5212" s="353" t="s">
        <v>741</v>
      </c>
      <c r="L5212" s="354">
        <v>44043</v>
      </c>
      <c r="M5212" s="357">
        <v>0</v>
      </c>
    </row>
    <row r="5213" spans="1:13" hidden="1" x14ac:dyDescent="0.25">
      <c r="A5213" s="354">
        <v>44043</v>
      </c>
      <c r="B5213" s="353" t="s">
        <v>1143</v>
      </c>
      <c r="C5213" s="353" t="s">
        <v>1060</v>
      </c>
      <c r="D5213" s="355">
        <v>2</v>
      </c>
      <c r="E5213" s="356">
        <v>-1072.3699999999999</v>
      </c>
      <c r="F5213" s="356">
        <v>31821.13</v>
      </c>
      <c r="G5213" s="353" t="s">
        <v>2466</v>
      </c>
      <c r="H5213" s="353" t="s">
        <v>2581</v>
      </c>
      <c r="I5213" s="353" t="s">
        <v>2440</v>
      </c>
      <c r="J5213" s="353" t="s">
        <v>757</v>
      </c>
      <c r="K5213" s="353" t="s">
        <v>741</v>
      </c>
      <c r="L5213" s="354">
        <v>44043</v>
      </c>
      <c r="M5213" s="357">
        <v>0</v>
      </c>
    </row>
    <row r="5214" spans="1:13" hidden="1" x14ac:dyDescent="0.25">
      <c r="A5214" s="354">
        <v>44056</v>
      </c>
      <c r="B5214" s="353" t="s">
        <v>2586</v>
      </c>
      <c r="C5214" s="353" t="s">
        <v>769</v>
      </c>
      <c r="D5214" s="355">
        <v>2</v>
      </c>
      <c r="E5214" s="356">
        <v>769.3</v>
      </c>
      <c r="F5214" s="356">
        <v>32590.43</v>
      </c>
      <c r="G5214" s="353" t="s">
        <v>2587</v>
      </c>
      <c r="H5214" s="353" t="s">
        <v>2581</v>
      </c>
      <c r="I5214" s="353" t="s">
        <v>2440</v>
      </c>
      <c r="J5214" s="353" t="s">
        <v>757</v>
      </c>
      <c r="K5214" s="353" t="s">
        <v>770</v>
      </c>
      <c r="L5214" s="354">
        <v>44056</v>
      </c>
      <c r="M5214" s="357">
        <v>0</v>
      </c>
    </row>
    <row r="5215" spans="1:13" hidden="1" x14ac:dyDescent="0.25">
      <c r="A5215" s="354">
        <v>44074</v>
      </c>
      <c r="B5215" s="353" t="s">
        <v>1147</v>
      </c>
      <c r="C5215" s="353" t="s">
        <v>1060</v>
      </c>
      <c r="D5215" s="355">
        <v>2</v>
      </c>
      <c r="E5215" s="356">
        <v>848.27</v>
      </c>
      <c r="F5215" s="356">
        <v>33438.699999999997</v>
      </c>
      <c r="G5215" s="353" t="s">
        <v>2468</v>
      </c>
      <c r="H5215" s="353" t="s">
        <v>2581</v>
      </c>
      <c r="I5215" s="353" t="s">
        <v>2440</v>
      </c>
      <c r="J5215" s="353" t="s">
        <v>757</v>
      </c>
      <c r="K5215" s="353" t="s">
        <v>741</v>
      </c>
      <c r="L5215" s="354">
        <v>44074</v>
      </c>
      <c r="M5215" s="357">
        <v>0</v>
      </c>
    </row>
    <row r="5216" spans="1:13" hidden="1" x14ac:dyDescent="0.25">
      <c r="A5216" s="354">
        <v>44074</v>
      </c>
      <c r="B5216" s="353" t="s">
        <v>1147</v>
      </c>
      <c r="C5216" s="353" t="s">
        <v>1060</v>
      </c>
      <c r="D5216" s="355">
        <v>3</v>
      </c>
      <c r="E5216" s="356">
        <v>-848.27</v>
      </c>
      <c r="F5216" s="356">
        <v>32590.43</v>
      </c>
      <c r="G5216" s="353" t="s">
        <v>2468</v>
      </c>
      <c r="H5216" s="353" t="s">
        <v>2581</v>
      </c>
      <c r="I5216" s="353" t="s">
        <v>2440</v>
      </c>
      <c r="J5216" s="353" t="s">
        <v>757</v>
      </c>
      <c r="K5216" s="353" t="s">
        <v>741</v>
      </c>
      <c r="L5216" s="354">
        <v>44074</v>
      </c>
      <c r="M5216" s="357">
        <v>0</v>
      </c>
    </row>
    <row r="5217" spans="1:13" hidden="1" x14ac:dyDescent="0.25">
      <c r="A5217" s="354">
        <v>44104</v>
      </c>
      <c r="B5217" s="353" t="s">
        <v>1198</v>
      </c>
      <c r="C5217" s="353" t="s">
        <v>1060</v>
      </c>
      <c r="D5217" s="355">
        <v>3</v>
      </c>
      <c r="E5217" s="356">
        <v>882.58</v>
      </c>
      <c r="F5217" s="356">
        <v>33473.01</v>
      </c>
      <c r="G5217" s="353" t="s">
        <v>2469</v>
      </c>
      <c r="H5217" s="353" t="s">
        <v>2581</v>
      </c>
      <c r="I5217" s="353" t="s">
        <v>2440</v>
      </c>
      <c r="J5217" s="353" t="s">
        <v>757</v>
      </c>
      <c r="K5217" s="353" t="s">
        <v>741</v>
      </c>
      <c r="L5217" s="354">
        <v>44104</v>
      </c>
      <c r="M5217" s="357">
        <v>0</v>
      </c>
    </row>
    <row r="5218" spans="1:13" hidden="1" x14ac:dyDescent="0.25">
      <c r="A5218" s="354">
        <v>44104</v>
      </c>
      <c r="B5218" s="353" t="s">
        <v>1198</v>
      </c>
      <c r="C5218" s="353" t="s">
        <v>1060</v>
      </c>
      <c r="D5218" s="355">
        <v>4</v>
      </c>
      <c r="E5218" s="356">
        <v>-882.58</v>
      </c>
      <c r="F5218" s="356">
        <v>32590.43</v>
      </c>
      <c r="G5218" s="353" t="s">
        <v>2469</v>
      </c>
      <c r="H5218" s="353" t="s">
        <v>2581</v>
      </c>
      <c r="I5218" s="353" t="s">
        <v>2440</v>
      </c>
      <c r="J5218" s="353" t="s">
        <v>757</v>
      </c>
      <c r="K5218" s="353" t="s">
        <v>741</v>
      </c>
      <c r="L5218" s="354">
        <v>44104</v>
      </c>
      <c r="M5218" s="357">
        <v>0</v>
      </c>
    </row>
    <row r="5219" spans="1:13" hidden="1" x14ac:dyDescent="0.25">
      <c r="A5219" s="354">
        <v>44118</v>
      </c>
      <c r="B5219" s="353" t="s">
        <v>2588</v>
      </c>
      <c r="C5219" s="353" t="s">
        <v>769</v>
      </c>
      <c r="D5219" s="355">
        <v>4</v>
      </c>
      <c r="E5219" s="356">
        <v>59.15</v>
      </c>
      <c r="F5219" s="356">
        <v>32649.58</v>
      </c>
      <c r="G5219" s="353" t="s">
        <v>2589</v>
      </c>
      <c r="H5219" s="353" t="s">
        <v>2581</v>
      </c>
      <c r="I5219" s="353" t="s">
        <v>2440</v>
      </c>
      <c r="J5219" s="353" t="s">
        <v>757</v>
      </c>
      <c r="K5219" s="353" t="s">
        <v>770</v>
      </c>
      <c r="L5219" s="354">
        <v>44118</v>
      </c>
      <c r="M5219" s="357">
        <v>0</v>
      </c>
    </row>
    <row r="5220" spans="1:13" hidden="1" x14ac:dyDescent="0.25">
      <c r="A5220" s="354">
        <v>44135</v>
      </c>
      <c r="B5220" s="353" t="s">
        <v>1200</v>
      </c>
      <c r="C5220" s="353" t="s">
        <v>1060</v>
      </c>
      <c r="D5220" s="355">
        <v>4</v>
      </c>
      <c r="E5220" s="356">
        <v>1112.8800000000001</v>
      </c>
      <c r="F5220" s="356">
        <v>33762.46</v>
      </c>
      <c r="G5220" s="353" t="s">
        <v>2445</v>
      </c>
      <c r="H5220" s="353" t="s">
        <v>2581</v>
      </c>
      <c r="I5220" s="353" t="s">
        <v>2440</v>
      </c>
      <c r="J5220" s="353" t="s">
        <v>757</v>
      </c>
      <c r="K5220" s="353" t="s">
        <v>741</v>
      </c>
      <c r="L5220" s="354">
        <v>44135</v>
      </c>
      <c r="M5220" s="357">
        <v>0</v>
      </c>
    </row>
    <row r="5221" spans="1:13" hidden="1" x14ac:dyDescent="0.25">
      <c r="A5221" s="354">
        <v>44135</v>
      </c>
      <c r="B5221" s="353" t="s">
        <v>1200</v>
      </c>
      <c r="C5221" s="353" t="s">
        <v>1060</v>
      </c>
      <c r="D5221" s="355">
        <v>5</v>
      </c>
      <c r="E5221" s="356">
        <v>-1112.8800000000001</v>
      </c>
      <c r="F5221" s="356">
        <v>32649.58</v>
      </c>
      <c r="G5221" s="353" t="s">
        <v>2445</v>
      </c>
      <c r="H5221" s="353" t="s">
        <v>2581</v>
      </c>
      <c r="I5221" s="353" t="s">
        <v>2440</v>
      </c>
      <c r="J5221" s="353" t="s">
        <v>757</v>
      </c>
      <c r="K5221" s="353" t="s">
        <v>741</v>
      </c>
      <c r="L5221" s="354">
        <v>44135</v>
      </c>
      <c r="M5221" s="357">
        <v>0</v>
      </c>
    </row>
    <row r="5222" spans="1:13" hidden="1" x14ac:dyDescent="0.25">
      <c r="A5222" s="354">
        <v>44165</v>
      </c>
      <c r="B5222" s="353" t="s">
        <v>1158</v>
      </c>
      <c r="C5222" s="353" t="s">
        <v>1060</v>
      </c>
      <c r="D5222" s="355">
        <v>5</v>
      </c>
      <c r="E5222" s="356">
        <v>1402.3</v>
      </c>
      <c r="F5222" s="356">
        <v>34051.879999999997</v>
      </c>
      <c r="G5222" s="353" t="s">
        <v>2448</v>
      </c>
      <c r="H5222" s="353" t="s">
        <v>2581</v>
      </c>
      <c r="I5222" s="353" t="s">
        <v>2440</v>
      </c>
      <c r="J5222" s="353" t="s">
        <v>757</v>
      </c>
      <c r="K5222" s="353" t="s">
        <v>741</v>
      </c>
      <c r="L5222" s="354">
        <v>44165</v>
      </c>
      <c r="M5222" s="357">
        <v>0</v>
      </c>
    </row>
    <row r="5223" spans="1:13" hidden="1" x14ac:dyDescent="0.25">
      <c r="A5223" s="354">
        <v>44165</v>
      </c>
      <c r="B5223" s="353" t="s">
        <v>1158</v>
      </c>
      <c r="C5223" s="353" t="s">
        <v>1060</v>
      </c>
      <c r="D5223" s="355">
        <v>6</v>
      </c>
      <c r="E5223" s="356">
        <v>-1402.3</v>
      </c>
      <c r="F5223" s="356">
        <v>32649.58</v>
      </c>
      <c r="G5223" s="353" t="s">
        <v>2448</v>
      </c>
      <c r="H5223" s="353" t="s">
        <v>2581</v>
      </c>
      <c r="I5223" s="353" t="s">
        <v>2440</v>
      </c>
      <c r="J5223" s="353" t="s">
        <v>757</v>
      </c>
      <c r="K5223" s="353" t="s">
        <v>741</v>
      </c>
      <c r="L5223" s="354">
        <v>44165</v>
      </c>
      <c r="M5223" s="357">
        <v>0</v>
      </c>
    </row>
    <row r="5224" spans="1:13" hidden="1" x14ac:dyDescent="0.25">
      <c r="A5224" s="354">
        <v>44166</v>
      </c>
      <c r="B5224" s="353" t="s">
        <v>2590</v>
      </c>
      <c r="C5224" s="353" t="s">
        <v>769</v>
      </c>
      <c r="D5224" s="355">
        <v>6</v>
      </c>
      <c r="E5224" s="356">
        <v>769.31</v>
      </c>
      <c r="F5224" s="356">
        <v>33418.89</v>
      </c>
      <c r="G5224" s="353" t="s">
        <v>2591</v>
      </c>
      <c r="H5224" s="353" t="s">
        <v>2581</v>
      </c>
      <c r="I5224" s="353" t="s">
        <v>2440</v>
      </c>
      <c r="J5224" s="353" t="s">
        <v>757</v>
      </c>
      <c r="K5224" s="353" t="s">
        <v>770</v>
      </c>
      <c r="L5224" s="354">
        <v>44166</v>
      </c>
      <c r="M5224" s="357">
        <v>0</v>
      </c>
    </row>
    <row r="5225" spans="1:13" hidden="1" x14ac:dyDescent="0.25">
      <c r="A5225" s="354">
        <v>44196</v>
      </c>
      <c r="B5225" s="353" t="s">
        <v>1160</v>
      </c>
      <c r="C5225" s="353" t="s">
        <v>1060</v>
      </c>
      <c r="D5225" s="355">
        <v>6</v>
      </c>
      <c r="E5225" s="356">
        <v>922.43</v>
      </c>
      <c r="F5225" s="356">
        <v>34341.32</v>
      </c>
      <c r="G5225" s="353" t="s">
        <v>2451</v>
      </c>
      <c r="H5225" s="353" t="s">
        <v>2581</v>
      </c>
      <c r="I5225" s="353" t="s">
        <v>2440</v>
      </c>
      <c r="J5225" s="353" t="s">
        <v>757</v>
      </c>
      <c r="K5225" s="353" t="s">
        <v>741</v>
      </c>
      <c r="L5225" s="354">
        <v>44196</v>
      </c>
      <c r="M5225" s="357">
        <v>0</v>
      </c>
    </row>
    <row r="5226" spans="1:13" hidden="1" x14ac:dyDescent="0.25">
      <c r="A5226" s="354">
        <v>44196</v>
      </c>
      <c r="B5226" s="353" t="s">
        <v>1160</v>
      </c>
      <c r="C5226" s="353" t="s">
        <v>1060</v>
      </c>
      <c r="D5226" s="355">
        <v>7</v>
      </c>
      <c r="E5226" s="356">
        <v>-922.43</v>
      </c>
      <c r="F5226" s="356">
        <v>33418.89</v>
      </c>
      <c r="G5226" s="353" t="s">
        <v>2451</v>
      </c>
      <c r="H5226" s="353" t="s">
        <v>2581</v>
      </c>
      <c r="I5226" s="353" t="s">
        <v>2440</v>
      </c>
      <c r="J5226" s="353" t="s">
        <v>757</v>
      </c>
      <c r="K5226" s="353" t="s">
        <v>741</v>
      </c>
      <c r="L5226" s="354">
        <v>44196</v>
      </c>
      <c r="M5226" s="357">
        <v>0</v>
      </c>
    </row>
    <row r="5227" spans="1:13" hidden="1" x14ac:dyDescent="0.25">
      <c r="A5227" s="354">
        <v>44209</v>
      </c>
      <c r="B5227" s="353" t="s">
        <v>2592</v>
      </c>
      <c r="C5227" s="353" t="s">
        <v>769</v>
      </c>
      <c r="D5227" s="355">
        <v>7</v>
      </c>
      <c r="E5227" s="356">
        <v>59.17</v>
      </c>
      <c r="F5227" s="356">
        <v>33478.06</v>
      </c>
      <c r="G5227" s="353" t="s">
        <v>2593</v>
      </c>
      <c r="H5227" s="353" t="s">
        <v>2581</v>
      </c>
      <c r="I5227" s="353" t="s">
        <v>2440</v>
      </c>
      <c r="J5227" s="353" t="s">
        <v>757</v>
      </c>
      <c r="K5227" s="353" t="s">
        <v>770</v>
      </c>
      <c r="L5227" s="354">
        <v>44209</v>
      </c>
      <c r="M5227" s="357">
        <v>0</v>
      </c>
    </row>
    <row r="5228" spans="1:13" hidden="1" x14ac:dyDescent="0.25">
      <c r="A5228" s="354">
        <v>44230</v>
      </c>
      <c r="B5228" s="353" t="s">
        <v>1166</v>
      </c>
      <c r="C5228" s="353" t="s">
        <v>1060</v>
      </c>
      <c r="D5228" s="355">
        <v>7</v>
      </c>
      <c r="E5228" s="356">
        <v>1152.72</v>
      </c>
      <c r="F5228" s="356">
        <v>34630.78</v>
      </c>
      <c r="G5228" s="353" t="s">
        <v>2457</v>
      </c>
      <c r="H5228" s="353" t="s">
        <v>2581</v>
      </c>
      <c r="I5228" s="353" t="s">
        <v>2440</v>
      </c>
      <c r="J5228" s="353" t="s">
        <v>757</v>
      </c>
      <c r="K5228" s="353" t="s">
        <v>741</v>
      </c>
      <c r="L5228" s="354">
        <v>44230</v>
      </c>
      <c r="M5228" s="357">
        <v>0</v>
      </c>
    </row>
    <row r="5229" spans="1:13" hidden="1" x14ac:dyDescent="0.25">
      <c r="A5229" s="354">
        <v>44230</v>
      </c>
      <c r="B5229" s="353" t="s">
        <v>1166</v>
      </c>
      <c r="C5229" s="353" t="s">
        <v>1060</v>
      </c>
      <c r="D5229" s="355">
        <v>8</v>
      </c>
      <c r="E5229" s="356">
        <v>-1152.72</v>
      </c>
      <c r="F5229" s="356">
        <v>33478.06</v>
      </c>
      <c r="G5229" s="353" t="s">
        <v>2457</v>
      </c>
      <c r="H5229" s="353" t="s">
        <v>2581</v>
      </c>
      <c r="I5229" s="353" t="s">
        <v>2440</v>
      </c>
      <c r="J5229" s="353" t="s">
        <v>757</v>
      </c>
      <c r="K5229" s="353" t="s">
        <v>741</v>
      </c>
      <c r="L5229" s="354">
        <v>44230</v>
      </c>
      <c r="M5229" s="357">
        <v>0</v>
      </c>
    </row>
    <row r="5230" spans="1:13" hidden="1" x14ac:dyDescent="0.25">
      <c r="A5230" s="354">
        <v>44255</v>
      </c>
      <c r="B5230" s="353" t="s">
        <v>1178</v>
      </c>
      <c r="C5230" s="353" t="s">
        <v>1060</v>
      </c>
      <c r="D5230" s="355">
        <v>8</v>
      </c>
      <c r="E5230" s="356">
        <v>1442.15</v>
      </c>
      <c r="F5230" s="356">
        <v>34920.21</v>
      </c>
      <c r="G5230" s="353" t="s">
        <v>2472</v>
      </c>
      <c r="H5230" s="353" t="s">
        <v>2581</v>
      </c>
      <c r="I5230" s="353" t="s">
        <v>2440</v>
      </c>
      <c r="J5230" s="353" t="s">
        <v>757</v>
      </c>
      <c r="K5230" s="353" t="s">
        <v>741</v>
      </c>
      <c r="L5230" s="354">
        <v>44255</v>
      </c>
      <c r="M5230" s="357">
        <v>0</v>
      </c>
    </row>
    <row r="5231" spans="1:13" hidden="1" x14ac:dyDescent="0.25">
      <c r="A5231" s="354">
        <v>44255</v>
      </c>
      <c r="B5231" s="353" t="s">
        <v>1178</v>
      </c>
      <c r="C5231" s="353" t="s">
        <v>1060</v>
      </c>
      <c r="D5231" s="355">
        <v>9</v>
      </c>
      <c r="E5231" s="356">
        <v>-1442.15</v>
      </c>
      <c r="F5231" s="356">
        <v>33478.06</v>
      </c>
      <c r="G5231" s="353" t="s">
        <v>2472</v>
      </c>
      <c r="H5231" s="353" t="s">
        <v>2581</v>
      </c>
      <c r="I5231" s="353" t="s">
        <v>2440</v>
      </c>
      <c r="J5231" s="353" t="s">
        <v>757</v>
      </c>
      <c r="K5231" s="353" t="s">
        <v>741</v>
      </c>
      <c r="L5231" s="354">
        <v>44255</v>
      </c>
      <c r="M5231" s="357">
        <v>0</v>
      </c>
    </row>
    <row r="5232" spans="1:13" hidden="1" x14ac:dyDescent="0.25">
      <c r="A5232" s="354">
        <v>44286</v>
      </c>
      <c r="B5232" s="353" t="s">
        <v>2475</v>
      </c>
      <c r="C5232" s="353" t="s">
        <v>1060</v>
      </c>
      <c r="D5232" s="355">
        <v>9</v>
      </c>
      <c r="E5232" s="356">
        <v>1731.57</v>
      </c>
      <c r="F5232" s="356">
        <v>35209.629999999997</v>
      </c>
      <c r="G5232" s="353" t="s">
        <v>2476</v>
      </c>
      <c r="H5232" s="353" t="s">
        <v>2581</v>
      </c>
      <c r="I5232" s="353" t="s">
        <v>2440</v>
      </c>
      <c r="J5232" s="353" t="s">
        <v>757</v>
      </c>
      <c r="K5232" s="353" t="s">
        <v>741</v>
      </c>
      <c r="L5232" s="354">
        <v>44286</v>
      </c>
      <c r="M5232" s="357">
        <v>0</v>
      </c>
    </row>
    <row r="5233" spans="1:13" hidden="1" x14ac:dyDescent="0.25">
      <c r="A5233" s="354">
        <v>44286</v>
      </c>
      <c r="B5233" s="353" t="s">
        <v>2475</v>
      </c>
      <c r="C5233" s="353" t="s">
        <v>1060</v>
      </c>
      <c r="D5233" s="355">
        <v>10</v>
      </c>
      <c r="E5233" s="356">
        <v>-1731.57</v>
      </c>
      <c r="F5233" s="356">
        <v>33478.06</v>
      </c>
      <c r="G5233" s="353" t="s">
        <v>2476</v>
      </c>
      <c r="H5233" s="353" t="s">
        <v>2581</v>
      </c>
      <c r="I5233" s="353" t="s">
        <v>2440</v>
      </c>
      <c r="J5233" s="353" t="s">
        <v>757</v>
      </c>
      <c r="K5233" s="353" t="s">
        <v>741</v>
      </c>
      <c r="L5233" s="354">
        <v>44286</v>
      </c>
      <c r="M5233" s="357">
        <v>0</v>
      </c>
    </row>
    <row r="5234" spans="1:13" hidden="1" x14ac:dyDescent="0.25">
      <c r="A5234" s="354">
        <v>44298</v>
      </c>
      <c r="B5234" s="353" t="s">
        <v>2594</v>
      </c>
      <c r="C5234" s="353" t="s">
        <v>769</v>
      </c>
      <c r="D5234" s="355">
        <v>10</v>
      </c>
      <c r="E5234" s="356">
        <v>59.15</v>
      </c>
      <c r="F5234" s="356">
        <v>33537.21</v>
      </c>
      <c r="G5234" s="353" t="s">
        <v>2595</v>
      </c>
      <c r="H5234" s="353" t="s">
        <v>2581</v>
      </c>
      <c r="I5234" s="353" t="s">
        <v>2440</v>
      </c>
      <c r="J5234" s="353" t="s">
        <v>757</v>
      </c>
      <c r="K5234" s="353" t="s">
        <v>770</v>
      </c>
      <c r="L5234" s="354">
        <v>44298</v>
      </c>
      <c r="M5234" s="357">
        <v>0</v>
      </c>
    </row>
    <row r="5235" spans="1:13" hidden="1" x14ac:dyDescent="0.25">
      <c r="A5235" s="354">
        <v>44316</v>
      </c>
      <c r="B5235" s="353" t="s">
        <v>1104</v>
      </c>
      <c r="C5235" s="353" t="s">
        <v>1060</v>
      </c>
      <c r="D5235" s="355">
        <v>10</v>
      </c>
      <c r="E5235" s="356">
        <v>1961.87</v>
      </c>
      <c r="F5235" s="356">
        <v>35499.08</v>
      </c>
      <c r="G5235" s="353" t="s">
        <v>1095</v>
      </c>
      <c r="H5235" s="353" t="s">
        <v>2581</v>
      </c>
      <c r="I5235" s="353" t="s">
        <v>2440</v>
      </c>
      <c r="J5235" s="353" t="s">
        <v>757</v>
      </c>
      <c r="K5235" s="353" t="s">
        <v>741</v>
      </c>
      <c r="L5235" s="354">
        <v>44316</v>
      </c>
      <c r="M5235" s="357">
        <v>0</v>
      </c>
    </row>
    <row r="5236" spans="1:13" hidden="1" x14ac:dyDescent="0.25">
      <c r="A5236" s="354">
        <v>44012</v>
      </c>
      <c r="B5236" s="353" t="s">
        <v>1141</v>
      </c>
      <c r="C5236" s="353" t="s">
        <v>1059</v>
      </c>
      <c r="D5236" s="355">
        <v>1</v>
      </c>
      <c r="E5236" s="356">
        <v>-6227.43</v>
      </c>
      <c r="F5236" s="356">
        <v>27309.78</v>
      </c>
      <c r="G5236" s="353" t="s">
        <v>2482</v>
      </c>
      <c r="H5236" s="353" t="s">
        <v>2596</v>
      </c>
      <c r="I5236" s="353" t="s">
        <v>2440</v>
      </c>
      <c r="J5236" s="353" t="s">
        <v>757</v>
      </c>
      <c r="K5236" s="353" t="s">
        <v>741</v>
      </c>
      <c r="L5236" s="354">
        <v>44012</v>
      </c>
      <c r="M5236" s="357">
        <v>0</v>
      </c>
    </row>
    <row r="5237" spans="1:13" hidden="1" x14ac:dyDescent="0.25">
      <c r="A5237" s="354">
        <v>44025</v>
      </c>
      <c r="B5237" s="353" t="s">
        <v>2582</v>
      </c>
      <c r="C5237" s="353" t="s">
        <v>769</v>
      </c>
      <c r="D5237" s="355">
        <v>1</v>
      </c>
      <c r="E5237" s="356">
        <v>3035.84</v>
      </c>
      <c r="F5237" s="356">
        <v>30345.62</v>
      </c>
      <c r="G5237" s="353" t="s">
        <v>2583</v>
      </c>
      <c r="H5237" s="353" t="s">
        <v>2596</v>
      </c>
      <c r="I5237" s="353" t="s">
        <v>2440</v>
      </c>
      <c r="J5237" s="353" t="s">
        <v>757</v>
      </c>
      <c r="K5237" s="353" t="s">
        <v>770</v>
      </c>
      <c r="L5237" s="354">
        <v>44025</v>
      </c>
      <c r="M5237" s="357">
        <v>0</v>
      </c>
    </row>
    <row r="5238" spans="1:13" hidden="1" x14ac:dyDescent="0.25">
      <c r="A5238" s="354">
        <v>44032</v>
      </c>
      <c r="B5238" s="353" t="s">
        <v>2584</v>
      </c>
      <c r="C5238" s="353" t="s">
        <v>769</v>
      </c>
      <c r="D5238" s="355">
        <v>1</v>
      </c>
      <c r="E5238" s="356">
        <v>57.16</v>
      </c>
      <c r="F5238" s="356">
        <v>30402.78</v>
      </c>
      <c r="G5238" s="353" t="s">
        <v>2585</v>
      </c>
      <c r="H5238" s="353" t="s">
        <v>2596</v>
      </c>
      <c r="I5238" s="353" t="s">
        <v>2440</v>
      </c>
      <c r="J5238" s="353" t="s">
        <v>757</v>
      </c>
      <c r="K5238" s="353" t="s">
        <v>770</v>
      </c>
      <c r="L5238" s="354">
        <v>44032</v>
      </c>
      <c r="M5238" s="357">
        <v>0</v>
      </c>
    </row>
    <row r="5239" spans="1:13" hidden="1" x14ac:dyDescent="0.25">
      <c r="A5239" s="354">
        <v>44043</v>
      </c>
      <c r="B5239" s="353" t="s">
        <v>1143</v>
      </c>
      <c r="C5239" s="353" t="s">
        <v>1060</v>
      </c>
      <c r="D5239" s="355">
        <v>1</v>
      </c>
      <c r="E5239" s="356">
        <v>4232.3500000000004</v>
      </c>
      <c r="F5239" s="356">
        <v>34635.129999999997</v>
      </c>
      <c r="G5239" s="353" t="s">
        <v>2466</v>
      </c>
      <c r="H5239" s="353" t="s">
        <v>2596</v>
      </c>
      <c r="I5239" s="353" t="s">
        <v>2440</v>
      </c>
      <c r="J5239" s="353" t="s">
        <v>757</v>
      </c>
      <c r="K5239" s="353" t="s">
        <v>741</v>
      </c>
      <c r="L5239" s="354">
        <v>44043</v>
      </c>
      <c r="M5239" s="357">
        <v>0</v>
      </c>
    </row>
    <row r="5240" spans="1:13" hidden="1" x14ac:dyDescent="0.25">
      <c r="A5240" s="354">
        <v>44043</v>
      </c>
      <c r="B5240" s="353" t="s">
        <v>1143</v>
      </c>
      <c r="C5240" s="353" t="s">
        <v>1060</v>
      </c>
      <c r="D5240" s="355">
        <v>2</v>
      </c>
      <c r="E5240" s="356">
        <v>-4232.3500000000004</v>
      </c>
      <c r="F5240" s="356">
        <v>30402.78</v>
      </c>
      <c r="G5240" s="353" t="s">
        <v>2466</v>
      </c>
      <c r="H5240" s="353" t="s">
        <v>2596</v>
      </c>
      <c r="I5240" s="353" t="s">
        <v>2440</v>
      </c>
      <c r="J5240" s="353" t="s">
        <v>757</v>
      </c>
      <c r="K5240" s="353" t="s">
        <v>741</v>
      </c>
      <c r="L5240" s="354">
        <v>44043</v>
      </c>
      <c r="M5240" s="357">
        <v>0</v>
      </c>
    </row>
    <row r="5241" spans="1:13" hidden="1" x14ac:dyDescent="0.25">
      <c r="A5241" s="354">
        <v>44056</v>
      </c>
      <c r="B5241" s="353" t="s">
        <v>2586</v>
      </c>
      <c r="C5241" s="353" t="s">
        <v>769</v>
      </c>
      <c r="D5241" s="355">
        <v>2</v>
      </c>
      <c r="E5241" s="356">
        <v>3077.23</v>
      </c>
      <c r="F5241" s="356">
        <v>33480.01</v>
      </c>
      <c r="G5241" s="353" t="s">
        <v>2587</v>
      </c>
      <c r="H5241" s="353" t="s">
        <v>2596</v>
      </c>
      <c r="I5241" s="353" t="s">
        <v>2440</v>
      </c>
      <c r="J5241" s="353" t="s">
        <v>757</v>
      </c>
      <c r="K5241" s="353" t="s">
        <v>770</v>
      </c>
      <c r="L5241" s="354">
        <v>44056</v>
      </c>
      <c r="M5241" s="357">
        <v>0</v>
      </c>
    </row>
    <row r="5242" spans="1:13" hidden="1" x14ac:dyDescent="0.25">
      <c r="A5242" s="354">
        <v>44074</v>
      </c>
      <c r="B5242" s="353" t="s">
        <v>1147</v>
      </c>
      <c r="C5242" s="353" t="s">
        <v>1060</v>
      </c>
      <c r="D5242" s="355">
        <v>2</v>
      </c>
      <c r="E5242" s="356">
        <v>3278.79</v>
      </c>
      <c r="F5242" s="356">
        <v>36758.800000000003</v>
      </c>
      <c r="G5242" s="353" t="s">
        <v>2468</v>
      </c>
      <c r="H5242" s="353" t="s">
        <v>2596</v>
      </c>
      <c r="I5242" s="353" t="s">
        <v>2440</v>
      </c>
      <c r="J5242" s="353" t="s">
        <v>757</v>
      </c>
      <c r="K5242" s="353" t="s">
        <v>741</v>
      </c>
      <c r="L5242" s="354">
        <v>44074</v>
      </c>
      <c r="M5242" s="357">
        <v>0</v>
      </c>
    </row>
    <row r="5243" spans="1:13" hidden="1" x14ac:dyDescent="0.25">
      <c r="A5243" s="354">
        <v>44074</v>
      </c>
      <c r="B5243" s="353" t="s">
        <v>1147</v>
      </c>
      <c r="C5243" s="353" t="s">
        <v>1060</v>
      </c>
      <c r="D5243" s="355">
        <v>3</v>
      </c>
      <c r="E5243" s="356">
        <v>-3278.79</v>
      </c>
      <c r="F5243" s="356">
        <v>33480.01</v>
      </c>
      <c r="G5243" s="353" t="s">
        <v>2468</v>
      </c>
      <c r="H5243" s="353" t="s">
        <v>2596</v>
      </c>
      <c r="I5243" s="353" t="s">
        <v>2440</v>
      </c>
      <c r="J5243" s="353" t="s">
        <v>757</v>
      </c>
      <c r="K5243" s="353" t="s">
        <v>741</v>
      </c>
      <c r="L5243" s="354">
        <v>44074</v>
      </c>
      <c r="M5243" s="357">
        <v>0</v>
      </c>
    </row>
    <row r="5244" spans="1:13" hidden="1" x14ac:dyDescent="0.25">
      <c r="A5244" s="354">
        <v>44104</v>
      </c>
      <c r="B5244" s="353" t="s">
        <v>1198</v>
      </c>
      <c r="C5244" s="353" t="s">
        <v>1060</v>
      </c>
      <c r="D5244" s="355">
        <v>3</v>
      </c>
      <c r="E5244" s="356">
        <v>3352.94</v>
      </c>
      <c r="F5244" s="356">
        <v>36832.949999999997</v>
      </c>
      <c r="G5244" s="353" t="s">
        <v>2469</v>
      </c>
      <c r="H5244" s="353" t="s">
        <v>2596</v>
      </c>
      <c r="I5244" s="353" t="s">
        <v>2440</v>
      </c>
      <c r="J5244" s="353" t="s">
        <v>757</v>
      </c>
      <c r="K5244" s="353" t="s">
        <v>741</v>
      </c>
      <c r="L5244" s="354">
        <v>44104</v>
      </c>
      <c r="M5244" s="357">
        <v>0</v>
      </c>
    </row>
    <row r="5245" spans="1:13" hidden="1" x14ac:dyDescent="0.25">
      <c r="A5245" s="354">
        <v>44104</v>
      </c>
      <c r="B5245" s="353" t="s">
        <v>1198</v>
      </c>
      <c r="C5245" s="353" t="s">
        <v>1060</v>
      </c>
      <c r="D5245" s="355">
        <v>4</v>
      </c>
      <c r="E5245" s="356">
        <v>-3352.94</v>
      </c>
      <c r="F5245" s="356">
        <v>33480.01</v>
      </c>
      <c r="G5245" s="353" t="s">
        <v>2469</v>
      </c>
      <c r="H5245" s="353" t="s">
        <v>2596</v>
      </c>
      <c r="I5245" s="353" t="s">
        <v>2440</v>
      </c>
      <c r="J5245" s="353" t="s">
        <v>757</v>
      </c>
      <c r="K5245" s="353" t="s">
        <v>741</v>
      </c>
      <c r="L5245" s="354">
        <v>44104</v>
      </c>
      <c r="M5245" s="357">
        <v>0</v>
      </c>
    </row>
    <row r="5246" spans="1:13" hidden="1" x14ac:dyDescent="0.25">
      <c r="A5246" s="354">
        <v>44118</v>
      </c>
      <c r="B5246" s="353" t="s">
        <v>2588</v>
      </c>
      <c r="C5246" s="353" t="s">
        <v>769</v>
      </c>
      <c r="D5246" s="355">
        <v>4</v>
      </c>
      <c r="E5246" s="356">
        <v>59.18</v>
      </c>
      <c r="F5246" s="356">
        <v>33539.19</v>
      </c>
      <c r="G5246" s="353" t="s">
        <v>2589</v>
      </c>
      <c r="H5246" s="353" t="s">
        <v>2596</v>
      </c>
      <c r="I5246" s="353" t="s">
        <v>2440</v>
      </c>
      <c r="J5246" s="353" t="s">
        <v>757</v>
      </c>
      <c r="K5246" s="353" t="s">
        <v>770</v>
      </c>
      <c r="L5246" s="354">
        <v>44118</v>
      </c>
      <c r="M5246" s="357">
        <v>0</v>
      </c>
    </row>
    <row r="5247" spans="1:13" hidden="1" x14ac:dyDescent="0.25">
      <c r="A5247" s="354">
        <v>44135</v>
      </c>
      <c r="B5247" s="353" t="s">
        <v>1200</v>
      </c>
      <c r="C5247" s="353" t="s">
        <v>1060</v>
      </c>
      <c r="D5247" s="355">
        <v>4</v>
      </c>
      <c r="E5247" s="356">
        <v>4392.3900000000003</v>
      </c>
      <c r="F5247" s="356">
        <v>37931.58</v>
      </c>
      <c r="G5247" s="353" t="s">
        <v>2445</v>
      </c>
      <c r="H5247" s="353" t="s">
        <v>2596</v>
      </c>
      <c r="I5247" s="353" t="s">
        <v>2440</v>
      </c>
      <c r="J5247" s="353" t="s">
        <v>757</v>
      </c>
      <c r="K5247" s="353" t="s">
        <v>741</v>
      </c>
      <c r="L5247" s="354">
        <v>44135</v>
      </c>
      <c r="M5247" s="357">
        <v>0</v>
      </c>
    </row>
    <row r="5248" spans="1:13" hidden="1" x14ac:dyDescent="0.25">
      <c r="A5248" s="354">
        <v>44135</v>
      </c>
      <c r="B5248" s="353" t="s">
        <v>1200</v>
      </c>
      <c r="C5248" s="353" t="s">
        <v>1060</v>
      </c>
      <c r="D5248" s="355">
        <v>5</v>
      </c>
      <c r="E5248" s="356">
        <v>-4392.3900000000003</v>
      </c>
      <c r="F5248" s="356">
        <v>33539.19</v>
      </c>
      <c r="G5248" s="353" t="s">
        <v>2445</v>
      </c>
      <c r="H5248" s="353" t="s">
        <v>2596</v>
      </c>
      <c r="I5248" s="353" t="s">
        <v>2440</v>
      </c>
      <c r="J5248" s="353" t="s">
        <v>757</v>
      </c>
      <c r="K5248" s="353" t="s">
        <v>741</v>
      </c>
      <c r="L5248" s="354">
        <v>44135</v>
      </c>
      <c r="M5248" s="357">
        <v>0</v>
      </c>
    </row>
    <row r="5249" spans="1:13" hidden="1" x14ac:dyDescent="0.25">
      <c r="A5249" s="354">
        <v>44165</v>
      </c>
      <c r="B5249" s="353" t="s">
        <v>1158</v>
      </c>
      <c r="C5249" s="353" t="s">
        <v>1060</v>
      </c>
      <c r="D5249" s="355">
        <v>5</v>
      </c>
      <c r="E5249" s="356">
        <v>5490.97</v>
      </c>
      <c r="F5249" s="356">
        <v>39030.160000000003</v>
      </c>
      <c r="G5249" s="353" t="s">
        <v>2448</v>
      </c>
      <c r="H5249" s="353" t="s">
        <v>2596</v>
      </c>
      <c r="I5249" s="353" t="s">
        <v>2440</v>
      </c>
      <c r="J5249" s="353" t="s">
        <v>757</v>
      </c>
      <c r="K5249" s="353" t="s">
        <v>741</v>
      </c>
      <c r="L5249" s="354">
        <v>44165</v>
      </c>
      <c r="M5249" s="357">
        <v>0</v>
      </c>
    </row>
    <row r="5250" spans="1:13" hidden="1" x14ac:dyDescent="0.25">
      <c r="A5250" s="354">
        <v>44165</v>
      </c>
      <c r="B5250" s="353" t="s">
        <v>1158</v>
      </c>
      <c r="C5250" s="353" t="s">
        <v>1060</v>
      </c>
      <c r="D5250" s="355">
        <v>6</v>
      </c>
      <c r="E5250" s="356">
        <v>-5490.97</v>
      </c>
      <c r="F5250" s="356">
        <v>33539.19</v>
      </c>
      <c r="G5250" s="353" t="s">
        <v>2448</v>
      </c>
      <c r="H5250" s="353" t="s">
        <v>2596</v>
      </c>
      <c r="I5250" s="353" t="s">
        <v>2440</v>
      </c>
      <c r="J5250" s="353" t="s">
        <v>757</v>
      </c>
      <c r="K5250" s="353" t="s">
        <v>741</v>
      </c>
      <c r="L5250" s="354">
        <v>44165</v>
      </c>
      <c r="M5250" s="357">
        <v>0</v>
      </c>
    </row>
    <row r="5251" spans="1:13" hidden="1" x14ac:dyDescent="0.25">
      <c r="A5251" s="354">
        <v>44166</v>
      </c>
      <c r="B5251" s="353" t="s">
        <v>2590</v>
      </c>
      <c r="C5251" s="353" t="s">
        <v>769</v>
      </c>
      <c r="D5251" s="355">
        <v>6</v>
      </c>
      <c r="E5251" s="356">
        <v>3077.22</v>
      </c>
      <c r="F5251" s="356">
        <v>36616.410000000003</v>
      </c>
      <c r="G5251" s="353" t="s">
        <v>2591</v>
      </c>
      <c r="H5251" s="353" t="s">
        <v>2596</v>
      </c>
      <c r="I5251" s="353" t="s">
        <v>2440</v>
      </c>
      <c r="J5251" s="353" t="s">
        <v>757</v>
      </c>
      <c r="K5251" s="353" t="s">
        <v>770</v>
      </c>
      <c r="L5251" s="354">
        <v>44166</v>
      </c>
      <c r="M5251" s="357">
        <v>0</v>
      </c>
    </row>
    <row r="5252" spans="1:13" hidden="1" x14ac:dyDescent="0.25">
      <c r="A5252" s="354">
        <v>44196</v>
      </c>
      <c r="B5252" s="353" t="s">
        <v>1160</v>
      </c>
      <c r="C5252" s="353" t="s">
        <v>1060</v>
      </c>
      <c r="D5252" s="355">
        <v>6</v>
      </c>
      <c r="E5252" s="356">
        <v>3512.32</v>
      </c>
      <c r="F5252" s="356">
        <v>40128.730000000003</v>
      </c>
      <c r="G5252" s="353" t="s">
        <v>2451</v>
      </c>
      <c r="H5252" s="353" t="s">
        <v>2596</v>
      </c>
      <c r="I5252" s="353" t="s">
        <v>2440</v>
      </c>
      <c r="J5252" s="353" t="s">
        <v>757</v>
      </c>
      <c r="K5252" s="353" t="s">
        <v>741</v>
      </c>
      <c r="L5252" s="354">
        <v>44196</v>
      </c>
      <c r="M5252" s="357">
        <v>0</v>
      </c>
    </row>
    <row r="5253" spans="1:13" hidden="1" x14ac:dyDescent="0.25">
      <c r="A5253" s="354">
        <v>44196</v>
      </c>
      <c r="B5253" s="353" t="s">
        <v>1160</v>
      </c>
      <c r="C5253" s="353" t="s">
        <v>1060</v>
      </c>
      <c r="D5253" s="355">
        <v>7</v>
      </c>
      <c r="E5253" s="356">
        <v>-3512.32</v>
      </c>
      <c r="F5253" s="356">
        <v>36616.410000000003</v>
      </c>
      <c r="G5253" s="353" t="s">
        <v>2451</v>
      </c>
      <c r="H5253" s="353" t="s">
        <v>2596</v>
      </c>
      <c r="I5253" s="353" t="s">
        <v>2440</v>
      </c>
      <c r="J5253" s="353" t="s">
        <v>757</v>
      </c>
      <c r="K5253" s="353" t="s">
        <v>741</v>
      </c>
      <c r="L5253" s="354">
        <v>44196</v>
      </c>
      <c r="M5253" s="357">
        <v>0</v>
      </c>
    </row>
    <row r="5254" spans="1:13" hidden="1" x14ac:dyDescent="0.25">
      <c r="A5254" s="354">
        <v>44209</v>
      </c>
      <c r="B5254" s="353" t="s">
        <v>2592</v>
      </c>
      <c r="C5254" s="353" t="s">
        <v>769</v>
      </c>
      <c r="D5254" s="355">
        <v>7</v>
      </c>
      <c r="E5254" s="356">
        <v>59.16</v>
      </c>
      <c r="F5254" s="356">
        <v>36675.57</v>
      </c>
      <c r="G5254" s="353" t="s">
        <v>2593</v>
      </c>
      <c r="H5254" s="353" t="s">
        <v>2596</v>
      </c>
      <c r="I5254" s="353" t="s">
        <v>2440</v>
      </c>
      <c r="J5254" s="353" t="s">
        <v>757</v>
      </c>
      <c r="K5254" s="353" t="s">
        <v>770</v>
      </c>
      <c r="L5254" s="354">
        <v>44209</v>
      </c>
      <c r="M5254" s="357">
        <v>0</v>
      </c>
    </row>
    <row r="5255" spans="1:13" hidden="1" x14ac:dyDescent="0.25">
      <c r="A5255" s="354">
        <v>44230</v>
      </c>
      <c r="B5255" s="353" t="s">
        <v>1166</v>
      </c>
      <c r="C5255" s="353" t="s">
        <v>1060</v>
      </c>
      <c r="D5255" s="355">
        <v>7</v>
      </c>
      <c r="E5255" s="356">
        <v>4551.7700000000004</v>
      </c>
      <c r="F5255" s="356">
        <v>41227.339999999997</v>
      </c>
      <c r="G5255" s="353" t="s">
        <v>2457</v>
      </c>
      <c r="H5255" s="353" t="s">
        <v>2596</v>
      </c>
      <c r="I5255" s="353" t="s">
        <v>2440</v>
      </c>
      <c r="J5255" s="353" t="s">
        <v>757</v>
      </c>
      <c r="K5255" s="353" t="s">
        <v>741</v>
      </c>
      <c r="L5255" s="354">
        <v>44230</v>
      </c>
      <c r="M5255" s="357">
        <v>0</v>
      </c>
    </row>
    <row r="5256" spans="1:13" hidden="1" x14ac:dyDescent="0.25">
      <c r="A5256" s="354">
        <v>44230</v>
      </c>
      <c r="B5256" s="353" t="s">
        <v>1166</v>
      </c>
      <c r="C5256" s="353" t="s">
        <v>1060</v>
      </c>
      <c r="D5256" s="355">
        <v>8</v>
      </c>
      <c r="E5256" s="356">
        <v>-4551.7700000000004</v>
      </c>
      <c r="F5256" s="356">
        <v>36675.57</v>
      </c>
      <c r="G5256" s="353" t="s">
        <v>2457</v>
      </c>
      <c r="H5256" s="353" t="s">
        <v>2596</v>
      </c>
      <c r="I5256" s="353" t="s">
        <v>2440</v>
      </c>
      <c r="J5256" s="353" t="s">
        <v>757</v>
      </c>
      <c r="K5256" s="353" t="s">
        <v>741</v>
      </c>
      <c r="L5256" s="354">
        <v>44230</v>
      </c>
      <c r="M5256" s="357">
        <v>0</v>
      </c>
    </row>
    <row r="5257" spans="1:13" hidden="1" x14ac:dyDescent="0.25">
      <c r="A5257" s="354">
        <v>44255</v>
      </c>
      <c r="B5257" s="353" t="s">
        <v>1178</v>
      </c>
      <c r="C5257" s="353" t="s">
        <v>1060</v>
      </c>
      <c r="D5257" s="355">
        <v>8</v>
      </c>
      <c r="E5257" s="356">
        <v>5650.35</v>
      </c>
      <c r="F5257" s="356">
        <v>42325.919999999998</v>
      </c>
      <c r="G5257" s="353" t="s">
        <v>2472</v>
      </c>
      <c r="H5257" s="353" t="s">
        <v>2596</v>
      </c>
      <c r="I5257" s="353" t="s">
        <v>2440</v>
      </c>
      <c r="J5257" s="353" t="s">
        <v>757</v>
      </c>
      <c r="K5257" s="353" t="s">
        <v>741</v>
      </c>
      <c r="L5257" s="354">
        <v>44255</v>
      </c>
      <c r="M5257" s="357">
        <v>0</v>
      </c>
    </row>
    <row r="5258" spans="1:13" hidden="1" x14ac:dyDescent="0.25">
      <c r="A5258" s="354">
        <v>44255</v>
      </c>
      <c r="B5258" s="353" t="s">
        <v>1178</v>
      </c>
      <c r="C5258" s="353" t="s">
        <v>1060</v>
      </c>
      <c r="D5258" s="355">
        <v>9</v>
      </c>
      <c r="E5258" s="356">
        <v>-5650.35</v>
      </c>
      <c r="F5258" s="356">
        <v>36675.57</v>
      </c>
      <c r="G5258" s="353" t="s">
        <v>2472</v>
      </c>
      <c r="H5258" s="353" t="s">
        <v>2596</v>
      </c>
      <c r="I5258" s="353" t="s">
        <v>2440</v>
      </c>
      <c r="J5258" s="353" t="s">
        <v>757</v>
      </c>
      <c r="K5258" s="353" t="s">
        <v>741</v>
      </c>
      <c r="L5258" s="354">
        <v>44255</v>
      </c>
      <c r="M5258" s="357">
        <v>0</v>
      </c>
    </row>
    <row r="5259" spans="1:13" hidden="1" x14ac:dyDescent="0.25">
      <c r="A5259" s="354">
        <v>44286</v>
      </c>
      <c r="B5259" s="353" t="s">
        <v>2475</v>
      </c>
      <c r="C5259" s="353" t="s">
        <v>1060</v>
      </c>
      <c r="D5259" s="355">
        <v>9</v>
      </c>
      <c r="E5259" s="356">
        <v>6748.93</v>
      </c>
      <c r="F5259" s="356">
        <v>43424.5</v>
      </c>
      <c r="G5259" s="353" t="s">
        <v>2476</v>
      </c>
      <c r="H5259" s="353" t="s">
        <v>2596</v>
      </c>
      <c r="I5259" s="353" t="s">
        <v>2440</v>
      </c>
      <c r="J5259" s="353" t="s">
        <v>757</v>
      </c>
      <c r="K5259" s="353" t="s">
        <v>741</v>
      </c>
      <c r="L5259" s="354">
        <v>44286</v>
      </c>
      <c r="M5259" s="357">
        <v>0</v>
      </c>
    </row>
    <row r="5260" spans="1:13" hidden="1" x14ac:dyDescent="0.25">
      <c r="A5260" s="354">
        <v>44286</v>
      </c>
      <c r="B5260" s="353" t="s">
        <v>2475</v>
      </c>
      <c r="C5260" s="353" t="s">
        <v>1060</v>
      </c>
      <c r="D5260" s="355">
        <v>10</v>
      </c>
      <c r="E5260" s="356">
        <v>-6748.93</v>
      </c>
      <c r="F5260" s="356">
        <v>36675.57</v>
      </c>
      <c r="G5260" s="353" t="s">
        <v>2476</v>
      </c>
      <c r="H5260" s="353" t="s">
        <v>2596</v>
      </c>
      <c r="I5260" s="353" t="s">
        <v>2440</v>
      </c>
      <c r="J5260" s="353" t="s">
        <v>757</v>
      </c>
      <c r="K5260" s="353" t="s">
        <v>741</v>
      </c>
      <c r="L5260" s="354">
        <v>44286</v>
      </c>
      <c r="M5260" s="357">
        <v>0</v>
      </c>
    </row>
    <row r="5261" spans="1:13" hidden="1" x14ac:dyDescent="0.25">
      <c r="A5261" s="354">
        <v>44298</v>
      </c>
      <c r="B5261" s="353" t="s">
        <v>2594</v>
      </c>
      <c r="C5261" s="353" t="s">
        <v>769</v>
      </c>
      <c r="D5261" s="355">
        <v>10</v>
      </c>
      <c r="E5261" s="356">
        <v>59.16</v>
      </c>
      <c r="F5261" s="356">
        <v>36734.730000000003</v>
      </c>
      <c r="G5261" s="353" t="s">
        <v>2595</v>
      </c>
      <c r="H5261" s="353" t="s">
        <v>2596</v>
      </c>
      <c r="I5261" s="353" t="s">
        <v>2440</v>
      </c>
      <c r="J5261" s="353" t="s">
        <v>757</v>
      </c>
      <c r="K5261" s="353" t="s">
        <v>770</v>
      </c>
      <c r="L5261" s="354">
        <v>44298</v>
      </c>
      <c r="M5261" s="357">
        <v>0</v>
      </c>
    </row>
    <row r="5262" spans="1:13" hidden="1" x14ac:dyDescent="0.25">
      <c r="A5262" s="354">
        <v>44316</v>
      </c>
      <c r="B5262" s="353" t="s">
        <v>1104</v>
      </c>
      <c r="C5262" s="353" t="s">
        <v>1060</v>
      </c>
      <c r="D5262" s="355">
        <v>10</v>
      </c>
      <c r="E5262" s="356">
        <v>7788.38</v>
      </c>
      <c r="F5262" s="356">
        <v>44523.11</v>
      </c>
      <c r="G5262" s="353" t="s">
        <v>1095</v>
      </c>
      <c r="H5262" s="353" t="s">
        <v>2596</v>
      </c>
      <c r="I5262" s="353" t="s">
        <v>2440</v>
      </c>
      <c r="J5262" s="353" t="s">
        <v>757</v>
      </c>
      <c r="K5262" s="353" t="s">
        <v>741</v>
      </c>
      <c r="L5262" s="354">
        <v>44316</v>
      </c>
      <c r="M5262" s="357">
        <v>0</v>
      </c>
    </row>
    <row r="5263" spans="1:13" hidden="1" x14ac:dyDescent="0.25">
      <c r="A5263" s="354">
        <v>44012</v>
      </c>
      <c r="B5263" s="353" t="s">
        <v>1141</v>
      </c>
      <c r="C5263" s="353" t="s">
        <v>1059</v>
      </c>
      <c r="D5263" s="355">
        <v>1</v>
      </c>
      <c r="E5263" s="356">
        <v>-2628.11</v>
      </c>
      <c r="F5263" s="356">
        <v>34106.620000000003</v>
      </c>
      <c r="G5263" s="353" t="s">
        <v>2482</v>
      </c>
      <c r="H5263" s="353" t="s">
        <v>2597</v>
      </c>
      <c r="I5263" s="353" t="s">
        <v>2440</v>
      </c>
      <c r="J5263" s="353" t="s">
        <v>757</v>
      </c>
      <c r="K5263" s="353" t="s">
        <v>741</v>
      </c>
      <c r="L5263" s="354">
        <v>44012</v>
      </c>
      <c r="M5263" s="357">
        <v>0</v>
      </c>
    </row>
    <row r="5264" spans="1:13" hidden="1" x14ac:dyDescent="0.25">
      <c r="A5264" s="354">
        <v>44025</v>
      </c>
      <c r="B5264" s="353" t="s">
        <v>2582</v>
      </c>
      <c r="C5264" s="353" t="s">
        <v>769</v>
      </c>
      <c r="D5264" s="355">
        <v>1</v>
      </c>
      <c r="E5264" s="356">
        <v>1264.94</v>
      </c>
      <c r="F5264" s="356">
        <v>35371.56</v>
      </c>
      <c r="G5264" s="353" t="s">
        <v>2583</v>
      </c>
      <c r="H5264" s="353" t="s">
        <v>2597</v>
      </c>
      <c r="I5264" s="353" t="s">
        <v>2440</v>
      </c>
      <c r="J5264" s="353" t="s">
        <v>757</v>
      </c>
      <c r="K5264" s="353" t="s">
        <v>770</v>
      </c>
      <c r="L5264" s="354">
        <v>44025</v>
      </c>
      <c r="M5264" s="357">
        <v>0</v>
      </c>
    </row>
    <row r="5265" spans="1:13" hidden="1" x14ac:dyDescent="0.25">
      <c r="A5265" s="354">
        <v>44032</v>
      </c>
      <c r="B5265" s="353" t="s">
        <v>2584</v>
      </c>
      <c r="C5265" s="353" t="s">
        <v>769</v>
      </c>
      <c r="D5265" s="355">
        <v>1</v>
      </c>
      <c r="E5265" s="356">
        <v>57.15</v>
      </c>
      <c r="F5265" s="356">
        <v>35428.71</v>
      </c>
      <c r="G5265" s="353" t="s">
        <v>2585</v>
      </c>
      <c r="H5265" s="353" t="s">
        <v>2597</v>
      </c>
      <c r="I5265" s="353" t="s">
        <v>2440</v>
      </c>
      <c r="J5265" s="353" t="s">
        <v>757</v>
      </c>
      <c r="K5265" s="353" t="s">
        <v>770</v>
      </c>
      <c r="L5265" s="354">
        <v>44032</v>
      </c>
      <c r="M5265" s="357">
        <v>0</v>
      </c>
    </row>
    <row r="5266" spans="1:13" hidden="1" x14ac:dyDescent="0.25">
      <c r="A5266" s="354">
        <v>44043</v>
      </c>
      <c r="B5266" s="353" t="s">
        <v>1143</v>
      </c>
      <c r="C5266" s="353" t="s">
        <v>1060</v>
      </c>
      <c r="D5266" s="355">
        <v>1</v>
      </c>
      <c r="E5266" s="356">
        <v>1774.59</v>
      </c>
      <c r="F5266" s="356">
        <v>37203.300000000003</v>
      </c>
      <c r="G5266" s="353" t="s">
        <v>2466</v>
      </c>
      <c r="H5266" s="353" t="s">
        <v>2597</v>
      </c>
      <c r="I5266" s="353" t="s">
        <v>2440</v>
      </c>
      <c r="J5266" s="353" t="s">
        <v>757</v>
      </c>
      <c r="K5266" s="353" t="s">
        <v>741</v>
      </c>
      <c r="L5266" s="354">
        <v>44043</v>
      </c>
      <c r="M5266" s="357">
        <v>0</v>
      </c>
    </row>
    <row r="5267" spans="1:13" hidden="1" x14ac:dyDescent="0.25">
      <c r="A5267" s="354">
        <v>44043</v>
      </c>
      <c r="B5267" s="353" t="s">
        <v>1143</v>
      </c>
      <c r="C5267" s="353" t="s">
        <v>1060</v>
      </c>
      <c r="D5267" s="355">
        <v>2</v>
      </c>
      <c r="E5267" s="356">
        <v>-1774.59</v>
      </c>
      <c r="F5267" s="356">
        <v>35428.71</v>
      </c>
      <c r="G5267" s="353" t="s">
        <v>2466</v>
      </c>
      <c r="H5267" s="353" t="s">
        <v>2597</v>
      </c>
      <c r="I5267" s="353" t="s">
        <v>2440</v>
      </c>
      <c r="J5267" s="353" t="s">
        <v>757</v>
      </c>
      <c r="K5267" s="353" t="s">
        <v>741</v>
      </c>
      <c r="L5267" s="354">
        <v>44043</v>
      </c>
      <c r="M5267" s="357">
        <v>0</v>
      </c>
    </row>
    <row r="5268" spans="1:13" hidden="1" x14ac:dyDescent="0.25">
      <c r="A5268" s="354">
        <v>44056</v>
      </c>
      <c r="B5268" s="353" t="s">
        <v>2586</v>
      </c>
      <c r="C5268" s="353" t="s">
        <v>769</v>
      </c>
      <c r="D5268" s="355">
        <v>2</v>
      </c>
      <c r="E5268" s="356">
        <v>1282.18</v>
      </c>
      <c r="F5268" s="356">
        <v>36710.89</v>
      </c>
      <c r="G5268" s="353" t="s">
        <v>2587</v>
      </c>
      <c r="H5268" s="353" t="s">
        <v>2597</v>
      </c>
      <c r="I5268" s="353" t="s">
        <v>2440</v>
      </c>
      <c r="J5268" s="353" t="s">
        <v>757</v>
      </c>
      <c r="K5268" s="353" t="s">
        <v>770</v>
      </c>
      <c r="L5268" s="354">
        <v>44056</v>
      </c>
      <c r="M5268" s="357">
        <v>0</v>
      </c>
    </row>
    <row r="5269" spans="1:13" hidden="1" x14ac:dyDescent="0.25">
      <c r="A5269" s="354">
        <v>44074</v>
      </c>
      <c r="B5269" s="353" t="s">
        <v>1147</v>
      </c>
      <c r="C5269" s="353" t="s">
        <v>1060</v>
      </c>
      <c r="D5269" s="355">
        <v>2</v>
      </c>
      <c r="E5269" s="356">
        <v>1388.39</v>
      </c>
      <c r="F5269" s="356">
        <v>38099.279999999999</v>
      </c>
      <c r="G5269" s="353" t="s">
        <v>2468</v>
      </c>
      <c r="H5269" s="353" t="s">
        <v>2597</v>
      </c>
      <c r="I5269" s="353" t="s">
        <v>2440</v>
      </c>
      <c r="J5269" s="353" t="s">
        <v>757</v>
      </c>
      <c r="K5269" s="353" t="s">
        <v>741</v>
      </c>
      <c r="L5269" s="354">
        <v>44074</v>
      </c>
      <c r="M5269" s="357">
        <v>0</v>
      </c>
    </row>
    <row r="5270" spans="1:13" hidden="1" x14ac:dyDescent="0.25">
      <c r="A5270" s="354">
        <v>44074</v>
      </c>
      <c r="B5270" s="353" t="s">
        <v>1147</v>
      </c>
      <c r="C5270" s="353" t="s">
        <v>1060</v>
      </c>
      <c r="D5270" s="355">
        <v>3</v>
      </c>
      <c r="E5270" s="356">
        <v>-1388.39</v>
      </c>
      <c r="F5270" s="356">
        <v>36710.89</v>
      </c>
      <c r="G5270" s="353" t="s">
        <v>2468</v>
      </c>
      <c r="H5270" s="353" t="s">
        <v>2597</v>
      </c>
      <c r="I5270" s="353" t="s">
        <v>2440</v>
      </c>
      <c r="J5270" s="353" t="s">
        <v>757</v>
      </c>
      <c r="K5270" s="353" t="s">
        <v>741</v>
      </c>
      <c r="L5270" s="354">
        <v>44074</v>
      </c>
      <c r="M5270" s="357">
        <v>0</v>
      </c>
    </row>
    <row r="5271" spans="1:13" hidden="1" x14ac:dyDescent="0.25">
      <c r="A5271" s="354">
        <v>44104</v>
      </c>
      <c r="B5271" s="353" t="s">
        <v>1198</v>
      </c>
      <c r="C5271" s="353" t="s">
        <v>1060</v>
      </c>
      <c r="D5271" s="355">
        <v>3</v>
      </c>
      <c r="E5271" s="356">
        <v>1431.55</v>
      </c>
      <c r="F5271" s="356">
        <v>38142.44</v>
      </c>
      <c r="G5271" s="353" t="s">
        <v>2469</v>
      </c>
      <c r="H5271" s="353" t="s">
        <v>2597</v>
      </c>
      <c r="I5271" s="353" t="s">
        <v>2440</v>
      </c>
      <c r="J5271" s="353" t="s">
        <v>757</v>
      </c>
      <c r="K5271" s="353" t="s">
        <v>741</v>
      </c>
      <c r="L5271" s="354">
        <v>44104</v>
      </c>
      <c r="M5271" s="357">
        <v>0</v>
      </c>
    </row>
    <row r="5272" spans="1:13" hidden="1" x14ac:dyDescent="0.25">
      <c r="A5272" s="354">
        <v>44104</v>
      </c>
      <c r="B5272" s="353" t="s">
        <v>1198</v>
      </c>
      <c r="C5272" s="353" t="s">
        <v>1060</v>
      </c>
      <c r="D5272" s="355">
        <v>4</v>
      </c>
      <c r="E5272" s="356">
        <v>-1431.55</v>
      </c>
      <c r="F5272" s="356">
        <v>36710.89</v>
      </c>
      <c r="G5272" s="353" t="s">
        <v>2469</v>
      </c>
      <c r="H5272" s="353" t="s">
        <v>2597</v>
      </c>
      <c r="I5272" s="353" t="s">
        <v>2440</v>
      </c>
      <c r="J5272" s="353" t="s">
        <v>757</v>
      </c>
      <c r="K5272" s="353" t="s">
        <v>741</v>
      </c>
      <c r="L5272" s="354">
        <v>44104</v>
      </c>
      <c r="M5272" s="357">
        <v>0</v>
      </c>
    </row>
    <row r="5273" spans="1:13" hidden="1" x14ac:dyDescent="0.25">
      <c r="A5273" s="354">
        <v>44118</v>
      </c>
      <c r="B5273" s="353" t="s">
        <v>2588</v>
      </c>
      <c r="C5273" s="353" t="s">
        <v>769</v>
      </c>
      <c r="D5273" s="355">
        <v>4</v>
      </c>
      <c r="E5273" s="356">
        <v>59.15</v>
      </c>
      <c r="F5273" s="356">
        <v>36770.04</v>
      </c>
      <c r="G5273" s="353" t="s">
        <v>2589</v>
      </c>
      <c r="H5273" s="353" t="s">
        <v>2597</v>
      </c>
      <c r="I5273" s="353" t="s">
        <v>2440</v>
      </c>
      <c r="J5273" s="353" t="s">
        <v>757</v>
      </c>
      <c r="K5273" s="353" t="s">
        <v>770</v>
      </c>
      <c r="L5273" s="354">
        <v>44118</v>
      </c>
      <c r="M5273" s="357">
        <v>0</v>
      </c>
    </row>
    <row r="5274" spans="1:13" hidden="1" x14ac:dyDescent="0.25">
      <c r="A5274" s="354">
        <v>44135</v>
      </c>
      <c r="B5274" s="353" t="s">
        <v>1200</v>
      </c>
      <c r="C5274" s="353" t="s">
        <v>1060</v>
      </c>
      <c r="D5274" s="355">
        <v>4</v>
      </c>
      <c r="E5274" s="356">
        <v>1841.66</v>
      </c>
      <c r="F5274" s="356">
        <v>38611.699999999997</v>
      </c>
      <c r="G5274" s="353" t="s">
        <v>2445</v>
      </c>
      <c r="H5274" s="353" t="s">
        <v>2597</v>
      </c>
      <c r="I5274" s="353" t="s">
        <v>2440</v>
      </c>
      <c r="J5274" s="353" t="s">
        <v>757</v>
      </c>
      <c r="K5274" s="353" t="s">
        <v>741</v>
      </c>
      <c r="L5274" s="354">
        <v>44135</v>
      </c>
      <c r="M5274" s="357">
        <v>0</v>
      </c>
    </row>
    <row r="5275" spans="1:13" hidden="1" x14ac:dyDescent="0.25">
      <c r="A5275" s="354">
        <v>44135</v>
      </c>
      <c r="B5275" s="353" t="s">
        <v>1200</v>
      </c>
      <c r="C5275" s="353" t="s">
        <v>1060</v>
      </c>
      <c r="D5275" s="355">
        <v>5</v>
      </c>
      <c r="E5275" s="356">
        <v>-1841.66</v>
      </c>
      <c r="F5275" s="356">
        <v>36770.04</v>
      </c>
      <c r="G5275" s="353" t="s">
        <v>2445</v>
      </c>
      <c r="H5275" s="353" t="s">
        <v>2597</v>
      </c>
      <c r="I5275" s="353" t="s">
        <v>2440</v>
      </c>
      <c r="J5275" s="353" t="s">
        <v>757</v>
      </c>
      <c r="K5275" s="353" t="s">
        <v>741</v>
      </c>
      <c r="L5275" s="354">
        <v>44135</v>
      </c>
      <c r="M5275" s="357">
        <v>0</v>
      </c>
    </row>
    <row r="5276" spans="1:13" hidden="1" x14ac:dyDescent="0.25">
      <c r="A5276" s="354">
        <v>44165</v>
      </c>
      <c r="B5276" s="353" t="s">
        <v>1158</v>
      </c>
      <c r="C5276" s="353" t="s">
        <v>1060</v>
      </c>
      <c r="D5276" s="355">
        <v>5</v>
      </c>
      <c r="E5276" s="356">
        <v>2310.9</v>
      </c>
      <c r="F5276" s="356">
        <v>39080.94</v>
      </c>
      <c r="G5276" s="353" t="s">
        <v>2448</v>
      </c>
      <c r="H5276" s="353" t="s">
        <v>2597</v>
      </c>
      <c r="I5276" s="353" t="s">
        <v>2440</v>
      </c>
      <c r="J5276" s="353" t="s">
        <v>757</v>
      </c>
      <c r="K5276" s="353" t="s">
        <v>741</v>
      </c>
      <c r="L5276" s="354">
        <v>44165</v>
      </c>
      <c r="M5276" s="357">
        <v>0</v>
      </c>
    </row>
    <row r="5277" spans="1:13" hidden="1" x14ac:dyDescent="0.25">
      <c r="A5277" s="354">
        <v>44165</v>
      </c>
      <c r="B5277" s="353" t="s">
        <v>1158</v>
      </c>
      <c r="C5277" s="353" t="s">
        <v>1060</v>
      </c>
      <c r="D5277" s="355">
        <v>6</v>
      </c>
      <c r="E5277" s="356">
        <v>-2310.9</v>
      </c>
      <c r="F5277" s="356">
        <v>36770.04</v>
      </c>
      <c r="G5277" s="353" t="s">
        <v>2448</v>
      </c>
      <c r="H5277" s="353" t="s">
        <v>2597</v>
      </c>
      <c r="I5277" s="353" t="s">
        <v>2440</v>
      </c>
      <c r="J5277" s="353" t="s">
        <v>757</v>
      </c>
      <c r="K5277" s="353" t="s">
        <v>741</v>
      </c>
      <c r="L5277" s="354">
        <v>44165</v>
      </c>
      <c r="M5277" s="357">
        <v>0</v>
      </c>
    </row>
    <row r="5278" spans="1:13" hidden="1" x14ac:dyDescent="0.25">
      <c r="A5278" s="354">
        <v>44166</v>
      </c>
      <c r="B5278" s="353" t="s">
        <v>2590</v>
      </c>
      <c r="C5278" s="353" t="s">
        <v>769</v>
      </c>
      <c r="D5278" s="355">
        <v>6</v>
      </c>
      <c r="E5278" s="356">
        <v>1282.18</v>
      </c>
      <c r="F5278" s="356">
        <v>38052.22</v>
      </c>
      <c r="G5278" s="353" t="s">
        <v>2591</v>
      </c>
      <c r="H5278" s="353" t="s">
        <v>2597</v>
      </c>
      <c r="I5278" s="353" t="s">
        <v>2440</v>
      </c>
      <c r="J5278" s="353" t="s">
        <v>757</v>
      </c>
      <c r="K5278" s="353" t="s">
        <v>770</v>
      </c>
      <c r="L5278" s="354">
        <v>44166</v>
      </c>
      <c r="M5278" s="357">
        <v>0</v>
      </c>
    </row>
    <row r="5279" spans="1:13" hidden="1" x14ac:dyDescent="0.25">
      <c r="A5279" s="354">
        <v>44196</v>
      </c>
      <c r="B5279" s="353" t="s">
        <v>1160</v>
      </c>
      <c r="C5279" s="353" t="s">
        <v>1060</v>
      </c>
      <c r="D5279" s="355">
        <v>6</v>
      </c>
      <c r="E5279" s="356">
        <v>1497.96</v>
      </c>
      <c r="F5279" s="356">
        <v>39550.18</v>
      </c>
      <c r="G5279" s="353" t="s">
        <v>2451</v>
      </c>
      <c r="H5279" s="353" t="s">
        <v>2597</v>
      </c>
      <c r="I5279" s="353" t="s">
        <v>2440</v>
      </c>
      <c r="J5279" s="353" t="s">
        <v>757</v>
      </c>
      <c r="K5279" s="353" t="s">
        <v>741</v>
      </c>
      <c r="L5279" s="354">
        <v>44196</v>
      </c>
      <c r="M5279" s="357">
        <v>0</v>
      </c>
    </row>
    <row r="5280" spans="1:13" hidden="1" x14ac:dyDescent="0.25">
      <c r="A5280" s="354">
        <v>44196</v>
      </c>
      <c r="B5280" s="353" t="s">
        <v>1160</v>
      </c>
      <c r="C5280" s="353" t="s">
        <v>1060</v>
      </c>
      <c r="D5280" s="355">
        <v>7</v>
      </c>
      <c r="E5280" s="356">
        <v>-1497.96</v>
      </c>
      <c r="F5280" s="356">
        <v>38052.22</v>
      </c>
      <c r="G5280" s="353" t="s">
        <v>2451</v>
      </c>
      <c r="H5280" s="353" t="s">
        <v>2597</v>
      </c>
      <c r="I5280" s="353" t="s">
        <v>2440</v>
      </c>
      <c r="J5280" s="353" t="s">
        <v>757</v>
      </c>
      <c r="K5280" s="353" t="s">
        <v>741</v>
      </c>
      <c r="L5280" s="354">
        <v>44196</v>
      </c>
      <c r="M5280" s="357">
        <v>0</v>
      </c>
    </row>
    <row r="5281" spans="1:13" hidden="1" x14ac:dyDescent="0.25">
      <c r="A5281" s="354">
        <v>44209</v>
      </c>
      <c r="B5281" s="353" t="s">
        <v>2592</v>
      </c>
      <c r="C5281" s="353" t="s">
        <v>769</v>
      </c>
      <c r="D5281" s="355">
        <v>7</v>
      </c>
      <c r="E5281" s="356">
        <v>59.15</v>
      </c>
      <c r="F5281" s="356">
        <v>38111.370000000003</v>
      </c>
      <c r="G5281" s="353" t="s">
        <v>2593</v>
      </c>
      <c r="H5281" s="353" t="s">
        <v>2597</v>
      </c>
      <c r="I5281" s="353" t="s">
        <v>2440</v>
      </c>
      <c r="J5281" s="353" t="s">
        <v>757</v>
      </c>
      <c r="K5281" s="353" t="s">
        <v>770</v>
      </c>
      <c r="L5281" s="354">
        <v>44209</v>
      </c>
      <c r="M5281" s="357">
        <v>0</v>
      </c>
    </row>
    <row r="5282" spans="1:13" hidden="1" x14ac:dyDescent="0.25">
      <c r="A5282" s="354">
        <v>44230</v>
      </c>
      <c r="B5282" s="353" t="s">
        <v>1166</v>
      </c>
      <c r="C5282" s="353" t="s">
        <v>1060</v>
      </c>
      <c r="D5282" s="355">
        <v>7</v>
      </c>
      <c r="E5282" s="356">
        <v>1908.07</v>
      </c>
      <c r="F5282" s="356">
        <v>40019.440000000002</v>
      </c>
      <c r="G5282" s="353" t="s">
        <v>2457</v>
      </c>
      <c r="H5282" s="353" t="s">
        <v>2597</v>
      </c>
      <c r="I5282" s="353" t="s">
        <v>2440</v>
      </c>
      <c r="J5282" s="353" t="s">
        <v>757</v>
      </c>
      <c r="K5282" s="353" t="s">
        <v>741</v>
      </c>
      <c r="L5282" s="354">
        <v>44230</v>
      </c>
      <c r="M5282" s="357">
        <v>0</v>
      </c>
    </row>
    <row r="5283" spans="1:13" hidden="1" x14ac:dyDescent="0.25">
      <c r="A5283" s="354">
        <v>44230</v>
      </c>
      <c r="B5283" s="353" t="s">
        <v>1166</v>
      </c>
      <c r="C5283" s="353" t="s">
        <v>1060</v>
      </c>
      <c r="D5283" s="355">
        <v>8</v>
      </c>
      <c r="E5283" s="356">
        <v>-1908.07</v>
      </c>
      <c r="F5283" s="356">
        <v>38111.370000000003</v>
      </c>
      <c r="G5283" s="353" t="s">
        <v>2457</v>
      </c>
      <c r="H5283" s="353" t="s">
        <v>2597</v>
      </c>
      <c r="I5283" s="353" t="s">
        <v>2440</v>
      </c>
      <c r="J5283" s="353" t="s">
        <v>757</v>
      </c>
      <c r="K5283" s="353" t="s">
        <v>741</v>
      </c>
      <c r="L5283" s="354">
        <v>44230</v>
      </c>
      <c r="M5283" s="357">
        <v>0</v>
      </c>
    </row>
    <row r="5284" spans="1:13" hidden="1" x14ac:dyDescent="0.25">
      <c r="A5284" s="354">
        <v>44255</v>
      </c>
      <c r="B5284" s="353" t="s">
        <v>1178</v>
      </c>
      <c r="C5284" s="353" t="s">
        <v>1060</v>
      </c>
      <c r="D5284" s="355">
        <v>8</v>
      </c>
      <c r="E5284" s="356">
        <v>2377.31</v>
      </c>
      <c r="F5284" s="356">
        <v>40488.68</v>
      </c>
      <c r="G5284" s="353" t="s">
        <v>2472</v>
      </c>
      <c r="H5284" s="353" t="s">
        <v>2597</v>
      </c>
      <c r="I5284" s="353" t="s">
        <v>2440</v>
      </c>
      <c r="J5284" s="353" t="s">
        <v>757</v>
      </c>
      <c r="K5284" s="353" t="s">
        <v>741</v>
      </c>
      <c r="L5284" s="354">
        <v>44255</v>
      </c>
      <c r="M5284" s="357">
        <v>0</v>
      </c>
    </row>
    <row r="5285" spans="1:13" hidden="1" x14ac:dyDescent="0.25">
      <c r="A5285" s="354">
        <v>44255</v>
      </c>
      <c r="B5285" s="353" t="s">
        <v>1178</v>
      </c>
      <c r="C5285" s="353" t="s">
        <v>1060</v>
      </c>
      <c r="D5285" s="355">
        <v>9</v>
      </c>
      <c r="E5285" s="356">
        <v>-2377.31</v>
      </c>
      <c r="F5285" s="356">
        <v>38111.370000000003</v>
      </c>
      <c r="G5285" s="353" t="s">
        <v>2472</v>
      </c>
      <c r="H5285" s="353" t="s">
        <v>2597</v>
      </c>
      <c r="I5285" s="353" t="s">
        <v>2440</v>
      </c>
      <c r="J5285" s="353" t="s">
        <v>757</v>
      </c>
      <c r="K5285" s="353" t="s">
        <v>741</v>
      </c>
      <c r="L5285" s="354">
        <v>44255</v>
      </c>
      <c r="M5285" s="357">
        <v>0</v>
      </c>
    </row>
    <row r="5286" spans="1:13" hidden="1" x14ac:dyDescent="0.25">
      <c r="A5286" s="354">
        <v>44286</v>
      </c>
      <c r="B5286" s="353" t="s">
        <v>2475</v>
      </c>
      <c r="C5286" s="353" t="s">
        <v>1060</v>
      </c>
      <c r="D5286" s="355">
        <v>9</v>
      </c>
      <c r="E5286" s="356">
        <v>2846.55</v>
      </c>
      <c r="F5286" s="356">
        <v>40957.919999999998</v>
      </c>
      <c r="G5286" s="353" t="s">
        <v>2476</v>
      </c>
      <c r="H5286" s="353" t="s">
        <v>2597</v>
      </c>
      <c r="I5286" s="353" t="s">
        <v>2440</v>
      </c>
      <c r="J5286" s="353" t="s">
        <v>757</v>
      </c>
      <c r="K5286" s="353" t="s">
        <v>741</v>
      </c>
      <c r="L5286" s="354">
        <v>44286</v>
      </c>
      <c r="M5286" s="357">
        <v>0</v>
      </c>
    </row>
    <row r="5287" spans="1:13" hidden="1" x14ac:dyDescent="0.25">
      <c r="A5287" s="354">
        <v>44286</v>
      </c>
      <c r="B5287" s="353" t="s">
        <v>2475</v>
      </c>
      <c r="C5287" s="353" t="s">
        <v>1060</v>
      </c>
      <c r="D5287" s="355">
        <v>10</v>
      </c>
      <c r="E5287" s="356">
        <v>-2846.55</v>
      </c>
      <c r="F5287" s="356">
        <v>38111.370000000003</v>
      </c>
      <c r="G5287" s="353" t="s">
        <v>2476</v>
      </c>
      <c r="H5287" s="353" t="s">
        <v>2597</v>
      </c>
      <c r="I5287" s="353" t="s">
        <v>2440</v>
      </c>
      <c r="J5287" s="353" t="s">
        <v>757</v>
      </c>
      <c r="K5287" s="353" t="s">
        <v>741</v>
      </c>
      <c r="L5287" s="354">
        <v>44286</v>
      </c>
      <c r="M5287" s="357">
        <v>0</v>
      </c>
    </row>
    <row r="5288" spans="1:13" hidden="1" x14ac:dyDescent="0.25">
      <c r="A5288" s="354">
        <v>44298</v>
      </c>
      <c r="B5288" s="353" t="s">
        <v>2594</v>
      </c>
      <c r="C5288" s="353" t="s">
        <v>769</v>
      </c>
      <c r="D5288" s="355">
        <v>10</v>
      </c>
      <c r="E5288" s="356">
        <v>59.16</v>
      </c>
      <c r="F5288" s="356">
        <v>38170.53</v>
      </c>
      <c r="G5288" s="353" t="s">
        <v>2595</v>
      </c>
      <c r="H5288" s="353" t="s">
        <v>2597</v>
      </c>
      <c r="I5288" s="353" t="s">
        <v>2440</v>
      </c>
      <c r="J5288" s="353" t="s">
        <v>757</v>
      </c>
      <c r="K5288" s="353" t="s">
        <v>770</v>
      </c>
      <c r="L5288" s="354">
        <v>44298</v>
      </c>
      <c r="M5288" s="357">
        <v>0</v>
      </c>
    </row>
    <row r="5289" spans="1:13" hidden="1" x14ac:dyDescent="0.25">
      <c r="A5289" s="354">
        <v>44316</v>
      </c>
      <c r="B5289" s="353" t="s">
        <v>1104</v>
      </c>
      <c r="C5289" s="353" t="s">
        <v>1060</v>
      </c>
      <c r="D5289" s="355">
        <v>10</v>
      </c>
      <c r="E5289" s="356">
        <v>3256.66</v>
      </c>
      <c r="F5289" s="356">
        <v>41427.19</v>
      </c>
      <c r="G5289" s="353" t="s">
        <v>1095</v>
      </c>
      <c r="H5289" s="353" t="s">
        <v>2597</v>
      </c>
      <c r="I5289" s="353" t="s">
        <v>2440</v>
      </c>
      <c r="J5289" s="353" t="s">
        <v>757</v>
      </c>
      <c r="K5289" s="353" t="s">
        <v>741</v>
      </c>
      <c r="L5289" s="354">
        <v>44316</v>
      </c>
      <c r="M5289" s="357">
        <v>0</v>
      </c>
    </row>
    <row r="5290" spans="1:13" hidden="1" x14ac:dyDescent="0.25">
      <c r="A5290" s="354">
        <v>44228</v>
      </c>
      <c r="B5290" s="353" t="s">
        <v>2598</v>
      </c>
      <c r="C5290" s="353" t="s">
        <v>769</v>
      </c>
      <c r="D5290" s="355">
        <v>8</v>
      </c>
      <c r="E5290" s="356">
        <v>826.1</v>
      </c>
      <c r="F5290" s="356">
        <v>38996.629999999997</v>
      </c>
      <c r="G5290" s="353" t="s">
        <v>2599</v>
      </c>
      <c r="H5290" s="353" t="s">
        <v>2600</v>
      </c>
      <c r="I5290" s="353" t="s">
        <v>2440</v>
      </c>
      <c r="J5290" s="353" t="s">
        <v>757</v>
      </c>
      <c r="K5290" s="353" t="s">
        <v>770</v>
      </c>
      <c r="L5290" s="354">
        <v>44228</v>
      </c>
      <c r="M5290" s="357">
        <v>0</v>
      </c>
    </row>
    <row r="5291" spans="1:13" hidden="1" x14ac:dyDescent="0.25">
      <c r="A5291" s="354">
        <v>44228</v>
      </c>
      <c r="B5291" s="353" t="s">
        <v>2601</v>
      </c>
      <c r="C5291" s="353" t="s">
        <v>769</v>
      </c>
      <c r="D5291" s="355">
        <v>8</v>
      </c>
      <c r="E5291" s="356">
        <v>826.1</v>
      </c>
      <c r="F5291" s="356">
        <v>39822.730000000003</v>
      </c>
      <c r="G5291" s="353" t="s">
        <v>2602</v>
      </c>
      <c r="H5291" s="353" t="s">
        <v>2603</v>
      </c>
      <c r="I5291" s="353" t="s">
        <v>2440</v>
      </c>
      <c r="J5291" s="353" t="s">
        <v>757</v>
      </c>
      <c r="K5291" s="353" t="s">
        <v>770</v>
      </c>
      <c r="L5291" s="354">
        <v>44228</v>
      </c>
      <c r="M5291" s="357">
        <v>0</v>
      </c>
    </row>
    <row r="5292" spans="1:13" hidden="1" x14ac:dyDescent="0.25">
      <c r="A5292" s="354">
        <v>44012</v>
      </c>
      <c r="B5292" s="353" t="s">
        <v>1141</v>
      </c>
      <c r="C5292" s="353" t="s">
        <v>1059</v>
      </c>
      <c r="D5292" s="355">
        <v>1</v>
      </c>
      <c r="E5292" s="356">
        <v>-20151.8</v>
      </c>
      <c r="F5292" s="356">
        <v>19670.93</v>
      </c>
      <c r="G5292" s="353" t="s">
        <v>2482</v>
      </c>
      <c r="H5292" s="353" t="s">
        <v>2604</v>
      </c>
      <c r="I5292" s="353" t="s">
        <v>2440</v>
      </c>
      <c r="J5292" s="353" t="s">
        <v>757</v>
      </c>
      <c r="K5292" s="353" t="s">
        <v>741</v>
      </c>
      <c r="L5292" s="354">
        <v>44012</v>
      </c>
      <c r="M5292" s="357">
        <v>0</v>
      </c>
    </row>
    <row r="5293" spans="1:13" hidden="1" x14ac:dyDescent="0.25">
      <c r="A5293" s="354">
        <v>44043</v>
      </c>
      <c r="B5293" s="353" t="s">
        <v>1143</v>
      </c>
      <c r="C5293" s="353" t="s">
        <v>1060</v>
      </c>
      <c r="D5293" s="355">
        <v>1</v>
      </c>
      <c r="E5293" s="356">
        <v>21348.11</v>
      </c>
      <c r="F5293" s="356">
        <v>41019.040000000001</v>
      </c>
      <c r="G5293" s="353" t="s">
        <v>2466</v>
      </c>
      <c r="H5293" s="353" t="s">
        <v>2604</v>
      </c>
      <c r="I5293" s="353" t="s">
        <v>2440</v>
      </c>
      <c r="J5293" s="353" t="s">
        <v>757</v>
      </c>
      <c r="K5293" s="353" t="s">
        <v>741</v>
      </c>
      <c r="L5293" s="354">
        <v>44043</v>
      </c>
      <c r="M5293" s="357">
        <v>0</v>
      </c>
    </row>
    <row r="5294" spans="1:13" hidden="1" x14ac:dyDescent="0.25">
      <c r="A5294" s="354">
        <v>44043</v>
      </c>
      <c r="B5294" s="353" t="s">
        <v>1143</v>
      </c>
      <c r="C5294" s="353" t="s">
        <v>1060</v>
      </c>
      <c r="D5294" s="355">
        <v>2</v>
      </c>
      <c r="E5294" s="356">
        <v>-21348.11</v>
      </c>
      <c r="F5294" s="356">
        <v>19670.93</v>
      </c>
      <c r="G5294" s="353" t="s">
        <v>2466</v>
      </c>
      <c r="H5294" s="353" t="s">
        <v>2604</v>
      </c>
      <c r="I5294" s="353" t="s">
        <v>2440</v>
      </c>
      <c r="J5294" s="353" t="s">
        <v>757</v>
      </c>
      <c r="K5294" s="353" t="s">
        <v>741</v>
      </c>
      <c r="L5294" s="354">
        <v>44043</v>
      </c>
      <c r="M5294" s="357">
        <v>0</v>
      </c>
    </row>
    <row r="5295" spans="1:13" hidden="1" x14ac:dyDescent="0.25">
      <c r="A5295" s="354">
        <v>44074</v>
      </c>
      <c r="B5295" s="353" t="s">
        <v>1147</v>
      </c>
      <c r="C5295" s="353" t="s">
        <v>1060</v>
      </c>
      <c r="D5295" s="355">
        <v>2</v>
      </c>
      <c r="E5295" s="356">
        <v>21536.83</v>
      </c>
      <c r="F5295" s="356">
        <v>41207.760000000002</v>
      </c>
      <c r="G5295" s="353" t="s">
        <v>2468</v>
      </c>
      <c r="H5295" s="353" t="s">
        <v>2604</v>
      </c>
      <c r="I5295" s="353" t="s">
        <v>2440</v>
      </c>
      <c r="J5295" s="353" t="s">
        <v>757</v>
      </c>
      <c r="K5295" s="353" t="s">
        <v>741</v>
      </c>
      <c r="L5295" s="354">
        <v>44074</v>
      </c>
      <c r="M5295" s="357">
        <v>0</v>
      </c>
    </row>
    <row r="5296" spans="1:13" hidden="1" x14ac:dyDescent="0.25">
      <c r="A5296" s="354">
        <v>44074</v>
      </c>
      <c r="B5296" s="353" t="s">
        <v>2605</v>
      </c>
      <c r="C5296" s="353" t="s">
        <v>1060</v>
      </c>
      <c r="D5296" s="355">
        <v>2</v>
      </c>
      <c r="E5296" s="356">
        <v>1007.59</v>
      </c>
      <c r="F5296" s="356">
        <v>42215.35</v>
      </c>
      <c r="G5296" s="353" t="s">
        <v>2468</v>
      </c>
      <c r="H5296" s="353" t="s">
        <v>2604</v>
      </c>
      <c r="I5296" s="353" t="s">
        <v>2440</v>
      </c>
      <c r="J5296" s="353" t="s">
        <v>757</v>
      </c>
      <c r="K5296" s="353" t="s">
        <v>741</v>
      </c>
      <c r="L5296" s="354">
        <v>44074</v>
      </c>
      <c r="M5296" s="357">
        <v>0</v>
      </c>
    </row>
    <row r="5297" spans="1:13" hidden="1" x14ac:dyDescent="0.25">
      <c r="A5297" s="354">
        <v>44074</v>
      </c>
      <c r="B5297" s="353" t="s">
        <v>1147</v>
      </c>
      <c r="C5297" s="353" t="s">
        <v>1060</v>
      </c>
      <c r="D5297" s="355">
        <v>3</v>
      </c>
      <c r="E5297" s="356">
        <v>-21536.83</v>
      </c>
      <c r="F5297" s="356">
        <v>20678.52</v>
      </c>
      <c r="G5297" s="353" t="s">
        <v>2468</v>
      </c>
      <c r="H5297" s="353" t="s">
        <v>2604</v>
      </c>
      <c r="I5297" s="353" t="s">
        <v>2440</v>
      </c>
      <c r="J5297" s="353" t="s">
        <v>757</v>
      </c>
      <c r="K5297" s="353" t="s">
        <v>741</v>
      </c>
      <c r="L5297" s="354">
        <v>44074</v>
      </c>
      <c r="M5297" s="357">
        <v>0</v>
      </c>
    </row>
    <row r="5298" spans="1:13" hidden="1" x14ac:dyDescent="0.25">
      <c r="A5298" s="354">
        <v>44074</v>
      </c>
      <c r="B5298" s="353" t="s">
        <v>2605</v>
      </c>
      <c r="C5298" s="353" t="s">
        <v>1060</v>
      </c>
      <c r="D5298" s="355">
        <v>3</v>
      </c>
      <c r="E5298" s="356">
        <v>-1007.59</v>
      </c>
      <c r="F5298" s="356">
        <v>19670.93</v>
      </c>
      <c r="G5298" s="353" t="s">
        <v>2468</v>
      </c>
      <c r="H5298" s="353" t="s">
        <v>2604</v>
      </c>
      <c r="I5298" s="353" t="s">
        <v>2440</v>
      </c>
      <c r="J5298" s="353" t="s">
        <v>757</v>
      </c>
      <c r="K5298" s="353" t="s">
        <v>741</v>
      </c>
      <c r="L5298" s="354">
        <v>44074</v>
      </c>
      <c r="M5298" s="357">
        <v>0</v>
      </c>
    </row>
    <row r="5299" spans="1:13" hidden="1" x14ac:dyDescent="0.25">
      <c r="A5299" s="354">
        <v>44104</v>
      </c>
      <c r="B5299" s="353" t="s">
        <v>1198</v>
      </c>
      <c r="C5299" s="353" t="s">
        <v>1060</v>
      </c>
      <c r="D5299" s="355">
        <v>3</v>
      </c>
      <c r="E5299" s="356">
        <v>23740.73</v>
      </c>
      <c r="F5299" s="356">
        <v>43411.66</v>
      </c>
      <c r="G5299" s="353" t="s">
        <v>2469</v>
      </c>
      <c r="H5299" s="353" t="s">
        <v>2604</v>
      </c>
      <c r="I5299" s="353" t="s">
        <v>2440</v>
      </c>
      <c r="J5299" s="353" t="s">
        <v>757</v>
      </c>
      <c r="K5299" s="353" t="s">
        <v>741</v>
      </c>
      <c r="L5299" s="354">
        <v>44104</v>
      </c>
      <c r="M5299" s="357">
        <v>0</v>
      </c>
    </row>
    <row r="5300" spans="1:13" hidden="1" x14ac:dyDescent="0.25">
      <c r="A5300" s="354">
        <v>44104</v>
      </c>
      <c r="B5300" s="353" t="s">
        <v>1198</v>
      </c>
      <c r="C5300" s="353" t="s">
        <v>1060</v>
      </c>
      <c r="D5300" s="355">
        <v>4</v>
      </c>
      <c r="E5300" s="356">
        <v>-23740.73</v>
      </c>
      <c r="F5300" s="356">
        <v>19670.93</v>
      </c>
      <c r="G5300" s="353" t="s">
        <v>2469</v>
      </c>
      <c r="H5300" s="353" t="s">
        <v>2604</v>
      </c>
      <c r="I5300" s="353" t="s">
        <v>2440</v>
      </c>
      <c r="J5300" s="353" t="s">
        <v>757</v>
      </c>
      <c r="K5300" s="353" t="s">
        <v>741</v>
      </c>
      <c r="L5300" s="354">
        <v>44104</v>
      </c>
      <c r="M5300" s="357">
        <v>0</v>
      </c>
    </row>
    <row r="5301" spans="1:13" hidden="1" x14ac:dyDescent="0.25">
      <c r="A5301" s="354">
        <v>44135</v>
      </c>
      <c r="B5301" s="353" t="s">
        <v>1200</v>
      </c>
      <c r="C5301" s="353" t="s">
        <v>1060</v>
      </c>
      <c r="D5301" s="355">
        <v>4</v>
      </c>
      <c r="E5301" s="356">
        <v>24937.040000000001</v>
      </c>
      <c r="F5301" s="356">
        <v>44607.97</v>
      </c>
      <c r="G5301" s="353" t="s">
        <v>2445</v>
      </c>
      <c r="H5301" s="353" t="s">
        <v>2604</v>
      </c>
      <c r="I5301" s="353" t="s">
        <v>2440</v>
      </c>
      <c r="J5301" s="353" t="s">
        <v>757</v>
      </c>
      <c r="K5301" s="353" t="s">
        <v>741</v>
      </c>
      <c r="L5301" s="354">
        <v>44135</v>
      </c>
      <c r="M5301" s="357">
        <v>0</v>
      </c>
    </row>
    <row r="5302" spans="1:13" hidden="1" x14ac:dyDescent="0.25">
      <c r="A5302" s="354">
        <v>44135</v>
      </c>
      <c r="B5302" s="353" t="s">
        <v>1200</v>
      </c>
      <c r="C5302" s="353" t="s">
        <v>1060</v>
      </c>
      <c r="D5302" s="355">
        <v>5</v>
      </c>
      <c r="E5302" s="356">
        <v>-24937.040000000001</v>
      </c>
      <c r="F5302" s="356">
        <v>19670.93</v>
      </c>
      <c r="G5302" s="353" t="s">
        <v>2445</v>
      </c>
      <c r="H5302" s="353" t="s">
        <v>2604</v>
      </c>
      <c r="I5302" s="353" t="s">
        <v>2440</v>
      </c>
      <c r="J5302" s="353" t="s">
        <v>757</v>
      </c>
      <c r="K5302" s="353" t="s">
        <v>741</v>
      </c>
      <c r="L5302" s="354">
        <v>44135</v>
      </c>
      <c r="M5302" s="357">
        <v>0</v>
      </c>
    </row>
    <row r="5303" spans="1:13" hidden="1" x14ac:dyDescent="0.25">
      <c r="A5303" s="354">
        <v>44165</v>
      </c>
      <c r="B5303" s="353" t="s">
        <v>1158</v>
      </c>
      <c r="C5303" s="353" t="s">
        <v>1060</v>
      </c>
      <c r="D5303" s="355">
        <v>5</v>
      </c>
      <c r="E5303" s="356">
        <v>26133.35</v>
      </c>
      <c r="F5303" s="356">
        <v>45804.28</v>
      </c>
      <c r="G5303" s="353" t="s">
        <v>2448</v>
      </c>
      <c r="H5303" s="353" t="s">
        <v>2604</v>
      </c>
      <c r="I5303" s="353" t="s">
        <v>2440</v>
      </c>
      <c r="J5303" s="353" t="s">
        <v>757</v>
      </c>
      <c r="K5303" s="353" t="s">
        <v>741</v>
      </c>
      <c r="L5303" s="354">
        <v>44165</v>
      </c>
      <c r="M5303" s="357">
        <v>0</v>
      </c>
    </row>
    <row r="5304" spans="1:13" hidden="1" x14ac:dyDescent="0.25">
      <c r="A5304" s="354">
        <v>44165</v>
      </c>
      <c r="B5304" s="353" t="s">
        <v>1158</v>
      </c>
      <c r="C5304" s="353" t="s">
        <v>1060</v>
      </c>
      <c r="D5304" s="355">
        <v>6</v>
      </c>
      <c r="E5304" s="356">
        <v>-26133.35</v>
      </c>
      <c r="F5304" s="356">
        <v>19670.93</v>
      </c>
      <c r="G5304" s="353" t="s">
        <v>2448</v>
      </c>
      <c r="H5304" s="353" t="s">
        <v>2604</v>
      </c>
      <c r="I5304" s="353" t="s">
        <v>2440</v>
      </c>
      <c r="J5304" s="353" t="s">
        <v>757</v>
      </c>
      <c r="K5304" s="353" t="s">
        <v>741</v>
      </c>
      <c r="L5304" s="354">
        <v>44165</v>
      </c>
      <c r="M5304" s="357">
        <v>0</v>
      </c>
    </row>
    <row r="5305" spans="1:13" hidden="1" x14ac:dyDescent="0.25">
      <c r="A5305" s="354">
        <v>44196</v>
      </c>
      <c r="B5305" s="353" t="s">
        <v>1160</v>
      </c>
      <c r="C5305" s="353" t="s">
        <v>1060</v>
      </c>
      <c r="D5305" s="355">
        <v>6</v>
      </c>
      <c r="E5305" s="356">
        <v>27329.66</v>
      </c>
      <c r="F5305" s="356">
        <v>47000.59</v>
      </c>
      <c r="G5305" s="353" t="s">
        <v>2451</v>
      </c>
      <c r="H5305" s="353" t="s">
        <v>2604</v>
      </c>
      <c r="I5305" s="353" t="s">
        <v>2440</v>
      </c>
      <c r="J5305" s="353" t="s">
        <v>757</v>
      </c>
      <c r="K5305" s="353" t="s">
        <v>741</v>
      </c>
      <c r="L5305" s="354">
        <v>44196</v>
      </c>
      <c r="M5305" s="357">
        <v>0</v>
      </c>
    </row>
    <row r="5306" spans="1:13" hidden="1" x14ac:dyDescent="0.25">
      <c r="A5306" s="354">
        <v>44196</v>
      </c>
      <c r="B5306" s="353" t="s">
        <v>1160</v>
      </c>
      <c r="C5306" s="353" t="s">
        <v>1060</v>
      </c>
      <c r="D5306" s="355">
        <v>7</v>
      </c>
      <c r="E5306" s="356">
        <v>-27329.66</v>
      </c>
      <c r="F5306" s="356">
        <v>19670.93</v>
      </c>
      <c r="G5306" s="353" t="s">
        <v>2451</v>
      </c>
      <c r="H5306" s="353" t="s">
        <v>2604</v>
      </c>
      <c r="I5306" s="353" t="s">
        <v>2440</v>
      </c>
      <c r="J5306" s="353" t="s">
        <v>757</v>
      </c>
      <c r="K5306" s="353" t="s">
        <v>741</v>
      </c>
      <c r="L5306" s="354">
        <v>44196</v>
      </c>
      <c r="M5306" s="357">
        <v>0</v>
      </c>
    </row>
    <row r="5307" spans="1:13" hidden="1" x14ac:dyDescent="0.25">
      <c r="A5307" s="354">
        <v>44230</v>
      </c>
      <c r="B5307" s="353" t="s">
        <v>1166</v>
      </c>
      <c r="C5307" s="353" t="s">
        <v>1060</v>
      </c>
      <c r="D5307" s="355">
        <v>7</v>
      </c>
      <c r="E5307" s="356">
        <v>28525.97</v>
      </c>
      <c r="F5307" s="356">
        <v>48196.9</v>
      </c>
      <c r="G5307" s="353" t="s">
        <v>2457</v>
      </c>
      <c r="H5307" s="353" t="s">
        <v>2604</v>
      </c>
      <c r="I5307" s="353" t="s">
        <v>2440</v>
      </c>
      <c r="J5307" s="353" t="s">
        <v>757</v>
      </c>
      <c r="K5307" s="353" t="s">
        <v>741</v>
      </c>
      <c r="L5307" s="354">
        <v>44230</v>
      </c>
      <c r="M5307" s="357">
        <v>0</v>
      </c>
    </row>
    <row r="5308" spans="1:13" hidden="1" x14ac:dyDescent="0.25">
      <c r="A5308" s="354">
        <v>44230</v>
      </c>
      <c r="B5308" s="353" t="s">
        <v>1166</v>
      </c>
      <c r="C5308" s="353" t="s">
        <v>1060</v>
      </c>
      <c r="D5308" s="355">
        <v>8</v>
      </c>
      <c r="E5308" s="356">
        <v>-28525.97</v>
      </c>
      <c r="F5308" s="356">
        <v>19670.93</v>
      </c>
      <c r="G5308" s="353" t="s">
        <v>2457</v>
      </c>
      <c r="H5308" s="353" t="s">
        <v>2604</v>
      </c>
      <c r="I5308" s="353" t="s">
        <v>2440</v>
      </c>
      <c r="J5308" s="353" t="s">
        <v>757</v>
      </c>
      <c r="K5308" s="353" t="s">
        <v>741</v>
      </c>
      <c r="L5308" s="354">
        <v>44230</v>
      </c>
      <c r="M5308" s="357">
        <v>0</v>
      </c>
    </row>
    <row r="5309" spans="1:13" hidden="1" x14ac:dyDescent="0.25">
      <c r="A5309" s="354">
        <v>44255</v>
      </c>
      <c r="B5309" s="353" t="s">
        <v>1178</v>
      </c>
      <c r="C5309" s="353" t="s">
        <v>1060</v>
      </c>
      <c r="D5309" s="355">
        <v>8</v>
      </c>
      <c r="E5309" s="356">
        <v>29722.28</v>
      </c>
      <c r="F5309" s="356">
        <v>49393.21</v>
      </c>
      <c r="G5309" s="353" t="s">
        <v>2472</v>
      </c>
      <c r="H5309" s="353" t="s">
        <v>2604</v>
      </c>
      <c r="I5309" s="353" t="s">
        <v>2440</v>
      </c>
      <c r="J5309" s="353" t="s">
        <v>757</v>
      </c>
      <c r="K5309" s="353" t="s">
        <v>741</v>
      </c>
      <c r="L5309" s="354">
        <v>44255</v>
      </c>
      <c r="M5309" s="357">
        <v>0</v>
      </c>
    </row>
    <row r="5310" spans="1:13" hidden="1" x14ac:dyDescent="0.25">
      <c r="A5310" s="354">
        <v>44255</v>
      </c>
      <c r="B5310" s="353" t="s">
        <v>1178</v>
      </c>
      <c r="C5310" s="353" t="s">
        <v>1060</v>
      </c>
      <c r="D5310" s="355">
        <v>9</v>
      </c>
      <c r="E5310" s="356">
        <v>-29722.28</v>
      </c>
      <c r="F5310" s="356">
        <v>19670.93</v>
      </c>
      <c r="G5310" s="353" t="s">
        <v>2472</v>
      </c>
      <c r="H5310" s="353" t="s">
        <v>2604</v>
      </c>
      <c r="I5310" s="353" t="s">
        <v>2440</v>
      </c>
      <c r="J5310" s="353" t="s">
        <v>757</v>
      </c>
      <c r="K5310" s="353" t="s">
        <v>741</v>
      </c>
      <c r="L5310" s="354">
        <v>44255</v>
      </c>
      <c r="M5310" s="357">
        <v>0</v>
      </c>
    </row>
    <row r="5311" spans="1:13" hidden="1" x14ac:dyDescent="0.25">
      <c r="A5311" s="354">
        <v>44286</v>
      </c>
      <c r="B5311" s="353" t="s">
        <v>2475</v>
      </c>
      <c r="C5311" s="353" t="s">
        <v>1060</v>
      </c>
      <c r="D5311" s="355">
        <v>9</v>
      </c>
      <c r="E5311" s="356">
        <v>1698.48</v>
      </c>
      <c r="F5311" s="356">
        <v>21369.41</v>
      </c>
      <c r="G5311" s="353" t="s">
        <v>2476</v>
      </c>
      <c r="H5311" s="353" t="s">
        <v>2604</v>
      </c>
      <c r="I5311" s="353" t="s">
        <v>2440</v>
      </c>
      <c r="J5311" s="353" t="s">
        <v>757</v>
      </c>
      <c r="K5311" s="353" t="s">
        <v>741</v>
      </c>
      <c r="L5311" s="354">
        <v>44286</v>
      </c>
      <c r="M5311" s="357">
        <v>0</v>
      </c>
    </row>
    <row r="5312" spans="1:13" hidden="1" x14ac:dyDescent="0.25">
      <c r="A5312" s="354">
        <v>44286</v>
      </c>
      <c r="B5312" s="353" t="s">
        <v>2475</v>
      </c>
      <c r="C5312" s="353" t="s">
        <v>1060</v>
      </c>
      <c r="D5312" s="355">
        <v>10</v>
      </c>
      <c r="E5312" s="356">
        <v>-1698.48</v>
      </c>
      <c r="F5312" s="356">
        <v>19670.93</v>
      </c>
      <c r="G5312" s="353" t="s">
        <v>2476</v>
      </c>
      <c r="H5312" s="353" t="s">
        <v>2604</v>
      </c>
      <c r="I5312" s="353" t="s">
        <v>2440</v>
      </c>
      <c r="J5312" s="353" t="s">
        <v>757</v>
      </c>
      <c r="K5312" s="353" t="s">
        <v>741</v>
      </c>
      <c r="L5312" s="354">
        <v>44286</v>
      </c>
      <c r="M5312" s="357">
        <v>0</v>
      </c>
    </row>
    <row r="5313" spans="1:13" hidden="1" x14ac:dyDescent="0.25">
      <c r="A5313" s="354">
        <v>44316</v>
      </c>
      <c r="B5313" s="353" t="s">
        <v>1104</v>
      </c>
      <c r="C5313" s="353" t="s">
        <v>1060</v>
      </c>
      <c r="D5313" s="355">
        <v>10</v>
      </c>
      <c r="E5313" s="356">
        <v>1887.2</v>
      </c>
      <c r="F5313" s="356">
        <v>21558.13</v>
      </c>
      <c r="G5313" s="353" t="s">
        <v>1095</v>
      </c>
      <c r="H5313" s="353" t="s">
        <v>2604</v>
      </c>
      <c r="I5313" s="353" t="s">
        <v>2440</v>
      </c>
      <c r="J5313" s="353" t="s">
        <v>757</v>
      </c>
      <c r="K5313" s="353" t="s">
        <v>741</v>
      </c>
      <c r="L5313" s="354">
        <v>44316</v>
      </c>
      <c r="M5313" s="357">
        <v>0</v>
      </c>
    </row>
    <row r="5314" spans="1:13" hidden="1" x14ac:dyDescent="0.25">
      <c r="A5314" s="354">
        <v>44043</v>
      </c>
      <c r="B5314" s="353" t="s">
        <v>1143</v>
      </c>
      <c r="C5314" s="353" t="s">
        <v>1060</v>
      </c>
      <c r="D5314" s="355">
        <v>1</v>
      </c>
      <c r="E5314" s="356">
        <v>13.14</v>
      </c>
      <c r="F5314" s="356">
        <v>19684.07</v>
      </c>
      <c r="G5314" s="353" t="s">
        <v>2466</v>
      </c>
      <c r="H5314" s="353" t="s">
        <v>2606</v>
      </c>
      <c r="I5314" s="353" t="s">
        <v>2440</v>
      </c>
      <c r="J5314" s="353" t="s">
        <v>757</v>
      </c>
      <c r="K5314" s="353" t="s">
        <v>741</v>
      </c>
      <c r="L5314" s="354">
        <v>44043</v>
      </c>
      <c r="M5314" s="357">
        <v>0</v>
      </c>
    </row>
    <row r="5315" spans="1:13" hidden="1" x14ac:dyDescent="0.25">
      <c r="A5315" s="354">
        <v>44043</v>
      </c>
      <c r="B5315" s="353" t="s">
        <v>1143</v>
      </c>
      <c r="C5315" s="353" t="s">
        <v>1060</v>
      </c>
      <c r="D5315" s="355">
        <v>2</v>
      </c>
      <c r="E5315" s="356">
        <v>-13.14</v>
      </c>
      <c r="F5315" s="356">
        <v>19670.93</v>
      </c>
      <c r="G5315" s="353" t="s">
        <v>2466</v>
      </c>
      <c r="H5315" s="353" t="s">
        <v>2606</v>
      </c>
      <c r="I5315" s="353" t="s">
        <v>2440</v>
      </c>
      <c r="J5315" s="353" t="s">
        <v>757</v>
      </c>
      <c r="K5315" s="353" t="s">
        <v>741</v>
      </c>
      <c r="L5315" s="354">
        <v>44043</v>
      </c>
      <c r="M5315" s="357">
        <v>0</v>
      </c>
    </row>
    <row r="5316" spans="1:13" hidden="1" x14ac:dyDescent="0.25">
      <c r="A5316" s="354">
        <v>44074</v>
      </c>
      <c r="B5316" s="353" t="s">
        <v>1147</v>
      </c>
      <c r="C5316" s="353" t="s">
        <v>1060</v>
      </c>
      <c r="D5316" s="355">
        <v>2</v>
      </c>
      <c r="E5316" s="356">
        <v>26.28</v>
      </c>
      <c r="F5316" s="356">
        <v>19697.21</v>
      </c>
      <c r="G5316" s="353" t="s">
        <v>2468</v>
      </c>
      <c r="H5316" s="353" t="s">
        <v>2606</v>
      </c>
      <c r="I5316" s="353" t="s">
        <v>2440</v>
      </c>
      <c r="J5316" s="353" t="s">
        <v>757</v>
      </c>
      <c r="K5316" s="353" t="s">
        <v>741</v>
      </c>
      <c r="L5316" s="354">
        <v>44074</v>
      </c>
      <c r="M5316" s="357">
        <v>0</v>
      </c>
    </row>
    <row r="5317" spans="1:13" hidden="1" x14ac:dyDescent="0.25">
      <c r="A5317" s="354">
        <v>44074</v>
      </c>
      <c r="B5317" s="353" t="s">
        <v>1147</v>
      </c>
      <c r="C5317" s="353" t="s">
        <v>1060</v>
      </c>
      <c r="D5317" s="355">
        <v>3</v>
      </c>
      <c r="E5317" s="356">
        <v>-26.28</v>
      </c>
      <c r="F5317" s="356">
        <v>19670.93</v>
      </c>
      <c r="G5317" s="353" t="s">
        <v>2468</v>
      </c>
      <c r="H5317" s="353" t="s">
        <v>2606</v>
      </c>
      <c r="I5317" s="353" t="s">
        <v>2440</v>
      </c>
      <c r="J5317" s="353" t="s">
        <v>757</v>
      </c>
      <c r="K5317" s="353" t="s">
        <v>741</v>
      </c>
      <c r="L5317" s="354">
        <v>44074</v>
      </c>
      <c r="M5317" s="357">
        <v>0</v>
      </c>
    </row>
    <row r="5318" spans="1:13" hidden="1" x14ac:dyDescent="0.25">
      <c r="A5318" s="354">
        <v>44104</v>
      </c>
      <c r="B5318" s="353" t="s">
        <v>1198</v>
      </c>
      <c r="C5318" s="353" t="s">
        <v>1060</v>
      </c>
      <c r="D5318" s="355">
        <v>3</v>
      </c>
      <c r="E5318" s="356">
        <v>39.42</v>
      </c>
      <c r="F5318" s="356">
        <v>19710.349999999999</v>
      </c>
      <c r="G5318" s="353" t="s">
        <v>2469</v>
      </c>
      <c r="H5318" s="353" t="s">
        <v>2606</v>
      </c>
      <c r="I5318" s="353" t="s">
        <v>2440</v>
      </c>
      <c r="J5318" s="353" t="s">
        <v>757</v>
      </c>
      <c r="K5318" s="353" t="s">
        <v>741</v>
      </c>
      <c r="L5318" s="354">
        <v>44104</v>
      </c>
      <c r="M5318" s="357">
        <v>0</v>
      </c>
    </row>
    <row r="5319" spans="1:13" hidden="1" x14ac:dyDescent="0.25">
      <c r="A5319" s="354">
        <v>44104</v>
      </c>
      <c r="B5319" s="353" t="s">
        <v>1198</v>
      </c>
      <c r="C5319" s="353" t="s">
        <v>1060</v>
      </c>
      <c r="D5319" s="355">
        <v>4</v>
      </c>
      <c r="E5319" s="356">
        <v>-39.42</v>
      </c>
      <c r="F5319" s="356">
        <v>19670.93</v>
      </c>
      <c r="G5319" s="353" t="s">
        <v>2469</v>
      </c>
      <c r="H5319" s="353" t="s">
        <v>2606</v>
      </c>
      <c r="I5319" s="353" t="s">
        <v>2440</v>
      </c>
      <c r="J5319" s="353" t="s">
        <v>757</v>
      </c>
      <c r="K5319" s="353" t="s">
        <v>741</v>
      </c>
      <c r="L5319" s="354">
        <v>44104</v>
      </c>
      <c r="M5319" s="357">
        <v>0</v>
      </c>
    </row>
    <row r="5320" spans="1:13" hidden="1" x14ac:dyDescent="0.25">
      <c r="A5320" s="354">
        <v>44135</v>
      </c>
      <c r="B5320" s="353" t="s">
        <v>1200</v>
      </c>
      <c r="C5320" s="353" t="s">
        <v>1060</v>
      </c>
      <c r="D5320" s="355">
        <v>4</v>
      </c>
      <c r="E5320" s="356">
        <v>52.56</v>
      </c>
      <c r="F5320" s="356">
        <v>19723.490000000002</v>
      </c>
      <c r="G5320" s="353" t="s">
        <v>2445</v>
      </c>
      <c r="H5320" s="353" t="s">
        <v>2606</v>
      </c>
      <c r="I5320" s="353" t="s">
        <v>2440</v>
      </c>
      <c r="J5320" s="353" t="s">
        <v>757</v>
      </c>
      <c r="K5320" s="353" t="s">
        <v>741</v>
      </c>
      <c r="L5320" s="354">
        <v>44135</v>
      </c>
      <c r="M5320" s="357">
        <v>0</v>
      </c>
    </row>
    <row r="5321" spans="1:13" hidden="1" x14ac:dyDescent="0.25">
      <c r="A5321" s="354">
        <v>44135</v>
      </c>
      <c r="B5321" s="353" t="s">
        <v>1200</v>
      </c>
      <c r="C5321" s="353" t="s">
        <v>1060</v>
      </c>
      <c r="D5321" s="355">
        <v>5</v>
      </c>
      <c r="E5321" s="356">
        <v>-52.56</v>
      </c>
      <c r="F5321" s="356">
        <v>19670.93</v>
      </c>
      <c r="G5321" s="353" t="s">
        <v>2445</v>
      </c>
      <c r="H5321" s="353" t="s">
        <v>2606</v>
      </c>
      <c r="I5321" s="353" t="s">
        <v>2440</v>
      </c>
      <c r="J5321" s="353" t="s">
        <v>757</v>
      </c>
      <c r="K5321" s="353" t="s">
        <v>741</v>
      </c>
      <c r="L5321" s="354">
        <v>44135</v>
      </c>
      <c r="M5321" s="357">
        <v>0</v>
      </c>
    </row>
    <row r="5322" spans="1:13" hidden="1" x14ac:dyDescent="0.25">
      <c r="A5322" s="354">
        <v>44165</v>
      </c>
      <c r="B5322" s="353" t="s">
        <v>1158</v>
      </c>
      <c r="C5322" s="353" t="s">
        <v>1060</v>
      </c>
      <c r="D5322" s="355">
        <v>5</v>
      </c>
      <c r="E5322" s="356">
        <v>65.7</v>
      </c>
      <c r="F5322" s="356">
        <v>19736.63</v>
      </c>
      <c r="G5322" s="353" t="s">
        <v>2448</v>
      </c>
      <c r="H5322" s="353" t="s">
        <v>2606</v>
      </c>
      <c r="I5322" s="353" t="s">
        <v>2440</v>
      </c>
      <c r="J5322" s="353" t="s">
        <v>757</v>
      </c>
      <c r="K5322" s="353" t="s">
        <v>741</v>
      </c>
      <c r="L5322" s="354">
        <v>44165</v>
      </c>
      <c r="M5322" s="357">
        <v>0</v>
      </c>
    </row>
    <row r="5323" spans="1:13" hidden="1" x14ac:dyDescent="0.25">
      <c r="A5323" s="354">
        <v>44165</v>
      </c>
      <c r="B5323" s="353" t="s">
        <v>1158</v>
      </c>
      <c r="C5323" s="353" t="s">
        <v>1060</v>
      </c>
      <c r="D5323" s="355">
        <v>6</v>
      </c>
      <c r="E5323" s="356">
        <v>-65.7</v>
      </c>
      <c r="F5323" s="356">
        <v>19670.93</v>
      </c>
      <c r="G5323" s="353" t="s">
        <v>2448</v>
      </c>
      <c r="H5323" s="353" t="s">
        <v>2606</v>
      </c>
      <c r="I5323" s="353" t="s">
        <v>2440</v>
      </c>
      <c r="J5323" s="353" t="s">
        <v>757</v>
      </c>
      <c r="K5323" s="353" t="s">
        <v>741</v>
      </c>
      <c r="L5323" s="354">
        <v>44165</v>
      </c>
      <c r="M5323" s="357">
        <v>0</v>
      </c>
    </row>
    <row r="5324" spans="1:13" hidden="1" x14ac:dyDescent="0.25">
      <c r="A5324" s="354">
        <v>44196</v>
      </c>
      <c r="B5324" s="353" t="s">
        <v>1160</v>
      </c>
      <c r="C5324" s="353" t="s">
        <v>1060</v>
      </c>
      <c r="D5324" s="355">
        <v>6</v>
      </c>
      <c r="E5324" s="356">
        <v>78.84</v>
      </c>
      <c r="F5324" s="356">
        <v>19749.77</v>
      </c>
      <c r="G5324" s="353" t="s">
        <v>2451</v>
      </c>
      <c r="H5324" s="353" t="s">
        <v>2606</v>
      </c>
      <c r="I5324" s="353" t="s">
        <v>2440</v>
      </c>
      <c r="J5324" s="353" t="s">
        <v>757</v>
      </c>
      <c r="K5324" s="353" t="s">
        <v>741</v>
      </c>
      <c r="L5324" s="354">
        <v>44196</v>
      </c>
      <c r="M5324" s="357">
        <v>0</v>
      </c>
    </row>
    <row r="5325" spans="1:13" hidden="1" x14ac:dyDescent="0.25">
      <c r="A5325" s="354">
        <v>44196</v>
      </c>
      <c r="B5325" s="353" t="s">
        <v>1160</v>
      </c>
      <c r="C5325" s="353" t="s">
        <v>1060</v>
      </c>
      <c r="D5325" s="355">
        <v>7</v>
      </c>
      <c r="E5325" s="356">
        <v>-78.84</v>
      </c>
      <c r="F5325" s="356">
        <v>19670.93</v>
      </c>
      <c r="G5325" s="353" t="s">
        <v>2451</v>
      </c>
      <c r="H5325" s="353" t="s">
        <v>2606</v>
      </c>
      <c r="I5325" s="353" t="s">
        <v>2440</v>
      </c>
      <c r="J5325" s="353" t="s">
        <v>757</v>
      </c>
      <c r="K5325" s="353" t="s">
        <v>741</v>
      </c>
      <c r="L5325" s="354">
        <v>44196</v>
      </c>
      <c r="M5325" s="357">
        <v>0</v>
      </c>
    </row>
    <row r="5326" spans="1:13" hidden="1" x14ac:dyDescent="0.25">
      <c r="A5326" s="354">
        <v>44230</v>
      </c>
      <c r="B5326" s="353" t="s">
        <v>1166</v>
      </c>
      <c r="C5326" s="353" t="s">
        <v>1060</v>
      </c>
      <c r="D5326" s="355">
        <v>7</v>
      </c>
      <c r="E5326" s="356">
        <v>91.98</v>
      </c>
      <c r="F5326" s="356">
        <v>19762.91</v>
      </c>
      <c r="G5326" s="353" t="s">
        <v>2457</v>
      </c>
      <c r="H5326" s="353" t="s">
        <v>2606</v>
      </c>
      <c r="I5326" s="353" t="s">
        <v>2440</v>
      </c>
      <c r="J5326" s="353" t="s">
        <v>757</v>
      </c>
      <c r="K5326" s="353" t="s">
        <v>741</v>
      </c>
      <c r="L5326" s="354">
        <v>44230</v>
      </c>
      <c r="M5326" s="357">
        <v>0</v>
      </c>
    </row>
    <row r="5327" spans="1:13" hidden="1" x14ac:dyDescent="0.25">
      <c r="A5327" s="354">
        <v>44230</v>
      </c>
      <c r="B5327" s="353" t="s">
        <v>1166</v>
      </c>
      <c r="C5327" s="353" t="s">
        <v>1060</v>
      </c>
      <c r="D5327" s="355">
        <v>8</v>
      </c>
      <c r="E5327" s="356">
        <v>-91.98</v>
      </c>
      <c r="F5327" s="356">
        <v>19670.93</v>
      </c>
      <c r="G5327" s="353" t="s">
        <v>2457</v>
      </c>
      <c r="H5327" s="353" t="s">
        <v>2606</v>
      </c>
      <c r="I5327" s="353" t="s">
        <v>2440</v>
      </c>
      <c r="J5327" s="353" t="s">
        <v>757</v>
      </c>
      <c r="K5327" s="353" t="s">
        <v>741</v>
      </c>
      <c r="L5327" s="354">
        <v>44230</v>
      </c>
      <c r="M5327" s="357">
        <v>0</v>
      </c>
    </row>
    <row r="5328" spans="1:13" hidden="1" x14ac:dyDescent="0.25">
      <c r="A5328" s="354">
        <v>44255</v>
      </c>
      <c r="B5328" s="353" t="s">
        <v>1178</v>
      </c>
      <c r="C5328" s="353" t="s">
        <v>1060</v>
      </c>
      <c r="D5328" s="355">
        <v>8</v>
      </c>
      <c r="E5328" s="356">
        <v>105.12</v>
      </c>
      <c r="F5328" s="356">
        <v>19776.05</v>
      </c>
      <c r="G5328" s="353" t="s">
        <v>2472</v>
      </c>
      <c r="H5328" s="353" t="s">
        <v>2606</v>
      </c>
      <c r="I5328" s="353" t="s">
        <v>2440</v>
      </c>
      <c r="J5328" s="353" t="s">
        <v>757</v>
      </c>
      <c r="K5328" s="353" t="s">
        <v>741</v>
      </c>
      <c r="L5328" s="354">
        <v>44255</v>
      </c>
      <c r="M5328" s="357">
        <v>0</v>
      </c>
    </row>
    <row r="5329" spans="1:13" hidden="1" x14ac:dyDescent="0.25">
      <c r="A5329" s="354">
        <v>44255</v>
      </c>
      <c r="B5329" s="353" t="s">
        <v>1178</v>
      </c>
      <c r="C5329" s="353" t="s">
        <v>1060</v>
      </c>
      <c r="D5329" s="355">
        <v>9</v>
      </c>
      <c r="E5329" s="356">
        <v>-105.12</v>
      </c>
      <c r="F5329" s="356">
        <v>19670.93</v>
      </c>
      <c r="G5329" s="353" t="s">
        <v>2472</v>
      </c>
      <c r="H5329" s="353" t="s">
        <v>2606</v>
      </c>
      <c r="I5329" s="353" t="s">
        <v>2440</v>
      </c>
      <c r="J5329" s="353" t="s">
        <v>757</v>
      </c>
      <c r="K5329" s="353" t="s">
        <v>741</v>
      </c>
      <c r="L5329" s="354">
        <v>44255</v>
      </c>
      <c r="M5329" s="357">
        <v>0</v>
      </c>
    </row>
    <row r="5330" spans="1:13" hidden="1" x14ac:dyDescent="0.25">
      <c r="A5330" s="354">
        <v>44286</v>
      </c>
      <c r="B5330" s="353" t="s">
        <v>2475</v>
      </c>
      <c r="C5330" s="353" t="s">
        <v>1060</v>
      </c>
      <c r="D5330" s="355">
        <v>9</v>
      </c>
      <c r="E5330" s="356">
        <v>118.26</v>
      </c>
      <c r="F5330" s="356">
        <v>19789.189999999999</v>
      </c>
      <c r="G5330" s="353" t="s">
        <v>2476</v>
      </c>
      <c r="H5330" s="353" t="s">
        <v>2606</v>
      </c>
      <c r="I5330" s="353" t="s">
        <v>2440</v>
      </c>
      <c r="J5330" s="353" t="s">
        <v>757</v>
      </c>
      <c r="K5330" s="353" t="s">
        <v>741</v>
      </c>
      <c r="L5330" s="354">
        <v>44286</v>
      </c>
      <c r="M5330" s="357">
        <v>0</v>
      </c>
    </row>
    <row r="5331" spans="1:13" hidden="1" x14ac:dyDescent="0.25">
      <c r="A5331" s="354">
        <v>44286</v>
      </c>
      <c r="B5331" s="353" t="s">
        <v>2475</v>
      </c>
      <c r="C5331" s="353" t="s">
        <v>1060</v>
      </c>
      <c r="D5331" s="355">
        <v>10</v>
      </c>
      <c r="E5331" s="356">
        <v>-118.26</v>
      </c>
      <c r="F5331" s="356">
        <v>19670.93</v>
      </c>
      <c r="G5331" s="353" t="s">
        <v>2476</v>
      </c>
      <c r="H5331" s="353" t="s">
        <v>2606</v>
      </c>
      <c r="I5331" s="353" t="s">
        <v>2440</v>
      </c>
      <c r="J5331" s="353" t="s">
        <v>757</v>
      </c>
      <c r="K5331" s="353" t="s">
        <v>741</v>
      </c>
      <c r="L5331" s="354">
        <v>44286</v>
      </c>
      <c r="M5331" s="357">
        <v>0</v>
      </c>
    </row>
    <row r="5332" spans="1:13" hidden="1" x14ac:dyDescent="0.25">
      <c r="A5332" s="354">
        <v>44316</v>
      </c>
      <c r="B5332" s="353" t="s">
        <v>1104</v>
      </c>
      <c r="C5332" s="353" t="s">
        <v>1060</v>
      </c>
      <c r="D5332" s="355">
        <v>10</v>
      </c>
      <c r="E5332" s="356">
        <v>131.4</v>
      </c>
      <c r="F5332" s="356">
        <v>19802.330000000002</v>
      </c>
      <c r="G5332" s="353" t="s">
        <v>1095</v>
      </c>
      <c r="H5332" s="353" t="s">
        <v>2606</v>
      </c>
      <c r="I5332" s="353" t="s">
        <v>2440</v>
      </c>
      <c r="J5332" s="353" t="s">
        <v>757</v>
      </c>
      <c r="K5332" s="353" t="s">
        <v>741</v>
      </c>
      <c r="L5332" s="354">
        <v>44316</v>
      </c>
      <c r="M5332" s="357">
        <v>0</v>
      </c>
    </row>
    <row r="5333" spans="1:13" hidden="1" x14ac:dyDescent="0.25">
      <c r="A5333" s="354">
        <v>44011</v>
      </c>
      <c r="B5333" s="353" t="s">
        <v>2607</v>
      </c>
      <c r="C5333" s="353" t="s">
        <v>769</v>
      </c>
      <c r="D5333" s="355">
        <v>1</v>
      </c>
      <c r="E5333" s="356">
        <v>798.8</v>
      </c>
      <c r="F5333" s="356">
        <v>20469.73</v>
      </c>
      <c r="G5333" s="353" t="s">
        <v>2608</v>
      </c>
      <c r="H5333" s="353" t="s">
        <v>2609</v>
      </c>
      <c r="I5333" s="353" t="s">
        <v>2440</v>
      </c>
      <c r="J5333" s="353" t="s">
        <v>757</v>
      </c>
      <c r="K5333" s="353" t="s">
        <v>770</v>
      </c>
      <c r="L5333" s="354">
        <v>44011</v>
      </c>
      <c r="M5333" s="357">
        <v>0</v>
      </c>
    </row>
    <row r="5334" spans="1:13" hidden="1" x14ac:dyDescent="0.25">
      <c r="A5334" s="354">
        <v>44012</v>
      </c>
      <c r="B5334" s="353" t="s">
        <v>1141</v>
      </c>
      <c r="C5334" s="353" t="s">
        <v>1059</v>
      </c>
      <c r="D5334" s="355">
        <v>1</v>
      </c>
      <c r="E5334" s="356">
        <v>-1050.67</v>
      </c>
      <c r="F5334" s="356">
        <v>19419.060000000001</v>
      </c>
      <c r="G5334" s="353" t="s">
        <v>2482</v>
      </c>
      <c r="H5334" s="353" t="s">
        <v>2609</v>
      </c>
      <c r="I5334" s="353" t="s">
        <v>2440</v>
      </c>
      <c r="J5334" s="353" t="s">
        <v>757</v>
      </c>
      <c r="K5334" s="353" t="s">
        <v>741</v>
      </c>
      <c r="L5334" s="354">
        <v>44012</v>
      </c>
      <c r="M5334" s="357">
        <v>0</v>
      </c>
    </row>
    <row r="5335" spans="1:13" hidden="1" x14ac:dyDescent="0.25">
      <c r="A5335" s="354">
        <v>44032</v>
      </c>
      <c r="B5335" s="353" t="s">
        <v>2610</v>
      </c>
      <c r="C5335" s="353" t="s">
        <v>1059</v>
      </c>
      <c r="D5335" s="355">
        <v>1</v>
      </c>
      <c r="E5335" s="356">
        <v>2008.16</v>
      </c>
      <c r="F5335" s="356">
        <v>21427.22</v>
      </c>
      <c r="G5335" s="353" t="s">
        <v>2611</v>
      </c>
      <c r="H5335" s="353" t="s">
        <v>2609</v>
      </c>
      <c r="I5335" s="353" t="s">
        <v>2440</v>
      </c>
      <c r="J5335" s="353" t="s">
        <v>757</v>
      </c>
      <c r="K5335" s="353" t="s">
        <v>741</v>
      </c>
      <c r="L5335" s="354">
        <v>44032</v>
      </c>
      <c r="M5335" s="357">
        <v>0</v>
      </c>
    </row>
    <row r="5336" spans="1:13" hidden="1" x14ac:dyDescent="0.25">
      <c r="A5336" s="354">
        <v>44043</v>
      </c>
      <c r="B5336" s="353" t="s">
        <v>1143</v>
      </c>
      <c r="C5336" s="353" t="s">
        <v>1060</v>
      </c>
      <c r="D5336" s="355">
        <v>1</v>
      </c>
      <c r="E5336" s="356">
        <v>1952.45</v>
      </c>
      <c r="F5336" s="356">
        <v>23379.67</v>
      </c>
      <c r="G5336" s="353" t="s">
        <v>2466</v>
      </c>
      <c r="H5336" s="353" t="s">
        <v>2609</v>
      </c>
      <c r="I5336" s="353" t="s">
        <v>2440</v>
      </c>
      <c r="J5336" s="353" t="s">
        <v>757</v>
      </c>
      <c r="K5336" s="353" t="s">
        <v>741</v>
      </c>
      <c r="L5336" s="354">
        <v>44043</v>
      </c>
      <c r="M5336" s="357">
        <v>0</v>
      </c>
    </row>
    <row r="5337" spans="1:13" hidden="1" x14ac:dyDescent="0.25">
      <c r="A5337" s="354">
        <v>44032</v>
      </c>
      <c r="B5337" s="353" t="s">
        <v>2612</v>
      </c>
      <c r="C5337" s="353" t="s">
        <v>769</v>
      </c>
      <c r="D5337" s="355">
        <v>2</v>
      </c>
      <c r="E5337" s="356">
        <v>156</v>
      </c>
      <c r="F5337" s="356">
        <v>23535.67</v>
      </c>
      <c r="G5337" s="353" t="s">
        <v>2613</v>
      </c>
      <c r="H5337" s="353" t="s">
        <v>2609</v>
      </c>
      <c r="I5337" s="353" t="s">
        <v>2440</v>
      </c>
      <c r="J5337" s="353" t="s">
        <v>757</v>
      </c>
      <c r="K5337" s="353" t="s">
        <v>770</v>
      </c>
      <c r="L5337" s="354">
        <v>44032</v>
      </c>
      <c r="M5337" s="357">
        <v>0</v>
      </c>
    </row>
    <row r="5338" spans="1:13" hidden="1" x14ac:dyDescent="0.25">
      <c r="A5338" s="354">
        <v>44043</v>
      </c>
      <c r="B5338" s="353" t="s">
        <v>1143</v>
      </c>
      <c r="C5338" s="353" t="s">
        <v>1060</v>
      </c>
      <c r="D5338" s="355">
        <v>2</v>
      </c>
      <c r="E5338" s="356">
        <v>-1952.45</v>
      </c>
      <c r="F5338" s="356">
        <v>21583.22</v>
      </c>
      <c r="G5338" s="353" t="s">
        <v>2466</v>
      </c>
      <c r="H5338" s="353" t="s">
        <v>2609</v>
      </c>
      <c r="I5338" s="353" t="s">
        <v>2440</v>
      </c>
      <c r="J5338" s="353" t="s">
        <v>757</v>
      </c>
      <c r="K5338" s="353" t="s">
        <v>741</v>
      </c>
      <c r="L5338" s="354">
        <v>44043</v>
      </c>
      <c r="M5338" s="357">
        <v>0</v>
      </c>
    </row>
    <row r="5339" spans="1:13" hidden="1" x14ac:dyDescent="0.25">
      <c r="A5339" s="354">
        <v>44044</v>
      </c>
      <c r="B5339" s="353" t="s">
        <v>2614</v>
      </c>
      <c r="C5339" s="353" t="s">
        <v>1059</v>
      </c>
      <c r="D5339" s="355">
        <v>2</v>
      </c>
      <c r="E5339" s="356">
        <v>2008.16</v>
      </c>
      <c r="F5339" s="356">
        <v>23591.38</v>
      </c>
      <c r="G5339" s="353" t="s">
        <v>2615</v>
      </c>
      <c r="H5339" s="353" t="s">
        <v>2609</v>
      </c>
      <c r="I5339" s="353" t="s">
        <v>2440</v>
      </c>
      <c r="J5339" s="353" t="s">
        <v>757</v>
      </c>
      <c r="K5339" s="353" t="s">
        <v>741</v>
      </c>
      <c r="L5339" s="354">
        <v>44044</v>
      </c>
      <c r="M5339" s="357">
        <v>0</v>
      </c>
    </row>
    <row r="5340" spans="1:13" hidden="1" x14ac:dyDescent="0.25">
      <c r="A5340" s="354">
        <v>44050</v>
      </c>
      <c r="B5340" s="353" t="s">
        <v>2616</v>
      </c>
      <c r="C5340" s="353" t="s">
        <v>1339</v>
      </c>
      <c r="D5340" s="355">
        <v>2</v>
      </c>
      <c r="E5340" s="356">
        <v>1756.38</v>
      </c>
      <c r="F5340" s="356">
        <v>25347.759999999998</v>
      </c>
      <c r="G5340" s="353" t="s">
        <v>2617</v>
      </c>
      <c r="H5340" s="353" t="s">
        <v>2609</v>
      </c>
      <c r="I5340" s="353" t="s">
        <v>2440</v>
      </c>
      <c r="J5340" s="353" t="s">
        <v>757</v>
      </c>
      <c r="K5340" s="353" t="s">
        <v>741</v>
      </c>
      <c r="L5340" s="354">
        <v>44050</v>
      </c>
      <c r="M5340" s="357">
        <v>0</v>
      </c>
    </row>
    <row r="5341" spans="1:13" hidden="1" x14ac:dyDescent="0.25">
      <c r="A5341" s="354">
        <v>44053</v>
      </c>
      <c r="B5341" s="353" t="s">
        <v>2618</v>
      </c>
      <c r="C5341" s="353" t="s">
        <v>769</v>
      </c>
      <c r="D5341" s="355">
        <v>2</v>
      </c>
      <c r="E5341" s="356">
        <v>15243.75</v>
      </c>
      <c r="F5341" s="356">
        <v>40591.51</v>
      </c>
      <c r="G5341" s="353" t="s">
        <v>2619</v>
      </c>
      <c r="H5341" s="353" t="s">
        <v>2609</v>
      </c>
      <c r="I5341" s="353" t="s">
        <v>2440</v>
      </c>
      <c r="J5341" s="353" t="s">
        <v>757</v>
      </c>
      <c r="K5341" s="353" t="s">
        <v>770</v>
      </c>
      <c r="L5341" s="354">
        <v>44053</v>
      </c>
      <c r="M5341" s="357">
        <v>0</v>
      </c>
    </row>
    <row r="5342" spans="1:13" hidden="1" x14ac:dyDescent="0.25">
      <c r="A5342" s="354">
        <v>44074</v>
      </c>
      <c r="B5342" s="353" t="s">
        <v>1147</v>
      </c>
      <c r="C5342" s="353" t="s">
        <v>1060</v>
      </c>
      <c r="D5342" s="355">
        <v>2</v>
      </c>
      <c r="E5342" s="356">
        <v>3778.23</v>
      </c>
      <c r="F5342" s="356">
        <v>44369.74</v>
      </c>
      <c r="G5342" s="353" t="s">
        <v>2468</v>
      </c>
      <c r="H5342" s="353" t="s">
        <v>2609</v>
      </c>
      <c r="I5342" s="353" t="s">
        <v>2440</v>
      </c>
      <c r="J5342" s="353" t="s">
        <v>757</v>
      </c>
      <c r="K5342" s="353" t="s">
        <v>741</v>
      </c>
      <c r="L5342" s="354">
        <v>44074</v>
      </c>
      <c r="M5342" s="357">
        <v>0</v>
      </c>
    </row>
    <row r="5343" spans="1:13" hidden="1" x14ac:dyDescent="0.25">
      <c r="A5343" s="354">
        <v>44074</v>
      </c>
      <c r="B5343" s="353" t="s">
        <v>1147</v>
      </c>
      <c r="C5343" s="353" t="s">
        <v>1060</v>
      </c>
      <c r="D5343" s="355">
        <v>3</v>
      </c>
      <c r="E5343" s="356">
        <v>-3778.23</v>
      </c>
      <c r="F5343" s="356">
        <v>40591.51</v>
      </c>
      <c r="G5343" s="353" t="s">
        <v>2468</v>
      </c>
      <c r="H5343" s="353" t="s">
        <v>2609</v>
      </c>
      <c r="I5343" s="353" t="s">
        <v>2440</v>
      </c>
      <c r="J5343" s="353" t="s">
        <v>757</v>
      </c>
      <c r="K5343" s="353" t="s">
        <v>741</v>
      </c>
      <c r="L5343" s="354">
        <v>44074</v>
      </c>
      <c r="M5343" s="357">
        <v>0</v>
      </c>
    </row>
    <row r="5344" spans="1:13" hidden="1" x14ac:dyDescent="0.25">
      <c r="A5344" s="354">
        <v>44074</v>
      </c>
      <c r="B5344" s="353" t="s">
        <v>2620</v>
      </c>
      <c r="C5344" s="353" t="s">
        <v>769</v>
      </c>
      <c r="D5344" s="355">
        <v>3</v>
      </c>
      <c r="E5344" s="356">
        <v>1980</v>
      </c>
      <c r="F5344" s="356">
        <v>42571.51</v>
      </c>
      <c r="G5344" s="353" t="s">
        <v>2621</v>
      </c>
      <c r="H5344" s="353" t="s">
        <v>2609</v>
      </c>
      <c r="I5344" s="353" t="s">
        <v>2440</v>
      </c>
      <c r="J5344" s="353" t="s">
        <v>757</v>
      </c>
      <c r="K5344" s="353" t="s">
        <v>770</v>
      </c>
      <c r="L5344" s="354">
        <v>44074</v>
      </c>
      <c r="M5344" s="357">
        <v>0</v>
      </c>
    </row>
    <row r="5345" spans="1:13" hidden="1" x14ac:dyDescent="0.25">
      <c r="A5345" s="354">
        <v>44075</v>
      </c>
      <c r="B5345" s="353" t="s">
        <v>2622</v>
      </c>
      <c r="C5345" s="353" t="s">
        <v>769</v>
      </c>
      <c r="D5345" s="355">
        <v>3</v>
      </c>
      <c r="E5345" s="356">
        <v>737.5</v>
      </c>
      <c r="F5345" s="356">
        <v>43309.01</v>
      </c>
      <c r="G5345" s="353" t="s">
        <v>2623</v>
      </c>
      <c r="H5345" s="353" t="s">
        <v>2609</v>
      </c>
      <c r="I5345" s="353" t="s">
        <v>2440</v>
      </c>
      <c r="J5345" s="353" t="s">
        <v>757</v>
      </c>
      <c r="K5345" s="353" t="s">
        <v>770</v>
      </c>
      <c r="L5345" s="354">
        <v>44075</v>
      </c>
      <c r="M5345" s="357">
        <v>0</v>
      </c>
    </row>
    <row r="5346" spans="1:13" hidden="1" x14ac:dyDescent="0.25">
      <c r="A5346" s="354">
        <v>44076</v>
      </c>
      <c r="B5346" s="353" t="s">
        <v>2624</v>
      </c>
      <c r="C5346" s="353" t="s">
        <v>769</v>
      </c>
      <c r="D5346" s="355">
        <v>3</v>
      </c>
      <c r="E5346" s="356">
        <v>1426.75</v>
      </c>
      <c r="F5346" s="356">
        <v>44735.76</v>
      </c>
      <c r="G5346" s="353" t="s">
        <v>2625</v>
      </c>
      <c r="H5346" s="353" t="s">
        <v>2609</v>
      </c>
      <c r="I5346" s="353" t="s">
        <v>2440</v>
      </c>
      <c r="J5346" s="353" t="s">
        <v>757</v>
      </c>
      <c r="K5346" s="353" t="s">
        <v>770</v>
      </c>
      <c r="L5346" s="354">
        <v>44076</v>
      </c>
      <c r="M5346" s="357">
        <v>0</v>
      </c>
    </row>
    <row r="5347" spans="1:13" hidden="1" x14ac:dyDescent="0.25">
      <c r="A5347" s="354">
        <v>44082</v>
      </c>
      <c r="B5347" s="353" t="s">
        <v>2626</v>
      </c>
      <c r="C5347" s="353" t="s">
        <v>1059</v>
      </c>
      <c r="D5347" s="355">
        <v>3</v>
      </c>
      <c r="E5347" s="356">
        <v>2008.16</v>
      </c>
      <c r="F5347" s="356">
        <v>46743.92</v>
      </c>
      <c r="G5347" s="353" t="s">
        <v>2627</v>
      </c>
      <c r="H5347" s="353" t="s">
        <v>2609</v>
      </c>
      <c r="I5347" s="353" t="s">
        <v>2440</v>
      </c>
      <c r="J5347" s="353" t="s">
        <v>757</v>
      </c>
      <c r="K5347" s="353" t="s">
        <v>741</v>
      </c>
      <c r="L5347" s="354">
        <v>44082</v>
      </c>
      <c r="M5347" s="357">
        <v>0</v>
      </c>
    </row>
    <row r="5348" spans="1:13" hidden="1" x14ac:dyDescent="0.25">
      <c r="A5348" s="354">
        <v>44088</v>
      </c>
      <c r="B5348" s="353" t="s">
        <v>2628</v>
      </c>
      <c r="C5348" s="353" t="s">
        <v>769</v>
      </c>
      <c r="D5348" s="355">
        <v>3</v>
      </c>
      <c r="E5348" s="356">
        <v>297.20999999999998</v>
      </c>
      <c r="F5348" s="356">
        <v>47041.13</v>
      </c>
      <c r="G5348" s="353" t="s">
        <v>2629</v>
      </c>
      <c r="H5348" s="353" t="s">
        <v>2609</v>
      </c>
      <c r="I5348" s="353" t="s">
        <v>2440</v>
      </c>
      <c r="J5348" s="353" t="s">
        <v>757</v>
      </c>
      <c r="K5348" s="353" t="s">
        <v>770</v>
      </c>
      <c r="L5348" s="354">
        <v>44088</v>
      </c>
      <c r="M5348" s="357">
        <v>0</v>
      </c>
    </row>
    <row r="5349" spans="1:13" hidden="1" x14ac:dyDescent="0.25">
      <c r="A5349" s="354">
        <v>44091</v>
      </c>
      <c r="B5349" s="353" t="s">
        <v>2630</v>
      </c>
      <c r="C5349" s="353" t="s">
        <v>769</v>
      </c>
      <c r="D5349" s="355">
        <v>3</v>
      </c>
      <c r="E5349" s="356">
        <v>317.64999999999998</v>
      </c>
      <c r="F5349" s="356">
        <v>47358.78</v>
      </c>
      <c r="G5349" s="353" t="s">
        <v>2631</v>
      </c>
      <c r="H5349" s="353" t="s">
        <v>2609</v>
      </c>
      <c r="I5349" s="353" t="s">
        <v>2440</v>
      </c>
      <c r="J5349" s="353" t="s">
        <v>757</v>
      </c>
      <c r="K5349" s="353" t="s">
        <v>770</v>
      </c>
      <c r="L5349" s="354">
        <v>44091</v>
      </c>
      <c r="M5349" s="357">
        <v>0</v>
      </c>
    </row>
    <row r="5350" spans="1:13" hidden="1" x14ac:dyDescent="0.25">
      <c r="A5350" s="354">
        <v>44092</v>
      </c>
      <c r="B5350" s="353" t="s">
        <v>2632</v>
      </c>
      <c r="C5350" s="353" t="s">
        <v>769</v>
      </c>
      <c r="D5350" s="355">
        <v>3</v>
      </c>
      <c r="E5350" s="356">
        <v>297.20999999999998</v>
      </c>
      <c r="F5350" s="356">
        <v>47655.99</v>
      </c>
      <c r="G5350" s="353" t="s">
        <v>2629</v>
      </c>
      <c r="H5350" s="353" t="s">
        <v>2609</v>
      </c>
      <c r="I5350" s="353" t="s">
        <v>2440</v>
      </c>
      <c r="J5350" s="353" t="s">
        <v>757</v>
      </c>
      <c r="K5350" s="353" t="s">
        <v>770</v>
      </c>
      <c r="L5350" s="354">
        <v>44092</v>
      </c>
      <c r="M5350" s="357">
        <v>0</v>
      </c>
    </row>
    <row r="5351" spans="1:13" hidden="1" x14ac:dyDescent="0.25">
      <c r="A5351" s="354">
        <v>44095</v>
      </c>
      <c r="B5351" s="353" t="s">
        <v>2633</v>
      </c>
      <c r="C5351" s="353" t="s">
        <v>769</v>
      </c>
      <c r="D5351" s="355">
        <v>3</v>
      </c>
      <c r="E5351" s="356">
        <v>4297.9399999999996</v>
      </c>
      <c r="F5351" s="356">
        <v>51953.93</v>
      </c>
      <c r="G5351" s="353" t="s">
        <v>2634</v>
      </c>
      <c r="H5351" s="353" t="s">
        <v>2609</v>
      </c>
      <c r="I5351" s="353" t="s">
        <v>2440</v>
      </c>
      <c r="J5351" s="353" t="s">
        <v>757</v>
      </c>
      <c r="K5351" s="353" t="s">
        <v>770</v>
      </c>
      <c r="L5351" s="354">
        <v>44095</v>
      </c>
      <c r="M5351" s="357">
        <v>0</v>
      </c>
    </row>
    <row r="5352" spans="1:13" hidden="1" x14ac:dyDescent="0.25">
      <c r="A5352" s="354">
        <v>44098</v>
      </c>
      <c r="B5352" s="353" t="s">
        <v>2635</v>
      </c>
      <c r="C5352" s="353" t="s">
        <v>769</v>
      </c>
      <c r="D5352" s="355">
        <v>3</v>
      </c>
      <c r="E5352" s="356">
        <v>15243.75</v>
      </c>
      <c r="F5352" s="356">
        <v>67197.679999999993</v>
      </c>
      <c r="G5352" s="353" t="s">
        <v>2636</v>
      </c>
      <c r="H5352" s="353" t="s">
        <v>2609</v>
      </c>
      <c r="I5352" s="353" t="s">
        <v>2440</v>
      </c>
      <c r="J5352" s="353" t="s">
        <v>757</v>
      </c>
      <c r="K5352" s="353" t="s">
        <v>770</v>
      </c>
      <c r="L5352" s="354">
        <v>44098</v>
      </c>
      <c r="M5352" s="357">
        <v>0</v>
      </c>
    </row>
    <row r="5353" spans="1:13" hidden="1" x14ac:dyDescent="0.25">
      <c r="A5353" s="354">
        <v>44105</v>
      </c>
      <c r="B5353" s="353" t="s">
        <v>2637</v>
      </c>
      <c r="C5353" s="353" t="s">
        <v>769</v>
      </c>
      <c r="D5353" s="355">
        <v>4</v>
      </c>
      <c r="E5353" s="356">
        <v>104</v>
      </c>
      <c r="F5353" s="356">
        <v>67301.679999999993</v>
      </c>
      <c r="G5353" s="353" t="s">
        <v>2638</v>
      </c>
      <c r="H5353" s="353" t="s">
        <v>2609</v>
      </c>
      <c r="I5353" s="353" t="s">
        <v>2440</v>
      </c>
      <c r="J5353" s="353" t="s">
        <v>757</v>
      </c>
      <c r="K5353" s="353" t="s">
        <v>770</v>
      </c>
      <c r="L5353" s="354">
        <v>44105</v>
      </c>
      <c r="M5353" s="357">
        <v>0</v>
      </c>
    </row>
    <row r="5354" spans="1:13" hidden="1" x14ac:dyDescent="0.25">
      <c r="A5354" s="354">
        <v>44119</v>
      </c>
      <c r="B5354" s="353" t="s">
        <v>2639</v>
      </c>
      <c r="C5354" s="353" t="s">
        <v>1059</v>
      </c>
      <c r="D5354" s="355">
        <v>4</v>
      </c>
      <c r="E5354" s="356">
        <v>1289.3800000000001</v>
      </c>
      <c r="F5354" s="356">
        <v>68591.06</v>
      </c>
      <c r="G5354" s="353" t="s">
        <v>2640</v>
      </c>
      <c r="H5354" s="353" t="s">
        <v>2609</v>
      </c>
      <c r="I5354" s="353" t="s">
        <v>2440</v>
      </c>
      <c r="J5354" s="353" t="s">
        <v>757</v>
      </c>
      <c r="K5354" s="353" t="s">
        <v>741</v>
      </c>
      <c r="L5354" s="354">
        <v>44119</v>
      </c>
      <c r="M5354" s="357">
        <v>0</v>
      </c>
    </row>
    <row r="5355" spans="1:13" hidden="1" x14ac:dyDescent="0.25">
      <c r="A5355" s="354">
        <v>44119</v>
      </c>
      <c r="B5355" s="353" t="s">
        <v>2639</v>
      </c>
      <c r="C5355" s="353" t="s">
        <v>1059</v>
      </c>
      <c r="D5355" s="355">
        <v>4</v>
      </c>
      <c r="E5355" s="356">
        <v>2008.16</v>
      </c>
      <c r="F5355" s="356">
        <v>70599.22</v>
      </c>
      <c r="G5355" s="353" t="s">
        <v>2641</v>
      </c>
      <c r="H5355" s="353" t="s">
        <v>2609</v>
      </c>
      <c r="I5355" s="353" t="s">
        <v>2440</v>
      </c>
      <c r="J5355" s="353" t="s">
        <v>757</v>
      </c>
      <c r="K5355" s="353" t="s">
        <v>741</v>
      </c>
      <c r="L5355" s="354">
        <v>44119</v>
      </c>
      <c r="M5355" s="357">
        <v>0</v>
      </c>
    </row>
    <row r="5356" spans="1:13" hidden="1" x14ac:dyDescent="0.25">
      <c r="A5356" s="354">
        <v>44124</v>
      </c>
      <c r="B5356" s="353" t="s">
        <v>2642</v>
      </c>
      <c r="C5356" s="353" t="s">
        <v>769</v>
      </c>
      <c r="D5356" s="355">
        <v>4</v>
      </c>
      <c r="E5356" s="356">
        <v>900</v>
      </c>
      <c r="F5356" s="356">
        <v>71499.22</v>
      </c>
      <c r="G5356" s="353" t="s">
        <v>2643</v>
      </c>
      <c r="H5356" s="353" t="s">
        <v>2609</v>
      </c>
      <c r="I5356" s="353" t="s">
        <v>2440</v>
      </c>
      <c r="J5356" s="353" t="s">
        <v>757</v>
      </c>
      <c r="K5356" s="353" t="s">
        <v>770</v>
      </c>
      <c r="L5356" s="354">
        <v>44124</v>
      </c>
      <c r="M5356" s="357">
        <v>0</v>
      </c>
    </row>
    <row r="5357" spans="1:13" hidden="1" x14ac:dyDescent="0.25">
      <c r="A5357" s="354">
        <v>44135</v>
      </c>
      <c r="B5357" s="353" t="s">
        <v>1200</v>
      </c>
      <c r="C5357" s="353" t="s">
        <v>1060</v>
      </c>
      <c r="D5357" s="355">
        <v>4</v>
      </c>
      <c r="E5357" s="356">
        <v>447.75</v>
      </c>
      <c r="F5357" s="356">
        <v>71946.97</v>
      </c>
      <c r="G5357" s="353" t="s">
        <v>2445</v>
      </c>
      <c r="H5357" s="353" t="s">
        <v>2609</v>
      </c>
      <c r="I5357" s="353" t="s">
        <v>2440</v>
      </c>
      <c r="J5357" s="353" t="s">
        <v>757</v>
      </c>
      <c r="K5357" s="353" t="s">
        <v>741</v>
      </c>
      <c r="L5357" s="354">
        <v>44135</v>
      </c>
      <c r="M5357" s="357">
        <v>0</v>
      </c>
    </row>
    <row r="5358" spans="1:13" hidden="1" x14ac:dyDescent="0.25">
      <c r="A5358" s="354">
        <v>44135</v>
      </c>
      <c r="B5358" s="353" t="s">
        <v>1200</v>
      </c>
      <c r="C5358" s="353" t="s">
        <v>1060</v>
      </c>
      <c r="D5358" s="355">
        <v>5</v>
      </c>
      <c r="E5358" s="356">
        <v>-447.75</v>
      </c>
      <c r="F5358" s="356">
        <v>71499.22</v>
      </c>
      <c r="G5358" s="353" t="s">
        <v>2445</v>
      </c>
      <c r="H5358" s="353" t="s">
        <v>2609</v>
      </c>
      <c r="I5358" s="353" t="s">
        <v>2440</v>
      </c>
      <c r="J5358" s="353" t="s">
        <v>757</v>
      </c>
      <c r="K5358" s="353" t="s">
        <v>741</v>
      </c>
      <c r="L5358" s="354">
        <v>44135</v>
      </c>
      <c r="M5358" s="357">
        <v>0</v>
      </c>
    </row>
    <row r="5359" spans="1:13" hidden="1" x14ac:dyDescent="0.25">
      <c r="A5359" s="354">
        <v>44141</v>
      </c>
      <c r="B5359" s="353" t="s">
        <v>2644</v>
      </c>
      <c r="C5359" s="353" t="s">
        <v>2645</v>
      </c>
      <c r="D5359" s="355">
        <v>5</v>
      </c>
      <c r="E5359" s="356">
        <v>1756.36</v>
      </c>
      <c r="F5359" s="356">
        <v>73255.58</v>
      </c>
      <c r="G5359" s="353" t="s">
        <v>2646</v>
      </c>
      <c r="H5359" s="353" t="s">
        <v>2609</v>
      </c>
      <c r="I5359" s="353" t="s">
        <v>2440</v>
      </c>
      <c r="J5359" s="353" t="s">
        <v>757</v>
      </c>
      <c r="K5359" s="353" t="s">
        <v>741</v>
      </c>
      <c r="L5359" s="354">
        <v>44141</v>
      </c>
      <c r="M5359" s="357">
        <v>0</v>
      </c>
    </row>
    <row r="5360" spans="1:13" hidden="1" x14ac:dyDescent="0.25">
      <c r="A5360" s="354">
        <v>44151</v>
      </c>
      <c r="B5360" s="353" t="s">
        <v>2647</v>
      </c>
      <c r="C5360" s="353" t="s">
        <v>1059</v>
      </c>
      <c r="D5360" s="355">
        <v>5</v>
      </c>
      <c r="E5360" s="356">
        <v>2008.16</v>
      </c>
      <c r="F5360" s="356">
        <v>75263.740000000005</v>
      </c>
      <c r="G5360" s="353" t="s">
        <v>2648</v>
      </c>
      <c r="H5360" s="353" t="s">
        <v>2609</v>
      </c>
      <c r="I5360" s="353" t="s">
        <v>2440</v>
      </c>
      <c r="J5360" s="353" t="s">
        <v>757</v>
      </c>
      <c r="K5360" s="353" t="s">
        <v>741</v>
      </c>
      <c r="L5360" s="354">
        <v>44151</v>
      </c>
      <c r="M5360" s="357">
        <v>0</v>
      </c>
    </row>
    <row r="5361" spans="1:13" hidden="1" x14ac:dyDescent="0.25">
      <c r="A5361" s="354">
        <v>44151</v>
      </c>
      <c r="B5361" s="353" t="s">
        <v>2647</v>
      </c>
      <c r="C5361" s="353" t="s">
        <v>1059</v>
      </c>
      <c r="D5361" s="355">
        <v>5</v>
      </c>
      <c r="E5361" s="356">
        <v>1289.3800000000001</v>
      </c>
      <c r="F5361" s="356">
        <v>76553.119999999995</v>
      </c>
      <c r="G5361" s="353" t="s">
        <v>2649</v>
      </c>
      <c r="H5361" s="353" t="s">
        <v>2609</v>
      </c>
      <c r="I5361" s="353" t="s">
        <v>2440</v>
      </c>
      <c r="J5361" s="353" t="s">
        <v>757</v>
      </c>
      <c r="K5361" s="353" t="s">
        <v>741</v>
      </c>
      <c r="L5361" s="354">
        <v>44151</v>
      </c>
      <c r="M5361" s="357">
        <v>0</v>
      </c>
    </row>
    <row r="5362" spans="1:13" hidden="1" x14ac:dyDescent="0.25">
      <c r="A5362" s="354">
        <v>44165</v>
      </c>
      <c r="B5362" s="353" t="s">
        <v>1158</v>
      </c>
      <c r="C5362" s="353" t="s">
        <v>1060</v>
      </c>
      <c r="D5362" s="355">
        <v>5</v>
      </c>
      <c r="E5362" s="356">
        <v>895.5</v>
      </c>
      <c r="F5362" s="356">
        <v>77448.62</v>
      </c>
      <c r="G5362" s="353" t="s">
        <v>2448</v>
      </c>
      <c r="H5362" s="353" t="s">
        <v>2609</v>
      </c>
      <c r="I5362" s="353" t="s">
        <v>2440</v>
      </c>
      <c r="J5362" s="353" t="s">
        <v>757</v>
      </c>
      <c r="K5362" s="353" t="s">
        <v>741</v>
      </c>
      <c r="L5362" s="354">
        <v>44165</v>
      </c>
      <c r="M5362" s="357">
        <v>0</v>
      </c>
    </row>
    <row r="5363" spans="1:13" hidden="1" x14ac:dyDescent="0.25">
      <c r="A5363" s="354">
        <v>44165</v>
      </c>
      <c r="B5363" s="353" t="s">
        <v>1158</v>
      </c>
      <c r="C5363" s="353" t="s">
        <v>1060</v>
      </c>
      <c r="D5363" s="355">
        <v>6</v>
      </c>
      <c r="E5363" s="356">
        <v>-895.5</v>
      </c>
      <c r="F5363" s="356">
        <v>76553.119999999995</v>
      </c>
      <c r="G5363" s="353" t="s">
        <v>2448</v>
      </c>
      <c r="H5363" s="353" t="s">
        <v>2609</v>
      </c>
      <c r="I5363" s="353" t="s">
        <v>2440</v>
      </c>
      <c r="J5363" s="353" t="s">
        <v>757</v>
      </c>
      <c r="K5363" s="353" t="s">
        <v>741</v>
      </c>
      <c r="L5363" s="354">
        <v>44165</v>
      </c>
      <c r="M5363" s="357">
        <v>0</v>
      </c>
    </row>
    <row r="5364" spans="1:13" hidden="1" x14ac:dyDescent="0.25">
      <c r="A5364" s="354">
        <v>44182</v>
      </c>
      <c r="B5364" s="353" t="s">
        <v>2650</v>
      </c>
      <c r="C5364" s="353" t="s">
        <v>1059</v>
      </c>
      <c r="D5364" s="355">
        <v>6</v>
      </c>
      <c r="E5364" s="356">
        <v>2008.16</v>
      </c>
      <c r="F5364" s="356">
        <v>78561.279999999999</v>
      </c>
      <c r="G5364" s="353" t="s">
        <v>2651</v>
      </c>
      <c r="H5364" s="353" t="s">
        <v>2609</v>
      </c>
      <c r="I5364" s="353" t="s">
        <v>2440</v>
      </c>
      <c r="J5364" s="353" t="s">
        <v>757</v>
      </c>
      <c r="K5364" s="353" t="s">
        <v>741</v>
      </c>
      <c r="L5364" s="354">
        <v>44182</v>
      </c>
      <c r="M5364" s="357">
        <v>0</v>
      </c>
    </row>
    <row r="5365" spans="1:13" hidden="1" x14ac:dyDescent="0.25">
      <c r="A5365" s="354">
        <v>44182</v>
      </c>
      <c r="B5365" s="353" t="s">
        <v>2650</v>
      </c>
      <c r="C5365" s="353" t="s">
        <v>1059</v>
      </c>
      <c r="D5365" s="355">
        <v>6</v>
      </c>
      <c r="E5365" s="356">
        <v>1289.1400000000001</v>
      </c>
      <c r="F5365" s="356">
        <v>79850.42</v>
      </c>
      <c r="G5365" s="353" t="s">
        <v>2652</v>
      </c>
      <c r="H5365" s="353" t="s">
        <v>2609</v>
      </c>
      <c r="I5365" s="353" t="s">
        <v>2440</v>
      </c>
      <c r="J5365" s="353" t="s">
        <v>757</v>
      </c>
      <c r="K5365" s="353" t="s">
        <v>741</v>
      </c>
      <c r="L5365" s="354">
        <v>44182</v>
      </c>
      <c r="M5365" s="357">
        <v>0</v>
      </c>
    </row>
    <row r="5366" spans="1:13" hidden="1" x14ac:dyDescent="0.25">
      <c r="A5366" s="354">
        <v>44196</v>
      </c>
      <c r="B5366" s="353" t="s">
        <v>1160</v>
      </c>
      <c r="C5366" s="353" t="s">
        <v>1060</v>
      </c>
      <c r="D5366" s="355">
        <v>6</v>
      </c>
      <c r="E5366" s="356">
        <v>1343.25</v>
      </c>
      <c r="F5366" s="356">
        <v>81193.67</v>
      </c>
      <c r="G5366" s="353" t="s">
        <v>2451</v>
      </c>
      <c r="H5366" s="353" t="s">
        <v>2609</v>
      </c>
      <c r="I5366" s="353" t="s">
        <v>2440</v>
      </c>
      <c r="J5366" s="353" t="s">
        <v>757</v>
      </c>
      <c r="K5366" s="353" t="s">
        <v>741</v>
      </c>
      <c r="L5366" s="354">
        <v>44196</v>
      </c>
      <c r="M5366" s="357">
        <v>0</v>
      </c>
    </row>
    <row r="5367" spans="1:13" hidden="1" x14ac:dyDescent="0.25">
      <c r="A5367" s="354">
        <v>44183</v>
      </c>
      <c r="B5367" s="353" t="s">
        <v>2434</v>
      </c>
      <c r="C5367" s="353" t="s">
        <v>769</v>
      </c>
      <c r="D5367" s="355">
        <v>7</v>
      </c>
      <c r="E5367" s="356">
        <v>428.1</v>
      </c>
      <c r="F5367" s="356">
        <v>81621.77</v>
      </c>
      <c r="G5367" s="353" t="s">
        <v>2653</v>
      </c>
      <c r="H5367" s="353" t="s">
        <v>2609</v>
      </c>
      <c r="I5367" s="353" t="s">
        <v>2440</v>
      </c>
      <c r="J5367" s="353" t="s">
        <v>757</v>
      </c>
      <c r="K5367" s="353" t="s">
        <v>770</v>
      </c>
      <c r="L5367" s="354">
        <v>44183</v>
      </c>
      <c r="M5367" s="357">
        <v>0</v>
      </c>
    </row>
    <row r="5368" spans="1:13" hidden="1" x14ac:dyDescent="0.25">
      <c r="A5368" s="354">
        <v>44196</v>
      </c>
      <c r="B5368" s="353" t="s">
        <v>1160</v>
      </c>
      <c r="C5368" s="353" t="s">
        <v>1060</v>
      </c>
      <c r="D5368" s="355">
        <v>7</v>
      </c>
      <c r="E5368" s="356">
        <v>-1343.25</v>
      </c>
      <c r="F5368" s="356">
        <v>80278.52</v>
      </c>
      <c r="G5368" s="353" t="s">
        <v>2451</v>
      </c>
      <c r="H5368" s="353" t="s">
        <v>2609</v>
      </c>
      <c r="I5368" s="353" t="s">
        <v>2440</v>
      </c>
      <c r="J5368" s="353" t="s">
        <v>757</v>
      </c>
      <c r="K5368" s="353" t="s">
        <v>741</v>
      </c>
      <c r="L5368" s="354">
        <v>44196</v>
      </c>
      <c r="M5368" s="357">
        <v>0</v>
      </c>
    </row>
    <row r="5369" spans="1:13" hidden="1" x14ac:dyDescent="0.25">
      <c r="A5369" s="354">
        <v>44202</v>
      </c>
      <c r="B5369" s="353" t="s">
        <v>2654</v>
      </c>
      <c r="C5369" s="353" t="s">
        <v>769</v>
      </c>
      <c r="D5369" s="355">
        <v>7</v>
      </c>
      <c r="E5369" s="356">
        <v>1485</v>
      </c>
      <c r="F5369" s="356">
        <v>81763.520000000004</v>
      </c>
      <c r="G5369" s="353" t="s">
        <v>2655</v>
      </c>
      <c r="H5369" s="353" t="s">
        <v>2609</v>
      </c>
      <c r="I5369" s="353" t="s">
        <v>2440</v>
      </c>
      <c r="J5369" s="353" t="s">
        <v>757</v>
      </c>
      <c r="K5369" s="353" t="s">
        <v>770</v>
      </c>
      <c r="L5369" s="354">
        <v>44202</v>
      </c>
      <c r="M5369" s="357">
        <v>0</v>
      </c>
    </row>
    <row r="5370" spans="1:13" hidden="1" x14ac:dyDescent="0.25">
      <c r="A5370" s="354">
        <v>44215</v>
      </c>
      <c r="B5370" s="353" t="s">
        <v>2656</v>
      </c>
      <c r="C5370" s="353" t="s">
        <v>1059</v>
      </c>
      <c r="D5370" s="355">
        <v>7</v>
      </c>
      <c r="E5370" s="356">
        <v>1289.3800000000001</v>
      </c>
      <c r="F5370" s="356">
        <v>83052.899999999994</v>
      </c>
      <c r="G5370" s="353" t="s">
        <v>2657</v>
      </c>
      <c r="H5370" s="353" t="s">
        <v>2609</v>
      </c>
      <c r="I5370" s="353" t="s">
        <v>2440</v>
      </c>
      <c r="J5370" s="353" t="s">
        <v>757</v>
      </c>
      <c r="K5370" s="353" t="s">
        <v>741</v>
      </c>
      <c r="L5370" s="354">
        <v>44215</v>
      </c>
      <c r="M5370" s="357">
        <v>0</v>
      </c>
    </row>
    <row r="5371" spans="1:13" hidden="1" x14ac:dyDescent="0.25">
      <c r="A5371" s="354">
        <v>44215</v>
      </c>
      <c r="B5371" s="353" t="s">
        <v>2656</v>
      </c>
      <c r="C5371" s="353" t="s">
        <v>1059</v>
      </c>
      <c r="D5371" s="355">
        <v>7</v>
      </c>
      <c r="E5371" s="356">
        <v>2008.16</v>
      </c>
      <c r="F5371" s="356">
        <v>85061.06</v>
      </c>
      <c r="G5371" s="353" t="s">
        <v>2658</v>
      </c>
      <c r="H5371" s="353" t="s">
        <v>2609</v>
      </c>
      <c r="I5371" s="353" t="s">
        <v>2440</v>
      </c>
      <c r="J5371" s="353" t="s">
        <v>757</v>
      </c>
      <c r="K5371" s="353" t="s">
        <v>741</v>
      </c>
      <c r="L5371" s="354">
        <v>44215</v>
      </c>
      <c r="M5371" s="357">
        <v>0</v>
      </c>
    </row>
    <row r="5372" spans="1:13" hidden="1" x14ac:dyDescent="0.25">
      <c r="A5372" s="354">
        <v>44230</v>
      </c>
      <c r="B5372" s="353" t="s">
        <v>1166</v>
      </c>
      <c r="C5372" s="353" t="s">
        <v>1060</v>
      </c>
      <c r="D5372" s="355">
        <v>7</v>
      </c>
      <c r="E5372" s="356">
        <v>1461.1</v>
      </c>
      <c r="F5372" s="356">
        <v>86522.16</v>
      </c>
      <c r="G5372" s="353" t="s">
        <v>2457</v>
      </c>
      <c r="H5372" s="353" t="s">
        <v>2609</v>
      </c>
      <c r="I5372" s="353" t="s">
        <v>2440</v>
      </c>
      <c r="J5372" s="353" t="s">
        <v>757</v>
      </c>
      <c r="K5372" s="353" t="s">
        <v>741</v>
      </c>
      <c r="L5372" s="354">
        <v>44230</v>
      </c>
      <c r="M5372" s="357">
        <v>0</v>
      </c>
    </row>
    <row r="5373" spans="1:13" hidden="1" x14ac:dyDescent="0.25">
      <c r="A5373" s="354">
        <v>44228</v>
      </c>
      <c r="B5373" s="353" t="s">
        <v>2659</v>
      </c>
      <c r="C5373" s="353" t="s">
        <v>1059</v>
      </c>
      <c r="D5373" s="355">
        <v>8</v>
      </c>
      <c r="E5373" s="356">
        <v>1289.3800000000001</v>
      </c>
      <c r="F5373" s="356">
        <v>87811.54</v>
      </c>
      <c r="G5373" s="353" t="s">
        <v>2660</v>
      </c>
      <c r="H5373" s="353" t="s">
        <v>2609</v>
      </c>
      <c r="I5373" s="353" t="s">
        <v>2440</v>
      </c>
      <c r="J5373" s="353" t="s">
        <v>757</v>
      </c>
      <c r="K5373" s="353" t="s">
        <v>741</v>
      </c>
      <c r="L5373" s="354">
        <v>44228</v>
      </c>
      <c r="M5373" s="357">
        <v>0</v>
      </c>
    </row>
    <row r="5374" spans="1:13" hidden="1" x14ac:dyDescent="0.25">
      <c r="A5374" s="354">
        <v>44228</v>
      </c>
      <c r="B5374" s="353" t="s">
        <v>2659</v>
      </c>
      <c r="C5374" s="353" t="s">
        <v>1059</v>
      </c>
      <c r="D5374" s="355">
        <v>8</v>
      </c>
      <c r="E5374" s="356">
        <v>2008.16</v>
      </c>
      <c r="F5374" s="356">
        <v>89819.7</v>
      </c>
      <c r="G5374" s="353" t="s">
        <v>2661</v>
      </c>
      <c r="H5374" s="353" t="s">
        <v>2609</v>
      </c>
      <c r="I5374" s="353" t="s">
        <v>2440</v>
      </c>
      <c r="J5374" s="353" t="s">
        <v>757</v>
      </c>
      <c r="K5374" s="353" t="s">
        <v>741</v>
      </c>
      <c r="L5374" s="354">
        <v>44228</v>
      </c>
      <c r="M5374" s="357">
        <v>0</v>
      </c>
    </row>
    <row r="5375" spans="1:13" hidden="1" x14ac:dyDescent="0.25">
      <c r="A5375" s="354">
        <v>44230</v>
      </c>
      <c r="B5375" s="353" t="s">
        <v>1166</v>
      </c>
      <c r="C5375" s="353" t="s">
        <v>1060</v>
      </c>
      <c r="D5375" s="355">
        <v>8</v>
      </c>
      <c r="E5375" s="356">
        <v>-1461.1</v>
      </c>
      <c r="F5375" s="356">
        <v>88358.6</v>
      </c>
      <c r="G5375" s="353" t="s">
        <v>2457</v>
      </c>
      <c r="H5375" s="353" t="s">
        <v>2609</v>
      </c>
      <c r="I5375" s="353" t="s">
        <v>2440</v>
      </c>
      <c r="J5375" s="353" t="s">
        <v>757</v>
      </c>
      <c r="K5375" s="353" t="s">
        <v>741</v>
      </c>
      <c r="L5375" s="354">
        <v>44230</v>
      </c>
      <c r="M5375" s="357">
        <v>0</v>
      </c>
    </row>
    <row r="5376" spans="1:13" hidden="1" x14ac:dyDescent="0.25">
      <c r="A5376" s="354">
        <v>44236</v>
      </c>
      <c r="B5376" s="353" t="s">
        <v>2662</v>
      </c>
      <c r="C5376" s="353" t="s">
        <v>769</v>
      </c>
      <c r="D5376" s="355">
        <v>8</v>
      </c>
      <c r="E5376" s="356">
        <v>2693.9</v>
      </c>
      <c r="F5376" s="356">
        <v>91052.5</v>
      </c>
      <c r="G5376" s="353" t="s">
        <v>2663</v>
      </c>
      <c r="H5376" s="353" t="s">
        <v>2609</v>
      </c>
      <c r="I5376" s="353" t="s">
        <v>2440</v>
      </c>
      <c r="J5376" s="353" t="s">
        <v>757</v>
      </c>
      <c r="K5376" s="353" t="s">
        <v>770</v>
      </c>
      <c r="L5376" s="354">
        <v>44236</v>
      </c>
      <c r="M5376" s="357">
        <v>0</v>
      </c>
    </row>
    <row r="5377" spans="1:13" hidden="1" x14ac:dyDescent="0.25">
      <c r="A5377" s="354">
        <v>44236</v>
      </c>
      <c r="B5377" s="353" t="s">
        <v>2664</v>
      </c>
      <c r="C5377" s="353" t="s">
        <v>769</v>
      </c>
      <c r="D5377" s="355">
        <v>8</v>
      </c>
      <c r="E5377" s="356">
        <v>2853.66</v>
      </c>
      <c r="F5377" s="356">
        <v>93906.16</v>
      </c>
      <c r="G5377" s="353" t="s">
        <v>2665</v>
      </c>
      <c r="H5377" s="353" t="s">
        <v>2609</v>
      </c>
      <c r="I5377" s="353" t="s">
        <v>2440</v>
      </c>
      <c r="J5377" s="353" t="s">
        <v>757</v>
      </c>
      <c r="K5377" s="353" t="s">
        <v>770</v>
      </c>
      <c r="L5377" s="354">
        <v>44236</v>
      </c>
      <c r="M5377" s="357">
        <v>0</v>
      </c>
    </row>
    <row r="5378" spans="1:13" hidden="1" x14ac:dyDescent="0.25">
      <c r="A5378" s="354">
        <v>44246</v>
      </c>
      <c r="B5378" s="353" t="s">
        <v>2666</v>
      </c>
      <c r="C5378" s="353" t="s">
        <v>769</v>
      </c>
      <c r="D5378" s="355">
        <v>8</v>
      </c>
      <c r="E5378" s="356">
        <v>858.2</v>
      </c>
      <c r="F5378" s="356">
        <v>94764.36</v>
      </c>
      <c r="G5378" s="353" t="s">
        <v>2667</v>
      </c>
      <c r="H5378" s="353" t="s">
        <v>2609</v>
      </c>
      <c r="I5378" s="353" t="s">
        <v>2440</v>
      </c>
      <c r="J5378" s="353" t="s">
        <v>757</v>
      </c>
      <c r="K5378" s="353" t="s">
        <v>770</v>
      </c>
      <c r="L5378" s="354">
        <v>44246</v>
      </c>
      <c r="M5378" s="357">
        <v>0</v>
      </c>
    </row>
    <row r="5379" spans="1:13" hidden="1" x14ac:dyDescent="0.25">
      <c r="A5379" s="354">
        <v>44255</v>
      </c>
      <c r="B5379" s="353" t="s">
        <v>1178</v>
      </c>
      <c r="C5379" s="353" t="s">
        <v>1060</v>
      </c>
      <c r="D5379" s="355">
        <v>8</v>
      </c>
      <c r="E5379" s="356">
        <v>888.07</v>
      </c>
      <c r="F5379" s="356">
        <v>95652.43</v>
      </c>
      <c r="G5379" s="353" t="s">
        <v>2472</v>
      </c>
      <c r="H5379" s="353" t="s">
        <v>2609</v>
      </c>
      <c r="I5379" s="353" t="s">
        <v>2440</v>
      </c>
      <c r="J5379" s="353" t="s">
        <v>757</v>
      </c>
      <c r="K5379" s="353" t="s">
        <v>741</v>
      </c>
      <c r="L5379" s="354">
        <v>44255</v>
      </c>
      <c r="M5379" s="357">
        <v>0</v>
      </c>
    </row>
    <row r="5380" spans="1:13" hidden="1" x14ac:dyDescent="0.25">
      <c r="A5380" s="354">
        <v>44255</v>
      </c>
      <c r="B5380" s="353" t="s">
        <v>1178</v>
      </c>
      <c r="C5380" s="353" t="s">
        <v>1060</v>
      </c>
      <c r="D5380" s="355">
        <v>9</v>
      </c>
      <c r="E5380" s="356">
        <v>-888.07</v>
      </c>
      <c r="F5380" s="356">
        <v>94764.36</v>
      </c>
      <c r="G5380" s="353" t="s">
        <v>2472</v>
      </c>
      <c r="H5380" s="353" t="s">
        <v>2609</v>
      </c>
      <c r="I5380" s="353" t="s">
        <v>2440</v>
      </c>
      <c r="J5380" s="353" t="s">
        <v>757</v>
      </c>
      <c r="K5380" s="353" t="s">
        <v>741</v>
      </c>
      <c r="L5380" s="354">
        <v>44255</v>
      </c>
      <c r="M5380" s="357">
        <v>0</v>
      </c>
    </row>
    <row r="5381" spans="1:13" hidden="1" x14ac:dyDescent="0.25">
      <c r="A5381" s="354">
        <v>44256</v>
      </c>
      <c r="B5381" s="353" t="s">
        <v>2668</v>
      </c>
      <c r="C5381" s="353" t="s">
        <v>1059</v>
      </c>
      <c r="D5381" s="355">
        <v>9</v>
      </c>
      <c r="E5381" s="356">
        <v>1289.3800000000001</v>
      </c>
      <c r="F5381" s="356">
        <v>96053.74</v>
      </c>
      <c r="G5381" s="353" t="s">
        <v>2669</v>
      </c>
      <c r="H5381" s="353" t="s">
        <v>2609</v>
      </c>
      <c r="I5381" s="353" t="s">
        <v>2440</v>
      </c>
      <c r="J5381" s="353" t="s">
        <v>757</v>
      </c>
      <c r="K5381" s="353" t="s">
        <v>741</v>
      </c>
      <c r="L5381" s="354">
        <v>44256</v>
      </c>
      <c r="M5381" s="357">
        <v>0</v>
      </c>
    </row>
    <row r="5382" spans="1:13" hidden="1" x14ac:dyDescent="0.25">
      <c r="A5382" s="354">
        <v>44256</v>
      </c>
      <c r="B5382" s="353" t="s">
        <v>2668</v>
      </c>
      <c r="C5382" s="353" t="s">
        <v>1059</v>
      </c>
      <c r="D5382" s="355">
        <v>9</v>
      </c>
      <c r="E5382" s="356">
        <v>2008.16</v>
      </c>
      <c r="F5382" s="356">
        <v>98061.9</v>
      </c>
      <c r="G5382" s="353" t="s">
        <v>2670</v>
      </c>
      <c r="H5382" s="353" t="s">
        <v>2609</v>
      </c>
      <c r="I5382" s="353" t="s">
        <v>2440</v>
      </c>
      <c r="J5382" s="353" t="s">
        <v>757</v>
      </c>
      <c r="K5382" s="353" t="s">
        <v>741</v>
      </c>
      <c r="L5382" s="354">
        <v>44256</v>
      </c>
      <c r="M5382" s="357">
        <v>0</v>
      </c>
    </row>
    <row r="5383" spans="1:13" hidden="1" x14ac:dyDescent="0.25">
      <c r="A5383" s="354">
        <v>44286</v>
      </c>
      <c r="B5383" s="353" t="s">
        <v>2475</v>
      </c>
      <c r="C5383" s="353" t="s">
        <v>1060</v>
      </c>
      <c r="D5383" s="355">
        <v>9</v>
      </c>
      <c r="E5383" s="356">
        <v>1380.1</v>
      </c>
      <c r="F5383" s="356">
        <v>99442</v>
      </c>
      <c r="G5383" s="353" t="s">
        <v>2476</v>
      </c>
      <c r="H5383" s="353" t="s">
        <v>2609</v>
      </c>
      <c r="I5383" s="353" t="s">
        <v>2440</v>
      </c>
      <c r="J5383" s="353" t="s">
        <v>757</v>
      </c>
      <c r="K5383" s="353" t="s">
        <v>741</v>
      </c>
      <c r="L5383" s="354">
        <v>44286</v>
      </c>
      <c r="M5383" s="357">
        <v>0</v>
      </c>
    </row>
    <row r="5384" spans="1:13" hidden="1" x14ac:dyDescent="0.25">
      <c r="A5384" s="354">
        <v>44286</v>
      </c>
      <c r="B5384" s="353" t="s">
        <v>2475</v>
      </c>
      <c r="C5384" s="353" t="s">
        <v>1060</v>
      </c>
      <c r="D5384" s="355">
        <v>10</v>
      </c>
      <c r="E5384" s="356">
        <v>-1380.1</v>
      </c>
      <c r="F5384" s="356">
        <v>98061.9</v>
      </c>
      <c r="G5384" s="353" t="s">
        <v>2476</v>
      </c>
      <c r="H5384" s="353" t="s">
        <v>2609</v>
      </c>
      <c r="I5384" s="353" t="s">
        <v>2440</v>
      </c>
      <c r="J5384" s="353" t="s">
        <v>757</v>
      </c>
      <c r="K5384" s="353" t="s">
        <v>741</v>
      </c>
      <c r="L5384" s="354">
        <v>44286</v>
      </c>
      <c r="M5384" s="357">
        <v>0</v>
      </c>
    </row>
    <row r="5385" spans="1:13" hidden="1" x14ac:dyDescent="0.25">
      <c r="A5385" s="354">
        <v>44293</v>
      </c>
      <c r="B5385" s="353" t="s">
        <v>2671</v>
      </c>
      <c r="C5385" s="353" t="s">
        <v>1059</v>
      </c>
      <c r="D5385" s="355">
        <v>10</v>
      </c>
      <c r="E5385" s="356">
        <v>2692.02</v>
      </c>
      <c r="F5385" s="356">
        <v>100753.92</v>
      </c>
      <c r="G5385" s="353" t="s">
        <v>2672</v>
      </c>
      <c r="H5385" s="353" t="s">
        <v>2609</v>
      </c>
      <c r="I5385" s="353" t="s">
        <v>2440</v>
      </c>
      <c r="J5385" s="353" t="s">
        <v>757</v>
      </c>
      <c r="K5385" s="353" t="s">
        <v>741</v>
      </c>
      <c r="L5385" s="354">
        <v>44293</v>
      </c>
      <c r="M5385" s="357">
        <v>0</v>
      </c>
    </row>
    <row r="5386" spans="1:13" hidden="1" x14ac:dyDescent="0.25">
      <c r="A5386" s="354">
        <v>44293</v>
      </c>
      <c r="B5386" s="353" t="s">
        <v>2671</v>
      </c>
      <c r="C5386" s="353" t="s">
        <v>1059</v>
      </c>
      <c r="D5386" s="355">
        <v>10</v>
      </c>
      <c r="E5386" s="356">
        <v>1289.3800000000001</v>
      </c>
      <c r="F5386" s="356">
        <v>102043.3</v>
      </c>
      <c r="G5386" s="353" t="s">
        <v>2673</v>
      </c>
      <c r="H5386" s="353" t="s">
        <v>2609</v>
      </c>
      <c r="I5386" s="353" t="s">
        <v>2440</v>
      </c>
      <c r="J5386" s="353" t="s">
        <v>757</v>
      </c>
      <c r="K5386" s="353" t="s">
        <v>741</v>
      </c>
      <c r="L5386" s="354">
        <v>44293</v>
      </c>
      <c r="M5386" s="357">
        <v>0</v>
      </c>
    </row>
    <row r="5387" spans="1:13" hidden="1" x14ac:dyDescent="0.25">
      <c r="A5387" s="354">
        <v>44293</v>
      </c>
      <c r="B5387" s="353" t="s">
        <v>2674</v>
      </c>
      <c r="C5387" s="353" t="s">
        <v>769</v>
      </c>
      <c r="D5387" s="355">
        <v>10</v>
      </c>
      <c r="E5387" s="356">
        <v>1350</v>
      </c>
      <c r="F5387" s="356">
        <v>103393.3</v>
      </c>
      <c r="G5387" s="353" t="s">
        <v>2675</v>
      </c>
      <c r="H5387" s="353" t="s">
        <v>2609</v>
      </c>
      <c r="I5387" s="353" t="s">
        <v>2440</v>
      </c>
      <c r="J5387" s="353" t="s">
        <v>757</v>
      </c>
      <c r="K5387" s="353" t="s">
        <v>770</v>
      </c>
      <c r="L5387" s="354">
        <v>44293</v>
      </c>
      <c r="M5387" s="357">
        <v>0</v>
      </c>
    </row>
    <row r="5388" spans="1:13" hidden="1" x14ac:dyDescent="0.25">
      <c r="A5388" s="354">
        <v>44316</v>
      </c>
      <c r="B5388" s="353" t="s">
        <v>1104</v>
      </c>
      <c r="C5388" s="353" t="s">
        <v>1060</v>
      </c>
      <c r="D5388" s="355">
        <v>10</v>
      </c>
      <c r="E5388" s="356">
        <v>8897.1299999999992</v>
      </c>
      <c r="F5388" s="356">
        <v>112290.43</v>
      </c>
      <c r="G5388" s="353" t="s">
        <v>1095</v>
      </c>
      <c r="H5388" s="353" t="s">
        <v>2609</v>
      </c>
      <c r="I5388" s="353" t="s">
        <v>2440</v>
      </c>
      <c r="J5388" s="353" t="s">
        <v>757</v>
      </c>
      <c r="K5388" s="353" t="s">
        <v>741</v>
      </c>
      <c r="L5388" s="354">
        <v>44316</v>
      </c>
      <c r="M5388" s="357">
        <v>0</v>
      </c>
    </row>
    <row r="5389" spans="1:13" hidden="1" x14ac:dyDescent="0.25">
      <c r="A5389" s="359">
        <v>44013</v>
      </c>
      <c r="B5389" s="358" t="s">
        <v>2676</v>
      </c>
      <c r="C5389" s="358" t="s">
        <v>769</v>
      </c>
      <c r="D5389" s="360">
        <v>1</v>
      </c>
      <c r="E5389" s="361">
        <v>104</v>
      </c>
      <c r="F5389" s="361">
        <v>104</v>
      </c>
      <c r="G5389" s="358" t="s">
        <v>2677</v>
      </c>
      <c r="H5389" s="358" t="s">
        <v>2678</v>
      </c>
      <c r="I5389" s="358" t="s">
        <v>2440</v>
      </c>
      <c r="J5389" s="358" t="s">
        <v>757</v>
      </c>
      <c r="K5389" s="358" t="s">
        <v>770</v>
      </c>
      <c r="L5389" s="359">
        <v>44013</v>
      </c>
      <c r="M5389" s="362">
        <v>0</v>
      </c>
    </row>
    <row r="5390" spans="1:13" hidden="1" x14ac:dyDescent="0.25">
      <c r="A5390" s="359">
        <v>44013</v>
      </c>
      <c r="B5390" s="358" t="s">
        <v>2679</v>
      </c>
      <c r="C5390" s="358" t="s">
        <v>769</v>
      </c>
      <c r="D5390" s="360">
        <v>1</v>
      </c>
      <c r="E5390" s="361">
        <v>737.5</v>
      </c>
      <c r="F5390" s="361">
        <v>841.5</v>
      </c>
      <c r="G5390" s="358" t="s">
        <v>2680</v>
      </c>
      <c r="H5390" s="358" t="s">
        <v>2678</v>
      </c>
      <c r="I5390" s="358" t="s">
        <v>2440</v>
      </c>
      <c r="J5390" s="358" t="s">
        <v>757</v>
      </c>
      <c r="K5390" s="358" t="s">
        <v>770</v>
      </c>
      <c r="L5390" s="359">
        <v>44013</v>
      </c>
      <c r="M5390" s="362">
        <v>0</v>
      </c>
    </row>
    <row r="5391" spans="1:13" hidden="1" x14ac:dyDescent="0.25">
      <c r="A5391" s="359">
        <v>44055</v>
      </c>
      <c r="B5391" s="358" t="s">
        <v>2681</v>
      </c>
      <c r="C5391" s="358" t="s">
        <v>769</v>
      </c>
      <c r="D5391" s="360">
        <v>2</v>
      </c>
      <c r="E5391" s="361">
        <v>737.5</v>
      </c>
      <c r="F5391" s="361">
        <v>1579</v>
      </c>
      <c r="G5391" s="358" t="s">
        <v>2682</v>
      </c>
      <c r="H5391" s="358" t="s">
        <v>2678</v>
      </c>
      <c r="I5391" s="358" t="s">
        <v>2440</v>
      </c>
      <c r="J5391" s="358" t="s">
        <v>757</v>
      </c>
      <c r="K5391" s="358" t="s">
        <v>770</v>
      </c>
      <c r="L5391" s="359">
        <v>44055</v>
      </c>
      <c r="M5391" s="362">
        <v>0</v>
      </c>
    </row>
    <row r="5392" spans="1:13" hidden="1" x14ac:dyDescent="0.25">
      <c r="A5392" s="359">
        <v>44112</v>
      </c>
      <c r="B5392" s="358" t="s">
        <v>2683</v>
      </c>
      <c r="C5392" s="358" t="s">
        <v>769</v>
      </c>
      <c r="D5392" s="360">
        <v>4</v>
      </c>
      <c r="E5392" s="361">
        <v>553.12</v>
      </c>
      <c r="F5392" s="361">
        <v>2132.12</v>
      </c>
      <c r="G5392" s="358" t="s">
        <v>2684</v>
      </c>
      <c r="H5392" s="358" t="s">
        <v>2678</v>
      </c>
      <c r="I5392" s="358" t="s">
        <v>2440</v>
      </c>
      <c r="J5392" s="358" t="s">
        <v>757</v>
      </c>
      <c r="K5392" s="358" t="s">
        <v>770</v>
      </c>
      <c r="L5392" s="359">
        <v>44112</v>
      </c>
      <c r="M5392" s="362">
        <v>0</v>
      </c>
    </row>
    <row r="5393" spans="1:13" hidden="1" x14ac:dyDescent="0.25">
      <c r="A5393" s="359">
        <v>44124</v>
      </c>
      <c r="B5393" s="358" t="s">
        <v>2685</v>
      </c>
      <c r="C5393" s="358" t="s">
        <v>769</v>
      </c>
      <c r="D5393" s="360">
        <v>4</v>
      </c>
      <c r="E5393" s="361">
        <v>156</v>
      </c>
      <c r="F5393" s="361">
        <v>2288.12</v>
      </c>
      <c r="G5393" s="358" t="s">
        <v>2686</v>
      </c>
      <c r="H5393" s="358" t="s">
        <v>2678</v>
      </c>
      <c r="I5393" s="358" t="s">
        <v>2440</v>
      </c>
      <c r="J5393" s="358" t="s">
        <v>757</v>
      </c>
      <c r="K5393" s="358" t="s">
        <v>770</v>
      </c>
      <c r="L5393" s="359">
        <v>44124</v>
      </c>
      <c r="M5393" s="362">
        <v>0</v>
      </c>
    </row>
    <row r="5394" spans="1:13" hidden="1" x14ac:dyDescent="0.25">
      <c r="A5394" s="359">
        <v>44147</v>
      </c>
      <c r="B5394" s="358" t="s">
        <v>2687</v>
      </c>
      <c r="C5394" s="358" t="s">
        <v>769</v>
      </c>
      <c r="D5394" s="360">
        <v>5</v>
      </c>
      <c r="E5394" s="361">
        <v>653</v>
      </c>
      <c r="F5394" s="361">
        <v>2941.12</v>
      </c>
      <c r="G5394" s="358" t="s">
        <v>2688</v>
      </c>
      <c r="H5394" s="358" t="s">
        <v>2678</v>
      </c>
      <c r="I5394" s="358" t="s">
        <v>2440</v>
      </c>
      <c r="J5394" s="358" t="s">
        <v>757</v>
      </c>
      <c r="K5394" s="358" t="s">
        <v>770</v>
      </c>
      <c r="L5394" s="359">
        <v>44147</v>
      </c>
      <c r="M5394" s="362">
        <v>0</v>
      </c>
    </row>
    <row r="5395" spans="1:13" hidden="1" x14ac:dyDescent="0.25">
      <c r="A5395" s="359">
        <v>44147</v>
      </c>
      <c r="B5395" s="358" t="s">
        <v>2687</v>
      </c>
      <c r="C5395" s="358" t="s">
        <v>769</v>
      </c>
      <c r="D5395" s="360">
        <v>5</v>
      </c>
      <c r="E5395" s="361">
        <v>737.5</v>
      </c>
      <c r="F5395" s="361">
        <v>3678.62</v>
      </c>
      <c r="G5395" s="358" t="s">
        <v>2689</v>
      </c>
      <c r="H5395" s="358" t="s">
        <v>2678</v>
      </c>
      <c r="I5395" s="358" t="s">
        <v>2440</v>
      </c>
      <c r="J5395" s="358" t="s">
        <v>757</v>
      </c>
      <c r="K5395" s="358" t="s">
        <v>770</v>
      </c>
      <c r="L5395" s="359">
        <v>44147</v>
      </c>
      <c r="M5395" s="362">
        <v>0</v>
      </c>
    </row>
    <row r="5396" spans="1:13" hidden="1" x14ac:dyDescent="0.25">
      <c r="A5396" s="359">
        <v>44196</v>
      </c>
      <c r="B5396" s="358" t="s">
        <v>2690</v>
      </c>
      <c r="C5396" s="358" t="s">
        <v>1060</v>
      </c>
      <c r="D5396" s="360">
        <v>6</v>
      </c>
      <c r="E5396" s="361">
        <v>1012.13</v>
      </c>
      <c r="F5396" s="361">
        <v>4690.75</v>
      </c>
      <c r="G5396" s="358" t="s">
        <v>2691</v>
      </c>
      <c r="H5396" s="358" t="s">
        <v>2678</v>
      </c>
      <c r="I5396" s="358" t="s">
        <v>2440</v>
      </c>
      <c r="J5396" s="358" t="s">
        <v>757</v>
      </c>
      <c r="K5396" s="358" t="s">
        <v>741</v>
      </c>
      <c r="L5396" s="359">
        <v>44196</v>
      </c>
      <c r="M5396" s="362">
        <v>0</v>
      </c>
    </row>
    <row r="5397" spans="1:13" hidden="1" x14ac:dyDescent="0.25">
      <c r="A5397" s="359">
        <v>44166</v>
      </c>
      <c r="B5397" s="358" t="s">
        <v>2692</v>
      </c>
      <c r="C5397" s="358" t="s">
        <v>769</v>
      </c>
      <c r="D5397" s="360">
        <v>7</v>
      </c>
      <c r="E5397" s="361">
        <v>737.5</v>
      </c>
      <c r="F5397" s="361">
        <v>5428.25</v>
      </c>
      <c r="G5397" s="358" t="s">
        <v>2693</v>
      </c>
      <c r="H5397" s="358" t="s">
        <v>2678</v>
      </c>
      <c r="I5397" s="358" t="s">
        <v>2440</v>
      </c>
      <c r="J5397" s="358" t="s">
        <v>757</v>
      </c>
      <c r="K5397" s="358" t="s">
        <v>770</v>
      </c>
      <c r="L5397" s="359">
        <v>44166</v>
      </c>
      <c r="M5397" s="362">
        <v>0</v>
      </c>
    </row>
    <row r="5398" spans="1:13" hidden="1" x14ac:dyDescent="0.25">
      <c r="A5398" s="359">
        <v>44166</v>
      </c>
      <c r="B5398" s="358" t="s">
        <v>2692</v>
      </c>
      <c r="C5398" s="358" t="s">
        <v>769</v>
      </c>
      <c r="D5398" s="360">
        <v>7</v>
      </c>
      <c r="E5398" s="361">
        <v>274.63</v>
      </c>
      <c r="F5398" s="361">
        <v>5702.88</v>
      </c>
      <c r="G5398" s="358" t="s">
        <v>2694</v>
      </c>
      <c r="H5398" s="358" t="s">
        <v>2678</v>
      </c>
      <c r="I5398" s="358" t="s">
        <v>2440</v>
      </c>
      <c r="J5398" s="358" t="s">
        <v>757</v>
      </c>
      <c r="K5398" s="358" t="s">
        <v>770</v>
      </c>
      <c r="L5398" s="359">
        <v>44166</v>
      </c>
      <c r="M5398" s="362">
        <v>0</v>
      </c>
    </row>
    <row r="5399" spans="1:13" hidden="1" x14ac:dyDescent="0.25">
      <c r="A5399" s="359">
        <v>44196</v>
      </c>
      <c r="B5399" s="358" t="s">
        <v>2690</v>
      </c>
      <c r="C5399" s="358" t="s">
        <v>1060</v>
      </c>
      <c r="D5399" s="360">
        <v>7</v>
      </c>
      <c r="E5399" s="361">
        <v>-1012.13</v>
      </c>
      <c r="F5399" s="361">
        <v>4690.75</v>
      </c>
      <c r="G5399" s="358" t="s">
        <v>2691</v>
      </c>
      <c r="H5399" s="358" t="s">
        <v>2678</v>
      </c>
      <c r="I5399" s="358" t="s">
        <v>2440</v>
      </c>
      <c r="J5399" s="358" t="s">
        <v>757</v>
      </c>
      <c r="K5399" s="358" t="s">
        <v>741</v>
      </c>
      <c r="L5399" s="359">
        <v>44196</v>
      </c>
      <c r="M5399" s="362">
        <v>0</v>
      </c>
    </row>
    <row r="5400" spans="1:13" hidden="1" x14ac:dyDescent="0.25">
      <c r="A5400" s="359">
        <v>44197</v>
      </c>
      <c r="B5400" s="358" t="s">
        <v>2695</v>
      </c>
      <c r="C5400" s="358" t="s">
        <v>769</v>
      </c>
      <c r="D5400" s="360">
        <v>7</v>
      </c>
      <c r="E5400" s="361">
        <v>104</v>
      </c>
      <c r="F5400" s="361">
        <v>4794.75</v>
      </c>
      <c r="G5400" s="358" t="s">
        <v>2696</v>
      </c>
      <c r="H5400" s="358" t="s">
        <v>2678</v>
      </c>
      <c r="I5400" s="358" t="s">
        <v>2440</v>
      </c>
      <c r="J5400" s="358" t="s">
        <v>757</v>
      </c>
      <c r="K5400" s="358" t="s">
        <v>770</v>
      </c>
      <c r="L5400" s="359">
        <v>44197</v>
      </c>
      <c r="M5400" s="362">
        <v>0</v>
      </c>
    </row>
    <row r="5401" spans="1:13" hidden="1" x14ac:dyDescent="0.25">
      <c r="A5401" s="359">
        <v>44211</v>
      </c>
      <c r="B5401" s="358" t="s">
        <v>2697</v>
      </c>
      <c r="C5401" s="358" t="s">
        <v>769</v>
      </c>
      <c r="D5401" s="360">
        <v>7</v>
      </c>
      <c r="E5401" s="361">
        <v>553.12</v>
      </c>
      <c r="F5401" s="361">
        <v>5347.87</v>
      </c>
      <c r="G5401" s="358" t="s">
        <v>2698</v>
      </c>
      <c r="H5401" s="358" t="s">
        <v>2678</v>
      </c>
      <c r="I5401" s="358" t="s">
        <v>2440</v>
      </c>
      <c r="J5401" s="358" t="s">
        <v>757</v>
      </c>
      <c r="K5401" s="358" t="s">
        <v>770</v>
      </c>
      <c r="L5401" s="359">
        <v>44211</v>
      </c>
      <c r="M5401" s="362">
        <v>0</v>
      </c>
    </row>
    <row r="5402" spans="1:13" hidden="1" x14ac:dyDescent="0.25">
      <c r="A5402" s="359">
        <v>44216</v>
      </c>
      <c r="B5402" s="358" t="s">
        <v>2699</v>
      </c>
      <c r="C5402" s="358" t="s">
        <v>769</v>
      </c>
      <c r="D5402" s="360">
        <v>7</v>
      </c>
      <c r="E5402" s="361">
        <v>156</v>
      </c>
      <c r="F5402" s="361">
        <v>5503.87</v>
      </c>
      <c r="G5402" s="358" t="s">
        <v>2700</v>
      </c>
      <c r="H5402" s="358" t="s">
        <v>2678</v>
      </c>
      <c r="I5402" s="358" t="s">
        <v>2440</v>
      </c>
      <c r="J5402" s="358" t="s">
        <v>757</v>
      </c>
      <c r="K5402" s="358" t="s">
        <v>770</v>
      </c>
      <c r="L5402" s="359">
        <v>44216</v>
      </c>
      <c r="M5402" s="362">
        <v>0</v>
      </c>
    </row>
    <row r="5403" spans="1:13" hidden="1" x14ac:dyDescent="0.25">
      <c r="A5403" s="359">
        <v>44244</v>
      </c>
      <c r="B5403" s="358" t="s">
        <v>2701</v>
      </c>
      <c r="C5403" s="358" t="s">
        <v>769</v>
      </c>
      <c r="D5403" s="360">
        <v>8</v>
      </c>
      <c r="E5403" s="361">
        <v>553.12</v>
      </c>
      <c r="F5403" s="361">
        <v>6056.99</v>
      </c>
      <c r="G5403" s="358" t="s">
        <v>2702</v>
      </c>
      <c r="H5403" s="358" t="s">
        <v>2678</v>
      </c>
      <c r="I5403" s="358" t="s">
        <v>2440</v>
      </c>
      <c r="J5403" s="358" t="s">
        <v>757</v>
      </c>
      <c r="K5403" s="358" t="s">
        <v>770</v>
      </c>
      <c r="L5403" s="359">
        <v>44244</v>
      </c>
      <c r="M5403" s="362">
        <v>0</v>
      </c>
    </row>
    <row r="5404" spans="1:13" hidden="1" x14ac:dyDescent="0.25">
      <c r="A5404" s="359">
        <v>44286</v>
      </c>
      <c r="B5404" s="358" t="s">
        <v>2703</v>
      </c>
      <c r="C5404" s="358" t="s">
        <v>1059</v>
      </c>
      <c r="D5404" s="360">
        <v>9</v>
      </c>
      <c r="E5404" s="361">
        <v>553.12</v>
      </c>
      <c r="F5404" s="361">
        <v>6610.11</v>
      </c>
      <c r="G5404" s="358" t="s">
        <v>2704</v>
      </c>
      <c r="H5404" s="358" t="s">
        <v>2678</v>
      </c>
      <c r="I5404" s="358" t="s">
        <v>2440</v>
      </c>
      <c r="J5404" s="358" t="s">
        <v>757</v>
      </c>
      <c r="K5404" s="358" t="s">
        <v>741</v>
      </c>
      <c r="L5404" s="359">
        <v>44286</v>
      </c>
      <c r="M5404" s="362">
        <v>0</v>
      </c>
    </row>
    <row r="5405" spans="1:13" hidden="1" x14ac:dyDescent="0.25">
      <c r="A5405" s="359">
        <v>44287</v>
      </c>
      <c r="B5405" s="358" t="s">
        <v>2705</v>
      </c>
      <c r="C5405" s="358" t="s">
        <v>769</v>
      </c>
      <c r="D5405" s="360">
        <v>10</v>
      </c>
      <c r="E5405" s="361">
        <v>104</v>
      </c>
      <c r="F5405" s="361">
        <v>6714.11</v>
      </c>
      <c r="G5405" s="358" t="s">
        <v>2706</v>
      </c>
      <c r="H5405" s="358" t="s">
        <v>2678</v>
      </c>
      <c r="I5405" s="358" t="s">
        <v>2440</v>
      </c>
      <c r="J5405" s="358" t="s">
        <v>757</v>
      </c>
      <c r="K5405" s="358" t="s">
        <v>770</v>
      </c>
      <c r="L5405" s="359">
        <v>44287</v>
      </c>
      <c r="M5405" s="362">
        <v>0</v>
      </c>
    </row>
    <row r="5406" spans="1:13" hidden="1" x14ac:dyDescent="0.25">
      <c r="A5406" s="359">
        <v>44316</v>
      </c>
      <c r="B5406" s="358" t="s">
        <v>1103</v>
      </c>
      <c r="C5406" s="358" t="s">
        <v>1060</v>
      </c>
      <c r="D5406" s="360">
        <v>10</v>
      </c>
      <c r="E5406" s="361">
        <v>553.12</v>
      </c>
      <c r="F5406" s="361">
        <v>7267.23</v>
      </c>
      <c r="G5406" s="358" t="s">
        <v>1085</v>
      </c>
      <c r="H5406" s="358" t="s">
        <v>2678</v>
      </c>
      <c r="I5406" s="358" t="s">
        <v>2440</v>
      </c>
      <c r="J5406" s="358" t="s">
        <v>757</v>
      </c>
      <c r="K5406" s="358" t="s">
        <v>741</v>
      </c>
      <c r="L5406" s="359">
        <v>44316</v>
      </c>
      <c r="M5406" s="362">
        <v>0</v>
      </c>
    </row>
    <row r="5407" spans="1:13" hidden="1" x14ac:dyDescent="0.25">
      <c r="A5407" s="364">
        <v>44245</v>
      </c>
      <c r="B5407" s="363" t="s">
        <v>1050</v>
      </c>
      <c r="C5407" s="363" t="s">
        <v>769</v>
      </c>
      <c r="D5407" s="365">
        <v>9</v>
      </c>
      <c r="E5407" s="366">
        <v>265.27</v>
      </c>
      <c r="F5407" s="366">
        <v>265.27</v>
      </c>
      <c r="G5407" s="363" t="s">
        <v>2707</v>
      </c>
      <c r="H5407" s="363" t="s">
        <v>2708</v>
      </c>
      <c r="I5407" s="363" t="s">
        <v>216</v>
      </c>
      <c r="J5407" s="363" t="s">
        <v>757</v>
      </c>
      <c r="K5407" s="363" t="s">
        <v>770</v>
      </c>
      <c r="L5407" s="364">
        <v>44245</v>
      </c>
      <c r="M5407" s="367">
        <v>0</v>
      </c>
    </row>
    <row r="5408" spans="1:13" hidden="1" x14ac:dyDescent="0.25">
      <c r="A5408" s="364">
        <v>44286</v>
      </c>
      <c r="B5408" s="363" t="s">
        <v>2709</v>
      </c>
      <c r="C5408" s="363" t="s">
        <v>1059</v>
      </c>
      <c r="D5408" s="365">
        <v>9</v>
      </c>
      <c r="E5408" s="366">
        <v>211.64</v>
      </c>
      <c r="F5408" s="366">
        <v>476.91</v>
      </c>
      <c r="G5408" s="363" t="s">
        <v>2710</v>
      </c>
      <c r="H5408" s="363" t="s">
        <v>2708</v>
      </c>
      <c r="I5408" s="363" t="s">
        <v>216</v>
      </c>
      <c r="J5408" s="363" t="s">
        <v>757</v>
      </c>
      <c r="K5408" s="363" t="s">
        <v>741</v>
      </c>
      <c r="L5408" s="364">
        <v>44286</v>
      </c>
      <c r="M5408" s="367">
        <v>0</v>
      </c>
    </row>
    <row r="5409" spans="1:13" hidden="1" x14ac:dyDescent="0.25">
      <c r="A5409" s="364">
        <v>44012</v>
      </c>
      <c r="B5409" s="363" t="s">
        <v>1119</v>
      </c>
      <c r="C5409" s="363" t="s">
        <v>1059</v>
      </c>
      <c r="D5409" s="365">
        <v>1</v>
      </c>
      <c r="E5409" s="366">
        <v>-500</v>
      </c>
      <c r="F5409" s="366">
        <v>-23.09</v>
      </c>
      <c r="G5409" s="363" t="s">
        <v>2711</v>
      </c>
      <c r="H5409" s="363" t="s">
        <v>2712</v>
      </c>
      <c r="I5409" s="363" t="s">
        <v>216</v>
      </c>
      <c r="J5409" s="363" t="s">
        <v>757</v>
      </c>
      <c r="K5409" s="363" t="s">
        <v>741</v>
      </c>
      <c r="L5409" s="364">
        <v>44012</v>
      </c>
      <c r="M5409" s="367">
        <v>0</v>
      </c>
    </row>
    <row r="5410" spans="1:13" hidden="1" x14ac:dyDescent="0.25">
      <c r="A5410" s="364">
        <v>44043</v>
      </c>
      <c r="B5410" s="363" t="s">
        <v>1121</v>
      </c>
      <c r="C5410" s="363" t="s">
        <v>1060</v>
      </c>
      <c r="D5410" s="365">
        <v>1</v>
      </c>
      <c r="E5410" s="366">
        <v>500</v>
      </c>
      <c r="F5410" s="366">
        <v>476.91</v>
      </c>
      <c r="G5410" s="363" t="s">
        <v>2713</v>
      </c>
      <c r="H5410" s="363" t="s">
        <v>2712</v>
      </c>
      <c r="I5410" s="363" t="s">
        <v>216</v>
      </c>
      <c r="J5410" s="363" t="s">
        <v>757</v>
      </c>
      <c r="K5410" s="363" t="s">
        <v>741</v>
      </c>
      <c r="L5410" s="364">
        <v>44043</v>
      </c>
      <c r="M5410" s="367">
        <v>0</v>
      </c>
    </row>
    <row r="5411" spans="1:13" hidden="1" x14ac:dyDescent="0.25">
      <c r="A5411" s="364">
        <v>44043</v>
      </c>
      <c r="B5411" s="363" t="s">
        <v>1121</v>
      </c>
      <c r="C5411" s="363" t="s">
        <v>1060</v>
      </c>
      <c r="D5411" s="365">
        <v>2</v>
      </c>
      <c r="E5411" s="366">
        <v>-500</v>
      </c>
      <c r="F5411" s="366">
        <v>-23.09</v>
      </c>
      <c r="G5411" s="363" t="s">
        <v>2713</v>
      </c>
      <c r="H5411" s="363" t="s">
        <v>2712</v>
      </c>
      <c r="I5411" s="363" t="s">
        <v>216</v>
      </c>
      <c r="J5411" s="363" t="s">
        <v>757</v>
      </c>
      <c r="K5411" s="363" t="s">
        <v>741</v>
      </c>
      <c r="L5411" s="364">
        <v>44043</v>
      </c>
      <c r="M5411" s="367">
        <v>0</v>
      </c>
    </row>
    <row r="5412" spans="1:13" hidden="1" x14ac:dyDescent="0.25">
      <c r="A5412" s="364">
        <v>44074</v>
      </c>
      <c r="B5412" s="363" t="s">
        <v>1067</v>
      </c>
      <c r="C5412" s="363" t="s">
        <v>1060</v>
      </c>
      <c r="D5412" s="365">
        <v>2</v>
      </c>
      <c r="E5412" s="366">
        <v>500</v>
      </c>
      <c r="F5412" s="366">
        <v>476.91</v>
      </c>
      <c r="G5412" s="363" t="s">
        <v>2714</v>
      </c>
      <c r="H5412" s="363" t="s">
        <v>2712</v>
      </c>
      <c r="I5412" s="363" t="s">
        <v>216</v>
      </c>
      <c r="J5412" s="363" t="s">
        <v>757</v>
      </c>
      <c r="K5412" s="363" t="s">
        <v>741</v>
      </c>
      <c r="L5412" s="364">
        <v>44074</v>
      </c>
      <c r="M5412" s="367">
        <v>0</v>
      </c>
    </row>
    <row r="5413" spans="1:13" hidden="1" x14ac:dyDescent="0.25">
      <c r="A5413" s="364">
        <v>44074</v>
      </c>
      <c r="B5413" s="363" t="s">
        <v>1067</v>
      </c>
      <c r="C5413" s="363" t="s">
        <v>1060</v>
      </c>
      <c r="D5413" s="365">
        <v>3</v>
      </c>
      <c r="E5413" s="366">
        <v>-500</v>
      </c>
      <c r="F5413" s="366">
        <v>-23.09</v>
      </c>
      <c r="G5413" s="363" t="s">
        <v>2714</v>
      </c>
      <c r="H5413" s="363" t="s">
        <v>2712</v>
      </c>
      <c r="I5413" s="363" t="s">
        <v>216</v>
      </c>
      <c r="J5413" s="363" t="s">
        <v>757</v>
      </c>
      <c r="K5413" s="363" t="s">
        <v>741</v>
      </c>
      <c r="L5413" s="364">
        <v>44074</v>
      </c>
      <c r="M5413" s="367">
        <v>0</v>
      </c>
    </row>
    <row r="5414" spans="1:13" hidden="1" x14ac:dyDescent="0.25">
      <c r="A5414" s="364">
        <v>44104</v>
      </c>
      <c r="B5414" s="363" t="s">
        <v>1071</v>
      </c>
      <c r="C5414" s="363" t="s">
        <v>1060</v>
      </c>
      <c r="D5414" s="365">
        <v>3</v>
      </c>
      <c r="E5414" s="366">
        <v>500</v>
      </c>
      <c r="F5414" s="366">
        <v>476.91</v>
      </c>
      <c r="G5414" s="363" t="s">
        <v>2715</v>
      </c>
      <c r="H5414" s="363" t="s">
        <v>2712</v>
      </c>
      <c r="I5414" s="363" t="s">
        <v>216</v>
      </c>
      <c r="J5414" s="363" t="s">
        <v>757</v>
      </c>
      <c r="K5414" s="363" t="s">
        <v>741</v>
      </c>
      <c r="L5414" s="364">
        <v>44104</v>
      </c>
      <c r="M5414" s="367">
        <v>0</v>
      </c>
    </row>
    <row r="5415" spans="1:13" hidden="1" x14ac:dyDescent="0.25">
      <c r="A5415" s="364">
        <v>44104</v>
      </c>
      <c r="B5415" s="363" t="s">
        <v>1071</v>
      </c>
      <c r="C5415" s="363" t="s">
        <v>1060</v>
      </c>
      <c r="D5415" s="365">
        <v>4</v>
      </c>
      <c r="E5415" s="366">
        <v>-500</v>
      </c>
      <c r="F5415" s="366">
        <v>-23.09</v>
      </c>
      <c r="G5415" s="363" t="s">
        <v>2715</v>
      </c>
      <c r="H5415" s="363" t="s">
        <v>2712</v>
      </c>
      <c r="I5415" s="363" t="s">
        <v>216</v>
      </c>
      <c r="J5415" s="363" t="s">
        <v>757</v>
      </c>
      <c r="K5415" s="363" t="s">
        <v>741</v>
      </c>
      <c r="L5415" s="364">
        <v>44104</v>
      </c>
      <c r="M5415" s="367">
        <v>0</v>
      </c>
    </row>
    <row r="5416" spans="1:13" hidden="1" x14ac:dyDescent="0.25">
      <c r="A5416" s="364">
        <v>44135</v>
      </c>
      <c r="B5416" s="363" t="s">
        <v>1072</v>
      </c>
      <c r="C5416" s="363" t="s">
        <v>1060</v>
      </c>
      <c r="D5416" s="365">
        <v>4</v>
      </c>
      <c r="E5416" s="366">
        <v>500</v>
      </c>
      <c r="F5416" s="366">
        <v>476.91</v>
      </c>
      <c r="G5416" s="363" t="s">
        <v>2716</v>
      </c>
      <c r="H5416" s="363" t="s">
        <v>2712</v>
      </c>
      <c r="I5416" s="363" t="s">
        <v>216</v>
      </c>
      <c r="J5416" s="363" t="s">
        <v>757</v>
      </c>
      <c r="K5416" s="363" t="s">
        <v>741</v>
      </c>
      <c r="L5416" s="364">
        <v>44135</v>
      </c>
      <c r="M5416" s="367">
        <v>0</v>
      </c>
    </row>
    <row r="5417" spans="1:13" hidden="1" x14ac:dyDescent="0.25">
      <c r="A5417" s="364">
        <v>44135</v>
      </c>
      <c r="B5417" s="363" t="s">
        <v>1072</v>
      </c>
      <c r="C5417" s="363" t="s">
        <v>1060</v>
      </c>
      <c r="D5417" s="365">
        <v>5</v>
      </c>
      <c r="E5417" s="366">
        <v>-500</v>
      </c>
      <c r="F5417" s="366">
        <v>-23.09</v>
      </c>
      <c r="G5417" s="363" t="s">
        <v>2716</v>
      </c>
      <c r="H5417" s="363" t="s">
        <v>2712</v>
      </c>
      <c r="I5417" s="363" t="s">
        <v>216</v>
      </c>
      <c r="J5417" s="363" t="s">
        <v>757</v>
      </c>
      <c r="K5417" s="363" t="s">
        <v>741</v>
      </c>
      <c r="L5417" s="364">
        <v>44135</v>
      </c>
      <c r="M5417" s="367">
        <v>0</v>
      </c>
    </row>
    <row r="5418" spans="1:13" hidden="1" x14ac:dyDescent="0.25">
      <c r="A5418" s="364">
        <v>44165</v>
      </c>
      <c r="B5418" s="363" t="s">
        <v>1128</v>
      </c>
      <c r="C5418" s="363" t="s">
        <v>1060</v>
      </c>
      <c r="D5418" s="365">
        <v>5</v>
      </c>
      <c r="E5418" s="366">
        <v>500</v>
      </c>
      <c r="F5418" s="366">
        <v>476.91</v>
      </c>
      <c r="G5418" s="363" t="s">
        <v>2717</v>
      </c>
      <c r="H5418" s="363" t="s">
        <v>2712</v>
      </c>
      <c r="I5418" s="363" t="s">
        <v>216</v>
      </c>
      <c r="J5418" s="363" t="s">
        <v>757</v>
      </c>
      <c r="K5418" s="363" t="s">
        <v>741</v>
      </c>
      <c r="L5418" s="364">
        <v>44165</v>
      </c>
      <c r="M5418" s="367">
        <v>0</v>
      </c>
    </row>
    <row r="5419" spans="1:13" hidden="1" x14ac:dyDescent="0.25">
      <c r="A5419" s="364">
        <v>44165</v>
      </c>
      <c r="B5419" s="363" t="s">
        <v>1128</v>
      </c>
      <c r="C5419" s="363" t="s">
        <v>1060</v>
      </c>
      <c r="D5419" s="365">
        <v>6</v>
      </c>
      <c r="E5419" s="366">
        <v>-500</v>
      </c>
      <c r="F5419" s="366">
        <v>-23.09</v>
      </c>
      <c r="G5419" s="363" t="s">
        <v>2717</v>
      </c>
      <c r="H5419" s="363" t="s">
        <v>2712</v>
      </c>
      <c r="I5419" s="363" t="s">
        <v>216</v>
      </c>
      <c r="J5419" s="363" t="s">
        <v>757</v>
      </c>
      <c r="K5419" s="363" t="s">
        <v>741</v>
      </c>
      <c r="L5419" s="364">
        <v>44165</v>
      </c>
      <c r="M5419" s="367">
        <v>0</v>
      </c>
    </row>
    <row r="5420" spans="1:13" hidden="1" x14ac:dyDescent="0.25">
      <c r="A5420" s="364">
        <v>44196</v>
      </c>
      <c r="B5420" s="363" t="s">
        <v>1073</v>
      </c>
      <c r="C5420" s="363" t="s">
        <v>1060</v>
      </c>
      <c r="D5420" s="365">
        <v>6</v>
      </c>
      <c r="E5420" s="366">
        <v>500</v>
      </c>
      <c r="F5420" s="366">
        <v>476.91</v>
      </c>
      <c r="G5420" s="363" t="s">
        <v>2718</v>
      </c>
      <c r="H5420" s="363" t="s">
        <v>2712</v>
      </c>
      <c r="I5420" s="363" t="s">
        <v>216</v>
      </c>
      <c r="J5420" s="363" t="s">
        <v>757</v>
      </c>
      <c r="K5420" s="363" t="s">
        <v>741</v>
      </c>
      <c r="L5420" s="364">
        <v>44196</v>
      </c>
      <c r="M5420" s="367">
        <v>0</v>
      </c>
    </row>
    <row r="5421" spans="1:13" hidden="1" x14ac:dyDescent="0.25">
      <c r="A5421" s="364">
        <v>44196</v>
      </c>
      <c r="B5421" s="363" t="s">
        <v>1073</v>
      </c>
      <c r="C5421" s="363" t="s">
        <v>1060</v>
      </c>
      <c r="D5421" s="365">
        <v>7</v>
      </c>
      <c r="E5421" s="366">
        <v>-500</v>
      </c>
      <c r="F5421" s="366">
        <v>-23.09</v>
      </c>
      <c r="G5421" s="363" t="s">
        <v>2718</v>
      </c>
      <c r="H5421" s="363" t="s">
        <v>2712</v>
      </c>
      <c r="I5421" s="363" t="s">
        <v>216</v>
      </c>
      <c r="J5421" s="363" t="s">
        <v>757</v>
      </c>
      <c r="K5421" s="363" t="s">
        <v>741</v>
      </c>
      <c r="L5421" s="364">
        <v>44196</v>
      </c>
      <c r="M5421" s="367">
        <v>0</v>
      </c>
    </row>
    <row r="5422" spans="1:13" hidden="1" x14ac:dyDescent="0.25">
      <c r="A5422" s="364">
        <v>44227</v>
      </c>
      <c r="B5422" s="363" t="s">
        <v>1074</v>
      </c>
      <c r="C5422" s="363" t="s">
        <v>1060</v>
      </c>
      <c r="D5422" s="365">
        <v>7</v>
      </c>
      <c r="E5422" s="366">
        <v>500</v>
      </c>
      <c r="F5422" s="366">
        <v>476.91</v>
      </c>
      <c r="G5422" s="363" t="s">
        <v>2719</v>
      </c>
      <c r="H5422" s="363" t="s">
        <v>2712</v>
      </c>
      <c r="I5422" s="363" t="s">
        <v>216</v>
      </c>
      <c r="J5422" s="363" t="s">
        <v>757</v>
      </c>
      <c r="K5422" s="363" t="s">
        <v>741</v>
      </c>
      <c r="L5422" s="364">
        <v>44227</v>
      </c>
      <c r="M5422" s="367">
        <v>0</v>
      </c>
    </row>
    <row r="5423" spans="1:13" hidden="1" x14ac:dyDescent="0.25">
      <c r="A5423" s="364">
        <v>44227</v>
      </c>
      <c r="B5423" s="363" t="s">
        <v>1074</v>
      </c>
      <c r="C5423" s="363" t="s">
        <v>1060</v>
      </c>
      <c r="D5423" s="365">
        <v>8</v>
      </c>
      <c r="E5423" s="366">
        <v>-500</v>
      </c>
      <c r="F5423" s="366">
        <v>-23.09</v>
      </c>
      <c r="G5423" s="363" t="s">
        <v>2719</v>
      </c>
      <c r="H5423" s="363" t="s">
        <v>2712</v>
      </c>
      <c r="I5423" s="363" t="s">
        <v>216</v>
      </c>
      <c r="J5423" s="363" t="s">
        <v>757</v>
      </c>
      <c r="K5423" s="363" t="s">
        <v>741</v>
      </c>
      <c r="L5423" s="364">
        <v>44227</v>
      </c>
      <c r="M5423" s="367">
        <v>0</v>
      </c>
    </row>
    <row r="5424" spans="1:13" hidden="1" x14ac:dyDescent="0.25">
      <c r="A5424" s="364">
        <v>44255</v>
      </c>
      <c r="B5424" s="363" t="s">
        <v>1075</v>
      </c>
      <c r="C5424" s="363" t="s">
        <v>1060</v>
      </c>
      <c r="D5424" s="365">
        <v>8</v>
      </c>
      <c r="E5424" s="366">
        <v>500</v>
      </c>
      <c r="F5424" s="366">
        <v>476.91</v>
      </c>
      <c r="G5424" s="363" t="s">
        <v>2720</v>
      </c>
      <c r="H5424" s="363" t="s">
        <v>2712</v>
      </c>
      <c r="I5424" s="363" t="s">
        <v>216</v>
      </c>
      <c r="J5424" s="363" t="s">
        <v>757</v>
      </c>
      <c r="K5424" s="363" t="s">
        <v>741</v>
      </c>
      <c r="L5424" s="364">
        <v>44255</v>
      </c>
      <c r="M5424" s="367">
        <v>0</v>
      </c>
    </row>
    <row r="5425" spans="1:13" hidden="1" x14ac:dyDescent="0.25">
      <c r="A5425" s="364">
        <v>44255</v>
      </c>
      <c r="B5425" s="363" t="s">
        <v>1075</v>
      </c>
      <c r="C5425" s="363" t="s">
        <v>1060</v>
      </c>
      <c r="D5425" s="365">
        <v>9</v>
      </c>
      <c r="E5425" s="366">
        <v>-500</v>
      </c>
      <c r="F5425" s="366">
        <v>-23.09</v>
      </c>
      <c r="G5425" s="363" t="s">
        <v>2720</v>
      </c>
      <c r="H5425" s="363" t="s">
        <v>2712</v>
      </c>
      <c r="I5425" s="363" t="s">
        <v>216</v>
      </c>
      <c r="J5425" s="363" t="s">
        <v>757</v>
      </c>
      <c r="K5425" s="363" t="s">
        <v>741</v>
      </c>
      <c r="L5425" s="364">
        <v>44255</v>
      </c>
      <c r="M5425" s="367">
        <v>0</v>
      </c>
    </row>
    <row r="5426" spans="1:13" hidden="1" x14ac:dyDescent="0.25">
      <c r="A5426" s="364">
        <v>44286</v>
      </c>
      <c r="B5426" s="363" t="s">
        <v>1135</v>
      </c>
      <c r="C5426" s="363" t="s">
        <v>1060</v>
      </c>
      <c r="D5426" s="365">
        <v>9</v>
      </c>
      <c r="E5426" s="366">
        <v>500</v>
      </c>
      <c r="F5426" s="366">
        <v>476.91</v>
      </c>
      <c r="G5426" s="363" t="s">
        <v>2721</v>
      </c>
      <c r="H5426" s="363" t="s">
        <v>2712</v>
      </c>
      <c r="I5426" s="363" t="s">
        <v>216</v>
      </c>
      <c r="J5426" s="363" t="s">
        <v>757</v>
      </c>
      <c r="K5426" s="363" t="s">
        <v>741</v>
      </c>
      <c r="L5426" s="364">
        <v>44286</v>
      </c>
      <c r="M5426" s="367">
        <v>0</v>
      </c>
    </row>
    <row r="5427" spans="1:13" hidden="1" x14ac:dyDescent="0.25">
      <c r="A5427" s="364">
        <v>44286</v>
      </c>
      <c r="B5427" s="363" t="s">
        <v>1135</v>
      </c>
      <c r="C5427" s="363" t="s">
        <v>1060</v>
      </c>
      <c r="D5427" s="365">
        <v>10</v>
      </c>
      <c r="E5427" s="366">
        <v>-500</v>
      </c>
      <c r="F5427" s="366">
        <v>-23.09</v>
      </c>
      <c r="G5427" s="363" t="s">
        <v>2721</v>
      </c>
      <c r="H5427" s="363" t="s">
        <v>2712</v>
      </c>
      <c r="I5427" s="363" t="s">
        <v>216</v>
      </c>
      <c r="J5427" s="363" t="s">
        <v>757</v>
      </c>
      <c r="K5427" s="363" t="s">
        <v>741</v>
      </c>
      <c r="L5427" s="364">
        <v>44286</v>
      </c>
      <c r="M5427" s="367">
        <v>0</v>
      </c>
    </row>
    <row r="5428" spans="1:13" hidden="1" x14ac:dyDescent="0.25">
      <c r="A5428" s="364">
        <v>44316</v>
      </c>
      <c r="B5428" s="363" t="s">
        <v>1083</v>
      </c>
      <c r="C5428" s="363" t="s">
        <v>1060</v>
      </c>
      <c r="D5428" s="365">
        <v>10</v>
      </c>
      <c r="E5428" s="366">
        <v>500</v>
      </c>
      <c r="F5428" s="366">
        <v>476.91</v>
      </c>
      <c r="G5428" s="363" t="s">
        <v>1080</v>
      </c>
      <c r="H5428" s="363" t="s">
        <v>2712</v>
      </c>
      <c r="I5428" s="363" t="s">
        <v>216</v>
      </c>
      <c r="J5428" s="363" t="s">
        <v>757</v>
      </c>
      <c r="K5428" s="363" t="s">
        <v>741</v>
      </c>
      <c r="L5428" s="364">
        <v>44316</v>
      </c>
      <c r="M5428" s="367">
        <v>0</v>
      </c>
    </row>
    <row r="5429" spans="1:13" hidden="1" x14ac:dyDescent="0.25">
      <c r="A5429" s="364">
        <v>44012</v>
      </c>
      <c r="B5429" s="363" t="s">
        <v>1119</v>
      </c>
      <c r="C5429" s="363" t="s">
        <v>1059</v>
      </c>
      <c r="D5429" s="365">
        <v>1</v>
      </c>
      <c r="E5429" s="366">
        <v>-3000</v>
      </c>
      <c r="F5429" s="366">
        <v>-3023.09</v>
      </c>
      <c r="G5429" s="363" t="s">
        <v>2711</v>
      </c>
      <c r="H5429" s="363" t="s">
        <v>2722</v>
      </c>
      <c r="I5429" s="363" t="s">
        <v>216</v>
      </c>
      <c r="J5429" s="363" t="s">
        <v>757</v>
      </c>
      <c r="K5429" s="363" t="s">
        <v>741</v>
      </c>
      <c r="L5429" s="364">
        <v>44012</v>
      </c>
      <c r="M5429" s="367">
        <v>0</v>
      </c>
    </row>
    <row r="5430" spans="1:13" hidden="1" x14ac:dyDescent="0.25">
      <c r="A5430" s="364">
        <v>44043</v>
      </c>
      <c r="B5430" s="363" t="s">
        <v>1121</v>
      </c>
      <c r="C5430" s="363" t="s">
        <v>1060</v>
      </c>
      <c r="D5430" s="365">
        <v>1</v>
      </c>
      <c r="E5430" s="366">
        <v>3000</v>
      </c>
      <c r="F5430" s="366">
        <v>-23.090000000000099</v>
      </c>
      <c r="G5430" s="363" t="s">
        <v>2713</v>
      </c>
      <c r="H5430" s="363" t="s">
        <v>2722</v>
      </c>
      <c r="I5430" s="363" t="s">
        <v>216</v>
      </c>
      <c r="J5430" s="363" t="s">
        <v>757</v>
      </c>
      <c r="K5430" s="363" t="s">
        <v>741</v>
      </c>
      <c r="L5430" s="364">
        <v>44043</v>
      </c>
      <c r="M5430" s="367">
        <v>0</v>
      </c>
    </row>
    <row r="5431" spans="1:13" hidden="1" x14ac:dyDescent="0.25">
      <c r="A5431" s="364">
        <v>44043</v>
      </c>
      <c r="B5431" s="363" t="s">
        <v>1121</v>
      </c>
      <c r="C5431" s="363" t="s">
        <v>1060</v>
      </c>
      <c r="D5431" s="365">
        <v>2</v>
      </c>
      <c r="E5431" s="366">
        <v>-3000</v>
      </c>
      <c r="F5431" s="366">
        <v>-3023.09</v>
      </c>
      <c r="G5431" s="363" t="s">
        <v>2713</v>
      </c>
      <c r="H5431" s="363" t="s">
        <v>2722</v>
      </c>
      <c r="I5431" s="363" t="s">
        <v>216</v>
      </c>
      <c r="J5431" s="363" t="s">
        <v>757</v>
      </c>
      <c r="K5431" s="363" t="s">
        <v>741</v>
      </c>
      <c r="L5431" s="364">
        <v>44043</v>
      </c>
      <c r="M5431" s="367">
        <v>0</v>
      </c>
    </row>
    <row r="5432" spans="1:13" hidden="1" x14ac:dyDescent="0.25">
      <c r="A5432" s="364">
        <v>44074</v>
      </c>
      <c r="B5432" s="363" t="s">
        <v>1067</v>
      </c>
      <c r="C5432" s="363" t="s">
        <v>1060</v>
      </c>
      <c r="D5432" s="365">
        <v>2</v>
      </c>
      <c r="E5432" s="366">
        <v>3000</v>
      </c>
      <c r="F5432" s="366">
        <v>-23.090000000000099</v>
      </c>
      <c r="G5432" s="363" t="s">
        <v>2714</v>
      </c>
      <c r="H5432" s="363" t="s">
        <v>2722</v>
      </c>
      <c r="I5432" s="363" t="s">
        <v>216</v>
      </c>
      <c r="J5432" s="363" t="s">
        <v>757</v>
      </c>
      <c r="K5432" s="363" t="s">
        <v>741</v>
      </c>
      <c r="L5432" s="364">
        <v>44074</v>
      </c>
      <c r="M5432" s="367">
        <v>0</v>
      </c>
    </row>
    <row r="5433" spans="1:13" hidden="1" x14ac:dyDescent="0.25">
      <c r="A5433" s="364">
        <v>44074</v>
      </c>
      <c r="B5433" s="363" t="s">
        <v>1067</v>
      </c>
      <c r="C5433" s="363" t="s">
        <v>1060</v>
      </c>
      <c r="D5433" s="365">
        <v>3</v>
      </c>
      <c r="E5433" s="366">
        <v>-3000</v>
      </c>
      <c r="F5433" s="366">
        <v>-3023.09</v>
      </c>
      <c r="G5433" s="363" t="s">
        <v>2714</v>
      </c>
      <c r="H5433" s="363" t="s">
        <v>2722</v>
      </c>
      <c r="I5433" s="363" t="s">
        <v>216</v>
      </c>
      <c r="J5433" s="363" t="s">
        <v>757</v>
      </c>
      <c r="K5433" s="363" t="s">
        <v>741</v>
      </c>
      <c r="L5433" s="364">
        <v>44074</v>
      </c>
      <c r="M5433" s="367">
        <v>0</v>
      </c>
    </row>
    <row r="5434" spans="1:13" hidden="1" x14ac:dyDescent="0.25">
      <c r="A5434" s="364">
        <v>44104</v>
      </c>
      <c r="B5434" s="363" t="s">
        <v>1071</v>
      </c>
      <c r="C5434" s="363" t="s">
        <v>1060</v>
      </c>
      <c r="D5434" s="365">
        <v>3</v>
      </c>
      <c r="E5434" s="366">
        <v>3000</v>
      </c>
      <c r="F5434" s="366">
        <v>-23.090000000000099</v>
      </c>
      <c r="G5434" s="363" t="s">
        <v>2715</v>
      </c>
      <c r="H5434" s="363" t="s">
        <v>2722</v>
      </c>
      <c r="I5434" s="363" t="s">
        <v>216</v>
      </c>
      <c r="J5434" s="363" t="s">
        <v>757</v>
      </c>
      <c r="K5434" s="363" t="s">
        <v>741</v>
      </c>
      <c r="L5434" s="364">
        <v>44104</v>
      </c>
      <c r="M5434" s="367">
        <v>0</v>
      </c>
    </row>
    <row r="5435" spans="1:13" hidden="1" x14ac:dyDescent="0.25">
      <c r="A5435" s="364">
        <v>44104</v>
      </c>
      <c r="B5435" s="363" t="s">
        <v>1071</v>
      </c>
      <c r="C5435" s="363" t="s">
        <v>1060</v>
      </c>
      <c r="D5435" s="365">
        <v>4</v>
      </c>
      <c r="E5435" s="366">
        <v>-3000</v>
      </c>
      <c r="F5435" s="366">
        <v>-3023.09</v>
      </c>
      <c r="G5435" s="363" t="s">
        <v>2715</v>
      </c>
      <c r="H5435" s="363" t="s">
        <v>2722</v>
      </c>
      <c r="I5435" s="363" t="s">
        <v>216</v>
      </c>
      <c r="J5435" s="363" t="s">
        <v>757</v>
      </c>
      <c r="K5435" s="363" t="s">
        <v>741</v>
      </c>
      <c r="L5435" s="364">
        <v>44104</v>
      </c>
      <c r="M5435" s="367">
        <v>0</v>
      </c>
    </row>
    <row r="5436" spans="1:13" hidden="1" x14ac:dyDescent="0.25">
      <c r="A5436" s="364">
        <v>44111</v>
      </c>
      <c r="B5436" s="363" t="s">
        <v>2723</v>
      </c>
      <c r="C5436" s="363" t="s">
        <v>936</v>
      </c>
      <c r="D5436" s="365">
        <v>4</v>
      </c>
      <c r="E5436" s="366">
        <v>-9610.2000000000007</v>
      </c>
      <c r="F5436" s="366">
        <v>-12633.29</v>
      </c>
      <c r="G5436" s="363" t="s">
        <v>2724</v>
      </c>
      <c r="H5436" s="363" t="s">
        <v>2722</v>
      </c>
      <c r="I5436" s="363" t="s">
        <v>216</v>
      </c>
      <c r="J5436" s="363" t="s">
        <v>757</v>
      </c>
      <c r="K5436" s="363" t="s">
        <v>770</v>
      </c>
      <c r="L5436" s="364">
        <v>44111</v>
      </c>
      <c r="M5436" s="367">
        <v>0</v>
      </c>
    </row>
    <row r="5437" spans="1:13" hidden="1" x14ac:dyDescent="0.25">
      <c r="A5437" s="364">
        <v>44135</v>
      </c>
      <c r="B5437" s="363" t="s">
        <v>1072</v>
      </c>
      <c r="C5437" s="363" t="s">
        <v>1060</v>
      </c>
      <c r="D5437" s="365">
        <v>4</v>
      </c>
      <c r="E5437" s="366">
        <v>3000</v>
      </c>
      <c r="F5437" s="366">
        <v>-9633.2900000000009</v>
      </c>
      <c r="G5437" s="363" t="s">
        <v>2716</v>
      </c>
      <c r="H5437" s="363" t="s">
        <v>2722</v>
      </c>
      <c r="I5437" s="363" t="s">
        <v>216</v>
      </c>
      <c r="J5437" s="363" t="s">
        <v>757</v>
      </c>
      <c r="K5437" s="363" t="s">
        <v>741</v>
      </c>
      <c r="L5437" s="364">
        <v>44135</v>
      </c>
      <c r="M5437" s="367">
        <v>0</v>
      </c>
    </row>
    <row r="5438" spans="1:13" hidden="1" x14ac:dyDescent="0.25">
      <c r="A5438" s="364">
        <v>44135</v>
      </c>
      <c r="B5438" s="363" t="s">
        <v>1072</v>
      </c>
      <c r="C5438" s="363" t="s">
        <v>1060</v>
      </c>
      <c r="D5438" s="365">
        <v>5</v>
      </c>
      <c r="E5438" s="366">
        <v>-3000</v>
      </c>
      <c r="F5438" s="366">
        <v>-12633.29</v>
      </c>
      <c r="G5438" s="363" t="s">
        <v>2716</v>
      </c>
      <c r="H5438" s="363" t="s">
        <v>2722</v>
      </c>
      <c r="I5438" s="363" t="s">
        <v>216</v>
      </c>
      <c r="J5438" s="363" t="s">
        <v>757</v>
      </c>
      <c r="K5438" s="363" t="s">
        <v>741</v>
      </c>
      <c r="L5438" s="364">
        <v>44135</v>
      </c>
      <c r="M5438" s="367">
        <v>0</v>
      </c>
    </row>
    <row r="5439" spans="1:13" hidden="1" x14ac:dyDescent="0.25">
      <c r="A5439" s="364">
        <v>44165</v>
      </c>
      <c r="B5439" s="363" t="s">
        <v>1128</v>
      </c>
      <c r="C5439" s="363" t="s">
        <v>1060</v>
      </c>
      <c r="D5439" s="365">
        <v>5</v>
      </c>
      <c r="E5439" s="366">
        <v>3000</v>
      </c>
      <c r="F5439" s="366">
        <v>-9633.2900000000009</v>
      </c>
      <c r="G5439" s="363" t="s">
        <v>2717</v>
      </c>
      <c r="H5439" s="363" t="s">
        <v>2722</v>
      </c>
      <c r="I5439" s="363" t="s">
        <v>216</v>
      </c>
      <c r="J5439" s="363" t="s">
        <v>757</v>
      </c>
      <c r="K5439" s="363" t="s">
        <v>741</v>
      </c>
      <c r="L5439" s="364">
        <v>44165</v>
      </c>
      <c r="M5439" s="367">
        <v>0</v>
      </c>
    </row>
    <row r="5440" spans="1:13" hidden="1" x14ac:dyDescent="0.25">
      <c r="A5440" s="364">
        <v>44165</v>
      </c>
      <c r="B5440" s="363" t="s">
        <v>1128</v>
      </c>
      <c r="C5440" s="363" t="s">
        <v>1060</v>
      </c>
      <c r="D5440" s="365">
        <v>6</v>
      </c>
      <c r="E5440" s="366">
        <v>-3000</v>
      </c>
      <c r="F5440" s="366">
        <v>-12633.29</v>
      </c>
      <c r="G5440" s="363" t="s">
        <v>2717</v>
      </c>
      <c r="H5440" s="363" t="s">
        <v>2722</v>
      </c>
      <c r="I5440" s="363" t="s">
        <v>216</v>
      </c>
      <c r="J5440" s="363" t="s">
        <v>757</v>
      </c>
      <c r="K5440" s="363" t="s">
        <v>741</v>
      </c>
      <c r="L5440" s="364">
        <v>44165</v>
      </c>
      <c r="M5440" s="367">
        <v>0</v>
      </c>
    </row>
    <row r="5441" spans="1:13" hidden="1" x14ac:dyDescent="0.25">
      <c r="A5441" s="364">
        <v>44196</v>
      </c>
      <c r="B5441" s="363" t="s">
        <v>1073</v>
      </c>
      <c r="C5441" s="363" t="s">
        <v>1060</v>
      </c>
      <c r="D5441" s="365">
        <v>6</v>
      </c>
      <c r="E5441" s="366">
        <v>3000</v>
      </c>
      <c r="F5441" s="366">
        <v>-9633.2900000000009</v>
      </c>
      <c r="G5441" s="363" t="s">
        <v>2718</v>
      </c>
      <c r="H5441" s="363" t="s">
        <v>2722</v>
      </c>
      <c r="I5441" s="363" t="s">
        <v>216</v>
      </c>
      <c r="J5441" s="363" t="s">
        <v>757</v>
      </c>
      <c r="K5441" s="363" t="s">
        <v>741</v>
      </c>
      <c r="L5441" s="364">
        <v>44196</v>
      </c>
      <c r="M5441" s="367">
        <v>0</v>
      </c>
    </row>
    <row r="5442" spans="1:13" hidden="1" x14ac:dyDescent="0.25">
      <c r="A5442" s="364">
        <v>44183</v>
      </c>
      <c r="B5442" s="363" t="s">
        <v>1003</v>
      </c>
      <c r="C5442" s="363" t="s">
        <v>769</v>
      </c>
      <c r="D5442" s="365">
        <v>7</v>
      </c>
      <c r="E5442" s="366">
        <v>328.64</v>
      </c>
      <c r="F5442" s="366">
        <v>-9304.65</v>
      </c>
      <c r="G5442" s="363" t="s">
        <v>2707</v>
      </c>
      <c r="H5442" s="363" t="s">
        <v>2722</v>
      </c>
      <c r="I5442" s="363" t="s">
        <v>216</v>
      </c>
      <c r="J5442" s="363" t="s">
        <v>757</v>
      </c>
      <c r="K5442" s="363" t="s">
        <v>770</v>
      </c>
      <c r="L5442" s="364">
        <v>44183</v>
      </c>
      <c r="M5442" s="367">
        <v>0</v>
      </c>
    </row>
    <row r="5443" spans="1:13" hidden="1" x14ac:dyDescent="0.25">
      <c r="A5443" s="364">
        <v>44190</v>
      </c>
      <c r="B5443" s="363" t="s">
        <v>935</v>
      </c>
      <c r="C5443" s="363" t="s">
        <v>769</v>
      </c>
      <c r="D5443" s="365">
        <v>7</v>
      </c>
      <c r="E5443" s="366">
        <v>824.09</v>
      </c>
      <c r="F5443" s="366">
        <v>-8480.56</v>
      </c>
      <c r="G5443" s="363" t="s">
        <v>2725</v>
      </c>
      <c r="H5443" s="363" t="s">
        <v>2722</v>
      </c>
      <c r="I5443" s="363" t="s">
        <v>216</v>
      </c>
      <c r="J5443" s="363" t="s">
        <v>757</v>
      </c>
      <c r="K5443" s="363" t="s">
        <v>770</v>
      </c>
      <c r="L5443" s="364">
        <v>44190</v>
      </c>
      <c r="M5443" s="367">
        <v>0</v>
      </c>
    </row>
    <row r="5444" spans="1:13" hidden="1" x14ac:dyDescent="0.25">
      <c r="A5444" s="364">
        <v>44190</v>
      </c>
      <c r="B5444" s="363" t="s">
        <v>935</v>
      </c>
      <c r="C5444" s="363" t="s">
        <v>769</v>
      </c>
      <c r="D5444" s="365">
        <v>7</v>
      </c>
      <c r="E5444" s="366">
        <v>450.18</v>
      </c>
      <c r="F5444" s="366">
        <v>-8030.38</v>
      </c>
      <c r="G5444" s="363" t="s">
        <v>2726</v>
      </c>
      <c r="H5444" s="363" t="s">
        <v>2722</v>
      </c>
      <c r="I5444" s="363" t="s">
        <v>216</v>
      </c>
      <c r="J5444" s="363" t="s">
        <v>757</v>
      </c>
      <c r="K5444" s="363" t="s">
        <v>770</v>
      </c>
      <c r="L5444" s="364">
        <v>44190</v>
      </c>
      <c r="M5444" s="367">
        <v>0</v>
      </c>
    </row>
    <row r="5445" spans="1:13" hidden="1" x14ac:dyDescent="0.25">
      <c r="A5445" s="364">
        <v>44190</v>
      </c>
      <c r="B5445" s="363" t="s">
        <v>935</v>
      </c>
      <c r="C5445" s="363" t="s">
        <v>769</v>
      </c>
      <c r="D5445" s="365">
        <v>7</v>
      </c>
      <c r="E5445" s="366">
        <v>575.09</v>
      </c>
      <c r="F5445" s="366">
        <v>-7455.29</v>
      </c>
      <c r="G5445" s="363" t="s">
        <v>2727</v>
      </c>
      <c r="H5445" s="363" t="s">
        <v>2722</v>
      </c>
      <c r="I5445" s="363" t="s">
        <v>216</v>
      </c>
      <c r="J5445" s="363" t="s">
        <v>757</v>
      </c>
      <c r="K5445" s="363" t="s">
        <v>770</v>
      </c>
      <c r="L5445" s="364">
        <v>44190</v>
      </c>
      <c r="M5445" s="367">
        <v>0</v>
      </c>
    </row>
    <row r="5446" spans="1:13" hidden="1" x14ac:dyDescent="0.25">
      <c r="A5446" s="364">
        <v>44196</v>
      </c>
      <c r="B5446" s="363" t="s">
        <v>1073</v>
      </c>
      <c r="C5446" s="363" t="s">
        <v>1060</v>
      </c>
      <c r="D5446" s="365">
        <v>7</v>
      </c>
      <c r="E5446" s="366">
        <v>-3000</v>
      </c>
      <c r="F5446" s="366">
        <v>-10455.290000000001</v>
      </c>
      <c r="G5446" s="363" t="s">
        <v>2718</v>
      </c>
      <c r="H5446" s="363" t="s">
        <v>2722</v>
      </c>
      <c r="I5446" s="363" t="s">
        <v>216</v>
      </c>
      <c r="J5446" s="363" t="s">
        <v>757</v>
      </c>
      <c r="K5446" s="363" t="s">
        <v>741</v>
      </c>
      <c r="L5446" s="364">
        <v>44196</v>
      </c>
      <c r="M5446" s="367">
        <v>0</v>
      </c>
    </row>
    <row r="5447" spans="1:13" hidden="1" x14ac:dyDescent="0.25">
      <c r="A5447" s="364">
        <v>44214</v>
      </c>
      <c r="B5447" s="363" t="s">
        <v>997</v>
      </c>
      <c r="C5447" s="363" t="s">
        <v>769</v>
      </c>
      <c r="D5447" s="365">
        <v>7</v>
      </c>
      <c r="E5447" s="366">
        <v>265.27</v>
      </c>
      <c r="F5447" s="366">
        <v>-10190.02</v>
      </c>
      <c r="G5447" s="363" t="s">
        <v>2707</v>
      </c>
      <c r="H5447" s="363" t="s">
        <v>2722</v>
      </c>
      <c r="I5447" s="363" t="s">
        <v>216</v>
      </c>
      <c r="J5447" s="363" t="s">
        <v>757</v>
      </c>
      <c r="K5447" s="363" t="s">
        <v>770</v>
      </c>
      <c r="L5447" s="364">
        <v>44214</v>
      </c>
      <c r="M5447" s="367">
        <v>0</v>
      </c>
    </row>
    <row r="5448" spans="1:13" hidden="1" x14ac:dyDescent="0.25">
      <c r="A5448" s="364">
        <v>44227</v>
      </c>
      <c r="B5448" s="363" t="s">
        <v>1074</v>
      </c>
      <c r="C5448" s="363" t="s">
        <v>1060</v>
      </c>
      <c r="D5448" s="365">
        <v>7</v>
      </c>
      <c r="E5448" s="366">
        <v>3000</v>
      </c>
      <c r="F5448" s="366">
        <v>-7190.02</v>
      </c>
      <c r="G5448" s="363" t="s">
        <v>2719</v>
      </c>
      <c r="H5448" s="363" t="s">
        <v>2722</v>
      </c>
      <c r="I5448" s="363" t="s">
        <v>216</v>
      </c>
      <c r="J5448" s="363" t="s">
        <v>757</v>
      </c>
      <c r="K5448" s="363" t="s">
        <v>741</v>
      </c>
      <c r="L5448" s="364">
        <v>44227</v>
      </c>
      <c r="M5448" s="367">
        <v>0</v>
      </c>
    </row>
    <row r="5449" spans="1:13" hidden="1" x14ac:dyDescent="0.25">
      <c r="A5449" s="364">
        <v>44227</v>
      </c>
      <c r="B5449" s="363" t="s">
        <v>1074</v>
      </c>
      <c r="C5449" s="363" t="s">
        <v>1060</v>
      </c>
      <c r="D5449" s="365">
        <v>8</v>
      </c>
      <c r="E5449" s="366">
        <v>-3000</v>
      </c>
      <c r="F5449" s="366">
        <v>-10190.02</v>
      </c>
      <c r="G5449" s="363" t="s">
        <v>2719</v>
      </c>
      <c r="H5449" s="363" t="s">
        <v>2722</v>
      </c>
      <c r="I5449" s="363" t="s">
        <v>216</v>
      </c>
      <c r="J5449" s="363" t="s">
        <v>757</v>
      </c>
      <c r="K5449" s="363" t="s">
        <v>741</v>
      </c>
      <c r="L5449" s="364">
        <v>44227</v>
      </c>
      <c r="M5449" s="367">
        <v>0</v>
      </c>
    </row>
    <row r="5450" spans="1:13" hidden="1" x14ac:dyDescent="0.25">
      <c r="A5450" s="364">
        <v>44255</v>
      </c>
      <c r="B5450" s="363" t="s">
        <v>1075</v>
      </c>
      <c r="C5450" s="363" t="s">
        <v>1060</v>
      </c>
      <c r="D5450" s="365">
        <v>8</v>
      </c>
      <c r="E5450" s="366">
        <v>3000</v>
      </c>
      <c r="F5450" s="366">
        <v>-7190.02</v>
      </c>
      <c r="G5450" s="363" t="s">
        <v>2720</v>
      </c>
      <c r="H5450" s="363" t="s">
        <v>2722</v>
      </c>
      <c r="I5450" s="363" t="s">
        <v>216</v>
      </c>
      <c r="J5450" s="363" t="s">
        <v>757</v>
      </c>
      <c r="K5450" s="363" t="s">
        <v>741</v>
      </c>
      <c r="L5450" s="364">
        <v>44255</v>
      </c>
      <c r="M5450" s="367">
        <v>0</v>
      </c>
    </row>
    <row r="5451" spans="1:13" hidden="1" x14ac:dyDescent="0.25">
      <c r="A5451" s="364">
        <v>44252</v>
      </c>
      <c r="B5451" s="363" t="s">
        <v>1051</v>
      </c>
      <c r="C5451" s="363" t="s">
        <v>769</v>
      </c>
      <c r="D5451" s="365">
        <v>9</v>
      </c>
      <c r="E5451" s="366">
        <v>-423.65</v>
      </c>
      <c r="F5451" s="366">
        <v>-7613.67</v>
      </c>
      <c r="G5451" s="363" t="s">
        <v>2728</v>
      </c>
      <c r="H5451" s="363" t="s">
        <v>2722</v>
      </c>
      <c r="I5451" s="363" t="s">
        <v>216</v>
      </c>
      <c r="J5451" s="363" t="s">
        <v>757</v>
      </c>
      <c r="K5451" s="363" t="s">
        <v>770</v>
      </c>
      <c r="L5451" s="364">
        <v>44252</v>
      </c>
      <c r="M5451" s="367">
        <v>0</v>
      </c>
    </row>
    <row r="5452" spans="1:13" hidden="1" x14ac:dyDescent="0.25">
      <c r="A5452" s="364">
        <v>44255</v>
      </c>
      <c r="B5452" s="363" t="s">
        <v>1075</v>
      </c>
      <c r="C5452" s="363" t="s">
        <v>1060</v>
      </c>
      <c r="D5452" s="365">
        <v>9</v>
      </c>
      <c r="E5452" s="366">
        <v>-3000</v>
      </c>
      <c r="F5452" s="366">
        <v>-10613.67</v>
      </c>
      <c r="G5452" s="363" t="s">
        <v>2720</v>
      </c>
      <c r="H5452" s="363" t="s">
        <v>2722</v>
      </c>
      <c r="I5452" s="363" t="s">
        <v>216</v>
      </c>
      <c r="J5452" s="363" t="s">
        <v>757</v>
      </c>
      <c r="K5452" s="363" t="s">
        <v>741</v>
      </c>
      <c r="L5452" s="364">
        <v>44255</v>
      </c>
      <c r="M5452" s="367">
        <v>0</v>
      </c>
    </row>
    <row r="5453" spans="1:13" hidden="1" x14ac:dyDescent="0.25">
      <c r="A5453" s="364">
        <v>44273</v>
      </c>
      <c r="B5453" s="363" t="s">
        <v>1056</v>
      </c>
      <c r="C5453" s="363" t="s">
        <v>769</v>
      </c>
      <c r="D5453" s="365">
        <v>9</v>
      </c>
      <c r="E5453" s="366">
        <v>218.53</v>
      </c>
      <c r="F5453" s="366">
        <v>-10395.14</v>
      </c>
      <c r="G5453" s="363" t="s">
        <v>2729</v>
      </c>
      <c r="H5453" s="363" t="s">
        <v>2722</v>
      </c>
      <c r="I5453" s="363" t="s">
        <v>216</v>
      </c>
      <c r="J5453" s="363" t="s">
        <v>757</v>
      </c>
      <c r="K5453" s="363" t="s">
        <v>770</v>
      </c>
      <c r="L5453" s="364">
        <v>44273</v>
      </c>
      <c r="M5453" s="367">
        <v>0</v>
      </c>
    </row>
    <row r="5454" spans="1:13" hidden="1" x14ac:dyDescent="0.25">
      <c r="A5454" s="364">
        <v>44280</v>
      </c>
      <c r="B5454" s="363" t="s">
        <v>1058</v>
      </c>
      <c r="C5454" s="363" t="s">
        <v>769</v>
      </c>
      <c r="D5454" s="365">
        <v>9</v>
      </c>
      <c r="E5454" s="366">
        <v>182.76</v>
      </c>
      <c r="F5454" s="366">
        <v>-10212.379999999999</v>
      </c>
      <c r="G5454" s="363" t="s">
        <v>2730</v>
      </c>
      <c r="H5454" s="363" t="s">
        <v>2722</v>
      </c>
      <c r="I5454" s="363" t="s">
        <v>216</v>
      </c>
      <c r="J5454" s="363" t="s">
        <v>757</v>
      </c>
      <c r="K5454" s="363" t="s">
        <v>770</v>
      </c>
      <c r="L5454" s="364">
        <v>44280</v>
      </c>
      <c r="M5454" s="367">
        <v>0</v>
      </c>
    </row>
    <row r="5455" spans="1:13" hidden="1" x14ac:dyDescent="0.25">
      <c r="A5455" s="364">
        <v>44280</v>
      </c>
      <c r="B5455" s="363" t="s">
        <v>1058</v>
      </c>
      <c r="C5455" s="363" t="s">
        <v>769</v>
      </c>
      <c r="D5455" s="365">
        <v>9</v>
      </c>
      <c r="E5455" s="366">
        <v>251.65</v>
      </c>
      <c r="F5455" s="366">
        <v>-9960.73</v>
      </c>
      <c r="G5455" s="363" t="s">
        <v>2731</v>
      </c>
      <c r="H5455" s="363" t="s">
        <v>2722</v>
      </c>
      <c r="I5455" s="363" t="s">
        <v>216</v>
      </c>
      <c r="J5455" s="363" t="s">
        <v>757</v>
      </c>
      <c r="K5455" s="363" t="s">
        <v>770</v>
      </c>
      <c r="L5455" s="364">
        <v>44280</v>
      </c>
      <c r="M5455" s="367">
        <v>0</v>
      </c>
    </row>
    <row r="5456" spans="1:13" hidden="1" x14ac:dyDescent="0.25">
      <c r="A5456" s="364">
        <v>44280</v>
      </c>
      <c r="B5456" s="363" t="s">
        <v>1058</v>
      </c>
      <c r="C5456" s="363" t="s">
        <v>769</v>
      </c>
      <c r="D5456" s="365">
        <v>9</v>
      </c>
      <c r="E5456" s="366">
        <v>50.91</v>
      </c>
      <c r="F5456" s="366">
        <v>-9909.82</v>
      </c>
      <c r="G5456" s="363" t="s">
        <v>2730</v>
      </c>
      <c r="H5456" s="363" t="s">
        <v>2722</v>
      </c>
      <c r="I5456" s="363" t="s">
        <v>216</v>
      </c>
      <c r="J5456" s="363" t="s">
        <v>757</v>
      </c>
      <c r="K5456" s="363" t="s">
        <v>770</v>
      </c>
      <c r="L5456" s="364">
        <v>44280</v>
      </c>
      <c r="M5456" s="367">
        <v>0</v>
      </c>
    </row>
    <row r="5457" spans="1:13" hidden="1" x14ac:dyDescent="0.25">
      <c r="A5457" s="364">
        <v>44286</v>
      </c>
      <c r="B5457" s="363" t="s">
        <v>1135</v>
      </c>
      <c r="C5457" s="363" t="s">
        <v>1060</v>
      </c>
      <c r="D5457" s="365">
        <v>9</v>
      </c>
      <c r="E5457" s="366">
        <v>3000</v>
      </c>
      <c r="F5457" s="366">
        <v>-6909.82</v>
      </c>
      <c r="G5457" s="363" t="s">
        <v>2721</v>
      </c>
      <c r="H5457" s="363" t="s">
        <v>2722</v>
      </c>
      <c r="I5457" s="363" t="s">
        <v>216</v>
      </c>
      <c r="J5457" s="363" t="s">
        <v>757</v>
      </c>
      <c r="K5457" s="363" t="s">
        <v>741</v>
      </c>
      <c r="L5457" s="364">
        <v>44286</v>
      </c>
      <c r="M5457" s="367">
        <v>0</v>
      </c>
    </row>
    <row r="5458" spans="1:13" hidden="1" x14ac:dyDescent="0.25">
      <c r="A5458" s="364">
        <v>44286</v>
      </c>
      <c r="B5458" s="363" t="s">
        <v>1135</v>
      </c>
      <c r="C5458" s="363" t="s">
        <v>1060</v>
      </c>
      <c r="D5458" s="365">
        <v>10</v>
      </c>
      <c r="E5458" s="366">
        <v>-3000</v>
      </c>
      <c r="F5458" s="366">
        <v>-9909.82</v>
      </c>
      <c r="G5458" s="363" t="s">
        <v>2721</v>
      </c>
      <c r="H5458" s="363" t="s">
        <v>2722</v>
      </c>
      <c r="I5458" s="363" t="s">
        <v>216</v>
      </c>
      <c r="J5458" s="363" t="s">
        <v>757</v>
      </c>
      <c r="K5458" s="363" t="s">
        <v>741</v>
      </c>
      <c r="L5458" s="364">
        <v>44286</v>
      </c>
      <c r="M5458" s="367">
        <v>0</v>
      </c>
    </row>
    <row r="5459" spans="1:13" hidden="1" x14ac:dyDescent="0.25">
      <c r="A5459" s="364">
        <v>44316</v>
      </c>
      <c r="B5459" s="363" t="s">
        <v>1083</v>
      </c>
      <c r="C5459" s="363" t="s">
        <v>1060</v>
      </c>
      <c r="D5459" s="365">
        <v>10</v>
      </c>
      <c r="E5459" s="366">
        <v>3000</v>
      </c>
      <c r="F5459" s="366">
        <v>-6909.82</v>
      </c>
      <c r="G5459" s="363" t="s">
        <v>1080</v>
      </c>
      <c r="H5459" s="363" t="s">
        <v>2722</v>
      </c>
      <c r="I5459" s="363" t="s">
        <v>216</v>
      </c>
      <c r="J5459" s="363" t="s">
        <v>757</v>
      </c>
      <c r="K5459" s="363" t="s">
        <v>741</v>
      </c>
      <c r="L5459" s="364">
        <v>44316</v>
      </c>
      <c r="M5459" s="367">
        <v>0</v>
      </c>
    </row>
    <row r="5460" spans="1:13" hidden="1" x14ac:dyDescent="0.25">
      <c r="A5460" s="369">
        <v>44012</v>
      </c>
      <c r="B5460" s="368" t="s">
        <v>1141</v>
      </c>
      <c r="C5460" s="368" t="s">
        <v>1059</v>
      </c>
      <c r="D5460" s="370">
        <v>1</v>
      </c>
      <c r="E5460" s="371">
        <v>-1128</v>
      </c>
      <c r="F5460" s="371">
        <v>-1128</v>
      </c>
      <c r="G5460" s="368" t="s">
        <v>2733</v>
      </c>
      <c r="H5460" s="368" t="s">
        <v>2734</v>
      </c>
      <c r="I5460" s="368" t="s">
        <v>219</v>
      </c>
      <c r="J5460" s="368" t="s">
        <v>757</v>
      </c>
      <c r="K5460" s="368" t="s">
        <v>741</v>
      </c>
      <c r="L5460" s="369">
        <v>44012</v>
      </c>
      <c r="M5460" s="372">
        <v>0</v>
      </c>
    </row>
    <row r="5461" spans="1:13" hidden="1" x14ac:dyDescent="0.25">
      <c r="A5461" s="369">
        <v>44043</v>
      </c>
      <c r="B5461" s="368" t="s">
        <v>1143</v>
      </c>
      <c r="C5461" s="368" t="s">
        <v>1060</v>
      </c>
      <c r="D5461" s="370">
        <v>1</v>
      </c>
      <c r="E5461" s="371">
        <v>1222</v>
      </c>
      <c r="F5461" s="371">
        <v>94</v>
      </c>
      <c r="G5461" s="368" t="s">
        <v>2735</v>
      </c>
      <c r="H5461" s="368" t="s">
        <v>2734</v>
      </c>
      <c r="I5461" s="368" t="s">
        <v>219</v>
      </c>
      <c r="J5461" s="368" t="s">
        <v>757</v>
      </c>
      <c r="K5461" s="368" t="s">
        <v>741</v>
      </c>
      <c r="L5461" s="369">
        <v>44043</v>
      </c>
      <c r="M5461" s="372">
        <v>0</v>
      </c>
    </row>
    <row r="5462" spans="1:13" hidden="1" x14ac:dyDescent="0.25">
      <c r="A5462" s="369">
        <v>44043</v>
      </c>
      <c r="B5462" s="368" t="s">
        <v>1143</v>
      </c>
      <c r="C5462" s="368" t="s">
        <v>1060</v>
      </c>
      <c r="D5462" s="370">
        <v>2</v>
      </c>
      <c r="E5462" s="371">
        <v>-1222</v>
      </c>
      <c r="F5462" s="371">
        <v>-1128</v>
      </c>
      <c r="G5462" s="368" t="s">
        <v>2735</v>
      </c>
      <c r="H5462" s="368" t="s">
        <v>2734</v>
      </c>
      <c r="I5462" s="368" t="s">
        <v>219</v>
      </c>
      <c r="J5462" s="368" t="s">
        <v>757</v>
      </c>
      <c r="K5462" s="368" t="s">
        <v>741</v>
      </c>
      <c r="L5462" s="369">
        <v>44043</v>
      </c>
      <c r="M5462" s="372">
        <v>0</v>
      </c>
    </row>
    <row r="5463" spans="1:13" hidden="1" x14ac:dyDescent="0.25">
      <c r="A5463" s="369">
        <v>44074</v>
      </c>
      <c r="B5463" s="368" t="s">
        <v>1147</v>
      </c>
      <c r="C5463" s="368" t="s">
        <v>1060</v>
      </c>
      <c r="D5463" s="370">
        <v>2</v>
      </c>
      <c r="E5463" s="371">
        <v>1222</v>
      </c>
      <c r="F5463" s="371">
        <v>94</v>
      </c>
      <c r="G5463" s="368" t="s">
        <v>2736</v>
      </c>
      <c r="H5463" s="368" t="s">
        <v>2734</v>
      </c>
      <c r="I5463" s="368" t="s">
        <v>219</v>
      </c>
      <c r="J5463" s="368" t="s">
        <v>757</v>
      </c>
      <c r="K5463" s="368" t="s">
        <v>741</v>
      </c>
      <c r="L5463" s="369">
        <v>44074</v>
      </c>
      <c r="M5463" s="372">
        <v>0</v>
      </c>
    </row>
    <row r="5464" spans="1:13" hidden="1" x14ac:dyDescent="0.25">
      <c r="A5464" s="369">
        <v>44074</v>
      </c>
      <c r="B5464" s="368" t="s">
        <v>2737</v>
      </c>
      <c r="C5464" s="368" t="s">
        <v>1060</v>
      </c>
      <c r="D5464" s="370">
        <v>2</v>
      </c>
      <c r="E5464" s="371">
        <v>94</v>
      </c>
      <c r="F5464" s="371">
        <v>188</v>
      </c>
      <c r="G5464" s="368" t="s">
        <v>2736</v>
      </c>
      <c r="H5464" s="368" t="s">
        <v>2734</v>
      </c>
      <c r="I5464" s="368" t="s">
        <v>219</v>
      </c>
      <c r="J5464" s="368" t="s">
        <v>757</v>
      </c>
      <c r="K5464" s="368" t="s">
        <v>741</v>
      </c>
      <c r="L5464" s="369">
        <v>44074</v>
      </c>
      <c r="M5464" s="372">
        <v>0</v>
      </c>
    </row>
    <row r="5465" spans="1:13" hidden="1" x14ac:dyDescent="0.25">
      <c r="A5465" s="369">
        <v>44074</v>
      </c>
      <c r="B5465" s="368" t="s">
        <v>1147</v>
      </c>
      <c r="C5465" s="368" t="s">
        <v>1060</v>
      </c>
      <c r="D5465" s="370">
        <v>3</v>
      </c>
      <c r="E5465" s="371">
        <v>-1222</v>
      </c>
      <c r="F5465" s="371">
        <v>-1034</v>
      </c>
      <c r="G5465" s="368" t="s">
        <v>2736</v>
      </c>
      <c r="H5465" s="368" t="s">
        <v>2734</v>
      </c>
      <c r="I5465" s="368" t="s">
        <v>219</v>
      </c>
      <c r="J5465" s="368" t="s">
        <v>757</v>
      </c>
      <c r="K5465" s="368" t="s">
        <v>741</v>
      </c>
      <c r="L5465" s="369">
        <v>44074</v>
      </c>
      <c r="M5465" s="372">
        <v>0</v>
      </c>
    </row>
    <row r="5466" spans="1:13" hidden="1" x14ac:dyDescent="0.25">
      <c r="A5466" s="369">
        <v>44074</v>
      </c>
      <c r="B5466" s="368" t="s">
        <v>2737</v>
      </c>
      <c r="C5466" s="368" t="s">
        <v>1060</v>
      </c>
      <c r="D5466" s="370">
        <v>3</v>
      </c>
      <c r="E5466" s="371">
        <v>-94</v>
      </c>
      <c r="F5466" s="371">
        <v>-1128</v>
      </c>
      <c r="G5466" s="368" t="s">
        <v>2736</v>
      </c>
      <c r="H5466" s="368" t="s">
        <v>2734</v>
      </c>
      <c r="I5466" s="368" t="s">
        <v>219</v>
      </c>
      <c r="J5466" s="368" t="s">
        <v>757</v>
      </c>
      <c r="K5466" s="368" t="s">
        <v>741</v>
      </c>
      <c r="L5466" s="369">
        <v>44074</v>
      </c>
      <c r="M5466" s="372">
        <v>0</v>
      </c>
    </row>
    <row r="5467" spans="1:13" hidden="1" x14ac:dyDescent="0.25">
      <c r="A5467" s="369">
        <v>44104</v>
      </c>
      <c r="B5467" s="368" t="s">
        <v>1198</v>
      </c>
      <c r="C5467" s="368" t="s">
        <v>1060</v>
      </c>
      <c r="D5467" s="370">
        <v>3</v>
      </c>
      <c r="E5467" s="371">
        <v>1410</v>
      </c>
      <c r="F5467" s="371">
        <v>282</v>
      </c>
      <c r="G5467" s="368" t="s">
        <v>2738</v>
      </c>
      <c r="H5467" s="368" t="s">
        <v>2734</v>
      </c>
      <c r="I5467" s="368" t="s">
        <v>219</v>
      </c>
      <c r="J5467" s="368" t="s">
        <v>757</v>
      </c>
      <c r="K5467" s="368" t="s">
        <v>741</v>
      </c>
      <c r="L5467" s="369">
        <v>44104</v>
      </c>
      <c r="M5467" s="372">
        <v>0</v>
      </c>
    </row>
    <row r="5468" spans="1:13" hidden="1" x14ac:dyDescent="0.25">
      <c r="A5468" s="369">
        <v>44104</v>
      </c>
      <c r="B5468" s="368" t="s">
        <v>2739</v>
      </c>
      <c r="C5468" s="368" t="s">
        <v>769</v>
      </c>
      <c r="D5468" s="370">
        <v>4</v>
      </c>
      <c r="E5468" s="371">
        <v>94.36</v>
      </c>
      <c r="F5468" s="371">
        <v>376.36</v>
      </c>
      <c r="G5468" s="368" t="s">
        <v>2740</v>
      </c>
      <c r="H5468" s="368" t="s">
        <v>2734</v>
      </c>
      <c r="I5468" s="368" t="s">
        <v>219</v>
      </c>
      <c r="J5468" s="368" t="s">
        <v>757</v>
      </c>
      <c r="K5468" s="368" t="s">
        <v>770</v>
      </c>
      <c r="L5468" s="369">
        <v>44104</v>
      </c>
      <c r="M5468" s="372">
        <v>0</v>
      </c>
    </row>
    <row r="5469" spans="1:13" hidden="1" x14ac:dyDescent="0.25">
      <c r="A5469" s="369">
        <v>44104</v>
      </c>
      <c r="B5469" s="368" t="s">
        <v>2741</v>
      </c>
      <c r="C5469" s="368" t="s">
        <v>769</v>
      </c>
      <c r="D5469" s="370">
        <v>4</v>
      </c>
      <c r="E5469" s="371">
        <v>94.36</v>
      </c>
      <c r="F5469" s="371">
        <v>470.72</v>
      </c>
      <c r="G5469" s="368" t="s">
        <v>2742</v>
      </c>
      <c r="H5469" s="368" t="s">
        <v>2734</v>
      </c>
      <c r="I5469" s="368" t="s">
        <v>219</v>
      </c>
      <c r="J5469" s="368" t="s">
        <v>757</v>
      </c>
      <c r="K5469" s="368" t="s">
        <v>770</v>
      </c>
      <c r="L5469" s="369">
        <v>44104</v>
      </c>
      <c r="M5469" s="372">
        <v>0</v>
      </c>
    </row>
    <row r="5470" spans="1:13" hidden="1" x14ac:dyDescent="0.25">
      <c r="A5470" s="369">
        <v>44104</v>
      </c>
      <c r="B5470" s="368" t="s">
        <v>2743</v>
      </c>
      <c r="C5470" s="368" t="s">
        <v>769</v>
      </c>
      <c r="D5470" s="370">
        <v>4</v>
      </c>
      <c r="E5470" s="371">
        <v>94.36</v>
      </c>
      <c r="F5470" s="371">
        <v>565.08000000000004</v>
      </c>
      <c r="G5470" s="368" t="s">
        <v>2744</v>
      </c>
      <c r="H5470" s="368" t="s">
        <v>2734</v>
      </c>
      <c r="I5470" s="368" t="s">
        <v>219</v>
      </c>
      <c r="J5470" s="368" t="s">
        <v>757</v>
      </c>
      <c r="K5470" s="368" t="s">
        <v>770</v>
      </c>
      <c r="L5470" s="369">
        <v>44104</v>
      </c>
      <c r="M5470" s="372">
        <v>0</v>
      </c>
    </row>
    <row r="5471" spans="1:13" hidden="1" x14ac:dyDescent="0.25">
      <c r="A5471" s="369">
        <v>44104</v>
      </c>
      <c r="B5471" s="368" t="s">
        <v>2745</v>
      </c>
      <c r="C5471" s="368" t="s">
        <v>769</v>
      </c>
      <c r="D5471" s="370">
        <v>4</v>
      </c>
      <c r="E5471" s="371">
        <v>94.36</v>
      </c>
      <c r="F5471" s="371">
        <v>659.44</v>
      </c>
      <c r="G5471" s="368" t="s">
        <v>2746</v>
      </c>
      <c r="H5471" s="368" t="s">
        <v>2734</v>
      </c>
      <c r="I5471" s="368" t="s">
        <v>219</v>
      </c>
      <c r="J5471" s="368" t="s">
        <v>757</v>
      </c>
      <c r="K5471" s="368" t="s">
        <v>770</v>
      </c>
      <c r="L5471" s="369">
        <v>44104</v>
      </c>
      <c r="M5471" s="372">
        <v>0</v>
      </c>
    </row>
    <row r="5472" spans="1:13" hidden="1" x14ac:dyDescent="0.25">
      <c r="A5472" s="369">
        <v>44104</v>
      </c>
      <c r="B5472" s="368" t="s">
        <v>2747</v>
      </c>
      <c r="C5472" s="368" t="s">
        <v>769</v>
      </c>
      <c r="D5472" s="370">
        <v>4</v>
      </c>
      <c r="E5472" s="371">
        <v>94.36</v>
      </c>
      <c r="F5472" s="371">
        <v>753.8</v>
      </c>
      <c r="G5472" s="368" t="s">
        <v>2748</v>
      </c>
      <c r="H5472" s="368" t="s">
        <v>2734</v>
      </c>
      <c r="I5472" s="368" t="s">
        <v>219</v>
      </c>
      <c r="J5472" s="368" t="s">
        <v>757</v>
      </c>
      <c r="K5472" s="368" t="s">
        <v>770</v>
      </c>
      <c r="L5472" s="369">
        <v>44104</v>
      </c>
      <c r="M5472" s="372">
        <v>0</v>
      </c>
    </row>
    <row r="5473" spans="1:13" hidden="1" x14ac:dyDescent="0.25">
      <c r="A5473" s="369">
        <v>44104</v>
      </c>
      <c r="B5473" s="368" t="s">
        <v>2749</v>
      </c>
      <c r="C5473" s="368" t="s">
        <v>769</v>
      </c>
      <c r="D5473" s="370">
        <v>4</v>
      </c>
      <c r="E5473" s="371">
        <v>94.36</v>
      </c>
      <c r="F5473" s="371">
        <v>848.16</v>
      </c>
      <c r="G5473" s="368" t="s">
        <v>2750</v>
      </c>
      <c r="H5473" s="368" t="s">
        <v>2734</v>
      </c>
      <c r="I5473" s="368" t="s">
        <v>219</v>
      </c>
      <c r="J5473" s="368" t="s">
        <v>757</v>
      </c>
      <c r="K5473" s="368" t="s">
        <v>770</v>
      </c>
      <c r="L5473" s="369">
        <v>44104</v>
      </c>
      <c r="M5473" s="372">
        <v>0</v>
      </c>
    </row>
    <row r="5474" spans="1:13" hidden="1" x14ac:dyDescent="0.25">
      <c r="A5474" s="369">
        <v>44104</v>
      </c>
      <c r="B5474" s="368" t="s">
        <v>2751</v>
      </c>
      <c r="C5474" s="368" t="s">
        <v>769</v>
      </c>
      <c r="D5474" s="370">
        <v>4</v>
      </c>
      <c r="E5474" s="371">
        <v>94.36</v>
      </c>
      <c r="F5474" s="371">
        <v>942.52</v>
      </c>
      <c r="G5474" s="368" t="s">
        <v>2752</v>
      </c>
      <c r="H5474" s="368" t="s">
        <v>2734</v>
      </c>
      <c r="I5474" s="368" t="s">
        <v>219</v>
      </c>
      <c r="J5474" s="368" t="s">
        <v>757</v>
      </c>
      <c r="K5474" s="368" t="s">
        <v>770</v>
      </c>
      <c r="L5474" s="369">
        <v>44104</v>
      </c>
      <c r="M5474" s="372">
        <v>0</v>
      </c>
    </row>
    <row r="5475" spans="1:13" hidden="1" x14ac:dyDescent="0.25">
      <c r="A5475" s="369">
        <v>44104</v>
      </c>
      <c r="B5475" s="368" t="s">
        <v>2753</v>
      </c>
      <c r="C5475" s="368" t="s">
        <v>769</v>
      </c>
      <c r="D5475" s="370">
        <v>4</v>
      </c>
      <c r="E5475" s="371">
        <v>94.36</v>
      </c>
      <c r="F5475" s="371">
        <v>1036.8800000000001</v>
      </c>
      <c r="G5475" s="368" t="s">
        <v>2754</v>
      </c>
      <c r="H5475" s="368" t="s">
        <v>2734</v>
      </c>
      <c r="I5475" s="368" t="s">
        <v>219</v>
      </c>
      <c r="J5475" s="368" t="s">
        <v>757</v>
      </c>
      <c r="K5475" s="368" t="s">
        <v>770</v>
      </c>
      <c r="L5475" s="369">
        <v>44104</v>
      </c>
      <c r="M5475" s="372">
        <v>0</v>
      </c>
    </row>
    <row r="5476" spans="1:13" hidden="1" x14ac:dyDescent="0.25">
      <c r="A5476" s="369">
        <v>44104</v>
      </c>
      <c r="B5476" s="368" t="s">
        <v>2755</v>
      </c>
      <c r="C5476" s="368" t="s">
        <v>769</v>
      </c>
      <c r="D5476" s="370">
        <v>4</v>
      </c>
      <c r="E5476" s="371">
        <v>94.36</v>
      </c>
      <c r="F5476" s="371">
        <v>1131.24</v>
      </c>
      <c r="G5476" s="368" t="s">
        <v>2756</v>
      </c>
      <c r="H5476" s="368" t="s">
        <v>2734</v>
      </c>
      <c r="I5476" s="368" t="s">
        <v>219</v>
      </c>
      <c r="J5476" s="368" t="s">
        <v>757</v>
      </c>
      <c r="K5476" s="368" t="s">
        <v>770</v>
      </c>
      <c r="L5476" s="369">
        <v>44104</v>
      </c>
      <c r="M5476" s="372">
        <v>0</v>
      </c>
    </row>
    <row r="5477" spans="1:13" hidden="1" x14ac:dyDescent="0.25">
      <c r="A5477" s="369">
        <v>44104</v>
      </c>
      <c r="B5477" s="368" t="s">
        <v>2757</v>
      </c>
      <c r="C5477" s="368" t="s">
        <v>769</v>
      </c>
      <c r="D5477" s="370">
        <v>4</v>
      </c>
      <c r="E5477" s="371">
        <v>94.36</v>
      </c>
      <c r="F5477" s="371">
        <v>1225.5999999999999</v>
      </c>
      <c r="G5477" s="368" t="s">
        <v>2758</v>
      </c>
      <c r="H5477" s="368" t="s">
        <v>2734</v>
      </c>
      <c r="I5477" s="368" t="s">
        <v>219</v>
      </c>
      <c r="J5477" s="368" t="s">
        <v>757</v>
      </c>
      <c r="K5477" s="368" t="s">
        <v>770</v>
      </c>
      <c r="L5477" s="369">
        <v>44104</v>
      </c>
      <c r="M5477" s="372">
        <v>0</v>
      </c>
    </row>
    <row r="5478" spans="1:13" hidden="1" x14ac:dyDescent="0.25">
      <c r="A5478" s="369">
        <v>44104</v>
      </c>
      <c r="B5478" s="368" t="s">
        <v>2759</v>
      </c>
      <c r="C5478" s="368" t="s">
        <v>769</v>
      </c>
      <c r="D5478" s="370">
        <v>4</v>
      </c>
      <c r="E5478" s="371">
        <v>94.36</v>
      </c>
      <c r="F5478" s="371">
        <v>1319.96</v>
      </c>
      <c r="G5478" s="368" t="s">
        <v>2760</v>
      </c>
      <c r="H5478" s="368" t="s">
        <v>2734</v>
      </c>
      <c r="I5478" s="368" t="s">
        <v>219</v>
      </c>
      <c r="J5478" s="368" t="s">
        <v>757</v>
      </c>
      <c r="K5478" s="368" t="s">
        <v>770</v>
      </c>
      <c r="L5478" s="369">
        <v>44104</v>
      </c>
      <c r="M5478" s="372">
        <v>0</v>
      </c>
    </row>
    <row r="5479" spans="1:13" hidden="1" x14ac:dyDescent="0.25">
      <c r="A5479" s="369">
        <v>44104</v>
      </c>
      <c r="B5479" s="368" t="s">
        <v>2761</v>
      </c>
      <c r="C5479" s="368" t="s">
        <v>769</v>
      </c>
      <c r="D5479" s="370">
        <v>4</v>
      </c>
      <c r="E5479" s="371">
        <v>94.36</v>
      </c>
      <c r="F5479" s="371">
        <v>1414.32</v>
      </c>
      <c r="G5479" s="368" t="s">
        <v>2762</v>
      </c>
      <c r="H5479" s="368" t="s">
        <v>2734</v>
      </c>
      <c r="I5479" s="368" t="s">
        <v>219</v>
      </c>
      <c r="J5479" s="368" t="s">
        <v>757</v>
      </c>
      <c r="K5479" s="368" t="s">
        <v>770</v>
      </c>
      <c r="L5479" s="369">
        <v>44104</v>
      </c>
      <c r="M5479" s="372">
        <v>0</v>
      </c>
    </row>
    <row r="5480" spans="1:13" hidden="1" x14ac:dyDescent="0.25">
      <c r="A5480" s="369">
        <v>44104</v>
      </c>
      <c r="B5480" s="368" t="s">
        <v>2763</v>
      </c>
      <c r="C5480" s="368" t="s">
        <v>769</v>
      </c>
      <c r="D5480" s="370">
        <v>4</v>
      </c>
      <c r="E5480" s="371">
        <v>94.36</v>
      </c>
      <c r="F5480" s="371">
        <v>1508.68</v>
      </c>
      <c r="G5480" s="368" t="s">
        <v>2764</v>
      </c>
      <c r="H5480" s="368" t="s">
        <v>2734</v>
      </c>
      <c r="I5480" s="368" t="s">
        <v>219</v>
      </c>
      <c r="J5480" s="368" t="s">
        <v>757</v>
      </c>
      <c r="K5480" s="368" t="s">
        <v>770</v>
      </c>
      <c r="L5480" s="369">
        <v>44104</v>
      </c>
      <c r="M5480" s="372">
        <v>0</v>
      </c>
    </row>
    <row r="5481" spans="1:13" hidden="1" x14ac:dyDescent="0.25">
      <c r="A5481" s="369">
        <v>44104</v>
      </c>
      <c r="B5481" s="368" t="s">
        <v>2765</v>
      </c>
      <c r="C5481" s="368" t="s">
        <v>769</v>
      </c>
      <c r="D5481" s="370">
        <v>4</v>
      </c>
      <c r="E5481" s="371">
        <v>94.36</v>
      </c>
      <c r="F5481" s="371">
        <v>1603.04</v>
      </c>
      <c r="G5481" s="368" t="s">
        <v>2766</v>
      </c>
      <c r="H5481" s="368" t="s">
        <v>2734</v>
      </c>
      <c r="I5481" s="368" t="s">
        <v>219</v>
      </c>
      <c r="J5481" s="368" t="s">
        <v>757</v>
      </c>
      <c r="K5481" s="368" t="s">
        <v>770</v>
      </c>
      <c r="L5481" s="369">
        <v>44104</v>
      </c>
      <c r="M5481" s="372">
        <v>0</v>
      </c>
    </row>
    <row r="5482" spans="1:13" hidden="1" x14ac:dyDescent="0.25">
      <c r="A5482" s="369">
        <v>44104</v>
      </c>
      <c r="B5482" s="368" t="s">
        <v>2767</v>
      </c>
      <c r="C5482" s="368" t="s">
        <v>769</v>
      </c>
      <c r="D5482" s="370">
        <v>4</v>
      </c>
      <c r="E5482" s="371">
        <v>94.36</v>
      </c>
      <c r="F5482" s="371">
        <v>1697.4</v>
      </c>
      <c r="G5482" s="368" t="s">
        <v>2768</v>
      </c>
      <c r="H5482" s="368" t="s">
        <v>2734</v>
      </c>
      <c r="I5482" s="368" t="s">
        <v>219</v>
      </c>
      <c r="J5482" s="368" t="s">
        <v>757</v>
      </c>
      <c r="K5482" s="368" t="s">
        <v>770</v>
      </c>
      <c r="L5482" s="369">
        <v>44104</v>
      </c>
      <c r="M5482" s="372">
        <v>0</v>
      </c>
    </row>
    <row r="5483" spans="1:13" hidden="1" x14ac:dyDescent="0.25">
      <c r="A5483" s="369">
        <v>44104</v>
      </c>
      <c r="B5483" s="368" t="s">
        <v>2769</v>
      </c>
      <c r="C5483" s="368" t="s">
        <v>769</v>
      </c>
      <c r="D5483" s="370">
        <v>4</v>
      </c>
      <c r="E5483" s="371">
        <v>94.36</v>
      </c>
      <c r="F5483" s="371">
        <v>1791.76</v>
      </c>
      <c r="G5483" s="368" t="s">
        <v>2770</v>
      </c>
      <c r="H5483" s="368" t="s">
        <v>2734</v>
      </c>
      <c r="I5483" s="368" t="s">
        <v>219</v>
      </c>
      <c r="J5483" s="368" t="s">
        <v>757</v>
      </c>
      <c r="K5483" s="368" t="s">
        <v>770</v>
      </c>
      <c r="L5483" s="369">
        <v>44104</v>
      </c>
      <c r="M5483" s="372">
        <v>0</v>
      </c>
    </row>
    <row r="5484" spans="1:13" hidden="1" x14ac:dyDescent="0.25">
      <c r="A5484" s="369">
        <v>44104</v>
      </c>
      <c r="B5484" s="368" t="s">
        <v>1198</v>
      </c>
      <c r="C5484" s="368" t="s">
        <v>1060</v>
      </c>
      <c r="D5484" s="370">
        <v>4</v>
      </c>
      <c r="E5484" s="371">
        <v>-1410</v>
      </c>
      <c r="F5484" s="371">
        <v>381.75999999999902</v>
      </c>
      <c r="G5484" s="368" t="s">
        <v>2738</v>
      </c>
      <c r="H5484" s="368" t="s">
        <v>2734</v>
      </c>
      <c r="I5484" s="368" t="s">
        <v>219</v>
      </c>
      <c r="J5484" s="368" t="s">
        <v>757</v>
      </c>
      <c r="K5484" s="368" t="s">
        <v>741</v>
      </c>
      <c r="L5484" s="369">
        <v>44104</v>
      </c>
      <c r="M5484" s="372">
        <v>0</v>
      </c>
    </row>
    <row r="5485" spans="1:13" hidden="1" x14ac:dyDescent="0.25">
      <c r="A5485" s="369">
        <v>44104</v>
      </c>
      <c r="B5485" s="368" t="s">
        <v>2771</v>
      </c>
      <c r="C5485" s="368" t="s">
        <v>769</v>
      </c>
      <c r="D5485" s="370">
        <v>5</v>
      </c>
      <c r="E5485" s="371">
        <v>94.36</v>
      </c>
      <c r="F5485" s="371">
        <v>476.11999999999898</v>
      </c>
      <c r="G5485" s="368" t="s">
        <v>2772</v>
      </c>
      <c r="H5485" s="368" t="s">
        <v>2734</v>
      </c>
      <c r="I5485" s="368" t="s">
        <v>219</v>
      </c>
      <c r="J5485" s="368" t="s">
        <v>757</v>
      </c>
      <c r="K5485" s="368" t="s">
        <v>770</v>
      </c>
      <c r="L5485" s="369">
        <v>44104</v>
      </c>
      <c r="M5485" s="372">
        <v>0</v>
      </c>
    </row>
    <row r="5486" spans="1:13" hidden="1" x14ac:dyDescent="0.25">
      <c r="A5486" s="369">
        <v>44135</v>
      </c>
      <c r="B5486" s="368" t="s">
        <v>2773</v>
      </c>
      <c r="C5486" s="368" t="s">
        <v>769</v>
      </c>
      <c r="D5486" s="370">
        <v>6</v>
      </c>
      <c r="E5486" s="371">
        <v>94.36</v>
      </c>
      <c r="F5486" s="371">
        <v>570.479999999999</v>
      </c>
      <c r="G5486" s="368" t="s">
        <v>2774</v>
      </c>
      <c r="H5486" s="368" t="s">
        <v>2734</v>
      </c>
      <c r="I5486" s="368" t="s">
        <v>219</v>
      </c>
      <c r="J5486" s="368" t="s">
        <v>757</v>
      </c>
      <c r="K5486" s="368" t="s">
        <v>770</v>
      </c>
      <c r="L5486" s="369">
        <v>44135</v>
      </c>
      <c r="M5486" s="372">
        <v>0</v>
      </c>
    </row>
    <row r="5487" spans="1:13" hidden="1" x14ac:dyDescent="0.25">
      <c r="A5487" s="369">
        <v>44165</v>
      </c>
      <c r="B5487" s="368" t="s">
        <v>2775</v>
      </c>
      <c r="C5487" s="368" t="s">
        <v>769</v>
      </c>
      <c r="D5487" s="370">
        <v>7</v>
      </c>
      <c r="E5487" s="371">
        <v>94.36</v>
      </c>
      <c r="F5487" s="371">
        <v>664.83999999999901</v>
      </c>
      <c r="G5487" s="368" t="s">
        <v>2776</v>
      </c>
      <c r="H5487" s="368" t="s">
        <v>2734</v>
      </c>
      <c r="I5487" s="368" t="s">
        <v>219</v>
      </c>
      <c r="J5487" s="368" t="s">
        <v>757</v>
      </c>
      <c r="K5487" s="368" t="s">
        <v>770</v>
      </c>
      <c r="L5487" s="369">
        <v>44165</v>
      </c>
      <c r="M5487" s="372">
        <v>0</v>
      </c>
    </row>
    <row r="5488" spans="1:13" hidden="1" x14ac:dyDescent="0.25">
      <c r="A5488" s="369">
        <v>44196</v>
      </c>
      <c r="B5488" s="368" t="s">
        <v>2777</v>
      </c>
      <c r="C5488" s="368" t="s">
        <v>769</v>
      </c>
      <c r="D5488" s="370">
        <v>8</v>
      </c>
      <c r="E5488" s="371">
        <v>94.36</v>
      </c>
      <c r="F5488" s="371">
        <v>759.19999999999902</v>
      </c>
      <c r="G5488" s="368" t="s">
        <v>2778</v>
      </c>
      <c r="H5488" s="368" t="s">
        <v>2734</v>
      </c>
      <c r="I5488" s="368" t="s">
        <v>219</v>
      </c>
      <c r="J5488" s="368" t="s">
        <v>757</v>
      </c>
      <c r="K5488" s="368" t="s">
        <v>770</v>
      </c>
      <c r="L5488" s="369">
        <v>44196</v>
      </c>
      <c r="M5488" s="372">
        <v>0</v>
      </c>
    </row>
    <row r="5489" spans="1:13" hidden="1" x14ac:dyDescent="0.25">
      <c r="A5489" s="369">
        <v>44227</v>
      </c>
      <c r="B5489" s="368" t="s">
        <v>2779</v>
      </c>
      <c r="C5489" s="368" t="s">
        <v>769</v>
      </c>
      <c r="D5489" s="370">
        <v>9</v>
      </c>
      <c r="E5489" s="371">
        <v>94.36</v>
      </c>
      <c r="F5489" s="371">
        <v>853.55999999999904</v>
      </c>
      <c r="G5489" s="368" t="s">
        <v>2780</v>
      </c>
      <c r="H5489" s="368" t="s">
        <v>2734</v>
      </c>
      <c r="I5489" s="368" t="s">
        <v>219</v>
      </c>
      <c r="J5489" s="368" t="s">
        <v>757</v>
      </c>
      <c r="K5489" s="368" t="s">
        <v>770</v>
      </c>
      <c r="L5489" s="369">
        <v>44227</v>
      </c>
      <c r="M5489" s="372">
        <v>0</v>
      </c>
    </row>
    <row r="5490" spans="1:13" hidden="1" x14ac:dyDescent="0.25">
      <c r="A5490" s="369">
        <v>44255</v>
      </c>
      <c r="B5490" s="368" t="s">
        <v>2781</v>
      </c>
      <c r="C5490" s="368" t="s">
        <v>769</v>
      </c>
      <c r="D5490" s="370">
        <v>10</v>
      </c>
      <c r="E5490" s="371">
        <v>94.36</v>
      </c>
      <c r="F5490" s="371">
        <v>947.91999999999905</v>
      </c>
      <c r="G5490" s="368" t="s">
        <v>2782</v>
      </c>
      <c r="H5490" s="368" t="s">
        <v>2734</v>
      </c>
      <c r="I5490" s="368" t="s">
        <v>219</v>
      </c>
      <c r="J5490" s="368" t="s">
        <v>757</v>
      </c>
      <c r="K5490" s="368" t="s">
        <v>770</v>
      </c>
      <c r="L5490" s="369">
        <v>44255</v>
      </c>
      <c r="M5490" s="372">
        <v>0</v>
      </c>
    </row>
    <row r="5491" spans="1:13" hidden="1" x14ac:dyDescent="0.25">
      <c r="A5491" s="369">
        <v>44286</v>
      </c>
      <c r="B5491" s="368" t="s">
        <v>2783</v>
      </c>
      <c r="C5491" s="368" t="s">
        <v>936</v>
      </c>
      <c r="D5491" s="370">
        <v>10</v>
      </c>
      <c r="E5491" s="371">
        <v>-94.36</v>
      </c>
      <c r="F5491" s="371">
        <v>853.55999999999904</v>
      </c>
      <c r="G5491" s="368" t="s">
        <v>2784</v>
      </c>
      <c r="H5491" s="368" t="s">
        <v>2734</v>
      </c>
      <c r="I5491" s="368" t="s">
        <v>219</v>
      </c>
      <c r="J5491" s="368" t="s">
        <v>757</v>
      </c>
      <c r="K5491" s="368" t="s">
        <v>770</v>
      </c>
      <c r="L5491" s="369">
        <v>44286</v>
      </c>
      <c r="M5491" s="372">
        <v>0</v>
      </c>
    </row>
    <row r="5492" spans="1:13" hidden="1" x14ac:dyDescent="0.25">
      <c r="A5492" s="369">
        <v>44286</v>
      </c>
      <c r="B5492" s="368" t="s">
        <v>2785</v>
      </c>
      <c r="C5492" s="368" t="s">
        <v>936</v>
      </c>
      <c r="D5492" s="370">
        <v>10</v>
      </c>
      <c r="E5492" s="371">
        <v>-94.36</v>
      </c>
      <c r="F5492" s="371">
        <v>759.19999999999902</v>
      </c>
      <c r="G5492" s="368" t="s">
        <v>2786</v>
      </c>
      <c r="H5492" s="368" t="s">
        <v>2734</v>
      </c>
      <c r="I5492" s="368" t="s">
        <v>219</v>
      </c>
      <c r="J5492" s="368" t="s">
        <v>757</v>
      </c>
      <c r="K5492" s="368" t="s">
        <v>770</v>
      </c>
      <c r="L5492" s="369">
        <v>44286</v>
      </c>
      <c r="M5492" s="372">
        <v>0</v>
      </c>
    </row>
    <row r="5493" spans="1:13" hidden="1" x14ac:dyDescent="0.25">
      <c r="A5493" s="369">
        <v>44286</v>
      </c>
      <c r="B5493" s="368" t="s">
        <v>2787</v>
      </c>
      <c r="C5493" s="368" t="s">
        <v>936</v>
      </c>
      <c r="D5493" s="370">
        <v>10</v>
      </c>
      <c r="E5493" s="371">
        <v>-94.36</v>
      </c>
      <c r="F5493" s="371">
        <v>664.83999999999901</v>
      </c>
      <c r="G5493" s="368" t="s">
        <v>2788</v>
      </c>
      <c r="H5493" s="368" t="s">
        <v>2734</v>
      </c>
      <c r="I5493" s="368" t="s">
        <v>219</v>
      </c>
      <c r="J5493" s="368" t="s">
        <v>757</v>
      </c>
      <c r="K5493" s="368" t="s">
        <v>770</v>
      </c>
      <c r="L5493" s="369">
        <v>44286</v>
      </c>
      <c r="M5493" s="372">
        <v>0</v>
      </c>
    </row>
    <row r="5494" spans="1:13" hidden="1" x14ac:dyDescent="0.25">
      <c r="A5494" s="369">
        <v>43982</v>
      </c>
      <c r="B5494" s="368" t="s">
        <v>2789</v>
      </c>
      <c r="C5494" s="368" t="s">
        <v>769</v>
      </c>
      <c r="D5494" s="370">
        <v>1</v>
      </c>
      <c r="E5494" s="371">
        <v>98.86</v>
      </c>
      <c r="F5494" s="371">
        <v>763.69999999999902</v>
      </c>
      <c r="G5494" s="368" t="s">
        <v>2764</v>
      </c>
      <c r="H5494" s="368" t="s">
        <v>2790</v>
      </c>
      <c r="I5494" s="368" t="s">
        <v>219</v>
      </c>
      <c r="J5494" s="368" t="s">
        <v>757</v>
      </c>
      <c r="K5494" s="368" t="s">
        <v>770</v>
      </c>
      <c r="L5494" s="369">
        <v>43982</v>
      </c>
      <c r="M5494" s="372">
        <v>0</v>
      </c>
    </row>
    <row r="5495" spans="1:13" hidden="1" x14ac:dyDescent="0.25">
      <c r="A5495" s="369">
        <v>44012</v>
      </c>
      <c r="B5495" s="368" t="s">
        <v>2791</v>
      </c>
      <c r="C5495" s="368" t="s">
        <v>769</v>
      </c>
      <c r="D5495" s="370">
        <v>2</v>
      </c>
      <c r="E5495" s="371">
        <v>98.86</v>
      </c>
      <c r="F5495" s="371">
        <v>862.55999999999904</v>
      </c>
      <c r="G5495" s="368" t="s">
        <v>2766</v>
      </c>
      <c r="H5495" s="368" t="s">
        <v>2790</v>
      </c>
      <c r="I5495" s="368" t="s">
        <v>219</v>
      </c>
      <c r="J5495" s="368" t="s">
        <v>757</v>
      </c>
      <c r="K5495" s="368" t="s">
        <v>770</v>
      </c>
      <c r="L5495" s="369">
        <v>44012</v>
      </c>
      <c r="M5495" s="372">
        <v>0</v>
      </c>
    </row>
    <row r="5496" spans="1:13" hidden="1" x14ac:dyDescent="0.25">
      <c r="A5496" s="369">
        <v>44043</v>
      </c>
      <c r="B5496" s="368" t="s">
        <v>2792</v>
      </c>
      <c r="C5496" s="368" t="s">
        <v>769</v>
      </c>
      <c r="D5496" s="370">
        <v>3</v>
      </c>
      <c r="E5496" s="371">
        <v>98.86</v>
      </c>
      <c r="F5496" s="371">
        <v>961.41999999999905</v>
      </c>
      <c r="G5496" s="368" t="s">
        <v>2793</v>
      </c>
      <c r="H5496" s="368" t="s">
        <v>2790</v>
      </c>
      <c r="I5496" s="368" t="s">
        <v>219</v>
      </c>
      <c r="J5496" s="368" t="s">
        <v>757</v>
      </c>
      <c r="K5496" s="368" t="s">
        <v>770</v>
      </c>
      <c r="L5496" s="369">
        <v>44043</v>
      </c>
      <c r="M5496" s="372">
        <v>0</v>
      </c>
    </row>
    <row r="5497" spans="1:13" hidden="1" x14ac:dyDescent="0.25">
      <c r="A5497" s="369">
        <v>44074</v>
      </c>
      <c r="B5497" s="368" t="s">
        <v>2794</v>
      </c>
      <c r="C5497" s="368" t="s">
        <v>769</v>
      </c>
      <c r="D5497" s="370">
        <v>4</v>
      </c>
      <c r="E5497" s="371">
        <v>98.86</v>
      </c>
      <c r="F5497" s="371">
        <v>1060.28</v>
      </c>
      <c r="G5497" s="368" t="s">
        <v>2770</v>
      </c>
      <c r="H5497" s="368" t="s">
        <v>2790</v>
      </c>
      <c r="I5497" s="368" t="s">
        <v>219</v>
      </c>
      <c r="J5497" s="368" t="s">
        <v>757</v>
      </c>
      <c r="K5497" s="368" t="s">
        <v>770</v>
      </c>
      <c r="L5497" s="369">
        <v>44074</v>
      </c>
      <c r="M5497" s="372">
        <v>0</v>
      </c>
    </row>
    <row r="5498" spans="1:13" hidden="1" x14ac:dyDescent="0.25">
      <c r="A5498" s="369">
        <v>44104</v>
      </c>
      <c r="B5498" s="368" t="s">
        <v>2795</v>
      </c>
      <c r="C5498" s="368" t="s">
        <v>769</v>
      </c>
      <c r="D5498" s="370">
        <v>5</v>
      </c>
      <c r="E5498" s="371">
        <v>98.86</v>
      </c>
      <c r="F5498" s="371">
        <v>1159.1400000000001</v>
      </c>
      <c r="G5498" s="368" t="s">
        <v>2772</v>
      </c>
      <c r="H5498" s="368" t="s">
        <v>2790</v>
      </c>
      <c r="I5498" s="368" t="s">
        <v>219</v>
      </c>
      <c r="J5498" s="368" t="s">
        <v>757</v>
      </c>
      <c r="K5498" s="368" t="s">
        <v>770</v>
      </c>
      <c r="L5498" s="369">
        <v>44104</v>
      </c>
      <c r="M5498" s="372">
        <v>0</v>
      </c>
    </row>
    <row r="5499" spans="1:13" hidden="1" x14ac:dyDescent="0.25">
      <c r="A5499" s="369">
        <v>44135</v>
      </c>
      <c r="B5499" s="368" t="s">
        <v>2796</v>
      </c>
      <c r="C5499" s="368" t="s">
        <v>769</v>
      </c>
      <c r="D5499" s="370">
        <v>6</v>
      </c>
      <c r="E5499" s="371">
        <v>98.86</v>
      </c>
      <c r="F5499" s="371">
        <v>1258</v>
      </c>
      <c r="G5499" s="368" t="s">
        <v>2774</v>
      </c>
      <c r="H5499" s="368" t="s">
        <v>2790</v>
      </c>
      <c r="I5499" s="368" t="s">
        <v>219</v>
      </c>
      <c r="J5499" s="368" t="s">
        <v>757</v>
      </c>
      <c r="K5499" s="368" t="s">
        <v>770</v>
      </c>
      <c r="L5499" s="369">
        <v>44135</v>
      </c>
      <c r="M5499" s="372">
        <v>0</v>
      </c>
    </row>
    <row r="5500" spans="1:13" hidden="1" x14ac:dyDescent="0.25">
      <c r="A5500" s="369">
        <v>44196</v>
      </c>
      <c r="B5500" s="368" t="s">
        <v>2797</v>
      </c>
      <c r="C5500" s="368" t="s">
        <v>1060</v>
      </c>
      <c r="D5500" s="370">
        <v>6</v>
      </c>
      <c r="E5500" s="371">
        <v>-98.86</v>
      </c>
      <c r="F5500" s="371">
        <v>1159.1400000000001</v>
      </c>
      <c r="G5500" s="368" t="s">
        <v>2798</v>
      </c>
      <c r="H5500" s="368" t="s">
        <v>2790</v>
      </c>
      <c r="I5500" s="368" t="s">
        <v>219</v>
      </c>
      <c r="J5500" s="368" t="s">
        <v>757</v>
      </c>
      <c r="K5500" s="368" t="s">
        <v>741</v>
      </c>
      <c r="L5500" s="369">
        <v>44196</v>
      </c>
      <c r="M5500" s="372">
        <v>0</v>
      </c>
    </row>
    <row r="5501" spans="1:13" hidden="1" x14ac:dyDescent="0.25">
      <c r="A5501" s="369">
        <v>44196</v>
      </c>
      <c r="B5501" s="368" t="s">
        <v>2797</v>
      </c>
      <c r="C5501" s="368" t="s">
        <v>1060</v>
      </c>
      <c r="D5501" s="370">
        <v>6</v>
      </c>
      <c r="E5501" s="371">
        <v>-98.86</v>
      </c>
      <c r="F5501" s="371">
        <v>1060.28</v>
      </c>
      <c r="G5501" s="368" t="s">
        <v>2798</v>
      </c>
      <c r="H5501" s="368" t="s">
        <v>2790</v>
      </c>
      <c r="I5501" s="368" t="s">
        <v>219</v>
      </c>
      <c r="J5501" s="368" t="s">
        <v>757</v>
      </c>
      <c r="K5501" s="368" t="s">
        <v>741</v>
      </c>
      <c r="L5501" s="369">
        <v>44196</v>
      </c>
      <c r="M5501" s="372">
        <v>0</v>
      </c>
    </row>
    <row r="5502" spans="1:13" hidden="1" x14ac:dyDescent="0.25">
      <c r="A5502" s="369">
        <v>44165</v>
      </c>
      <c r="B5502" s="368" t="s">
        <v>2799</v>
      </c>
      <c r="C5502" s="368" t="s">
        <v>769</v>
      </c>
      <c r="D5502" s="370">
        <v>7</v>
      </c>
      <c r="E5502" s="371">
        <v>98.86</v>
      </c>
      <c r="F5502" s="371">
        <v>1159.1400000000001</v>
      </c>
      <c r="G5502" s="368" t="s">
        <v>2776</v>
      </c>
      <c r="H5502" s="368" t="s">
        <v>2790</v>
      </c>
      <c r="I5502" s="368" t="s">
        <v>219</v>
      </c>
      <c r="J5502" s="368" t="s">
        <v>757</v>
      </c>
      <c r="K5502" s="368" t="s">
        <v>770</v>
      </c>
      <c r="L5502" s="369">
        <v>44165</v>
      </c>
      <c r="M5502" s="372">
        <v>0</v>
      </c>
    </row>
    <row r="5503" spans="1:13" hidden="1" x14ac:dyDescent="0.25">
      <c r="A5503" s="369">
        <v>44165</v>
      </c>
      <c r="B5503" s="368" t="s">
        <v>2800</v>
      </c>
      <c r="C5503" s="368" t="s">
        <v>936</v>
      </c>
      <c r="D5503" s="370">
        <v>7</v>
      </c>
      <c r="E5503" s="371">
        <v>-98.86</v>
      </c>
      <c r="F5503" s="371">
        <v>1060.28</v>
      </c>
      <c r="G5503" s="368" t="s">
        <v>2801</v>
      </c>
      <c r="H5503" s="368" t="s">
        <v>2790</v>
      </c>
      <c r="I5503" s="368" t="s">
        <v>219</v>
      </c>
      <c r="J5503" s="368" t="s">
        <v>757</v>
      </c>
      <c r="K5503" s="368" t="s">
        <v>770</v>
      </c>
      <c r="L5503" s="369">
        <v>44165</v>
      </c>
      <c r="M5503" s="372">
        <v>0</v>
      </c>
    </row>
    <row r="5504" spans="1:13" hidden="1" x14ac:dyDescent="0.25">
      <c r="A5504" s="369">
        <v>44165</v>
      </c>
      <c r="B5504" s="368" t="s">
        <v>2802</v>
      </c>
      <c r="C5504" s="368" t="s">
        <v>936</v>
      </c>
      <c r="D5504" s="370">
        <v>7</v>
      </c>
      <c r="E5504" s="371">
        <v>-98.86</v>
      </c>
      <c r="F5504" s="371">
        <v>961.41999999999905</v>
      </c>
      <c r="G5504" s="368" t="s">
        <v>2803</v>
      </c>
      <c r="H5504" s="368" t="s">
        <v>2790</v>
      </c>
      <c r="I5504" s="368" t="s">
        <v>219</v>
      </c>
      <c r="J5504" s="368" t="s">
        <v>757</v>
      </c>
      <c r="K5504" s="368" t="s">
        <v>770</v>
      </c>
      <c r="L5504" s="369">
        <v>44165</v>
      </c>
      <c r="M5504" s="372">
        <v>0</v>
      </c>
    </row>
    <row r="5505" spans="1:13" hidden="1" x14ac:dyDescent="0.25">
      <c r="A5505" s="369">
        <v>44196</v>
      </c>
      <c r="B5505" s="368" t="s">
        <v>2797</v>
      </c>
      <c r="C5505" s="368" t="s">
        <v>1060</v>
      </c>
      <c r="D5505" s="370">
        <v>7</v>
      </c>
      <c r="E5505" s="371">
        <v>98.86</v>
      </c>
      <c r="F5505" s="371">
        <v>1060.28</v>
      </c>
      <c r="G5505" s="368" t="s">
        <v>2798</v>
      </c>
      <c r="H5505" s="368" t="s">
        <v>2790</v>
      </c>
      <c r="I5505" s="368" t="s">
        <v>219</v>
      </c>
      <c r="J5505" s="368" t="s">
        <v>757</v>
      </c>
      <c r="K5505" s="368" t="s">
        <v>741</v>
      </c>
      <c r="L5505" s="369">
        <v>44196</v>
      </c>
      <c r="M5505" s="372">
        <v>0</v>
      </c>
    </row>
    <row r="5506" spans="1:13" hidden="1" x14ac:dyDescent="0.25">
      <c r="A5506" s="369">
        <v>44196</v>
      </c>
      <c r="B5506" s="368" t="s">
        <v>2797</v>
      </c>
      <c r="C5506" s="368" t="s">
        <v>1060</v>
      </c>
      <c r="D5506" s="370">
        <v>7</v>
      </c>
      <c r="E5506" s="371">
        <v>98.86</v>
      </c>
      <c r="F5506" s="371">
        <v>1159.1400000000001</v>
      </c>
      <c r="G5506" s="368" t="s">
        <v>2798</v>
      </c>
      <c r="H5506" s="368" t="s">
        <v>2790</v>
      </c>
      <c r="I5506" s="368" t="s">
        <v>219</v>
      </c>
      <c r="J5506" s="368" t="s">
        <v>757</v>
      </c>
      <c r="K5506" s="368" t="s">
        <v>741</v>
      </c>
      <c r="L5506" s="369">
        <v>44196</v>
      </c>
      <c r="M5506" s="372">
        <v>0</v>
      </c>
    </row>
    <row r="5507" spans="1:13" hidden="1" x14ac:dyDescent="0.25">
      <c r="A5507" s="369">
        <v>44196</v>
      </c>
      <c r="B5507" s="368" t="s">
        <v>2804</v>
      </c>
      <c r="C5507" s="368" t="s">
        <v>769</v>
      </c>
      <c r="D5507" s="370">
        <v>8</v>
      </c>
      <c r="E5507" s="371">
        <v>98.86</v>
      </c>
      <c r="F5507" s="371">
        <v>1258</v>
      </c>
      <c r="G5507" s="368" t="s">
        <v>2778</v>
      </c>
      <c r="H5507" s="368" t="s">
        <v>2790</v>
      </c>
      <c r="I5507" s="368" t="s">
        <v>219</v>
      </c>
      <c r="J5507" s="368" t="s">
        <v>757</v>
      </c>
      <c r="K5507" s="368" t="s">
        <v>770</v>
      </c>
      <c r="L5507" s="369">
        <v>44196</v>
      </c>
      <c r="M5507" s="372">
        <v>0</v>
      </c>
    </row>
    <row r="5508" spans="1:13" hidden="1" x14ac:dyDescent="0.25">
      <c r="A5508" s="369">
        <v>44227</v>
      </c>
      <c r="B5508" s="368" t="s">
        <v>2805</v>
      </c>
      <c r="C5508" s="368" t="s">
        <v>769</v>
      </c>
      <c r="D5508" s="370">
        <v>9</v>
      </c>
      <c r="E5508" s="371">
        <v>98.86</v>
      </c>
      <c r="F5508" s="371">
        <v>1356.86</v>
      </c>
      <c r="G5508" s="368" t="s">
        <v>2780</v>
      </c>
      <c r="H5508" s="368" t="s">
        <v>2790</v>
      </c>
      <c r="I5508" s="368" t="s">
        <v>219</v>
      </c>
      <c r="J5508" s="368" t="s">
        <v>757</v>
      </c>
      <c r="K5508" s="368" t="s">
        <v>770</v>
      </c>
      <c r="L5508" s="369">
        <v>44227</v>
      </c>
      <c r="M5508" s="372">
        <v>0</v>
      </c>
    </row>
    <row r="5509" spans="1:13" hidden="1" x14ac:dyDescent="0.25">
      <c r="A5509" s="369">
        <v>44255</v>
      </c>
      <c r="B5509" s="368" t="s">
        <v>2806</v>
      </c>
      <c r="C5509" s="368" t="s">
        <v>769</v>
      </c>
      <c r="D5509" s="370">
        <v>10</v>
      </c>
      <c r="E5509" s="371">
        <v>98.86</v>
      </c>
      <c r="F5509" s="371">
        <v>1455.72</v>
      </c>
      <c r="G5509" s="368" t="s">
        <v>2782</v>
      </c>
      <c r="H5509" s="368" t="s">
        <v>2790</v>
      </c>
      <c r="I5509" s="368" t="s">
        <v>219</v>
      </c>
      <c r="J5509" s="368" t="s">
        <v>757</v>
      </c>
      <c r="K5509" s="368" t="s">
        <v>770</v>
      </c>
      <c r="L5509" s="369">
        <v>44255</v>
      </c>
      <c r="M5509" s="372">
        <v>0</v>
      </c>
    </row>
    <row r="5510" spans="1:13" hidden="1" x14ac:dyDescent="0.25">
      <c r="A5510" s="369">
        <v>43982</v>
      </c>
      <c r="B5510" s="368" t="s">
        <v>2807</v>
      </c>
      <c r="C5510" s="368" t="s">
        <v>769</v>
      </c>
      <c r="D5510" s="370">
        <v>1</v>
      </c>
      <c r="E5510" s="371">
        <v>126.74</v>
      </c>
      <c r="F5510" s="371">
        <v>1780.18</v>
      </c>
      <c r="G5510" s="368" t="s">
        <v>2764</v>
      </c>
      <c r="H5510" s="368" t="s">
        <v>2808</v>
      </c>
      <c r="I5510" s="368" t="s">
        <v>219</v>
      </c>
      <c r="J5510" s="368" t="s">
        <v>757</v>
      </c>
      <c r="K5510" s="368" t="s">
        <v>770</v>
      </c>
      <c r="L5510" s="369">
        <v>43982</v>
      </c>
      <c r="M5510" s="372">
        <v>0</v>
      </c>
    </row>
    <row r="5511" spans="1:13" hidden="1" x14ac:dyDescent="0.25">
      <c r="A5511" s="369">
        <v>44012</v>
      </c>
      <c r="B5511" s="368" t="s">
        <v>2809</v>
      </c>
      <c r="C5511" s="368" t="s">
        <v>769</v>
      </c>
      <c r="D5511" s="370">
        <v>2</v>
      </c>
      <c r="E5511" s="371">
        <v>126.74</v>
      </c>
      <c r="F5511" s="371">
        <v>1906.92</v>
      </c>
      <c r="G5511" s="368" t="s">
        <v>2766</v>
      </c>
      <c r="H5511" s="368" t="s">
        <v>2808</v>
      </c>
      <c r="I5511" s="368" t="s">
        <v>219</v>
      </c>
      <c r="J5511" s="368" t="s">
        <v>757</v>
      </c>
      <c r="K5511" s="368" t="s">
        <v>770</v>
      </c>
      <c r="L5511" s="369">
        <v>44012</v>
      </c>
      <c r="M5511" s="372">
        <v>0</v>
      </c>
    </row>
    <row r="5512" spans="1:13" hidden="1" x14ac:dyDescent="0.25">
      <c r="A5512" s="369">
        <v>44043</v>
      </c>
      <c r="B5512" s="368" t="s">
        <v>2810</v>
      </c>
      <c r="C5512" s="368" t="s">
        <v>769</v>
      </c>
      <c r="D5512" s="370">
        <v>3</v>
      </c>
      <c r="E5512" s="371">
        <v>126.74</v>
      </c>
      <c r="F5512" s="371">
        <v>2033.66</v>
      </c>
      <c r="G5512" s="368" t="s">
        <v>2793</v>
      </c>
      <c r="H5512" s="368" t="s">
        <v>2808</v>
      </c>
      <c r="I5512" s="368" t="s">
        <v>219</v>
      </c>
      <c r="J5512" s="368" t="s">
        <v>757</v>
      </c>
      <c r="K5512" s="368" t="s">
        <v>770</v>
      </c>
      <c r="L5512" s="369">
        <v>44043</v>
      </c>
      <c r="M5512" s="372">
        <v>0</v>
      </c>
    </row>
    <row r="5513" spans="1:13" hidden="1" x14ac:dyDescent="0.25">
      <c r="A5513" s="369">
        <v>44074</v>
      </c>
      <c r="B5513" s="368" t="s">
        <v>2811</v>
      </c>
      <c r="C5513" s="368" t="s">
        <v>769</v>
      </c>
      <c r="D5513" s="370">
        <v>4</v>
      </c>
      <c r="E5513" s="371">
        <v>126.74</v>
      </c>
      <c r="F5513" s="371">
        <v>2160.4</v>
      </c>
      <c r="G5513" s="368" t="s">
        <v>2770</v>
      </c>
      <c r="H5513" s="368" t="s">
        <v>2808</v>
      </c>
      <c r="I5513" s="368" t="s">
        <v>219</v>
      </c>
      <c r="J5513" s="368" t="s">
        <v>757</v>
      </c>
      <c r="K5513" s="368" t="s">
        <v>770</v>
      </c>
      <c r="L5513" s="369">
        <v>44074</v>
      </c>
      <c r="M5513" s="372">
        <v>0</v>
      </c>
    </row>
    <row r="5514" spans="1:13" hidden="1" x14ac:dyDescent="0.25">
      <c r="A5514" s="369">
        <v>44104</v>
      </c>
      <c r="B5514" s="368" t="s">
        <v>2812</v>
      </c>
      <c r="C5514" s="368" t="s">
        <v>769</v>
      </c>
      <c r="D5514" s="370">
        <v>5</v>
      </c>
      <c r="E5514" s="371">
        <v>126.74</v>
      </c>
      <c r="F5514" s="371">
        <v>2287.14</v>
      </c>
      <c r="G5514" s="368" t="s">
        <v>2772</v>
      </c>
      <c r="H5514" s="368" t="s">
        <v>2808</v>
      </c>
      <c r="I5514" s="368" t="s">
        <v>219</v>
      </c>
      <c r="J5514" s="368" t="s">
        <v>757</v>
      </c>
      <c r="K5514" s="368" t="s">
        <v>770</v>
      </c>
      <c r="L5514" s="369">
        <v>44104</v>
      </c>
      <c r="M5514" s="372">
        <v>0</v>
      </c>
    </row>
    <row r="5515" spans="1:13" hidden="1" x14ac:dyDescent="0.25">
      <c r="A5515" s="369">
        <v>44135</v>
      </c>
      <c r="B5515" s="368" t="s">
        <v>2813</v>
      </c>
      <c r="C5515" s="368" t="s">
        <v>769</v>
      </c>
      <c r="D5515" s="370">
        <v>6</v>
      </c>
      <c r="E5515" s="371">
        <v>126.74</v>
      </c>
      <c r="F5515" s="371">
        <v>2413.88</v>
      </c>
      <c r="G5515" s="368" t="s">
        <v>2774</v>
      </c>
      <c r="H5515" s="368" t="s">
        <v>2808</v>
      </c>
      <c r="I5515" s="368" t="s">
        <v>219</v>
      </c>
      <c r="J5515" s="368" t="s">
        <v>757</v>
      </c>
      <c r="K5515" s="368" t="s">
        <v>770</v>
      </c>
      <c r="L5515" s="369">
        <v>44135</v>
      </c>
      <c r="M5515" s="372">
        <v>0</v>
      </c>
    </row>
    <row r="5516" spans="1:13" hidden="1" x14ac:dyDescent="0.25">
      <c r="A5516" s="369">
        <v>44196</v>
      </c>
      <c r="B5516" s="368" t="s">
        <v>2797</v>
      </c>
      <c r="C5516" s="368" t="s">
        <v>1060</v>
      </c>
      <c r="D5516" s="370">
        <v>6</v>
      </c>
      <c r="E5516" s="371">
        <v>-126.74</v>
      </c>
      <c r="F5516" s="371">
        <v>2287.14</v>
      </c>
      <c r="G5516" s="368" t="s">
        <v>2798</v>
      </c>
      <c r="H5516" s="368" t="s">
        <v>2808</v>
      </c>
      <c r="I5516" s="368" t="s">
        <v>219</v>
      </c>
      <c r="J5516" s="368" t="s">
        <v>757</v>
      </c>
      <c r="K5516" s="368" t="s">
        <v>741</v>
      </c>
      <c r="L5516" s="369">
        <v>44196</v>
      </c>
      <c r="M5516" s="372">
        <v>0</v>
      </c>
    </row>
    <row r="5517" spans="1:13" hidden="1" x14ac:dyDescent="0.25">
      <c r="A5517" s="369">
        <v>44196</v>
      </c>
      <c r="B5517" s="368" t="s">
        <v>2797</v>
      </c>
      <c r="C5517" s="368" t="s">
        <v>1060</v>
      </c>
      <c r="D5517" s="370">
        <v>6</v>
      </c>
      <c r="E5517" s="371">
        <v>-126.74</v>
      </c>
      <c r="F5517" s="371">
        <v>2160.4</v>
      </c>
      <c r="G5517" s="368" t="s">
        <v>2798</v>
      </c>
      <c r="H5517" s="368" t="s">
        <v>2808</v>
      </c>
      <c r="I5517" s="368" t="s">
        <v>219</v>
      </c>
      <c r="J5517" s="368" t="s">
        <v>757</v>
      </c>
      <c r="K5517" s="368" t="s">
        <v>741</v>
      </c>
      <c r="L5517" s="369">
        <v>44196</v>
      </c>
      <c r="M5517" s="372">
        <v>0</v>
      </c>
    </row>
    <row r="5518" spans="1:13" hidden="1" x14ac:dyDescent="0.25">
      <c r="A5518" s="369">
        <v>44196</v>
      </c>
      <c r="B5518" s="368" t="s">
        <v>2797</v>
      </c>
      <c r="C5518" s="368" t="s">
        <v>1060</v>
      </c>
      <c r="D5518" s="370">
        <v>6</v>
      </c>
      <c r="E5518" s="371">
        <v>-126.74</v>
      </c>
      <c r="F5518" s="371">
        <v>2033.66</v>
      </c>
      <c r="G5518" s="368" t="s">
        <v>2798</v>
      </c>
      <c r="H5518" s="368" t="s">
        <v>2808</v>
      </c>
      <c r="I5518" s="368" t="s">
        <v>219</v>
      </c>
      <c r="J5518" s="368" t="s">
        <v>757</v>
      </c>
      <c r="K5518" s="368" t="s">
        <v>741</v>
      </c>
      <c r="L5518" s="369">
        <v>44196</v>
      </c>
      <c r="M5518" s="372">
        <v>0</v>
      </c>
    </row>
    <row r="5519" spans="1:13" hidden="1" x14ac:dyDescent="0.25">
      <c r="A5519" s="369">
        <v>44196</v>
      </c>
      <c r="B5519" s="368" t="s">
        <v>2797</v>
      </c>
      <c r="C5519" s="368" t="s">
        <v>1060</v>
      </c>
      <c r="D5519" s="370">
        <v>6</v>
      </c>
      <c r="E5519" s="371">
        <v>-126.74</v>
      </c>
      <c r="F5519" s="371">
        <v>1906.92</v>
      </c>
      <c r="G5519" s="368" t="s">
        <v>2798</v>
      </c>
      <c r="H5519" s="368" t="s">
        <v>2808</v>
      </c>
      <c r="I5519" s="368" t="s">
        <v>219</v>
      </c>
      <c r="J5519" s="368" t="s">
        <v>757</v>
      </c>
      <c r="K5519" s="368" t="s">
        <v>741</v>
      </c>
      <c r="L5519" s="369">
        <v>44196</v>
      </c>
      <c r="M5519" s="372">
        <v>0</v>
      </c>
    </row>
    <row r="5520" spans="1:13" hidden="1" x14ac:dyDescent="0.25">
      <c r="A5520" s="369">
        <v>44196</v>
      </c>
      <c r="B5520" s="368" t="s">
        <v>2797</v>
      </c>
      <c r="C5520" s="368" t="s">
        <v>1060</v>
      </c>
      <c r="D5520" s="370">
        <v>6</v>
      </c>
      <c r="E5520" s="371">
        <v>-126.74</v>
      </c>
      <c r="F5520" s="371">
        <v>1780.18</v>
      </c>
      <c r="G5520" s="368" t="s">
        <v>2798</v>
      </c>
      <c r="H5520" s="368" t="s">
        <v>2808</v>
      </c>
      <c r="I5520" s="368" t="s">
        <v>219</v>
      </c>
      <c r="J5520" s="368" t="s">
        <v>757</v>
      </c>
      <c r="K5520" s="368" t="s">
        <v>741</v>
      </c>
      <c r="L5520" s="369">
        <v>44196</v>
      </c>
      <c r="M5520" s="372">
        <v>0</v>
      </c>
    </row>
    <row r="5521" spans="1:13" hidden="1" x14ac:dyDescent="0.25">
      <c r="A5521" s="369">
        <v>44196</v>
      </c>
      <c r="B5521" s="368" t="s">
        <v>2797</v>
      </c>
      <c r="C5521" s="368" t="s">
        <v>1060</v>
      </c>
      <c r="D5521" s="370">
        <v>6</v>
      </c>
      <c r="E5521" s="371">
        <v>-126.74</v>
      </c>
      <c r="F5521" s="371">
        <v>1653.44</v>
      </c>
      <c r="G5521" s="368" t="s">
        <v>2798</v>
      </c>
      <c r="H5521" s="368" t="s">
        <v>2808</v>
      </c>
      <c r="I5521" s="368" t="s">
        <v>219</v>
      </c>
      <c r="J5521" s="368" t="s">
        <v>757</v>
      </c>
      <c r="K5521" s="368" t="s">
        <v>741</v>
      </c>
      <c r="L5521" s="369">
        <v>44196</v>
      </c>
      <c r="M5521" s="372">
        <v>0</v>
      </c>
    </row>
    <row r="5522" spans="1:13" hidden="1" x14ac:dyDescent="0.25">
      <c r="A5522" s="369">
        <v>44165</v>
      </c>
      <c r="B5522" s="368" t="s">
        <v>2814</v>
      </c>
      <c r="C5522" s="368" t="s">
        <v>769</v>
      </c>
      <c r="D5522" s="370">
        <v>7</v>
      </c>
      <c r="E5522" s="371">
        <v>126.74</v>
      </c>
      <c r="F5522" s="371">
        <v>1780.18</v>
      </c>
      <c r="G5522" s="368" t="s">
        <v>2776</v>
      </c>
      <c r="H5522" s="368" t="s">
        <v>2808</v>
      </c>
      <c r="I5522" s="368" t="s">
        <v>219</v>
      </c>
      <c r="J5522" s="368" t="s">
        <v>757</v>
      </c>
      <c r="K5522" s="368" t="s">
        <v>770</v>
      </c>
      <c r="L5522" s="369">
        <v>44165</v>
      </c>
      <c r="M5522" s="372">
        <v>0</v>
      </c>
    </row>
    <row r="5523" spans="1:13" hidden="1" x14ac:dyDescent="0.25">
      <c r="A5523" s="369">
        <v>44196</v>
      </c>
      <c r="B5523" s="368" t="s">
        <v>2815</v>
      </c>
      <c r="C5523" s="368" t="s">
        <v>936</v>
      </c>
      <c r="D5523" s="370">
        <v>7</v>
      </c>
      <c r="E5523" s="371">
        <v>-126.74</v>
      </c>
      <c r="F5523" s="371">
        <v>1653.44</v>
      </c>
      <c r="G5523" s="368" t="s">
        <v>2816</v>
      </c>
      <c r="H5523" s="368" t="s">
        <v>2808</v>
      </c>
      <c r="I5523" s="368" t="s">
        <v>219</v>
      </c>
      <c r="J5523" s="368" t="s">
        <v>757</v>
      </c>
      <c r="K5523" s="368" t="s">
        <v>770</v>
      </c>
      <c r="L5523" s="369">
        <v>44196</v>
      </c>
      <c r="M5523" s="372">
        <v>0</v>
      </c>
    </row>
    <row r="5524" spans="1:13" hidden="1" x14ac:dyDescent="0.25">
      <c r="A5524" s="369">
        <v>44196</v>
      </c>
      <c r="B5524" s="368" t="s">
        <v>2817</v>
      </c>
      <c r="C5524" s="368" t="s">
        <v>936</v>
      </c>
      <c r="D5524" s="370">
        <v>7</v>
      </c>
      <c r="E5524" s="371">
        <v>-126.74</v>
      </c>
      <c r="F5524" s="371">
        <v>1526.7</v>
      </c>
      <c r="G5524" s="368" t="s">
        <v>2818</v>
      </c>
      <c r="H5524" s="368" t="s">
        <v>2808</v>
      </c>
      <c r="I5524" s="368" t="s">
        <v>219</v>
      </c>
      <c r="J5524" s="368" t="s">
        <v>757</v>
      </c>
      <c r="K5524" s="368" t="s">
        <v>770</v>
      </c>
      <c r="L5524" s="369">
        <v>44196</v>
      </c>
      <c r="M5524" s="372">
        <v>0</v>
      </c>
    </row>
    <row r="5525" spans="1:13" hidden="1" x14ac:dyDescent="0.25">
      <c r="A5525" s="369">
        <v>44196</v>
      </c>
      <c r="B5525" s="368" t="s">
        <v>2819</v>
      </c>
      <c r="C5525" s="368" t="s">
        <v>936</v>
      </c>
      <c r="D5525" s="370">
        <v>7</v>
      </c>
      <c r="E5525" s="371">
        <v>-126.74</v>
      </c>
      <c r="F5525" s="371">
        <v>1399.96</v>
      </c>
      <c r="G5525" s="368" t="s">
        <v>2820</v>
      </c>
      <c r="H5525" s="368" t="s">
        <v>2808</v>
      </c>
      <c r="I5525" s="368" t="s">
        <v>219</v>
      </c>
      <c r="J5525" s="368" t="s">
        <v>757</v>
      </c>
      <c r="K5525" s="368" t="s">
        <v>770</v>
      </c>
      <c r="L5525" s="369">
        <v>44196</v>
      </c>
      <c r="M5525" s="372">
        <v>0</v>
      </c>
    </row>
    <row r="5526" spans="1:13" hidden="1" x14ac:dyDescent="0.25">
      <c r="A5526" s="369">
        <v>44196</v>
      </c>
      <c r="B5526" s="368" t="s">
        <v>2821</v>
      </c>
      <c r="C5526" s="368" t="s">
        <v>936</v>
      </c>
      <c r="D5526" s="370">
        <v>7</v>
      </c>
      <c r="E5526" s="371">
        <v>-126.74</v>
      </c>
      <c r="F5526" s="371">
        <v>1273.22</v>
      </c>
      <c r="G5526" s="368" t="s">
        <v>2822</v>
      </c>
      <c r="H5526" s="368" t="s">
        <v>2808</v>
      </c>
      <c r="I5526" s="368" t="s">
        <v>219</v>
      </c>
      <c r="J5526" s="368" t="s">
        <v>757</v>
      </c>
      <c r="K5526" s="368" t="s">
        <v>770</v>
      </c>
      <c r="L5526" s="369">
        <v>44196</v>
      </c>
      <c r="M5526" s="372">
        <v>0</v>
      </c>
    </row>
    <row r="5527" spans="1:13" hidden="1" x14ac:dyDescent="0.25">
      <c r="A5527" s="369">
        <v>44196</v>
      </c>
      <c r="B5527" s="368" t="s">
        <v>2823</v>
      </c>
      <c r="C5527" s="368" t="s">
        <v>936</v>
      </c>
      <c r="D5527" s="370">
        <v>7</v>
      </c>
      <c r="E5527" s="371">
        <v>-126.74</v>
      </c>
      <c r="F5527" s="371">
        <v>1146.48</v>
      </c>
      <c r="G5527" s="368" t="s">
        <v>2824</v>
      </c>
      <c r="H5527" s="368" t="s">
        <v>2808</v>
      </c>
      <c r="I5527" s="368" t="s">
        <v>219</v>
      </c>
      <c r="J5527" s="368" t="s">
        <v>757</v>
      </c>
      <c r="K5527" s="368" t="s">
        <v>770</v>
      </c>
      <c r="L5527" s="369">
        <v>44196</v>
      </c>
      <c r="M5527" s="372">
        <v>0</v>
      </c>
    </row>
    <row r="5528" spans="1:13" hidden="1" x14ac:dyDescent="0.25">
      <c r="A5528" s="369">
        <v>44196</v>
      </c>
      <c r="B5528" s="368" t="s">
        <v>2825</v>
      </c>
      <c r="C5528" s="368" t="s">
        <v>936</v>
      </c>
      <c r="D5528" s="370">
        <v>7</v>
      </c>
      <c r="E5528" s="371">
        <v>-126.74</v>
      </c>
      <c r="F5528" s="371">
        <v>1019.74</v>
      </c>
      <c r="G5528" s="368" t="s">
        <v>2826</v>
      </c>
      <c r="H5528" s="368" t="s">
        <v>2808</v>
      </c>
      <c r="I5528" s="368" t="s">
        <v>219</v>
      </c>
      <c r="J5528" s="368" t="s">
        <v>757</v>
      </c>
      <c r="K5528" s="368" t="s">
        <v>770</v>
      </c>
      <c r="L5528" s="369">
        <v>44196</v>
      </c>
      <c r="M5528" s="372">
        <v>0</v>
      </c>
    </row>
    <row r="5529" spans="1:13" hidden="1" x14ac:dyDescent="0.25">
      <c r="A5529" s="369">
        <v>44196</v>
      </c>
      <c r="B5529" s="368" t="s">
        <v>2797</v>
      </c>
      <c r="C5529" s="368" t="s">
        <v>1060</v>
      </c>
      <c r="D5529" s="370">
        <v>7</v>
      </c>
      <c r="E5529" s="371">
        <v>126.74</v>
      </c>
      <c r="F5529" s="371">
        <v>1146.48</v>
      </c>
      <c r="G5529" s="368" t="s">
        <v>2798</v>
      </c>
      <c r="H5529" s="368" t="s">
        <v>2808</v>
      </c>
      <c r="I5529" s="368" t="s">
        <v>219</v>
      </c>
      <c r="J5529" s="368" t="s">
        <v>757</v>
      </c>
      <c r="K5529" s="368" t="s">
        <v>741</v>
      </c>
      <c r="L5529" s="369">
        <v>44196</v>
      </c>
      <c r="M5529" s="372">
        <v>0</v>
      </c>
    </row>
    <row r="5530" spans="1:13" hidden="1" x14ac:dyDescent="0.25">
      <c r="A5530" s="369">
        <v>44196</v>
      </c>
      <c r="B5530" s="368" t="s">
        <v>2797</v>
      </c>
      <c r="C5530" s="368" t="s">
        <v>1060</v>
      </c>
      <c r="D5530" s="370">
        <v>7</v>
      </c>
      <c r="E5530" s="371">
        <v>126.74</v>
      </c>
      <c r="F5530" s="371">
        <v>1273.22</v>
      </c>
      <c r="G5530" s="368" t="s">
        <v>2798</v>
      </c>
      <c r="H5530" s="368" t="s">
        <v>2808</v>
      </c>
      <c r="I5530" s="368" t="s">
        <v>219</v>
      </c>
      <c r="J5530" s="368" t="s">
        <v>757</v>
      </c>
      <c r="K5530" s="368" t="s">
        <v>741</v>
      </c>
      <c r="L5530" s="369">
        <v>44196</v>
      </c>
      <c r="M5530" s="372">
        <v>0</v>
      </c>
    </row>
    <row r="5531" spans="1:13" hidden="1" x14ac:dyDescent="0.25">
      <c r="A5531" s="369">
        <v>44196</v>
      </c>
      <c r="B5531" s="368" t="s">
        <v>2797</v>
      </c>
      <c r="C5531" s="368" t="s">
        <v>1060</v>
      </c>
      <c r="D5531" s="370">
        <v>7</v>
      </c>
      <c r="E5531" s="371">
        <v>126.74</v>
      </c>
      <c r="F5531" s="371">
        <v>1399.96</v>
      </c>
      <c r="G5531" s="368" t="s">
        <v>2798</v>
      </c>
      <c r="H5531" s="368" t="s">
        <v>2808</v>
      </c>
      <c r="I5531" s="368" t="s">
        <v>219</v>
      </c>
      <c r="J5531" s="368" t="s">
        <v>757</v>
      </c>
      <c r="K5531" s="368" t="s">
        <v>741</v>
      </c>
      <c r="L5531" s="369">
        <v>44196</v>
      </c>
      <c r="M5531" s="372">
        <v>0</v>
      </c>
    </row>
    <row r="5532" spans="1:13" hidden="1" x14ac:dyDescent="0.25">
      <c r="A5532" s="369">
        <v>44196</v>
      </c>
      <c r="B5532" s="368" t="s">
        <v>2797</v>
      </c>
      <c r="C5532" s="368" t="s">
        <v>1060</v>
      </c>
      <c r="D5532" s="370">
        <v>7</v>
      </c>
      <c r="E5532" s="371">
        <v>126.74</v>
      </c>
      <c r="F5532" s="371">
        <v>1526.7</v>
      </c>
      <c r="G5532" s="368" t="s">
        <v>2798</v>
      </c>
      <c r="H5532" s="368" t="s">
        <v>2808</v>
      </c>
      <c r="I5532" s="368" t="s">
        <v>219</v>
      </c>
      <c r="J5532" s="368" t="s">
        <v>757</v>
      </c>
      <c r="K5532" s="368" t="s">
        <v>741</v>
      </c>
      <c r="L5532" s="369">
        <v>44196</v>
      </c>
      <c r="M5532" s="372">
        <v>0</v>
      </c>
    </row>
    <row r="5533" spans="1:13" hidden="1" x14ac:dyDescent="0.25">
      <c r="A5533" s="369">
        <v>44196</v>
      </c>
      <c r="B5533" s="368" t="s">
        <v>2797</v>
      </c>
      <c r="C5533" s="368" t="s">
        <v>1060</v>
      </c>
      <c r="D5533" s="370">
        <v>7</v>
      </c>
      <c r="E5533" s="371">
        <v>126.74</v>
      </c>
      <c r="F5533" s="371">
        <v>1653.44</v>
      </c>
      <c r="G5533" s="368" t="s">
        <v>2798</v>
      </c>
      <c r="H5533" s="368" t="s">
        <v>2808</v>
      </c>
      <c r="I5533" s="368" t="s">
        <v>219</v>
      </c>
      <c r="J5533" s="368" t="s">
        <v>757</v>
      </c>
      <c r="K5533" s="368" t="s">
        <v>741</v>
      </c>
      <c r="L5533" s="369">
        <v>44196</v>
      </c>
      <c r="M5533" s="372">
        <v>0</v>
      </c>
    </row>
    <row r="5534" spans="1:13" hidden="1" x14ac:dyDescent="0.25">
      <c r="A5534" s="369">
        <v>44196</v>
      </c>
      <c r="B5534" s="368" t="s">
        <v>2797</v>
      </c>
      <c r="C5534" s="368" t="s">
        <v>1060</v>
      </c>
      <c r="D5534" s="370">
        <v>7</v>
      </c>
      <c r="E5534" s="371">
        <v>126.74</v>
      </c>
      <c r="F5534" s="371">
        <v>1780.18</v>
      </c>
      <c r="G5534" s="368" t="s">
        <v>2798</v>
      </c>
      <c r="H5534" s="368" t="s">
        <v>2808</v>
      </c>
      <c r="I5534" s="368" t="s">
        <v>219</v>
      </c>
      <c r="J5534" s="368" t="s">
        <v>757</v>
      </c>
      <c r="K5534" s="368" t="s">
        <v>741</v>
      </c>
      <c r="L5534" s="369">
        <v>44196</v>
      </c>
      <c r="M5534" s="372">
        <v>0</v>
      </c>
    </row>
    <row r="5535" spans="1:13" hidden="1" x14ac:dyDescent="0.25">
      <c r="A5535" s="369">
        <v>44196</v>
      </c>
      <c r="B5535" s="368" t="s">
        <v>2827</v>
      </c>
      <c r="C5535" s="368" t="s">
        <v>769</v>
      </c>
      <c r="D5535" s="370">
        <v>8</v>
      </c>
      <c r="E5535" s="371">
        <v>126.74</v>
      </c>
      <c r="F5535" s="371">
        <v>1906.92</v>
      </c>
      <c r="G5535" s="368" t="s">
        <v>2778</v>
      </c>
      <c r="H5535" s="368" t="s">
        <v>2808</v>
      </c>
      <c r="I5535" s="368" t="s">
        <v>219</v>
      </c>
      <c r="J5535" s="368" t="s">
        <v>757</v>
      </c>
      <c r="K5535" s="368" t="s">
        <v>770</v>
      </c>
      <c r="L5535" s="369">
        <v>44196</v>
      </c>
      <c r="M5535" s="372">
        <v>0</v>
      </c>
    </row>
    <row r="5536" spans="1:13" hidden="1" x14ac:dyDescent="0.25">
      <c r="A5536" s="369">
        <v>44227</v>
      </c>
      <c r="B5536" s="368" t="s">
        <v>2828</v>
      </c>
      <c r="C5536" s="368" t="s">
        <v>769</v>
      </c>
      <c r="D5536" s="370">
        <v>9</v>
      </c>
      <c r="E5536" s="371">
        <v>126.74</v>
      </c>
      <c r="F5536" s="371">
        <v>2033.66</v>
      </c>
      <c r="G5536" s="368" t="s">
        <v>2780</v>
      </c>
      <c r="H5536" s="368" t="s">
        <v>2808</v>
      </c>
      <c r="I5536" s="368" t="s">
        <v>219</v>
      </c>
      <c r="J5536" s="368" t="s">
        <v>757</v>
      </c>
      <c r="K5536" s="368" t="s">
        <v>770</v>
      </c>
      <c r="L5536" s="369">
        <v>44227</v>
      </c>
      <c r="M5536" s="372">
        <v>0</v>
      </c>
    </row>
    <row r="5537" spans="1:13" hidden="1" x14ac:dyDescent="0.25">
      <c r="A5537" s="369">
        <v>44255</v>
      </c>
      <c r="B5537" s="368" t="s">
        <v>2829</v>
      </c>
      <c r="C5537" s="368" t="s">
        <v>769</v>
      </c>
      <c r="D5537" s="370">
        <v>10</v>
      </c>
      <c r="E5537" s="371">
        <v>126.74</v>
      </c>
      <c r="F5537" s="371">
        <v>2160.4</v>
      </c>
      <c r="G5537" s="368" t="s">
        <v>2782</v>
      </c>
      <c r="H5537" s="368" t="s">
        <v>2808</v>
      </c>
      <c r="I5537" s="368" t="s">
        <v>219</v>
      </c>
      <c r="J5537" s="368" t="s">
        <v>757</v>
      </c>
      <c r="K5537" s="368" t="s">
        <v>770</v>
      </c>
      <c r="L5537" s="369">
        <v>44255</v>
      </c>
      <c r="M5537" s="372">
        <v>0</v>
      </c>
    </row>
    <row r="5538" spans="1:13" hidden="1" x14ac:dyDescent="0.25">
      <c r="A5538" s="369">
        <v>44286</v>
      </c>
      <c r="B5538" s="368" t="s">
        <v>2830</v>
      </c>
      <c r="C5538" s="368" t="s">
        <v>936</v>
      </c>
      <c r="D5538" s="370">
        <v>10</v>
      </c>
      <c r="E5538" s="371">
        <v>-126.74</v>
      </c>
      <c r="F5538" s="371">
        <v>2033.66</v>
      </c>
      <c r="G5538" s="368" t="s">
        <v>2831</v>
      </c>
      <c r="H5538" s="368" t="s">
        <v>2808</v>
      </c>
      <c r="I5538" s="368" t="s">
        <v>219</v>
      </c>
      <c r="J5538" s="368" t="s">
        <v>757</v>
      </c>
      <c r="K5538" s="368" t="s">
        <v>770</v>
      </c>
      <c r="L5538" s="369">
        <v>44286</v>
      </c>
      <c r="M5538" s="372">
        <v>0</v>
      </c>
    </row>
    <row r="5539" spans="1:13" hidden="1" x14ac:dyDescent="0.25">
      <c r="A5539" s="369">
        <v>44286</v>
      </c>
      <c r="B5539" s="368" t="s">
        <v>2832</v>
      </c>
      <c r="C5539" s="368" t="s">
        <v>936</v>
      </c>
      <c r="D5539" s="370">
        <v>10</v>
      </c>
      <c r="E5539" s="371">
        <v>-126.74</v>
      </c>
      <c r="F5539" s="371">
        <v>1906.92</v>
      </c>
      <c r="G5539" s="368" t="s">
        <v>2833</v>
      </c>
      <c r="H5539" s="368" t="s">
        <v>2808</v>
      </c>
      <c r="I5539" s="368" t="s">
        <v>219</v>
      </c>
      <c r="J5539" s="368" t="s">
        <v>757</v>
      </c>
      <c r="K5539" s="368" t="s">
        <v>770</v>
      </c>
      <c r="L5539" s="369">
        <v>44286</v>
      </c>
      <c r="M5539" s="372">
        <v>0</v>
      </c>
    </row>
    <row r="5540" spans="1:13" hidden="1" x14ac:dyDescent="0.25">
      <c r="A5540" s="369">
        <v>44286</v>
      </c>
      <c r="B5540" s="368" t="s">
        <v>2834</v>
      </c>
      <c r="C5540" s="368" t="s">
        <v>936</v>
      </c>
      <c r="D5540" s="370">
        <v>10</v>
      </c>
      <c r="E5540" s="371">
        <v>-126.74</v>
      </c>
      <c r="F5540" s="371">
        <v>1780.18</v>
      </c>
      <c r="G5540" s="368" t="s">
        <v>2835</v>
      </c>
      <c r="H5540" s="368" t="s">
        <v>2808</v>
      </c>
      <c r="I5540" s="368" t="s">
        <v>219</v>
      </c>
      <c r="J5540" s="368" t="s">
        <v>757</v>
      </c>
      <c r="K5540" s="368" t="s">
        <v>770</v>
      </c>
      <c r="L5540" s="369">
        <v>44286</v>
      </c>
      <c r="M5540" s="372">
        <v>0</v>
      </c>
    </row>
    <row r="5541" spans="1:13" hidden="1" x14ac:dyDescent="0.25">
      <c r="A5541" s="369">
        <v>43982</v>
      </c>
      <c r="B5541" s="368" t="s">
        <v>2836</v>
      </c>
      <c r="C5541" s="368" t="s">
        <v>769</v>
      </c>
      <c r="D5541" s="370">
        <v>1</v>
      </c>
      <c r="E5541" s="371">
        <v>95.72</v>
      </c>
      <c r="F5541" s="371">
        <v>2002.64</v>
      </c>
      <c r="G5541" s="368" t="s">
        <v>2764</v>
      </c>
      <c r="H5541" s="368" t="s">
        <v>2837</v>
      </c>
      <c r="I5541" s="368" t="s">
        <v>219</v>
      </c>
      <c r="J5541" s="368" t="s">
        <v>757</v>
      </c>
      <c r="K5541" s="368" t="s">
        <v>770</v>
      </c>
      <c r="L5541" s="369">
        <v>43982</v>
      </c>
      <c r="M5541" s="372">
        <v>0</v>
      </c>
    </row>
    <row r="5542" spans="1:13" hidden="1" x14ac:dyDescent="0.25">
      <c r="A5542" s="369">
        <v>44012</v>
      </c>
      <c r="B5542" s="368" t="s">
        <v>2838</v>
      </c>
      <c r="C5542" s="368" t="s">
        <v>769</v>
      </c>
      <c r="D5542" s="370">
        <v>2</v>
      </c>
      <c r="E5542" s="371">
        <v>95.72</v>
      </c>
      <c r="F5542" s="371">
        <v>2098.36</v>
      </c>
      <c r="G5542" s="368" t="s">
        <v>2766</v>
      </c>
      <c r="H5542" s="368" t="s">
        <v>2837</v>
      </c>
      <c r="I5542" s="368" t="s">
        <v>219</v>
      </c>
      <c r="J5542" s="368" t="s">
        <v>757</v>
      </c>
      <c r="K5542" s="368" t="s">
        <v>770</v>
      </c>
      <c r="L5542" s="369">
        <v>44012</v>
      </c>
      <c r="M5542" s="372">
        <v>0</v>
      </c>
    </row>
    <row r="5543" spans="1:13" hidden="1" x14ac:dyDescent="0.25">
      <c r="A5543" s="369">
        <v>44043</v>
      </c>
      <c r="B5543" s="368" t="s">
        <v>2839</v>
      </c>
      <c r="C5543" s="368" t="s">
        <v>769</v>
      </c>
      <c r="D5543" s="370">
        <v>3</v>
      </c>
      <c r="E5543" s="371">
        <v>95.72</v>
      </c>
      <c r="F5543" s="371">
        <v>2194.08</v>
      </c>
      <c r="G5543" s="368" t="s">
        <v>2793</v>
      </c>
      <c r="H5543" s="368" t="s">
        <v>2837</v>
      </c>
      <c r="I5543" s="368" t="s">
        <v>219</v>
      </c>
      <c r="J5543" s="368" t="s">
        <v>757</v>
      </c>
      <c r="K5543" s="368" t="s">
        <v>770</v>
      </c>
      <c r="L5543" s="369">
        <v>44043</v>
      </c>
      <c r="M5543" s="372">
        <v>0</v>
      </c>
    </row>
    <row r="5544" spans="1:13" hidden="1" x14ac:dyDescent="0.25">
      <c r="A5544" s="369">
        <v>44074</v>
      </c>
      <c r="B5544" s="368" t="s">
        <v>2840</v>
      </c>
      <c r="C5544" s="368" t="s">
        <v>769</v>
      </c>
      <c r="D5544" s="370">
        <v>4</v>
      </c>
      <c r="E5544" s="371">
        <v>95.72</v>
      </c>
      <c r="F5544" s="371">
        <v>2289.8000000000002</v>
      </c>
      <c r="G5544" s="368" t="s">
        <v>2770</v>
      </c>
      <c r="H5544" s="368" t="s">
        <v>2837</v>
      </c>
      <c r="I5544" s="368" t="s">
        <v>219</v>
      </c>
      <c r="J5544" s="368" t="s">
        <v>757</v>
      </c>
      <c r="K5544" s="368" t="s">
        <v>770</v>
      </c>
      <c r="L5544" s="369">
        <v>44074</v>
      </c>
      <c r="M5544" s="372">
        <v>0</v>
      </c>
    </row>
    <row r="5545" spans="1:13" hidden="1" x14ac:dyDescent="0.25">
      <c r="A5545" s="369">
        <v>44104</v>
      </c>
      <c r="B5545" s="368" t="s">
        <v>2841</v>
      </c>
      <c r="C5545" s="368" t="s">
        <v>769</v>
      </c>
      <c r="D5545" s="370">
        <v>5</v>
      </c>
      <c r="E5545" s="371">
        <v>95.72</v>
      </c>
      <c r="F5545" s="371">
        <v>2385.52</v>
      </c>
      <c r="G5545" s="368" t="s">
        <v>2772</v>
      </c>
      <c r="H5545" s="368" t="s">
        <v>2837</v>
      </c>
      <c r="I5545" s="368" t="s">
        <v>219</v>
      </c>
      <c r="J5545" s="368" t="s">
        <v>757</v>
      </c>
      <c r="K5545" s="368" t="s">
        <v>770</v>
      </c>
      <c r="L5545" s="369">
        <v>44104</v>
      </c>
      <c r="M5545" s="372">
        <v>0</v>
      </c>
    </row>
    <row r="5546" spans="1:13" hidden="1" x14ac:dyDescent="0.25">
      <c r="A5546" s="369">
        <v>44135</v>
      </c>
      <c r="B5546" s="368" t="s">
        <v>2842</v>
      </c>
      <c r="C5546" s="368" t="s">
        <v>769</v>
      </c>
      <c r="D5546" s="370">
        <v>6</v>
      </c>
      <c r="E5546" s="371">
        <v>95.72</v>
      </c>
      <c r="F5546" s="371">
        <v>2481.2399999999998</v>
      </c>
      <c r="G5546" s="368" t="s">
        <v>2774</v>
      </c>
      <c r="H5546" s="368" t="s">
        <v>2837</v>
      </c>
      <c r="I5546" s="368" t="s">
        <v>219</v>
      </c>
      <c r="J5546" s="368" t="s">
        <v>757</v>
      </c>
      <c r="K5546" s="368" t="s">
        <v>770</v>
      </c>
      <c r="L5546" s="369">
        <v>44135</v>
      </c>
      <c r="M5546" s="372">
        <v>0</v>
      </c>
    </row>
    <row r="5547" spans="1:13" hidden="1" x14ac:dyDescent="0.25">
      <c r="A5547" s="369">
        <v>44196</v>
      </c>
      <c r="B5547" s="368" t="s">
        <v>2797</v>
      </c>
      <c r="C5547" s="368" t="s">
        <v>1060</v>
      </c>
      <c r="D5547" s="370">
        <v>6</v>
      </c>
      <c r="E5547" s="371">
        <v>-95.72</v>
      </c>
      <c r="F5547" s="371">
        <v>2385.52</v>
      </c>
      <c r="G5547" s="368" t="s">
        <v>2798</v>
      </c>
      <c r="H5547" s="368" t="s">
        <v>2837</v>
      </c>
      <c r="I5547" s="368" t="s">
        <v>219</v>
      </c>
      <c r="J5547" s="368" t="s">
        <v>757</v>
      </c>
      <c r="K5547" s="368" t="s">
        <v>741</v>
      </c>
      <c r="L5547" s="369">
        <v>44196</v>
      </c>
      <c r="M5547" s="372">
        <v>0</v>
      </c>
    </row>
    <row r="5548" spans="1:13" hidden="1" x14ac:dyDescent="0.25">
      <c r="A5548" s="369">
        <v>44196</v>
      </c>
      <c r="B5548" s="368" t="s">
        <v>2797</v>
      </c>
      <c r="C5548" s="368" t="s">
        <v>1060</v>
      </c>
      <c r="D5548" s="370">
        <v>6</v>
      </c>
      <c r="E5548" s="371">
        <v>-95.72</v>
      </c>
      <c r="F5548" s="371">
        <v>2289.8000000000002</v>
      </c>
      <c r="G5548" s="368" t="s">
        <v>2798</v>
      </c>
      <c r="H5548" s="368" t="s">
        <v>2837</v>
      </c>
      <c r="I5548" s="368" t="s">
        <v>219</v>
      </c>
      <c r="J5548" s="368" t="s">
        <v>757</v>
      </c>
      <c r="K5548" s="368" t="s">
        <v>741</v>
      </c>
      <c r="L5548" s="369">
        <v>44196</v>
      </c>
      <c r="M5548" s="372">
        <v>0</v>
      </c>
    </row>
    <row r="5549" spans="1:13" hidden="1" x14ac:dyDescent="0.25">
      <c r="A5549" s="369">
        <v>44196</v>
      </c>
      <c r="B5549" s="368" t="s">
        <v>2797</v>
      </c>
      <c r="C5549" s="368" t="s">
        <v>1060</v>
      </c>
      <c r="D5549" s="370">
        <v>6</v>
      </c>
      <c r="E5549" s="371">
        <v>-95.72</v>
      </c>
      <c r="F5549" s="371">
        <v>2194.08</v>
      </c>
      <c r="G5549" s="368" t="s">
        <v>2798</v>
      </c>
      <c r="H5549" s="368" t="s">
        <v>2837</v>
      </c>
      <c r="I5549" s="368" t="s">
        <v>219</v>
      </c>
      <c r="J5549" s="368" t="s">
        <v>757</v>
      </c>
      <c r="K5549" s="368" t="s">
        <v>741</v>
      </c>
      <c r="L5549" s="369">
        <v>44196</v>
      </c>
      <c r="M5549" s="372">
        <v>0</v>
      </c>
    </row>
    <row r="5550" spans="1:13" hidden="1" x14ac:dyDescent="0.25">
      <c r="A5550" s="369">
        <v>44196</v>
      </c>
      <c r="B5550" s="368" t="s">
        <v>2797</v>
      </c>
      <c r="C5550" s="368" t="s">
        <v>1060</v>
      </c>
      <c r="D5550" s="370">
        <v>6</v>
      </c>
      <c r="E5550" s="371">
        <v>-95.72</v>
      </c>
      <c r="F5550" s="371">
        <v>2098.36</v>
      </c>
      <c r="G5550" s="368" t="s">
        <v>2798</v>
      </c>
      <c r="H5550" s="368" t="s">
        <v>2837</v>
      </c>
      <c r="I5550" s="368" t="s">
        <v>219</v>
      </c>
      <c r="J5550" s="368" t="s">
        <v>757</v>
      </c>
      <c r="K5550" s="368" t="s">
        <v>741</v>
      </c>
      <c r="L5550" s="369">
        <v>44196</v>
      </c>
      <c r="M5550" s="372">
        <v>0</v>
      </c>
    </row>
    <row r="5551" spans="1:13" hidden="1" x14ac:dyDescent="0.25">
      <c r="A5551" s="369">
        <v>44196</v>
      </c>
      <c r="B5551" s="368" t="s">
        <v>2797</v>
      </c>
      <c r="C5551" s="368" t="s">
        <v>1060</v>
      </c>
      <c r="D5551" s="370">
        <v>6</v>
      </c>
      <c r="E5551" s="371">
        <v>-95.72</v>
      </c>
      <c r="F5551" s="371">
        <v>2002.64</v>
      </c>
      <c r="G5551" s="368" t="s">
        <v>2798</v>
      </c>
      <c r="H5551" s="368" t="s">
        <v>2837</v>
      </c>
      <c r="I5551" s="368" t="s">
        <v>219</v>
      </c>
      <c r="J5551" s="368" t="s">
        <v>757</v>
      </c>
      <c r="K5551" s="368" t="s">
        <v>741</v>
      </c>
      <c r="L5551" s="369">
        <v>44196</v>
      </c>
      <c r="M5551" s="372">
        <v>0</v>
      </c>
    </row>
    <row r="5552" spans="1:13" hidden="1" x14ac:dyDescent="0.25">
      <c r="A5552" s="369">
        <v>44196</v>
      </c>
      <c r="B5552" s="368" t="s">
        <v>2797</v>
      </c>
      <c r="C5552" s="368" t="s">
        <v>1060</v>
      </c>
      <c r="D5552" s="370">
        <v>6</v>
      </c>
      <c r="E5552" s="371">
        <v>-95.72</v>
      </c>
      <c r="F5552" s="371">
        <v>1906.92</v>
      </c>
      <c r="G5552" s="368" t="s">
        <v>2798</v>
      </c>
      <c r="H5552" s="368" t="s">
        <v>2837</v>
      </c>
      <c r="I5552" s="368" t="s">
        <v>219</v>
      </c>
      <c r="J5552" s="368" t="s">
        <v>757</v>
      </c>
      <c r="K5552" s="368" t="s">
        <v>741</v>
      </c>
      <c r="L5552" s="369">
        <v>44196</v>
      </c>
      <c r="M5552" s="372">
        <v>0</v>
      </c>
    </row>
    <row r="5553" spans="1:13" hidden="1" x14ac:dyDescent="0.25">
      <c r="A5553" s="369">
        <v>44165</v>
      </c>
      <c r="B5553" s="368" t="s">
        <v>2843</v>
      </c>
      <c r="C5553" s="368" t="s">
        <v>769</v>
      </c>
      <c r="D5553" s="370">
        <v>7</v>
      </c>
      <c r="E5553" s="371">
        <v>95.72</v>
      </c>
      <c r="F5553" s="371">
        <v>2002.64</v>
      </c>
      <c r="G5553" s="368" t="s">
        <v>2776</v>
      </c>
      <c r="H5553" s="368" t="s">
        <v>2837</v>
      </c>
      <c r="I5553" s="368" t="s">
        <v>219</v>
      </c>
      <c r="J5553" s="368" t="s">
        <v>757</v>
      </c>
      <c r="K5553" s="368" t="s">
        <v>770</v>
      </c>
      <c r="L5553" s="369">
        <v>44165</v>
      </c>
      <c r="M5553" s="372">
        <v>0</v>
      </c>
    </row>
    <row r="5554" spans="1:13" hidden="1" x14ac:dyDescent="0.25">
      <c r="A5554" s="369">
        <v>44196</v>
      </c>
      <c r="B5554" s="368" t="s">
        <v>2844</v>
      </c>
      <c r="C5554" s="368" t="s">
        <v>936</v>
      </c>
      <c r="D5554" s="370">
        <v>7</v>
      </c>
      <c r="E5554" s="371">
        <v>-95.72</v>
      </c>
      <c r="F5554" s="371">
        <v>1906.92</v>
      </c>
      <c r="G5554" s="368" t="s">
        <v>2845</v>
      </c>
      <c r="H5554" s="368" t="s">
        <v>2837</v>
      </c>
      <c r="I5554" s="368" t="s">
        <v>219</v>
      </c>
      <c r="J5554" s="368" t="s">
        <v>757</v>
      </c>
      <c r="K5554" s="368" t="s">
        <v>770</v>
      </c>
      <c r="L5554" s="369">
        <v>44196</v>
      </c>
      <c r="M5554" s="372">
        <v>0</v>
      </c>
    </row>
    <row r="5555" spans="1:13" hidden="1" x14ac:dyDescent="0.25">
      <c r="A5555" s="369">
        <v>44196</v>
      </c>
      <c r="B5555" s="368" t="s">
        <v>2846</v>
      </c>
      <c r="C5555" s="368" t="s">
        <v>936</v>
      </c>
      <c r="D5555" s="370">
        <v>7</v>
      </c>
      <c r="E5555" s="371">
        <v>-95.72</v>
      </c>
      <c r="F5555" s="371">
        <v>1811.2</v>
      </c>
      <c r="G5555" s="368" t="s">
        <v>2847</v>
      </c>
      <c r="H5555" s="368" t="s">
        <v>2837</v>
      </c>
      <c r="I5555" s="368" t="s">
        <v>219</v>
      </c>
      <c r="J5555" s="368" t="s">
        <v>757</v>
      </c>
      <c r="K5555" s="368" t="s">
        <v>770</v>
      </c>
      <c r="L5555" s="369">
        <v>44196</v>
      </c>
      <c r="M5555" s="372">
        <v>0</v>
      </c>
    </row>
    <row r="5556" spans="1:13" hidden="1" x14ac:dyDescent="0.25">
      <c r="A5556" s="369">
        <v>44196</v>
      </c>
      <c r="B5556" s="368" t="s">
        <v>2848</v>
      </c>
      <c r="C5556" s="368" t="s">
        <v>936</v>
      </c>
      <c r="D5556" s="370">
        <v>7</v>
      </c>
      <c r="E5556" s="371">
        <v>-95.72</v>
      </c>
      <c r="F5556" s="371">
        <v>1715.48</v>
      </c>
      <c r="G5556" s="368" t="s">
        <v>2820</v>
      </c>
      <c r="H5556" s="368" t="s">
        <v>2837</v>
      </c>
      <c r="I5556" s="368" t="s">
        <v>219</v>
      </c>
      <c r="J5556" s="368" t="s">
        <v>757</v>
      </c>
      <c r="K5556" s="368" t="s">
        <v>770</v>
      </c>
      <c r="L5556" s="369">
        <v>44196</v>
      </c>
      <c r="M5556" s="372">
        <v>0</v>
      </c>
    </row>
    <row r="5557" spans="1:13" hidden="1" x14ac:dyDescent="0.25">
      <c r="A5557" s="369">
        <v>44196</v>
      </c>
      <c r="B5557" s="368" t="s">
        <v>2849</v>
      </c>
      <c r="C5557" s="368" t="s">
        <v>936</v>
      </c>
      <c r="D5557" s="370">
        <v>7</v>
      </c>
      <c r="E5557" s="371">
        <v>-95.72</v>
      </c>
      <c r="F5557" s="371">
        <v>1619.76</v>
      </c>
      <c r="G5557" s="368" t="s">
        <v>2822</v>
      </c>
      <c r="H5557" s="368" t="s">
        <v>2837</v>
      </c>
      <c r="I5557" s="368" t="s">
        <v>219</v>
      </c>
      <c r="J5557" s="368" t="s">
        <v>757</v>
      </c>
      <c r="K5557" s="368" t="s">
        <v>770</v>
      </c>
      <c r="L5557" s="369">
        <v>44196</v>
      </c>
      <c r="M5557" s="372">
        <v>0</v>
      </c>
    </row>
    <row r="5558" spans="1:13" hidden="1" x14ac:dyDescent="0.25">
      <c r="A5558" s="369">
        <v>44196</v>
      </c>
      <c r="B5558" s="368" t="s">
        <v>2850</v>
      </c>
      <c r="C5558" s="368" t="s">
        <v>936</v>
      </c>
      <c r="D5558" s="370">
        <v>7</v>
      </c>
      <c r="E5558" s="371">
        <v>-95.72</v>
      </c>
      <c r="F5558" s="371">
        <v>1524.04</v>
      </c>
      <c r="G5558" s="368" t="s">
        <v>2824</v>
      </c>
      <c r="H5558" s="368" t="s">
        <v>2837</v>
      </c>
      <c r="I5558" s="368" t="s">
        <v>219</v>
      </c>
      <c r="J5558" s="368" t="s">
        <v>757</v>
      </c>
      <c r="K5558" s="368" t="s">
        <v>770</v>
      </c>
      <c r="L5558" s="369">
        <v>44196</v>
      </c>
      <c r="M5558" s="372">
        <v>0</v>
      </c>
    </row>
    <row r="5559" spans="1:13" hidden="1" x14ac:dyDescent="0.25">
      <c r="A5559" s="369">
        <v>44196</v>
      </c>
      <c r="B5559" s="368" t="s">
        <v>2851</v>
      </c>
      <c r="C5559" s="368" t="s">
        <v>936</v>
      </c>
      <c r="D5559" s="370">
        <v>7</v>
      </c>
      <c r="E5559" s="371">
        <v>-95.72</v>
      </c>
      <c r="F5559" s="371">
        <v>1428.32</v>
      </c>
      <c r="G5559" s="368" t="s">
        <v>2826</v>
      </c>
      <c r="H5559" s="368" t="s">
        <v>2837</v>
      </c>
      <c r="I5559" s="368" t="s">
        <v>219</v>
      </c>
      <c r="J5559" s="368" t="s">
        <v>757</v>
      </c>
      <c r="K5559" s="368" t="s">
        <v>770</v>
      </c>
      <c r="L5559" s="369">
        <v>44196</v>
      </c>
      <c r="M5559" s="372">
        <v>0</v>
      </c>
    </row>
    <row r="5560" spans="1:13" hidden="1" x14ac:dyDescent="0.25">
      <c r="A5560" s="369">
        <v>44196</v>
      </c>
      <c r="B5560" s="368" t="s">
        <v>2797</v>
      </c>
      <c r="C5560" s="368" t="s">
        <v>1060</v>
      </c>
      <c r="D5560" s="370">
        <v>7</v>
      </c>
      <c r="E5560" s="371">
        <v>95.72</v>
      </c>
      <c r="F5560" s="371">
        <v>1524.04</v>
      </c>
      <c r="G5560" s="368" t="s">
        <v>2798</v>
      </c>
      <c r="H5560" s="368" t="s">
        <v>2837</v>
      </c>
      <c r="I5560" s="368" t="s">
        <v>219</v>
      </c>
      <c r="J5560" s="368" t="s">
        <v>757</v>
      </c>
      <c r="K5560" s="368" t="s">
        <v>741</v>
      </c>
      <c r="L5560" s="369">
        <v>44196</v>
      </c>
      <c r="M5560" s="372">
        <v>0</v>
      </c>
    </row>
    <row r="5561" spans="1:13" hidden="1" x14ac:dyDescent="0.25">
      <c r="A5561" s="369">
        <v>44196</v>
      </c>
      <c r="B5561" s="368" t="s">
        <v>2797</v>
      </c>
      <c r="C5561" s="368" t="s">
        <v>1060</v>
      </c>
      <c r="D5561" s="370">
        <v>7</v>
      </c>
      <c r="E5561" s="371">
        <v>95.72</v>
      </c>
      <c r="F5561" s="371">
        <v>1619.76</v>
      </c>
      <c r="G5561" s="368" t="s">
        <v>2798</v>
      </c>
      <c r="H5561" s="368" t="s">
        <v>2837</v>
      </c>
      <c r="I5561" s="368" t="s">
        <v>219</v>
      </c>
      <c r="J5561" s="368" t="s">
        <v>757</v>
      </c>
      <c r="K5561" s="368" t="s">
        <v>741</v>
      </c>
      <c r="L5561" s="369">
        <v>44196</v>
      </c>
      <c r="M5561" s="372">
        <v>0</v>
      </c>
    </row>
    <row r="5562" spans="1:13" hidden="1" x14ac:dyDescent="0.25">
      <c r="A5562" s="369">
        <v>44196</v>
      </c>
      <c r="B5562" s="368" t="s">
        <v>2797</v>
      </c>
      <c r="C5562" s="368" t="s">
        <v>1060</v>
      </c>
      <c r="D5562" s="370">
        <v>7</v>
      </c>
      <c r="E5562" s="371">
        <v>95.72</v>
      </c>
      <c r="F5562" s="371">
        <v>1715.48</v>
      </c>
      <c r="G5562" s="368" t="s">
        <v>2798</v>
      </c>
      <c r="H5562" s="368" t="s">
        <v>2837</v>
      </c>
      <c r="I5562" s="368" t="s">
        <v>219</v>
      </c>
      <c r="J5562" s="368" t="s">
        <v>757</v>
      </c>
      <c r="K5562" s="368" t="s">
        <v>741</v>
      </c>
      <c r="L5562" s="369">
        <v>44196</v>
      </c>
      <c r="M5562" s="372">
        <v>0</v>
      </c>
    </row>
    <row r="5563" spans="1:13" hidden="1" x14ac:dyDescent="0.25">
      <c r="A5563" s="369">
        <v>44196</v>
      </c>
      <c r="B5563" s="368" t="s">
        <v>2797</v>
      </c>
      <c r="C5563" s="368" t="s">
        <v>1060</v>
      </c>
      <c r="D5563" s="370">
        <v>7</v>
      </c>
      <c r="E5563" s="371">
        <v>95.72</v>
      </c>
      <c r="F5563" s="371">
        <v>1811.2</v>
      </c>
      <c r="G5563" s="368" t="s">
        <v>2798</v>
      </c>
      <c r="H5563" s="368" t="s">
        <v>2837</v>
      </c>
      <c r="I5563" s="368" t="s">
        <v>219</v>
      </c>
      <c r="J5563" s="368" t="s">
        <v>757</v>
      </c>
      <c r="K5563" s="368" t="s">
        <v>741</v>
      </c>
      <c r="L5563" s="369">
        <v>44196</v>
      </c>
      <c r="M5563" s="372">
        <v>0</v>
      </c>
    </row>
    <row r="5564" spans="1:13" hidden="1" x14ac:dyDescent="0.25">
      <c r="A5564" s="369">
        <v>44196</v>
      </c>
      <c r="B5564" s="368" t="s">
        <v>2797</v>
      </c>
      <c r="C5564" s="368" t="s">
        <v>1060</v>
      </c>
      <c r="D5564" s="370">
        <v>7</v>
      </c>
      <c r="E5564" s="371">
        <v>95.72</v>
      </c>
      <c r="F5564" s="371">
        <v>1906.92</v>
      </c>
      <c r="G5564" s="368" t="s">
        <v>2798</v>
      </c>
      <c r="H5564" s="368" t="s">
        <v>2837</v>
      </c>
      <c r="I5564" s="368" t="s">
        <v>219</v>
      </c>
      <c r="J5564" s="368" t="s">
        <v>757</v>
      </c>
      <c r="K5564" s="368" t="s">
        <v>741</v>
      </c>
      <c r="L5564" s="369">
        <v>44196</v>
      </c>
      <c r="M5564" s="372">
        <v>0</v>
      </c>
    </row>
    <row r="5565" spans="1:13" hidden="1" x14ac:dyDescent="0.25">
      <c r="A5565" s="369">
        <v>44196</v>
      </c>
      <c r="B5565" s="368" t="s">
        <v>2797</v>
      </c>
      <c r="C5565" s="368" t="s">
        <v>1060</v>
      </c>
      <c r="D5565" s="370">
        <v>7</v>
      </c>
      <c r="E5565" s="371">
        <v>95.72</v>
      </c>
      <c r="F5565" s="371">
        <v>2002.64</v>
      </c>
      <c r="G5565" s="368" t="s">
        <v>2798</v>
      </c>
      <c r="H5565" s="368" t="s">
        <v>2837</v>
      </c>
      <c r="I5565" s="368" t="s">
        <v>219</v>
      </c>
      <c r="J5565" s="368" t="s">
        <v>757</v>
      </c>
      <c r="K5565" s="368" t="s">
        <v>741</v>
      </c>
      <c r="L5565" s="369">
        <v>44196</v>
      </c>
      <c r="M5565" s="372">
        <v>0</v>
      </c>
    </row>
    <row r="5566" spans="1:13" hidden="1" x14ac:dyDescent="0.25">
      <c r="A5566" s="369">
        <v>44196</v>
      </c>
      <c r="B5566" s="368" t="s">
        <v>2852</v>
      </c>
      <c r="C5566" s="368" t="s">
        <v>769</v>
      </c>
      <c r="D5566" s="370">
        <v>8</v>
      </c>
      <c r="E5566" s="371">
        <v>95.72</v>
      </c>
      <c r="F5566" s="371">
        <v>2098.36</v>
      </c>
      <c r="G5566" s="368" t="s">
        <v>2778</v>
      </c>
      <c r="H5566" s="368" t="s">
        <v>2837</v>
      </c>
      <c r="I5566" s="368" t="s">
        <v>219</v>
      </c>
      <c r="J5566" s="368" t="s">
        <v>757</v>
      </c>
      <c r="K5566" s="368" t="s">
        <v>770</v>
      </c>
      <c r="L5566" s="369">
        <v>44196</v>
      </c>
      <c r="M5566" s="372">
        <v>0</v>
      </c>
    </row>
    <row r="5567" spans="1:13" hidden="1" x14ac:dyDescent="0.25">
      <c r="A5567" s="369">
        <v>44227</v>
      </c>
      <c r="B5567" s="368" t="s">
        <v>2853</v>
      </c>
      <c r="C5567" s="368" t="s">
        <v>769</v>
      </c>
      <c r="D5567" s="370">
        <v>9</v>
      </c>
      <c r="E5567" s="371">
        <v>95.72</v>
      </c>
      <c r="F5567" s="371">
        <v>2194.08</v>
      </c>
      <c r="G5567" s="368" t="s">
        <v>2780</v>
      </c>
      <c r="H5567" s="368" t="s">
        <v>2837</v>
      </c>
      <c r="I5567" s="368" t="s">
        <v>219</v>
      </c>
      <c r="J5567" s="368" t="s">
        <v>757</v>
      </c>
      <c r="K5567" s="368" t="s">
        <v>770</v>
      </c>
      <c r="L5567" s="369">
        <v>44227</v>
      </c>
      <c r="M5567" s="372">
        <v>0</v>
      </c>
    </row>
    <row r="5568" spans="1:13" hidden="1" x14ac:dyDescent="0.25">
      <c r="A5568" s="369">
        <v>44255</v>
      </c>
      <c r="B5568" s="368" t="s">
        <v>2854</v>
      </c>
      <c r="C5568" s="368" t="s">
        <v>769</v>
      </c>
      <c r="D5568" s="370">
        <v>10</v>
      </c>
      <c r="E5568" s="371">
        <v>95.72</v>
      </c>
      <c r="F5568" s="371">
        <v>2289.8000000000002</v>
      </c>
      <c r="G5568" s="368" t="s">
        <v>2782</v>
      </c>
      <c r="H5568" s="368" t="s">
        <v>2837</v>
      </c>
      <c r="I5568" s="368" t="s">
        <v>219</v>
      </c>
      <c r="J5568" s="368" t="s">
        <v>757</v>
      </c>
      <c r="K5568" s="368" t="s">
        <v>770</v>
      </c>
      <c r="L5568" s="369">
        <v>44255</v>
      </c>
      <c r="M5568" s="372">
        <v>0</v>
      </c>
    </row>
    <row r="5569" spans="1:13" hidden="1" x14ac:dyDescent="0.25">
      <c r="A5569" s="369">
        <v>43982</v>
      </c>
      <c r="B5569" s="368" t="s">
        <v>2855</v>
      </c>
      <c r="C5569" s="368" t="s">
        <v>769</v>
      </c>
      <c r="D5569" s="370">
        <v>1</v>
      </c>
      <c r="E5569" s="371">
        <v>500.08</v>
      </c>
      <c r="F5569" s="371">
        <v>2981.32</v>
      </c>
      <c r="G5569" s="368" t="s">
        <v>2764</v>
      </c>
      <c r="H5569" s="368" t="s">
        <v>2856</v>
      </c>
      <c r="I5569" s="368" t="s">
        <v>219</v>
      </c>
      <c r="J5569" s="368" t="s">
        <v>757</v>
      </c>
      <c r="K5569" s="368" t="s">
        <v>770</v>
      </c>
      <c r="L5569" s="369">
        <v>43982</v>
      </c>
      <c r="M5569" s="372">
        <v>0</v>
      </c>
    </row>
    <row r="5570" spans="1:13" hidden="1" x14ac:dyDescent="0.25">
      <c r="A5570" s="369">
        <v>44012</v>
      </c>
      <c r="B5570" s="368" t="s">
        <v>2857</v>
      </c>
      <c r="C5570" s="368" t="s">
        <v>769</v>
      </c>
      <c r="D5570" s="370">
        <v>2</v>
      </c>
      <c r="E5570" s="371">
        <v>500.08</v>
      </c>
      <c r="F5570" s="371">
        <v>3481.4</v>
      </c>
      <c r="G5570" s="368" t="s">
        <v>2766</v>
      </c>
      <c r="H5570" s="368" t="s">
        <v>2856</v>
      </c>
      <c r="I5570" s="368" t="s">
        <v>219</v>
      </c>
      <c r="J5570" s="368" t="s">
        <v>757</v>
      </c>
      <c r="K5570" s="368" t="s">
        <v>770</v>
      </c>
      <c r="L5570" s="369">
        <v>44012</v>
      </c>
      <c r="M5570" s="372">
        <v>0</v>
      </c>
    </row>
    <row r="5571" spans="1:13" hidden="1" x14ac:dyDescent="0.25">
      <c r="A5571" s="369">
        <v>44043</v>
      </c>
      <c r="B5571" s="368" t="s">
        <v>2858</v>
      </c>
      <c r="C5571" s="368" t="s">
        <v>769</v>
      </c>
      <c r="D5571" s="370">
        <v>3</v>
      </c>
      <c r="E5571" s="371">
        <v>500.08</v>
      </c>
      <c r="F5571" s="371">
        <v>3981.48</v>
      </c>
      <c r="G5571" s="368" t="s">
        <v>2793</v>
      </c>
      <c r="H5571" s="368" t="s">
        <v>2856</v>
      </c>
      <c r="I5571" s="368" t="s">
        <v>219</v>
      </c>
      <c r="J5571" s="368" t="s">
        <v>757</v>
      </c>
      <c r="K5571" s="368" t="s">
        <v>770</v>
      </c>
      <c r="L5571" s="369">
        <v>44043</v>
      </c>
      <c r="M5571" s="372">
        <v>0</v>
      </c>
    </row>
    <row r="5572" spans="1:13" hidden="1" x14ac:dyDescent="0.25">
      <c r="A5572" s="369">
        <v>44074</v>
      </c>
      <c r="B5572" s="368" t="s">
        <v>2859</v>
      </c>
      <c r="C5572" s="368" t="s">
        <v>769</v>
      </c>
      <c r="D5572" s="370">
        <v>4</v>
      </c>
      <c r="E5572" s="371">
        <v>500.08</v>
      </c>
      <c r="F5572" s="371">
        <v>4481.5600000000004</v>
      </c>
      <c r="G5572" s="368" t="s">
        <v>2770</v>
      </c>
      <c r="H5572" s="368" t="s">
        <v>2856</v>
      </c>
      <c r="I5572" s="368" t="s">
        <v>219</v>
      </c>
      <c r="J5572" s="368" t="s">
        <v>757</v>
      </c>
      <c r="K5572" s="368" t="s">
        <v>770</v>
      </c>
      <c r="L5572" s="369">
        <v>44074</v>
      </c>
      <c r="M5572" s="372">
        <v>0</v>
      </c>
    </row>
    <row r="5573" spans="1:13" hidden="1" x14ac:dyDescent="0.25">
      <c r="A5573" s="369">
        <v>44104</v>
      </c>
      <c r="B5573" s="368" t="s">
        <v>2860</v>
      </c>
      <c r="C5573" s="368" t="s">
        <v>769</v>
      </c>
      <c r="D5573" s="370">
        <v>5</v>
      </c>
      <c r="E5573" s="371">
        <v>500.08</v>
      </c>
      <c r="F5573" s="371">
        <v>4981.6400000000003</v>
      </c>
      <c r="G5573" s="368" t="s">
        <v>2772</v>
      </c>
      <c r="H5573" s="368" t="s">
        <v>2856</v>
      </c>
      <c r="I5573" s="368" t="s">
        <v>219</v>
      </c>
      <c r="J5573" s="368" t="s">
        <v>757</v>
      </c>
      <c r="K5573" s="368" t="s">
        <v>770</v>
      </c>
      <c r="L5573" s="369">
        <v>44104</v>
      </c>
      <c r="M5573" s="372">
        <v>0</v>
      </c>
    </row>
    <row r="5574" spans="1:13" hidden="1" x14ac:dyDescent="0.25">
      <c r="A5574" s="369">
        <v>44135</v>
      </c>
      <c r="B5574" s="368" t="s">
        <v>2861</v>
      </c>
      <c r="C5574" s="368" t="s">
        <v>769</v>
      </c>
      <c r="D5574" s="370">
        <v>6</v>
      </c>
      <c r="E5574" s="371">
        <v>500.08</v>
      </c>
      <c r="F5574" s="371">
        <v>5481.72</v>
      </c>
      <c r="G5574" s="368" t="s">
        <v>2774</v>
      </c>
      <c r="H5574" s="368" t="s">
        <v>2856</v>
      </c>
      <c r="I5574" s="368" t="s">
        <v>219</v>
      </c>
      <c r="J5574" s="368" t="s">
        <v>757</v>
      </c>
      <c r="K5574" s="368" t="s">
        <v>770</v>
      </c>
      <c r="L5574" s="369">
        <v>44135</v>
      </c>
      <c r="M5574" s="372">
        <v>0</v>
      </c>
    </row>
    <row r="5575" spans="1:13" hidden="1" x14ac:dyDescent="0.25">
      <c r="A5575" s="369">
        <v>44196</v>
      </c>
      <c r="B5575" s="368" t="s">
        <v>2797</v>
      </c>
      <c r="C5575" s="368" t="s">
        <v>1060</v>
      </c>
      <c r="D5575" s="370">
        <v>6</v>
      </c>
      <c r="E5575" s="371">
        <v>-500.08</v>
      </c>
      <c r="F5575" s="371">
        <v>4981.6400000000003</v>
      </c>
      <c r="G5575" s="368" t="s">
        <v>2798</v>
      </c>
      <c r="H5575" s="368" t="s">
        <v>2856</v>
      </c>
      <c r="I5575" s="368" t="s">
        <v>219</v>
      </c>
      <c r="J5575" s="368" t="s">
        <v>757</v>
      </c>
      <c r="K5575" s="368" t="s">
        <v>741</v>
      </c>
      <c r="L5575" s="369">
        <v>44196</v>
      </c>
      <c r="M5575" s="372">
        <v>0</v>
      </c>
    </row>
    <row r="5576" spans="1:13" hidden="1" x14ac:dyDescent="0.25">
      <c r="A5576" s="369">
        <v>44196</v>
      </c>
      <c r="B5576" s="368" t="s">
        <v>2797</v>
      </c>
      <c r="C5576" s="368" t="s">
        <v>1060</v>
      </c>
      <c r="D5576" s="370">
        <v>6</v>
      </c>
      <c r="E5576" s="371">
        <v>-500.08</v>
      </c>
      <c r="F5576" s="371">
        <v>4481.5600000000004</v>
      </c>
      <c r="G5576" s="368" t="s">
        <v>2798</v>
      </c>
      <c r="H5576" s="368" t="s">
        <v>2856</v>
      </c>
      <c r="I5576" s="368" t="s">
        <v>219</v>
      </c>
      <c r="J5576" s="368" t="s">
        <v>757</v>
      </c>
      <c r="K5576" s="368" t="s">
        <v>741</v>
      </c>
      <c r="L5576" s="369">
        <v>44196</v>
      </c>
      <c r="M5576" s="372">
        <v>0</v>
      </c>
    </row>
    <row r="5577" spans="1:13" hidden="1" x14ac:dyDescent="0.25">
      <c r="A5577" s="369">
        <v>44196</v>
      </c>
      <c r="B5577" s="368" t="s">
        <v>2797</v>
      </c>
      <c r="C5577" s="368" t="s">
        <v>1060</v>
      </c>
      <c r="D5577" s="370">
        <v>6</v>
      </c>
      <c r="E5577" s="371">
        <v>-500.08</v>
      </c>
      <c r="F5577" s="371">
        <v>3981.48</v>
      </c>
      <c r="G5577" s="368" t="s">
        <v>2798</v>
      </c>
      <c r="H5577" s="368" t="s">
        <v>2856</v>
      </c>
      <c r="I5577" s="368" t="s">
        <v>219</v>
      </c>
      <c r="J5577" s="368" t="s">
        <v>757</v>
      </c>
      <c r="K5577" s="368" t="s">
        <v>741</v>
      </c>
      <c r="L5577" s="369">
        <v>44196</v>
      </c>
      <c r="M5577" s="372">
        <v>0</v>
      </c>
    </row>
    <row r="5578" spans="1:13" hidden="1" x14ac:dyDescent="0.25">
      <c r="A5578" s="369">
        <v>44196</v>
      </c>
      <c r="B5578" s="368" t="s">
        <v>2797</v>
      </c>
      <c r="C5578" s="368" t="s">
        <v>1060</v>
      </c>
      <c r="D5578" s="370">
        <v>6</v>
      </c>
      <c r="E5578" s="371">
        <v>-500.08</v>
      </c>
      <c r="F5578" s="371">
        <v>3481.4</v>
      </c>
      <c r="G5578" s="368" t="s">
        <v>2798</v>
      </c>
      <c r="H5578" s="368" t="s">
        <v>2856</v>
      </c>
      <c r="I5578" s="368" t="s">
        <v>219</v>
      </c>
      <c r="J5578" s="368" t="s">
        <v>757</v>
      </c>
      <c r="K5578" s="368" t="s">
        <v>741</v>
      </c>
      <c r="L5578" s="369">
        <v>44196</v>
      </c>
      <c r="M5578" s="372">
        <v>0</v>
      </c>
    </row>
    <row r="5579" spans="1:13" hidden="1" x14ac:dyDescent="0.25">
      <c r="A5579" s="369">
        <v>44165</v>
      </c>
      <c r="B5579" s="368" t="s">
        <v>2862</v>
      </c>
      <c r="C5579" s="368" t="s">
        <v>769</v>
      </c>
      <c r="D5579" s="370">
        <v>7</v>
      </c>
      <c r="E5579" s="371">
        <v>500.08</v>
      </c>
      <c r="F5579" s="371">
        <v>3981.48</v>
      </c>
      <c r="G5579" s="368" t="s">
        <v>2776</v>
      </c>
      <c r="H5579" s="368" t="s">
        <v>2856</v>
      </c>
      <c r="I5579" s="368" t="s">
        <v>219</v>
      </c>
      <c r="J5579" s="368" t="s">
        <v>757</v>
      </c>
      <c r="K5579" s="368" t="s">
        <v>770</v>
      </c>
      <c r="L5579" s="369">
        <v>44165</v>
      </c>
      <c r="M5579" s="372">
        <v>0</v>
      </c>
    </row>
    <row r="5580" spans="1:13" hidden="1" x14ac:dyDescent="0.25">
      <c r="A5580" s="369">
        <v>44196</v>
      </c>
      <c r="B5580" s="368" t="s">
        <v>2863</v>
      </c>
      <c r="C5580" s="368" t="s">
        <v>936</v>
      </c>
      <c r="D5580" s="370">
        <v>7</v>
      </c>
      <c r="E5580" s="371">
        <v>-500.08</v>
      </c>
      <c r="F5580" s="371">
        <v>3481.4</v>
      </c>
      <c r="G5580" s="368" t="s">
        <v>2845</v>
      </c>
      <c r="H5580" s="368" t="s">
        <v>2856</v>
      </c>
      <c r="I5580" s="368" t="s">
        <v>219</v>
      </c>
      <c r="J5580" s="368" t="s">
        <v>757</v>
      </c>
      <c r="K5580" s="368" t="s">
        <v>770</v>
      </c>
      <c r="L5580" s="369">
        <v>44196</v>
      </c>
      <c r="M5580" s="372">
        <v>0</v>
      </c>
    </row>
    <row r="5581" spans="1:13" hidden="1" x14ac:dyDescent="0.25">
      <c r="A5581" s="369">
        <v>44196</v>
      </c>
      <c r="B5581" s="368" t="s">
        <v>2864</v>
      </c>
      <c r="C5581" s="368" t="s">
        <v>936</v>
      </c>
      <c r="D5581" s="370">
        <v>7</v>
      </c>
      <c r="E5581" s="371">
        <v>-500.08</v>
      </c>
      <c r="F5581" s="371">
        <v>2981.32</v>
      </c>
      <c r="G5581" s="368" t="s">
        <v>2847</v>
      </c>
      <c r="H5581" s="368" t="s">
        <v>2856</v>
      </c>
      <c r="I5581" s="368" t="s">
        <v>219</v>
      </c>
      <c r="J5581" s="368" t="s">
        <v>757</v>
      </c>
      <c r="K5581" s="368" t="s">
        <v>770</v>
      </c>
      <c r="L5581" s="369">
        <v>44196</v>
      </c>
      <c r="M5581" s="372">
        <v>0</v>
      </c>
    </row>
    <row r="5582" spans="1:13" hidden="1" x14ac:dyDescent="0.25">
      <c r="A5582" s="369">
        <v>44196</v>
      </c>
      <c r="B5582" s="368" t="s">
        <v>2865</v>
      </c>
      <c r="C5582" s="368" t="s">
        <v>936</v>
      </c>
      <c r="D5582" s="370">
        <v>7</v>
      </c>
      <c r="E5582" s="371">
        <v>-500.08</v>
      </c>
      <c r="F5582" s="371">
        <v>2481.2399999999998</v>
      </c>
      <c r="G5582" s="368" t="s">
        <v>2820</v>
      </c>
      <c r="H5582" s="368" t="s">
        <v>2856</v>
      </c>
      <c r="I5582" s="368" t="s">
        <v>219</v>
      </c>
      <c r="J5582" s="368" t="s">
        <v>757</v>
      </c>
      <c r="K5582" s="368" t="s">
        <v>770</v>
      </c>
      <c r="L5582" s="369">
        <v>44196</v>
      </c>
      <c r="M5582" s="372">
        <v>0</v>
      </c>
    </row>
    <row r="5583" spans="1:13" hidden="1" x14ac:dyDescent="0.25">
      <c r="A5583" s="369">
        <v>44196</v>
      </c>
      <c r="B5583" s="368" t="s">
        <v>2866</v>
      </c>
      <c r="C5583" s="368" t="s">
        <v>936</v>
      </c>
      <c r="D5583" s="370">
        <v>7</v>
      </c>
      <c r="E5583" s="371">
        <v>-500.08</v>
      </c>
      <c r="F5583" s="371">
        <v>1981.16</v>
      </c>
      <c r="G5583" s="368" t="s">
        <v>2822</v>
      </c>
      <c r="H5583" s="368" t="s">
        <v>2856</v>
      </c>
      <c r="I5583" s="368" t="s">
        <v>219</v>
      </c>
      <c r="J5583" s="368" t="s">
        <v>757</v>
      </c>
      <c r="K5583" s="368" t="s">
        <v>770</v>
      </c>
      <c r="L5583" s="369">
        <v>44196</v>
      </c>
      <c r="M5583" s="372">
        <v>0</v>
      </c>
    </row>
    <row r="5584" spans="1:13" hidden="1" x14ac:dyDescent="0.25">
      <c r="A5584" s="369">
        <v>44196</v>
      </c>
      <c r="B5584" s="368" t="s">
        <v>2797</v>
      </c>
      <c r="C5584" s="368" t="s">
        <v>1060</v>
      </c>
      <c r="D5584" s="370">
        <v>7</v>
      </c>
      <c r="E5584" s="371">
        <v>500.08</v>
      </c>
      <c r="F5584" s="371">
        <v>2481.2399999999998</v>
      </c>
      <c r="G5584" s="368" t="s">
        <v>2798</v>
      </c>
      <c r="H5584" s="368" t="s">
        <v>2856</v>
      </c>
      <c r="I5584" s="368" t="s">
        <v>219</v>
      </c>
      <c r="J5584" s="368" t="s">
        <v>757</v>
      </c>
      <c r="K5584" s="368" t="s">
        <v>741</v>
      </c>
      <c r="L5584" s="369">
        <v>44196</v>
      </c>
      <c r="M5584" s="372">
        <v>0</v>
      </c>
    </row>
    <row r="5585" spans="1:13" hidden="1" x14ac:dyDescent="0.25">
      <c r="A5585" s="369">
        <v>44196</v>
      </c>
      <c r="B5585" s="368" t="s">
        <v>2797</v>
      </c>
      <c r="C5585" s="368" t="s">
        <v>1060</v>
      </c>
      <c r="D5585" s="370">
        <v>7</v>
      </c>
      <c r="E5585" s="371">
        <v>500.08</v>
      </c>
      <c r="F5585" s="371">
        <v>2981.32</v>
      </c>
      <c r="G5585" s="368" t="s">
        <v>2798</v>
      </c>
      <c r="H5585" s="368" t="s">
        <v>2856</v>
      </c>
      <c r="I5585" s="368" t="s">
        <v>219</v>
      </c>
      <c r="J5585" s="368" t="s">
        <v>757</v>
      </c>
      <c r="K5585" s="368" t="s">
        <v>741</v>
      </c>
      <c r="L5585" s="369">
        <v>44196</v>
      </c>
      <c r="M5585" s="372">
        <v>0</v>
      </c>
    </row>
    <row r="5586" spans="1:13" hidden="1" x14ac:dyDescent="0.25">
      <c r="A5586" s="369">
        <v>44196</v>
      </c>
      <c r="B5586" s="368" t="s">
        <v>2797</v>
      </c>
      <c r="C5586" s="368" t="s">
        <v>1060</v>
      </c>
      <c r="D5586" s="370">
        <v>7</v>
      </c>
      <c r="E5586" s="371">
        <v>500.08</v>
      </c>
      <c r="F5586" s="371">
        <v>3481.4</v>
      </c>
      <c r="G5586" s="368" t="s">
        <v>2798</v>
      </c>
      <c r="H5586" s="368" t="s">
        <v>2856</v>
      </c>
      <c r="I5586" s="368" t="s">
        <v>219</v>
      </c>
      <c r="J5586" s="368" t="s">
        <v>757</v>
      </c>
      <c r="K5586" s="368" t="s">
        <v>741</v>
      </c>
      <c r="L5586" s="369">
        <v>44196</v>
      </c>
      <c r="M5586" s="372">
        <v>0</v>
      </c>
    </row>
    <row r="5587" spans="1:13" hidden="1" x14ac:dyDescent="0.25">
      <c r="A5587" s="369">
        <v>44196</v>
      </c>
      <c r="B5587" s="368" t="s">
        <v>2797</v>
      </c>
      <c r="C5587" s="368" t="s">
        <v>1060</v>
      </c>
      <c r="D5587" s="370">
        <v>7</v>
      </c>
      <c r="E5587" s="371">
        <v>500.08</v>
      </c>
      <c r="F5587" s="371">
        <v>3981.48</v>
      </c>
      <c r="G5587" s="368" t="s">
        <v>2798</v>
      </c>
      <c r="H5587" s="368" t="s">
        <v>2856</v>
      </c>
      <c r="I5587" s="368" t="s">
        <v>219</v>
      </c>
      <c r="J5587" s="368" t="s">
        <v>757</v>
      </c>
      <c r="K5587" s="368" t="s">
        <v>741</v>
      </c>
      <c r="L5587" s="369">
        <v>44196</v>
      </c>
      <c r="M5587" s="372">
        <v>0</v>
      </c>
    </row>
    <row r="5588" spans="1:13" hidden="1" x14ac:dyDescent="0.25">
      <c r="A5588" s="369">
        <v>44196</v>
      </c>
      <c r="B5588" s="368" t="s">
        <v>2867</v>
      </c>
      <c r="C5588" s="368" t="s">
        <v>769</v>
      </c>
      <c r="D5588" s="370">
        <v>8</v>
      </c>
      <c r="E5588" s="371">
        <v>500.08</v>
      </c>
      <c r="F5588" s="371">
        <v>4481.5600000000004</v>
      </c>
      <c r="G5588" s="368" t="s">
        <v>2778</v>
      </c>
      <c r="H5588" s="368" t="s">
        <v>2856</v>
      </c>
      <c r="I5588" s="368" t="s">
        <v>219</v>
      </c>
      <c r="J5588" s="368" t="s">
        <v>757</v>
      </c>
      <c r="K5588" s="368" t="s">
        <v>770</v>
      </c>
      <c r="L5588" s="369">
        <v>44196</v>
      </c>
      <c r="M5588" s="372">
        <v>0</v>
      </c>
    </row>
    <row r="5589" spans="1:13" hidden="1" x14ac:dyDescent="0.25">
      <c r="A5589" s="369">
        <v>44227</v>
      </c>
      <c r="B5589" s="368" t="s">
        <v>2868</v>
      </c>
      <c r="C5589" s="368" t="s">
        <v>769</v>
      </c>
      <c r="D5589" s="370">
        <v>9</v>
      </c>
      <c r="E5589" s="371">
        <v>500.08</v>
      </c>
      <c r="F5589" s="371">
        <v>4981.6400000000003</v>
      </c>
      <c r="G5589" s="368" t="s">
        <v>2780</v>
      </c>
      <c r="H5589" s="368" t="s">
        <v>2856</v>
      </c>
      <c r="I5589" s="368" t="s">
        <v>219</v>
      </c>
      <c r="J5589" s="368" t="s">
        <v>757</v>
      </c>
      <c r="K5589" s="368" t="s">
        <v>770</v>
      </c>
      <c r="L5589" s="369">
        <v>44227</v>
      </c>
      <c r="M5589" s="372">
        <v>0</v>
      </c>
    </row>
    <row r="5590" spans="1:13" hidden="1" x14ac:dyDescent="0.25">
      <c r="A5590" s="369">
        <v>44255</v>
      </c>
      <c r="B5590" s="368" t="s">
        <v>2869</v>
      </c>
      <c r="C5590" s="368" t="s">
        <v>769</v>
      </c>
      <c r="D5590" s="370">
        <v>10</v>
      </c>
      <c r="E5590" s="371">
        <v>500.08</v>
      </c>
      <c r="F5590" s="371">
        <v>5481.72</v>
      </c>
      <c r="G5590" s="368" t="s">
        <v>2782</v>
      </c>
      <c r="H5590" s="368" t="s">
        <v>2856</v>
      </c>
      <c r="I5590" s="368" t="s">
        <v>219</v>
      </c>
      <c r="J5590" s="368" t="s">
        <v>757</v>
      </c>
      <c r="K5590" s="368" t="s">
        <v>770</v>
      </c>
      <c r="L5590" s="369">
        <v>44255</v>
      </c>
      <c r="M5590" s="372">
        <v>0</v>
      </c>
    </row>
    <row r="5591" spans="1:13" hidden="1" x14ac:dyDescent="0.25">
      <c r="A5591" s="369">
        <v>43982</v>
      </c>
      <c r="B5591" s="368" t="s">
        <v>2870</v>
      </c>
      <c r="C5591" s="368" t="s">
        <v>769</v>
      </c>
      <c r="D5591" s="370">
        <v>1</v>
      </c>
      <c r="E5591" s="371">
        <v>605.12</v>
      </c>
      <c r="F5591" s="371">
        <v>7087</v>
      </c>
      <c r="G5591" s="368" t="s">
        <v>2764</v>
      </c>
      <c r="H5591" s="368" t="s">
        <v>2871</v>
      </c>
      <c r="I5591" s="368" t="s">
        <v>219</v>
      </c>
      <c r="J5591" s="368" t="s">
        <v>757</v>
      </c>
      <c r="K5591" s="368" t="s">
        <v>770</v>
      </c>
      <c r="L5591" s="369">
        <v>43982</v>
      </c>
      <c r="M5591" s="372">
        <v>0</v>
      </c>
    </row>
    <row r="5592" spans="1:13" hidden="1" x14ac:dyDescent="0.25">
      <c r="A5592" s="369">
        <v>43982</v>
      </c>
      <c r="B5592" s="368" t="s">
        <v>2872</v>
      </c>
      <c r="C5592" s="368" t="s">
        <v>769</v>
      </c>
      <c r="D5592" s="370">
        <v>1</v>
      </c>
      <c r="E5592" s="371">
        <v>187.12</v>
      </c>
      <c r="F5592" s="371">
        <v>7274.12</v>
      </c>
      <c r="G5592" s="368" t="s">
        <v>2764</v>
      </c>
      <c r="H5592" s="368" t="s">
        <v>2871</v>
      </c>
      <c r="I5592" s="368" t="s">
        <v>219</v>
      </c>
      <c r="J5592" s="368" t="s">
        <v>757</v>
      </c>
      <c r="K5592" s="368" t="s">
        <v>770</v>
      </c>
      <c r="L5592" s="369">
        <v>43982</v>
      </c>
      <c r="M5592" s="372">
        <v>0</v>
      </c>
    </row>
    <row r="5593" spans="1:13" hidden="1" x14ac:dyDescent="0.25">
      <c r="A5593" s="369">
        <v>44012</v>
      </c>
      <c r="B5593" s="368" t="s">
        <v>2873</v>
      </c>
      <c r="C5593" s="368" t="s">
        <v>769</v>
      </c>
      <c r="D5593" s="370">
        <v>2</v>
      </c>
      <c r="E5593" s="371">
        <v>605.12</v>
      </c>
      <c r="F5593" s="371">
        <v>7879.24</v>
      </c>
      <c r="G5593" s="368" t="s">
        <v>2766</v>
      </c>
      <c r="H5593" s="368" t="s">
        <v>2871</v>
      </c>
      <c r="I5593" s="368" t="s">
        <v>219</v>
      </c>
      <c r="J5593" s="368" t="s">
        <v>757</v>
      </c>
      <c r="K5593" s="368" t="s">
        <v>770</v>
      </c>
      <c r="L5593" s="369">
        <v>44012</v>
      </c>
      <c r="M5593" s="372">
        <v>0</v>
      </c>
    </row>
    <row r="5594" spans="1:13" hidden="1" x14ac:dyDescent="0.25">
      <c r="A5594" s="369">
        <v>44012</v>
      </c>
      <c r="B5594" s="368" t="s">
        <v>2874</v>
      </c>
      <c r="C5594" s="368" t="s">
        <v>769</v>
      </c>
      <c r="D5594" s="370">
        <v>2</v>
      </c>
      <c r="E5594" s="371">
        <v>187.12</v>
      </c>
      <c r="F5594" s="371">
        <v>8066.36</v>
      </c>
      <c r="G5594" s="368" t="s">
        <v>2766</v>
      </c>
      <c r="H5594" s="368" t="s">
        <v>2871</v>
      </c>
      <c r="I5594" s="368" t="s">
        <v>219</v>
      </c>
      <c r="J5594" s="368" t="s">
        <v>757</v>
      </c>
      <c r="K5594" s="368" t="s">
        <v>770</v>
      </c>
      <c r="L5594" s="369">
        <v>44012</v>
      </c>
      <c r="M5594" s="372">
        <v>0</v>
      </c>
    </row>
    <row r="5595" spans="1:13" hidden="1" x14ac:dyDescent="0.25">
      <c r="A5595" s="369">
        <v>44043</v>
      </c>
      <c r="B5595" s="368" t="s">
        <v>2875</v>
      </c>
      <c r="C5595" s="368" t="s">
        <v>769</v>
      </c>
      <c r="D5595" s="370">
        <v>3</v>
      </c>
      <c r="E5595" s="371">
        <v>605.12</v>
      </c>
      <c r="F5595" s="371">
        <v>8671.48</v>
      </c>
      <c r="G5595" s="368" t="s">
        <v>2793</v>
      </c>
      <c r="H5595" s="368" t="s">
        <v>2871</v>
      </c>
      <c r="I5595" s="368" t="s">
        <v>219</v>
      </c>
      <c r="J5595" s="368" t="s">
        <v>757</v>
      </c>
      <c r="K5595" s="368" t="s">
        <v>770</v>
      </c>
      <c r="L5595" s="369">
        <v>44043</v>
      </c>
      <c r="M5595" s="372">
        <v>0</v>
      </c>
    </row>
    <row r="5596" spans="1:13" hidden="1" x14ac:dyDescent="0.25">
      <c r="A5596" s="369">
        <v>44043</v>
      </c>
      <c r="B5596" s="368" t="s">
        <v>2876</v>
      </c>
      <c r="C5596" s="368" t="s">
        <v>769</v>
      </c>
      <c r="D5596" s="370">
        <v>3</v>
      </c>
      <c r="E5596" s="371">
        <v>187.12</v>
      </c>
      <c r="F5596" s="371">
        <v>8858.6</v>
      </c>
      <c r="G5596" s="368" t="s">
        <v>2793</v>
      </c>
      <c r="H5596" s="368" t="s">
        <v>2871</v>
      </c>
      <c r="I5596" s="368" t="s">
        <v>219</v>
      </c>
      <c r="J5596" s="368" t="s">
        <v>757</v>
      </c>
      <c r="K5596" s="368" t="s">
        <v>770</v>
      </c>
      <c r="L5596" s="369">
        <v>44043</v>
      </c>
      <c r="M5596" s="372">
        <v>0</v>
      </c>
    </row>
    <row r="5597" spans="1:13" hidden="1" x14ac:dyDescent="0.25">
      <c r="A5597" s="369">
        <v>44074</v>
      </c>
      <c r="B5597" s="368" t="s">
        <v>2877</v>
      </c>
      <c r="C5597" s="368" t="s">
        <v>769</v>
      </c>
      <c r="D5597" s="370">
        <v>4</v>
      </c>
      <c r="E5597" s="371">
        <v>187.12</v>
      </c>
      <c r="F5597" s="371">
        <v>9045.7199999999993</v>
      </c>
      <c r="G5597" s="368" t="s">
        <v>2770</v>
      </c>
      <c r="H5597" s="368" t="s">
        <v>2871</v>
      </c>
      <c r="I5597" s="368" t="s">
        <v>219</v>
      </c>
      <c r="J5597" s="368" t="s">
        <v>757</v>
      </c>
      <c r="K5597" s="368" t="s">
        <v>770</v>
      </c>
      <c r="L5597" s="369">
        <v>44074</v>
      </c>
      <c r="M5597" s="372">
        <v>0</v>
      </c>
    </row>
    <row r="5598" spans="1:13" hidden="1" x14ac:dyDescent="0.25">
      <c r="A5598" s="369">
        <v>44074</v>
      </c>
      <c r="B5598" s="368" t="s">
        <v>2878</v>
      </c>
      <c r="C5598" s="368" t="s">
        <v>769</v>
      </c>
      <c r="D5598" s="370">
        <v>4</v>
      </c>
      <c r="E5598" s="371">
        <v>605.12</v>
      </c>
      <c r="F5598" s="371">
        <v>9650.84</v>
      </c>
      <c r="G5598" s="368" t="s">
        <v>2770</v>
      </c>
      <c r="H5598" s="368" t="s">
        <v>2871</v>
      </c>
      <c r="I5598" s="368" t="s">
        <v>219</v>
      </c>
      <c r="J5598" s="368" t="s">
        <v>757</v>
      </c>
      <c r="K5598" s="368" t="s">
        <v>770</v>
      </c>
      <c r="L5598" s="369">
        <v>44074</v>
      </c>
      <c r="M5598" s="372">
        <v>0</v>
      </c>
    </row>
    <row r="5599" spans="1:13" hidden="1" x14ac:dyDescent="0.25">
      <c r="A5599" s="369">
        <v>44104</v>
      </c>
      <c r="B5599" s="368" t="s">
        <v>2879</v>
      </c>
      <c r="C5599" s="368" t="s">
        <v>769</v>
      </c>
      <c r="D5599" s="370">
        <v>5</v>
      </c>
      <c r="E5599" s="371">
        <v>187.12</v>
      </c>
      <c r="F5599" s="371">
        <v>9837.9599999999991</v>
      </c>
      <c r="G5599" s="368" t="s">
        <v>2772</v>
      </c>
      <c r="H5599" s="368" t="s">
        <v>2871</v>
      </c>
      <c r="I5599" s="368" t="s">
        <v>219</v>
      </c>
      <c r="J5599" s="368" t="s">
        <v>757</v>
      </c>
      <c r="K5599" s="368" t="s">
        <v>770</v>
      </c>
      <c r="L5599" s="369">
        <v>44104</v>
      </c>
      <c r="M5599" s="372">
        <v>0</v>
      </c>
    </row>
    <row r="5600" spans="1:13" hidden="1" x14ac:dyDescent="0.25">
      <c r="A5600" s="369">
        <v>44104</v>
      </c>
      <c r="B5600" s="368" t="s">
        <v>2880</v>
      </c>
      <c r="C5600" s="368" t="s">
        <v>769</v>
      </c>
      <c r="D5600" s="370">
        <v>5</v>
      </c>
      <c r="E5600" s="371">
        <v>605.12</v>
      </c>
      <c r="F5600" s="371">
        <v>10443.08</v>
      </c>
      <c r="G5600" s="368" t="s">
        <v>2772</v>
      </c>
      <c r="H5600" s="368" t="s">
        <v>2871</v>
      </c>
      <c r="I5600" s="368" t="s">
        <v>219</v>
      </c>
      <c r="J5600" s="368" t="s">
        <v>757</v>
      </c>
      <c r="K5600" s="368" t="s">
        <v>770</v>
      </c>
      <c r="L5600" s="369">
        <v>44104</v>
      </c>
      <c r="M5600" s="372">
        <v>0</v>
      </c>
    </row>
    <row r="5601" spans="1:13" hidden="1" x14ac:dyDescent="0.25">
      <c r="A5601" s="369">
        <v>44135</v>
      </c>
      <c r="B5601" s="368" t="s">
        <v>2881</v>
      </c>
      <c r="C5601" s="368" t="s">
        <v>769</v>
      </c>
      <c r="D5601" s="370">
        <v>6</v>
      </c>
      <c r="E5601" s="371">
        <v>187.12</v>
      </c>
      <c r="F5601" s="371">
        <v>10630.2</v>
      </c>
      <c r="G5601" s="368" t="s">
        <v>2774</v>
      </c>
      <c r="H5601" s="368" t="s">
        <v>2871</v>
      </c>
      <c r="I5601" s="368" t="s">
        <v>219</v>
      </c>
      <c r="J5601" s="368" t="s">
        <v>757</v>
      </c>
      <c r="K5601" s="368" t="s">
        <v>770</v>
      </c>
      <c r="L5601" s="369">
        <v>44135</v>
      </c>
      <c r="M5601" s="372">
        <v>0</v>
      </c>
    </row>
    <row r="5602" spans="1:13" hidden="1" x14ac:dyDescent="0.25">
      <c r="A5602" s="369">
        <v>44135</v>
      </c>
      <c r="B5602" s="368" t="s">
        <v>2882</v>
      </c>
      <c r="C5602" s="368" t="s">
        <v>769</v>
      </c>
      <c r="D5602" s="370">
        <v>6</v>
      </c>
      <c r="E5602" s="371">
        <v>605.12</v>
      </c>
      <c r="F5602" s="371">
        <v>11235.32</v>
      </c>
      <c r="G5602" s="368" t="s">
        <v>2774</v>
      </c>
      <c r="H5602" s="368" t="s">
        <v>2871</v>
      </c>
      <c r="I5602" s="368" t="s">
        <v>219</v>
      </c>
      <c r="J5602" s="368" t="s">
        <v>757</v>
      </c>
      <c r="K5602" s="368" t="s">
        <v>770</v>
      </c>
      <c r="L5602" s="369">
        <v>44135</v>
      </c>
      <c r="M5602" s="372">
        <v>0</v>
      </c>
    </row>
    <row r="5603" spans="1:13" hidden="1" x14ac:dyDescent="0.25">
      <c r="A5603" s="369">
        <v>44196</v>
      </c>
      <c r="B5603" s="368" t="s">
        <v>2797</v>
      </c>
      <c r="C5603" s="368" t="s">
        <v>1060</v>
      </c>
      <c r="D5603" s="370">
        <v>6</v>
      </c>
      <c r="E5603" s="371">
        <v>-187.12</v>
      </c>
      <c r="F5603" s="371">
        <v>11048.2</v>
      </c>
      <c r="G5603" s="368" t="s">
        <v>2798</v>
      </c>
      <c r="H5603" s="368" t="s">
        <v>2871</v>
      </c>
      <c r="I5603" s="368" t="s">
        <v>219</v>
      </c>
      <c r="J5603" s="368" t="s">
        <v>757</v>
      </c>
      <c r="K5603" s="368" t="s">
        <v>741</v>
      </c>
      <c r="L5603" s="369">
        <v>44196</v>
      </c>
      <c r="M5603" s="372">
        <v>0</v>
      </c>
    </row>
    <row r="5604" spans="1:13" hidden="1" x14ac:dyDescent="0.25">
      <c r="A5604" s="369">
        <v>44196</v>
      </c>
      <c r="B5604" s="368" t="s">
        <v>2797</v>
      </c>
      <c r="C5604" s="368" t="s">
        <v>1060</v>
      </c>
      <c r="D5604" s="370">
        <v>6</v>
      </c>
      <c r="E5604" s="371">
        <v>-187.12</v>
      </c>
      <c r="F5604" s="371">
        <v>10861.08</v>
      </c>
      <c r="G5604" s="368" t="s">
        <v>2798</v>
      </c>
      <c r="H5604" s="368" t="s">
        <v>2871</v>
      </c>
      <c r="I5604" s="368" t="s">
        <v>219</v>
      </c>
      <c r="J5604" s="368" t="s">
        <v>757</v>
      </c>
      <c r="K5604" s="368" t="s">
        <v>741</v>
      </c>
      <c r="L5604" s="369">
        <v>44196</v>
      </c>
      <c r="M5604" s="372">
        <v>0</v>
      </c>
    </row>
    <row r="5605" spans="1:13" hidden="1" x14ac:dyDescent="0.25">
      <c r="A5605" s="369">
        <v>44196</v>
      </c>
      <c r="B5605" s="368" t="s">
        <v>2797</v>
      </c>
      <c r="C5605" s="368" t="s">
        <v>1060</v>
      </c>
      <c r="D5605" s="370">
        <v>6</v>
      </c>
      <c r="E5605" s="371">
        <v>-605.12</v>
      </c>
      <c r="F5605" s="371">
        <v>10255.959999999999</v>
      </c>
      <c r="G5605" s="368" t="s">
        <v>2798</v>
      </c>
      <c r="H5605" s="368" t="s">
        <v>2871</v>
      </c>
      <c r="I5605" s="368" t="s">
        <v>219</v>
      </c>
      <c r="J5605" s="368" t="s">
        <v>757</v>
      </c>
      <c r="K5605" s="368" t="s">
        <v>741</v>
      </c>
      <c r="L5605" s="369">
        <v>44196</v>
      </c>
      <c r="M5605" s="372">
        <v>0</v>
      </c>
    </row>
    <row r="5606" spans="1:13" hidden="1" x14ac:dyDescent="0.25">
      <c r="A5606" s="369">
        <v>44196</v>
      </c>
      <c r="B5606" s="368" t="s">
        <v>2797</v>
      </c>
      <c r="C5606" s="368" t="s">
        <v>1060</v>
      </c>
      <c r="D5606" s="370">
        <v>6</v>
      </c>
      <c r="E5606" s="371">
        <v>-605.12</v>
      </c>
      <c r="F5606" s="371">
        <v>9650.84</v>
      </c>
      <c r="G5606" s="368" t="s">
        <v>2798</v>
      </c>
      <c r="H5606" s="368" t="s">
        <v>2871</v>
      </c>
      <c r="I5606" s="368" t="s">
        <v>219</v>
      </c>
      <c r="J5606" s="368" t="s">
        <v>757</v>
      </c>
      <c r="K5606" s="368" t="s">
        <v>741</v>
      </c>
      <c r="L5606" s="369">
        <v>44196</v>
      </c>
      <c r="M5606" s="372">
        <v>0</v>
      </c>
    </row>
    <row r="5607" spans="1:13" hidden="1" x14ac:dyDescent="0.25">
      <c r="A5607" s="369">
        <v>44196</v>
      </c>
      <c r="B5607" s="368" t="s">
        <v>2797</v>
      </c>
      <c r="C5607" s="368" t="s">
        <v>1060</v>
      </c>
      <c r="D5607" s="370">
        <v>6</v>
      </c>
      <c r="E5607" s="371">
        <v>-187.12</v>
      </c>
      <c r="F5607" s="371">
        <v>9463.7199999999993</v>
      </c>
      <c r="G5607" s="368" t="s">
        <v>2798</v>
      </c>
      <c r="H5607" s="368" t="s">
        <v>2871</v>
      </c>
      <c r="I5607" s="368" t="s">
        <v>219</v>
      </c>
      <c r="J5607" s="368" t="s">
        <v>757</v>
      </c>
      <c r="K5607" s="368" t="s">
        <v>741</v>
      </c>
      <c r="L5607" s="369">
        <v>44196</v>
      </c>
      <c r="M5607" s="372">
        <v>0</v>
      </c>
    </row>
    <row r="5608" spans="1:13" hidden="1" x14ac:dyDescent="0.25">
      <c r="A5608" s="369">
        <v>44196</v>
      </c>
      <c r="B5608" s="368" t="s">
        <v>2797</v>
      </c>
      <c r="C5608" s="368" t="s">
        <v>1060</v>
      </c>
      <c r="D5608" s="370">
        <v>6</v>
      </c>
      <c r="E5608" s="371">
        <v>-187.12</v>
      </c>
      <c r="F5608" s="371">
        <v>9276.6</v>
      </c>
      <c r="G5608" s="368" t="s">
        <v>2798</v>
      </c>
      <c r="H5608" s="368" t="s">
        <v>2871</v>
      </c>
      <c r="I5608" s="368" t="s">
        <v>219</v>
      </c>
      <c r="J5608" s="368" t="s">
        <v>757</v>
      </c>
      <c r="K5608" s="368" t="s">
        <v>741</v>
      </c>
      <c r="L5608" s="369">
        <v>44196</v>
      </c>
      <c r="M5608" s="372">
        <v>0</v>
      </c>
    </row>
    <row r="5609" spans="1:13" hidden="1" x14ac:dyDescent="0.25">
      <c r="A5609" s="369">
        <v>44196</v>
      </c>
      <c r="B5609" s="368" t="s">
        <v>2797</v>
      </c>
      <c r="C5609" s="368" t="s">
        <v>1060</v>
      </c>
      <c r="D5609" s="370">
        <v>6</v>
      </c>
      <c r="E5609" s="371">
        <v>-187.12</v>
      </c>
      <c r="F5609" s="371">
        <v>9089.48</v>
      </c>
      <c r="G5609" s="368" t="s">
        <v>2798</v>
      </c>
      <c r="H5609" s="368" t="s">
        <v>2871</v>
      </c>
      <c r="I5609" s="368" t="s">
        <v>219</v>
      </c>
      <c r="J5609" s="368" t="s">
        <v>757</v>
      </c>
      <c r="K5609" s="368" t="s">
        <v>741</v>
      </c>
      <c r="L5609" s="369">
        <v>44196</v>
      </c>
      <c r="M5609" s="372">
        <v>0</v>
      </c>
    </row>
    <row r="5610" spans="1:13" hidden="1" x14ac:dyDescent="0.25">
      <c r="A5610" s="369">
        <v>44196</v>
      </c>
      <c r="B5610" s="368" t="s">
        <v>2797</v>
      </c>
      <c r="C5610" s="368" t="s">
        <v>1060</v>
      </c>
      <c r="D5610" s="370">
        <v>6</v>
      </c>
      <c r="E5610" s="371">
        <v>-187.12</v>
      </c>
      <c r="F5610" s="371">
        <v>8902.36</v>
      </c>
      <c r="G5610" s="368" t="s">
        <v>2798</v>
      </c>
      <c r="H5610" s="368" t="s">
        <v>2871</v>
      </c>
      <c r="I5610" s="368" t="s">
        <v>219</v>
      </c>
      <c r="J5610" s="368" t="s">
        <v>757</v>
      </c>
      <c r="K5610" s="368" t="s">
        <v>741</v>
      </c>
      <c r="L5610" s="369">
        <v>44196</v>
      </c>
      <c r="M5610" s="372">
        <v>0</v>
      </c>
    </row>
    <row r="5611" spans="1:13" hidden="1" x14ac:dyDescent="0.25">
      <c r="A5611" s="369">
        <v>44165</v>
      </c>
      <c r="B5611" s="368" t="s">
        <v>2883</v>
      </c>
      <c r="C5611" s="368" t="s">
        <v>769</v>
      </c>
      <c r="D5611" s="370">
        <v>7</v>
      </c>
      <c r="E5611" s="371">
        <v>605.12</v>
      </c>
      <c r="F5611" s="371">
        <v>9507.48</v>
      </c>
      <c r="G5611" s="368" t="s">
        <v>2776</v>
      </c>
      <c r="H5611" s="368" t="s">
        <v>2871</v>
      </c>
      <c r="I5611" s="368" t="s">
        <v>219</v>
      </c>
      <c r="J5611" s="368" t="s">
        <v>757</v>
      </c>
      <c r="K5611" s="368" t="s">
        <v>770</v>
      </c>
      <c r="L5611" s="369">
        <v>44165</v>
      </c>
      <c r="M5611" s="372">
        <v>0</v>
      </c>
    </row>
    <row r="5612" spans="1:13" hidden="1" x14ac:dyDescent="0.25">
      <c r="A5612" s="369">
        <v>44165</v>
      </c>
      <c r="B5612" s="368" t="s">
        <v>2884</v>
      </c>
      <c r="C5612" s="368" t="s">
        <v>769</v>
      </c>
      <c r="D5612" s="370">
        <v>7</v>
      </c>
      <c r="E5612" s="371">
        <v>187.12</v>
      </c>
      <c r="F5612" s="371">
        <v>9694.6</v>
      </c>
      <c r="G5612" s="368" t="s">
        <v>2776</v>
      </c>
      <c r="H5612" s="368" t="s">
        <v>2871</v>
      </c>
      <c r="I5612" s="368" t="s">
        <v>219</v>
      </c>
      <c r="J5612" s="368" t="s">
        <v>757</v>
      </c>
      <c r="K5612" s="368" t="s">
        <v>770</v>
      </c>
      <c r="L5612" s="369">
        <v>44165</v>
      </c>
      <c r="M5612" s="372">
        <v>0</v>
      </c>
    </row>
    <row r="5613" spans="1:13" hidden="1" x14ac:dyDescent="0.25">
      <c r="A5613" s="369">
        <v>44196</v>
      </c>
      <c r="B5613" s="368" t="s">
        <v>2885</v>
      </c>
      <c r="C5613" s="368" t="s">
        <v>936</v>
      </c>
      <c r="D5613" s="370">
        <v>7</v>
      </c>
      <c r="E5613" s="371">
        <v>-605.12</v>
      </c>
      <c r="F5613" s="371">
        <v>9089.48</v>
      </c>
      <c r="G5613" s="368" t="s">
        <v>2845</v>
      </c>
      <c r="H5613" s="368" t="s">
        <v>2871</v>
      </c>
      <c r="I5613" s="368" t="s">
        <v>219</v>
      </c>
      <c r="J5613" s="368" t="s">
        <v>757</v>
      </c>
      <c r="K5613" s="368" t="s">
        <v>770</v>
      </c>
      <c r="L5613" s="369">
        <v>44196</v>
      </c>
      <c r="M5613" s="372">
        <v>0</v>
      </c>
    </row>
    <row r="5614" spans="1:13" hidden="1" x14ac:dyDescent="0.25">
      <c r="A5614" s="369">
        <v>44196</v>
      </c>
      <c r="B5614" s="368" t="s">
        <v>2886</v>
      </c>
      <c r="C5614" s="368" t="s">
        <v>936</v>
      </c>
      <c r="D5614" s="370">
        <v>7</v>
      </c>
      <c r="E5614" s="371">
        <v>-605.12</v>
      </c>
      <c r="F5614" s="371">
        <v>8484.36</v>
      </c>
      <c r="G5614" s="368" t="s">
        <v>2887</v>
      </c>
      <c r="H5614" s="368" t="s">
        <v>2871</v>
      </c>
      <c r="I5614" s="368" t="s">
        <v>219</v>
      </c>
      <c r="J5614" s="368" t="s">
        <v>757</v>
      </c>
      <c r="K5614" s="368" t="s">
        <v>770</v>
      </c>
      <c r="L5614" s="369">
        <v>44196</v>
      </c>
      <c r="M5614" s="372">
        <v>0</v>
      </c>
    </row>
    <row r="5615" spans="1:13" hidden="1" x14ac:dyDescent="0.25">
      <c r="A5615" s="369">
        <v>44196</v>
      </c>
      <c r="B5615" s="368" t="s">
        <v>2888</v>
      </c>
      <c r="C5615" s="368" t="s">
        <v>936</v>
      </c>
      <c r="D5615" s="370">
        <v>7</v>
      </c>
      <c r="E5615" s="371">
        <v>-187.12</v>
      </c>
      <c r="F5615" s="371">
        <v>8297.24</v>
      </c>
      <c r="G5615" s="368" t="s">
        <v>2845</v>
      </c>
      <c r="H5615" s="368" t="s">
        <v>2871</v>
      </c>
      <c r="I5615" s="368" t="s">
        <v>219</v>
      </c>
      <c r="J5615" s="368" t="s">
        <v>757</v>
      </c>
      <c r="K5615" s="368" t="s">
        <v>770</v>
      </c>
      <c r="L5615" s="369">
        <v>44196</v>
      </c>
      <c r="M5615" s="372">
        <v>0</v>
      </c>
    </row>
    <row r="5616" spans="1:13" hidden="1" x14ac:dyDescent="0.25">
      <c r="A5616" s="369">
        <v>44196</v>
      </c>
      <c r="B5616" s="368" t="s">
        <v>2889</v>
      </c>
      <c r="C5616" s="368" t="s">
        <v>936</v>
      </c>
      <c r="D5616" s="370">
        <v>7</v>
      </c>
      <c r="E5616" s="371">
        <v>-187.12</v>
      </c>
      <c r="F5616" s="371">
        <v>8110.12</v>
      </c>
      <c r="G5616" s="368" t="s">
        <v>2847</v>
      </c>
      <c r="H5616" s="368" t="s">
        <v>2871</v>
      </c>
      <c r="I5616" s="368" t="s">
        <v>219</v>
      </c>
      <c r="J5616" s="368" t="s">
        <v>757</v>
      </c>
      <c r="K5616" s="368" t="s">
        <v>770</v>
      </c>
      <c r="L5616" s="369">
        <v>44196</v>
      </c>
      <c r="M5616" s="372">
        <v>0</v>
      </c>
    </row>
    <row r="5617" spans="1:13" hidden="1" x14ac:dyDescent="0.25">
      <c r="A5617" s="369">
        <v>44196</v>
      </c>
      <c r="B5617" s="368" t="s">
        <v>2890</v>
      </c>
      <c r="C5617" s="368" t="s">
        <v>936</v>
      </c>
      <c r="D5617" s="370">
        <v>7</v>
      </c>
      <c r="E5617" s="371">
        <v>-187.12</v>
      </c>
      <c r="F5617" s="371">
        <v>7923</v>
      </c>
      <c r="G5617" s="368" t="s">
        <v>2820</v>
      </c>
      <c r="H5617" s="368" t="s">
        <v>2871</v>
      </c>
      <c r="I5617" s="368" t="s">
        <v>219</v>
      </c>
      <c r="J5617" s="368" t="s">
        <v>757</v>
      </c>
      <c r="K5617" s="368" t="s">
        <v>770</v>
      </c>
      <c r="L5617" s="369">
        <v>44196</v>
      </c>
      <c r="M5617" s="372">
        <v>0</v>
      </c>
    </row>
    <row r="5618" spans="1:13" hidden="1" x14ac:dyDescent="0.25">
      <c r="A5618" s="369">
        <v>44196</v>
      </c>
      <c r="B5618" s="368" t="s">
        <v>2891</v>
      </c>
      <c r="C5618" s="368" t="s">
        <v>936</v>
      </c>
      <c r="D5618" s="370">
        <v>7</v>
      </c>
      <c r="E5618" s="371">
        <v>-187.12</v>
      </c>
      <c r="F5618" s="371">
        <v>7735.88</v>
      </c>
      <c r="G5618" s="368" t="s">
        <v>2822</v>
      </c>
      <c r="H5618" s="368" t="s">
        <v>2871</v>
      </c>
      <c r="I5618" s="368" t="s">
        <v>219</v>
      </c>
      <c r="J5618" s="368" t="s">
        <v>757</v>
      </c>
      <c r="K5618" s="368" t="s">
        <v>770</v>
      </c>
      <c r="L5618" s="369">
        <v>44196</v>
      </c>
      <c r="M5618" s="372">
        <v>0</v>
      </c>
    </row>
    <row r="5619" spans="1:13" hidden="1" x14ac:dyDescent="0.25">
      <c r="A5619" s="369">
        <v>44196</v>
      </c>
      <c r="B5619" s="368" t="s">
        <v>2892</v>
      </c>
      <c r="C5619" s="368" t="s">
        <v>936</v>
      </c>
      <c r="D5619" s="370">
        <v>7</v>
      </c>
      <c r="E5619" s="371">
        <v>-187.12</v>
      </c>
      <c r="F5619" s="371">
        <v>7548.76</v>
      </c>
      <c r="G5619" s="368" t="s">
        <v>2824</v>
      </c>
      <c r="H5619" s="368" t="s">
        <v>2871</v>
      </c>
      <c r="I5619" s="368" t="s">
        <v>219</v>
      </c>
      <c r="J5619" s="368" t="s">
        <v>757</v>
      </c>
      <c r="K5619" s="368" t="s">
        <v>770</v>
      </c>
      <c r="L5619" s="369">
        <v>44196</v>
      </c>
      <c r="M5619" s="372">
        <v>0</v>
      </c>
    </row>
    <row r="5620" spans="1:13" hidden="1" x14ac:dyDescent="0.25">
      <c r="A5620" s="369">
        <v>44196</v>
      </c>
      <c r="B5620" s="368" t="s">
        <v>2893</v>
      </c>
      <c r="C5620" s="368" t="s">
        <v>936</v>
      </c>
      <c r="D5620" s="370">
        <v>7</v>
      </c>
      <c r="E5620" s="371">
        <v>-187.12</v>
      </c>
      <c r="F5620" s="371">
        <v>7361.64</v>
      </c>
      <c r="G5620" s="368" t="s">
        <v>2894</v>
      </c>
      <c r="H5620" s="368" t="s">
        <v>2871</v>
      </c>
      <c r="I5620" s="368" t="s">
        <v>219</v>
      </c>
      <c r="J5620" s="368" t="s">
        <v>757</v>
      </c>
      <c r="K5620" s="368" t="s">
        <v>770</v>
      </c>
      <c r="L5620" s="369">
        <v>44196</v>
      </c>
      <c r="M5620" s="372">
        <v>0</v>
      </c>
    </row>
    <row r="5621" spans="1:13" hidden="1" x14ac:dyDescent="0.25">
      <c r="A5621" s="369">
        <v>44196</v>
      </c>
      <c r="B5621" s="368" t="s">
        <v>2797</v>
      </c>
      <c r="C5621" s="368" t="s">
        <v>1060</v>
      </c>
      <c r="D5621" s="370">
        <v>7</v>
      </c>
      <c r="E5621" s="371">
        <v>605.12</v>
      </c>
      <c r="F5621" s="371">
        <v>7966.76</v>
      </c>
      <c r="G5621" s="368" t="s">
        <v>2798</v>
      </c>
      <c r="H5621" s="368" t="s">
        <v>2871</v>
      </c>
      <c r="I5621" s="368" t="s">
        <v>219</v>
      </c>
      <c r="J5621" s="368" t="s">
        <v>757</v>
      </c>
      <c r="K5621" s="368" t="s">
        <v>741</v>
      </c>
      <c r="L5621" s="369">
        <v>44196</v>
      </c>
      <c r="M5621" s="372">
        <v>0</v>
      </c>
    </row>
    <row r="5622" spans="1:13" hidden="1" x14ac:dyDescent="0.25">
      <c r="A5622" s="369">
        <v>44196</v>
      </c>
      <c r="B5622" s="368" t="s">
        <v>2797</v>
      </c>
      <c r="C5622" s="368" t="s">
        <v>1060</v>
      </c>
      <c r="D5622" s="370">
        <v>7</v>
      </c>
      <c r="E5622" s="371">
        <v>605.12</v>
      </c>
      <c r="F5622" s="371">
        <v>8571.8799999999992</v>
      </c>
      <c r="G5622" s="368" t="s">
        <v>2798</v>
      </c>
      <c r="H5622" s="368" t="s">
        <v>2871</v>
      </c>
      <c r="I5622" s="368" t="s">
        <v>219</v>
      </c>
      <c r="J5622" s="368" t="s">
        <v>757</v>
      </c>
      <c r="K5622" s="368" t="s">
        <v>741</v>
      </c>
      <c r="L5622" s="369">
        <v>44196</v>
      </c>
      <c r="M5622" s="372">
        <v>0</v>
      </c>
    </row>
    <row r="5623" spans="1:13" hidden="1" x14ac:dyDescent="0.25">
      <c r="A5623" s="369">
        <v>44196</v>
      </c>
      <c r="B5623" s="368" t="s">
        <v>2797</v>
      </c>
      <c r="C5623" s="368" t="s">
        <v>1060</v>
      </c>
      <c r="D5623" s="370">
        <v>7</v>
      </c>
      <c r="E5623" s="371">
        <v>187.12</v>
      </c>
      <c r="F5623" s="371">
        <v>8759</v>
      </c>
      <c r="G5623" s="368" t="s">
        <v>2798</v>
      </c>
      <c r="H5623" s="368" t="s">
        <v>2871</v>
      </c>
      <c r="I5623" s="368" t="s">
        <v>219</v>
      </c>
      <c r="J5623" s="368" t="s">
        <v>757</v>
      </c>
      <c r="K5623" s="368" t="s">
        <v>741</v>
      </c>
      <c r="L5623" s="369">
        <v>44196</v>
      </c>
      <c r="M5623" s="372">
        <v>0</v>
      </c>
    </row>
    <row r="5624" spans="1:13" hidden="1" x14ac:dyDescent="0.25">
      <c r="A5624" s="369">
        <v>44196</v>
      </c>
      <c r="B5624" s="368" t="s">
        <v>2797</v>
      </c>
      <c r="C5624" s="368" t="s">
        <v>1060</v>
      </c>
      <c r="D5624" s="370">
        <v>7</v>
      </c>
      <c r="E5624" s="371">
        <v>187.12</v>
      </c>
      <c r="F5624" s="371">
        <v>8946.1200000000008</v>
      </c>
      <c r="G5624" s="368" t="s">
        <v>2798</v>
      </c>
      <c r="H5624" s="368" t="s">
        <v>2871</v>
      </c>
      <c r="I5624" s="368" t="s">
        <v>219</v>
      </c>
      <c r="J5624" s="368" t="s">
        <v>757</v>
      </c>
      <c r="K5624" s="368" t="s">
        <v>741</v>
      </c>
      <c r="L5624" s="369">
        <v>44196</v>
      </c>
      <c r="M5624" s="372">
        <v>0</v>
      </c>
    </row>
    <row r="5625" spans="1:13" hidden="1" x14ac:dyDescent="0.25">
      <c r="A5625" s="369">
        <v>44196</v>
      </c>
      <c r="B5625" s="368" t="s">
        <v>2797</v>
      </c>
      <c r="C5625" s="368" t="s">
        <v>1060</v>
      </c>
      <c r="D5625" s="370">
        <v>7</v>
      </c>
      <c r="E5625" s="371">
        <v>187.12</v>
      </c>
      <c r="F5625" s="371">
        <v>9133.24</v>
      </c>
      <c r="G5625" s="368" t="s">
        <v>2798</v>
      </c>
      <c r="H5625" s="368" t="s">
        <v>2871</v>
      </c>
      <c r="I5625" s="368" t="s">
        <v>219</v>
      </c>
      <c r="J5625" s="368" t="s">
        <v>757</v>
      </c>
      <c r="K5625" s="368" t="s">
        <v>741</v>
      </c>
      <c r="L5625" s="369">
        <v>44196</v>
      </c>
      <c r="M5625" s="372">
        <v>0</v>
      </c>
    </row>
    <row r="5626" spans="1:13" hidden="1" x14ac:dyDescent="0.25">
      <c r="A5626" s="369">
        <v>44196</v>
      </c>
      <c r="B5626" s="368" t="s">
        <v>2797</v>
      </c>
      <c r="C5626" s="368" t="s">
        <v>1060</v>
      </c>
      <c r="D5626" s="370">
        <v>7</v>
      </c>
      <c r="E5626" s="371">
        <v>187.12</v>
      </c>
      <c r="F5626" s="371">
        <v>9320.36</v>
      </c>
      <c r="G5626" s="368" t="s">
        <v>2798</v>
      </c>
      <c r="H5626" s="368" t="s">
        <v>2871</v>
      </c>
      <c r="I5626" s="368" t="s">
        <v>219</v>
      </c>
      <c r="J5626" s="368" t="s">
        <v>757</v>
      </c>
      <c r="K5626" s="368" t="s">
        <v>741</v>
      </c>
      <c r="L5626" s="369">
        <v>44196</v>
      </c>
      <c r="M5626" s="372">
        <v>0</v>
      </c>
    </row>
    <row r="5627" spans="1:13" hidden="1" x14ac:dyDescent="0.25">
      <c r="A5627" s="369">
        <v>44196</v>
      </c>
      <c r="B5627" s="368" t="s">
        <v>2797</v>
      </c>
      <c r="C5627" s="368" t="s">
        <v>1060</v>
      </c>
      <c r="D5627" s="370">
        <v>7</v>
      </c>
      <c r="E5627" s="371">
        <v>187.12</v>
      </c>
      <c r="F5627" s="371">
        <v>9507.48</v>
      </c>
      <c r="G5627" s="368" t="s">
        <v>2798</v>
      </c>
      <c r="H5627" s="368" t="s">
        <v>2871</v>
      </c>
      <c r="I5627" s="368" t="s">
        <v>219</v>
      </c>
      <c r="J5627" s="368" t="s">
        <v>757</v>
      </c>
      <c r="K5627" s="368" t="s">
        <v>741</v>
      </c>
      <c r="L5627" s="369">
        <v>44196</v>
      </c>
      <c r="M5627" s="372">
        <v>0</v>
      </c>
    </row>
    <row r="5628" spans="1:13" hidden="1" x14ac:dyDescent="0.25">
      <c r="A5628" s="369">
        <v>44196</v>
      </c>
      <c r="B5628" s="368" t="s">
        <v>2797</v>
      </c>
      <c r="C5628" s="368" t="s">
        <v>1060</v>
      </c>
      <c r="D5628" s="370">
        <v>7</v>
      </c>
      <c r="E5628" s="371">
        <v>187.12</v>
      </c>
      <c r="F5628" s="371">
        <v>9694.6</v>
      </c>
      <c r="G5628" s="368" t="s">
        <v>2798</v>
      </c>
      <c r="H5628" s="368" t="s">
        <v>2871</v>
      </c>
      <c r="I5628" s="368" t="s">
        <v>219</v>
      </c>
      <c r="J5628" s="368" t="s">
        <v>757</v>
      </c>
      <c r="K5628" s="368" t="s">
        <v>741</v>
      </c>
      <c r="L5628" s="369">
        <v>44196</v>
      </c>
      <c r="M5628" s="372">
        <v>0</v>
      </c>
    </row>
    <row r="5629" spans="1:13" hidden="1" x14ac:dyDescent="0.25">
      <c r="A5629" s="369">
        <v>44196</v>
      </c>
      <c r="B5629" s="368" t="s">
        <v>2895</v>
      </c>
      <c r="C5629" s="368" t="s">
        <v>769</v>
      </c>
      <c r="D5629" s="370">
        <v>8</v>
      </c>
      <c r="E5629" s="371">
        <v>605.12</v>
      </c>
      <c r="F5629" s="371">
        <v>10299.719999999999</v>
      </c>
      <c r="G5629" s="368" t="s">
        <v>2778</v>
      </c>
      <c r="H5629" s="368" t="s">
        <v>2871</v>
      </c>
      <c r="I5629" s="368" t="s">
        <v>219</v>
      </c>
      <c r="J5629" s="368" t="s">
        <v>757</v>
      </c>
      <c r="K5629" s="368" t="s">
        <v>770</v>
      </c>
      <c r="L5629" s="369">
        <v>44196</v>
      </c>
      <c r="M5629" s="372">
        <v>0</v>
      </c>
    </row>
    <row r="5630" spans="1:13" hidden="1" x14ac:dyDescent="0.25">
      <c r="A5630" s="369">
        <v>44196</v>
      </c>
      <c r="B5630" s="368" t="s">
        <v>2896</v>
      </c>
      <c r="C5630" s="368" t="s">
        <v>769</v>
      </c>
      <c r="D5630" s="370">
        <v>8</v>
      </c>
      <c r="E5630" s="371">
        <v>187.12</v>
      </c>
      <c r="F5630" s="371">
        <v>10486.84</v>
      </c>
      <c r="G5630" s="368" t="s">
        <v>2778</v>
      </c>
      <c r="H5630" s="368" t="s">
        <v>2871</v>
      </c>
      <c r="I5630" s="368" t="s">
        <v>219</v>
      </c>
      <c r="J5630" s="368" t="s">
        <v>757</v>
      </c>
      <c r="K5630" s="368" t="s">
        <v>770</v>
      </c>
      <c r="L5630" s="369">
        <v>44196</v>
      </c>
      <c r="M5630" s="372">
        <v>0</v>
      </c>
    </row>
    <row r="5631" spans="1:13" hidden="1" x14ac:dyDescent="0.25">
      <c r="A5631" s="369">
        <v>44227</v>
      </c>
      <c r="B5631" s="368" t="s">
        <v>2897</v>
      </c>
      <c r="C5631" s="368" t="s">
        <v>769</v>
      </c>
      <c r="D5631" s="370">
        <v>9</v>
      </c>
      <c r="E5631" s="371">
        <v>605.12</v>
      </c>
      <c r="F5631" s="371">
        <v>11091.96</v>
      </c>
      <c r="G5631" s="368" t="s">
        <v>2780</v>
      </c>
      <c r="H5631" s="368" t="s">
        <v>2871</v>
      </c>
      <c r="I5631" s="368" t="s">
        <v>219</v>
      </c>
      <c r="J5631" s="368" t="s">
        <v>757</v>
      </c>
      <c r="K5631" s="368" t="s">
        <v>770</v>
      </c>
      <c r="L5631" s="369">
        <v>44227</v>
      </c>
      <c r="M5631" s="372">
        <v>0</v>
      </c>
    </row>
    <row r="5632" spans="1:13" hidden="1" x14ac:dyDescent="0.25">
      <c r="A5632" s="369">
        <v>44227</v>
      </c>
      <c r="B5632" s="368" t="s">
        <v>2898</v>
      </c>
      <c r="C5632" s="368" t="s">
        <v>769</v>
      </c>
      <c r="D5632" s="370">
        <v>9</v>
      </c>
      <c r="E5632" s="371">
        <v>187.12</v>
      </c>
      <c r="F5632" s="371">
        <v>11279.08</v>
      </c>
      <c r="G5632" s="368" t="s">
        <v>2780</v>
      </c>
      <c r="H5632" s="368" t="s">
        <v>2871</v>
      </c>
      <c r="I5632" s="368" t="s">
        <v>219</v>
      </c>
      <c r="J5632" s="368" t="s">
        <v>757</v>
      </c>
      <c r="K5632" s="368" t="s">
        <v>770</v>
      </c>
      <c r="L5632" s="369">
        <v>44227</v>
      </c>
      <c r="M5632" s="372">
        <v>0</v>
      </c>
    </row>
    <row r="5633" spans="1:13" hidden="1" x14ac:dyDescent="0.25">
      <c r="A5633" s="369">
        <v>44255</v>
      </c>
      <c r="B5633" s="368" t="s">
        <v>2899</v>
      </c>
      <c r="C5633" s="368" t="s">
        <v>769</v>
      </c>
      <c r="D5633" s="370">
        <v>10</v>
      </c>
      <c r="E5633" s="371">
        <v>605.12</v>
      </c>
      <c r="F5633" s="371">
        <v>11884.2</v>
      </c>
      <c r="G5633" s="368" t="s">
        <v>2782</v>
      </c>
      <c r="H5633" s="368" t="s">
        <v>2871</v>
      </c>
      <c r="I5633" s="368" t="s">
        <v>219</v>
      </c>
      <c r="J5633" s="368" t="s">
        <v>757</v>
      </c>
      <c r="K5633" s="368" t="s">
        <v>770</v>
      </c>
      <c r="L5633" s="369">
        <v>44255</v>
      </c>
      <c r="M5633" s="372">
        <v>0</v>
      </c>
    </row>
    <row r="5634" spans="1:13" hidden="1" x14ac:dyDescent="0.25">
      <c r="A5634" s="369">
        <v>44255</v>
      </c>
      <c r="B5634" s="368" t="s">
        <v>2900</v>
      </c>
      <c r="C5634" s="368" t="s">
        <v>769</v>
      </c>
      <c r="D5634" s="370">
        <v>10</v>
      </c>
      <c r="E5634" s="371">
        <v>187.12</v>
      </c>
      <c r="F5634" s="371">
        <v>12071.32</v>
      </c>
      <c r="G5634" s="368" t="s">
        <v>2782</v>
      </c>
      <c r="H5634" s="368" t="s">
        <v>2871</v>
      </c>
      <c r="I5634" s="368" t="s">
        <v>219</v>
      </c>
      <c r="J5634" s="368" t="s">
        <v>757</v>
      </c>
      <c r="K5634" s="368" t="s">
        <v>770</v>
      </c>
      <c r="L5634" s="369">
        <v>44255</v>
      </c>
      <c r="M5634" s="372">
        <v>0</v>
      </c>
    </row>
    <row r="5635" spans="1:13" hidden="1" x14ac:dyDescent="0.25">
      <c r="A5635" s="369">
        <v>44286</v>
      </c>
      <c r="B5635" s="368" t="s">
        <v>2901</v>
      </c>
      <c r="C5635" s="368" t="s">
        <v>936</v>
      </c>
      <c r="D5635" s="370">
        <v>10</v>
      </c>
      <c r="E5635" s="371">
        <v>-187.12</v>
      </c>
      <c r="F5635" s="371">
        <v>11884.2</v>
      </c>
      <c r="G5635" s="368" t="s">
        <v>2902</v>
      </c>
      <c r="H5635" s="368" t="s">
        <v>2871</v>
      </c>
      <c r="I5635" s="368" t="s">
        <v>219</v>
      </c>
      <c r="J5635" s="368" t="s">
        <v>757</v>
      </c>
      <c r="K5635" s="368" t="s">
        <v>770</v>
      </c>
      <c r="L5635" s="369">
        <v>44286</v>
      </c>
      <c r="M5635" s="372">
        <v>0</v>
      </c>
    </row>
    <row r="5636" spans="1:13" hidden="1" x14ac:dyDescent="0.25">
      <c r="A5636" s="369">
        <v>44286</v>
      </c>
      <c r="B5636" s="368" t="s">
        <v>2903</v>
      </c>
      <c r="C5636" s="368" t="s">
        <v>936</v>
      </c>
      <c r="D5636" s="370">
        <v>10</v>
      </c>
      <c r="E5636" s="371">
        <v>-187.12</v>
      </c>
      <c r="F5636" s="371">
        <v>11697.08</v>
      </c>
      <c r="G5636" s="368" t="s">
        <v>2786</v>
      </c>
      <c r="H5636" s="368" t="s">
        <v>2871</v>
      </c>
      <c r="I5636" s="368" t="s">
        <v>219</v>
      </c>
      <c r="J5636" s="368" t="s">
        <v>757</v>
      </c>
      <c r="K5636" s="368" t="s">
        <v>770</v>
      </c>
      <c r="L5636" s="369">
        <v>44286</v>
      </c>
      <c r="M5636" s="372">
        <v>0</v>
      </c>
    </row>
    <row r="5637" spans="1:13" hidden="1" x14ac:dyDescent="0.25">
      <c r="A5637" s="369">
        <v>44286</v>
      </c>
      <c r="B5637" s="368" t="s">
        <v>2904</v>
      </c>
      <c r="C5637" s="368" t="s">
        <v>936</v>
      </c>
      <c r="D5637" s="370">
        <v>10</v>
      </c>
      <c r="E5637" s="371">
        <v>-187.12</v>
      </c>
      <c r="F5637" s="371">
        <v>11509.96</v>
      </c>
      <c r="G5637" s="368" t="s">
        <v>2788</v>
      </c>
      <c r="H5637" s="368" t="s">
        <v>2871</v>
      </c>
      <c r="I5637" s="368" t="s">
        <v>219</v>
      </c>
      <c r="J5637" s="368" t="s">
        <v>757</v>
      </c>
      <c r="K5637" s="368" t="s">
        <v>770</v>
      </c>
      <c r="L5637" s="369">
        <v>44286</v>
      </c>
      <c r="M5637" s="372">
        <v>0</v>
      </c>
    </row>
    <row r="5638" spans="1:13" hidden="1" x14ac:dyDescent="0.25">
      <c r="A5638" s="369">
        <v>43982</v>
      </c>
      <c r="B5638" s="368" t="s">
        <v>2905</v>
      </c>
      <c r="C5638" s="368" t="s">
        <v>769</v>
      </c>
      <c r="D5638" s="370">
        <v>1</v>
      </c>
      <c r="E5638" s="371">
        <v>258.08</v>
      </c>
      <c r="F5638" s="371">
        <v>13165.4</v>
      </c>
      <c r="G5638" s="368" t="s">
        <v>2764</v>
      </c>
      <c r="H5638" s="368" t="s">
        <v>2906</v>
      </c>
      <c r="I5638" s="368" t="s">
        <v>219</v>
      </c>
      <c r="J5638" s="368" t="s">
        <v>757</v>
      </c>
      <c r="K5638" s="368" t="s">
        <v>770</v>
      </c>
      <c r="L5638" s="369">
        <v>43982</v>
      </c>
      <c r="M5638" s="372">
        <v>0</v>
      </c>
    </row>
    <row r="5639" spans="1:13" hidden="1" x14ac:dyDescent="0.25">
      <c r="A5639" s="369">
        <v>44012</v>
      </c>
      <c r="B5639" s="368" t="s">
        <v>2907</v>
      </c>
      <c r="C5639" s="368" t="s">
        <v>769</v>
      </c>
      <c r="D5639" s="370">
        <v>2</v>
      </c>
      <c r="E5639" s="371">
        <v>258.08</v>
      </c>
      <c r="F5639" s="371">
        <v>13423.48</v>
      </c>
      <c r="G5639" s="368" t="s">
        <v>2766</v>
      </c>
      <c r="H5639" s="368" t="s">
        <v>2906</v>
      </c>
      <c r="I5639" s="368" t="s">
        <v>219</v>
      </c>
      <c r="J5639" s="368" t="s">
        <v>757</v>
      </c>
      <c r="K5639" s="368" t="s">
        <v>770</v>
      </c>
      <c r="L5639" s="369">
        <v>44012</v>
      </c>
      <c r="M5639" s="372">
        <v>0</v>
      </c>
    </row>
    <row r="5640" spans="1:13" hidden="1" x14ac:dyDescent="0.25">
      <c r="A5640" s="369">
        <v>44043</v>
      </c>
      <c r="B5640" s="368" t="s">
        <v>2908</v>
      </c>
      <c r="C5640" s="368" t="s">
        <v>769</v>
      </c>
      <c r="D5640" s="370">
        <v>3</v>
      </c>
      <c r="E5640" s="371">
        <v>258.08</v>
      </c>
      <c r="F5640" s="371">
        <v>13681.56</v>
      </c>
      <c r="G5640" s="368" t="s">
        <v>2793</v>
      </c>
      <c r="H5640" s="368" t="s">
        <v>2906</v>
      </c>
      <c r="I5640" s="368" t="s">
        <v>219</v>
      </c>
      <c r="J5640" s="368" t="s">
        <v>757</v>
      </c>
      <c r="K5640" s="368" t="s">
        <v>770</v>
      </c>
      <c r="L5640" s="369">
        <v>44043</v>
      </c>
      <c r="M5640" s="372">
        <v>0</v>
      </c>
    </row>
    <row r="5641" spans="1:13" hidden="1" x14ac:dyDescent="0.25">
      <c r="A5641" s="369">
        <v>44074</v>
      </c>
      <c r="B5641" s="368" t="s">
        <v>2909</v>
      </c>
      <c r="C5641" s="368" t="s">
        <v>769</v>
      </c>
      <c r="D5641" s="370">
        <v>4</v>
      </c>
      <c r="E5641" s="371">
        <v>258.08</v>
      </c>
      <c r="F5641" s="371">
        <v>13939.64</v>
      </c>
      <c r="G5641" s="368" t="s">
        <v>2770</v>
      </c>
      <c r="H5641" s="368" t="s">
        <v>2906</v>
      </c>
      <c r="I5641" s="368" t="s">
        <v>219</v>
      </c>
      <c r="J5641" s="368" t="s">
        <v>757</v>
      </c>
      <c r="K5641" s="368" t="s">
        <v>770</v>
      </c>
      <c r="L5641" s="369">
        <v>44074</v>
      </c>
      <c r="M5641" s="372">
        <v>0</v>
      </c>
    </row>
    <row r="5642" spans="1:13" hidden="1" x14ac:dyDescent="0.25">
      <c r="A5642" s="369">
        <v>44104</v>
      </c>
      <c r="B5642" s="368" t="s">
        <v>2910</v>
      </c>
      <c r="C5642" s="368" t="s">
        <v>769</v>
      </c>
      <c r="D5642" s="370">
        <v>5</v>
      </c>
      <c r="E5642" s="371">
        <v>258.08</v>
      </c>
      <c r="F5642" s="371">
        <v>14197.72</v>
      </c>
      <c r="G5642" s="368" t="s">
        <v>2772</v>
      </c>
      <c r="H5642" s="368" t="s">
        <v>2906</v>
      </c>
      <c r="I5642" s="368" t="s">
        <v>219</v>
      </c>
      <c r="J5642" s="368" t="s">
        <v>757</v>
      </c>
      <c r="K5642" s="368" t="s">
        <v>770</v>
      </c>
      <c r="L5642" s="369">
        <v>44104</v>
      </c>
      <c r="M5642" s="372">
        <v>0</v>
      </c>
    </row>
    <row r="5643" spans="1:13" hidden="1" x14ac:dyDescent="0.25">
      <c r="A5643" s="369">
        <v>44135</v>
      </c>
      <c r="B5643" s="368" t="s">
        <v>2911</v>
      </c>
      <c r="C5643" s="368" t="s">
        <v>769</v>
      </c>
      <c r="D5643" s="370">
        <v>6</v>
      </c>
      <c r="E5643" s="371">
        <v>258.08</v>
      </c>
      <c r="F5643" s="371">
        <v>14455.8</v>
      </c>
      <c r="G5643" s="368" t="s">
        <v>2774</v>
      </c>
      <c r="H5643" s="368" t="s">
        <v>2906</v>
      </c>
      <c r="I5643" s="368" t="s">
        <v>219</v>
      </c>
      <c r="J5643" s="368" t="s">
        <v>757</v>
      </c>
      <c r="K5643" s="368" t="s">
        <v>770</v>
      </c>
      <c r="L5643" s="369">
        <v>44135</v>
      </c>
      <c r="M5643" s="372">
        <v>0</v>
      </c>
    </row>
    <row r="5644" spans="1:13" hidden="1" x14ac:dyDescent="0.25">
      <c r="A5644" s="369">
        <v>44196</v>
      </c>
      <c r="B5644" s="368" t="s">
        <v>2797</v>
      </c>
      <c r="C5644" s="368" t="s">
        <v>1060</v>
      </c>
      <c r="D5644" s="370">
        <v>6</v>
      </c>
      <c r="E5644" s="371">
        <v>-258.08</v>
      </c>
      <c r="F5644" s="371">
        <v>14197.72</v>
      </c>
      <c r="G5644" s="368" t="s">
        <v>2798</v>
      </c>
      <c r="H5644" s="368" t="s">
        <v>2906</v>
      </c>
      <c r="I5644" s="368" t="s">
        <v>219</v>
      </c>
      <c r="J5644" s="368" t="s">
        <v>757</v>
      </c>
      <c r="K5644" s="368" t="s">
        <v>741</v>
      </c>
      <c r="L5644" s="369">
        <v>44196</v>
      </c>
      <c r="M5644" s="372">
        <v>0</v>
      </c>
    </row>
    <row r="5645" spans="1:13" hidden="1" x14ac:dyDescent="0.25">
      <c r="A5645" s="369">
        <v>44196</v>
      </c>
      <c r="B5645" s="368" t="s">
        <v>2797</v>
      </c>
      <c r="C5645" s="368" t="s">
        <v>1060</v>
      </c>
      <c r="D5645" s="370">
        <v>6</v>
      </c>
      <c r="E5645" s="371">
        <v>-258.08</v>
      </c>
      <c r="F5645" s="371">
        <v>13939.64</v>
      </c>
      <c r="G5645" s="368" t="s">
        <v>2798</v>
      </c>
      <c r="H5645" s="368" t="s">
        <v>2906</v>
      </c>
      <c r="I5645" s="368" t="s">
        <v>219</v>
      </c>
      <c r="J5645" s="368" t="s">
        <v>757</v>
      </c>
      <c r="K5645" s="368" t="s">
        <v>741</v>
      </c>
      <c r="L5645" s="369">
        <v>44196</v>
      </c>
      <c r="M5645" s="372">
        <v>0</v>
      </c>
    </row>
    <row r="5646" spans="1:13" hidden="1" x14ac:dyDescent="0.25">
      <c r="A5646" s="369">
        <v>44165</v>
      </c>
      <c r="B5646" s="368" t="s">
        <v>2912</v>
      </c>
      <c r="C5646" s="368" t="s">
        <v>769</v>
      </c>
      <c r="D5646" s="370">
        <v>7</v>
      </c>
      <c r="E5646" s="371">
        <v>258.08</v>
      </c>
      <c r="F5646" s="371">
        <v>14197.72</v>
      </c>
      <c r="G5646" s="368" t="s">
        <v>2776</v>
      </c>
      <c r="H5646" s="368" t="s">
        <v>2906</v>
      </c>
      <c r="I5646" s="368" t="s">
        <v>219</v>
      </c>
      <c r="J5646" s="368" t="s">
        <v>757</v>
      </c>
      <c r="K5646" s="368" t="s">
        <v>770</v>
      </c>
      <c r="L5646" s="369">
        <v>44165</v>
      </c>
      <c r="M5646" s="372">
        <v>0</v>
      </c>
    </row>
    <row r="5647" spans="1:13" hidden="1" x14ac:dyDescent="0.25">
      <c r="A5647" s="369">
        <v>44196</v>
      </c>
      <c r="B5647" s="368" t="s">
        <v>2913</v>
      </c>
      <c r="C5647" s="368" t="s">
        <v>936</v>
      </c>
      <c r="D5647" s="370">
        <v>7</v>
      </c>
      <c r="E5647" s="371">
        <v>-258.08</v>
      </c>
      <c r="F5647" s="371">
        <v>13939.64</v>
      </c>
      <c r="G5647" s="368" t="s">
        <v>2845</v>
      </c>
      <c r="H5647" s="368" t="s">
        <v>2906</v>
      </c>
      <c r="I5647" s="368" t="s">
        <v>219</v>
      </c>
      <c r="J5647" s="368" t="s">
        <v>757</v>
      </c>
      <c r="K5647" s="368" t="s">
        <v>770</v>
      </c>
      <c r="L5647" s="369">
        <v>44196</v>
      </c>
      <c r="M5647" s="372">
        <v>0</v>
      </c>
    </row>
    <row r="5648" spans="1:13" hidden="1" x14ac:dyDescent="0.25">
      <c r="A5648" s="369">
        <v>44196</v>
      </c>
      <c r="B5648" s="368" t="s">
        <v>2914</v>
      </c>
      <c r="C5648" s="368" t="s">
        <v>936</v>
      </c>
      <c r="D5648" s="370">
        <v>7</v>
      </c>
      <c r="E5648" s="371">
        <v>-258.08</v>
      </c>
      <c r="F5648" s="371">
        <v>13681.56</v>
      </c>
      <c r="G5648" s="368" t="s">
        <v>2847</v>
      </c>
      <c r="H5648" s="368" t="s">
        <v>2906</v>
      </c>
      <c r="I5648" s="368" t="s">
        <v>219</v>
      </c>
      <c r="J5648" s="368" t="s">
        <v>757</v>
      </c>
      <c r="K5648" s="368" t="s">
        <v>770</v>
      </c>
      <c r="L5648" s="369">
        <v>44196</v>
      </c>
      <c r="M5648" s="372">
        <v>0</v>
      </c>
    </row>
    <row r="5649" spans="1:13" hidden="1" x14ac:dyDescent="0.25">
      <c r="A5649" s="369">
        <v>44196</v>
      </c>
      <c r="B5649" s="368" t="s">
        <v>2797</v>
      </c>
      <c r="C5649" s="368" t="s">
        <v>1060</v>
      </c>
      <c r="D5649" s="370">
        <v>7</v>
      </c>
      <c r="E5649" s="371">
        <v>258.08</v>
      </c>
      <c r="F5649" s="371">
        <v>13939.64</v>
      </c>
      <c r="G5649" s="368" t="s">
        <v>2798</v>
      </c>
      <c r="H5649" s="368" t="s">
        <v>2906</v>
      </c>
      <c r="I5649" s="368" t="s">
        <v>219</v>
      </c>
      <c r="J5649" s="368" t="s">
        <v>757</v>
      </c>
      <c r="K5649" s="368" t="s">
        <v>741</v>
      </c>
      <c r="L5649" s="369">
        <v>44196</v>
      </c>
      <c r="M5649" s="372">
        <v>0</v>
      </c>
    </row>
    <row r="5650" spans="1:13" hidden="1" x14ac:dyDescent="0.25">
      <c r="A5650" s="369">
        <v>44196</v>
      </c>
      <c r="B5650" s="368" t="s">
        <v>2797</v>
      </c>
      <c r="C5650" s="368" t="s">
        <v>1060</v>
      </c>
      <c r="D5650" s="370">
        <v>7</v>
      </c>
      <c r="E5650" s="371">
        <v>258.08</v>
      </c>
      <c r="F5650" s="371">
        <v>14197.72</v>
      </c>
      <c r="G5650" s="368" t="s">
        <v>2798</v>
      </c>
      <c r="H5650" s="368" t="s">
        <v>2906</v>
      </c>
      <c r="I5650" s="368" t="s">
        <v>219</v>
      </c>
      <c r="J5650" s="368" t="s">
        <v>757</v>
      </c>
      <c r="K5650" s="368" t="s">
        <v>741</v>
      </c>
      <c r="L5650" s="369">
        <v>44196</v>
      </c>
      <c r="M5650" s="372">
        <v>0</v>
      </c>
    </row>
    <row r="5651" spans="1:13" hidden="1" x14ac:dyDescent="0.25">
      <c r="A5651" s="369">
        <v>44196</v>
      </c>
      <c r="B5651" s="368" t="s">
        <v>2915</v>
      </c>
      <c r="C5651" s="368" t="s">
        <v>769</v>
      </c>
      <c r="D5651" s="370">
        <v>8</v>
      </c>
      <c r="E5651" s="371">
        <v>258.08</v>
      </c>
      <c r="F5651" s="371">
        <v>14455.8</v>
      </c>
      <c r="G5651" s="368" t="s">
        <v>2778</v>
      </c>
      <c r="H5651" s="368" t="s">
        <v>2906</v>
      </c>
      <c r="I5651" s="368" t="s">
        <v>219</v>
      </c>
      <c r="J5651" s="368" t="s">
        <v>757</v>
      </c>
      <c r="K5651" s="368" t="s">
        <v>770</v>
      </c>
      <c r="L5651" s="369">
        <v>44196</v>
      </c>
      <c r="M5651" s="372">
        <v>0</v>
      </c>
    </row>
    <row r="5652" spans="1:13" hidden="1" x14ac:dyDescent="0.25">
      <c r="A5652" s="369">
        <v>44227</v>
      </c>
      <c r="B5652" s="368" t="s">
        <v>2916</v>
      </c>
      <c r="C5652" s="368" t="s">
        <v>769</v>
      </c>
      <c r="D5652" s="370">
        <v>9</v>
      </c>
      <c r="E5652" s="371">
        <v>258.08</v>
      </c>
      <c r="F5652" s="371">
        <v>14713.88</v>
      </c>
      <c r="G5652" s="368" t="s">
        <v>2780</v>
      </c>
      <c r="H5652" s="368" t="s">
        <v>2906</v>
      </c>
      <c r="I5652" s="368" t="s">
        <v>219</v>
      </c>
      <c r="J5652" s="368" t="s">
        <v>757</v>
      </c>
      <c r="K5652" s="368" t="s">
        <v>770</v>
      </c>
      <c r="L5652" s="369">
        <v>44227</v>
      </c>
      <c r="M5652" s="372">
        <v>0</v>
      </c>
    </row>
    <row r="5653" spans="1:13" hidden="1" x14ac:dyDescent="0.25">
      <c r="A5653" s="369">
        <v>44255</v>
      </c>
      <c r="B5653" s="368" t="s">
        <v>2917</v>
      </c>
      <c r="C5653" s="368" t="s">
        <v>769</v>
      </c>
      <c r="D5653" s="370">
        <v>10</v>
      </c>
      <c r="E5653" s="371">
        <v>258.08</v>
      </c>
      <c r="F5653" s="371">
        <v>14971.96</v>
      </c>
      <c r="G5653" s="368" t="s">
        <v>2782</v>
      </c>
      <c r="H5653" s="368" t="s">
        <v>2906</v>
      </c>
      <c r="I5653" s="368" t="s">
        <v>219</v>
      </c>
      <c r="J5653" s="368" t="s">
        <v>757</v>
      </c>
      <c r="K5653" s="368" t="s">
        <v>770</v>
      </c>
      <c r="L5653" s="369">
        <v>44255</v>
      </c>
      <c r="M5653" s="372">
        <v>0</v>
      </c>
    </row>
    <row r="5654" spans="1:13" hidden="1" x14ac:dyDescent="0.25">
      <c r="A5654" s="369">
        <v>43982</v>
      </c>
      <c r="B5654" s="368" t="s">
        <v>2918</v>
      </c>
      <c r="C5654" s="368" t="s">
        <v>769</v>
      </c>
      <c r="D5654" s="370">
        <v>1</v>
      </c>
      <c r="E5654" s="371">
        <v>157.15</v>
      </c>
      <c r="F5654" s="371">
        <v>15645.27</v>
      </c>
      <c r="G5654" s="368" t="s">
        <v>2764</v>
      </c>
      <c r="H5654" s="368" t="s">
        <v>2919</v>
      </c>
      <c r="I5654" s="368" t="s">
        <v>219</v>
      </c>
      <c r="J5654" s="368" t="s">
        <v>757</v>
      </c>
      <c r="K5654" s="368" t="s">
        <v>770</v>
      </c>
      <c r="L5654" s="369">
        <v>43982</v>
      </c>
      <c r="M5654" s="372">
        <v>0</v>
      </c>
    </row>
    <row r="5655" spans="1:13" hidden="1" x14ac:dyDescent="0.25">
      <c r="A5655" s="369">
        <v>44012</v>
      </c>
      <c r="B5655" s="368" t="s">
        <v>2920</v>
      </c>
      <c r="C5655" s="368" t="s">
        <v>769</v>
      </c>
      <c r="D5655" s="370">
        <v>2</v>
      </c>
      <c r="E5655" s="371">
        <v>157.15</v>
      </c>
      <c r="F5655" s="371">
        <v>15802.42</v>
      </c>
      <c r="G5655" s="368" t="s">
        <v>2766</v>
      </c>
      <c r="H5655" s="368" t="s">
        <v>2919</v>
      </c>
      <c r="I5655" s="368" t="s">
        <v>219</v>
      </c>
      <c r="J5655" s="368" t="s">
        <v>757</v>
      </c>
      <c r="K5655" s="368" t="s">
        <v>770</v>
      </c>
      <c r="L5655" s="369">
        <v>44012</v>
      </c>
      <c r="M5655" s="372">
        <v>0</v>
      </c>
    </row>
    <row r="5656" spans="1:13" hidden="1" x14ac:dyDescent="0.25">
      <c r="A5656" s="369">
        <v>44043</v>
      </c>
      <c r="B5656" s="368" t="s">
        <v>2921</v>
      </c>
      <c r="C5656" s="368" t="s">
        <v>769</v>
      </c>
      <c r="D5656" s="370">
        <v>3</v>
      </c>
      <c r="E5656" s="371">
        <v>157.15</v>
      </c>
      <c r="F5656" s="371">
        <v>15959.57</v>
      </c>
      <c r="G5656" s="368" t="s">
        <v>2793</v>
      </c>
      <c r="H5656" s="368" t="s">
        <v>2919</v>
      </c>
      <c r="I5656" s="368" t="s">
        <v>219</v>
      </c>
      <c r="J5656" s="368" t="s">
        <v>757</v>
      </c>
      <c r="K5656" s="368" t="s">
        <v>770</v>
      </c>
      <c r="L5656" s="369">
        <v>44043</v>
      </c>
      <c r="M5656" s="372">
        <v>0</v>
      </c>
    </row>
    <row r="5657" spans="1:13" hidden="1" x14ac:dyDescent="0.25">
      <c r="A5657" s="369">
        <v>44074</v>
      </c>
      <c r="B5657" s="368" t="s">
        <v>2922</v>
      </c>
      <c r="C5657" s="368" t="s">
        <v>769</v>
      </c>
      <c r="D5657" s="370">
        <v>4</v>
      </c>
      <c r="E5657" s="371">
        <v>157.15</v>
      </c>
      <c r="F5657" s="371">
        <v>16116.72</v>
      </c>
      <c r="G5657" s="368" t="s">
        <v>2770</v>
      </c>
      <c r="H5657" s="368" t="s">
        <v>2919</v>
      </c>
      <c r="I5657" s="368" t="s">
        <v>219</v>
      </c>
      <c r="J5657" s="368" t="s">
        <v>757</v>
      </c>
      <c r="K5657" s="368" t="s">
        <v>770</v>
      </c>
      <c r="L5657" s="369">
        <v>44074</v>
      </c>
      <c r="M5657" s="372">
        <v>0</v>
      </c>
    </row>
    <row r="5658" spans="1:13" hidden="1" x14ac:dyDescent="0.25">
      <c r="A5658" s="369">
        <v>44104</v>
      </c>
      <c r="B5658" s="368" t="s">
        <v>2923</v>
      </c>
      <c r="C5658" s="368" t="s">
        <v>769</v>
      </c>
      <c r="D5658" s="370">
        <v>5</v>
      </c>
      <c r="E5658" s="371">
        <v>157.15</v>
      </c>
      <c r="F5658" s="371">
        <v>16273.87</v>
      </c>
      <c r="G5658" s="368" t="s">
        <v>2772</v>
      </c>
      <c r="H5658" s="368" t="s">
        <v>2919</v>
      </c>
      <c r="I5658" s="368" t="s">
        <v>219</v>
      </c>
      <c r="J5658" s="368" t="s">
        <v>757</v>
      </c>
      <c r="K5658" s="368" t="s">
        <v>770</v>
      </c>
      <c r="L5658" s="369">
        <v>44104</v>
      </c>
      <c r="M5658" s="372">
        <v>0</v>
      </c>
    </row>
    <row r="5659" spans="1:13" hidden="1" x14ac:dyDescent="0.25">
      <c r="A5659" s="369">
        <v>44135</v>
      </c>
      <c r="B5659" s="368" t="s">
        <v>2924</v>
      </c>
      <c r="C5659" s="368" t="s">
        <v>769</v>
      </c>
      <c r="D5659" s="370">
        <v>6</v>
      </c>
      <c r="E5659" s="371">
        <v>157.15</v>
      </c>
      <c r="F5659" s="371">
        <v>16431.02</v>
      </c>
      <c r="G5659" s="368" t="s">
        <v>2774</v>
      </c>
      <c r="H5659" s="368" t="s">
        <v>2919</v>
      </c>
      <c r="I5659" s="368" t="s">
        <v>219</v>
      </c>
      <c r="J5659" s="368" t="s">
        <v>757</v>
      </c>
      <c r="K5659" s="368" t="s">
        <v>770</v>
      </c>
      <c r="L5659" s="369">
        <v>44135</v>
      </c>
      <c r="M5659" s="372">
        <v>0</v>
      </c>
    </row>
    <row r="5660" spans="1:13" hidden="1" x14ac:dyDescent="0.25">
      <c r="A5660" s="369">
        <v>44196</v>
      </c>
      <c r="B5660" s="368" t="s">
        <v>2797</v>
      </c>
      <c r="C5660" s="368" t="s">
        <v>1060</v>
      </c>
      <c r="D5660" s="370">
        <v>6</v>
      </c>
      <c r="E5660" s="371">
        <v>-157.15</v>
      </c>
      <c r="F5660" s="371">
        <v>16273.87</v>
      </c>
      <c r="G5660" s="368" t="s">
        <v>2798</v>
      </c>
      <c r="H5660" s="368" t="s">
        <v>2919</v>
      </c>
      <c r="I5660" s="368" t="s">
        <v>219</v>
      </c>
      <c r="J5660" s="368" t="s">
        <v>757</v>
      </c>
      <c r="K5660" s="368" t="s">
        <v>741</v>
      </c>
      <c r="L5660" s="369">
        <v>44196</v>
      </c>
      <c r="M5660" s="372">
        <v>0</v>
      </c>
    </row>
    <row r="5661" spans="1:13" hidden="1" x14ac:dyDescent="0.25">
      <c r="A5661" s="369">
        <v>44196</v>
      </c>
      <c r="B5661" s="368" t="s">
        <v>2797</v>
      </c>
      <c r="C5661" s="368" t="s">
        <v>1060</v>
      </c>
      <c r="D5661" s="370">
        <v>6</v>
      </c>
      <c r="E5661" s="371">
        <v>-157.15</v>
      </c>
      <c r="F5661" s="371">
        <v>16116.72</v>
      </c>
      <c r="G5661" s="368" t="s">
        <v>2798</v>
      </c>
      <c r="H5661" s="368" t="s">
        <v>2919</v>
      </c>
      <c r="I5661" s="368" t="s">
        <v>219</v>
      </c>
      <c r="J5661" s="368" t="s">
        <v>757</v>
      </c>
      <c r="K5661" s="368" t="s">
        <v>741</v>
      </c>
      <c r="L5661" s="369">
        <v>44196</v>
      </c>
      <c r="M5661" s="372">
        <v>0</v>
      </c>
    </row>
    <row r="5662" spans="1:13" hidden="1" x14ac:dyDescent="0.25">
      <c r="A5662" s="369">
        <v>44196</v>
      </c>
      <c r="B5662" s="368" t="s">
        <v>2797</v>
      </c>
      <c r="C5662" s="368" t="s">
        <v>1060</v>
      </c>
      <c r="D5662" s="370">
        <v>6</v>
      </c>
      <c r="E5662" s="371">
        <v>-157.15</v>
      </c>
      <c r="F5662" s="371">
        <v>15959.57</v>
      </c>
      <c r="G5662" s="368" t="s">
        <v>2798</v>
      </c>
      <c r="H5662" s="368" t="s">
        <v>2919</v>
      </c>
      <c r="I5662" s="368" t="s">
        <v>219</v>
      </c>
      <c r="J5662" s="368" t="s">
        <v>757</v>
      </c>
      <c r="K5662" s="368" t="s">
        <v>741</v>
      </c>
      <c r="L5662" s="369">
        <v>44196</v>
      </c>
      <c r="M5662" s="372">
        <v>0</v>
      </c>
    </row>
    <row r="5663" spans="1:13" hidden="1" x14ac:dyDescent="0.25">
      <c r="A5663" s="369">
        <v>44196</v>
      </c>
      <c r="B5663" s="368" t="s">
        <v>2797</v>
      </c>
      <c r="C5663" s="368" t="s">
        <v>1060</v>
      </c>
      <c r="D5663" s="370">
        <v>6</v>
      </c>
      <c r="E5663" s="371">
        <v>-157.15</v>
      </c>
      <c r="F5663" s="371">
        <v>15802.42</v>
      </c>
      <c r="G5663" s="368" t="s">
        <v>2798</v>
      </c>
      <c r="H5663" s="368" t="s">
        <v>2919</v>
      </c>
      <c r="I5663" s="368" t="s">
        <v>219</v>
      </c>
      <c r="J5663" s="368" t="s">
        <v>757</v>
      </c>
      <c r="K5663" s="368" t="s">
        <v>741</v>
      </c>
      <c r="L5663" s="369">
        <v>44196</v>
      </c>
      <c r="M5663" s="372">
        <v>0</v>
      </c>
    </row>
    <row r="5664" spans="1:13" hidden="1" x14ac:dyDescent="0.25">
      <c r="A5664" s="369">
        <v>44196</v>
      </c>
      <c r="B5664" s="368" t="s">
        <v>2797</v>
      </c>
      <c r="C5664" s="368" t="s">
        <v>1060</v>
      </c>
      <c r="D5664" s="370">
        <v>6</v>
      </c>
      <c r="E5664" s="371">
        <v>-157.15</v>
      </c>
      <c r="F5664" s="371">
        <v>15645.27</v>
      </c>
      <c r="G5664" s="368" t="s">
        <v>2798</v>
      </c>
      <c r="H5664" s="368" t="s">
        <v>2919</v>
      </c>
      <c r="I5664" s="368" t="s">
        <v>219</v>
      </c>
      <c r="J5664" s="368" t="s">
        <v>757</v>
      </c>
      <c r="K5664" s="368" t="s">
        <v>741</v>
      </c>
      <c r="L5664" s="369">
        <v>44196</v>
      </c>
      <c r="M5664" s="372">
        <v>0</v>
      </c>
    </row>
    <row r="5665" spans="1:13" hidden="1" x14ac:dyDescent="0.25">
      <c r="A5665" s="369">
        <v>44196</v>
      </c>
      <c r="B5665" s="368" t="s">
        <v>2797</v>
      </c>
      <c r="C5665" s="368" t="s">
        <v>1060</v>
      </c>
      <c r="D5665" s="370">
        <v>6</v>
      </c>
      <c r="E5665" s="371">
        <v>-157.15</v>
      </c>
      <c r="F5665" s="371">
        <v>15488.12</v>
      </c>
      <c r="G5665" s="368" t="s">
        <v>2798</v>
      </c>
      <c r="H5665" s="368" t="s">
        <v>2919</v>
      </c>
      <c r="I5665" s="368" t="s">
        <v>219</v>
      </c>
      <c r="J5665" s="368" t="s">
        <v>757</v>
      </c>
      <c r="K5665" s="368" t="s">
        <v>741</v>
      </c>
      <c r="L5665" s="369">
        <v>44196</v>
      </c>
      <c r="M5665" s="372">
        <v>0</v>
      </c>
    </row>
    <row r="5666" spans="1:13" hidden="1" x14ac:dyDescent="0.25">
      <c r="A5666" s="369">
        <v>44165</v>
      </c>
      <c r="B5666" s="368" t="s">
        <v>2925</v>
      </c>
      <c r="C5666" s="368" t="s">
        <v>769</v>
      </c>
      <c r="D5666" s="370">
        <v>7</v>
      </c>
      <c r="E5666" s="371">
        <v>157.15</v>
      </c>
      <c r="F5666" s="371">
        <v>15645.27</v>
      </c>
      <c r="G5666" s="368" t="s">
        <v>2776</v>
      </c>
      <c r="H5666" s="368" t="s">
        <v>2919</v>
      </c>
      <c r="I5666" s="368" t="s">
        <v>219</v>
      </c>
      <c r="J5666" s="368" t="s">
        <v>757</v>
      </c>
      <c r="K5666" s="368" t="s">
        <v>770</v>
      </c>
      <c r="L5666" s="369">
        <v>44165</v>
      </c>
      <c r="M5666" s="372">
        <v>0</v>
      </c>
    </row>
    <row r="5667" spans="1:13" hidden="1" x14ac:dyDescent="0.25">
      <c r="A5667" s="369">
        <v>44196</v>
      </c>
      <c r="B5667" s="368" t="s">
        <v>2926</v>
      </c>
      <c r="C5667" s="368" t="s">
        <v>936</v>
      </c>
      <c r="D5667" s="370">
        <v>7</v>
      </c>
      <c r="E5667" s="371">
        <v>-157.15</v>
      </c>
      <c r="F5667" s="371">
        <v>15488.12</v>
      </c>
      <c r="G5667" s="368" t="s">
        <v>2845</v>
      </c>
      <c r="H5667" s="368" t="s">
        <v>2919</v>
      </c>
      <c r="I5667" s="368" t="s">
        <v>219</v>
      </c>
      <c r="J5667" s="368" t="s">
        <v>757</v>
      </c>
      <c r="K5667" s="368" t="s">
        <v>770</v>
      </c>
      <c r="L5667" s="369">
        <v>44196</v>
      </c>
      <c r="M5667" s="372">
        <v>0</v>
      </c>
    </row>
    <row r="5668" spans="1:13" hidden="1" x14ac:dyDescent="0.25">
      <c r="A5668" s="369">
        <v>44196</v>
      </c>
      <c r="B5668" s="368" t="s">
        <v>2927</v>
      </c>
      <c r="C5668" s="368" t="s">
        <v>936</v>
      </c>
      <c r="D5668" s="370">
        <v>7</v>
      </c>
      <c r="E5668" s="371">
        <v>-157.15</v>
      </c>
      <c r="F5668" s="371">
        <v>15330.97</v>
      </c>
      <c r="G5668" s="368" t="s">
        <v>2847</v>
      </c>
      <c r="H5668" s="368" t="s">
        <v>2919</v>
      </c>
      <c r="I5668" s="368" t="s">
        <v>219</v>
      </c>
      <c r="J5668" s="368" t="s">
        <v>757</v>
      </c>
      <c r="K5668" s="368" t="s">
        <v>770</v>
      </c>
      <c r="L5668" s="369">
        <v>44196</v>
      </c>
      <c r="M5668" s="372">
        <v>0</v>
      </c>
    </row>
    <row r="5669" spans="1:13" hidden="1" x14ac:dyDescent="0.25">
      <c r="A5669" s="369">
        <v>44196</v>
      </c>
      <c r="B5669" s="368" t="s">
        <v>2928</v>
      </c>
      <c r="C5669" s="368" t="s">
        <v>936</v>
      </c>
      <c r="D5669" s="370">
        <v>7</v>
      </c>
      <c r="E5669" s="371">
        <v>-157.15</v>
      </c>
      <c r="F5669" s="371">
        <v>15173.82</v>
      </c>
      <c r="G5669" s="368" t="s">
        <v>2820</v>
      </c>
      <c r="H5669" s="368" t="s">
        <v>2919</v>
      </c>
      <c r="I5669" s="368" t="s">
        <v>219</v>
      </c>
      <c r="J5669" s="368" t="s">
        <v>757</v>
      </c>
      <c r="K5669" s="368" t="s">
        <v>770</v>
      </c>
      <c r="L5669" s="369">
        <v>44196</v>
      </c>
      <c r="M5669" s="372">
        <v>0</v>
      </c>
    </row>
    <row r="5670" spans="1:13" hidden="1" x14ac:dyDescent="0.25">
      <c r="A5670" s="369">
        <v>44196</v>
      </c>
      <c r="B5670" s="368" t="s">
        <v>2929</v>
      </c>
      <c r="C5670" s="368" t="s">
        <v>936</v>
      </c>
      <c r="D5670" s="370">
        <v>7</v>
      </c>
      <c r="E5670" s="371">
        <v>-157.15</v>
      </c>
      <c r="F5670" s="371">
        <v>15016.67</v>
      </c>
      <c r="G5670" s="368" t="s">
        <v>2822</v>
      </c>
      <c r="H5670" s="368" t="s">
        <v>2919</v>
      </c>
      <c r="I5670" s="368" t="s">
        <v>219</v>
      </c>
      <c r="J5670" s="368" t="s">
        <v>757</v>
      </c>
      <c r="K5670" s="368" t="s">
        <v>770</v>
      </c>
      <c r="L5670" s="369">
        <v>44196</v>
      </c>
      <c r="M5670" s="372">
        <v>0</v>
      </c>
    </row>
    <row r="5671" spans="1:13" hidden="1" x14ac:dyDescent="0.25">
      <c r="A5671" s="369">
        <v>44196</v>
      </c>
      <c r="B5671" s="368" t="s">
        <v>2930</v>
      </c>
      <c r="C5671" s="368" t="s">
        <v>936</v>
      </c>
      <c r="D5671" s="370">
        <v>7</v>
      </c>
      <c r="E5671" s="371">
        <v>-157.15</v>
      </c>
      <c r="F5671" s="371">
        <v>14859.52</v>
      </c>
      <c r="G5671" s="368" t="s">
        <v>2824</v>
      </c>
      <c r="H5671" s="368" t="s">
        <v>2919</v>
      </c>
      <c r="I5671" s="368" t="s">
        <v>219</v>
      </c>
      <c r="J5671" s="368" t="s">
        <v>757</v>
      </c>
      <c r="K5671" s="368" t="s">
        <v>770</v>
      </c>
      <c r="L5671" s="369">
        <v>44196</v>
      </c>
      <c r="M5671" s="372">
        <v>0</v>
      </c>
    </row>
    <row r="5672" spans="1:13" hidden="1" x14ac:dyDescent="0.25">
      <c r="A5672" s="369">
        <v>44196</v>
      </c>
      <c r="B5672" s="368" t="s">
        <v>2931</v>
      </c>
      <c r="C5672" s="368" t="s">
        <v>936</v>
      </c>
      <c r="D5672" s="370">
        <v>7</v>
      </c>
      <c r="E5672" s="371">
        <v>-157.15</v>
      </c>
      <c r="F5672" s="371">
        <v>14702.37</v>
      </c>
      <c r="G5672" s="368" t="s">
        <v>2826</v>
      </c>
      <c r="H5672" s="368" t="s">
        <v>2919</v>
      </c>
      <c r="I5672" s="368" t="s">
        <v>219</v>
      </c>
      <c r="J5672" s="368" t="s">
        <v>757</v>
      </c>
      <c r="K5672" s="368" t="s">
        <v>770</v>
      </c>
      <c r="L5672" s="369">
        <v>44196</v>
      </c>
      <c r="M5672" s="372">
        <v>0</v>
      </c>
    </row>
    <row r="5673" spans="1:13" hidden="1" x14ac:dyDescent="0.25">
      <c r="A5673" s="369">
        <v>44196</v>
      </c>
      <c r="B5673" s="368" t="s">
        <v>2797</v>
      </c>
      <c r="C5673" s="368" t="s">
        <v>1060</v>
      </c>
      <c r="D5673" s="370">
        <v>7</v>
      </c>
      <c r="E5673" s="371">
        <v>157.15</v>
      </c>
      <c r="F5673" s="371">
        <v>14859.52</v>
      </c>
      <c r="G5673" s="368" t="s">
        <v>2798</v>
      </c>
      <c r="H5673" s="368" t="s">
        <v>2919</v>
      </c>
      <c r="I5673" s="368" t="s">
        <v>219</v>
      </c>
      <c r="J5673" s="368" t="s">
        <v>757</v>
      </c>
      <c r="K5673" s="368" t="s">
        <v>741</v>
      </c>
      <c r="L5673" s="369">
        <v>44196</v>
      </c>
      <c r="M5673" s="372">
        <v>0</v>
      </c>
    </row>
    <row r="5674" spans="1:13" hidden="1" x14ac:dyDescent="0.25">
      <c r="A5674" s="369">
        <v>44196</v>
      </c>
      <c r="B5674" s="368" t="s">
        <v>2797</v>
      </c>
      <c r="C5674" s="368" t="s">
        <v>1060</v>
      </c>
      <c r="D5674" s="370">
        <v>7</v>
      </c>
      <c r="E5674" s="371">
        <v>157.15</v>
      </c>
      <c r="F5674" s="371">
        <v>15016.67</v>
      </c>
      <c r="G5674" s="368" t="s">
        <v>2798</v>
      </c>
      <c r="H5674" s="368" t="s">
        <v>2919</v>
      </c>
      <c r="I5674" s="368" t="s">
        <v>219</v>
      </c>
      <c r="J5674" s="368" t="s">
        <v>757</v>
      </c>
      <c r="K5674" s="368" t="s">
        <v>741</v>
      </c>
      <c r="L5674" s="369">
        <v>44196</v>
      </c>
      <c r="M5674" s="372">
        <v>0</v>
      </c>
    </row>
    <row r="5675" spans="1:13" hidden="1" x14ac:dyDescent="0.25">
      <c r="A5675" s="369">
        <v>44196</v>
      </c>
      <c r="B5675" s="368" t="s">
        <v>2797</v>
      </c>
      <c r="C5675" s="368" t="s">
        <v>1060</v>
      </c>
      <c r="D5675" s="370">
        <v>7</v>
      </c>
      <c r="E5675" s="371">
        <v>157.15</v>
      </c>
      <c r="F5675" s="371">
        <v>15173.82</v>
      </c>
      <c r="G5675" s="368" t="s">
        <v>2798</v>
      </c>
      <c r="H5675" s="368" t="s">
        <v>2919</v>
      </c>
      <c r="I5675" s="368" t="s">
        <v>219</v>
      </c>
      <c r="J5675" s="368" t="s">
        <v>757</v>
      </c>
      <c r="K5675" s="368" t="s">
        <v>741</v>
      </c>
      <c r="L5675" s="369">
        <v>44196</v>
      </c>
      <c r="M5675" s="372">
        <v>0</v>
      </c>
    </row>
    <row r="5676" spans="1:13" hidden="1" x14ac:dyDescent="0.25">
      <c r="A5676" s="369">
        <v>44196</v>
      </c>
      <c r="B5676" s="368" t="s">
        <v>2797</v>
      </c>
      <c r="C5676" s="368" t="s">
        <v>1060</v>
      </c>
      <c r="D5676" s="370">
        <v>7</v>
      </c>
      <c r="E5676" s="371">
        <v>157.15</v>
      </c>
      <c r="F5676" s="371">
        <v>15330.97</v>
      </c>
      <c r="G5676" s="368" t="s">
        <v>2798</v>
      </c>
      <c r="H5676" s="368" t="s">
        <v>2919</v>
      </c>
      <c r="I5676" s="368" t="s">
        <v>219</v>
      </c>
      <c r="J5676" s="368" t="s">
        <v>757</v>
      </c>
      <c r="K5676" s="368" t="s">
        <v>741</v>
      </c>
      <c r="L5676" s="369">
        <v>44196</v>
      </c>
      <c r="M5676" s="372">
        <v>0</v>
      </c>
    </row>
    <row r="5677" spans="1:13" hidden="1" x14ac:dyDescent="0.25">
      <c r="A5677" s="369">
        <v>44196</v>
      </c>
      <c r="B5677" s="368" t="s">
        <v>2797</v>
      </c>
      <c r="C5677" s="368" t="s">
        <v>1060</v>
      </c>
      <c r="D5677" s="370">
        <v>7</v>
      </c>
      <c r="E5677" s="371">
        <v>157.15</v>
      </c>
      <c r="F5677" s="371">
        <v>15488.12</v>
      </c>
      <c r="G5677" s="368" t="s">
        <v>2798</v>
      </c>
      <c r="H5677" s="368" t="s">
        <v>2919</v>
      </c>
      <c r="I5677" s="368" t="s">
        <v>219</v>
      </c>
      <c r="J5677" s="368" t="s">
        <v>757</v>
      </c>
      <c r="K5677" s="368" t="s">
        <v>741</v>
      </c>
      <c r="L5677" s="369">
        <v>44196</v>
      </c>
      <c r="M5677" s="372">
        <v>0</v>
      </c>
    </row>
    <row r="5678" spans="1:13" hidden="1" x14ac:dyDescent="0.25">
      <c r="A5678" s="369">
        <v>44196</v>
      </c>
      <c r="B5678" s="368" t="s">
        <v>2797</v>
      </c>
      <c r="C5678" s="368" t="s">
        <v>1060</v>
      </c>
      <c r="D5678" s="370">
        <v>7</v>
      </c>
      <c r="E5678" s="371">
        <v>157.15</v>
      </c>
      <c r="F5678" s="371">
        <v>15645.27</v>
      </c>
      <c r="G5678" s="368" t="s">
        <v>2798</v>
      </c>
      <c r="H5678" s="368" t="s">
        <v>2919</v>
      </c>
      <c r="I5678" s="368" t="s">
        <v>219</v>
      </c>
      <c r="J5678" s="368" t="s">
        <v>757</v>
      </c>
      <c r="K5678" s="368" t="s">
        <v>741</v>
      </c>
      <c r="L5678" s="369">
        <v>44196</v>
      </c>
      <c r="M5678" s="372">
        <v>0</v>
      </c>
    </row>
    <row r="5679" spans="1:13" hidden="1" x14ac:dyDescent="0.25">
      <c r="A5679" s="369">
        <v>44196</v>
      </c>
      <c r="B5679" s="368" t="s">
        <v>2932</v>
      </c>
      <c r="C5679" s="368" t="s">
        <v>769</v>
      </c>
      <c r="D5679" s="370">
        <v>8</v>
      </c>
      <c r="E5679" s="371">
        <v>157.15</v>
      </c>
      <c r="F5679" s="371">
        <v>15802.42</v>
      </c>
      <c r="G5679" s="368" t="s">
        <v>2778</v>
      </c>
      <c r="H5679" s="368" t="s">
        <v>2919</v>
      </c>
      <c r="I5679" s="368" t="s">
        <v>219</v>
      </c>
      <c r="J5679" s="368" t="s">
        <v>757</v>
      </c>
      <c r="K5679" s="368" t="s">
        <v>770</v>
      </c>
      <c r="L5679" s="369">
        <v>44196</v>
      </c>
      <c r="M5679" s="372">
        <v>0</v>
      </c>
    </row>
    <row r="5680" spans="1:13" hidden="1" x14ac:dyDescent="0.25">
      <c r="A5680" s="369">
        <v>44227</v>
      </c>
      <c r="B5680" s="368" t="s">
        <v>2933</v>
      </c>
      <c r="C5680" s="368" t="s">
        <v>769</v>
      </c>
      <c r="D5680" s="370">
        <v>9</v>
      </c>
      <c r="E5680" s="371">
        <v>157.15</v>
      </c>
      <c r="F5680" s="371">
        <v>15959.57</v>
      </c>
      <c r="G5680" s="368" t="s">
        <v>2780</v>
      </c>
      <c r="H5680" s="368" t="s">
        <v>2919</v>
      </c>
      <c r="I5680" s="368" t="s">
        <v>219</v>
      </c>
      <c r="J5680" s="368" t="s">
        <v>757</v>
      </c>
      <c r="K5680" s="368" t="s">
        <v>770</v>
      </c>
      <c r="L5680" s="369">
        <v>44227</v>
      </c>
      <c r="M5680" s="372">
        <v>0</v>
      </c>
    </row>
    <row r="5681" spans="1:13" hidden="1" x14ac:dyDescent="0.25">
      <c r="A5681" s="369">
        <v>44255</v>
      </c>
      <c r="B5681" s="368" t="s">
        <v>2934</v>
      </c>
      <c r="C5681" s="368" t="s">
        <v>769</v>
      </c>
      <c r="D5681" s="370">
        <v>10</v>
      </c>
      <c r="E5681" s="371">
        <v>157.15</v>
      </c>
      <c r="F5681" s="371">
        <v>16116.72</v>
      </c>
      <c r="G5681" s="368" t="s">
        <v>2782</v>
      </c>
      <c r="H5681" s="368" t="s">
        <v>2919</v>
      </c>
      <c r="I5681" s="368" t="s">
        <v>219</v>
      </c>
      <c r="J5681" s="368" t="s">
        <v>757</v>
      </c>
      <c r="K5681" s="368" t="s">
        <v>770</v>
      </c>
      <c r="L5681" s="369">
        <v>44255</v>
      </c>
      <c r="M5681" s="372">
        <v>0</v>
      </c>
    </row>
    <row r="5682" spans="1:13" hidden="1" x14ac:dyDescent="0.25">
      <c r="A5682" s="369">
        <v>44286</v>
      </c>
      <c r="B5682" s="368" t="s">
        <v>2935</v>
      </c>
      <c r="C5682" s="368" t="s">
        <v>936</v>
      </c>
      <c r="D5682" s="370">
        <v>10</v>
      </c>
      <c r="E5682" s="371">
        <v>-157.15</v>
      </c>
      <c r="F5682" s="371">
        <v>15959.57</v>
      </c>
      <c r="G5682" s="368" t="s">
        <v>2936</v>
      </c>
      <c r="H5682" s="368" t="s">
        <v>2919</v>
      </c>
      <c r="I5682" s="368" t="s">
        <v>219</v>
      </c>
      <c r="J5682" s="368" t="s">
        <v>757</v>
      </c>
      <c r="K5682" s="368" t="s">
        <v>770</v>
      </c>
      <c r="L5682" s="369">
        <v>44286</v>
      </c>
      <c r="M5682" s="372">
        <v>0</v>
      </c>
    </row>
    <row r="5683" spans="1:13" hidden="1" x14ac:dyDescent="0.25">
      <c r="A5683" s="369">
        <v>44286</v>
      </c>
      <c r="B5683" s="368" t="s">
        <v>2937</v>
      </c>
      <c r="C5683" s="368" t="s">
        <v>936</v>
      </c>
      <c r="D5683" s="370">
        <v>10</v>
      </c>
      <c r="E5683" s="371">
        <v>-157.15</v>
      </c>
      <c r="F5683" s="371">
        <v>15802.42</v>
      </c>
      <c r="G5683" s="368" t="s">
        <v>2938</v>
      </c>
      <c r="H5683" s="368" t="s">
        <v>2919</v>
      </c>
      <c r="I5683" s="368" t="s">
        <v>219</v>
      </c>
      <c r="J5683" s="368" t="s">
        <v>757</v>
      </c>
      <c r="K5683" s="368" t="s">
        <v>770</v>
      </c>
      <c r="L5683" s="369">
        <v>44286</v>
      </c>
      <c r="M5683" s="372">
        <v>0</v>
      </c>
    </row>
    <row r="5684" spans="1:13" hidden="1" x14ac:dyDescent="0.25">
      <c r="A5684" s="369">
        <v>44286</v>
      </c>
      <c r="B5684" s="368" t="s">
        <v>2939</v>
      </c>
      <c r="C5684" s="368" t="s">
        <v>936</v>
      </c>
      <c r="D5684" s="370">
        <v>10</v>
      </c>
      <c r="E5684" s="371">
        <v>-157.15</v>
      </c>
      <c r="F5684" s="371">
        <v>15645.27</v>
      </c>
      <c r="G5684" s="368" t="s">
        <v>2788</v>
      </c>
      <c r="H5684" s="368" t="s">
        <v>2919</v>
      </c>
      <c r="I5684" s="368" t="s">
        <v>219</v>
      </c>
      <c r="J5684" s="368" t="s">
        <v>757</v>
      </c>
      <c r="K5684" s="368" t="s">
        <v>770</v>
      </c>
      <c r="L5684" s="369">
        <v>44286</v>
      </c>
      <c r="M5684" s="372">
        <v>0</v>
      </c>
    </row>
    <row r="5685" spans="1:13" hidden="1" x14ac:dyDescent="0.25">
      <c r="A5685" s="369">
        <v>43982</v>
      </c>
      <c r="B5685" s="368" t="s">
        <v>2940</v>
      </c>
      <c r="C5685" s="368" t="s">
        <v>769</v>
      </c>
      <c r="D5685" s="370">
        <v>1</v>
      </c>
      <c r="E5685" s="371">
        <v>195.08</v>
      </c>
      <c r="F5685" s="371">
        <v>15997.5</v>
      </c>
      <c r="G5685" s="368" t="s">
        <v>2764</v>
      </c>
      <c r="H5685" s="368" t="s">
        <v>2941</v>
      </c>
      <c r="I5685" s="368" t="s">
        <v>219</v>
      </c>
      <c r="J5685" s="368" t="s">
        <v>757</v>
      </c>
      <c r="K5685" s="368" t="s">
        <v>770</v>
      </c>
      <c r="L5685" s="369">
        <v>43982</v>
      </c>
      <c r="M5685" s="372">
        <v>0</v>
      </c>
    </row>
    <row r="5686" spans="1:13" hidden="1" x14ac:dyDescent="0.25">
      <c r="A5686" s="369">
        <v>44012</v>
      </c>
      <c r="B5686" s="368" t="s">
        <v>2942</v>
      </c>
      <c r="C5686" s="368" t="s">
        <v>769</v>
      </c>
      <c r="D5686" s="370">
        <v>2</v>
      </c>
      <c r="E5686" s="371">
        <v>195.08</v>
      </c>
      <c r="F5686" s="371">
        <v>16192.58</v>
      </c>
      <c r="G5686" s="368" t="s">
        <v>2766</v>
      </c>
      <c r="H5686" s="368" t="s">
        <v>2941</v>
      </c>
      <c r="I5686" s="368" t="s">
        <v>219</v>
      </c>
      <c r="J5686" s="368" t="s">
        <v>757</v>
      </c>
      <c r="K5686" s="368" t="s">
        <v>770</v>
      </c>
      <c r="L5686" s="369">
        <v>44012</v>
      </c>
      <c r="M5686" s="372">
        <v>0</v>
      </c>
    </row>
    <row r="5687" spans="1:13" hidden="1" x14ac:dyDescent="0.25">
      <c r="A5687" s="369">
        <v>44043</v>
      </c>
      <c r="B5687" s="368" t="s">
        <v>2943</v>
      </c>
      <c r="C5687" s="368" t="s">
        <v>769</v>
      </c>
      <c r="D5687" s="370">
        <v>3</v>
      </c>
      <c r="E5687" s="371">
        <v>195.08</v>
      </c>
      <c r="F5687" s="371">
        <v>16387.66</v>
      </c>
      <c r="G5687" s="368" t="s">
        <v>2793</v>
      </c>
      <c r="H5687" s="368" t="s">
        <v>2941</v>
      </c>
      <c r="I5687" s="368" t="s">
        <v>219</v>
      </c>
      <c r="J5687" s="368" t="s">
        <v>757</v>
      </c>
      <c r="K5687" s="368" t="s">
        <v>770</v>
      </c>
      <c r="L5687" s="369">
        <v>44043</v>
      </c>
      <c r="M5687" s="372">
        <v>0</v>
      </c>
    </row>
    <row r="5688" spans="1:13" hidden="1" x14ac:dyDescent="0.25">
      <c r="A5688" s="369">
        <v>44074</v>
      </c>
      <c r="B5688" s="368" t="s">
        <v>2944</v>
      </c>
      <c r="C5688" s="368" t="s">
        <v>769</v>
      </c>
      <c r="D5688" s="370">
        <v>4</v>
      </c>
      <c r="E5688" s="371">
        <v>195.08</v>
      </c>
      <c r="F5688" s="371">
        <v>16582.740000000002</v>
      </c>
      <c r="G5688" s="368" t="s">
        <v>2770</v>
      </c>
      <c r="H5688" s="368" t="s">
        <v>2941</v>
      </c>
      <c r="I5688" s="368" t="s">
        <v>219</v>
      </c>
      <c r="J5688" s="368" t="s">
        <v>757</v>
      </c>
      <c r="K5688" s="368" t="s">
        <v>770</v>
      </c>
      <c r="L5688" s="369">
        <v>44074</v>
      </c>
      <c r="M5688" s="372">
        <v>0</v>
      </c>
    </row>
    <row r="5689" spans="1:13" hidden="1" x14ac:dyDescent="0.25">
      <c r="A5689" s="369">
        <v>44104</v>
      </c>
      <c r="B5689" s="368" t="s">
        <v>2945</v>
      </c>
      <c r="C5689" s="368" t="s">
        <v>769</v>
      </c>
      <c r="D5689" s="370">
        <v>5</v>
      </c>
      <c r="E5689" s="371">
        <v>195.08</v>
      </c>
      <c r="F5689" s="371">
        <v>16777.82</v>
      </c>
      <c r="G5689" s="368" t="s">
        <v>2772</v>
      </c>
      <c r="H5689" s="368" t="s">
        <v>2941</v>
      </c>
      <c r="I5689" s="368" t="s">
        <v>219</v>
      </c>
      <c r="J5689" s="368" t="s">
        <v>757</v>
      </c>
      <c r="K5689" s="368" t="s">
        <v>770</v>
      </c>
      <c r="L5689" s="369">
        <v>44104</v>
      </c>
      <c r="M5689" s="372">
        <v>0</v>
      </c>
    </row>
    <row r="5690" spans="1:13" hidden="1" x14ac:dyDescent="0.25">
      <c r="A5690" s="369">
        <v>44135</v>
      </c>
      <c r="B5690" s="368" t="s">
        <v>2946</v>
      </c>
      <c r="C5690" s="368" t="s">
        <v>769</v>
      </c>
      <c r="D5690" s="370">
        <v>6</v>
      </c>
      <c r="E5690" s="371">
        <v>195.08</v>
      </c>
      <c r="F5690" s="371">
        <v>16972.900000000001</v>
      </c>
      <c r="G5690" s="368" t="s">
        <v>2774</v>
      </c>
      <c r="H5690" s="368" t="s">
        <v>2941</v>
      </c>
      <c r="I5690" s="368" t="s">
        <v>219</v>
      </c>
      <c r="J5690" s="368" t="s">
        <v>757</v>
      </c>
      <c r="K5690" s="368" t="s">
        <v>770</v>
      </c>
      <c r="L5690" s="369">
        <v>44135</v>
      </c>
      <c r="M5690" s="372">
        <v>0</v>
      </c>
    </row>
    <row r="5691" spans="1:13" hidden="1" x14ac:dyDescent="0.25">
      <c r="A5691" s="369">
        <v>44196</v>
      </c>
      <c r="B5691" s="368" t="s">
        <v>2797</v>
      </c>
      <c r="C5691" s="368" t="s">
        <v>1060</v>
      </c>
      <c r="D5691" s="370">
        <v>6</v>
      </c>
      <c r="E5691" s="371">
        <v>-195.08</v>
      </c>
      <c r="F5691" s="371">
        <v>16777.82</v>
      </c>
      <c r="G5691" s="368" t="s">
        <v>2798</v>
      </c>
      <c r="H5691" s="368" t="s">
        <v>2941</v>
      </c>
      <c r="I5691" s="368" t="s">
        <v>219</v>
      </c>
      <c r="J5691" s="368" t="s">
        <v>757</v>
      </c>
      <c r="K5691" s="368" t="s">
        <v>741</v>
      </c>
      <c r="L5691" s="369">
        <v>44196</v>
      </c>
      <c r="M5691" s="372">
        <v>0</v>
      </c>
    </row>
    <row r="5692" spans="1:13" hidden="1" x14ac:dyDescent="0.25">
      <c r="A5692" s="369">
        <v>44196</v>
      </c>
      <c r="B5692" s="368" t="s">
        <v>2797</v>
      </c>
      <c r="C5692" s="368" t="s">
        <v>1060</v>
      </c>
      <c r="D5692" s="370">
        <v>6</v>
      </c>
      <c r="E5692" s="371">
        <v>-195.08</v>
      </c>
      <c r="F5692" s="371">
        <v>16582.740000000002</v>
      </c>
      <c r="G5692" s="368" t="s">
        <v>2798</v>
      </c>
      <c r="H5692" s="368" t="s">
        <v>2941</v>
      </c>
      <c r="I5692" s="368" t="s">
        <v>219</v>
      </c>
      <c r="J5692" s="368" t="s">
        <v>757</v>
      </c>
      <c r="K5692" s="368" t="s">
        <v>741</v>
      </c>
      <c r="L5692" s="369">
        <v>44196</v>
      </c>
      <c r="M5692" s="372">
        <v>0</v>
      </c>
    </row>
    <row r="5693" spans="1:13" hidden="1" x14ac:dyDescent="0.25">
      <c r="A5693" s="369">
        <v>44196</v>
      </c>
      <c r="B5693" s="368" t="s">
        <v>2797</v>
      </c>
      <c r="C5693" s="368" t="s">
        <v>1060</v>
      </c>
      <c r="D5693" s="370">
        <v>6</v>
      </c>
      <c r="E5693" s="371">
        <v>-195.08</v>
      </c>
      <c r="F5693" s="371">
        <v>16387.66</v>
      </c>
      <c r="G5693" s="368" t="s">
        <v>2798</v>
      </c>
      <c r="H5693" s="368" t="s">
        <v>2941</v>
      </c>
      <c r="I5693" s="368" t="s">
        <v>219</v>
      </c>
      <c r="J5693" s="368" t="s">
        <v>757</v>
      </c>
      <c r="K5693" s="368" t="s">
        <v>741</v>
      </c>
      <c r="L5693" s="369">
        <v>44196</v>
      </c>
      <c r="M5693" s="372">
        <v>0</v>
      </c>
    </row>
    <row r="5694" spans="1:13" hidden="1" x14ac:dyDescent="0.25">
      <c r="A5694" s="369">
        <v>44196</v>
      </c>
      <c r="B5694" s="368" t="s">
        <v>2797</v>
      </c>
      <c r="C5694" s="368" t="s">
        <v>1060</v>
      </c>
      <c r="D5694" s="370">
        <v>6</v>
      </c>
      <c r="E5694" s="371">
        <v>-195.08</v>
      </c>
      <c r="F5694" s="371">
        <v>16192.58</v>
      </c>
      <c r="G5694" s="368" t="s">
        <v>2798</v>
      </c>
      <c r="H5694" s="368" t="s">
        <v>2941</v>
      </c>
      <c r="I5694" s="368" t="s">
        <v>219</v>
      </c>
      <c r="J5694" s="368" t="s">
        <v>757</v>
      </c>
      <c r="K5694" s="368" t="s">
        <v>741</v>
      </c>
      <c r="L5694" s="369">
        <v>44196</v>
      </c>
      <c r="M5694" s="372">
        <v>0</v>
      </c>
    </row>
    <row r="5695" spans="1:13" hidden="1" x14ac:dyDescent="0.25">
      <c r="A5695" s="369">
        <v>44196</v>
      </c>
      <c r="B5695" s="368" t="s">
        <v>2797</v>
      </c>
      <c r="C5695" s="368" t="s">
        <v>1060</v>
      </c>
      <c r="D5695" s="370">
        <v>6</v>
      </c>
      <c r="E5695" s="371">
        <v>-195.08</v>
      </c>
      <c r="F5695" s="371">
        <v>15997.5</v>
      </c>
      <c r="G5695" s="368" t="s">
        <v>2798</v>
      </c>
      <c r="H5695" s="368" t="s">
        <v>2941</v>
      </c>
      <c r="I5695" s="368" t="s">
        <v>219</v>
      </c>
      <c r="J5695" s="368" t="s">
        <v>757</v>
      </c>
      <c r="K5695" s="368" t="s">
        <v>741</v>
      </c>
      <c r="L5695" s="369">
        <v>44196</v>
      </c>
      <c r="M5695" s="372">
        <v>0</v>
      </c>
    </row>
    <row r="5696" spans="1:13" hidden="1" x14ac:dyDescent="0.25">
      <c r="A5696" s="369">
        <v>44196</v>
      </c>
      <c r="B5696" s="368" t="s">
        <v>2797</v>
      </c>
      <c r="C5696" s="368" t="s">
        <v>1060</v>
      </c>
      <c r="D5696" s="370">
        <v>6</v>
      </c>
      <c r="E5696" s="371">
        <v>-195.08</v>
      </c>
      <c r="F5696" s="371">
        <v>15802.42</v>
      </c>
      <c r="G5696" s="368" t="s">
        <v>2798</v>
      </c>
      <c r="H5696" s="368" t="s">
        <v>2941</v>
      </c>
      <c r="I5696" s="368" t="s">
        <v>219</v>
      </c>
      <c r="J5696" s="368" t="s">
        <v>757</v>
      </c>
      <c r="K5696" s="368" t="s">
        <v>741</v>
      </c>
      <c r="L5696" s="369">
        <v>44196</v>
      </c>
      <c r="M5696" s="372">
        <v>0</v>
      </c>
    </row>
    <row r="5697" spans="1:13" hidden="1" x14ac:dyDescent="0.25">
      <c r="A5697" s="369">
        <v>44165</v>
      </c>
      <c r="B5697" s="368" t="s">
        <v>2947</v>
      </c>
      <c r="C5697" s="368" t="s">
        <v>769</v>
      </c>
      <c r="D5697" s="370">
        <v>7</v>
      </c>
      <c r="E5697" s="371">
        <v>195.08</v>
      </c>
      <c r="F5697" s="371">
        <v>15997.5</v>
      </c>
      <c r="G5697" s="368" t="s">
        <v>2776</v>
      </c>
      <c r="H5697" s="368" t="s">
        <v>2941</v>
      </c>
      <c r="I5697" s="368" t="s">
        <v>219</v>
      </c>
      <c r="J5697" s="368" t="s">
        <v>757</v>
      </c>
      <c r="K5697" s="368" t="s">
        <v>770</v>
      </c>
      <c r="L5697" s="369">
        <v>44165</v>
      </c>
      <c r="M5697" s="372">
        <v>0</v>
      </c>
    </row>
    <row r="5698" spans="1:13" hidden="1" x14ac:dyDescent="0.25">
      <c r="A5698" s="369">
        <v>44196</v>
      </c>
      <c r="B5698" s="368" t="s">
        <v>2948</v>
      </c>
      <c r="C5698" s="368" t="s">
        <v>936</v>
      </c>
      <c r="D5698" s="370">
        <v>7</v>
      </c>
      <c r="E5698" s="371">
        <v>-195.08</v>
      </c>
      <c r="F5698" s="371">
        <v>15802.42</v>
      </c>
      <c r="G5698" s="368" t="s">
        <v>2845</v>
      </c>
      <c r="H5698" s="368" t="s">
        <v>2941</v>
      </c>
      <c r="I5698" s="368" t="s">
        <v>219</v>
      </c>
      <c r="J5698" s="368" t="s">
        <v>757</v>
      </c>
      <c r="K5698" s="368" t="s">
        <v>770</v>
      </c>
      <c r="L5698" s="369">
        <v>44196</v>
      </c>
      <c r="M5698" s="372">
        <v>0</v>
      </c>
    </row>
    <row r="5699" spans="1:13" hidden="1" x14ac:dyDescent="0.25">
      <c r="A5699" s="369">
        <v>44196</v>
      </c>
      <c r="B5699" s="368" t="s">
        <v>2949</v>
      </c>
      <c r="C5699" s="368" t="s">
        <v>936</v>
      </c>
      <c r="D5699" s="370">
        <v>7</v>
      </c>
      <c r="E5699" s="371">
        <v>-195.08</v>
      </c>
      <c r="F5699" s="371">
        <v>15607.34</v>
      </c>
      <c r="G5699" s="368" t="s">
        <v>2847</v>
      </c>
      <c r="H5699" s="368" t="s">
        <v>2941</v>
      </c>
      <c r="I5699" s="368" t="s">
        <v>219</v>
      </c>
      <c r="J5699" s="368" t="s">
        <v>757</v>
      </c>
      <c r="K5699" s="368" t="s">
        <v>770</v>
      </c>
      <c r="L5699" s="369">
        <v>44196</v>
      </c>
      <c r="M5699" s="372">
        <v>0</v>
      </c>
    </row>
    <row r="5700" spans="1:13" hidden="1" x14ac:dyDescent="0.25">
      <c r="A5700" s="369">
        <v>44196</v>
      </c>
      <c r="B5700" s="368" t="s">
        <v>2950</v>
      </c>
      <c r="C5700" s="368" t="s">
        <v>936</v>
      </c>
      <c r="D5700" s="370">
        <v>7</v>
      </c>
      <c r="E5700" s="371">
        <v>-195.08</v>
      </c>
      <c r="F5700" s="371">
        <v>15412.26</v>
      </c>
      <c r="G5700" s="368" t="s">
        <v>2820</v>
      </c>
      <c r="H5700" s="368" t="s">
        <v>2941</v>
      </c>
      <c r="I5700" s="368" t="s">
        <v>219</v>
      </c>
      <c r="J5700" s="368" t="s">
        <v>757</v>
      </c>
      <c r="K5700" s="368" t="s">
        <v>770</v>
      </c>
      <c r="L5700" s="369">
        <v>44196</v>
      </c>
      <c r="M5700" s="372">
        <v>0</v>
      </c>
    </row>
    <row r="5701" spans="1:13" hidden="1" x14ac:dyDescent="0.25">
      <c r="A5701" s="369">
        <v>44196</v>
      </c>
      <c r="B5701" s="368" t="s">
        <v>2951</v>
      </c>
      <c r="C5701" s="368" t="s">
        <v>936</v>
      </c>
      <c r="D5701" s="370">
        <v>7</v>
      </c>
      <c r="E5701" s="371">
        <v>-195.08</v>
      </c>
      <c r="F5701" s="371">
        <v>15217.18</v>
      </c>
      <c r="G5701" s="368" t="s">
        <v>2822</v>
      </c>
      <c r="H5701" s="368" t="s">
        <v>2941</v>
      </c>
      <c r="I5701" s="368" t="s">
        <v>219</v>
      </c>
      <c r="J5701" s="368" t="s">
        <v>757</v>
      </c>
      <c r="K5701" s="368" t="s">
        <v>770</v>
      </c>
      <c r="L5701" s="369">
        <v>44196</v>
      </c>
      <c r="M5701" s="372">
        <v>0</v>
      </c>
    </row>
    <row r="5702" spans="1:13" hidden="1" x14ac:dyDescent="0.25">
      <c r="A5702" s="369">
        <v>44196</v>
      </c>
      <c r="B5702" s="368" t="s">
        <v>2952</v>
      </c>
      <c r="C5702" s="368" t="s">
        <v>936</v>
      </c>
      <c r="D5702" s="370">
        <v>7</v>
      </c>
      <c r="E5702" s="371">
        <v>-195.08</v>
      </c>
      <c r="F5702" s="371">
        <v>15022.1</v>
      </c>
      <c r="G5702" s="368" t="s">
        <v>2953</v>
      </c>
      <c r="H5702" s="368" t="s">
        <v>2941</v>
      </c>
      <c r="I5702" s="368" t="s">
        <v>219</v>
      </c>
      <c r="J5702" s="368" t="s">
        <v>757</v>
      </c>
      <c r="K5702" s="368" t="s">
        <v>770</v>
      </c>
      <c r="L5702" s="369">
        <v>44196</v>
      </c>
      <c r="M5702" s="372">
        <v>0</v>
      </c>
    </row>
    <row r="5703" spans="1:13" hidden="1" x14ac:dyDescent="0.25">
      <c r="A5703" s="369">
        <v>44196</v>
      </c>
      <c r="B5703" s="368" t="s">
        <v>2797</v>
      </c>
      <c r="C5703" s="368" t="s">
        <v>1060</v>
      </c>
      <c r="D5703" s="370">
        <v>7</v>
      </c>
      <c r="E5703" s="371">
        <v>195.08</v>
      </c>
      <c r="F5703" s="371">
        <v>15217.18</v>
      </c>
      <c r="G5703" s="368" t="s">
        <v>2798</v>
      </c>
      <c r="H5703" s="368" t="s">
        <v>2941</v>
      </c>
      <c r="I5703" s="368" t="s">
        <v>219</v>
      </c>
      <c r="J5703" s="368" t="s">
        <v>757</v>
      </c>
      <c r="K5703" s="368" t="s">
        <v>741</v>
      </c>
      <c r="L5703" s="369">
        <v>44196</v>
      </c>
      <c r="M5703" s="372">
        <v>0</v>
      </c>
    </row>
    <row r="5704" spans="1:13" hidden="1" x14ac:dyDescent="0.25">
      <c r="A5704" s="369">
        <v>44196</v>
      </c>
      <c r="B5704" s="368" t="s">
        <v>2797</v>
      </c>
      <c r="C5704" s="368" t="s">
        <v>1060</v>
      </c>
      <c r="D5704" s="370">
        <v>7</v>
      </c>
      <c r="E5704" s="371">
        <v>195.08</v>
      </c>
      <c r="F5704" s="371">
        <v>15412.26</v>
      </c>
      <c r="G5704" s="368" t="s">
        <v>2798</v>
      </c>
      <c r="H5704" s="368" t="s">
        <v>2941</v>
      </c>
      <c r="I5704" s="368" t="s">
        <v>219</v>
      </c>
      <c r="J5704" s="368" t="s">
        <v>757</v>
      </c>
      <c r="K5704" s="368" t="s">
        <v>741</v>
      </c>
      <c r="L5704" s="369">
        <v>44196</v>
      </c>
      <c r="M5704" s="372">
        <v>0</v>
      </c>
    </row>
    <row r="5705" spans="1:13" hidden="1" x14ac:dyDescent="0.25">
      <c r="A5705" s="369">
        <v>44196</v>
      </c>
      <c r="B5705" s="368" t="s">
        <v>2797</v>
      </c>
      <c r="C5705" s="368" t="s">
        <v>1060</v>
      </c>
      <c r="D5705" s="370">
        <v>7</v>
      </c>
      <c r="E5705" s="371">
        <v>195.08</v>
      </c>
      <c r="F5705" s="371">
        <v>15607.34</v>
      </c>
      <c r="G5705" s="368" t="s">
        <v>2798</v>
      </c>
      <c r="H5705" s="368" t="s">
        <v>2941</v>
      </c>
      <c r="I5705" s="368" t="s">
        <v>219</v>
      </c>
      <c r="J5705" s="368" t="s">
        <v>757</v>
      </c>
      <c r="K5705" s="368" t="s">
        <v>741</v>
      </c>
      <c r="L5705" s="369">
        <v>44196</v>
      </c>
      <c r="M5705" s="372">
        <v>0</v>
      </c>
    </row>
    <row r="5706" spans="1:13" hidden="1" x14ac:dyDescent="0.25">
      <c r="A5706" s="369">
        <v>44196</v>
      </c>
      <c r="B5706" s="368" t="s">
        <v>2797</v>
      </c>
      <c r="C5706" s="368" t="s">
        <v>1060</v>
      </c>
      <c r="D5706" s="370">
        <v>7</v>
      </c>
      <c r="E5706" s="371">
        <v>195.08</v>
      </c>
      <c r="F5706" s="371">
        <v>15802.42</v>
      </c>
      <c r="G5706" s="368" t="s">
        <v>2798</v>
      </c>
      <c r="H5706" s="368" t="s">
        <v>2941</v>
      </c>
      <c r="I5706" s="368" t="s">
        <v>219</v>
      </c>
      <c r="J5706" s="368" t="s">
        <v>757</v>
      </c>
      <c r="K5706" s="368" t="s">
        <v>741</v>
      </c>
      <c r="L5706" s="369">
        <v>44196</v>
      </c>
      <c r="M5706" s="372">
        <v>0</v>
      </c>
    </row>
    <row r="5707" spans="1:13" hidden="1" x14ac:dyDescent="0.25">
      <c r="A5707" s="369">
        <v>44196</v>
      </c>
      <c r="B5707" s="368" t="s">
        <v>2797</v>
      </c>
      <c r="C5707" s="368" t="s">
        <v>1060</v>
      </c>
      <c r="D5707" s="370">
        <v>7</v>
      </c>
      <c r="E5707" s="371">
        <v>195.08</v>
      </c>
      <c r="F5707" s="371">
        <v>15997.5</v>
      </c>
      <c r="G5707" s="368" t="s">
        <v>2798</v>
      </c>
      <c r="H5707" s="368" t="s">
        <v>2941</v>
      </c>
      <c r="I5707" s="368" t="s">
        <v>219</v>
      </c>
      <c r="J5707" s="368" t="s">
        <v>757</v>
      </c>
      <c r="K5707" s="368" t="s">
        <v>741</v>
      </c>
      <c r="L5707" s="369">
        <v>44196</v>
      </c>
      <c r="M5707" s="372">
        <v>0</v>
      </c>
    </row>
    <row r="5708" spans="1:13" hidden="1" x14ac:dyDescent="0.25">
      <c r="A5708" s="369">
        <v>44196</v>
      </c>
      <c r="B5708" s="368" t="s">
        <v>2797</v>
      </c>
      <c r="C5708" s="368" t="s">
        <v>1060</v>
      </c>
      <c r="D5708" s="370">
        <v>7</v>
      </c>
      <c r="E5708" s="371">
        <v>195.08</v>
      </c>
      <c r="F5708" s="371">
        <v>16192.58</v>
      </c>
      <c r="G5708" s="368" t="s">
        <v>2798</v>
      </c>
      <c r="H5708" s="368" t="s">
        <v>2941</v>
      </c>
      <c r="I5708" s="368" t="s">
        <v>219</v>
      </c>
      <c r="J5708" s="368" t="s">
        <v>757</v>
      </c>
      <c r="K5708" s="368" t="s">
        <v>741</v>
      </c>
      <c r="L5708" s="369">
        <v>44196</v>
      </c>
      <c r="M5708" s="372">
        <v>0</v>
      </c>
    </row>
    <row r="5709" spans="1:13" hidden="1" x14ac:dyDescent="0.25">
      <c r="A5709" s="369">
        <v>44196</v>
      </c>
      <c r="B5709" s="368" t="s">
        <v>2954</v>
      </c>
      <c r="C5709" s="368" t="s">
        <v>936</v>
      </c>
      <c r="D5709" s="370">
        <v>7</v>
      </c>
      <c r="E5709" s="371">
        <v>-195.08</v>
      </c>
      <c r="F5709" s="371">
        <v>15997.5</v>
      </c>
      <c r="G5709" s="368" t="s">
        <v>2826</v>
      </c>
      <c r="H5709" s="368" t="s">
        <v>2941</v>
      </c>
      <c r="I5709" s="368" t="s">
        <v>219</v>
      </c>
      <c r="J5709" s="368" t="s">
        <v>757</v>
      </c>
      <c r="K5709" s="368" t="s">
        <v>770</v>
      </c>
      <c r="L5709" s="369">
        <v>44196</v>
      </c>
      <c r="M5709" s="372">
        <v>0</v>
      </c>
    </row>
    <row r="5710" spans="1:13" hidden="1" x14ac:dyDescent="0.25">
      <c r="A5710" s="369">
        <v>44196</v>
      </c>
      <c r="B5710" s="368" t="s">
        <v>2955</v>
      </c>
      <c r="C5710" s="368" t="s">
        <v>769</v>
      </c>
      <c r="D5710" s="370">
        <v>8</v>
      </c>
      <c r="E5710" s="371">
        <v>195.08</v>
      </c>
      <c r="F5710" s="371">
        <v>16192.58</v>
      </c>
      <c r="G5710" s="368" t="s">
        <v>2778</v>
      </c>
      <c r="H5710" s="368" t="s">
        <v>2941</v>
      </c>
      <c r="I5710" s="368" t="s">
        <v>219</v>
      </c>
      <c r="J5710" s="368" t="s">
        <v>757</v>
      </c>
      <c r="K5710" s="368" t="s">
        <v>770</v>
      </c>
      <c r="L5710" s="369">
        <v>44196</v>
      </c>
      <c r="M5710" s="372">
        <v>0</v>
      </c>
    </row>
    <row r="5711" spans="1:13" hidden="1" x14ac:dyDescent="0.25">
      <c r="A5711" s="369">
        <v>44227</v>
      </c>
      <c r="B5711" s="368" t="s">
        <v>2956</v>
      </c>
      <c r="C5711" s="368" t="s">
        <v>769</v>
      </c>
      <c r="D5711" s="370">
        <v>9</v>
      </c>
      <c r="E5711" s="371">
        <v>195.08</v>
      </c>
      <c r="F5711" s="371">
        <v>16387.66</v>
      </c>
      <c r="G5711" s="368" t="s">
        <v>2780</v>
      </c>
      <c r="H5711" s="368" t="s">
        <v>2941</v>
      </c>
      <c r="I5711" s="368" t="s">
        <v>219</v>
      </c>
      <c r="J5711" s="368" t="s">
        <v>757</v>
      </c>
      <c r="K5711" s="368" t="s">
        <v>770</v>
      </c>
      <c r="L5711" s="369">
        <v>44227</v>
      </c>
      <c r="M5711" s="372">
        <v>0</v>
      </c>
    </row>
    <row r="5712" spans="1:13" hidden="1" x14ac:dyDescent="0.25">
      <c r="A5712" s="369">
        <v>44255</v>
      </c>
      <c r="B5712" s="368" t="s">
        <v>2957</v>
      </c>
      <c r="C5712" s="368" t="s">
        <v>769</v>
      </c>
      <c r="D5712" s="370">
        <v>10</v>
      </c>
      <c r="E5712" s="371">
        <v>195.08</v>
      </c>
      <c r="F5712" s="371">
        <v>16582.740000000002</v>
      </c>
      <c r="G5712" s="368" t="s">
        <v>2782</v>
      </c>
      <c r="H5712" s="368" t="s">
        <v>2941</v>
      </c>
      <c r="I5712" s="368" t="s">
        <v>219</v>
      </c>
      <c r="J5712" s="368" t="s">
        <v>757</v>
      </c>
      <c r="K5712" s="368" t="s">
        <v>770</v>
      </c>
      <c r="L5712" s="369">
        <v>44255</v>
      </c>
      <c r="M5712" s="372">
        <v>0</v>
      </c>
    </row>
    <row r="5713" spans="1:13" hidden="1" x14ac:dyDescent="0.25">
      <c r="A5713" s="369">
        <v>44286</v>
      </c>
      <c r="B5713" s="368" t="s">
        <v>2958</v>
      </c>
      <c r="C5713" s="368" t="s">
        <v>936</v>
      </c>
      <c r="D5713" s="370">
        <v>10</v>
      </c>
      <c r="E5713" s="371">
        <v>-195.08</v>
      </c>
      <c r="F5713" s="371">
        <v>16387.66</v>
      </c>
      <c r="G5713" s="368" t="s">
        <v>2959</v>
      </c>
      <c r="H5713" s="368" t="s">
        <v>2941</v>
      </c>
      <c r="I5713" s="368" t="s">
        <v>219</v>
      </c>
      <c r="J5713" s="368" t="s">
        <v>757</v>
      </c>
      <c r="K5713" s="368" t="s">
        <v>770</v>
      </c>
      <c r="L5713" s="369">
        <v>44286</v>
      </c>
      <c r="M5713" s="372">
        <v>0</v>
      </c>
    </row>
    <row r="5714" spans="1:13" hidden="1" x14ac:dyDescent="0.25">
      <c r="A5714" s="369">
        <v>44286</v>
      </c>
      <c r="B5714" s="368" t="s">
        <v>2960</v>
      </c>
      <c r="C5714" s="368" t="s">
        <v>936</v>
      </c>
      <c r="D5714" s="370">
        <v>10</v>
      </c>
      <c r="E5714" s="371">
        <v>-195.08</v>
      </c>
      <c r="F5714" s="371">
        <v>16192.58</v>
      </c>
      <c r="G5714" s="368" t="s">
        <v>2786</v>
      </c>
      <c r="H5714" s="368" t="s">
        <v>2941</v>
      </c>
      <c r="I5714" s="368" t="s">
        <v>219</v>
      </c>
      <c r="J5714" s="368" t="s">
        <v>757</v>
      </c>
      <c r="K5714" s="368" t="s">
        <v>770</v>
      </c>
      <c r="L5714" s="369">
        <v>44286</v>
      </c>
      <c r="M5714" s="372">
        <v>0</v>
      </c>
    </row>
    <row r="5715" spans="1:13" hidden="1" x14ac:dyDescent="0.25">
      <c r="A5715" s="369">
        <v>44286</v>
      </c>
      <c r="B5715" s="368" t="s">
        <v>2961</v>
      </c>
      <c r="C5715" s="368" t="s">
        <v>936</v>
      </c>
      <c r="D5715" s="370">
        <v>10</v>
      </c>
      <c r="E5715" s="371">
        <v>-195.08</v>
      </c>
      <c r="F5715" s="371">
        <v>15997.5</v>
      </c>
      <c r="G5715" s="368" t="s">
        <v>2788</v>
      </c>
      <c r="H5715" s="368" t="s">
        <v>2941</v>
      </c>
      <c r="I5715" s="368" t="s">
        <v>219</v>
      </c>
      <c r="J5715" s="368" t="s">
        <v>757</v>
      </c>
      <c r="K5715" s="368" t="s">
        <v>770</v>
      </c>
      <c r="L5715" s="369">
        <v>44286</v>
      </c>
      <c r="M5715" s="372">
        <v>0</v>
      </c>
    </row>
    <row r="5716" spans="1:13" hidden="1" x14ac:dyDescent="0.25">
      <c r="A5716" s="369">
        <v>43982</v>
      </c>
      <c r="B5716" s="368" t="s">
        <v>2962</v>
      </c>
      <c r="C5716" s="368" t="s">
        <v>769</v>
      </c>
      <c r="D5716" s="370">
        <v>1</v>
      </c>
      <c r="E5716" s="371">
        <v>174.48</v>
      </c>
      <c r="F5716" s="371">
        <v>16367.06</v>
      </c>
      <c r="G5716" s="368" t="s">
        <v>2764</v>
      </c>
      <c r="H5716" s="368" t="s">
        <v>2963</v>
      </c>
      <c r="I5716" s="368" t="s">
        <v>219</v>
      </c>
      <c r="J5716" s="368" t="s">
        <v>757</v>
      </c>
      <c r="K5716" s="368" t="s">
        <v>770</v>
      </c>
      <c r="L5716" s="369">
        <v>43982</v>
      </c>
      <c r="M5716" s="372">
        <v>0</v>
      </c>
    </row>
    <row r="5717" spans="1:13" hidden="1" x14ac:dyDescent="0.25">
      <c r="A5717" s="369">
        <v>44012</v>
      </c>
      <c r="B5717" s="368" t="s">
        <v>2964</v>
      </c>
      <c r="C5717" s="368" t="s">
        <v>769</v>
      </c>
      <c r="D5717" s="370">
        <v>2</v>
      </c>
      <c r="E5717" s="371">
        <v>174.48</v>
      </c>
      <c r="F5717" s="371">
        <v>16541.54</v>
      </c>
      <c r="G5717" s="368" t="s">
        <v>2766</v>
      </c>
      <c r="H5717" s="368" t="s">
        <v>2963</v>
      </c>
      <c r="I5717" s="368" t="s">
        <v>219</v>
      </c>
      <c r="J5717" s="368" t="s">
        <v>757</v>
      </c>
      <c r="K5717" s="368" t="s">
        <v>770</v>
      </c>
      <c r="L5717" s="369">
        <v>44012</v>
      </c>
      <c r="M5717" s="372">
        <v>0</v>
      </c>
    </row>
    <row r="5718" spans="1:13" hidden="1" x14ac:dyDescent="0.25">
      <c r="A5718" s="369">
        <v>44043</v>
      </c>
      <c r="B5718" s="368" t="s">
        <v>2965</v>
      </c>
      <c r="C5718" s="368" t="s">
        <v>769</v>
      </c>
      <c r="D5718" s="370">
        <v>3</v>
      </c>
      <c r="E5718" s="371">
        <v>174.48</v>
      </c>
      <c r="F5718" s="371">
        <v>16716.02</v>
      </c>
      <c r="G5718" s="368" t="s">
        <v>2793</v>
      </c>
      <c r="H5718" s="368" t="s">
        <v>2963</v>
      </c>
      <c r="I5718" s="368" t="s">
        <v>219</v>
      </c>
      <c r="J5718" s="368" t="s">
        <v>757</v>
      </c>
      <c r="K5718" s="368" t="s">
        <v>770</v>
      </c>
      <c r="L5718" s="369">
        <v>44043</v>
      </c>
      <c r="M5718" s="372">
        <v>0</v>
      </c>
    </row>
    <row r="5719" spans="1:13" hidden="1" x14ac:dyDescent="0.25">
      <c r="A5719" s="369">
        <v>44074</v>
      </c>
      <c r="B5719" s="368" t="s">
        <v>2966</v>
      </c>
      <c r="C5719" s="368" t="s">
        <v>769</v>
      </c>
      <c r="D5719" s="370">
        <v>4</v>
      </c>
      <c r="E5719" s="371">
        <v>174.48</v>
      </c>
      <c r="F5719" s="371">
        <v>16890.5</v>
      </c>
      <c r="G5719" s="368" t="s">
        <v>2770</v>
      </c>
      <c r="H5719" s="368" t="s">
        <v>2963</v>
      </c>
      <c r="I5719" s="368" t="s">
        <v>219</v>
      </c>
      <c r="J5719" s="368" t="s">
        <v>757</v>
      </c>
      <c r="K5719" s="368" t="s">
        <v>770</v>
      </c>
      <c r="L5719" s="369">
        <v>44074</v>
      </c>
      <c r="M5719" s="372">
        <v>0</v>
      </c>
    </row>
    <row r="5720" spans="1:13" hidden="1" x14ac:dyDescent="0.25">
      <c r="A5720" s="369">
        <v>44104</v>
      </c>
      <c r="B5720" s="368" t="s">
        <v>2967</v>
      </c>
      <c r="C5720" s="368" t="s">
        <v>769</v>
      </c>
      <c r="D5720" s="370">
        <v>5</v>
      </c>
      <c r="E5720" s="371">
        <v>174.48</v>
      </c>
      <c r="F5720" s="371">
        <v>17064.98</v>
      </c>
      <c r="G5720" s="368" t="s">
        <v>2772</v>
      </c>
      <c r="H5720" s="368" t="s">
        <v>2963</v>
      </c>
      <c r="I5720" s="368" t="s">
        <v>219</v>
      </c>
      <c r="J5720" s="368" t="s">
        <v>757</v>
      </c>
      <c r="K5720" s="368" t="s">
        <v>770</v>
      </c>
      <c r="L5720" s="369">
        <v>44104</v>
      </c>
      <c r="M5720" s="372">
        <v>0</v>
      </c>
    </row>
    <row r="5721" spans="1:13" hidden="1" x14ac:dyDescent="0.25">
      <c r="A5721" s="369">
        <v>44135</v>
      </c>
      <c r="B5721" s="368" t="s">
        <v>2968</v>
      </c>
      <c r="C5721" s="368" t="s">
        <v>769</v>
      </c>
      <c r="D5721" s="370">
        <v>6</v>
      </c>
      <c r="E5721" s="371">
        <v>174.48</v>
      </c>
      <c r="F5721" s="371">
        <v>17239.46</v>
      </c>
      <c r="G5721" s="368" t="s">
        <v>2774</v>
      </c>
      <c r="H5721" s="368" t="s">
        <v>2963</v>
      </c>
      <c r="I5721" s="368" t="s">
        <v>219</v>
      </c>
      <c r="J5721" s="368" t="s">
        <v>757</v>
      </c>
      <c r="K5721" s="368" t="s">
        <v>770</v>
      </c>
      <c r="L5721" s="369">
        <v>44135</v>
      </c>
      <c r="M5721" s="372">
        <v>0</v>
      </c>
    </row>
    <row r="5722" spans="1:13" hidden="1" x14ac:dyDescent="0.25">
      <c r="A5722" s="369">
        <v>44196</v>
      </c>
      <c r="B5722" s="368" t="s">
        <v>2797</v>
      </c>
      <c r="C5722" s="368" t="s">
        <v>1060</v>
      </c>
      <c r="D5722" s="370">
        <v>6</v>
      </c>
      <c r="E5722" s="371">
        <v>-174.48</v>
      </c>
      <c r="F5722" s="371">
        <v>17064.98</v>
      </c>
      <c r="G5722" s="368" t="s">
        <v>2798</v>
      </c>
      <c r="H5722" s="368" t="s">
        <v>2963</v>
      </c>
      <c r="I5722" s="368" t="s">
        <v>219</v>
      </c>
      <c r="J5722" s="368" t="s">
        <v>757</v>
      </c>
      <c r="K5722" s="368" t="s">
        <v>741</v>
      </c>
      <c r="L5722" s="369">
        <v>44196</v>
      </c>
      <c r="M5722" s="372">
        <v>0</v>
      </c>
    </row>
    <row r="5723" spans="1:13" hidden="1" x14ac:dyDescent="0.25">
      <c r="A5723" s="369">
        <v>44196</v>
      </c>
      <c r="B5723" s="368" t="s">
        <v>2797</v>
      </c>
      <c r="C5723" s="368" t="s">
        <v>1060</v>
      </c>
      <c r="D5723" s="370">
        <v>6</v>
      </c>
      <c r="E5723" s="371">
        <v>-174.48</v>
      </c>
      <c r="F5723" s="371">
        <v>16890.5</v>
      </c>
      <c r="G5723" s="368" t="s">
        <v>2798</v>
      </c>
      <c r="H5723" s="368" t="s">
        <v>2963</v>
      </c>
      <c r="I5723" s="368" t="s">
        <v>219</v>
      </c>
      <c r="J5723" s="368" t="s">
        <v>757</v>
      </c>
      <c r="K5723" s="368" t="s">
        <v>741</v>
      </c>
      <c r="L5723" s="369">
        <v>44196</v>
      </c>
      <c r="M5723" s="372">
        <v>0</v>
      </c>
    </row>
    <row r="5724" spans="1:13" hidden="1" x14ac:dyDescent="0.25">
      <c r="A5724" s="369">
        <v>44196</v>
      </c>
      <c r="B5724" s="368" t="s">
        <v>2797</v>
      </c>
      <c r="C5724" s="368" t="s">
        <v>1060</v>
      </c>
      <c r="D5724" s="370">
        <v>6</v>
      </c>
      <c r="E5724" s="371">
        <v>-174.48</v>
      </c>
      <c r="F5724" s="371">
        <v>16716.02</v>
      </c>
      <c r="G5724" s="368" t="s">
        <v>2798</v>
      </c>
      <c r="H5724" s="368" t="s">
        <v>2963</v>
      </c>
      <c r="I5724" s="368" t="s">
        <v>219</v>
      </c>
      <c r="J5724" s="368" t="s">
        <v>757</v>
      </c>
      <c r="K5724" s="368" t="s">
        <v>741</v>
      </c>
      <c r="L5724" s="369">
        <v>44196</v>
      </c>
      <c r="M5724" s="372">
        <v>0</v>
      </c>
    </row>
    <row r="5725" spans="1:13" hidden="1" x14ac:dyDescent="0.25">
      <c r="A5725" s="369">
        <v>44196</v>
      </c>
      <c r="B5725" s="368" t="s">
        <v>2797</v>
      </c>
      <c r="C5725" s="368" t="s">
        <v>1060</v>
      </c>
      <c r="D5725" s="370">
        <v>6</v>
      </c>
      <c r="E5725" s="371">
        <v>-174.48</v>
      </c>
      <c r="F5725" s="371">
        <v>16541.54</v>
      </c>
      <c r="G5725" s="368" t="s">
        <v>2798</v>
      </c>
      <c r="H5725" s="368" t="s">
        <v>2963</v>
      </c>
      <c r="I5725" s="368" t="s">
        <v>219</v>
      </c>
      <c r="J5725" s="368" t="s">
        <v>757</v>
      </c>
      <c r="K5725" s="368" t="s">
        <v>741</v>
      </c>
      <c r="L5725" s="369">
        <v>44196</v>
      </c>
      <c r="M5725" s="372">
        <v>0</v>
      </c>
    </row>
    <row r="5726" spans="1:13" hidden="1" x14ac:dyDescent="0.25">
      <c r="A5726" s="369">
        <v>44196</v>
      </c>
      <c r="B5726" s="368" t="s">
        <v>2797</v>
      </c>
      <c r="C5726" s="368" t="s">
        <v>1060</v>
      </c>
      <c r="D5726" s="370">
        <v>6</v>
      </c>
      <c r="E5726" s="371">
        <v>-174.48</v>
      </c>
      <c r="F5726" s="371">
        <v>16367.06</v>
      </c>
      <c r="G5726" s="368" t="s">
        <v>2798</v>
      </c>
      <c r="H5726" s="368" t="s">
        <v>2963</v>
      </c>
      <c r="I5726" s="368" t="s">
        <v>219</v>
      </c>
      <c r="J5726" s="368" t="s">
        <v>757</v>
      </c>
      <c r="K5726" s="368" t="s">
        <v>741</v>
      </c>
      <c r="L5726" s="369">
        <v>44196</v>
      </c>
      <c r="M5726" s="372">
        <v>0</v>
      </c>
    </row>
    <row r="5727" spans="1:13" hidden="1" x14ac:dyDescent="0.25">
      <c r="A5727" s="369">
        <v>44165</v>
      </c>
      <c r="B5727" s="368" t="s">
        <v>2969</v>
      </c>
      <c r="C5727" s="368" t="s">
        <v>769</v>
      </c>
      <c r="D5727" s="370">
        <v>7</v>
      </c>
      <c r="E5727" s="371">
        <v>174.48</v>
      </c>
      <c r="F5727" s="371">
        <v>16541.54</v>
      </c>
      <c r="G5727" s="368" t="s">
        <v>2776</v>
      </c>
      <c r="H5727" s="368" t="s">
        <v>2963</v>
      </c>
      <c r="I5727" s="368" t="s">
        <v>219</v>
      </c>
      <c r="J5727" s="368" t="s">
        <v>757</v>
      </c>
      <c r="K5727" s="368" t="s">
        <v>770</v>
      </c>
      <c r="L5727" s="369">
        <v>44165</v>
      </c>
      <c r="M5727" s="372">
        <v>0</v>
      </c>
    </row>
    <row r="5728" spans="1:13" hidden="1" x14ac:dyDescent="0.25">
      <c r="A5728" s="369">
        <v>44196</v>
      </c>
      <c r="B5728" s="368" t="s">
        <v>2797</v>
      </c>
      <c r="C5728" s="368" t="s">
        <v>1060</v>
      </c>
      <c r="D5728" s="370">
        <v>7</v>
      </c>
      <c r="E5728" s="371">
        <v>174.48</v>
      </c>
      <c r="F5728" s="371">
        <v>16716.02</v>
      </c>
      <c r="G5728" s="368" t="s">
        <v>2798</v>
      </c>
      <c r="H5728" s="368" t="s">
        <v>2963</v>
      </c>
      <c r="I5728" s="368" t="s">
        <v>219</v>
      </c>
      <c r="J5728" s="368" t="s">
        <v>757</v>
      </c>
      <c r="K5728" s="368" t="s">
        <v>741</v>
      </c>
      <c r="L5728" s="369">
        <v>44196</v>
      </c>
      <c r="M5728" s="372">
        <v>0</v>
      </c>
    </row>
    <row r="5729" spans="1:13" hidden="1" x14ac:dyDescent="0.25">
      <c r="A5729" s="369">
        <v>44196</v>
      </c>
      <c r="B5729" s="368" t="s">
        <v>2797</v>
      </c>
      <c r="C5729" s="368" t="s">
        <v>1060</v>
      </c>
      <c r="D5729" s="370">
        <v>7</v>
      </c>
      <c r="E5729" s="371">
        <v>174.48</v>
      </c>
      <c r="F5729" s="371">
        <v>16890.5</v>
      </c>
      <c r="G5729" s="368" t="s">
        <v>2798</v>
      </c>
      <c r="H5729" s="368" t="s">
        <v>2963</v>
      </c>
      <c r="I5729" s="368" t="s">
        <v>219</v>
      </c>
      <c r="J5729" s="368" t="s">
        <v>757</v>
      </c>
      <c r="K5729" s="368" t="s">
        <v>741</v>
      </c>
      <c r="L5729" s="369">
        <v>44196</v>
      </c>
      <c r="M5729" s="372">
        <v>0</v>
      </c>
    </row>
    <row r="5730" spans="1:13" hidden="1" x14ac:dyDescent="0.25">
      <c r="A5730" s="369">
        <v>44196</v>
      </c>
      <c r="B5730" s="368" t="s">
        <v>2970</v>
      </c>
      <c r="C5730" s="368" t="s">
        <v>936</v>
      </c>
      <c r="D5730" s="370">
        <v>7</v>
      </c>
      <c r="E5730" s="371">
        <v>-174.48</v>
      </c>
      <c r="F5730" s="371">
        <v>16716.02</v>
      </c>
      <c r="G5730" s="368" t="s">
        <v>2824</v>
      </c>
      <c r="H5730" s="368" t="s">
        <v>2963</v>
      </c>
      <c r="I5730" s="368" t="s">
        <v>219</v>
      </c>
      <c r="J5730" s="368" t="s">
        <v>757</v>
      </c>
      <c r="K5730" s="368" t="s">
        <v>770</v>
      </c>
      <c r="L5730" s="369">
        <v>44196</v>
      </c>
      <c r="M5730" s="372">
        <v>0</v>
      </c>
    </row>
    <row r="5731" spans="1:13" hidden="1" x14ac:dyDescent="0.25">
      <c r="A5731" s="369">
        <v>44196</v>
      </c>
      <c r="B5731" s="368" t="s">
        <v>2971</v>
      </c>
      <c r="C5731" s="368" t="s">
        <v>936</v>
      </c>
      <c r="D5731" s="370">
        <v>7</v>
      </c>
      <c r="E5731" s="371">
        <v>-174.48</v>
      </c>
      <c r="F5731" s="371">
        <v>16541.54</v>
      </c>
      <c r="G5731" s="368" t="s">
        <v>2822</v>
      </c>
      <c r="H5731" s="368" t="s">
        <v>2963</v>
      </c>
      <c r="I5731" s="368" t="s">
        <v>219</v>
      </c>
      <c r="J5731" s="368" t="s">
        <v>757</v>
      </c>
      <c r="K5731" s="368" t="s">
        <v>770</v>
      </c>
      <c r="L5731" s="369">
        <v>44196</v>
      </c>
      <c r="M5731" s="372">
        <v>0</v>
      </c>
    </row>
    <row r="5732" spans="1:13" hidden="1" x14ac:dyDescent="0.25">
      <c r="A5732" s="369">
        <v>44196</v>
      </c>
      <c r="B5732" s="368" t="s">
        <v>2972</v>
      </c>
      <c r="C5732" s="368" t="s">
        <v>936</v>
      </c>
      <c r="D5732" s="370">
        <v>7</v>
      </c>
      <c r="E5732" s="371">
        <v>-174.48</v>
      </c>
      <c r="F5732" s="371">
        <v>16367.06</v>
      </c>
      <c r="G5732" s="368" t="s">
        <v>2820</v>
      </c>
      <c r="H5732" s="368" t="s">
        <v>2963</v>
      </c>
      <c r="I5732" s="368" t="s">
        <v>219</v>
      </c>
      <c r="J5732" s="368" t="s">
        <v>757</v>
      </c>
      <c r="K5732" s="368" t="s">
        <v>770</v>
      </c>
      <c r="L5732" s="369">
        <v>44196</v>
      </c>
      <c r="M5732" s="372">
        <v>0</v>
      </c>
    </row>
    <row r="5733" spans="1:13" hidden="1" x14ac:dyDescent="0.25">
      <c r="A5733" s="369">
        <v>44196</v>
      </c>
      <c r="B5733" s="368" t="s">
        <v>2973</v>
      </c>
      <c r="C5733" s="368" t="s">
        <v>936</v>
      </c>
      <c r="D5733" s="370">
        <v>7</v>
      </c>
      <c r="E5733" s="371">
        <v>-174.48</v>
      </c>
      <c r="F5733" s="371">
        <v>16192.58</v>
      </c>
      <c r="G5733" s="368" t="s">
        <v>2847</v>
      </c>
      <c r="H5733" s="368" t="s">
        <v>2963</v>
      </c>
      <c r="I5733" s="368" t="s">
        <v>219</v>
      </c>
      <c r="J5733" s="368" t="s">
        <v>757</v>
      </c>
      <c r="K5733" s="368" t="s">
        <v>770</v>
      </c>
      <c r="L5733" s="369">
        <v>44196</v>
      </c>
      <c r="M5733" s="372">
        <v>0</v>
      </c>
    </row>
    <row r="5734" spans="1:13" hidden="1" x14ac:dyDescent="0.25">
      <c r="A5734" s="369">
        <v>44196</v>
      </c>
      <c r="B5734" s="368" t="s">
        <v>2974</v>
      </c>
      <c r="C5734" s="368" t="s">
        <v>936</v>
      </c>
      <c r="D5734" s="370">
        <v>7</v>
      </c>
      <c r="E5734" s="371">
        <v>-174.48</v>
      </c>
      <c r="F5734" s="371">
        <v>16018.1</v>
      </c>
      <c r="G5734" s="368" t="s">
        <v>2845</v>
      </c>
      <c r="H5734" s="368" t="s">
        <v>2963</v>
      </c>
      <c r="I5734" s="368" t="s">
        <v>219</v>
      </c>
      <c r="J5734" s="368" t="s">
        <v>757</v>
      </c>
      <c r="K5734" s="368" t="s">
        <v>770</v>
      </c>
      <c r="L5734" s="369">
        <v>44196</v>
      </c>
      <c r="M5734" s="372">
        <v>0</v>
      </c>
    </row>
    <row r="5735" spans="1:13" hidden="1" x14ac:dyDescent="0.25">
      <c r="A5735" s="369">
        <v>44196</v>
      </c>
      <c r="B5735" s="368" t="s">
        <v>2797</v>
      </c>
      <c r="C5735" s="368" t="s">
        <v>1060</v>
      </c>
      <c r="D5735" s="370">
        <v>7</v>
      </c>
      <c r="E5735" s="371">
        <v>174.48</v>
      </c>
      <c r="F5735" s="371">
        <v>16192.58</v>
      </c>
      <c r="G5735" s="368" t="s">
        <v>2798</v>
      </c>
      <c r="H5735" s="368" t="s">
        <v>2963</v>
      </c>
      <c r="I5735" s="368" t="s">
        <v>219</v>
      </c>
      <c r="J5735" s="368" t="s">
        <v>757</v>
      </c>
      <c r="K5735" s="368" t="s">
        <v>741</v>
      </c>
      <c r="L5735" s="369">
        <v>44196</v>
      </c>
      <c r="M5735" s="372">
        <v>0</v>
      </c>
    </row>
    <row r="5736" spans="1:13" hidden="1" x14ac:dyDescent="0.25">
      <c r="A5736" s="369">
        <v>44196</v>
      </c>
      <c r="B5736" s="368" t="s">
        <v>2797</v>
      </c>
      <c r="C5736" s="368" t="s">
        <v>1060</v>
      </c>
      <c r="D5736" s="370">
        <v>7</v>
      </c>
      <c r="E5736" s="371">
        <v>174.48</v>
      </c>
      <c r="F5736" s="371">
        <v>16367.06</v>
      </c>
      <c r="G5736" s="368" t="s">
        <v>2798</v>
      </c>
      <c r="H5736" s="368" t="s">
        <v>2963</v>
      </c>
      <c r="I5736" s="368" t="s">
        <v>219</v>
      </c>
      <c r="J5736" s="368" t="s">
        <v>757</v>
      </c>
      <c r="K5736" s="368" t="s">
        <v>741</v>
      </c>
      <c r="L5736" s="369">
        <v>44196</v>
      </c>
      <c r="M5736" s="372">
        <v>0</v>
      </c>
    </row>
    <row r="5737" spans="1:13" hidden="1" x14ac:dyDescent="0.25">
      <c r="A5737" s="369">
        <v>44196</v>
      </c>
      <c r="B5737" s="368" t="s">
        <v>2797</v>
      </c>
      <c r="C5737" s="368" t="s">
        <v>1060</v>
      </c>
      <c r="D5737" s="370">
        <v>7</v>
      </c>
      <c r="E5737" s="371">
        <v>174.48</v>
      </c>
      <c r="F5737" s="371">
        <v>16541.54</v>
      </c>
      <c r="G5737" s="368" t="s">
        <v>2798</v>
      </c>
      <c r="H5737" s="368" t="s">
        <v>2963</v>
      </c>
      <c r="I5737" s="368" t="s">
        <v>219</v>
      </c>
      <c r="J5737" s="368" t="s">
        <v>757</v>
      </c>
      <c r="K5737" s="368" t="s">
        <v>741</v>
      </c>
      <c r="L5737" s="369">
        <v>44196</v>
      </c>
      <c r="M5737" s="372">
        <v>0</v>
      </c>
    </row>
    <row r="5738" spans="1:13" hidden="1" x14ac:dyDescent="0.25">
      <c r="A5738" s="369">
        <v>44196</v>
      </c>
      <c r="B5738" s="368" t="s">
        <v>2975</v>
      </c>
      <c r="C5738" s="368" t="s">
        <v>769</v>
      </c>
      <c r="D5738" s="370">
        <v>8</v>
      </c>
      <c r="E5738" s="371">
        <v>174.48</v>
      </c>
      <c r="F5738" s="371">
        <v>16716.02</v>
      </c>
      <c r="G5738" s="368" t="s">
        <v>2778</v>
      </c>
      <c r="H5738" s="368" t="s">
        <v>2963</v>
      </c>
      <c r="I5738" s="368" t="s">
        <v>219</v>
      </c>
      <c r="J5738" s="368" t="s">
        <v>757</v>
      </c>
      <c r="K5738" s="368" t="s">
        <v>770</v>
      </c>
      <c r="L5738" s="369">
        <v>44196</v>
      </c>
      <c r="M5738" s="372">
        <v>0</v>
      </c>
    </row>
    <row r="5739" spans="1:13" hidden="1" x14ac:dyDescent="0.25">
      <c r="A5739" s="369">
        <v>44227</v>
      </c>
      <c r="B5739" s="368" t="s">
        <v>2976</v>
      </c>
      <c r="C5739" s="368" t="s">
        <v>769</v>
      </c>
      <c r="D5739" s="370">
        <v>9</v>
      </c>
      <c r="E5739" s="371">
        <v>174.48</v>
      </c>
      <c r="F5739" s="371">
        <v>16890.5</v>
      </c>
      <c r="G5739" s="368" t="s">
        <v>2780</v>
      </c>
      <c r="H5739" s="368" t="s">
        <v>2963</v>
      </c>
      <c r="I5739" s="368" t="s">
        <v>219</v>
      </c>
      <c r="J5739" s="368" t="s">
        <v>757</v>
      </c>
      <c r="K5739" s="368" t="s">
        <v>770</v>
      </c>
      <c r="L5739" s="369">
        <v>44227</v>
      </c>
      <c r="M5739" s="372">
        <v>0</v>
      </c>
    </row>
    <row r="5740" spans="1:13" hidden="1" x14ac:dyDescent="0.25">
      <c r="A5740" s="369">
        <v>44255</v>
      </c>
      <c r="B5740" s="368" t="s">
        <v>2977</v>
      </c>
      <c r="C5740" s="368" t="s">
        <v>769</v>
      </c>
      <c r="D5740" s="370">
        <v>10</v>
      </c>
      <c r="E5740" s="371">
        <v>174.48</v>
      </c>
      <c r="F5740" s="371">
        <v>17064.98</v>
      </c>
      <c r="G5740" s="368" t="s">
        <v>2782</v>
      </c>
      <c r="H5740" s="368" t="s">
        <v>2963</v>
      </c>
      <c r="I5740" s="368" t="s">
        <v>219</v>
      </c>
      <c r="J5740" s="368" t="s">
        <v>757</v>
      </c>
      <c r="K5740" s="368" t="s">
        <v>770</v>
      </c>
      <c r="L5740" s="369">
        <v>44255</v>
      </c>
      <c r="M5740" s="372">
        <v>0</v>
      </c>
    </row>
    <row r="5741" spans="1:13" hidden="1" x14ac:dyDescent="0.25">
      <c r="A5741" s="369">
        <v>44043</v>
      </c>
      <c r="B5741" s="368" t="s">
        <v>2530</v>
      </c>
      <c r="C5741" s="368" t="s">
        <v>1059</v>
      </c>
      <c r="D5741" s="370">
        <v>1</v>
      </c>
      <c r="E5741" s="371">
        <v>-139.71</v>
      </c>
      <c r="F5741" s="371">
        <v>17274.23</v>
      </c>
      <c r="G5741" s="368" t="s">
        <v>2528</v>
      </c>
      <c r="H5741" s="368" t="s">
        <v>2978</v>
      </c>
      <c r="I5741" s="368" t="s">
        <v>219</v>
      </c>
      <c r="J5741" s="368" t="s">
        <v>757</v>
      </c>
      <c r="K5741" s="368" t="s">
        <v>741</v>
      </c>
      <c r="L5741" s="369">
        <v>44043</v>
      </c>
      <c r="M5741" s="372">
        <v>0</v>
      </c>
    </row>
    <row r="5742" spans="1:13" hidden="1" x14ac:dyDescent="0.25">
      <c r="A5742" s="369">
        <v>44043</v>
      </c>
      <c r="B5742" s="368" t="s">
        <v>2529</v>
      </c>
      <c r="C5742" s="368" t="s">
        <v>1059</v>
      </c>
      <c r="D5742" s="370">
        <v>1</v>
      </c>
      <c r="E5742" s="371">
        <v>237.54</v>
      </c>
      <c r="F5742" s="371">
        <v>17511.77</v>
      </c>
      <c r="G5742" s="368" t="s">
        <v>2528</v>
      </c>
      <c r="H5742" s="368" t="s">
        <v>2978</v>
      </c>
      <c r="I5742" s="368" t="s">
        <v>219</v>
      </c>
      <c r="J5742" s="368" t="s">
        <v>757</v>
      </c>
      <c r="K5742" s="368" t="s">
        <v>741</v>
      </c>
      <c r="L5742" s="369">
        <v>44043</v>
      </c>
      <c r="M5742" s="372">
        <v>0</v>
      </c>
    </row>
    <row r="5743" spans="1:13" hidden="1" x14ac:dyDescent="0.25">
      <c r="A5743" s="369">
        <v>44043</v>
      </c>
      <c r="B5743" s="368" t="s">
        <v>2527</v>
      </c>
      <c r="C5743" s="368" t="s">
        <v>1059</v>
      </c>
      <c r="D5743" s="370">
        <v>1</v>
      </c>
      <c r="E5743" s="371">
        <v>-237.54</v>
      </c>
      <c r="F5743" s="371">
        <v>17274.23</v>
      </c>
      <c r="G5743" s="368" t="s">
        <v>2528</v>
      </c>
      <c r="H5743" s="368" t="s">
        <v>2978</v>
      </c>
      <c r="I5743" s="368" t="s">
        <v>219</v>
      </c>
      <c r="J5743" s="368" t="s">
        <v>757</v>
      </c>
      <c r="K5743" s="368" t="s">
        <v>741</v>
      </c>
      <c r="L5743" s="369">
        <v>44043</v>
      </c>
      <c r="M5743" s="372">
        <v>0</v>
      </c>
    </row>
    <row r="5744" spans="1:13" hidden="1" x14ac:dyDescent="0.25">
      <c r="A5744" s="369">
        <v>44043</v>
      </c>
      <c r="B5744" s="368" t="s">
        <v>2530</v>
      </c>
      <c r="C5744" s="368" t="s">
        <v>1059</v>
      </c>
      <c r="D5744" s="370">
        <v>1</v>
      </c>
      <c r="E5744" s="371">
        <v>-237.54</v>
      </c>
      <c r="F5744" s="371">
        <v>17036.689999999999</v>
      </c>
      <c r="G5744" s="368" t="s">
        <v>2528</v>
      </c>
      <c r="H5744" s="368" t="s">
        <v>2979</v>
      </c>
      <c r="I5744" s="368" t="s">
        <v>219</v>
      </c>
      <c r="J5744" s="368" t="s">
        <v>757</v>
      </c>
      <c r="K5744" s="368" t="s">
        <v>741</v>
      </c>
      <c r="L5744" s="369">
        <v>44043</v>
      </c>
      <c r="M5744" s="372">
        <v>0</v>
      </c>
    </row>
    <row r="5745" spans="1:13" hidden="1" x14ac:dyDescent="0.25">
      <c r="A5745" s="369">
        <v>44043</v>
      </c>
      <c r="B5745" s="368" t="s">
        <v>2529</v>
      </c>
      <c r="C5745" s="368" t="s">
        <v>1059</v>
      </c>
      <c r="D5745" s="370">
        <v>1</v>
      </c>
      <c r="E5745" s="371">
        <v>139.71</v>
      </c>
      <c r="F5745" s="371">
        <v>17176.400000000001</v>
      </c>
      <c r="G5745" s="368" t="s">
        <v>2528</v>
      </c>
      <c r="H5745" s="368" t="s">
        <v>2979</v>
      </c>
      <c r="I5745" s="368" t="s">
        <v>219</v>
      </c>
      <c r="J5745" s="368" t="s">
        <v>757</v>
      </c>
      <c r="K5745" s="368" t="s">
        <v>741</v>
      </c>
      <c r="L5745" s="369">
        <v>44043</v>
      </c>
      <c r="M5745" s="372">
        <v>0</v>
      </c>
    </row>
    <row r="5746" spans="1:13" hidden="1" x14ac:dyDescent="0.25">
      <c r="A5746" s="369">
        <v>44043</v>
      </c>
      <c r="B5746" s="368" t="s">
        <v>2527</v>
      </c>
      <c r="C5746" s="368" t="s">
        <v>1059</v>
      </c>
      <c r="D5746" s="370">
        <v>1</v>
      </c>
      <c r="E5746" s="371">
        <v>-139.71</v>
      </c>
      <c r="F5746" s="371">
        <v>17036.689999999999</v>
      </c>
      <c r="G5746" s="368" t="s">
        <v>2528</v>
      </c>
      <c r="H5746" s="368" t="s">
        <v>2979</v>
      </c>
      <c r="I5746" s="368" t="s">
        <v>219</v>
      </c>
      <c r="J5746" s="368" t="s">
        <v>757</v>
      </c>
      <c r="K5746" s="368" t="s">
        <v>741</v>
      </c>
      <c r="L5746" s="369">
        <v>44043</v>
      </c>
      <c r="M5746" s="372">
        <v>0</v>
      </c>
    </row>
    <row r="5747" spans="1:13" hidden="1" x14ac:dyDescent="0.25">
      <c r="A5747" s="369">
        <v>44043</v>
      </c>
      <c r="B5747" s="368" t="s">
        <v>2527</v>
      </c>
      <c r="C5747" s="368" t="s">
        <v>1059</v>
      </c>
      <c r="D5747" s="370">
        <v>1</v>
      </c>
      <c r="E5747" s="371">
        <v>-110.97</v>
      </c>
      <c r="F5747" s="371">
        <v>16925.72</v>
      </c>
      <c r="G5747" s="368" t="s">
        <v>2528</v>
      </c>
      <c r="H5747" s="368" t="s">
        <v>2980</v>
      </c>
      <c r="I5747" s="368" t="s">
        <v>219</v>
      </c>
      <c r="J5747" s="368" t="s">
        <v>757</v>
      </c>
      <c r="K5747" s="368" t="s">
        <v>741</v>
      </c>
      <c r="L5747" s="369">
        <v>44043</v>
      </c>
      <c r="M5747" s="372">
        <v>0</v>
      </c>
    </row>
    <row r="5748" spans="1:13" hidden="1" x14ac:dyDescent="0.25">
      <c r="A5748" s="369">
        <v>44043</v>
      </c>
      <c r="B5748" s="368" t="s">
        <v>2529</v>
      </c>
      <c r="C5748" s="368" t="s">
        <v>1059</v>
      </c>
      <c r="D5748" s="370">
        <v>1</v>
      </c>
      <c r="E5748" s="371">
        <v>110.97</v>
      </c>
      <c r="F5748" s="371">
        <v>17036.689999999999</v>
      </c>
      <c r="G5748" s="368" t="s">
        <v>2528</v>
      </c>
      <c r="H5748" s="368" t="s">
        <v>2980</v>
      </c>
      <c r="I5748" s="368" t="s">
        <v>219</v>
      </c>
      <c r="J5748" s="368" t="s">
        <v>757</v>
      </c>
      <c r="K5748" s="368" t="s">
        <v>741</v>
      </c>
      <c r="L5748" s="369">
        <v>44043</v>
      </c>
      <c r="M5748" s="372">
        <v>0</v>
      </c>
    </row>
    <row r="5749" spans="1:13" hidden="1" x14ac:dyDescent="0.25">
      <c r="A5749" s="369">
        <v>44043</v>
      </c>
      <c r="B5749" s="368" t="s">
        <v>2530</v>
      </c>
      <c r="C5749" s="368" t="s">
        <v>1059</v>
      </c>
      <c r="D5749" s="370">
        <v>1</v>
      </c>
      <c r="E5749" s="371">
        <v>-110.97</v>
      </c>
      <c r="F5749" s="371">
        <v>16925.72</v>
      </c>
      <c r="G5749" s="368" t="s">
        <v>2528</v>
      </c>
      <c r="H5749" s="368" t="s">
        <v>2980</v>
      </c>
      <c r="I5749" s="368" t="s">
        <v>219</v>
      </c>
      <c r="J5749" s="368" t="s">
        <v>757</v>
      </c>
      <c r="K5749" s="368" t="s">
        <v>741</v>
      </c>
      <c r="L5749" s="369">
        <v>44043</v>
      </c>
      <c r="M5749" s="372">
        <v>0</v>
      </c>
    </row>
    <row r="5750" spans="1:13" hidden="1" x14ac:dyDescent="0.25">
      <c r="A5750" s="369">
        <v>44192</v>
      </c>
      <c r="B5750" s="368" t="s">
        <v>2981</v>
      </c>
      <c r="C5750" s="368" t="s">
        <v>769</v>
      </c>
      <c r="D5750" s="370">
        <v>7</v>
      </c>
      <c r="E5750" s="371">
        <v>56.78</v>
      </c>
      <c r="F5750" s="371">
        <v>16982.5</v>
      </c>
      <c r="G5750" s="368" t="s">
        <v>2982</v>
      </c>
      <c r="H5750" s="368" t="s">
        <v>2983</v>
      </c>
      <c r="I5750" s="368" t="s">
        <v>219</v>
      </c>
      <c r="J5750" s="368" t="s">
        <v>757</v>
      </c>
      <c r="K5750" s="368" t="s">
        <v>770</v>
      </c>
      <c r="L5750" s="369">
        <v>44192</v>
      </c>
      <c r="M5750" s="372">
        <v>0</v>
      </c>
    </row>
    <row r="5751" spans="1:13" hidden="1" x14ac:dyDescent="0.25">
      <c r="A5751" s="369">
        <v>44229</v>
      </c>
      <c r="B5751" s="368" t="s">
        <v>2984</v>
      </c>
      <c r="C5751" s="368" t="s">
        <v>1059</v>
      </c>
      <c r="D5751" s="370">
        <v>7</v>
      </c>
      <c r="E5751" s="371">
        <v>-56.78</v>
      </c>
      <c r="F5751" s="371">
        <v>16925.72</v>
      </c>
      <c r="G5751" s="368" t="s">
        <v>2985</v>
      </c>
      <c r="H5751" s="368" t="s">
        <v>2983</v>
      </c>
      <c r="I5751" s="368" t="s">
        <v>219</v>
      </c>
      <c r="J5751" s="368" t="s">
        <v>757</v>
      </c>
      <c r="K5751" s="368" t="s">
        <v>741</v>
      </c>
      <c r="L5751" s="369">
        <v>44229</v>
      </c>
      <c r="M5751" s="372">
        <v>0</v>
      </c>
    </row>
    <row r="5752" spans="1:13" hidden="1" x14ac:dyDescent="0.25">
      <c r="A5752" s="369">
        <v>44220</v>
      </c>
      <c r="B5752" s="368" t="s">
        <v>2986</v>
      </c>
      <c r="C5752" s="368" t="s">
        <v>769</v>
      </c>
      <c r="D5752" s="370">
        <v>9</v>
      </c>
      <c r="E5752" s="371">
        <v>145.11000000000001</v>
      </c>
      <c r="F5752" s="371">
        <v>17070.830000000002</v>
      </c>
      <c r="G5752" s="368" t="s">
        <v>2987</v>
      </c>
      <c r="H5752" s="368" t="s">
        <v>2983</v>
      </c>
      <c r="I5752" s="368" t="s">
        <v>219</v>
      </c>
      <c r="J5752" s="368" t="s">
        <v>757</v>
      </c>
      <c r="K5752" s="368" t="s">
        <v>770</v>
      </c>
      <c r="L5752" s="369">
        <v>44220</v>
      </c>
      <c r="M5752" s="372">
        <v>0</v>
      </c>
    </row>
    <row r="5753" spans="1:13" hidden="1" x14ac:dyDescent="0.25">
      <c r="A5753" s="369">
        <v>44262</v>
      </c>
      <c r="B5753" s="368" t="s">
        <v>2988</v>
      </c>
      <c r="C5753" s="368" t="s">
        <v>936</v>
      </c>
      <c r="D5753" s="370">
        <v>9</v>
      </c>
      <c r="E5753" s="371">
        <v>-31.57</v>
      </c>
      <c r="F5753" s="371">
        <v>17039.259999999998</v>
      </c>
      <c r="G5753" s="368" t="s">
        <v>2989</v>
      </c>
      <c r="H5753" s="368" t="s">
        <v>2983</v>
      </c>
      <c r="I5753" s="368" t="s">
        <v>219</v>
      </c>
      <c r="J5753" s="368" t="s">
        <v>757</v>
      </c>
      <c r="K5753" s="368" t="s">
        <v>770</v>
      </c>
      <c r="L5753" s="369">
        <v>44262</v>
      </c>
      <c r="M5753" s="372">
        <v>0</v>
      </c>
    </row>
    <row r="5754" spans="1:13" hidden="1" x14ac:dyDescent="0.25">
      <c r="A5754" s="369">
        <v>44316</v>
      </c>
      <c r="B5754" s="368" t="s">
        <v>1104</v>
      </c>
      <c r="C5754" s="368" t="s">
        <v>1060</v>
      </c>
      <c r="D5754" s="370">
        <v>10</v>
      </c>
      <c r="E5754" s="371">
        <v>300</v>
      </c>
      <c r="F5754" s="371">
        <v>17339.259999999998</v>
      </c>
      <c r="G5754" s="368" t="s">
        <v>1097</v>
      </c>
      <c r="H5754" s="368" t="s">
        <v>2983</v>
      </c>
      <c r="I5754" s="368" t="s">
        <v>219</v>
      </c>
      <c r="J5754" s="368" t="s">
        <v>757</v>
      </c>
      <c r="K5754" s="368" t="s">
        <v>741</v>
      </c>
      <c r="L5754" s="369">
        <v>44316</v>
      </c>
      <c r="M5754" s="372">
        <v>0</v>
      </c>
    </row>
    <row r="5755" spans="1:13" hidden="1" x14ac:dyDescent="0.25">
      <c r="A5755" s="369">
        <v>44104</v>
      </c>
      <c r="B5755" s="368" t="s">
        <v>1198</v>
      </c>
      <c r="C5755" s="368" t="s">
        <v>1060</v>
      </c>
      <c r="D5755" s="370">
        <v>3</v>
      </c>
      <c r="E5755" s="371">
        <v>29.33</v>
      </c>
      <c r="F5755" s="371">
        <v>17068.59</v>
      </c>
      <c r="G5755" s="368" t="s">
        <v>2738</v>
      </c>
      <c r="H5755" s="368" t="s">
        <v>2990</v>
      </c>
      <c r="I5755" s="368" t="s">
        <v>219</v>
      </c>
      <c r="J5755" s="368" t="s">
        <v>757</v>
      </c>
      <c r="K5755" s="368" t="s">
        <v>741</v>
      </c>
      <c r="L5755" s="369">
        <v>44104</v>
      </c>
      <c r="M5755" s="372">
        <v>0</v>
      </c>
    </row>
    <row r="5756" spans="1:13" hidden="1" x14ac:dyDescent="0.25">
      <c r="A5756" s="369">
        <v>44101</v>
      </c>
      <c r="B5756" s="368" t="s">
        <v>2991</v>
      </c>
      <c r="C5756" s="368" t="s">
        <v>769</v>
      </c>
      <c r="D5756" s="370">
        <v>4</v>
      </c>
      <c r="E5756" s="371">
        <v>29.33</v>
      </c>
      <c r="F5756" s="371">
        <v>17097.919999999998</v>
      </c>
      <c r="G5756" s="368" t="s">
        <v>2992</v>
      </c>
      <c r="H5756" s="368" t="s">
        <v>2990</v>
      </c>
      <c r="I5756" s="368" t="s">
        <v>219</v>
      </c>
      <c r="J5756" s="368" t="s">
        <v>757</v>
      </c>
      <c r="K5756" s="368" t="s">
        <v>770</v>
      </c>
      <c r="L5756" s="369">
        <v>44101</v>
      </c>
      <c r="M5756" s="372">
        <v>0</v>
      </c>
    </row>
    <row r="5757" spans="1:13" hidden="1" x14ac:dyDescent="0.25">
      <c r="A5757" s="369">
        <v>44104</v>
      </c>
      <c r="B5757" s="368" t="s">
        <v>1198</v>
      </c>
      <c r="C5757" s="368" t="s">
        <v>1060</v>
      </c>
      <c r="D5757" s="370">
        <v>4</v>
      </c>
      <c r="E5757" s="371">
        <v>-29.33</v>
      </c>
      <c r="F5757" s="371">
        <v>17068.59</v>
      </c>
      <c r="G5757" s="368" t="s">
        <v>2738</v>
      </c>
      <c r="H5757" s="368" t="s">
        <v>2990</v>
      </c>
      <c r="I5757" s="368" t="s">
        <v>219</v>
      </c>
      <c r="J5757" s="368" t="s">
        <v>757</v>
      </c>
      <c r="K5757" s="368" t="s">
        <v>741</v>
      </c>
      <c r="L5757" s="369">
        <v>44104</v>
      </c>
      <c r="M5757" s="372">
        <v>0</v>
      </c>
    </row>
    <row r="5758" spans="1:13" hidden="1" x14ac:dyDescent="0.25">
      <c r="A5758" s="369">
        <v>44165</v>
      </c>
      <c r="B5758" s="368" t="s">
        <v>1158</v>
      </c>
      <c r="C5758" s="368" t="s">
        <v>1060</v>
      </c>
      <c r="D5758" s="370">
        <v>5</v>
      </c>
      <c r="E5758" s="371">
        <v>58</v>
      </c>
      <c r="F5758" s="371">
        <v>17126.59</v>
      </c>
      <c r="G5758" s="368" t="s">
        <v>2993</v>
      </c>
      <c r="H5758" s="368" t="s">
        <v>2990</v>
      </c>
      <c r="I5758" s="368" t="s">
        <v>219</v>
      </c>
      <c r="J5758" s="368" t="s">
        <v>757</v>
      </c>
      <c r="K5758" s="368" t="s">
        <v>741</v>
      </c>
      <c r="L5758" s="369">
        <v>44165</v>
      </c>
      <c r="M5758" s="372">
        <v>0</v>
      </c>
    </row>
    <row r="5759" spans="1:13" hidden="1" x14ac:dyDescent="0.25">
      <c r="A5759" s="369">
        <v>44157</v>
      </c>
      <c r="B5759" s="368" t="s">
        <v>2994</v>
      </c>
      <c r="C5759" s="368" t="s">
        <v>769</v>
      </c>
      <c r="D5759" s="370">
        <v>6</v>
      </c>
      <c r="E5759" s="371">
        <v>192.5</v>
      </c>
      <c r="F5759" s="371">
        <v>17319.09</v>
      </c>
      <c r="G5759" s="368" t="s">
        <v>2995</v>
      </c>
      <c r="H5759" s="368" t="s">
        <v>2990</v>
      </c>
      <c r="I5759" s="368" t="s">
        <v>219</v>
      </c>
      <c r="J5759" s="368" t="s">
        <v>757</v>
      </c>
      <c r="K5759" s="368" t="s">
        <v>770</v>
      </c>
      <c r="L5759" s="369">
        <v>44157</v>
      </c>
      <c r="M5759" s="372">
        <v>0</v>
      </c>
    </row>
    <row r="5760" spans="1:13" hidden="1" x14ac:dyDescent="0.25">
      <c r="A5760" s="369">
        <v>44165</v>
      </c>
      <c r="B5760" s="368" t="s">
        <v>1158</v>
      </c>
      <c r="C5760" s="368" t="s">
        <v>1060</v>
      </c>
      <c r="D5760" s="370">
        <v>6</v>
      </c>
      <c r="E5760" s="371">
        <v>-58</v>
      </c>
      <c r="F5760" s="371">
        <v>17261.09</v>
      </c>
      <c r="G5760" s="368" t="s">
        <v>2993</v>
      </c>
      <c r="H5760" s="368" t="s">
        <v>2990</v>
      </c>
      <c r="I5760" s="368" t="s">
        <v>219</v>
      </c>
      <c r="J5760" s="368" t="s">
        <v>757</v>
      </c>
      <c r="K5760" s="368" t="s">
        <v>741</v>
      </c>
      <c r="L5760" s="369">
        <v>44165</v>
      </c>
      <c r="M5760" s="372">
        <v>0</v>
      </c>
    </row>
    <row r="5761" spans="1:13" hidden="1" x14ac:dyDescent="0.25">
      <c r="A5761" s="369">
        <v>44196</v>
      </c>
      <c r="B5761" s="368" t="s">
        <v>1160</v>
      </c>
      <c r="C5761" s="368" t="s">
        <v>1060</v>
      </c>
      <c r="D5761" s="370">
        <v>6</v>
      </c>
      <c r="E5761" s="371">
        <v>170.32</v>
      </c>
      <c r="F5761" s="371">
        <v>17431.41</v>
      </c>
      <c r="G5761" s="368" t="s">
        <v>2996</v>
      </c>
      <c r="H5761" s="368" t="s">
        <v>2990</v>
      </c>
      <c r="I5761" s="368" t="s">
        <v>219</v>
      </c>
      <c r="J5761" s="368" t="s">
        <v>757</v>
      </c>
      <c r="K5761" s="368" t="s">
        <v>741</v>
      </c>
      <c r="L5761" s="369">
        <v>44196</v>
      </c>
      <c r="M5761" s="372">
        <v>0</v>
      </c>
    </row>
    <row r="5762" spans="1:13" hidden="1" x14ac:dyDescent="0.25">
      <c r="A5762" s="369">
        <v>44192</v>
      </c>
      <c r="B5762" s="368" t="s">
        <v>2981</v>
      </c>
      <c r="C5762" s="368" t="s">
        <v>769</v>
      </c>
      <c r="D5762" s="370">
        <v>7</v>
      </c>
      <c r="E5762" s="371">
        <v>56.78</v>
      </c>
      <c r="F5762" s="371">
        <v>17488.189999999999</v>
      </c>
      <c r="G5762" s="368" t="s">
        <v>2982</v>
      </c>
      <c r="H5762" s="368" t="s">
        <v>2990</v>
      </c>
      <c r="I5762" s="368" t="s">
        <v>219</v>
      </c>
      <c r="J5762" s="368" t="s">
        <v>757</v>
      </c>
      <c r="K5762" s="368" t="s">
        <v>770</v>
      </c>
      <c r="L5762" s="369">
        <v>44192</v>
      </c>
      <c r="M5762" s="372">
        <v>0</v>
      </c>
    </row>
    <row r="5763" spans="1:13" hidden="1" x14ac:dyDescent="0.25">
      <c r="A5763" s="369">
        <v>44196</v>
      </c>
      <c r="B5763" s="368" t="s">
        <v>1160</v>
      </c>
      <c r="C5763" s="368" t="s">
        <v>1060</v>
      </c>
      <c r="D5763" s="370">
        <v>7</v>
      </c>
      <c r="E5763" s="371">
        <v>-170.32</v>
      </c>
      <c r="F5763" s="371">
        <v>17317.87</v>
      </c>
      <c r="G5763" s="368" t="s">
        <v>2996</v>
      </c>
      <c r="H5763" s="368" t="s">
        <v>2990</v>
      </c>
      <c r="I5763" s="368" t="s">
        <v>219</v>
      </c>
      <c r="J5763" s="368" t="s">
        <v>757</v>
      </c>
      <c r="K5763" s="368" t="s">
        <v>741</v>
      </c>
      <c r="L5763" s="369">
        <v>44196</v>
      </c>
      <c r="M5763" s="372">
        <v>0</v>
      </c>
    </row>
    <row r="5764" spans="1:13" hidden="1" x14ac:dyDescent="0.25">
      <c r="A5764" s="369">
        <v>44229</v>
      </c>
      <c r="B5764" s="368" t="s">
        <v>2984</v>
      </c>
      <c r="C5764" s="368" t="s">
        <v>1059</v>
      </c>
      <c r="D5764" s="370">
        <v>7</v>
      </c>
      <c r="E5764" s="371">
        <v>113.56</v>
      </c>
      <c r="F5764" s="371">
        <v>17431.43</v>
      </c>
      <c r="G5764" s="368" t="s">
        <v>2997</v>
      </c>
      <c r="H5764" s="368" t="s">
        <v>2990</v>
      </c>
      <c r="I5764" s="368" t="s">
        <v>219</v>
      </c>
      <c r="J5764" s="368" t="s">
        <v>757</v>
      </c>
      <c r="K5764" s="368" t="s">
        <v>741</v>
      </c>
      <c r="L5764" s="369">
        <v>44229</v>
      </c>
      <c r="M5764" s="372">
        <v>0</v>
      </c>
    </row>
    <row r="5765" spans="1:13" hidden="1" x14ac:dyDescent="0.25">
      <c r="A5765" s="369">
        <v>44230</v>
      </c>
      <c r="B5765" s="368" t="s">
        <v>1166</v>
      </c>
      <c r="C5765" s="368" t="s">
        <v>1060</v>
      </c>
      <c r="D5765" s="370">
        <v>7</v>
      </c>
      <c r="E5765" s="371">
        <v>435.35</v>
      </c>
      <c r="F5765" s="371">
        <v>17866.78</v>
      </c>
      <c r="G5765" s="368" t="s">
        <v>2998</v>
      </c>
      <c r="H5765" s="368" t="s">
        <v>2990</v>
      </c>
      <c r="I5765" s="368" t="s">
        <v>219</v>
      </c>
      <c r="J5765" s="368" t="s">
        <v>757</v>
      </c>
      <c r="K5765" s="368" t="s">
        <v>741</v>
      </c>
      <c r="L5765" s="369">
        <v>44230</v>
      </c>
      <c r="M5765" s="372">
        <v>0</v>
      </c>
    </row>
    <row r="5766" spans="1:13" hidden="1" x14ac:dyDescent="0.25">
      <c r="A5766" s="369">
        <v>44230</v>
      </c>
      <c r="B5766" s="368" t="s">
        <v>1166</v>
      </c>
      <c r="C5766" s="368" t="s">
        <v>1060</v>
      </c>
      <c r="D5766" s="370">
        <v>8</v>
      </c>
      <c r="E5766" s="371">
        <v>-435.35</v>
      </c>
      <c r="F5766" s="371">
        <v>17431.43</v>
      </c>
      <c r="G5766" s="368" t="s">
        <v>2998</v>
      </c>
      <c r="H5766" s="368" t="s">
        <v>2990</v>
      </c>
      <c r="I5766" s="368" t="s">
        <v>219</v>
      </c>
      <c r="J5766" s="368" t="s">
        <v>757</v>
      </c>
      <c r="K5766" s="368" t="s">
        <v>741</v>
      </c>
      <c r="L5766" s="369">
        <v>44230</v>
      </c>
      <c r="M5766" s="372">
        <v>0</v>
      </c>
    </row>
    <row r="5767" spans="1:13" hidden="1" x14ac:dyDescent="0.25">
      <c r="A5767" s="369">
        <v>44255</v>
      </c>
      <c r="B5767" s="368" t="s">
        <v>1178</v>
      </c>
      <c r="C5767" s="368" t="s">
        <v>1060</v>
      </c>
      <c r="D5767" s="370">
        <v>8</v>
      </c>
      <c r="E5767" s="371">
        <v>681.3</v>
      </c>
      <c r="F5767" s="371">
        <v>18112.73</v>
      </c>
      <c r="G5767" s="368" t="s">
        <v>2999</v>
      </c>
      <c r="H5767" s="368" t="s">
        <v>2990</v>
      </c>
      <c r="I5767" s="368" t="s">
        <v>219</v>
      </c>
      <c r="J5767" s="368" t="s">
        <v>757</v>
      </c>
      <c r="K5767" s="368" t="s">
        <v>741</v>
      </c>
      <c r="L5767" s="369">
        <v>44255</v>
      </c>
      <c r="M5767" s="372">
        <v>0</v>
      </c>
    </row>
    <row r="5768" spans="1:13" hidden="1" x14ac:dyDescent="0.25">
      <c r="A5768" s="369">
        <v>44220</v>
      </c>
      <c r="B5768" s="368" t="s">
        <v>2986</v>
      </c>
      <c r="C5768" s="368" t="s">
        <v>769</v>
      </c>
      <c r="D5768" s="370">
        <v>9</v>
      </c>
      <c r="E5768" s="371">
        <v>145.13999999999999</v>
      </c>
      <c r="F5768" s="371">
        <v>18257.87</v>
      </c>
      <c r="G5768" s="368" t="s">
        <v>2987</v>
      </c>
      <c r="H5768" s="368" t="s">
        <v>2990</v>
      </c>
      <c r="I5768" s="368" t="s">
        <v>219</v>
      </c>
      <c r="J5768" s="368" t="s">
        <v>757</v>
      </c>
      <c r="K5768" s="368" t="s">
        <v>770</v>
      </c>
      <c r="L5768" s="369">
        <v>44220</v>
      </c>
      <c r="M5768" s="372">
        <v>0</v>
      </c>
    </row>
    <row r="5769" spans="1:13" hidden="1" x14ac:dyDescent="0.25">
      <c r="A5769" s="369">
        <v>44255</v>
      </c>
      <c r="B5769" s="368" t="s">
        <v>1178</v>
      </c>
      <c r="C5769" s="368" t="s">
        <v>1060</v>
      </c>
      <c r="D5769" s="370">
        <v>9</v>
      </c>
      <c r="E5769" s="371">
        <v>-681.3</v>
      </c>
      <c r="F5769" s="371">
        <v>17576.57</v>
      </c>
      <c r="G5769" s="368" t="s">
        <v>2999</v>
      </c>
      <c r="H5769" s="368" t="s">
        <v>2990</v>
      </c>
      <c r="I5769" s="368" t="s">
        <v>219</v>
      </c>
      <c r="J5769" s="368" t="s">
        <v>757</v>
      </c>
      <c r="K5769" s="368" t="s">
        <v>741</v>
      </c>
      <c r="L5769" s="369">
        <v>44255</v>
      </c>
      <c r="M5769" s="372">
        <v>0</v>
      </c>
    </row>
    <row r="5770" spans="1:13" hidden="1" x14ac:dyDescent="0.25">
      <c r="A5770" s="369">
        <v>44262</v>
      </c>
      <c r="B5770" s="368" t="s">
        <v>2988</v>
      </c>
      <c r="C5770" s="368" t="s">
        <v>936</v>
      </c>
      <c r="D5770" s="370">
        <v>9</v>
      </c>
      <c r="E5770" s="371">
        <v>-31.58</v>
      </c>
      <c r="F5770" s="371">
        <v>17544.990000000002</v>
      </c>
      <c r="G5770" s="368" t="s">
        <v>2989</v>
      </c>
      <c r="H5770" s="368" t="s">
        <v>2990</v>
      </c>
      <c r="I5770" s="368" t="s">
        <v>219</v>
      </c>
      <c r="J5770" s="368" t="s">
        <v>757</v>
      </c>
      <c r="K5770" s="368" t="s">
        <v>770</v>
      </c>
      <c r="L5770" s="369">
        <v>44262</v>
      </c>
      <c r="M5770" s="372">
        <v>0</v>
      </c>
    </row>
    <row r="5771" spans="1:13" hidden="1" x14ac:dyDescent="0.25">
      <c r="A5771" s="369">
        <v>44286</v>
      </c>
      <c r="B5771" s="368" t="s">
        <v>2475</v>
      </c>
      <c r="C5771" s="368" t="s">
        <v>1060</v>
      </c>
      <c r="D5771" s="370">
        <v>9</v>
      </c>
      <c r="E5771" s="371">
        <v>445.93</v>
      </c>
      <c r="F5771" s="371">
        <v>17990.919999999998</v>
      </c>
      <c r="G5771" s="368" t="s">
        <v>3000</v>
      </c>
      <c r="H5771" s="368" t="s">
        <v>2990</v>
      </c>
      <c r="I5771" s="368" t="s">
        <v>219</v>
      </c>
      <c r="J5771" s="368" t="s">
        <v>757</v>
      </c>
      <c r="K5771" s="368" t="s">
        <v>741</v>
      </c>
      <c r="L5771" s="369">
        <v>44286</v>
      </c>
      <c r="M5771" s="372">
        <v>0</v>
      </c>
    </row>
    <row r="5772" spans="1:13" hidden="1" x14ac:dyDescent="0.25">
      <c r="A5772" s="369">
        <v>44286</v>
      </c>
      <c r="B5772" s="368" t="s">
        <v>2475</v>
      </c>
      <c r="C5772" s="368" t="s">
        <v>1060</v>
      </c>
      <c r="D5772" s="370">
        <v>10</v>
      </c>
      <c r="E5772" s="371">
        <v>-445.93</v>
      </c>
      <c r="F5772" s="371">
        <v>17544.990000000002</v>
      </c>
      <c r="G5772" s="368" t="s">
        <v>3000</v>
      </c>
      <c r="H5772" s="368" t="s">
        <v>2990</v>
      </c>
      <c r="I5772" s="368" t="s">
        <v>219</v>
      </c>
      <c r="J5772" s="368" t="s">
        <v>757</v>
      </c>
      <c r="K5772" s="368" t="s">
        <v>741</v>
      </c>
      <c r="L5772" s="369">
        <v>44286</v>
      </c>
      <c r="M5772" s="372">
        <v>0</v>
      </c>
    </row>
    <row r="5773" spans="1:13" hidden="1" x14ac:dyDescent="0.25">
      <c r="A5773" s="369">
        <v>44316</v>
      </c>
      <c r="B5773" s="368" t="s">
        <v>1104</v>
      </c>
      <c r="C5773" s="368" t="s">
        <v>1060</v>
      </c>
      <c r="D5773" s="370">
        <v>10</v>
      </c>
      <c r="E5773" s="371">
        <v>300</v>
      </c>
      <c r="F5773" s="371">
        <v>17844.990000000002</v>
      </c>
      <c r="G5773" s="368" t="s">
        <v>1097</v>
      </c>
      <c r="H5773" s="368" t="s">
        <v>2990</v>
      </c>
      <c r="I5773" s="368" t="s">
        <v>219</v>
      </c>
      <c r="J5773" s="368" t="s">
        <v>757</v>
      </c>
      <c r="K5773" s="368" t="s">
        <v>741</v>
      </c>
      <c r="L5773" s="369">
        <v>44316</v>
      </c>
      <c r="M5773" s="372">
        <v>0</v>
      </c>
    </row>
    <row r="5774" spans="1:13" hidden="1" x14ac:dyDescent="0.25">
      <c r="A5774" s="369">
        <v>44192</v>
      </c>
      <c r="B5774" s="368" t="s">
        <v>2981</v>
      </c>
      <c r="C5774" s="368" t="s">
        <v>769</v>
      </c>
      <c r="D5774" s="370">
        <v>7</v>
      </c>
      <c r="E5774" s="371">
        <v>56.78</v>
      </c>
      <c r="F5774" s="371">
        <v>17772.11</v>
      </c>
      <c r="G5774" s="368" t="s">
        <v>2982</v>
      </c>
      <c r="H5774" s="368" t="s">
        <v>3001</v>
      </c>
      <c r="I5774" s="368" t="s">
        <v>219</v>
      </c>
      <c r="J5774" s="368" t="s">
        <v>757</v>
      </c>
      <c r="K5774" s="368" t="s">
        <v>770</v>
      </c>
      <c r="L5774" s="369">
        <v>44192</v>
      </c>
      <c r="M5774" s="372">
        <v>0</v>
      </c>
    </row>
    <row r="5775" spans="1:13" hidden="1" x14ac:dyDescent="0.25">
      <c r="A5775" s="369">
        <v>44229</v>
      </c>
      <c r="B5775" s="368" t="s">
        <v>2984</v>
      </c>
      <c r="C5775" s="368" t="s">
        <v>1059</v>
      </c>
      <c r="D5775" s="370">
        <v>7</v>
      </c>
      <c r="E5775" s="371">
        <v>-56.78</v>
      </c>
      <c r="F5775" s="371">
        <v>17715.330000000002</v>
      </c>
      <c r="G5775" s="368" t="s">
        <v>2997</v>
      </c>
      <c r="H5775" s="368" t="s">
        <v>3001</v>
      </c>
      <c r="I5775" s="368" t="s">
        <v>219</v>
      </c>
      <c r="J5775" s="368" t="s">
        <v>757</v>
      </c>
      <c r="K5775" s="368" t="s">
        <v>741</v>
      </c>
      <c r="L5775" s="369">
        <v>44229</v>
      </c>
      <c r="M5775" s="372">
        <v>0</v>
      </c>
    </row>
    <row r="5776" spans="1:13" hidden="1" x14ac:dyDescent="0.25">
      <c r="A5776" s="369">
        <v>44220</v>
      </c>
      <c r="B5776" s="368" t="s">
        <v>2986</v>
      </c>
      <c r="C5776" s="368" t="s">
        <v>769</v>
      </c>
      <c r="D5776" s="370">
        <v>9</v>
      </c>
      <c r="E5776" s="371">
        <v>145.12</v>
      </c>
      <c r="F5776" s="371">
        <v>17860.45</v>
      </c>
      <c r="G5776" s="368" t="s">
        <v>2987</v>
      </c>
      <c r="H5776" s="368" t="s">
        <v>3001</v>
      </c>
      <c r="I5776" s="368" t="s">
        <v>219</v>
      </c>
      <c r="J5776" s="368" t="s">
        <v>757</v>
      </c>
      <c r="K5776" s="368" t="s">
        <v>770</v>
      </c>
      <c r="L5776" s="369">
        <v>44220</v>
      </c>
      <c r="M5776" s="372">
        <v>0</v>
      </c>
    </row>
    <row r="5777" spans="1:13" hidden="1" x14ac:dyDescent="0.25">
      <c r="A5777" s="369">
        <v>44262</v>
      </c>
      <c r="B5777" s="368" t="s">
        <v>2988</v>
      </c>
      <c r="C5777" s="368" t="s">
        <v>936</v>
      </c>
      <c r="D5777" s="370">
        <v>9</v>
      </c>
      <c r="E5777" s="371">
        <v>-31.56</v>
      </c>
      <c r="F5777" s="371">
        <v>17828.89</v>
      </c>
      <c r="G5777" s="368" t="s">
        <v>2989</v>
      </c>
      <c r="H5777" s="368" t="s">
        <v>3001</v>
      </c>
      <c r="I5777" s="368" t="s">
        <v>219</v>
      </c>
      <c r="J5777" s="368" t="s">
        <v>757</v>
      </c>
      <c r="K5777" s="368" t="s">
        <v>770</v>
      </c>
      <c r="L5777" s="369">
        <v>44262</v>
      </c>
      <c r="M5777" s="372">
        <v>0</v>
      </c>
    </row>
    <row r="5778" spans="1:13" hidden="1" x14ac:dyDescent="0.25">
      <c r="A5778" s="369">
        <v>44316</v>
      </c>
      <c r="B5778" s="368" t="s">
        <v>1104</v>
      </c>
      <c r="C5778" s="368" t="s">
        <v>1060</v>
      </c>
      <c r="D5778" s="370">
        <v>10</v>
      </c>
      <c r="E5778" s="371">
        <v>300</v>
      </c>
      <c r="F5778" s="371">
        <v>18128.89</v>
      </c>
      <c r="G5778" s="368" t="s">
        <v>1097</v>
      </c>
      <c r="H5778" s="368" t="s">
        <v>3001</v>
      </c>
      <c r="I5778" s="368" t="s">
        <v>219</v>
      </c>
      <c r="J5778" s="368" t="s">
        <v>757</v>
      </c>
      <c r="K5778" s="368" t="s">
        <v>741</v>
      </c>
      <c r="L5778" s="369">
        <v>44316</v>
      </c>
      <c r="M5778" s="372">
        <v>0</v>
      </c>
    </row>
    <row r="5779" spans="1:13" hidden="1" x14ac:dyDescent="0.25">
      <c r="A5779" s="369">
        <v>43983</v>
      </c>
      <c r="B5779" s="368" t="s">
        <v>3002</v>
      </c>
      <c r="C5779" s="368" t="s">
        <v>769</v>
      </c>
      <c r="D5779" s="370">
        <v>1</v>
      </c>
      <c r="E5779" s="371">
        <v>140</v>
      </c>
      <c r="F5779" s="371">
        <v>17968.89</v>
      </c>
      <c r="G5779" s="368" t="s">
        <v>3003</v>
      </c>
      <c r="H5779" s="368" t="s">
        <v>3004</v>
      </c>
      <c r="I5779" s="368" t="s">
        <v>219</v>
      </c>
      <c r="J5779" s="368" t="s">
        <v>757</v>
      </c>
      <c r="K5779" s="368" t="s">
        <v>770</v>
      </c>
      <c r="L5779" s="369">
        <v>43983</v>
      </c>
      <c r="M5779" s="372">
        <v>0</v>
      </c>
    </row>
    <row r="5780" spans="1:13" hidden="1" x14ac:dyDescent="0.25">
      <c r="A5780" s="369">
        <v>44013</v>
      </c>
      <c r="B5780" s="368" t="s">
        <v>3005</v>
      </c>
      <c r="C5780" s="368" t="s">
        <v>769</v>
      </c>
      <c r="D5780" s="370">
        <v>2</v>
      </c>
      <c r="E5780" s="371">
        <v>140</v>
      </c>
      <c r="F5780" s="371">
        <v>18108.89</v>
      </c>
      <c r="G5780" s="368" t="s">
        <v>3006</v>
      </c>
      <c r="H5780" s="368" t="s">
        <v>3004</v>
      </c>
      <c r="I5780" s="368" t="s">
        <v>219</v>
      </c>
      <c r="J5780" s="368" t="s">
        <v>757</v>
      </c>
      <c r="K5780" s="368" t="s">
        <v>770</v>
      </c>
      <c r="L5780" s="369">
        <v>44013</v>
      </c>
      <c r="M5780" s="372">
        <v>0</v>
      </c>
    </row>
    <row r="5781" spans="1:13" hidden="1" x14ac:dyDescent="0.25">
      <c r="A5781" s="369">
        <v>44044</v>
      </c>
      <c r="B5781" s="368" t="s">
        <v>3007</v>
      </c>
      <c r="C5781" s="368" t="s">
        <v>769</v>
      </c>
      <c r="D5781" s="370">
        <v>3</v>
      </c>
      <c r="E5781" s="371">
        <v>140</v>
      </c>
      <c r="F5781" s="371">
        <v>18248.89</v>
      </c>
      <c r="G5781" s="368" t="s">
        <v>3008</v>
      </c>
      <c r="H5781" s="368" t="s">
        <v>3004</v>
      </c>
      <c r="I5781" s="368" t="s">
        <v>219</v>
      </c>
      <c r="J5781" s="368" t="s">
        <v>757</v>
      </c>
      <c r="K5781" s="368" t="s">
        <v>770</v>
      </c>
      <c r="L5781" s="369">
        <v>44044</v>
      </c>
      <c r="M5781" s="372">
        <v>0</v>
      </c>
    </row>
    <row r="5782" spans="1:13" hidden="1" x14ac:dyDescent="0.25">
      <c r="A5782" s="369">
        <v>44075</v>
      </c>
      <c r="B5782" s="368" t="s">
        <v>3009</v>
      </c>
      <c r="C5782" s="368" t="s">
        <v>769</v>
      </c>
      <c r="D5782" s="370">
        <v>4</v>
      </c>
      <c r="E5782" s="371">
        <v>140</v>
      </c>
      <c r="F5782" s="371">
        <v>18388.89</v>
      </c>
      <c r="G5782" s="368" t="s">
        <v>3010</v>
      </c>
      <c r="H5782" s="368" t="s">
        <v>3004</v>
      </c>
      <c r="I5782" s="368" t="s">
        <v>219</v>
      </c>
      <c r="J5782" s="368" t="s">
        <v>757</v>
      </c>
      <c r="K5782" s="368" t="s">
        <v>770</v>
      </c>
      <c r="L5782" s="369">
        <v>44075</v>
      </c>
      <c r="M5782" s="372">
        <v>0</v>
      </c>
    </row>
    <row r="5783" spans="1:13" hidden="1" x14ac:dyDescent="0.25">
      <c r="A5783" s="369">
        <v>44105</v>
      </c>
      <c r="B5783" s="368" t="s">
        <v>3011</v>
      </c>
      <c r="C5783" s="368" t="s">
        <v>769</v>
      </c>
      <c r="D5783" s="370">
        <v>5</v>
      </c>
      <c r="E5783" s="371">
        <v>140</v>
      </c>
      <c r="F5783" s="371">
        <v>18528.89</v>
      </c>
      <c r="G5783" s="368" t="s">
        <v>3012</v>
      </c>
      <c r="H5783" s="368" t="s">
        <v>3004</v>
      </c>
      <c r="I5783" s="368" t="s">
        <v>219</v>
      </c>
      <c r="J5783" s="368" t="s">
        <v>757</v>
      </c>
      <c r="K5783" s="368" t="s">
        <v>770</v>
      </c>
      <c r="L5783" s="369">
        <v>44105</v>
      </c>
      <c r="M5783" s="372">
        <v>0</v>
      </c>
    </row>
    <row r="5784" spans="1:13" hidden="1" x14ac:dyDescent="0.25">
      <c r="A5784" s="369">
        <v>44136</v>
      </c>
      <c r="B5784" s="368" t="s">
        <v>3013</v>
      </c>
      <c r="C5784" s="368" t="s">
        <v>769</v>
      </c>
      <c r="D5784" s="370">
        <v>6</v>
      </c>
      <c r="E5784" s="371">
        <v>140</v>
      </c>
      <c r="F5784" s="371">
        <v>18668.89</v>
      </c>
      <c r="G5784" s="368" t="s">
        <v>3014</v>
      </c>
      <c r="H5784" s="368" t="s">
        <v>3004</v>
      </c>
      <c r="I5784" s="368" t="s">
        <v>219</v>
      </c>
      <c r="J5784" s="368" t="s">
        <v>757</v>
      </c>
      <c r="K5784" s="368" t="s">
        <v>770</v>
      </c>
      <c r="L5784" s="369">
        <v>44136</v>
      </c>
      <c r="M5784" s="372">
        <v>0</v>
      </c>
    </row>
    <row r="5785" spans="1:13" hidden="1" x14ac:dyDescent="0.25">
      <c r="A5785" s="369">
        <v>44166</v>
      </c>
      <c r="B5785" s="368" t="s">
        <v>3015</v>
      </c>
      <c r="C5785" s="368" t="s">
        <v>769</v>
      </c>
      <c r="D5785" s="370">
        <v>7</v>
      </c>
      <c r="E5785" s="371">
        <v>140</v>
      </c>
      <c r="F5785" s="371">
        <v>18808.89</v>
      </c>
      <c r="G5785" s="368" t="s">
        <v>3016</v>
      </c>
      <c r="H5785" s="368" t="s">
        <v>3004</v>
      </c>
      <c r="I5785" s="368" t="s">
        <v>219</v>
      </c>
      <c r="J5785" s="368" t="s">
        <v>757</v>
      </c>
      <c r="K5785" s="368" t="s">
        <v>770</v>
      </c>
      <c r="L5785" s="369">
        <v>44166</v>
      </c>
      <c r="M5785" s="372">
        <v>0</v>
      </c>
    </row>
    <row r="5786" spans="1:13" hidden="1" x14ac:dyDescent="0.25">
      <c r="A5786" s="369">
        <v>44197</v>
      </c>
      <c r="B5786" s="368" t="s">
        <v>3017</v>
      </c>
      <c r="C5786" s="368" t="s">
        <v>769</v>
      </c>
      <c r="D5786" s="370">
        <v>8</v>
      </c>
      <c r="E5786" s="371">
        <v>140</v>
      </c>
      <c r="F5786" s="371">
        <v>18948.89</v>
      </c>
      <c r="G5786" s="368" t="s">
        <v>3018</v>
      </c>
      <c r="H5786" s="368" t="s">
        <v>3004</v>
      </c>
      <c r="I5786" s="368" t="s">
        <v>219</v>
      </c>
      <c r="J5786" s="368" t="s">
        <v>757</v>
      </c>
      <c r="K5786" s="368" t="s">
        <v>770</v>
      </c>
      <c r="L5786" s="369">
        <v>44197</v>
      </c>
      <c r="M5786" s="372">
        <v>0</v>
      </c>
    </row>
    <row r="5787" spans="1:13" hidden="1" x14ac:dyDescent="0.25">
      <c r="A5787" s="369">
        <v>44228</v>
      </c>
      <c r="B5787" s="368" t="s">
        <v>3019</v>
      </c>
      <c r="C5787" s="368" t="s">
        <v>769</v>
      </c>
      <c r="D5787" s="370">
        <v>9</v>
      </c>
      <c r="E5787" s="371">
        <v>140</v>
      </c>
      <c r="F5787" s="371">
        <v>19088.89</v>
      </c>
      <c r="G5787" s="368" t="s">
        <v>3020</v>
      </c>
      <c r="H5787" s="368" t="s">
        <v>3004</v>
      </c>
      <c r="I5787" s="368" t="s">
        <v>219</v>
      </c>
      <c r="J5787" s="368" t="s">
        <v>757</v>
      </c>
      <c r="K5787" s="368" t="s">
        <v>770</v>
      </c>
      <c r="L5787" s="369">
        <v>44228</v>
      </c>
      <c r="M5787" s="372">
        <v>0</v>
      </c>
    </row>
    <row r="5788" spans="1:13" hidden="1" x14ac:dyDescent="0.25">
      <c r="A5788" s="369">
        <v>44256</v>
      </c>
      <c r="B5788" s="368" t="s">
        <v>3021</v>
      </c>
      <c r="C5788" s="368" t="s">
        <v>769</v>
      </c>
      <c r="D5788" s="370">
        <v>10</v>
      </c>
      <c r="E5788" s="371">
        <v>140</v>
      </c>
      <c r="F5788" s="371">
        <v>19228.89</v>
      </c>
      <c r="G5788" s="368" t="s">
        <v>3022</v>
      </c>
      <c r="H5788" s="368" t="s">
        <v>3004</v>
      </c>
      <c r="I5788" s="368" t="s">
        <v>219</v>
      </c>
      <c r="J5788" s="368" t="s">
        <v>757</v>
      </c>
      <c r="K5788" s="368" t="s">
        <v>770</v>
      </c>
      <c r="L5788" s="369">
        <v>44256</v>
      </c>
      <c r="M5788" s="372">
        <v>0</v>
      </c>
    </row>
    <row r="5789" spans="1:13" hidden="1" x14ac:dyDescent="0.25">
      <c r="A5789" s="369">
        <v>44013</v>
      </c>
      <c r="B5789" s="368" t="s">
        <v>3023</v>
      </c>
      <c r="C5789" s="368" t="s">
        <v>769</v>
      </c>
      <c r="D5789" s="370">
        <v>3</v>
      </c>
      <c r="E5789" s="371">
        <v>5.1100000000000003</v>
      </c>
      <c r="F5789" s="371">
        <v>19374</v>
      </c>
      <c r="G5789" s="368" t="s">
        <v>3024</v>
      </c>
      <c r="H5789" s="368" t="s">
        <v>3025</v>
      </c>
      <c r="I5789" s="368" t="s">
        <v>219</v>
      </c>
      <c r="J5789" s="368" t="s">
        <v>757</v>
      </c>
      <c r="K5789" s="368" t="s">
        <v>770</v>
      </c>
      <c r="L5789" s="369">
        <v>44013</v>
      </c>
      <c r="M5789" s="372">
        <v>0</v>
      </c>
    </row>
    <row r="5790" spans="1:13" hidden="1" x14ac:dyDescent="0.25">
      <c r="A5790" s="369">
        <v>44012</v>
      </c>
      <c r="B5790" s="368" t="s">
        <v>3026</v>
      </c>
      <c r="C5790" s="368" t="s">
        <v>769</v>
      </c>
      <c r="D5790" s="370">
        <v>1</v>
      </c>
      <c r="E5790" s="371">
        <v>20</v>
      </c>
      <c r="F5790" s="371">
        <v>19394</v>
      </c>
      <c r="G5790" s="368" t="s">
        <v>3027</v>
      </c>
      <c r="H5790" s="368" t="s">
        <v>3028</v>
      </c>
      <c r="I5790" s="368" t="s">
        <v>219</v>
      </c>
      <c r="J5790" s="368" t="s">
        <v>757</v>
      </c>
      <c r="K5790" s="368" t="s">
        <v>770</v>
      </c>
      <c r="L5790" s="369">
        <v>44012</v>
      </c>
      <c r="M5790" s="372">
        <v>0</v>
      </c>
    </row>
    <row r="5791" spans="1:13" hidden="1" x14ac:dyDescent="0.25">
      <c r="A5791" s="369">
        <v>44038</v>
      </c>
      <c r="B5791" s="368" t="s">
        <v>3029</v>
      </c>
      <c r="C5791" s="368" t="s">
        <v>769</v>
      </c>
      <c r="D5791" s="370">
        <v>1</v>
      </c>
      <c r="E5791" s="371">
        <v>231.17</v>
      </c>
      <c r="F5791" s="371">
        <v>19625.169999999998</v>
      </c>
      <c r="G5791" s="368" t="s">
        <v>3030</v>
      </c>
      <c r="H5791" s="368" t="s">
        <v>3028</v>
      </c>
      <c r="I5791" s="368" t="s">
        <v>219</v>
      </c>
      <c r="J5791" s="368" t="s">
        <v>757</v>
      </c>
      <c r="K5791" s="368" t="s">
        <v>770</v>
      </c>
      <c r="L5791" s="369">
        <v>44038</v>
      </c>
      <c r="M5791" s="372">
        <v>0</v>
      </c>
    </row>
    <row r="5792" spans="1:13" hidden="1" x14ac:dyDescent="0.25">
      <c r="A5792" s="369">
        <v>44066</v>
      </c>
      <c r="B5792" s="368" t="s">
        <v>3031</v>
      </c>
      <c r="C5792" s="368" t="s">
        <v>769</v>
      </c>
      <c r="D5792" s="370">
        <v>2</v>
      </c>
      <c r="E5792" s="371">
        <v>29.33</v>
      </c>
      <c r="F5792" s="371">
        <v>19654.5</v>
      </c>
      <c r="G5792" s="368" t="s">
        <v>3032</v>
      </c>
      <c r="H5792" s="368" t="s">
        <v>3028</v>
      </c>
      <c r="I5792" s="368" t="s">
        <v>219</v>
      </c>
      <c r="J5792" s="368" t="s">
        <v>757</v>
      </c>
      <c r="K5792" s="368" t="s">
        <v>770</v>
      </c>
      <c r="L5792" s="369">
        <v>44066</v>
      </c>
      <c r="M5792" s="372">
        <v>0</v>
      </c>
    </row>
    <row r="5793" spans="1:13" hidden="1" x14ac:dyDescent="0.25">
      <c r="A5793" s="369">
        <v>44101</v>
      </c>
      <c r="B5793" s="368" t="s">
        <v>3033</v>
      </c>
      <c r="C5793" s="368" t="s">
        <v>769</v>
      </c>
      <c r="D5793" s="370">
        <v>4</v>
      </c>
      <c r="E5793" s="371">
        <v>170.32</v>
      </c>
      <c r="F5793" s="371">
        <v>19824.82</v>
      </c>
      <c r="G5793" s="368" t="s">
        <v>3034</v>
      </c>
      <c r="H5793" s="368" t="s">
        <v>3028</v>
      </c>
      <c r="I5793" s="368" t="s">
        <v>219</v>
      </c>
      <c r="J5793" s="368" t="s">
        <v>757</v>
      </c>
      <c r="K5793" s="368" t="s">
        <v>770</v>
      </c>
      <c r="L5793" s="369">
        <v>44101</v>
      </c>
      <c r="M5793" s="372">
        <v>0</v>
      </c>
    </row>
    <row r="5794" spans="1:13" hidden="1" x14ac:dyDescent="0.25">
      <c r="A5794" s="369">
        <v>44129</v>
      </c>
      <c r="B5794" s="368" t="s">
        <v>3035</v>
      </c>
      <c r="C5794" s="368" t="s">
        <v>769</v>
      </c>
      <c r="D5794" s="370">
        <v>5</v>
      </c>
      <c r="E5794" s="371">
        <v>433.01</v>
      </c>
      <c r="F5794" s="371">
        <v>20257.830000000002</v>
      </c>
      <c r="G5794" s="368" t="s">
        <v>3036</v>
      </c>
      <c r="H5794" s="368" t="s">
        <v>3028</v>
      </c>
      <c r="I5794" s="368" t="s">
        <v>219</v>
      </c>
      <c r="J5794" s="368" t="s">
        <v>757</v>
      </c>
      <c r="K5794" s="368" t="s">
        <v>770</v>
      </c>
      <c r="L5794" s="369">
        <v>44129</v>
      </c>
      <c r="M5794" s="372">
        <v>0</v>
      </c>
    </row>
    <row r="5795" spans="1:13" hidden="1" x14ac:dyDescent="0.25">
      <c r="A5795" s="369">
        <v>44135</v>
      </c>
      <c r="B5795" s="368" t="s">
        <v>3037</v>
      </c>
      <c r="C5795" s="368" t="s">
        <v>769</v>
      </c>
      <c r="D5795" s="370">
        <v>5</v>
      </c>
      <c r="E5795" s="371">
        <v>20</v>
      </c>
      <c r="F5795" s="371">
        <v>20277.830000000002</v>
      </c>
      <c r="G5795" s="368" t="s">
        <v>3038</v>
      </c>
      <c r="H5795" s="368" t="s">
        <v>3028</v>
      </c>
      <c r="I5795" s="368" t="s">
        <v>219</v>
      </c>
      <c r="J5795" s="368" t="s">
        <v>757</v>
      </c>
      <c r="K5795" s="368" t="s">
        <v>770</v>
      </c>
      <c r="L5795" s="369">
        <v>44135</v>
      </c>
      <c r="M5795" s="372">
        <v>0</v>
      </c>
    </row>
    <row r="5796" spans="1:13" hidden="1" x14ac:dyDescent="0.25">
      <c r="A5796" s="369">
        <v>44157</v>
      </c>
      <c r="B5796" s="368" t="s">
        <v>3039</v>
      </c>
      <c r="C5796" s="368" t="s">
        <v>769</v>
      </c>
      <c r="D5796" s="370">
        <v>5</v>
      </c>
      <c r="E5796" s="371">
        <v>29.33</v>
      </c>
      <c r="F5796" s="371">
        <v>20307.16</v>
      </c>
      <c r="G5796" s="368" t="s">
        <v>3040</v>
      </c>
      <c r="H5796" s="368" t="s">
        <v>3028</v>
      </c>
      <c r="I5796" s="368" t="s">
        <v>219</v>
      </c>
      <c r="J5796" s="368" t="s">
        <v>757</v>
      </c>
      <c r="K5796" s="368" t="s">
        <v>770</v>
      </c>
      <c r="L5796" s="369">
        <v>44157</v>
      </c>
      <c r="M5796" s="372">
        <v>0</v>
      </c>
    </row>
    <row r="5797" spans="1:13" hidden="1" x14ac:dyDescent="0.25">
      <c r="A5797" s="369">
        <v>44157</v>
      </c>
      <c r="B5797" s="368" t="s">
        <v>3041</v>
      </c>
      <c r="C5797" s="368" t="s">
        <v>936</v>
      </c>
      <c r="D5797" s="370">
        <v>5</v>
      </c>
      <c r="E5797" s="371">
        <v>-201.84</v>
      </c>
      <c r="F5797" s="371">
        <v>20105.32</v>
      </c>
      <c r="G5797" s="368" t="s">
        <v>3042</v>
      </c>
      <c r="H5797" s="368" t="s">
        <v>3028</v>
      </c>
      <c r="I5797" s="368" t="s">
        <v>219</v>
      </c>
      <c r="J5797" s="368" t="s">
        <v>757</v>
      </c>
      <c r="K5797" s="368" t="s">
        <v>770</v>
      </c>
      <c r="L5797" s="369">
        <v>44157</v>
      </c>
      <c r="M5797" s="372">
        <v>0</v>
      </c>
    </row>
    <row r="5798" spans="1:13" hidden="1" x14ac:dyDescent="0.25">
      <c r="A5798" s="369">
        <v>44196</v>
      </c>
      <c r="B5798" s="368" t="s">
        <v>1160</v>
      </c>
      <c r="C5798" s="368" t="s">
        <v>1060</v>
      </c>
      <c r="D5798" s="370">
        <v>6</v>
      </c>
      <c r="E5798" s="371">
        <v>231.17</v>
      </c>
      <c r="F5798" s="371">
        <v>20336.490000000002</v>
      </c>
      <c r="G5798" s="368" t="s">
        <v>2996</v>
      </c>
      <c r="H5798" s="368" t="s">
        <v>3028</v>
      </c>
      <c r="I5798" s="368" t="s">
        <v>219</v>
      </c>
      <c r="J5798" s="368" t="s">
        <v>757</v>
      </c>
      <c r="K5798" s="368" t="s">
        <v>741</v>
      </c>
      <c r="L5798" s="369">
        <v>44196</v>
      </c>
      <c r="M5798" s="372">
        <v>0</v>
      </c>
    </row>
    <row r="5799" spans="1:13" hidden="1" x14ac:dyDescent="0.25">
      <c r="A5799" s="369">
        <v>44192</v>
      </c>
      <c r="B5799" s="368" t="s">
        <v>3043</v>
      </c>
      <c r="C5799" s="368" t="s">
        <v>769</v>
      </c>
      <c r="D5799" s="370">
        <v>7</v>
      </c>
      <c r="E5799" s="371">
        <v>231.17</v>
      </c>
      <c r="F5799" s="371">
        <v>20567.66</v>
      </c>
      <c r="G5799" s="368" t="s">
        <v>3044</v>
      </c>
      <c r="H5799" s="368" t="s">
        <v>3028</v>
      </c>
      <c r="I5799" s="368" t="s">
        <v>219</v>
      </c>
      <c r="J5799" s="368" t="s">
        <v>757</v>
      </c>
      <c r="K5799" s="368" t="s">
        <v>770</v>
      </c>
      <c r="L5799" s="369">
        <v>44192</v>
      </c>
      <c r="M5799" s="372">
        <v>0</v>
      </c>
    </row>
    <row r="5800" spans="1:13" hidden="1" x14ac:dyDescent="0.25">
      <c r="A5800" s="369">
        <v>44196</v>
      </c>
      <c r="B5800" s="368" t="s">
        <v>1160</v>
      </c>
      <c r="C5800" s="368" t="s">
        <v>1060</v>
      </c>
      <c r="D5800" s="370">
        <v>7</v>
      </c>
      <c r="E5800" s="371">
        <v>-231.17</v>
      </c>
      <c r="F5800" s="371">
        <v>20336.490000000002</v>
      </c>
      <c r="G5800" s="368" t="s">
        <v>2996</v>
      </c>
      <c r="H5800" s="368" t="s">
        <v>3028</v>
      </c>
      <c r="I5800" s="368" t="s">
        <v>219</v>
      </c>
      <c r="J5800" s="368" t="s">
        <v>757</v>
      </c>
      <c r="K5800" s="368" t="s">
        <v>741</v>
      </c>
      <c r="L5800" s="369">
        <v>44196</v>
      </c>
      <c r="M5800" s="372">
        <v>0</v>
      </c>
    </row>
    <row r="5801" spans="1:13" hidden="1" x14ac:dyDescent="0.25">
      <c r="A5801" s="369">
        <v>44196</v>
      </c>
      <c r="B5801" s="368" t="s">
        <v>3045</v>
      </c>
      <c r="C5801" s="368" t="s">
        <v>769</v>
      </c>
      <c r="D5801" s="370">
        <v>7</v>
      </c>
      <c r="E5801" s="371">
        <v>20</v>
      </c>
      <c r="F5801" s="371">
        <v>20356.490000000002</v>
      </c>
      <c r="G5801" s="368" t="s">
        <v>3046</v>
      </c>
      <c r="H5801" s="368" t="s">
        <v>3028</v>
      </c>
      <c r="I5801" s="368" t="s">
        <v>219</v>
      </c>
      <c r="J5801" s="368" t="s">
        <v>757</v>
      </c>
      <c r="K5801" s="368" t="s">
        <v>770</v>
      </c>
      <c r="L5801" s="369">
        <v>44196</v>
      </c>
      <c r="M5801" s="372">
        <v>0</v>
      </c>
    </row>
    <row r="5802" spans="1:13" hidden="1" x14ac:dyDescent="0.25">
      <c r="A5802" s="369">
        <v>44220</v>
      </c>
      <c r="B5802" s="368" t="s">
        <v>3047</v>
      </c>
      <c r="C5802" s="368" t="s">
        <v>769</v>
      </c>
      <c r="D5802" s="370">
        <v>7</v>
      </c>
      <c r="E5802" s="371">
        <v>231.17</v>
      </c>
      <c r="F5802" s="371">
        <v>20587.66</v>
      </c>
      <c r="G5802" s="368" t="s">
        <v>3048</v>
      </c>
      <c r="H5802" s="368" t="s">
        <v>3028</v>
      </c>
      <c r="I5802" s="368" t="s">
        <v>219</v>
      </c>
      <c r="J5802" s="368" t="s">
        <v>757</v>
      </c>
      <c r="K5802" s="368" t="s">
        <v>770</v>
      </c>
      <c r="L5802" s="369">
        <v>44220</v>
      </c>
      <c r="M5802" s="372">
        <v>0</v>
      </c>
    </row>
    <row r="5803" spans="1:13" hidden="1" x14ac:dyDescent="0.25">
      <c r="A5803" s="369">
        <v>44248</v>
      </c>
      <c r="B5803" s="368" t="s">
        <v>3049</v>
      </c>
      <c r="C5803" s="368" t="s">
        <v>769</v>
      </c>
      <c r="D5803" s="370">
        <v>8</v>
      </c>
      <c r="E5803" s="371">
        <v>231.17</v>
      </c>
      <c r="F5803" s="371">
        <v>20818.830000000002</v>
      </c>
      <c r="G5803" s="368" t="s">
        <v>3050</v>
      </c>
      <c r="H5803" s="368" t="s">
        <v>3028</v>
      </c>
      <c r="I5803" s="368" t="s">
        <v>219</v>
      </c>
      <c r="J5803" s="368" t="s">
        <v>757</v>
      </c>
      <c r="K5803" s="368" t="s">
        <v>770</v>
      </c>
      <c r="L5803" s="369">
        <v>44248</v>
      </c>
      <c r="M5803" s="372">
        <v>0</v>
      </c>
    </row>
    <row r="5804" spans="1:13" hidden="1" x14ac:dyDescent="0.25">
      <c r="A5804" s="369">
        <v>44286</v>
      </c>
      <c r="B5804" s="368" t="s">
        <v>2475</v>
      </c>
      <c r="C5804" s="368" t="s">
        <v>1060</v>
      </c>
      <c r="D5804" s="370">
        <v>9</v>
      </c>
      <c r="E5804" s="371">
        <v>725.69</v>
      </c>
      <c r="F5804" s="371">
        <v>21544.52</v>
      </c>
      <c r="G5804" s="368" t="s">
        <v>3000</v>
      </c>
      <c r="H5804" s="368" t="s">
        <v>3028</v>
      </c>
      <c r="I5804" s="368" t="s">
        <v>219</v>
      </c>
      <c r="J5804" s="368" t="s">
        <v>757</v>
      </c>
      <c r="K5804" s="368" t="s">
        <v>741</v>
      </c>
      <c r="L5804" s="369">
        <v>44286</v>
      </c>
      <c r="M5804" s="372">
        <v>0</v>
      </c>
    </row>
    <row r="5805" spans="1:13" hidden="1" x14ac:dyDescent="0.25">
      <c r="A5805" s="369">
        <v>44283</v>
      </c>
      <c r="B5805" s="368" t="s">
        <v>3051</v>
      </c>
      <c r="C5805" s="368" t="s">
        <v>769</v>
      </c>
      <c r="D5805" s="370">
        <v>10</v>
      </c>
      <c r="E5805" s="371">
        <v>725.69</v>
      </c>
      <c r="F5805" s="371">
        <v>22270.21</v>
      </c>
      <c r="G5805" s="368" t="s">
        <v>3052</v>
      </c>
      <c r="H5805" s="368" t="s">
        <v>3028</v>
      </c>
      <c r="I5805" s="368" t="s">
        <v>219</v>
      </c>
      <c r="J5805" s="368" t="s">
        <v>757</v>
      </c>
      <c r="K5805" s="368" t="s">
        <v>770</v>
      </c>
      <c r="L5805" s="369">
        <v>44283</v>
      </c>
      <c r="M5805" s="372">
        <v>0</v>
      </c>
    </row>
    <row r="5806" spans="1:13" hidden="1" x14ac:dyDescent="0.25">
      <c r="A5806" s="369">
        <v>44286</v>
      </c>
      <c r="B5806" s="368" t="s">
        <v>3053</v>
      </c>
      <c r="C5806" s="368" t="s">
        <v>769</v>
      </c>
      <c r="D5806" s="370">
        <v>10</v>
      </c>
      <c r="E5806" s="371">
        <v>60</v>
      </c>
      <c r="F5806" s="371">
        <v>22330.21</v>
      </c>
      <c r="G5806" s="368" t="s">
        <v>3054</v>
      </c>
      <c r="H5806" s="368" t="s">
        <v>3028</v>
      </c>
      <c r="I5806" s="368" t="s">
        <v>219</v>
      </c>
      <c r="J5806" s="368" t="s">
        <v>757</v>
      </c>
      <c r="K5806" s="368" t="s">
        <v>770</v>
      </c>
      <c r="L5806" s="369">
        <v>44286</v>
      </c>
      <c r="M5806" s="372">
        <v>0</v>
      </c>
    </row>
    <row r="5807" spans="1:13" hidden="1" x14ac:dyDescent="0.25">
      <c r="A5807" s="369">
        <v>44286</v>
      </c>
      <c r="B5807" s="368" t="s">
        <v>2475</v>
      </c>
      <c r="C5807" s="368" t="s">
        <v>1060</v>
      </c>
      <c r="D5807" s="370">
        <v>10</v>
      </c>
      <c r="E5807" s="371">
        <v>-725.69</v>
      </c>
      <c r="F5807" s="371">
        <v>21604.52</v>
      </c>
      <c r="G5807" s="368" t="s">
        <v>3000</v>
      </c>
      <c r="H5807" s="368" t="s">
        <v>3028</v>
      </c>
      <c r="I5807" s="368" t="s">
        <v>219</v>
      </c>
      <c r="J5807" s="368" t="s">
        <v>757</v>
      </c>
      <c r="K5807" s="368" t="s">
        <v>741</v>
      </c>
      <c r="L5807" s="369">
        <v>44286</v>
      </c>
      <c r="M5807" s="372">
        <v>0</v>
      </c>
    </row>
    <row r="5808" spans="1:13" hidden="1" x14ac:dyDescent="0.25">
      <c r="A5808" s="369">
        <v>44316</v>
      </c>
      <c r="B5808" s="368" t="s">
        <v>1104</v>
      </c>
      <c r="C5808" s="368" t="s">
        <v>1060</v>
      </c>
      <c r="D5808" s="370">
        <v>10</v>
      </c>
      <c r="E5808" s="371">
        <v>222.01</v>
      </c>
      <c r="F5808" s="371">
        <v>21826.53</v>
      </c>
      <c r="G5808" s="368" t="s">
        <v>1097</v>
      </c>
      <c r="H5808" s="368" t="s">
        <v>3028</v>
      </c>
      <c r="I5808" s="368" t="s">
        <v>219</v>
      </c>
      <c r="J5808" s="368" t="s">
        <v>757</v>
      </c>
      <c r="K5808" s="368" t="s">
        <v>741</v>
      </c>
      <c r="L5808" s="369">
        <v>44316</v>
      </c>
      <c r="M5808" s="372">
        <v>0</v>
      </c>
    </row>
  </sheetData>
  <autoFilter ref="A1:N5808" xr:uid="{258EC939-FD69-431B-A553-C3F1F547057F}">
    <filterColumn colId="2">
      <filters>
        <filter val="APINV"/>
      </filters>
    </filterColumn>
    <filterColumn colId="3">
      <filters>
        <filter val="7"/>
      </filters>
    </filterColumn>
    <filterColumn colId="7">
      <filters>
        <filter val="9990.3020"/>
      </filters>
    </filterColumn>
  </autoFilter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D5B5D-9745-4594-A038-236B8746F1F6}">
  <sheetPr codeName="Sheet1">
    <tabColor rgb="FFFF66CC"/>
  </sheetPr>
  <dimension ref="A1:T244"/>
  <sheetViews>
    <sheetView tabSelected="1" workbookViewId="0">
      <pane xSplit="1" ySplit="1" topLeftCell="B209" activePane="bottomRight" state="frozen"/>
      <selection pane="topRight" activeCell="B1" sqref="B1"/>
      <selection pane="bottomLeft" activeCell="A2" sqref="A2"/>
      <selection pane="bottomRight" activeCell="M223" sqref="M223"/>
    </sheetView>
  </sheetViews>
  <sheetFormatPr defaultRowHeight="15" x14ac:dyDescent="0.25"/>
  <cols>
    <col min="1" max="1" width="9.140625" customWidth="1"/>
    <col min="2" max="2" width="22.140625" style="272" customWidth="1"/>
    <col min="3" max="3" width="8.28515625" customWidth="1"/>
    <col min="4" max="4" width="10.28515625" customWidth="1"/>
    <col min="5" max="5" width="12.7109375" customWidth="1"/>
    <col min="6" max="6" width="37.85546875" style="272" customWidth="1"/>
    <col min="7" max="7" width="5.7109375" style="272" customWidth="1"/>
    <col min="8" max="8" width="10.7109375" style="272" customWidth="1"/>
    <col min="9" max="9" width="10.140625" customWidth="1"/>
    <col min="10" max="12" width="9.570312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10.140625" bestFit="1" customWidth="1"/>
    <col min="18" max="19" width="9.5703125" bestFit="1" customWidth="1"/>
  </cols>
  <sheetData>
    <row r="1" spans="1:20" ht="80.25" customHeight="1" x14ac:dyDescent="0.25">
      <c r="A1" s="393" t="s">
        <v>741</v>
      </c>
      <c r="B1" s="394" t="s">
        <v>1106</v>
      </c>
      <c r="C1" s="392" t="s">
        <v>771</v>
      </c>
      <c r="D1" s="392" t="s">
        <v>3102</v>
      </c>
      <c r="E1" s="392" t="s">
        <v>772</v>
      </c>
      <c r="F1" s="395" t="s">
        <v>1107</v>
      </c>
      <c r="G1" s="390" t="s">
        <v>769</v>
      </c>
      <c r="H1" s="391" t="s">
        <v>3109</v>
      </c>
      <c r="I1" s="469">
        <v>11</v>
      </c>
      <c r="J1" s="470">
        <f>IF(I1-1=0,12,I1-1)</f>
        <v>10</v>
      </c>
      <c r="K1" s="470">
        <f t="shared" ref="K1:T1" si="0">IF(J1-1=0,12,J1-1)</f>
        <v>9</v>
      </c>
      <c r="L1" s="470">
        <f t="shared" si="0"/>
        <v>8</v>
      </c>
      <c r="M1" s="470">
        <f t="shared" si="0"/>
        <v>7</v>
      </c>
      <c r="N1" s="470">
        <f t="shared" si="0"/>
        <v>6</v>
      </c>
      <c r="O1" s="470">
        <f t="shared" si="0"/>
        <v>5</v>
      </c>
      <c r="P1" s="470">
        <f t="shared" si="0"/>
        <v>4</v>
      </c>
      <c r="Q1" s="470">
        <f t="shared" si="0"/>
        <v>3</v>
      </c>
      <c r="R1" s="470">
        <f t="shared" si="0"/>
        <v>2</v>
      </c>
      <c r="S1" s="470">
        <f t="shared" si="0"/>
        <v>1</v>
      </c>
      <c r="T1" s="470">
        <f t="shared" si="0"/>
        <v>12</v>
      </c>
    </row>
    <row r="2" spans="1:20" x14ac:dyDescent="0.25">
      <c r="A2" s="126">
        <v>3576</v>
      </c>
      <c r="B2" s="252" t="s">
        <v>855</v>
      </c>
      <c r="C2" s="128"/>
      <c r="D2" s="129"/>
      <c r="E2" s="166"/>
      <c r="F2" s="301"/>
      <c r="G2" s="373"/>
      <c r="H2" s="373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</row>
    <row r="3" spans="1:20" x14ac:dyDescent="0.25">
      <c r="A3" s="114" t="s">
        <v>2708</v>
      </c>
      <c r="B3" s="253" t="s">
        <v>726</v>
      </c>
      <c r="C3" s="115">
        <v>0</v>
      </c>
      <c r="D3" s="124">
        <v>0</v>
      </c>
      <c r="E3" s="167">
        <f>D3*C3</f>
        <v>0</v>
      </c>
      <c r="F3" s="170"/>
      <c r="H3" s="397">
        <f>E3+SUMIFS('GL Dump'!$E:$E,'GL Dump'!$H:$H,Master!A3,'GL Dump'!$D:$D,Master!$I$1)</f>
        <v>0</v>
      </c>
      <c r="I3" s="81">
        <f>IF($G$1="ALL",SUMIFS('GL Dump'!$E:$E,'GL Dump'!$H:$H,Master!$A3,'GL Dump'!$D:$D,Master!I$1),SUMIFS('GL Dump'!$E:$E,'GL Dump'!$H:$H,Master!$A3,'GL Dump'!$D:$D,Master!I$1,'GL Dump'!$C:$C,Master!$G$1))</f>
        <v>0</v>
      </c>
      <c r="J3" s="81">
        <f>IF($G$1="ALL",SUMIFS('GL Dump'!$E:$E,'GL Dump'!$H:$H,Master!$A3,'GL Dump'!$D:$D,Master!J$1),SUMIFS('GL Dump'!$E:$E,'GL Dump'!$H:$H,Master!$A3,'GL Dump'!$D:$D,Master!J$1,'GL Dump'!$C:$C,Master!$G$1))</f>
        <v>0</v>
      </c>
      <c r="K3" s="81">
        <f>IF($G$1="ALL",SUMIFS('GL Dump'!$E:$E,'GL Dump'!$H:$H,Master!$A3,'GL Dump'!$D:$D,Master!K$1),SUMIFS('GL Dump'!$E:$E,'GL Dump'!$H:$H,Master!$A3,'GL Dump'!$D:$D,Master!K$1,'GL Dump'!$C:$C,Master!$G$1))</f>
        <v>265.27</v>
      </c>
      <c r="L3" s="81">
        <f>IF($G$1="ALL",SUMIFS('GL Dump'!$E:$E,'GL Dump'!$H:$H,Master!$A3,'GL Dump'!$D:$D,Master!L$1),SUMIFS('GL Dump'!$E:$E,'GL Dump'!$H:$H,Master!$A3,'GL Dump'!$D:$D,Master!L$1,'GL Dump'!$C:$C,Master!$G$1))</f>
        <v>0</v>
      </c>
      <c r="M3" s="81">
        <f>IF($G$1="ALL",SUMIFS('GL Dump'!$E:$E,'GL Dump'!$H:$H,Master!$A3,'GL Dump'!$D:$D,Master!M$1),SUMIFS('GL Dump'!$E:$E,'GL Dump'!$H:$H,Master!$A3,'GL Dump'!$D:$D,Master!M$1,'GL Dump'!$C:$C,Master!$G$1))</f>
        <v>0</v>
      </c>
      <c r="N3" s="81">
        <f>IF($G$1="ALL",SUMIFS('GL Dump'!$E:$E,'GL Dump'!$H:$H,Master!$A3,'GL Dump'!$D:$D,Master!N$1),SUMIFS('GL Dump'!$E:$E,'GL Dump'!$H:$H,Master!$A3,'GL Dump'!$D:$D,Master!N$1,'GL Dump'!$C:$C,Master!$G$1))</f>
        <v>0</v>
      </c>
      <c r="O3" s="81">
        <f>IF($G$1="ALL",SUMIFS('GL Dump'!$E:$E,'GL Dump'!$H:$H,Master!$A3,'GL Dump'!$D:$D,Master!O$1),SUMIFS('GL Dump'!$E:$E,'GL Dump'!$H:$H,Master!$A3,'GL Dump'!$D:$D,Master!O$1,'GL Dump'!$C:$C,Master!$G$1))</f>
        <v>0</v>
      </c>
      <c r="P3" s="81">
        <f>IF($G$1="ALL",SUMIFS('GL Dump'!$E:$E,'GL Dump'!$H:$H,Master!$A3,'GL Dump'!$D:$D,Master!P$1),SUMIFS('GL Dump'!$E:$E,'GL Dump'!$H:$H,Master!$A3,'GL Dump'!$D:$D,Master!P$1,'GL Dump'!$C:$C,Master!$G$1))</f>
        <v>0</v>
      </c>
      <c r="Q3" s="81">
        <f>IF($G$1="ALL",SUMIFS('GL Dump'!$E:$E,'GL Dump'!$H:$H,Master!$A3,'GL Dump'!$D:$D,Master!Q$1),SUMIFS('GL Dump'!$E:$E,'GL Dump'!$H:$H,Master!$A3,'GL Dump'!$D:$D,Master!Q$1,'GL Dump'!$C:$C,Master!$G$1))</f>
        <v>0</v>
      </c>
      <c r="R3" s="81">
        <f>IF($G$1="ALL",SUMIFS('GL Dump'!$E:$E,'GL Dump'!$H:$H,Master!$A3,'GL Dump'!$D:$D,Master!R$1),SUMIFS('GL Dump'!$E:$E,'GL Dump'!$H:$H,Master!$A3,'GL Dump'!$D:$D,Master!R$1,'GL Dump'!$C:$C,Master!$G$1))</f>
        <v>0</v>
      </c>
      <c r="S3" s="81">
        <f>IF($G$1="ALL",SUMIFS('GL Dump'!$E:$E,'GL Dump'!$H:$H,Master!$A3,'GL Dump'!$D:$D,Master!S$1),SUMIFS('GL Dump'!$E:$E,'GL Dump'!$H:$H,Master!$A3,'GL Dump'!$D:$D,Master!S$1,'GL Dump'!$C:$C,Master!$G$1))</f>
        <v>0</v>
      </c>
    </row>
    <row r="4" spans="1:20" x14ac:dyDescent="0.25">
      <c r="A4" s="414" t="s">
        <v>2712</v>
      </c>
      <c r="B4" s="415" t="s">
        <v>851</v>
      </c>
      <c r="C4" s="416">
        <v>0</v>
      </c>
      <c r="D4" s="417">
        <v>0</v>
      </c>
      <c r="E4" s="418">
        <f>D4*C4</f>
        <v>0</v>
      </c>
      <c r="F4" s="419" t="s">
        <v>3157</v>
      </c>
      <c r="G4" s="420"/>
      <c r="H4" s="421">
        <f>E4+SUMIFS('GL Dump'!$E:$E,'GL Dump'!$H:$H,Master!A4,'GL Dump'!$D:$D,Master!$I$1)</f>
        <v>0</v>
      </c>
      <c r="I4" s="422">
        <f>IF($G$1="ALL",SUMIFS('GL Dump'!$E:$E,'GL Dump'!$H:$H,Master!$A4,'GL Dump'!$D:$D,Master!I$1),SUMIFS('GL Dump'!$E:$E,'GL Dump'!$H:$H,Master!$A4,'GL Dump'!$D:$D,Master!I$1,'GL Dump'!$C:$C,Master!$G$1))</f>
        <v>0</v>
      </c>
      <c r="J4" s="422">
        <f>IF($G$1="ALL",SUMIFS('GL Dump'!$E:$E,'GL Dump'!$H:$H,Master!$A4,'GL Dump'!$D:$D,Master!J$1),SUMIFS('GL Dump'!$E:$E,'GL Dump'!$H:$H,Master!$A4,'GL Dump'!$D:$D,Master!J$1,'GL Dump'!$C:$C,Master!$G$1))</f>
        <v>0</v>
      </c>
      <c r="K4" s="422">
        <f>IF($G$1="ALL",SUMIFS('GL Dump'!$E:$E,'GL Dump'!$H:$H,Master!$A4,'GL Dump'!$D:$D,Master!K$1),SUMIFS('GL Dump'!$E:$E,'GL Dump'!$H:$H,Master!$A4,'GL Dump'!$D:$D,Master!K$1,'GL Dump'!$C:$C,Master!$G$1))</f>
        <v>0</v>
      </c>
      <c r="L4" s="422">
        <f>IF($G$1="ALL",SUMIFS('GL Dump'!$E:$E,'GL Dump'!$H:$H,Master!$A4,'GL Dump'!$D:$D,Master!L$1),SUMIFS('GL Dump'!$E:$E,'GL Dump'!$H:$H,Master!$A4,'GL Dump'!$D:$D,Master!L$1,'GL Dump'!$C:$C,Master!$G$1))</f>
        <v>0</v>
      </c>
      <c r="M4" s="422">
        <f>IF($G$1="ALL",SUMIFS('GL Dump'!$E:$E,'GL Dump'!$H:$H,Master!$A4,'GL Dump'!$D:$D,Master!M$1),SUMIFS('GL Dump'!$E:$E,'GL Dump'!$H:$H,Master!$A4,'GL Dump'!$D:$D,Master!M$1,'GL Dump'!$C:$C,Master!$G$1))</f>
        <v>0</v>
      </c>
      <c r="N4" s="422">
        <f>IF($G$1="ALL",SUMIFS('GL Dump'!$E:$E,'GL Dump'!$H:$H,Master!$A4,'GL Dump'!$D:$D,Master!N$1),SUMIFS('GL Dump'!$E:$E,'GL Dump'!$H:$H,Master!$A4,'GL Dump'!$D:$D,Master!N$1,'GL Dump'!$C:$C,Master!$G$1))</f>
        <v>0</v>
      </c>
      <c r="O4" s="422">
        <f>IF($G$1="ALL",SUMIFS('GL Dump'!$E:$E,'GL Dump'!$H:$H,Master!$A4,'GL Dump'!$D:$D,Master!O$1),SUMIFS('GL Dump'!$E:$E,'GL Dump'!$H:$H,Master!$A4,'GL Dump'!$D:$D,Master!O$1,'GL Dump'!$C:$C,Master!$G$1))</f>
        <v>0</v>
      </c>
      <c r="P4" s="422">
        <f>IF($G$1="ALL",SUMIFS('GL Dump'!$E:$E,'GL Dump'!$H:$H,Master!$A4,'GL Dump'!$D:$D,Master!P$1),SUMIFS('GL Dump'!$E:$E,'GL Dump'!$H:$H,Master!$A4,'GL Dump'!$D:$D,Master!P$1,'GL Dump'!$C:$C,Master!$G$1))</f>
        <v>0</v>
      </c>
      <c r="Q4" s="422">
        <f>IF($G$1="ALL",SUMIFS('GL Dump'!$E:$E,'GL Dump'!$H:$H,Master!$A4,'GL Dump'!$D:$D,Master!Q$1),SUMIFS('GL Dump'!$E:$E,'GL Dump'!$H:$H,Master!$A4,'GL Dump'!$D:$D,Master!Q$1,'GL Dump'!$C:$C,Master!$G$1))</f>
        <v>0</v>
      </c>
      <c r="R4" s="422">
        <f>IF($G$1="ALL",SUMIFS('GL Dump'!$E:$E,'GL Dump'!$H:$H,Master!$A4,'GL Dump'!$D:$D,Master!R$1),SUMIFS('GL Dump'!$E:$E,'GL Dump'!$H:$H,Master!$A4,'GL Dump'!$D:$D,Master!R$1,'GL Dump'!$C:$C,Master!$G$1))</f>
        <v>0</v>
      </c>
      <c r="S4" s="422">
        <f>IF($G$1="ALL",SUMIFS('GL Dump'!$E:$E,'GL Dump'!$H:$H,Master!$A4,'GL Dump'!$D:$D,Master!S$1),SUMIFS('GL Dump'!$E:$E,'GL Dump'!$H:$H,Master!$A4,'GL Dump'!$D:$D,Master!S$1,'GL Dump'!$C:$C,Master!$G$1))</f>
        <v>0</v>
      </c>
      <c r="T4" s="423"/>
    </row>
    <row r="5" spans="1:20" x14ac:dyDescent="0.25">
      <c r="A5" s="30" t="s">
        <v>2722</v>
      </c>
      <c r="B5" s="254" t="s">
        <v>850</v>
      </c>
      <c r="C5" s="32">
        <v>0</v>
      </c>
      <c r="D5" s="39">
        <v>0</v>
      </c>
      <c r="E5" s="91">
        <f>D5*C5</f>
        <v>0</v>
      </c>
      <c r="F5" s="170"/>
      <c r="H5" s="397">
        <f>E5+SUMIFS('GL Dump'!$E:$E,'GL Dump'!$H:$H,Master!A5,'GL Dump'!$D:$D,Master!$I$1)</f>
        <v>0</v>
      </c>
      <c r="I5" s="81">
        <f>IF($G$1="ALL",SUMIFS('GL Dump'!$E:$E,'GL Dump'!$H:$H,Master!$A5,'GL Dump'!$D:$D,Master!I$1),SUMIFS('GL Dump'!$E:$E,'GL Dump'!$H:$H,Master!$A5,'GL Dump'!$D:$D,Master!I$1,'GL Dump'!$C:$C,Master!$G$1))</f>
        <v>0</v>
      </c>
      <c r="J5" s="81">
        <f>IF($G$1="ALL",SUMIFS('GL Dump'!$E:$E,'GL Dump'!$H:$H,Master!$A5,'GL Dump'!$D:$D,Master!J$1),SUMIFS('GL Dump'!$E:$E,'GL Dump'!$H:$H,Master!$A5,'GL Dump'!$D:$D,Master!J$1,'GL Dump'!$C:$C,Master!$G$1))</f>
        <v>0</v>
      </c>
      <c r="K5" s="81">
        <f>IF($G$1="ALL",SUMIFS('GL Dump'!$E:$E,'GL Dump'!$H:$H,Master!$A5,'GL Dump'!$D:$D,Master!K$1),SUMIFS('GL Dump'!$E:$E,'GL Dump'!$H:$H,Master!$A5,'GL Dump'!$D:$D,Master!K$1,'GL Dump'!$C:$C,Master!$G$1))</f>
        <v>280.20000000000005</v>
      </c>
      <c r="L5" s="81">
        <f>IF($G$1="ALL",SUMIFS('GL Dump'!$E:$E,'GL Dump'!$H:$H,Master!$A5,'GL Dump'!$D:$D,Master!L$1),SUMIFS('GL Dump'!$E:$E,'GL Dump'!$H:$H,Master!$A5,'GL Dump'!$D:$D,Master!L$1,'GL Dump'!$C:$C,Master!$G$1))</f>
        <v>0</v>
      </c>
      <c r="M5" s="81">
        <f>IF($G$1="ALL",SUMIFS('GL Dump'!$E:$E,'GL Dump'!$H:$H,Master!$A5,'GL Dump'!$D:$D,Master!M$1),SUMIFS('GL Dump'!$E:$E,'GL Dump'!$H:$H,Master!$A5,'GL Dump'!$D:$D,Master!M$1,'GL Dump'!$C:$C,Master!$G$1))</f>
        <v>2443.27</v>
      </c>
      <c r="N5" s="81">
        <f>IF($G$1="ALL",SUMIFS('GL Dump'!$E:$E,'GL Dump'!$H:$H,Master!$A5,'GL Dump'!$D:$D,Master!N$1),SUMIFS('GL Dump'!$E:$E,'GL Dump'!$H:$H,Master!$A5,'GL Dump'!$D:$D,Master!N$1,'GL Dump'!$C:$C,Master!$G$1))</f>
        <v>0</v>
      </c>
      <c r="O5" s="81">
        <f>IF($G$1="ALL",SUMIFS('GL Dump'!$E:$E,'GL Dump'!$H:$H,Master!$A5,'GL Dump'!$D:$D,Master!O$1),SUMIFS('GL Dump'!$E:$E,'GL Dump'!$H:$H,Master!$A5,'GL Dump'!$D:$D,Master!O$1,'GL Dump'!$C:$C,Master!$G$1))</f>
        <v>0</v>
      </c>
      <c r="P5" s="81">
        <f>IF($G$1="ALL",SUMIFS('GL Dump'!$E:$E,'GL Dump'!$H:$H,Master!$A5,'GL Dump'!$D:$D,Master!P$1),SUMIFS('GL Dump'!$E:$E,'GL Dump'!$H:$H,Master!$A5,'GL Dump'!$D:$D,Master!P$1,'GL Dump'!$C:$C,Master!$G$1))</f>
        <v>0</v>
      </c>
      <c r="Q5" s="81">
        <f>IF($G$1="ALL",SUMIFS('GL Dump'!$E:$E,'GL Dump'!$H:$H,Master!$A5,'GL Dump'!$D:$D,Master!Q$1),SUMIFS('GL Dump'!$E:$E,'GL Dump'!$H:$H,Master!$A5,'GL Dump'!$D:$D,Master!Q$1,'GL Dump'!$C:$C,Master!$G$1))</f>
        <v>0</v>
      </c>
      <c r="R5" s="81">
        <f>IF($G$1="ALL",SUMIFS('GL Dump'!$E:$E,'GL Dump'!$H:$H,Master!$A5,'GL Dump'!$D:$D,Master!R$1),SUMIFS('GL Dump'!$E:$E,'GL Dump'!$H:$H,Master!$A5,'GL Dump'!$D:$D,Master!R$1,'GL Dump'!$C:$C,Master!$G$1))</f>
        <v>0</v>
      </c>
      <c r="S5" s="81">
        <f>IF($G$1="ALL",SUMIFS('GL Dump'!$E:$E,'GL Dump'!$H:$H,Master!$A5,'GL Dump'!$D:$D,Master!S$1),SUMIFS('GL Dump'!$E:$E,'GL Dump'!$H:$H,Master!$A5,'GL Dump'!$D:$D,Master!S$1,'GL Dump'!$C:$C,Master!$G$1))</f>
        <v>0</v>
      </c>
    </row>
    <row r="6" spans="1:20" x14ac:dyDescent="0.25">
      <c r="A6" s="414" t="s">
        <v>2732</v>
      </c>
      <c r="B6" s="415" t="s">
        <v>735</v>
      </c>
      <c r="C6" s="416">
        <v>0</v>
      </c>
      <c r="D6" s="417">
        <v>0</v>
      </c>
      <c r="E6" s="418">
        <f>D6*C6</f>
        <v>0</v>
      </c>
      <c r="F6" s="419"/>
      <c r="G6" s="420"/>
      <c r="H6" s="421">
        <f>E6+SUMIFS('GL Dump'!$E:$E,'GL Dump'!$H:$H,Master!A6,'GL Dump'!$D:$D,Master!$I$1)</f>
        <v>0</v>
      </c>
      <c r="I6" s="422">
        <f>IF($G$1="ALL",SUMIFS('GL Dump'!$E:$E,'GL Dump'!$H:$H,Master!$A6,'GL Dump'!$D:$D,Master!I$1),SUMIFS('GL Dump'!$E:$E,'GL Dump'!$H:$H,Master!$A6,'GL Dump'!$D:$D,Master!I$1,'GL Dump'!$C:$C,Master!$G$1))</f>
        <v>0</v>
      </c>
      <c r="J6" s="422">
        <f>IF($G$1="ALL",SUMIFS('GL Dump'!$E:$E,'GL Dump'!$H:$H,Master!$A6,'GL Dump'!$D:$D,Master!J$1),SUMIFS('GL Dump'!$E:$E,'GL Dump'!$H:$H,Master!$A6,'GL Dump'!$D:$D,Master!J$1,'GL Dump'!$C:$C,Master!$G$1))</f>
        <v>0</v>
      </c>
      <c r="K6" s="422">
        <f>IF($G$1="ALL",SUMIFS('GL Dump'!$E:$E,'GL Dump'!$H:$H,Master!$A6,'GL Dump'!$D:$D,Master!K$1),SUMIFS('GL Dump'!$E:$E,'GL Dump'!$H:$H,Master!$A6,'GL Dump'!$D:$D,Master!K$1,'GL Dump'!$C:$C,Master!$G$1))</f>
        <v>0</v>
      </c>
      <c r="L6" s="422">
        <f>IF($G$1="ALL",SUMIFS('GL Dump'!$E:$E,'GL Dump'!$H:$H,Master!$A6,'GL Dump'!$D:$D,Master!L$1),SUMIFS('GL Dump'!$E:$E,'GL Dump'!$H:$H,Master!$A6,'GL Dump'!$D:$D,Master!L$1,'GL Dump'!$C:$C,Master!$G$1))</f>
        <v>0</v>
      </c>
      <c r="M6" s="422">
        <f>IF($G$1="ALL",SUMIFS('GL Dump'!$E:$E,'GL Dump'!$H:$H,Master!$A6,'GL Dump'!$D:$D,Master!M$1),SUMIFS('GL Dump'!$E:$E,'GL Dump'!$H:$H,Master!$A6,'GL Dump'!$D:$D,Master!M$1,'GL Dump'!$C:$C,Master!$G$1))</f>
        <v>0</v>
      </c>
      <c r="N6" s="422">
        <f>IF($G$1="ALL",SUMIFS('GL Dump'!$E:$E,'GL Dump'!$H:$H,Master!$A6,'GL Dump'!$D:$D,Master!N$1),SUMIFS('GL Dump'!$E:$E,'GL Dump'!$H:$H,Master!$A6,'GL Dump'!$D:$D,Master!N$1,'GL Dump'!$C:$C,Master!$G$1))</f>
        <v>0</v>
      </c>
      <c r="O6" s="422">
        <f>IF($G$1="ALL",SUMIFS('GL Dump'!$E:$E,'GL Dump'!$H:$H,Master!$A6,'GL Dump'!$D:$D,Master!O$1),SUMIFS('GL Dump'!$E:$E,'GL Dump'!$H:$H,Master!$A6,'GL Dump'!$D:$D,Master!O$1,'GL Dump'!$C:$C,Master!$G$1))</f>
        <v>0</v>
      </c>
      <c r="P6" s="422">
        <f>IF($G$1="ALL",SUMIFS('GL Dump'!$E:$E,'GL Dump'!$H:$H,Master!$A6,'GL Dump'!$D:$D,Master!P$1),SUMIFS('GL Dump'!$E:$E,'GL Dump'!$H:$H,Master!$A6,'GL Dump'!$D:$D,Master!P$1,'GL Dump'!$C:$C,Master!$G$1))</f>
        <v>0</v>
      </c>
      <c r="Q6" s="422">
        <f>IF($G$1="ALL",SUMIFS('GL Dump'!$E:$E,'GL Dump'!$H:$H,Master!$A6,'GL Dump'!$D:$D,Master!Q$1),SUMIFS('GL Dump'!$E:$E,'GL Dump'!$H:$H,Master!$A6,'GL Dump'!$D:$D,Master!Q$1,'GL Dump'!$C:$C,Master!$G$1))</f>
        <v>0</v>
      </c>
      <c r="R6" s="422">
        <f>IF($G$1="ALL",SUMIFS('GL Dump'!$E:$E,'GL Dump'!$H:$H,Master!$A6,'GL Dump'!$D:$D,Master!R$1),SUMIFS('GL Dump'!$E:$E,'GL Dump'!$H:$H,Master!$A6,'GL Dump'!$D:$D,Master!R$1,'GL Dump'!$C:$C,Master!$G$1))</f>
        <v>0</v>
      </c>
      <c r="S6" s="422">
        <f>IF($G$1="ALL",SUMIFS('GL Dump'!$E:$E,'GL Dump'!$H:$H,Master!$A6,'GL Dump'!$D:$D,Master!S$1),SUMIFS('GL Dump'!$E:$E,'GL Dump'!$H:$H,Master!$A6,'GL Dump'!$D:$D,Master!S$1,'GL Dump'!$C:$C,Master!$G$1))</f>
        <v>0</v>
      </c>
      <c r="T6" s="423"/>
    </row>
    <row r="7" spans="1:20" ht="15.75" thickBot="1" x14ac:dyDescent="0.3">
      <c r="A7" s="31" t="s">
        <v>3081</v>
      </c>
      <c r="B7" s="255" t="s">
        <v>3082</v>
      </c>
      <c r="C7" s="121"/>
      <c r="D7" s="125"/>
      <c r="E7" s="168">
        <f>SUBTOTAL(9,E3:E6)</f>
        <v>0</v>
      </c>
      <c r="F7" s="171"/>
      <c r="H7" s="397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</row>
    <row r="8" spans="1:20" ht="15.75" thickTop="1" x14ac:dyDescent="0.25">
      <c r="A8" s="126">
        <v>3000</v>
      </c>
      <c r="B8" s="256" t="s">
        <v>780</v>
      </c>
      <c r="C8" s="127"/>
      <c r="D8" s="131"/>
      <c r="E8" s="166"/>
      <c r="F8" s="301"/>
      <c r="G8" s="373"/>
      <c r="H8" s="398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74"/>
    </row>
    <row r="9" spans="1:20" x14ac:dyDescent="0.25">
      <c r="A9" s="385" t="s">
        <v>1115</v>
      </c>
      <c r="B9" s="257" t="s">
        <v>894</v>
      </c>
      <c r="C9" s="165">
        <v>5</v>
      </c>
      <c r="D9" s="165">
        <v>8000</v>
      </c>
      <c r="E9" s="165">
        <f>D9*C9</f>
        <v>40000</v>
      </c>
      <c r="F9" s="257" t="s">
        <v>900</v>
      </c>
      <c r="H9" s="397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176"/>
    </row>
    <row r="10" spans="1:20" x14ac:dyDescent="0.25">
      <c r="A10" s="385" t="s">
        <v>1115</v>
      </c>
      <c r="B10" s="257" t="s">
        <v>906</v>
      </c>
      <c r="C10" s="165">
        <v>7</v>
      </c>
      <c r="D10" s="165">
        <v>5000</v>
      </c>
      <c r="E10" s="165">
        <f>D10*C10</f>
        <v>35000</v>
      </c>
      <c r="F10" s="257"/>
      <c r="H10" s="397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176"/>
    </row>
    <row r="11" spans="1:20" x14ac:dyDescent="0.25">
      <c r="A11" s="41" t="s">
        <v>1115</v>
      </c>
      <c r="B11" s="258" t="s">
        <v>905</v>
      </c>
      <c r="C11" s="199">
        <v>11</v>
      </c>
      <c r="D11" s="200">
        <v>5000</v>
      </c>
      <c r="E11" s="410">
        <f>D11*C11</f>
        <v>55000</v>
      </c>
      <c r="F11" s="273" t="s">
        <v>3156</v>
      </c>
      <c r="H11" s="397">
        <f>+E9+E10+E11+SUMIFS('GL Dump'!$E:$E,'GL Dump'!$H:$H,Master!A11,'GL Dump'!$D:$D,Master!$I$1)</f>
        <v>130000</v>
      </c>
      <c r="I11" s="81">
        <f>IF($G$1="ALL",SUMIFS('GL Dump'!$E:$E,'GL Dump'!$H:$H,Master!$A11,'GL Dump'!$D:$D,Master!I$1),SUMIFS('GL Dump'!$E:$E,'GL Dump'!$H:$H,Master!$A11,'GL Dump'!$D:$D,Master!I$1,'GL Dump'!$C:$C,Master!$G$1))</f>
        <v>0</v>
      </c>
      <c r="J11" s="81">
        <f>IF($G$1="ALL",SUMIFS('GL Dump'!$E:$E,'GL Dump'!$H:$H,Master!$A11,'GL Dump'!$D:$D,Master!J$1),SUMIFS('GL Dump'!$E:$E,'GL Dump'!$H:$H,Master!$A11,'GL Dump'!$D:$D,Master!J$1,'GL Dump'!$C:$C,Master!$G$1))</f>
        <v>0</v>
      </c>
      <c r="K11" s="81">
        <f>IF($G$1="ALL",SUMIFS('GL Dump'!$E:$E,'GL Dump'!$H:$H,Master!$A11,'GL Dump'!$D:$D,Master!K$1),SUMIFS('GL Dump'!$E:$E,'GL Dump'!$H:$H,Master!$A11,'GL Dump'!$D:$D,Master!K$1,'GL Dump'!$C:$C,Master!$G$1))</f>
        <v>0</v>
      </c>
      <c r="L11" s="81">
        <f>IF($G$1="ALL",SUMIFS('GL Dump'!$E:$E,'GL Dump'!$H:$H,Master!$A11,'GL Dump'!$D:$D,Master!L$1),SUMIFS('GL Dump'!$E:$E,'GL Dump'!$H:$H,Master!$A11,'GL Dump'!$D:$D,Master!L$1,'GL Dump'!$C:$C,Master!$G$1))</f>
        <v>0</v>
      </c>
      <c r="M11" s="81">
        <f>IF($G$1="ALL",SUMIFS('GL Dump'!$E:$E,'GL Dump'!$H:$H,Master!$A11,'GL Dump'!$D:$D,Master!M$1),SUMIFS('GL Dump'!$E:$E,'GL Dump'!$H:$H,Master!$A11,'GL Dump'!$D:$D,Master!M$1,'GL Dump'!$C:$C,Master!$G$1))</f>
        <v>11022.75</v>
      </c>
      <c r="N11" s="81">
        <f>IF($G$1="ALL",SUMIFS('GL Dump'!$E:$E,'GL Dump'!$H:$H,Master!$A11,'GL Dump'!$D:$D,Master!N$1),SUMIFS('GL Dump'!$E:$E,'GL Dump'!$H:$H,Master!$A11,'GL Dump'!$D:$D,Master!N$1,'GL Dump'!$C:$C,Master!$G$1))</f>
        <v>0</v>
      </c>
      <c r="O11" s="81">
        <f>IF($G$1="ALL",SUMIFS('GL Dump'!$E:$E,'GL Dump'!$H:$H,Master!$A11,'GL Dump'!$D:$D,Master!O$1),SUMIFS('GL Dump'!$E:$E,'GL Dump'!$H:$H,Master!$A11,'GL Dump'!$D:$D,Master!O$1,'GL Dump'!$C:$C,Master!$G$1))</f>
        <v>0</v>
      </c>
      <c r="P11" s="81">
        <f>IF($G$1="ALL",SUMIFS('GL Dump'!$E:$E,'GL Dump'!$H:$H,Master!$A11,'GL Dump'!$D:$D,Master!P$1),SUMIFS('GL Dump'!$E:$E,'GL Dump'!$H:$H,Master!$A11,'GL Dump'!$D:$D,Master!P$1,'GL Dump'!$C:$C,Master!$G$1))</f>
        <v>0</v>
      </c>
      <c r="Q11" s="81">
        <f>IF($G$1="ALL",SUMIFS('GL Dump'!$E:$E,'GL Dump'!$H:$H,Master!$A11,'GL Dump'!$D:$D,Master!Q$1),SUMIFS('GL Dump'!$E:$E,'GL Dump'!$H:$H,Master!$A11,'GL Dump'!$D:$D,Master!Q$1,'GL Dump'!$C:$C,Master!$G$1))</f>
        <v>2794.5</v>
      </c>
      <c r="R11" s="81">
        <f>IF($G$1="ALL",SUMIFS('GL Dump'!$E:$E,'GL Dump'!$H:$H,Master!$A11,'GL Dump'!$D:$D,Master!R$1),SUMIFS('GL Dump'!$E:$E,'GL Dump'!$H:$H,Master!$A11,'GL Dump'!$D:$D,Master!R$1,'GL Dump'!$C:$C,Master!$G$1))</f>
        <v>0</v>
      </c>
      <c r="S11" s="81">
        <f>IF($G$1="ALL",SUMIFS('GL Dump'!$E:$E,'GL Dump'!$H:$H,Master!$A11,'GL Dump'!$D:$D,Master!S$1),SUMIFS('GL Dump'!$E:$E,'GL Dump'!$H:$H,Master!$A11,'GL Dump'!$D:$D,Master!S$1,'GL Dump'!$C:$C,Master!$G$1))</f>
        <v>0</v>
      </c>
      <c r="T11" s="176"/>
    </row>
    <row r="12" spans="1:20" ht="15.75" thickBot="1" x14ac:dyDescent="0.3">
      <c r="A12" s="31"/>
      <c r="B12" s="255" t="s">
        <v>772</v>
      </c>
      <c r="C12" s="121"/>
      <c r="D12" s="125"/>
      <c r="E12" s="169">
        <f>SUM(E9:E11)</f>
        <v>130000</v>
      </c>
      <c r="F12" s="274"/>
      <c r="H12" s="397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</row>
    <row r="13" spans="1:20" ht="15.75" thickTop="1" x14ac:dyDescent="0.25">
      <c r="A13" s="126">
        <v>3065</v>
      </c>
      <c r="B13" s="256" t="s">
        <v>882</v>
      </c>
      <c r="C13" s="127"/>
      <c r="D13" s="129"/>
      <c r="E13" s="130"/>
      <c r="F13" s="301"/>
      <c r="G13" s="373"/>
      <c r="H13" s="398"/>
      <c r="I13" s="399"/>
      <c r="J13" s="399"/>
      <c r="K13" s="399"/>
      <c r="L13" s="399"/>
      <c r="M13" s="399"/>
      <c r="N13" s="399"/>
      <c r="O13" s="399"/>
      <c r="P13" s="399"/>
      <c r="Q13" s="399"/>
      <c r="R13" s="399"/>
      <c r="S13" s="399"/>
      <c r="T13" s="374"/>
    </row>
    <row r="14" spans="1:20" x14ac:dyDescent="0.25">
      <c r="A14" s="137" t="s">
        <v>3055</v>
      </c>
      <c r="B14" s="258" t="s">
        <v>3161</v>
      </c>
      <c r="C14" s="179"/>
      <c r="D14" s="396">
        <v>0</v>
      </c>
      <c r="E14" s="178"/>
      <c r="F14" s="170"/>
      <c r="H14" s="397">
        <f>E14+SUMIFS('GL Dump'!$E:$E,'GL Dump'!$H:$H,Master!A14,'GL Dump'!$D:$D,Master!$I$1)</f>
        <v>0</v>
      </c>
      <c r="I14" s="81">
        <f>IF($G$1="ALL",SUMIFS('GL Dump'!$E:$E,'GL Dump'!$H:$H,Master!$A14,'GL Dump'!$D:$D,Master!I$1),SUMIFS('GL Dump'!$E:$E,'GL Dump'!$H:$H,Master!$A14,'GL Dump'!$D:$D,Master!I$1,'GL Dump'!$C:$C,Master!$G$1))</f>
        <v>0</v>
      </c>
      <c r="J14" s="81">
        <f>IF($G$1="ALL",SUMIFS('GL Dump'!$E:$E,'GL Dump'!$H:$H,Master!$A14,'GL Dump'!$D:$D,Master!J$1),SUMIFS('GL Dump'!$E:$E,'GL Dump'!$H:$H,Master!$A14,'GL Dump'!$D:$D,Master!J$1,'GL Dump'!$C:$C,Master!$G$1))</f>
        <v>0</v>
      </c>
      <c r="K14" s="81">
        <f>IF($G$1="ALL",SUMIFS('GL Dump'!$E:$E,'GL Dump'!$H:$H,Master!$A14,'GL Dump'!$D:$D,Master!K$1),SUMIFS('GL Dump'!$E:$E,'GL Dump'!$H:$H,Master!$A14,'GL Dump'!$D:$D,Master!K$1,'GL Dump'!$C:$C,Master!$G$1))</f>
        <v>0</v>
      </c>
      <c r="L14" s="81">
        <f>IF($G$1="ALL",SUMIFS('GL Dump'!$E:$E,'GL Dump'!$H:$H,Master!$A14,'GL Dump'!$D:$D,Master!L$1),SUMIFS('GL Dump'!$E:$E,'GL Dump'!$H:$H,Master!$A14,'GL Dump'!$D:$D,Master!L$1,'GL Dump'!$C:$C,Master!$G$1))</f>
        <v>0</v>
      </c>
      <c r="M14" s="81">
        <f>IF($G$1="ALL",SUMIFS('GL Dump'!$E:$E,'GL Dump'!$H:$H,Master!$A14,'GL Dump'!$D:$D,Master!M$1),SUMIFS('GL Dump'!$E:$E,'GL Dump'!$H:$H,Master!$A14,'GL Dump'!$D:$D,Master!M$1,'GL Dump'!$C:$C,Master!$G$1))</f>
        <v>0</v>
      </c>
      <c r="N14" s="81">
        <f>IF($G$1="ALL",SUMIFS('GL Dump'!$E:$E,'GL Dump'!$H:$H,Master!$A14,'GL Dump'!$D:$D,Master!N$1),SUMIFS('GL Dump'!$E:$E,'GL Dump'!$H:$H,Master!$A14,'GL Dump'!$D:$D,Master!N$1,'GL Dump'!$C:$C,Master!$G$1))</f>
        <v>0</v>
      </c>
      <c r="O14" s="81">
        <f>IF($G$1="ALL",SUMIFS('GL Dump'!$E:$E,'GL Dump'!$H:$H,Master!$A14,'GL Dump'!$D:$D,Master!O$1),SUMIFS('GL Dump'!$E:$E,'GL Dump'!$H:$H,Master!$A14,'GL Dump'!$D:$D,Master!O$1,'GL Dump'!$C:$C,Master!$G$1))</f>
        <v>0</v>
      </c>
      <c r="P14" s="81">
        <f>IF($G$1="ALL",SUMIFS('GL Dump'!$E:$E,'GL Dump'!$H:$H,Master!$A14,'GL Dump'!$D:$D,Master!P$1),SUMIFS('GL Dump'!$E:$E,'GL Dump'!$H:$H,Master!$A14,'GL Dump'!$D:$D,Master!P$1,'GL Dump'!$C:$C,Master!$G$1))</f>
        <v>0</v>
      </c>
      <c r="Q14" s="81">
        <f>IF($G$1="ALL",SUMIFS('GL Dump'!$E:$E,'GL Dump'!$H:$H,Master!$A14,'GL Dump'!$D:$D,Master!Q$1),SUMIFS('GL Dump'!$E:$E,'GL Dump'!$H:$H,Master!$A14,'GL Dump'!$D:$D,Master!Q$1,'GL Dump'!$C:$C,Master!$G$1))</f>
        <v>0</v>
      </c>
      <c r="R14" s="81">
        <f>IF($G$1="ALL",SUMIFS('GL Dump'!$E:$E,'GL Dump'!$H:$H,Master!$A14,'GL Dump'!$D:$D,Master!R$1),SUMIFS('GL Dump'!$E:$E,'GL Dump'!$H:$H,Master!$A14,'GL Dump'!$D:$D,Master!R$1,'GL Dump'!$C:$C,Master!$G$1))</f>
        <v>0</v>
      </c>
      <c r="S14" s="81">
        <f>IF($G$1="ALL",SUMIFS('GL Dump'!$E:$E,'GL Dump'!$H:$H,Master!$A14,'GL Dump'!$D:$D,Master!S$1),SUMIFS('GL Dump'!$E:$E,'GL Dump'!$H:$H,Master!$A14,'GL Dump'!$D:$D,Master!S$1,'GL Dump'!$C:$C,Master!$G$1))</f>
        <v>0</v>
      </c>
    </row>
    <row r="15" spans="1:20" x14ac:dyDescent="0.25">
      <c r="A15" s="424" t="s">
        <v>3056</v>
      </c>
      <c r="B15" s="425" t="str">
        <f>B14</f>
        <v>Duty Free Security</v>
      </c>
      <c r="C15" s="426"/>
      <c r="D15" s="427">
        <v>0</v>
      </c>
      <c r="E15" s="428"/>
      <c r="F15" s="419"/>
      <c r="G15" s="420"/>
      <c r="H15" s="421">
        <f>E15+SUMIFS('GL Dump'!$E:$E,'GL Dump'!$H:$H,Master!A15,'GL Dump'!$D:$D,Master!$I$1)</f>
        <v>0</v>
      </c>
      <c r="I15" s="422">
        <f>IF($G$1="ALL",SUMIFS('GL Dump'!$E:$E,'GL Dump'!$H:$H,Master!$A15,'GL Dump'!$D:$D,Master!I$1),SUMIFS('GL Dump'!$E:$E,'GL Dump'!$H:$H,Master!$A15,'GL Dump'!$D:$D,Master!I$1,'GL Dump'!$C:$C,Master!$G$1))</f>
        <v>0</v>
      </c>
      <c r="J15" s="422">
        <f>IF($G$1="ALL",SUMIFS('GL Dump'!$E:$E,'GL Dump'!$H:$H,Master!$A15,'GL Dump'!$D:$D,Master!J$1),SUMIFS('GL Dump'!$E:$E,'GL Dump'!$H:$H,Master!$A15,'GL Dump'!$D:$D,Master!J$1,'GL Dump'!$C:$C,Master!$G$1))</f>
        <v>0</v>
      </c>
      <c r="K15" s="422">
        <f>IF($G$1="ALL",SUMIFS('GL Dump'!$E:$E,'GL Dump'!$H:$H,Master!$A15,'GL Dump'!$D:$D,Master!K$1),SUMIFS('GL Dump'!$E:$E,'GL Dump'!$H:$H,Master!$A15,'GL Dump'!$D:$D,Master!K$1,'GL Dump'!$C:$C,Master!$G$1))</f>
        <v>0</v>
      </c>
      <c r="L15" s="422">
        <f>IF($G$1="ALL",SUMIFS('GL Dump'!$E:$E,'GL Dump'!$H:$H,Master!$A15,'GL Dump'!$D:$D,Master!L$1),SUMIFS('GL Dump'!$E:$E,'GL Dump'!$H:$H,Master!$A15,'GL Dump'!$D:$D,Master!L$1,'GL Dump'!$C:$C,Master!$G$1))</f>
        <v>0</v>
      </c>
      <c r="M15" s="422">
        <f>IF($G$1="ALL",SUMIFS('GL Dump'!$E:$E,'GL Dump'!$H:$H,Master!$A15,'GL Dump'!$D:$D,Master!M$1),SUMIFS('GL Dump'!$E:$E,'GL Dump'!$H:$H,Master!$A15,'GL Dump'!$D:$D,Master!M$1,'GL Dump'!$C:$C,Master!$G$1))</f>
        <v>0</v>
      </c>
      <c r="N15" s="422">
        <f>IF($G$1="ALL",SUMIFS('GL Dump'!$E:$E,'GL Dump'!$H:$H,Master!$A15,'GL Dump'!$D:$D,Master!N$1),SUMIFS('GL Dump'!$E:$E,'GL Dump'!$H:$H,Master!$A15,'GL Dump'!$D:$D,Master!N$1,'GL Dump'!$C:$C,Master!$G$1))</f>
        <v>0</v>
      </c>
      <c r="O15" s="422">
        <f>IF($G$1="ALL",SUMIFS('GL Dump'!$E:$E,'GL Dump'!$H:$H,Master!$A15,'GL Dump'!$D:$D,Master!O$1),SUMIFS('GL Dump'!$E:$E,'GL Dump'!$H:$H,Master!$A15,'GL Dump'!$D:$D,Master!O$1,'GL Dump'!$C:$C,Master!$G$1))</f>
        <v>0</v>
      </c>
      <c r="P15" s="422">
        <f>IF($G$1="ALL",SUMIFS('GL Dump'!$E:$E,'GL Dump'!$H:$H,Master!$A15,'GL Dump'!$D:$D,Master!P$1),SUMIFS('GL Dump'!$E:$E,'GL Dump'!$H:$H,Master!$A15,'GL Dump'!$D:$D,Master!P$1,'GL Dump'!$C:$C,Master!$G$1))</f>
        <v>0</v>
      </c>
      <c r="Q15" s="422">
        <f>IF($G$1="ALL",SUMIFS('GL Dump'!$E:$E,'GL Dump'!$H:$H,Master!$A15,'GL Dump'!$D:$D,Master!Q$1),SUMIFS('GL Dump'!$E:$E,'GL Dump'!$H:$H,Master!$A15,'GL Dump'!$D:$D,Master!Q$1,'GL Dump'!$C:$C,Master!$G$1))</f>
        <v>0</v>
      </c>
      <c r="R15" s="422">
        <f>IF($G$1="ALL",SUMIFS('GL Dump'!$E:$E,'GL Dump'!$H:$H,Master!$A15,'GL Dump'!$D:$D,Master!R$1),SUMIFS('GL Dump'!$E:$E,'GL Dump'!$H:$H,Master!$A15,'GL Dump'!$D:$D,Master!R$1,'GL Dump'!$C:$C,Master!$G$1))</f>
        <v>0</v>
      </c>
      <c r="S15" s="422">
        <f>IF($G$1="ALL",SUMIFS('GL Dump'!$E:$E,'GL Dump'!$H:$H,Master!$A15,'GL Dump'!$D:$D,Master!S$1),SUMIFS('GL Dump'!$E:$E,'GL Dump'!$H:$H,Master!$A15,'GL Dump'!$D:$D,Master!S$1,'GL Dump'!$C:$C,Master!$G$1))</f>
        <v>0</v>
      </c>
      <c r="T15" s="423"/>
    </row>
    <row r="16" spans="1:20" x14ac:dyDescent="0.25">
      <c r="A16" s="137" t="s">
        <v>1841</v>
      </c>
      <c r="B16" s="258" t="str">
        <f t="shared" ref="B16:B36" si="1">B15</f>
        <v>Duty Free Security</v>
      </c>
      <c r="C16" s="179"/>
      <c r="D16" s="396">
        <v>0</v>
      </c>
      <c r="E16" s="178"/>
      <c r="F16" s="170"/>
      <c r="H16" s="397">
        <f>E16+SUMIFS('GL Dump'!$E:$E,'GL Dump'!$H:$H,Master!A16,'GL Dump'!$D:$D,Master!$I$1)</f>
        <v>0</v>
      </c>
      <c r="I16" s="81">
        <f>IF($G$1="ALL",SUMIFS('GL Dump'!$E:$E,'GL Dump'!$H:$H,Master!$A16,'GL Dump'!$D:$D,Master!I$1),SUMIFS('GL Dump'!$E:$E,'GL Dump'!$H:$H,Master!$A16,'GL Dump'!$D:$D,Master!I$1,'GL Dump'!$C:$C,Master!$G$1))</f>
        <v>0</v>
      </c>
      <c r="J16" s="81">
        <f>IF($G$1="ALL",SUMIFS('GL Dump'!$E:$E,'GL Dump'!$H:$H,Master!$A16,'GL Dump'!$D:$D,Master!J$1),SUMIFS('GL Dump'!$E:$E,'GL Dump'!$H:$H,Master!$A16,'GL Dump'!$D:$D,Master!J$1,'GL Dump'!$C:$C,Master!$G$1))</f>
        <v>0</v>
      </c>
      <c r="K16" s="81">
        <f>IF($G$1="ALL",SUMIFS('GL Dump'!$E:$E,'GL Dump'!$H:$H,Master!$A16,'GL Dump'!$D:$D,Master!K$1),SUMIFS('GL Dump'!$E:$E,'GL Dump'!$H:$H,Master!$A16,'GL Dump'!$D:$D,Master!K$1,'GL Dump'!$C:$C,Master!$G$1))</f>
        <v>0</v>
      </c>
      <c r="L16" s="81">
        <f>IF($G$1="ALL",SUMIFS('GL Dump'!$E:$E,'GL Dump'!$H:$H,Master!$A16,'GL Dump'!$D:$D,Master!L$1),SUMIFS('GL Dump'!$E:$E,'GL Dump'!$H:$H,Master!$A16,'GL Dump'!$D:$D,Master!L$1,'GL Dump'!$C:$C,Master!$G$1))</f>
        <v>0</v>
      </c>
      <c r="M16" s="81">
        <f>IF($G$1="ALL",SUMIFS('GL Dump'!$E:$E,'GL Dump'!$H:$H,Master!$A16,'GL Dump'!$D:$D,Master!M$1),SUMIFS('GL Dump'!$E:$E,'GL Dump'!$H:$H,Master!$A16,'GL Dump'!$D:$D,Master!M$1,'GL Dump'!$C:$C,Master!$G$1))</f>
        <v>0</v>
      </c>
      <c r="N16" s="81">
        <f>IF($G$1="ALL",SUMIFS('GL Dump'!$E:$E,'GL Dump'!$H:$H,Master!$A16,'GL Dump'!$D:$D,Master!N$1),SUMIFS('GL Dump'!$E:$E,'GL Dump'!$H:$H,Master!$A16,'GL Dump'!$D:$D,Master!N$1,'GL Dump'!$C:$C,Master!$G$1))</f>
        <v>0</v>
      </c>
      <c r="O16" s="81">
        <f>IF($G$1="ALL",SUMIFS('GL Dump'!$E:$E,'GL Dump'!$H:$H,Master!$A16,'GL Dump'!$D:$D,Master!O$1),SUMIFS('GL Dump'!$E:$E,'GL Dump'!$H:$H,Master!$A16,'GL Dump'!$D:$D,Master!O$1,'GL Dump'!$C:$C,Master!$G$1))</f>
        <v>0</v>
      </c>
      <c r="P16" s="81">
        <f>IF($G$1="ALL",SUMIFS('GL Dump'!$E:$E,'GL Dump'!$H:$H,Master!$A16,'GL Dump'!$D:$D,Master!P$1),SUMIFS('GL Dump'!$E:$E,'GL Dump'!$H:$H,Master!$A16,'GL Dump'!$D:$D,Master!P$1,'GL Dump'!$C:$C,Master!$G$1))</f>
        <v>0</v>
      </c>
      <c r="Q16" s="81">
        <f>IF($G$1="ALL",SUMIFS('GL Dump'!$E:$E,'GL Dump'!$H:$H,Master!$A16,'GL Dump'!$D:$D,Master!Q$1),SUMIFS('GL Dump'!$E:$E,'GL Dump'!$H:$H,Master!$A16,'GL Dump'!$D:$D,Master!Q$1,'GL Dump'!$C:$C,Master!$G$1))</f>
        <v>0</v>
      </c>
      <c r="R16" s="81">
        <f>IF($G$1="ALL",SUMIFS('GL Dump'!$E:$E,'GL Dump'!$H:$H,Master!$A16,'GL Dump'!$D:$D,Master!R$1),SUMIFS('GL Dump'!$E:$E,'GL Dump'!$H:$H,Master!$A16,'GL Dump'!$D:$D,Master!R$1,'GL Dump'!$C:$C,Master!$G$1))</f>
        <v>0</v>
      </c>
      <c r="S16" s="81">
        <f>IF($G$1="ALL",SUMIFS('GL Dump'!$E:$E,'GL Dump'!$H:$H,Master!$A16,'GL Dump'!$D:$D,Master!S$1),SUMIFS('GL Dump'!$E:$E,'GL Dump'!$H:$H,Master!$A16,'GL Dump'!$D:$D,Master!S$1,'GL Dump'!$C:$C,Master!$G$1))</f>
        <v>0</v>
      </c>
    </row>
    <row r="17" spans="1:20" x14ac:dyDescent="0.25">
      <c r="A17" s="424" t="s">
        <v>1845</v>
      </c>
      <c r="B17" s="425" t="str">
        <f t="shared" si="1"/>
        <v>Duty Free Security</v>
      </c>
      <c r="C17" s="426"/>
      <c r="D17" s="427">
        <v>0</v>
      </c>
      <c r="E17" s="428"/>
      <c r="F17" s="419"/>
      <c r="G17" s="420"/>
      <c r="H17" s="421">
        <f>E17+SUMIFS('GL Dump'!$E:$E,'GL Dump'!$H:$H,Master!A17,'GL Dump'!$D:$D,Master!$I$1)</f>
        <v>0</v>
      </c>
      <c r="I17" s="422">
        <f>IF($G$1="ALL",SUMIFS('GL Dump'!$E:$E,'GL Dump'!$H:$H,Master!$A17,'GL Dump'!$D:$D,Master!I$1),SUMIFS('GL Dump'!$E:$E,'GL Dump'!$H:$H,Master!$A17,'GL Dump'!$D:$D,Master!I$1,'GL Dump'!$C:$C,Master!$G$1))</f>
        <v>0</v>
      </c>
      <c r="J17" s="422">
        <f>IF($G$1="ALL",SUMIFS('GL Dump'!$E:$E,'GL Dump'!$H:$H,Master!$A17,'GL Dump'!$D:$D,Master!J$1),SUMIFS('GL Dump'!$E:$E,'GL Dump'!$H:$H,Master!$A17,'GL Dump'!$D:$D,Master!J$1,'GL Dump'!$C:$C,Master!$G$1))</f>
        <v>0</v>
      </c>
      <c r="K17" s="422">
        <f>IF($G$1="ALL",SUMIFS('GL Dump'!$E:$E,'GL Dump'!$H:$H,Master!$A17,'GL Dump'!$D:$D,Master!K$1),SUMIFS('GL Dump'!$E:$E,'GL Dump'!$H:$H,Master!$A17,'GL Dump'!$D:$D,Master!K$1,'GL Dump'!$C:$C,Master!$G$1))</f>
        <v>0</v>
      </c>
      <c r="L17" s="422">
        <f>IF($G$1="ALL",SUMIFS('GL Dump'!$E:$E,'GL Dump'!$H:$H,Master!$A17,'GL Dump'!$D:$D,Master!L$1),SUMIFS('GL Dump'!$E:$E,'GL Dump'!$H:$H,Master!$A17,'GL Dump'!$D:$D,Master!L$1,'GL Dump'!$C:$C,Master!$G$1))</f>
        <v>0</v>
      </c>
      <c r="M17" s="422">
        <f>IF($G$1="ALL",SUMIFS('GL Dump'!$E:$E,'GL Dump'!$H:$H,Master!$A17,'GL Dump'!$D:$D,Master!M$1),SUMIFS('GL Dump'!$E:$E,'GL Dump'!$H:$H,Master!$A17,'GL Dump'!$D:$D,Master!M$1,'GL Dump'!$C:$C,Master!$G$1))</f>
        <v>0</v>
      </c>
      <c r="N17" s="422">
        <f>IF($G$1="ALL",SUMIFS('GL Dump'!$E:$E,'GL Dump'!$H:$H,Master!$A17,'GL Dump'!$D:$D,Master!N$1),SUMIFS('GL Dump'!$E:$E,'GL Dump'!$H:$H,Master!$A17,'GL Dump'!$D:$D,Master!N$1,'GL Dump'!$C:$C,Master!$G$1))</f>
        <v>0</v>
      </c>
      <c r="O17" s="422">
        <f>IF($G$1="ALL",SUMIFS('GL Dump'!$E:$E,'GL Dump'!$H:$H,Master!$A17,'GL Dump'!$D:$D,Master!O$1),SUMIFS('GL Dump'!$E:$E,'GL Dump'!$H:$H,Master!$A17,'GL Dump'!$D:$D,Master!O$1,'GL Dump'!$C:$C,Master!$G$1))</f>
        <v>0</v>
      </c>
      <c r="P17" s="422">
        <f>IF($G$1="ALL",SUMIFS('GL Dump'!$E:$E,'GL Dump'!$H:$H,Master!$A17,'GL Dump'!$D:$D,Master!P$1),SUMIFS('GL Dump'!$E:$E,'GL Dump'!$H:$H,Master!$A17,'GL Dump'!$D:$D,Master!P$1,'GL Dump'!$C:$C,Master!$G$1))</f>
        <v>1811.1</v>
      </c>
      <c r="Q17" s="422">
        <f>IF($G$1="ALL",SUMIFS('GL Dump'!$E:$E,'GL Dump'!$H:$H,Master!$A17,'GL Dump'!$D:$D,Master!Q$1),SUMIFS('GL Dump'!$E:$E,'GL Dump'!$H:$H,Master!$A17,'GL Dump'!$D:$D,Master!Q$1,'GL Dump'!$C:$C,Master!$G$1))</f>
        <v>0</v>
      </c>
      <c r="R17" s="422">
        <f>IF($G$1="ALL",SUMIFS('GL Dump'!$E:$E,'GL Dump'!$H:$H,Master!$A17,'GL Dump'!$D:$D,Master!R$1),SUMIFS('GL Dump'!$E:$E,'GL Dump'!$H:$H,Master!$A17,'GL Dump'!$D:$D,Master!R$1,'GL Dump'!$C:$C,Master!$G$1))</f>
        <v>0</v>
      </c>
      <c r="S17" s="422">
        <f>IF($G$1="ALL",SUMIFS('GL Dump'!$E:$E,'GL Dump'!$H:$H,Master!$A17,'GL Dump'!$D:$D,Master!S$1),SUMIFS('GL Dump'!$E:$E,'GL Dump'!$H:$H,Master!$A17,'GL Dump'!$D:$D,Master!S$1,'GL Dump'!$C:$C,Master!$G$1))</f>
        <v>0</v>
      </c>
      <c r="T17" s="423"/>
    </row>
    <row r="18" spans="1:20" x14ac:dyDescent="0.25">
      <c r="A18" s="137" t="s">
        <v>1851</v>
      </c>
      <c r="B18" s="258" t="str">
        <f t="shared" si="1"/>
        <v>Duty Free Security</v>
      </c>
      <c r="C18" s="179"/>
      <c r="D18" s="396">
        <v>0</v>
      </c>
      <c r="E18" s="178"/>
      <c r="F18" s="170"/>
      <c r="H18" s="397">
        <f>E18+SUMIFS('GL Dump'!$E:$E,'GL Dump'!$H:$H,Master!A18,'GL Dump'!$D:$D,Master!$I$1)</f>
        <v>0</v>
      </c>
      <c r="I18" s="81">
        <f>IF($G$1="ALL",SUMIFS('GL Dump'!$E:$E,'GL Dump'!$H:$H,Master!$A18,'GL Dump'!$D:$D,Master!I$1),SUMIFS('GL Dump'!$E:$E,'GL Dump'!$H:$H,Master!$A18,'GL Dump'!$D:$D,Master!I$1,'GL Dump'!$C:$C,Master!$G$1))</f>
        <v>0</v>
      </c>
      <c r="J18" s="81">
        <f>IF($G$1="ALL",SUMIFS('GL Dump'!$E:$E,'GL Dump'!$H:$H,Master!$A18,'GL Dump'!$D:$D,Master!J$1),SUMIFS('GL Dump'!$E:$E,'GL Dump'!$H:$H,Master!$A18,'GL Dump'!$D:$D,Master!J$1,'GL Dump'!$C:$C,Master!$G$1))</f>
        <v>0</v>
      </c>
      <c r="K18" s="81">
        <f>IF($G$1="ALL",SUMIFS('GL Dump'!$E:$E,'GL Dump'!$H:$H,Master!$A18,'GL Dump'!$D:$D,Master!K$1),SUMIFS('GL Dump'!$E:$E,'GL Dump'!$H:$H,Master!$A18,'GL Dump'!$D:$D,Master!K$1,'GL Dump'!$C:$C,Master!$G$1))</f>
        <v>0</v>
      </c>
      <c r="L18" s="81">
        <f>IF($G$1="ALL",SUMIFS('GL Dump'!$E:$E,'GL Dump'!$H:$H,Master!$A18,'GL Dump'!$D:$D,Master!L$1),SUMIFS('GL Dump'!$E:$E,'GL Dump'!$H:$H,Master!$A18,'GL Dump'!$D:$D,Master!L$1,'GL Dump'!$C:$C,Master!$G$1))</f>
        <v>0</v>
      </c>
      <c r="M18" s="81">
        <f>IF($G$1="ALL",SUMIFS('GL Dump'!$E:$E,'GL Dump'!$H:$H,Master!$A18,'GL Dump'!$D:$D,Master!M$1),SUMIFS('GL Dump'!$E:$E,'GL Dump'!$H:$H,Master!$A18,'GL Dump'!$D:$D,Master!M$1,'GL Dump'!$C:$C,Master!$G$1))</f>
        <v>0</v>
      </c>
      <c r="N18" s="81">
        <f>IF($G$1="ALL",SUMIFS('GL Dump'!$E:$E,'GL Dump'!$H:$H,Master!$A18,'GL Dump'!$D:$D,Master!N$1),SUMIFS('GL Dump'!$E:$E,'GL Dump'!$H:$H,Master!$A18,'GL Dump'!$D:$D,Master!N$1,'GL Dump'!$C:$C,Master!$G$1))</f>
        <v>0</v>
      </c>
      <c r="O18" s="81">
        <f>IF($G$1="ALL",SUMIFS('GL Dump'!$E:$E,'GL Dump'!$H:$H,Master!$A18,'GL Dump'!$D:$D,Master!O$1),SUMIFS('GL Dump'!$E:$E,'GL Dump'!$H:$H,Master!$A18,'GL Dump'!$D:$D,Master!O$1,'GL Dump'!$C:$C,Master!$G$1))</f>
        <v>0</v>
      </c>
      <c r="P18" s="81">
        <f>IF($G$1="ALL",SUMIFS('GL Dump'!$E:$E,'GL Dump'!$H:$H,Master!$A18,'GL Dump'!$D:$D,Master!P$1),SUMIFS('GL Dump'!$E:$E,'GL Dump'!$H:$H,Master!$A18,'GL Dump'!$D:$D,Master!P$1,'GL Dump'!$C:$C,Master!$G$1))</f>
        <v>3184.16</v>
      </c>
      <c r="Q18" s="81">
        <f>IF($G$1="ALL",SUMIFS('GL Dump'!$E:$E,'GL Dump'!$H:$H,Master!$A18,'GL Dump'!$D:$D,Master!Q$1),SUMIFS('GL Dump'!$E:$E,'GL Dump'!$H:$H,Master!$A18,'GL Dump'!$D:$D,Master!Q$1,'GL Dump'!$C:$C,Master!$G$1))</f>
        <v>0</v>
      </c>
      <c r="R18" s="81">
        <f>IF($G$1="ALL",SUMIFS('GL Dump'!$E:$E,'GL Dump'!$H:$H,Master!$A18,'GL Dump'!$D:$D,Master!R$1),SUMIFS('GL Dump'!$E:$E,'GL Dump'!$H:$H,Master!$A18,'GL Dump'!$D:$D,Master!R$1,'GL Dump'!$C:$C,Master!$G$1))</f>
        <v>0</v>
      </c>
      <c r="S18" s="81">
        <f>IF($G$1="ALL",SUMIFS('GL Dump'!$E:$E,'GL Dump'!$H:$H,Master!$A18,'GL Dump'!$D:$D,Master!S$1),SUMIFS('GL Dump'!$E:$E,'GL Dump'!$H:$H,Master!$A18,'GL Dump'!$D:$D,Master!S$1,'GL Dump'!$C:$C,Master!$G$1))</f>
        <v>0</v>
      </c>
    </row>
    <row r="19" spans="1:20" x14ac:dyDescent="0.25">
      <c r="A19" s="424" t="s">
        <v>1852</v>
      </c>
      <c r="B19" s="425" t="str">
        <f t="shared" si="1"/>
        <v>Duty Free Security</v>
      </c>
      <c r="C19" s="426"/>
      <c r="D19" s="427">
        <v>0</v>
      </c>
      <c r="E19" s="428"/>
      <c r="F19" s="419"/>
      <c r="G19" s="420"/>
      <c r="H19" s="421">
        <f>E19+SUMIFS('GL Dump'!$E:$E,'GL Dump'!$H:$H,Master!A19,'GL Dump'!$D:$D,Master!$I$1)</f>
        <v>0</v>
      </c>
      <c r="I19" s="422">
        <f>IF($G$1="ALL",SUMIFS('GL Dump'!$E:$E,'GL Dump'!$H:$H,Master!$A19,'GL Dump'!$D:$D,Master!I$1),SUMIFS('GL Dump'!$E:$E,'GL Dump'!$H:$H,Master!$A19,'GL Dump'!$D:$D,Master!I$1,'GL Dump'!$C:$C,Master!$G$1))</f>
        <v>0</v>
      </c>
      <c r="J19" s="422">
        <f>IF($G$1="ALL",SUMIFS('GL Dump'!$E:$E,'GL Dump'!$H:$H,Master!$A19,'GL Dump'!$D:$D,Master!J$1),SUMIFS('GL Dump'!$E:$E,'GL Dump'!$H:$H,Master!$A19,'GL Dump'!$D:$D,Master!J$1,'GL Dump'!$C:$C,Master!$G$1))</f>
        <v>0</v>
      </c>
      <c r="K19" s="422">
        <f>IF($G$1="ALL",SUMIFS('GL Dump'!$E:$E,'GL Dump'!$H:$H,Master!$A19,'GL Dump'!$D:$D,Master!K$1),SUMIFS('GL Dump'!$E:$E,'GL Dump'!$H:$H,Master!$A19,'GL Dump'!$D:$D,Master!K$1,'GL Dump'!$C:$C,Master!$G$1))</f>
        <v>0</v>
      </c>
      <c r="L19" s="422">
        <f>IF($G$1="ALL",SUMIFS('GL Dump'!$E:$E,'GL Dump'!$H:$H,Master!$A19,'GL Dump'!$D:$D,Master!L$1),SUMIFS('GL Dump'!$E:$E,'GL Dump'!$H:$H,Master!$A19,'GL Dump'!$D:$D,Master!L$1,'GL Dump'!$C:$C,Master!$G$1))</f>
        <v>0</v>
      </c>
      <c r="M19" s="422">
        <f>IF($G$1="ALL",SUMIFS('GL Dump'!$E:$E,'GL Dump'!$H:$H,Master!$A19,'GL Dump'!$D:$D,Master!M$1),SUMIFS('GL Dump'!$E:$E,'GL Dump'!$H:$H,Master!$A19,'GL Dump'!$D:$D,Master!M$1,'GL Dump'!$C:$C,Master!$G$1))</f>
        <v>0</v>
      </c>
      <c r="N19" s="422">
        <f>IF($G$1="ALL",SUMIFS('GL Dump'!$E:$E,'GL Dump'!$H:$H,Master!$A19,'GL Dump'!$D:$D,Master!N$1),SUMIFS('GL Dump'!$E:$E,'GL Dump'!$H:$H,Master!$A19,'GL Dump'!$D:$D,Master!N$1,'GL Dump'!$C:$C,Master!$G$1))</f>
        <v>0</v>
      </c>
      <c r="O19" s="422">
        <f>IF($G$1="ALL",SUMIFS('GL Dump'!$E:$E,'GL Dump'!$H:$H,Master!$A19,'GL Dump'!$D:$D,Master!O$1),SUMIFS('GL Dump'!$E:$E,'GL Dump'!$H:$H,Master!$A19,'GL Dump'!$D:$D,Master!O$1,'GL Dump'!$C:$C,Master!$G$1))</f>
        <v>0</v>
      </c>
      <c r="P19" s="422">
        <f>IF($G$1="ALL",SUMIFS('GL Dump'!$E:$E,'GL Dump'!$H:$H,Master!$A19,'GL Dump'!$D:$D,Master!P$1),SUMIFS('GL Dump'!$E:$E,'GL Dump'!$H:$H,Master!$A19,'GL Dump'!$D:$D,Master!P$1,'GL Dump'!$C:$C,Master!$G$1))</f>
        <v>2940.42</v>
      </c>
      <c r="Q19" s="422">
        <f>IF($G$1="ALL",SUMIFS('GL Dump'!$E:$E,'GL Dump'!$H:$H,Master!$A19,'GL Dump'!$D:$D,Master!Q$1),SUMIFS('GL Dump'!$E:$E,'GL Dump'!$H:$H,Master!$A19,'GL Dump'!$D:$D,Master!Q$1,'GL Dump'!$C:$C,Master!$G$1))</f>
        <v>0</v>
      </c>
      <c r="R19" s="422">
        <f>IF($G$1="ALL",SUMIFS('GL Dump'!$E:$E,'GL Dump'!$H:$H,Master!$A19,'GL Dump'!$D:$D,Master!R$1),SUMIFS('GL Dump'!$E:$E,'GL Dump'!$H:$H,Master!$A19,'GL Dump'!$D:$D,Master!R$1,'GL Dump'!$C:$C,Master!$G$1))</f>
        <v>0</v>
      </c>
      <c r="S19" s="422">
        <f>IF($G$1="ALL",SUMIFS('GL Dump'!$E:$E,'GL Dump'!$H:$H,Master!$A19,'GL Dump'!$D:$D,Master!S$1),SUMIFS('GL Dump'!$E:$E,'GL Dump'!$H:$H,Master!$A19,'GL Dump'!$D:$D,Master!S$1,'GL Dump'!$C:$C,Master!$G$1))</f>
        <v>0</v>
      </c>
      <c r="T19" s="423"/>
    </row>
    <row r="20" spans="1:20" x14ac:dyDescent="0.25">
      <c r="A20" s="137" t="s">
        <v>1853</v>
      </c>
      <c r="B20" s="258" t="str">
        <f t="shared" si="1"/>
        <v>Duty Free Security</v>
      </c>
      <c r="C20" s="179"/>
      <c r="D20" s="396">
        <v>0</v>
      </c>
      <c r="E20" s="178"/>
      <c r="F20" s="170"/>
      <c r="H20" s="397">
        <f>E20+SUMIFS('GL Dump'!$E:$E,'GL Dump'!$H:$H,Master!A20,'GL Dump'!$D:$D,Master!$I$1)</f>
        <v>0</v>
      </c>
      <c r="I20" s="81">
        <f>IF($G$1="ALL",SUMIFS('GL Dump'!$E:$E,'GL Dump'!$H:$H,Master!$A20,'GL Dump'!$D:$D,Master!I$1),SUMIFS('GL Dump'!$E:$E,'GL Dump'!$H:$H,Master!$A20,'GL Dump'!$D:$D,Master!I$1,'GL Dump'!$C:$C,Master!$G$1))</f>
        <v>0</v>
      </c>
      <c r="J20" s="81">
        <f>IF($G$1="ALL",SUMIFS('GL Dump'!$E:$E,'GL Dump'!$H:$H,Master!$A20,'GL Dump'!$D:$D,Master!J$1),SUMIFS('GL Dump'!$E:$E,'GL Dump'!$H:$H,Master!$A20,'GL Dump'!$D:$D,Master!J$1,'GL Dump'!$C:$C,Master!$G$1))</f>
        <v>0</v>
      </c>
      <c r="K20" s="81">
        <f>IF($G$1="ALL",SUMIFS('GL Dump'!$E:$E,'GL Dump'!$H:$H,Master!$A20,'GL Dump'!$D:$D,Master!K$1),SUMIFS('GL Dump'!$E:$E,'GL Dump'!$H:$H,Master!$A20,'GL Dump'!$D:$D,Master!K$1,'GL Dump'!$C:$C,Master!$G$1))</f>
        <v>0</v>
      </c>
      <c r="L20" s="81">
        <f>IF($G$1="ALL",SUMIFS('GL Dump'!$E:$E,'GL Dump'!$H:$H,Master!$A20,'GL Dump'!$D:$D,Master!L$1),SUMIFS('GL Dump'!$E:$E,'GL Dump'!$H:$H,Master!$A20,'GL Dump'!$D:$D,Master!L$1,'GL Dump'!$C:$C,Master!$G$1))</f>
        <v>0</v>
      </c>
      <c r="M20" s="81">
        <f>IF($G$1="ALL",SUMIFS('GL Dump'!$E:$E,'GL Dump'!$H:$H,Master!$A20,'GL Dump'!$D:$D,Master!M$1),SUMIFS('GL Dump'!$E:$E,'GL Dump'!$H:$H,Master!$A20,'GL Dump'!$D:$D,Master!M$1,'GL Dump'!$C:$C,Master!$G$1))</f>
        <v>0</v>
      </c>
      <c r="N20" s="81">
        <f>IF($G$1="ALL",SUMIFS('GL Dump'!$E:$E,'GL Dump'!$H:$H,Master!$A20,'GL Dump'!$D:$D,Master!N$1),SUMIFS('GL Dump'!$E:$E,'GL Dump'!$H:$H,Master!$A20,'GL Dump'!$D:$D,Master!N$1,'GL Dump'!$C:$C,Master!$G$1))</f>
        <v>0</v>
      </c>
      <c r="O20" s="81">
        <f>IF($G$1="ALL",SUMIFS('GL Dump'!$E:$E,'GL Dump'!$H:$H,Master!$A20,'GL Dump'!$D:$D,Master!O$1),SUMIFS('GL Dump'!$E:$E,'GL Dump'!$H:$H,Master!$A20,'GL Dump'!$D:$D,Master!O$1,'GL Dump'!$C:$C,Master!$G$1))</f>
        <v>0</v>
      </c>
      <c r="P20" s="81">
        <f>IF($G$1="ALL",SUMIFS('GL Dump'!$E:$E,'GL Dump'!$H:$H,Master!$A20,'GL Dump'!$D:$D,Master!P$1),SUMIFS('GL Dump'!$E:$E,'GL Dump'!$H:$H,Master!$A20,'GL Dump'!$D:$D,Master!P$1,'GL Dump'!$C:$C,Master!$G$1))</f>
        <v>65</v>
      </c>
      <c r="Q20" s="81">
        <f>IF($G$1="ALL",SUMIFS('GL Dump'!$E:$E,'GL Dump'!$H:$H,Master!$A20,'GL Dump'!$D:$D,Master!Q$1),SUMIFS('GL Dump'!$E:$E,'GL Dump'!$H:$H,Master!$A20,'GL Dump'!$D:$D,Master!Q$1,'GL Dump'!$C:$C,Master!$G$1))</f>
        <v>0</v>
      </c>
      <c r="R20" s="81">
        <f>IF($G$1="ALL",SUMIFS('GL Dump'!$E:$E,'GL Dump'!$H:$H,Master!$A20,'GL Dump'!$D:$D,Master!R$1),SUMIFS('GL Dump'!$E:$E,'GL Dump'!$H:$H,Master!$A20,'GL Dump'!$D:$D,Master!R$1,'GL Dump'!$C:$C,Master!$G$1))</f>
        <v>0</v>
      </c>
      <c r="S20" s="81">
        <f>IF($G$1="ALL",SUMIFS('GL Dump'!$E:$E,'GL Dump'!$H:$H,Master!$A20,'GL Dump'!$D:$D,Master!S$1),SUMIFS('GL Dump'!$E:$E,'GL Dump'!$H:$H,Master!$A20,'GL Dump'!$D:$D,Master!S$1,'GL Dump'!$C:$C,Master!$G$1))</f>
        <v>0</v>
      </c>
    </row>
    <row r="21" spans="1:20" x14ac:dyDescent="0.25">
      <c r="A21" s="424" t="s">
        <v>1854</v>
      </c>
      <c r="B21" s="425" t="str">
        <f t="shared" si="1"/>
        <v>Duty Free Security</v>
      </c>
      <c r="C21" s="426"/>
      <c r="D21" s="427">
        <v>0</v>
      </c>
      <c r="E21" s="428"/>
      <c r="F21" s="419"/>
      <c r="G21" s="420"/>
      <c r="H21" s="421">
        <f>E21+SUMIFS('GL Dump'!$E:$E,'GL Dump'!$H:$H,Master!A21,'GL Dump'!$D:$D,Master!$I$1)</f>
        <v>0</v>
      </c>
      <c r="I21" s="422">
        <f>IF($G$1="ALL",SUMIFS('GL Dump'!$E:$E,'GL Dump'!$H:$H,Master!$A21,'GL Dump'!$D:$D,Master!I$1),SUMIFS('GL Dump'!$E:$E,'GL Dump'!$H:$H,Master!$A21,'GL Dump'!$D:$D,Master!I$1,'GL Dump'!$C:$C,Master!$G$1))</f>
        <v>0</v>
      </c>
      <c r="J21" s="422">
        <f>IF($G$1="ALL",SUMIFS('GL Dump'!$E:$E,'GL Dump'!$H:$H,Master!$A21,'GL Dump'!$D:$D,Master!J$1),SUMIFS('GL Dump'!$E:$E,'GL Dump'!$H:$H,Master!$A21,'GL Dump'!$D:$D,Master!J$1,'GL Dump'!$C:$C,Master!$G$1))</f>
        <v>0</v>
      </c>
      <c r="K21" s="422">
        <f>IF($G$1="ALL",SUMIFS('GL Dump'!$E:$E,'GL Dump'!$H:$H,Master!$A21,'GL Dump'!$D:$D,Master!K$1),SUMIFS('GL Dump'!$E:$E,'GL Dump'!$H:$H,Master!$A21,'GL Dump'!$D:$D,Master!K$1,'GL Dump'!$C:$C,Master!$G$1))</f>
        <v>0</v>
      </c>
      <c r="L21" s="422">
        <f>IF($G$1="ALL",SUMIFS('GL Dump'!$E:$E,'GL Dump'!$H:$H,Master!$A21,'GL Dump'!$D:$D,Master!L$1),SUMIFS('GL Dump'!$E:$E,'GL Dump'!$H:$H,Master!$A21,'GL Dump'!$D:$D,Master!L$1,'GL Dump'!$C:$C,Master!$G$1))</f>
        <v>0</v>
      </c>
      <c r="M21" s="422">
        <f>IF($G$1="ALL",SUMIFS('GL Dump'!$E:$E,'GL Dump'!$H:$H,Master!$A21,'GL Dump'!$D:$D,Master!M$1),SUMIFS('GL Dump'!$E:$E,'GL Dump'!$H:$H,Master!$A21,'GL Dump'!$D:$D,Master!M$1,'GL Dump'!$C:$C,Master!$G$1))</f>
        <v>0</v>
      </c>
      <c r="N21" s="422">
        <f>IF($G$1="ALL",SUMIFS('GL Dump'!$E:$E,'GL Dump'!$H:$H,Master!$A21,'GL Dump'!$D:$D,Master!N$1),SUMIFS('GL Dump'!$E:$E,'GL Dump'!$H:$H,Master!$A21,'GL Dump'!$D:$D,Master!N$1,'GL Dump'!$C:$C,Master!$G$1))</f>
        <v>0</v>
      </c>
      <c r="O21" s="422">
        <f>IF($G$1="ALL",SUMIFS('GL Dump'!$E:$E,'GL Dump'!$H:$H,Master!$A21,'GL Dump'!$D:$D,Master!O$1),SUMIFS('GL Dump'!$E:$E,'GL Dump'!$H:$H,Master!$A21,'GL Dump'!$D:$D,Master!O$1,'GL Dump'!$C:$C,Master!$G$1))</f>
        <v>0</v>
      </c>
      <c r="P21" s="422">
        <f>IF($G$1="ALL",SUMIFS('GL Dump'!$E:$E,'GL Dump'!$H:$H,Master!$A21,'GL Dump'!$D:$D,Master!P$1),SUMIFS('GL Dump'!$E:$E,'GL Dump'!$H:$H,Master!$A21,'GL Dump'!$D:$D,Master!P$1,'GL Dump'!$C:$C,Master!$G$1))</f>
        <v>21.67</v>
      </c>
      <c r="Q21" s="422">
        <f>IF($G$1="ALL",SUMIFS('GL Dump'!$E:$E,'GL Dump'!$H:$H,Master!$A21,'GL Dump'!$D:$D,Master!Q$1),SUMIFS('GL Dump'!$E:$E,'GL Dump'!$H:$H,Master!$A21,'GL Dump'!$D:$D,Master!Q$1,'GL Dump'!$C:$C,Master!$G$1))</f>
        <v>0</v>
      </c>
      <c r="R21" s="422">
        <f>IF($G$1="ALL",SUMIFS('GL Dump'!$E:$E,'GL Dump'!$H:$H,Master!$A21,'GL Dump'!$D:$D,Master!R$1),SUMIFS('GL Dump'!$E:$E,'GL Dump'!$H:$H,Master!$A21,'GL Dump'!$D:$D,Master!R$1,'GL Dump'!$C:$C,Master!$G$1))</f>
        <v>0</v>
      </c>
      <c r="S21" s="422">
        <f>IF($G$1="ALL",SUMIFS('GL Dump'!$E:$E,'GL Dump'!$H:$H,Master!$A21,'GL Dump'!$D:$D,Master!S$1),SUMIFS('GL Dump'!$E:$E,'GL Dump'!$H:$H,Master!$A21,'GL Dump'!$D:$D,Master!S$1,'GL Dump'!$C:$C,Master!$G$1))</f>
        <v>0</v>
      </c>
      <c r="T21" s="423"/>
    </row>
    <row r="22" spans="1:20" x14ac:dyDescent="0.25">
      <c r="A22" s="137" t="s">
        <v>3057</v>
      </c>
      <c r="B22" s="258" t="str">
        <f t="shared" si="1"/>
        <v>Duty Free Security</v>
      </c>
      <c r="C22" s="179"/>
      <c r="D22" s="396">
        <v>0</v>
      </c>
      <c r="E22" s="178"/>
      <c r="F22" s="170"/>
      <c r="H22" s="397">
        <f>E22+SUMIFS('GL Dump'!$E:$E,'GL Dump'!$H:$H,Master!A22,'GL Dump'!$D:$D,Master!$I$1)</f>
        <v>0</v>
      </c>
      <c r="I22" s="81">
        <f>IF($G$1="ALL",SUMIFS('GL Dump'!$E:$E,'GL Dump'!$H:$H,Master!$A22,'GL Dump'!$D:$D,Master!I$1),SUMIFS('GL Dump'!$E:$E,'GL Dump'!$H:$H,Master!$A22,'GL Dump'!$D:$D,Master!I$1,'GL Dump'!$C:$C,Master!$G$1))</f>
        <v>0</v>
      </c>
      <c r="J22" s="81">
        <f>IF($G$1="ALL",SUMIFS('GL Dump'!$E:$E,'GL Dump'!$H:$H,Master!$A22,'GL Dump'!$D:$D,Master!J$1),SUMIFS('GL Dump'!$E:$E,'GL Dump'!$H:$H,Master!$A22,'GL Dump'!$D:$D,Master!J$1,'GL Dump'!$C:$C,Master!$G$1))</f>
        <v>0</v>
      </c>
      <c r="K22" s="81">
        <f>IF($G$1="ALL",SUMIFS('GL Dump'!$E:$E,'GL Dump'!$H:$H,Master!$A22,'GL Dump'!$D:$D,Master!K$1),SUMIFS('GL Dump'!$E:$E,'GL Dump'!$H:$H,Master!$A22,'GL Dump'!$D:$D,Master!K$1,'GL Dump'!$C:$C,Master!$G$1))</f>
        <v>0</v>
      </c>
      <c r="L22" s="81">
        <f>IF($G$1="ALL",SUMIFS('GL Dump'!$E:$E,'GL Dump'!$H:$H,Master!$A22,'GL Dump'!$D:$D,Master!L$1),SUMIFS('GL Dump'!$E:$E,'GL Dump'!$H:$H,Master!$A22,'GL Dump'!$D:$D,Master!L$1,'GL Dump'!$C:$C,Master!$G$1))</f>
        <v>0</v>
      </c>
      <c r="M22" s="81">
        <f>IF($G$1="ALL",SUMIFS('GL Dump'!$E:$E,'GL Dump'!$H:$H,Master!$A22,'GL Dump'!$D:$D,Master!M$1),SUMIFS('GL Dump'!$E:$E,'GL Dump'!$H:$H,Master!$A22,'GL Dump'!$D:$D,Master!M$1,'GL Dump'!$C:$C,Master!$G$1))</f>
        <v>0</v>
      </c>
      <c r="N22" s="81">
        <f>IF($G$1="ALL",SUMIFS('GL Dump'!$E:$E,'GL Dump'!$H:$H,Master!$A22,'GL Dump'!$D:$D,Master!N$1),SUMIFS('GL Dump'!$E:$E,'GL Dump'!$H:$H,Master!$A22,'GL Dump'!$D:$D,Master!N$1,'GL Dump'!$C:$C,Master!$G$1))</f>
        <v>0</v>
      </c>
      <c r="O22" s="81">
        <f>IF($G$1="ALL",SUMIFS('GL Dump'!$E:$E,'GL Dump'!$H:$H,Master!$A22,'GL Dump'!$D:$D,Master!O$1),SUMIFS('GL Dump'!$E:$E,'GL Dump'!$H:$H,Master!$A22,'GL Dump'!$D:$D,Master!O$1,'GL Dump'!$C:$C,Master!$G$1))</f>
        <v>0</v>
      </c>
      <c r="P22" s="81">
        <f>IF($G$1="ALL",SUMIFS('GL Dump'!$E:$E,'GL Dump'!$H:$H,Master!$A22,'GL Dump'!$D:$D,Master!P$1),SUMIFS('GL Dump'!$E:$E,'GL Dump'!$H:$H,Master!$A22,'GL Dump'!$D:$D,Master!P$1,'GL Dump'!$C:$C,Master!$G$1))</f>
        <v>0</v>
      </c>
      <c r="Q22" s="81">
        <f>IF($G$1="ALL",SUMIFS('GL Dump'!$E:$E,'GL Dump'!$H:$H,Master!$A22,'GL Dump'!$D:$D,Master!Q$1),SUMIFS('GL Dump'!$E:$E,'GL Dump'!$H:$H,Master!$A22,'GL Dump'!$D:$D,Master!Q$1,'GL Dump'!$C:$C,Master!$G$1))</f>
        <v>0</v>
      </c>
      <c r="R22" s="81">
        <f>IF($G$1="ALL",SUMIFS('GL Dump'!$E:$E,'GL Dump'!$H:$H,Master!$A22,'GL Dump'!$D:$D,Master!R$1),SUMIFS('GL Dump'!$E:$E,'GL Dump'!$H:$H,Master!$A22,'GL Dump'!$D:$D,Master!R$1,'GL Dump'!$C:$C,Master!$G$1))</f>
        <v>0</v>
      </c>
      <c r="S22" s="81">
        <f>IF($G$1="ALL",SUMIFS('GL Dump'!$E:$E,'GL Dump'!$H:$H,Master!$A22,'GL Dump'!$D:$D,Master!S$1),SUMIFS('GL Dump'!$E:$E,'GL Dump'!$H:$H,Master!$A22,'GL Dump'!$D:$D,Master!S$1,'GL Dump'!$C:$C,Master!$G$1))</f>
        <v>0</v>
      </c>
    </row>
    <row r="23" spans="1:20" x14ac:dyDescent="0.25">
      <c r="A23" s="424" t="s">
        <v>1855</v>
      </c>
      <c r="B23" s="425" t="str">
        <f t="shared" si="1"/>
        <v>Duty Free Security</v>
      </c>
      <c r="C23" s="426"/>
      <c r="D23" s="427">
        <v>0</v>
      </c>
      <c r="E23" s="428"/>
      <c r="F23" s="419"/>
      <c r="G23" s="420"/>
      <c r="H23" s="421">
        <f>E23+SUMIFS('GL Dump'!$E:$E,'GL Dump'!$H:$H,Master!A23,'GL Dump'!$D:$D,Master!$I$1)</f>
        <v>0</v>
      </c>
      <c r="I23" s="422">
        <f>IF($G$1="ALL",SUMIFS('GL Dump'!$E:$E,'GL Dump'!$H:$H,Master!$A23,'GL Dump'!$D:$D,Master!I$1),SUMIFS('GL Dump'!$E:$E,'GL Dump'!$H:$H,Master!$A23,'GL Dump'!$D:$D,Master!I$1,'GL Dump'!$C:$C,Master!$G$1))</f>
        <v>0</v>
      </c>
      <c r="J23" s="422">
        <f>IF($G$1="ALL",SUMIFS('GL Dump'!$E:$E,'GL Dump'!$H:$H,Master!$A23,'GL Dump'!$D:$D,Master!J$1),SUMIFS('GL Dump'!$E:$E,'GL Dump'!$H:$H,Master!$A23,'GL Dump'!$D:$D,Master!J$1,'GL Dump'!$C:$C,Master!$G$1))</f>
        <v>0</v>
      </c>
      <c r="K23" s="422">
        <f>IF($G$1="ALL",SUMIFS('GL Dump'!$E:$E,'GL Dump'!$H:$H,Master!$A23,'GL Dump'!$D:$D,Master!K$1),SUMIFS('GL Dump'!$E:$E,'GL Dump'!$H:$H,Master!$A23,'GL Dump'!$D:$D,Master!K$1,'GL Dump'!$C:$C,Master!$G$1))</f>
        <v>0</v>
      </c>
      <c r="L23" s="422">
        <f>IF($G$1="ALL",SUMIFS('GL Dump'!$E:$E,'GL Dump'!$H:$H,Master!$A23,'GL Dump'!$D:$D,Master!L$1),SUMIFS('GL Dump'!$E:$E,'GL Dump'!$H:$H,Master!$A23,'GL Dump'!$D:$D,Master!L$1,'GL Dump'!$C:$C,Master!$G$1))</f>
        <v>0</v>
      </c>
      <c r="M23" s="422">
        <f>IF($G$1="ALL",SUMIFS('GL Dump'!$E:$E,'GL Dump'!$H:$H,Master!$A23,'GL Dump'!$D:$D,Master!M$1),SUMIFS('GL Dump'!$E:$E,'GL Dump'!$H:$H,Master!$A23,'GL Dump'!$D:$D,Master!M$1,'GL Dump'!$C:$C,Master!$G$1))</f>
        <v>0</v>
      </c>
      <c r="N23" s="422">
        <f>IF($G$1="ALL",SUMIFS('GL Dump'!$E:$E,'GL Dump'!$H:$H,Master!$A23,'GL Dump'!$D:$D,Master!N$1),SUMIFS('GL Dump'!$E:$E,'GL Dump'!$H:$H,Master!$A23,'GL Dump'!$D:$D,Master!N$1,'GL Dump'!$C:$C,Master!$G$1))</f>
        <v>0</v>
      </c>
      <c r="O23" s="422">
        <f>IF($G$1="ALL",SUMIFS('GL Dump'!$E:$E,'GL Dump'!$H:$H,Master!$A23,'GL Dump'!$D:$D,Master!O$1),SUMIFS('GL Dump'!$E:$E,'GL Dump'!$H:$H,Master!$A23,'GL Dump'!$D:$D,Master!O$1,'GL Dump'!$C:$C,Master!$G$1))</f>
        <v>0</v>
      </c>
      <c r="P23" s="422">
        <f>IF($G$1="ALL",SUMIFS('GL Dump'!$E:$E,'GL Dump'!$H:$H,Master!$A23,'GL Dump'!$D:$D,Master!P$1),SUMIFS('GL Dump'!$E:$E,'GL Dump'!$H:$H,Master!$A23,'GL Dump'!$D:$D,Master!P$1,'GL Dump'!$C:$C,Master!$G$1))</f>
        <v>6480.71</v>
      </c>
      <c r="Q23" s="422">
        <f>IF($G$1="ALL",SUMIFS('GL Dump'!$E:$E,'GL Dump'!$H:$H,Master!$A23,'GL Dump'!$D:$D,Master!Q$1),SUMIFS('GL Dump'!$E:$E,'GL Dump'!$H:$H,Master!$A23,'GL Dump'!$D:$D,Master!Q$1,'GL Dump'!$C:$C,Master!$G$1))</f>
        <v>0</v>
      </c>
      <c r="R23" s="422">
        <f>IF($G$1="ALL",SUMIFS('GL Dump'!$E:$E,'GL Dump'!$H:$H,Master!$A23,'GL Dump'!$D:$D,Master!R$1),SUMIFS('GL Dump'!$E:$E,'GL Dump'!$H:$H,Master!$A23,'GL Dump'!$D:$D,Master!R$1,'GL Dump'!$C:$C,Master!$G$1))</f>
        <v>0</v>
      </c>
      <c r="S23" s="422">
        <f>IF($G$1="ALL",SUMIFS('GL Dump'!$E:$E,'GL Dump'!$H:$H,Master!$A23,'GL Dump'!$D:$D,Master!S$1),SUMIFS('GL Dump'!$E:$E,'GL Dump'!$H:$H,Master!$A23,'GL Dump'!$D:$D,Master!S$1,'GL Dump'!$C:$C,Master!$G$1))</f>
        <v>0</v>
      </c>
      <c r="T23" s="423"/>
    </row>
    <row r="24" spans="1:20" x14ac:dyDescent="0.25">
      <c r="A24" s="137" t="s">
        <v>1856</v>
      </c>
      <c r="B24" s="258" t="str">
        <f t="shared" si="1"/>
        <v>Duty Free Security</v>
      </c>
      <c r="C24" s="179"/>
      <c r="D24" s="396">
        <v>0</v>
      </c>
      <c r="E24" s="178"/>
      <c r="F24" s="170"/>
      <c r="H24" s="397">
        <f>E24+SUMIFS('GL Dump'!$E:$E,'GL Dump'!$H:$H,Master!A24,'GL Dump'!$D:$D,Master!$I$1)</f>
        <v>0</v>
      </c>
      <c r="I24" s="81">
        <f>IF($G$1="ALL",SUMIFS('GL Dump'!$E:$E,'GL Dump'!$H:$H,Master!$A24,'GL Dump'!$D:$D,Master!I$1),SUMIFS('GL Dump'!$E:$E,'GL Dump'!$H:$H,Master!$A24,'GL Dump'!$D:$D,Master!I$1,'GL Dump'!$C:$C,Master!$G$1))</f>
        <v>0</v>
      </c>
      <c r="J24" s="81">
        <f>IF($G$1="ALL",SUMIFS('GL Dump'!$E:$E,'GL Dump'!$H:$H,Master!$A24,'GL Dump'!$D:$D,Master!J$1),SUMIFS('GL Dump'!$E:$E,'GL Dump'!$H:$H,Master!$A24,'GL Dump'!$D:$D,Master!J$1,'GL Dump'!$C:$C,Master!$G$1))</f>
        <v>0</v>
      </c>
      <c r="K24" s="81">
        <f>IF($G$1="ALL",SUMIFS('GL Dump'!$E:$E,'GL Dump'!$H:$H,Master!$A24,'GL Dump'!$D:$D,Master!K$1),SUMIFS('GL Dump'!$E:$E,'GL Dump'!$H:$H,Master!$A24,'GL Dump'!$D:$D,Master!K$1,'GL Dump'!$C:$C,Master!$G$1))</f>
        <v>0</v>
      </c>
      <c r="L24" s="81">
        <f>IF($G$1="ALL",SUMIFS('GL Dump'!$E:$E,'GL Dump'!$H:$H,Master!$A24,'GL Dump'!$D:$D,Master!L$1),SUMIFS('GL Dump'!$E:$E,'GL Dump'!$H:$H,Master!$A24,'GL Dump'!$D:$D,Master!L$1,'GL Dump'!$C:$C,Master!$G$1))</f>
        <v>0</v>
      </c>
      <c r="M24" s="81">
        <f>IF($G$1="ALL",SUMIFS('GL Dump'!$E:$E,'GL Dump'!$H:$H,Master!$A24,'GL Dump'!$D:$D,Master!M$1),SUMIFS('GL Dump'!$E:$E,'GL Dump'!$H:$H,Master!$A24,'GL Dump'!$D:$D,Master!M$1,'GL Dump'!$C:$C,Master!$G$1))</f>
        <v>0</v>
      </c>
      <c r="N24" s="81">
        <f>IF($G$1="ALL",SUMIFS('GL Dump'!$E:$E,'GL Dump'!$H:$H,Master!$A24,'GL Dump'!$D:$D,Master!N$1),SUMIFS('GL Dump'!$E:$E,'GL Dump'!$H:$H,Master!$A24,'GL Dump'!$D:$D,Master!N$1,'GL Dump'!$C:$C,Master!$G$1))</f>
        <v>0</v>
      </c>
      <c r="O24" s="81">
        <f>IF($G$1="ALL",SUMIFS('GL Dump'!$E:$E,'GL Dump'!$H:$H,Master!$A24,'GL Dump'!$D:$D,Master!O$1),SUMIFS('GL Dump'!$E:$E,'GL Dump'!$H:$H,Master!$A24,'GL Dump'!$D:$D,Master!O$1,'GL Dump'!$C:$C,Master!$G$1))</f>
        <v>0</v>
      </c>
      <c r="P24" s="81">
        <f>IF($G$1="ALL",SUMIFS('GL Dump'!$E:$E,'GL Dump'!$H:$H,Master!$A24,'GL Dump'!$D:$D,Master!P$1),SUMIFS('GL Dump'!$E:$E,'GL Dump'!$H:$H,Master!$A24,'GL Dump'!$D:$D,Master!P$1,'GL Dump'!$C:$C,Master!$G$1))</f>
        <v>0</v>
      </c>
      <c r="Q24" s="81">
        <f>IF($G$1="ALL",SUMIFS('GL Dump'!$E:$E,'GL Dump'!$H:$H,Master!$A24,'GL Dump'!$D:$D,Master!Q$1),SUMIFS('GL Dump'!$E:$E,'GL Dump'!$H:$H,Master!$A24,'GL Dump'!$D:$D,Master!Q$1,'GL Dump'!$C:$C,Master!$G$1))</f>
        <v>0</v>
      </c>
      <c r="R24" s="81">
        <f>IF($G$1="ALL",SUMIFS('GL Dump'!$E:$E,'GL Dump'!$H:$H,Master!$A24,'GL Dump'!$D:$D,Master!R$1),SUMIFS('GL Dump'!$E:$E,'GL Dump'!$H:$H,Master!$A24,'GL Dump'!$D:$D,Master!R$1,'GL Dump'!$C:$C,Master!$G$1))</f>
        <v>0</v>
      </c>
      <c r="S24" s="81">
        <f>IF($G$1="ALL",SUMIFS('GL Dump'!$E:$E,'GL Dump'!$H:$H,Master!$A24,'GL Dump'!$D:$D,Master!S$1),SUMIFS('GL Dump'!$E:$E,'GL Dump'!$H:$H,Master!$A24,'GL Dump'!$D:$D,Master!S$1,'GL Dump'!$C:$C,Master!$G$1))</f>
        <v>0</v>
      </c>
    </row>
    <row r="25" spans="1:20" x14ac:dyDescent="0.25">
      <c r="A25" s="424" t="s">
        <v>1857</v>
      </c>
      <c r="B25" s="425" t="str">
        <f t="shared" si="1"/>
        <v>Duty Free Security</v>
      </c>
      <c r="C25" s="426"/>
      <c r="D25" s="427">
        <v>0</v>
      </c>
      <c r="E25" s="428"/>
      <c r="F25" s="419"/>
      <c r="G25" s="420"/>
      <c r="H25" s="421">
        <f>E25+SUMIFS('GL Dump'!$E:$E,'GL Dump'!$H:$H,Master!A25,'GL Dump'!$D:$D,Master!$I$1)</f>
        <v>0</v>
      </c>
      <c r="I25" s="422">
        <f>IF($G$1="ALL",SUMIFS('GL Dump'!$E:$E,'GL Dump'!$H:$H,Master!$A25,'GL Dump'!$D:$D,Master!I$1),SUMIFS('GL Dump'!$E:$E,'GL Dump'!$H:$H,Master!$A25,'GL Dump'!$D:$D,Master!I$1,'GL Dump'!$C:$C,Master!$G$1))</f>
        <v>0</v>
      </c>
      <c r="J25" s="422">
        <f>IF($G$1="ALL",SUMIFS('GL Dump'!$E:$E,'GL Dump'!$H:$H,Master!$A25,'GL Dump'!$D:$D,Master!J$1),SUMIFS('GL Dump'!$E:$E,'GL Dump'!$H:$H,Master!$A25,'GL Dump'!$D:$D,Master!J$1,'GL Dump'!$C:$C,Master!$G$1))</f>
        <v>0</v>
      </c>
      <c r="K25" s="422">
        <f>IF($G$1="ALL",SUMIFS('GL Dump'!$E:$E,'GL Dump'!$H:$H,Master!$A25,'GL Dump'!$D:$D,Master!K$1),SUMIFS('GL Dump'!$E:$E,'GL Dump'!$H:$H,Master!$A25,'GL Dump'!$D:$D,Master!K$1,'GL Dump'!$C:$C,Master!$G$1))</f>
        <v>0</v>
      </c>
      <c r="L25" s="422">
        <f>IF($G$1="ALL",SUMIFS('GL Dump'!$E:$E,'GL Dump'!$H:$H,Master!$A25,'GL Dump'!$D:$D,Master!L$1),SUMIFS('GL Dump'!$E:$E,'GL Dump'!$H:$H,Master!$A25,'GL Dump'!$D:$D,Master!L$1,'GL Dump'!$C:$C,Master!$G$1))</f>
        <v>0</v>
      </c>
      <c r="M25" s="422">
        <f>IF($G$1="ALL",SUMIFS('GL Dump'!$E:$E,'GL Dump'!$H:$H,Master!$A25,'GL Dump'!$D:$D,Master!M$1),SUMIFS('GL Dump'!$E:$E,'GL Dump'!$H:$H,Master!$A25,'GL Dump'!$D:$D,Master!M$1,'GL Dump'!$C:$C,Master!$G$1))</f>
        <v>0</v>
      </c>
      <c r="N25" s="422">
        <f>IF($G$1="ALL",SUMIFS('GL Dump'!$E:$E,'GL Dump'!$H:$H,Master!$A25,'GL Dump'!$D:$D,Master!N$1),SUMIFS('GL Dump'!$E:$E,'GL Dump'!$H:$H,Master!$A25,'GL Dump'!$D:$D,Master!N$1,'GL Dump'!$C:$C,Master!$G$1))</f>
        <v>0</v>
      </c>
      <c r="O25" s="422">
        <f>IF($G$1="ALL",SUMIFS('GL Dump'!$E:$E,'GL Dump'!$H:$H,Master!$A25,'GL Dump'!$D:$D,Master!O$1),SUMIFS('GL Dump'!$E:$E,'GL Dump'!$H:$H,Master!$A25,'GL Dump'!$D:$D,Master!O$1,'GL Dump'!$C:$C,Master!$G$1))</f>
        <v>0</v>
      </c>
      <c r="P25" s="422">
        <f>IF($G$1="ALL",SUMIFS('GL Dump'!$E:$E,'GL Dump'!$H:$H,Master!$A25,'GL Dump'!$D:$D,Master!P$1),SUMIFS('GL Dump'!$E:$E,'GL Dump'!$H:$H,Master!$A25,'GL Dump'!$D:$D,Master!P$1,'GL Dump'!$C:$C,Master!$G$1))</f>
        <v>703.46</v>
      </c>
      <c r="Q25" s="422">
        <f>IF($G$1="ALL",SUMIFS('GL Dump'!$E:$E,'GL Dump'!$H:$H,Master!$A25,'GL Dump'!$D:$D,Master!Q$1),SUMIFS('GL Dump'!$E:$E,'GL Dump'!$H:$H,Master!$A25,'GL Dump'!$D:$D,Master!Q$1,'GL Dump'!$C:$C,Master!$G$1))</f>
        <v>0</v>
      </c>
      <c r="R25" s="422">
        <f>IF($G$1="ALL",SUMIFS('GL Dump'!$E:$E,'GL Dump'!$H:$H,Master!$A25,'GL Dump'!$D:$D,Master!R$1),SUMIFS('GL Dump'!$E:$E,'GL Dump'!$H:$H,Master!$A25,'GL Dump'!$D:$D,Master!R$1,'GL Dump'!$C:$C,Master!$G$1))</f>
        <v>0</v>
      </c>
      <c r="S25" s="422">
        <f>IF($G$1="ALL",SUMIFS('GL Dump'!$E:$E,'GL Dump'!$H:$H,Master!$A25,'GL Dump'!$D:$D,Master!S$1),SUMIFS('GL Dump'!$E:$E,'GL Dump'!$H:$H,Master!$A25,'GL Dump'!$D:$D,Master!S$1,'GL Dump'!$C:$C,Master!$G$1))</f>
        <v>0</v>
      </c>
      <c r="T25" s="423"/>
    </row>
    <row r="26" spans="1:20" x14ac:dyDescent="0.25">
      <c r="A26" s="137" t="s">
        <v>3058</v>
      </c>
      <c r="B26" s="258" t="str">
        <f t="shared" si="1"/>
        <v>Duty Free Security</v>
      </c>
      <c r="C26" s="179"/>
      <c r="D26" s="396">
        <v>0</v>
      </c>
      <c r="E26" s="178"/>
      <c r="F26" s="170"/>
      <c r="H26" s="397">
        <f>E26+SUMIFS('GL Dump'!$E:$E,'GL Dump'!$H:$H,Master!A26,'GL Dump'!$D:$D,Master!$I$1)</f>
        <v>0</v>
      </c>
      <c r="I26" s="81">
        <f>IF($G$1="ALL",SUMIFS('GL Dump'!$E:$E,'GL Dump'!$H:$H,Master!$A26,'GL Dump'!$D:$D,Master!I$1),SUMIFS('GL Dump'!$E:$E,'GL Dump'!$H:$H,Master!$A26,'GL Dump'!$D:$D,Master!I$1,'GL Dump'!$C:$C,Master!$G$1))</f>
        <v>0</v>
      </c>
      <c r="J26" s="81">
        <f>IF($G$1="ALL",SUMIFS('GL Dump'!$E:$E,'GL Dump'!$H:$H,Master!$A26,'GL Dump'!$D:$D,Master!J$1),SUMIFS('GL Dump'!$E:$E,'GL Dump'!$H:$H,Master!$A26,'GL Dump'!$D:$D,Master!J$1,'GL Dump'!$C:$C,Master!$G$1))</f>
        <v>0</v>
      </c>
      <c r="K26" s="81">
        <f>IF($G$1="ALL",SUMIFS('GL Dump'!$E:$E,'GL Dump'!$H:$H,Master!$A26,'GL Dump'!$D:$D,Master!K$1),SUMIFS('GL Dump'!$E:$E,'GL Dump'!$H:$H,Master!$A26,'GL Dump'!$D:$D,Master!K$1,'GL Dump'!$C:$C,Master!$G$1))</f>
        <v>0</v>
      </c>
      <c r="L26" s="81">
        <f>IF($G$1="ALL",SUMIFS('GL Dump'!$E:$E,'GL Dump'!$H:$H,Master!$A26,'GL Dump'!$D:$D,Master!L$1),SUMIFS('GL Dump'!$E:$E,'GL Dump'!$H:$H,Master!$A26,'GL Dump'!$D:$D,Master!L$1,'GL Dump'!$C:$C,Master!$G$1))</f>
        <v>0</v>
      </c>
      <c r="M26" s="81">
        <f>IF($G$1="ALL",SUMIFS('GL Dump'!$E:$E,'GL Dump'!$H:$H,Master!$A26,'GL Dump'!$D:$D,Master!M$1),SUMIFS('GL Dump'!$E:$E,'GL Dump'!$H:$H,Master!$A26,'GL Dump'!$D:$D,Master!M$1,'GL Dump'!$C:$C,Master!$G$1))</f>
        <v>0</v>
      </c>
      <c r="N26" s="81">
        <f>IF($G$1="ALL",SUMIFS('GL Dump'!$E:$E,'GL Dump'!$H:$H,Master!$A26,'GL Dump'!$D:$D,Master!N$1),SUMIFS('GL Dump'!$E:$E,'GL Dump'!$H:$H,Master!$A26,'GL Dump'!$D:$D,Master!N$1,'GL Dump'!$C:$C,Master!$G$1))</f>
        <v>0</v>
      </c>
      <c r="O26" s="81">
        <f>IF($G$1="ALL",SUMIFS('GL Dump'!$E:$E,'GL Dump'!$H:$H,Master!$A26,'GL Dump'!$D:$D,Master!O$1),SUMIFS('GL Dump'!$E:$E,'GL Dump'!$H:$H,Master!$A26,'GL Dump'!$D:$D,Master!O$1,'GL Dump'!$C:$C,Master!$G$1))</f>
        <v>0</v>
      </c>
      <c r="P26" s="81">
        <f>IF($G$1="ALL",SUMIFS('GL Dump'!$E:$E,'GL Dump'!$H:$H,Master!$A26,'GL Dump'!$D:$D,Master!P$1),SUMIFS('GL Dump'!$E:$E,'GL Dump'!$H:$H,Master!$A26,'GL Dump'!$D:$D,Master!P$1,'GL Dump'!$C:$C,Master!$G$1))</f>
        <v>0</v>
      </c>
      <c r="Q26" s="81">
        <f>IF($G$1="ALL",SUMIFS('GL Dump'!$E:$E,'GL Dump'!$H:$H,Master!$A26,'GL Dump'!$D:$D,Master!Q$1),SUMIFS('GL Dump'!$E:$E,'GL Dump'!$H:$H,Master!$A26,'GL Dump'!$D:$D,Master!Q$1,'GL Dump'!$C:$C,Master!$G$1))</f>
        <v>0</v>
      </c>
      <c r="R26" s="81">
        <f>IF($G$1="ALL",SUMIFS('GL Dump'!$E:$E,'GL Dump'!$H:$H,Master!$A26,'GL Dump'!$D:$D,Master!R$1),SUMIFS('GL Dump'!$E:$E,'GL Dump'!$H:$H,Master!$A26,'GL Dump'!$D:$D,Master!R$1,'GL Dump'!$C:$C,Master!$G$1))</f>
        <v>0</v>
      </c>
      <c r="S26" s="81">
        <f>IF($G$1="ALL",SUMIFS('GL Dump'!$E:$E,'GL Dump'!$H:$H,Master!$A26,'GL Dump'!$D:$D,Master!S$1),SUMIFS('GL Dump'!$E:$E,'GL Dump'!$H:$H,Master!$A26,'GL Dump'!$D:$D,Master!S$1,'GL Dump'!$C:$C,Master!$G$1))</f>
        <v>0</v>
      </c>
    </row>
    <row r="27" spans="1:20" x14ac:dyDescent="0.25">
      <c r="A27" s="424" t="s">
        <v>1860</v>
      </c>
      <c r="B27" s="425" t="str">
        <f t="shared" si="1"/>
        <v>Duty Free Security</v>
      </c>
      <c r="C27" s="426"/>
      <c r="D27" s="427">
        <v>0</v>
      </c>
      <c r="E27" s="428"/>
      <c r="F27" s="419"/>
      <c r="G27" s="420"/>
      <c r="H27" s="421">
        <f>E27+SUMIFS('GL Dump'!$E:$E,'GL Dump'!$H:$H,Master!A27,'GL Dump'!$D:$D,Master!$I$1)</f>
        <v>0</v>
      </c>
      <c r="I27" s="422">
        <f>IF($G$1="ALL",SUMIFS('GL Dump'!$E:$E,'GL Dump'!$H:$H,Master!$A27,'GL Dump'!$D:$D,Master!I$1),SUMIFS('GL Dump'!$E:$E,'GL Dump'!$H:$H,Master!$A27,'GL Dump'!$D:$D,Master!I$1,'GL Dump'!$C:$C,Master!$G$1))</f>
        <v>0</v>
      </c>
      <c r="J27" s="422">
        <f>IF($G$1="ALL",SUMIFS('GL Dump'!$E:$E,'GL Dump'!$H:$H,Master!$A27,'GL Dump'!$D:$D,Master!J$1),SUMIFS('GL Dump'!$E:$E,'GL Dump'!$H:$H,Master!$A27,'GL Dump'!$D:$D,Master!J$1,'GL Dump'!$C:$C,Master!$G$1))</f>
        <v>0</v>
      </c>
      <c r="K27" s="422">
        <f>IF($G$1="ALL",SUMIFS('GL Dump'!$E:$E,'GL Dump'!$H:$H,Master!$A27,'GL Dump'!$D:$D,Master!K$1),SUMIFS('GL Dump'!$E:$E,'GL Dump'!$H:$H,Master!$A27,'GL Dump'!$D:$D,Master!K$1,'GL Dump'!$C:$C,Master!$G$1))</f>
        <v>0</v>
      </c>
      <c r="L27" s="422">
        <f>IF($G$1="ALL",SUMIFS('GL Dump'!$E:$E,'GL Dump'!$H:$H,Master!$A27,'GL Dump'!$D:$D,Master!L$1),SUMIFS('GL Dump'!$E:$E,'GL Dump'!$H:$H,Master!$A27,'GL Dump'!$D:$D,Master!L$1,'GL Dump'!$C:$C,Master!$G$1))</f>
        <v>0</v>
      </c>
      <c r="M27" s="422">
        <f>IF($G$1="ALL",SUMIFS('GL Dump'!$E:$E,'GL Dump'!$H:$H,Master!$A27,'GL Dump'!$D:$D,Master!M$1),SUMIFS('GL Dump'!$E:$E,'GL Dump'!$H:$H,Master!$A27,'GL Dump'!$D:$D,Master!M$1,'GL Dump'!$C:$C,Master!$G$1))</f>
        <v>0</v>
      </c>
      <c r="N27" s="422">
        <f>IF($G$1="ALL",SUMIFS('GL Dump'!$E:$E,'GL Dump'!$H:$H,Master!$A27,'GL Dump'!$D:$D,Master!N$1),SUMIFS('GL Dump'!$E:$E,'GL Dump'!$H:$H,Master!$A27,'GL Dump'!$D:$D,Master!N$1,'GL Dump'!$C:$C,Master!$G$1))</f>
        <v>0</v>
      </c>
      <c r="O27" s="422">
        <f>IF($G$1="ALL",SUMIFS('GL Dump'!$E:$E,'GL Dump'!$H:$H,Master!$A27,'GL Dump'!$D:$D,Master!O$1),SUMIFS('GL Dump'!$E:$E,'GL Dump'!$H:$H,Master!$A27,'GL Dump'!$D:$D,Master!O$1,'GL Dump'!$C:$C,Master!$G$1))</f>
        <v>0</v>
      </c>
      <c r="P27" s="422">
        <f>IF($G$1="ALL",SUMIFS('GL Dump'!$E:$E,'GL Dump'!$H:$H,Master!$A27,'GL Dump'!$D:$D,Master!P$1),SUMIFS('GL Dump'!$E:$E,'GL Dump'!$H:$H,Master!$A27,'GL Dump'!$D:$D,Master!P$1,'GL Dump'!$C:$C,Master!$G$1))</f>
        <v>0</v>
      </c>
      <c r="Q27" s="422">
        <f>IF($G$1="ALL",SUMIFS('GL Dump'!$E:$E,'GL Dump'!$H:$H,Master!$A27,'GL Dump'!$D:$D,Master!Q$1),SUMIFS('GL Dump'!$E:$E,'GL Dump'!$H:$H,Master!$A27,'GL Dump'!$D:$D,Master!Q$1,'GL Dump'!$C:$C,Master!$G$1))</f>
        <v>0</v>
      </c>
      <c r="R27" s="422">
        <f>IF($G$1="ALL",SUMIFS('GL Dump'!$E:$E,'GL Dump'!$H:$H,Master!$A27,'GL Dump'!$D:$D,Master!R$1),SUMIFS('GL Dump'!$E:$E,'GL Dump'!$H:$H,Master!$A27,'GL Dump'!$D:$D,Master!R$1,'GL Dump'!$C:$C,Master!$G$1))</f>
        <v>0</v>
      </c>
      <c r="S27" s="422">
        <f>IF($G$1="ALL",SUMIFS('GL Dump'!$E:$E,'GL Dump'!$H:$H,Master!$A27,'GL Dump'!$D:$D,Master!S$1),SUMIFS('GL Dump'!$E:$E,'GL Dump'!$H:$H,Master!$A27,'GL Dump'!$D:$D,Master!S$1,'GL Dump'!$C:$C,Master!$G$1))</f>
        <v>0</v>
      </c>
      <c r="T27" s="423"/>
    </row>
    <row r="28" spans="1:20" x14ac:dyDescent="0.25">
      <c r="A28" s="137" t="s">
        <v>1861</v>
      </c>
      <c r="B28" s="258" t="str">
        <f t="shared" si="1"/>
        <v>Duty Free Security</v>
      </c>
      <c r="C28" s="179"/>
      <c r="D28" s="396">
        <v>0</v>
      </c>
      <c r="E28" s="178"/>
      <c r="F28" s="170"/>
      <c r="H28" s="397">
        <f>E28+SUMIFS('GL Dump'!$E:$E,'GL Dump'!$H:$H,Master!A28,'GL Dump'!$D:$D,Master!$I$1)</f>
        <v>0</v>
      </c>
      <c r="I28" s="81">
        <f>IF($G$1="ALL",SUMIFS('GL Dump'!$E:$E,'GL Dump'!$H:$H,Master!$A28,'GL Dump'!$D:$D,Master!I$1),SUMIFS('GL Dump'!$E:$E,'GL Dump'!$H:$H,Master!$A28,'GL Dump'!$D:$D,Master!I$1,'GL Dump'!$C:$C,Master!$G$1))</f>
        <v>0</v>
      </c>
      <c r="J28" s="81">
        <f>IF($G$1="ALL",SUMIFS('GL Dump'!$E:$E,'GL Dump'!$H:$H,Master!$A28,'GL Dump'!$D:$D,Master!J$1),SUMIFS('GL Dump'!$E:$E,'GL Dump'!$H:$H,Master!$A28,'GL Dump'!$D:$D,Master!J$1,'GL Dump'!$C:$C,Master!$G$1))</f>
        <v>0</v>
      </c>
      <c r="K28" s="81">
        <f>IF($G$1="ALL",SUMIFS('GL Dump'!$E:$E,'GL Dump'!$H:$H,Master!$A28,'GL Dump'!$D:$D,Master!K$1),SUMIFS('GL Dump'!$E:$E,'GL Dump'!$H:$H,Master!$A28,'GL Dump'!$D:$D,Master!K$1,'GL Dump'!$C:$C,Master!$G$1))</f>
        <v>0</v>
      </c>
      <c r="L28" s="81">
        <f>IF($G$1="ALL",SUMIFS('GL Dump'!$E:$E,'GL Dump'!$H:$H,Master!$A28,'GL Dump'!$D:$D,Master!L$1),SUMIFS('GL Dump'!$E:$E,'GL Dump'!$H:$H,Master!$A28,'GL Dump'!$D:$D,Master!L$1,'GL Dump'!$C:$C,Master!$G$1))</f>
        <v>0</v>
      </c>
      <c r="M28" s="81">
        <f>IF($G$1="ALL",SUMIFS('GL Dump'!$E:$E,'GL Dump'!$H:$H,Master!$A28,'GL Dump'!$D:$D,Master!M$1),SUMIFS('GL Dump'!$E:$E,'GL Dump'!$H:$H,Master!$A28,'GL Dump'!$D:$D,Master!M$1,'GL Dump'!$C:$C,Master!$G$1))</f>
        <v>0</v>
      </c>
      <c r="N28" s="81">
        <f>IF($G$1="ALL",SUMIFS('GL Dump'!$E:$E,'GL Dump'!$H:$H,Master!$A28,'GL Dump'!$D:$D,Master!N$1),SUMIFS('GL Dump'!$E:$E,'GL Dump'!$H:$H,Master!$A28,'GL Dump'!$D:$D,Master!N$1,'GL Dump'!$C:$C,Master!$G$1))</f>
        <v>0</v>
      </c>
      <c r="O28" s="81">
        <f>IF($G$1="ALL",SUMIFS('GL Dump'!$E:$E,'GL Dump'!$H:$H,Master!$A28,'GL Dump'!$D:$D,Master!O$1),SUMIFS('GL Dump'!$E:$E,'GL Dump'!$H:$H,Master!$A28,'GL Dump'!$D:$D,Master!O$1,'GL Dump'!$C:$C,Master!$G$1))</f>
        <v>0</v>
      </c>
      <c r="P28" s="81">
        <f>IF($G$1="ALL",SUMIFS('GL Dump'!$E:$E,'GL Dump'!$H:$H,Master!$A28,'GL Dump'!$D:$D,Master!P$1),SUMIFS('GL Dump'!$E:$E,'GL Dump'!$H:$H,Master!$A28,'GL Dump'!$D:$D,Master!P$1,'GL Dump'!$C:$C,Master!$G$1))</f>
        <v>3573.46</v>
      </c>
      <c r="Q28" s="81">
        <f>IF($G$1="ALL",SUMIFS('GL Dump'!$E:$E,'GL Dump'!$H:$H,Master!$A28,'GL Dump'!$D:$D,Master!Q$1),SUMIFS('GL Dump'!$E:$E,'GL Dump'!$H:$H,Master!$A28,'GL Dump'!$D:$D,Master!Q$1,'GL Dump'!$C:$C,Master!$G$1))</f>
        <v>0</v>
      </c>
      <c r="R28" s="81">
        <f>IF($G$1="ALL",SUMIFS('GL Dump'!$E:$E,'GL Dump'!$H:$H,Master!$A28,'GL Dump'!$D:$D,Master!R$1),SUMIFS('GL Dump'!$E:$E,'GL Dump'!$H:$H,Master!$A28,'GL Dump'!$D:$D,Master!R$1,'GL Dump'!$C:$C,Master!$G$1))</f>
        <v>0</v>
      </c>
      <c r="S28" s="81">
        <f>IF($G$1="ALL",SUMIFS('GL Dump'!$E:$E,'GL Dump'!$H:$H,Master!$A28,'GL Dump'!$D:$D,Master!S$1),SUMIFS('GL Dump'!$E:$E,'GL Dump'!$H:$H,Master!$A28,'GL Dump'!$D:$D,Master!S$1,'GL Dump'!$C:$C,Master!$G$1))</f>
        <v>0</v>
      </c>
    </row>
    <row r="29" spans="1:20" x14ac:dyDescent="0.25">
      <c r="A29" s="424" t="s">
        <v>1862</v>
      </c>
      <c r="B29" s="425" t="str">
        <f t="shared" si="1"/>
        <v>Duty Free Security</v>
      </c>
      <c r="C29" s="426"/>
      <c r="D29" s="427">
        <v>0</v>
      </c>
      <c r="E29" s="428"/>
      <c r="F29" s="419"/>
      <c r="G29" s="420"/>
      <c r="H29" s="421">
        <f>E29+SUMIFS('GL Dump'!$E:$E,'GL Dump'!$H:$H,Master!A29,'GL Dump'!$D:$D,Master!$I$1)</f>
        <v>0</v>
      </c>
      <c r="I29" s="422">
        <f>IF($G$1="ALL",SUMIFS('GL Dump'!$E:$E,'GL Dump'!$H:$H,Master!$A29,'GL Dump'!$D:$D,Master!I$1),SUMIFS('GL Dump'!$E:$E,'GL Dump'!$H:$H,Master!$A29,'GL Dump'!$D:$D,Master!I$1,'GL Dump'!$C:$C,Master!$G$1))</f>
        <v>0</v>
      </c>
      <c r="J29" s="422">
        <f>IF($G$1="ALL",SUMIFS('GL Dump'!$E:$E,'GL Dump'!$H:$H,Master!$A29,'GL Dump'!$D:$D,Master!J$1),SUMIFS('GL Dump'!$E:$E,'GL Dump'!$H:$H,Master!$A29,'GL Dump'!$D:$D,Master!J$1,'GL Dump'!$C:$C,Master!$G$1))</f>
        <v>0</v>
      </c>
      <c r="K29" s="422">
        <f>IF($G$1="ALL",SUMIFS('GL Dump'!$E:$E,'GL Dump'!$H:$H,Master!$A29,'GL Dump'!$D:$D,Master!K$1),SUMIFS('GL Dump'!$E:$E,'GL Dump'!$H:$H,Master!$A29,'GL Dump'!$D:$D,Master!K$1,'GL Dump'!$C:$C,Master!$G$1))</f>
        <v>0</v>
      </c>
      <c r="L29" s="422">
        <f>IF($G$1="ALL",SUMIFS('GL Dump'!$E:$E,'GL Dump'!$H:$H,Master!$A29,'GL Dump'!$D:$D,Master!L$1),SUMIFS('GL Dump'!$E:$E,'GL Dump'!$H:$H,Master!$A29,'GL Dump'!$D:$D,Master!L$1,'GL Dump'!$C:$C,Master!$G$1))</f>
        <v>0</v>
      </c>
      <c r="M29" s="422">
        <f>IF($G$1="ALL",SUMIFS('GL Dump'!$E:$E,'GL Dump'!$H:$H,Master!$A29,'GL Dump'!$D:$D,Master!M$1),SUMIFS('GL Dump'!$E:$E,'GL Dump'!$H:$H,Master!$A29,'GL Dump'!$D:$D,Master!M$1,'GL Dump'!$C:$C,Master!$G$1))</f>
        <v>0</v>
      </c>
      <c r="N29" s="422">
        <f>IF($G$1="ALL",SUMIFS('GL Dump'!$E:$E,'GL Dump'!$H:$H,Master!$A29,'GL Dump'!$D:$D,Master!N$1),SUMIFS('GL Dump'!$E:$E,'GL Dump'!$H:$H,Master!$A29,'GL Dump'!$D:$D,Master!N$1,'GL Dump'!$C:$C,Master!$G$1))</f>
        <v>0</v>
      </c>
      <c r="O29" s="422">
        <f>IF($G$1="ALL",SUMIFS('GL Dump'!$E:$E,'GL Dump'!$H:$H,Master!$A29,'GL Dump'!$D:$D,Master!O$1),SUMIFS('GL Dump'!$E:$E,'GL Dump'!$H:$H,Master!$A29,'GL Dump'!$D:$D,Master!O$1,'GL Dump'!$C:$C,Master!$G$1))</f>
        <v>0</v>
      </c>
      <c r="P29" s="422">
        <f>IF($G$1="ALL",SUMIFS('GL Dump'!$E:$E,'GL Dump'!$H:$H,Master!$A29,'GL Dump'!$D:$D,Master!P$1),SUMIFS('GL Dump'!$E:$E,'GL Dump'!$H:$H,Master!$A29,'GL Dump'!$D:$D,Master!P$1,'GL Dump'!$C:$C,Master!$G$1))</f>
        <v>0</v>
      </c>
      <c r="Q29" s="422">
        <f>IF($G$1="ALL",SUMIFS('GL Dump'!$E:$E,'GL Dump'!$H:$H,Master!$A29,'GL Dump'!$D:$D,Master!Q$1),SUMIFS('GL Dump'!$E:$E,'GL Dump'!$H:$H,Master!$A29,'GL Dump'!$D:$D,Master!Q$1,'GL Dump'!$C:$C,Master!$G$1))</f>
        <v>0</v>
      </c>
      <c r="R29" s="422">
        <f>IF($G$1="ALL",SUMIFS('GL Dump'!$E:$E,'GL Dump'!$H:$H,Master!$A29,'GL Dump'!$D:$D,Master!R$1),SUMIFS('GL Dump'!$E:$E,'GL Dump'!$H:$H,Master!$A29,'GL Dump'!$D:$D,Master!R$1,'GL Dump'!$C:$C,Master!$G$1))</f>
        <v>0</v>
      </c>
      <c r="S29" s="422">
        <f>IF($G$1="ALL",SUMIFS('GL Dump'!$E:$E,'GL Dump'!$H:$H,Master!$A29,'GL Dump'!$D:$D,Master!S$1),SUMIFS('GL Dump'!$E:$E,'GL Dump'!$H:$H,Master!$A29,'GL Dump'!$D:$D,Master!S$1,'GL Dump'!$C:$C,Master!$G$1))</f>
        <v>0</v>
      </c>
      <c r="T29" s="423"/>
    </row>
    <row r="30" spans="1:20" x14ac:dyDescent="0.25">
      <c r="A30" s="137" t="s">
        <v>1863</v>
      </c>
      <c r="B30" s="258" t="str">
        <f t="shared" si="1"/>
        <v>Duty Free Security</v>
      </c>
      <c r="C30" s="179"/>
      <c r="D30" s="396">
        <v>0</v>
      </c>
      <c r="E30" s="178"/>
      <c r="F30" s="170"/>
      <c r="H30" s="397">
        <f>E30+SUMIFS('GL Dump'!$E:$E,'GL Dump'!$H:$H,Master!A30,'GL Dump'!$D:$D,Master!$I$1)</f>
        <v>0</v>
      </c>
      <c r="I30" s="81">
        <f>IF($G$1="ALL",SUMIFS('GL Dump'!$E:$E,'GL Dump'!$H:$H,Master!$A30,'GL Dump'!$D:$D,Master!I$1),SUMIFS('GL Dump'!$E:$E,'GL Dump'!$H:$H,Master!$A30,'GL Dump'!$D:$D,Master!I$1,'GL Dump'!$C:$C,Master!$G$1))</f>
        <v>0</v>
      </c>
      <c r="J30" s="81">
        <f>IF($G$1="ALL",SUMIFS('GL Dump'!$E:$E,'GL Dump'!$H:$H,Master!$A30,'GL Dump'!$D:$D,Master!J$1),SUMIFS('GL Dump'!$E:$E,'GL Dump'!$H:$H,Master!$A30,'GL Dump'!$D:$D,Master!J$1,'GL Dump'!$C:$C,Master!$G$1))</f>
        <v>0</v>
      </c>
      <c r="K30" s="81">
        <f>IF($G$1="ALL",SUMIFS('GL Dump'!$E:$E,'GL Dump'!$H:$H,Master!$A30,'GL Dump'!$D:$D,Master!K$1),SUMIFS('GL Dump'!$E:$E,'GL Dump'!$H:$H,Master!$A30,'GL Dump'!$D:$D,Master!K$1,'GL Dump'!$C:$C,Master!$G$1))</f>
        <v>0</v>
      </c>
      <c r="L30" s="81">
        <f>IF($G$1="ALL",SUMIFS('GL Dump'!$E:$E,'GL Dump'!$H:$H,Master!$A30,'GL Dump'!$D:$D,Master!L$1),SUMIFS('GL Dump'!$E:$E,'GL Dump'!$H:$H,Master!$A30,'GL Dump'!$D:$D,Master!L$1,'GL Dump'!$C:$C,Master!$G$1))</f>
        <v>0</v>
      </c>
      <c r="M30" s="81">
        <f>IF($G$1="ALL",SUMIFS('GL Dump'!$E:$E,'GL Dump'!$H:$H,Master!$A30,'GL Dump'!$D:$D,Master!M$1),SUMIFS('GL Dump'!$E:$E,'GL Dump'!$H:$H,Master!$A30,'GL Dump'!$D:$D,Master!M$1,'GL Dump'!$C:$C,Master!$G$1))</f>
        <v>0</v>
      </c>
      <c r="N30" s="81">
        <f>IF($G$1="ALL",SUMIFS('GL Dump'!$E:$E,'GL Dump'!$H:$H,Master!$A30,'GL Dump'!$D:$D,Master!N$1),SUMIFS('GL Dump'!$E:$E,'GL Dump'!$H:$H,Master!$A30,'GL Dump'!$D:$D,Master!N$1,'GL Dump'!$C:$C,Master!$G$1))</f>
        <v>0</v>
      </c>
      <c r="O30" s="81">
        <f>IF($G$1="ALL",SUMIFS('GL Dump'!$E:$E,'GL Dump'!$H:$H,Master!$A30,'GL Dump'!$D:$D,Master!O$1),SUMIFS('GL Dump'!$E:$E,'GL Dump'!$H:$H,Master!$A30,'GL Dump'!$D:$D,Master!O$1,'GL Dump'!$C:$C,Master!$G$1))</f>
        <v>0</v>
      </c>
      <c r="P30" s="81">
        <f>IF($G$1="ALL",SUMIFS('GL Dump'!$E:$E,'GL Dump'!$H:$H,Master!$A30,'GL Dump'!$D:$D,Master!P$1),SUMIFS('GL Dump'!$E:$E,'GL Dump'!$H:$H,Master!$A30,'GL Dump'!$D:$D,Master!P$1,'GL Dump'!$C:$C,Master!$G$1))</f>
        <v>0</v>
      </c>
      <c r="Q30" s="81">
        <f>IF($G$1="ALL",SUMIFS('GL Dump'!$E:$E,'GL Dump'!$H:$H,Master!$A30,'GL Dump'!$D:$D,Master!Q$1),SUMIFS('GL Dump'!$E:$E,'GL Dump'!$H:$H,Master!$A30,'GL Dump'!$D:$D,Master!Q$1,'GL Dump'!$C:$C,Master!$G$1))</f>
        <v>0</v>
      </c>
      <c r="R30" s="81">
        <f>IF($G$1="ALL",SUMIFS('GL Dump'!$E:$E,'GL Dump'!$H:$H,Master!$A30,'GL Dump'!$D:$D,Master!R$1),SUMIFS('GL Dump'!$E:$E,'GL Dump'!$H:$H,Master!$A30,'GL Dump'!$D:$D,Master!R$1,'GL Dump'!$C:$C,Master!$G$1))</f>
        <v>0</v>
      </c>
      <c r="S30" s="81">
        <f>IF($G$1="ALL",SUMIFS('GL Dump'!$E:$E,'GL Dump'!$H:$H,Master!$A30,'GL Dump'!$D:$D,Master!S$1),SUMIFS('GL Dump'!$E:$E,'GL Dump'!$H:$H,Master!$A30,'GL Dump'!$D:$D,Master!S$1,'GL Dump'!$C:$C,Master!$G$1))</f>
        <v>0</v>
      </c>
    </row>
    <row r="31" spans="1:20" x14ac:dyDescent="0.25">
      <c r="A31" s="424" t="s">
        <v>1864</v>
      </c>
      <c r="B31" s="425" t="str">
        <f t="shared" si="1"/>
        <v>Duty Free Security</v>
      </c>
      <c r="C31" s="426"/>
      <c r="D31" s="427">
        <v>0</v>
      </c>
      <c r="E31" s="428"/>
      <c r="F31" s="419"/>
      <c r="G31" s="420"/>
      <c r="H31" s="421">
        <f>E31+SUMIFS('GL Dump'!$E:$E,'GL Dump'!$H:$H,Master!A31,'GL Dump'!$D:$D,Master!$I$1)</f>
        <v>0</v>
      </c>
      <c r="I31" s="422">
        <f>IF($G$1="ALL",SUMIFS('GL Dump'!$E:$E,'GL Dump'!$H:$H,Master!$A31,'GL Dump'!$D:$D,Master!I$1),SUMIFS('GL Dump'!$E:$E,'GL Dump'!$H:$H,Master!$A31,'GL Dump'!$D:$D,Master!I$1,'GL Dump'!$C:$C,Master!$G$1))</f>
        <v>0</v>
      </c>
      <c r="J31" s="422">
        <f>IF($G$1="ALL",SUMIFS('GL Dump'!$E:$E,'GL Dump'!$H:$H,Master!$A31,'GL Dump'!$D:$D,Master!J$1),SUMIFS('GL Dump'!$E:$E,'GL Dump'!$H:$H,Master!$A31,'GL Dump'!$D:$D,Master!J$1,'GL Dump'!$C:$C,Master!$G$1))</f>
        <v>0</v>
      </c>
      <c r="K31" s="422">
        <f>IF($G$1="ALL",SUMIFS('GL Dump'!$E:$E,'GL Dump'!$H:$H,Master!$A31,'GL Dump'!$D:$D,Master!K$1),SUMIFS('GL Dump'!$E:$E,'GL Dump'!$H:$H,Master!$A31,'GL Dump'!$D:$D,Master!K$1,'GL Dump'!$C:$C,Master!$G$1))</f>
        <v>0</v>
      </c>
      <c r="L31" s="422">
        <f>IF($G$1="ALL",SUMIFS('GL Dump'!$E:$E,'GL Dump'!$H:$H,Master!$A31,'GL Dump'!$D:$D,Master!L$1),SUMIFS('GL Dump'!$E:$E,'GL Dump'!$H:$H,Master!$A31,'GL Dump'!$D:$D,Master!L$1,'GL Dump'!$C:$C,Master!$G$1))</f>
        <v>0</v>
      </c>
      <c r="M31" s="422">
        <f>IF($G$1="ALL",SUMIFS('GL Dump'!$E:$E,'GL Dump'!$H:$H,Master!$A31,'GL Dump'!$D:$D,Master!M$1),SUMIFS('GL Dump'!$E:$E,'GL Dump'!$H:$H,Master!$A31,'GL Dump'!$D:$D,Master!M$1,'GL Dump'!$C:$C,Master!$G$1))</f>
        <v>0</v>
      </c>
      <c r="N31" s="422">
        <f>IF($G$1="ALL",SUMIFS('GL Dump'!$E:$E,'GL Dump'!$H:$H,Master!$A31,'GL Dump'!$D:$D,Master!N$1),SUMIFS('GL Dump'!$E:$E,'GL Dump'!$H:$H,Master!$A31,'GL Dump'!$D:$D,Master!N$1,'GL Dump'!$C:$C,Master!$G$1))</f>
        <v>0</v>
      </c>
      <c r="O31" s="422">
        <f>IF($G$1="ALL",SUMIFS('GL Dump'!$E:$E,'GL Dump'!$H:$H,Master!$A31,'GL Dump'!$D:$D,Master!O$1),SUMIFS('GL Dump'!$E:$E,'GL Dump'!$H:$H,Master!$A31,'GL Dump'!$D:$D,Master!O$1,'GL Dump'!$C:$C,Master!$G$1))</f>
        <v>0</v>
      </c>
      <c r="P31" s="422">
        <f>IF($G$1="ALL",SUMIFS('GL Dump'!$E:$E,'GL Dump'!$H:$H,Master!$A31,'GL Dump'!$D:$D,Master!P$1),SUMIFS('GL Dump'!$E:$E,'GL Dump'!$H:$H,Master!$A31,'GL Dump'!$D:$D,Master!P$1,'GL Dump'!$C:$C,Master!$G$1))</f>
        <v>7350.0400000000009</v>
      </c>
      <c r="Q31" s="422">
        <f>IF($G$1="ALL",SUMIFS('GL Dump'!$E:$E,'GL Dump'!$H:$H,Master!$A31,'GL Dump'!$D:$D,Master!Q$1),SUMIFS('GL Dump'!$E:$E,'GL Dump'!$H:$H,Master!$A31,'GL Dump'!$D:$D,Master!Q$1,'GL Dump'!$C:$C,Master!$G$1))</f>
        <v>0</v>
      </c>
      <c r="R31" s="422">
        <f>IF($G$1="ALL",SUMIFS('GL Dump'!$E:$E,'GL Dump'!$H:$H,Master!$A31,'GL Dump'!$D:$D,Master!R$1),SUMIFS('GL Dump'!$E:$E,'GL Dump'!$H:$H,Master!$A31,'GL Dump'!$D:$D,Master!R$1,'GL Dump'!$C:$C,Master!$G$1))</f>
        <v>0</v>
      </c>
      <c r="S31" s="422">
        <f>IF($G$1="ALL",SUMIFS('GL Dump'!$E:$E,'GL Dump'!$H:$H,Master!$A31,'GL Dump'!$D:$D,Master!S$1),SUMIFS('GL Dump'!$E:$E,'GL Dump'!$H:$H,Master!$A31,'GL Dump'!$D:$D,Master!S$1,'GL Dump'!$C:$C,Master!$G$1))</f>
        <v>0</v>
      </c>
      <c r="T31" s="423"/>
    </row>
    <row r="32" spans="1:20" x14ac:dyDescent="0.25">
      <c r="A32" s="137" t="s">
        <v>1865</v>
      </c>
      <c r="B32" s="258" t="str">
        <f t="shared" si="1"/>
        <v>Duty Free Security</v>
      </c>
      <c r="C32" s="179"/>
      <c r="D32" s="396">
        <v>0</v>
      </c>
      <c r="E32" s="178"/>
      <c r="F32" s="170"/>
      <c r="H32" s="397">
        <f>E32+SUMIFS('GL Dump'!$E:$E,'GL Dump'!$H:$H,Master!A32,'GL Dump'!$D:$D,Master!$I$1)</f>
        <v>0</v>
      </c>
      <c r="I32" s="81">
        <f>IF($G$1="ALL",SUMIFS('GL Dump'!$E:$E,'GL Dump'!$H:$H,Master!$A32,'GL Dump'!$D:$D,Master!I$1),SUMIFS('GL Dump'!$E:$E,'GL Dump'!$H:$H,Master!$A32,'GL Dump'!$D:$D,Master!I$1,'GL Dump'!$C:$C,Master!$G$1))</f>
        <v>0</v>
      </c>
      <c r="J32" s="81">
        <f>IF($G$1="ALL",SUMIFS('GL Dump'!$E:$E,'GL Dump'!$H:$H,Master!$A32,'GL Dump'!$D:$D,Master!J$1),SUMIFS('GL Dump'!$E:$E,'GL Dump'!$H:$H,Master!$A32,'GL Dump'!$D:$D,Master!J$1,'GL Dump'!$C:$C,Master!$G$1))</f>
        <v>0</v>
      </c>
      <c r="K32" s="81">
        <f>IF($G$1="ALL",SUMIFS('GL Dump'!$E:$E,'GL Dump'!$H:$H,Master!$A32,'GL Dump'!$D:$D,Master!K$1),SUMIFS('GL Dump'!$E:$E,'GL Dump'!$H:$H,Master!$A32,'GL Dump'!$D:$D,Master!K$1,'GL Dump'!$C:$C,Master!$G$1))</f>
        <v>0</v>
      </c>
      <c r="L32" s="81">
        <f>IF($G$1="ALL",SUMIFS('GL Dump'!$E:$E,'GL Dump'!$H:$H,Master!$A32,'GL Dump'!$D:$D,Master!L$1),SUMIFS('GL Dump'!$E:$E,'GL Dump'!$H:$H,Master!$A32,'GL Dump'!$D:$D,Master!L$1,'GL Dump'!$C:$C,Master!$G$1))</f>
        <v>0</v>
      </c>
      <c r="M32" s="81">
        <f>IF($G$1="ALL",SUMIFS('GL Dump'!$E:$E,'GL Dump'!$H:$H,Master!$A32,'GL Dump'!$D:$D,Master!M$1),SUMIFS('GL Dump'!$E:$E,'GL Dump'!$H:$H,Master!$A32,'GL Dump'!$D:$D,Master!M$1,'GL Dump'!$C:$C,Master!$G$1))</f>
        <v>0</v>
      </c>
      <c r="N32" s="81">
        <f>IF($G$1="ALL",SUMIFS('GL Dump'!$E:$E,'GL Dump'!$H:$H,Master!$A32,'GL Dump'!$D:$D,Master!N$1),SUMIFS('GL Dump'!$E:$E,'GL Dump'!$H:$H,Master!$A32,'GL Dump'!$D:$D,Master!N$1,'GL Dump'!$C:$C,Master!$G$1))</f>
        <v>0</v>
      </c>
      <c r="O32" s="81">
        <f>IF($G$1="ALL",SUMIFS('GL Dump'!$E:$E,'GL Dump'!$H:$H,Master!$A32,'GL Dump'!$D:$D,Master!O$1),SUMIFS('GL Dump'!$E:$E,'GL Dump'!$H:$H,Master!$A32,'GL Dump'!$D:$D,Master!O$1,'GL Dump'!$C:$C,Master!$G$1))</f>
        <v>0</v>
      </c>
      <c r="P32" s="81">
        <f>IF($G$1="ALL",SUMIFS('GL Dump'!$E:$E,'GL Dump'!$H:$H,Master!$A32,'GL Dump'!$D:$D,Master!P$1),SUMIFS('GL Dump'!$E:$E,'GL Dump'!$H:$H,Master!$A32,'GL Dump'!$D:$D,Master!P$1,'GL Dump'!$C:$C,Master!$G$1))</f>
        <v>1683.1399999999999</v>
      </c>
      <c r="Q32" s="81">
        <f>IF($G$1="ALL",SUMIFS('GL Dump'!$E:$E,'GL Dump'!$H:$H,Master!$A32,'GL Dump'!$D:$D,Master!Q$1),SUMIFS('GL Dump'!$E:$E,'GL Dump'!$H:$H,Master!$A32,'GL Dump'!$D:$D,Master!Q$1,'GL Dump'!$C:$C,Master!$G$1))</f>
        <v>0</v>
      </c>
      <c r="R32" s="81">
        <f>IF($G$1="ALL",SUMIFS('GL Dump'!$E:$E,'GL Dump'!$H:$H,Master!$A32,'GL Dump'!$D:$D,Master!R$1),SUMIFS('GL Dump'!$E:$E,'GL Dump'!$H:$H,Master!$A32,'GL Dump'!$D:$D,Master!R$1,'GL Dump'!$C:$C,Master!$G$1))</f>
        <v>0</v>
      </c>
      <c r="S32" s="81">
        <f>IF($G$1="ALL",SUMIFS('GL Dump'!$E:$E,'GL Dump'!$H:$H,Master!$A32,'GL Dump'!$D:$D,Master!S$1),SUMIFS('GL Dump'!$E:$E,'GL Dump'!$H:$H,Master!$A32,'GL Dump'!$D:$D,Master!S$1,'GL Dump'!$C:$C,Master!$G$1))</f>
        <v>0</v>
      </c>
    </row>
    <row r="33" spans="1:20" x14ac:dyDescent="0.25">
      <c r="A33" s="424" t="s">
        <v>1866</v>
      </c>
      <c r="B33" s="425" t="str">
        <f>B32</f>
        <v>Duty Free Security</v>
      </c>
      <c r="C33" s="426"/>
      <c r="D33" s="427">
        <v>0</v>
      </c>
      <c r="E33" s="428"/>
      <c r="F33" s="419"/>
      <c r="G33" s="420"/>
      <c r="H33" s="421">
        <f>E33+SUMIFS('GL Dump'!$E:$E,'GL Dump'!$H:$H,Master!A33,'GL Dump'!$D:$D,Master!$I$1)</f>
        <v>0</v>
      </c>
      <c r="I33" s="422">
        <f>IF($G$1="ALL",SUMIFS('GL Dump'!$E:$E,'GL Dump'!$H:$H,Master!$A33,'GL Dump'!$D:$D,Master!I$1),SUMIFS('GL Dump'!$E:$E,'GL Dump'!$H:$H,Master!$A33,'GL Dump'!$D:$D,Master!I$1,'GL Dump'!$C:$C,Master!$G$1))</f>
        <v>0</v>
      </c>
      <c r="J33" s="422">
        <f>IF($G$1="ALL",SUMIFS('GL Dump'!$E:$E,'GL Dump'!$H:$H,Master!$A33,'GL Dump'!$D:$D,Master!J$1),SUMIFS('GL Dump'!$E:$E,'GL Dump'!$H:$H,Master!$A33,'GL Dump'!$D:$D,Master!J$1,'GL Dump'!$C:$C,Master!$G$1))</f>
        <v>0</v>
      </c>
      <c r="K33" s="422">
        <f>IF($G$1="ALL",SUMIFS('GL Dump'!$E:$E,'GL Dump'!$H:$H,Master!$A33,'GL Dump'!$D:$D,Master!K$1),SUMIFS('GL Dump'!$E:$E,'GL Dump'!$H:$H,Master!$A33,'GL Dump'!$D:$D,Master!K$1,'GL Dump'!$C:$C,Master!$G$1))</f>
        <v>0</v>
      </c>
      <c r="L33" s="422">
        <f>IF($G$1="ALL",SUMIFS('GL Dump'!$E:$E,'GL Dump'!$H:$H,Master!$A33,'GL Dump'!$D:$D,Master!L$1),SUMIFS('GL Dump'!$E:$E,'GL Dump'!$H:$H,Master!$A33,'GL Dump'!$D:$D,Master!L$1,'GL Dump'!$C:$C,Master!$G$1))</f>
        <v>0</v>
      </c>
      <c r="M33" s="422">
        <f>IF($G$1="ALL",SUMIFS('GL Dump'!$E:$E,'GL Dump'!$H:$H,Master!$A33,'GL Dump'!$D:$D,Master!M$1),SUMIFS('GL Dump'!$E:$E,'GL Dump'!$H:$H,Master!$A33,'GL Dump'!$D:$D,Master!M$1,'GL Dump'!$C:$C,Master!$G$1))</f>
        <v>0</v>
      </c>
      <c r="N33" s="422">
        <f>IF($G$1="ALL",SUMIFS('GL Dump'!$E:$E,'GL Dump'!$H:$H,Master!$A33,'GL Dump'!$D:$D,Master!N$1),SUMIFS('GL Dump'!$E:$E,'GL Dump'!$H:$H,Master!$A33,'GL Dump'!$D:$D,Master!N$1,'GL Dump'!$C:$C,Master!$G$1))</f>
        <v>0</v>
      </c>
      <c r="O33" s="422">
        <f>IF($G$1="ALL",SUMIFS('GL Dump'!$E:$E,'GL Dump'!$H:$H,Master!$A33,'GL Dump'!$D:$D,Master!O$1),SUMIFS('GL Dump'!$E:$E,'GL Dump'!$H:$H,Master!$A33,'GL Dump'!$D:$D,Master!O$1,'GL Dump'!$C:$C,Master!$G$1))</f>
        <v>0</v>
      </c>
      <c r="P33" s="422">
        <f>IF($G$1="ALL",SUMIFS('GL Dump'!$E:$E,'GL Dump'!$H:$H,Master!$A33,'GL Dump'!$D:$D,Master!P$1),SUMIFS('GL Dump'!$E:$E,'GL Dump'!$H:$H,Master!$A33,'GL Dump'!$D:$D,Master!P$1,'GL Dump'!$C:$C,Master!$G$1))</f>
        <v>1865.24</v>
      </c>
      <c r="Q33" s="422">
        <f>IF($G$1="ALL",SUMIFS('GL Dump'!$E:$E,'GL Dump'!$H:$H,Master!$A33,'GL Dump'!$D:$D,Master!Q$1),SUMIFS('GL Dump'!$E:$E,'GL Dump'!$H:$H,Master!$A33,'GL Dump'!$D:$D,Master!Q$1,'GL Dump'!$C:$C,Master!$G$1))</f>
        <v>0</v>
      </c>
      <c r="R33" s="422">
        <f>IF($G$1="ALL",SUMIFS('GL Dump'!$E:$E,'GL Dump'!$H:$H,Master!$A33,'GL Dump'!$D:$D,Master!R$1),SUMIFS('GL Dump'!$E:$E,'GL Dump'!$H:$H,Master!$A33,'GL Dump'!$D:$D,Master!R$1,'GL Dump'!$C:$C,Master!$G$1))</f>
        <v>0</v>
      </c>
      <c r="S33" s="422">
        <f>IF($G$1="ALL",SUMIFS('GL Dump'!$E:$E,'GL Dump'!$H:$H,Master!$A33,'GL Dump'!$D:$D,Master!S$1),SUMIFS('GL Dump'!$E:$E,'GL Dump'!$H:$H,Master!$A33,'GL Dump'!$D:$D,Master!S$1,'GL Dump'!$C:$C,Master!$G$1))</f>
        <v>0</v>
      </c>
      <c r="T33" s="423"/>
    </row>
    <row r="34" spans="1:20" x14ac:dyDescent="0.25">
      <c r="A34" s="137" t="s">
        <v>1858</v>
      </c>
      <c r="B34" s="258" t="str">
        <f t="shared" si="1"/>
        <v>Duty Free Security</v>
      </c>
      <c r="C34" s="179"/>
      <c r="D34" s="396">
        <v>0</v>
      </c>
      <c r="E34" s="178"/>
      <c r="F34" s="170"/>
      <c r="H34" s="397">
        <f>E34+SUMIFS('GL Dump'!$E:$E,'GL Dump'!$H:$H,Master!A34,'GL Dump'!$D:$D,Master!$I$1)</f>
        <v>0</v>
      </c>
      <c r="I34" s="81">
        <f>IF($G$1="ALL",SUMIFS('GL Dump'!$E:$E,'GL Dump'!$H:$H,Master!$A34,'GL Dump'!$D:$D,Master!I$1),SUMIFS('GL Dump'!$E:$E,'GL Dump'!$H:$H,Master!$A34,'GL Dump'!$D:$D,Master!I$1,'GL Dump'!$C:$C,Master!$G$1))</f>
        <v>0</v>
      </c>
      <c r="J34" s="81">
        <f>IF($G$1="ALL",SUMIFS('GL Dump'!$E:$E,'GL Dump'!$H:$H,Master!$A34,'GL Dump'!$D:$D,Master!J$1),SUMIFS('GL Dump'!$E:$E,'GL Dump'!$H:$H,Master!$A34,'GL Dump'!$D:$D,Master!J$1,'GL Dump'!$C:$C,Master!$G$1))</f>
        <v>0</v>
      </c>
      <c r="K34" s="81">
        <f>IF($G$1="ALL",SUMIFS('GL Dump'!$E:$E,'GL Dump'!$H:$H,Master!$A34,'GL Dump'!$D:$D,Master!K$1),SUMIFS('GL Dump'!$E:$E,'GL Dump'!$H:$H,Master!$A34,'GL Dump'!$D:$D,Master!K$1,'GL Dump'!$C:$C,Master!$G$1))</f>
        <v>0</v>
      </c>
      <c r="L34" s="81">
        <f>IF($G$1="ALL",SUMIFS('GL Dump'!$E:$E,'GL Dump'!$H:$H,Master!$A34,'GL Dump'!$D:$D,Master!L$1),SUMIFS('GL Dump'!$E:$E,'GL Dump'!$H:$H,Master!$A34,'GL Dump'!$D:$D,Master!L$1,'GL Dump'!$C:$C,Master!$G$1))</f>
        <v>0</v>
      </c>
      <c r="M34" s="81">
        <f>IF($G$1="ALL",SUMIFS('GL Dump'!$E:$E,'GL Dump'!$H:$H,Master!$A34,'GL Dump'!$D:$D,Master!M$1),SUMIFS('GL Dump'!$E:$E,'GL Dump'!$H:$H,Master!$A34,'GL Dump'!$D:$D,Master!M$1,'GL Dump'!$C:$C,Master!$G$1))</f>
        <v>0</v>
      </c>
      <c r="N34" s="81">
        <f>IF($G$1="ALL",SUMIFS('GL Dump'!$E:$E,'GL Dump'!$H:$H,Master!$A34,'GL Dump'!$D:$D,Master!N$1),SUMIFS('GL Dump'!$E:$E,'GL Dump'!$H:$H,Master!$A34,'GL Dump'!$D:$D,Master!N$1,'GL Dump'!$C:$C,Master!$G$1))</f>
        <v>0</v>
      </c>
      <c r="O34" s="81">
        <f>IF($G$1="ALL",SUMIFS('GL Dump'!$E:$E,'GL Dump'!$H:$H,Master!$A34,'GL Dump'!$D:$D,Master!O$1),SUMIFS('GL Dump'!$E:$E,'GL Dump'!$H:$H,Master!$A34,'GL Dump'!$D:$D,Master!O$1,'GL Dump'!$C:$C,Master!$G$1))</f>
        <v>0</v>
      </c>
      <c r="P34" s="81">
        <f>IF($G$1="ALL",SUMIFS('GL Dump'!$E:$E,'GL Dump'!$H:$H,Master!$A34,'GL Dump'!$D:$D,Master!P$1),SUMIFS('GL Dump'!$E:$E,'GL Dump'!$H:$H,Master!$A34,'GL Dump'!$D:$D,Master!P$1,'GL Dump'!$C:$C,Master!$G$1))</f>
        <v>0</v>
      </c>
      <c r="Q34" s="81">
        <f>IF($G$1="ALL",SUMIFS('GL Dump'!$E:$E,'GL Dump'!$H:$H,Master!$A34,'GL Dump'!$D:$D,Master!Q$1),SUMIFS('GL Dump'!$E:$E,'GL Dump'!$H:$H,Master!$A34,'GL Dump'!$D:$D,Master!Q$1,'GL Dump'!$C:$C,Master!$G$1))</f>
        <v>0</v>
      </c>
      <c r="R34" s="81">
        <f>IF($G$1="ALL",SUMIFS('GL Dump'!$E:$E,'GL Dump'!$H:$H,Master!$A34,'GL Dump'!$D:$D,Master!R$1),SUMIFS('GL Dump'!$E:$E,'GL Dump'!$H:$H,Master!$A34,'GL Dump'!$D:$D,Master!R$1,'GL Dump'!$C:$C,Master!$G$1))</f>
        <v>0</v>
      </c>
      <c r="S34" s="81">
        <f>IF($G$1="ALL",SUMIFS('GL Dump'!$E:$E,'GL Dump'!$H:$H,Master!$A34,'GL Dump'!$D:$D,Master!S$1),SUMIFS('GL Dump'!$E:$E,'GL Dump'!$H:$H,Master!$A34,'GL Dump'!$D:$D,Master!S$1,'GL Dump'!$C:$C,Master!$G$1))</f>
        <v>0</v>
      </c>
    </row>
    <row r="35" spans="1:20" x14ac:dyDescent="0.25">
      <c r="A35" s="424" t="s">
        <v>3059</v>
      </c>
      <c r="B35" s="425" t="str">
        <f t="shared" si="1"/>
        <v>Duty Free Security</v>
      </c>
      <c r="C35" s="426"/>
      <c r="D35" s="427">
        <v>0</v>
      </c>
      <c r="E35" s="428"/>
      <c r="F35" s="419"/>
      <c r="G35" s="420"/>
      <c r="H35" s="421">
        <f>E35+SUMIFS('GL Dump'!$E:$E,'GL Dump'!$H:$H,Master!A35,'GL Dump'!$D:$D,Master!$I$1)</f>
        <v>0</v>
      </c>
      <c r="I35" s="422">
        <f>IF($G$1="ALL",SUMIFS('GL Dump'!$E:$E,'GL Dump'!$H:$H,Master!$A35,'GL Dump'!$D:$D,Master!I$1),SUMIFS('GL Dump'!$E:$E,'GL Dump'!$H:$H,Master!$A35,'GL Dump'!$D:$D,Master!I$1,'GL Dump'!$C:$C,Master!$G$1))</f>
        <v>0</v>
      </c>
      <c r="J35" s="422">
        <f>IF($G$1="ALL",SUMIFS('GL Dump'!$E:$E,'GL Dump'!$H:$H,Master!$A35,'GL Dump'!$D:$D,Master!J$1),SUMIFS('GL Dump'!$E:$E,'GL Dump'!$H:$H,Master!$A35,'GL Dump'!$D:$D,Master!J$1,'GL Dump'!$C:$C,Master!$G$1))</f>
        <v>0</v>
      </c>
      <c r="K35" s="422">
        <f>IF($G$1="ALL",SUMIFS('GL Dump'!$E:$E,'GL Dump'!$H:$H,Master!$A35,'GL Dump'!$D:$D,Master!K$1),SUMIFS('GL Dump'!$E:$E,'GL Dump'!$H:$H,Master!$A35,'GL Dump'!$D:$D,Master!K$1,'GL Dump'!$C:$C,Master!$G$1))</f>
        <v>0</v>
      </c>
      <c r="L35" s="422">
        <f>IF($G$1="ALL",SUMIFS('GL Dump'!$E:$E,'GL Dump'!$H:$H,Master!$A35,'GL Dump'!$D:$D,Master!L$1),SUMIFS('GL Dump'!$E:$E,'GL Dump'!$H:$H,Master!$A35,'GL Dump'!$D:$D,Master!L$1,'GL Dump'!$C:$C,Master!$G$1))</f>
        <v>0</v>
      </c>
      <c r="M35" s="422">
        <f>IF($G$1="ALL",SUMIFS('GL Dump'!$E:$E,'GL Dump'!$H:$H,Master!$A35,'GL Dump'!$D:$D,Master!M$1),SUMIFS('GL Dump'!$E:$E,'GL Dump'!$H:$H,Master!$A35,'GL Dump'!$D:$D,Master!M$1,'GL Dump'!$C:$C,Master!$G$1))</f>
        <v>0</v>
      </c>
      <c r="N35" s="422">
        <f>IF($G$1="ALL",SUMIFS('GL Dump'!$E:$E,'GL Dump'!$H:$H,Master!$A35,'GL Dump'!$D:$D,Master!N$1),SUMIFS('GL Dump'!$E:$E,'GL Dump'!$H:$H,Master!$A35,'GL Dump'!$D:$D,Master!N$1,'GL Dump'!$C:$C,Master!$G$1))</f>
        <v>0</v>
      </c>
      <c r="O35" s="422">
        <f>IF($G$1="ALL",SUMIFS('GL Dump'!$E:$E,'GL Dump'!$H:$H,Master!$A35,'GL Dump'!$D:$D,Master!O$1),SUMIFS('GL Dump'!$E:$E,'GL Dump'!$H:$H,Master!$A35,'GL Dump'!$D:$D,Master!O$1,'GL Dump'!$C:$C,Master!$G$1))</f>
        <v>0</v>
      </c>
      <c r="P35" s="422">
        <f>IF($G$1="ALL",SUMIFS('GL Dump'!$E:$E,'GL Dump'!$H:$H,Master!$A35,'GL Dump'!$D:$D,Master!P$1),SUMIFS('GL Dump'!$E:$E,'GL Dump'!$H:$H,Master!$A35,'GL Dump'!$D:$D,Master!P$1,'GL Dump'!$C:$C,Master!$G$1))</f>
        <v>0</v>
      </c>
      <c r="Q35" s="422">
        <f>IF($G$1="ALL",SUMIFS('GL Dump'!$E:$E,'GL Dump'!$H:$H,Master!$A35,'GL Dump'!$D:$D,Master!Q$1),SUMIFS('GL Dump'!$E:$E,'GL Dump'!$H:$H,Master!$A35,'GL Dump'!$D:$D,Master!Q$1,'GL Dump'!$C:$C,Master!$G$1))</f>
        <v>0</v>
      </c>
      <c r="R35" s="422">
        <f>IF($G$1="ALL",SUMIFS('GL Dump'!$E:$E,'GL Dump'!$H:$H,Master!$A35,'GL Dump'!$D:$D,Master!R$1),SUMIFS('GL Dump'!$E:$E,'GL Dump'!$H:$H,Master!$A35,'GL Dump'!$D:$D,Master!R$1,'GL Dump'!$C:$C,Master!$G$1))</f>
        <v>0</v>
      </c>
      <c r="S35" s="422">
        <f>IF($G$1="ALL",SUMIFS('GL Dump'!$E:$E,'GL Dump'!$H:$H,Master!$A35,'GL Dump'!$D:$D,Master!S$1),SUMIFS('GL Dump'!$E:$E,'GL Dump'!$H:$H,Master!$A35,'GL Dump'!$D:$D,Master!S$1,'GL Dump'!$C:$C,Master!$G$1))</f>
        <v>0</v>
      </c>
      <c r="T35" s="423"/>
    </row>
    <row r="36" spans="1:20" x14ac:dyDescent="0.25">
      <c r="A36" s="137" t="s">
        <v>1859</v>
      </c>
      <c r="B36" s="258" t="str">
        <f t="shared" si="1"/>
        <v>Duty Free Security</v>
      </c>
      <c r="C36" s="179"/>
      <c r="D36" s="396">
        <v>0</v>
      </c>
      <c r="E36" s="178"/>
      <c r="F36" s="170"/>
      <c r="H36" s="397">
        <f>E36+SUMIFS('GL Dump'!$E:$E,'GL Dump'!$H:$H,Master!A36,'GL Dump'!$D:$D,Master!$I$1)</f>
        <v>0</v>
      </c>
      <c r="I36" s="81">
        <f>IF($G$1="ALL",SUMIFS('GL Dump'!$E:$E,'GL Dump'!$H:$H,Master!$A36,'GL Dump'!$D:$D,Master!I$1),SUMIFS('GL Dump'!$E:$E,'GL Dump'!$H:$H,Master!$A36,'GL Dump'!$D:$D,Master!I$1,'GL Dump'!$C:$C,Master!$G$1))</f>
        <v>0</v>
      </c>
      <c r="J36" s="81">
        <f>IF($G$1="ALL",SUMIFS('GL Dump'!$E:$E,'GL Dump'!$H:$H,Master!$A36,'GL Dump'!$D:$D,Master!J$1),SUMIFS('GL Dump'!$E:$E,'GL Dump'!$H:$H,Master!$A36,'GL Dump'!$D:$D,Master!J$1,'GL Dump'!$C:$C,Master!$G$1))</f>
        <v>0</v>
      </c>
      <c r="K36" s="81">
        <f>IF($G$1="ALL",SUMIFS('GL Dump'!$E:$E,'GL Dump'!$H:$H,Master!$A36,'GL Dump'!$D:$D,Master!K$1),SUMIFS('GL Dump'!$E:$E,'GL Dump'!$H:$H,Master!$A36,'GL Dump'!$D:$D,Master!K$1,'GL Dump'!$C:$C,Master!$G$1))</f>
        <v>0</v>
      </c>
      <c r="L36" s="81">
        <f>IF($G$1="ALL",SUMIFS('GL Dump'!$E:$E,'GL Dump'!$H:$H,Master!$A36,'GL Dump'!$D:$D,Master!L$1),SUMIFS('GL Dump'!$E:$E,'GL Dump'!$H:$H,Master!$A36,'GL Dump'!$D:$D,Master!L$1,'GL Dump'!$C:$C,Master!$G$1))</f>
        <v>0</v>
      </c>
      <c r="M36" s="81">
        <f>IF($G$1="ALL",SUMIFS('GL Dump'!$E:$E,'GL Dump'!$H:$H,Master!$A36,'GL Dump'!$D:$D,Master!M$1),SUMIFS('GL Dump'!$E:$E,'GL Dump'!$H:$H,Master!$A36,'GL Dump'!$D:$D,Master!M$1,'GL Dump'!$C:$C,Master!$G$1))</f>
        <v>0</v>
      </c>
      <c r="N36" s="81">
        <f>IF($G$1="ALL",SUMIFS('GL Dump'!$E:$E,'GL Dump'!$H:$H,Master!$A36,'GL Dump'!$D:$D,Master!N$1),SUMIFS('GL Dump'!$E:$E,'GL Dump'!$H:$H,Master!$A36,'GL Dump'!$D:$D,Master!N$1,'GL Dump'!$C:$C,Master!$G$1))</f>
        <v>0</v>
      </c>
      <c r="O36" s="81">
        <f>IF($G$1="ALL",SUMIFS('GL Dump'!$E:$E,'GL Dump'!$H:$H,Master!$A36,'GL Dump'!$D:$D,Master!O$1),SUMIFS('GL Dump'!$E:$E,'GL Dump'!$H:$H,Master!$A36,'GL Dump'!$D:$D,Master!O$1,'GL Dump'!$C:$C,Master!$G$1))</f>
        <v>0</v>
      </c>
      <c r="P36" s="81">
        <f>IF($G$1="ALL",SUMIFS('GL Dump'!$E:$E,'GL Dump'!$H:$H,Master!$A36,'GL Dump'!$D:$D,Master!P$1),SUMIFS('GL Dump'!$E:$E,'GL Dump'!$H:$H,Master!$A36,'GL Dump'!$D:$D,Master!P$1,'GL Dump'!$C:$C,Master!$G$1))</f>
        <v>0</v>
      </c>
      <c r="Q36" s="81">
        <f>IF($G$1="ALL",SUMIFS('GL Dump'!$E:$E,'GL Dump'!$H:$H,Master!$A36,'GL Dump'!$D:$D,Master!Q$1),SUMIFS('GL Dump'!$E:$E,'GL Dump'!$H:$H,Master!$A36,'GL Dump'!$D:$D,Master!Q$1,'GL Dump'!$C:$C,Master!$G$1))</f>
        <v>0</v>
      </c>
      <c r="R36" s="81">
        <f>IF($G$1="ALL",SUMIFS('GL Dump'!$E:$E,'GL Dump'!$H:$H,Master!$A36,'GL Dump'!$D:$D,Master!R$1),SUMIFS('GL Dump'!$E:$E,'GL Dump'!$H:$H,Master!$A36,'GL Dump'!$D:$D,Master!R$1,'GL Dump'!$C:$C,Master!$G$1))</f>
        <v>0</v>
      </c>
      <c r="S36" s="81">
        <f>IF($G$1="ALL",SUMIFS('GL Dump'!$E:$E,'GL Dump'!$H:$H,Master!$A36,'GL Dump'!$D:$D,Master!S$1),SUMIFS('GL Dump'!$E:$E,'GL Dump'!$H:$H,Master!$A36,'GL Dump'!$D:$D,Master!S$1,'GL Dump'!$C:$C,Master!$G$1))</f>
        <v>0</v>
      </c>
    </row>
    <row r="37" spans="1:20" x14ac:dyDescent="0.25">
      <c r="A37" s="429"/>
      <c r="B37" s="430"/>
      <c r="C37" s="426"/>
      <c r="D37" s="427">
        <v>0</v>
      </c>
      <c r="E37" s="428"/>
      <c r="F37" s="431"/>
      <c r="G37" s="420"/>
      <c r="H37" s="421"/>
      <c r="I37" s="422"/>
      <c r="J37" s="422"/>
      <c r="K37" s="422"/>
      <c r="L37" s="422"/>
      <c r="M37" s="422"/>
      <c r="N37" s="422"/>
      <c r="O37" s="422"/>
      <c r="P37" s="422"/>
      <c r="Q37" s="422"/>
      <c r="R37" s="422"/>
      <c r="S37" s="422"/>
      <c r="T37" s="423"/>
    </row>
    <row r="38" spans="1:20" ht="15.75" thickBot="1" x14ac:dyDescent="0.3">
      <c r="A38" s="36"/>
      <c r="B38" s="255" t="s">
        <v>772</v>
      </c>
      <c r="C38" s="37"/>
      <c r="D38" s="37"/>
      <c r="E38" s="132">
        <f>SUM(E14:E37)</f>
        <v>0</v>
      </c>
      <c r="F38" s="275"/>
      <c r="H38" s="397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</row>
    <row r="39" spans="1:20" ht="15.75" thickTop="1" x14ac:dyDescent="0.25">
      <c r="A39" s="126">
        <v>3040</v>
      </c>
      <c r="B39" s="256" t="s">
        <v>877</v>
      </c>
      <c r="C39" s="127"/>
      <c r="D39" s="131"/>
      <c r="E39" s="130"/>
      <c r="F39" s="301"/>
      <c r="G39" s="373"/>
      <c r="H39" s="398"/>
      <c r="I39" s="399"/>
      <c r="J39" s="399"/>
      <c r="K39" s="399"/>
      <c r="L39" s="399"/>
      <c r="M39" s="399"/>
      <c r="N39" s="399"/>
      <c r="O39" s="399"/>
      <c r="P39" s="399"/>
      <c r="Q39" s="399"/>
      <c r="R39" s="399"/>
      <c r="S39" s="399"/>
      <c r="T39" s="374"/>
    </row>
    <row r="40" spans="1:20" x14ac:dyDescent="0.25">
      <c r="A40" s="28" t="s">
        <v>1782</v>
      </c>
      <c r="B40" s="259" t="s">
        <v>3155</v>
      </c>
      <c r="C40" s="411">
        <v>1</v>
      </c>
      <c r="D40" s="40">
        <v>2042</v>
      </c>
      <c r="E40" s="34">
        <f>D40*C40</f>
        <v>2042</v>
      </c>
      <c r="F40" s="276">
        <v>44317</v>
      </c>
      <c r="H40" s="397">
        <f>E40+SUMIFS('GL Dump'!$E:$E,'GL Dump'!$H:$H,Master!A40,'GL Dump'!$D:$D,Master!$I$1)</f>
        <v>2042</v>
      </c>
      <c r="I40" s="81">
        <f>IF($G$1="ALL",SUMIFS('GL Dump'!$E:$E,'GL Dump'!$H:$H,Master!$A40,'GL Dump'!$D:$D,Master!I$1),SUMIFS('GL Dump'!$E:$E,'GL Dump'!$H:$H,Master!$A40,'GL Dump'!$D:$D,Master!I$1,'GL Dump'!$C:$C,Master!$G$1))</f>
        <v>0</v>
      </c>
      <c r="J40" s="81">
        <f>IF($G$1="ALL",SUMIFS('GL Dump'!$E:$E,'GL Dump'!$H:$H,Master!$A40,'GL Dump'!$D:$D,Master!J$1),SUMIFS('GL Dump'!$E:$E,'GL Dump'!$H:$H,Master!$A40,'GL Dump'!$D:$D,Master!J$1,'GL Dump'!$C:$C,Master!$G$1))</f>
        <v>14276.93</v>
      </c>
      <c r="K40" s="81">
        <f>IF($G$1="ALL",SUMIFS('GL Dump'!$E:$E,'GL Dump'!$H:$H,Master!$A40,'GL Dump'!$D:$D,Master!K$1),SUMIFS('GL Dump'!$E:$E,'GL Dump'!$H:$H,Master!$A40,'GL Dump'!$D:$D,Master!K$1,'GL Dump'!$C:$C,Master!$G$1))</f>
        <v>1020</v>
      </c>
      <c r="L40" s="81">
        <f>IF($G$1="ALL",SUMIFS('GL Dump'!$E:$E,'GL Dump'!$H:$H,Master!$A40,'GL Dump'!$D:$D,Master!L$1),SUMIFS('GL Dump'!$E:$E,'GL Dump'!$H:$H,Master!$A40,'GL Dump'!$D:$D,Master!L$1,'GL Dump'!$C:$C,Master!$G$1))</f>
        <v>5120</v>
      </c>
      <c r="M40" s="81">
        <f>IF($G$1="ALL",SUMIFS('GL Dump'!$E:$E,'GL Dump'!$H:$H,Master!$A40,'GL Dump'!$D:$D,Master!M$1),SUMIFS('GL Dump'!$E:$E,'GL Dump'!$H:$H,Master!$A40,'GL Dump'!$D:$D,Master!M$1,'GL Dump'!$C:$C,Master!$G$1))</f>
        <v>865</v>
      </c>
      <c r="N40" s="81">
        <f>IF($G$1="ALL",SUMIFS('GL Dump'!$E:$E,'GL Dump'!$H:$H,Master!$A40,'GL Dump'!$D:$D,Master!N$1),SUMIFS('GL Dump'!$E:$E,'GL Dump'!$H:$H,Master!$A40,'GL Dump'!$D:$D,Master!N$1,'GL Dump'!$C:$C,Master!$G$1))</f>
        <v>500</v>
      </c>
      <c r="O40" s="81">
        <f>IF($G$1="ALL",SUMIFS('GL Dump'!$E:$E,'GL Dump'!$H:$H,Master!$A40,'GL Dump'!$D:$D,Master!O$1),SUMIFS('GL Dump'!$E:$E,'GL Dump'!$H:$H,Master!$A40,'GL Dump'!$D:$D,Master!O$1,'GL Dump'!$C:$C,Master!$G$1))</f>
        <v>4813.33</v>
      </c>
      <c r="P40" s="81">
        <f>IF($G$1="ALL",SUMIFS('GL Dump'!$E:$E,'GL Dump'!$H:$H,Master!$A40,'GL Dump'!$D:$D,Master!P$1),SUMIFS('GL Dump'!$E:$E,'GL Dump'!$H:$H,Master!$A40,'GL Dump'!$D:$D,Master!P$1,'GL Dump'!$C:$C,Master!$G$1))</f>
        <v>3450</v>
      </c>
      <c r="Q40" s="81">
        <f>IF($G$1="ALL",SUMIFS('GL Dump'!$E:$E,'GL Dump'!$H:$H,Master!$A40,'GL Dump'!$D:$D,Master!Q$1),SUMIFS('GL Dump'!$E:$E,'GL Dump'!$H:$H,Master!$A40,'GL Dump'!$D:$D,Master!Q$1,'GL Dump'!$C:$C,Master!$G$1))</f>
        <v>4522.67</v>
      </c>
      <c r="R40" s="81">
        <f>IF($G$1="ALL",SUMIFS('GL Dump'!$E:$E,'GL Dump'!$H:$H,Master!$A40,'GL Dump'!$D:$D,Master!R$1),SUMIFS('GL Dump'!$E:$E,'GL Dump'!$H:$H,Master!$A40,'GL Dump'!$D:$D,Master!R$1,'GL Dump'!$C:$C,Master!$G$1))</f>
        <v>1574.33</v>
      </c>
      <c r="S40" s="81">
        <f>IF($G$1="ALL",SUMIFS('GL Dump'!$E:$E,'GL Dump'!$H:$H,Master!$A40,'GL Dump'!$D:$D,Master!S$1),SUMIFS('GL Dump'!$E:$E,'GL Dump'!$H:$H,Master!$A40,'GL Dump'!$D:$D,Master!S$1,'GL Dump'!$C:$C,Master!$G$1))</f>
        <v>100</v>
      </c>
    </row>
    <row r="41" spans="1:20" s="176" customFormat="1" x14ac:dyDescent="0.25">
      <c r="A41" s="120"/>
      <c r="B41" s="480" t="s">
        <v>1834</v>
      </c>
      <c r="C41" s="481">
        <v>0</v>
      </c>
      <c r="D41" s="142">
        <v>13133</v>
      </c>
      <c r="E41" s="104"/>
      <c r="F41" s="276" t="s">
        <v>3160</v>
      </c>
      <c r="G41" s="272"/>
      <c r="H41" s="397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</row>
    <row r="42" spans="1:20" x14ac:dyDescent="0.25">
      <c r="A42" s="28"/>
      <c r="B42" s="251"/>
      <c r="C42" s="32"/>
      <c r="D42" s="40">
        <v>0</v>
      </c>
      <c r="E42" s="34">
        <f>C42*D42</f>
        <v>0</v>
      </c>
      <c r="F42" s="273"/>
      <c r="H42" s="397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</row>
    <row r="43" spans="1:20" ht="15.75" thickBot="1" x14ac:dyDescent="0.3">
      <c r="A43" s="31"/>
      <c r="B43" s="255" t="s">
        <v>772</v>
      </c>
      <c r="C43" s="37"/>
      <c r="D43" s="42"/>
      <c r="E43" s="132">
        <f>SUM(E40:E42)</f>
        <v>2042</v>
      </c>
      <c r="F43" s="274"/>
      <c r="H43" s="397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</row>
    <row r="44" spans="1:20" ht="15.75" thickTop="1" x14ac:dyDescent="0.25">
      <c r="A44" s="126">
        <v>3076</v>
      </c>
      <c r="B44" s="256" t="s">
        <v>874</v>
      </c>
      <c r="C44" s="127"/>
      <c r="D44" s="131"/>
      <c r="E44" s="130"/>
      <c r="F44" s="375"/>
      <c r="G44" s="373"/>
      <c r="H44" s="398"/>
      <c r="I44" s="399"/>
      <c r="J44" s="399"/>
      <c r="K44" s="399"/>
      <c r="L44" s="399"/>
      <c r="M44" s="399"/>
      <c r="N44" s="399"/>
      <c r="O44" s="399"/>
      <c r="P44" s="399"/>
      <c r="Q44" s="399"/>
      <c r="R44" s="399"/>
      <c r="S44" s="399"/>
      <c r="T44" s="374"/>
    </row>
    <row r="45" spans="1:20" x14ac:dyDescent="0.25">
      <c r="A45" s="28" t="s">
        <v>1870</v>
      </c>
      <c r="B45" s="251" t="s">
        <v>1108</v>
      </c>
      <c r="C45" s="33">
        <v>0</v>
      </c>
      <c r="D45" s="40">
        <v>225</v>
      </c>
      <c r="E45" s="34">
        <f>C45*D45</f>
        <v>0</v>
      </c>
      <c r="F45" s="277" t="s">
        <v>917</v>
      </c>
      <c r="H45" s="397">
        <f>E45+SUMIFS('GL Dump'!$E:$E,'GL Dump'!$H:$H,Master!A45,'GL Dump'!$D:$D,Master!$I$1)</f>
        <v>0</v>
      </c>
      <c r="I45" s="81">
        <f>IF($G$1="ALL",SUMIFS('GL Dump'!$E:$E,'GL Dump'!$H:$H,Master!$A45,'GL Dump'!$D:$D,Master!I$1),SUMIFS('GL Dump'!$E:$E,'GL Dump'!$H:$H,Master!$A45,'GL Dump'!$D:$D,Master!I$1,'GL Dump'!$C:$C,Master!$G$1))</f>
        <v>0</v>
      </c>
      <c r="J45" s="81">
        <f>IF($G$1="ALL",SUMIFS('GL Dump'!$E:$E,'GL Dump'!$H:$H,Master!$A45,'GL Dump'!$D:$D,Master!J$1),SUMIFS('GL Dump'!$E:$E,'GL Dump'!$H:$H,Master!$A45,'GL Dump'!$D:$D,Master!J$1,'GL Dump'!$C:$C,Master!$G$1))</f>
        <v>0</v>
      </c>
      <c r="K45" s="81">
        <f>IF($G$1="ALL",SUMIFS('GL Dump'!$E:$E,'GL Dump'!$H:$H,Master!$A45,'GL Dump'!$D:$D,Master!K$1),SUMIFS('GL Dump'!$E:$E,'GL Dump'!$H:$H,Master!$A45,'GL Dump'!$D:$D,Master!K$1,'GL Dump'!$C:$C,Master!$G$1))</f>
        <v>0</v>
      </c>
      <c r="L45" s="81">
        <f>IF($G$1="ALL",SUMIFS('GL Dump'!$E:$E,'GL Dump'!$H:$H,Master!$A45,'GL Dump'!$D:$D,Master!L$1),SUMIFS('GL Dump'!$E:$E,'GL Dump'!$H:$H,Master!$A45,'GL Dump'!$D:$D,Master!L$1,'GL Dump'!$C:$C,Master!$G$1))</f>
        <v>0</v>
      </c>
      <c r="M45" s="81">
        <f>IF($G$1="ALL",SUMIFS('GL Dump'!$E:$E,'GL Dump'!$H:$H,Master!$A45,'GL Dump'!$D:$D,Master!M$1),SUMIFS('GL Dump'!$E:$E,'GL Dump'!$H:$H,Master!$A45,'GL Dump'!$D:$D,Master!M$1,'GL Dump'!$C:$C,Master!$G$1))</f>
        <v>0</v>
      </c>
      <c r="N45" s="81">
        <f>IF($G$1="ALL",SUMIFS('GL Dump'!$E:$E,'GL Dump'!$H:$H,Master!$A45,'GL Dump'!$D:$D,Master!N$1),SUMIFS('GL Dump'!$E:$E,'GL Dump'!$H:$H,Master!$A45,'GL Dump'!$D:$D,Master!N$1,'GL Dump'!$C:$C,Master!$G$1))</f>
        <v>0</v>
      </c>
      <c r="O45" s="81">
        <f>IF($G$1="ALL",SUMIFS('GL Dump'!$E:$E,'GL Dump'!$H:$H,Master!$A45,'GL Dump'!$D:$D,Master!O$1),SUMIFS('GL Dump'!$E:$E,'GL Dump'!$H:$H,Master!$A45,'GL Dump'!$D:$D,Master!O$1,'GL Dump'!$C:$C,Master!$G$1))</f>
        <v>0</v>
      </c>
      <c r="P45" s="81">
        <f>IF($G$1="ALL",SUMIFS('GL Dump'!$E:$E,'GL Dump'!$H:$H,Master!$A45,'GL Dump'!$D:$D,Master!P$1),SUMIFS('GL Dump'!$E:$E,'GL Dump'!$H:$H,Master!$A45,'GL Dump'!$D:$D,Master!P$1,'GL Dump'!$C:$C,Master!$G$1))</f>
        <v>0</v>
      </c>
      <c r="Q45" s="81">
        <f>IF($G$1="ALL",SUMIFS('GL Dump'!$E:$E,'GL Dump'!$H:$H,Master!$A45,'GL Dump'!$D:$D,Master!Q$1),SUMIFS('GL Dump'!$E:$E,'GL Dump'!$H:$H,Master!$A45,'GL Dump'!$D:$D,Master!Q$1,'GL Dump'!$C:$C,Master!$G$1))</f>
        <v>0</v>
      </c>
      <c r="R45" s="81">
        <f>IF($G$1="ALL",SUMIFS('GL Dump'!$E:$E,'GL Dump'!$H:$H,Master!$A45,'GL Dump'!$D:$D,Master!R$1),SUMIFS('GL Dump'!$E:$E,'GL Dump'!$H:$H,Master!$A45,'GL Dump'!$D:$D,Master!R$1,'GL Dump'!$C:$C,Master!$G$1))</f>
        <v>0</v>
      </c>
      <c r="S45" s="81">
        <f>IF($G$1="ALL",SUMIFS('GL Dump'!$E:$E,'GL Dump'!$H:$H,Master!$A45,'GL Dump'!$D:$D,Master!S$1),SUMIFS('GL Dump'!$E:$E,'GL Dump'!$H:$H,Master!$A45,'GL Dump'!$D:$D,Master!S$1,'GL Dump'!$C:$C,Master!$G$1))</f>
        <v>0</v>
      </c>
    </row>
    <row r="46" spans="1:20" x14ac:dyDescent="0.25">
      <c r="A46" s="432" t="s">
        <v>1874</v>
      </c>
      <c r="B46" s="433" t="s">
        <v>1109</v>
      </c>
      <c r="C46" s="434">
        <v>0</v>
      </c>
      <c r="D46" s="435">
        <v>120</v>
      </c>
      <c r="E46" s="436">
        <f t="shared" ref="E46:E51" si="2">C46*D46</f>
        <v>0</v>
      </c>
      <c r="F46" s="437" t="s">
        <v>917</v>
      </c>
      <c r="G46" s="420"/>
      <c r="H46" s="421">
        <f>E46+SUMIFS('GL Dump'!$E:$E,'GL Dump'!$H:$H,Master!A46,'GL Dump'!$D:$D,Master!$I$1)</f>
        <v>0</v>
      </c>
      <c r="I46" s="422">
        <f>IF($G$1="ALL",SUMIFS('GL Dump'!$E:$E,'GL Dump'!$H:$H,Master!$A46,'GL Dump'!$D:$D,Master!I$1),SUMIFS('GL Dump'!$E:$E,'GL Dump'!$H:$H,Master!$A46,'GL Dump'!$D:$D,Master!I$1,'GL Dump'!$C:$C,Master!$G$1))</f>
        <v>0</v>
      </c>
      <c r="J46" s="422">
        <f>IF($G$1="ALL",SUMIFS('GL Dump'!$E:$E,'GL Dump'!$H:$H,Master!$A46,'GL Dump'!$D:$D,Master!J$1),SUMIFS('GL Dump'!$E:$E,'GL Dump'!$H:$H,Master!$A46,'GL Dump'!$D:$D,Master!J$1,'GL Dump'!$C:$C,Master!$G$1))</f>
        <v>0</v>
      </c>
      <c r="K46" s="422">
        <f>IF($G$1="ALL",SUMIFS('GL Dump'!$E:$E,'GL Dump'!$H:$H,Master!$A46,'GL Dump'!$D:$D,Master!K$1),SUMIFS('GL Dump'!$E:$E,'GL Dump'!$H:$H,Master!$A46,'GL Dump'!$D:$D,Master!K$1,'GL Dump'!$C:$C,Master!$G$1))</f>
        <v>0</v>
      </c>
      <c r="L46" s="422">
        <f>IF($G$1="ALL",SUMIFS('GL Dump'!$E:$E,'GL Dump'!$H:$H,Master!$A46,'GL Dump'!$D:$D,Master!L$1),SUMIFS('GL Dump'!$E:$E,'GL Dump'!$H:$H,Master!$A46,'GL Dump'!$D:$D,Master!L$1,'GL Dump'!$C:$C,Master!$G$1))</f>
        <v>0</v>
      </c>
      <c r="M46" s="422">
        <f>IF($G$1="ALL",SUMIFS('GL Dump'!$E:$E,'GL Dump'!$H:$H,Master!$A46,'GL Dump'!$D:$D,Master!M$1),SUMIFS('GL Dump'!$E:$E,'GL Dump'!$H:$H,Master!$A46,'GL Dump'!$D:$D,Master!M$1,'GL Dump'!$C:$C,Master!$G$1))</f>
        <v>0</v>
      </c>
      <c r="N46" s="422">
        <f>IF($G$1="ALL",SUMIFS('GL Dump'!$E:$E,'GL Dump'!$H:$H,Master!$A46,'GL Dump'!$D:$D,Master!N$1),SUMIFS('GL Dump'!$E:$E,'GL Dump'!$H:$H,Master!$A46,'GL Dump'!$D:$D,Master!N$1,'GL Dump'!$C:$C,Master!$G$1))</f>
        <v>0</v>
      </c>
      <c r="O46" s="422">
        <f>IF($G$1="ALL",SUMIFS('GL Dump'!$E:$E,'GL Dump'!$H:$H,Master!$A46,'GL Dump'!$D:$D,Master!O$1),SUMIFS('GL Dump'!$E:$E,'GL Dump'!$H:$H,Master!$A46,'GL Dump'!$D:$D,Master!O$1,'GL Dump'!$C:$C,Master!$G$1))</f>
        <v>0</v>
      </c>
      <c r="P46" s="422">
        <f>IF($G$1="ALL",SUMIFS('GL Dump'!$E:$E,'GL Dump'!$H:$H,Master!$A46,'GL Dump'!$D:$D,Master!P$1),SUMIFS('GL Dump'!$E:$E,'GL Dump'!$H:$H,Master!$A46,'GL Dump'!$D:$D,Master!P$1,'GL Dump'!$C:$C,Master!$G$1))</f>
        <v>0</v>
      </c>
      <c r="Q46" s="422">
        <f>IF($G$1="ALL",SUMIFS('GL Dump'!$E:$E,'GL Dump'!$H:$H,Master!$A46,'GL Dump'!$D:$D,Master!Q$1),SUMIFS('GL Dump'!$E:$E,'GL Dump'!$H:$H,Master!$A46,'GL Dump'!$D:$D,Master!Q$1,'GL Dump'!$C:$C,Master!$G$1))</f>
        <v>0</v>
      </c>
      <c r="R46" s="422">
        <f>IF($G$1="ALL",SUMIFS('GL Dump'!$E:$E,'GL Dump'!$H:$H,Master!$A46,'GL Dump'!$D:$D,Master!R$1),SUMIFS('GL Dump'!$E:$E,'GL Dump'!$H:$H,Master!$A46,'GL Dump'!$D:$D,Master!R$1,'GL Dump'!$C:$C,Master!$G$1))</f>
        <v>0</v>
      </c>
      <c r="S46" s="422">
        <f>IF($G$1="ALL",SUMIFS('GL Dump'!$E:$E,'GL Dump'!$H:$H,Master!$A46,'GL Dump'!$D:$D,Master!S$1),SUMIFS('GL Dump'!$E:$E,'GL Dump'!$H:$H,Master!$A46,'GL Dump'!$D:$D,Master!S$1,'GL Dump'!$C:$C,Master!$G$1))</f>
        <v>0</v>
      </c>
      <c r="T46" s="423"/>
    </row>
    <row r="47" spans="1:20" x14ac:dyDescent="0.25">
      <c r="A47" s="41" t="s">
        <v>3060</v>
      </c>
      <c r="B47" s="251" t="s">
        <v>895</v>
      </c>
      <c r="C47" s="103">
        <v>0</v>
      </c>
      <c r="D47" s="142">
        <v>120</v>
      </c>
      <c r="E47" s="104">
        <f>C47*D47</f>
        <v>0</v>
      </c>
      <c r="F47" s="277" t="s">
        <v>917</v>
      </c>
      <c r="H47" s="397">
        <f>E47+SUMIFS('GL Dump'!$E:$E,'GL Dump'!$H:$H,Master!A47,'GL Dump'!$D:$D,Master!$I$1)</f>
        <v>0</v>
      </c>
      <c r="I47" s="81">
        <f>IF($G$1="ALL",SUMIFS('GL Dump'!$E:$E,'GL Dump'!$H:$H,Master!$A47,'GL Dump'!$D:$D,Master!I$1),SUMIFS('GL Dump'!$E:$E,'GL Dump'!$H:$H,Master!$A47,'GL Dump'!$D:$D,Master!I$1,'GL Dump'!$C:$C,Master!$G$1))</f>
        <v>0</v>
      </c>
      <c r="J47" s="81">
        <f>IF($G$1="ALL",SUMIFS('GL Dump'!$E:$E,'GL Dump'!$H:$H,Master!$A47,'GL Dump'!$D:$D,Master!J$1),SUMIFS('GL Dump'!$E:$E,'GL Dump'!$H:$H,Master!$A47,'GL Dump'!$D:$D,Master!J$1,'GL Dump'!$C:$C,Master!$G$1))</f>
        <v>0</v>
      </c>
      <c r="K47" s="81">
        <f>IF($G$1="ALL",SUMIFS('GL Dump'!$E:$E,'GL Dump'!$H:$H,Master!$A47,'GL Dump'!$D:$D,Master!K$1),SUMIFS('GL Dump'!$E:$E,'GL Dump'!$H:$H,Master!$A47,'GL Dump'!$D:$D,Master!K$1,'GL Dump'!$C:$C,Master!$G$1))</f>
        <v>0</v>
      </c>
      <c r="L47" s="81">
        <f>IF($G$1="ALL",SUMIFS('GL Dump'!$E:$E,'GL Dump'!$H:$H,Master!$A47,'GL Dump'!$D:$D,Master!L$1),SUMIFS('GL Dump'!$E:$E,'GL Dump'!$H:$H,Master!$A47,'GL Dump'!$D:$D,Master!L$1,'GL Dump'!$C:$C,Master!$G$1))</f>
        <v>0</v>
      </c>
      <c r="M47" s="81">
        <f>IF($G$1="ALL",SUMIFS('GL Dump'!$E:$E,'GL Dump'!$H:$H,Master!$A47,'GL Dump'!$D:$D,Master!M$1),SUMIFS('GL Dump'!$E:$E,'GL Dump'!$H:$H,Master!$A47,'GL Dump'!$D:$D,Master!M$1,'GL Dump'!$C:$C,Master!$G$1))</f>
        <v>0</v>
      </c>
      <c r="N47" s="81">
        <f>IF($G$1="ALL",SUMIFS('GL Dump'!$E:$E,'GL Dump'!$H:$H,Master!$A47,'GL Dump'!$D:$D,Master!N$1),SUMIFS('GL Dump'!$E:$E,'GL Dump'!$H:$H,Master!$A47,'GL Dump'!$D:$D,Master!N$1,'GL Dump'!$C:$C,Master!$G$1))</f>
        <v>0</v>
      </c>
      <c r="O47" s="81">
        <f>IF($G$1="ALL",SUMIFS('GL Dump'!$E:$E,'GL Dump'!$H:$H,Master!$A47,'GL Dump'!$D:$D,Master!O$1),SUMIFS('GL Dump'!$E:$E,'GL Dump'!$H:$H,Master!$A47,'GL Dump'!$D:$D,Master!O$1,'GL Dump'!$C:$C,Master!$G$1))</f>
        <v>0</v>
      </c>
      <c r="P47" s="81">
        <f>IF($G$1="ALL",SUMIFS('GL Dump'!$E:$E,'GL Dump'!$H:$H,Master!$A47,'GL Dump'!$D:$D,Master!P$1),SUMIFS('GL Dump'!$E:$E,'GL Dump'!$H:$H,Master!$A47,'GL Dump'!$D:$D,Master!P$1,'GL Dump'!$C:$C,Master!$G$1))</f>
        <v>0</v>
      </c>
      <c r="Q47" s="81">
        <f>IF($G$1="ALL",SUMIFS('GL Dump'!$E:$E,'GL Dump'!$H:$H,Master!$A47,'GL Dump'!$D:$D,Master!Q$1),SUMIFS('GL Dump'!$E:$E,'GL Dump'!$H:$H,Master!$A47,'GL Dump'!$D:$D,Master!Q$1,'GL Dump'!$C:$C,Master!$G$1))</f>
        <v>0</v>
      </c>
      <c r="R47" s="81">
        <f>IF($G$1="ALL",SUMIFS('GL Dump'!$E:$E,'GL Dump'!$H:$H,Master!$A47,'GL Dump'!$D:$D,Master!R$1),SUMIFS('GL Dump'!$E:$E,'GL Dump'!$H:$H,Master!$A47,'GL Dump'!$D:$D,Master!R$1,'GL Dump'!$C:$C,Master!$G$1))</f>
        <v>0</v>
      </c>
      <c r="S47" s="81">
        <f>IF($G$1="ALL",SUMIFS('GL Dump'!$E:$E,'GL Dump'!$H:$H,Master!$A47,'GL Dump'!$D:$D,Master!S$1),SUMIFS('GL Dump'!$E:$E,'GL Dump'!$H:$H,Master!$A47,'GL Dump'!$D:$D,Master!S$1,'GL Dump'!$C:$C,Master!$G$1))</f>
        <v>0</v>
      </c>
    </row>
    <row r="48" spans="1:20" x14ac:dyDescent="0.25">
      <c r="A48" s="432" t="s">
        <v>3061</v>
      </c>
      <c r="B48" s="433" t="s">
        <v>1110</v>
      </c>
      <c r="C48" s="438">
        <v>0</v>
      </c>
      <c r="D48" s="439">
        <v>80</v>
      </c>
      <c r="E48" s="440">
        <f t="shared" si="2"/>
        <v>0</v>
      </c>
      <c r="F48" s="437" t="s">
        <v>917</v>
      </c>
      <c r="G48" s="420"/>
      <c r="H48" s="421">
        <f>E48+SUMIFS('GL Dump'!$E:$E,'GL Dump'!$H:$H,Master!A48,'GL Dump'!$D:$D,Master!$I$1)</f>
        <v>0</v>
      </c>
      <c r="I48" s="422">
        <f>IF($G$1="ALL",SUMIFS('GL Dump'!$E:$E,'GL Dump'!$H:$H,Master!$A48,'GL Dump'!$D:$D,Master!I$1),SUMIFS('GL Dump'!$E:$E,'GL Dump'!$H:$H,Master!$A48,'GL Dump'!$D:$D,Master!I$1,'GL Dump'!$C:$C,Master!$G$1))</f>
        <v>0</v>
      </c>
      <c r="J48" s="422">
        <f>IF($G$1="ALL",SUMIFS('GL Dump'!$E:$E,'GL Dump'!$H:$H,Master!$A48,'GL Dump'!$D:$D,Master!J$1),SUMIFS('GL Dump'!$E:$E,'GL Dump'!$H:$H,Master!$A48,'GL Dump'!$D:$D,Master!J$1,'GL Dump'!$C:$C,Master!$G$1))</f>
        <v>0</v>
      </c>
      <c r="K48" s="422">
        <f>IF($G$1="ALL",SUMIFS('GL Dump'!$E:$E,'GL Dump'!$H:$H,Master!$A48,'GL Dump'!$D:$D,Master!K$1),SUMIFS('GL Dump'!$E:$E,'GL Dump'!$H:$H,Master!$A48,'GL Dump'!$D:$D,Master!K$1,'GL Dump'!$C:$C,Master!$G$1))</f>
        <v>0</v>
      </c>
      <c r="L48" s="422">
        <f>IF($G$1="ALL",SUMIFS('GL Dump'!$E:$E,'GL Dump'!$H:$H,Master!$A48,'GL Dump'!$D:$D,Master!L$1),SUMIFS('GL Dump'!$E:$E,'GL Dump'!$H:$H,Master!$A48,'GL Dump'!$D:$D,Master!L$1,'GL Dump'!$C:$C,Master!$G$1))</f>
        <v>0</v>
      </c>
      <c r="M48" s="422">
        <f>IF($G$1="ALL",SUMIFS('GL Dump'!$E:$E,'GL Dump'!$H:$H,Master!$A48,'GL Dump'!$D:$D,Master!M$1),SUMIFS('GL Dump'!$E:$E,'GL Dump'!$H:$H,Master!$A48,'GL Dump'!$D:$D,Master!M$1,'GL Dump'!$C:$C,Master!$G$1))</f>
        <v>0</v>
      </c>
      <c r="N48" s="422">
        <f>IF($G$1="ALL",SUMIFS('GL Dump'!$E:$E,'GL Dump'!$H:$H,Master!$A48,'GL Dump'!$D:$D,Master!N$1),SUMIFS('GL Dump'!$E:$E,'GL Dump'!$H:$H,Master!$A48,'GL Dump'!$D:$D,Master!N$1,'GL Dump'!$C:$C,Master!$G$1))</f>
        <v>0</v>
      </c>
      <c r="O48" s="422">
        <f>IF($G$1="ALL",SUMIFS('GL Dump'!$E:$E,'GL Dump'!$H:$H,Master!$A48,'GL Dump'!$D:$D,Master!O$1),SUMIFS('GL Dump'!$E:$E,'GL Dump'!$H:$H,Master!$A48,'GL Dump'!$D:$D,Master!O$1,'GL Dump'!$C:$C,Master!$G$1))</f>
        <v>0</v>
      </c>
      <c r="P48" s="422">
        <f>IF($G$1="ALL",SUMIFS('GL Dump'!$E:$E,'GL Dump'!$H:$H,Master!$A48,'GL Dump'!$D:$D,Master!P$1),SUMIFS('GL Dump'!$E:$E,'GL Dump'!$H:$H,Master!$A48,'GL Dump'!$D:$D,Master!P$1,'GL Dump'!$C:$C,Master!$G$1))</f>
        <v>0</v>
      </c>
      <c r="Q48" s="422">
        <f>IF($G$1="ALL",SUMIFS('GL Dump'!$E:$E,'GL Dump'!$H:$H,Master!$A48,'GL Dump'!$D:$D,Master!Q$1),SUMIFS('GL Dump'!$E:$E,'GL Dump'!$H:$H,Master!$A48,'GL Dump'!$D:$D,Master!Q$1,'GL Dump'!$C:$C,Master!$G$1))</f>
        <v>0</v>
      </c>
      <c r="R48" s="422">
        <f>IF($G$1="ALL",SUMIFS('GL Dump'!$E:$E,'GL Dump'!$H:$H,Master!$A48,'GL Dump'!$D:$D,Master!R$1),SUMIFS('GL Dump'!$E:$E,'GL Dump'!$H:$H,Master!$A48,'GL Dump'!$D:$D,Master!R$1,'GL Dump'!$C:$C,Master!$G$1))</f>
        <v>0</v>
      </c>
      <c r="S48" s="422">
        <f>IF($G$1="ALL",SUMIFS('GL Dump'!$E:$E,'GL Dump'!$H:$H,Master!$A48,'GL Dump'!$D:$D,Master!S$1),SUMIFS('GL Dump'!$E:$E,'GL Dump'!$H:$H,Master!$A48,'GL Dump'!$D:$D,Master!S$1,'GL Dump'!$C:$C,Master!$G$1))</f>
        <v>0</v>
      </c>
      <c r="T48" s="423"/>
    </row>
    <row r="49" spans="1:20" x14ac:dyDescent="0.25">
      <c r="A49" s="41" t="s">
        <v>1875</v>
      </c>
      <c r="B49" s="251" t="s">
        <v>1110</v>
      </c>
      <c r="C49" s="33">
        <v>0</v>
      </c>
      <c r="D49" s="40">
        <v>80</v>
      </c>
      <c r="E49" s="104">
        <f t="shared" si="2"/>
        <v>0</v>
      </c>
      <c r="F49" s="277" t="s">
        <v>917</v>
      </c>
      <c r="H49" s="397">
        <f>E49+SUMIFS('GL Dump'!$E:$E,'GL Dump'!$H:$H,Master!A49,'GL Dump'!$D:$D,Master!$I$1)</f>
        <v>0</v>
      </c>
      <c r="I49" s="81">
        <f>IF($G$1="ALL",SUMIFS('GL Dump'!$E:$E,'GL Dump'!$H:$H,Master!$A49,'GL Dump'!$D:$D,Master!I$1),SUMIFS('GL Dump'!$E:$E,'GL Dump'!$H:$H,Master!$A49,'GL Dump'!$D:$D,Master!I$1,'GL Dump'!$C:$C,Master!$G$1))</f>
        <v>0</v>
      </c>
      <c r="J49" s="81">
        <f>IF($G$1="ALL",SUMIFS('GL Dump'!$E:$E,'GL Dump'!$H:$H,Master!$A49,'GL Dump'!$D:$D,Master!J$1),SUMIFS('GL Dump'!$E:$E,'GL Dump'!$H:$H,Master!$A49,'GL Dump'!$D:$D,Master!J$1,'GL Dump'!$C:$C,Master!$G$1))</f>
        <v>0</v>
      </c>
      <c r="K49" s="81">
        <f>IF($G$1="ALL",SUMIFS('GL Dump'!$E:$E,'GL Dump'!$H:$H,Master!$A49,'GL Dump'!$D:$D,Master!K$1),SUMIFS('GL Dump'!$E:$E,'GL Dump'!$H:$H,Master!$A49,'GL Dump'!$D:$D,Master!K$1,'GL Dump'!$C:$C,Master!$G$1))</f>
        <v>0</v>
      </c>
      <c r="L49" s="81">
        <f>IF($G$1="ALL",SUMIFS('GL Dump'!$E:$E,'GL Dump'!$H:$H,Master!$A49,'GL Dump'!$D:$D,Master!L$1),SUMIFS('GL Dump'!$E:$E,'GL Dump'!$H:$H,Master!$A49,'GL Dump'!$D:$D,Master!L$1,'GL Dump'!$C:$C,Master!$G$1))</f>
        <v>0</v>
      </c>
      <c r="M49" s="81">
        <f>IF($G$1="ALL",SUMIFS('GL Dump'!$E:$E,'GL Dump'!$H:$H,Master!$A49,'GL Dump'!$D:$D,Master!M$1),SUMIFS('GL Dump'!$E:$E,'GL Dump'!$H:$H,Master!$A49,'GL Dump'!$D:$D,Master!M$1,'GL Dump'!$C:$C,Master!$G$1))</f>
        <v>0</v>
      </c>
      <c r="N49" s="81">
        <f>IF($G$1="ALL",SUMIFS('GL Dump'!$E:$E,'GL Dump'!$H:$H,Master!$A49,'GL Dump'!$D:$D,Master!N$1),SUMIFS('GL Dump'!$E:$E,'GL Dump'!$H:$H,Master!$A49,'GL Dump'!$D:$D,Master!N$1,'GL Dump'!$C:$C,Master!$G$1))</f>
        <v>0</v>
      </c>
      <c r="O49" s="81">
        <f>IF($G$1="ALL",SUMIFS('GL Dump'!$E:$E,'GL Dump'!$H:$H,Master!$A49,'GL Dump'!$D:$D,Master!O$1),SUMIFS('GL Dump'!$E:$E,'GL Dump'!$H:$H,Master!$A49,'GL Dump'!$D:$D,Master!O$1,'GL Dump'!$C:$C,Master!$G$1))</f>
        <v>0</v>
      </c>
      <c r="P49" s="81">
        <f>IF($G$1="ALL",SUMIFS('GL Dump'!$E:$E,'GL Dump'!$H:$H,Master!$A49,'GL Dump'!$D:$D,Master!P$1),SUMIFS('GL Dump'!$E:$E,'GL Dump'!$H:$H,Master!$A49,'GL Dump'!$D:$D,Master!P$1,'GL Dump'!$C:$C,Master!$G$1))</f>
        <v>0</v>
      </c>
      <c r="Q49" s="81">
        <f>IF($G$1="ALL",SUMIFS('GL Dump'!$E:$E,'GL Dump'!$H:$H,Master!$A49,'GL Dump'!$D:$D,Master!Q$1),SUMIFS('GL Dump'!$E:$E,'GL Dump'!$H:$H,Master!$A49,'GL Dump'!$D:$D,Master!Q$1,'GL Dump'!$C:$C,Master!$G$1))</f>
        <v>0</v>
      </c>
      <c r="R49" s="81">
        <f>IF($G$1="ALL",SUMIFS('GL Dump'!$E:$E,'GL Dump'!$H:$H,Master!$A49,'GL Dump'!$D:$D,Master!R$1),SUMIFS('GL Dump'!$E:$E,'GL Dump'!$H:$H,Master!$A49,'GL Dump'!$D:$D,Master!R$1,'GL Dump'!$C:$C,Master!$G$1))</f>
        <v>0</v>
      </c>
      <c r="S49" s="81">
        <f>IF($G$1="ALL",SUMIFS('GL Dump'!$E:$E,'GL Dump'!$H:$H,Master!$A49,'GL Dump'!$D:$D,Master!S$1),SUMIFS('GL Dump'!$E:$E,'GL Dump'!$H:$H,Master!$A49,'GL Dump'!$D:$D,Master!S$1,'GL Dump'!$C:$C,Master!$G$1))</f>
        <v>0</v>
      </c>
    </row>
    <row r="50" spans="1:20" x14ac:dyDescent="0.25">
      <c r="A50" s="432" t="s">
        <v>1876</v>
      </c>
      <c r="B50" s="433" t="s">
        <v>1111</v>
      </c>
      <c r="C50" s="434">
        <v>0</v>
      </c>
      <c r="D50" s="435">
        <v>240</v>
      </c>
      <c r="E50" s="436">
        <f t="shared" si="2"/>
        <v>0</v>
      </c>
      <c r="F50" s="437" t="s">
        <v>917</v>
      </c>
      <c r="G50" s="420"/>
      <c r="H50" s="421">
        <f>E50+SUMIFS('GL Dump'!$E:$E,'GL Dump'!$H:$H,Master!A50,'GL Dump'!$D:$D,Master!$I$1)</f>
        <v>0</v>
      </c>
      <c r="I50" s="422">
        <f>IF($G$1="ALL",SUMIFS('GL Dump'!$E:$E,'GL Dump'!$H:$H,Master!$A50,'GL Dump'!$D:$D,Master!I$1),SUMIFS('GL Dump'!$E:$E,'GL Dump'!$H:$H,Master!$A50,'GL Dump'!$D:$D,Master!I$1,'GL Dump'!$C:$C,Master!$G$1))</f>
        <v>0</v>
      </c>
      <c r="J50" s="422">
        <f>IF($G$1="ALL",SUMIFS('GL Dump'!$E:$E,'GL Dump'!$H:$H,Master!$A50,'GL Dump'!$D:$D,Master!J$1),SUMIFS('GL Dump'!$E:$E,'GL Dump'!$H:$H,Master!$A50,'GL Dump'!$D:$D,Master!J$1,'GL Dump'!$C:$C,Master!$G$1))</f>
        <v>0</v>
      </c>
      <c r="K50" s="422">
        <f>IF($G$1="ALL",SUMIFS('GL Dump'!$E:$E,'GL Dump'!$H:$H,Master!$A50,'GL Dump'!$D:$D,Master!K$1),SUMIFS('GL Dump'!$E:$E,'GL Dump'!$H:$H,Master!$A50,'GL Dump'!$D:$D,Master!K$1,'GL Dump'!$C:$C,Master!$G$1))</f>
        <v>0</v>
      </c>
      <c r="L50" s="422">
        <f>IF($G$1="ALL",SUMIFS('GL Dump'!$E:$E,'GL Dump'!$H:$H,Master!$A50,'GL Dump'!$D:$D,Master!L$1),SUMIFS('GL Dump'!$E:$E,'GL Dump'!$H:$H,Master!$A50,'GL Dump'!$D:$D,Master!L$1,'GL Dump'!$C:$C,Master!$G$1))</f>
        <v>0</v>
      </c>
      <c r="M50" s="422">
        <f>IF($G$1="ALL",SUMIFS('GL Dump'!$E:$E,'GL Dump'!$H:$H,Master!$A50,'GL Dump'!$D:$D,Master!M$1),SUMIFS('GL Dump'!$E:$E,'GL Dump'!$H:$H,Master!$A50,'GL Dump'!$D:$D,Master!M$1,'GL Dump'!$C:$C,Master!$G$1))</f>
        <v>0</v>
      </c>
      <c r="N50" s="422">
        <f>IF($G$1="ALL",SUMIFS('GL Dump'!$E:$E,'GL Dump'!$H:$H,Master!$A50,'GL Dump'!$D:$D,Master!N$1),SUMIFS('GL Dump'!$E:$E,'GL Dump'!$H:$H,Master!$A50,'GL Dump'!$D:$D,Master!N$1,'GL Dump'!$C:$C,Master!$G$1))</f>
        <v>0</v>
      </c>
      <c r="O50" s="422">
        <f>IF($G$1="ALL",SUMIFS('GL Dump'!$E:$E,'GL Dump'!$H:$H,Master!$A50,'GL Dump'!$D:$D,Master!O$1),SUMIFS('GL Dump'!$E:$E,'GL Dump'!$H:$H,Master!$A50,'GL Dump'!$D:$D,Master!O$1,'GL Dump'!$C:$C,Master!$G$1))</f>
        <v>0</v>
      </c>
      <c r="P50" s="422">
        <f>IF($G$1="ALL",SUMIFS('GL Dump'!$E:$E,'GL Dump'!$H:$H,Master!$A50,'GL Dump'!$D:$D,Master!P$1),SUMIFS('GL Dump'!$E:$E,'GL Dump'!$H:$H,Master!$A50,'GL Dump'!$D:$D,Master!P$1,'GL Dump'!$C:$C,Master!$G$1))</f>
        <v>0</v>
      </c>
      <c r="Q50" s="422">
        <f>IF($G$1="ALL",SUMIFS('GL Dump'!$E:$E,'GL Dump'!$H:$H,Master!$A50,'GL Dump'!$D:$D,Master!Q$1),SUMIFS('GL Dump'!$E:$E,'GL Dump'!$H:$H,Master!$A50,'GL Dump'!$D:$D,Master!Q$1,'GL Dump'!$C:$C,Master!$G$1))</f>
        <v>0</v>
      </c>
      <c r="R50" s="422">
        <f>IF($G$1="ALL",SUMIFS('GL Dump'!$E:$E,'GL Dump'!$H:$H,Master!$A50,'GL Dump'!$D:$D,Master!R$1),SUMIFS('GL Dump'!$E:$E,'GL Dump'!$H:$H,Master!$A50,'GL Dump'!$D:$D,Master!R$1,'GL Dump'!$C:$C,Master!$G$1))</f>
        <v>0</v>
      </c>
      <c r="S50" s="422">
        <f>IF($G$1="ALL",SUMIFS('GL Dump'!$E:$E,'GL Dump'!$H:$H,Master!$A50,'GL Dump'!$D:$D,Master!S$1),SUMIFS('GL Dump'!$E:$E,'GL Dump'!$H:$H,Master!$A50,'GL Dump'!$D:$D,Master!S$1,'GL Dump'!$C:$C,Master!$G$1))</f>
        <v>0</v>
      </c>
      <c r="T50" s="423"/>
    </row>
    <row r="51" spans="1:20" x14ac:dyDescent="0.25">
      <c r="A51" s="28" t="s">
        <v>3062</v>
      </c>
      <c r="B51" s="251" t="s">
        <v>1112</v>
      </c>
      <c r="C51" s="33">
        <v>0</v>
      </c>
      <c r="D51" s="40">
        <v>4376.13</v>
      </c>
      <c r="E51" s="34">
        <f t="shared" si="2"/>
        <v>0</v>
      </c>
      <c r="F51" s="277" t="s">
        <v>917</v>
      </c>
      <c r="H51" s="397">
        <f>E51+SUMIFS('GL Dump'!$E:$E,'GL Dump'!$H:$H,Master!A51,'GL Dump'!$D:$D,Master!$I$1)</f>
        <v>0</v>
      </c>
      <c r="I51" s="81">
        <f>IF($G$1="ALL",SUMIFS('GL Dump'!$E:$E,'GL Dump'!$H:$H,Master!$A51,'GL Dump'!$D:$D,Master!I$1),SUMIFS('GL Dump'!$E:$E,'GL Dump'!$H:$H,Master!$A51,'GL Dump'!$D:$D,Master!I$1,'GL Dump'!$C:$C,Master!$G$1))</f>
        <v>0</v>
      </c>
      <c r="J51" s="81">
        <f>IF($G$1="ALL",SUMIFS('GL Dump'!$E:$E,'GL Dump'!$H:$H,Master!$A51,'GL Dump'!$D:$D,Master!J$1),SUMIFS('GL Dump'!$E:$E,'GL Dump'!$H:$H,Master!$A51,'GL Dump'!$D:$D,Master!J$1,'GL Dump'!$C:$C,Master!$G$1))</f>
        <v>0</v>
      </c>
      <c r="K51" s="81">
        <f>IF($G$1="ALL",SUMIFS('GL Dump'!$E:$E,'GL Dump'!$H:$H,Master!$A51,'GL Dump'!$D:$D,Master!K$1),SUMIFS('GL Dump'!$E:$E,'GL Dump'!$H:$H,Master!$A51,'GL Dump'!$D:$D,Master!K$1,'GL Dump'!$C:$C,Master!$G$1))</f>
        <v>0</v>
      </c>
      <c r="L51" s="81">
        <f>IF($G$1="ALL",SUMIFS('GL Dump'!$E:$E,'GL Dump'!$H:$H,Master!$A51,'GL Dump'!$D:$D,Master!L$1),SUMIFS('GL Dump'!$E:$E,'GL Dump'!$H:$H,Master!$A51,'GL Dump'!$D:$D,Master!L$1,'GL Dump'!$C:$C,Master!$G$1))</f>
        <v>0</v>
      </c>
      <c r="M51" s="81">
        <f>IF($G$1="ALL",SUMIFS('GL Dump'!$E:$E,'GL Dump'!$H:$H,Master!$A51,'GL Dump'!$D:$D,Master!M$1),SUMIFS('GL Dump'!$E:$E,'GL Dump'!$H:$H,Master!$A51,'GL Dump'!$D:$D,Master!M$1,'GL Dump'!$C:$C,Master!$G$1))</f>
        <v>0</v>
      </c>
      <c r="N51" s="81">
        <f>IF($G$1="ALL",SUMIFS('GL Dump'!$E:$E,'GL Dump'!$H:$H,Master!$A51,'GL Dump'!$D:$D,Master!N$1),SUMIFS('GL Dump'!$E:$E,'GL Dump'!$H:$H,Master!$A51,'GL Dump'!$D:$D,Master!N$1,'GL Dump'!$C:$C,Master!$G$1))</f>
        <v>0</v>
      </c>
      <c r="O51" s="81">
        <f>IF($G$1="ALL",SUMIFS('GL Dump'!$E:$E,'GL Dump'!$H:$H,Master!$A51,'GL Dump'!$D:$D,Master!O$1),SUMIFS('GL Dump'!$E:$E,'GL Dump'!$H:$H,Master!$A51,'GL Dump'!$D:$D,Master!O$1,'GL Dump'!$C:$C,Master!$G$1))</f>
        <v>0</v>
      </c>
      <c r="P51" s="81">
        <f>IF($G$1="ALL",SUMIFS('GL Dump'!$E:$E,'GL Dump'!$H:$H,Master!$A51,'GL Dump'!$D:$D,Master!P$1),SUMIFS('GL Dump'!$E:$E,'GL Dump'!$H:$H,Master!$A51,'GL Dump'!$D:$D,Master!P$1,'GL Dump'!$C:$C,Master!$G$1))</f>
        <v>0</v>
      </c>
      <c r="Q51" s="81">
        <f>IF($G$1="ALL",SUMIFS('GL Dump'!$E:$E,'GL Dump'!$H:$H,Master!$A51,'GL Dump'!$D:$D,Master!Q$1),SUMIFS('GL Dump'!$E:$E,'GL Dump'!$H:$H,Master!$A51,'GL Dump'!$D:$D,Master!Q$1,'GL Dump'!$C:$C,Master!$G$1))</f>
        <v>0</v>
      </c>
      <c r="R51" s="81">
        <f>IF($G$1="ALL",SUMIFS('GL Dump'!$E:$E,'GL Dump'!$H:$H,Master!$A51,'GL Dump'!$D:$D,Master!R$1),SUMIFS('GL Dump'!$E:$E,'GL Dump'!$H:$H,Master!$A51,'GL Dump'!$D:$D,Master!R$1,'GL Dump'!$C:$C,Master!$G$1))</f>
        <v>0</v>
      </c>
      <c r="S51" s="81">
        <f>IF($G$1="ALL",SUMIFS('GL Dump'!$E:$E,'GL Dump'!$H:$H,Master!$A51,'GL Dump'!$D:$D,Master!S$1),SUMIFS('GL Dump'!$E:$E,'GL Dump'!$H:$H,Master!$A51,'GL Dump'!$D:$D,Master!S$1,'GL Dump'!$C:$C,Master!$G$1))</f>
        <v>0</v>
      </c>
    </row>
    <row r="52" spans="1:20" ht="15.75" thickBot="1" x14ac:dyDescent="0.3">
      <c r="A52" s="36"/>
      <c r="B52" s="255" t="s">
        <v>772</v>
      </c>
      <c r="C52" s="37"/>
      <c r="D52" s="42"/>
      <c r="E52" s="132">
        <f>SUM(E45:E51)</f>
        <v>0</v>
      </c>
      <c r="F52" s="274"/>
      <c r="H52" s="397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</row>
    <row r="53" spans="1:20" ht="15.75" thickTop="1" x14ac:dyDescent="0.25">
      <c r="A53" s="126">
        <v>3351</v>
      </c>
      <c r="B53" s="256" t="s">
        <v>875</v>
      </c>
      <c r="C53" s="127"/>
      <c r="D53" s="131"/>
      <c r="E53" s="130"/>
      <c r="F53" s="301"/>
      <c r="G53" s="373"/>
      <c r="H53" s="398"/>
      <c r="I53" s="399"/>
      <c r="J53" s="399"/>
      <c r="K53" s="399"/>
      <c r="L53" s="399"/>
      <c r="M53" s="399"/>
      <c r="N53" s="399"/>
      <c r="O53" s="399"/>
      <c r="P53" s="399"/>
      <c r="Q53" s="399"/>
      <c r="R53" s="399"/>
      <c r="S53" s="399"/>
      <c r="T53" s="374"/>
    </row>
    <row r="54" spans="1:20" x14ac:dyDescent="0.25">
      <c r="A54" s="120" t="s">
        <v>2397</v>
      </c>
      <c r="B54" s="251" t="s">
        <v>1079</v>
      </c>
      <c r="C54" s="85">
        <v>2</v>
      </c>
      <c r="D54" s="133">
        <v>153.75</v>
      </c>
      <c r="E54" s="34">
        <f>C54*D54</f>
        <v>307.5</v>
      </c>
      <c r="F54" s="182" t="s">
        <v>3154</v>
      </c>
      <c r="H54" s="397">
        <f>E54+SUMIFS('GL Dump'!$E:$E,'GL Dump'!$H:$H,Master!A54,'GL Dump'!$D:$D,Master!$I$1)</f>
        <v>307.5</v>
      </c>
      <c r="I54" s="81">
        <f>IF($G$1="ALL",SUMIFS('GL Dump'!$E:$E,'GL Dump'!$H:$H,Master!$A54,'GL Dump'!$D:$D,Master!I$1),SUMIFS('GL Dump'!$E:$E,'GL Dump'!$H:$H,Master!$A54,'GL Dump'!$D:$D,Master!I$1,'GL Dump'!$C:$C,Master!$G$1))</f>
        <v>0</v>
      </c>
      <c r="J54" s="81">
        <f>IF($G$1="ALL",SUMIFS('GL Dump'!$E:$E,'GL Dump'!$H:$H,Master!$A54,'GL Dump'!$D:$D,Master!J$1),SUMIFS('GL Dump'!$E:$E,'GL Dump'!$H:$H,Master!$A54,'GL Dump'!$D:$D,Master!J$1,'GL Dump'!$C:$C,Master!$G$1))</f>
        <v>240.12</v>
      </c>
      <c r="K54" s="81">
        <f>IF($G$1="ALL",SUMIFS('GL Dump'!$E:$E,'GL Dump'!$H:$H,Master!$A54,'GL Dump'!$D:$D,Master!K$1),SUMIFS('GL Dump'!$E:$E,'GL Dump'!$H:$H,Master!$A54,'GL Dump'!$D:$D,Master!K$1,'GL Dump'!$C:$C,Master!$G$1))</f>
        <v>0</v>
      </c>
      <c r="L54" s="81">
        <f>IF($G$1="ALL",SUMIFS('GL Dump'!$E:$E,'GL Dump'!$H:$H,Master!$A54,'GL Dump'!$D:$D,Master!L$1),SUMIFS('GL Dump'!$E:$E,'GL Dump'!$H:$H,Master!$A54,'GL Dump'!$D:$D,Master!L$1,'GL Dump'!$C:$C,Master!$G$1))</f>
        <v>54.98</v>
      </c>
      <c r="M54" s="81">
        <f>IF($G$1="ALL",SUMIFS('GL Dump'!$E:$E,'GL Dump'!$H:$H,Master!$A54,'GL Dump'!$D:$D,Master!M$1),SUMIFS('GL Dump'!$E:$E,'GL Dump'!$H:$H,Master!$A54,'GL Dump'!$D:$D,Master!M$1,'GL Dump'!$C:$C,Master!$G$1))</f>
        <v>63.3</v>
      </c>
      <c r="N54" s="81">
        <f>IF($G$1="ALL",SUMIFS('GL Dump'!$E:$E,'GL Dump'!$H:$H,Master!$A54,'GL Dump'!$D:$D,Master!N$1),SUMIFS('GL Dump'!$E:$E,'GL Dump'!$H:$H,Master!$A54,'GL Dump'!$D:$D,Master!N$1,'GL Dump'!$C:$C,Master!$G$1))</f>
        <v>112.18</v>
      </c>
      <c r="O54" s="81">
        <f>IF($G$1="ALL",SUMIFS('GL Dump'!$E:$E,'GL Dump'!$H:$H,Master!$A54,'GL Dump'!$D:$D,Master!O$1),SUMIFS('GL Dump'!$E:$E,'GL Dump'!$H:$H,Master!$A54,'GL Dump'!$D:$D,Master!O$1,'GL Dump'!$C:$C,Master!$G$1))</f>
        <v>196.04</v>
      </c>
      <c r="P54" s="81">
        <f>IF($G$1="ALL",SUMIFS('GL Dump'!$E:$E,'GL Dump'!$H:$H,Master!$A54,'GL Dump'!$D:$D,Master!P$1),SUMIFS('GL Dump'!$E:$E,'GL Dump'!$H:$H,Master!$A54,'GL Dump'!$D:$D,Master!P$1,'GL Dump'!$C:$C,Master!$G$1))</f>
        <v>29.77</v>
      </c>
      <c r="Q54" s="81">
        <f>IF($G$1="ALL",SUMIFS('GL Dump'!$E:$E,'GL Dump'!$H:$H,Master!$A54,'GL Dump'!$D:$D,Master!Q$1),SUMIFS('GL Dump'!$E:$E,'GL Dump'!$H:$H,Master!$A54,'GL Dump'!$D:$D,Master!Q$1,'GL Dump'!$C:$C,Master!$G$1))</f>
        <v>19.600000000000001</v>
      </c>
      <c r="R54" s="81">
        <f>IF($G$1="ALL",SUMIFS('GL Dump'!$E:$E,'GL Dump'!$H:$H,Master!$A54,'GL Dump'!$D:$D,Master!R$1),SUMIFS('GL Dump'!$E:$E,'GL Dump'!$H:$H,Master!$A54,'GL Dump'!$D:$D,Master!R$1,'GL Dump'!$C:$C,Master!$G$1))</f>
        <v>98.48</v>
      </c>
      <c r="S54" s="81">
        <f>IF($G$1="ALL",SUMIFS('GL Dump'!$E:$E,'GL Dump'!$H:$H,Master!$A54,'GL Dump'!$D:$D,Master!S$1),SUMIFS('GL Dump'!$E:$E,'GL Dump'!$H:$H,Master!$A54,'GL Dump'!$D:$D,Master!S$1,'GL Dump'!$C:$C,Master!$G$1))</f>
        <v>494.75</v>
      </c>
    </row>
    <row r="55" spans="1:20" ht="15.75" thickBot="1" x14ac:dyDescent="0.3">
      <c r="A55" s="36"/>
      <c r="B55" s="255" t="s">
        <v>772</v>
      </c>
      <c r="C55" s="180"/>
      <c r="D55" s="181"/>
      <c r="E55" s="132">
        <f>SUM(E54:E54)</f>
        <v>307.5</v>
      </c>
      <c r="F55" s="274"/>
      <c r="H55" s="397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</row>
    <row r="56" spans="1:20" ht="15.75" thickTop="1" x14ac:dyDescent="0.25">
      <c r="A56" s="126">
        <v>3030</v>
      </c>
      <c r="B56" s="256" t="s">
        <v>876</v>
      </c>
      <c r="C56" s="127"/>
      <c r="D56" s="131"/>
      <c r="E56" s="130"/>
      <c r="F56" s="301"/>
      <c r="G56" s="373"/>
      <c r="H56" s="398"/>
      <c r="I56" s="399"/>
      <c r="J56" s="399"/>
      <c r="K56" s="399"/>
      <c r="L56" s="399"/>
      <c r="M56" s="399"/>
      <c r="N56" s="399"/>
      <c r="O56" s="399"/>
      <c r="P56" s="399"/>
      <c r="Q56" s="399"/>
      <c r="R56" s="399"/>
      <c r="S56" s="399"/>
      <c r="T56" s="374"/>
    </row>
    <row r="57" spans="1:20" x14ac:dyDescent="0.25">
      <c r="A57" s="120" t="s">
        <v>1542</v>
      </c>
      <c r="B57" s="251" t="s">
        <v>3152</v>
      </c>
      <c r="C57" s="32">
        <v>2</v>
      </c>
      <c r="D57" s="134">
        <v>5587</v>
      </c>
      <c r="E57" s="34">
        <f>D57*C57</f>
        <v>11174</v>
      </c>
      <c r="F57" s="273" t="s">
        <v>3151</v>
      </c>
      <c r="H57" s="397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</row>
    <row r="58" spans="1:20" x14ac:dyDescent="0.25">
      <c r="A58" s="441" t="s">
        <v>1542</v>
      </c>
      <c r="B58" s="433" t="s">
        <v>937</v>
      </c>
      <c r="C58" s="416">
        <v>2</v>
      </c>
      <c r="D58" s="442">
        <v>10875.85</v>
      </c>
      <c r="E58" s="436">
        <f>D58*C58</f>
        <v>21751.7</v>
      </c>
      <c r="F58" s="443" t="s">
        <v>3151</v>
      </c>
      <c r="G58" s="420"/>
      <c r="H58" s="421"/>
      <c r="I58" s="422"/>
      <c r="J58" s="422"/>
      <c r="K58" s="422"/>
      <c r="L58" s="422"/>
      <c r="M58" s="422"/>
      <c r="N58" s="422"/>
      <c r="O58" s="422"/>
      <c r="P58" s="422"/>
      <c r="Q58" s="422"/>
      <c r="R58" s="422"/>
      <c r="S58" s="422"/>
      <c r="T58" s="423"/>
    </row>
    <row r="59" spans="1:20" x14ac:dyDescent="0.25">
      <c r="A59" s="120" t="s">
        <v>1542</v>
      </c>
      <c r="B59" s="251" t="s">
        <v>939</v>
      </c>
      <c r="C59" s="85">
        <v>0</v>
      </c>
      <c r="D59" s="134">
        <v>1350</v>
      </c>
      <c r="E59" s="34">
        <f>D59*C59</f>
        <v>0</v>
      </c>
      <c r="F59" s="273" t="s">
        <v>938</v>
      </c>
      <c r="H59" s="397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</row>
    <row r="60" spans="1:20" x14ac:dyDescent="0.25">
      <c r="A60" s="441" t="s">
        <v>1542</v>
      </c>
      <c r="B60" s="433" t="s">
        <v>948</v>
      </c>
      <c r="C60" s="416">
        <v>3</v>
      </c>
      <c r="D60" s="435">
        <v>950</v>
      </c>
      <c r="E60" s="436">
        <f>C60*D60</f>
        <v>2850</v>
      </c>
      <c r="F60" s="443" t="s">
        <v>3153</v>
      </c>
      <c r="G60" s="420"/>
      <c r="H60" s="421"/>
      <c r="I60" s="422"/>
      <c r="J60" s="422"/>
      <c r="K60" s="422"/>
      <c r="L60" s="422"/>
      <c r="M60" s="422"/>
      <c r="N60" s="422"/>
      <c r="O60" s="422"/>
      <c r="P60" s="422"/>
      <c r="Q60" s="422"/>
      <c r="R60" s="422"/>
      <c r="S60" s="422"/>
      <c r="T60" s="423"/>
    </row>
    <row r="61" spans="1:20" x14ac:dyDescent="0.25">
      <c r="A61" s="120" t="s">
        <v>1542</v>
      </c>
      <c r="B61" s="251" t="s">
        <v>918</v>
      </c>
      <c r="C61" s="32">
        <v>0</v>
      </c>
      <c r="D61" s="40">
        <v>6375</v>
      </c>
      <c r="E61" s="34"/>
      <c r="F61" s="274"/>
      <c r="H61" s="397">
        <f>E61+E57+E58+E59+E60+SUMIFS('GL Dump'!$E:$E,'GL Dump'!$H:$H,Master!A61,'GL Dump'!$D:$D,Master!$I$1)</f>
        <v>35775.699999999997</v>
      </c>
      <c r="I61" s="81">
        <f>IF($G$1="ALL",SUMIFS('GL Dump'!$E:$E,'GL Dump'!$H:$H,Master!$A61,'GL Dump'!$D:$D,Master!I$1),SUMIFS('GL Dump'!$E:$E,'GL Dump'!$H:$H,Master!$A61,'GL Dump'!$D:$D,Master!I$1,'GL Dump'!$C:$C,Master!$G$1))</f>
        <v>0</v>
      </c>
      <c r="J61" s="81">
        <f>IF($G$1="ALL",SUMIFS('GL Dump'!$E:$E,'GL Dump'!$H:$H,Master!$A61,'GL Dump'!$D:$D,Master!J$1),SUMIFS('GL Dump'!$E:$E,'GL Dump'!$H:$H,Master!$A61,'GL Dump'!$D:$D,Master!J$1,'GL Dump'!$C:$C,Master!$G$1))</f>
        <v>32627.550000000003</v>
      </c>
      <c r="K61" s="81">
        <f>IF($G$1="ALL",SUMIFS('GL Dump'!$E:$E,'GL Dump'!$H:$H,Master!$A61,'GL Dump'!$D:$D,Master!K$1),SUMIFS('GL Dump'!$E:$E,'GL Dump'!$H:$H,Master!$A61,'GL Dump'!$D:$D,Master!K$1,'GL Dump'!$C:$C,Master!$G$1))</f>
        <v>11330.76</v>
      </c>
      <c r="L61" s="81">
        <f>IF($G$1="ALL",SUMIFS('GL Dump'!$E:$E,'GL Dump'!$H:$H,Master!$A61,'GL Dump'!$D:$D,Master!L$1),SUMIFS('GL Dump'!$E:$E,'GL Dump'!$H:$H,Master!$A61,'GL Dump'!$D:$D,Master!L$1,'GL Dump'!$C:$C,Master!$G$1))</f>
        <v>1925</v>
      </c>
      <c r="M61" s="81">
        <f>IF($G$1="ALL",SUMIFS('GL Dump'!$E:$E,'GL Dump'!$H:$H,Master!$A61,'GL Dump'!$D:$D,Master!M$1),SUMIFS('GL Dump'!$E:$E,'GL Dump'!$H:$H,Master!$A61,'GL Dump'!$D:$D,Master!M$1,'GL Dump'!$C:$C,Master!$G$1))</f>
        <v>18467.25</v>
      </c>
      <c r="N61" s="81">
        <f>IF($G$1="ALL",SUMIFS('GL Dump'!$E:$E,'GL Dump'!$H:$H,Master!$A61,'GL Dump'!$D:$D,Master!N$1),SUMIFS('GL Dump'!$E:$E,'GL Dump'!$H:$H,Master!$A61,'GL Dump'!$D:$D,Master!N$1,'GL Dump'!$C:$C,Master!$G$1))</f>
        <v>12519</v>
      </c>
      <c r="O61" s="81">
        <f>IF($G$1="ALL",SUMIFS('GL Dump'!$E:$E,'GL Dump'!$H:$H,Master!$A61,'GL Dump'!$D:$D,Master!O$1),SUMIFS('GL Dump'!$E:$E,'GL Dump'!$H:$H,Master!$A61,'GL Dump'!$D:$D,Master!O$1,'GL Dump'!$C:$C,Master!$G$1))</f>
        <v>14283.75</v>
      </c>
      <c r="P61" s="81">
        <f>IF($G$1="ALL",SUMIFS('GL Dump'!$E:$E,'GL Dump'!$H:$H,Master!$A61,'GL Dump'!$D:$D,Master!P$1),SUMIFS('GL Dump'!$E:$E,'GL Dump'!$H:$H,Master!$A61,'GL Dump'!$D:$D,Master!P$1,'GL Dump'!$C:$C,Master!$G$1))</f>
        <v>12054</v>
      </c>
      <c r="Q61" s="81">
        <f>IF($G$1="ALL",SUMIFS('GL Dump'!$E:$E,'GL Dump'!$H:$H,Master!$A61,'GL Dump'!$D:$D,Master!Q$1),SUMIFS('GL Dump'!$E:$E,'GL Dump'!$H:$H,Master!$A61,'GL Dump'!$D:$D,Master!Q$1,'GL Dump'!$C:$C,Master!$G$1))</f>
        <v>10634</v>
      </c>
      <c r="R61" s="81">
        <f>IF($G$1="ALL",SUMIFS('GL Dump'!$E:$E,'GL Dump'!$H:$H,Master!$A61,'GL Dump'!$D:$D,Master!R$1),SUMIFS('GL Dump'!$E:$E,'GL Dump'!$H:$H,Master!$A61,'GL Dump'!$D:$D,Master!R$1,'GL Dump'!$C:$C,Master!$G$1))</f>
        <v>24507.1</v>
      </c>
      <c r="S61" s="81">
        <f>IF($G$1="ALL",SUMIFS('GL Dump'!$E:$E,'GL Dump'!$H:$H,Master!$A61,'GL Dump'!$D:$D,Master!S$1),SUMIFS('GL Dump'!$E:$E,'GL Dump'!$H:$H,Master!$A61,'GL Dump'!$D:$D,Master!S$1,'GL Dump'!$C:$C,Master!$G$1))</f>
        <v>9614.6299999999992</v>
      </c>
    </row>
    <row r="62" spans="1:20" ht="15.75" thickBot="1" x14ac:dyDescent="0.3">
      <c r="A62" s="36" t="s">
        <v>3081</v>
      </c>
      <c r="B62" s="381" t="s">
        <v>3082</v>
      </c>
      <c r="C62" s="37"/>
      <c r="D62" s="42"/>
      <c r="E62" s="132">
        <f>SUM(E57:E61)</f>
        <v>35775.699999999997</v>
      </c>
      <c r="F62" s="274"/>
      <c r="H62" s="397"/>
      <c r="I62" s="81"/>
      <c r="J62" s="81" t="e" cm="1">
        <f t="array" aca="1" ref="J62" ca="1">GetGLTotalAccNumber(A56)</f>
        <v>#NAME?</v>
      </c>
      <c r="K62" s="81"/>
      <c r="L62" s="81"/>
      <c r="M62" s="81"/>
      <c r="N62" s="81"/>
      <c r="O62" s="81"/>
      <c r="P62" s="81"/>
      <c r="Q62" s="81"/>
      <c r="R62" s="81"/>
      <c r="S62" s="81"/>
    </row>
    <row r="63" spans="1:20" s="136" customFormat="1" ht="16.5" thickTop="1" x14ac:dyDescent="0.25">
      <c r="A63" s="143">
        <v>3362</v>
      </c>
      <c r="B63" s="260" t="s">
        <v>773</v>
      </c>
      <c r="C63" s="144"/>
      <c r="D63" s="116"/>
      <c r="E63" s="117"/>
      <c r="F63" s="278"/>
      <c r="G63" s="376"/>
      <c r="H63" s="400"/>
      <c r="I63" s="401"/>
      <c r="J63" s="401"/>
      <c r="K63" s="401"/>
      <c r="L63" s="401"/>
      <c r="M63" s="401"/>
      <c r="N63" s="401"/>
      <c r="O63" s="401"/>
      <c r="P63" s="401"/>
      <c r="Q63" s="401"/>
      <c r="R63" s="401"/>
      <c r="S63" s="401"/>
      <c r="T63" s="377"/>
    </row>
    <row r="64" spans="1:20" s="29" customFormat="1" x14ac:dyDescent="0.25">
      <c r="A64" s="145" t="s">
        <v>2439</v>
      </c>
      <c r="B64" s="261" t="s">
        <v>916</v>
      </c>
      <c r="C64" s="185">
        <v>0</v>
      </c>
      <c r="D64" s="82">
        <v>7280.15</v>
      </c>
      <c r="E64" s="91">
        <f>-D64*C64</f>
        <v>0</v>
      </c>
      <c r="F64" s="279" t="s">
        <v>1086</v>
      </c>
      <c r="G64" s="295"/>
      <c r="H64" s="397">
        <f>E64+SUMIFS('GL Dump'!$E:$E,'GL Dump'!$H:$H,Master!A64,'GL Dump'!$D:$D,Master!$I$1)</f>
        <v>0</v>
      </c>
      <c r="I64" s="81">
        <f>IF($G$1="ALL",SUMIFS('GL Dump'!$E:$E,'GL Dump'!$H:$H,Master!$A64,'GL Dump'!$D:$D,Master!I$1),SUMIFS('GL Dump'!$E:$E,'GL Dump'!$H:$H,Master!$A64,'GL Dump'!$D:$D,Master!I$1,'GL Dump'!$C:$C,Master!$G$1))</f>
        <v>0</v>
      </c>
      <c r="J64" s="81">
        <f>IF($G$1="ALL",SUMIFS('GL Dump'!$E:$E,'GL Dump'!$H:$H,Master!$A64,'GL Dump'!$D:$D,Master!J$1),SUMIFS('GL Dump'!$E:$E,'GL Dump'!$H:$H,Master!$A64,'GL Dump'!$D:$D,Master!J$1,'GL Dump'!$C:$C,Master!$G$1))</f>
        <v>7280.05</v>
      </c>
      <c r="K64" s="81">
        <f>IF($G$1="ALL",SUMIFS('GL Dump'!$E:$E,'GL Dump'!$H:$H,Master!$A64,'GL Dump'!$D:$D,Master!K$1),SUMIFS('GL Dump'!$E:$E,'GL Dump'!$H:$H,Master!$A64,'GL Dump'!$D:$D,Master!K$1,'GL Dump'!$C:$C,Master!$G$1))</f>
        <v>7280.05</v>
      </c>
      <c r="L64" s="81">
        <f>IF($G$1="ALL",SUMIFS('GL Dump'!$E:$E,'GL Dump'!$H:$H,Master!$A64,'GL Dump'!$D:$D,Master!L$1),SUMIFS('GL Dump'!$E:$E,'GL Dump'!$H:$H,Master!$A64,'GL Dump'!$D:$D,Master!L$1,'GL Dump'!$C:$C,Master!$G$1))</f>
        <v>8282.01</v>
      </c>
      <c r="M64" s="81">
        <f>IF($G$1="ALL",SUMIFS('GL Dump'!$E:$E,'GL Dump'!$H:$H,Master!$A64,'GL Dump'!$D:$D,Master!M$1),SUMIFS('GL Dump'!$E:$E,'GL Dump'!$H:$H,Master!$A64,'GL Dump'!$D:$D,Master!M$1,'GL Dump'!$C:$C,Master!$G$1))</f>
        <v>7280.05</v>
      </c>
      <c r="N64" s="81">
        <f>IF($G$1="ALL",SUMIFS('GL Dump'!$E:$E,'GL Dump'!$H:$H,Master!$A64,'GL Dump'!$D:$D,Master!N$1),SUMIFS('GL Dump'!$E:$E,'GL Dump'!$H:$H,Master!$A64,'GL Dump'!$D:$D,Master!N$1,'GL Dump'!$C:$C,Master!$G$1))</f>
        <v>7280.06</v>
      </c>
      <c r="O64" s="81">
        <f>IF($G$1="ALL",SUMIFS('GL Dump'!$E:$E,'GL Dump'!$H:$H,Master!$A64,'GL Dump'!$D:$D,Master!O$1),SUMIFS('GL Dump'!$E:$E,'GL Dump'!$H:$H,Master!$A64,'GL Dump'!$D:$D,Master!O$1,'GL Dump'!$C:$C,Master!$G$1))</f>
        <v>7280.05</v>
      </c>
      <c r="P64" s="81">
        <f>IF($G$1="ALL",SUMIFS('GL Dump'!$E:$E,'GL Dump'!$H:$H,Master!$A64,'GL Dump'!$D:$D,Master!P$1),SUMIFS('GL Dump'!$E:$E,'GL Dump'!$H:$H,Master!$A64,'GL Dump'!$D:$D,Master!P$1,'GL Dump'!$C:$C,Master!$G$1))</f>
        <v>7280.05</v>
      </c>
      <c r="Q64" s="81">
        <f>IF($G$1="ALL",SUMIFS('GL Dump'!$E:$E,'GL Dump'!$H:$H,Master!$A64,'GL Dump'!$D:$D,Master!Q$1),SUMIFS('GL Dump'!$E:$E,'GL Dump'!$H:$H,Master!$A64,'GL Dump'!$D:$D,Master!Q$1,'GL Dump'!$C:$C,Master!$G$1))</f>
        <v>6818.13</v>
      </c>
      <c r="R64" s="81">
        <f>IF($G$1="ALL",SUMIFS('GL Dump'!$E:$E,'GL Dump'!$H:$H,Master!$A64,'GL Dump'!$D:$D,Master!R$1),SUMIFS('GL Dump'!$E:$E,'GL Dump'!$H:$H,Master!$A64,'GL Dump'!$D:$D,Master!R$1,'GL Dump'!$C:$C,Master!$G$1))</f>
        <v>6818.13</v>
      </c>
      <c r="S64" s="81">
        <f>IF($G$1="ALL",SUMIFS('GL Dump'!$E:$E,'GL Dump'!$H:$H,Master!$A64,'GL Dump'!$D:$D,Master!S$1),SUMIFS('GL Dump'!$E:$E,'GL Dump'!$H:$H,Master!$A64,'GL Dump'!$D:$D,Master!S$1,'GL Dump'!$C:$C,Master!$G$1))</f>
        <v>0</v>
      </c>
    </row>
    <row r="65" spans="1:20" s="29" customFormat="1" x14ac:dyDescent="0.25">
      <c r="A65" s="444" t="s">
        <v>2467</v>
      </c>
      <c r="B65" s="445" t="s">
        <v>1087</v>
      </c>
      <c r="C65" s="446">
        <v>2</v>
      </c>
      <c r="D65" s="447">
        <v>1124.16875</v>
      </c>
      <c r="E65" s="418">
        <f>D65*C65</f>
        <v>2248.3375000000001</v>
      </c>
      <c r="F65" s="448" t="s">
        <v>3133</v>
      </c>
      <c r="G65" s="449"/>
      <c r="H65" s="421">
        <f>E65+SUMIFS('GL Dump'!$E:$E,'GL Dump'!$H:$H,Master!A65,'GL Dump'!$D:$D,Master!$I$1)</f>
        <v>2248.3375000000001</v>
      </c>
      <c r="I65" s="422">
        <f>IF($G$1="ALL",SUMIFS('GL Dump'!$E:$E,'GL Dump'!$H:$H,Master!$A65,'GL Dump'!$D:$D,Master!I$1),SUMIFS('GL Dump'!$E:$E,'GL Dump'!$H:$H,Master!$A65,'GL Dump'!$D:$D,Master!I$1,'GL Dump'!$C:$C,Master!$G$1))</f>
        <v>0</v>
      </c>
      <c r="J65" s="422">
        <f>IF($G$1="ALL",SUMIFS('GL Dump'!$E:$E,'GL Dump'!$H:$H,Master!$A65,'GL Dump'!$D:$D,Master!J$1),SUMIFS('GL Dump'!$E:$E,'GL Dump'!$H:$H,Master!$A65,'GL Dump'!$D:$D,Master!J$1,'GL Dump'!$C:$C,Master!$G$1))</f>
        <v>1124.17</v>
      </c>
      <c r="K65" s="422">
        <f>IF($G$1="ALL",SUMIFS('GL Dump'!$E:$E,'GL Dump'!$H:$H,Master!$A65,'GL Dump'!$D:$D,Master!K$1),SUMIFS('GL Dump'!$E:$E,'GL Dump'!$H:$H,Master!$A65,'GL Dump'!$D:$D,Master!K$1,'GL Dump'!$C:$C,Master!$G$1))</f>
        <v>8993.35</v>
      </c>
      <c r="L65" s="422">
        <f>IF($G$1="ALL",SUMIFS('GL Dump'!$E:$E,'GL Dump'!$H:$H,Master!$A65,'GL Dump'!$D:$D,Master!L$1),SUMIFS('GL Dump'!$E:$E,'GL Dump'!$H:$H,Master!$A65,'GL Dump'!$D:$D,Master!L$1,'GL Dump'!$C:$C,Master!$G$1))</f>
        <v>0</v>
      </c>
      <c r="M65" s="422">
        <f>IF($G$1="ALL",SUMIFS('GL Dump'!$E:$E,'GL Dump'!$H:$H,Master!$A65,'GL Dump'!$D:$D,Master!M$1),SUMIFS('GL Dump'!$E:$E,'GL Dump'!$H:$H,Master!$A65,'GL Dump'!$D:$D,Master!M$1,'GL Dump'!$C:$C,Master!$G$1))</f>
        <v>0</v>
      </c>
      <c r="N65" s="422">
        <f>IF($G$1="ALL",SUMIFS('GL Dump'!$E:$E,'GL Dump'!$H:$H,Master!$A65,'GL Dump'!$D:$D,Master!N$1),SUMIFS('GL Dump'!$E:$E,'GL Dump'!$H:$H,Master!$A65,'GL Dump'!$D:$D,Master!N$1,'GL Dump'!$C:$C,Master!$G$1))</f>
        <v>0</v>
      </c>
      <c r="O65" s="422">
        <f>IF($G$1="ALL",SUMIFS('GL Dump'!$E:$E,'GL Dump'!$H:$H,Master!$A65,'GL Dump'!$D:$D,Master!O$1),SUMIFS('GL Dump'!$E:$E,'GL Dump'!$H:$H,Master!$A65,'GL Dump'!$D:$D,Master!O$1,'GL Dump'!$C:$C,Master!$G$1))</f>
        <v>0</v>
      </c>
      <c r="P65" s="422">
        <f>IF($G$1="ALL",SUMIFS('GL Dump'!$E:$E,'GL Dump'!$H:$H,Master!$A65,'GL Dump'!$D:$D,Master!P$1),SUMIFS('GL Dump'!$E:$E,'GL Dump'!$H:$H,Master!$A65,'GL Dump'!$D:$D,Master!P$1,'GL Dump'!$C:$C,Master!$G$1))</f>
        <v>0</v>
      </c>
      <c r="Q65" s="422">
        <f>IF($G$1="ALL",SUMIFS('GL Dump'!$E:$E,'GL Dump'!$H:$H,Master!$A65,'GL Dump'!$D:$D,Master!Q$1),SUMIFS('GL Dump'!$E:$E,'GL Dump'!$H:$H,Master!$A65,'GL Dump'!$D:$D,Master!Q$1,'GL Dump'!$C:$C,Master!$G$1))</f>
        <v>0</v>
      </c>
      <c r="R65" s="422">
        <f>IF($G$1="ALL",SUMIFS('GL Dump'!$E:$E,'GL Dump'!$H:$H,Master!$A65,'GL Dump'!$D:$D,Master!R$1),SUMIFS('GL Dump'!$E:$E,'GL Dump'!$H:$H,Master!$A65,'GL Dump'!$D:$D,Master!R$1,'GL Dump'!$C:$C,Master!$G$1))</f>
        <v>0</v>
      </c>
      <c r="S65" s="422">
        <f>IF($G$1="ALL",SUMIFS('GL Dump'!$E:$E,'GL Dump'!$H:$H,Master!$A65,'GL Dump'!$D:$D,Master!S$1),SUMIFS('GL Dump'!$E:$E,'GL Dump'!$H:$H,Master!$A65,'GL Dump'!$D:$D,Master!S$1,'GL Dump'!$C:$C,Master!$G$1))</f>
        <v>0</v>
      </c>
      <c r="T65" s="450"/>
    </row>
    <row r="66" spans="1:20" s="29" customFormat="1" x14ac:dyDescent="0.25">
      <c r="A66" s="149" t="s">
        <v>2479</v>
      </c>
      <c r="B66" s="261" t="s">
        <v>1030</v>
      </c>
      <c r="C66" s="184">
        <v>8</v>
      </c>
      <c r="D66" s="112">
        <v>925.13333333333333</v>
      </c>
      <c r="E66" s="91">
        <f>D66*C66</f>
        <v>7401.0666666666666</v>
      </c>
      <c r="F66" s="279" t="s">
        <v>3134</v>
      </c>
      <c r="G66" s="295"/>
      <c r="H66" s="397">
        <f>E66+SUMIFS('GL Dump'!$E:$E,'GL Dump'!$H:$H,Master!A66,'GL Dump'!$D:$D,Master!$I$1)</f>
        <v>7401.0666666666666</v>
      </c>
      <c r="I66" s="81">
        <f>IF($G$1="ALL",SUMIFS('GL Dump'!$E:$E,'GL Dump'!$H:$H,Master!$A66,'GL Dump'!$D:$D,Master!I$1),SUMIFS('GL Dump'!$E:$E,'GL Dump'!$H:$H,Master!$A66,'GL Dump'!$D:$D,Master!I$1,'GL Dump'!$C:$C,Master!$G$1))</f>
        <v>0</v>
      </c>
      <c r="J66" s="81">
        <f>IF($G$1="ALL",SUMIFS('GL Dump'!$E:$E,'GL Dump'!$H:$H,Master!$A66,'GL Dump'!$D:$D,Master!J$1),SUMIFS('GL Dump'!$E:$E,'GL Dump'!$H:$H,Master!$A66,'GL Dump'!$D:$D,Master!J$1,'GL Dump'!$C:$C,Master!$G$1))</f>
        <v>0</v>
      </c>
      <c r="K66" s="81">
        <f>IF($G$1="ALL",SUMIFS('GL Dump'!$E:$E,'GL Dump'!$H:$H,Master!$A66,'GL Dump'!$D:$D,Master!K$1),SUMIFS('GL Dump'!$E:$E,'GL Dump'!$H:$H,Master!$A66,'GL Dump'!$D:$D,Master!K$1,'GL Dump'!$C:$C,Master!$G$1))</f>
        <v>2775.4</v>
      </c>
      <c r="L66" s="81">
        <f>IF($G$1="ALL",SUMIFS('GL Dump'!$E:$E,'GL Dump'!$H:$H,Master!$A66,'GL Dump'!$D:$D,Master!L$1),SUMIFS('GL Dump'!$E:$E,'GL Dump'!$H:$H,Master!$A66,'GL Dump'!$D:$D,Master!L$1,'GL Dump'!$C:$C,Master!$G$1))</f>
        <v>0</v>
      </c>
      <c r="M66" s="81">
        <f>IF($G$1="ALL",SUMIFS('GL Dump'!$E:$E,'GL Dump'!$H:$H,Master!$A66,'GL Dump'!$D:$D,Master!M$1),SUMIFS('GL Dump'!$E:$E,'GL Dump'!$H:$H,Master!$A66,'GL Dump'!$D:$D,Master!M$1,'GL Dump'!$C:$C,Master!$G$1))</f>
        <v>0</v>
      </c>
      <c r="N66" s="81">
        <f>IF($G$1="ALL",SUMIFS('GL Dump'!$E:$E,'GL Dump'!$H:$H,Master!$A66,'GL Dump'!$D:$D,Master!N$1),SUMIFS('GL Dump'!$E:$E,'GL Dump'!$H:$H,Master!$A66,'GL Dump'!$D:$D,Master!N$1,'GL Dump'!$C:$C,Master!$G$1))</f>
        <v>0</v>
      </c>
      <c r="O66" s="81">
        <f>IF($G$1="ALL",SUMIFS('GL Dump'!$E:$E,'GL Dump'!$H:$H,Master!$A66,'GL Dump'!$D:$D,Master!O$1),SUMIFS('GL Dump'!$E:$E,'GL Dump'!$H:$H,Master!$A66,'GL Dump'!$D:$D,Master!O$1,'GL Dump'!$C:$C,Master!$G$1))</f>
        <v>0</v>
      </c>
      <c r="P66" s="81">
        <f>IF($G$1="ALL",SUMIFS('GL Dump'!$E:$E,'GL Dump'!$H:$H,Master!$A66,'GL Dump'!$D:$D,Master!P$1),SUMIFS('GL Dump'!$E:$E,'GL Dump'!$H:$H,Master!$A66,'GL Dump'!$D:$D,Master!P$1,'GL Dump'!$C:$C,Master!$G$1))</f>
        <v>0</v>
      </c>
      <c r="Q66" s="81">
        <f>IF($G$1="ALL",SUMIFS('GL Dump'!$E:$E,'GL Dump'!$H:$H,Master!$A66,'GL Dump'!$D:$D,Master!Q$1),SUMIFS('GL Dump'!$E:$E,'GL Dump'!$H:$H,Master!$A66,'GL Dump'!$D:$D,Master!Q$1,'GL Dump'!$C:$C,Master!$G$1))</f>
        <v>0</v>
      </c>
      <c r="R66" s="81">
        <f>IF($G$1="ALL",SUMIFS('GL Dump'!$E:$E,'GL Dump'!$H:$H,Master!$A66,'GL Dump'!$D:$D,Master!R$1),SUMIFS('GL Dump'!$E:$E,'GL Dump'!$H:$H,Master!$A66,'GL Dump'!$D:$D,Master!R$1,'GL Dump'!$C:$C,Master!$G$1))</f>
        <v>0</v>
      </c>
      <c r="S66" s="81">
        <f>IF($G$1="ALL",SUMIFS('GL Dump'!$E:$E,'GL Dump'!$H:$H,Master!$A66,'GL Dump'!$D:$D,Master!S$1),SUMIFS('GL Dump'!$E:$E,'GL Dump'!$H:$H,Master!$A66,'GL Dump'!$D:$D,Master!S$1,'GL Dump'!$C:$C,Master!$G$1))</f>
        <v>0</v>
      </c>
    </row>
    <row r="67" spans="1:20" s="29" customFormat="1" x14ac:dyDescent="0.25">
      <c r="A67" s="451" t="s">
        <v>2481</v>
      </c>
      <c r="B67" s="445" t="s">
        <v>1087</v>
      </c>
      <c r="C67" s="452">
        <v>2</v>
      </c>
      <c r="D67" s="453">
        <v>733.67</v>
      </c>
      <c r="E67" s="418">
        <f>D67*C67</f>
        <v>1467.34</v>
      </c>
      <c r="F67" s="448" t="s">
        <v>3135</v>
      </c>
      <c r="G67" s="449"/>
      <c r="H67" s="421">
        <f>E67+SUMIFS('GL Dump'!$E:$E,'GL Dump'!$H:$H,Master!A67,'GL Dump'!$D:$D,Master!$I$1)</f>
        <v>1467.34</v>
      </c>
      <c r="I67" s="422">
        <f>IF($G$1="ALL",SUMIFS('GL Dump'!$E:$E,'GL Dump'!$H:$H,Master!$A67,'GL Dump'!$D:$D,Master!I$1),SUMIFS('GL Dump'!$E:$E,'GL Dump'!$H:$H,Master!$A67,'GL Dump'!$D:$D,Master!I$1,'GL Dump'!$C:$C,Master!$G$1))</f>
        <v>0</v>
      </c>
      <c r="J67" s="422">
        <f>IF($G$1="ALL",SUMIFS('GL Dump'!$E:$E,'GL Dump'!$H:$H,Master!$A67,'GL Dump'!$D:$D,Master!J$1),SUMIFS('GL Dump'!$E:$E,'GL Dump'!$H:$H,Master!$A67,'GL Dump'!$D:$D,Master!J$1,'GL Dump'!$C:$C,Master!$G$1))</f>
        <v>733.67</v>
      </c>
      <c r="K67" s="422">
        <f>IF($G$1="ALL",SUMIFS('GL Dump'!$E:$E,'GL Dump'!$H:$H,Master!$A67,'GL Dump'!$D:$D,Master!K$1),SUMIFS('GL Dump'!$E:$E,'GL Dump'!$H:$H,Master!$A67,'GL Dump'!$D:$D,Master!K$1,'GL Dump'!$C:$C,Master!$G$1))</f>
        <v>5869.36</v>
      </c>
      <c r="L67" s="422">
        <f>IF($G$1="ALL",SUMIFS('GL Dump'!$E:$E,'GL Dump'!$H:$H,Master!$A67,'GL Dump'!$D:$D,Master!L$1),SUMIFS('GL Dump'!$E:$E,'GL Dump'!$H:$H,Master!$A67,'GL Dump'!$D:$D,Master!L$1,'GL Dump'!$C:$C,Master!$G$1))</f>
        <v>0</v>
      </c>
      <c r="M67" s="422">
        <f>IF($G$1="ALL",SUMIFS('GL Dump'!$E:$E,'GL Dump'!$H:$H,Master!$A67,'GL Dump'!$D:$D,Master!M$1),SUMIFS('GL Dump'!$E:$E,'GL Dump'!$H:$H,Master!$A67,'GL Dump'!$D:$D,Master!M$1,'GL Dump'!$C:$C,Master!$G$1))</f>
        <v>0</v>
      </c>
      <c r="N67" s="422">
        <f>IF($G$1="ALL",SUMIFS('GL Dump'!$E:$E,'GL Dump'!$H:$H,Master!$A67,'GL Dump'!$D:$D,Master!N$1),SUMIFS('GL Dump'!$E:$E,'GL Dump'!$H:$H,Master!$A67,'GL Dump'!$D:$D,Master!N$1,'GL Dump'!$C:$C,Master!$G$1))</f>
        <v>0</v>
      </c>
      <c r="O67" s="422">
        <f>IF($G$1="ALL",SUMIFS('GL Dump'!$E:$E,'GL Dump'!$H:$H,Master!$A67,'GL Dump'!$D:$D,Master!O$1),SUMIFS('GL Dump'!$E:$E,'GL Dump'!$H:$H,Master!$A67,'GL Dump'!$D:$D,Master!O$1,'GL Dump'!$C:$C,Master!$G$1))</f>
        <v>0</v>
      </c>
      <c r="P67" s="422">
        <f>IF($G$1="ALL",SUMIFS('GL Dump'!$E:$E,'GL Dump'!$H:$H,Master!$A67,'GL Dump'!$D:$D,Master!P$1),SUMIFS('GL Dump'!$E:$E,'GL Dump'!$H:$H,Master!$A67,'GL Dump'!$D:$D,Master!P$1,'GL Dump'!$C:$C,Master!$G$1))</f>
        <v>0</v>
      </c>
      <c r="Q67" s="422">
        <f>IF($G$1="ALL",SUMIFS('GL Dump'!$E:$E,'GL Dump'!$H:$H,Master!$A67,'GL Dump'!$D:$D,Master!Q$1),SUMIFS('GL Dump'!$E:$E,'GL Dump'!$H:$H,Master!$A67,'GL Dump'!$D:$D,Master!Q$1,'GL Dump'!$C:$C,Master!$G$1))</f>
        <v>0</v>
      </c>
      <c r="R67" s="422">
        <f>IF($G$1="ALL",SUMIFS('GL Dump'!$E:$E,'GL Dump'!$H:$H,Master!$A67,'GL Dump'!$D:$D,Master!R$1),SUMIFS('GL Dump'!$E:$E,'GL Dump'!$H:$H,Master!$A67,'GL Dump'!$D:$D,Master!R$1,'GL Dump'!$C:$C,Master!$G$1))</f>
        <v>0</v>
      </c>
      <c r="S67" s="422">
        <f>IF($G$1="ALL",SUMIFS('GL Dump'!$E:$E,'GL Dump'!$H:$H,Master!$A67,'GL Dump'!$D:$D,Master!S$1),SUMIFS('GL Dump'!$E:$E,'GL Dump'!$H:$H,Master!$A67,'GL Dump'!$D:$D,Master!S$1,'GL Dump'!$C:$C,Master!$G$1))</f>
        <v>0</v>
      </c>
      <c r="T67" s="450"/>
    </row>
    <row r="68" spans="1:20" s="29" customFormat="1" ht="16.5" customHeight="1" x14ac:dyDescent="0.25">
      <c r="A68" s="241" t="s">
        <v>2483</v>
      </c>
      <c r="B68" s="262" t="s">
        <v>912</v>
      </c>
      <c r="C68" s="242">
        <v>24</v>
      </c>
      <c r="D68" s="243">
        <v>36888</v>
      </c>
      <c r="E68" s="244"/>
      <c r="F68" s="280"/>
      <c r="G68" s="296"/>
      <c r="H68" s="402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1:20" s="29" customFormat="1" ht="19.5" customHeight="1" x14ac:dyDescent="0.25">
      <c r="A69" s="386" t="s">
        <v>2487</v>
      </c>
      <c r="B69" s="387" t="s">
        <v>907</v>
      </c>
      <c r="C69" s="248">
        <v>12</v>
      </c>
      <c r="D69" s="249">
        <v>4436.0649999999996</v>
      </c>
      <c r="E69" s="250">
        <f>D69*C69</f>
        <v>53232.78</v>
      </c>
      <c r="F69" s="281" t="s">
        <v>903</v>
      </c>
      <c r="G69" s="296"/>
      <c r="H69" s="397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</row>
    <row r="70" spans="1:20" s="29" customFormat="1" x14ac:dyDescent="0.25">
      <c r="A70" s="145" t="s">
        <v>2487</v>
      </c>
      <c r="B70" s="261" t="s">
        <v>1087</v>
      </c>
      <c r="C70" s="185">
        <v>2</v>
      </c>
      <c r="D70" s="82">
        <v>2960.83</v>
      </c>
      <c r="E70" s="91">
        <f>D70*C70</f>
        <v>5921.66</v>
      </c>
      <c r="F70" s="279" t="s">
        <v>3136</v>
      </c>
      <c r="G70" s="295"/>
      <c r="H70" s="397">
        <f>+E69+E70+SUMIFS('GL Dump'!$E:$E,'GL Dump'!$H:$H,Master!A70,'GL Dump'!$D:$D,Master!$I$1)</f>
        <v>59154.44</v>
      </c>
      <c r="I70" s="81">
        <f>IF($G$1="ALL",SUMIFS('GL Dump'!$E:$E,'GL Dump'!$H:$H,Master!$A70,'GL Dump'!$D:$D,Master!I$1),SUMIFS('GL Dump'!$E:$E,'GL Dump'!$H:$H,Master!$A70,'GL Dump'!$D:$D,Master!I$1,'GL Dump'!$C:$C,Master!$G$1))</f>
        <v>0</v>
      </c>
      <c r="J70" s="81">
        <f>IF($G$1="ALL",SUMIFS('GL Dump'!$E:$E,'GL Dump'!$H:$H,Master!$A70,'GL Dump'!$D:$D,Master!J$1),SUMIFS('GL Dump'!$E:$E,'GL Dump'!$H:$H,Master!$A70,'GL Dump'!$D:$D,Master!J$1,'GL Dump'!$C:$C,Master!$G$1))</f>
        <v>2960.83</v>
      </c>
      <c r="K70" s="81">
        <f>IF($G$1="ALL",SUMIFS('GL Dump'!$E:$E,'GL Dump'!$H:$H,Master!$A70,'GL Dump'!$D:$D,Master!K$1),SUMIFS('GL Dump'!$E:$E,'GL Dump'!$H:$H,Master!$A70,'GL Dump'!$D:$D,Master!K$1,'GL Dump'!$C:$C,Master!$G$1))</f>
        <v>23686.639999999999</v>
      </c>
      <c r="L70" s="81">
        <f>IF($G$1="ALL",SUMIFS('GL Dump'!$E:$E,'GL Dump'!$H:$H,Master!$A70,'GL Dump'!$D:$D,Master!L$1),SUMIFS('GL Dump'!$E:$E,'GL Dump'!$H:$H,Master!$A70,'GL Dump'!$D:$D,Master!L$1,'GL Dump'!$C:$C,Master!$G$1))</f>
        <v>0</v>
      </c>
      <c r="M70" s="81">
        <f>IF($G$1="ALL",SUMIFS('GL Dump'!$E:$E,'GL Dump'!$H:$H,Master!$A70,'GL Dump'!$D:$D,Master!M$1),SUMIFS('GL Dump'!$E:$E,'GL Dump'!$H:$H,Master!$A70,'GL Dump'!$D:$D,Master!M$1,'GL Dump'!$C:$C,Master!$G$1))</f>
        <v>0</v>
      </c>
      <c r="N70" s="81">
        <f>IF($G$1="ALL",SUMIFS('GL Dump'!$E:$E,'GL Dump'!$H:$H,Master!$A70,'GL Dump'!$D:$D,Master!N$1),SUMIFS('GL Dump'!$E:$E,'GL Dump'!$H:$H,Master!$A70,'GL Dump'!$D:$D,Master!N$1,'GL Dump'!$C:$C,Master!$G$1))</f>
        <v>0</v>
      </c>
      <c r="O70" s="81">
        <f>IF($G$1="ALL",SUMIFS('GL Dump'!$E:$E,'GL Dump'!$H:$H,Master!$A70,'GL Dump'!$D:$D,Master!O$1),SUMIFS('GL Dump'!$E:$E,'GL Dump'!$H:$H,Master!$A70,'GL Dump'!$D:$D,Master!O$1,'GL Dump'!$C:$C,Master!$G$1))</f>
        <v>0</v>
      </c>
      <c r="P70" s="81">
        <f>IF($G$1="ALL",SUMIFS('GL Dump'!$E:$E,'GL Dump'!$H:$H,Master!$A70,'GL Dump'!$D:$D,Master!P$1),SUMIFS('GL Dump'!$E:$E,'GL Dump'!$H:$H,Master!$A70,'GL Dump'!$D:$D,Master!P$1,'GL Dump'!$C:$C,Master!$G$1))</f>
        <v>0</v>
      </c>
      <c r="Q70" s="81">
        <f>IF($G$1="ALL",SUMIFS('GL Dump'!$E:$E,'GL Dump'!$H:$H,Master!$A70,'GL Dump'!$D:$D,Master!Q$1),SUMIFS('GL Dump'!$E:$E,'GL Dump'!$H:$H,Master!$A70,'GL Dump'!$D:$D,Master!Q$1,'GL Dump'!$C:$C,Master!$G$1))</f>
        <v>0</v>
      </c>
      <c r="R70" s="81">
        <f>IF($G$1="ALL",SUMIFS('GL Dump'!$E:$E,'GL Dump'!$H:$H,Master!$A70,'GL Dump'!$D:$D,Master!R$1),SUMIFS('GL Dump'!$E:$E,'GL Dump'!$H:$H,Master!$A70,'GL Dump'!$D:$D,Master!R$1,'GL Dump'!$C:$C,Master!$G$1))</f>
        <v>0</v>
      </c>
      <c r="S70" s="81">
        <f>IF($G$1="ALL",SUMIFS('GL Dump'!$E:$E,'GL Dump'!$H:$H,Master!$A70,'GL Dump'!$D:$D,Master!S$1),SUMIFS('GL Dump'!$E:$E,'GL Dump'!$H:$H,Master!$A70,'GL Dump'!$D:$D,Master!S$1,'GL Dump'!$C:$C,Master!$G$1))</f>
        <v>0</v>
      </c>
    </row>
    <row r="71" spans="1:20" s="29" customFormat="1" x14ac:dyDescent="0.25">
      <c r="A71" s="145" t="s">
        <v>2493</v>
      </c>
      <c r="B71" s="261" t="s">
        <v>1030</v>
      </c>
      <c r="C71" s="185">
        <v>8</v>
      </c>
      <c r="D71" s="82">
        <v>885.27</v>
      </c>
      <c r="E71" s="91">
        <f>D71*C71</f>
        <v>7082.16</v>
      </c>
      <c r="F71" s="279" t="s">
        <v>3134</v>
      </c>
      <c r="G71" s="295"/>
      <c r="H71" s="397">
        <f>E71+SUMIFS('GL Dump'!$E:$E,'GL Dump'!$H:$H,Master!A71,'GL Dump'!$D:$D,Master!$I$1)</f>
        <v>7082.16</v>
      </c>
      <c r="I71" s="81">
        <f>IF($G$1="ALL",SUMIFS('GL Dump'!$E:$E,'GL Dump'!$H:$H,Master!$A71,'GL Dump'!$D:$D,Master!I$1),SUMIFS('GL Dump'!$E:$E,'GL Dump'!$H:$H,Master!$A71,'GL Dump'!$D:$D,Master!I$1,'GL Dump'!$C:$C,Master!$G$1))</f>
        <v>0</v>
      </c>
      <c r="J71" s="81">
        <f>IF($G$1="ALL",SUMIFS('GL Dump'!$E:$E,'GL Dump'!$H:$H,Master!$A71,'GL Dump'!$D:$D,Master!J$1),SUMIFS('GL Dump'!$E:$E,'GL Dump'!$H:$H,Master!$A71,'GL Dump'!$D:$D,Master!J$1,'GL Dump'!$C:$C,Master!$G$1))</f>
        <v>0</v>
      </c>
      <c r="K71" s="81">
        <f>IF($G$1="ALL",SUMIFS('GL Dump'!$E:$E,'GL Dump'!$H:$H,Master!$A71,'GL Dump'!$D:$D,Master!K$1),SUMIFS('GL Dump'!$E:$E,'GL Dump'!$H:$H,Master!$A71,'GL Dump'!$D:$D,Master!K$1,'GL Dump'!$C:$C,Master!$G$1))</f>
        <v>2655.81</v>
      </c>
      <c r="L71" s="81">
        <f>IF($G$1="ALL",SUMIFS('GL Dump'!$E:$E,'GL Dump'!$H:$H,Master!$A71,'GL Dump'!$D:$D,Master!L$1),SUMIFS('GL Dump'!$E:$E,'GL Dump'!$H:$H,Master!$A71,'GL Dump'!$D:$D,Master!L$1,'GL Dump'!$C:$C,Master!$G$1))</f>
        <v>0</v>
      </c>
      <c r="M71" s="81">
        <f>IF($G$1="ALL",SUMIFS('GL Dump'!$E:$E,'GL Dump'!$H:$H,Master!$A71,'GL Dump'!$D:$D,Master!M$1),SUMIFS('GL Dump'!$E:$E,'GL Dump'!$H:$H,Master!$A71,'GL Dump'!$D:$D,Master!M$1,'GL Dump'!$C:$C,Master!$G$1))</f>
        <v>0</v>
      </c>
      <c r="N71" s="81">
        <f>IF($G$1="ALL",SUMIFS('GL Dump'!$E:$E,'GL Dump'!$H:$H,Master!$A71,'GL Dump'!$D:$D,Master!N$1),SUMIFS('GL Dump'!$E:$E,'GL Dump'!$H:$H,Master!$A71,'GL Dump'!$D:$D,Master!N$1,'GL Dump'!$C:$C,Master!$G$1))</f>
        <v>0</v>
      </c>
      <c r="O71" s="81">
        <f>IF($G$1="ALL",SUMIFS('GL Dump'!$E:$E,'GL Dump'!$H:$H,Master!$A71,'GL Dump'!$D:$D,Master!O$1),SUMIFS('GL Dump'!$E:$E,'GL Dump'!$H:$H,Master!$A71,'GL Dump'!$D:$D,Master!O$1,'GL Dump'!$C:$C,Master!$G$1))</f>
        <v>0</v>
      </c>
      <c r="P71" s="81">
        <f>IF($G$1="ALL",SUMIFS('GL Dump'!$E:$E,'GL Dump'!$H:$H,Master!$A71,'GL Dump'!$D:$D,Master!P$1),SUMIFS('GL Dump'!$E:$E,'GL Dump'!$H:$H,Master!$A71,'GL Dump'!$D:$D,Master!P$1,'GL Dump'!$C:$C,Master!$G$1))</f>
        <v>0</v>
      </c>
      <c r="Q71" s="81">
        <f>IF($G$1="ALL",SUMIFS('GL Dump'!$E:$E,'GL Dump'!$H:$H,Master!$A71,'GL Dump'!$D:$D,Master!Q$1),SUMIFS('GL Dump'!$E:$E,'GL Dump'!$H:$H,Master!$A71,'GL Dump'!$D:$D,Master!Q$1,'GL Dump'!$C:$C,Master!$G$1))</f>
        <v>0</v>
      </c>
      <c r="R71" s="81">
        <f>IF($G$1="ALL",SUMIFS('GL Dump'!$E:$E,'GL Dump'!$H:$H,Master!$A71,'GL Dump'!$D:$D,Master!R$1),SUMIFS('GL Dump'!$E:$E,'GL Dump'!$H:$H,Master!$A71,'GL Dump'!$D:$D,Master!R$1,'GL Dump'!$C:$C,Master!$G$1))</f>
        <v>0</v>
      </c>
      <c r="S71" s="81">
        <f>IF($G$1="ALL",SUMIFS('GL Dump'!$E:$E,'GL Dump'!$H:$H,Master!$A71,'GL Dump'!$D:$D,Master!S$1),SUMIFS('GL Dump'!$E:$E,'GL Dump'!$H:$H,Master!$A71,'GL Dump'!$D:$D,Master!S$1,'GL Dump'!$C:$C,Master!$G$1))</f>
        <v>0</v>
      </c>
    </row>
    <row r="72" spans="1:20" s="29" customFormat="1" ht="13.5" x14ac:dyDescent="0.25">
      <c r="A72" s="237" t="s">
        <v>2501</v>
      </c>
      <c r="B72" s="263" t="s">
        <v>886</v>
      </c>
      <c r="C72" s="238">
        <v>0</v>
      </c>
      <c r="D72" s="239">
        <v>4906.8500000000004</v>
      </c>
      <c r="E72" s="240">
        <f t="shared" ref="E72:E96" si="3">D72*C72</f>
        <v>0</v>
      </c>
      <c r="F72" s="282"/>
      <c r="G72" s="297"/>
      <c r="H72" s="402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</row>
    <row r="73" spans="1:20" s="29" customFormat="1" ht="13.5" x14ac:dyDescent="0.25">
      <c r="A73" s="237" t="s">
        <v>3063</v>
      </c>
      <c r="B73" s="263" t="s">
        <v>886</v>
      </c>
      <c r="C73" s="238">
        <v>0</v>
      </c>
      <c r="D73" s="239">
        <v>2428.13</v>
      </c>
      <c r="E73" s="240">
        <f t="shared" si="3"/>
        <v>0</v>
      </c>
      <c r="F73" s="282"/>
      <c r="G73" s="297"/>
      <c r="H73" s="402"/>
      <c r="I73" s="135"/>
      <c r="J73" s="135"/>
      <c r="K73" s="135"/>
      <c r="L73" s="135"/>
      <c r="M73" s="135"/>
      <c r="N73" s="135"/>
      <c r="O73" s="135"/>
      <c r="P73" s="135"/>
      <c r="Q73" s="135"/>
      <c r="R73" s="135"/>
      <c r="S73" s="135"/>
    </row>
    <row r="74" spans="1:20" s="29" customFormat="1" x14ac:dyDescent="0.25">
      <c r="A74" s="145" t="s">
        <v>2523</v>
      </c>
      <c r="B74" s="261" t="s">
        <v>929</v>
      </c>
      <c r="C74" s="185">
        <v>0</v>
      </c>
      <c r="D74" s="82">
        <v>1612.56</v>
      </c>
      <c r="E74" s="91">
        <f t="shared" si="3"/>
        <v>0</v>
      </c>
      <c r="F74" s="267" t="s">
        <v>3137</v>
      </c>
      <c r="G74" s="296"/>
      <c r="H74" s="397">
        <f>E74+SUMIFS('GL Dump'!$E:$E,'GL Dump'!$H:$H,Master!A74,'GL Dump'!$D:$D,Master!$I$1)</f>
        <v>0</v>
      </c>
      <c r="I74" s="81">
        <f>IF($G$1="ALL",SUMIFS('GL Dump'!$E:$E,'GL Dump'!$H:$H,Master!$A74,'GL Dump'!$D:$D,Master!I$1),SUMIFS('GL Dump'!$E:$E,'GL Dump'!$H:$H,Master!$A74,'GL Dump'!$D:$D,Master!I$1,'GL Dump'!$C:$C,Master!$G$1))</f>
        <v>0</v>
      </c>
      <c r="J74" s="81">
        <f>IF($G$1="ALL",SUMIFS('GL Dump'!$E:$E,'GL Dump'!$H:$H,Master!$A74,'GL Dump'!$D:$D,Master!J$1),SUMIFS('GL Dump'!$E:$E,'GL Dump'!$H:$H,Master!$A74,'GL Dump'!$D:$D,Master!J$1,'GL Dump'!$C:$C,Master!$G$1))</f>
        <v>1686.38</v>
      </c>
      <c r="K74" s="81">
        <f>IF($G$1="ALL",SUMIFS('GL Dump'!$E:$E,'GL Dump'!$H:$H,Master!$A74,'GL Dump'!$D:$D,Master!K$1),SUMIFS('GL Dump'!$E:$E,'GL Dump'!$H:$H,Master!$A74,'GL Dump'!$D:$D,Master!K$1,'GL Dump'!$C:$C,Master!$G$1))</f>
        <v>1686.38</v>
      </c>
      <c r="L74" s="81">
        <f>IF($G$1="ALL",SUMIFS('GL Dump'!$E:$E,'GL Dump'!$H:$H,Master!$A74,'GL Dump'!$D:$D,Master!L$1),SUMIFS('GL Dump'!$E:$E,'GL Dump'!$H:$H,Master!$A74,'GL Dump'!$D:$D,Master!L$1,'GL Dump'!$C:$C,Master!$G$1))</f>
        <v>1686.38</v>
      </c>
      <c r="M74" s="81">
        <f>IF($G$1="ALL",SUMIFS('GL Dump'!$E:$E,'GL Dump'!$H:$H,Master!$A74,'GL Dump'!$D:$D,Master!M$1),SUMIFS('GL Dump'!$E:$E,'GL Dump'!$H:$H,Master!$A74,'GL Dump'!$D:$D,Master!M$1,'GL Dump'!$C:$C,Master!$G$1))</f>
        <v>1682.11</v>
      </c>
      <c r="N74" s="81">
        <f>IF($G$1="ALL",SUMIFS('GL Dump'!$E:$E,'GL Dump'!$H:$H,Master!$A74,'GL Dump'!$D:$D,Master!N$1),SUMIFS('GL Dump'!$E:$E,'GL Dump'!$H:$H,Master!$A74,'GL Dump'!$D:$D,Master!N$1,'GL Dump'!$C:$C,Master!$G$1))</f>
        <v>1687.09</v>
      </c>
      <c r="O74" s="81">
        <f>IF($G$1="ALL",SUMIFS('GL Dump'!$E:$E,'GL Dump'!$H:$H,Master!$A74,'GL Dump'!$D:$D,Master!O$1),SUMIFS('GL Dump'!$E:$E,'GL Dump'!$H:$H,Master!$A74,'GL Dump'!$D:$D,Master!O$1,'GL Dump'!$C:$C,Master!$G$1))</f>
        <v>1687.1</v>
      </c>
      <c r="P74" s="81">
        <f>IF($G$1="ALL",SUMIFS('GL Dump'!$E:$E,'GL Dump'!$H:$H,Master!$A74,'GL Dump'!$D:$D,Master!P$1),SUMIFS('GL Dump'!$E:$E,'GL Dump'!$H:$H,Master!$A74,'GL Dump'!$D:$D,Master!P$1,'GL Dump'!$C:$C,Master!$G$1))</f>
        <v>1687.09</v>
      </c>
      <c r="Q74" s="81">
        <f>IF($G$1="ALL",SUMIFS('GL Dump'!$E:$E,'GL Dump'!$H:$H,Master!$A74,'GL Dump'!$D:$D,Master!Q$1),SUMIFS('GL Dump'!$E:$E,'GL Dump'!$H:$H,Master!$A74,'GL Dump'!$D:$D,Master!Q$1,'GL Dump'!$C:$C,Master!$G$1))</f>
        <v>1719.54</v>
      </c>
      <c r="R74" s="81">
        <f>IF($G$1="ALL",SUMIFS('GL Dump'!$E:$E,'GL Dump'!$H:$H,Master!$A74,'GL Dump'!$D:$D,Master!R$1),SUMIFS('GL Dump'!$E:$E,'GL Dump'!$H:$H,Master!$A74,'GL Dump'!$D:$D,Master!R$1,'GL Dump'!$C:$C,Master!$G$1))</f>
        <v>1687.09</v>
      </c>
      <c r="S74" s="81">
        <f>IF($G$1="ALL",SUMIFS('GL Dump'!$E:$E,'GL Dump'!$H:$H,Master!$A74,'GL Dump'!$D:$D,Master!S$1),SUMIFS('GL Dump'!$E:$E,'GL Dump'!$H:$H,Master!$A74,'GL Dump'!$D:$D,Master!S$1,'GL Dump'!$C:$C,Master!$G$1))</f>
        <v>1579.83</v>
      </c>
    </row>
    <row r="75" spans="1:20" s="29" customFormat="1" x14ac:dyDescent="0.25">
      <c r="A75" s="444" t="s">
        <v>2576</v>
      </c>
      <c r="B75" s="445" t="s">
        <v>929</v>
      </c>
      <c r="C75" s="446">
        <v>0</v>
      </c>
      <c r="D75" s="447">
        <v>2450.34</v>
      </c>
      <c r="E75" s="418">
        <f t="shared" si="3"/>
        <v>0</v>
      </c>
      <c r="F75" s="454" t="s">
        <v>3137</v>
      </c>
      <c r="G75" s="455"/>
      <c r="H75" s="421">
        <f>E75+SUMIFS('GL Dump'!$E:$E,'GL Dump'!$H:$H,Master!A75,'GL Dump'!$D:$D,Master!$I$1)</f>
        <v>0</v>
      </c>
      <c r="I75" s="422">
        <f>IF($G$1="ALL",SUMIFS('GL Dump'!$E:$E,'GL Dump'!$H:$H,Master!$A75,'GL Dump'!$D:$D,Master!I$1),SUMIFS('GL Dump'!$E:$E,'GL Dump'!$H:$H,Master!$A75,'GL Dump'!$D:$D,Master!I$1,'GL Dump'!$C:$C,Master!$G$1))</f>
        <v>0</v>
      </c>
      <c r="J75" s="422">
        <f>IF($G$1="ALL",SUMIFS('GL Dump'!$E:$E,'GL Dump'!$H:$H,Master!$A75,'GL Dump'!$D:$D,Master!J$1),SUMIFS('GL Dump'!$E:$E,'GL Dump'!$H:$H,Master!$A75,'GL Dump'!$D:$D,Master!J$1,'GL Dump'!$C:$C,Master!$G$1))</f>
        <v>2450.34</v>
      </c>
      <c r="K75" s="422">
        <f>IF($G$1="ALL",SUMIFS('GL Dump'!$E:$E,'GL Dump'!$H:$H,Master!$A75,'GL Dump'!$D:$D,Master!K$1),SUMIFS('GL Dump'!$E:$E,'GL Dump'!$H:$H,Master!$A75,'GL Dump'!$D:$D,Master!K$1,'GL Dump'!$C:$C,Master!$G$1))</f>
        <v>2450.34</v>
      </c>
      <c r="L75" s="422">
        <f>IF($G$1="ALL",SUMIFS('GL Dump'!$E:$E,'GL Dump'!$H:$H,Master!$A75,'GL Dump'!$D:$D,Master!L$1),SUMIFS('GL Dump'!$E:$E,'GL Dump'!$H:$H,Master!$A75,'GL Dump'!$D:$D,Master!L$1,'GL Dump'!$C:$C,Master!$G$1))</f>
        <v>2450.34</v>
      </c>
      <c r="M75" s="422">
        <f>IF($G$1="ALL",SUMIFS('GL Dump'!$E:$E,'GL Dump'!$H:$H,Master!$A75,'GL Dump'!$D:$D,Master!M$1),SUMIFS('GL Dump'!$E:$E,'GL Dump'!$H:$H,Master!$A75,'GL Dump'!$D:$D,Master!M$1,'GL Dump'!$C:$C,Master!$G$1))</f>
        <v>1813.67</v>
      </c>
      <c r="N75" s="422">
        <f>IF($G$1="ALL",SUMIFS('GL Dump'!$E:$E,'GL Dump'!$H:$H,Master!$A75,'GL Dump'!$D:$D,Master!N$1),SUMIFS('GL Dump'!$E:$E,'GL Dump'!$H:$H,Master!$A75,'GL Dump'!$D:$D,Master!N$1,'GL Dump'!$C:$C,Master!$G$1))</f>
        <v>2556.44</v>
      </c>
      <c r="O75" s="422">
        <f>IF($G$1="ALL",SUMIFS('GL Dump'!$E:$E,'GL Dump'!$H:$H,Master!$A75,'GL Dump'!$D:$D,Master!O$1),SUMIFS('GL Dump'!$E:$E,'GL Dump'!$H:$H,Master!$A75,'GL Dump'!$D:$D,Master!O$1,'GL Dump'!$C:$C,Master!$G$1))</f>
        <v>2556.44</v>
      </c>
      <c r="P75" s="422">
        <f>IF($G$1="ALL",SUMIFS('GL Dump'!$E:$E,'GL Dump'!$H:$H,Master!$A75,'GL Dump'!$D:$D,Master!P$1),SUMIFS('GL Dump'!$E:$E,'GL Dump'!$H:$H,Master!$A75,'GL Dump'!$D:$D,Master!P$1,'GL Dump'!$C:$C,Master!$G$1))</f>
        <v>2556.44</v>
      </c>
      <c r="Q75" s="422">
        <f>IF($G$1="ALL",SUMIFS('GL Dump'!$E:$E,'GL Dump'!$H:$H,Master!$A75,'GL Dump'!$D:$D,Master!Q$1),SUMIFS('GL Dump'!$E:$E,'GL Dump'!$H:$H,Master!$A75,'GL Dump'!$D:$D,Master!Q$1,'GL Dump'!$C:$C,Master!$G$1))</f>
        <v>2556.44</v>
      </c>
      <c r="R75" s="422">
        <f>IF($G$1="ALL",SUMIFS('GL Dump'!$E:$E,'GL Dump'!$H:$H,Master!$A75,'GL Dump'!$D:$D,Master!R$1),SUMIFS('GL Dump'!$E:$E,'GL Dump'!$H:$H,Master!$A75,'GL Dump'!$D:$D,Master!R$1,'GL Dump'!$C:$C,Master!$G$1))</f>
        <v>2556.44</v>
      </c>
      <c r="S75" s="422">
        <f>IF($G$1="ALL",SUMIFS('GL Dump'!$E:$E,'GL Dump'!$H:$H,Master!$A75,'GL Dump'!$D:$D,Master!S$1),SUMIFS('GL Dump'!$E:$E,'GL Dump'!$H:$H,Master!$A75,'GL Dump'!$D:$D,Master!S$1,'GL Dump'!$C:$C,Master!$G$1))</f>
        <v>2318.9</v>
      </c>
      <c r="T75" s="450"/>
    </row>
    <row r="76" spans="1:20" s="29" customFormat="1" x14ac:dyDescent="0.25">
      <c r="A76" s="145" t="s">
        <v>2578</v>
      </c>
      <c r="B76" s="261" t="s">
        <v>913</v>
      </c>
      <c r="C76" s="185">
        <v>0</v>
      </c>
      <c r="D76" s="82">
        <v>1329.62</v>
      </c>
      <c r="E76" s="91">
        <f t="shared" si="3"/>
        <v>0</v>
      </c>
      <c r="F76" s="267"/>
      <c r="G76" s="296"/>
      <c r="H76" s="397">
        <f>E76+SUMIFS('GL Dump'!$E:$E,'GL Dump'!$H:$H,Master!A76,'GL Dump'!$D:$D,Master!$I$1)</f>
        <v>0</v>
      </c>
      <c r="I76" s="81">
        <f>IF($G$1="ALL",SUMIFS('GL Dump'!$E:$E,'GL Dump'!$H:$H,Master!$A76,'GL Dump'!$D:$D,Master!I$1),SUMIFS('GL Dump'!$E:$E,'GL Dump'!$H:$H,Master!$A76,'GL Dump'!$D:$D,Master!I$1,'GL Dump'!$C:$C,Master!$G$1))</f>
        <v>0</v>
      </c>
      <c r="J76" s="81">
        <f>IF($G$1="ALL",SUMIFS('GL Dump'!$E:$E,'GL Dump'!$H:$H,Master!$A76,'GL Dump'!$D:$D,Master!J$1),SUMIFS('GL Dump'!$E:$E,'GL Dump'!$H:$H,Master!$A76,'GL Dump'!$D:$D,Master!J$1,'GL Dump'!$C:$C,Master!$G$1))</f>
        <v>0</v>
      </c>
      <c r="K76" s="81">
        <f>IF($G$1="ALL",SUMIFS('GL Dump'!$E:$E,'GL Dump'!$H:$H,Master!$A76,'GL Dump'!$D:$D,Master!K$1),SUMIFS('GL Dump'!$E:$E,'GL Dump'!$H:$H,Master!$A76,'GL Dump'!$D:$D,Master!K$1,'GL Dump'!$C:$C,Master!$G$1))</f>
        <v>0</v>
      </c>
      <c r="L76" s="81">
        <f>IF($G$1="ALL",SUMIFS('GL Dump'!$E:$E,'GL Dump'!$H:$H,Master!$A76,'GL Dump'!$D:$D,Master!L$1),SUMIFS('GL Dump'!$E:$E,'GL Dump'!$H:$H,Master!$A76,'GL Dump'!$D:$D,Master!L$1,'GL Dump'!$C:$C,Master!$G$1))</f>
        <v>0</v>
      </c>
      <c r="M76" s="81">
        <f>IF($G$1="ALL",SUMIFS('GL Dump'!$E:$E,'GL Dump'!$H:$H,Master!$A76,'GL Dump'!$D:$D,Master!M$1),SUMIFS('GL Dump'!$E:$E,'GL Dump'!$H:$H,Master!$A76,'GL Dump'!$D:$D,Master!M$1,'GL Dump'!$C:$C,Master!$G$1))</f>
        <v>0</v>
      </c>
      <c r="N76" s="81">
        <f>IF($G$1="ALL",SUMIFS('GL Dump'!$E:$E,'GL Dump'!$H:$H,Master!$A76,'GL Dump'!$D:$D,Master!N$1),SUMIFS('GL Dump'!$E:$E,'GL Dump'!$H:$H,Master!$A76,'GL Dump'!$D:$D,Master!N$1,'GL Dump'!$C:$C,Master!$G$1))</f>
        <v>0</v>
      </c>
      <c r="O76" s="81">
        <f>IF($G$1="ALL",SUMIFS('GL Dump'!$E:$E,'GL Dump'!$H:$H,Master!$A76,'GL Dump'!$D:$D,Master!O$1),SUMIFS('GL Dump'!$E:$E,'GL Dump'!$H:$H,Master!$A76,'GL Dump'!$D:$D,Master!O$1,'GL Dump'!$C:$C,Master!$G$1))</f>
        <v>0</v>
      </c>
      <c r="P76" s="81">
        <f>IF($G$1="ALL",SUMIFS('GL Dump'!$E:$E,'GL Dump'!$H:$H,Master!$A76,'GL Dump'!$D:$D,Master!P$1),SUMIFS('GL Dump'!$E:$E,'GL Dump'!$H:$H,Master!$A76,'GL Dump'!$D:$D,Master!P$1,'GL Dump'!$C:$C,Master!$G$1))</f>
        <v>0</v>
      </c>
      <c r="Q76" s="81">
        <f>IF($G$1="ALL",SUMIFS('GL Dump'!$E:$E,'GL Dump'!$H:$H,Master!$A76,'GL Dump'!$D:$D,Master!Q$1),SUMIFS('GL Dump'!$E:$E,'GL Dump'!$H:$H,Master!$A76,'GL Dump'!$D:$D,Master!Q$1,'GL Dump'!$C:$C,Master!$G$1))</f>
        <v>-5018.25</v>
      </c>
      <c r="R76" s="81">
        <f>IF($G$1="ALL",SUMIFS('GL Dump'!$E:$E,'GL Dump'!$H:$H,Master!$A76,'GL Dump'!$D:$D,Master!R$1),SUMIFS('GL Dump'!$E:$E,'GL Dump'!$H:$H,Master!$A76,'GL Dump'!$D:$D,Master!R$1,'GL Dump'!$C:$C,Master!$G$1))</f>
        <v>1329.62</v>
      </c>
      <c r="S76" s="81">
        <f>IF($G$1="ALL",SUMIFS('GL Dump'!$E:$E,'GL Dump'!$H:$H,Master!$A76,'GL Dump'!$D:$D,Master!S$1),SUMIFS('GL Dump'!$E:$E,'GL Dump'!$H:$H,Master!$A76,'GL Dump'!$D:$D,Master!S$1,'GL Dump'!$C:$C,Master!$G$1))</f>
        <v>1218.6499999999999</v>
      </c>
    </row>
    <row r="77" spans="1:20" s="29" customFormat="1" x14ac:dyDescent="0.25">
      <c r="A77" s="444" t="s">
        <v>3064</v>
      </c>
      <c r="B77" s="445" t="s">
        <v>929</v>
      </c>
      <c r="C77" s="446">
        <v>0</v>
      </c>
      <c r="D77" s="447"/>
      <c r="E77" s="418">
        <f t="shared" si="3"/>
        <v>0</v>
      </c>
      <c r="F77" s="454"/>
      <c r="G77" s="455"/>
      <c r="H77" s="421">
        <f>E77+SUMIFS('GL Dump'!$E:$E,'GL Dump'!$H:$H,Master!A77,'GL Dump'!$D:$D,Master!$I$1)</f>
        <v>0</v>
      </c>
      <c r="I77" s="422">
        <f>IF($G$1="ALL",SUMIFS('GL Dump'!$E:$E,'GL Dump'!$H:$H,Master!$A77,'GL Dump'!$D:$D,Master!I$1),SUMIFS('GL Dump'!$E:$E,'GL Dump'!$H:$H,Master!$A77,'GL Dump'!$D:$D,Master!I$1,'GL Dump'!$C:$C,Master!$G$1))</f>
        <v>0</v>
      </c>
      <c r="J77" s="422">
        <f>IF($G$1="ALL",SUMIFS('GL Dump'!$E:$E,'GL Dump'!$H:$H,Master!$A77,'GL Dump'!$D:$D,Master!J$1),SUMIFS('GL Dump'!$E:$E,'GL Dump'!$H:$H,Master!$A77,'GL Dump'!$D:$D,Master!J$1,'GL Dump'!$C:$C,Master!$G$1))</f>
        <v>0</v>
      </c>
      <c r="K77" s="422">
        <f>IF($G$1="ALL",SUMIFS('GL Dump'!$E:$E,'GL Dump'!$H:$H,Master!$A77,'GL Dump'!$D:$D,Master!K$1),SUMIFS('GL Dump'!$E:$E,'GL Dump'!$H:$H,Master!$A77,'GL Dump'!$D:$D,Master!K$1,'GL Dump'!$C:$C,Master!$G$1))</f>
        <v>0</v>
      </c>
      <c r="L77" s="422">
        <f>IF($G$1="ALL",SUMIFS('GL Dump'!$E:$E,'GL Dump'!$H:$H,Master!$A77,'GL Dump'!$D:$D,Master!L$1),SUMIFS('GL Dump'!$E:$E,'GL Dump'!$H:$H,Master!$A77,'GL Dump'!$D:$D,Master!L$1,'GL Dump'!$C:$C,Master!$G$1))</f>
        <v>0</v>
      </c>
      <c r="M77" s="422">
        <f>IF($G$1="ALL",SUMIFS('GL Dump'!$E:$E,'GL Dump'!$H:$H,Master!$A77,'GL Dump'!$D:$D,Master!M$1),SUMIFS('GL Dump'!$E:$E,'GL Dump'!$H:$H,Master!$A77,'GL Dump'!$D:$D,Master!M$1,'GL Dump'!$C:$C,Master!$G$1))</f>
        <v>0</v>
      </c>
      <c r="N77" s="422">
        <f>IF($G$1="ALL",SUMIFS('GL Dump'!$E:$E,'GL Dump'!$H:$H,Master!$A77,'GL Dump'!$D:$D,Master!N$1),SUMIFS('GL Dump'!$E:$E,'GL Dump'!$H:$H,Master!$A77,'GL Dump'!$D:$D,Master!N$1,'GL Dump'!$C:$C,Master!$G$1))</f>
        <v>0</v>
      </c>
      <c r="O77" s="422">
        <f>IF($G$1="ALL",SUMIFS('GL Dump'!$E:$E,'GL Dump'!$H:$H,Master!$A77,'GL Dump'!$D:$D,Master!O$1),SUMIFS('GL Dump'!$E:$E,'GL Dump'!$H:$H,Master!$A77,'GL Dump'!$D:$D,Master!O$1,'GL Dump'!$C:$C,Master!$G$1))</f>
        <v>0</v>
      </c>
      <c r="P77" s="422">
        <f>IF($G$1="ALL",SUMIFS('GL Dump'!$E:$E,'GL Dump'!$H:$H,Master!$A77,'GL Dump'!$D:$D,Master!P$1),SUMIFS('GL Dump'!$E:$E,'GL Dump'!$H:$H,Master!$A77,'GL Dump'!$D:$D,Master!P$1,'GL Dump'!$C:$C,Master!$G$1))</f>
        <v>0</v>
      </c>
      <c r="Q77" s="422">
        <f>IF($G$1="ALL",SUMIFS('GL Dump'!$E:$E,'GL Dump'!$H:$H,Master!$A77,'GL Dump'!$D:$D,Master!Q$1),SUMIFS('GL Dump'!$E:$E,'GL Dump'!$H:$H,Master!$A77,'GL Dump'!$D:$D,Master!Q$1,'GL Dump'!$C:$C,Master!$G$1))</f>
        <v>0</v>
      </c>
      <c r="R77" s="422">
        <f>IF($G$1="ALL",SUMIFS('GL Dump'!$E:$E,'GL Dump'!$H:$H,Master!$A77,'GL Dump'!$D:$D,Master!R$1),SUMIFS('GL Dump'!$E:$E,'GL Dump'!$H:$H,Master!$A77,'GL Dump'!$D:$D,Master!R$1,'GL Dump'!$C:$C,Master!$G$1))</f>
        <v>0</v>
      </c>
      <c r="S77" s="422">
        <f>IF($G$1="ALL",SUMIFS('GL Dump'!$E:$E,'GL Dump'!$H:$H,Master!$A77,'GL Dump'!$D:$D,Master!S$1),SUMIFS('GL Dump'!$E:$E,'GL Dump'!$H:$H,Master!$A77,'GL Dump'!$D:$D,Master!S$1,'GL Dump'!$C:$C,Master!$G$1))</f>
        <v>0</v>
      </c>
      <c r="T77" s="450"/>
    </row>
    <row r="78" spans="1:20" s="29" customFormat="1" x14ac:dyDescent="0.25">
      <c r="A78" s="145" t="s">
        <v>2580</v>
      </c>
      <c r="B78" s="261" t="s">
        <v>929</v>
      </c>
      <c r="C78" s="185">
        <v>0</v>
      </c>
      <c r="D78" s="82">
        <v>2249.0100000000002</v>
      </c>
      <c r="E78" s="91">
        <f t="shared" si="3"/>
        <v>0</v>
      </c>
      <c r="F78" s="267" t="s">
        <v>3137</v>
      </c>
      <c r="G78" s="296"/>
      <c r="H78" s="397">
        <f>E78+SUMIFS('GL Dump'!$E:$E,'GL Dump'!$H:$H,Master!A78,'GL Dump'!$D:$D,Master!$I$1)</f>
        <v>0</v>
      </c>
      <c r="I78" s="81">
        <f>IF($G$1="ALL",SUMIFS('GL Dump'!$E:$E,'GL Dump'!$H:$H,Master!$A78,'GL Dump'!$D:$D,Master!I$1),SUMIFS('GL Dump'!$E:$E,'GL Dump'!$H:$H,Master!$A78,'GL Dump'!$D:$D,Master!I$1,'GL Dump'!$C:$C,Master!$G$1))</f>
        <v>0</v>
      </c>
      <c r="J78" s="81">
        <f>IF($G$1="ALL",SUMIFS('GL Dump'!$E:$E,'GL Dump'!$H:$H,Master!$A78,'GL Dump'!$D:$D,Master!J$1),SUMIFS('GL Dump'!$E:$E,'GL Dump'!$H:$H,Master!$A78,'GL Dump'!$D:$D,Master!J$1,'GL Dump'!$C:$C,Master!$G$1))</f>
        <v>2249.0100000000002</v>
      </c>
      <c r="K78" s="81">
        <f>IF($G$1="ALL",SUMIFS('GL Dump'!$E:$E,'GL Dump'!$H:$H,Master!$A78,'GL Dump'!$D:$D,Master!K$1),SUMIFS('GL Dump'!$E:$E,'GL Dump'!$H:$H,Master!$A78,'GL Dump'!$D:$D,Master!K$1,'GL Dump'!$C:$C,Master!$G$1))</f>
        <v>2249.0100000000002</v>
      </c>
      <c r="L78" s="81">
        <f>IF($G$1="ALL",SUMIFS('GL Dump'!$E:$E,'GL Dump'!$H:$H,Master!$A78,'GL Dump'!$D:$D,Master!L$1),SUMIFS('GL Dump'!$E:$E,'GL Dump'!$H:$H,Master!$A78,'GL Dump'!$D:$D,Master!L$1,'GL Dump'!$C:$C,Master!$G$1))</f>
        <v>2249.0100000000002</v>
      </c>
      <c r="M78" s="81">
        <f>IF($G$1="ALL",SUMIFS('GL Dump'!$E:$E,'GL Dump'!$H:$H,Master!$A78,'GL Dump'!$D:$D,Master!M$1),SUMIFS('GL Dump'!$E:$E,'GL Dump'!$H:$H,Master!$A78,'GL Dump'!$D:$D,Master!M$1,'GL Dump'!$C:$C,Master!$G$1))</f>
        <v>1938.15</v>
      </c>
      <c r="N78" s="81">
        <f>IF($G$1="ALL",SUMIFS('GL Dump'!$E:$E,'GL Dump'!$H:$H,Master!$A78,'GL Dump'!$D:$D,Master!N$1),SUMIFS('GL Dump'!$E:$E,'GL Dump'!$H:$H,Master!$A78,'GL Dump'!$D:$D,Master!N$1,'GL Dump'!$C:$C,Master!$G$1))</f>
        <v>2300.8200000000002</v>
      </c>
      <c r="O78" s="81">
        <f>IF($G$1="ALL",SUMIFS('GL Dump'!$E:$E,'GL Dump'!$H:$H,Master!$A78,'GL Dump'!$D:$D,Master!O$1),SUMIFS('GL Dump'!$E:$E,'GL Dump'!$H:$H,Master!$A78,'GL Dump'!$D:$D,Master!O$1,'GL Dump'!$C:$C,Master!$G$1))</f>
        <v>2300.81</v>
      </c>
      <c r="P78" s="81">
        <f>IF($G$1="ALL",SUMIFS('GL Dump'!$E:$E,'GL Dump'!$H:$H,Master!$A78,'GL Dump'!$D:$D,Master!P$1),SUMIFS('GL Dump'!$E:$E,'GL Dump'!$H:$H,Master!$A78,'GL Dump'!$D:$D,Master!P$1,'GL Dump'!$C:$C,Master!$G$1))</f>
        <v>2300.8200000000002</v>
      </c>
      <c r="Q78" s="81">
        <f>IF($G$1="ALL",SUMIFS('GL Dump'!$E:$E,'GL Dump'!$H:$H,Master!$A78,'GL Dump'!$D:$D,Master!Q$1),SUMIFS('GL Dump'!$E:$E,'GL Dump'!$H:$H,Master!$A78,'GL Dump'!$D:$D,Master!Q$1,'GL Dump'!$C:$C,Master!$G$1))</f>
        <v>2300.8200000000002</v>
      </c>
      <c r="R78" s="81">
        <f>IF($G$1="ALL",SUMIFS('GL Dump'!$E:$E,'GL Dump'!$H:$H,Master!$A78,'GL Dump'!$D:$D,Master!R$1),SUMIFS('GL Dump'!$E:$E,'GL Dump'!$H:$H,Master!$A78,'GL Dump'!$D:$D,Master!R$1,'GL Dump'!$C:$C,Master!$G$1))</f>
        <v>2300.8200000000002</v>
      </c>
      <c r="S78" s="81">
        <f>IF($G$1="ALL",SUMIFS('GL Dump'!$E:$E,'GL Dump'!$H:$H,Master!$A78,'GL Dump'!$D:$D,Master!S$1),SUMIFS('GL Dump'!$E:$E,'GL Dump'!$H:$H,Master!$A78,'GL Dump'!$D:$D,Master!S$1,'GL Dump'!$C:$C,Master!$G$1))</f>
        <v>2300.8200000000002</v>
      </c>
    </row>
    <row r="79" spans="1:20" s="29" customFormat="1" x14ac:dyDescent="0.25">
      <c r="A79" s="444" t="s">
        <v>2581</v>
      </c>
      <c r="B79" s="445" t="s">
        <v>3139</v>
      </c>
      <c r="C79" s="446">
        <v>2</v>
      </c>
      <c r="D79" s="447">
        <v>19.71</v>
      </c>
      <c r="E79" s="418">
        <f t="shared" si="3"/>
        <v>39.42</v>
      </c>
      <c r="F79" s="448" t="s">
        <v>3138</v>
      </c>
      <c r="G79" s="449"/>
      <c r="H79" s="421">
        <f>+E80+E81+E79+SUMIFS('GL Dump'!$E:$E,'GL Dump'!$H:$H,Master!A79,'GL Dump'!$D:$D,Master!$I$1)</f>
        <v>1321.07</v>
      </c>
      <c r="I79" s="422">
        <f>IF($G$1="ALL",SUMIFS('GL Dump'!$E:$E,'GL Dump'!$H:$H,Master!$A79,'GL Dump'!$D:$D,Master!I$1),SUMIFS('GL Dump'!$E:$E,'GL Dump'!$H:$H,Master!$A79,'GL Dump'!$D:$D,Master!I$1,'GL Dump'!$C:$C,Master!$G$1))</f>
        <v>0</v>
      </c>
      <c r="J79" s="422">
        <f>IF($G$1="ALL",SUMIFS('GL Dump'!$E:$E,'GL Dump'!$H:$H,Master!$A79,'GL Dump'!$D:$D,Master!J$1),SUMIFS('GL Dump'!$E:$E,'GL Dump'!$H:$H,Master!$A79,'GL Dump'!$D:$D,Master!J$1,'GL Dump'!$C:$C,Master!$G$1))</f>
        <v>59.15</v>
      </c>
      <c r="K79" s="422">
        <f>IF($G$1="ALL",SUMIFS('GL Dump'!$E:$E,'GL Dump'!$H:$H,Master!$A79,'GL Dump'!$D:$D,Master!K$1),SUMIFS('GL Dump'!$E:$E,'GL Dump'!$H:$H,Master!$A79,'GL Dump'!$D:$D,Master!K$1,'GL Dump'!$C:$C,Master!$G$1))</f>
        <v>0</v>
      </c>
      <c r="L79" s="422">
        <f>IF($G$1="ALL",SUMIFS('GL Dump'!$E:$E,'GL Dump'!$H:$H,Master!$A79,'GL Dump'!$D:$D,Master!L$1),SUMIFS('GL Dump'!$E:$E,'GL Dump'!$H:$H,Master!$A79,'GL Dump'!$D:$D,Master!L$1,'GL Dump'!$C:$C,Master!$G$1))</f>
        <v>0</v>
      </c>
      <c r="M79" s="422">
        <f>IF($G$1="ALL",SUMIFS('GL Dump'!$E:$E,'GL Dump'!$H:$H,Master!$A79,'GL Dump'!$D:$D,Master!M$1),SUMIFS('GL Dump'!$E:$E,'GL Dump'!$H:$H,Master!$A79,'GL Dump'!$D:$D,Master!M$1,'GL Dump'!$C:$C,Master!$G$1))</f>
        <v>59.17</v>
      </c>
      <c r="N79" s="422">
        <f>IF($G$1="ALL",SUMIFS('GL Dump'!$E:$E,'GL Dump'!$H:$H,Master!$A79,'GL Dump'!$D:$D,Master!N$1),SUMIFS('GL Dump'!$E:$E,'GL Dump'!$H:$H,Master!$A79,'GL Dump'!$D:$D,Master!N$1,'GL Dump'!$C:$C,Master!$G$1))</f>
        <v>769.31</v>
      </c>
      <c r="O79" s="422">
        <f>IF($G$1="ALL",SUMIFS('GL Dump'!$E:$E,'GL Dump'!$H:$H,Master!$A79,'GL Dump'!$D:$D,Master!O$1),SUMIFS('GL Dump'!$E:$E,'GL Dump'!$H:$H,Master!$A79,'GL Dump'!$D:$D,Master!O$1,'GL Dump'!$C:$C,Master!$G$1))</f>
        <v>0</v>
      </c>
      <c r="P79" s="422">
        <f>IF($G$1="ALL",SUMIFS('GL Dump'!$E:$E,'GL Dump'!$H:$H,Master!$A79,'GL Dump'!$D:$D,Master!P$1),SUMIFS('GL Dump'!$E:$E,'GL Dump'!$H:$H,Master!$A79,'GL Dump'!$D:$D,Master!P$1,'GL Dump'!$C:$C,Master!$G$1))</f>
        <v>59.15</v>
      </c>
      <c r="Q79" s="422">
        <f>IF($G$1="ALL",SUMIFS('GL Dump'!$E:$E,'GL Dump'!$H:$H,Master!$A79,'GL Dump'!$D:$D,Master!Q$1),SUMIFS('GL Dump'!$E:$E,'GL Dump'!$H:$H,Master!$A79,'GL Dump'!$D:$D,Master!Q$1,'GL Dump'!$C:$C,Master!$G$1))</f>
        <v>0</v>
      </c>
      <c r="R79" s="422">
        <f>IF($G$1="ALL",SUMIFS('GL Dump'!$E:$E,'GL Dump'!$H:$H,Master!$A79,'GL Dump'!$D:$D,Master!R$1),SUMIFS('GL Dump'!$E:$E,'GL Dump'!$H:$H,Master!$A79,'GL Dump'!$D:$D,Master!R$1,'GL Dump'!$C:$C,Master!$G$1))</f>
        <v>769.3</v>
      </c>
      <c r="S79" s="422">
        <f>IF($G$1="ALL",SUMIFS('GL Dump'!$E:$E,'GL Dump'!$H:$H,Master!$A79,'GL Dump'!$D:$D,Master!S$1),SUMIFS('GL Dump'!$E:$E,'GL Dump'!$H:$H,Master!$A79,'GL Dump'!$D:$D,Master!S$1,'GL Dump'!$C:$C,Master!$G$1))</f>
        <v>816.11</v>
      </c>
      <c r="T79" s="450"/>
    </row>
    <row r="80" spans="1:20" s="29" customFormat="1" x14ac:dyDescent="0.25">
      <c r="A80" s="145" t="s">
        <v>2581</v>
      </c>
      <c r="B80" s="261" t="s">
        <v>3140</v>
      </c>
      <c r="C80" s="185"/>
      <c r="D80" s="82">
        <v>0</v>
      </c>
      <c r="E80" s="91">
        <f t="shared" si="3"/>
        <v>0</v>
      </c>
      <c r="F80" s="267" t="s">
        <v>3145</v>
      </c>
      <c r="G80" s="296"/>
      <c r="H80" s="397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</row>
    <row r="81" spans="1:20" s="29" customFormat="1" x14ac:dyDescent="0.25">
      <c r="A81" s="444" t="s">
        <v>2581</v>
      </c>
      <c r="B81" s="445" t="s">
        <v>3142</v>
      </c>
      <c r="C81" s="446">
        <v>5</v>
      </c>
      <c r="D81" s="447">
        <v>256.33</v>
      </c>
      <c r="E81" s="418">
        <f t="shared" si="3"/>
        <v>1281.6499999999999</v>
      </c>
      <c r="F81" s="448" t="s">
        <v>3141</v>
      </c>
      <c r="G81" s="449"/>
      <c r="H81" s="421"/>
      <c r="I81" s="422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50"/>
    </row>
    <row r="82" spans="1:20" s="29" customFormat="1" x14ac:dyDescent="0.25">
      <c r="A82" s="145" t="s">
        <v>2596</v>
      </c>
      <c r="B82" s="261" t="s">
        <v>1088</v>
      </c>
      <c r="C82" s="185">
        <v>2</v>
      </c>
      <c r="D82" s="82">
        <v>19.71</v>
      </c>
      <c r="E82" s="91">
        <f t="shared" si="3"/>
        <v>39.42</v>
      </c>
      <c r="F82" s="279" t="s">
        <v>3138</v>
      </c>
      <c r="G82" s="295"/>
      <c r="H82" s="397">
        <f>E82+E83+E84+SUMIFS('GL Dump'!$E:$E,'GL Dump'!$H:$H,Master!A82,'GL Dump'!$D:$D,Master!$I$1)</f>
        <v>5167.7700000000004</v>
      </c>
      <c r="I82" s="81">
        <f>IF($G$1="ALL",SUMIFS('GL Dump'!$E:$E,'GL Dump'!$H:$H,Master!$A82,'GL Dump'!$D:$D,Master!I$1),SUMIFS('GL Dump'!$E:$E,'GL Dump'!$H:$H,Master!$A82,'GL Dump'!$D:$D,Master!I$1,'GL Dump'!$C:$C,Master!$G$1))</f>
        <v>0</v>
      </c>
      <c r="J82" s="81">
        <f>IF($G$1="ALL",SUMIFS('GL Dump'!$E:$E,'GL Dump'!$H:$H,Master!$A82,'GL Dump'!$D:$D,Master!J$1),SUMIFS('GL Dump'!$E:$E,'GL Dump'!$H:$H,Master!$A82,'GL Dump'!$D:$D,Master!J$1,'GL Dump'!$C:$C,Master!$G$1))</f>
        <v>59.16</v>
      </c>
      <c r="K82" s="81">
        <f>IF($G$1="ALL",SUMIFS('GL Dump'!$E:$E,'GL Dump'!$H:$H,Master!$A82,'GL Dump'!$D:$D,Master!K$1),SUMIFS('GL Dump'!$E:$E,'GL Dump'!$H:$H,Master!$A82,'GL Dump'!$D:$D,Master!K$1,'GL Dump'!$C:$C,Master!$G$1))</f>
        <v>0</v>
      </c>
      <c r="L82" s="81">
        <f>IF($G$1="ALL",SUMIFS('GL Dump'!$E:$E,'GL Dump'!$H:$H,Master!$A82,'GL Dump'!$D:$D,Master!L$1),SUMIFS('GL Dump'!$E:$E,'GL Dump'!$H:$H,Master!$A82,'GL Dump'!$D:$D,Master!L$1,'GL Dump'!$C:$C,Master!$G$1))</f>
        <v>0</v>
      </c>
      <c r="M82" s="81">
        <f>IF($G$1="ALL",SUMIFS('GL Dump'!$E:$E,'GL Dump'!$H:$H,Master!$A82,'GL Dump'!$D:$D,Master!M$1),SUMIFS('GL Dump'!$E:$E,'GL Dump'!$H:$H,Master!$A82,'GL Dump'!$D:$D,Master!M$1,'GL Dump'!$C:$C,Master!$G$1))</f>
        <v>59.16</v>
      </c>
      <c r="N82" s="81">
        <f>IF($G$1="ALL",SUMIFS('GL Dump'!$E:$E,'GL Dump'!$H:$H,Master!$A82,'GL Dump'!$D:$D,Master!N$1),SUMIFS('GL Dump'!$E:$E,'GL Dump'!$H:$H,Master!$A82,'GL Dump'!$D:$D,Master!N$1,'GL Dump'!$C:$C,Master!$G$1))</f>
        <v>3077.22</v>
      </c>
      <c r="O82" s="81">
        <f>IF($G$1="ALL",SUMIFS('GL Dump'!$E:$E,'GL Dump'!$H:$H,Master!$A82,'GL Dump'!$D:$D,Master!O$1),SUMIFS('GL Dump'!$E:$E,'GL Dump'!$H:$H,Master!$A82,'GL Dump'!$D:$D,Master!O$1,'GL Dump'!$C:$C,Master!$G$1))</f>
        <v>0</v>
      </c>
      <c r="P82" s="81">
        <f>IF($G$1="ALL",SUMIFS('GL Dump'!$E:$E,'GL Dump'!$H:$H,Master!$A82,'GL Dump'!$D:$D,Master!P$1),SUMIFS('GL Dump'!$E:$E,'GL Dump'!$H:$H,Master!$A82,'GL Dump'!$D:$D,Master!P$1,'GL Dump'!$C:$C,Master!$G$1))</f>
        <v>59.18</v>
      </c>
      <c r="Q82" s="81">
        <f>IF($G$1="ALL",SUMIFS('GL Dump'!$E:$E,'GL Dump'!$H:$H,Master!$A82,'GL Dump'!$D:$D,Master!Q$1),SUMIFS('GL Dump'!$E:$E,'GL Dump'!$H:$H,Master!$A82,'GL Dump'!$D:$D,Master!Q$1,'GL Dump'!$C:$C,Master!$G$1))</f>
        <v>0</v>
      </c>
      <c r="R82" s="81">
        <f>IF($G$1="ALL",SUMIFS('GL Dump'!$E:$E,'GL Dump'!$H:$H,Master!$A82,'GL Dump'!$D:$D,Master!R$1),SUMIFS('GL Dump'!$E:$E,'GL Dump'!$H:$H,Master!$A82,'GL Dump'!$D:$D,Master!R$1,'GL Dump'!$C:$C,Master!$G$1))</f>
        <v>3077.23</v>
      </c>
      <c r="S82" s="81">
        <f>IF($G$1="ALL",SUMIFS('GL Dump'!$E:$E,'GL Dump'!$H:$H,Master!$A82,'GL Dump'!$D:$D,Master!S$1),SUMIFS('GL Dump'!$E:$E,'GL Dump'!$H:$H,Master!$A82,'GL Dump'!$D:$D,Master!S$1,'GL Dump'!$C:$C,Master!$G$1))</f>
        <v>3093</v>
      </c>
    </row>
    <row r="83" spans="1:20" s="29" customFormat="1" x14ac:dyDescent="0.25">
      <c r="A83" s="444" t="s">
        <v>2596</v>
      </c>
      <c r="B83" s="445" t="s">
        <v>3140</v>
      </c>
      <c r="C83" s="446"/>
      <c r="D83" s="447">
        <v>0</v>
      </c>
      <c r="E83" s="418">
        <f t="shared" si="3"/>
        <v>0</v>
      </c>
      <c r="F83" s="454" t="s">
        <v>3145</v>
      </c>
      <c r="G83" s="455"/>
      <c r="H83" s="421"/>
      <c r="I83" s="422"/>
      <c r="J83" s="422"/>
      <c r="K83" s="422"/>
      <c r="L83" s="422"/>
      <c r="M83" s="422"/>
      <c r="N83" s="422"/>
      <c r="O83" s="422"/>
      <c r="P83" s="422"/>
      <c r="Q83" s="422"/>
      <c r="R83" s="422"/>
      <c r="S83" s="422"/>
      <c r="T83" s="450"/>
    </row>
    <row r="84" spans="1:20" s="29" customFormat="1" x14ac:dyDescent="0.25">
      <c r="A84" s="145" t="s">
        <v>2596</v>
      </c>
      <c r="B84" s="261" t="s">
        <v>930</v>
      </c>
      <c r="C84" s="185">
        <v>5</v>
      </c>
      <c r="D84" s="82">
        <v>1025.67</v>
      </c>
      <c r="E84" s="91">
        <f t="shared" si="3"/>
        <v>5128.3500000000004</v>
      </c>
      <c r="F84" s="279" t="s">
        <v>3141</v>
      </c>
      <c r="G84" s="295"/>
      <c r="H84" s="397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</row>
    <row r="85" spans="1:20" s="29" customFormat="1" x14ac:dyDescent="0.25">
      <c r="A85" s="444" t="s">
        <v>2597</v>
      </c>
      <c r="B85" s="445" t="s">
        <v>1088</v>
      </c>
      <c r="C85" s="446">
        <v>2</v>
      </c>
      <c r="D85" s="447">
        <v>19.71</v>
      </c>
      <c r="E85" s="418">
        <f t="shared" si="3"/>
        <v>39.42</v>
      </c>
      <c r="F85" s="448" t="s">
        <v>3143</v>
      </c>
      <c r="G85" s="449"/>
      <c r="H85" s="421">
        <f>E85+E86+E87+SUMIFS('GL Dump'!$E:$E,'GL Dump'!$H:$H,Master!A85,'GL Dump'!$D:$D,Master!$I$1)</f>
        <v>2176.0700000000002</v>
      </c>
      <c r="I85" s="422">
        <f>IF($G$1="ALL",SUMIFS('GL Dump'!$E:$E,'GL Dump'!$H:$H,Master!$A85,'GL Dump'!$D:$D,Master!I$1),SUMIFS('GL Dump'!$E:$E,'GL Dump'!$H:$H,Master!$A85,'GL Dump'!$D:$D,Master!I$1,'GL Dump'!$C:$C,Master!$G$1))</f>
        <v>0</v>
      </c>
      <c r="J85" s="422">
        <f>IF($G$1="ALL",SUMIFS('GL Dump'!$E:$E,'GL Dump'!$H:$H,Master!$A85,'GL Dump'!$D:$D,Master!J$1),SUMIFS('GL Dump'!$E:$E,'GL Dump'!$H:$H,Master!$A85,'GL Dump'!$D:$D,Master!J$1,'GL Dump'!$C:$C,Master!$G$1))</f>
        <v>59.16</v>
      </c>
      <c r="K85" s="422">
        <f>IF($G$1="ALL",SUMIFS('GL Dump'!$E:$E,'GL Dump'!$H:$H,Master!$A85,'GL Dump'!$D:$D,Master!K$1),SUMIFS('GL Dump'!$E:$E,'GL Dump'!$H:$H,Master!$A85,'GL Dump'!$D:$D,Master!K$1,'GL Dump'!$C:$C,Master!$G$1))</f>
        <v>0</v>
      </c>
      <c r="L85" s="422">
        <f>IF($G$1="ALL",SUMIFS('GL Dump'!$E:$E,'GL Dump'!$H:$H,Master!$A85,'GL Dump'!$D:$D,Master!L$1),SUMIFS('GL Dump'!$E:$E,'GL Dump'!$H:$H,Master!$A85,'GL Dump'!$D:$D,Master!L$1,'GL Dump'!$C:$C,Master!$G$1))</f>
        <v>0</v>
      </c>
      <c r="M85" s="422">
        <f>IF($G$1="ALL",SUMIFS('GL Dump'!$E:$E,'GL Dump'!$H:$H,Master!$A85,'GL Dump'!$D:$D,Master!M$1),SUMIFS('GL Dump'!$E:$E,'GL Dump'!$H:$H,Master!$A85,'GL Dump'!$D:$D,Master!M$1,'GL Dump'!$C:$C,Master!$G$1))</f>
        <v>59.15</v>
      </c>
      <c r="N85" s="422">
        <f>IF($G$1="ALL",SUMIFS('GL Dump'!$E:$E,'GL Dump'!$H:$H,Master!$A85,'GL Dump'!$D:$D,Master!N$1),SUMIFS('GL Dump'!$E:$E,'GL Dump'!$H:$H,Master!$A85,'GL Dump'!$D:$D,Master!N$1,'GL Dump'!$C:$C,Master!$G$1))</f>
        <v>1282.18</v>
      </c>
      <c r="O85" s="422">
        <f>IF($G$1="ALL",SUMIFS('GL Dump'!$E:$E,'GL Dump'!$H:$H,Master!$A85,'GL Dump'!$D:$D,Master!O$1),SUMIFS('GL Dump'!$E:$E,'GL Dump'!$H:$H,Master!$A85,'GL Dump'!$D:$D,Master!O$1,'GL Dump'!$C:$C,Master!$G$1))</f>
        <v>0</v>
      </c>
      <c r="P85" s="422">
        <f>IF($G$1="ALL",SUMIFS('GL Dump'!$E:$E,'GL Dump'!$H:$H,Master!$A85,'GL Dump'!$D:$D,Master!P$1),SUMIFS('GL Dump'!$E:$E,'GL Dump'!$H:$H,Master!$A85,'GL Dump'!$D:$D,Master!P$1,'GL Dump'!$C:$C,Master!$G$1))</f>
        <v>59.15</v>
      </c>
      <c r="Q85" s="422">
        <f>IF($G$1="ALL",SUMIFS('GL Dump'!$E:$E,'GL Dump'!$H:$H,Master!$A85,'GL Dump'!$D:$D,Master!Q$1),SUMIFS('GL Dump'!$E:$E,'GL Dump'!$H:$H,Master!$A85,'GL Dump'!$D:$D,Master!Q$1,'GL Dump'!$C:$C,Master!$G$1))</f>
        <v>0</v>
      </c>
      <c r="R85" s="422">
        <f>IF($G$1="ALL",SUMIFS('GL Dump'!$E:$E,'GL Dump'!$H:$H,Master!$A85,'GL Dump'!$D:$D,Master!R$1),SUMIFS('GL Dump'!$E:$E,'GL Dump'!$H:$H,Master!$A85,'GL Dump'!$D:$D,Master!R$1,'GL Dump'!$C:$C,Master!$G$1))</f>
        <v>1282.18</v>
      </c>
      <c r="S85" s="422">
        <f>IF($G$1="ALL",SUMIFS('GL Dump'!$E:$E,'GL Dump'!$H:$H,Master!$A85,'GL Dump'!$D:$D,Master!S$1),SUMIFS('GL Dump'!$E:$E,'GL Dump'!$H:$H,Master!$A85,'GL Dump'!$D:$D,Master!S$1,'GL Dump'!$C:$C,Master!$G$1))</f>
        <v>1322.0900000000001</v>
      </c>
      <c r="T85" s="450"/>
    </row>
    <row r="86" spans="1:20" s="29" customFormat="1" x14ac:dyDescent="0.25">
      <c r="A86" s="145" t="s">
        <v>2597</v>
      </c>
      <c r="B86" s="261" t="s">
        <v>3140</v>
      </c>
      <c r="C86" s="185"/>
      <c r="D86" s="82">
        <v>0</v>
      </c>
      <c r="E86" s="91">
        <f t="shared" si="3"/>
        <v>0</v>
      </c>
      <c r="F86" s="267" t="s">
        <v>3145</v>
      </c>
      <c r="G86" s="296"/>
      <c r="H86" s="397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</row>
    <row r="87" spans="1:20" s="29" customFormat="1" x14ac:dyDescent="0.25">
      <c r="A87" s="444" t="s">
        <v>2597</v>
      </c>
      <c r="B87" s="445" t="s">
        <v>931</v>
      </c>
      <c r="C87" s="446">
        <v>5</v>
      </c>
      <c r="D87" s="447">
        <v>427.33</v>
      </c>
      <c r="E87" s="418">
        <f t="shared" si="3"/>
        <v>2136.65</v>
      </c>
      <c r="F87" s="448" t="s">
        <v>3144</v>
      </c>
      <c r="G87" s="449"/>
      <c r="H87" s="421"/>
      <c r="I87" s="422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50"/>
    </row>
    <row r="88" spans="1:20" s="29" customFormat="1" x14ac:dyDescent="0.25">
      <c r="A88" s="386" t="s">
        <v>2604</v>
      </c>
      <c r="B88" s="387" t="s">
        <v>904</v>
      </c>
      <c r="C88" s="248">
        <v>0</v>
      </c>
      <c r="D88" s="249">
        <v>0</v>
      </c>
      <c r="E88" s="250">
        <f t="shared" si="3"/>
        <v>0</v>
      </c>
      <c r="F88" s="388" t="s">
        <v>1031</v>
      </c>
      <c r="G88" s="298"/>
      <c r="H88" s="397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</row>
    <row r="89" spans="1:20" s="29" customFormat="1" x14ac:dyDescent="0.25">
      <c r="A89" s="145" t="s">
        <v>2604</v>
      </c>
      <c r="B89" s="261" t="s">
        <v>940</v>
      </c>
      <c r="C89" s="185">
        <v>11</v>
      </c>
      <c r="D89" s="82">
        <v>188.72</v>
      </c>
      <c r="E89" s="91">
        <f t="shared" si="3"/>
        <v>2075.92</v>
      </c>
      <c r="F89" s="283" t="s">
        <v>3146</v>
      </c>
      <c r="G89" s="297"/>
      <c r="H89" s="397">
        <f>E89+SUMIFS('GL Dump'!$E:$E,'GL Dump'!$H:$H,Master!A89,'GL Dump'!$D:$D,Master!$I$1)</f>
        <v>2075.92</v>
      </c>
      <c r="I89" s="81">
        <f>IF($G$1="ALL",SUMIFS('GL Dump'!$E:$E,'GL Dump'!$H:$H,Master!$A89,'GL Dump'!$D:$D,Master!I$1),SUMIFS('GL Dump'!$E:$E,'GL Dump'!$H:$H,Master!$A89,'GL Dump'!$D:$D,Master!I$1,'GL Dump'!$C:$C,Master!$G$1))</f>
        <v>0</v>
      </c>
      <c r="J89" s="81">
        <f>IF($G$1="ALL",SUMIFS('GL Dump'!$E:$E,'GL Dump'!$H:$H,Master!$A89,'GL Dump'!$D:$D,Master!J$1),SUMIFS('GL Dump'!$E:$E,'GL Dump'!$H:$H,Master!$A89,'GL Dump'!$D:$D,Master!J$1,'GL Dump'!$C:$C,Master!$G$1))</f>
        <v>0</v>
      </c>
      <c r="K89" s="81">
        <f>IF($G$1="ALL",SUMIFS('GL Dump'!$E:$E,'GL Dump'!$H:$H,Master!$A89,'GL Dump'!$D:$D,Master!K$1),SUMIFS('GL Dump'!$E:$E,'GL Dump'!$H:$H,Master!$A89,'GL Dump'!$D:$D,Master!K$1,'GL Dump'!$C:$C,Master!$G$1))</f>
        <v>0</v>
      </c>
      <c r="L89" s="81">
        <f>IF($G$1="ALL",SUMIFS('GL Dump'!$E:$E,'GL Dump'!$H:$H,Master!$A89,'GL Dump'!$D:$D,Master!L$1),SUMIFS('GL Dump'!$E:$E,'GL Dump'!$H:$H,Master!$A89,'GL Dump'!$D:$D,Master!L$1,'GL Dump'!$C:$C,Master!$G$1))</f>
        <v>0</v>
      </c>
      <c r="M89" s="81">
        <f>IF($G$1="ALL",SUMIFS('GL Dump'!$E:$E,'GL Dump'!$H:$H,Master!$A89,'GL Dump'!$D:$D,Master!M$1),SUMIFS('GL Dump'!$E:$E,'GL Dump'!$H:$H,Master!$A89,'GL Dump'!$D:$D,Master!M$1,'GL Dump'!$C:$C,Master!$G$1))</f>
        <v>0</v>
      </c>
      <c r="N89" s="81">
        <f>IF($G$1="ALL",SUMIFS('GL Dump'!$E:$E,'GL Dump'!$H:$H,Master!$A89,'GL Dump'!$D:$D,Master!N$1),SUMIFS('GL Dump'!$E:$E,'GL Dump'!$H:$H,Master!$A89,'GL Dump'!$D:$D,Master!N$1,'GL Dump'!$C:$C,Master!$G$1))</f>
        <v>0</v>
      </c>
      <c r="O89" s="81">
        <f>IF($G$1="ALL",SUMIFS('GL Dump'!$E:$E,'GL Dump'!$H:$H,Master!$A89,'GL Dump'!$D:$D,Master!O$1),SUMIFS('GL Dump'!$E:$E,'GL Dump'!$H:$H,Master!$A89,'GL Dump'!$D:$D,Master!O$1,'GL Dump'!$C:$C,Master!$G$1))</f>
        <v>0</v>
      </c>
      <c r="P89" s="81">
        <f>IF($G$1="ALL",SUMIFS('GL Dump'!$E:$E,'GL Dump'!$H:$H,Master!$A89,'GL Dump'!$D:$D,Master!P$1),SUMIFS('GL Dump'!$E:$E,'GL Dump'!$H:$H,Master!$A89,'GL Dump'!$D:$D,Master!P$1,'GL Dump'!$C:$C,Master!$G$1))</f>
        <v>0</v>
      </c>
      <c r="Q89" s="81">
        <f>IF($G$1="ALL",SUMIFS('GL Dump'!$E:$E,'GL Dump'!$H:$H,Master!$A89,'GL Dump'!$D:$D,Master!Q$1),SUMIFS('GL Dump'!$E:$E,'GL Dump'!$H:$H,Master!$A89,'GL Dump'!$D:$D,Master!Q$1,'GL Dump'!$C:$C,Master!$G$1))</f>
        <v>0</v>
      </c>
      <c r="R89" s="81">
        <f>IF($G$1="ALL",SUMIFS('GL Dump'!$E:$E,'GL Dump'!$H:$H,Master!$A89,'GL Dump'!$D:$D,Master!R$1),SUMIFS('GL Dump'!$E:$E,'GL Dump'!$H:$H,Master!$A89,'GL Dump'!$D:$D,Master!R$1,'GL Dump'!$C:$C,Master!$G$1))</f>
        <v>0</v>
      </c>
      <c r="S89" s="81">
        <f>IF($G$1="ALL",SUMIFS('GL Dump'!$E:$E,'GL Dump'!$H:$H,Master!$A89,'GL Dump'!$D:$D,Master!S$1),SUMIFS('GL Dump'!$E:$E,'GL Dump'!$H:$H,Master!$A89,'GL Dump'!$D:$D,Master!S$1,'GL Dump'!$C:$C,Master!$G$1))</f>
        <v>0</v>
      </c>
    </row>
    <row r="90" spans="1:20" s="29" customFormat="1" x14ac:dyDescent="0.25">
      <c r="A90" s="444" t="s">
        <v>2606</v>
      </c>
      <c r="B90" s="445" t="s">
        <v>887</v>
      </c>
      <c r="C90" s="446">
        <v>11</v>
      </c>
      <c r="D90" s="447">
        <v>13.14</v>
      </c>
      <c r="E90" s="418">
        <f t="shared" si="3"/>
        <v>144.54000000000002</v>
      </c>
      <c r="F90" s="456" t="s">
        <v>3146</v>
      </c>
      <c r="G90" s="457"/>
      <c r="H90" s="421">
        <f>E90+SUMIFS('GL Dump'!$E:$E,'GL Dump'!$H:$H,Master!A90,'GL Dump'!$D:$D,Master!$I$1)</f>
        <v>144.54000000000002</v>
      </c>
      <c r="I90" s="422">
        <f>IF($G$1="ALL",SUMIFS('GL Dump'!$E:$E,'GL Dump'!$H:$H,Master!$A90,'GL Dump'!$D:$D,Master!I$1),SUMIFS('GL Dump'!$E:$E,'GL Dump'!$H:$H,Master!$A90,'GL Dump'!$D:$D,Master!I$1,'GL Dump'!$C:$C,Master!$G$1))</f>
        <v>0</v>
      </c>
      <c r="J90" s="422">
        <f>IF($G$1="ALL",SUMIFS('GL Dump'!$E:$E,'GL Dump'!$H:$H,Master!$A90,'GL Dump'!$D:$D,Master!J$1),SUMIFS('GL Dump'!$E:$E,'GL Dump'!$H:$H,Master!$A90,'GL Dump'!$D:$D,Master!J$1,'GL Dump'!$C:$C,Master!$G$1))</f>
        <v>0</v>
      </c>
      <c r="K90" s="422">
        <f>IF($G$1="ALL",SUMIFS('GL Dump'!$E:$E,'GL Dump'!$H:$H,Master!$A90,'GL Dump'!$D:$D,Master!K$1),SUMIFS('GL Dump'!$E:$E,'GL Dump'!$H:$H,Master!$A90,'GL Dump'!$D:$D,Master!K$1,'GL Dump'!$C:$C,Master!$G$1))</f>
        <v>0</v>
      </c>
      <c r="L90" s="422">
        <f>IF($G$1="ALL",SUMIFS('GL Dump'!$E:$E,'GL Dump'!$H:$H,Master!$A90,'GL Dump'!$D:$D,Master!L$1),SUMIFS('GL Dump'!$E:$E,'GL Dump'!$H:$H,Master!$A90,'GL Dump'!$D:$D,Master!L$1,'GL Dump'!$C:$C,Master!$G$1))</f>
        <v>0</v>
      </c>
      <c r="M90" s="422">
        <f>IF($G$1="ALL",SUMIFS('GL Dump'!$E:$E,'GL Dump'!$H:$H,Master!$A90,'GL Dump'!$D:$D,Master!M$1),SUMIFS('GL Dump'!$E:$E,'GL Dump'!$H:$H,Master!$A90,'GL Dump'!$D:$D,Master!M$1,'GL Dump'!$C:$C,Master!$G$1))</f>
        <v>0</v>
      </c>
      <c r="N90" s="422">
        <f>IF($G$1="ALL",SUMIFS('GL Dump'!$E:$E,'GL Dump'!$H:$H,Master!$A90,'GL Dump'!$D:$D,Master!N$1),SUMIFS('GL Dump'!$E:$E,'GL Dump'!$H:$H,Master!$A90,'GL Dump'!$D:$D,Master!N$1,'GL Dump'!$C:$C,Master!$G$1))</f>
        <v>0</v>
      </c>
      <c r="O90" s="422">
        <f>IF($G$1="ALL",SUMIFS('GL Dump'!$E:$E,'GL Dump'!$H:$H,Master!$A90,'GL Dump'!$D:$D,Master!O$1),SUMIFS('GL Dump'!$E:$E,'GL Dump'!$H:$H,Master!$A90,'GL Dump'!$D:$D,Master!O$1,'GL Dump'!$C:$C,Master!$G$1))</f>
        <v>0</v>
      </c>
      <c r="P90" s="422">
        <f>IF($G$1="ALL",SUMIFS('GL Dump'!$E:$E,'GL Dump'!$H:$H,Master!$A90,'GL Dump'!$D:$D,Master!P$1),SUMIFS('GL Dump'!$E:$E,'GL Dump'!$H:$H,Master!$A90,'GL Dump'!$D:$D,Master!P$1,'GL Dump'!$C:$C,Master!$G$1))</f>
        <v>0</v>
      </c>
      <c r="Q90" s="422">
        <f>IF($G$1="ALL",SUMIFS('GL Dump'!$E:$E,'GL Dump'!$H:$H,Master!$A90,'GL Dump'!$D:$D,Master!Q$1),SUMIFS('GL Dump'!$E:$E,'GL Dump'!$H:$H,Master!$A90,'GL Dump'!$D:$D,Master!Q$1,'GL Dump'!$C:$C,Master!$G$1))</f>
        <v>0</v>
      </c>
      <c r="R90" s="422">
        <f>IF($G$1="ALL",SUMIFS('GL Dump'!$E:$E,'GL Dump'!$H:$H,Master!$A90,'GL Dump'!$D:$D,Master!R$1),SUMIFS('GL Dump'!$E:$E,'GL Dump'!$H:$H,Master!$A90,'GL Dump'!$D:$D,Master!R$1,'GL Dump'!$C:$C,Master!$G$1))</f>
        <v>0</v>
      </c>
      <c r="S90" s="422">
        <f>IF($G$1="ALL",SUMIFS('GL Dump'!$E:$E,'GL Dump'!$H:$H,Master!$A90,'GL Dump'!$D:$D,Master!S$1),SUMIFS('GL Dump'!$E:$E,'GL Dump'!$H:$H,Master!$A90,'GL Dump'!$D:$D,Master!S$1,'GL Dump'!$C:$C,Master!$G$1))</f>
        <v>0</v>
      </c>
      <c r="T90" s="450"/>
    </row>
    <row r="91" spans="1:20" s="29" customFormat="1" x14ac:dyDescent="0.25">
      <c r="A91" s="145" t="s">
        <v>2609</v>
      </c>
      <c r="B91" s="264" t="s">
        <v>3147</v>
      </c>
      <c r="C91" s="412">
        <v>3</v>
      </c>
      <c r="D91" s="82">
        <v>286</v>
      </c>
      <c r="E91" s="91">
        <f t="shared" si="3"/>
        <v>858</v>
      </c>
      <c r="F91" s="279" t="s">
        <v>1032</v>
      </c>
      <c r="G91" s="295"/>
      <c r="H91" s="397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</row>
    <row r="92" spans="1:20" s="29" customFormat="1" x14ac:dyDescent="0.25">
      <c r="A92" s="444" t="s">
        <v>2609</v>
      </c>
      <c r="B92" s="458" t="s">
        <v>3148</v>
      </c>
      <c r="C92" s="459">
        <v>8</v>
      </c>
      <c r="D92" s="447">
        <v>63.33</v>
      </c>
      <c r="E92" s="418">
        <f t="shared" si="3"/>
        <v>506.64</v>
      </c>
      <c r="F92" s="448" t="s">
        <v>3149</v>
      </c>
      <c r="G92" s="449"/>
      <c r="H92" s="421"/>
      <c r="I92" s="422"/>
      <c r="J92" s="422"/>
      <c r="K92" s="422"/>
      <c r="L92" s="422"/>
      <c r="M92" s="422"/>
      <c r="N92" s="422"/>
      <c r="O92" s="422"/>
      <c r="P92" s="422"/>
      <c r="Q92" s="422"/>
      <c r="R92" s="422"/>
      <c r="S92" s="422"/>
      <c r="T92" s="450"/>
    </row>
    <row r="93" spans="1:20" s="29" customFormat="1" x14ac:dyDescent="0.25">
      <c r="A93" s="145" t="s">
        <v>2609</v>
      </c>
      <c r="B93" s="264" t="s">
        <v>914</v>
      </c>
      <c r="C93" s="412">
        <v>5</v>
      </c>
      <c r="D93" s="82">
        <v>142.69999999999999</v>
      </c>
      <c r="E93" s="91">
        <f t="shared" si="3"/>
        <v>713.5</v>
      </c>
      <c r="F93" s="279" t="s">
        <v>3144</v>
      </c>
      <c r="G93" s="295"/>
      <c r="H93" s="397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</row>
    <row r="94" spans="1:20" s="29" customFormat="1" x14ac:dyDescent="0.25">
      <c r="A94" s="444" t="s">
        <v>2609</v>
      </c>
      <c r="B94" s="458" t="s">
        <v>3150</v>
      </c>
      <c r="C94" s="460">
        <v>0</v>
      </c>
      <c r="D94" s="447">
        <v>2692.02</v>
      </c>
      <c r="E94" s="418">
        <f t="shared" si="3"/>
        <v>0</v>
      </c>
      <c r="F94" s="456" t="s">
        <v>908</v>
      </c>
      <c r="G94" s="457"/>
      <c r="H94" s="421"/>
      <c r="I94" s="422"/>
      <c r="J94" s="422"/>
      <c r="K94" s="422"/>
      <c r="L94" s="422"/>
      <c r="M94" s="422"/>
      <c r="N94" s="422"/>
      <c r="O94" s="422"/>
      <c r="P94" s="422"/>
      <c r="Q94" s="422"/>
      <c r="R94" s="422"/>
      <c r="S94" s="422"/>
      <c r="T94" s="450"/>
    </row>
    <row r="95" spans="1:20" s="29" customFormat="1" x14ac:dyDescent="0.25">
      <c r="A95" s="146" t="s">
        <v>2609</v>
      </c>
      <c r="B95" s="264" t="s">
        <v>941</v>
      </c>
      <c r="C95" s="187">
        <v>0</v>
      </c>
      <c r="D95" s="35">
        <v>1289.3800000000001</v>
      </c>
      <c r="E95" s="198">
        <f t="shared" si="3"/>
        <v>0</v>
      </c>
      <c r="F95" s="283" t="s">
        <v>908</v>
      </c>
      <c r="G95" s="295"/>
      <c r="H95" s="397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</row>
    <row r="96" spans="1:20" s="29" customFormat="1" x14ac:dyDescent="0.25">
      <c r="A96" s="461" t="s">
        <v>2609</v>
      </c>
      <c r="B96" s="458" t="s">
        <v>909</v>
      </c>
      <c r="C96" s="460">
        <v>5</v>
      </c>
      <c r="D96" s="462">
        <v>1756.25</v>
      </c>
      <c r="E96" s="463">
        <f t="shared" si="3"/>
        <v>8781.25</v>
      </c>
      <c r="F96" s="456" t="s">
        <v>1089</v>
      </c>
      <c r="G96" s="457"/>
      <c r="H96" s="421">
        <f>E96+E95+E94+E93+E92+E91+SUMIFS('GL Dump'!$E:$E,'GL Dump'!$H:$H,Master!A96,'GL Dump'!$D:$D,Master!$I$1)</f>
        <v>10859.39</v>
      </c>
      <c r="I96" s="422">
        <f>IF($G$1="ALL",SUMIFS('GL Dump'!$E:$E,'GL Dump'!$H:$H,Master!$A96,'GL Dump'!$D:$D,Master!I$1),SUMIFS('GL Dump'!$E:$E,'GL Dump'!$H:$H,Master!$A96,'GL Dump'!$D:$D,Master!I$1,'GL Dump'!$C:$C,Master!$G$1))</f>
        <v>0</v>
      </c>
      <c r="J96" s="422">
        <f>IF($G$1="ALL",SUMIFS('GL Dump'!$E:$E,'GL Dump'!$H:$H,Master!$A96,'GL Dump'!$D:$D,Master!J$1),SUMIFS('GL Dump'!$E:$E,'GL Dump'!$H:$H,Master!$A96,'GL Dump'!$D:$D,Master!J$1,'GL Dump'!$C:$C,Master!$G$1))</f>
        <v>1350</v>
      </c>
      <c r="K96" s="422">
        <f>IF($G$1="ALL",SUMIFS('GL Dump'!$E:$E,'GL Dump'!$H:$H,Master!$A96,'GL Dump'!$D:$D,Master!K$1),SUMIFS('GL Dump'!$E:$E,'GL Dump'!$H:$H,Master!$A96,'GL Dump'!$D:$D,Master!K$1,'GL Dump'!$C:$C,Master!$G$1))</f>
        <v>0</v>
      </c>
      <c r="L96" s="422">
        <f>IF($G$1="ALL",SUMIFS('GL Dump'!$E:$E,'GL Dump'!$H:$H,Master!$A96,'GL Dump'!$D:$D,Master!L$1),SUMIFS('GL Dump'!$E:$E,'GL Dump'!$H:$H,Master!$A96,'GL Dump'!$D:$D,Master!L$1,'GL Dump'!$C:$C,Master!$G$1))</f>
        <v>6405.7599999999993</v>
      </c>
      <c r="M96" s="422">
        <f>IF($G$1="ALL",SUMIFS('GL Dump'!$E:$E,'GL Dump'!$H:$H,Master!$A96,'GL Dump'!$D:$D,Master!M$1),SUMIFS('GL Dump'!$E:$E,'GL Dump'!$H:$H,Master!$A96,'GL Dump'!$D:$D,Master!M$1,'GL Dump'!$C:$C,Master!$G$1))</f>
        <v>1913.1</v>
      </c>
      <c r="N96" s="422">
        <f>IF($G$1="ALL",SUMIFS('GL Dump'!$E:$E,'GL Dump'!$H:$H,Master!$A96,'GL Dump'!$D:$D,Master!N$1),SUMIFS('GL Dump'!$E:$E,'GL Dump'!$H:$H,Master!$A96,'GL Dump'!$D:$D,Master!N$1,'GL Dump'!$C:$C,Master!$G$1))</f>
        <v>0</v>
      </c>
      <c r="O96" s="422">
        <f>IF($G$1="ALL",SUMIFS('GL Dump'!$E:$E,'GL Dump'!$H:$H,Master!$A96,'GL Dump'!$D:$D,Master!O$1),SUMIFS('GL Dump'!$E:$E,'GL Dump'!$H:$H,Master!$A96,'GL Dump'!$D:$D,Master!O$1,'GL Dump'!$C:$C,Master!$G$1))</f>
        <v>0</v>
      </c>
      <c r="P96" s="422">
        <f>IF($G$1="ALL",SUMIFS('GL Dump'!$E:$E,'GL Dump'!$H:$H,Master!$A96,'GL Dump'!$D:$D,Master!P$1),SUMIFS('GL Dump'!$E:$E,'GL Dump'!$H:$H,Master!$A96,'GL Dump'!$D:$D,Master!P$1,'GL Dump'!$C:$C,Master!$G$1))</f>
        <v>1004</v>
      </c>
      <c r="Q96" s="422">
        <f>IF($G$1="ALL",SUMIFS('GL Dump'!$E:$E,'GL Dump'!$H:$H,Master!$A96,'GL Dump'!$D:$D,Master!Q$1),SUMIFS('GL Dump'!$E:$E,'GL Dump'!$H:$H,Master!$A96,'GL Dump'!$D:$D,Master!Q$1,'GL Dump'!$C:$C,Master!$G$1))</f>
        <v>24598.01</v>
      </c>
      <c r="R96" s="422">
        <f>IF($G$1="ALL",SUMIFS('GL Dump'!$E:$E,'GL Dump'!$H:$H,Master!$A96,'GL Dump'!$D:$D,Master!R$1),SUMIFS('GL Dump'!$E:$E,'GL Dump'!$H:$H,Master!$A96,'GL Dump'!$D:$D,Master!R$1,'GL Dump'!$C:$C,Master!$G$1))</f>
        <v>15399.75</v>
      </c>
      <c r="S96" s="422">
        <f>IF($G$1="ALL",SUMIFS('GL Dump'!$E:$E,'GL Dump'!$H:$H,Master!$A96,'GL Dump'!$D:$D,Master!S$1),SUMIFS('GL Dump'!$E:$E,'GL Dump'!$H:$H,Master!$A96,'GL Dump'!$D:$D,Master!S$1,'GL Dump'!$C:$C,Master!$G$1))</f>
        <v>798.8</v>
      </c>
      <c r="T96" s="450"/>
    </row>
    <row r="97" spans="1:20" s="29" customFormat="1" ht="14.25" thickBot="1" x14ac:dyDescent="0.3">
      <c r="A97" s="147"/>
      <c r="B97" s="265"/>
      <c r="C97" s="148"/>
      <c r="D97" s="122" t="s">
        <v>758</v>
      </c>
      <c r="E97" s="132">
        <f>SUBTOTAL(9,E64:E96)</f>
        <v>99098.104166666657</v>
      </c>
      <c r="F97" s="283"/>
      <c r="G97" s="297"/>
      <c r="H97" s="402"/>
      <c r="I97" s="135"/>
      <c r="J97" s="135"/>
      <c r="K97" s="123"/>
      <c r="L97" s="123"/>
      <c r="M97" s="123"/>
      <c r="N97" s="123"/>
      <c r="O97" s="123"/>
      <c r="P97" s="123"/>
      <c r="Q97" s="123"/>
      <c r="R97" s="123"/>
      <c r="S97" s="123"/>
    </row>
    <row r="98" spans="1:20" s="29" customFormat="1" ht="16.5" thickTop="1" x14ac:dyDescent="0.25">
      <c r="A98" s="143" t="s">
        <v>872</v>
      </c>
      <c r="B98" s="260" t="s">
        <v>873</v>
      </c>
      <c r="C98" s="189"/>
      <c r="D98" s="118"/>
      <c r="E98" s="119"/>
      <c r="F98" s="284"/>
      <c r="G98" s="378"/>
      <c r="H98" s="403"/>
      <c r="I98" s="404"/>
      <c r="J98" s="404"/>
      <c r="K98" s="401"/>
      <c r="L98" s="401"/>
      <c r="M98" s="401"/>
      <c r="N98" s="401"/>
      <c r="O98" s="401"/>
      <c r="P98" s="401"/>
      <c r="Q98" s="401"/>
      <c r="R98" s="401"/>
      <c r="S98" s="401"/>
      <c r="T98" s="377"/>
    </row>
    <row r="99" spans="1:20" s="29" customFormat="1" x14ac:dyDescent="0.25">
      <c r="A99" s="172" t="s">
        <v>3065</v>
      </c>
      <c r="B99" s="266" t="s">
        <v>3125</v>
      </c>
      <c r="C99" s="186">
        <v>0</v>
      </c>
      <c r="D99" s="153">
        <v>83</v>
      </c>
      <c r="E99" s="174">
        <f t="shared" ref="E99:E118" si="4">D99*C99</f>
        <v>0</v>
      </c>
      <c r="F99" s="174"/>
      <c r="G99" s="299"/>
      <c r="H99" s="402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</row>
    <row r="100" spans="1:20" s="29" customFormat="1" x14ac:dyDescent="0.25">
      <c r="A100" s="145" t="s">
        <v>2734</v>
      </c>
      <c r="B100" s="261" t="s">
        <v>3126</v>
      </c>
      <c r="C100" s="185">
        <v>0</v>
      </c>
      <c r="D100" s="113">
        <v>94</v>
      </c>
      <c r="E100" s="167">
        <f t="shared" si="4"/>
        <v>0</v>
      </c>
      <c r="F100" s="286" t="s">
        <v>3280</v>
      </c>
      <c r="G100" s="300"/>
      <c r="H100" s="397">
        <f>E100+SUMIFS('GL Dump'!$E:$E,'GL Dump'!$H:$H,Master!A100,'GL Dump'!$D:$D,Master!$I$1)</f>
        <v>0</v>
      </c>
      <c r="I100" s="81">
        <f>IF($G$1="ALL",SUMIFS('GL Dump'!$E:$E,'GL Dump'!$H:$H,Master!$A100,'GL Dump'!$D:$D,Master!I$1),SUMIFS('GL Dump'!$E:$E,'GL Dump'!$H:$H,Master!$A100,'GL Dump'!$D:$D,Master!I$1,'GL Dump'!$C:$C,Master!$G$1))</f>
        <v>0</v>
      </c>
      <c r="J100" s="81">
        <f>IF($G$1="ALL",SUMIFS('GL Dump'!$E:$E,'GL Dump'!$H:$H,Master!$A100,'GL Dump'!$D:$D,Master!J$1),SUMIFS('GL Dump'!$E:$E,'GL Dump'!$H:$H,Master!$A100,'GL Dump'!$D:$D,Master!J$1,'GL Dump'!$C:$C,Master!$G$1))</f>
        <v>94.36</v>
      </c>
      <c r="K100" s="81">
        <f>IF($G$1="ALL",SUMIFS('GL Dump'!$E:$E,'GL Dump'!$H:$H,Master!$A100,'GL Dump'!$D:$D,Master!K$1),SUMIFS('GL Dump'!$E:$E,'GL Dump'!$H:$H,Master!$A100,'GL Dump'!$D:$D,Master!K$1,'GL Dump'!$C:$C,Master!$G$1))</f>
        <v>94.36</v>
      </c>
      <c r="L100" s="81">
        <f>IF($G$1="ALL",SUMIFS('GL Dump'!$E:$E,'GL Dump'!$H:$H,Master!$A100,'GL Dump'!$D:$D,Master!L$1),SUMIFS('GL Dump'!$E:$E,'GL Dump'!$H:$H,Master!$A100,'GL Dump'!$D:$D,Master!L$1,'GL Dump'!$C:$C,Master!$G$1))</f>
        <v>94.36</v>
      </c>
      <c r="M100" s="81">
        <f>IF($G$1="ALL",SUMIFS('GL Dump'!$E:$E,'GL Dump'!$H:$H,Master!$A100,'GL Dump'!$D:$D,Master!M$1),SUMIFS('GL Dump'!$E:$E,'GL Dump'!$H:$H,Master!$A100,'GL Dump'!$D:$D,Master!M$1,'GL Dump'!$C:$C,Master!$G$1))</f>
        <v>94.36</v>
      </c>
      <c r="N100" s="81">
        <f>IF($G$1="ALL",SUMIFS('GL Dump'!$E:$E,'GL Dump'!$H:$H,Master!$A100,'GL Dump'!$D:$D,Master!N$1),SUMIFS('GL Dump'!$E:$E,'GL Dump'!$H:$H,Master!$A100,'GL Dump'!$D:$D,Master!N$1,'GL Dump'!$C:$C,Master!$G$1))</f>
        <v>94.36</v>
      </c>
      <c r="O100" s="81">
        <f>IF($G$1="ALL",SUMIFS('GL Dump'!$E:$E,'GL Dump'!$H:$H,Master!$A100,'GL Dump'!$D:$D,Master!O$1),SUMIFS('GL Dump'!$E:$E,'GL Dump'!$H:$H,Master!$A100,'GL Dump'!$D:$D,Master!O$1,'GL Dump'!$C:$C,Master!$G$1))</f>
        <v>94.36</v>
      </c>
      <c r="P100" s="81">
        <f>IF($G$1="ALL",SUMIFS('GL Dump'!$E:$E,'GL Dump'!$H:$H,Master!$A100,'GL Dump'!$D:$D,Master!P$1),SUMIFS('GL Dump'!$E:$E,'GL Dump'!$H:$H,Master!$A100,'GL Dump'!$D:$D,Master!P$1,'GL Dump'!$C:$C,Master!$G$1))</f>
        <v>1509.7599999999995</v>
      </c>
      <c r="Q100" s="81">
        <f>IF($G$1="ALL",SUMIFS('GL Dump'!$E:$E,'GL Dump'!$H:$H,Master!$A100,'GL Dump'!$D:$D,Master!Q$1),SUMIFS('GL Dump'!$E:$E,'GL Dump'!$H:$H,Master!$A100,'GL Dump'!$D:$D,Master!Q$1,'GL Dump'!$C:$C,Master!$G$1))</f>
        <v>0</v>
      </c>
      <c r="R100" s="81">
        <f>IF($G$1="ALL",SUMIFS('GL Dump'!$E:$E,'GL Dump'!$H:$H,Master!$A100,'GL Dump'!$D:$D,Master!R$1),SUMIFS('GL Dump'!$E:$E,'GL Dump'!$H:$H,Master!$A100,'GL Dump'!$D:$D,Master!R$1,'GL Dump'!$C:$C,Master!$G$1))</f>
        <v>0</v>
      </c>
      <c r="S100" s="81">
        <f>IF($G$1="ALL",SUMIFS('GL Dump'!$E:$E,'GL Dump'!$H:$H,Master!$A100,'GL Dump'!$D:$D,Master!S$1),SUMIFS('GL Dump'!$E:$E,'GL Dump'!$H:$H,Master!$A100,'GL Dump'!$D:$D,Master!S$1,'GL Dump'!$C:$C,Master!$G$1))</f>
        <v>0</v>
      </c>
    </row>
    <row r="101" spans="1:20" s="29" customFormat="1" x14ac:dyDescent="0.25">
      <c r="A101" s="444" t="s">
        <v>2790</v>
      </c>
      <c r="B101" s="445" t="s">
        <v>3126</v>
      </c>
      <c r="C101" s="446">
        <v>0</v>
      </c>
      <c r="D101" s="464">
        <v>98.86</v>
      </c>
      <c r="E101" s="418">
        <f>D101*C101</f>
        <v>0</v>
      </c>
      <c r="F101" s="456" t="s">
        <v>3280</v>
      </c>
      <c r="G101" s="457"/>
      <c r="H101" s="421">
        <f>E101+SUMIFS('GL Dump'!$E:$E,'GL Dump'!$H:$H,Master!A101,'GL Dump'!$D:$D,Master!$I$1)</f>
        <v>0</v>
      </c>
      <c r="I101" s="422">
        <f>IF($G$1="ALL",SUMIFS('GL Dump'!$E:$E,'GL Dump'!$H:$H,Master!$A101,'GL Dump'!$D:$D,Master!I$1),SUMIFS('GL Dump'!$E:$E,'GL Dump'!$H:$H,Master!$A101,'GL Dump'!$D:$D,Master!I$1,'GL Dump'!$C:$C,Master!$G$1))</f>
        <v>0</v>
      </c>
      <c r="J101" s="422">
        <f>IF($G$1="ALL",SUMIFS('GL Dump'!$E:$E,'GL Dump'!$H:$H,Master!$A101,'GL Dump'!$D:$D,Master!J$1),SUMIFS('GL Dump'!$E:$E,'GL Dump'!$H:$H,Master!$A101,'GL Dump'!$D:$D,Master!J$1,'GL Dump'!$C:$C,Master!$G$1))</f>
        <v>98.86</v>
      </c>
      <c r="K101" s="422">
        <f>IF($G$1="ALL",SUMIFS('GL Dump'!$E:$E,'GL Dump'!$H:$H,Master!$A101,'GL Dump'!$D:$D,Master!K$1),SUMIFS('GL Dump'!$E:$E,'GL Dump'!$H:$H,Master!$A101,'GL Dump'!$D:$D,Master!K$1,'GL Dump'!$C:$C,Master!$G$1))</f>
        <v>98.86</v>
      </c>
      <c r="L101" s="422">
        <f>IF($G$1="ALL",SUMIFS('GL Dump'!$E:$E,'GL Dump'!$H:$H,Master!$A101,'GL Dump'!$D:$D,Master!L$1),SUMIFS('GL Dump'!$E:$E,'GL Dump'!$H:$H,Master!$A101,'GL Dump'!$D:$D,Master!L$1,'GL Dump'!$C:$C,Master!$G$1))</f>
        <v>98.86</v>
      </c>
      <c r="M101" s="422">
        <f>IF($G$1="ALL",SUMIFS('GL Dump'!$E:$E,'GL Dump'!$H:$H,Master!$A101,'GL Dump'!$D:$D,Master!M$1),SUMIFS('GL Dump'!$E:$E,'GL Dump'!$H:$H,Master!$A101,'GL Dump'!$D:$D,Master!M$1,'GL Dump'!$C:$C,Master!$G$1))</f>
        <v>98.86</v>
      </c>
      <c r="N101" s="422">
        <f>IF($G$1="ALL",SUMIFS('GL Dump'!$E:$E,'GL Dump'!$H:$H,Master!$A101,'GL Dump'!$D:$D,Master!N$1),SUMIFS('GL Dump'!$E:$E,'GL Dump'!$H:$H,Master!$A101,'GL Dump'!$D:$D,Master!N$1,'GL Dump'!$C:$C,Master!$G$1))</f>
        <v>98.86</v>
      </c>
      <c r="O101" s="422">
        <f>IF($G$1="ALL",SUMIFS('GL Dump'!$E:$E,'GL Dump'!$H:$H,Master!$A101,'GL Dump'!$D:$D,Master!O$1),SUMIFS('GL Dump'!$E:$E,'GL Dump'!$H:$H,Master!$A101,'GL Dump'!$D:$D,Master!O$1,'GL Dump'!$C:$C,Master!$G$1))</f>
        <v>98.86</v>
      </c>
      <c r="P101" s="422">
        <f>IF($G$1="ALL",SUMIFS('GL Dump'!$E:$E,'GL Dump'!$H:$H,Master!$A101,'GL Dump'!$D:$D,Master!P$1),SUMIFS('GL Dump'!$E:$E,'GL Dump'!$H:$H,Master!$A101,'GL Dump'!$D:$D,Master!P$1,'GL Dump'!$C:$C,Master!$G$1))</f>
        <v>98.86</v>
      </c>
      <c r="Q101" s="422">
        <f>IF($G$1="ALL",SUMIFS('GL Dump'!$E:$E,'GL Dump'!$H:$H,Master!$A101,'GL Dump'!$D:$D,Master!Q$1),SUMIFS('GL Dump'!$E:$E,'GL Dump'!$H:$H,Master!$A101,'GL Dump'!$D:$D,Master!Q$1,'GL Dump'!$C:$C,Master!$G$1))</f>
        <v>98.86</v>
      </c>
      <c r="R101" s="422">
        <f>IF($G$1="ALL",SUMIFS('GL Dump'!$E:$E,'GL Dump'!$H:$H,Master!$A101,'GL Dump'!$D:$D,Master!R$1),SUMIFS('GL Dump'!$E:$E,'GL Dump'!$H:$H,Master!$A101,'GL Dump'!$D:$D,Master!R$1,'GL Dump'!$C:$C,Master!$G$1))</f>
        <v>98.86</v>
      </c>
      <c r="S101" s="422">
        <f>IF($G$1="ALL",SUMIFS('GL Dump'!$E:$E,'GL Dump'!$H:$H,Master!$A101,'GL Dump'!$D:$D,Master!S$1),SUMIFS('GL Dump'!$E:$E,'GL Dump'!$H:$H,Master!$A101,'GL Dump'!$D:$D,Master!S$1,'GL Dump'!$C:$C,Master!$G$1))</f>
        <v>98.86</v>
      </c>
      <c r="T101" s="450"/>
    </row>
    <row r="102" spans="1:20" s="29" customFormat="1" x14ac:dyDescent="0.25">
      <c r="A102" s="145" t="s">
        <v>2808</v>
      </c>
      <c r="B102" s="261" t="s">
        <v>3126</v>
      </c>
      <c r="C102" s="185">
        <v>0</v>
      </c>
      <c r="D102" s="113">
        <v>126.74</v>
      </c>
      <c r="E102" s="91">
        <f t="shared" si="4"/>
        <v>0</v>
      </c>
      <c r="F102" s="283" t="s">
        <v>3280</v>
      </c>
      <c r="G102" s="297"/>
      <c r="H102" s="397">
        <f>E102+SUMIFS('GL Dump'!$E:$E,'GL Dump'!$H:$H,Master!A102,'GL Dump'!$D:$D,Master!$I$1)</f>
        <v>0</v>
      </c>
      <c r="I102" s="81">
        <f>IF($G$1="ALL",SUMIFS('GL Dump'!$E:$E,'GL Dump'!$H:$H,Master!$A102,'GL Dump'!$D:$D,Master!I$1),SUMIFS('GL Dump'!$E:$E,'GL Dump'!$H:$H,Master!$A102,'GL Dump'!$D:$D,Master!I$1,'GL Dump'!$C:$C,Master!$G$1))</f>
        <v>0</v>
      </c>
      <c r="J102" s="81">
        <f>IF($G$1="ALL",SUMIFS('GL Dump'!$E:$E,'GL Dump'!$H:$H,Master!$A102,'GL Dump'!$D:$D,Master!J$1),SUMIFS('GL Dump'!$E:$E,'GL Dump'!$H:$H,Master!$A102,'GL Dump'!$D:$D,Master!J$1,'GL Dump'!$C:$C,Master!$G$1))</f>
        <v>126.74</v>
      </c>
      <c r="K102" s="81">
        <f>IF($G$1="ALL",SUMIFS('GL Dump'!$E:$E,'GL Dump'!$H:$H,Master!$A102,'GL Dump'!$D:$D,Master!K$1),SUMIFS('GL Dump'!$E:$E,'GL Dump'!$H:$H,Master!$A102,'GL Dump'!$D:$D,Master!K$1,'GL Dump'!$C:$C,Master!$G$1))</f>
        <v>126.74</v>
      </c>
      <c r="L102" s="81">
        <f>IF($G$1="ALL",SUMIFS('GL Dump'!$E:$E,'GL Dump'!$H:$H,Master!$A102,'GL Dump'!$D:$D,Master!L$1),SUMIFS('GL Dump'!$E:$E,'GL Dump'!$H:$H,Master!$A102,'GL Dump'!$D:$D,Master!L$1,'GL Dump'!$C:$C,Master!$G$1))</f>
        <v>126.74</v>
      </c>
      <c r="M102" s="81">
        <f>IF($G$1="ALL",SUMIFS('GL Dump'!$E:$E,'GL Dump'!$H:$H,Master!$A102,'GL Dump'!$D:$D,Master!M$1),SUMIFS('GL Dump'!$E:$E,'GL Dump'!$H:$H,Master!$A102,'GL Dump'!$D:$D,Master!M$1,'GL Dump'!$C:$C,Master!$G$1))</f>
        <v>126.74</v>
      </c>
      <c r="N102" s="81">
        <f>IF($G$1="ALL",SUMIFS('GL Dump'!$E:$E,'GL Dump'!$H:$H,Master!$A102,'GL Dump'!$D:$D,Master!N$1),SUMIFS('GL Dump'!$E:$E,'GL Dump'!$H:$H,Master!$A102,'GL Dump'!$D:$D,Master!N$1,'GL Dump'!$C:$C,Master!$G$1))</f>
        <v>126.74</v>
      </c>
      <c r="O102" s="81">
        <f>IF($G$1="ALL",SUMIFS('GL Dump'!$E:$E,'GL Dump'!$H:$H,Master!$A102,'GL Dump'!$D:$D,Master!O$1),SUMIFS('GL Dump'!$E:$E,'GL Dump'!$H:$H,Master!$A102,'GL Dump'!$D:$D,Master!O$1,'GL Dump'!$C:$C,Master!$G$1))</f>
        <v>126.74</v>
      </c>
      <c r="P102" s="81">
        <f>IF($G$1="ALL",SUMIFS('GL Dump'!$E:$E,'GL Dump'!$H:$H,Master!$A102,'GL Dump'!$D:$D,Master!P$1),SUMIFS('GL Dump'!$E:$E,'GL Dump'!$H:$H,Master!$A102,'GL Dump'!$D:$D,Master!P$1,'GL Dump'!$C:$C,Master!$G$1))</f>
        <v>126.74</v>
      </c>
      <c r="Q102" s="81">
        <f>IF($G$1="ALL",SUMIFS('GL Dump'!$E:$E,'GL Dump'!$H:$H,Master!$A102,'GL Dump'!$D:$D,Master!Q$1),SUMIFS('GL Dump'!$E:$E,'GL Dump'!$H:$H,Master!$A102,'GL Dump'!$D:$D,Master!Q$1,'GL Dump'!$C:$C,Master!$G$1))</f>
        <v>126.74</v>
      </c>
      <c r="R102" s="81">
        <f>IF($G$1="ALL",SUMIFS('GL Dump'!$E:$E,'GL Dump'!$H:$H,Master!$A102,'GL Dump'!$D:$D,Master!R$1),SUMIFS('GL Dump'!$E:$E,'GL Dump'!$H:$H,Master!$A102,'GL Dump'!$D:$D,Master!R$1,'GL Dump'!$C:$C,Master!$G$1))</f>
        <v>126.74</v>
      </c>
      <c r="S102" s="81">
        <f>IF($G$1="ALL",SUMIFS('GL Dump'!$E:$E,'GL Dump'!$H:$H,Master!$A102,'GL Dump'!$D:$D,Master!S$1),SUMIFS('GL Dump'!$E:$E,'GL Dump'!$H:$H,Master!$A102,'GL Dump'!$D:$D,Master!S$1,'GL Dump'!$C:$C,Master!$G$1))</f>
        <v>126.74</v>
      </c>
    </row>
    <row r="103" spans="1:20" s="29" customFormat="1" x14ac:dyDescent="0.25">
      <c r="A103" s="444" t="s">
        <v>2837</v>
      </c>
      <c r="B103" s="445" t="s">
        <v>3126</v>
      </c>
      <c r="C103" s="446">
        <v>0</v>
      </c>
      <c r="D103" s="464">
        <v>95.72</v>
      </c>
      <c r="E103" s="418">
        <f t="shared" si="4"/>
        <v>0</v>
      </c>
      <c r="F103" s="456" t="s">
        <v>3280</v>
      </c>
      <c r="G103" s="457"/>
      <c r="H103" s="421">
        <f>E103+SUMIFS('GL Dump'!$E:$E,'GL Dump'!$H:$H,Master!A103,'GL Dump'!$D:$D,Master!$I$1)</f>
        <v>0</v>
      </c>
      <c r="I103" s="422">
        <f>IF($G$1="ALL",SUMIFS('GL Dump'!$E:$E,'GL Dump'!$H:$H,Master!$A103,'GL Dump'!$D:$D,Master!I$1),SUMIFS('GL Dump'!$E:$E,'GL Dump'!$H:$H,Master!$A103,'GL Dump'!$D:$D,Master!I$1,'GL Dump'!$C:$C,Master!$G$1))</f>
        <v>0</v>
      </c>
      <c r="J103" s="422">
        <f>IF($G$1="ALL",SUMIFS('GL Dump'!$E:$E,'GL Dump'!$H:$H,Master!$A103,'GL Dump'!$D:$D,Master!J$1),SUMIFS('GL Dump'!$E:$E,'GL Dump'!$H:$H,Master!$A103,'GL Dump'!$D:$D,Master!J$1,'GL Dump'!$C:$C,Master!$G$1))</f>
        <v>95.72</v>
      </c>
      <c r="K103" s="422">
        <f>IF($G$1="ALL",SUMIFS('GL Dump'!$E:$E,'GL Dump'!$H:$H,Master!$A103,'GL Dump'!$D:$D,Master!K$1),SUMIFS('GL Dump'!$E:$E,'GL Dump'!$H:$H,Master!$A103,'GL Dump'!$D:$D,Master!K$1,'GL Dump'!$C:$C,Master!$G$1))</f>
        <v>95.72</v>
      </c>
      <c r="L103" s="422">
        <f>IF($G$1="ALL",SUMIFS('GL Dump'!$E:$E,'GL Dump'!$H:$H,Master!$A103,'GL Dump'!$D:$D,Master!L$1),SUMIFS('GL Dump'!$E:$E,'GL Dump'!$H:$H,Master!$A103,'GL Dump'!$D:$D,Master!L$1,'GL Dump'!$C:$C,Master!$G$1))</f>
        <v>95.72</v>
      </c>
      <c r="M103" s="422">
        <f>IF($G$1="ALL",SUMIFS('GL Dump'!$E:$E,'GL Dump'!$H:$H,Master!$A103,'GL Dump'!$D:$D,Master!M$1),SUMIFS('GL Dump'!$E:$E,'GL Dump'!$H:$H,Master!$A103,'GL Dump'!$D:$D,Master!M$1,'GL Dump'!$C:$C,Master!$G$1))</f>
        <v>95.72</v>
      </c>
      <c r="N103" s="422">
        <f>IF($G$1="ALL",SUMIFS('GL Dump'!$E:$E,'GL Dump'!$H:$H,Master!$A103,'GL Dump'!$D:$D,Master!N$1),SUMIFS('GL Dump'!$E:$E,'GL Dump'!$H:$H,Master!$A103,'GL Dump'!$D:$D,Master!N$1,'GL Dump'!$C:$C,Master!$G$1))</f>
        <v>95.72</v>
      </c>
      <c r="O103" s="422">
        <f>IF($G$1="ALL",SUMIFS('GL Dump'!$E:$E,'GL Dump'!$H:$H,Master!$A103,'GL Dump'!$D:$D,Master!O$1),SUMIFS('GL Dump'!$E:$E,'GL Dump'!$H:$H,Master!$A103,'GL Dump'!$D:$D,Master!O$1,'GL Dump'!$C:$C,Master!$G$1))</f>
        <v>95.72</v>
      </c>
      <c r="P103" s="422">
        <f>IF($G$1="ALL",SUMIFS('GL Dump'!$E:$E,'GL Dump'!$H:$H,Master!$A103,'GL Dump'!$D:$D,Master!P$1),SUMIFS('GL Dump'!$E:$E,'GL Dump'!$H:$H,Master!$A103,'GL Dump'!$D:$D,Master!P$1,'GL Dump'!$C:$C,Master!$G$1))</f>
        <v>95.72</v>
      </c>
      <c r="Q103" s="422">
        <f>IF($G$1="ALL",SUMIFS('GL Dump'!$E:$E,'GL Dump'!$H:$H,Master!$A103,'GL Dump'!$D:$D,Master!Q$1),SUMIFS('GL Dump'!$E:$E,'GL Dump'!$H:$H,Master!$A103,'GL Dump'!$D:$D,Master!Q$1,'GL Dump'!$C:$C,Master!$G$1))</f>
        <v>95.72</v>
      </c>
      <c r="R103" s="422">
        <f>IF($G$1="ALL",SUMIFS('GL Dump'!$E:$E,'GL Dump'!$H:$H,Master!$A103,'GL Dump'!$D:$D,Master!R$1),SUMIFS('GL Dump'!$E:$E,'GL Dump'!$H:$H,Master!$A103,'GL Dump'!$D:$D,Master!R$1,'GL Dump'!$C:$C,Master!$G$1))</f>
        <v>95.72</v>
      </c>
      <c r="S103" s="422">
        <f>IF($G$1="ALL",SUMIFS('GL Dump'!$E:$E,'GL Dump'!$H:$H,Master!$A103,'GL Dump'!$D:$D,Master!S$1),SUMIFS('GL Dump'!$E:$E,'GL Dump'!$H:$H,Master!$A103,'GL Dump'!$D:$D,Master!S$1,'GL Dump'!$C:$C,Master!$G$1))</f>
        <v>95.72</v>
      </c>
      <c r="T103" s="450"/>
    </row>
    <row r="104" spans="1:20" s="29" customFormat="1" x14ac:dyDescent="0.25">
      <c r="A104" s="145" t="s">
        <v>2856</v>
      </c>
      <c r="B104" s="261" t="s">
        <v>3126</v>
      </c>
      <c r="C104" s="185">
        <v>0</v>
      </c>
      <c r="D104" s="113">
        <v>500.08</v>
      </c>
      <c r="E104" s="91">
        <f t="shared" si="4"/>
        <v>0</v>
      </c>
      <c r="F104" s="283" t="s">
        <v>3280</v>
      </c>
      <c r="G104" s="297"/>
      <c r="H104" s="397">
        <f>E104+SUMIFS('GL Dump'!$E:$E,'GL Dump'!$H:$H,Master!A104,'GL Dump'!$D:$D,Master!$I$1)</f>
        <v>0</v>
      </c>
      <c r="I104" s="81">
        <f>IF($G$1="ALL",SUMIFS('GL Dump'!$E:$E,'GL Dump'!$H:$H,Master!$A104,'GL Dump'!$D:$D,Master!I$1),SUMIFS('GL Dump'!$E:$E,'GL Dump'!$H:$H,Master!$A104,'GL Dump'!$D:$D,Master!I$1,'GL Dump'!$C:$C,Master!$G$1))</f>
        <v>0</v>
      </c>
      <c r="J104" s="81">
        <f>IF($G$1="ALL",SUMIFS('GL Dump'!$E:$E,'GL Dump'!$H:$H,Master!$A104,'GL Dump'!$D:$D,Master!J$1),SUMIFS('GL Dump'!$E:$E,'GL Dump'!$H:$H,Master!$A104,'GL Dump'!$D:$D,Master!J$1,'GL Dump'!$C:$C,Master!$G$1))</f>
        <v>500.08</v>
      </c>
      <c r="K104" s="81">
        <f>IF($G$1="ALL",SUMIFS('GL Dump'!$E:$E,'GL Dump'!$H:$H,Master!$A104,'GL Dump'!$D:$D,Master!K$1),SUMIFS('GL Dump'!$E:$E,'GL Dump'!$H:$H,Master!$A104,'GL Dump'!$D:$D,Master!K$1,'GL Dump'!$C:$C,Master!$G$1))</f>
        <v>500.08</v>
      </c>
      <c r="L104" s="81">
        <f>IF($G$1="ALL",SUMIFS('GL Dump'!$E:$E,'GL Dump'!$H:$H,Master!$A104,'GL Dump'!$D:$D,Master!L$1),SUMIFS('GL Dump'!$E:$E,'GL Dump'!$H:$H,Master!$A104,'GL Dump'!$D:$D,Master!L$1,'GL Dump'!$C:$C,Master!$G$1))</f>
        <v>500.08</v>
      </c>
      <c r="M104" s="81">
        <f>IF($G$1="ALL",SUMIFS('GL Dump'!$E:$E,'GL Dump'!$H:$H,Master!$A104,'GL Dump'!$D:$D,Master!M$1),SUMIFS('GL Dump'!$E:$E,'GL Dump'!$H:$H,Master!$A104,'GL Dump'!$D:$D,Master!M$1,'GL Dump'!$C:$C,Master!$G$1))</f>
        <v>500.08</v>
      </c>
      <c r="N104" s="81">
        <f>IF($G$1="ALL",SUMIFS('GL Dump'!$E:$E,'GL Dump'!$H:$H,Master!$A104,'GL Dump'!$D:$D,Master!N$1),SUMIFS('GL Dump'!$E:$E,'GL Dump'!$H:$H,Master!$A104,'GL Dump'!$D:$D,Master!N$1,'GL Dump'!$C:$C,Master!$G$1))</f>
        <v>500.08</v>
      </c>
      <c r="O104" s="81">
        <f>IF($G$1="ALL",SUMIFS('GL Dump'!$E:$E,'GL Dump'!$H:$H,Master!$A104,'GL Dump'!$D:$D,Master!O$1),SUMIFS('GL Dump'!$E:$E,'GL Dump'!$H:$H,Master!$A104,'GL Dump'!$D:$D,Master!O$1,'GL Dump'!$C:$C,Master!$G$1))</f>
        <v>500.08</v>
      </c>
      <c r="P104" s="81">
        <f>IF($G$1="ALL",SUMIFS('GL Dump'!$E:$E,'GL Dump'!$H:$H,Master!$A104,'GL Dump'!$D:$D,Master!P$1),SUMIFS('GL Dump'!$E:$E,'GL Dump'!$H:$H,Master!$A104,'GL Dump'!$D:$D,Master!P$1,'GL Dump'!$C:$C,Master!$G$1))</f>
        <v>500.08</v>
      </c>
      <c r="Q104" s="81">
        <f>IF($G$1="ALL",SUMIFS('GL Dump'!$E:$E,'GL Dump'!$H:$H,Master!$A104,'GL Dump'!$D:$D,Master!Q$1),SUMIFS('GL Dump'!$E:$E,'GL Dump'!$H:$H,Master!$A104,'GL Dump'!$D:$D,Master!Q$1,'GL Dump'!$C:$C,Master!$G$1))</f>
        <v>500.08</v>
      </c>
      <c r="R104" s="81">
        <f>IF($G$1="ALL",SUMIFS('GL Dump'!$E:$E,'GL Dump'!$H:$H,Master!$A104,'GL Dump'!$D:$D,Master!R$1),SUMIFS('GL Dump'!$E:$E,'GL Dump'!$H:$H,Master!$A104,'GL Dump'!$D:$D,Master!R$1,'GL Dump'!$C:$C,Master!$G$1))</f>
        <v>500.08</v>
      </c>
      <c r="S104" s="81">
        <f>IF($G$1="ALL",SUMIFS('GL Dump'!$E:$E,'GL Dump'!$H:$H,Master!$A104,'GL Dump'!$D:$D,Master!S$1),SUMIFS('GL Dump'!$E:$E,'GL Dump'!$H:$H,Master!$A104,'GL Dump'!$D:$D,Master!S$1,'GL Dump'!$C:$C,Master!$G$1))</f>
        <v>500.08</v>
      </c>
    </row>
    <row r="105" spans="1:20" s="29" customFormat="1" x14ac:dyDescent="0.25">
      <c r="A105" s="444" t="s">
        <v>2871</v>
      </c>
      <c r="B105" s="445" t="s">
        <v>3126</v>
      </c>
      <c r="C105" s="446">
        <v>0</v>
      </c>
      <c r="D105" s="464">
        <v>792.24</v>
      </c>
      <c r="E105" s="465">
        <f t="shared" si="4"/>
        <v>0</v>
      </c>
      <c r="F105" s="456" t="s">
        <v>3280</v>
      </c>
      <c r="G105" s="457"/>
      <c r="H105" s="421">
        <f>E105+SUMIFS('GL Dump'!$E:$E,'GL Dump'!$H:$H,Master!A105,'GL Dump'!$D:$D,Master!$I$1)</f>
        <v>0</v>
      </c>
      <c r="I105" s="422">
        <f>IF($G$1="ALL",SUMIFS('GL Dump'!$E:$E,'GL Dump'!$H:$H,Master!$A105,'GL Dump'!$D:$D,Master!I$1),SUMIFS('GL Dump'!$E:$E,'GL Dump'!$H:$H,Master!$A105,'GL Dump'!$D:$D,Master!I$1,'GL Dump'!$C:$C,Master!$G$1))</f>
        <v>0</v>
      </c>
      <c r="J105" s="422">
        <f>IF($G$1="ALL",SUMIFS('GL Dump'!$E:$E,'GL Dump'!$H:$H,Master!$A105,'GL Dump'!$D:$D,Master!J$1),SUMIFS('GL Dump'!$E:$E,'GL Dump'!$H:$H,Master!$A105,'GL Dump'!$D:$D,Master!J$1,'GL Dump'!$C:$C,Master!$G$1))</f>
        <v>792.24</v>
      </c>
      <c r="K105" s="422">
        <f>IF($G$1="ALL",SUMIFS('GL Dump'!$E:$E,'GL Dump'!$H:$H,Master!$A105,'GL Dump'!$D:$D,Master!K$1),SUMIFS('GL Dump'!$E:$E,'GL Dump'!$H:$H,Master!$A105,'GL Dump'!$D:$D,Master!K$1,'GL Dump'!$C:$C,Master!$G$1))</f>
        <v>792.24</v>
      </c>
      <c r="L105" s="422">
        <f>IF($G$1="ALL",SUMIFS('GL Dump'!$E:$E,'GL Dump'!$H:$H,Master!$A105,'GL Dump'!$D:$D,Master!L$1),SUMIFS('GL Dump'!$E:$E,'GL Dump'!$H:$H,Master!$A105,'GL Dump'!$D:$D,Master!L$1,'GL Dump'!$C:$C,Master!$G$1))</f>
        <v>792.24</v>
      </c>
      <c r="M105" s="422">
        <f>IF($G$1="ALL",SUMIFS('GL Dump'!$E:$E,'GL Dump'!$H:$H,Master!$A105,'GL Dump'!$D:$D,Master!M$1),SUMIFS('GL Dump'!$E:$E,'GL Dump'!$H:$H,Master!$A105,'GL Dump'!$D:$D,Master!M$1,'GL Dump'!$C:$C,Master!$G$1))</f>
        <v>792.24</v>
      </c>
      <c r="N105" s="422">
        <f>IF($G$1="ALL",SUMIFS('GL Dump'!$E:$E,'GL Dump'!$H:$H,Master!$A105,'GL Dump'!$D:$D,Master!N$1),SUMIFS('GL Dump'!$E:$E,'GL Dump'!$H:$H,Master!$A105,'GL Dump'!$D:$D,Master!N$1,'GL Dump'!$C:$C,Master!$G$1))</f>
        <v>792.24</v>
      </c>
      <c r="O105" s="422">
        <f>IF($G$1="ALL",SUMIFS('GL Dump'!$E:$E,'GL Dump'!$H:$H,Master!$A105,'GL Dump'!$D:$D,Master!O$1),SUMIFS('GL Dump'!$E:$E,'GL Dump'!$H:$H,Master!$A105,'GL Dump'!$D:$D,Master!O$1,'GL Dump'!$C:$C,Master!$G$1))</f>
        <v>792.24</v>
      </c>
      <c r="P105" s="422">
        <f>IF($G$1="ALL",SUMIFS('GL Dump'!$E:$E,'GL Dump'!$H:$H,Master!$A105,'GL Dump'!$D:$D,Master!P$1),SUMIFS('GL Dump'!$E:$E,'GL Dump'!$H:$H,Master!$A105,'GL Dump'!$D:$D,Master!P$1,'GL Dump'!$C:$C,Master!$G$1))</f>
        <v>792.24</v>
      </c>
      <c r="Q105" s="422">
        <f>IF($G$1="ALL",SUMIFS('GL Dump'!$E:$E,'GL Dump'!$H:$H,Master!$A105,'GL Dump'!$D:$D,Master!Q$1),SUMIFS('GL Dump'!$E:$E,'GL Dump'!$H:$H,Master!$A105,'GL Dump'!$D:$D,Master!Q$1,'GL Dump'!$C:$C,Master!$G$1))</f>
        <v>792.24</v>
      </c>
      <c r="R105" s="422">
        <f>IF($G$1="ALL",SUMIFS('GL Dump'!$E:$E,'GL Dump'!$H:$H,Master!$A105,'GL Dump'!$D:$D,Master!R$1),SUMIFS('GL Dump'!$E:$E,'GL Dump'!$H:$H,Master!$A105,'GL Dump'!$D:$D,Master!R$1,'GL Dump'!$C:$C,Master!$G$1))</f>
        <v>792.24</v>
      </c>
      <c r="S105" s="422">
        <f>IF($G$1="ALL",SUMIFS('GL Dump'!$E:$E,'GL Dump'!$H:$H,Master!$A105,'GL Dump'!$D:$D,Master!S$1),SUMIFS('GL Dump'!$E:$E,'GL Dump'!$H:$H,Master!$A105,'GL Dump'!$D:$D,Master!S$1,'GL Dump'!$C:$C,Master!$G$1))</f>
        <v>792.24</v>
      </c>
      <c r="T105" s="450"/>
    </row>
    <row r="106" spans="1:20" s="29" customFormat="1" x14ac:dyDescent="0.25">
      <c r="A106" s="145" t="s">
        <v>2906</v>
      </c>
      <c r="B106" s="261" t="s">
        <v>3126</v>
      </c>
      <c r="C106" s="185">
        <v>0</v>
      </c>
      <c r="D106" s="113">
        <v>258.08</v>
      </c>
      <c r="E106" s="91">
        <f t="shared" si="4"/>
        <v>0</v>
      </c>
      <c r="F106" s="285" t="s">
        <v>3280</v>
      </c>
      <c r="G106" s="299"/>
      <c r="H106" s="397">
        <f>E106+SUMIFS('GL Dump'!$E:$E,'GL Dump'!$H:$H,Master!A106,'GL Dump'!$D:$D,Master!$I$1)</f>
        <v>0</v>
      </c>
      <c r="I106" s="81">
        <f>IF($G$1="ALL",SUMIFS('GL Dump'!$E:$E,'GL Dump'!$H:$H,Master!$A106,'GL Dump'!$D:$D,Master!I$1),SUMIFS('GL Dump'!$E:$E,'GL Dump'!$H:$H,Master!$A106,'GL Dump'!$D:$D,Master!I$1,'GL Dump'!$C:$C,Master!$G$1))</f>
        <v>0</v>
      </c>
      <c r="J106" s="81">
        <f>IF($G$1="ALL",SUMIFS('GL Dump'!$E:$E,'GL Dump'!$H:$H,Master!$A106,'GL Dump'!$D:$D,Master!J$1),SUMIFS('GL Dump'!$E:$E,'GL Dump'!$H:$H,Master!$A106,'GL Dump'!$D:$D,Master!J$1,'GL Dump'!$C:$C,Master!$G$1))</f>
        <v>258.08</v>
      </c>
      <c r="K106" s="81">
        <f>IF($G$1="ALL",SUMIFS('GL Dump'!$E:$E,'GL Dump'!$H:$H,Master!$A106,'GL Dump'!$D:$D,Master!K$1),SUMIFS('GL Dump'!$E:$E,'GL Dump'!$H:$H,Master!$A106,'GL Dump'!$D:$D,Master!K$1,'GL Dump'!$C:$C,Master!$G$1))</f>
        <v>258.08</v>
      </c>
      <c r="L106" s="81">
        <f>IF($G$1="ALL",SUMIFS('GL Dump'!$E:$E,'GL Dump'!$H:$H,Master!$A106,'GL Dump'!$D:$D,Master!L$1),SUMIFS('GL Dump'!$E:$E,'GL Dump'!$H:$H,Master!$A106,'GL Dump'!$D:$D,Master!L$1,'GL Dump'!$C:$C,Master!$G$1))</f>
        <v>258.08</v>
      </c>
      <c r="M106" s="81">
        <f>IF($G$1="ALL",SUMIFS('GL Dump'!$E:$E,'GL Dump'!$H:$H,Master!$A106,'GL Dump'!$D:$D,Master!M$1),SUMIFS('GL Dump'!$E:$E,'GL Dump'!$H:$H,Master!$A106,'GL Dump'!$D:$D,Master!M$1,'GL Dump'!$C:$C,Master!$G$1))</f>
        <v>258.08</v>
      </c>
      <c r="N106" s="81">
        <f>IF($G$1="ALL",SUMIFS('GL Dump'!$E:$E,'GL Dump'!$H:$H,Master!$A106,'GL Dump'!$D:$D,Master!N$1),SUMIFS('GL Dump'!$E:$E,'GL Dump'!$H:$H,Master!$A106,'GL Dump'!$D:$D,Master!N$1,'GL Dump'!$C:$C,Master!$G$1))</f>
        <v>258.08</v>
      </c>
      <c r="O106" s="81">
        <f>IF($G$1="ALL",SUMIFS('GL Dump'!$E:$E,'GL Dump'!$H:$H,Master!$A106,'GL Dump'!$D:$D,Master!O$1),SUMIFS('GL Dump'!$E:$E,'GL Dump'!$H:$H,Master!$A106,'GL Dump'!$D:$D,Master!O$1,'GL Dump'!$C:$C,Master!$G$1))</f>
        <v>258.08</v>
      </c>
      <c r="P106" s="81">
        <f>IF($G$1="ALL",SUMIFS('GL Dump'!$E:$E,'GL Dump'!$H:$H,Master!$A106,'GL Dump'!$D:$D,Master!P$1),SUMIFS('GL Dump'!$E:$E,'GL Dump'!$H:$H,Master!$A106,'GL Dump'!$D:$D,Master!P$1,'GL Dump'!$C:$C,Master!$G$1))</f>
        <v>258.08</v>
      </c>
      <c r="Q106" s="81">
        <f>IF($G$1="ALL",SUMIFS('GL Dump'!$E:$E,'GL Dump'!$H:$H,Master!$A106,'GL Dump'!$D:$D,Master!Q$1),SUMIFS('GL Dump'!$E:$E,'GL Dump'!$H:$H,Master!$A106,'GL Dump'!$D:$D,Master!Q$1,'GL Dump'!$C:$C,Master!$G$1))</f>
        <v>258.08</v>
      </c>
      <c r="R106" s="81">
        <f>IF($G$1="ALL",SUMIFS('GL Dump'!$E:$E,'GL Dump'!$H:$H,Master!$A106,'GL Dump'!$D:$D,Master!R$1),SUMIFS('GL Dump'!$E:$E,'GL Dump'!$H:$H,Master!$A106,'GL Dump'!$D:$D,Master!R$1,'GL Dump'!$C:$C,Master!$G$1))</f>
        <v>258.08</v>
      </c>
      <c r="S106" s="81">
        <f>IF($G$1="ALL",SUMIFS('GL Dump'!$E:$E,'GL Dump'!$H:$H,Master!$A106,'GL Dump'!$D:$D,Master!S$1),SUMIFS('GL Dump'!$E:$E,'GL Dump'!$H:$H,Master!$A106,'GL Dump'!$D:$D,Master!S$1,'GL Dump'!$C:$C,Master!$G$1))</f>
        <v>258.08</v>
      </c>
    </row>
    <row r="107" spans="1:20" s="29" customFormat="1" x14ac:dyDescent="0.25">
      <c r="A107" s="444" t="s">
        <v>2919</v>
      </c>
      <c r="B107" s="445" t="s">
        <v>3126</v>
      </c>
      <c r="C107" s="446">
        <v>0</v>
      </c>
      <c r="D107" s="464">
        <v>157.15</v>
      </c>
      <c r="E107" s="418">
        <f t="shared" si="4"/>
        <v>0</v>
      </c>
      <c r="F107" s="456" t="s">
        <v>3280</v>
      </c>
      <c r="G107" s="457"/>
      <c r="H107" s="421">
        <f>E107+SUMIFS('GL Dump'!$E:$E,'GL Dump'!$H:$H,Master!A107,'GL Dump'!$D:$D,Master!$I$1)</f>
        <v>0</v>
      </c>
      <c r="I107" s="422">
        <f>IF($G$1="ALL",SUMIFS('GL Dump'!$E:$E,'GL Dump'!$H:$H,Master!$A107,'GL Dump'!$D:$D,Master!I$1),SUMIFS('GL Dump'!$E:$E,'GL Dump'!$H:$H,Master!$A107,'GL Dump'!$D:$D,Master!I$1,'GL Dump'!$C:$C,Master!$G$1))</f>
        <v>0</v>
      </c>
      <c r="J107" s="422">
        <f>IF($G$1="ALL",SUMIFS('GL Dump'!$E:$E,'GL Dump'!$H:$H,Master!$A107,'GL Dump'!$D:$D,Master!J$1),SUMIFS('GL Dump'!$E:$E,'GL Dump'!$H:$H,Master!$A107,'GL Dump'!$D:$D,Master!J$1,'GL Dump'!$C:$C,Master!$G$1))</f>
        <v>157.15</v>
      </c>
      <c r="K107" s="422">
        <f>IF($G$1="ALL",SUMIFS('GL Dump'!$E:$E,'GL Dump'!$H:$H,Master!$A107,'GL Dump'!$D:$D,Master!K$1),SUMIFS('GL Dump'!$E:$E,'GL Dump'!$H:$H,Master!$A107,'GL Dump'!$D:$D,Master!K$1,'GL Dump'!$C:$C,Master!$G$1))</f>
        <v>157.15</v>
      </c>
      <c r="L107" s="422">
        <f>IF($G$1="ALL",SUMIFS('GL Dump'!$E:$E,'GL Dump'!$H:$H,Master!$A107,'GL Dump'!$D:$D,Master!L$1),SUMIFS('GL Dump'!$E:$E,'GL Dump'!$H:$H,Master!$A107,'GL Dump'!$D:$D,Master!L$1,'GL Dump'!$C:$C,Master!$G$1))</f>
        <v>157.15</v>
      </c>
      <c r="M107" s="422">
        <f>IF($G$1="ALL",SUMIFS('GL Dump'!$E:$E,'GL Dump'!$H:$H,Master!$A107,'GL Dump'!$D:$D,Master!M$1),SUMIFS('GL Dump'!$E:$E,'GL Dump'!$H:$H,Master!$A107,'GL Dump'!$D:$D,Master!M$1,'GL Dump'!$C:$C,Master!$G$1))</f>
        <v>157.15</v>
      </c>
      <c r="N107" s="422">
        <f>IF($G$1="ALL",SUMIFS('GL Dump'!$E:$E,'GL Dump'!$H:$H,Master!$A107,'GL Dump'!$D:$D,Master!N$1),SUMIFS('GL Dump'!$E:$E,'GL Dump'!$H:$H,Master!$A107,'GL Dump'!$D:$D,Master!N$1,'GL Dump'!$C:$C,Master!$G$1))</f>
        <v>157.15</v>
      </c>
      <c r="O107" s="422">
        <f>IF($G$1="ALL",SUMIFS('GL Dump'!$E:$E,'GL Dump'!$H:$H,Master!$A107,'GL Dump'!$D:$D,Master!O$1),SUMIFS('GL Dump'!$E:$E,'GL Dump'!$H:$H,Master!$A107,'GL Dump'!$D:$D,Master!O$1,'GL Dump'!$C:$C,Master!$G$1))</f>
        <v>157.15</v>
      </c>
      <c r="P107" s="422">
        <f>IF($G$1="ALL",SUMIFS('GL Dump'!$E:$E,'GL Dump'!$H:$H,Master!$A107,'GL Dump'!$D:$D,Master!P$1),SUMIFS('GL Dump'!$E:$E,'GL Dump'!$H:$H,Master!$A107,'GL Dump'!$D:$D,Master!P$1,'GL Dump'!$C:$C,Master!$G$1))</f>
        <v>157.15</v>
      </c>
      <c r="Q107" s="422">
        <f>IF($G$1="ALL",SUMIFS('GL Dump'!$E:$E,'GL Dump'!$H:$H,Master!$A107,'GL Dump'!$D:$D,Master!Q$1),SUMIFS('GL Dump'!$E:$E,'GL Dump'!$H:$H,Master!$A107,'GL Dump'!$D:$D,Master!Q$1,'GL Dump'!$C:$C,Master!$G$1))</f>
        <v>157.15</v>
      </c>
      <c r="R107" s="422">
        <f>IF($G$1="ALL",SUMIFS('GL Dump'!$E:$E,'GL Dump'!$H:$H,Master!$A107,'GL Dump'!$D:$D,Master!R$1),SUMIFS('GL Dump'!$E:$E,'GL Dump'!$H:$H,Master!$A107,'GL Dump'!$D:$D,Master!R$1,'GL Dump'!$C:$C,Master!$G$1))</f>
        <v>157.15</v>
      </c>
      <c r="S107" s="422">
        <f>IF($G$1="ALL",SUMIFS('GL Dump'!$E:$E,'GL Dump'!$H:$H,Master!$A107,'GL Dump'!$D:$D,Master!S$1),SUMIFS('GL Dump'!$E:$E,'GL Dump'!$H:$H,Master!$A107,'GL Dump'!$D:$D,Master!S$1,'GL Dump'!$C:$C,Master!$G$1))</f>
        <v>157.15</v>
      </c>
      <c r="T107" s="450"/>
    </row>
    <row r="108" spans="1:20" s="29" customFormat="1" x14ac:dyDescent="0.25">
      <c r="A108" s="145" t="s">
        <v>2941</v>
      </c>
      <c r="B108" s="261" t="s">
        <v>3126</v>
      </c>
      <c r="C108" s="185">
        <v>0</v>
      </c>
      <c r="D108" s="113">
        <v>195.08</v>
      </c>
      <c r="E108" s="91">
        <f t="shared" si="4"/>
        <v>0</v>
      </c>
      <c r="F108" s="283" t="s">
        <v>3280</v>
      </c>
      <c r="G108" s="297"/>
      <c r="H108" s="397">
        <f>E108+SUMIFS('GL Dump'!$E:$E,'GL Dump'!$H:$H,Master!A108,'GL Dump'!$D:$D,Master!$I$1)</f>
        <v>0</v>
      </c>
      <c r="I108" s="81">
        <f>IF($G$1="ALL",SUMIFS('GL Dump'!$E:$E,'GL Dump'!$H:$H,Master!$A108,'GL Dump'!$D:$D,Master!I$1),SUMIFS('GL Dump'!$E:$E,'GL Dump'!$H:$H,Master!$A108,'GL Dump'!$D:$D,Master!I$1,'GL Dump'!$C:$C,Master!$G$1))</f>
        <v>0</v>
      </c>
      <c r="J108" s="81">
        <f>IF($G$1="ALL",SUMIFS('GL Dump'!$E:$E,'GL Dump'!$H:$H,Master!$A108,'GL Dump'!$D:$D,Master!J$1),SUMIFS('GL Dump'!$E:$E,'GL Dump'!$H:$H,Master!$A108,'GL Dump'!$D:$D,Master!J$1,'GL Dump'!$C:$C,Master!$G$1))</f>
        <v>195.08</v>
      </c>
      <c r="K108" s="81">
        <f>IF($G$1="ALL",SUMIFS('GL Dump'!$E:$E,'GL Dump'!$H:$H,Master!$A108,'GL Dump'!$D:$D,Master!K$1),SUMIFS('GL Dump'!$E:$E,'GL Dump'!$H:$H,Master!$A108,'GL Dump'!$D:$D,Master!K$1,'GL Dump'!$C:$C,Master!$G$1))</f>
        <v>195.08</v>
      </c>
      <c r="L108" s="81">
        <f>IF($G$1="ALL",SUMIFS('GL Dump'!$E:$E,'GL Dump'!$H:$H,Master!$A108,'GL Dump'!$D:$D,Master!L$1),SUMIFS('GL Dump'!$E:$E,'GL Dump'!$H:$H,Master!$A108,'GL Dump'!$D:$D,Master!L$1,'GL Dump'!$C:$C,Master!$G$1))</f>
        <v>195.08</v>
      </c>
      <c r="M108" s="81">
        <f>IF($G$1="ALL",SUMIFS('GL Dump'!$E:$E,'GL Dump'!$H:$H,Master!$A108,'GL Dump'!$D:$D,Master!M$1),SUMIFS('GL Dump'!$E:$E,'GL Dump'!$H:$H,Master!$A108,'GL Dump'!$D:$D,Master!M$1,'GL Dump'!$C:$C,Master!$G$1))</f>
        <v>195.08</v>
      </c>
      <c r="N108" s="81">
        <f>IF($G$1="ALL",SUMIFS('GL Dump'!$E:$E,'GL Dump'!$H:$H,Master!$A108,'GL Dump'!$D:$D,Master!N$1),SUMIFS('GL Dump'!$E:$E,'GL Dump'!$H:$H,Master!$A108,'GL Dump'!$D:$D,Master!N$1,'GL Dump'!$C:$C,Master!$G$1))</f>
        <v>195.08</v>
      </c>
      <c r="O108" s="81">
        <f>IF($G$1="ALL",SUMIFS('GL Dump'!$E:$E,'GL Dump'!$H:$H,Master!$A108,'GL Dump'!$D:$D,Master!O$1),SUMIFS('GL Dump'!$E:$E,'GL Dump'!$H:$H,Master!$A108,'GL Dump'!$D:$D,Master!O$1,'GL Dump'!$C:$C,Master!$G$1))</f>
        <v>195.08</v>
      </c>
      <c r="P108" s="81">
        <f>IF($G$1="ALL",SUMIFS('GL Dump'!$E:$E,'GL Dump'!$H:$H,Master!$A108,'GL Dump'!$D:$D,Master!P$1),SUMIFS('GL Dump'!$E:$E,'GL Dump'!$H:$H,Master!$A108,'GL Dump'!$D:$D,Master!P$1,'GL Dump'!$C:$C,Master!$G$1))</f>
        <v>195.08</v>
      </c>
      <c r="Q108" s="81">
        <f>IF($G$1="ALL",SUMIFS('GL Dump'!$E:$E,'GL Dump'!$H:$H,Master!$A108,'GL Dump'!$D:$D,Master!Q$1),SUMIFS('GL Dump'!$E:$E,'GL Dump'!$H:$H,Master!$A108,'GL Dump'!$D:$D,Master!Q$1,'GL Dump'!$C:$C,Master!$G$1))</f>
        <v>195.08</v>
      </c>
      <c r="R108" s="81">
        <f>IF($G$1="ALL",SUMIFS('GL Dump'!$E:$E,'GL Dump'!$H:$H,Master!$A108,'GL Dump'!$D:$D,Master!R$1),SUMIFS('GL Dump'!$E:$E,'GL Dump'!$H:$H,Master!$A108,'GL Dump'!$D:$D,Master!R$1,'GL Dump'!$C:$C,Master!$G$1))</f>
        <v>195.08</v>
      </c>
      <c r="S108" s="81">
        <f>IF($G$1="ALL",SUMIFS('GL Dump'!$E:$E,'GL Dump'!$H:$H,Master!$A108,'GL Dump'!$D:$D,Master!S$1),SUMIFS('GL Dump'!$E:$E,'GL Dump'!$H:$H,Master!$A108,'GL Dump'!$D:$D,Master!S$1,'GL Dump'!$C:$C,Master!$G$1))</f>
        <v>195.08</v>
      </c>
    </row>
    <row r="109" spans="1:20" s="29" customFormat="1" x14ac:dyDescent="0.25">
      <c r="A109" s="444" t="s">
        <v>2963</v>
      </c>
      <c r="B109" s="445" t="s">
        <v>3126</v>
      </c>
      <c r="C109" s="446">
        <v>0</v>
      </c>
      <c r="D109" s="464">
        <v>174.48</v>
      </c>
      <c r="E109" s="418">
        <f t="shared" si="4"/>
        <v>0</v>
      </c>
      <c r="F109" s="456" t="s">
        <v>3280</v>
      </c>
      <c r="G109" s="457"/>
      <c r="H109" s="421">
        <f>E109+SUMIFS('GL Dump'!$E:$E,'GL Dump'!$H:$H,Master!A109,'GL Dump'!$D:$D,Master!$I$1)</f>
        <v>0</v>
      </c>
      <c r="I109" s="422">
        <f>IF($G$1="ALL",SUMIFS('GL Dump'!$E:$E,'GL Dump'!$H:$H,Master!$A109,'GL Dump'!$D:$D,Master!I$1),SUMIFS('GL Dump'!$E:$E,'GL Dump'!$H:$H,Master!$A109,'GL Dump'!$D:$D,Master!I$1,'GL Dump'!$C:$C,Master!$G$1))</f>
        <v>0</v>
      </c>
      <c r="J109" s="422">
        <f>IF($G$1="ALL",SUMIFS('GL Dump'!$E:$E,'GL Dump'!$H:$H,Master!$A109,'GL Dump'!$D:$D,Master!J$1),SUMIFS('GL Dump'!$E:$E,'GL Dump'!$H:$H,Master!$A109,'GL Dump'!$D:$D,Master!J$1,'GL Dump'!$C:$C,Master!$G$1))</f>
        <v>174.48</v>
      </c>
      <c r="K109" s="422">
        <f>IF($G$1="ALL",SUMIFS('GL Dump'!$E:$E,'GL Dump'!$H:$H,Master!$A109,'GL Dump'!$D:$D,Master!K$1),SUMIFS('GL Dump'!$E:$E,'GL Dump'!$H:$H,Master!$A109,'GL Dump'!$D:$D,Master!K$1,'GL Dump'!$C:$C,Master!$G$1))</f>
        <v>174.48</v>
      </c>
      <c r="L109" s="422">
        <f>IF($G$1="ALL",SUMIFS('GL Dump'!$E:$E,'GL Dump'!$H:$H,Master!$A109,'GL Dump'!$D:$D,Master!L$1),SUMIFS('GL Dump'!$E:$E,'GL Dump'!$H:$H,Master!$A109,'GL Dump'!$D:$D,Master!L$1,'GL Dump'!$C:$C,Master!$G$1))</f>
        <v>174.48</v>
      </c>
      <c r="M109" s="422">
        <f>IF($G$1="ALL",SUMIFS('GL Dump'!$E:$E,'GL Dump'!$H:$H,Master!$A109,'GL Dump'!$D:$D,Master!M$1),SUMIFS('GL Dump'!$E:$E,'GL Dump'!$H:$H,Master!$A109,'GL Dump'!$D:$D,Master!M$1,'GL Dump'!$C:$C,Master!$G$1))</f>
        <v>174.48</v>
      </c>
      <c r="N109" s="422">
        <f>IF($G$1="ALL",SUMIFS('GL Dump'!$E:$E,'GL Dump'!$H:$H,Master!$A109,'GL Dump'!$D:$D,Master!N$1),SUMIFS('GL Dump'!$E:$E,'GL Dump'!$H:$H,Master!$A109,'GL Dump'!$D:$D,Master!N$1,'GL Dump'!$C:$C,Master!$G$1))</f>
        <v>174.48</v>
      </c>
      <c r="O109" s="422">
        <f>IF($G$1="ALL",SUMIFS('GL Dump'!$E:$E,'GL Dump'!$H:$H,Master!$A109,'GL Dump'!$D:$D,Master!O$1),SUMIFS('GL Dump'!$E:$E,'GL Dump'!$H:$H,Master!$A109,'GL Dump'!$D:$D,Master!O$1,'GL Dump'!$C:$C,Master!$G$1))</f>
        <v>174.48</v>
      </c>
      <c r="P109" s="422">
        <f>IF($G$1="ALL",SUMIFS('GL Dump'!$E:$E,'GL Dump'!$H:$H,Master!$A109,'GL Dump'!$D:$D,Master!P$1),SUMIFS('GL Dump'!$E:$E,'GL Dump'!$H:$H,Master!$A109,'GL Dump'!$D:$D,Master!P$1,'GL Dump'!$C:$C,Master!$G$1))</f>
        <v>174.48</v>
      </c>
      <c r="Q109" s="422">
        <f>IF($G$1="ALL",SUMIFS('GL Dump'!$E:$E,'GL Dump'!$H:$H,Master!$A109,'GL Dump'!$D:$D,Master!Q$1),SUMIFS('GL Dump'!$E:$E,'GL Dump'!$H:$H,Master!$A109,'GL Dump'!$D:$D,Master!Q$1,'GL Dump'!$C:$C,Master!$G$1))</f>
        <v>174.48</v>
      </c>
      <c r="R109" s="422">
        <f>IF($G$1="ALL",SUMIFS('GL Dump'!$E:$E,'GL Dump'!$H:$H,Master!$A109,'GL Dump'!$D:$D,Master!R$1),SUMIFS('GL Dump'!$E:$E,'GL Dump'!$H:$H,Master!$A109,'GL Dump'!$D:$D,Master!R$1,'GL Dump'!$C:$C,Master!$G$1))</f>
        <v>174.48</v>
      </c>
      <c r="S109" s="422">
        <f>IF($G$1="ALL",SUMIFS('GL Dump'!$E:$E,'GL Dump'!$H:$H,Master!$A109,'GL Dump'!$D:$D,Master!S$1),SUMIFS('GL Dump'!$E:$E,'GL Dump'!$H:$H,Master!$A109,'GL Dump'!$D:$D,Master!S$1,'GL Dump'!$C:$C,Master!$G$1))</f>
        <v>174.48</v>
      </c>
      <c r="T109" s="450"/>
    </row>
    <row r="110" spans="1:20" s="29" customFormat="1" x14ac:dyDescent="0.25">
      <c r="A110" s="145" t="s">
        <v>2978</v>
      </c>
      <c r="B110" s="261" t="s">
        <v>3127</v>
      </c>
      <c r="C110" s="187">
        <v>0</v>
      </c>
      <c r="D110" s="82">
        <v>46.57</v>
      </c>
      <c r="E110" s="91">
        <f t="shared" si="4"/>
        <v>0</v>
      </c>
      <c r="F110" s="283" t="s">
        <v>942</v>
      </c>
      <c r="G110" s="297"/>
      <c r="H110" s="397">
        <f>E110+SUMIFS('GL Dump'!$E:$E,'GL Dump'!$H:$H,Master!A110,'GL Dump'!$D:$D,Master!$I$1)</f>
        <v>0</v>
      </c>
      <c r="I110" s="81">
        <f>IF($G$1="ALL",SUMIFS('GL Dump'!$E:$E,'GL Dump'!$H:$H,Master!$A110,'GL Dump'!$D:$D,Master!I$1),SUMIFS('GL Dump'!$E:$E,'GL Dump'!$H:$H,Master!$A110,'GL Dump'!$D:$D,Master!I$1,'GL Dump'!$C:$C,Master!$G$1))</f>
        <v>0</v>
      </c>
      <c r="J110" s="81">
        <f>IF($G$1="ALL",SUMIFS('GL Dump'!$E:$E,'GL Dump'!$H:$H,Master!$A110,'GL Dump'!$D:$D,Master!J$1),SUMIFS('GL Dump'!$E:$E,'GL Dump'!$H:$H,Master!$A110,'GL Dump'!$D:$D,Master!J$1,'GL Dump'!$C:$C,Master!$G$1))</f>
        <v>0</v>
      </c>
      <c r="K110" s="81">
        <f>IF($G$1="ALL",SUMIFS('GL Dump'!$E:$E,'GL Dump'!$H:$H,Master!$A110,'GL Dump'!$D:$D,Master!K$1),SUMIFS('GL Dump'!$E:$E,'GL Dump'!$H:$H,Master!$A110,'GL Dump'!$D:$D,Master!K$1,'GL Dump'!$C:$C,Master!$G$1))</f>
        <v>0</v>
      </c>
      <c r="L110" s="81">
        <f>IF($G$1="ALL",SUMIFS('GL Dump'!$E:$E,'GL Dump'!$H:$H,Master!$A110,'GL Dump'!$D:$D,Master!L$1),SUMIFS('GL Dump'!$E:$E,'GL Dump'!$H:$H,Master!$A110,'GL Dump'!$D:$D,Master!L$1,'GL Dump'!$C:$C,Master!$G$1))</f>
        <v>0</v>
      </c>
      <c r="M110" s="81">
        <f>IF($G$1="ALL",SUMIFS('GL Dump'!$E:$E,'GL Dump'!$H:$H,Master!$A110,'GL Dump'!$D:$D,Master!M$1),SUMIFS('GL Dump'!$E:$E,'GL Dump'!$H:$H,Master!$A110,'GL Dump'!$D:$D,Master!M$1,'GL Dump'!$C:$C,Master!$G$1))</f>
        <v>0</v>
      </c>
      <c r="N110" s="81">
        <f>IF($G$1="ALL",SUMIFS('GL Dump'!$E:$E,'GL Dump'!$H:$H,Master!$A110,'GL Dump'!$D:$D,Master!N$1),SUMIFS('GL Dump'!$E:$E,'GL Dump'!$H:$H,Master!$A110,'GL Dump'!$D:$D,Master!N$1,'GL Dump'!$C:$C,Master!$G$1))</f>
        <v>0</v>
      </c>
      <c r="O110" s="81">
        <f>IF($G$1="ALL",SUMIFS('GL Dump'!$E:$E,'GL Dump'!$H:$H,Master!$A110,'GL Dump'!$D:$D,Master!O$1),SUMIFS('GL Dump'!$E:$E,'GL Dump'!$H:$H,Master!$A110,'GL Dump'!$D:$D,Master!O$1,'GL Dump'!$C:$C,Master!$G$1))</f>
        <v>0</v>
      </c>
      <c r="P110" s="81">
        <f>IF($G$1="ALL",SUMIFS('GL Dump'!$E:$E,'GL Dump'!$H:$H,Master!$A110,'GL Dump'!$D:$D,Master!P$1),SUMIFS('GL Dump'!$E:$E,'GL Dump'!$H:$H,Master!$A110,'GL Dump'!$D:$D,Master!P$1,'GL Dump'!$C:$C,Master!$G$1))</f>
        <v>0</v>
      </c>
      <c r="Q110" s="81">
        <f>IF($G$1="ALL",SUMIFS('GL Dump'!$E:$E,'GL Dump'!$H:$H,Master!$A110,'GL Dump'!$D:$D,Master!Q$1),SUMIFS('GL Dump'!$E:$E,'GL Dump'!$H:$H,Master!$A110,'GL Dump'!$D:$D,Master!Q$1,'GL Dump'!$C:$C,Master!$G$1))</f>
        <v>0</v>
      </c>
      <c r="R110" s="81">
        <f>IF($G$1="ALL",SUMIFS('GL Dump'!$E:$E,'GL Dump'!$H:$H,Master!$A110,'GL Dump'!$D:$D,Master!R$1),SUMIFS('GL Dump'!$E:$E,'GL Dump'!$H:$H,Master!$A110,'GL Dump'!$D:$D,Master!R$1,'GL Dump'!$C:$C,Master!$G$1))</f>
        <v>0</v>
      </c>
      <c r="S110" s="81">
        <f>IF($G$1="ALL",SUMIFS('GL Dump'!$E:$E,'GL Dump'!$H:$H,Master!$A110,'GL Dump'!$D:$D,Master!S$1),SUMIFS('GL Dump'!$E:$E,'GL Dump'!$H:$H,Master!$A110,'GL Dump'!$D:$D,Master!S$1,'GL Dump'!$C:$C,Master!$G$1))</f>
        <v>0</v>
      </c>
    </row>
    <row r="111" spans="1:20" s="29" customFormat="1" x14ac:dyDescent="0.25">
      <c r="A111" s="444" t="s">
        <v>2979</v>
      </c>
      <c r="B111" s="445" t="s">
        <v>3127</v>
      </c>
      <c r="C111" s="460">
        <v>0</v>
      </c>
      <c r="D111" s="447">
        <v>79.180000000000007</v>
      </c>
      <c r="E111" s="418">
        <f t="shared" si="4"/>
        <v>0</v>
      </c>
      <c r="F111" s="456" t="s">
        <v>942</v>
      </c>
      <c r="G111" s="457"/>
      <c r="H111" s="421">
        <f>E111+SUMIFS('GL Dump'!$E:$E,'GL Dump'!$H:$H,Master!A111,'GL Dump'!$D:$D,Master!$I$1)</f>
        <v>0</v>
      </c>
      <c r="I111" s="422">
        <f>IF($G$1="ALL",SUMIFS('GL Dump'!$E:$E,'GL Dump'!$H:$H,Master!$A111,'GL Dump'!$D:$D,Master!I$1),SUMIFS('GL Dump'!$E:$E,'GL Dump'!$H:$H,Master!$A111,'GL Dump'!$D:$D,Master!I$1,'GL Dump'!$C:$C,Master!$G$1))</f>
        <v>0</v>
      </c>
      <c r="J111" s="422">
        <f>IF($G$1="ALL",SUMIFS('GL Dump'!$E:$E,'GL Dump'!$H:$H,Master!$A111,'GL Dump'!$D:$D,Master!J$1),SUMIFS('GL Dump'!$E:$E,'GL Dump'!$H:$H,Master!$A111,'GL Dump'!$D:$D,Master!J$1,'GL Dump'!$C:$C,Master!$G$1))</f>
        <v>0</v>
      </c>
      <c r="K111" s="422">
        <f>IF($G$1="ALL",SUMIFS('GL Dump'!$E:$E,'GL Dump'!$H:$H,Master!$A111,'GL Dump'!$D:$D,Master!K$1),SUMIFS('GL Dump'!$E:$E,'GL Dump'!$H:$H,Master!$A111,'GL Dump'!$D:$D,Master!K$1,'GL Dump'!$C:$C,Master!$G$1))</f>
        <v>0</v>
      </c>
      <c r="L111" s="422">
        <f>IF($G$1="ALL",SUMIFS('GL Dump'!$E:$E,'GL Dump'!$H:$H,Master!$A111,'GL Dump'!$D:$D,Master!L$1),SUMIFS('GL Dump'!$E:$E,'GL Dump'!$H:$H,Master!$A111,'GL Dump'!$D:$D,Master!L$1,'GL Dump'!$C:$C,Master!$G$1))</f>
        <v>0</v>
      </c>
      <c r="M111" s="422">
        <f>IF($G$1="ALL",SUMIFS('GL Dump'!$E:$E,'GL Dump'!$H:$H,Master!$A111,'GL Dump'!$D:$D,Master!M$1),SUMIFS('GL Dump'!$E:$E,'GL Dump'!$H:$H,Master!$A111,'GL Dump'!$D:$D,Master!M$1,'GL Dump'!$C:$C,Master!$G$1))</f>
        <v>0</v>
      </c>
      <c r="N111" s="422">
        <f>IF($G$1="ALL",SUMIFS('GL Dump'!$E:$E,'GL Dump'!$H:$H,Master!$A111,'GL Dump'!$D:$D,Master!N$1),SUMIFS('GL Dump'!$E:$E,'GL Dump'!$H:$H,Master!$A111,'GL Dump'!$D:$D,Master!N$1,'GL Dump'!$C:$C,Master!$G$1))</f>
        <v>0</v>
      </c>
      <c r="O111" s="422">
        <f>IF($G$1="ALL",SUMIFS('GL Dump'!$E:$E,'GL Dump'!$H:$H,Master!$A111,'GL Dump'!$D:$D,Master!O$1),SUMIFS('GL Dump'!$E:$E,'GL Dump'!$H:$H,Master!$A111,'GL Dump'!$D:$D,Master!O$1,'GL Dump'!$C:$C,Master!$G$1))</f>
        <v>0</v>
      </c>
      <c r="P111" s="422">
        <f>IF($G$1="ALL",SUMIFS('GL Dump'!$E:$E,'GL Dump'!$H:$H,Master!$A111,'GL Dump'!$D:$D,Master!P$1),SUMIFS('GL Dump'!$E:$E,'GL Dump'!$H:$H,Master!$A111,'GL Dump'!$D:$D,Master!P$1,'GL Dump'!$C:$C,Master!$G$1))</f>
        <v>0</v>
      </c>
      <c r="Q111" s="422">
        <f>IF($G$1="ALL",SUMIFS('GL Dump'!$E:$E,'GL Dump'!$H:$H,Master!$A111,'GL Dump'!$D:$D,Master!Q$1),SUMIFS('GL Dump'!$E:$E,'GL Dump'!$H:$H,Master!$A111,'GL Dump'!$D:$D,Master!Q$1,'GL Dump'!$C:$C,Master!$G$1))</f>
        <v>0</v>
      </c>
      <c r="R111" s="422">
        <f>IF($G$1="ALL",SUMIFS('GL Dump'!$E:$E,'GL Dump'!$H:$H,Master!$A111,'GL Dump'!$D:$D,Master!R$1),SUMIFS('GL Dump'!$E:$E,'GL Dump'!$H:$H,Master!$A111,'GL Dump'!$D:$D,Master!R$1,'GL Dump'!$C:$C,Master!$G$1))</f>
        <v>0</v>
      </c>
      <c r="S111" s="422">
        <f>IF($G$1="ALL",SUMIFS('GL Dump'!$E:$E,'GL Dump'!$H:$H,Master!$A111,'GL Dump'!$D:$D,Master!S$1),SUMIFS('GL Dump'!$E:$E,'GL Dump'!$H:$H,Master!$A111,'GL Dump'!$D:$D,Master!S$1,'GL Dump'!$C:$C,Master!$G$1))</f>
        <v>0</v>
      </c>
      <c r="T111" s="450"/>
    </row>
    <row r="112" spans="1:20" s="29" customFormat="1" x14ac:dyDescent="0.25">
      <c r="A112" s="145" t="s">
        <v>2980</v>
      </c>
      <c r="B112" s="261" t="s">
        <v>3127</v>
      </c>
      <c r="C112" s="187">
        <v>0</v>
      </c>
      <c r="D112" s="82">
        <v>36.99</v>
      </c>
      <c r="E112" s="91">
        <f t="shared" si="4"/>
        <v>0</v>
      </c>
      <c r="F112" s="283" t="s">
        <v>942</v>
      </c>
      <c r="G112" s="297"/>
      <c r="H112" s="397">
        <f>E112+SUMIFS('GL Dump'!$E:$E,'GL Dump'!$H:$H,Master!A112,'GL Dump'!$D:$D,Master!$I$1)</f>
        <v>0</v>
      </c>
      <c r="I112" s="81">
        <f>IF($G$1="ALL",SUMIFS('GL Dump'!$E:$E,'GL Dump'!$H:$H,Master!$A112,'GL Dump'!$D:$D,Master!I$1),SUMIFS('GL Dump'!$E:$E,'GL Dump'!$H:$H,Master!$A112,'GL Dump'!$D:$D,Master!I$1,'GL Dump'!$C:$C,Master!$G$1))</f>
        <v>0</v>
      </c>
      <c r="J112" s="81">
        <f>IF($G$1="ALL",SUMIFS('GL Dump'!$E:$E,'GL Dump'!$H:$H,Master!$A112,'GL Dump'!$D:$D,Master!J$1),SUMIFS('GL Dump'!$E:$E,'GL Dump'!$H:$H,Master!$A112,'GL Dump'!$D:$D,Master!J$1,'GL Dump'!$C:$C,Master!$G$1))</f>
        <v>0</v>
      </c>
      <c r="K112" s="81">
        <f>IF($G$1="ALL",SUMIFS('GL Dump'!$E:$E,'GL Dump'!$H:$H,Master!$A112,'GL Dump'!$D:$D,Master!K$1),SUMIFS('GL Dump'!$E:$E,'GL Dump'!$H:$H,Master!$A112,'GL Dump'!$D:$D,Master!K$1,'GL Dump'!$C:$C,Master!$G$1))</f>
        <v>0</v>
      </c>
      <c r="L112" s="81">
        <f>IF($G$1="ALL",SUMIFS('GL Dump'!$E:$E,'GL Dump'!$H:$H,Master!$A112,'GL Dump'!$D:$D,Master!L$1),SUMIFS('GL Dump'!$E:$E,'GL Dump'!$H:$H,Master!$A112,'GL Dump'!$D:$D,Master!L$1,'GL Dump'!$C:$C,Master!$G$1))</f>
        <v>0</v>
      </c>
      <c r="M112" s="81">
        <f>IF($G$1="ALL",SUMIFS('GL Dump'!$E:$E,'GL Dump'!$H:$H,Master!$A112,'GL Dump'!$D:$D,Master!M$1),SUMIFS('GL Dump'!$E:$E,'GL Dump'!$H:$H,Master!$A112,'GL Dump'!$D:$D,Master!M$1,'GL Dump'!$C:$C,Master!$G$1))</f>
        <v>0</v>
      </c>
      <c r="N112" s="81">
        <f>IF($G$1="ALL",SUMIFS('GL Dump'!$E:$E,'GL Dump'!$H:$H,Master!$A112,'GL Dump'!$D:$D,Master!N$1),SUMIFS('GL Dump'!$E:$E,'GL Dump'!$H:$H,Master!$A112,'GL Dump'!$D:$D,Master!N$1,'GL Dump'!$C:$C,Master!$G$1))</f>
        <v>0</v>
      </c>
      <c r="O112" s="81">
        <f>IF($G$1="ALL",SUMIFS('GL Dump'!$E:$E,'GL Dump'!$H:$H,Master!$A112,'GL Dump'!$D:$D,Master!O$1),SUMIFS('GL Dump'!$E:$E,'GL Dump'!$H:$H,Master!$A112,'GL Dump'!$D:$D,Master!O$1,'GL Dump'!$C:$C,Master!$G$1))</f>
        <v>0</v>
      </c>
      <c r="P112" s="81">
        <f>IF($G$1="ALL",SUMIFS('GL Dump'!$E:$E,'GL Dump'!$H:$H,Master!$A112,'GL Dump'!$D:$D,Master!P$1),SUMIFS('GL Dump'!$E:$E,'GL Dump'!$H:$H,Master!$A112,'GL Dump'!$D:$D,Master!P$1,'GL Dump'!$C:$C,Master!$G$1))</f>
        <v>0</v>
      </c>
      <c r="Q112" s="81">
        <f>IF($G$1="ALL",SUMIFS('GL Dump'!$E:$E,'GL Dump'!$H:$H,Master!$A112,'GL Dump'!$D:$D,Master!Q$1),SUMIFS('GL Dump'!$E:$E,'GL Dump'!$H:$H,Master!$A112,'GL Dump'!$D:$D,Master!Q$1,'GL Dump'!$C:$C,Master!$G$1))</f>
        <v>0</v>
      </c>
      <c r="R112" s="81">
        <f>IF($G$1="ALL",SUMIFS('GL Dump'!$E:$E,'GL Dump'!$H:$H,Master!$A112,'GL Dump'!$D:$D,Master!R$1),SUMIFS('GL Dump'!$E:$E,'GL Dump'!$H:$H,Master!$A112,'GL Dump'!$D:$D,Master!R$1,'GL Dump'!$C:$C,Master!$G$1))</f>
        <v>0</v>
      </c>
      <c r="S112" s="81">
        <f>IF($G$1="ALL",SUMIFS('GL Dump'!$E:$E,'GL Dump'!$H:$H,Master!$A112,'GL Dump'!$D:$D,Master!S$1),SUMIFS('GL Dump'!$E:$E,'GL Dump'!$H:$H,Master!$A112,'GL Dump'!$D:$D,Master!S$1,'GL Dump'!$C:$C,Master!$G$1))</f>
        <v>0</v>
      </c>
    </row>
    <row r="113" spans="1:20" s="29" customFormat="1" x14ac:dyDescent="0.25">
      <c r="A113" s="444" t="s">
        <v>2983</v>
      </c>
      <c r="B113" s="445" t="s">
        <v>3158</v>
      </c>
      <c r="C113" s="446">
        <v>4</v>
      </c>
      <c r="D113" s="447">
        <v>50</v>
      </c>
      <c r="E113" s="418">
        <f t="shared" si="4"/>
        <v>200</v>
      </c>
      <c r="F113" s="454" t="s">
        <v>3132</v>
      </c>
      <c r="G113" s="457"/>
      <c r="H113" s="421">
        <f>E113+SUMIFS('GL Dump'!$E:$E,'GL Dump'!$H:$H,Master!A113,'GL Dump'!$D:$D,Master!$I$1)</f>
        <v>200</v>
      </c>
      <c r="I113" s="422">
        <f>IF($G$1="ALL",SUMIFS('GL Dump'!$E:$E,'GL Dump'!$H:$H,Master!$A113,'GL Dump'!$D:$D,Master!I$1),SUMIFS('GL Dump'!$E:$E,'GL Dump'!$H:$H,Master!$A113,'GL Dump'!$D:$D,Master!I$1,'GL Dump'!$C:$C,Master!$G$1))</f>
        <v>0</v>
      </c>
      <c r="J113" s="422">
        <f>IF($G$1="ALL",SUMIFS('GL Dump'!$E:$E,'GL Dump'!$H:$H,Master!$A113,'GL Dump'!$D:$D,Master!J$1),SUMIFS('GL Dump'!$E:$E,'GL Dump'!$H:$H,Master!$A113,'GL Dump'!$D:$D,Master!J$1,'GL Dump'!$C:$C,Master!$G$1))</f>
        <v>0</v>
      </c>
      <c r="K113" s="422">
        <f>IF($G$1="ALL",SUMIFS('GL Dump'!$E:$E,'GL Dump'!$H:$H,Master!$A113,'GL Dump'!$D:$D,Master!K$1),SUMIFS('GL Dump'!$E:$E,'GL Dump'!$H:$H,Master!$A113,'GL Dump'!$D:$D,Master!K$1,'GL Dump'!$C:$C,Master!$G$1))</f>
        <v>145.11000000000001</v>
      </c>
      <c r="L113" s="422">
        <f>IF($G$1="ALL",SUMIFS('GL Dump'!$E:$E,'GL Dump'!$H:$H,Master!$A113,'GL Dump'!$D:$D,Master!L$1),SUMIFS('GL Dump'!$E:$E,'GL Dump'!$H:$H,Master!$A113,'GL Dump'!$D:$D,Master!L$1,'GL Dump'!$C:$C,Master!$G$1))</f>
        <v>0</v>
      </c>
      <c r="M113" s="422">
        <f>IF($G$1="ALL",SUMIFS('GL Dump'!$E:$E,'GL Dump'!$H:$H,Master!$A113,'GL Dump'!$D:$D,Master!M$1),SUMIFS('GL Dump'!$E:$E,'GL Dump'!$H:$H,Master!$A113,'GL Dump'!$D:$D,Master!M$1,'GL Dump'!$C:$C,Master!$G$1))</f>
        <v>56.78</v>
      </c>
      <c r="N113" s="422">
        <f>IF($G$1="ALL",SUMIFS('GL Dump'!$E:$E,'GL Dump'!$H:$H,Master!$A113,'GL Dump'!$D:$D,Master!N$1),SUMIFS('GL Dump'!$E:$E,'GL Dump'!$H:$H,Master!$A113,'GL Dump'!$D:$D,Master!N$1,'GL Dump'!$C:$C,Master!$G$1))</f>
        <v>0</v>
      </c>
      <c r="O113" s="422">
        <f>IF($G$1="ALL",SUMIFS('GL Dump'!$E:$E,'GL Dump'!$H:$H,Master!$A113,'GL Dump'!$D:$D,Master!O$1),SUMIFS('GL Dump'!$E:$E,'GL Dump'!$H:$H,Master!$A113,'GL Dump'!$D:$D,Master!O$1,'GL Dump'!$C:$C,Master!$G$1))</f>
        <v>0</v>
      </c>
      <c r="P113" s="422">
        <f>IF($G$1="ALL",SUMIFS('GL Dump'!$E:$E,'GL Dump'!$H:$H,Master!$A113,'GL Dump'!$D:$D,Master!P$1),SUMIFS('GL Dump'!$E:$E,'GL Dump'!$H:$H,Master!$A113,'GL Dump'!$D:$D,Master!P$1,'GL Dump'!$C:$C,Master!$G$1))</f>
        <v>0</v>
      </c>
      <c r="Q113" s="422">
        <f>IF($G$1="ALL",SUMIFS('GL Dump'!$E:$E,'GL Dump'!$H:$H,Master!$A113,'GL Dump'!$D:$D,Master!Q$1),SUMIFS('GL Dump'!$E:$E,'GL Dump'!$H:$H,Master!$A113,'GL Dump'!$D:$D,Master!Q$1,'GL Dump'!$C:$C,Master!$G$1))</f>
        <v>0</v>
      </c>
      <c r="R113" s="422">
        <f>IF($G$1="ALL",SUMIFS('GL Dump'!$E:$E,'GL Dump'!$H:$H,Master!$A113,'GL Dump'!$D:$D,Master!R$1),SUMIFS('GL Dump'!$E:$E,'GL Dump'!$H:$H,Master!$A113,'GL Dump'!$D:$D,Master!R$1,'GL Dump'!$C:$C,Master!$G$1))</f>
        <v>0</v>
      </c>
      <c r="S113" s="422">
        <f>IF($G$1="ALL",SUMIFS('GL Dump'!$E:$E,'GL Dump'!$H:$H,Master!$A113,'GL Dump'!$D:$D,Master!S$1),SUMIFS('GL Dump'!$E:$E,'GL Dump'!$H:$H,Master!$A113,'GL Dump'!$D:$D,Master!S$1,'GL Dump'!$C:$C,Master!$G$1))</f>
        <v>0</v>
      </c>
      <c r="T113" s="450"/>
    </row>
    <row r="114" spans="1:20" s="29" customFormat="1" x14ac:dyDescent="0.25">
      <c r="A114" s="145" t="s">
        <v>2990</v>
      </c>
      <c r="B114" s="261" t="s">
        <v>3158</v>
      </c>
      <c r="C114" s="185">
        <v>3</v>
      </c>
      <c r="D114" s="82">
        <v>100</v>
      </c>
      <c r="E114" s="91">
        <f>D114*C114</f>
        <v>300</v>
      </c>
      <c r="F114" s="267" t="s">
        <v>3131</v>
      </c>
      <c r="G114" s="300"/>
      <c r="H114" s="397">
        <f>E114+SUMIFS('GL Dump'!$E:$E,'GL Dump'!$H:$H,Master!A114,'GL Dump'!$D:$D,Master!$I$1)</f>
        <v>300</v>
      </c>
      <c r="I114" s="81">
        <f>IF($G$1="ALL",SUMIFS('GL Dump'!$E:$E,'GL Dump'!$H:$H,Master!$A114,'GL Dump'!$D:$D,Master!I$1),SUMIFS('GL Dump'!$E:$E,'GL Dump'!$H:$H,Master!$A114,'GL Dump'!$D:$D,Master!I$1,'GL Dump'!$C:$C,Master!$G$1))</f>
        <v>0</v>
      </c>
      <c r="J114" s="81">
        <f>IF($G$1="ALL",SUMIFS('GL Dump'!$E:$E,'GL Dump'!$H:$H,Master!$A114,'GL Dump'!$D:$D,Master!J$1),SUMIFS('GL Dump'!$E:$E,'GL Dump'!$H:$H,Master!$A114,'GL Dump'!$D:$D,Master!J$1,'GL Dump'!$C:$C,Master!$G$1))</f>
        <v>0</v>
      </c>
      <c r="K114" s="81">
        <f>IF($G$1="ALL",SUMIFS('GL Dump'!$E:$E,'GL Dump'!$H:$H,Master!$A114,'GL Dump'!$D:$D,Master!K$1),SUMIFS('GL Dump'!$E:$E,'GL Dump'!$H:$H,Master!$A114,'GL Dump'!$D:$D,Master!K$1,'GL Dump'!$C:$C,Master!$G$1))</f>
        <v>145.13999999999999</v>
      </c>
      <c r="L114" s="81">
        <f>IF($G$1="ALL",SUMIFS('GL Dump'!$E:$E,'GL Dump'!$H:$H,Master!$A114,'GL Dump'!$D:$D,Master!L$1),SUMIFS('GL Dump'!$E:$E,'GL Dump'!$H:$H,Master!$A114,'GL Dump'!$D:$D,Master!L$1,'GL Dump'!$C:$C,Master!$G$1))</f>
        <v>0</v>
      </c>
      <c r="M114" s="81">
        <f>IF($G$1="ALL",SUMIFS('GL Dump'!$E:$E,'GL Dump'!$H:$H,Master!$A114,'GL Dump'!$D:$D,Master!M$1),SUMIFS('GL Dump'!$E:$E,'GL Dump'!$H:$H,Master!$A114,'GL Dump'!$D:$D,Master!M$1,'GL Dump'!$C:$C,Master!$G$1))</f>
        <v>56.78</v>
      </c>
      <c r="N114" s="81">
        <f>IF($G$1="ALL",SUMIFS('GL Dump'!$E:$E,'GL Dump'!$H:$H,Master!$A114,'GL Dump'!$D:$D,Master!N$1),SUMIFS('GL Dump'!$E:$E,'GL Dump'!$H:$H,Master!$A114,'GL Dump'!$D:$D,Master!N$1,'GL Dump'!$C:$C,Master!$G$1))</f>
        <v>192.5</v>
      </c>
      <c r="O114" s="81">
        <f>IF($G$1="ALL",SUMIFS('GL Dump'!$E:$E,'GL Dump'!$H:$H,Master!$A114,'GL Dump'!$D:$D,Master!O$1),SUMIFS('GL Dump'!$E:$E,'GL Dump'!$H:$H,Master!$A114,'GL Dump'!$D:$D,Master!O$1,'GL Dump'!$C:$C,Master!$G$1))</f>
        <v>0</v>
      </c>
      <c r="P114" s="81">
        <f>IF($G$1="ALL",SUMIFS('GL Dump'!$E:$E,'GL Dump'!$H:$H,Master!$A114,'GL Dump'!$D:$D,Master!P$1),SUMIFS('GL Dump'!$E:$E,'GL Dump'!$H:$H,Master!$A114,'GL Dump'!$D:$D,Master!P$1,'GL Dump'!$C:$C,Master!$G$1))</f>
        <v>29.33</v>
      </c>
      <c r="Q114" s="81">
        <f>IF($G$1="ALL",SUMIFS('GL Dump'!$E:$E,'GL Dump'!$H:$H,Master!$A114,'GL Dump'!$D:$D,Master!Q$1),SUMIFS('GL Dump'!$E:$E,'GL Dump'!$H:$H,Master!$A114,'GL Dump'!$D:$D,Master!Q$1,'GL Dump'!$C:$C,Master!$G$1))</f>
        <v>0</v>
      </c>
      <c r="R114" s="81">
        <f>IF($G$1="ALL",SUMIFS('GL Dump'!$E:$E,'GL Dump'!$H:$H,Master!$A114,'GL Dump'!$D:$D,Master!R$1),SUMIFS('GL Dump'!$E:$E,'GL Dump'!$H:$H,Master!$A114,'GL Dump'!$D:$D,Master!R$1,'GL Dump'!$C:$C,Master!$G$1))</f>
        <v>0</v>
      </c>
      <c r="S114" s="81">
        <f>IF($G$1="ALL",SUMIFS('GL Dump'!$E:$E,'GL Dump'!$H:$H,Master!$A114,'GL Dump'!$D:$D,Master!S$1),SUMIFS('GL Dump'!$E:$E,'GL Dump'!$H:$H,Master!$A114,'GL Dump'!$D:$D,Master!S$1,'GL Dump'!$C:$C,Master!$G$1))</f>
        <v>0</v>
      </c>
    </row>
    <row r="115" spans="1:20" s="29" customFormat="1" x14ac:dyDescent="0.25">
      <c r="A115" s="444" t="s">
        <v>3001</v>
      </c>
      <c r="B115" s="445" t="s">
        <v>3158</v>
      </c>
      <c r="C115" s="446">
        <v>4</v>
      </c>
      <c r="D115" s="447">
        <v>50</v>
      </c>
      <c r="E115" s="418">
        <f t="shared" si="4"/>
        <v>200</v>
      </c>
      <c r="F115" s="454" t="s">
        <v>3132</v>
      </c>
      <c r="G115" s="457"/>
      <c r="H115" s="421">
        <f>E115+SUMIFS('GL Dump'!$E:$E,'GL Dump'!$H:$H,Master!A115,'GL Dump'!$D:$D,Master!$I$1)</f>
        <v>200</v>
      </c>
      <c r="I115" s="422">
        <f>IF($G$1="ALL",SUMIFS('GL Dump'!$E:$E,'GL Dump'!$H:$H,Master!$A115,'GL Dump'!$D:$D,Master!I$1),SUMIFS('GL Dump'!$E:$E,'GL Dump'!$H:$H,Master!$A115,'GL Dump'!$D:$D,Master!I$1,'GL Dump'!$C:$C,Master!$G$1))</f>
        <v>0</v>
      </c>
      <c r="J115" s="422">
        <f>IF($G$1="ALL",SUMIFS('GL Dump'!$E:$E,'GL Dump'!$H:$H,Master!$A115,'GL Dump'!$D:$D,Master!J$1),SUMIFS('GL Dump'!$E:$E,'GL Dump'!$H:$H,Master!$A115,'GL Dump'!$D:$D,Master!J$1,'GL Dump'!$C:$C,Master!$G$1))</f>
        <v>0</v>
      </c>
      <c r="K115" s="422">
        <f>IF($G$1="ALL",SUMIFS('GL Dump'!$E:$E,'GL Dump'!$H:$H,Master!$A115,'GL Dump'!$D:$D,Master!K$1),SUMIFS('GL Dump'!$E:$E,'GL Dump'!$H:$H,Master!$A115,'GL Dump'!$D:$D,Master!K$1,'GL Dump'!$C:$C,Master!$G$1))</f>
        <v>145.12</v>
      </c>
      <c r="L115" s="422">
        <f>IF($G$1="ALL",SUMIFS('GL Dump'!$E:$E,'GL Dump'!$H:$H,Master!$A115,'GL Dump'!$D:$D,Master!L$1),SUMIFS('GL Dump'!$E:$E,'GL Dump'!$H:$H,Master!$A115,'GL Dump'!$D:$D,Master!L$1,'GL Dump'!$C:$C,Master!$G$1))</f>
        <v>0</v>
      </c>
      <c r="M115" s="422">
        <f>IF($G$1="ALL",SUMIFS('GL Dump'!$E:$E,'GL Dump'!$H:$H,Master!$A115,'GL Dump'!$D:$D,Master!M$1),SUMIFS('GL Dump'!$E:$E,'GL Dump'!$H:$H,Master!$A115,'GL Dump'!$D:$D,Master!M$1,'GL Dump'!$C:$C,Master!$G$1))</f>
        <v>56.78</v>
      </c>
      <c r="N115" s="422">
        <f>IF($G$1="ALL",SUMIFS('GL Dump'!$E:$E,'GL Dump'!$H:$H,Master!$A115,'GL Dump'!$D:$D,Master!N$1),SUMIFS('GL Dump'!$E:$E,'GL Dump'!$H:$H,Master!$A115,'GL Dump'!$D:$D,Master!N$1,'GL Dump'!$C:$C,Master!$G$1))</f>
        <v>0</v>
      </c>
      <c r="O115" s="422">
        <f>IF($G$1="ALL",SUMIFS('GL Dump'!$E:$E,'GL Dump'!$H:$H,Master!$A115,'GL Dump'!$D:$D,Master!O$1),SUMIFS('GL Dump'!$E:$E,'GL Dump'!$H:$H,Master!$A115,'GL Dump'!$D:$D,Master!O$1,'GL Dump'!$C:$C,Master!$G$1))</f>
        <v>0</v>
      </c>
      <c r="P115" s="422">
        <f>IF($G$1="ALL",SUMIFS('GL Dump'!$E:$E,'GL Dump'!$H:$H,Master!$A115,'GL Dump'!$D:$D,Master!P$1),SUMIFS('GL Dump'!$E:$E,'GL Dump'!$H:$H,Master!$A115,'GL Dump'!$D:$D,Master!P$1,'GL Dump'!$C:$C,Master!$G$1))</f>
        <v>0</v>
      </c>
      <c r="Q115" s="422">
        <f>IF($G$1="ALL",SUMIFS('GL Dump'!$E:$E,'GL Dump'!$H:$H,Master!$A115,'GL Dump'!$D:$D,Master!Q$1),SUMIFS('GL Dump'!$E:$E,'GL Dump'!$H:$H,Master!$A115,'GL Dump'!$D:$D,Master!Q$1,'GL Dump'!$C:$C,Master!$G$1))</f>
        <v>0</v>
      </c>
      <c r="R115" s="422">
        <f>IF($G$1="ALL",SUMIFS('GL Dump'!$E:$E,'GL Dump'!$H:$H,Master!$A115,'GL Dump'!$D:$D,Master!R$1),SUMIFS('GL Dump'!$E:$E,'GL Dump'!$H:$H,Master!$A115,'GL Dump'!$D:$D,Master!R$1,'GL Dump'!$C:$C,Master!$G$1))</f>
        <v>0</v>
      </c>
      <c r="S115" s="422">
        <f>IF($G$1="ALL",SUMIFS('GL Dump'!$E:$E,'GL Dump'!$H:$H,Master!$A115,'GL Dump'!$D:$D,Master!S$1),SUMIFS('GL Dump'!$E:$E,'GL Dump'!$H:$H,Master!$A115,'GL Dump'!$D:$D,Master!S$1,'GL Dump'!$C:$C,Master!$G$1))</f>
        <v>0</v>
      </c>
      <c r="T115" s="450"/>
    </row>
    <row r="116" spans="1:20" s="29" customFormat="1" x14ac:dyDescent="0.25">
      <c r="A116" s="145" t="s">
        <v>3066</v>
      </c>
      <c r="B116" s="261" t="s">
        <v>3159</v>
      </c>
      <c r="C116" s="185">
        <v>0</v>
      </c>
      <c r="D116" s="82">
        <v>68.841666666666669</v>
      </c>
      <c r="E116" s="91">
        <f>D116*C116</f>
        <v>0</v>
      </c>
      <c r="F116" s="283"/>
      <c r="G116" s="297"/>
      <c r="H116" s="397">
        <f>E116+SUMIFS('GL Dump'!$E:$E,'GL Dump'!$H:$H,Master!A116,'GL Dump'!$D:$D,Master!$I$1)</f>
        <v>0</v>
      </c>
      <c r="I116" s="81">
        <f>IF($G$1="ALL",SUMIFS('GL Dump'!$E:$E,'GL Dump'!$H:$H,Master!$A116,'GL Dump'!$D:$D,Master!I$1),SUMIFS('GL Dump'!$E:$E,'GL Dump'!$H:$H,Master!$A116,'GL Dump'!$D:$D,Master!I$1,'GL Dump'!$C:$C,Master!$G$1))</f>
        <v>0</v>
      </c>
      <c r="J116" s="81">
        <f>IF($G$1="ALL",SUMIFS('GL Dump'!$E:$E,'GL Dump'!$H:$H,Master!$A116,'GL Dump'!$D:$D,Master!J$1),SUMIFS('GL Dump'!$E:$E,'GL Dump'!$H:$H,Master!$A116,'GL Dump'!$D:$D,Master!J$1,'GL Dump'!$C:$C,Master!$G$1))</f>
        <v>0</v>
      </c>
      <c r="K116" s="81">
        <f>IF($G$1="ALL",SUMIFS('GL Dump'!$E:$E,'GL Dump'!$H:$H,Master!$A116,'GL Dump'!$D:$D,Master!K$1),SUMIFS('GL Dump'!$E:$E,'GL Dump'!$H:$H,Master!$A116,'GL Dump'!$D:$D,Master!K$1,'GL Dump'!$C:$C,Master!$G$1))</f>
        <v>0</v>
      </c>
      <c r="L116" s="81">
        <f>IF($G$1="ALL",SUMIFS('GL Dump'!$E:$E,'GL Dump'!$H:$H,Master!$A116,'GL Dump'!$D:$D,Master!L$1),SUMIFS('GL Dump'!$E:$E,'GL Dump'!$H:$H,Master!$A116,'GL Dump'!$D:$D,Master!L$1,'GL Dump'!$C:$C,Master!$G$1))</f>
        <v>0</v>
      </c>
      <c r="M116" s="81">
        <f>IF($G$1="ALL",SUMIFS('GL Dump'!$E:$E,'GL Dump'!$H:$H,Master!$A116,'GL Dump'!$D:$D,Master!M$1),SUMIFS('GL Dump'!$E:$E,'GL Dump'!$H:$H,Master!$A116,'GL Dump'!$D:$D,Master!M$1,'GL Dump'!$C:$C,Master!$G$1))</f>
        <v>0</v>
      </c>
      <c r="N116" s="81">
        <f>IF($G$1="ALL",SUMIFS('GL Dump'!$E:$E,'GL Dump'!$H:$H,Master!$A116,'GL Dump'!$D:$D,Master!N$1),SUMIFS('GL Dump'!$E:$E,'GL Dump'!$H:$H,Master!$A116,'GL Dump'!$D:$D,Master!N$1,'GL Dump'!$C:$C,Master!$G$1))</f>
        <v>0</v>
      </c>
      <c r="O116" s="81">
        <f>IF($G$1="ALL",SUMIFS('GL Dump'!$E:$E,'GL Dump'!$H:$H,Master!$A116,'GL Dump'!$D:$D,Master!O$1),SUMIFS('GL Dump'!$E:$E,'GL Dump'!$H:$H,Master!$A116,'GL Dump'!$D:$D,Master!O$1,'GL Dump'!$C:$C,Master!$G$1))</f>
        <v>0</v>
      </c>
      <c r="P116" s="81">
        <f>IF($G$1="ALL",SUMIFS('GL Dump'!$E:$E,'GL Dump'!$H:$H,Master!$A116,'GL Dump'!$D:$D,Master!P$1),SUMIFS('GL Dump'!$E:$E,'GL Dump'!$H:$H,Master!$A116,'GL Dump'!$D:$D,Master!P$1,'GL Dump'!$C:$C,Master!$G$1))</f>
        <v>0</v>
      </c>
      <c r="Q116" s="81">
        <f>IF($G$1="ALL",SUMIFS('GL Dump'!$E:$E,'GL Dump'!$H:$H,Master!$A116,'GL Dump'!$D:$D,Master!Q$1),SUMIFS('GL Dump'!$E:$E,'GL Dump'!$H:$H,Master!$A116,'GL Dump'!$D:$D,Master!Q$1,'GL Dump'!$C:$C,Master!$G$1))</f>
        <v>0</v>
      </c>
      <c r="R116" s="81">
        <f>IF($G$1="ALL",SUMIFS('GL Dump'!$E:$E,'GL Dump'!$H:$H,Master!$A116,'GL Dump'!$D:$D,Master!R$1),SUMIFS('GL Dump'!$E:$E,'GL Dump'!$H:$H,Master!$A116,'GL Dump'!$D:$D,Master!R$1,'GL Dump'!$C:$C,Master!$G$1))</f>
        <v>0</v>
      </c>
      <c r="S116" s="81">
        <f>IF($G$1="ALL",SUMIFS('GL Dump'!$E:$E,'GL Dump'!$H:$H,Master!$A116,'GL Dump'!$D:$D,Master!S$1),SUMIFS('GL Dump'!$E:$E,'GL Dump'!$H:$H,Master!$A116,'GL Dump'!$D:$D,Master!S$1,'GL Dump'!$C:$C,Master!$G$1))</f>
        <v>0</v>
      </c>
    </row>
    <row r="117" spans="1:20" s="29" customFormat="1" x14ac:dyDescent="0.25">
      <c r="A117" s="444" t="s">
        <v>3067</v>
      </c>
      <c r="B117" s="445" t="s">
        <v>3159</v>
      </c>
      <c r="C117" s="446">
        <v>0</v>
      </c>
      <c r="D117" s="447">
        <v>68.841666666666669</v>
      </c>
      <c r="E117" s="418">
        <f t="shared" si="4"/>
        <v>0</v>
      </c>
      <c r="F117" s="456"/>
      <c r="G117" s="457"/>
      <c r="H117" s="421">
        <f>E117+SUMIFS('GL Dump'!$E:$E,'GL Dump'!$H:$H,Master!A117,'GL Dump'!$D:$D,Master!$I$1)</f>
        <v>0</v>
      </c>
      <c r="I117" s="422">
        <f>IF($G$1="ALL",SUMIFS('GL Dump'!$E:$E,'GL Dump'!$H:$H,Master!$A117,'GL Dump'!$D:$D,Master!I$1),SUMIFS('GL Dump'!$E:$E,'GL Dump'!$H:$H,Master!$A117,'GL Dump'!$D:$D,Master!I$1,'GL Dump'!$C:$C,Master!$G$1))</f>
        <v>0</v>
      </c>
      <c r="J117" s="422">
        <f>IF($G$1="ALL",SUMIFS('GL Dump'!$E:$E,'GL Dump'!$H:$H,Master!$A117,'GL Dump'!$D:$D,Master!J$1),SUMIFS('GL Dump'!$E:$E,'GL Dump'!$H:$H,Master!$A117,'GL Dump'!$D:$D,Master!J$1,'GL Dump'!$C:$C,Master!$G$1))</f>
        <v>0</v>
      </c>
      <c r="K117" s="422">
        <f>IF($G$1="ALL",SUMIFS('GL Dump'!$E:$E,'GL Dump'!$H:$H,Master!$A117,'GL Dump'!$D:$D,Master!K$1),SUMIFS('GL Dump'!$E:$E,'GL Dump'!$H:$H,Master!$A117,'GL Dump'!$D:$D,Master!K$1,'GL Dump'!$C:$C,Master!$G$1))</f>
        <v>0</v>
      </c>
      <c r="L117" s="422">
        <f>IF($G$1="ALL",SUMIFS('GL Dump'!$E:$E,'GL Dump'!$H:$H,Master!$A117,'GL Dump'!$D:$D,Master!L$1),SUMIFS('GL Dump'!$E:$E,'GL Dump'!$H:$H,Master!$A117,'GL Dump'!$D:$D,Master!L$1,'GL Dump'!$C:$C,Master!$G$1))</f>
        <v>0</v>
      </c>
      <c r="M117" s="422">
        <f>IF($G$1="ALL",SUMIFS('GL Dump'!$E:$E,'GL Dump'!$H:$H,Master!$A117,'GL Dump'!$D:$D,Master!M$1),SUMIFS('GL Dump'!$E:$E,'GL Dump'!$H:$H,Master!$A117,'GL Dump'!$D:$D,Master!M$1,'GL Dump'!$C:$C,Master!$G$1))</f>
        <v>0</v>
      </c>
      <c r="N117" s="422">
        <f>IF($G$1="ALL",SUMIFS('GL Dump'!$E:$E,'GL Dump'!$H:$H,Master!$A117,'GL Dump'!$D:$D,Master!N$1),SUMIFS('GL Dump'!$E:$E,'GL Dump'!$H:$H,Master!$A117,'GL Dump'!$D:$D,Master!N$1,'GL Dump'!$C:$C,Master!$G$1))</f>
        <v>0</v>
      </c>
      <c r="O117" s="422">
        <f>IF($G$1="ALL",SUMIFS('GL Dump'!$E:$E,'GL Dump'!$H:$H,Master!$A117,'GL Dump'!$D:$D,Master!O$1),SUMIFS('GL Dump'!$E:$E,'GL Dump'!$H:$H,Master!$A117,'GL Dump'!$D:$D,Master!O$1,'GL Dump'!$C:$C,Master!$G$1))</f>
        <v>0</v>
      </c>
      <c r="P117" s="422">
        <f>IF($G$1="ALL",SUMIFS('GL Dump'!$E:$E,'GL Dump'!$H:$H,Master!$A117,'GL Dump'!$D:$D,Master!P$1),SUMIFS('GL Dump'!$E:$E,'GL Dump'!$H:$H,Master!$A117,'GL Dump'!$D:$D,Master!P$1,'GL Dump'!$C:$C,Master!$G$1))</f>
        <v>0</v>
      </c>
      <c r="Q117" s="422">
        <f>IF($G$1="ALL",SUMIFS('GL Dump'!$E:$E,'GL Dump'!$H:$H,Master!$A117,'GL Dump'!$D:$D,Master!Q$1),SUMIFS('GL Dump'!$E:$E,'GL Dump'!$H:$H,Master!$A117,'GL Dump'!$D:$D,Master!Q$1,'GL Dump'!$C:$C,Master!$G$1))</f>
        <v>0</v>
      </c>
      <c r="R117" s="422">
        <f>IF($G$1="ALL",SUMIFS('GL Dump'!$E:$E,'GL Dump'!$H:$H,Master!$A117,'GL Dump'!$D:$D,Master!R$1),SUMIFS('GL Dump'!$E:$E,'GL Dump'!$H:$H,Master!$A117,'GL Dump'!$D:$D,Master!R$1,'GL Dump'!$C:$C,Master!$G$1))</f>
        <v>0</v>
      </c>
      <c r="S117" s="422">
        <f>IF($G$1="ALL",SUMIFS('GL Dump'!$E:$E,'GL Dump'!$H:$H,Master!$A117,'GL Dump'!$D:$D,Master!S$1),SUMIFS('GL Dump'!$E:$E,'GL Dump'!$H:$H,Master!$A117,'GL Dump'!$D:$D,Master!S$1,'GL Dump'!$C:$C,Master!$G$1))</f>
        <v>0</v>
      </c>
      <c r="T117" s="450"/>
    </row>
    <row r="118" spans="1:20" s="29" customFormat="1" x14ac:dyDescent="0.25">
      <c r="A118" s="145" t="s">
        <v>3004</v>
      </c>
      <c r="B118" s="261" t="s">
        <v>3128</v>
      </c>
      <c r="C118" s="185">
        <v>0</v>
      </c>
      <c r="D118" s="82">
        <v>140</v>
      </c>
      <c r="E118" s="91">
        <f t="shared" si="4"/>
        <v>0</v>
      </c>
      <c r="F118" s="267" t="s">
        <v>3129</v>
      </c>
      <c r="G118" s="296"/>
      <c r="H118" s="397">
        <f>E118+SUMIFS('GL Dump'!$E:$E,'GL Dump'!$H:$H,Master!A118,'GL Dump'!$D:$D,Master!$I$1)</f>
        <v>0</v>
      </c>
      <c r="I118" s="81">
        <f>IF($G$1="ALL",SUMIFS('GL Dump'!$E:$E,'GL Dump'!$H:$H,Master!$A118,'GL Dump'!$D:$D,Master!I$1),SUMIFS('GL Dump'!$E:$E,'GL Dump'!$H:$H,Master!$A118,'GL Dump'!$D:$D,Master!I$1,'GL Dump'!$C:$C,Master!$G$1))</f>
        <v>0</v>
      </c>
      <c r="J118" s="81">
        <f>IF($G$1="ALL",SUMIFS('GL Dump'!$E:$E,'GL Dump'!$H:$H,Master!$A118,'GL Dump'!$D:$D,Master!J$1),SUMIFS('GL Dump'!$E:$E,'GL Dump'!$H:$H,Master!$A118,'GL Dump'!$D:$D,Master!J$1,'GL Dump'!$C:$C,Master!$G$1))</f>
        <v>140</v>
      </c>
      <c r="K118" s="81">
        <f>IF($G$1="ALL",SUMIFS('GL Dump'!$E:$E,'GL Dump'!$H:$H,Master!$A118,'GL Dump'!$D:$D,Master!K$1),SUMIFS('GL Dump'!$E:$E,'GL Dump'!$H:$H,Master!$A118,'GL Dump'!$D:$D,Master!K$1,'GL Dump'!$C:$C,Master!$G$1))</f>
        <v>140</v>
      </c>
      <c r="L118" s="81">
        <f>IF($G$1="ALL",SUMIFS('GL Dump'!$E:$E,'GL Dump'!$H:$H,Master!$A118,'GL Dump'!$D:$D,Master!L$1),SUMIFS('GL Dump'!$E:$E,'GL Dump'!$H:$H,Master!$A118,'GL Dump'!$D:$D,Master!L$1,'GL Dump'!$C:$C,Master!$G$1))</f>
        <v>140</v>
      </c>
      <c r="M118" s="81">
        <f>IF($G$1="ALL",SUMIFS('GL Dump'!$E:$E,'GL Dump'!$H:$H,Master!$A118,'GL Dump'!$D:$D,Master!M$1),SUMIFS('GL Dump'!$E:$E,'GL Dump'!$H:$H,Master!$A118,'GL Dump'!$D:$D,Master!M$1,'GL Dump'!$C:$C,Master!$G$1))</f>
        <v>140</v>
      </c>
      <c r="N118" s="81">
        <f>IF($G$1="ALL",SUMIFS('GL Dump'!$E:$E,'GL Dump'!$H:$H,Master!$A118,'GL Dump'!$D:$D,Master!N$1),SUMIFS('GL Dump'!$E:$E,'GL Dump'!$H:$H,Master!$A118,'GL Dump'!$D:$D,Master!N$1,'GL Dump'!$C:$C,Master!$G$1))</f>
        <v>140</v>
      </c>
      <c r="O118" s="81">
        <f>IF($G$1="ALL",SUMIFS('GL Dump'!$E:$E,'GL Dump'!$H:$H,Master!$A118,'GL Dump'!$D:$D,Master!O$1),SUMIFS('GL Dump'!$E:$E,'GL Dump'!$H:$H,Master!$A118,'GL Dump'!$D:$D,Master!O$1,'GL Dump'!$C:$C,Master!$G$1))</f>
        <v>140</v>
      </c>
      <c r="P118" s="81">
        <f>IF($G$1="ALL",SUMIFS('GL Dump'!$E:$E,'GL Dump'!$H:$H,Master!$A118,'GL Dump'!$D:$D,Master!P$1),SUMIFS('GL Dump'!$E:$E,'GL Dump'!$H:$H,Master!$A118,'GL Dump'!$D:$D,Master!P$1,'GL Dump'!$C:$C,Master!$G$1))</f>
        <v>140</v>
      </c>
      <c r="Q118" s="81">
        <f>IF($G$1="ALL",SUMIFS('GL Dump'!$E:$E,'GL Dump'!$H:$H,Master!$A118,'GL Dump'!$D:$D,Master!Q$1),SUMIFS('GL Dump'!$E:$E,'GL Dump'!$H:$H,Master!$A118,'GL Dump'!$D:$D,Master!Q$1,'GL Dump'!$C:$C,Master!$G$1))</f>
        <v>140</v>
      </c>
      <c r="R118" s="81">
        <f>IF($G$1="ALL",SUMIFS('GL Dump'!$E:$E,'GL Dump'!$H:$H,Master!$A118,'GL Dump'!$D:$D,Master!R$1),SUMIFS('GL Dump'!$E:$E,'GL Dump'!$H:$H,Master!$A118,'GL Dump'!$D:$D,Master!R$1,'GL Dump'!$C:$C,Master!$G$1))</f>
        <v>140</v>
      </c>
      <c r="S118" s="81">
        <f>IF($G$1="ALL",SUMIFS('GL Dump'!$E:$E,'GL Dump'!$H:$H,Master!$A118,'GL Dump'!$D:$D,Master!S$1),SUMIFS('GL Dump'!$E:$E,'GL Dump'!$H:$H,Master!$A118,'GL Dump'!$D:$D,Master!S$1,'GL Dump'!$C:$C,Master!$G$1))</f>
        <v>140</v>
      </c>
    </row>
    <row r="119" spans="1:20" s="29" customFormat="1" x14ac:dyDescent="0.25">
      <c r="A119" s="466" t="s">
        <v>3025</v>
      </c>
      <c r="B119" s="445" t="s">
        <v>219</v>
      </c>
      <c r="C119" s="446">
        <v>0</v>
      </c>
      <c r="D119" s="447">
        <v>225.32</v>
      </c>
      <c r="E119" s="418">
        <f>D119*C119</f>
        <v>0</v>
      </c>
      <c r="F119" s="467"/>
      <c r="G119" s="455"/>
      <c r="H119" s="421">
        <f>E119+SUMIFS('GL Dump'!$E:$E,'GL Dump'!$H:$H,Master!A119,'GL Dump'!$D:$D,Master!$I$1)</f>
        <v>0</v>
      </c>
      <c r="I119" s="422">
        <f>IF($G$1="ALL",SUMIFS('GL Dump'!$E:$E,'GL Dump'!$H:$H,Master!$A119,'GL Dump'!$D:$D,Master!I$1),SUMIFS('GL Dump'!$E:$E,'GL Dump'!$H:$H,Master!$A119,'GL Dump'!$D:$D,Master!I$1,'GL Dump'!$C:$C,Master!$G$1))</f>
        <v>0</v>
      </c>
      <c r="J119" s="422">
        <f>IF($G$1="ALL",SUMIFS('GL Dump'!$E:$E,'GL Dump'!$H:$H,Master!$A119,'GL Dump'!$D:$D,Master!J$1),SUMIFS('GL Dump'!$E:$E,'GL Dump'!$H:$H,Master!$A119,'GL Dump'!$D:$D,Master!J$1,'GL Dump'!$C:$C,Master!$G$1))</f>
        <v>0</v>
      </c>
      <c r="K119" s="422">
        <f>IF($G$1="ALL",SUMIFS('GL Dump'!$E:$E,'GL Dump'!$H:$H,Master!$A119,'GL Dump'!$D:$D,Master!K$1),SUMIFS('GL Dump'!$E:$E,'GL Dump'!$H:$H,Master!$A119,'GL Dump'!$D:$D,Master!K$1,'GL Dump'!$C:$C,Master!$G$1))</f>
        <v>0</v>
      </c>
      <c r="L119" s="422">
        <f>IF($G$1="ALL",SUMIFS('GL Dump'!$E:$E,'GL Dump'!$H:$H,Master!$A119,'GL Dump'!$D:$D,Master!L$1),SUMIFS('GL Dump'!$E:$E,'GL Dump'!$H:$H,Master!$A119,'GL Dump'!$D:$D,Master!L$1,'GL Dump'!$C:$C,Master!$G$1))</f>
        <v>0</v>
      </c>
      <c r="M119" s="422">
        <f>IF($G$1="ALL",SUMIFS('GL Dump'!$E:$E,'GL Dump'!$H:$H,Master!$A119,'GL Dump'!$D:$D,Master!M$1),SUMIFS('GL Dump'!$E:$E,'GL Dump'!$H:$H,Master!$A119,'GL Dump'!$D:$D,Master!M$1,'GL Dump'!$C:$C,Master!$G$1))</f>
        <v>0</v>
      </c>
      <c r="N119" s="422">
        <f>IF($G$1="ALL",SUMIFS('GL Dump'!$E:$E,'GL Dump'!$H:$H,Master!$A119,'GL Dump'!$D:$D,Master!N$1),SUMIFS('GL Dump'!$E:$E,'GL Dump'!$H:$H,Master!$A119,'GL Dump'!$D:$D,Master!N$1,'GL Dump'!$C:$C,Master!$G$1))</f>
        <v>0</v>
      </c>
      <c r="O119" s="422">
        <f>IF($G$1="ALL",SUMIFS('GL Dump'!$E:$E,'GL Dump'!$H:$H,Master!$A119,'GL Dump'!$D:$D,Master!O$1),SUMIFS('GL Dump'!$E:$E,'GL Dump'!$H:$H,Master!$A119,'GL Dump'!$D:$D,Master!O$1,'GL Dump'!$C:$C,Master!$G$1))</f>
        <v>0</v>
      </c>
      <c r="P119" s="422">
        <f>IF($G$1="ALL",SUMIFS('GL Dump'!$E:$E,'GL Dump'!$H:$H,Master!$A119,'GL Dump'!$D:$D,Master!P$1),SUMIFS('GL Dump'!$E:$E,'GL Dump'!$H:$H,Master!$A119,'GL Dump'!$D:$D,Master!P$1,'GL Dump'!$C:$C,Master!$G$1))</f>
        <v>0</v>
      </c>
      <c r="Q119" s="422">
        <f>IF($G$1="ALL",SUMIFS('GL Dump'!$E:$E,'GL Dump'!$H:$H,Master!$A119,'GL Dump'!$D:$D,Master!Q$1),SUMIFS('GL Dump'!$E:$E,'GL Dump'!$H:$H,Master!$A119,'GL Dump'!$D:$D,Master!Q$1,'GL Dump'!$C:$C,Master!$G$1))</f>
        <v>5.1100000000000003</v>
      </c>
      <c r="R119" s="422">
        <f>IF($G$1="ALL",SUMIFS('GL Dump'!$E:$E,'GL Dump'!$H:$H,Master!$A119,'GL Dump'!$D:$D,Master!R$1),SUMIFS('GL Dump'!$E:$E,'GL Dump'!$H:$H,Master!$A119,'GL Dump'!$D:$D,Master!R$1,'GL Dump'!$C:$C,Master!$G$1))</f>
        <v>0</v>
      </c>
      <c r="S119" s="422">
        <f>IF($G$1="ALL",SUMIFS('GL Dump'!$E:$E,'GL Dump'!$H:$H,Master!$A119,'GL Dump'!$D:$D,Master!S$1),SUMIFS('GL Dump'!$E:$E,'GL Dump'!$H:$H,Master!$A119,'GL Dump'!$D:$D,Master!S$1,'GL Dump'!$C:$C,Master!$G$1))</f>
        <v>0</v>
      </c>
      <c r="T119" s="450"/>
    </row>
    <row r="120" spans="1:20" s="29" customFormat="1" x14ac:dyDescent="0.25">
      <c r="A120" s="150" t="s">
        <v>3028</v>
      </c>
      <c r="B120" s="261" t="s">
        <v>219</v>
      </c>
      <c r="C120" s="187">
        <v>2</v>
      </c>
      <c r="D120" s="35">
        <v>222.02</v>
      </c>
      <c r="E120" s="91">
        <f>D120*C120</f>
        <v>444.04</v>
      </c>
      <c r="F120" s="267" t="s">
        <v>3130</v>
      </c>
      <c r="G120" s="296"/>
      <c r="H120" s="397">
        <f>E120+SUMIFS('GL Dump'!$E:$E,'GL Dump'!$H:$H,Master!A120,'GL Dump'!$D:$D,Master!$I$1)</f>
        <v>444.04</v>
      </c>
      <c r="I120" s="81">
        <f>IF($G$1="ALL",SUMIFS('GL Dump'!$E:$E,'GL Dump'!$H:$H,Master!$A120,'GL Dump'!$D:$D,Master!I$1),SUMIFS('GL Dump'!$E:$E,'GL Dump'!$H:$H,Master!$A120,'GL Dump'!$D:$D,Master!I$1,'GL Dump'!$C:$C,Master!$G$1))</f>
        <v>0</v>
      </c>
      <c r="J120" s="81">
        <f>IF($G$1="ALL",SUMIFS('GL Dump'!$E:$E,'GL Dump'!$H:$H,Master!$A120,'GL Dump'!$D:$D,Master!J$1),SUMIFS('GL Dump'!$E:$E,'GL Dump'!$H:$H,Master!$A120,'GL Dump'!$D:$D,Master!J$1,'GL Dump'!$C:$C,Master!$G$1))</f>
        <v>785.69</v>
      </c>
      <c r="K120" s="81">
        <f>IF($G$1="ALL",SUMIFS('GL Dump'!$E:$E,'GL Dump'!$H:$H,Master!$A120,'GL Dump'!$D:$D,Master!K$1),SUMIFS('GL Dump'!$E:$E,'GL Dump'!$H:$H,Master!$A120,'GL Dump'!$D:$D,Master!K$1,'GL Dump'!$C:$C,Master!$G$1))</f>
        <v>0</v>
      </c>
      <c r="L120" s="81">
        <f>IF($G$1="ALL",SUMIFS('GL Dump'!$E:$E,'GL Dump'!$H:$H,Master!$A120,'GL Dump'!$D:$D,Master!L$1),SUMIFS('GL Dump'!$E:$E,'GL Dump'!$H:$H,Master!$A120,'GL Dump'!$D:$D,Master!L$1,'GL Dump'!$C:$C,Master!$G$1))</f>
        <v>231.17</v>
      </c>
      <c r="M120" s="81">
        <f>IF($G$1="ALL",SUMIFS('GL Dump'!$E:$E,'GL Dump'!$H:$H,Master!$A120,'GL Dump'!$D:$D,Master!M$1),SUMIFS('GL Dump'!$E:$E,'GL Dump'!$H:$H,Master!$A120,'GL Dump'!$D:$D,Master!M$1,'GL Dump'!$C:$C,Master!$G$1))</f>
        <v>482.34</v>
      </c>
      <c r="N120" s="81">
        <f>IF($G$1="ALL",SUMIFS('GL Dump'!$E:$E,'GL Dump'!$H:$H,Master!$A120,'GL Dump'!$D:$D,Master!N$1),SUMIFS('GL Dump'!$E:$E,'GL Dump'!$H:$H,Master!$A120,'GL Dump'!$D:$D,Master!N$1,'GL Dump'!$C:$C,Master!$G$1))</f>
        <v>0</v>
      </c>
      <c r="O120" s="81">
        <f>IF($G$1="ALL",SUMIFS('GL Dump'!$E:$E,'GL Dump'!$H:$H,Master!$A120,'GL Dump'!$D:$D,Master!O$1),SUMIFS('GL Dump'!$E:$E,'GL Dump'!$H:$H,Master!$A120,'GL Dump'!$D:$D,Master!O$1,'GL Dump'!$C:$C,Master!$G$1))</f>
        <v>482.34</v>
      </c>
      <c r="P120" s="81">
        <f>IF($G$1="ALL",SUMIFS('GL Dump'!$E:$E,'GL Dump'!$H:$H,Master!$A120,'GL Dump'!$D:$D,Master!P$1),SUMIFS('GL Dump'!$E:$E,'GL Dump'!$H:$H,Master!$A120,'GL Dump'!$D:$D,Master!P$1,'GL Dump'!$C:$C,Master!$G$1))</f>
        <v>170.32</v>
      </c>
      <c r="Q120" s="81">
        <f>IF($G$1="ALL",SUMIFS('GL Dump'!$E:$E,'GL Dump'!$H:$H,Master!$A120,'GL Dump'!$D:$D,Master!Q$1),SUMIFS('GL Dump'!$E:$E,'GL Dump'!$H:$H,Master!$A120,'GL Dump'!$D:$D,Master!Q$1,'GL Dump'!$C:$C,Master!$G$1))</f>
        <v>0</v>
      </c>
      <c r="R120" s="81">
        <f>IF($G$1="ALL",SUMIFS('GL Dump'!$E:$E,'GL Dump'!$H:$H,Master!$A120,'GL Dump'!$D:$D,Master!R$1),SUMIFS('GL Dump'!$E:$E,'GL Dump'!$H:$H,Master!$A120,'GL Dump'!$D:$D,Master!R$1,'GL Dump'!$C:$C,Master!$G$1))</f>
        <v>29.33</v>
      </c>
      <c r="S120" s="81">
        <f>IF($G$1="ALL",SUMIFS('GL Dump'!$E:$E,'GL Dump'!$H:$H,Master!$A120,'GL Dump'!$D:$D,Master!S$1),SUMIFS('GL Dump'!$E:$E,'GL Dump'!$H:$H,Master!$A120,'GL Dump'!$D:$D,Master!S$1,'GL Dump'!$C:$C,Master!$G$1))</f>
        <v>251.17</v>
      </c>
    </row>
    <row r="121" spans="1:20" s="29" customFormat="1" ht="14.25" thickBot="1" x14ac:dyDescent="0.3">
      <c r="A121" s="147"/>
      <c r="B121" s="265"/>
      <c r="C121" s="148"/>
      <c r="D121" s="122" t="s">
        <v>758</v>
      </c>
      <c r="E121" s="132">
        <f>SUBTOTAL(9,E99:E120)</f>
        <v>1144.04</v>
      </c>
      <c r="F121" s="267"/>
      <c r="G121" s="296"/>
      <c r="H121" s="402"/>
      <c r="I121" s="135"/>
      <c r="J121" s="135"/>
      <c r="K121" s="123"/>
      <c r="L121" s="123"/>
      <c r="M121" s="123"/>
      <c r="N121" s="123"/>
      <c r="O121" s="123"/>
      <c r="P121" s="123"/>
      <c r="Q121" s="123"/>
      <c r="R121" s="123"/>
      <c r="S121" s="123"/>
    </row>
    <row r="122" spans="1:20" s="29" customFormat="1" ht="16.5" thickTop="1" x14ac:dyDescent="0.25">
      <c r="A122" s="151">
        <v>3005</v>
      </c>
      <c r="B122" s="260" t="s">
        <v>775</v>
      </c>
      <c r="C122" s="144"/>
      <c r="D122" s="116"/>
      <c r="E122" s="117"/>
      <c r="F122" s="287"/>
      <c r="G122" s="380" t="s">
        <v>933</v>
      </c>
      <c r="H122" s="405"/>
      <c r="I122" s="406"/>
      <c r="J122" s="406"/>
      <c r="K122" s="401"/>
      <c r="L122" s="401"/>
      <c r="M122" s="401"/>
      <c r="N122" s="401"/>
      <c r="O122" s="401"/>
      <c r="P122" s="401"/>
      <c r="Q122" s="401"/>
      <c r="R122" s="401"/>
      <c r="S122" s="401"/>
      <c r="T122" s="377"/>
    </row>
    <row r="123" spans="1:20" s="136" customFormat="1" x14ac:dyDescent="0.25">
      <c r="A123" s="154" t="s">
        <v>1157</v>
      </c>
      <c r="B123" s="267" t="s">
        <v>3123</v>
      </c>
      <c r="C123" s="185">
        <v>0</v>
      </c>
      <c r="D123" s="82">
        <v>333.85</v>
      </c>
      <c r="E123" s="413">
        <f>G123</f>
        <v>4.4551499999999997</v>
      </c>
      <c r="F123" s="288" t="s">
        <v>3121</v>
      </c>
      <c r="G123" s="408">
        <f>IFERROR(VLOOKUP(A123,'Promo %'!B:P,3,0),0)</f>
        <v>4.4551499999999997</v>
      </c>
      <c r="H123" s="397">
        <f>E123+SUMIFS('GL Dump'!$E:$E,'GL Dump'!$H:$H,Master!A123,'GL Dump'!$D:$D,Master!$I$1)</f>
        <v>4.4551499999999997</v>
      </c>
      <c r="I123" s="81">
        <f>IF($G$1="ALL",SUMIFS('GL Dump'!$E:$E,'GL Dump'!$H:$H,Master!$A123,'GL Dump'!$D:$D,Master!I$1),SUMIFS('GL Dump'!$E:$E,'GL Dump'!$H:$H,Master!$A123,'GL Dump'!$D:$D,Master!I$1,'GL Dump'!$C:$C,Master!$G$1))</f>
        <v>0</v>
      </c>
      <c r="J123" s="81">
        <f>IF($G$1="ALL",SUMIFS('GL Dump'!$E:$E,'GL Dump'!$H:$H,Master!$A123,'GL Dump'!$D:$D,Master!J$1),SUMIFS('GL Dump'!$E:$E,'GL Dump'!$H:$H,Master!$A123,'GL Dump'!$D:$D,Master!J$1,'GL Dump'!$C:$C,Master!$G$1))</f>
        <v>0</v>
      </c>
      <c r="K123" s="81">
        <f>IF($G$1="ALL",SUMIFS('GL Dump'!$E:$E,'GL Dump'!$H:$H,Master!$A123,'GL Dump'!$D:$D,Master!K$1),SUMIFS('GL Dump'!$E:$E,'GL Dump'!$H:$H,Master!$A123,'GL Dump'!$D:$D,Master!K$1,'GL Dump'!$C:$C,Master!$G$1))</f>
        <v>0.06</v>
      </c>
      <c r="L123" s="81">
        <f>IF($G$1="ALL",SUMIFS('GL Dump'!$E:$E,'GL Dump'!$H:$H,Master!$A123,'GL Dump'!$D:$D,Master!L$1),SUMIFS('GL Dump'!$E:$E,'GL Dump'!$H:$H,Master!$A123,'GL Dump'!$D:$D,Master!L$1,'GL Dump'!$C:$C,Master!$G$1))</f>
        <v>19.36</v>
      </c>
      <c r="M123" s="81">
        <f>IF($G$1="ALL",SUMIFS('GL Dump'!$E:$E,'GL Dump'!$H:$H,Master!$A123,'GL Dump'!$D:$D,Master!M$1),SUMIFS('GL Dump'!$E:$E,'GL Dump'!$H:$H,Master!$A123,'GL Dump'!$D:$D,Master!M$1,'GL Dump'!$C:$C,Master!$G$1))</f>
        <v>32.619999999999997</v>
      </c>
      <c r="N123" s="81">
        <f>IF($G$1="ALL",SUMIFS('GL Dump'!$E:$E,'GL Dump'!$H:$H,Master!$A123,'GL Dump'!$D:$D,Master!N$1),SUMIFS('GL Dump'!$E:$E,'GL Dump'!$H:$H,Master!$A123,'GL Dump'!$D:$D,Master!N$1,'GL Dump'!$C:$C,Master!$G$1))</f>
        <v>0</v>
      </c>
      <c r="O123" s="81">
        <f>IF($G$1="ALL",SUMIFS('GL Dump'!$E:$E,'GL Dump'!$H:$H,Master!$A123,'GL Dump'!$D:$D,Master!O$1),SUMIFS('GL Dump'!$E:$E,'GL Dump'!$H:$H,Master!$A123,'GL Dump'!$D:$D,Master!O$1,'GL Dump'!$C:$C,Master!$G$1))</f>
        <v>0.87</v>
      </c>
      <c r="P123" s="81">
        <f>IF($G$1="ALL",SUMIFS('GL Dump'!$E:$E,'GL Dump'!$H:$H,Master!$A123,'GL Dump'!$D:$D,Master!P$1),SUMIFS('GL Dump'!$E:$E,'GL Dump'!$H:$H,Master!$A123,'GL Dump'!$D:$D,Master!P$1,'GL Dump'!$C:$C,Master!$G$1))</f>
        <v>0</v>
      </c>
      <c r="Q123" s="81">
        <f>IF($G$1="ALL",SUMIFS('GL Dump'!$E:$E,'GL Dump'!$H:$H,Master!$A123,'GL Dump'!$D:$D,Master!Q$1),SUMIFS('GL Dump'!$E:$E,'GL Dump'!$H:$H,Master!$A123,'GL Dump'!$D:$D,Master!Q$1,'GL Dump'!$C:$C,Master!$G$1))</f>
        <v>0</v>
      </c>
      <c r="R123" s="81">
        <f>IF($G$1="ALL",SUMIFS('GL Dump'!$E:$E,'GL Dump'!$H:$H,Master!$A123,'GL Dump'!$D:$D,Master!R$1),SUMIFS('GL Dump'!$E:$E,'GL Dump'!$H:$H,Master!$A123,'GL Dump'!$D:$D,Master!R$1,'GL Dump'!$C:$C,Master!$G$1))</f>
        <v>0</v>
      </c>
      <c r="S123" s="81">
        <f>IF($G$1="ALL",SUMIFS('GL Dump'!$E:$E,'GL Dump'!$H:$H,Master!$A123,'GL Dump'!$D:$D,Master!S$1),SUMIFS('GL Dump'!$E:$E,'GL Dump'!$H:$H,Master!$A123,'GL Dump'!$D:$D,Master!S$1,'GL Dump'!$C:$C,Master!$G$1))</f>
        <v>0</v>
      </c>
    </row>
    <row r="124" spans="1:20" s="136" customFormat="1" x14ac:dyDescent="0.25">
      <c r="A124" s="471" t="s">
        <v>1174</v>
      </c>
      <c r="B124" s="454" t="s">
        <v>3123</v>
      </c>
      <c r="C124" s="446">
        <v>0</v>
      </c>
      <c r="D124" s="447">
        <v>357.29</v>
      </c>
      <c r="E124" s="472">
        <f>G124</f>
        <v>114.12295</v>
      </c>
      <c r="F124" s="473" t="s">
        <v>3122</v>
      </c>
      <c r="G124" s="408">
        <f>IFERROR(VLOOKUP(A124,'Promo %'!B:P,3,0),0)</f>
        <v>114.12295</v>
      </c>
      <c r="H124" s="421">
        <f>E124+SUMIFS('GL Dump'!$E:$E,'GL Dump'!$H:$H,Master!A124,'GL Dump'!$D:$D,Master!$I$1)</f>
        <v>114.12295</v>
      </c>
      <c r="I124" s="422">
        <f>IF($G$1="ALL",SUMIFS('GL Dump'!$E:$E,'GL Dump'!$H:$H,Master!$A124,'GL Dump'!$D:$D,Master!I$1),SUMIFS('GL Dump'!$E:$E,'GL Dump'!$H:$H,Master!$A124,'GL Dump'!$D:$D,Master!I$1,'GL Dump'!$C:$C,Master!$G$1))</f>
        <v>0</v>
      </c>
      <c r="J124" s="422">
        <f>IF($G$1="ALL",SUMIFS('GL Dump'!$E:$E,'GL Dump'!$H:$H,Master!$A124,'GL Dump'!$D:$D,Master!J$1),SUMIFS('GL Dump'!$E:$E,'GL Dump'!$H:$H,Master!$A124,'GL Dump'!$D:$D,Master!J$1,'GL Dump'!$C:$C,Master!$G$1))</f>
        <v>22.19</v>
      </c>
      <c r="K124" s="422">
        <f>IF($G$1="ALL",SUMIFS('GL Dump'!$E:$E,'GL Dump'!$H:$H,Master!$A124,'GL Dump'!$D:$D,Master!K$1),SUMIFS('GL Dump'!$E:$E,'GL Dump'!$H:$H,Master!$A124,'GL Dump'!$D:$D,Master!K$1,'GL Dump'!$C:$C,Master!$G$1))</f>
        <v>6.84</v>
      </c>
      <c r="L124" s="422">
        <f>IF($G$1="ALL",SUMIFS('GL Dump'!$E:$E,'GL Dump'!$H:$H,Master!$A124,'GL Dump'!$D:$D,Master!L$1),SUMIFS('GL Dump'!$E:$E,'GL Dump'!$H:$H,Master!$A124,'GL Dump'!$D:$D,Master!L$1,'GL Dump'!$C:$C,Master!$G$1))</f>
        <v>49.45</v>
      </c>
      <c r="M124" s="422">
        <f>IF($G$1="ALL",SUMIFS('GL Dump'!$E:$E,'GL Dump'!$H:$H,Master!$A124,'GL Dump'!$D:$D,Master!M$1),SUMIFS('GL Dump'!$E:$E,'GL Dump'!$H:$H,Master!$A124,'GL Dump'!$D:$D,Master!M$1,'GL Dump'!$C:$C,Master!$G$1))</f>
        <v>33.769999999999996</v>
      </c>
      <c r="N124" s="422">
        <f>IF($G$1="ALL",SUMIFS('GL Dump'!$E:$E,'GL Dump'!$H:$H,Master!$A124,'GL Dump'!$D:$D,Master!N$1),SUMIFS('GL Dump'!$E:$E,'GL Dump'!$H:$H,Master!$A124,'GL Dump'!$D:$D,Master!N$1,'GL Dump'!$C:$C,Master!$G$1))</f>
        <v>0</v>
      </c>
      <c r="O124" s="422">
        <f>IF($G$1="ALL",SUMIFS('GL Dump'!$E:$E,'GL Dump'!$H:$H,Master!$A124,'GL Dump'!$D:$D,Master!O$1),SUMIFS('GL Dump'!$E:$E,'GL Dump'!$H:$H,Master!$A124,'GL Dump'!$D:$D,Master!O$1,'GL Dump'!$C:$C,Master!$G$1))</f>
        <v>2.0699999999999998</v>
      </c>
      <c r="P124" s="422">
        <f>IF($G$1="ALL",SUMIFS('GL Dump'!$E:$E,'GL Dump'!$H:$H,Master!$A124,'GL Dump'!$D:$D,Master!P$1),SUMIFS('GL Dump'!$E:$E,'GL Dump'!$H:$H,Master!$A124,'GL Dump'!$D:$D,Master!P$1,'GL Dump'!$C:$C,Master!$G$1))</f>
        <v>0</v>
      </c>
      <c r="Q124" s="422">
        <f>IF($G$1="ALL",SUMIFS('GL Dump'!$E:$E,'GL Dump'!$H:$H,Master!$A124,'GL Dump'!$D:$D,Master!Q$1),SUMIFS('GL Dump'!$E:$E,'GL Dump'!$H:$H,Master!$A124,'GL Dump'!$D:$D,Master!Q$1,'GL Dump'!$C:$C,Master!$G$1))</f>
        <v>0</v>
      </c>
      <c r="R124" s="422">
        <f>IF($G$1="ALL",SUMIFS('GL Dump'!$E:$E,'GL Dump'!$H:$H,Master!$A124,'GL Dump'!$D:$D,Master!R$1),SUMIFS('GL Dump'!$E:$E,'GL Dump'!$H:$H,Master!$A124,'GL Dump'!$D:$D,Master!R$1,'GL Dump'!$C:$C,Master!$G$1))</f>
        <v>0</v>
      </c>
      <c r="S124" s="422">
        <f>IF($G$1="ALL",SUMIFS('GL Dump'!$E:$E,'GL Dump'!$H:$H,Master!$A124,'GL Dump'!$D:$D,Master!S$1),SUMIFS('GL Dump'!$E:$E,'GL Dump'!$H:$H,Master!$A124,'GL Dump'!$D:$D,Master!S$1,'GL Dump'!$C:$C,Master!$G$1))</f>
        <v>0</v>
      </c>
      <c r="T124" s="450"/>
    </row>
    <row r="125" spans="1:20" s="29" customFormat="1" x14ac:dyDescent="0.25">
      <c r="A125" s="154" t="s">
        <v>1186</v>
      </c>
      <c r="B125" s="267" t="s">
        <v>3123</v>
      </c>
      <c r="C125" s="185">
        <v>0</v>
      </c>
      <c r="D125" s="82">
        <v>426.61</v>
      </c>
      <c r="E125" s="413">
        <f>G125</f>
        <v>213.07085000000001</v>
      </c>
      <c r="F125" s="288" t="s">
        <v>3122</v>
      </c>
      <c r="G125" s="408">
        <f>IFERROR(VLOOKUP(A125,'Promo %'!B:P,3,0),0)</f>
        <v>213.07085000000001</v>
      </c>
      <c r="H125" s="397">
        <f>E125+SUMIFS('GL Dump'!$E:$E,'GL Dump'!$H:$H,Master!A125,'GL Dump'!$D:$D,Master!$I$1)</f>
        <v>213.07085000000001</v>
      </c>
      <c r="I125" s="81">
        <f>IF($G$1="ALL",SUMIFS('GL Dump'!$E:$E,'GL Dump'!$H:$H,Master!$A125,'GL Dump'!$D:$D,Master!I$1),SUMIFS('GL Dump'!$E:$E,'GL Dump'!$H:$H,Master!$A125,'GL Dump'!$D:$D,Master!I$1,'GL Dump'!$C:$C,Master!$G$1))</f>
        <v>0</v>
      </c>
      <c r="J125" s="81">
        <f>IF($G$1="ALL",SUMIFS('GL Dump'!$E:$E,'GL Dump'!$H:$H,Master!$A125,'GL Dump'!$D:$D,Master!J$1),SUMIFS('GL Dump'!$E:$E,'GL Dump'!$H:$H,Master!$A125,'GL Dump'!$D:$D,Master!J$1,'GL Dump'!$C:$C,Master!$G$1))</f>
        <v>39.159999999999997</v>
      </c>
      <c r="K125" s="81">
        <f>IF($G$1="ALL",SUMIFS('GL Dump'!$E:$E,'GL Dump'!$H:$H,Master!$A125,'GL Dump'!$D:$D,Master!K$1),SUMIFS('GL Dump'!$E:$E,'GL Dump'!$H:$H,Master!$A125,'GL Dump'!$D:$D,Master!K$1,'GL Dump'!$C:$C,Master!$G$1))</f>
        <v>20.45</v>
      </c>
      <c r="L125" s="81">
        <f>IF($G$1="ALL",SUMIFS('GL Dump'!$E:$E,'GL Dump'!$H:$H,Master!$A125,'GL Dump'!$D:$D,Master!L$1),SUMIFS('GL Dump'!$E:$E,'GL Dump'!$H:$H,Master!$A125,'GL Dump'!$D:$D,Master!L$1,'GL Dump'!$C:$C,Master!$G$1))</f>
        <v>131.15</v>
      </c>
      <c r="M125" s="81">
        <f>IF($G$1="ALL",SUMIFS('GL Dump'!$E:$E,'GL Dump'!$H:$H,Master!$A125,'GL Dump'!$D:$D,Master!M$1),SUMIFS('GL Dump'!$E:$E,'GL Dump'!$H:$H,Master!$A125,'GL Dump'!$D:$D,Master!M$1,'GL Dump'!$C:$C,Master!$G$1))</f>
        <v>91.08</v>
      </c>
      <c r="N125" s="81">
        <f>IF($G$1="ALL",SUMIFS('GL Dump'!$E:$E,'GL Dump'!$H:$H,Master!$A125,'GL Dump'!$D:$D,Master!N$1),SUMIFS('GL Dump'!$E:$E,'GL Dump'!$H:$H,Master!$A125,'GL Dump'!$D:$D,Master!N$1,'GL Dump'!$C:$C,Master!$G$1))</f>
        <v>0</v>
      </c>
      <c r="O125" s="81">
        <f>IF($G$1="ALL",SUMIFS('GL Dump'!$E:$E,'GL Dump'!$H:$H,Master!$A125,'GL Dump'!$D:$D,Master!O$1),SUMIFS('GL Dump'!$E:$E,'GL Dump'!$H:$H,Master!$A125,'GL Dump'!$D:$D,Master!O$1,'GL Dump'!$C:$C,Master!$G$1))</f>
        <v>4.38</v>
      </c>
      <c r="P125" s="81">
        <f>IF($G$1="ALL",SUMIFS('GL Dump'!$E:$E,'GL Dump'!$H:$H,Master!$A125,'GL Dump'!$D:$D,Master!P$1),SUMIFS('GL Dump'!$E:$E,'GL Dump'!$H:$H,Master!$A125,'GL Dump'!$D:$D,Master!P$1,'GL Dump'!$C:$C,Master!$G$1))</f>
        <v>0</v>
      </c>
      <c r="Q125" s="81">
        <f>IF($G$1="ALL",SUMIFS('GL Dump'!$E:$E,'GL Dump'!$H:$H,Master!$A125,'GL Dump'!$D:$D,Master!Q$1),SUMIFS('GL Dump'!$E:$E,'GL Dump'!$H:$H,Master!$A125,'GL Dump'!$D:$D,Master!Q$1,'GL Dump'!$C:$C,Master!$G$1))</f>
        <v>0</v>
      </c>
      <c r="R125" s="81">
        <f>IF($G$1="ALL",SUMIFS('GL Dump'!$E:$E,'GL Dump'!$H:$H,Master!$A125,'GL Dump'!$D:$D,Master!R$1),SUMIFS('GL Dump'!$E:$E,'GL Dump'!$H:$H,Master!$A125,'GL Dump'!$D:$D,Master!R$1,'GL Dump'!$C:$C,Master!$G$1))</f>
        <v>0</v>
      </c>
      <c r="S125" s="81">
        <f>IF($G$1="ALL",SUMIFS('GL Dump'!$E:$E,'GL Dump'!$H:$H,Master!$A125,'GL Dump'!$D:$D,Master!S$1),SUMIFS('GL Dump'!$E:$E,'GL Dump'!$H:$H,Master!$A125,'GL Dump'!$D:$D,Master!S$1,'GL Dump'!$C:$C,Master!$G$1))</f>
        <v>0</v>
      </c>
    </row>
    <row r="126" spans="1:20" s="29" customFormat="1" x14ac:dyDescent="0.25">
      <c r="A126" s="389" t="s">
        <v>1195</v>
      </c>
      <c r="B126" s="281" t="s">
        <v>3123</v>
      </c>
      <c r="C126" s="248">
        <v>2</v>
      </c>
      <c r="D126" s="249">
        <v>220</v>
      </c>
      <c r="E126" s="208">
        <f>(D126*C126)</f>
        <v>440</v>
      </c>
      <c r="F126" s="409" t="s">
        <v>901</v>
      </c>
      <c r="G126" s="408"/>
      <c r="H126" s="397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</row>
    <row r="127" spans="1:20" s="29" customFormat="1" x14ac:dyDescent="0.25">
      <c r="A127" s="389" t="s">
        <v>1202</v>
      </c>
      <c r="B127" s="281" t="s">
        <v>3123</v>
      </c>
      <c r="C127" s="248">
        <v>2</v>
      </c>
      <c r="D127" s="249">
        <v>421</v>
      </c>
      <c r="E127" s="208">
        <f>(D127*C127)</f>
        <v>842</v>
      </c>
      <c r="F127" s="409" t="s">
        <v>901</v>
      </c>
      <c r="G127" s="408"/>
      <c r="H127" s="397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</row>
    <row r="128" spans="1:20" s="29" customFormat="1" x14ac:dyDescent="0.25">
      <c r="A128" s="154" t="s">
        <v>1203</v>
      </c>
      <c r="B128" s="267" t="s">
        <v>3123</v>
      </c>
      <c r="C128" s="185">
        <v>2</v>
      </c>
      <c r="D128" s="82">
        <v>1348.17</v>
      </c>
      <c r="E128" s="104">
        <f>(D128*C128)+(G128)</f>
        <v>2696.34</v>
      </c>
      <c r="F128" s="288" t="s">
        <v>1092</v>
      </c>
      <c r="G128" s="408">
        <f>IFERROR(VLOOKUP(A128,'Promo %'!B:P,3,0),0)</f>
        <v>0</v>
      </c>
      <c r="H128" s="397">
        <f>E128+SUMIFS('GL Dump'!$E:$E,'GL Dump'!$H:$H,Master!A128,'GL Dump'!$D:$D,Master!$I$1)</f>
        <v>2696.34</v>
      </c>
      <c r="I128" s="81">
        <f>IF($G$1="ALL",SUMIFS('GL Dump'!$E:$E,'GL Dump'!$H:$H,Master!$A128,'GL Dump'!$D:$D,Master!I$1),SUMIFS('GL Dump'!$E:$E,'GL Dump'!$H:$H,Master!$A128,'GL Dump'!$D:$D,Master!I$1,'GL Dump'!$C:$C,Master!$G$1))</f>
        <v>0</v>
      </c>
      <c r="J128" s="81">
        <f>IF($G$1="ALL",SUMIFS('GL Dump'!$E:$E,'GL Dump'!$H:$H,Master!$A128,'GL Dump'!$D:$D,Master!J$1),SUMIFS('GL Dump'!$E:$E,'GL Dump'!$H:$H,Master!$A128,'GL Dump'!$D:$D,Master!J$1,'GL Dump'!$C:$C,Master!$G$1))</f>
        <v>40.159999999999997</v>
      </c>
      <c r="K128" s="81">
        <f>IF($G$1="ALL",SUMIFS('GL Dump'!$E:$E,'GL Dump'!$H:$H,Master!$A128,'GL Dump'!$D:$D,Master!K$1),SUMIFS('GL Dump'!$E:$E,'GL Dump'!$H:$H,Master!$A128,'GL Dump'!$D:$D,Master!K$1,'GL Dump'!$C:$C,Master!$G$1))</f>
        <v>33.409999999999997</v>
      </c>
      <c r="L128" s="81">
        <f>IF($G$1="ALL",SUMIFS('GL Dump'!$E:$E,'GL Dump'!$H:$H,Master!$A128,'GL Dump'!$D:$D,Master!L$1),SUMIFS('GL Dump'!$E:$E,'GL Dump'!$H:$H,Master!$A128,'GL Dump'!$D:$D,Master!L$1,'GL Dump'!$C:$C,Master!$G$1))</f>
        <v>41.5</v>
      </c>
      <c r="M128" s="81">
        <f>IF($G$1="ALL",SUMIFS('GL Dump'!$E:$E,'GL Dump'!$H:$H,Master!$A128,'GL Dump'!$D:$D,Master!M$1),SUMIFS('GL Dump'!$E:$E,'GL Dump'!$H:$H,Master!$A128,'GL Dump'!$D:$D,Master!M$1,'GL Dump'!$C:$C,Master!$G$1))</f>
        <v>15.45</v>
      </c>
      <c r="N128" s="81">
        <f>IF($G$1="ALL",SUMIFS('GL Dump'!$E:$E,'GL Dump'!$H:$H,Master!$A128,'GL Dump'!$D:$D,Master!N$1),SUMIFS('GL Dump'!$E:$E,'GL Dump'!$H:$H,Master!$A128,'GL Dump'!$D:$D,Master!N$1,'GL Dump'!$C:$C,Master!$G$1))</f>
        <v>0</v>
      </c>
      <c r="O128" s="81">
        <f>IF($G$1="ALL",SUMIFS('GL Dump'!$E:$E,'GL Dump'!$H:$H,Master!$A128,'GL Dump'!$D:$D,Master!O$1),SUMIFS('GL Dump'!$E:$E,'GL Dump'!$H:$H,Master!$A128,'GL Dump'!$D:$D,Master!O$1,'GL Dump'!$C:$C,Master!$G$1))</f>
        <v>0</v>
      </c>
      <c r="P128" s="81">
        <f>IF($G$1="ALL",SUMIFS('GL Dump'!$E:$E,'GL Dump'!$H:$H,Master!$A128,'GL Dump'!$D:$D,Master!P$1),SUMIFS('GL Dump'!$E:$E,'GL Dump'!$H:$H,Master!$A128,'GL Dump'!$D:$D,Master!P$1,'GL Dump'!$C:$C,Master!$G$1))</f>
        <v>0</v>
      </c>
      <c r="Q128" s="81">
        <f>IF($G$1="ALL",SUMIFS('GL Dump'!$E:$E,'GL Dump'!$H:$H,Master!$A128,'GL Dump'!$D:$D,Master!Q$1),SUMIFS('GL Dump'!$E:$E,'GL Dump'!$H:$H,Master!$A128,'GL Dump'!$D:$D,Master!Q$1,'GL Dump'!$C:$C,Master!$G$1))</f>
        <v>0</v>
      </c>
      <c r="R128" s="81">
        <f>IF($G$1="ALL",SUMIFS('GL Dump'!$E:$E,'GL Dump'!$H:$H,Master!$A128,'GL Dump'!$D:$D,Master!R$1),SUMIFS('GL Dump'!$E:$E,'GL Dump'!$H:$H,Master!$A128,'GL Dump'!$D:$D,Master!R$1,'GL Dump'!$C:$C,Master!$G$1))</f>
        <v>0</v>
      </c>
      <c r="S128" s="81">
        <f>IF($G$1="ALL",SUMIFS('GL Dump'!$E:$E,'GL Dump'!$H:$H,Master!$A128,'GL Dump'!$D:$D,Master!S$1),SUMIFS('GL Dump'!$E:$E,'GL Dump'!$H:$H,Master!$A128,'GL Dump'!$D:$D,Master!S$1,'GL Dump'!$C:$C,Master!$G$1))</f>
        <v>1570.36</v>
      </c>
    </row>
    <row r="129" spans="1:20" s="29" customFormat="1" x14ac:dyDescent="0.25">
      <c r="A129" s="471" t="s">
        <v>1253</v>
      </c>
      <c r="B129" s="454" t="s">
        <v>3123</v>
      </c>
      <c r="C129" s="446">
        <v>2</v>
      </c>
      <c r="D129" s="447">
        <v>3171.93</v>
      </c>
      <c r="E129" s="440">
        <f>(D129*C129)+G129</f>
        <v>6374.6654499999995</v>
      </c>
      <c r="F129" s="473" t="s">
        <v>1092</v>
      </c>
      <c r="G129" s="408">
        <f>IFERROR(VLOOKUP(A129,'Promo %'!B:P,3,0),0)</f>
        <v>30.80545</v>
      </c>
      <c r="H129" s="421">
        <f>E129+SUMIFS('GL Dump'!$E:$E,'GL Dump'!$H:$H,Master!A129,'GL Dump'!$D:$D,Master!$I$1)</f>
        <v>6374.6654499999995</v>
      </c>
      <c r="I129" s="422">
        <f>IF($G$1="ALL",SUMIFS('GL Dump'!$E:$E,'GL Dump'!$H:$H,Master!$A129,'GL Dump'!$D:$D,Master!I$1),SUMIFS('GL Dump'!$E:$E,'GL Dump'!$H:$H,Master!$A129,'GL Dump'!$D:$D,Master!I$1,'GL Dump'!$C:$C,Master!$G$1))</f>
        <v>0</v>
      </c>
      <c r="J129" s="422">
        <f>IF($G$1="ALL",SUMIFS('GL Dump'!$E:$E,'GL Dump'!$H:$H,Master!$A129,'GL Dump'!$D:$D,Master!J$1),SUMIFS('GL Dump'!$E:$E,'GL Dump'!$H:$H,Master!$A129,'GL Dump'!$D:$D,Master!J$1,'GL Dump'!$C:$C,Master!$G$1))</f>
        <v>37.700000000000003</v>
      </c>
      <c r="K129" s="422">
        <f>IF($G$1="ALL",SUMIFS('GL Dump'!$E:$E,'GL Dump'!$H:$H,Master!$A129,'GL Dump'!$D:$D,Master!K$1),SUMIFS('GL Dump'!$E:$E,'GL Dump'!$H:$H,Master!$A129,'GL Dump'!$D:$D,Master!K$1,'GL Dump'!$C:$C,Master!$G$1))</f>
        <v>35.65</v>
      </c>
      <c r="L129" s="422">
        <f>IF($G$1="ALL",SUMIFS('GL Dump'!$E:$E,'GL Dump'!$H:$H,Master!$A129,'GL Dump'!$D:$D,Master!L$1),SUMIFS('GL Dump'!$E:$E,'GL Dump'!$H:$H,Master!$A129,'GL Dump'!$D:$D,Master!L$1,'GL Dump'!$C:$C,Master!$G$1))</f>
        <v>266.39999999999998</v>
      </c>
      <c r="M129" s="422">
        <f>IF($G$1="ALL",SUMIFS('GL Dump'!$E:$E,'GL Dump'!$H:$H,Master!$A129,'GL Dump'!$D:$D,Master!M$1),SUMIFS('GL Dump'!$E:$E,'GL Dump'!$H:$H,Master!$A129,'GL Dump'!$D:$D,Master!M$1,'GL Dump'!$C:$C,Master!$G$1))</f>
        <v>110.95</v>
      </c>
      <c r="N129" s="422">
        <f>IF($G$1="ALL",SUMIFS('GL Dump'!$E:$E,'GL Dump'!$H:$H,Master!$A129,'GL Dump'!$D:$D,Master!N$1),SUMIFS('GL Dump'!$E:$E,'GL Dump'!$H:$H,Master!$A129,'GL Dump'!$D:$D,Master!N$1,'GL Dump'!$C:$C,Master!$G$1))</f>
        <v>0</v>
      </c>
      <c r="O129" s="422">
        <f>IF($G$1="ALL",SUMIFS('GL Dump'!$E:$E,'GL Dump'!$H:$H,Master!$A129,'GL Dump'!$D:$D,Master!O$1),SUMIFS('GL Dump'!$E:$E,'GL Dump'!$H:$H,Master!$A129,'GL Dump'!$D:$D,Master!O$1,'GL Dump'!$C:$C,Master!$G$1))</f>
        <v>29.88</v>
      </c>
      <c r="P129" s="422">
        <f>IF($G$1="ALL",SUMIFS('GL Dump'!$E:$E,'GL Dump'!$H:$H,Master!$A129,'GL Dump'!$D:$D,Master!P$1),SUMIFS('GL Dump'!$E:$E,'GL Dump'!$H:$H,Master!$A129,'GL Dump'!$D:$D,Master!P$1,'GL Dump'!$C:$C,Master!$G$1))</f>
        <v>0</v>
      </c>
      <c r="Q129" s="422">
        <f>IF($G$1="ALL",SUMIFS('GL Dump'!$E:$E,'GL Dump'!$H:$H,Master!$A129,'GL Dump'!$D:$D,Master!Q$1),SUMIFS('GL Dump'!$E:$E,'GL Dump'!$H:$H,Master!$A129,'GL Dump'!$D:$D,Master!Q$1,'GL Dump'!$C:$C,Master!$G$1))</f>
        <v>0</v>
      </c>
      <c r="R129" s="422">
        <f>IF($G$1="ALL",SUMIFS('GL Dump'!$E:$E,'GL Dump'!$H:$H,Master!$A129,'GL Dump'!$D:$D,Master!R$1),SUMIFS('GL Dump'!$E:$E,'GL Dump'!$H:$H,Master!$A129,'GL Dump'!$D:$D,Master!R$1,'GL Dump'!$C:$C,Master!$G$1))</f>
        <v>0</v>
      </c>
      <c r="S129" s="422">
        <f>IF($G$1="ALL",SUMIFS('GL Dump'!$E:$E,'GL Dump'!$H:$H,Master!$A129,'GL Dump'!$D:$D,Master!S$1),SUMIFS('GL Dump'!$E:$E,'GL Dump'!$H:$H,Master!$A129,'GL Dump'!$D:$D,Master!S$1,'GL Dump'!$C:$C,Master!$G$1))</f>
        <v>2776.18</v>
      </c>
      <c r="T129" s="450"/>
    </row>
    <row r="130" spans="1:20" s="29" customFormat="1" x14ac:dyDescent="0.25">
      <c r="A130" s="154" t="s">
        <v>1257</v>
      </c>
      <c r="B130" s="267" t="s">
        <v>3123</v>
      </c>
      <c r="C130" s="185">
        <v>2</v>
      </c>
      <c r="D130" s="82">
        <v>4161.95</v>
      </c>
      <c r="E130" s="104">
        <f>(D130*C130)+G130</f>
        <v>8385.7763500000001</v>
      </c>
      <c r="F130" s="288" t="s">
        <v>1092</v>
      </c>
      <c r="G130" s="408">
        <f>IFERROR(VLOOKUP(A130,'Promo %'!B:P,3,0),0)</f>
        <v>61.876350000000002</v>
      </c>
      <c r="H130" s="397">
        <f>E130+SUMIFS('GL Dump'!$E:$E,'GL Dump'!$H:$H,Master!A130,'GL Dump'!$D:$D,Master!$I$1)</f>
        <v>8385.7763500000001</v>
      </c>
      <c r="I130" s="81">
        <f>IF($G$1="ALL",SUMIFS('GL Dump'!$E:$E,'GL Dump'!$H:$H,Master!$A130,'GL Dump'!$D:$D,Master!I$1),SUMIFS('GL Dump'!$E:$E,'GL Dump'!$H:$H,Master!$A130,'GL Dump'!$D:$D,Master!I$1,'GL Dump'!$C:$C,Master!$G$1))</f>
        <v>0</v>
      </c>
      <c r="J130" s="81">
        <f>IF($G$1="ALL",SUMIFS('GL Dump'!$E:$E,'GL Dump'!$H:$H,Master!$A130,'GL Dump'!$D:$D,Master!J$1),SUMIFS('GL Dump'!$E:$E,'GL Dump'!$H:$H,Master!$A130,'GL Dump'!$D:$D,Master!J$1,'GL Dump'!$C:$C,Master!$G$1))</f>
        <v>22.38</v>
      </c>
      <c r="K130" s="81">
        <f>IF($G$1="ALL",SUMIFS('GL Dump'!$E:$E,'GL Dump'!$H:$H,Master!$A130,'GL Dump'!$D:$D,Master!K$1),SUMIFS('GL Dump'!$E:$E,'GL Dump'!$H:$H,Master!$A130,'GL Dump'!$D:$D,Master!K$1,'GL Dump'!$C:$C,Master!$G$1))</f>
        <v>33.33</v>
      </c>
      <c r="L130" s="81">
        <f>IF($G$1="ALL",SUMIFS('GL Dump'!$E:$E,'GL Dump'!$H:$H,Master!$A130,'GL Dump'!$D:$D,Master!L$1),SUMIFS('GL Dump'!$E:$E,'GL Dump'!$H:$H,Master!$A130,'GL Dump'!$D:$D,Master!L$1,'GL Dump'!$C:$C,Master!$G$1))</f>
        <v>144.76</v>
      </c>
      <c r="M130" s="81">
        <f>IF($G$1="ALL",SUMIFS('GL Dump'!$E:$E,'GL Dump'!$H:$H,Master!$A130,'GL Dump'!$D:$D,Master!M$1),SUMIFS('GL Dump'!$E:$E,'GL Dump'!$H:$H,Master!$A130,'GL Dump'!$D:$D,Master!M$1,'GL Dump'!$C:$C,Master!$G$1))</f>
        <v>50.79</v>
      </c>
      <c r="N130" s="81">
        <f>IF($G$1="ALL",SUMIFS('GL Dump'!$E:$E,'GL Dump'!$H:$H,Master!$A130,'GL Dump'!$D:$D,Master!N$1),SUMIFS('GL Dump'!$E:$E,'GL Dump'!$H:$H,Master!$A130,'GL Dump'!$D:$D,Master!N$1,'GL Dump'!$C:$C,Master!$G$1))</f>
        <v>0</v>
      </c>
      <c r="O130" s="81">
        <f>IF($G$1="ALL",SUMIFS('GL Dump'!$E:$E,'GL Dump'!$H:$H,Master!$A130,'GL Dump'!$D:$D,Master!O$1),SUMIFS('GL Dump'!$E:$E,'GL Dump'!$H:$H,Master!$A130,'GL Dump'!$D:$D,Master!O$1,'GL Dump'!$C:$C,Master!$G$1))</f>
        <v>20.149999999999999</v>
      </c>
      <c r="P130" s="81">
        <f>IF($G$1="ALL",SUMIFS('GL Dump'!$E:$E,'GL Dump'!$H:$H,Master!$A130,'GL Dump'!$D:$D,Master!P$1),SUMIFS('GL Dump'!$E:$E,'GL Dump'!$H:$H,Master!$A130,'GL Dump'!$D:$D,Master!P$1,'GL Dump'!$C:$C,Master!$G$1))</f>
        <v>0</v>
      </c>
      <c r="Q130" s="81">
        <f>IF($G$1="ALL",SUMIFS('GL Dump'!$E:$E,'GL Dump'!$H:$H,Master!$A130,'GL Dump'!$D:$D,Master!Q$1),SUMIFS('GL Dump'!$E:$E,'GL Dump'!$H:$H,Master!$A130,'GL Dump'!$D:$D,Master!Q$1,'GL Dump'!$C:$C,Master!$G$1))</f>
        <v>0</v>
      </c>
      <c r="R130" s="81">
        <f>IF($G$1="ALL",SUMIFS('GL Dump'!$E:$E,'GL Dump'!$H:$H,Master!$A130,'GL Dump'!$D:$D,Master!R$1),SUMIFS('GL Dump'!$E:$E,'GL Dump'!$H:$H,Master!$A130,'GL Dump'!$D:$D,Master!R$1,'GL Dump'!$C:$C,Master!$G$1))</f>
        <v>0</v>
      </c>
      <c r="S130" s="81">
        <f>IF($G$1="ALL",SUMIFS('GL Dump'!$E:$E,'GL Dump'!$H:$H,Master!$A130,'GL Dump'!$D:$D,Master!S$1),SUMIFS('GL Dump'!$E:$E,'GL Dump'!$H:$H,Master!$A130,'GL Dump'!$D:$D,Master!S$1,'GL Dump'!$C:$C,Master!$G$1))</f>
        <v>2872.47</v>
      </c>
    </row>
    <row r="131" spans="1:20" s="29" customFormat="1" x14ac:dyDescent="0.25">
      <c r="A131" s="471" t="s">
        <v>1258</v>
      </c>
      <c r="B131" s="454" t="s">
        <v>3123</v>
      </c>
      <c r="C131" s="446">
        <v>2</v>
      </c>
      <c r="D131" s="447">
        <v>627.49</v>
      </c>
      <c r="E131" s="440">
        <f>(D131*C131)</f>
        <v>1254.98</v>
      </c>
      <c r="F131" s="473" t="s">
        <v>901</v>
      </c>
      <c r="G131" s="408">
        <f>IFERROR(VLOOKUP(A131,'Promo %'!B:P,3,0),0)</f>
        <v>0</v>
      </c>
      <c r="H131" s="421">
        <f>E131+SUMIFS('GL Dump'!$E:$E,'GL Dump'!$H:$H,Master!A131,'GL Dump'!$D:$D,Master!$I$1)</f>
        <v>1254.98</v>
      </c>
      <c r="I131" s="422">
        <f>IF($G$1="ALL",SUMIFS('GL Dump'!$E:$E,'GL Dump'!$H:$H,Master!$A131,'GL Dump'!$D:$D,Master!I$1),SUMIFS('GL Dump'!$E:$E,'GL Dump'!$H:$H,Master!$A131,'GL Dump'!$D:$D,Master!I$1,'GL Dump'!$C:$C,Master!$G$1))</f>
        <v>0</v>
      </c>
      <c r="J131" s="422">
        <f>IF($G$1="ALL",SUMIFS('GL Dump'!$E:$E,'GL Dump'!$H:$H,Master!$A131,'GL Dump'!$D:$D,Master!J$1),SUMIFS('GL Dump'!$E:$E,'GL Dump'!$H:$H,Master!$A131,'GL Dump'!$D:$D,Master!J$1,'GL Dump'!$C:$C,Master!$G$1))</f>
        <v>0</v>
      </c>
      <c r="K131" s="422">
        <f>IF($G$1="ALL",SUMIFS('GL Dump'!$E:$E,'GL Dump'!$H:$H,Master!$A131,'GL Dump'!$D:$D,Master!K$1),SUMIFS('GL Dump'!$E:$E,'GL Dump'!$H:$H,Master!$A131,'GL Dump'!$D:$D,Master!K$1,'GL Dump'!$C:$C,Master!$G$1))</f>
        <v>0</v>
      </c>
      <c r="L131" s="422">
        <f>IF($G$1="ALL",SUMIFS('GL Dump'!$E:$E,'GL Dump'!$H:$H,Master!$A131,'GL Dump'!$D:$D,Master!L$1),SUMIFS('GL Dump'!$E:$E,'GL Dump'!$H:$H,Master!$A131,'GL Dump'!$D:$D,Master!L$1,'GL Dump'!$C:$C,Master!$G$1))</f>
        <v>0</v>
      </c>
      <c r="M131" s="422">
        <f>IF($G$1="ALL",SUMIFS('GL Dump'!$E:$E,'GL Dump'!$H:$H,Master!$A131,'GL Dump'!$D:$D,Master!M$1),SUMIFS('GL Dump'!$E:$E,'GL Dump'!$H:$H,Master!$A131,'GL Dump'!$D:$D,Master!M$1,'GL Dump'!$C:$C,Master!$G$1))</f>
        <v>0</v>
      </c>
      <c r="N131" s="422">
        <f>IF($G$1="ALL",SUMIFS('GL Dump'!$E:$E,'GL Dump'!$H:$H,Master!$A131,'GL Dump'!$D:$D,Master!N$1),SUMIFS('GL Dump'!$E:$E,'GL Dump'!$H:$H,Master!$A131,'GL Dump'!$D:$D,Master!N$1,'GL Dump'!$C:$C,Master!$G$1))</f>
        <v>0</v>
      </c>
      <c r="O131" s="422">
        <f>IF($G$1="ALL",SUMIFS('GL Dump'!$E:$E,'GL Dump'!$H:$H,Master!$A131,'GL Dump'!$D:$D,Master!O$1),SUMIFS('GL Dump'!$E:$E,'GL Dump'!$H:$H,Master!$A131,'GL Dump'!$D:$D,Master!O$1,'GL Dump'!$C:$C,Master!$G$1))</f>
        <v>0</v>
      </c>
      <c r="P131" s="422">
        <f>IF($G$1="ALL",SUMIFS('GL Dump'!$E:$E,'GL Dump'!$H:$H,Master!$A131,'GL Dump'!$D:$D,Master!P$1),SUMIFS('GL Dump'!$E:$E,'GL Dump'!$H:$H,Master!$A131,'GL Dump'!$D:$D,Master!P$1,'GL Dump'!$C:$C,Master!$G$1))</f>
        <v>0</v>
      </c>
      <c r="Q131" s="422">
        <f>IF($G$1="ALL",SUMIFS('GL Dump'!$E:$E,'GL Dump'!$H:$H,Master!$A131,'GL Dump'!$D:$D,Master!Q$1),SUMIFS('GL Dump'!$E:$E,'GL Dump'!$H:$H,Master!$A131,'GL Dump'!$D:$D,Master!Q$1,'GL Dump'!$C:$C,Master!$G$1))</f>
        <v>0</v>
      </c>
      <c r="R131" s="422">
        <f>IF($G$1="ALL",SUMIFS('GL Dump'!$E:$E,'GL Dump'!$H:$H,Master!$A131,'GL Dump'!$D:$D,Master!R$1),SUMIFS('GL Dump'!$E:$E,'GL Dump'!$H:$H,Master!$A131,'GL Dump'!$D:$D,Master!R$1,'GL Dump'!$C:$C,Master!$G$1))</f>
        <v>0</v>
      </c>
      <c r="S131" s="422">
        <f>IF($G$1="ALL",SUMIFS('GL Dump'!$E:$E,'GL Dump'!$H:$H,Master!$A131,'GL Dump'!$D:$D,Master!S$1),SUMIFS('GL Dump'!$E:$E,'GL Dump'!$H:$H,Master!$A131,'GL Dump'!$D:$D,Master!S$1,'GL Dump'!$C:$C,Master!$G$1))</f>
        <v>415.45</v>
      </c>
      <c r="T131" s="450"/>
    </row>
    <row r="132" spans="1:20" s="29" customFormat="1" x14ac:dyDescent="0.25">
      <c r="A132" s="157" t="s">
        <v>1259</v>
      </c>
      <c r="B132" s="267" t="s">
        <v>3123</v>
      </c>
      <c r="C132" s="185">
        <v>2</v>
      </c>
      <c r="D132" s="82">
        <v>600</v>
      </c>
      <c r="E132" s="104">
        <f>(D132*C132)</f>
        <v>1200</v>
      </c>
      <c r="F132" s="288" t="s">
        <v>901</v>
      </c>
      <c r="G132" s="408">
        <f>IFERROR(VLOOKUP(A132,'Promo %'!B:P,3,0),0)</f>
        <v>0</v>
      </c>
      <c r="H132" s="397">
        <f>E132+SUMIFS('GL Dump'!$E:$E,'GL Dump'!$H:$H,Master!A132,'GL Dump'!$D:$D,Master!$I$1)</f>
        <v>1200</v>
      </c>
      <c r="I132" s="81">
        <f>IF($G$1="ALL",SUMIFS('GL Dump'!$E:$E,'GL Dump'!$H:$H,Master!$A132,'GL Dump'!$D:$D,Master!I$1),SUMIFS('GL Dump'!$E:$E,'GL Dump'!$H:$H,Master!$A132,'GL Dump'!$D:$D,Master!I$1,'GL Dump'!$C:$C,Master!$G$1))</f>
        <v>0</v>
      </c>
      <c r="J132" s="81">
        <f>IF($G$1="ALL",SUMIFS('GL Dump'!$E:$E,'GL Dump'!$H:$H,Master!$A132,'GL Dump'!$D:$D,Master!J$1),SUMIFS('GL Dump'!$E:$E,'GL Dump'!$H:$H,Master!$A132,'GL Dump'!$D:$D,Master!J$1,'GL Dump'!$C:$C,Master!$G$1))</f>
        <v>0</v>
      </c>
      <c r="K132" s="81">
        <f>IF($G$1="ALL",SUMIFS('GL Dump'!$E:$E,'GL Dump'!$H:$H,Master!$A132,'GL Dump'!$D:$D,Master!K$1),SUMIFS('GL Dump'!$E:$E,'GL Dump'!$H:$H,Master!$A132,'GL Dump'!$D:$D,Master!K$1,'GL Dump'!$C:$C,Master!$G$1))</f>
        <v>0</v>
      </c>
      <c r="L132" s="81">
        <f>IF($G$1="ALL",SUMIFS('GL Dump'!$E:$E,'GL Dump'!$H:$H,Master!$A132,'GL Dump'!$D:$D,Master!L$1),SUMIFS('GL Dump'!$E:$E,'GL Dump'!$H:$H,Master!$A132,'GL Dump'!$D:$D,Master!L$1,'GL Dump'!$C:$C,Master!$G$1))</f>
        <v>0</v>
      </c>
      <c r="M132" s="81">
        <f>IF($G$1="ALL",SUMIFS('GL Dump'!$E:$E,'GL Dump'!$H:$H,Master!$A132,'GL Dump'!$D:$D,Master!M$1),SUMIFS('GL Dump'!$E:$E,'GL Dump'!$H:$H,Master!$A132,'GL Dump'!$D:$D,Master!M$1,'GL Dump'!$C:$C,Master!$G$1))</f>
        <v>0</v>
      </c>
      <c r="N132" s="81">
        <f>IF($G$1="ALL",SUMIFS('GL Dump'!$E:$E,'GL Dump'!$H:$H,Master!$A132,'GL Dump'!$D:$D,Master!N$1),SUMIFS('GL Dump'!$E:$E,'GL Dump'!$H:$H,Master!$A132,'GL Dump'!$D:$D,Master!N$1,'GL Dump'!$C:$C,Master!$G$1))</f>
        <v>0</v>
      </c>
      <c r="O132" s="81">
        <f>IF($G$1="ALL",SUMIFS('GL Dump'!$E:$E,'GL Dump'!$H:$H,Master!$A132,'GL Dump'!$D:$D,Master!O$1),SUMIFS('GL Dump'!$E:$E,'GL Dump'!$H:$H,Master!$A132,'GL Dump'!$D:$D,Master!O$1,'GL Dump'!$C:$C,Master!$G$1))</f>
        <v>0</v>
      </c>
      <c r="P132" s="81">
        <f>IF($G$1="ALL",SUMIFS('GL Dump'!$E:$E,'GL Dump'!$H:$H,Master!$A132,'GL Dump'!$D:$D,Master!P$1),SUMIFS('GL Dump'!$E:$E,'GL Dump'!$H:$H,Master!$A132,'GL Dump'!$D:$D,Master!P$1,'GL Dump'!$C:$C,Master!$G$1))</f>
        <v>0</v>
      </c>
      <c r="Q132" s="81">
        <f>IF($G$1="ALL",SUMIFS('GL Dump'!$E:$E,'GL Dump'!$H:$H,Master!$A132,'GL Dump'!$D:$D,Master!Q$1),SUMIFS('GL Dump'!$E:$E,'GL Dump'!$H:$H,Master!$A132,'GL Dump'!$D:$D,Master!Q$1,'GL Dump'!$C:$C,Master!$G$1))</f>
        <v>0</v>
      </c>
      <c r="R132" s="81">
        <f>IF($G$1="ALL",SUMIFS('GL Dump'!$E:$E,'GL Dump'!$H:$H,Master!$A132,'GL Dump'!$D:$D,Master!R$1),SUMIFS('GL Dump'!$E:$E,'GL Dump'!$H:$H,Master!$A132,'GL Dump'!$D:$D,Master!R$1,'GL Dump'!$C:$C,Master!$G$1))</f>
        <v>0</v>
      </c>
      <c r="S132" s="81">
        <f>IF($G$1="ALL",SUMIFS('GL Dump'!$E:$E,'GL Dump'!$H:$H,Master!$A132,'GL Dump'!$D:$D,Master!S$1),SUMIFS('GL Dump'!$E:$E,'GL Dump'!$H:$H,Master!$A132,'GL Dump'!$D:$D,Master!S$1,'GL Dump'!$C:$C,Master!$G$1))</f>
        <v>572.77</v>
      </c>
    </row>
    <row r="133" spans="1:20" s="29" customFormat="1" x14ac:dyDescent="0.25">
      <c r="A133" s="474" t="s">
        <v>1260</v>
      </c>
      <c r="B133" s="454" t="s">
        <v>3123</v>
      </c>
      <c r="C133" s="446">
        <v>2</v>
      </c>
      <c r="D133" s="447">
        <v>543.64</v>
      </c>
      <c r="E133" s="440">
        <f>(D133*C133)+G133</f>
        <v>1087.3117999999999</v>
      </c>
      <c r="F133" s="473" t="s">
        <v>1092</v>
      </c>
      <c r="G133" s="408">
        <f>IFERROR(VLOOKUP(A133,'Promo %'!B:P,3,0),0)</f>
        <v>3.1800000000000002E-2</v>
      </c>
      <c r="H133" s="421">
        <f>E133+SUMIFS('GL Dump'!$E:$E,'GL Dump'!$H:$H,Master!A133,'GL Dump'!$D:$D,Master!$I$1)</f>
        <v>1087.3117999999999</v>
      </c>
      <c r="I133" s="422">
        <f>IF($G$1="ALL",SUMIFS('GL Dump'!$E:$E,'GL Dump'!$H:$H,Master!$A133,'GL Dump'!$D:$D,Master!I$1),SUMIFS('GL Dump'!$E:$E,'GL Dump'!$H:$H,Master!$A133,'GL Dump'!$D:$D,Master!I$1,'GL Dump'!$C:$C,Master!$G$1))</f>
        <v>0</v>
      </c>
      <c r="J133" s="422">
        <f>IF($G$1="ALL",SUMIFS('GL Dump'!$E:$E,'GL Dump'!$H:$H,Master!$A133,'GL Dump'!$D:$D,Master!J$1),SUMIFS('GL Dump'!$E:$E,'GL Dump'!$H:$H,Master!$A133,'GL Dump'!$D:$D,Master!J$1,'GL Dump'!$C:$C,Master!$G$1))</f>
        <v>9.92</v>
      </c>
      <c r="K133" s="422">
        <f>IF($G$1="ALL",SUMIFS('GL Dump'!$E:$E,'GL Dump'!$H:$H,Master!$A133,'GL Dump'!$D:$D,Master!K$1),SUMIFS('GL Dump'!$E:$E,'GL Dump'!$H:$H,Master!$A133,'GL Dump'!$D:$D,Master!K$1,'GL Dump'!$C:$C,Master!$G$1))</f>
        <v>11.59</v>
      </c>
      <c r="L133" s="422">
        <f>IF($G$1="ALL",SUMIFS('GL Dump'!$E:$E,'GL Dump'!$H:$H,Master!$A133,'GL Dump'!$D:$D,Master!L$1),SUMIFS('GL Dump'!$E:$E,'GL Dump'!$H:$H,Master!$A133,'GL Dump'!$D:$D,Master!L$1,'GL Dump'!$C:$C,Master!$G$1))</f>
        <v>30.62</v>
      </c>
      <c r="M133" s="422">
        <f>IF($G$1="ALL",SUMIFS('GL Dump'!$E:$E,'GL Dump'!$H:$H,Master!$A133,'GL Dump'!$D:$D,Master!M$1),SUMIFS('GL Dump'!$E:$E,'GL Dump'!$H:$H,Master!$A133,'GL Dump'!$D:$D,Master!M$1,'GL Dump'!$C:$C,Master!$G$1))</f>
        <v>12.37</v>
      </c>
      <c r="N133" s="422">
        <f>IF($G$1="ALL",SUMIFS('GL Dump'!$E:$E,'GL Dump'!$H:$H,Master!$A133,'GL Dump'!$D:$D,Master!N$1),SUMIFS('GL Dump'!$E:$E,'GL Dump'!$H:$H,Master!$A133,'GL Dump'!$D:$D,Master!N$1,'GL Dump'!$C:$C,Master!$G$1))</f>
        <v>0</v>
      </c>
      <c r="O133" s="422">
        <f>IF($G$1="ALL",SUMIFS('GL Dump'!$E:$E,'GL Dump'!$H:$H,Master!$A133,'GL Dump'!$D:$D,Master!O$1),SUMIFS('GL Dump'!$E:$E,'GL Dump'!$H:$H,Master!$A133,'GL Dump'!$D:$D,Master!O$1,'GL Dump'!$C:$C,Master!$G$1))</f>
        <v>0</v>
      </c>
      <c r="P133" s="422">
        <f>IF($G$1="ALL",SUMIFS('GL Dump'!$E:$E,'GL Dump'!$H:$H,Master!$A133,'GL Dump'!$D:$D,Master!P$1),SUMIFS('GL Dump'!$E:$E,'GL Dump'!$H:$H,Master!$A133,'GL Dump'!$D:$D,Master!P$1,'GL Dump'!$C:$C,Master!$G$1))</f>
        <v>0</v>
      </c>
      <c r="Q133" s="422">
        <f>IF($G$1="ALL",SUMIFS('GL Dump'!$E:$E,'GL Dump'!$H:$H,Master!$A133,'GL Dump'!$D:$D,Master!Q$1),SUMIFS('GL Dump'!$E:$E,'GL Dump'!$H:$H,Master!$A133,'GL Dump'!$D:$D,Master!Q$1,'GL Dump'!$C:$C,Master!$G$1))</f>
        <v>0</v>
      </c>
      <c r="R133" s="422">
        <f>IF($G$1="ALL",SUMIFS('GL Dump'!$E:$E,'GL Dump'!$H:$H,Master!$A133,'GL Dump'!$D:$D,Master!R$1),SUMIFS('GL Dump'!$E:$E,'GL Dump'!$H:$H,Master!$A133,'GL Dump'!$D:$D,Master!R$1,'GL Dump'!$C:$C,Master!$G$1))</f>
        <v>0</v>
      </c>
      <c r="S133" s="422">
        <f>IF($G$1="ALL",SUMIFS('GL Dump'!$E:$E,'GL Dump'!$H:$H,Master!$A133,'GL Dump'!$D:$D,Master!S$1),SUMIFS('GL Dump'!$E:$E,'GL Dump'!$H:$H,Master!$A133,'GL Dump'!$D:$D,Master!S$1,'GL Dump'!$C:$C,Master!$G$1))</f>
        <v>574.04</v>
      </c>
      <c r="T133" s="450"/>
    </row>
    <row r="134" spans="1:20" s="29" customFormat="1" x14ac:dyDescent="0.25">
      <c r="A134" s="157" t="s">
        <v>1263</v>
      </c>
      <c r="B134" s="267" t="s">
        <v>3123</v>
      </c>
      <c r="C134" s="187">
        <v>0</v>
      </c>
      <c r="D134" s="35">
        <v>520.84</v>
      </c>
      <c r="E134" s="104">
        <f>D134*C134</f>
        <v>0</v>
      </c>
      <c r="F134" s="288"/>
      <c r="G134" s="408">
        <f>IFERROR(VLOOKUP(A134,'Promo %'!B:P,3,0),0)</f>
        <v>0</v>
      </c>
      <c r="H134" s="397">
        <f>E134+SUMIFS('GL Dump'!$E:$E,'GL Dump'!$H:$H,Master!A134,'GL Dump'!$D:$D,Master!$I$1)</f>
        <v>0</v>
      </c>
      <c r="I134" s="81">
        <f>IF($G$1="ALL",SUMIFS('GL Dump'!$E:$E,'GL Dump'!$H:$H,Master!$A134,'GL Dump'!$D:$D,Master!I$1),SUMIFS('GL Dump'!$E:$E,'GL Dump'!$H:$H,Master!$A134,'GL Dump'!$D:$D,Master!I$1,'GL Dump'!$C:$C,Master!$G$1))</f>
        <v>0</v>
      </c>
      <c r="J134" s="81">
        <f>IF($G$1="ALL",SUMIFS('GL Dump'!$E:$E,'GL Dump'!$H:$H,Master!$A134,'GL Dump'!$D:$D,Master!J$1),SUMIFS('GL Dump'!$E:$E,'GL Dump'!$H:$H,Master!$A134,'GL Dump'!$D:$D,Master!J$1,'GL Dump'!$C:$C,Master!$G$1))</f>
        <v>1041.6600000000001</v>
      </c>
      <c r="K134" s="81">
        <f>IF($G$1="ALL",SUMIFS('GL Dump'!$E:$E,'GL Dump'!$H:$H,Master!$A134,'GL Dump'!$D:$D,Master!K$1),SUMIFS('GL Dump'!$E:$E,'GL Dump'!$H:$H,Master!$A134,'GL Dump'!$D:$D,Master!K$1,'GL Dump'!$C:$C,Master!$G$1))</f>
        <v>0</v>
      </c>
      <c r="L134" s="81">
        <f>IF($G$1="ALL",SUMIFS('GL Dump'!$E:$E,'GL Dump'!$H:$H,Master!$A134,'GL Dump'!$D:$D,Master!L$1),SUMIFS('GL Dump'!$E:$E,'GL Dump'!$H:$H,Master!$A134,'GL Dump'!$D:$D,Master!L$1,'GL Dump'!$C:$C,Master!$G$1))</f>
        <v>520.82000000000005</v>
      </c>
      <c r="M134" s="81">
        <f>IF($G$1="ALL",SUMIFS('GL Dump'!$E:$E,'GL Dump'!$H:$H,Master!$A134,'GL Dump'!$D:$D,Master!M$1),SUMIFS('GL Dump'!$E:$E,'GL Dump'!$H:$H,Master!$A134,'GL Dump'!$D:$D,Master!M$1,'GL Dump'!$C:$C,Master!$G$1))</f>
        <v>520.82000000000005</v>
      </c>
      <c r="N134" s="81">
        <f>IF($G$1="ALL",SUMIFS('GL Dump'!$E:$E,'GL Dump'!$H:$H,Master!$A134,'GL Dump'!$D:$D,Master!N$1),SUMIFS('GL Dump'!$E:$E,'GL Dump'!$H:$H,Master!$A134,'GL Dump'!$D:$D,Master!N$1,'GL Dump'!$C:$C,Master!$G$1))</f>
        <v>520.83000000000004</v>
      </c>
      <c r="O134" s="81">
        <f>IF($G$1="ALL",SUMIFS('GL Dump'!$E:$E,'GL Dump'!$H:$H,Master!$A134,'GL Dump'!$D:$D,Master!O$1),SUMIFS('GL Dump'!$E:$E,'GL Dump'!$H:$H,Master!$A134,'GL Dump'!$D:$D,Master!O$1,'GL Dump'!$C:$C,Master!$G$1))</f>
        <v>520.83000000000004</v>
      </c>
      <c r="P134" s="81">
        <f>IF($G$1="ALL",SUMIFS('GL Dump'!$E:$E,'GL Dump'!$H:$H,Master!$A134,'GL Dump'!$D:$D,Master!P$1),SUMIFS('GL Dump'!$E:$E,'GL Dump'!$H:$H,Master!$A134,'GL Dump'!$D:$D,Master!P$1,'GL Dump'!$C:$C,Master!$G$1))</f>
        <v>520.83000000000004</v>
      </c>
      <c r="Q134" s="81">
        <f>IF($G$1="ALL",SUMIFS('GL Dump'!$E:$E,'GL Dump'!$H:$H,Master!$A134,'GL Dump'!$D:$D,Master!Q$1),SUMIFS('GL Dump'!$E:$E,'GL Dump'!$H:$H,Master!$A134,'GL Dump'!$D:$D,Master!Q$1,'GL Dump'!$C:$C,Master!$G$1))</f>
        <v>520.82000000000005</v>
      </c>
      <c r="R134" s="81">
        <f>IF($G$1="ALL",SUMIFS('GL Dump'!$E:$E,'GL Dump'!$H:$H,Master!$A134,'GL Dump'!$D:$D,Master!R$1),SUMIFS('GL Dump'!$E:$E,'GL Dump'!$H:$H,Master!$A134,'GL Dump'!$D:$D,Master!R$1,'GL Dump'!$C:$C,Master!$G$1))</f>
        <v>520.83000000000004</v>
      </c>
      <c r="S134" s="81">
        <f>IF($G$1="ALL",SUMIFS('GL Dump'!$E:$E,'GL Dump'!$H:$H,Master!$A134,'GL Dump'!$D:$D,Master!S$1),SUMIFS('GL Dump'!$E:$E,'GL Dump'!$H:$H,Master!$A134,'GL Dump'!$D:$D,Master!S$1,'GL Dump'!$C:$C,Master!$G$1))</f>
        <v>520.83000000000004</v>
      </c>
    </row>
    <row r="135" spans="1:20" s="29" customFormat="1" x14ac:dyDescent="0.25">
      <c r="A135" s="471" t="s">
        <v>1211</v>
      </c>
      <c r="B135" s="454"/>
      <c r="C135" s="446">
        <v>0</v>
      </c>
      <c r="D135" s="447">
        <v>1625</v>
      </c>
      <c r="E135" s="440">
        <f>D135*C135</f>
        <v>0</v>
      </c>
      <c r="F135" s="473" t="s">
        <v>3279</v>
      </c>
      <c r="G135" s="408">
        <f>IFERROR(VLOOKUP(A135,'Promo %'!B:P,3,0),0)</f>
        <v>0</v>
      </c>
      <c r="H135" s="421">
        <f>E135+SUMIFS('GL Dump'!$E:$E,'GL Dump'!$H:$H,Master!A135,'GL Dump'!$D:$D,Master!$I$1)</f>
        <v>0</v>
      </c>
      <c r="I135" s="422">
        <f>IF($G$1="ALL",SUMIFS('GL Dump'!$E:$E,'GL Dump'!$H:$H,Master!$A135,'GL Dump'!$D:$D,Master!I$1),SUMIFS('GL Dump'!$E:$E,'GL Dump'!$H:$H,Master!$A135,'GL Dump'!$D:$D,Master!I$1,'GL Dump'!$C:$C,Master!$G$1))</f>
        <v>0</v>
      </c>
      <c r="J135" s="422">
        <f>IF($G$1="ALL",SUMIFS('GL Dump'!$E:$E,'GL Dump'!$H:$H,Master!$A135,'GL Dump'!$D:$D,Master!J$1),SUMIFS('GL Dump'!$E:$E,'GL Dump'!$H:$H,Master!$A135,'GL Dump'!$D:$D,Master!J$1,'GL Dump'!$C:$C,Master!$G$1))</f>
        <v>1625</v>
      </c>
      <c r="K135" s="422">
        <f>IF($G$1="ALL",SUMIFS('GL Dump'!$E:$E,'GL Dump'!$H:$H,Master!$A135,'GL Dump'!$D:$D,Master!K$1),SUMIFS('GL Dump'!$E:$E,'GL Dump'!$H:$H,Master!$A135,'GL Dump'!$D:$D,Master!K$1,'GL Dump'!$C:$C,Master!$G$1))</f>
        <v>1625</v>
      </c>
      <c r="L135" s="422">
        <f>IF($G$1="ALL",SUMIFS('GL Dump'!$E:$E,'GL Dump'!$H:$H,Master!$A135,'GL Dump'!$D:$D,Master!L$1),SUMIFS('GL Dump'!$E:$E,'GL Dump'!$H:$H,Master!$A135,'GL Dump'!$D:$D,Master!L$1,'GL Dump'!$C:$C,Master!$G$1))</f>
        <v>1593.75</v>
      </c>
      <c r="M135" s="422">
        <f>IF($G$1="ALL",SUMIFS('GL Dump'!$E:$E,'GL Dump'!$H:$H,Master!$A135,'GL Dump'!$D:$D,Master!M$1),SUMIFS('GL Dump'!$E:$E,'GL Dump'!$H:$H,Master!$A135,'GL Dump'!$D:$D,Master!M$1,'GL Dump'!$C:$C,Master!$G$1))</f>
        <v>1562.5</v>
      </c>
      <c r="N135" s="422">
        <f>IF($G$1="ALL",SUMIFS('GL Dump'!$E:$E,'GL Dump'!$H:$H,Master!$A135,'GL Dump'!$D:$D,Master!N$1),SUMIFS('GL Dump'!$E:$E,'GL Dump'!$H:$H,Master!$A135,'GL Dump'!$D:$D,Master!N$1,'GL Dump'!$C:$C,Master!$G$1))</f>
        <v>1562.5</v>
      </c>
      <c r="O135" s="422">
        <f>IF($G$1="ALL",SUMIFS('GL Dump'!$E:$E,'GL Dump'!$H:$H,Master!$A135,'GL Dump'!$D:$D,Master!O$1),SUMIFS('GL Dump'!$E:$E,'GL Dump'!$H:$H,Master!$A135,'GL Dump'!$D:$D,Master!O$1,'GL Dump'!$C:$C,Master!$G$1))</f>
        <v>1562.5</v>
      </c>
      <c r="P135" s="422">
        <f>IF($G$1="ALL",SUMIFS('GL Dump'!$E:$E,'GL Dump'!$H:$H,Master!$A135,'GL Dump'!$D:$D,Master!P$1),SUMIFS('GL Dump'!$E:$E,'GL Dump'!$H:$H,Master!$A135,'GL Dump'!$D:$D,Master!P$1,'GL Dump'!$C:$C,Master!$G$1))</f>
        <v>1562.5</v>
      </c>
      <c r="Q135" s="422">
        <f>IF($G$1="ALL",SUMIFS('GL Dump'!$E:$E,'GL Dump'!$H:$H,Master!$A135,'GL Dump'!$D:$D,Master!Q$1),SUMIFS('GL Dump'!$E:$E,'GL Dump'!$H:$H,Master!$A135,'GL Dump'!$D:$D,Master!Q$1,'GL Dump'!$C:$C,Master!$G$1))</f>
        <v>1562.5</v>
      </c>
      <c r="R135" s="422">
        <f>IF($G$1="ALL",SUMIFS('GL Dump'!$E:$E,'GL Dump'!$H:$H,Master!$A135,'GL Dump'!$D:$D,Master!R$1),SUMIFS('GL Dump'!$E:$E,'GL Dump'!$H:$H,Master!$A135,'GL Dump'!$D:$D,Master!R$1,'GL Dump'!$C:$C,Master!$G$1))</f>
        <v>1562.5</v>
      </c>
      <c r="S135" s="422">
        <f>IF($G$1="ALL",SUMIFS('GL Dump'!$E:$E,'GL Dump'!$H:$H,Master!$A135,'GL Dump'!$D:$D,Master!S$1),SUMIFS('GL Dump'!$E:$E,'GL Dump'!$H:$H,Master!$A135,'GL Dump'!$D:$D,Master!S$1,'GL Dump'!$C:$C,Master!$G$1))</f>
        <v>0</v>
      </c>
      <c r="T135" s="450"/>
    </row>
    <row r="136" spans="1:20" s="29" customFormat="1" x14ac:dyDescent="0.25">
      <c r="A136" s="145" t="s">
        <v>1284</v>
      </c>
      <c r="B136" s="268" t="s">
        <v>884</v>
      </c>
      <c r="C136" s="187">
        <v>8</v>
      </c>
      <c r="D136" s="35">
        <v>362.31</v>
      </c>
      <c r="E136" s="104">
        <f>D136*C136+G136</f>
        <v>5459.2792030000001</v>
      </c>
      <c r="F136" s="279" t="s">
        <v>1093</v>
      </c>
      <c r="G136" s="408">
        <f>IFERROR(VLOOKUP(A136,'Promo %'!B:P,3,0),0)</f>
        <v>2560.799203</v>
      </c>
      <c r="H136" s="397">
        <f>E136+SUMIFS('GL Dump'!$E:$E,'GL Dump'!$H:$H,Master!A136,'GL Dump'!$D:$D,Master!$I$1)</f>
        <v>5459.2792030000001</v>
      </c>
      <c r="I136" s="81">
        <f>IF($G$1="ALL",SUMIFS('GL Dump'!$E:$E,'GL Dump'!$H:$H,Master!$A136,'GL Dump'!$D:$D,Master!I$1),SUMIFS('GL Dump'!$E:$E,'GL Dump'!$H:$H,Master!$A136,'GL Dump'!$D:$D,Master!I$1,'GL Dump'!$C:$C,Master!$G$1))</f>
        <v>0</v>
      </c>
      <c r="J136" s="81">
        <f>IF($G$1="ALL",SUMIFS('GL Dump'!$E:$E,'GL Dump'!$H:$H,Master!$A136,'GL Dump'!$D:$D,Master!J$1),SUMIFS('GL Dump'!$E:$E,'GL Dump'!$H:$H,Master!$A136,'GL Dump'!$D:$D,Master!J$1,'GL Dump'!$C:$C,Master!$G$1))</f>
        <v>0</v>
      </c>
      <c r="K136" s="81">
        <f>IF($G$1="ALL",SUMIFS('GL Dump'!$E:$E,'GL Dump'!$H:$H,Master!$A136,'GL Dump'!$D:$D,Master!K$1),SUMIFS('GL Dump'!$E:$E,'GL Dump'!$H:$H,Master!$A136,'GL Dump'!$D:$D,Master!K$1,'GL Dump'!$C:$C,Master!$G$1))</f>
        <v>0</v>
      </c>
      <c r="L136" s="81">
        <f>IF($G$1="ALL",SUMIFS('GL Dump'!$E:$E,'GL Dump'!$H:$H,Master!$A136,'GL Dump'!$D:$D,Master!L$1),SUMIFS('GL Dump'!$E:$E,'GL Dump'!$H:$H,Master!$A136,'GL Dump'!$D:$D,Master!L$1,'GL Dump'!$C:$C,Master!$G$1))</f>
        <v>0</v>
      </c>
      <c r="M136" s="81">
        <f>IF($G$1="ALL",SUMIFS('GL Dump'!$E:$E,'GL Dump'!$H:$H,Master!$A136,'GL Dump'!$D:$D,Master!M$1),SUMIFS('GL Dump'!$E:$E,'GL Dump'!$H:$H,Master!$A136,'GL Dump'!$D:$D,Master!M$1,'GL Dump'!$C:$C,Master!$G$1))</f>
        <v>0</v>
      </c>
      <c r="N136" s="81">
        <f>IF($G$1="ALL",SUMIFS('GL Dump'!$E:$E,'GL Dump'!$H:$H,Master!$A136,'GL Dump'!$D:$D,Master!N$1),SUMIFS('GL Dump'!$E:$E,'GL Dump'!$H:$H,Master!$A136,'GL Dump'!$D:$D,Master!N$1,'GL Dump'!$C:$C,Master!$G$1))</f>
        <v>0</v>
      </c>
      <c r="O136" s="81">
        <f>IF($G$1="ALL",SUMIFS('GL Dump'!$E:$E,'GL Dump'!$H:$H,Master!$A136,'GL Dump'!$D:$D,Master!O$1),SUMIFS('GL Dump'!$E:$E,'GL Dump'!$H:$H,Master!$A136,'GL Dump'!$D:$D,Master!O$1,'GL Dump'!$C:$C,Master!$G$1))</f>
        <v>0</v>
      </c>
      <c r="P136" s="81">
        <f>IF($G$1="ALL",SUMIFS('GL Dump'!$E:$E,'GL Dump'!$H:$H,Master!$A136,'GL Dump'!$D:$D,Master!P$1),SUMIFS('GL Dump'!$E:$E,'GL Dump'!$H:$H,Master!$A136,'GL Dump'!$D:$D,Master!P$1,'GL Dump'!$C:$C,Master!$G$1))</f>
        <v>0</v>
      </c>
      <c r="Q136" s="81">
        <f>IF($G$1="ALL",SUMIFS('GL Dump'!$E:$E,'GL Dump'!$H:$H,Master!$A136,'GL Dump'!$D:$D,Master!Q$1),SUMIFS('GL Dump'!$E:$E,'GL Dump'!$H:$H,Master!$A136,'GL Dump'!$D:$D,Master!Q$1,'GL Dump'!$C:$C,Master!$G$1))</f>
        <v>0</v>
      </c>
      <c r="R136" s="81">
        <f>IF($G$1="ALL",SUMIFS('GL Dump'!$E:$E,'GL Dump'!$H:$H,Master!$A136,'GL Dump'!$D:$D,Master!R$1),SUMIFS('GL Dump'!$E:$E,'GL Dump'!$H:$H,Master!$A136,'GL Dump'!$D:$D,Master!R$1,'GL Dump'!$C:$C,Master!$G$1))</f>
        <v>0</v>
      </c>
      <c r="S136" s="81">
        <f>IF($G$1="ALL",SUMIFS('GL Dump'!$E:$E,'GL Dump'!$H:$H,Master!$A136,'GL Dump'!$D:$D,Master!S$1),SUMIFS('GL Dump'!$E:$E,'GL Dump'!$H:$H,Master!$A136,'GL Dump'!$D:$D,Master!S$1,'GL Dump'!$C:$C,Master!$G$1))</f>
        <v>0</v>
      </c>
    </row>
    <row r="137" spans="1:20" s="29" customFormat="1" x14ac:dyDescent="0.25">
      <c r="A137" s="451" t="s">
        <v>1285</v>
      </c>
      <c r="B137" s="467" t="s">
        <v>884</v>
      </c>
      <c r="C137" s="460">
        <v>8</v>
      </c>
      <c r="D137" s="475">
        <v>187.32</v>
      </c>
      <c r="E137" s="440">
        <f>D137*C137+G137</f>
        <v>1498.56</v>
      </c>
      <c r="F137" s="448" t="s">
        <v>1093</v>
      </c>
      <c r="G137" s="408">
        <f>IFERROR(VLOOKUP(A137,'Promo %'!B:P,3,0),0)</f>
        <v>0</v>
      </c>
      <c r="H137" s="421">
        <f>E137+SUMIFS('GL Dump'!$E:$E,'GL Dump'!$H:$H,Master!A137,'GL Dump'!$D:$D,Master!$I$1)</f>
        <v>1498.56</v>
      </c>
      <c r="I137" s="422">
        <f>IF($G$1="ALL",SUMIFS('GL Dump'!$E:$E,'GL Dump'!$H:$H,Master!$A137,'GL Dump'!$D:$D,Master!I$1),SUMIFS('GL Dump'!$E:$E,'GL Dump'!$H:$H,Master!$A137,'GL Dump'!$D:$D,Master!I$1,'GL Dump'!$C:$C,Master!$G$1))</f>
        <v>0</v>
      </c>
      <c r="J137" s="422">
        <f>IF($G$1="ALL",SUMIFS('GL Dump'!$E:$E,'GL Dump'!$H:$H,Master!$A137,'GL Dump'!$D:$D,Master!J$1),SUMIFS('GL Dump'!$E:$E,'GL Dump'!$H:$H,Master!$A137,'GL Dump'!$D:$D,Master!J$1,'GL Dump'!$C:$C,Master!$G$1))</f>
        <v>0</v>
      </c>
      <c r="K137" s="422">
        <f>IF($G$1="ALL",SUMIFS('GL Dump'!$E:$E,'GL Dump'!$H:$H,Master!$A137,'GL Dump'!$D:$D,Master!K$1),SUMIFS('GL Dump'!$E:$E,'GL Dump'!$H:$H,Master!$A137,'GL Dump'!$D:$D,Master!K$1,'GL Dump'!$C:$C,Master!$G$1))</f>
        <v>0</v>
      </c>
      <c r="L137" s="422">
        <f>IF($G$1="ALL",SUMIFS('GL Dump'!$E:$E,'GL Dump'!$H:$H,Master!$A137,'GL Dump'!$D:$D,Master!L$1),SUMIFS('GL Dump'!$E:$E,'GL Dump'!$H:$H,Master!$A137,'GL Dump'!$D:$D,Master!L$1,'GL Dump'!$C:$C,Master!$G$1))</f>
        <v>0</v>
      </c>
      <c r="M137" s="422">
        <f>IF($G$1="ALL",SUMIFS('GL Dump'!$E:$E,'GL Dump'!$H:$H,Master!$A137,'GL Dump'!$D:$D,Master!M$1),SUMIFS('GL Dump'!$E:$E,'GL Dump'!$H:$H,Master!$A137,'GL Dump'!$D:$D,Master!M$1,'GL Dump'!$C:$C,Master!$G$1))</f>
        <v>0</v>
      </c>
      <c r="N137" s="422">
        <f>IF($G$1="ALL",SUMIFS('GL Dump'!$E:$E,'GL Dump'!$H:$H,Master!$A137,'GL Dump'!$D:$D,Master!N$1),SUMIFS('GL Dump'!$E:$E,'GL Dump'!$H:$H,Master!$A137,'GL Dump'!$D:$D,Master!N$1,'GL Dump'!$C:$C,Master!$G$1))</f>
        <v>0</v>
      </c>
      <c r="O137" s="422">
        <f>IF($G$1="ALL",SUMIFS('GL Dump'!$E:$E,'GL Dump'!$H:$H,Master!$A137,'GL Dump'!$D:$D,Master!O$1),SUMIFS('GL Dump'!$E:$E,'GL Dump'!$H:$H,Master!$A137,'GL Dump'!$D:$D,Master!O$1,'GL Dump'!$C:$C,Master!$G$1))</f>
        <v>0</v>
      </c>
      <c r="P137" s="422">
        <f>IF($G$1="ALL",SUMIFS('GL Dump'!$E:$E,'GL Dump'!$H:$H,Master!$A137,'GL Dump'!$D:$D,Master!P$1),SUMIFS('GL Dump'!$E:$E,'GL Dump'!$H:$H,Master!$A137,'GL Dump'!$D:$D,Master!P$1,'GL Dump'!$C:$C,Master!$G$1))</f>
        <v>0</v>
      </c>
      <c r="Q137" s="422">
        <f>IF($G$1="ALL",SUMIFS('GL Dump'!$E:$E,'GL Dump'!$H:$H,Master!$A137,'GL Dump'!$D:$D,Master!Q$1),SUMIFS('GL Dump'!$E:$E,'GL Dump'!$H:$H,Master!$A137,'GL Dump'!$D:$D,Master!Q$1,'GL Dump'!$C:$C,Master!$G$1))</f>
        <v>0</v>
      </c>
      <c r="R137" s="422">
        <f>IF($G$1="ALL",SUMIFS('GL Dump'!$E:$E,'GL Dump'!$H:$H,Master!$A137,'GL Dump'!$D:$D,Master!R$1),SUMIFS('GL Dump'!$E:$E,'GL Dump'!$H:$H,Master!$A137,'GL Dump'!$D:$D,Master!R$1,'GL Dump'!$C:$C,Master!$G$1))</f>
        <v>0</v>
      </c>
      <c r="S137" s="422">
        <f>IF($G$1="ALL",SUMIFS('GL Dump'!$E:$E,'GL Dump'!$H:$H,Master!$A137,'GL Dump'!$D:$D,Master!S$1),SUMIFS('GL Dump'!$E:$E,'GL Dump'!$H:$H,Master!$A137,'GL Dump'!$D:$D,Master!S$1,'GL Dump'!$C:$C,Master!$G$1))</f>
        <v>0</v>
      </c>
      <c r="T137" s="450"/>
    </row>
    <row r="138" spans="1:20" s="29" customFormat="1" x14ac:dyDescent="0.25">
      <c r="A138" s="149" t="s">
        <v>1286</v>
      </c>
      <c r="B138" s="268" t="s">
        <v>884</v>
      </c>
      <c r="C138" s="187">
        <v>8</v>
      </c>
      <c r="D138" s="35">
        <v>148.69999999999999</v>
      </c>
      <c r="E138" s="104">
        <f>D138*C138+G138</f>
        <v>1525.8440779999999</v>
      </c>
      <c r="F138" s="279" t="s">
        <v>1093</v>
      </c>
      <c r="G138" s="408">
        <f>IFERROR(VLOOKUP(A138,'Promo %'!B:P,3,0),0)</f>
        <v>336.24407799999994</v>
      </c>
      <c r="H138" s="397">
        <f>E138+SUMIFS('GL Dump'!$E:$E,'GL Dump'!$H:$H,Master!A138,'GL Dump'!$D:$D,Master!$I$1)</f>
        <v>1525.8440779999999</v>
      </c>
      <c r="I138" s="81">
        <f>IF($G$1="ALL",SUMIFS('GL Dump'!$E:$E,'GL Dump'!$H:$H,Master!$A138,'GL Dump'!$D:$D,Master!I$1),SUMIFS('GL Dump'!$E:$E,'GL Dump'!$H:$H,Master!$A138,'GL Dump'!$D:$D,Master!I$1,'GL Dump'!$C:$C,Master!$G$1))</f>
        <v>0</v>
      </c>
      <c r="J138" s="81">
        <f>IF($G$1="ALL",SUMIFS('GL Dump'!$E:$E,'GL Dump'!$H:$H,Master!$A138,'GL Dump'!$D:$D,Master!J$1),SUMIFS('GL Dump'!$E:$E,'GL Dump'!$H:$H,Master!$A138,'GL Dump'!$D:$D,Master!J$1,'GL Dump'!$C:$C,Master!$G$1))</f>
        <v>0</v>
      </c>
      <c r="K138" s="81">
        <f>IF($G$1="ALL",SUMIFS('GL Dump'!$E:$E,'GL Dump'!$H:$H,Master!$A138,'GL Dump'!$D:$D,Master!K$1),SUMIFS('GL Dump'!$E:$E,'GL Dump'!$H:$H,Master!$A138,'GL Dump'!$D:$D,Master!K$1,'GL Dump'!$C:$C,Master!$G$1))</f>
        <v>0</v>
      </c>
      <c r="L138" s="81">
        <f>IF($G$1="ALL",SUMIFS('GL Dump'!$E:$E,'GL Dump'!$H:$H,Master!$A138,'GL Dump'!$D:$D,Master!L$1),SUMIFS('GL Dump'!$E:$E,'GL Dump'!$H:$H,Master!$A138,'GL Dump'!$D:$D,Master!L$1,'GL Dump'!$C:$C,Master!$G$1))</f>
        <v>0</v>
      </c>
      <c r="M138" s="81">
        <f>IF($G$1="ALL",SUMIFS('GL Dump'!$E:$E,'GL Dump'!$H:$H,Master!$A138,'GL Dump'!$D:$D,Master!M$1),SUMIFS('GL Dump'!$E:$E,'GL Dump'!$H:$H,Master!$A138,'GL Dump'!$D:$D,Master!M$1,'GL Dump'!$C:$C,Master!$G$1))</f>
        <v>0</v>
      </c>
      <c r="N138" s="81">
        <f>IF($G$1="ALL",SUMIFS('GL Dump'!$E:$E,'GL Dump'!$H:$H,Master!$A138,'GL Dump'!$D:$D,Master!N$1),SUMIFS('GL Dump'!$E:$E,'GL Dump'!$H:$H,Master!$A138,'GL Dump'!$D:$D,Master!N$1,'GL Dump'!$C:$C,Master!$G$1))</f>
        <v>0</v>
      </c>
      <c r="O138" s="81">
        <f>IF($G$1="ALL",SUMIFS('GL Dump'!$E:$E,'GL Dump'!$H:$H,Master!$A138,'GL Dump'!$D:$D,Master!O$1),SUMIFS('GL Dump'!$E:$E,'GL Dump'!$H:$H,Master!$A138,'GL Dump'!$D:$D,Master!O$1,'GL Dump'!$C:$C,Master!$G$1))</f>
        <v>0</v>
      </c>
      <c r="P138" s="81">
        <f>IF($G$1="ALL",SUMIFS('GL Dump'!$E:$E,'GL Dump'!$H:$H,Master!$A138,'GL Dump'!$D:$D,Master!P$1),SUMIFS('GL Dump'!$E:$E,'GL Dump'!$H:$H,Master!$A138,'GL Dump'!$D:$D,Master!P$1,'GL Dump'!$C:$C,Master!$G$1))</f>
        <v>0</v>
      </c>
      <c r="Q138" s="81">
        <f>IF($G$1="ALL",SUMIFS('GL Dump'!$E:$E,'GL Dump'!$H:$H,Master!$A138,'GL Dump'!$D:$D,Master!Q$1),SUMIFS('GL Dump'!$E:$E,'GL Dump'!$H:$H,Master!$A138,'GL Dump'!$D:$D,Master!Q$1,'GL Dump'!$C:$C,Master!$G$1))</f>
        <v>0</v>
      </c>
      <c r="R138" s="81">
        <f>IF($G$1="ALL",SUMIFS('GL Dump'!$E:$E,'GL Dump'!$H:$H,Master!$A138,'GL Dump'!$D:$D,Master!R$1),SUMIFS('GL Dump'!$E:$E,'GL Dump'!$H:$H,Master!$A138,'GL Dump'!$D:$D,Master!R$1,'GL Dump'!$C:$C,Master!$G$1))</f>
        <v>0</v>
      </c>
      <c r="S138" s="81">
        <f>IF($G$1="ALL",SUMIFS('GL Dump'!$E:$E,'GL Dump'!$H:$H,Master!$A138,'GL Dump'!$D:$D,Master!S$1),SUMIFS('GL Dump'!$E:$E,'GL Dump'!$H:$H,Master!$A138,'GL Dump'!$D:$D,Master!S$1,'GL Dump'!$C:$C,Master!$G$1))</f>
        <v>0</v>
      </c>
    </row>
    <row r="139" spans="1:20" s="29" customFormat="1" x14ac:dyDescent="0.25">
      <c r="A139" s="389" t="s">
        <v>1287</v>
      </c>
      <c r="B139" s="281" t="s">
        <v>861</v>
      </c>
      <c r="C139" s="248">
        <v>37</v>
      </c>
      <c r="D139" s="249">
        <v>2322.92</v>
      </c>
      <c r="E139" s="208">
        <f>D139*C139</f>
        <v>85948.040000000008</v>
      </c>
      <c r="F139" s="387" t="s">
        <v>888</v>
      </c>
      <c r="G139" s="408"/>
      <c r="H139" s="397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</row>
    <row r="140" spans="1:20" s="29" customFormat="1" x14ac:dyDescent="0.25">
      <c r="A140" s="154" t="s">
        <v>1287</v>
      </c>
      <c r="B140" s="268" t="s">
        <v>884</v>
      </c>
      <c r="C140" s="185">
        <v>1</v>
      </c>
      <c r="D140" s="82">
        <v>0</v>
      </c>
      <c r="E140" s="104">
        <f>G140</f>
        <v>557.44293700000003</v>
      </c>
      <c r="F140" s="261" t="s">
        <v>1094</v>
      </c>
      <c r="G140" s="408">
        <f>IFERROR(VLOOKUP(A140,'Promo %'!B:P,3,0),0)</f>
        <v>557.44293700000003</v>
      </c>
      <c r="H140" s="397">
        <f>E140+E139+SUMIFS('GL Dump'!$E:$E,'GL Dump'!$H:$H,Master!A140,'GL Dump'!$D:$D,Master!$I$1)</f>
        <v>86505.482937000008</v>
      </c>
      <c r="I140" s="81">
        <f>IF($G$1="ALL",SUMIFS('GL Dump'!$E:$E,'GL Dump'!$H:$H,Master!$A140,'GL Dump'!$D:$D,Master!I$1),SUMIFS('GL Dump'!$E:$E,'GL Dump'!$H:$H,Master!$A140,'GL Dump'!$D:$D,Master!I$1,'GL Dump'!$C:$C,Master!$G$1))</f>
        <v>0</v>
      </c>
      <c r="J140" s="81">
        <f>IF($G$1="ALL",SUMIFS('GL Dump'!$E:$E,'GL Dump'!$H:$H,Master!$A140,'GL Dump'!$D:$D,Master!J$1),SUMIFS('GL Dump'!$E:$E,'GL Dump'!$H:$H,Master!$A140,'GL Dump'!$D:$D,Master!J$1,'GL Dump'!$C:$C,Master!$G$1))</f>
        <v>0</v>
      </c>
      <c r="K140" s="81">
        <f>IF($G$1="ALL",SUMIFS('GL Dump'!$E:$E,'GL Dump'!$H:$H,Master!$A140,'GL Dump'!$D:$D,Master!K$1),SUMIFS('GL Dump'!$E:$E,'GL Dump'!$H:$H,Master!$A140,'GL Dump'!$D:$D,Master!K$1,'GL Dump'!$C:$C,Master!$G$1))</f>
        <v>0</v>
      </c>
      <c r="L140" s="81">
        <f>IF($G$1="ALL",SUMIFS('GL Dump'!$E:$E,'GL Dump'!$H:$H,Master!$A140,'GL Dump'!$D:$D,Master!L$1),SUMIFS('GL Dump'!$E:$E,'GL Dump'!$H:$H,Master!$A140,'GL Dump'!$D:$D,Master!L$1,'GL Dump'!$C:$C,Master!$G$1))</f>
        <v>0</v>
      </c>
      <c r="M140" s="81">
        <f>IF($G$1="ALL",SUMIFS('GL Dump'!$E:$E,'GL Dump'!$H:$H,Master!$A140,'GL Dump'!$D:$D,Master!M$1),SUMIFS('GL Dump'!$E:$E,'GL Dump'!$H:$H,Master!$A140,'GL Dump'!$D:$D,Master!M$1,'GL Dump'!$C:$C,Master!$G$1))</f>
        <v>0</v>
      </c>
      <c r="N140" s="81">
        <f>IF($G$1="ALL",SUMIFS('GL Dump'!$E:$E,'GL Dump'!$H:$H,Master!$A140,'GL Dump'!$D:$D,Master!N$1),SUMIFS('GL Dump'!$E:$E,'GL Dump'!$H:$H,Master!$A140,'GL Dump'!$D:$D,Master!N$1,'GL Dump'!$C:$C,Master!$G$1))</f>
        <v>0</v>
      </c>
      <c r="O140" s="81">
        <f>IF($G$1="ALL",SUMIFS('GL Dump'!$E:$E,'GL Dump'!$H:$H,Master!$A140,'GL Dump'!$D:$D,Master!O$1),SUMIFS('GL Dump'!$E:$E,'GL Dump'!$H:$H,Master!$A140,'GL Dump'!$D:$D,Master!O$1,'GL Dump'!$C:$C,Master!$G$1))</f>
        <v>0</v>
      </c>
      <c r="P140" s="81">
        <f>IF($G$1="ALL",SUMIFS('GL Dump'!$E:$E,'GL Dump'!$H:$H,Master!$A140,'GL Dump'!$D:$D,Master!P$1),SUMIFS('GL Dump'!$E:$E,'GL Dump'!$H:$H,Master!$A140,'GL Dump'!$D:$D,Master!P$1,'GL Dump'!$C:$C,Master!$G$1))</f>
        <v>0</v>
      </c>
      <c r="Q140" s="81">
        <f>IF($G$1="ALL",SUMIFS('GL Dump'!$E:$E,'GL Dump'!$H:$H,Master!$A140,'GL Dump'!$D:$D,Master!Q$1),SUMIFS('GL Dump'!$E:$E,'GL Dump'!$H:$H,Master!$A140,'GL Dump'!$D:$D,Master!Q$1,'GL Dump'!$C:$C,Master!$G$1))</f>
        <v>0</v>
      </c>
      <c r="R140" s="81">
        <f>IF($G$1="ALL",SUMIFS('GL Dump'!$E:$E,'GL Dump'!$H:$H,Master!$A140,'GL Dump'!$D:$D,Master!R$1),SUMIFS('GL Dump'!$E:$E,'GL Dump'!$H:$H,Master!$A140,'GL Dump'!$D:$D,Master!R$1,'GL Dump'!$C:$C,Master!$G$1))</f>
        <v>0</v>
      </c>
      <c r="S140" s="81">
        <f>IF($G$1="ALL",SUMIFS('GL Dump'!$E:$E,'GL Dump'!$H:$H,Master!$A140,'GL Dump'!$D:$D,Master!S$1),SUMIFS('GL Dump'!$E:$E,'GL Dump'!$H:$H,Master!$A140,'GL Dump'!$D:$D,Master!S$1,'GL Dump'!$C:$C,Master!$G$1))</f>
        <v>0</v>
      </c>
    </row>
    <row r="141" spans="1:20" s="29" customFormat="1" x14ac:dyDescent="0.25">
      <c r="A141" s="476" t="s">
        <v>1290</v>
      </c>
      <c r="B141" s="454" t="s">
        <v>884</v>
      </c>
      <c r="C141" s="452">
        <v>8</v>
      </c>
      <c r="D141" s="464">
        <v>135</v>
      </c>
      <c r="E141" s="440">
        <f>D141*C141+G141</f>
        <v>1080</v>
      </c>
      <c r="F141" s="448" t="s">
        <v>897</v>
      </c>
      <c r="G141" s="408">
        <f>IFERROR(VLOOKUP(A141,'Promo %'!B:P,3,0),0)</f>
        <v>0</v>
      </c>
      <c r="H141" s="421">
        <f>E141+SUMIFS('GL Dump'!$E:$E,'GL Dump'!$H:$H,Master!A141,'GL Dump'!$D:$D,Master!$I$1)</f>
        <v>1080</v>
      </c>
      <c r="I141" s="422">
        <f>IF($G$1="ALL",SUMIFS('GL Dump'!$E:$E,'GL Dump'!$H:$H,Master!$A141,'GL Dump'!$D:$D,Master!I$1),SUMIFS('GL Dump'!$E:$E,'GL Dump'!$H:$H,Master!$A141,'GL Dump'!$D:$D,Master!I$1,'GL Dump'!$C:$C,Master!$G$1))</f>
        <v>0</v>
      </c>
      <c r="J141" s="422">
        <f>IF($G$1="ALL",SUMIFS('GL Dump'!$E:$E,'GL Dump'!$H:$H,Master!$A141,'GL Dump'!$D:$D,Master!J$1),SUMIFS('GL Dump'!$E:$E,'GL Dump'!$H:$H,Master!$A141,'GL Dump'!$D:$D,Master!J$1,'GL Dump'!$C:$C,Master!$G$1))</f>
        <v>0</v>
      </c>
      <c r="K141" s="422">
        <f>IF($G$1="ALL",SUMIFS('GL Dump'!$E:$E,'GL Dump'!$H:$H,Master!$A141,'GL Dump'!$D:$D,Master!K$1),SUMIFS('GL Dump'!$E:$E,'GL Dump'!$H:$H,Master!$A141,'GL Dump'!$D:$D,Master!K$1,'GL Dump'!$C:$C,Master!$G$1))</f>
        <v>0</v>
      </c>
      <c r="L141" s="422">
        <f>IF($G$1="ALL",SUMIFS('GL Dump'!$E:$E,'GL Dump'!$H:$H,Master!$A141,'GL Dump'!$D:$D,Master!L$1),SUMIFS('GL Dump'!$E:$E,'GL Dump'!$H:$H,Master!$A141,'GL Dump'!$D:$D,Master!L$1,'GL Dump'!$C:$C,Master!$G$1))</f>
        <v>0</v>
      </c>
      <c r="M141" s="422">
        <f>IF($G$1="ALL",SUMIFS('GL Dump'!$E:$E,'GL Dump'!$H:$H,Master!$A141,'GL Dump'!$D:$D,Master!M$1),SUMIFS('GL Dump'!$E:$E,'GL Dump'!$H:$H,Master!$A141,'GL Dump'!$D:$D,Master!M$1,'GL Dump'!$C:$C,Master!$G$1))</f>
        <v>0</v>
      </c>
      <c r="N141" s="422">
        <f>IF($G$1="ALL",SUMIFS('GL Dump'!$E:$E,'GL Dump'!$H:$H,Master!$A141,'GL Dump'!$D:$D,Master!N$1),SUMIFS('GL Dump'!$E:$E,'GL Dump'!$H:$H,Master!$A141,'GL Dump'!$D:$D,Master!N$1,'GL Dump'!$C:$C,Master!$G$1))</f>
        <v>0</v>
      </c>
      <c r="O141" s="422">
        <f>IF($G$1="ALL",SUMIFS('GL Dump'!$E:$E,'GL Dump'!$H:$H,Master!$A141,'GL Dump'!$D:$D,Master!O$1),SUMIFS('GL Dump'!$E:$E,'GL Dump'!$H:$H,Master!$A141,'GL Dump'!$D:$D,Master!O$1,'GL Dump'!$C:$C,Master!$G$1))</f>
        <v>0</v>
      </c>
      <c r="P141" s="422">
        <f>IF($G$1="ALL",SUMIFS('GL Dump'!$E:$E,'GL Dump'!$H:$H,Master!$A141,'GL Dump'!$D:$D,Master!P$1),SUMIFS('GL Dump'!$E:$E,'GL Dump'!$H:$H,Master!$A141,'GL Dump'!$D:$D,Master!P$1,'GL Dump'!$C:$C,Master!$G$1))</f>
        <v>0</v>
      </c>
      <c r="Q141" s="422">
        <f>IF($G$1="ALL",SUMIFS('GL Dump'!$E:$E,'GL Dump'!$H:$H,Master!$A141,'GL Dump'!$D:$D,Master!Q$1),SUMIFS('GL Dump'!$E:$E,'GL Dump'!$H:$H,Master!$A141,'GL Dump'!$D:$D,Master!Q$1,'GL Dump'!$C:$C,Master!$G$1))</f>
        <v>0</v>
      </c>
      <c r="R141" s="422">
        <f>IF($G$1="ALL",SUMIFS('GL Dump'!$E:$E,'GL Dump'!$H:$H,Master!$A141,'GL Dump'!$D:$D,Master!R$1),SUMIFS('GL Dump'!$E:$E,'GL Dump'!$H:$H,Master!$A141,'GL Dump'!$D:$D,Master!R$1,'GL Dump'!$C:$C,Master!$G$1))</f>
        <v>0</v>
      </c>
      <c r="S141" s="422">
        <f>IF($G$1="ALL",SUMIFS('GL Dump'!$E:$E,'GL Dump'!$H:$H,Master!$A141,'GL Dump'!$D:$D,Master!S$1),SUMIFS('GL Dump'!$E:$E,'GL Dump'!$H:$H,Master!$A141,'GL Dump'!$D:$D,Master!S$1,'GL Dump'!$C:$C,Master!$G$1))</f>
        <v>0</v>
      </c>
      <c r="T141" s="450"/>
    </row>
    <row r="142" spans="1:20" s="29" customFormat="1" x14ac:dyDescent="0.25">
      <c r="A142" s="152" t="s">
        <v>1293</v>
      </c>
      <c r="B142" s="267" t="s">
        <v>910</v>
      </c>
      <c r="C142" s="184">
        <v>1</v>
      </c>
      <c r="D142" s="113">
        <v>330</v>
      </c>
      <c r="E142" s="104">
        <f>D142*C142</f>
        <v>330</v>
      </c>
      <c r="F142" s="279"/>
      <c r="G142" s="408">
        <f>IFERROR(VLOOKUP(A142,'Promo %'!B:P,3,0),0)</f>
        <v>0</v>
      </c>
      <c r="H142" s="397">
        <f>E142+SUMIFS('GL Dump'!$E:$E,'GL Dump'!$H:$H,Master!A142,'GL Dump'!$D:$D,Master!$I$1)</f>
        <v>330</v>
      </c>
      <c r="I142" s="81">
        <f>IF($G$1="ALL",SUMIFS('GL Dump'!$E:$E,'GL Dump'!$H:$H,Master!$A142,'GL Dump'!$D:$D,Master!I$1),SUMIFS('GL Dump'!$E:$E,'GL Dump'!$H:$H,Master!$A142,'GL Dump'!$D:$D,Master!I$1,'GL Dump'!$C:$C,Master!$G$1))</f>
        <v>0</v>
      </c>
      <c r="J142" s="81">
        <f>IF($G$1="ALL",SUMIFS('GL Dump'!$E:$E,'GL Dump'!$H:$H,Master!$A142,'GL Dump'!$D:$D,Master!J$1),SUMIFS('GL Dump'!$E:$E,'GL Dump'!$H:$H,Master!$A142,'GL Dump'!$D:$D,Master!J$1,'GL Dump'!$C:$C,Master!$G$1))</f>
        <v>314.60000000000002</v>
      </c>
      <c r="K142" s="81">
        <f>IF($G$1="ALL",SUMIFS('GL Dump'!$E:$E,'GL Dump'!$H:$H,Master!$A142,'GL Dump'!$D:$D,Master!K$1),SUMIFS('GL Dump'!$E:$E,'GL Dump'!$H:$H,Master!$A142,'GL Dump'!$D:$D,Master!K$1,'GL Dump'!$C:$C,Master!$G$1))</f>
        <v>314.60000000000002</v>
      </c>
      <c r="L142" s="81">
        <f>IF($G$1="ALL",SUMIFS('GL Dump'!$E:$E,'GL Dump'!$H:$H,Master!$A142,'GL Dump'!$D:$D,Master!L$1),SUMIFS('GL Dump'!$E:$E,'GL Dump'!$H:$H,Master!$A142,'GL Dump'!$D:$D,Master!L$1,'GL Dump'!$C:$C,Master!$G$1))</f>
        <v>314.60000000000002</v>
      </c>
      <c r="M142" s="81">
        <f>IF($G$1="ALL",SUMIFS('GL Dump'!$E:$E,'GL Dump'!$H:$H,Master!$A142,'GL Dump'!$D:$D,Master!M$1),SUMIFS('GL Dump'!$E:$E,'GL Dump'!$H:$H,Master!$A142,'GL Dump'!$D:$D,Master!M$1,'GL Dump'!$C:$C,Master!$G$1))</f>
        <v>314.60000000000002</v>
      </c>
      <c r="N142" s="81">
        <f>IF($G$1="ALL",SUMIFS('GL Dump'!$E:$E,'GL Dump'!$H:$H,Master!$A142,'GL Dump'!$D:$D,Master!N$1),SUMIFS('GL Dump'!$E:$E,'GL Dump'!$H:$H,Master!$A142,'GL Dump'!$D:$D,Master!N$1,'GL Dump'!$C:$C,Master!$G$1))</f>
        <v>314.60000000000002</v>
      </c>
      <c r="O142" s="81">
        <f>IF($G$1="ALL",SUMIFS('GL Dump'!$E:$E,'GL Dump'!$H:$H,Master!$A142,'GL Dump'!$D:$D,Master!O$1),SUMIFS('GL Dump'!$E:$E,'GL Dump'!$H:$H,Master!$A142,'GL Dump'!$D:$D,Master!O$1,'GL Dump'!$C:$C,Master!$G$1))</f>
        <v>314.60000000000002</v>
      </c>
      <c r="P142" s="81">
        <f>IF($G$1="ALL",SUMIFS('GL Dump'!$E:$E,'GL Dump'!$H:$H,Master!$A142,'GL Dump'!$D:$D,Master!P$1),SUMIFS('GL Dump'!$E:$E,'GL Dump'!$H:$H,Master!$A142,'GL Dump'!$D:$D,Master!P$1,'GL Dump'!$C:$C,Master!$G$1))</f>
        <v>314.60000000000002</v>
      </c>
      <c r="Q142" s="81">
        <f>IF($G$1="ALL",SUMIFS('GL Dump'!$E:$E,'GL Dump'!$H:$H,Master!$A142,'GL Dump'!$D:$D,Master!Q$1),SUMIFS('GL Dump'!$E:$E,'GL Dump'!$H:$H,Master!$A142,'GL Dump'!$D:$D,Master!Q$1,'GL Dump'!$C:$C,Master!$G$1))</f>
        <v>314.60000000000002</v>
      </c>
      <c r="R142" s="81">
        <f>IF($G$1="ALL",SUMIFS('GL Dump'!$E:$E,'GL Dump'!$H:$H,Master!$A142,'GL Dump'!$D:$D,Master!R$1),SUMIFS('GL Dump'!$E:$E,'GL Dump'!$H:$H,Master!$A142,'GL Dump'!$D:$D,Master!R$1,'GL Dump'!$C:$C,Master!$G$1))</f>
        <v>314.60000000000002</v>
      </c>
      <c r="S142" s="81">
        <f>IF($G$1="ALL",SUMIFS('GL Dump'!$E:$E,'GL Dump'!$H:$H,Master!$A142,'GL Dump'!$D:$D,Master!S$1),SUMIFS('GL Dump'!$E:$E,'GL Dump'!$H:$H,Master!$A142,'GL Dump'!$D:$D,Master!S$1,'GL Dump'!$C:$C,Master!$G$1))</f>
        <v>302.5</v>
      </c>
    </row>
    <row r="143" spans="1:20" s="29" customFormat="1" x14ac:dyDescent="0.25">
      <c r="A143" s="476" t="s">
        <v>3068</v>
      </c>
      <c r="B143" s="454" t="s">
        <v>898</v>
      </c>
      <c r="C143" s="452">
        <v>0</v>
      </c>
      <c r="D143" s="464">
        <v>697.73</v>
      </c>
      <c r="E143" s="440">
        <f>D143*C143+G143</f>
        <v>0</v>
      </c>
      <c r="F143" s="477"/>
      <c r="G143" s="408">
        <f>IFERROR(VLOOKUP(A143,'Promo %'!B:P,3,0),0)</f>
        <v>0</v>
      </c>
      <c r="H143" s="421">
        <f>E143+SUMIFS('GL Dump'!$E:$E,'GL Dump'!$H:$H,Master!A143,'GL Dump'!$D:$D,Master!$I$1)</f>
        <v>0</v>
      </c>
      <c r="I143" s="422">
        <f>IF($G$1="ALL",SUMIFS('GL Dump'!$E:$E,'GL Dump'!$H:$H,Master!$A143,'GL Dump'!$D:$D,Master!I$1),SUMIFS('GL Dump'!$E:$E,'GL Dump'!$H:$H,Master!$A143,'GL Dump'!$D:$D,Master!I$1,'GL Dump'!$C:$C,Master!$G$1))</f>
        <v>0</v>
      </c>
      <c r="J143" s="422">
        <f>IF($G$1="ALL",SUMIFS('GL Dump'!$E:$E,'GL Dump'!$H:$H,Master!$A143,'GL Dump'!$D:$D,Master!J$1),SUMIFS('GL Dump'!$E:$E,'GL Dump'!$H:$H,Master!$A143,'GL Dump'!$D:$D,Master!J$1,'GL Dump'!$C:$C,Master!$G$1))</f>
        <v>0</v>
      </c>
      <c r="K143" s="422">
        <f>IF($G$1="ALL",SUMIFS('GL Dump'!$E:$E,'GL Dump'!$H:$H,Master!$A143,'GL Dump'!$D:$D,Master!K$1),SUMIFS('GL Dump'!$E:$E,'GL Dump'!$H:$H,Master!$A143,'GL Dump'!$D:$D,Master!K$1,'GL Dump'!$C:$C,Master!$G$1))</f>
        <v>0</v>
      </c>
      <c r="L143" s="422">
        <f>IF($G$1="ALL",SUMIFS('GL Dump'!$E:$E,'GL Dump'!$H:$H,Master!$A143,'GL Dump'!$D:$D,Master!L$1),SUMIFS('GL Dump'!$E:$E,'GL Dump'!$H:$H,Master!$A143,'GL Dump'!$D:$D,Master!L$1,'GL Dump'!$C:$C,Master!$G$1))</f>
        <v>0</v>
      </c>
      <c r="M143" s="422">
        <f>IF($G$1="ALL",SUMIFS('GL Dump'!$E:$E,'GL Dump'!$H:$H,Master!$A143,'GL Dump'!$D:$D,Master!M$1),SUMIFS('GL Dump'!$E:$E,'GL Dump'!$H:$H,Master!$A143,'GL Dump'!$D:$D,Master!M$1,'GL Dump'!$C:$C,Master!$G$1))</f>
        <v>0</v>
      </c>
      <c r="N143" s="422">
        <f>IF($G$1="ALL",SUMIFS('GL Dump'!$E:$E,'GL Dump'!$H:$H,Master!$A143,'GL Dump'!$D:$D,Master!N$1),SUMIFS('GL Dump'!$E:$E,'GL Dump'!$H:$H,Master!$A143,'GL Dump'!$D:$D,Master!N$1,'GL Dump'!$C:$C,Master!$G$1))</f>
        <v>0</v>
      </c>
      <c r="O143" s="422">
        <f>IF($G$1="ALL",SUMIFS('GL Dump'!$E:$E,'GL Dump'!$H:$H,Master!$A143,'GL Dump'!$D:$D,Master!O$1),SUMIFS('GL Dump'!$E:$E,'GL Dump'!$H:$H,Master!$A143,'GL Dump'!$D:$D,Master!O$1,'GL Dump'!$C:$C,Master!$G$1))</f>
        <v>0</v>
      </c>
      <c r="P143" s="422">
        <f>IF($G$1="ALL",SUMIFS('GL Dump'!$E:$E,'GL Dump'!$H:$H,Master!$A143,'GL Dump'!$D:$D,Master!P$1),SUMIFS('GL Dump'!$E:$E,'GL Dump'!$H:$H,Master!$A143,'GL Dump'!$D:$D,Master!P$1,'GL Dump'!$C:$C,Master!$G$1))</f>
        <v>0</v>
      </c>
      <c r="Q143" s="422">
        <f>IF($G$1="ALL",SUMIFS('GL Dump'!$E:$E,'GL Dump'!$H:$H,Master!$A143,'GL Dump'!$D:$D,Master!Q$1),SUMIFS('GL Dump'!$E:$E,'GL Dump'!$H:$H,Master!$A143,'GL Dump'!$D:$D,Master!Q$1,'GL Dump'!$C:$C,Master!$G$1))</f>
        <v>0</v>
      </c>
      <c r="R143" s="422">
        <f>IF($G$1="ALL",SUMIFS('GL Dump'!$E:$E,'GL Dump'!$H:$H,Master!$A143,'GL Dump'!$D:$D,Master!R$1),SUMIFS('GL Dump'!$E:$E,'GL Dump'!$H:$H,Master!$A143,'GL Dump'!$D:$D,Master!R$1,'GL Dump'!$C:$C,Master!$G$1))</f>
        <v>0</v>
      </c>
      <c r="S143" s="422">
        <f>IF($G$1="ALL",SUMIFS('GL Dump'!$E:$E,'GL Dump'!$H:$H,Master!$A143,'GL Dump'!$D:$D,Master!S$1),SUMIFS('GL Dump'!$E:$E,'GL Dump'!$H:$H,Master!$A143,'GL Dump'!$D:$D,Master!S$1,'GL Dump'!$C:$C,Master!$G$1))</f>
        <v>0</v>
      </c>
      <c r="T143" s="450"/>
    </row>
    <row r="144" spans="1:20" s="29" customFormat="1" x14ac:dyDescent="0.25">
      <c r="A144" s="152" t="s">
        <v>3069</v>
      </c>
      <c r="B144" s="267" t="s">
        <v>898</v>
      </c>
      <c r="C144" s="184">
        <v>0</v>
      </c>
      <c r="D144" s="113">
        <v>531.25</v>
      </c>
      <c r="E144" s="104">
        <f>D144*C144+G144</f>
        <v>0</v>
      </c>
      <c r="F144" s="289"/>
      <c r="G144" s="408">
        <f>IFERROR(VLOOKUP(A144,'Promo %'!B:P,3,0),0)</f>
        <v>0</v>
      </c>
      <c r="H144" s="397">
        <f>E144+SUMIFS('GL Dump'!$E:$E,'GL Dump'!$H:$H,Master!A144,'GL Dump'!$D:$D,Master!$I$1)</f>
        <v>0</v>
      </c>
      <c r="I144" s="81">
        <f>IF($G$1="ALL",SUMIFS('GL Dump'!$E:$E,'GL Dump'!$H:$H,Master!$A144,'GL Dump'!$D:$D,Master!I$1),SUMIFS('GL Dump'!$E:$E,'GL Dump'!$H:$H,Master!$A144,'GL Dump'!$D:$D,Master!I$1,'GL Dump'!$C:$C,Master!$G$1))</f>
        <v>0</v>
      </c>
      <c r="J144" s="81">
        <f>IF($G$1="ALL",SUMIFS('GL Dump'!$E:$E,'GL Dump'!$H:$H,Master!$A144,'GL Dump'!$D:$D,Master!J$1),SUMIFS('GL Dump'!$E:$E,'GL Dump'!$H:$H,Master!$A144,'GL Dump'!$D:$D,Master!J$1,'GL Dump'!$C:$C,Master!$G$1))</f>
        <v>0</v>
      </c>
      <c r="K144" s="81">
        <f>IF($G$1="ALL",SUMIFS('GL Dump'!$E:$E,'GL Dump'!$H:$H,Master!$A144,'GL Dump'!$D:$D,Master!K$1),SUMIFS('GL Dump'!$E:$E,'GL Dump'!$H:$H,Master!$A144,'GL Dump'!$D:$D,Master!K$1,'GL Dump'!$C:$C,Master!$G$1))</f>
        <v>0</v>
      </c>
      <c r="L144" s="81">
        <f>IF($G$1="ALL",SUMIFS('GL Dump'!$E:$E,'GL Dump'!$H:$H,Master!$A144,'GL Dump'!$D:$D,Master!L$1),SUMIFS('GL Dump'!$E:$E,'GL Dump'!$H:$H,Master!$A144,'GL Dump'!$D:$D,Master!L$1,'GL Dump'!$C:$C,Master!$G$1))</f>
        <v>0</v>
      </c>
      <c r="M144" s="81">
        <f>IF($G$1="ALL",SUMIFS('GL Dump'!$E:$E,'GL Dump'!$H:$H,Master!$A144,'GL Dump'!$D:$D,Master!M$1),SUMIFS('GL Dump'!$E:$E,'GL Dump'!$H:$H,Master!$A144,'GL Dump'!$D:$D,Master!M$1,'GL Dump'!$C:$C,Master!$G$1))</f>
        <v>0</v>
      </c>
      <c r="N144" s="81">
        <f>IF($G$1="ALL",SUMIFS('GL Dump'!$E:$E,'GL Dump'!$H:$H,Master!$A144,'GL Dump'!$D:$D,Master!N$1),SUMIFS('GL Dump'!$E:$E,'GL Dump'!$H:$H,Master!$A144,'GL Dump'!$D:$D,Master!N$1,'GL Dump'!$C:$C,Master!$G$1))</f>
        <v>0</v>
      </c>
      <c r="O144" s="81">
        <f>IF($G$1="ALL",SUMIFS('GL Dump'!$E:$E,'GL Dump'!$H:$H,Master!$A144,'GL Dump'!$D:$D,Master!O$1),SUMIFS('GL Dump'!$E:$E,'GL Dump'!$H:$H,Master!$A144,'GL Dump'!$D:$D,Master!O$1,'GL Dump'!$C:$C,Master!$G$1))</f>
        <v>0</v>
      </c>
      <c r="P144" s="81">
        <f>IF($G$1="ALL",SUMIFS('GL Dump'!$E:$E,'GL Dump'!$H:$H,Master!$A144,'GL Dump'!$D:$D,Master!P$1),SUMIFS('GL Dump'!$E:$E,'GL Dump'!$H:$H,Master!$A144,'GL Dump'!$D:$D,Master!P$1,'GL Dump'!$C:$C,Master!$G$1))</f>
        <v>0</v>
      </c>
      <c r="Q144" s="81">
        <f>IF($G$1="ALL",SUMIFS('GL Dump'!$E:$E,'GL Dump'!$H:$H,Master!$A144,'GL Dump'!$D:$D,Master!Q$1),SUMIFS('GL Dump'!$E:$E,'GL Dump'!$H:$H,Master!$A144,'GL Dump'!$D:$D,Master!Q$1,'GL Dump'!$C:$C,Master!$G$1))</f>
        <v>0</v>
      </c>
      <c r="R144" s="81">
        <f>IF($G$1="ALL",SUMIFS('GL Dump'!$E:$E,'GL Dump'!$H:$H,Master!$A144,'GL Dump'!$D:$D,Master!R$1),SUMIFS('GL Dump'!$E:$E,'GL Dump'!$H:$H,Master!$A144,'GL Dump'!$D:$D,Master!R$1,'GL Dump'!$C:$C,Master!$G$1))</f>
        <v>0</v>
      </c>
      <c r="S144" s="81">
        <f>IF($G$1="ALL",SUMIFS('GL Dump'!$E:$E,'GL Dump'!$H:$H,Master!$A144,'GL Dump'!$D:$D,Master!S$1),SUMIFS('GL Dump'!$E:$E,'GL Dump'!$H:$H,Master!$A144,'GL Dump'!$D:$D,Master!S$1,'GL Dump'!$C:$C,Master!$G$1))</f>
        <v>0</v>
      </c>
    </row>
    <row r="145" spans="1:20" s="29" customFormat="1" x14ac:dyDescent="0.25">
      <c r="A145" s="476" t="s">
        <v>1312</v>
      </c>
      <c r="B145" s="454" t="s">
        <v>898</v>
      </c>
      <c r="C145" s="446">
        <v>1</v>
      </c>
      <c r="D145" s="447">
        <v>0</v>
      </c>
      <c r="E145" s="478">
        <f>D145*C145+G145</f>
        <v>2067.8515499999999</v>
      </c>
      <c r="F145" s="477" t="s">
        <v>950</v>
      </c>
      <c r="G145" s="408">
        <f>IFERROR(VLOOKUP(A145,'Promo %'!B:P,3,0),0)</f>
        <v>2067.8515499999999</v>
      </c>
      <c r="H145" s="421">
        <f>E145+SUMIFS('GL Dump'!$E:$E,'GL Dump'!$H:$H,Master!A145,'GL Dump'!$D:$D,Master!$I$1)</f>
        <v>2067.8515499999999</v>
      </c>
      <c r="I145" s="422">
        <f>IF($G$1="ALL",SUMIFS('GL Dump'!$E:$E,'GL Dump'!$H:$H,Master!$A145,'GL Dump'!$D:$D,Master!I$1),SUMIFS('GL Dump'!$E:$E,'GL Dump'!$H:$H,Master!$A145,'GL Dump'!$D:$D,Master!I$1,'GL Dump'!$C:$C,Master!$G$1))</f>
        <v>0</v>
      </c>
      <c r="J145" s="422">
        <f>IF($G$1="ALL",SUMIFS('GL Dump'!$E:$E,'GL Dump'!$H:$H,Master!$A145,'GL Dump'!$D:$D,Master!J$1),SUMIFS('GL Dump'!$E:$E,'GL Dump'!$H:$H,Master!$A145,'GL Dump'!$D:$D,Master!J$1,'GL Dump'!$C:$C,Master!$G$1))</f>
        <v>0</v>
      </c>
      <c r="K145" s="422">
        <f>IF($G$1="ALL",SUMIFS('GL Dump'!$E:$E,'GL Dump'!$H:$H,Master!$A145,'GL Dump'!$D:$D,Master!K$1),SUMIFS('GL Dump'!$E:$E,'GL Dump'!$H:$H,Master!$A145,'GL Dump'!$D:$D,Master!K$1,'GL Dump'!$C:$C,Master!$G$1))</f>
        <v>381.52</v>
      </c>
      <c r="L145" s="422">
        <f>IF($G$1="ALL",SUMIFS('GL Dump'!$E:$E,'GL Dump'!$H:$H,Master!$A145,'GL Dump'!$D:$D,Master!L$1),SUMIFS('GL Dump'!$E:$E,'GL Dump'!$H:$H,Master!$A145,'GL Dump'!$D:$D,Master!L$1,'GL Dump'!$C:$C,Master!$G$1))</f>
        <v>592.54999999999995</v>
      </c>
      <c r="M145" s="422">
        <f>IF($G$1="ALL",SUMIFS('GL Dump'!$E:$E,'GL Dump'!$H:$H,Master!$A145,'GL Dump'!$D:$D,Master!M$1),SUMIFS('GL Dump'!$E:$E,'GL Dump'!$H:$H,Master!$A145,'GL Dump'!$D:$D,Master!M$1,'GL Dump'!$C:$C,Master!$G$1))</f>
        <v>458.22</v>
      </c>
      <c r="N145" s="422">
        <f>IF($G$1="ALL",SUMIFS('GL Dump'!$E:$E,'GL Dump'!$H:$H,Master!$A145,'GL Dump'!$D:$D,Master!N$1),SUMIFS('GL Dump'!$E:$E,'GL Dump'!$H:$H,Master!$A145,'GL Dump'!$D:$D,Master!N$1,'GL Dump'!$C:$C,Master!$G$1))</f>
        <v>0</v>
      </c>
      <c r="O145" s="422">
        <f>IF($G$1="ALL",SUMIFS('GL Dump'!$E:$E,'GL Dump'!$H:$H,Master!$A145,'GL Dump'!$D:$D,Master!O$1),SUMIFS('GL Dump'!$E:$E,'GL Dump'!$H:$H,Master!$A145,'GL Dump'!$D:$D,Master!O$1,'GL Dump'!$C:$C,Master!$G$1))</f>
        <v>0</v>
      </c>
      <c r="P145" s="422">
        <f>IF($G$1="ALL",SUMIFS('GL Dump'!$E:$E,'GL Dump'!$H:$H,Master!$A145,'GL Dump'!$D:$D,Master!P$1),SUMIFS('GL Dump'!$E:$E,'GL Dump'!$H:$H,Master!$A145,'GL Dump'!$D:$D,Master!P$1,'GL Dump'!$C:$C,Master!$G$1))</f>
        <v>0</v>
      </c>
      <c r="Q145" s="422">
        <f>IF($G$1="ALL",SUMIFS('GL Dump'!$E:$E,'GL Dump'!$H:$H,Master!$A145,'GL Dump'!$D:$D,Master!Q$1),SUMIFS('GL Dump'!$E:$E,'GL Dump'!$H:$H,Master!$A145,'GL Dump'!$D:$D,Master!Q$1,'GL Dump'!$C:$C,Master!$G$1))</f>
        <v>0</v>
      </c>
      <c r="R145" s="422">
        <f>IF($G$1="ALL",SUMIFS('GL Dump'!$E:$E,'GL Dump'!$H:$H,Master!$A145,'GL Dump'!$D:$D,Master!R$1),SUMIFS('GL Dump'!$E:$E,'GL Dump'!$H:$H,Master!$A145,'GL Dump'!$D:$D,Master!R$1,'GL Dump'!$C:$C,Master!$G$1))</f>
        <v>0</v>
      </c>
      <c r="S145" s="422">
        <f>IF($G$1="ALL",SUMIFS('GL Dump'!$E:$E,'GL Dump'!$H:$H,Master!$A145,'GL Dump'!$D:$D,Master!S$1),SUMIFS('GL Dump'!$E:$E,'GL Dump'!$H:$H,Master!$A145,'GL Dump'!$D:$D,Master!S$1,'GL Dump'!$C:$C,Master!$G$1))</f>
        <v>0</v>
      </c>
      <c r="T145" s="450"/>
    </row>
    <row r="146" spans="1:20" s="29" customFormat="1" x14ac:dyDescent="0.25">
      <c r="A146" s="382" t="s">
        <v>1319</v>
      </c>
      <c r="B146" s="281" t="s">
        <v>892</v>
      </c>
      <c r="C146" s="248">
        <v>0</v>
      </c>
      <c r="D146" s="249">
        <v>2708</v>
      </c>
      <c r="E146" s="208">
        <f t="shared" ref="E146:E158" si="5">D146*C146</f>
        <v>0</v>
      </c>
      <c r="F146" s="383" t="s">
        <v>911</v>
      </c>
      <c r="G146" s="408"/>
      <c r="H146" s="397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</row>
    <row r="147" spans="1:20" s="29" customFormat="1" x14ac:dyDescent="0.25">
      <c r="A147" s="152" t="s">
        <v>1319</v>
      </c>
      <c r="B147" s="267" t="s">
        <v>893</v>
      </c>
      <c r="C147" s="185">
        <v>0</v>
      </c>
      <c r="D147" s="82">
        <v>3750</v>
      </c>
      <c r="E147" s="104">
        <f t="shared" ref="E147:E156" si="6">D147*C147+G147</f>
        <v>19062.495397000002</v>
      </c>
      <c r="F147" s="289" t="s">
        <v>928</v>
      </c>
      <c r="G147" s="408">
        <f>IFERROR(VLOOKUP(A147,'Promo %'!B:P,3,0),0)</f>
        <v>19062.495397000002</v>
      </c>
      <c r="H147" s="397">
        <f>E147+E146+SUMIFS('GL Dump'!$E:$E,'GL Dump'!$H:$H,Master!A147,'GL Dump'!$D:$D,Master!$I$1)</f>
        <v>19062.495397000002</v>
      </c>
      <c r="I147" s="81">
        <f>IF($G$1="ALL",SUMIFS('GL Dump'!$E:$E,'GL Dump'!$H:$H,Master!$A147,'GL Dump'!$D:$D,Master!I$1),SUMIFS('GL Dump'!$E:$E,'GL Dump'!$H:$H,Master!$A147,'GL Dump'!$D:$D,Master!I$1,'GL Dump'!$C:$C,Master!$G$1))</f>
        <v>0</v>
      </c>
      <c r="J147" s="81">
        <f>IF($G$1="ALL",SUMIFS('GL Dump'!$E:$E,'GL Dump'!$H:$H,Master!$A147,'GL Dump'!$D:$D,Master!J$1),SUMIFS('GL Dump'!$E:$E,'GL Dump'!$H:$H,Master!$A147,'GL Dump'!$D:$D,Master!J$1,'GL Dump'!$C:$C,Master!$G$1))</f>
        <v>0</v>
      </c>
      <c r="K147" s="81">
        <f>IF($G$1="ALL",SUMIFS('GL Dump'!$E:$E,'GL Dump'!$H:$H,Master!$A147,'GL Dump'!$D:$D,Master!K$1),SUMIFS('GL Dump'!$E:$E,'GL Dump'!$H:$H,Master!$A147,'GL Dump'!$D:$D,Master!K$1,'GL Dump'!$C:$C,Master!$G$1))</f>
        <v>0</v>
      </c>
      <c r="L147" s="81">
        <f>IF($G$1="ALL",SUMIFS('GL Dump'!$E:$E,'GL Dump'!$H:$H,Master!$A147,'GL Dump'!$D:$D,Master!L$1),SUMIFS('GL Dump'!$E:$E,'GL Dump'!$H:$H,Master!$A147,'GL Dump'!$D:$D,Master!L$1,'GL Dump'!$C:$C,Master!$G$1))</f>
        <v>0</v>
      </c>
      <c r="M147" s="81">
        <f>IF($G$1="ALL",SUMIFS('GL Dump'!$E:$E,'GL Dump'!$H:$H,Master!$A147,'GL Dump'!$D:$D,Master!M$1),SUMIFS('GL Dump'!$E:$E,'GL Dump'!$H:$H,Master!$A147,'GL Dump'!$D:$D,Master!M$1,'GL Dump'!$C:$C,Master!$G$1))</f>
        <v>0</v>
      </c>
      <c r="N147" s="81">
        <f>IF($G$1="ALL",SUMIFS('GL Dump'!$E:$E,'GL Dump'!$H:$H,Master!$A147,'GL Dump'!$D:$D,Master!N$1),SUMIFS('GL Dump'!$E:$E,'GL Dump'!$H:$H,Master!$A147,'GL Dump'!$D:$D,Master!N$1,'GL Dump'!$C:$C,Master!$G$1))</f>
        <v>0</v>
      </c>
      <c r="O147" s="81">
        <f>IF($G$1="ALL",SUMIFS('GL Dump'!$E:$E,'GL Dump'!$H:$H,Master!$A147,'GL Dump'!$D:$D,Master!O$1),SUMIFS('GL Dump'!$E:$E,'GL Dump'!$H:$H,Master!$A147,'GL Dump'!$D:$D,Master!O$1,'GL Dump'!$C:$C,Master!$G$1))</f>
        <v>0</v>
      </c>
      <c r="P147" s="81">
        <f>IF($G$1="ALL",SUMIFS('GL Dump'!$E:$E,'GL Dump'!$H:$H,Master!$A147,'GL Dump'!$D:$D,Master!P$1),SUMIFS('GL Dump'!$E:$E,'GL Dump'!$H:$H,Master!$A147,'GL Dump'!$D:$D,Master!P$1,'GL Dump'!$C:$C,Master!$G$1))</f>
        <v>0</v>
      </c>
      <c r="Q147" s="81">
        <f>IF($G$1="ALL",SUMIFS('GL Dump'!$E:$E,'GL Dump'!$H:$H,Master!$A147,'GL Dump'!$D:$D,Master!Q$1),SUMIFS('GL Dump'!$E:$E,'GL Dump'!$H:$H,Master!$A147,'GL Dump'!$D:$D,Master!Q$1,'GL Dump'!$C:$C,Master!$G$1))</f>
        <v>0</v>
      </c>
      <c r="R147" s="81">
        <f>IF($G$1="ALL",SUMIFS('GL Dump'!$E:$E,'GL Dump'!$H:$H,Master!$A147,'GL Dump'!$D:$D,Master!R$1),SUMIFS('GL Dump'!$E:$E,'GL Dump'!$H:$H,Master!$A147,'GL Dump'!$D:$D,Master!R$1,'GL Dump'!$C:$C,Master!$G$1))</f>
        <v>49354.84</v>
      </c>
      <c r="S147" s="81">
        <f>IF($G$1="ALL",SUMIFS('GL Dump'!$E:$E,'GL Dump'!$H:$H,Master!$A147,'GL Dump'!$D:$D,Master!S$1),SUMIFS('GL Dump'!$E:$E,'GL Dump'!$H:$H,Master!$A147,'GL Dump'!$D:$D,Master!S$1,'GL Dump'!$C:$C,Master!$G$1))</f>
        <v>0</v>
      </c>
    </row>
    <row r="148" spans="1:20" s="29" customFormat="1" x14ac:dyDescent="0.25">
      <c r="A148" s="476" t="s">
        <v>1322</v>
      </c>
      <c r="B148" s="454" t="s">
        <v>898</v>
      </c>
      <c r="C148" s="446">
        <v>0</v>
      </c>
      <c r="D148" s="447">
        <v>520.83000000000004</v>
      </c>
      <c r="E148" s="440">
        <f t="shared" si="6"/>
        <v>1633.1575419999999</v>
      </c>
      <c r="F148" s="477" t="s">
        <v>928</v>
      </c>
      <c r="G148" s="408">
        <f>IFERROR(VLOOKUP(A148,'Promo %'!B:P,3,0),0)</f>
        <v>1633.1575419999999</v>
      </c>
      <c r="H148" s="421">
        <f>E148+SUMIFS('GL Dump'!$E:$E,'GL Dump'!$H:$H,Master!A148,'GL Dump'!$D:$D,Master!$I$1)</f>
        <v>1633.1575419999999</v>
      </c>
      <c r="I148" s="422">
        <f>IF($G$1="ALL",SUMIFS('GL Dump'!$E:$E,'GL Dump'!$H:$H,Master!$A148,'GL Dump'!$D:$D,Master!I$1),SUMIFS('GL Dump'!$E:$E,'GL Dump'!$H:$H,Master!$A148,'GL Dump'!$D:$D,Master!I$1,'GL Dump'!$C:$C,Master!$G$1))</f>
        <v>0</v>
      </c>
      <c r="J148" s="422">
        <f>IF($G$1="ALL",SUMIFS('GL Dump'!$E:$E,'GL Dump'!$H:$H,Master!$A148,'GL Dump'!$D:$D,Master!J$1),SUMIFS('GL Dump'!$E:$E,'GL Dump'!$H:$H,Master!$A148,'GL Dump'!$D:$D,Master!J$1,'GL Dump'!$C:$C,Master!$G$1))</f>
        <v>0</v>
      </c>
      <c r="K148" s="422">
        <f>IF($G$1="ALL",SUMIFS('GL Dump'!$E:$E,'GL Dump'!$H:$H,Master!$A148,'GL Dump'!$D:$D,Master!K$1),SUMIFS('GL Dump'!$E:$E,'GL Dump'!$H:$H,Master!$A148,'GL Dump'!$D:$D,Master!K$1,'GL Dump'!$C:$C,Master!$G$1))</f>
        <v>0</v>
      </c>
      <c r="L148" s="422">
        <f>IF($G$1="ALL",SUMIFS('GL Dump'!$E:$E,'GL Dump'!$H:$H,Master!$A148,'GL Dump'!$D:$D,Master!L$1),SUMIFS('GL Dump'!$E:$E,'GL Dump'!$H:$H,Master!$A148,'GL Dump'!$D:$D,Master!L$1,'GL Dump'!$C:$C,Master!$G$1))</f>
        <v>0</v>
      </c>
      <c r="M148" s="422">
        <f>IF($G$1="ALL",SUMIFS('GL Dump'!$E:$E,'GL Dump'!$H:$H,Master!$A148,'GL Dump'!$D:$D,Master!M$1),SUMIFS('GL Dump'!$E:$E,'GL Dump'!$H:$H,Master!$A148,'GL Dump'!$D:$D,Master!M$1,'GL Dump'!$C:$C,Master!$G$1))</f>
        <v>0</v>
      </c>
      <c r="N148" s="422">
        <f>IF($G$1="ALL",SUMIFS('GL Dump'!$E:$E,'GL Dump'!$H:$H,Master!$A148,'GL Dump'!$D:$D,Master!N$1),SUMIFS('GL Dump'!$E:$E,'GL Dump'!$H:$H,Master!$A148,'GL Dump'!$D:$D,Master!N$1,'GL Dump'!$C:$C,Master!$G$1))</f>
        <v>0</v>
      </c>
      <c r="O148" s="422">
        <f>IF($G$1="ALL",SUMIFS('GL Dump'!$E:$E,'GL Dump'!$H:$H,Master!$A148,'GL Dump'!$D:$D,Master!O$1),SUMIFS('GL Dump'!$E:$E,'GL Dump'!$H:$H,Master!$A148,'GL Dump'!$D:$D,Master!O$1,'GL Dump'!$C:$C,Master!$G$1))</f>
        <v>0</v>
      </c>
      <c r="P148" s="422">
        <f>IF($G$1="ALL",SUMIFS('GL Dump'!$E:$E,'GL Dump'!$H:$H,Master!$A148,'GL Dump'!$D:$D,Master!P$1),SUMIFS('GL Dump'!$E:$E,'GL Dump'!$H:$H,Master!$A148,'GL Dump'!$D:$D,Master!P$1,'GL Dump'!$C:$C,Master!$G$1))</f>
        <v>0</v>
      </c>
      <c r="Q148" s="422">
        <f>IF($G$1="ALL",SUMIFS('GL Dump'!$E:$E,'GL Dump'!$H:$H,Master!$A148,'GL Dump'!$D:$D,Master!Q$1),SUMIFS('GL Dump'!$E:$E,'GL Dump'!$H:$H,Master!$A148,'GL Dump'!$D:$D,Master!Q$1,'GL Dump'!$C:$C,Master!$G$1))</f>
        <v>0</v>
      </c>
      <c r="R148" s="422">
        <f>IF($G$1="ALL",SUMIFS('GL Dump'!$E:$E,'GL Dump'!$H:$H,Master!$A148,'GL Dump'!$D:$D,Master!R$1),SUMIFS('GL Dump'!$E:$E,'GL Dump'!$H:$H,Master!$A148,'GL Dump'!$D:$D,Master!R$1,'GL Dump'!$C:$C,Master!$G$1))</f>
        <v>0</v>
      </c>
      <c r="S148" s="422">
        <f>IF($G$1="ALL",SUMIFS('GL Dump'!$E:$E,'GL Dump'!$H:$H,Master!$A148,'GL Dump'!$D:$D,Master!S$1),SUMIFS('GL Dump'!$E:$E,'GL Dump'!$H:$H,Master!$A148,'GL Dump'!$D:$D,Master!S$1,'GL Dump'!$C:$C,Master!$G$1))</f>
        <v>0</v>
      </c>
      <c r="T148" s="450"/>
    </row>
    <row r="149" spans="1:20" s="29" customFormat="1" x14ac:dyDescent="0.25">
      <c r="A149" s="152" t="s">
        <v>3070</v>
      </c>
      <c r="B149" s="267" t="s">
        <v>898</v>
      </c>
      <c r="C149" s="185">
        <v>0</v>
      </c>
      <c r="D149" s="82">
        <v>520.83000000000004</v>
      </c>
      <c r="E149" s="104">
        <f t="shared" si="6"/>
        <v>0</v>
      </c>
      <c r="F149" s="289"/>
      <c r="G149" s="408">
        <f>IFERROR(VLOOKUP(A149,'Promo %'!B:P,3,0),0)</f>
        <v>0</v>
      </c>
      <c r="H149" s="397">
        <f>E149+SUMIFS('GL Dump'!$E:$E,'GL Dump'!$H:$H,Master!A149,'GL Dump'!$D:$D,Master!$I$1)</f>
        <v>0</v>
      </c>
      <c r="I149" s="81">
        <f>IF($G$1="ALL",SUMIFS('GL Dump'!$E:$E,'GL Dump'!$H:$H,Master!$A149,'GL Dump'!$D:$D,Master!I$1),SUMIFS('GL Dump'!$E:$E,'GL Dump'!$H:$H,Master!$A149,'GL Dump'!$D:$D,Master!I$1,'GL Dump'!$C:$C,Master!$G$1))</f>
        <v>0</v>
      </c>
      <c r="J149" s="81">
        <f>IF($G$1="ALL",SUMIFS('GL Dump'!$E:$E,'GL Dump'!$H:$H,Master!$A149,'GL Dump'!$D:$D,Master!J$1),SUMIFS('GL Dump'!$E:$E,'GL Dump'!$H:$H,Master!$A149,'GL Dump'!$D:$D,Master!J$1,'GL Dump'!$C:$C,Master!$G$1))</f>
        <v>0</v>
      </c>
      <c r="K149" s="81">
        <f>IF($G$1="ALL",SUMIFS('GL Dump'!$E:$E,'GL Dump'!$H:$H,Master!$A149,'GL Dump'!$D:$D,Master!K$1),SUMIFS('GL Dump'!$E:$E,'GL Dump'!$H:$H,Master!$A149,'GL Dump'!$D:$D,Master!K$1,'GL Dump'!$C:$C,Master!$G$1))</f>
        <v>0</v>
      </c>
      <c r="L149" s="81">
        <f>IF($G$1="ALL",SUMIFS('GL Dump'!$E:$E,'GL Dump'!$H:$H,Master!$A149,'GL Dump'!$D:$D,Master!L$1),SUMIFS('GL Dump'!$E:$E,'GL Dump'!$H:$H,Master!$A149,'GL Dump'!$D:$D,Master!L$1,'GL Dump'!$C:$C,Master!$G$1))</f>
        <v>0</v>
      </c>
      <c r="M149" s="81">
        <f>IF($G$1="ALL",SUMIFS('GL Dump'!$E:$E,'GL Dump'!$H:$H,Master!$A149,'GL Dump'!$D:$D,Master!M$1),SUMIFS('GL Dump'!$E:$E,'GL Dump'!$H:$H,Master!$A149,'GL Dump'!$D:$D,Master!M$1,'GL Dump'!$C:$C,Master!$G$1))</f>
        <v>0</v>
      </c>
      <c r="N149" s="81">
        <f>IF($G$1="ALL",SUMIFS('GL Dump'!$E:$E,'GL Dump'!$H:$H,Master!$A149,'GL Dump'!$D:$D,Master!N$1),SUMIFS('GL Dump'!$E:$E,'GL Dump'!$H:$H,Master!$A149,'GL Dump'!$D:$D,Master!N$1,'GL Dump'!$C:$C,Master!$G$1))</f>
        <v>0</v>
      </c>
      <c r="O149" s="81">
        <f>IF($G$1="ALL",SUMIFS('GL Dump'!$E:$E,'GL Dump'!$H:$H,Master!$A149,'GL Dump'!$D:$D,Master!O$1),SUMIFS('GL Dump'!$E:$E,'GL Dump'!$H:$H,Master!$A149,'GL Dump'!$D:$D,Master!O$1,'GL Dump'!$C:$C,Master!$G$1))</f>
        <v>0</v>
      </c>
      <c r="P149" s="81">
        <f>IF($G$1="ALL",SUMIFS('GL Dump'!$E:$E,'GL Dump'!$H:$H,Master!$A149,'GL Dump'!$D:$D,Master!P$1),SUMIFS('GL Dump'!$E:$E,'GL Dump'!$H:$H,Master!$A149,'GL Dump'!$D:$D,Master!P$1,'GL Dump'!$C:$C,Master!$G$1))</f>
        <v>0</v>
      </c>
      <c r="Q149" s="81">
        <f>IF($G$1="ALL",SUMIFS('GL Dump'!$E:$E,'GL Dump'!$H:$H,Master!$A149,'GL Dump'!$D:$D,Master!Q$1),SUMIFS('GL Dump'!$E:$E,'GL Dump'!$H:$H,Master!$A149,'GL Dump'!$D:$D,Master!Q$1,'GL Dump'!$C:$C,Master!$G$1))</f>
        <v>0</v>
      </c>
      <c r="R149" s="81">
        <f>IF($G$1="ALL",SUMIFS('GL Dump'!$E:$E,'GL Dump'!$H:$H,Master!$A149,'GL Dump'!$D:$D,Master!R$1),SUMIFS('GL Dump'!$E:$E,'GL Dump'!$H:$H,Master!$A149,'GL Dump'!$D:$D,Master!R$1,'GL Dump'!$C:$C,Master!$G$1))</f>
        <v>0</v>
      </c>
      <c r="S149" s="81">
        <f>IF($G$1="ALL",SUMIFS('GL Dump'!$E:$E,'GL Dump'!$H:$H,Master!$A149,'GL Dump'!$D:$D,Master!S$1),SUMIFS('GL Dump'!$E:$E,'GL Dump'!$H:$H,Master!$A149,'GL Dump'!$D:$D,Master!S$1,'GL Dump'!$C:$C,Master!$G$1))</f>
        <v>0</v>
      </c>
    </row>
    <row r="150" spans="1:20" s="29" customFormat="1" x14ac:dyDescent="0.25">
      <c r="A150" s="476" t="s">
        <v>1323</v>
      </c>
      <c r="B150" s="454" t="s">
        <v>898</v>
      </c>
      <c r="C150" s="446">
        <v>0</v>
      </c>
      <c r="D150" s="447">
        <v>333.33</v>
      </c>
      <c r="E150" s="440">
        <f t="shared" si="6"/>
        <v>2038.2581249999998</v>
      </c>
      <c r="F150" s="477" t="s">
        <v>928</v>
      </c>
      <c r="G150" s="408">
        <f>IFERROR(VLOOKUP(A150,'Promo %'!B:P,3,0),0)</f>
        <v>2038.2581249999998</v>
      </c>
      <c r="H150" s="421">
        <f>E150+SUMIFS('GL Dump'!$E:$E,'GL Dump'!$H:$H,Master!A150,'GL Dump'!$D:$D,Master!$I$1)</f>
        <v>2038.2581249999998</v>
      </c>
      <c r="I150" s="422">
        <f>IF($G$1="ALL",SUMIFS('GL Dump'!$E:$E,'GL Dump'!$H:$H,Master!$A150,'GL Dump'!$D:$D,Master!I$1),SUMIFS('GL Dump'!$E:$E,'GL Dump'!$H:$H,Master!$A150,'GL Dump'!$D:$D,Master!I$1,'GL Dump'!$C:$C,Master!$G$1))</f>
        <v>0</v>
      </c>
      <c r="J150" s="422">
        <f>IF($G$1="ALL",SUMIFS('GL Dump'!$E:$E,'GL Dump'!$H:$H,Master!$A150,'GL Dump'!$D:$D,Master!J$1),SUMIFS('GL Dump'!$E:$E,'GL Dump'!$H:$H,Master!$A150,'GL Dump'!$D:$D,Master!J$1,'GL Dump'!$C:$C,Master!$G$1))</f>
        <v>0</v>
      </c>
      <c r="K150" s="422">
        <f>IF($G$1="ALL",SUMIFS('GL Dump'!$E:$E,'GL Dump'!$H:$H,Master!$A150,'GL Dump'!$D:$D,Master!K$1),SUMIFS('GL Dump'!$E:$E,'GL Dump'!$H:$H,Master!$A150,'GL Dump'!$D:$D,Master!K$1,'GL Dump'!$C:$C,Master!$G$1))</f>
        <v>0</v>
      </c>
      <c r="L150" s="422">
        <f>IF($G$1="ALL",SUMIFS('GL Dump'!$E:$E,'GL Dump'!$H:$H,Master!$A150,'GL Dump'!$D:$D,Master!L$1),SUMIFS('GL Dump'!$E:$E,'GL Dump'!$H:$H,Master!$A150,'GL Dump'!$D:$D,Master!L$1,'GL Dump'!$C:$C,Master!$G$1))</f>
        <v>0</v>
      </c>
      <c r="M150" s="422">
        <f>IF($G$1="ALL",SUMIFS('GL Dump'!$E:$E,'GL Dump'!$H:$H,Master!$A150,'GL Dump'!$D:$D,Master!M$1),SUMIFS('GL Dump'!$E:$E,'GL Dump'!$H:$H,Master!$A150,'GL Dump'!$D:$D,Master!M$1,'GL Dump'!$C:$C,Master!$G$1))</f>
        <v>0</v>
      </c>
      <c r="N150" s="422">
        <f>IF($G$1="ALL",SUMIFS('GL Dump'!$E:$E,'GL Dump'!$H:$H,Master!$A150,'GL Dump'!$D:$D,Master!N$1),SUMIFS('GL Dump'!$E:$E,'GL Dump'!$H:$H,Master!$A150,'GL Dump'!$D:$D,Master!N$1,'GL Dump'!$C:$C,Master!$G$1))</f>
        <v>0</v>
      </c>
      <c r="O150" s="422">
        <f>IF($G$1="ALL",SUMIFS('GL Dump'!$E:$E,'GL Dump'!$H:$H,Master!$A150,'GL Dump'!$D:$D,Master!O$1),SUMIFS('GL Dump'!$E:$E,'GL Dump'!$H:$H,Master!$A150,'GL Dump'!$D:$D,Master!O$1,'GL Dump'!$C:$C,Master!$G$1))</f>
        <v>0</v>
      </c>
      <c r="P150" s="422">
        <f>IF($G$1="ALL",SUMIFS('GL Dump'!$E:$E,'GL Dump'!$H:$H,Master!$A150,'GL Dump'!$D:$D,Master!P$1),SUMIFS('GL Dump'!$E:$E,'GL Dump'!$H:$H,Master!$A150,'GL Dump'!$D:$D,Master!P$1,'GL Dump'!$C:$C,Master!$G$1))</f>
        <v>0</v>
      </c>
      <c r="Q150" s="422">
        <f>IF($G$1="ALL",SUMIFS('GL Dump'!$E:$E,'GL Dump'!$H:$H,Master!$A150,'GL Dump'!$D:$D,Master!Q$1),SUMIFS('GL Dump'!$E:$E,'GL Dump'!$H:$H,Master!$A150,'GL Dump'!$D:$D,Master!Q$1,'GL Dump'!$C:$C,Master!$G$1))</f>
        <v>0</v>
      </c>
      <c r="R150" s="422">
        <f>IF($G$1="ALL",SUMIFS('GL Dump'!$E:$E,'GL Dump'!$H:$H,Master!$A150,'GL Dump'!$D:$D,Master!R$1),SUMIFS('GL Dump'!$E:$E,'GL Dump'!$H:$H,Master!$A150,'GL Dump'!$D:$D,Master!R$1,'GL Dump'!$C:$C,Master!$G$1))</f>
        <v>0</v>
      </c>
      <c r="S150" s="422">
        <f>IF($G$1="ALL",SUMIFS('GL Dump'!$E:$E,'GL Dump'!$H:$H,Master!$A150,'GL Dump'!$D:$D,Master!S$1),SUMIFS('GL Dump'!$E:$E,'GL Dump'!$H:$H,Master!$A150,'GL Dump'!$D:$D,Master!S$1,'GL Dump'!$C:$C,Master!$G$1))</f>
        <v>0</v>
      </c>
      <c r="T150" s="450"/>
    </row>
    <row r="151" spans="1:20" s="29" customFormat="1" x14ac:dyDescent="0.25">
      <c r="A151" s="152" t="s">
        <v>1324</v>
      </c>
      <c r="B151" s="267" t="s">
        <v>898</v>
      </c>
      <c r="C151" s="185">
        <v>0</v>
      </c>
      <c r="D151" s="82">
        <v>2708</v>
      </c>
      <c r="E151" s="104">
        <f t="shared" si="6"/>
        <v>15638.058675</v>
      </c>
      <c r="F151" s="289" t="s">
        <v>928</v>
      </c>
      <c r="G151" s="408">
        <f>IFERROR(VLOOKUP(A151,'Promo %'!B:P,3,0),0)</f>
        <v>15638.058675</v>
      </c>
      <c r="H151" s="397">
        <f>E151+SUMIFS('GL Dump'!$E:$E,'GL Dump'!$H:$H,Master!A151,'GL Dump'!$D:$D,Master!$I$1)</f>
        <v>15638.058675</v>
      </c>
      <c r="I151" s="81">
        <f>IF($G$1="ALL",SUMIFS('GL Dump'!$E:$E,'GL Dump'!$H:$H,Master!$A151,'GL Dump'!$D:$D,Master!I$1),SUMIFS('GL Dump'!$E:$E,'GL Dump'!$H:$H,Master!$A151,'GL Dump'!$D:$D,Master!I$1,'GL Dump'!$C:$C,Master!$G$1))</f>
        <v>0</v>
      </c>
      <c r="J151" s="81">
        <f>IF($G$1="ALL",SUMIFS('GL Dump'!$E:$E,'GL Dump'!$H:$H,Master!$A151,'GL Dump'!$D:$D,Master!J$1),SUMIFS('GL Dump'!$E:$E,'GL Dump'!$H:$H,Master!$A151,'GL Dump'!$D:$D,Master!J$1,'GL Dump'!$C:$C,Master!$G$1))</f>
        <v>0</v>
      </c>
      <c r="K151" s="81">
        <f>IF($G$1="ALL",SUMIFS('GL Dump'!$E:$E,'GL Dump'!$H:$H,Master!$A151,'GL Dump'!$D:$D,Master!K$1),SUMIFS('GL Dump'!$E:$E,'GL Dump'!$H:$H,Master!$A151,'GL Dump'!$D:$D,Master!K$1,'GL Dump'!$C:$C,Master!$G$1))</f>
        <v>0</v>
      </c>
      <c r="L151" s="81">
        <f>IF($G$1="ALL",SUMIFS('GL Dump'!$E:$E,'GL Dump'!$H:$H,Master!$A151,'GL Dump'!$D:$D,Master!L$1),SUMIFS('GL Dump'!$E:$E,'GL Dump'!$H:$H,Master!$A151,'GL Dump'!$D:$D,Master!L$1,'GL Dump'!$C:$C,Master!$G$1))</f>
        <v>0</v>
      </c>
      <c r="M151" s="81">
        <f>IF($G$1="ALL",SUMIFS('GL Dump'!$E:$E,'GL Dump'!$H:$H,Master!$A151,'GL Dump'!$D:$D,Master!M$1),SUMIFS('GL Dump'!$E:$E,'GL Dump'!$H:$H,Master!$A151,'GL Dump'!$D:$D,Master!M$1,'GL Dump'!$C:$C,Master!$G$1))</f>
        <v>0</v>
      </c>
      <c r="N151" s="81">
        <f>IF($G$1="ALL",SUMIFS('GL Dump'!$E:$E,'GL Dump'!$H:$H,Master!$A151,'GL Dump'!$D:$D,Master!N$1),SUMIFS('GL Dump'!$E:$E,'GL Dump'!$H:$H,Master!$A151,'GL Dump'!$D:$D,Master!N$1,'GL Dump'!$C:$C,Master!$G$1))</f>
        <v>0</v>
      </c>
      <c r="O151" s="81">
        <f>IF($G$1="ALL",SUMIFS('GL Dump'!$E:$E,'GL Dump'!$H:$H,Master!$A151,'GL Dump'!$D:$D,Master!O$1),SUMIFS('GL Dump'!$E:$E,'GL Dump'!$H:$H,Master!$A151,'GL Dump'!$D:$D,Master!O$1,'GL Dump'!$C:$C,Master!$G$1))</f>
        <v>0</v>
      </c>
      <c r="P151" s="81">
        <f>IF($G$1="ALL",SUMIFS('GL Dump'!$E:$E,'GL Dump'!$H:$H,Master!$A151,'GL Dump'!$D:$D,Master!P$1),SUMIFS('GL Dump'!$E:$E,'GL Dump'!$H:$H,Master!$A151,'GL Dump'!$D:$D,Master!P$1,'GL Dump'!$C:$C,Master!$G$1))</f>
        <v>0</v>
      </c>
      <c r="Q151" s="81">
        <f>IF($G$1="ALL",SUMIFS('GL Dump'!$E:$E,'GL Dump'!$H:$H,Master!$A151,'GL Dump'!$D:$D,Master!Q$1),SUMIFS('GL Dump'!$E:$E,'GL Dump'!$H:$H,Master!$A151,'GL Dump'!$D:$D,Master!Q$1,'GL Dump'!$C:$C,Master!$G$1))</f>
        <v>0</v>
      </c>
      <c r="R151" s="81">
        <f>IF($G$1="ALL",SUMIFS('GL Dump'!$E:$E,'GL Dump'!$H:$H,Master!$A151,'GL Dump'!$D:$D,Master!R$1),SUMIFS('GL Dump'!$E:$E,'GL Dump'!$H:$H,Master!$A151,'GL Dump'!$D:$D,Master!R$1,'GL Dump'!$C:$C,Master!$G$1))</f>
        <v>0</v>
      </c>
      <c r="S151" s="81">
        <f>IF($G$1="ALL",SUMIFS('GL Dump'!$E:$E,'GL Dump'!$H:$H,Master!$A151,'GL Dump'!$D:$D,Master!S$1),SUMIFS('GL Dump'!$E:$E,'GL Dump'!$H:$H,Master!$A151,'GL Dump'!$D:$D,Master!S$1,'GL Dump'!$C:$C,Master!$G$1))</f>
        <v>0</v>
      </c>
    </row>
    <row r="152" spans="1:20" s="29" customFormat="1" x14ac:dyDescent="0.25">
      <c r="A152" s="476" t="s">
        <v>1325</v>
      </c>
      <c r="B152" s="454" t="s">
        <v>898</v>
      </c>
      <c r="C152" s="446">
        <v>0</v>
      </c>
      <c r="D152" s="447">
        <v>2708</v>
      </c>
      <c r="E152" s="440">
        <f t="shared" si="6"/>
        <v>20709.928906000001</v>
      </c>
      <c r="F152" s="477" t="s">
        <v>928</v>
      </c>
      <c r="G152" s="408">
        <f>IFERROR(VLOOKUP(A152,'Promo %'!B:P,3,0),0)</f>
        <v>20709.928906000001</v>
      </c>
      <c r="H152" s="421">
        <f>E152+SUMIFS('GL Dump'!$E:$E,'GL Dump'!$H:$H,Master!A152,'GL Dump'!$D:$D,Master!$I$1)</f>
        <v>20709.928906000001</v>
      </c>
      <c r="I152" s="422">
        <f>IF($G$1="ALL",SUMIFS('GL Dump'!$E:$E,'GL Dump'!$H:$H,Master!$A152,'GL Dump'!$D:$D,Master!I$1),SUMIFS('GL Dump'!$E:$E,'GL Dump'!$H:$H,Master!$A152,'GL Dump'!$D:$D,Master!I$1,'GL Dump'!$C:$C,Master!$G$1))</f>
        <v>0</v>
      </c>
      <c r="J152" s="422">
        <f>IF($G$1="ALL",SUMIFS('GL Dump'!$E:$E,'GL Dump'!$H:$H,Master!$A152,'GL Dump'!$D:$D,Master!J$1),SUMIFS('GL Dump'!$E:$E,'GL Dump'!$H:$H,Master!$A152,'GL Dump'!$D:$D,Master!J$1,'GL Dump'!$C:$C,Master!$G$1))</f>
        <v>0</v>
      </c>
      <c r="K152" s="422">
        <f>IF($G$1="ALL",SUMIFS('GL Dump'!$E:$E,'GL Dump'!$H:$H,Master!$A152,'GL Dump'!$D:$D,Master!K$1),SUMIFS('GL Dump'!$E:$E,'GL Dump'!$H:$H,Master!$A152,'GL Dump'!$D:$D,Master!K$1,'GL Dump'!$C:$C,Master!$G$1))</f>
        <v>0</v>
      </c>
      <c r="L152" s="422">
        <f>IF($G$1="ALL",SUMIFS('GL Dump'!$E:$E,'GL Dump'!$H:$H,Master!$A152,'GL Dump'!$D:$D,Master!L$1),SUMIFS('GL Dump'!$E:$E,'GL Dump'!$H:$H,Master!$A152,'GL Dump'!$D:$D,Master!L$1,'GL Dump'!$C:$C,Master!$G$1))</f>
        <v>0</v>
      </c>
      <c r="M152" s="422">
        <f>IF($G$1="ALL",SUMIFS('GL Dump'!$E:$E,'GL Dump'!$H:$H,Master!$A152,'GL Dump'!$D:$D,Master!M$1),SUMIFS('GL Dump'!$E:$E,'GL Dump'!$H:$H,Master!$A152,'GL Dump'!$D:$D,Master!M$1,'GL Dump'!$C:$C,Master!$G$1))</f>
        <v>0</v>
      </c>
      <c r="N152" s="422">
        <f>IF($G$1="ALL",SUMIFS('GL Dump'!$E:$E,'GL Dump'!$H:$H,Master!$A152,'GL Dump'!$D:$D,Master!N$1),SUMIFS('GL Dump'!$E:$E,'GL Dump'!$H:$H,Master!$A152,'GL Dump'!$D:$D,Master!N$1,'GL Dump'!$C:$C,Master!$G$1))</f>
        <v>0</v>
      </c>
      <c r="O152" s="422">
        <f>IF($G$1="ALL",SUMIFS('GL Dump'!$E:$E,'GL Dump'!$H:$H,Master!$A152,'GL Dump'!$D:$D,Master!O$1),SUMIFS('GL Dump'!$E:$E,'GL Dump'!$H:$H,Master!$A152,'GL Dump'!$D:$D,Master!O$1,'GL Dump'!$C:$C,Master!$G$1))</f>
        <v>0</v>
      </c>
      <c r="P152" s="422">
        <f>IF($G$1="ALL",SUMIFS('GL Dump'!$E:$E,'GL Dump'!$H:$H,Master!$A152,'GL Dump'!$D:$D,Master!P$1),SUMIFS('GL Dump'!$E:$E,'GL Dump'!$H:$H,Master!$A152,'GL Dump'!$D:$D,Master!P$1,'GL Dump'!$C:$C,Master!$G$1))</f>
        <v>0</v>
      </c>
      <c r="Q152" s="422">
        <f>IF($G$1="ALL",SUMIFS('GL Dump'!$E:$E,'GL Dump'!$H:$H,Master!$A152,'GL Dump'!$D:$D,Master!Q$1),SUMIFS('GL Dump'!$E:$E,'GL Dump'!$H:$H,Master!$A152,'GL Dump'!$D:$D,Master!Q$1,'GL Dump'!$C:$C,Master!$G$1))</f>
        <v>0</v>
      </c>
      <c r="R152" s="422">
        <f>IF($G$1="ALL",SUMIFS('GL Dump'!$E:$E,'GL Dump'!$H:$H,Master!$A152,'GL Dump'!$D:$D,Master!R$1),SUMIFS('GL Dump'!$E:$E,'GL Dump'!$H:$H,Master!$A152,'GL Dump'!$D:$D,Master!R$1,'GL Dump'!$C:$C,Master!$G$1))</f>
        <v>0</v>
      </c>
      <c r="S152" s="422">
        <f>IF($G$1="ALL",SUMIFS('GL Dump'!$E:$E,'GL Dump'!$H:$H,Master!$A152,'GL Dump'!$D:$D,Master!S$1),SUMIFS('GL Dump'!$E:$E,'GL Dump'!$H:$H,Master!$A152,'GL Dump'!$D:$D,Master!S$1,'GL Dump'!$C:$C,Master!$G$1))</f>
        <v>0</v>
      </c>
      <c r="T152" s="450"/>
    </row>
    <row r="153" spans="1:20" s="29" customFormat="1" x14ac:dyDescent="0.25">
      <c r="A153" s="152" t="s">
        <v>1326</v>
      </c>
      <c r="B153" s="267" t="s">
        <v>898</v>
      </c>
      <c r="C153" s="185"/>
      <c r="D153" s="82">
        <v>1000</v>
      </c>
      <c r="E153" s="104">
        <f t="shared" si="6"/>
        <v>1969.591795</v>
      </c>
      <c r="F153" s="289" t="s">
        <v>928</v>
      </c>
      <c r="G153" s="408">
        <f>IFERROR(VLOOKUP(A153,'Promo %'!B:P,3,0),0)</f>
        <v>1969.591795</v>
      </c>
      <c r="H153" s="397">
        <f>E153+SUMIFS('GL Dump'!$E:$E,'GL Dump'!$H:$H,Master!A153,'GL Dump'!$D:$D,Master!$I$1)</f>
        <v>1969.591795</v>
      </c>
      <c r="I153" s="81">
        <f>IF($G$1="ALL",SUMIFS('GL Dump'!$E:$E,'GL Dump'!$H:$H,Master!$A153,'GL Dump'!$D:$D,Master!I$1),SUMIFS('GL Dump'!$E:$E,'GL Dump'!$H:$H,Master!$A153,'GL Dump'!$D:$D,Master!I$1,'GL Dump'!$C:$C,Master!$G$1))</f>
        <v>0</v>
      </c>
      <c r="J153" s="81">
        <f>IF($G$1="ALL",SUMIFS('GL Dump'!$E:$E,'GL Dump'!$H:$H,Master!$A153,'GL Dump'!$D:$D,Master!J$1),SUMIFS('GL Dump'!$E:$E,'GL Dump'!$H:$H,Master!$A153,'GL Dump'!$D:$D,Master!J$1,'GL Dump'!$C:$C,Master!$G$1))</f>
        <v>0</v>
      </c>
      <c r="K153" s="81">
        <f>IF($G$1="ALL",SUMIFS('GL Dump'!$E:$E,'GL Dump'!$H:$H,Master!$A153,'GL Dump'!$D:$D,Master!K$1),SUMIFS('GL Dump'!$E:$E,'GL Dump'!$H:$H,Master!$A153,'GL Dump'!$D:$D,Master!K$1,'GL Dump'!$C:$C,Master!$G$1))</f>
        <v>0</v>
      </c>
      <c r="L153" s="81">
        <f>IF($G$1="ALL",SUMIFS('GL Dump'!$E:$E,'GL Dump'!$H:$H,Master!$A153,'GL Dump'!$D:$D,Master!L$1),SUMIFS('GL Dump'!$E:$E,'GL Dump'!$H:$H,Master!$A153,'GL Dump'!$D:$D,Master!L$1,'GL Dump'!$C:$C,Master!$G$1))</f>
        <v>0</v>
      </c>
      <c r="M153" s="81">
        <f>IF($G$1="ALL",SUMIFS('GL Dump'!$E:$E,'GL Dump'!$H:$H,Master!$A153,'GL Dump'!$D:$D,Master!M$1),SUMIFS('GL Dump'!$E:$E,'GL Dump'!$H:$H,Master!$A153,'GL Dump'!$D:$D,Master!M$1,'GL Dump'!$C:$C,Master!$G$1))</f>
        <v>0</v>
      </c>
      <c r="N153" s="81">
        <f>IF($G$1="ALL",SUMIFS('GL Dump'!$E:$E,'GL Dump'!$H:$H,Master!$A153,'GL Dump'!$D:$D,Master!N$1),SUMIFS('GL Dump'!$E:$E,'GL Dump'!$H:$H,Master!$A153,'GL Dump'!$D:$D,Master!N$1,'GL Dump'!$C:$C,Master!$G$1))</f>
        <v>0</v>
      </c>
      <c r="O153" s="81">
        <f>IF($G$1="ALL",SUMIFS('GL Dump'!$E:$E,'GL Dump'!$H:$H,Master!$A153,'GL Dump'!$D:$D,Master!O$1),SUMIFS('GL Dump'!$E:$E,'GL Dump'!$H:$H,Master!$A153,'GL Dump'!$D:$D,Master!O$1,'GL Dump'!$C:$C,Master!$G$1))</f>
        <v>0</v>
      </c>
      <c r="P153" s="81">
        <f>IF($G$1="ALL",SUMIFS('GL Dump'!$E:$E,'GL Dump'!$H:$H,Master!$A153,'GL Dump'!$D:$D,Master!P$1),SUMIFS('GL Dump'!$E:$E,'GL Dump'!$H:$H,Master!$A153,'GL Dump'!$D:$D,Master!P$1,'GL Dump'!$C:$C,Master!$G$1))</f>
        <v>0</v>
      </c>
      <c r="Q153" s="81">
        <f>IF($G$1="ALL",SUMIFS('GL Dump'!$E:$E,'GL Dump'!$H:$H,Master!$A153,'GL Dump'!$D:$D,Master!Q$1),SUMIFS('GL Dump'!$E:$E,'GL Dump'!$H:$H,Master!$A153,'GL Dump'!$D:$D,Master!Q$1,'GL Dump'!$C:$C,Master!$G$1))</f>
        <v>0</v>
      </c>
      <c r="R153" s="81">
        <f>IF($G$1="ALL",SUMIFS('GL Dump'!$E:$E,'GL Dump'!$H:$H,Master!$A153,'GL Dump'!$D:$D,Master!R$1),SUMIFS('GL Dump'!$E:$E,'GL Dump'!$H:$H,Master!$A153,'GL Dump'!$D:$D,Master!R$1,'GL Dump'!$C:$C,Master!$G$1))</f>
        <v>0</v>
      </c>
      <c r="S153" s="81">
        <f>IF($G$1="ALL",SUMIFS('GL Dump'!$E:$E,'GL Dump'!$H:$H,Master!$A153,'GL Dump'!$D:$D,Master!S$1),SUMIFS('GL Dump'!$E:$E,'GL Dump'!$H:$H,Master!$A153,'GL Dump'!$D:$D,Master!S$1,'GL Dump'!$C:$C,Master!$G$1))</f>
        <v>0</v>
      </c>
    </row>
    <row r="154" spans="1:20" s="29" customFormat="1" x14ac:dyDescent="0.25">
      <c r="A154" s="476" t="s">
        <v>1327</v>
      </c>
      <c r="B154" s="454" t="s">
        <v>898</v>
      </c>
      <c r="C154" s="446">
        <v>0</v>
      </c>
      <c r="D154" s="447">
        <v>1000</v>
      </c>
      <c r="E154" s="440">
        <f t="shared" si="6"/>
        <v>2370.0142390000001</v>
      </c>
      <c r="F154" s="477" t="s">
        <v>928</v>
      </c>
      <c r="G154" s="408">
        <f>IFERROR(VLOOKUP(A154,'Promo %'!B:P,3,0),0)</f>
        <v>2370.0142390000001</v>
      </c>
      <c r="H154" s="421">
        <f>E154+SUMIFS('GL Dump'!$E:$E,'GL Dump'!$H:$H,Master!A154,'GL Dump'!$D:$D,Master!$I$1)</f>
        <v>2370.0142390000001</v>
      </c>
      <c r="I154" s="422">
        <f>IF($G$1="ALL",SUMIFS('GL Dump'!$E:$E,'GL Dump'!$H:$H,Master!$A154,'GL Dump'!$D:$D,Master!I$1),SUMIFS('GL Dump'!$E:$E,'GL Dump'!$H:$H,Master!$A154,'GL Dump'!$D:$D,Master!I$1,'GL Dump'!$C:$C,Master!$G$1))</f>
        <v>0</v>
      </c>
      <c r="J154" s="422">
        <f>IF($G$1="ALL",SUMIFS('GL Dump'!$E:$E,'GL Dump'!$H:$H,Master!$A154,'GL Dump'!$D:$D,Master!J$1),SUMIFS('GL Dump'!$E:$E,'GL Dump'!$H:$H,Master!$A154,'GL Dump'!$D:$D,Master!J$1,'GL Dump'!$C:$C,Master!$G$1))</f>
        <v>0</v>
      </c>
      <c r="K154" s="422">
        <f>IF($G$1="ALL",SUMIFS('GL Dump'!$E:$E,'GL Dump'!$H:$H,Master!$A154,'GL Dump'!$D:$D,Master!K$1),SUMIFS('GL Dump'!$E:$E,'GL Dump'!$H:$H,Master!$A154,'GL Dump'!$D:$D,Master!K$1,'GL Dump'!$C:$C,Master!$G$1))</f>
        <v>0</v>
      </c>
      <c r="L154" s="422">
        <f>IF($G$1="ALL",SUMIFS('GL Dump'!$E:$E,'GL Dump'!$H:$H,Master!$A154,'GL Dump'!$D:$D,Master!L$1),SUMIFS('GL Dump'!$E:$E,'GL Dump'!$H:$H,Master!$A154,'GL Dump'!$D:$D,Master!L$1,'GL Dump'!$C:$C,Master!$G$1))</f>
        <v>0</v>
      </c>
      <c r="M154" s="422">
        <f>IF($G$1="ALL",SUMIFS('GL Dump'!$E:$E,'GL Dump'!$H:$H,Master!$A154,'GL Dump'!$D:$D,Master!M$1),SUMIFS('GL Dump'!$E:$E,'GL Dump'!$H:$H,Master!$A154,'GL Dump'!$D:$D,Master!M$1,'GL Dump'!$C:$C,Master!$G$1))</f>
        <v>0</v>
      </c>
      <c r="N154" s="422">
        <f>IF($G$1="ALL",SUMIFS('GL Dump'!$E:$E,'GL Dump'!$H:$H,Master!$A154,'GL Dump'!$D:$D,Master!N$1),SUMIFS('GL Dump'!$E:$E,'GL Dump'!$H:$H,Master!$A154,'GL Dump'!$D:$D,Master!N$1,'GL Dump'!$C:$C,Master!$G$1))</f>
        <v>0</v>
      </c>
      <c r="O154" s="422">
        <f>IF($G$1="ALL",SUMIFS('GL Dump'!$E:$E,'GL Dump'!$H:$H,Master!$A154,'GL Dump'!$D:$D,Master!O$1),SUMIFS('GL Dump'!$E:$E,'GL Dump'!$H:$H,Master!$A154,'GL Dump'!$D:$D,Master!O$1,'GL Dump'!$C:$C,Master!$G$1))</f>
        <v>0</v>
      </c>
      <c r="P154" s="422">
        <f>IF($G$1="ALL",SUMIFS('GL Dump'!$E:$E,'GL Dump'!$H:$H,Master!$A154,'GL Dump'!$D:$D,Master!P$1),SUMIFS('GL Dump'!$E:$E,'GL Dump'!$H:$H,Master!$A154,'GL Dump'!$D:$D,Master!P$1,'GL Dump'!$C:$C,Master!$G$1))</f>
        <v>0</v>
      </c>
      <c r="Q154" s="422">
        <f>IF($G$1="ALL",SUMIFS('GL Dump'!$E:$E,'GL Dump'!$H:$H,Master!$A154,'GL Dump'!$D:$D,Master!Q$1),SUMIFS('GL Dump'!$E:$E,'GL Dump'!$H:$H,Master!$A154,'GL Dump'!$D:$D,Master!Q$1,'GL Dump'!$C:$C,Master!$G$1))</f>
        <v>0</v>
      </c>
      <c r="R154" s="422">
        <f>IF($G$1="ALL",SUMIFS('GL Dump'!$E:$E,'GL Dump'!$H:$H,Master!$A154,'GL Dump'!$D:$D,Master!R$1),SUMIFS('GL Dump'!$E:$E,'GL Dump'!$H:$H,Master!$A154,'GL Dump'!$D:$D,Master!R$1,'GL Dump'!$C:$C,Master!$G$1))</f>
        <v>0</v>
      </c>
      <c r="S154" s="422">
        <f>IF($G$1="ALL",SUMIFS('GL Dump'!$E:$E,'GL Dump'!$H:$H,Master!$A154,'GL Dump'!$D:$D,Master!S$1),SUMIFS('GL Dump'!$E:$E,'GL Dump'!$H:$H,Master!$A154,'GL Dump'!$D:$D,Master!S$1,'GL Dump'!$C:$C,Master!$G$1))</f>
        <v>0</v>
      </c>
      <c r="T154" s="450"/>
    </row>
    <row r="155" spans="1:20" s="29" customFormat="1" x14ac:dyDescent="0.25">
      <c r="A155" s="152" t="s">
        <v>1328</v>
      </c>
      <c r="B155" s="267" t="s">
        <v>898</v>
      </c>
      <c r="C155" s="185">
        <v>0</v>
      </c>
      <c r="D155" s="82">
        <v>1000</v>
      </c>
      <c r="E155" s="104">
        <f t="shared" si="6"/>
        <v>1904.5722300000002</v>
      </c>
      <c r="F155" s="289" t="s">
        <v>928</v>
      </c>
      <c r="G155" s="408">
        <f>IFERROR(VLOOKUP(A155,'Promo %'!B:P,3,0),0)</f>
        <v>1904.5722300000002</v>
      </c>
      <c r="H155" s="397">
        <f>E155+SUMIFS('GL Dump'!$E:$E,'GL Dump'!$H:$H,Master!A155,'GL Dump'!$D:$D,Master!$I$1)</f>
        <v>1904.5722300000002</v>
      </c>
      <c r="I155" s="81">
        <f>IF($G$1="ALL",SUMIFS('GL Dump'!$E:$E,'GL Dump'!$H:$H,Master!$A155,'GL Dump'!$D:$D,Master!I$1),SUMIFS('GL Dump'!$E:$E,'GL Dump'!$H:$H,Master!$A155,'GL Dump'!$D:$D,Master!I$1,'GL Dump'!$C:$C,Master!$G$1))</f>
        <v>0</v>
      </c>
      <c r="J155" s="81">
        <f>IF($G$1="ALL",SUMIFS('GL Dump'!$E:$E,'GL Dump'!$H:$H,Master!$A155,'GL Dump'!$D:$D,Master!J$1),SUMIFS('GL Dump'!$E:$E,'GL Dump'!$H:$H,Master!$A155,'GL Dump'!$D:$D,Master!J$1,'GL Dump'!$C:$C,Master!$G$1))</f>
        <v>0</v>
      </c>
      <c r="K155" s="81">
        <f>IF($G$1="ALL",SUMIFS('GL Dump'!$E:$E,'GL Dump'!$H:$H,Master!$A155,'GL Dump'!$D:$D,Master!K$1),SUMIFS('GL Dump'!$E:$E,'GL Dump'!$H:$H,Master!$A155,'GL Dump'!$D:$D,Master!K$1,'GL Dump'!$C:$C,Master!$G$1))</f>
        <v>0</v>
      </c>
      <c r="L155" s="81">
        <f>IF($G$1="ALL",SUMIFS('GL Dump'!$E:$E,'GL Dump'!$H:$H,Master!$A155,'GL Dump'!$D:$D,Master!L$1),SUMIFS('GL Dump'!$E:$E,'GL Dump'!$H:$H,Master!$A155,'GL Dump'!$D:$D,Master!L$1,'GL Dump'!$C:$C,Master!$G$1))</f>
        <v>0</v>
      </c>
      <c r="M155" s="81">
        <f>IF($G$1="ALL",SUMIFS('GL Dump'!$E:$E,'GL Dump'!$H:$H,Master!$A155,'GL Dump'!$D:$D,Master!M$1),SUMIFS('GL Dump'!$E:$E,'GL Dump'!$H:$H,Master!$A155,'GL Dump'!$D:$D,Master!M$1,'GL Dump'!$C:$C,Master!$G$1))</f>
        <v>0</v>
      </c>
      <c r="N155" s="81">
        <f>IF($G$1="ALL",SUMIFS('GL Dump'!$E:$E,'GL Dump'!$H:$H,Master!$A155,'GL Dump'!$D:$D,Master!N$1),SUMIFS('GL Dump'!$E:$E,'GL Dump'!$H:$H,Master!$A155,'GL Dump'!$D:$D,Master!N$1,'GL Dump'!$C:$C,Master!$G$1))</f>
        <v>0</v>
      </c>
      <c r="O155" s="81">
        <f>IF($G$1="ALL",SUMIFS('GL Dump'!$E:$E,'GL Dump'!$H:$H,Master!$A155,'GL Dump'!$D:$D,Master!O$1),SUMIFS('GL Dump'!$E:$E,'GL Dump'!$H:$H,Master!$A155,'GL Dump'!$D:$D,Master!O$1,'GL Dump'!$C:$C,Master!$G$1))</f>
        <v>0</v>
      </c>
      <c r="P155" s="81">
        <f>IF($G$1="ALL",SUMIFS('GL Dump'!$E:$E,'GL Dump'!$H:$H,Master!$A155,'GL Dump'!$D:$D,Master!P$1),SUMIFS('GL Dump'!$E:$E,'GL Dump'!$H:$H,Master!$A155,'GL Dump'!$D:$D,Master!P$1,'GL Dump'!$C:$C,Master!$G$1))</f>
        <v>0</v>
      </c>
      <c r="Q155" s="81">
        <f>IF($G$1="ALL",SUMIFS('GL Dump'!$E:$E,'GL Dump'!$H:$H,Master!$A155,'GL Dump'!$D:$D,Master!Q$1),SUMIFS('GL Dump'!$E:$E,'GL Dump'!$H:$H,Master!$A155,'GL Dump'!$D:$D,Master!Q$1,'GL Dump'!$C:$C,Master!$G$1))</f>
        <v>0</v>
      </c>
      <c r="R155" s="81">
        <f>IF($G$1="ALL",SUMIFS('GL Dump'!$E:$E,'GL Dump'!$H:$H,Master!$A155,'GL Dump'!$D:$D,Master!R$1),SUMIFS('GL Dump'!$E:$E,'GL Dump'!$H:$H,Master!$A155,'GL Dump'!$D:$D,Master!R$1,'GL Dump'!$C:$C,Master!$G$1))</f>
        <v>0</v>
      </c>
      <c r="S155" s="81">
        <f>IF($G$1="ALL",SUMIFS('GL Dump'!$E:$E,'GL Dump'!$H:$H,Master!$A155,'GL Dump'!$D:$D,Master!S$1),SUMIFS('GL Dump'!$E:$E,'GL Dump'!$H:$H,Master!$A155,'GL Dump'!$D:$D,Master!S$1,'GL Dump'!$C:$C,Master!$G$1))</f>
        <v>0</v>
      </c>
    </row>
    <row r="156" spans="1:20" s="29" customFormat="1" x14ac:dyDescent="0.25">
      <c r="A156" s="476" t="s">
        <v>3071</v>
      </c>
      <c r="B156" s="454" t="s">
        <v>898</v>
      </c>
      <c r="C156" s="446">
        <v>0</v>
      </c>
      <c r="D156" s="447">
        <v>764.88</v>
      </c>
      <c r="E156" s="440">
        <f t="shared" si="6"/>
        <v>0</v>
      </c>
      <c r="F156" s="445"/>
      <c r="G156" s="408">
        <f>IFERROR(VLOOKUP(A156,'Promo %'!B:P,3,0),0)</f>
        <v>0</v>
      </c>
      <c r="H156" s="421">
        <f>E156+SUMIFS('GL Dump'!$E:$E,'GL Dump'!$H:$H,Master!A156,'GL Dump'!$D:$D,Master!$I$1)</f>
        <v>0</v>
      </c>
      <c r="I156" s="422">
        <f>IF($G$1="ALL",SUMIFS('GL Dump'!$E:$E,'GL Dump'!$H:$H,Master!$A156,'GL Dump'!$D:$D,Master!I$1),SUMIFS('GL Dump'!$E:$E,'GL Dump'!$H:$H,Master!$A156,'GL Dump'!$D:$D,Master!I$1,'GL Dump'!$C:$C,Master!$G$1))</f>
        <v>0</v>
      </c>
      <c r="J156" s="422">
        <f>IF($G$1="ALL",SUMIFS('GL Dump'!$E:$E,'GL Dump'!$H:$H,Master!$A156,'GL Dump'!$D:$D,Master!J$1),SUMIFS('GL Dump'!$E:$E,'GL Dump'!$H:$H,Master!$A156,'GL Dump'!$D:$D,Master!J$1,'GL Dump'!$C:$C,Master!$G$1))</f>
        <v>0</v>
      </c>
      <c r="K156" s="422">
        <f>IF($G$1="ALL",SUMIFS('GL Dump'!$E:$E,'GL Dump'!$H:$H,Master!$A156,'GL Dump'!$D:$D,Master!K$1),SUMIFS('GL Dump'!$E:$E,'GL Dump'!$H:$H,Master!$A156,'GL Dump'!$D:$D,Master!K$1,'GL Dump'!$C:$C,Master!$G$1))</f>
        <v>0</v>
      </c>
      <c r="L156" s="422">
        <f>IF($G$1="ALL",SUMIFS('GL Dump'!$E:$E,'GL Dump'!$H:$H,Master!$A156,'GL Dump'!$D:$D,Master!L$1),SUMIFS('GL Dump'!$E:$E,'GL Dump'!$H:$H,Master!$A156,'GL Dump'!$D:$D,Master!L$1,'GL Dump'!$C:$C,Master!$G$1))</f>
        <v>0</v>
      </c>
      <c r="M156" s="422">
        <f>IF($G$1="ALL",SUMIFS('GL Dump'!$E:$E,'GL Dump'!$H:$H,Master!$A156,'GL Dump'!$D:$D,Master!M$1),SUMIFS('GL Dump'!$E:$E,'GL Dump'!$H:$H,Master!$A156,'GL Dump'!$D:$D,Master!M$1,'GL Dump'!$C:$C,Master!$G$1))</f>
        <v>0</v>
      </c>
      <c r="N156" s="422">
        <f>IF($G$1="ALL",SUMIFS('GL Dump'!$E:$E,'GL Dump'!$H:$H,Master!$A156,'GL Dump'!$D:$D,Master!N$1),SUMIFS('GL Dump'!$E:$E,'GL Dump'!$H:$H,Master!$A156,'GL Dump'!$D:$D,Master!N$1,'GL Dump'!$C:$C,Master!$G$1))</f>
        <v>0</v>
      </c>
      <c r="O156" s="422">
        <f>IF($G$1="ALL",SUMIFS('GL Dump'!$E:$E,'GL Dump'!$H:$H,Master!$A156,'GL Dump'!$D:$D,Master!O$1),SUMIFS('GL Dump'!$E:$E,'GL Dump'!$H:$H,Master!$A156,'GL Dump'!$D:$D,Master!O$1,'GL Dump'!$C:$C,Master!$G$1))</f>
        <v>0</v>
      </c>
      <c r="P156" s="422">
        <f>IF($G$1="ALL",SUMIFS('GL Dump'!$E:$E,'GL Dump'!$H:$H,Master!$A156,'GL Dump'!$D:$D,Master!P$1),SUMIFS('GL Dump'!$E:$E,'GL Dump'!$H:$H,Master!$A156,'GL Dump'!$D:$D,Master!P$1,'GL Dump'!$C:$C,Master!$G$1))</f>
        <v>0</v>
      </c>
      <c r="Q156" s="422">
        <f>IF($G$1="ALL",SUMIFS('GL Dump'!$E:$E,'GL Dump'!$H:$H,Master!$A156,'GL Dump'!$D:$D,Master!Q$1),SUMIFS('GL Dump'!$E:$E,'GL Dump'!$H:$H,Master!$A156,'GL Dump'!$D:$D,Master!Q$1,'GL Dump'!$C:$C,Master!$G$1))</f>
        <v>0</v>
      </c>
      <c r="R156" s="422">
        <f>IF($G$1="ALL",SUMIFS('GL Dump'!$E:$E,'GL Dump'!$H:$H,Master!$A156,'GL Dump'!$D:$D,Master!R$1),SUMIFS('GL Dump'!$E:$E,'GL Dump'!$H:$H,Master!$A156,'GL Dump'!$D:$D,Master!R$1,'GL Dump'!$C:$C,Master!$G$1))</f>
        <v>0</v>
      </c>
      <c r="S156" s="422">
        <f>IF($G$1="ALL",SUMIFS('GL Dump'!$E:$E,'GL Dump'!$H:$H,Master!$A156,'GL Dump'!$D:$D,Master!S$1),SUMIFS('GL Dump'!$E:$E,'GL Dump'!$H:$H,Master!$A156,'GL Dump'!$D:$D,Master!S$1,'GL Dump'!$C:$C,Master!$G$1))</f>
        <v>0</v>
      </c>
      <c r="T156" s="450"/>
    </row>
    <row r="157" spans="1:20" s="29" customFormat="1" x14ac:dyDescent="0.25">
      <c r="A157" s="382" t="s">
        <v>1329</v>
      </c>
      <c r="B157" s="479" t="s">
        <v>883</v>
      </c>
      <c r="C157" s="248">
        <v>6</v>
      </c>
      <c r="D157" s="249">
        <v>833.33</v>
      </c>
      <c r="E157" s="208">
        <f t="shared" ref="E157:E170" si="7">C157*D157</f>
        <v>4999.9800000000005</v>
      </c>
      <c r="F157" s="387" t="s">
        <v>889</v>
      </c>
      <c r="G157" s="408">
        <f>IFERROR(VLOOKUP(A157,'Promo %'!B:P,3,0),0)</f>
        <v>0</v>
      </c>
      <c r="H157" s="397">
        <f>E157+SUMIFS('GL Dump'!$E:$E,'GL Dump'!$H:$H,Master!A157,'GL Dump'!$D:$D,Master!$I$1)</f>
        <v>4999.9800000000005</v>
      </c>
      <c r="I157" s="81">
        <f>IF($G$1="ALL",SUMIFS('GL Dump'!$E:$E,'GL Dump'!$H:$H,Master!$A157,'GL Dump'!$D:$D,Master!I$1),SUMIFS('GL Dump'!$E:$E,'GL Dump'!$H:$H,Master!$A157,'GL Dump'!$D:$D,Master!I$1,'GL Dump'!$C:$C,Master!$G$1))</f>
        <v>0</v>
      </c>
      <c r="J157" s="81">
        <f>IF($G$1="ALL",SUMIFS('GL Dump'!$E:$E,'GL Dump'!$H:$H,Master!$A157,'GL Dump'!$D:$D,Master!J$1),SUMIFS('GL Dump'!$E:$E,'GL Dump'!$H:$H,Master!$A157,'GL Dump'!$D:$D,Master!J$1,'GL Dump'!$C:$C,Master!$G$1))</f>
        <v>0</v>
      </c>
      <c r="K157" s="81">
        <f>IF($G$1="ALL",SUMIFS('GL Dump'!$E:$E,'GL Dump'!$H:$H,Master!$A157,'GL Dump'!$D:$D,Master!K$1),SUMIFS('GL Dump'!$E:$E,'GL Dump'!$H:$H,Master!$A157,'GL Dump'!$D:$D,Master!K$1,'GL Dump'!$C:$C,Master!$G$1))</f>
        <v>0</v>
      </c>
      <c r="L157" s="81">
        <f>IF($G$1="ALL",SUMIFS('GL Dump'!$E:$E,'GL Dump'!$H:$H,Master!$A157,'GL Dump'!$D:$D,Master!L$1),SUMIFS('GL Dump'!$E:$E,'GL Dump'!$H:$H,Master!$A157,'GL Dump'!$D:$D,Master!L$1,'GL Dump'!$C:$C,Master!$G$1))</f>
        <v>0</v>
      </c>
      <c r="M157" s="81">
        <f>IF($G$1="ALL",SUMIFS('GL Dump'!$E:$E,'GL Dump'!$H:$H,Master!$A157,'GL Dump'!$D:$D,Master!M$1),SUMIFS('GL Dump'!$E:$E,'GL Dump'!$H:$H,Master!$A157,'GL Dump'!$D:$D,Master!M$1,'GL Dump'!$C:$C,Master!$G$1))</f>
        <v>0</v>
      </c>
      <c r="N157" s="81">
        <f>IF($G$1="ALL",SUMIFS('GL Dump'!$E:$E,'GL Dump'!$H:$H,Master!$A157,'GL Dump'!$D:$D,Master!N$1),SUMIFS('GL Dump'!$E:$E,'GL Dump'!$H:$H,Master!$A157,'GL Dump'!$D:$D,Master!N$1,'GL Dump'!$C:$C,Master!$G$1))</f>
        <v>0</v>
      </c>
      <c r="O157" s="81">
        <f>IF($G$1="ALL",SUMIFS('GL Dump'!$E:$E,'GL Dump'!$H:$H,Master!$A157,'GL Dump'!$D:$D,Master!O$1),SUMIFS('GL Dump'!$E:$E,'GL Dump'!$H:$H,Master!$A157,'GL Dump'!$D:$D,Master!O$1,'GL Dump'!$C:$C,Master!$G$1))</f>
        <v>0</v>
      </c>
      <c r="P157" s="81">
        <f>IF($G$1="ALL",SUMIFS('GL Dump'!$E:$E,'GL Dump'!$H:$H,Master!$A157,'GL Dump'!$D:$D,Master!P$1),SUMIFS('GL Dump'!$E:$E,'GL Dump'!$H:$H,Master!$A157,'GL Dump'!$D:$D,Master!P$1,'GL Dump'!$C:$C,Master!$G$1))</f>
        <v>0</v>
      </c>
      <c r="Q157" s="81">
        <f>IF($G$1="ALL",SUMIFS('GL Dump'!$E:$E,'GL Dump'!$H:$H,Master!$A157,'GL Dump'!$D:$D,Master!Q$1),SUMIFS('GL Dump'!$E:$E,'GL Dump'!$H:$H,Master!$A157,'GL Dump'!$D:$D,Master!Q$1,'GL Dump'!$C:$C,Master!$G$1))</f>
        <v>0</v>
      </c>
      <c r="R157" s="81">
        <f>IF($G$1="ALL",SUMIFS('GL Dump'!$E:$E,'GL Dump'!$H:$H,Master!$A157,'GL Dump'!$D:$D,Master!R$1),SUMIFS('GL Dump'!$E:$E,'GL Dump'!$H:$H,Master!$A157,'GL Dump'!$D:$D,Master!R$1,'GL Dump'!$C:$C,Master!$G$1))</f>
        <v>0</v>
      </c>
      <c r="S157" s="81">
        <f>IF($G$1="ALL",SUMIFS('GL Dump'!$E:$E,'GL Dump'!$H:$H,Master!$A157,'GL Dump'!$D:$D,Master!S$1),SUMIFS('GL Dump'!$E:$E,'GL Dump'!$H:$H,Master!$A157,'GL Dump'!$D:$D,Master!S$1,'GL Dump'!$C:$C,Master!$G$1))</f>
        <v>0</v>
      </c>
    </row>
    <row r="158" spans="1:20" s="29" customFormat="1" x14ac:dyDescent="0.25">
      <c r="A158" s="173" t="s">
        <v>3072</v>
      </c>
      <c r="B158" s="269" t="s">
        <v>3281</v>
      </c>
      <c r="C158" s="186">
        <v>0</v>
      </c>
      <c r="D158" s="155">
        <v>1000</v>
      </c>
      <c r="E158" s="156">
        <f t="shared" si="5"/>
        <v>0</v>
      </c>
      <c r="F158" s="290"/>
      <c r="G158" s="408">
        <f>IFERROR(VLOOKUP(A158,'Promo %'!B:P,3,0),0)</f>
        <v>0</v>
      </c>
      <c r="H158" s="397">
        <f>E158+SUMIFS('GL Dump'!$E:$E,'GL Dump'!$H:$H,Master!A158,'GL Dump'!$D:$D,Master!$I$1)</f>
        <v>0</v>
      </c>
      <c r="I158" s="81">
        <f>IF($G$1="ALL",SUMIFS('GL Dump'!$E:$E,'GL Dump'!$H:$H,Master!$A158,'GL Dump'!$D:$D,Master!I$1),SUMIFS('GL Dump'!$E:$E,'GL Dump'!$H:$H,Master!$A158,'GL Dump'!$D:$D,Master!I$1,'GL Dump'!$C:$C,Master!$G$1))</f>
        <v>0</v>
      </c>
      <c r="J158" s="81">
        <f>IF($G$1="ALL",SUMIFS('GL Dump'!$E:$E,'GL Dump'!$H:$H,Master!$A158,'GL Dump'!$D:$D,Master!J$1),SUMIFS('GL Dump'!$E:$E,'GL Dump'!$H:$H,Master!$A158,'GL Dump'!$D:$D,Master!J$1,'GL Dump'!$C:$C,Master!$G$1))</f>
        <v>0</v>
      </c>
      <c r="K158" s="81">
        <f>IF($G$1="ALL",SUMIFS('GL Dump'!$E:$E,'GL Dump'!$H:$H,Master!$A158,'GL Dump'!$D:$D,Master!K$1),SUMIFS('GL Dump'!$E:$E,'GL Dump'!$H:$H,Master!$A158,'GL Dump'!$D:$D,Master!K$1,'GL Dump'!$C:$C,Master!$G$1))</f>
        <v>0</v>
      </c>
      <c r="L158" s="81">
        <f>IF($G$1="ALL",SUMIFS('GL Dump'!$E:$E,'GL Dump'!$H:$H,Master!$A158,'GL Dump'!$D:$D,Master!L$1),SUMIFS('GL Dump'!$E:$E,'GL Dump'!$H:$H,Master!$A158,'GL Dump'!$D:$D,Master!L$1,'GL Dump'!$C:$C,Master!$G$1))</f>
        <v>0</v>
      </c>
      <c r="M158" s="81">
        <f>IF($G$1="ALL",SUMIFS('GL Dump'!$E:$E,'GL Dump'!$H:$H,Master!$A158,'GL Dump'!$D:$D,Master!M$1),SUMIFS('GL Dump'!$E:$E,'GL Dump'!$H:$H,Master!$A158,'GL Dump'!$D:$D,Master!M$1,'GL Dump'!$C:$C,Master!$G$1))</f>
        <v>0</v>
      </c>
      <c r="N158" s="81">
        <f>IF($G$1="ALL",SUMIFS('GL Dump'!$E:$E,'GL Dump'!$H:$H,Master!$A158,'GL Dump'!$D:$D,Master!N$1),SUMIFS('GL Dump'!$E:$E,'GL Dump'!$H:$H,Master!$A158,'GL Dump'!$D:$D,Master!N$1,'GL Dump'!$C:$C,Master!$G$1))</f>
        <v>0</v>
      </c>
      <c r="O158" s="81">
        <f>IF($G$1="ALL",SUMIFS('GL Dump'!$E:$E,'GL Dump'!$H:$H,Master!$A158,'GL Dump'!$D:$D,Master!O$1),SUMIFS('GL Dump'!$E:$E,'GL Dump'!$H:$H,Master!$A158,'GL Dump'!$D:$D,Master!O$1,'GL Dump'!$C:$C,Master!$G$1))</f>
        <v>0</v>
      </c>
      <c r="P158" s="81">
        <f>IF($G$1="ALL",SUMIFS('GL Dump'!$E:$E,'GL Dump'!$H:$H,Master!$A158,'GL Dump'!$D:$D,Master!P$1),SUMIFS('GL Dump'!$E:$E,'GL Dump'!$H:$H,Master!$A158,'GL Dump'!$D:$D,Master!P$1,'GL Dump'!$C:$C,Master!$G$1))</f>
        <v>0</v>
      </c>
      <c r="Q158" s="81">
        <f>IF($G$1="ALL",SUMIFS('GL Dump'!$E:$E,'GL Dump'!$H:$H,Master!$A158,'GL Dump'!$D:$D,Master!Q$1),SUMIFS('GL Dump'!$E:$E,'GL Dump'!$H:$H,Master!$A158,'GL Dump'!$D:$D,Master!Q$1,'GL Dump'!$C:$C,Master!$G$1))</f>
        <v>0</v>
      </c>
      <c r="R158" s="81">
        <f>IF($G$1="ALL",SUMIFS('GL Dump'!$E:$E,'GL Dump'!$H:$H,Master!$A158,'GL Dump'!$D:$D,Master!R$1),SUMIFS('GL Dump'!$E:$E,'GL Dump'!$H:$H,Master!$A158,'GL Dump'!$D:$D,Master!R$1,'GL Dump'!$C:$C,Master!$G$1))</f>
        <v>0</v>
      </c>
      <c r="S158" s="81">
        <f>IF($G$1="ALL",SUMIFS('GL Dump'!$E:$E,'GL Dump'!$H:$H,Master!$A158,'GL Dump'!$D:$D,Master!S$1),SUMIFS('GL Dump'!$E:$E,'GL Dump'!$H:$H,Master!$A158,'GL Dump'!$D:$D,Master!S$1,'GL Dump'!$C:$C,Master!$G$1))</f>
        <v>0</v>
      </c>
    </row>
    <row r="159" spans="1:20" s="29" customFormat="1" x14ac:dyDescent="0.25">
      <c r="A159" s="152" t="s">
        <v>3073</v>
      </c>
      <c r="B159" s="267" t="s">
        <v>898</v>
      </c>
      <c r="C159" s="185">
        <v>0</v>
      </c>
      <c r="D159" s="82">
        <v>1067.44</v>
      </c>
      <c r="E159" s="104">
        <f t="shared" ref="E159:E160" si="8">G159</f>
        <v>0</v>
      </c>
      <c r="F159" s="291"/>
      <c r="G159" s="408">
        <f>IFERROR(VLOOKUP(A159,'Promo %'!B:P,3,0),0)</f>
        <v>0</v>
      </c>
      <c r="H159" s="397">
        <f>E159+SUMIFS('GL Dump'!$E:$E,'GL Dump'!$H:$H,Master!A159,'GL Dump'!$D:$D,Master!$I$1)</f>
        <v>0</v>
      </c>
      <c r="I159" s="81">
        <f>IF($G$1="ALL",SUMIFS('GL Dump'!$E:$E,'GL Dump'!$H:$H,Master!$A159,'GL Dump'!$D:$D,Master!I$1),SUMIFS('GL Dump'!$E:$E,'GL Dump'!$H:$H,Master!$A159,'GL Dump'!$D:$D,Master!I$1,'GL Dump'!$C:$C,Master!$G$1))</f>
        <v>0</v>
      </c>
      <c r="J159" s="81">
        <f>IF($G$1="ALL",SUMIFS('GL Dump'!$E:$E,'GL Dump'!$H:$H,Master!$A159,'GL Dump'!$D:$D,Master!J$1),SUMIFS('GL Dump'!$E:$E,'GL Dump'!$H:$H,Master!$A159,'GL Dump'!$D:$D,Master!J$1,'GL Dump'!$C:$C,Master!$G$1))</f>
        <v>0</v>
      </c>
      <c r="K159" s="81">
        <f>IF($G$1="ALL",SUMIFS('GL Dump'!$E:$E,'GL Dump'!$H:$H,Master!$A159,'GL Dump'!$D:$D,Master!K$1),SUMIFS('GL Dump'!$E:$E,'GL Dump'!$H:$H,Master!$A159,'GL Dump'!$D:$D,Master!K$1,'GL Dump'!$C:$C,Master!$G$1))</f>
        <v>0</v>
      </c>
      <c r="L159" s="81">
        <f>IF($G$1="ALL",SUMIFS('GL Dump'!$E:$E,'GL Dump'!$H:$H,Master!$A159,'GL Dump'!$D:$D,Master!L$1),SUMIFS('GL Dump'!$E:$E,'GL Dump'!$H:$H,Master!$A159,'GL Dump'!$D:$D,Master!L$1,'GL Dump'!$C:$C,Master!$G$1))</f>
        <v>0</v>
      </c>
      <c r="M159" s="81">
        <f>IF($G$1="ALL",SUMIFS('GL Dump'!$E:$E,'GL Dump'!$H:$H,Master!$A159,'GL Dump'!$D:$D,Master!M$1),SUMIFS('GL Dump'!$E:$E,'GL Dump'!$H:$H,Master!$A159,'GL Dump'!$D:$D,Master!M$1,'GL Dump'!$C:$C,Master!$G$1))</f>
        <v>0</v>
      </c>
      <c r="N159" s="81">
        <f>IF($G$1="ALL",SUMIFS('GL Dump'!$E:$E,'GL Dump'!$H:$H,Master!$A159,'GL Dump'!$D:$D,Master!N$1),SUMIFS('GL Dump'!$E:$E,'GL Dump'!$H:$H,Master!$A159,'GL Dump'!$D:$D,Master!N$1,'GL Dump'!$C:$C,Master!$G$1))</f>
        <v>0</v>
      </c>
      <c r="O159" s="81">
        <f>IF($G$1="ALL",SUMIFS('GL Dump'!$E:$E,'GL Dump'!$H:$H,Master!$A159,'GL Dump'!$D:$D,Master!O$1),SUMIFS('GL Dump'!$E:$E,'GL Dump'!$H:$H,Master!$A159,'GL Dump'!$D:$D,Master!O$1,'GL Dump'!$C:$C,Master!$G$1))</f>
        <v>0</v>
      </c>
      <c r="P159" s="81">
        <f>IF($G$1="ALL",SUMIFS('GL Dump'!$E:$E,'GL Dump'!$H:$H,Master!$A159,'GL Dump'!$D:$D,Master!P$1),SUMIFS('GL Dump'!$E:$E,'GL Dump'!$H:$H,Master!$A159,'GL Dump'!$D:$D,Master!P$1,'GL Dump'!$C:$C,Master!$G$1))</f>
        <v>0</v>
      </c>
      <c r="Q159" s="81">
        <f>IF($G$1="ALL",SUMIFS('GL Dump'!$E:$E,'GL Dump'!$H:$H,Master!$A159,'GL Dump'!$D:$D,Master!Q$1),SUMIFS('GL Dump'!$E:$E,'GL Dump'!$H:$H,Master!$A159,'GL Dump'!$D:$D,Master!Q$1,'GL Dump'!$C:$C,Master!$G$1))</f>
        <v>0</v>
      </c>
      <c r="R159" s="81">
        <f>IF($G$1="ALL",SUMIFS('GL Dump'!$E:$E,'GL Dump'!$H:$H,Master!$A159,'GL Dump'!$D:$D,Master!R$1),SUMIFS('GL Dump'!$E:$E,'GL Dump'!$H:$H,Master!$A159,'GL Dump'!$D:$D,Master!R$1,'GL Dump'!$C:$C,Master!$G$1))</f>
        <v>0</v>
      </c>
      <c r="S159" s="81">
        <f>IF($G$1="ALL",SUMIFS('GL Dump'!$E:$E,'GL Dump'!$H:$H,Master!$A159,'GL Dump'!$D:$D,Master!S$1),SUMIFS('GL Dump'!$E:$E,'GL Dump'!$H:$H,Master!$A159,'GL Dump'!$D:$D,Master!S$1,'GL Dump'!$C:$C,Master!$G$1))</f>
        <v>0</v>
      </c>
    </row>
    <row r="160" spans="1:20" s="29" customFormat="1" x14ac:dyDescent="0.25">
      <c r="A160" s="476" t="s">
        <v>3074</v>
      </c>
      <c r="B160" s="454" t="s">
        <v>898</v>
      </c>
      <c r="C160" s="446">
        <v>0</v>
      </c>
      <c r="D160" s="447">
        <v>806.8</v>
      </c>
      <c r="E160" s="440">
        <f t="shared" si="8"/>
        <v>0</v>
      </c>
      <c r="F160" s="477"/>
      <c r="G160" s="408">
        <f>IFERROR(VLOOKUP(A160,'Promo %'!B:P,3,0),0)</f>
        <v>0</v>
      </c>
      <c r="H160" s="421">
        <f>E160+SUMIFS('GL Dump'!$E:$E,'GL Dump'!$H:$H,Master!A160,'GL Dump'!$D:$D,Master!$I$1)</f>
        <v>0</v>
      </c>
      <c r="I160" s="422">
        <f>IF($G$1="ALL",SUMIFS('GL Dump'!$E:$E,'GL Dump'!$H:$H,Master!$A160,'GL Dump'!$D:$D,Master!I$1),SUMIFS('GL Dump'!$E:$E,'GL Dump'!$H:$H,Master!$A160,'GL Dump'!$D:$D,Master!I$1,'GL Dump'!$C:$C,Master!$G$1))</f>
        <v>0</v>
      </c>
      <c r="J160" s="422">
        <f>IF($G$1="ALL",SUMIFS('GL Dump'!$E:$E,'GL Dump'!$H:$H,Master!$A160,'GL Dump'!$D:$D,Master!J$1),SUMIFS('GL Dump'!$E:$E,'GL Dump'!$H:$H,Master!$A160,'GL Dump'!$D:$D,Master!J$1,'GL Dump'!$C:$C,Master!$G$1))</f>
        <v>0</v>
      </c>
      <c r="K160" s="422">
        <f>IF($G$1="ALL",SUMIFS('GL Dump'!$E:$E,'GL Dump'!$H:$H,Master!$A160,'GL Dump'!$D:$D,Master!K$1),SUMIFS('GL Dump'!$E:$E,'GL Dump'!$H:$H,Master!$A160,'GL Dump'!$D:$D,Master!K$1,'GL Dump'!$C:$C,Master!$G$1))</f>
        <v>0</v>
      </c>
      <c r="L160" s="422">
        <f>IF($G$1="ALL",SUMIFS('GL Dump'!$E:$E,'GL Dump'!$H:$H,Master!$A160,'GL Dump'!$D:$D,Master!L$1),SUMIFS('GL Dump'!$E:$E,'GL Dump'!$H:$H,Master!$A160,'GL Dump'!$D:$D,Master!L$1,'GL Dump'!$C:$C,Master!$G$1))</f>
        <v>0</v>
      </c>
      <c r="M160" s="422">
        <f>IF($G$1="ALL",SUMIFS('GL Dump'!$E:$E,'GL Dump'!$H:$H,Master!$A160,'GL Dump'!$D:$D,Master!M$1),SUMIFS('GL Dump'!$E:$E,'GL Dump'!$H:$H,Master!$A160,'GL Dump'!$D:$D,Master!M$1,'GL Dump'!$C:$C,Master!$G$1))</f>
        <v>0</v>
      </c>
      <c r="N160" s="422">
        <f>IF($G$1="ALL",SUMIFS('GL Dump'!$E:$E,'GL Dump'!$H:$H,Master!$A160,'GL Dump'!$D:$D,Master!N$1),SUMIFS('GL Dump'!$E:$E,'GL Dump'!$H:$H,Master!$A160,'GL Dump'!$D:$D,Master!N$1,'GL Dump'!$C:$C,Master!$G$1))</f>
        <v>0</v>
      </c>
      <c r="O160" s="422">
        <f>IF($G$1="ALL",SUMIFS('GL Dump'!$E:$E,'GL Dump'!$H:$H,Master!$A160,'GL Dump'!$D:$D,Master!O$1),SUMIFS('GL Dump'!$E:$E,'GL Dump'!$H:$H,Master!$A160,'GL Dump'!$D:$D,Master!O$1,'GL Dump'!$C:$C,Master!$G$1))</f>
        <v>0</v>
      </c>
      <c r="P160" s="422">
        <f>IF($G$1="ALL",SUMIFS('GL Dump'!$E:$E,'GL Dump'!$H:$H,Master!$A160,'GL Dump'!$D:$D,Master!P$1),SUMIFS('GL Dump'!$E:$E,'GL Dump'!$H:$H,Master!$A160,'GL Dump'!$D:$D,Master!P$1,'GL Dump'!$C:$C,Master!$G$1))</f>
        <v>0</v>
      </c>
      <c r="Q160" s="422">
        <f>IF($G$1="ALL",SUMIFS('GL Dump'!$E:$E,'GL Dump'!$H:$H,Master!$A160,'GL Dump'!$D:$D,Master!Q$1),SUMIFS('GL Dump'!$E:$E,'GL Dump'!$H:$H,Master!$A160,'GL Dump'!$D:$D,Master!Q$1,'GL Dump'!$C:$C,Master!$G$1))</f>
        <v>0</v>
      </c>
      <c r="R160" s="422">
        <f>IF($G$1="ALL",SUMIFS('GL Dump'!$E:$E,'GL Dump'!$H:$H,Master!$A160,'GL Dump'!$D:$D,Master!R$1),SUMIFS('GL Dump'!$E:$E,'GL Dump'!$H:$H,Master!$A160,'GL Dump'!$D:$D,Master!R$1,'GL Dump'!$C:$C,Master!$G$1))</f>
        <v>0</v>
      </c>
      <c r="S160" s="422">
        <f>IF($G$1="ALL",SUMIFS('GL Dump'!$E:$E,'GL Dump'!$H:$H,Master!$A160,'GL Dump'!$D:$D,Master!S$1),SUMIFS('GL Dump'!$E:$E,'GL Dump'!$H:$H,Master!$A160,'GL Dump'!$D:$D,Master!S$1,'GL Dump'!$C:$C,Master!$G$1))</f>
        <v>0</v>
      </c>
      <c r="T160" s="450"/>
    </row>
    <row r="161" spans="1:20" s="29" customFormat="1" x14ac:dyDescent="0.25">
      <c r="A161" s="173" t="s">
        <v>3075</v>
      </c>
      <c r="B161" s="269" t="s">
        <v>885</v>
      </c>
      <c r="C161" s="186">
        <v>0</v>
      </c>
      <c r="D161" s="159">
        <v>1000</v>
      </c>
      <c r="E161" s="160">
        <f t="shared" si="7"/>
        <v>0</v>
      </c>
      <c r="F161" s="266" t="s">
        <v>890</v>
      </c>
      <c r="G161" s="408">
        <f>IFERROR(VLOOKUP(A161,'Promo %'!B:P,3,0),0)</f>
        <v>0</v>
      </c>
      <c r="H161" s="397">
        <f>E161+SUMIFS('GL Dump'!$E:$E,'GL Dump'!$H:$H,Master!A161,'GL Dump'!$D:$D,Master!$I$1)</f>
        <v>0</v>
      </c>
      <c r="I161" s="81">
        <f>IF($G$1="ALL",SUMIFS('GL Dump'!$E:$E,'GL Dump'!$H:$H,Master!$A161,'GL Dump'!$D:$D,Master!I$1),SUMIFS('GL Dump'!$E:$E,'GL Dump'!$H:$H,Master!$A161,'GL Dump'!$D:$D,Master!I$1,'GL Dump'!$C:$C,Master!$G$1))</f>
        <v>0</v>
      </c>
      <c r="J161" s="81">
        <f>IF($G$1="ALL",SUMIFS('GL Dump'!$E:$E,'GL Dump'!$H:$H,Master!$A161,'GL Dump'!$D:$D,Master!J$1),SUMIFS('GL Dump'!$E:$E,'GL Dump'!$H:$H,Master!$A161,'GL Dump'!$D:$D,Master!J$1,'GL Dump'!$C:$C,Master!$G$1))</f>
        <v>0</v>
      </c>
      <c r="K161" s="81">
        <f>IF($G$1="ALL",SUMIFS('GL Dump'!$E:$E,'GL Dump'!$H:$H,Master!$A161,'GL Dump'!$D:$D,Master!K$1),SUMIFS('GL Dump'!$E:$E,'GL Dump'!$H:$H,Master!$A161,'GL Dump'!$D:$D,Master!K$1,'GL Dump'!$C:$C,Master!$G$1))</f>
        <v>0</v>
      </c>
      <c r="L161" s="81">
        <f>IF($G$1="ALL",SUMIFS('GL Dump'!$E:$E,'GL Dump'!$H:$H,Master!$A161,'GL Dump'!$D:$D,Master!L$1),SUMIFS('GL Dump'!$E:$E,'GL Dump'!$H:$H,Master!$A161,'GL Dump'!$D:$D,Master!L$1,'GL Dump'!$C:$C,Master!$G$1))</f>
        <v>0</v>
      </c>
      <c r="M161" s="81">
        <f>IF($G$1="ALL",SUMIFS('GL Dump'!$E:$E,'GL Dump'!$H:$H,Master!$A161,'GL Dump'!$D:$D,Master!M$1),SUMIFS('GL Dump'!$E:$E,'GL Dump'!$H:$H,Master!$A161,'GL Dump'!$D:$D,Master!M$1,'GL Dump'!$C:$C,Master!$G$1))</f>
        <v>0</v>
      </c>
      <c r="N161" s="81">
        <f>IF($G$1="ALL",SUMIFS('GL Dump'!$E:$E,'GL Dump'!$H:$H,Master!$A161,'GL Dump'!$D:$D,Master!N$1),SUMIFS('GL Dump'!$E:$E,'GL Dump'!$H:$H,Master!$A161,'GL Dump'!$D:$D,Master!N$1,'GL Dump'!$C:$C,Master!$G$1))</f>
        <v>0</v>
      </c>
      <c r="O161" s="81">
        <f>IF($G$1="ALL",SUMIFS('GL Dump'!$E:$E,'GL Dump'!$H:$H,Master!$A161,'GL Dump'!$D:$D,Master!O$1),SUMIFS('GL Dump'!$E:$E,'GL Dump'!$H:$H,Master!$A161,'GL Dump'!$D:$D,Master!O$1,'GL Dump'!$C:$C,Master!$G$1))</f>
        <v>0</v>
      </c>
      <c r="P161" s="81">
        <f>IF($G$1="ALL",SUMIFS('GL Dump'!$E:$E,'GL Dump'!$H:$H,Master!$A161,'GL Dump'!$D:$D,Master!P$1),SUMIFS('GL Dump'!$E:$E,'GL Dump'!$H:$H,Master!$A161,'GL Dump'!$D:$D,Master!P$1,'GL Dump'!$C:$C,Master!$G$1))</f>
        <v>0</v>
      </c>
      <c r="Q161" s="81">
        <f>IF($G$1="ALL",SUMIFS('GL Dump'!$E:$E,'GL Dump'!$H:$H,Master!$A161,'GL Dump'!$D:$D,Master!Q$1),SUMIFS('GL Dump'!$E:$E,'GL Dump'!$H:$H,Master!$A161,'GL Dump'!$D:$D,Master!Q$1,'GL Dump'!$C:$C,Master!$G$1))</f>
        <v>0</v>
      </c>
      <c r="R161" s="81">
        <f>IF($G$1="ALL",SUMIFS('GL Dump'!$E:$E,'GL Dump'!$H:$H,Master!$A161,'GL Dump'!$D:$D,Master!R$1),SUMIFS('GL Dump'!$E:$E,'GL Dump'!$H:$H,Master!$A161,'GL Dump'!$D:$D,Master!R$1,'GL Dump'!$C:$C,Master!$G$1))</f>
        <v>0</v>
      </c>
      <c r="S161" s="81">
        <f>IF($G$1="ALL",SUMIFS('GL Dump'!$E:$E,'GL Dump'!$H:$H,Master!$A161,'GL Dump'!$D:$D,Master!S$1),SUMIFS('GL Dump'!$E:$E,'GL Dump'!$H:$H,Master!$A161,'GL Dump'!$D:$D,Master!S$1,'GL Dump'!$C:$C,Master!$G$1))</f>
        <v>0</v>
      </c>
    </row>
    <row r="162" spans="1:20" s="29" customFormat="1" x14ac:dyDescent="0.25">
      <c r="A162" s="152" t="s">
        <v>1330</v>
      </c>
      <c r="B162" s="267" t="s">
        <v>898</v>
      </c>
      <c r="C162" s="185">
        <v>0</v>
      </c>
      <c r="D162" s="82">
        <v>1250</v>
      </c>
      <c r="E162" s="104">
        <f t="shared" ref="E162:E165" si="9">G162</f>
        <v>64.9024</v>
      </c>
      <c r="F162" s="289" t="s">
        <v>928</v>
      </c>
      <c r="G162" s="408">
        <f>IFERROR(VLOOKUP(A162,'Promo %'!B:P,3,0),0)</f>
        <v>64.9024</v>
      </c>
      <c r="H162" s="397">
        <f>E162+SUMIFS('GL Dump'!$E:$E,'GL Dump'!$H:$H,Master!A162,'GL Dump'!$D:$D,Master!$I$1)</f>
        <v>64.9024</v>
      </c>
      <c r="I162" s="81">
        <f>IF($G$1="ALL",SUMIFS('GL Dump'!$E:$E,'GL Dump'!$H:$H,Master!$A162,'GL Dump'!$D:$D,Master!I$1),SUMIFS('GL Dump'!$E:$E,'GL Dump'!$H:$H,Master!$A162,'GL Dump'!$D:$D,Master!I$1,'GL Dump'!$C:$C,Master!$G$1))</f>
        <v>0</v>
      </c>
      <c r="J162" s="81">
        <f>IF($G$1="ALL",SUMIFS('GL Dump'!$E:$E,'GL Dump'!$H:$H,Master!$A162,'GL Dump'!$D:$D,Master!J$1),SUMIFS('GL Dump'!$E:$E,'GL Dump'!$H:$H,Master!$A162,'GL Dump'!$D:$D,Master!J$1,'GL Dump'!$C:$C,Master!$G$1))</f>
        <v>0</v>
      </c>
      <c r="K162" s="81">
        <f>IF($G$1="ALL",SUMIFS('GL Dump'!$E:$E,'GL Dump'!$H:$H,Master!$A162,'GL Dump'!$D:$D,Master!K$1),SUMIFS('GL Dump'!$E:$E,'GL Dump'!$H:$H,Master!$A162,'GL Dump'!$D:$D,Master!K$1,'GL Dump'!$C:$C,Master!$G$1))</f>
        <v>0</v>
      </c>
      <c r="L162" s="81">
        <f>IF($G$1="ALL",SUMIFS('GL Dump'!$E:$E,'GL Dump'!$H:$H,Master!$A162,'GL Dump'!$D:$D,Master!L$1),SUMIFS('GL Dump'!$E:$E,'GL Dump'!$H:$H,Master!$A162,'GL Dump'!$D:$D,Master!L$1,'GL Dump'!$C:$C,Master!$G$1))</f>
        <v>0</v>
      </c>
      <c r="M162" s="81">
        <f>IF($G$1="ALL",SUMIFS('GL Dump'!$E:$E,'GL Dump'!$H:$H,Master!$A162,'GL Dump'!$D:$D,Master!M$1),SUMIFS('GL Dump'!$E:$E,'GL Dump'!$H:$H,Master!$A162,'GL Dump'!$D:$D,Master!M$1,'GL Dump'!$C:$C,Master!$G$1))</f>
        <v>0</v>
      </c>
      <c r="N162" s="81">
        <f>IF($G$1="ALL",SUMIFS('GL Dump'!$E:$E,'GL Dump'!$H:$H,Master!$A162,'GL Dump'!$D:$D,Master!N$1),SUMIFS('GL Dump'!$E:$E,'GL Dump'!$H:$H,Master!$A162,'GL Dump'!$D:$D,Master!N$1,'GL Dump'!$C:$C,Master!$G$1))</f>
        <v>0</v>
      </c>
      <c r="O162" s="81">
        <f>IF($G$1="ALL",SUMIFS('GL Dump'!$E:$E,'GL Dump'!$H:$H,Master!$A162,'GL Dump'!$D:$D,Master!O$1),SUMIFS('GL Dump'!$E:$E,'GL Dump'!$H:$H,Master!$A162,'GL Dump'!$D:$D,Master!O$1,'GL Dump'!$C:$C,Master!$G$1))</f>
        <v>0</v>
      </c>
      <c r="P162" s="81">
        <f>IF($G$1="ALL",SUMIFS('GL Dump'!$E:$E,'GL Dump'!$H:$H,Master!$A162,'GL Dump'!$D:$D,Master!P$1),SUMIFS('GL Dump'!$E:$E,'GL Dump'!$H:$H,Master!$A162,'GL Dump'!$D:$D,Master!P$1,'GL Dump'!$C:$C,Master!$G$1))</f>
        <v>0</v>
      </c>
      <c r="Q162" s="81">
        <f>IF($G$1="ALL",SUMIFS('GL Dump'!$E:$E,'GL Dump'!$H:$H,Master!$A162,'GL Dump'!$D:$D,Master!Q$1),SUMIFS('GL Dump'!$E:$E,'GL Dump'!$H:$H,Master!$A162,'GL Dump'!$D:$D,Master!Q$1,'GL Dump'!$C:$C,Master!$G$1))</f>
        <v>0</v>
      </c>
      <c r="R162" s="81">
        <f>IF($G$1="ALL",SUMIFS('GL Dump'!$E:$E,'GL Dump'!$H:$H,Master!$A162,'GL Dump'!$D:$D,Master!R$1),SUMIFS('GL Dump'!$E:$E,'GL Dump'!$H:$H,Master!$A162,'GL Dump'!$D:$D,Master!R$1,'GL Dump'!$C:$C,Master!$G$1))</f>
        <v>0</v>
      </c>
      <c r="S162" s="81">
        <f>IF($G$1="ALL",SUMIFS('GL Dump'!$E:$E,'GL Dump'!$H:$H,Master!$A162,'GL Dump'!$D:$D,Master!S$1),SUMIFS('GL Dump'!$E:$E,'GL Dump'!$H:$H,Master!$A162,'GL Dump'!$D:$D,Master!S$1,'GL Dump'!$C:$C,Master!$G$1))</f>
        <v>0</v>
      </c>
    </row>
    <row r="163" spans="1:20" s="29" customFormat="1" x14ac:dyDescent="0.25">
      <c r="A163" s="476" t="s">
        <v>3076</v>
      </c>
      <c r="B163" s="454" t="s">
        <v>898</v>
      </c>
      <c r="C163" s="446">
        <v>0</v>
      </c>
      <c r="D163" s="447">
        <v>483.93</v>
      </c>
      <c r="E163" s="440">
        <f t="shared" si="9"/>
        <v>0</v>
      </c>
      <c r="F163" s="477"/>
      <c r="G163" s="408">
        <f>IFERROR(VLOOKUP(A163,'Promo %'!B:P,3,0),0)</f>
        <v>0</v>
      </c>
      <c r="H163" s="421">
        <f>E163+SUMIFS('GL Dump'!$E:$E,'GL Dump'!$H:$H,Master!A163,'GL Dump'!$D:$D,Master!$I$1)</f>
        <v>0</v>
      </c>
      <c r="I163" s="422">
        <f>IF($G$1="ALL",SUMIFS('GL Dump'!$E:$E,'GL Dump'!$H:$H,Master!$A163,'GL Dump'!$D:$D,Master!I$1),SUMIFS('GL Dump'!$E:$E,'GL Dump'!$H:$H,Master!$A163,'GL Dump'!$D:$D,Master!I$1,'GL Dump'!$C:$C,Master!$G$1))</f>
        <v>0</v>
      </c>
      <c r="J163" s="422">
        <f>IF($G$1="ALL",SUMIFS('GL Dump'!$E:$E,'GL Dump'!$H:$H,Master!$A163,'GL Dump'!$D:$D,Master!J$1),SUMIFS('GL Dump'!$E:$E,'GL Dump'!$H:$H,Master!$A163,'GL Dump'!$D:$D,Master!J$1,'GL Dump'!$C:$C,Master!$G$1))</f>
        <v>0</v>
      </c>
      <c r="K163" s="422">
        <f>IF($G$1="ALL",SUMIFS('GL Dump'!$E:$E,'GL Dump'!$H:$H,Master!$A163,'GL Dump'!$D:$D,Master!K$1),SUMIFS('GL Dump'!$E:$E,'GL Dump'!$H:$H,Master!$A163,'GL Dump'!$D:$D,Master!K$1,'GL Dump'!$C:$C,Master!$G$1))</f>
        <v>0</v>
      </c>
      <c r="L163" s="422">
        <f>IF($G$1="ALL",SUMIFS('GL Dump'!$E:$E,'GL Dump'!$H:$H,Master!$A163,'GL Dump'!$D:$D,Master!L$1),SUMIFS('GL Dump'!$E:$E,'GL Dump'!$H:$H,Master!$A163,'GL Dump'!$D:$D,Master!L$1,'GL Dump'!$C:$C,Master!$G$1))</f>
        <v>0</v>
      </c>
      <c r="M163" s="422">
        <f>IF($G$1="ALL",SUMIFS('GL Dump'!$E:$E,'GL Dump'!$H:$H,Master!$A163,'GL Dump'!$D:$D,Master!M$1),SUMIFS('GL Dump'!$E:$E,'GL Dump'!$H:$H,Master!$A163,'GL Dump'!$D:$D,Master!M$1,'GL Dump'!$C:$C,Master!$G$1))</f>
        <v>0</v>
      </c>
      <c r="N163" s="422">
        <f>IF($G$1="ALL",SUMIFS('GL Dump'!$E:$E,'GL Dump'!$H:$H,Master!$A163,'GL Dump'!$D:$D,Master!N$1),SUMIFS('GL Dump'!$E:$E,'GL Dump'!$H:$H,Master!$A163,'GL Dump'!$D:$D,Master!N$1,'GL Dump'!$C:$C,Master!$G$1))</f>
        <v>0</v>
      </c>
      <c r="O163" s="422">
        <f>IF($G$1="ALL",SUMIFS('GL Dump'!$E:$E,'GL Dump'!$H:$H,Master!$A163,'GL Dump'!$D:$D,Master!O$1),SUMIFS('GL Dump'!$E:$E,'GL Dump'!$H:$H,Master!$A163,'GL Dump'!$D:$D,Master!O$1,'GL Dump'!$C:$C,Master!$G$1))</f>
        <v>0</v>
      </c>
      <c r="P163" s="422">
        <f>IF($G$1="ALL",SUMIFS('GL Dump'!$E:$E,'GL Dump'!$H:$H,Master!$A163,'GL Dump'!$D:$D,Master!P$1),SUMIFS('GL Dump'!$E:$E,'GL Dump'!$H:$H,Master!$A163,'GL Dump'!$D:$D,Master!P$1,'GL Dump'!$C:$C,Master!$G$1))</f>
        <v>0</v>
      </c>
      <c r="Q163" s="422">
        <f>IF($G$1="ALL",SUMIFS('GL Dump'!$E:$E,'GL Dump'!$H:$H,Master!$A163,'GL Dump'!$D:$D,Master!Q$1),SUMIFS('GL Dump'!$E:$E,'GL Dump'!$H:$H,Master!$A163,'GL Dump'!$D:$D,Master!Q$1,'GL Dump'!$C:$C,Master!$G$1))</f>
        <v>0</v>
      </c>
      <c r="R163" s="422">
        <f>IF($G$1="ALL",SUMIFS('GL Dump'!$E:$E,'GL Dump'!$H:$H,Master!$A163,'GL Dump'!$D:$D,Master!R$1),SUMIFS('GL Dump'!$E:$E,'GL Dump'!$H:$H,Master!$A163,'GL Dump'!$D:$D,Master!R$1,'GL Dump'!$C:$C,Master!$G$1))</f>
        <v>0</v>
      </c>
      <c r="S163" s="422">
        <f>IF($G$1="ALL",SUMIFS('GL Dump'!$E:$E,'GL Dump'!$H:$H,Master!$A163,'GL Dump'!$D:$D,Master!S$1),SUMIFS('GL Dump'!$E:$E,'GL Dump'!$H:$H,Master!$A163,'GL Dump'!$D:$D,Master!S$1,'GL Dump'!$C:$C,Master!$G$1))</f>
        <v>0</v>
      </c>
      <c r="T163" s="450"/>
    </row>
    <row r="164" spans="1:20" s="29" customFormat="1" x14ac:dyDescent="0.25">
      <c r="A164" s="152" t="s">
        <v>1331</v>
      </c>
      <c r="B164" s="267" t="s">
        <v>898</v>
      </c>
      <c r="C164" s="185">
        <v>0</v>
      </c>
      <c r="D164" s="82">
        <v>2992.66</v>
      </c>
      <c r="E164" s="104">
        <f t="shared" si="9"/>
        <v>2061.6396000000004</v>
      </c>
      <c r="F164" s="289" t="s">
        <v>928</v>
      </c>
      <c r="G164" s="408">
        <f>IFERROR(VLOOKUP(A164,'Promo %'!B:P,3,0),0)</f>
        <v>2061.6396000000004</v>
      </c>
      <c r="H164" s="397">
        <f>E164+SUMIFS('GL Dump'!$E:$E,'GL Dump'!$H:$H,Master!A164,'GL Dump'!$D:$D,Master!$I$1)</f>
        <v>2061.6396000000004</v>
      </c>
      <c r="I164" s="81">
        <f>IF($G$1="ALL",SUMIFS('GL Dump'!$E:$E,'GL Dump'!$H:$H,Master!$A164,'GL Dump'!$D:$D,Master!I$1),SUMIFS('GL Dump'!$E:$E,'GL Dump'!$H:$H,Master!$A164,'GL Dump'!$D:$D,Master!I$1,'GL Dump'!$C:$C,Master!$G$1))</f>
        <v>0</v>
      </c>
      <c r="J164" s="81">
        <f>IF($G$1="ALL",SUMIFS('GL Dump'!$E:$E,'GL Dump'!$H:$H,Master!$A164,'GL Dump'!$D:$D,Master!J$1),SUMIFS('GL Dump'!$E:$E,'GL Dump'!$H:$H,Master!$A164,'GL Dump'!$D:$D,Master!J$1,'GL Dump'!$C:$C,Master!$G$1))</f>
        <v>0</v>
      </c>
      <c r="K164" s="81">
        <f>IF($G$1="ALL",SUMIFS('GL Dump'!$E:$E,'GL Dump'!$H:$H,Master!$A164,'GL Dump'!$D:$D,Master!K$1),SUMIFS('GL Dump'!$E:$E,'GL Dump'!$H:$H,Master!$A164,'GL Dump'!$D:$D,Master!K$1,'GL Dump'!$C:$C,Master!$G$1))</f>
        <v>0</v>
      </c>
      <c r="L164" s="81">
        <f>IF($G$1="ALL",SUMIFS('GL Dump'!$E:$E,'GL Dump'!$H:$H,Master!$A164,'GL Dump'!$D:$D,Master!L$1),SUMIFS('GL Dump'!$E:$E,'GL Dump'!$H:$H,Master!$A164,'GL Dump'!$D:$D,Master!L$1,'GL Dump'!$C:$C,Master!$G$1))</f>
        <v>0</v>
      </c>
      <c r="M164" s="81">
        <f>IF($G$1="ALL",SUMIFS('GL Dump'!$E:$E,'GL Dump'!$H:$H,Master!$A164,'GL Dump'!$D:$D,Master!M$1),SUMIFS('GL Dump'!$E:$E,'GL Dump'!$H:$H,Master!$A164,'GL Dump'!$D:$D,Master!M$1,'GL Dump'!$C:$C,Master!$G$1))</f>
        <v>0</v>
      </c>
      <c r="N164" s="81">
        <f>IF($G$1="ALL",SUMIFS('GL Dump'!$E:$E,'GL Dump'!$H:$H,Master!$A164,'GL Dump'!$D:$D,Master!N$1),SUMIFS('GL Dump'!$E:$E,'GL Dump'!$H:$H,Master!$A164,'GL Dump'!$D:$D,Master!N$1,'GL Dump'!$C:$C,Master!$G$1))</f>
        <v>0</v>
      </c>
      <c r="O164" s="81">
        <f>IF($G$1="ALL",SUMIFS('GL Dump'!$E:$E,'GL Dump'!$H:$H,Master!$A164,'GL Dump'!$D:$D,Master!O$1),SUMIFS('GL Dump'!$E:$E,'GL Dump'!$H:$H,Master!$A164,'GL Dump'!$D:$D,Master!O$1,'GL Dump'!$C:$C,Master!$G$1))</f>
        <v>0</v>
      </c>
      <c r="P164" s="81">
        <f>IF($G$1="ALL",SUMIFS('GL Dump'!$E:$E,'GL Dump'!$H:$H,Master!$A164,'GL Dump'!$D:$D,Master!P$1),SUMIFS('GL Dump'!$E:$E,'GL Dump'!$H:$H,Master!$A164,'GL Dump'!$D:$D,Master!P$1,'GL Dump'!$C:$C,Master!$G$1))</f>
        <v>0</v>
      </c>
      <c r="Q164" s="81">
        <f>IF($G$1="ALL",SUMIFS('GL Dump'!$E:$E,'GL Dump'!$H:$H,Master!$A164,'GL Dump'!$D:$D,Master!Q$1),SUMIFS('GL Dump'!$E:$E,'GL Dump'!$H:$H,Master!$A164,'GL Dump'!$D:$D,Master!Q$1,'GL Dump'!$C:$C,Master!$G$1))</f>
        <v>0</v>
      </c>
      <c r="R164" s="81">
        <f>IF($G$1="ALL",SUMIFS('GL Dump'!$E:$E,'GL Dump'!$H:$H,Master!$A164,'GL Dump'!$D:$D,Master!R$1),SUMIFS('GL Dump'!$E:$E,'GL Dump'!$H:$H,Master!$A164,'GL Dump'!$D:$D,Master!R$1,'GL Dump'!$C:$C,Master!$G$1))</f>
        <v>0</v>
      </c>
      <c r="S164" s="81">
        <f>IF($G$1="ALL",SUMIFS('GL Dump'!$E:$E,'GL Dump'!$H:$H,Master!$A164,'GL Dump'!$D:$D,Master!S$1),SUMIFS('GL Dump'!$E:$E,'GL Dump'!$H:$H,Master!$A164,'GL Dump'!$D:$D,Master!S$1,'GL Dump'!$C:$C,Master!$G$1))</f>
        <v>0</v>
      </c>
    </row>
    <row r="165" spans="1:20" s="29" customFormat="1" x14ac:dyDescent="0.25">
      <c r="A165" s="476" t="s">
        <v>1332</v>
      </c>
      <c r="B165" s="454" t="s">
        <v>898</v>
      </c>
      <c r="C165" s="446">
        <v>0</v>
      </c>
      <c r="D165" s="447">
        <v>1238.74</v>
      </c>
      <c r="E165" s="440">
        <f t="shared" si="9"/>
        <v>567.64089999999999</v>
      </c>
      <c r="F165" s="477" t="s">
        <v>928</v>
      </c>
      <c r="G165" s="408">
        <f>IFERROR(VLOOKUP(A165,'Promo %'!B:P,3,0),0)</f>
        <v>567.64089999999999</v>
      </c>
      <c r="H165" s="421">
        <f>E165+SUMIFS('GL Dump'!$E:$E,'GL Dump'!$H:$H,Master!A165,'GL Dump'!$D:$D,Master!$I$1)</f>
        <v>567.64089999999999</v>
      </c>
      <c r="I165" s="422">
        <f>IF($G$1="ALL",SUMIFS('GL Dump'!$E:$E,'GL Dump'!$H:$H,Master!$A165,'GL Dump'!$D:$D,Master!I$1),SUMIFS('GL Dump'!$E:$E,'GL Dump'!$H:$H,Master!$A165,'GL Dump'!$D:$D,Master!I$1,'GL Dump'!$C:$C,Master!$G$1))</f>
        <v>0</v>
      </c>
      <c r="J165" s="422">
        <f>IF($G$1="ALL",SUMIFS('GL Dump'!$E:$E,'GL Dump'!$H:$H,Master!$A165,'GL Dump'!$D:$D,Master!J$1),SUMIFS('GL Dump'!$E:$E,'GL Dump'!$H:$H,Master!$A165,'GL Dump'!$D:$D,Master!J$1,'GL Dump'!$C:$C,Master!$G$1))</f>
        <v>0</v>
      </c>
      <c r="K165" s="422">
        <f>IF($G$1="ALL",SUMIFS('GL Dump'!$E:$E,'GL Dump'!$H:$H,Master!$A165,'GL Dump'!$D:$D,Master!K$1),SUMIFS('GL Dump'!$E:$E,'GL Dump'!$H:$H,Master!$A165,'GL Dump'!$D:$D,Master!K$1,'GL Dump'!$C:$C,Master!$G$1))</f>
        <v>0</v>
      </c>
      <c r="L165" s="422">
        <f>IF($G$1="ALL",SUMIFS('GL Dump'!$E:$E,'GL Dump'!$H:$H,Master!$A165,'GL Dump'!$D:$D,Master!L$1),SUMIFS('GL Dump'!$E:$E,'GL Dump'!$H:$H,Master!$A165,'GL Dump'!$D:$D,Master!L$1,'GL Dump'!$C:$C,Master!$G$1))</f>
        <v>0</v>
      </c>
      <c r="M165" s="422">
        <f>IF($G$1="ALL",SUMIFS('GL Dump'!$E:$E,'GL Dump'!$H:$H,Master!$A165,'GL Dump'!$D:$D,Master!M$1),SUMIFS('GL Dump'!$E:$E,'GL Dump'!$H:$H,Master!$A165,'GL Dump'!$D:$D,Master!M$1,'GL Dump'!$C:$C,Master!$G$1))</f>
        <v>0</v>
      </c>
      <c r="N165" s="422">
        <f>IF($G$1="ALL",SUMIFS('GL Dump'!$E:$E,'GL Dump'!$H:$H,Master!$A165,'GL Dump'!$D:$D,Master!N$1),SUMIFS('GL Dump'!$E:$E,'GL Dump'!$H:$H,Master!$A165,'GL Dump'!$D:$D,Master!N$1,'GL Dump'!$C:$C,Master!$G$1))</f>
        <v>0</v>
      </c>
      <c r="O165" s="422">
        <f>IF($G$1="ALL",SUMIFS('GL Dump'!$E:$E,'GL Dump'!$H:$H,Master!$A165,'GL Dump'!$D:$D,Master!O$1),SUMIFS('GL Dump'!$E:$E,'GL Dump'!$H:$H,Master!$A165,'GL Dump'!$D:$D,Master!O$1,'GL Dump'!$C:$C,Master!$G$1))</f>
        <v>0</v>
      </c>
      <c r="P165" s="422">
        <f>IF($G$1="ALL",SUMIFS('GL Dump'!$E:$E,'GL Dump'!$H:$H,Master!$A165,'GL Dump'!$D:$D,Master!P$1),SUMIFS('GL Dump'!$E:$E,'GL Dump'!$H:$H,Master!$A165,'GL Dump'!$D:$D,Master!P$1,'GL Dump'!$C:$C,Master!$G$1))</f>
        <v>0</v>
      </c>
      <c r="Q165" s="422">
        <f>IF($G$1="ALL",SUMIFS('GL Dump'!$E:$E,'GL Dump'!$H:$H,Master!$A165,'GL Dump'!$D:$D,Master!Q$1),SUMIFS('GL Dump'!$E:$E,'GL Dump'!$H:$H,Master!$A165,'GL Dump'!$D:$D,Master!Q$1,'GL Dump'!$C:$C,Master!$G$1))</f>
        <v>0</v>
      </c>
      <c r="R165" s="422">
        <f>IF($G$1="ALL",SUMIFS('GL Dump'!$E:$E,'GL Dump'!$H:$H,Master!$A165,'GL Dump'!$D:$D,Master!R$1),SUMIFS('GL Dump'!$E:$E,'GL Dump'!$H:$H,Master!$A165,'GL Dump'!$D:$D,Master!R$1,'GL Dump'!$C:$C,Master!$G$1))</f>
        <v>0</v>
      </c>
      <c r="S165" s="422">
        <f>IF($G$1="ALL",SUMIFS('GL Dump'!$E:$E,'GL Dump'!$H:$H,Master!$A165,'GL Dump'!$D:$D,Master!S$1),SUMIFS('GL Dump'!$E:$E,'GL Dump'!$H:$H,Master!$A165,'GL Dump'!$D:$D,Master!S$1,'GL Dump'!$C:$C,Master!$G$1))</f>
        <v>0</v>
      </c>
      <c r="T165" s="450"/>
    </row>
    <row r="166" spans="1:20" s="29" customFormat="1" x14ac:dyDescent="0.25">
      <c r="A166" s="190" t="s">
        <v>3077</v>
      </c>
      <c r="B166" s="270" t="s">
        <v>899</v>
      </c>
      <c r="C166" s="191"/>
      <c r="D166" s="192"/>
      <c r="E166" s="193"/>
      <c r="F166" s="292"/>
      <c r="G166" s="408">
        <f>IFERROR(VLOOKUP(A166,'Promo %'!B:P,3,0),0)</f>
        <v>0</v>
      </c>
      <c r="H166" s="397">
        <f>E166+SUMIFS('GL Dump'!$E:$E,'GL Dump'!$H:$H,Master!A166,'GL Dump'!$D:$D,Master!$I$1)</f>
        <v>0</v>
      </c>
      <c r="I166" s="81">
        <f>IF($G$1="ALL",SUMIFS('GL Dump'!$E:$E,'GL Dump'!$H:$H,Master!$A166,'GL Dump'!$D:$D,Master!I$1),SUMIFS('GL Dump'!$E:$E,'GL Dump'!$H:$H,Master!$A166,'GL Dump'!$D:$D,Master!I$1,'GL Dump'!$C:$C,Master!$G$1))</f>
        <v>0</v>
      </c>
      <c r="J166" s="81">
        <f>IF($G$1="ALL",SUMIFS('GL Dump'!$E:$E,'GL Dump'!$H:$H,Master!$A166,'GL Dump'!$D:$D,Master!J$1),SUMIFS('GL Dump'!$E:$E,'GL Dump'!$H:$H,Master!$A166,'GL Dump'!$D:$D,Master!J$1,'GL Dump'!$C:$C,Master!$G$1))</f>
        <v>0</v>
      </c>
      <c r="K166" s="81">
        <f>IF($G$1="ALL",SUMIFS('GL Dump'!$E:$E,'GL Dump'!$H:$H,Master!$A166,'GL Dump'!$D:$D,Master!K$1),SUMIFS('GL Dump'!$E:$E,'GL Dump'!$H:$H,Master!$A166,'GL Dump'!$D:$D,Master!K$1,'GL Dump'!$C:$C,Master!$G$1))</f>
        <v>0</v>
      </c>
      <c r="L166" s="81">
        <f>IF($G$1="ALL",SUMIFS('GL Dump'!$E:$E,'GL Dump'!$H:$H,Master!$A166,'GL Dump'!$D:$D,Master!L$1),SUMIFS('GL Dump'!$E:$E,'GL Dump'!$H:$H,Master!$A166,'GL Dump'!$D:$D,Master!L$1,'GL Dump'!$C:$C,Master!$G$1))</f>
        <v>0</v>
      </c>
      <c r="M166" s="81">
        <f>IF($G$1="ALL",SUMIFS('GL Dump'!$E:$E,'GL Dump'!$H:$H,Master!$A166,'GL Dump'!$D:$D,Master!M$1),SUMIFS('GL Dump'!$E:$E,'GL Dump'!$H:$H,Master!$A166,'GL Dump'!$D:$D,Master!M$1,'GL Dump'!$C:$C,Master!$G$1))</f>
        <v>0</v>
      </c>
      <c r="N166" s="81">
        <f>IF($G$1="ALL",SUMIFS('GL Dump'!$E:$E,'GL Dump'!$H:$H,Master!$A166,'GL Dump'!$D:$D,Master!N$1),SUMIFS('GL Dump'!$E:$E,'GL Dump'!$H:$H,Master!$A166,'GL Dump'!$D:$D,Master!N$1,'GL Dump'!$C:$C,Master!$G$1))</f>
        <v>0</v>
      </c>
      <c r="O166" s="81">
        <f>IF($G$1="ALL",SUMIFS('GL Dump'!$E:$E,'GL Dump'!$H:$H,Master!$A166,'GL Dump'!$D:$D,Master!O$1),SUMIFS('GL Dump'!$E:$E,'GL Dump'!$H:$H,Master!$A166,'GL Dump'!$D:$D,Master!O$1,'GL Dump'!$C:$C,Master!$G$1))</f>
        <v>0</v>
      </c>
      <c r="P166" s="81">
        <f>IF($G$1="ALL",SUMIFS('GL Dump'!$E:$E,'GL Dump'!$H:$H,Master!$A166,'GL Dump'!$D:$D,Master!P$1),SUMIFS('GL Dump'!$E:$E,'GL Dump'!$H:$H,Master!$A166,'GL Dump'!$D:$D,Master!P$1,'GL Dump'!$C:$C,Master!$G$1))</f>
        <v>0</v>
      </c>
      <c r="Q166" s="81">
        <f>IF($G$1="ALL",SUMIFS('GL Dump'!$E:$E,'GL Dump'!$H:$H,Master!$A166,'GL Dump'!$D:$D,Master!Q$1),SUMIFS('GL Dump'!$E:$E,'GL Dump'!$H:$H,Master!$A166,'GL Dump'!$D:$D,Master!Q$1,'GL Dump'!$C:$C,Master!$G$1))</f>
        <v>0</v>
      </c>
      <c r="R166" s="81">
        <f>IF($G$1="ALL",SUMIFS('GL Dump'!$E:$E,'GL Dump'!$H:$H,Master!$A166,'GL Dump'!$D:$D,Master!R$1),SUMIFS('GL Dump'!$E:$E,'GL Dump'!$H:$H,Master!$A166,'GL Dump'!$D:$D,Master!R$1,'GL Dump'!$C:$C,Master!$G$1))</f>
        <v>0</v>
      </c>
      <c r="S166" s="81">
        <f>IF($G$1="ALL",SUMIFS('GL Dump'!$E:$E,'GL Dump'!$H:$H,Master!$A166,'GL Dump'!$D:$D,Master!S$1),SUMIFS('GL Dump'!$E:$E,'GL Dump'!$H:$H,Master!$A166,'GL Dump'!$D:$D,Master!S$1,'GL Dump'!$C:$C,Master!$G$1))</f>
        <v>0</v>
      </c>
    </row>
    <row r="167" spans="1:20" s="29" customFormat="1" x14ac:dyDescent="0.25">
      <c r="A167" s="154" t="s">
        <v>3078</v>
      </c>
      <c r="B167" s="267" t="s">
        <v>902</v>
      </c>
      <c r="C167" s="185">
        <v>0</v>
      </c>
      <c r="D167" s="82"/>
      <c r="E167" s="104">
        <f>D167*C167</f>
        <v>0</v>
      </c>
      <c r="F167" s="289" t="s">
        <v>3124</v>
      </c>
      <c r="G167" s="408">
        <f>IFERROR(VLOOKUP(A167,'Promo %'!B:P,3,0),0)</f>
        <v>0</v>
      </c>
      <c r="H167" s="397">
        <f>E167+SUMIFS('GL Dump'!$E:$E,'GL Dump'!$H:$H,Master!A167,'GL Dump'!$D:$D,Master!$I$1)</f>
        <v>0</v>
      </c>
      <c r="I167" s="81">
        <f>IF($G$1="ALL",SUMIFS('GL Dump'!$E:$E,'GL Dump'!$H:$H,Master!$A167,'GL Dump'!$D:$D,Master!I$1),SUMIFS('GL Dump'!$E:$E,'GL Dump'!$H:$H,Master!$A167,'GL Dump'!$D:$D,Master!I$1,'GL Dump'!$C:$C,Master!$G$1))</f>
        <v>0</v>
      </c>
      <c r="J167" s="81">
        <f>IF($G$1="ALL",SUMIFS('GL Dump'!$E:$E,'GL Dump'!$H:$H,Master!$A167,'GL Dump'!$D:$D,Master!J$1),SUMIFS('GL Dump'!$E:$E,'GL Dump'!$H:$H,Master!$A167,'GL Dump'!$D:$D,Master!J$1,'GL Dump'!$C:$C,Master!$G$1))</f>
        <v>0</v>
      </c>
      <c r="K167" s="81">
        <f>IF($G$1="ALL",SUMIFS('GL Dump'!$E:$E,'GL Dump'!$H:$H,Master!$A167,'GL Dump'!$D:$D,Master!K$1),SUMIFS('GL Dump'!$E:$E,'GL Dump'!$H:$H,Master!$A167,'GL Dump'!$D:$D,Master!K$1,'GL Dump'!$C:$C,Master!$G$1))</f>
        <v>0</v>
      </c>
      <c r="L167" s="81">
        <f>IF($G$1="ALL",SUMIFS('GL Dump'!$E:$E,'GL Dump'!$H:$H,Master!$A167,'GL Dump'!$D:$D,Master!L$1),SUMIFS('GL Dump'!$E:$E,'GL Dump'!$H:$H,Master!$A167,'GL Dump'!$D:$D,Master!L$1,'GL Dump'!$C:$C,Master!$G$1))</f>
        <v>0</v>
      </c>
      <c r="M167" s="81">
        <f>IF($G$1="ALL",SUMIFS('GL Dump'!$E:$E,'GL Dump'!$H:$H,Master!$A167,'GL Dump'!$D:$D,Master!M$1),SUMIFS('GL Dump'!$E:$E,'GL Dump'!$H:$H,Master!$A167,'GL Dump'!$D:$D,Master!M$1,'GL Dump'!$C:$C,Master!$G$1))</f>
        <v>0</v>
      </c>
      <c r="N167" s="81">
        <f>IF($G$1="ALL",SUMIFS('GL Dump'!$E:$E,'GL Dump'!$H:$H,Master!$A167,'GL Dump'!$D:$D,Master!N$1),SUMIFS('GL Dump'!$E:$E,'GL Dump'!$H:$H,Master!$A167,'GL Dump'!$D:$D,Master!N$1,'GL Dump'!$C:$C,Master!$G$1))</f>
        <v>0</v>
      </c>
      <c r="O167" s="81">
        <f>IF($G$1="ALL",SUMIFS('GL Dump'!$E:$E,'GL Dump'!$H:$H,Master!$A167,'GL Dump'!$D:$D,Master!O$1),SUMIFS('GL Dump'!$E:$E,'GL Dump'!$H:$H,Master!$A167,'GL Dump'!$D:$D,Master!O$1,'GL Dump'!$C:$C,Master!$G$1))</f>
        <v>0</v>
      </c>
      <c r="P167" s="81">
        <f>IF($G$1="ALL",SUMIFS('GL Dump'!$E:$E,'GL Dump'!$H:$H,Master!$A167,'GL Dump'!$D:$D,Master!P$1),SUMIFS('GL Dump'!$E:$E,'GL Dump'!$H:$H,Master!$A167,'GL Dump'!$D:$D,Master!P$1,'GL Dump'!$C:$C,Master!$G$1))</f>
        <v>0</v>
      </c>
      <c r="Q167" s="81">
        <f>IF($G$1="ALL",SUMIFS('GL Dump'!$E:$E,'GL Dump'!$H:$H,Master!$A167,'GL Dump'!$D:$D,Master!Q$1),SUMIFS('GL Dump'!$E:$E,'GL Dump'!$H:$H,Master!$A167,'GL Dump'!$D:$D,Master!Q$1,'GL Dump'!$C:$C,Master!$G$1))</f>
        <v>0</v>
      </c>
      <c r="R167" s="81">
        <f>IF($G$1="ALL",SUMIFS('GL Dump'!$E:$E,'GL Dump'!$H:$H,Master!$A167,'GL Dump'!$D:$D,Master!R$1),SUMIFS('GL Dump'!$E:$E,'GL Dump'!$H:$H,Master!$A167,'GL Dump'!$D:$D,Master!R$1,'GL Dump'!$C:$C,Master!$G$1))</f>
        <v>0</v>
      </c>
      <c r="S167" s="81">
        <f>IF($G$1="ALL",SUMIFS('GL Dump'!$E:$E,'GL Dump'!$H:$H,Master!$A167,'GL Dump'!$D:$D,Master!S$1),SUMIFS('GL Dump'!$E:$E,'GL Dump'!$H:$H,Master!$A167,'GL Dump'!$D:$D,Master!S$1,'GL Dump'!$C:$C,Master!$G$1))</f>
        <v>0</v>
      </c>
    </row>
    <row r="168" spans="1:20" s="29" customFormat="1" x14ac:dyDescent="0.25">
      <c r="A168" s="471" t="s">
        <v>3079</v>
      </c>
      <c r="B168" s="454" t="s">
        <v>902</v>
      </c>
      <c r="C168" s="446">
        <v>0</v>
      </c>
      <c r="D168" s="447"/>
      <c r="E168" s="440">
        <f>D168*C168</f>
        <v>0</v>
      </c>
      <c r="F168" s="477" t="s">
        <v>3124</v>
      </c>
      <c r="G168" s="408">
        <f>IFERROR(VLOOKUP(A168,'Promo %'!B:P,3,0),0)</f>
        <v>0</v>
      </c>
      <c r="H168" s="421">
        <f>E168+SUMIFS('GL Dump'!$E:$E,'GL Dump'!$H:$H,Master!A168,'GL Dump'!$D:$D,Master!$I$1)</f>
        <v>0</v>
      </c>
      <c r="I168" s="422">
        <f>IF($G$1="ALL",SUMIFS('GL Dump'!$E:$E,'GL Dump'!$H:$H,Master!$A168,'GL Dump'!$D:$D,Master!I$1),SUMIFS('GL Dump'!$E:$E,'GL Dump'!$H:$H,Master!$A168,'GL Dump'!$D:$D,Master!I$1,'GL Dump'!$C:$C,Master!$G$1))</f>
        <v>0</v>
      </c>
      <c r="J168" s="422">
        <f>IF($G$1="ALL",SUMIFS('GL Dump'!$E:$E,'GL Dump'!$H:$H,Master!$A168,'GL Dump'!$D:$D,Master!J$1),SUMIFS('GL Dump'!$E:$E,'GL Dump'!$H:$H,Master!$A168,'GL Dump'!$D:$D,Master!J$1,'GL Dump'!$C:$C,Master!$G$1))</f>
        <v>0</v>
      </c>
      <c r="K168" s="422">
        <f>IF($G$1="ALL",SUMIFS('GL Dump'!$E:$E,'GL Dump'!$H:$H,Master!$A168,'GL Dump'!$D:$D,Master!K$1),SUMIFS('GL Dump'!$E:$E,'GL Dump'!$H:$H,Master!$A168,'GL Dump'!$D:$D,Master!K$1,'GL Dump'!$C:$C,Master!$G$1))</f>
        <v>0</v>
      </c>
      <c r="L168" s="422">
        <f>IF($G$1="ALL",SUMIFS('GL Dump'!$E:$E,'GL Dump'!$H:$H,Master!$A168,'GL Dump'!$D:$D,Master!L$1),SUMIFS('GL Dump'!$E:$E,'GL Dump'!$H:$H,Master!$A168,'GL Dump'!$D:$D,Master!L$1,'GL Dump'!$C:$C,Master!$G$1))</f>
        <v>0</v>
      </c>
      <c r="M168" s="422">
        <f>IF($G$1="ALL",SUMIFS('GL Dump'!$E:$E,'GL Dump'!$H:$H,Master!$A168,'GL Dump'!$D:$D,Master!M$1),SUMIFS('GL Dump'!$E:$E,'GL Dump'!$H:$H,Master!$A168,'GL Dump'!$D:$D,Master!M$1,'GL Dump'!$C:$C,Master!$G$1))</f>
        <v>0</v>
      </c>
      <c r="N168" s="422">
        <f>IF($G$1="ALL",SUMIFS('GL Dump'!$E:$E,'GL Dump'!$H:$H,Master!$A168,'GL Dump'!$D:$D,Master!N$1),SUMIFS('GL Dump'!$E:$E,'GL Dump'!$H:$H,Master!$A168,'GL Dump'!$D:$D,Master!N$1,'GL Dump'!$C:$C,Master!$G$1))</f>
        <v>0</v>
      </c>
      <c r="O168" s="422">
        <f>IF($G$1="ALL",SUMIFS('GL Dump'!$E:$E,'GL Dump'!$H:$H,Master!$A168,'GL Dump'!$D:$D,Master!O$1),SUMIFS('GL Dump'!$E:$E,'GL Dump'!$H:$H,Master!$A168,'GL Dump'!$D:$D,Master!O$1,'GL Dump'!$C:$C,Master!$G$1))</f>
        <v>0</v>
      </c>
      <c r="P168" s="422">
        <f>IF($G$1="ALL",SUMIFS('GL Dump'!$E:$E,'GL Dump'!$H:$H,Master!$A168,'GL Dump'!$D:$D,Master!P$1),SUMIFS('GL Dump'!$E:$E,'GL Dump'!$H:$H,Master!$A168,'GL Dump'!$D:$D,Master!P$1,'GL Dump'!$C:$C,Master!$G$1))</f>
        <v>0</v>
      </c>
      <c r="Q168" s="422">
        <f>IF($G$1="ALL",SUMIFS('GL Dump'!$E:$E,'GL Dump'!$H:$H,Master!$A168,'GL Dump'!$D:$D,Master!Q$1),SUMIFS('GL Dump'!$E:$E,'GL Dump'!$H:$H,Master!$A168,'GL Dump'!$D:$D,Master!Q$1,'GL Dump'!$C:$C,Master!$G$1))</f>
        <v>0</v>
      </c>
      <c r="R168" s="422">
        <f>IF($G$1="ALL",SUMIFS('GL Dump'!$E:$E,'GL Dump'!$H:$H,Master!$A168,'GL Dump'!$D:$D,Master!R$1),SUMIFS('GL Dump'!$E:$E,'GL Dump'!$H:$H,Master!$A168,'GL Dump'!$D:$D,Master!R$1,'GL Dump'!$C:$C,Master!$G$1))</f>
        <v>0</v>
      </c>
      <c r="S168" s="422">
        <f>IF($G$1="ALL",SUMIFS('GL Dump'!$E:$E,'GL Dump'!$H:$H,Master!$A168,'GL Dump'!$D:$D,Master!S$1),SUMIFS('GL Dump'!$E:$E,'GL Dump'!$H:$H,Master!$A168,'GL Dump'!$D:$D,Master!S$1,'GL Dump'!$C:$C,Master!$G$1))</f>
        <v>0</v>
      </c>
      <c r="T168" s="450"/>
    </row>
    <row r="169" spans="1:20" s="29" customFormat="1" x14ac:dyDescent="0.25">
      <c r="A169" s="154" t="s">
        <v>1333</v>
      </c>
      <c r="B169" s="267" t="s">
        <v>896</v>
      </c>
      <c r="C169" s="185">
        <v>0</v>
      </c>
      <c r="D169" s="82">
        <v>1068.71</v>
      </c>
      <c r="E169" s="104">
        <f t="shared" si="7"/>
        <v>0</v>
      </c>
      <c r="F169" s="289" t="s">
        <v>934</v>
      </c>
      <c r="G169" s="408">
        <f>IFERROR(VLOOKUP(A169,'Promo %'!B:P,3,0),0)</f>
        <v>0</v>
      </c>
      <c r="H169" s="397">
        <f>E169+SUMIFS('GL Dump'!$E:$E,'GL Dump'!$H:$H,Master!A169,'GL Dump'!$D:$D,Master!$I$1)</f>
        <v>0</v>
      </c>
      <c r="I169" s="81">
        <f>IF($G$1="ALL",SUMIFS('GL Dump'!$E:$E,'GL Dump'!$H:$H,Master!$A169,'GL Dump'!$D:$D,Master!I$1),SUMIFS('GL Dump'!$E:$E,'GL Dump'!$H:$H,Master!$A169,'GL Dump'!$D:$D,Master!I$1,'GL Dump'!$C:$C,Master!$G$1))</f>
        <v>0</v>
      </c>
      <c r="J169" s="81">
        <f>IF($G$1="ALL",SUMIFS('GL Dump'!$E:$E,'GL Dump'!$H:$H,Master!$A169,'GL Dump'!$D:$D,Master!J$1),SUMIFS('GL Dump'!$E:$E,'GL Dump'!$H:$H,Master!$A169,'GL Dump'!$D:$D,Master!J$1,'GL Dump'!$C:$C,Master!$G$1))</f>
        <v>0</v>
      </c>
      <c r="K169" s="81">
        <f>IF($G$1="ALL",SUMIFS('GL Dump'!$E:$E,'GL Dump'!$H:$H,Master!$A169,'GL Dump'!$D:$D,Master!K$1),SUMIFS('GL Dump'!$E:$E,'GL Dump'!$H:$H,Master!$A169,'GL Dump'!$D:$D,Master!K$1,'GL Dump'!$C:$C,Master!$G$1))</f>
        <v>0</v>
      </c>
      <c r="L169" s="81">
        <f>IF($G$1="ALL",SUMIFS('GL Dump'!$E:$E,'GL Dump'!$H:$H,Master!$A169,'GL Dump'!$D:$D,Master!L$1),SUMIFS('GL Dump'!$E:$E,'GL Dump'!$H:$H,Master!$A169,'GL Dump'!$D:$D,Master!L$1,'GL Dump'!$C:$C,Master!$G$1))</f>
        <v>0</v>
      </c>
      <c r="M169" s="81">
        <f>IF($G$1="ALL",SUMIFS('GL Dump'!$E:$E,'GL Dump'!$H:$H,Master!$A169,'GL Dump'!$D:$D,Master!M$1),SUMIFS('GL Dump'!$E:$E,'GL Dump'!$H:$H,Master!$A169,'GL Dump'!$D:$D,Master!M$1,'GL Dump'!$C:$C,Master!$G$1))</f>
        <v>0</v>
      </c>
      <c r="N169" s="81">
        <f>IF($G$1="ALL",SUMIFS('GL Dump'!$E:$E,'GL Dump'!$H:$H,Master!$A169,'GL Dump'!$D:$D,Master!N$1),SUMIFS('GL Dump'!$E:$E,'GL Dump'!$H:$H,Master!$A169,'GL Dump'!$D:$D,Master!N$1,'GL Dump'!$C:$C,Master!$G$1))</f>
        <v>0</v>
      </c>
      <c r="O169" s="81">
        <f>IF($G$1="ALL",SUMIFS('GL Dump'!$E:$E,'GL Dump'!$H:$H,Master!$A169,'GL Dump'!$D:$D,Master!O$1),SUMIFS('GL Dump'!$E:$E,'GL Dump'!$H:$H,Master!$A169,'GL Dump'!$D:$D,Master!O$1,'GL Dump'!$C:$C,Master!$G$1))</f>
        <v>0</v>
      </c>
      <c r="P169" s="81">
        <f>IF($G$1="ALL",SUMIFS('GL Dump'!$E:$E,'GL Dump'!$H:$H,Master!$A169,'GL Dump'!$D:$D,Master!P$1),SUMIFS('GL Dump'!$E:$E,'GL Dump'!$H:$H,Master!$A169,'GL Dump'!$D:$D,Master!P$1,'GL Dump'!$C:$C,Master!$G$1))</f>
        <v>0</v>
      </c>
      <c r="Q169" s="81">
        <f>IF($G$1="ALL",SUMIFS('GL Dump'!$E:$E,'GL Dump'!$H:$H,Master!$A169,'GL Dump'!$D:$D,Master!Q$1),SUMIFS('GL Dump'!$E:$E,'GL Dump'!$H:$H,Master!$A169,'GL Dump'!$D:$D,Master!Q$1,'GL Dump'!$C:$C,Master!$G$1))</f>
        <v>0</v>
      </c>
      <c r="R169" s="81">
        <f>IF($G$1="ALL",SUMIFS('GL Dump'!$E:$E,'GL Dump'!$H:$H,Master!$A169,'GL Dump'!$D:$D,Master!R$1),SUMIFS('GL Dump'!$E:$E,'GL Dump'!$H:$H,Master!$A169,'GL Dump'!$D:$D,Master!R$1,'GL Dump'!$C:$C,Master!$G$1))</f>
        <v>0</v>
      </c>
      <c r="S169" s="81">
        <f>IF($G$1="ALL",SUMIFS('GL Dump'!$E:$E,'GL Dump'!$H:$H,Master!$A169,'GL Dump'!$D:$D,Master!S$1),SUMIFS('GL Dump'!$E:$E,'GL Dump'!$H:$H,Master!$A169,'GL Dump'!$D:$D,Master!S$1,'GL Dump'!$C:$C,Master!$G$1))</f>
        <v>0</v>
      </c>
    </row>
    <row r="170" spans="1:20" s="29" customFormat="1" x14ac:dyDescent="0.25">
      <c r="A170" s="471" t="s">
        <v>1334</v>
      </c>
      <c r="B170" s="454" t="s">
        <v>896</v>
      </c>
      <c r="C170" s="446">
        <v>0</v>
      </c>
      <c r="D170" s="447">
        <v>1603.07</v>
      </c>
      <c r="E170" s="440">
        <f t="shared" si="7"/>
        <v>0</v>
      </c>
      <c r="F170" s="477" t="s">
        <v>934</v>
      </c>
      <c r="G170" s="408">
        <f>IFERROR(VLOOKUP(A170,'Promo %'!B:P,3,0),0)</f>
        <v>0</v>
      </c>
      <c r="H170" s="421">
        <f>E170+SUMIFS('GL Dump'!$E:$E,'GL Dump'!$H:$H,Master!A170,'GL Dump'!$D:$D,Master!$I$1)</f>
        <v>0</v>
      </c>
      <c r="I170" s="422">
        <f>IF($G$1="ALL",SUMIFS('GL Dump'!$E:$E,'GL Dump'!$H:$H,Master!$A170,'GL Dump'!$D:$D,Master!I$1),SUMIFS('GL Dump'!$E:$E,'GL Dump'!$H:$H,Master!$A170,'GL Dump'!$D:$D,Master!I$1,'GL Dump'!$C:$C,Master!$G$1))</f>
        <v>0</v>
      </c>
      <c r="J170" s="422">
        <f>IF($G$1="ALL",SUMIFS('GL Dump'!$E:$E,'GL Dump'!$H:$H,Master!$A170,'GL Dump'!$D:$D,Master!J$1),SUMIFS('GL Dump'!$E:$E,'GL Dump'!$H:$H,Master!$A170,'GL Dump'!$D:$D,Master!J$1,'GL Dump'!$C:$C,Master!$G$1))</f>
        <v>0</v>
      </c>
      <c r="K170" s="422">
        <f>IF($G$1="ALL",SUMIFS('GL Dump'!$E:$E,'GL Dump'!$H:$H,Master!$A170,'GL Dump'!$D:$D,Master!K$1),SUMIFS('GL Dump'!$E:$E,'GL Dump'!$H:$H,Master!$A170,'GL Dump'!$D:$D,Master!K$1,'GL Dump'!$C:$C,Master!$G$1))</f>
        <v>0</v>
      </c>
      <c r="L170" s="422">
        <f>IF($G$1="ALL",SUMIFS('GL Dump'!$E:$E,'GL Dump'!$H:$H,Master!$A170,'GL Dump'!$D:$D,Master!L$1),SUMIFS('GL Dump'!$E:$E,'GL Dump'!$H:$H,Master!$A170,'GL Dump'!$D:$D,Master!L$1,'GL Dump'!$C:$C,Master!$G$1))</f>
        <v>0</v>
      </c>
      <c r="M170" s="422">
        <f>IF($G$1="ALL",SUMIFS('GL Dump'!$E:$E,'GL Dump'!$H:$H,Master!$A170,'GL Dump'!$D:$D,Master!M$1),SUMIFS('GL Dump'!$E:$E,'GL Dump'!$H:$H,Master!$A170,'GL Dump'!$D:$D,Master!M$1,'GL Dump'!$C:$C,Master!$G$1))</f>
        <v>0</v>
      </c>
      <c r="N170" s="422">
        <f>IF($G$1="ALL",SUMIFS('GL Dump'!$E:$E,'GL Dump'!$H:$H,Master!$A170,'GL Dump'!$D:$D,Master!N$1),SUMIFS('GL Dump'!$E:$E,'GL Dump'!$H:$H,Master!$A170,'GL Dump'!$D:$D,Master!N$1,'GL Dump'!$C:$C,Master!$G$1))</f>
        <v>0</v>
      </c>
      <c r="O170" s="422">
        <f>IF($G$1="ALL",SUMIFS('GL Dump'!$E:$E,'GL Dump'!$H:$H,Master!$A170,'GL Dump'!$D:$D,Master!O$1),SUMIFS('GL Dump'!$E:$E,'GL Dump'!$H:$H,Master!$A170,'GL Dump'!$D:$D,Master!O$1,'GL Dump'!$C:$C,Master!$G$1))</f>
        <v>0</v>
      </c>
      <c r="P170" s="422">
        <f>IF($G$1="ALL",SUMIFS('GL Dump'!$E:$E,'GL Dump'!$H:$H,Master!$A170,'GL Dump'!$D:$D,Master!P$1),SUMIFS('GL Dump'!$E:$E,'GL Dump'!$H:$H,Master!$A170,'GL Dump'!$D:$D,Master!P$1,'GL Dump'!$C:$C,Master!$G$1))</f>
        <v>0</v>
      </c>
      <c r="Q170" s="422">
        <f>IF($G$1="ALL",SUMIFS('GL Dump'!$E:$E,'GL Dump'!$H:$H,Master!$A170,'GL Dump'!$D:$D,Master!Q$1),SUMIFS('GL Dump'!$E:$E,'GL Dump'!$H:$H,Master!$A170,'GL Dump'!$D:$D,Master!Q$1,'GL Dump'!$C:$C,Master!$G$1))</f>
        <v>0</v>
      </c>
      <c r="R170" s="422">
        <f>IF($G$1="ALL",SUMIFS('GL Dump'!$E:$E,'GL Dump'!$H:$H,Master!$A170,'GL Dump'!$D:$D,Master!R$1),SUMIFS('GL Dump'!$E:$E,'GL Dump'!$H:$H,Master!$A170,'GL Dump'!$D:$D,Master!R$1,'GL Dump'!$C:$C,Master!$G$1))</f>
        <v>0</v>
      </c>
      <c r="S170" s="422">
        <f>IF($G$1="ALL",SUMIFS('GL Dump'!$E:$E,'GL Dump'!$H:$H,Master!$A170,'GL Dump'!$D:$D,Master!S$1),SUMIFS('GL Dump'!$E:$E,'GL Dump'!$H:$H,Master!$A170,'GL Dump'!$D:$D,Master!S$1,'GL Dump'!$C:$C,Master!$G$1))</f>
        <v>0</v>
      </c>
      <c r="T170" s="450"/>
    </row>
    <row r="171" spans="1:20" s="29" customFormat="1" x14ac:dyDescent="0.25">
      <c r="A171" s="194" t="s">
        <v>3080</v>
      </c>
      <c r="B171" s="270" t="s">
        <v>899</v>
      </c>
      <c r="C171" s="196"/>
      <c r="D171" s="195"/>
      <c r="E171" s="197"/>
      <c r="F171" s="293"/>
      <c r="G171" s="408">
        <f>IFERROR(VLOOKUP(A171,'Promo %'!B:P,3,0),0)</f>
        <v>0</v>
      </c>
      <c r="H171" s="397">
        <f>E171+SUMIFS('GL Dump'!$E:$E,'GL Dump'!$H:$H,Master!A171,'GL Dump'!$D:$D,Master!$I$1)</f>
        <v>0</v>
      </c>
      <c r="I171" s="81">
        <f>IF($G$1="ALL",SUMIFS('GL Dump'!$E:$E,'GL Dump'!$H:$H,Master!$A171,'GL Dump'!$D:$D,Master!I$1),SUMIFS('GL Dump'!$E:$E,'GL Dump'!$H:$H,Master!$A171,'GL Dump'!$D:$D,Master!I$1,'GL Dump'!$C:$C,Master!$G$1))</f>
        <v>0</v>
      </c>
      <c r="J171" s="81">
        <f>IF($G$1="ALL",SUMIFS('GL Dump'!$E:$E,'GL Dump'!$H:$H,Master!$A171,'GL Dump'!$D:$D,Master!J$1),SUMIFS('GL Dump'!$E:$E,'GL Dump'!$H:$H,Master!$A171,'GL Dump'!$D:$D,Master!J$1,'GL Dump'!$C:$C,Master!$G$1))</f>
        <v>0</v>
      </c>
      <c r="K171" s="81">
        <f>IF($G$1="ALL",SUMIFS('GL Dump'!$E:$E,'GL Dump'!$H:$H,Master!$A171,'GL Dump'!$D:$D,Master!K$1),SUMIFS('GL Dump'!$E:$E,'GL Dump'!$H:$H,Master!$A171,'GL Dump'!$D:$D,Master!K$1,'GL Dump'!$C:$C,Master!$G$1))</f>
        <v>0</v>
      </c>
      <c r="L171" s="81">
        <f>IF($G$1="ALL",SUMIFS('GL Dump'!$E:$E,'GL Dump'!$H:$H,Master!$A171,'GL Dump'!$D:$D,Master!L$1),SUMIFS('GL Dump'!$E:$E,'GL Dump'!$H:$H,Master!$A171,'GL Dump'!$D:$D,Master!L$1,'GL Dump'!$C:$C,Master!$G$1))</f>
        <v>0</v>
      </c>
      <c r="M171" s="81">
        <f>IF($G$1="ALL",SUMIFS('GL Dump'!$E:$E,'GL Dump'!$H:$H,Master!$A171,'GL Dump'!$D:$D,Master!M$1),SUMIFS('GL Dump'!$E:$E,'GL Dump'!$H:$H,Master!$A171,'GL Dump'!$D:$D,Master!M$1,'GL Dump'!$C:$C,Master!$G$1))</f>
        <v>0</v>
      </c>
      <c r="N171" s="81">
        <f>IF($G$1="ALL",SUMIFS('GL Dump'!$E:$E,'GL Dump'!$H:$H,Master!$A171,'GL Dump'!$D:$D,Master!N$1),SUMIFS('GL Dump'!$E:$E,'GL Dump'!$H:$H,Master!$A171,'GL Dump'!$D:$D,Master!N$1,'GL Dump'!$C:$C,Master!$G$1))</f>
        <v>0</v>
      </c>
      <c r="O171" s="81">
        <f>IF($G$1="ALL",SUMIFS('GL Dump'!$E:$E,'GL Dump'!$H:$H,Master!$A171,'GL Dump'!$D:$D,Master!O$1),SUMIFS('GL Dump'!$E:$E,'GL Dump'!$H:$H,Master!$A171,'GL Dump'!$D:$D,Master!O$1,'GL Dump'!$C:$C,Master!$G$1))</f>
        <v>0</v>
      </c>
      <c r="P171" s="81">
        <f>IF($G$1="ALL",SUMIFS('GL Dump'!$E:$E,'GL Dump'!$H:$H,Master!$A171,'GL Dump'!$D:$D,Master!P$1),SUMIFS('GL Dump'!$E:$E,'GL Dump'!$H:$H,Master!$A171,'GL Dump'!$D:$D,Master!P$1,'GL Dump'!$C:$C,Master!$G$1))</f>
        <v>0</v>
      </c>
      <c r="Q171" s="81">
        <f>IF($G$1="ALL",SUMIFS('GL Dump'!$E:$E,'GL Dump'!$H:$H,Master!$A171,'GL Dump'!$D:$D,Master!Q$1),SUMIFS('GL Dump'!$E:$E,'GL Dump'!$H:$H,Master!$A171,'GL Dump'!$D:$D,Master!Q$1,'GL Dump'!$C:$C,Master!$G$1))</f>
        <v>0</v>
      </c>
      <c r="R171" s="81">
        <f>IF($G$1="ALL",SUMIFS('GL Dump'!$E:$E,'GL Dump'!$H:$H,Master!$A171,'GL Dump'!$D:$D,Master!R$1),SUMIFS('GL Dump'!$E:$E,'GL Dump'!$H:$H,Master!$A171,'GL Dump'!$D:$D,Master!R$1,'GL Dump'!$C:$C,Master!$G$1))</f>
        <v>0</v>
      </c>
      <c r="S171" s="81">
        <f>IF($G$1="ALL",SUMIFS('GL Dump'!$E:$E,'GL Dump'!$H:$H,Master!$A171,'GL Dump'!$D:$D,Master!S$1),SUMIFS('GL Dump'!$E:$E,'GL Dump'!$H:$H,Master!$A171,'GL Dump'!$D:$D,Master!S$1,'GL Dump'!$C:$C,Master!$G$1))</f>
        <v>0</v>
      </c>
    </row>
    <row r="172" spans="1:20" s="29" customFormat="1" ht="15.75" thickBot="1" x14ac:dyDescent="0.3">
      <c r="A172" s="158"/>
      <c r="B172" s="271"/>
      <c r="C172" s="188"/>
      <c r="D172" s="122" t="s">
        <v>758</v>
      </c>
      <c r="E172" s="132">
        <f>SUBTOTAL(9,E123:E171)</f>
        <v>194099.98012700002</v>
      </c>
      <c r="F172" s="294"/>
      <c r="G172" s="272"/>
      <c r="H172" s="407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</row>
    <row r="173" spans="1:20" ht="16.5" thickTop="1" x14ac:dyDescent="0.25">
      <c r="A173" s="151">
        <v>3201</v>
      </c>
      <c r="B173" s="260" t="s">
        <v>3083</v>
      </c>
      <c r="C173" s="144"/>
      <c r="D173" s="116"/>
      <c r="E173" s="117"/>
      <c r="F173" s="287"/>
      <c r="G173" s="379"/>
      <c r="H173" s="405"/>
      <c r="I173" s="406"/>
      <c r="J173" s="406"/>
      <c r="K173" s="401"/>
      <c r="L173" s="401"/>
      <c r="M173" s="401"/>
      <c r="N173" s="401"/>
      <c r="O173" s="401"/>
      <c r="P173" s="401"/>
      <c r="Q173" s="401"/>
      <c r="R173" s="401"/>
      <c r="S173" s="401"/>
      <c r="T173" s="377"/>
    </row>
    <row r="174" spans="1:20" x14ac:dyDescent="0.25">
      <c r="A174" s="267" t="s">
        <v>2002</v>
      </c>
      <c r="B174" s="267" t="s">
        <v>3084</v>
      </c>
      <c r="C174" s="267">
        <v>0</v>
      </c>
      <c r="D174" s="267">
        <f>3*86</f>
        <v>258</v>
      </c>
      <c r="E174" s="384">
        <f>C174*D174</f>
        <v>0</v>
      </c>
      <c r="F174" s="267" t="s">
        <v>3108</v>
      </c>
      <c r="H174" s="397">
        <f>E174+SUMIFS('GL Dump'!$E:$E,'GL Dump'!$H:$H,Master!A174,'GL Dump'!$D:$D,Master!$I$1)</f>
        <v>0</v>
      </c>
      <c r="I174" s="81">
        <f>IF($G$1="ALL",SUMIFS('GL Dump'!$E:$E,'GL Dump'!$H:$H,Master!$A174,'GL Dump'!$D:$D,Master!I$1),SUMIFS('GL Dump'!$E:$E,'GL Dump'!$H:$H,Master!$A174,'GL Dump'!$D:$D,Master!I$1,'GL Dump'!$C:$C,Master!$G$1))</f>
        <v>0</v>
      </c>
      <c r="J174" s="81">
        <f>IF($G$1="ALL",SUMIFS('GL Dump'!$E:$E,'GL Dump'!$H:$H,Master!$A174,'GL Dump'!$D:$D,Master!J$1),SUMIFS('GL Dump'!$E:$E,'GL Dump'!$H:$H,Master!$A174,'GL Dump'!$D:$D,Master!J$1,'GL Dump'!$C:$C,Master!$G$1))</f>
        <v>234.52</v>
      </c>
      <c r="K174" s="81">
        <f>IF($G$1="ALL",SUMIFS('GL Dump'!$E:$E,'GL Dump'!$H:$H,Master!$A174,'GL Dump'!$D:$D,Master!K$1),SUMIFS('GL Dump'!$E:$E,'GL Dump'!$H:$H,Master!$A174,'GL Dump'!$D:$D,Master!K$1,'GL Dump'!$C:$C,Master!$G$1))</f>
        <v>469.08000000000004</v>
      </c>
      <c r="L174" s="81">
        <f>IF($G$1="ALL",SUMIFS('GL Dump'!$E:$E,'GL Dump'!$H:$H,Master!$A174,'GL Dump'!$D:$D,Master!L$1),SUMIFS('GL Dump'!$E:$E,'GL Dump'!$H:$H,Master!$A174,'GL Dump'!$D:$D,Master!L$1,'GL Dump'!$C:$C,Master!$G$1))</f>
        <v>1250.8800000000006</v>
      </c>
      <c r="M174" s="81">
        <f>IF($G$1="ALL",SUMIFS('GL Dump'!$E:$E,'GL Dump'!$H:$H,Master!$A174,'GL Dump'!$D:$D,Master!M$1),SUMIFS('GL Dump'!$E:$E,'GL Dump'!$H:$H,Master!$A174,'GL Dump'!$D:$D,Master!M$1,'GL Dump'!$C:$C,Master!$G$1))</f>
        <v>0</v>
      </c>
      <c r="N174" s="81">
        <f>IF($G$1="ALL",SUMIFS('GL Dump'!$E:$E,'GL Dump'!$H:$H,Master!$A174,'GL Dump'!$D:$D,Master!N$1),SUMIFS('GL Dump'!$E:$E,'GL Dump'!$H:$H,Master!$A174,'GL Dump'!$D:$D,Master!N$1,'GL Dump'!$C:$C,Master!$G$1))</f>
        <v>781.80000000000018</v>
      </c>
      <c r="O174" s="81">
        <f>IF($G$1="ALL",SUMIFS('GL Dump'!$E:$E,'GL Dump'!$H:$H,Master!$A174,'GL Dump'!$D:$D,Master!O$1),SUMIFS('GL Dump'!$E:$E,'GL Dump'!$H:$H,Master!$A174,'GL Dump'!$D:$D,Master!O$1,'GL Dump'!$C:$C,Master!$G$1))</f>
        <v>0</v>
      </c>
      <c r="P174" s="81">
        <f>IF($G$1="ALL",SUMIFS('GL Dump'!$E:$E,'GL Dump'!$H:$H,Master!$A174,'GL Dump'!$D:$D,Master!P$1),SUMIFS('GL Dump'!$E:$E,'GL Dump'!$H:$H,Master!$A174,'GL Dump'!$D:$D,Master!P$1,'GL Dump'!$C:$C,Master!$G$1))</f>
        <v>0</v>
      </c>
      <c r="Q174" s="81">
        <f>IF($G$1="ALL",SUMIFS('GL Dump'!$E:$E,'GL Dump'!$H:$H,Master!$A174,'GL Dump'!$D:$D,Master!Q$1),SUMIFS('GL Dump'!$E:$E,'GL Dump'!$H:$H,Master!$A174,'GL Dump'!$D:$D,Master!Q$1,'GL Dump'!$C:$C,Master!$G$1))</f>
        <v>0</v>
      </c>
      <c r="R174" s="81">
        <f>IF($G$1="ALL",SUMIFS('GL Dump'!$E:$E,'GL Dump'!$H:$H,Master!$A174,'GL Dump'!$D:$D,Master!R$1),SUMIFS('GL Dump'!$E:$E,'GL Dump'!$H:$H,Master!$A174,'GL Dump'!$D:$D,Master!R$1,'GL Dump'!$C:$C,Master!$G$1))</f>
        <v>0</v>
      </c>
      <c r="S174" s="81">
        <f>IF($G$1="ALL",SUMIFS('GL Dump'!$E:$E,'GL Dump'!$H:$H,Master!$A174,'GL Dump'!$D:$D,Master!S$1),SUMIFS('GL Dump'!$E:$E,'GL Dump'!$H:$H,Master!$A174,'GL Dump'!$D:$D,Master!S$1,'GL Dump'!$C:$C,Master!$G$1))</f>
        <v>0</v>
      </c>
    </row>
    <row r="175" spans="1:20" x14ac:dyDescent="0.25">
      <c r="A175" s="454" t="s">
        <v>2024</v>
      </c>
      <c r="B175" s="454" t="s">
        <v>3084</v>
      </c>
      <c r="C175" s="454">
        <v>0</v>
      </c>
      <c r="D175" s="454"/>
      <c r="E175" s="468">
        <f t="shared" ref="E175:E220" si="10">C175*D175</f>
        <v>0</v>
      </c>
      <c r="F175" s="454" t="s">
        <v>3108</v>
      </c>
      <c r="G175" s="420"/>
      <c r="H175" s="421">
        <f>E175+SUMIFS('GL Dump'!$E:$E,'GL Dump'!$H:$H,Master!A175,'GL Dump'!$D:$D,Master!$I$1)</f>
        <v>0</v>
      </c>
      <c r="I175" s="422">
        <f>IF($G$1="ALL",SUMIFS('GL Dump'!$E:$E,'GL Dump'!$H:$H,Master!$A175,'GL Dump'!$D:$D,Master!I$1),SUMIFS('GL Dump'!$E:$E,'GL Dump'!$H:$H,Master!$A175,'GL Dump'!$D:$D,Master!I$1,'GL Dump'!$C:$C,Master!$G$1))</f>
        <v>0</v>
      </c>
      <c r="J175" s="422">
        <f>IF($G$1="ALL",SUMIFS('GL Dump'!$E:$E,'GL Dump'!$H:$H,Master!$A175,'GL Dump'!$D:$D,Master!J$1),SUMIFS('GL Dump'!$E:$E,'GL Dump'!$H:$H,Master!$A175,'GL Dump'!$D:$D,Master!J$1,'GL Dump'!$C:$C,Master!$G$1))</f>
        <v>0</v>
      </c>
      <c r="K175" s="422">
        <f>IF($G$1="ALL",SUMIFS('GL Dump'!$E:$E,'GL Dump'!$H:$H,Master!$A175,'GL Dump'!$D:$D,Master!K$1),SUMIFS('GL Dump'!$E:$E,'GL Dump'!$H:$H,Master!$A175,'GL Dump'!$D:$D,Master!K$1,'GL Dump'!$C:$C,Master!$G$1))</f>
        <v>0</v>
      </c>
      <c r="L175" s="422">
        <f>IF($G$1="ALL",SUMIFS('GL Dump'!$E:$E,'GL Dump'!$H:$H,Master!$A175,'GL Dump'!$D:$D,Master!L$1),SUMIFS('GL Dump'!$E:$E,'GL Dump'!$H:$H,Master!$A175,'GL Dump'!$D:$D,Master!L$1,'GL Dump'!$C:$C,Master!$G$1))</f>
        <v>0</v>
      </c>
      <c r="M175" s="422">
        <f>IF($G$1="ALL",SUMIFS('GL Dump'!$E:$E,'GL Dump'!$H:$H,Master!$A175,'GL Dump'!$D:$D,Master!M$1),SUMIFS('GL Dump'!$E:$E,'GL Dump'!$H:$H,Master!$A175,'GL Dump'!$D:$D,Master!M$1,'GL Dump'!$C:$C,Master!$G$1))</f>
        <v>0</v>
      </c>
      <c r="N175" s="422">
        <f>IF($G$1="ALL",SUMIFS('GL Dump'!$E:$E,'GL Dump'!$H:$H,Master!$A175,'GL Dump'!$D:$D,Master!N$1),SUMIFS('GL Dump'!$E:$E,'GL Dump'!$H:$H,Master!$A175,'GL Dump'!$D:$D,Master!N$1,'GL Dump'!$C:$C,Master!$G$1))</f>
        <v>156.36000000000001</v>
      </c>
      <c r="O175" s="422">
        <f>IF($G$1="ALL",SUMIFS('GL Dump'!$E:$E,'GL Dump'!$H:$H,Master!$A175,'GL Dump'!$D:$D,Master!O$1),SUMIFS('GL Dump'!$E:$E,'GL Dump'!$H:$H,Master!$A175,'GL Dump'!$D:$D,Master!O$1,'GL Dump'!$C:$C,Master!$G$1))</f>
        <v>0</v>
      </c>
      <c r="P175" s="422">
        <f>IF($G$1="ALL",SUMIFS('GL Dump'!$E:$E,'GL Dump'!$H:$H,Master!$A175,'GL Dump'!$D:$D,Master!P$1),SUMIFS('GL Dump'!$E:$E,'GL Dump'!$H:$H,Master!$A175,'GL Dump'!$D:$D,Master!P$1,'GL Dump'!$C:$C,Master!$G$1))</f>
        <v>0</v>
      </c>
      <c r="Q175" s="422">
        <f>IF($G$1="ALL",SUMIFS('GL Dump'!$E:$E,'GL Dump'!$H:$H,Master!$A175,'GL Dump'!$D:$D,Master!Q$1),SUMIFS('GL Dump'!$E:$E,'GL Dump'!$H:$H,Master!$A175,'GL Dump'!$D:$D,Master!Q$1,'GL Dump'!$C:$C,Master!$G$1))</f>
        <v>0</v>
      </c>
      <c r="R175" s="422">
        <f>IF($G$1="ALL",SUMIFS('GL Dump'!$E:$E,'GL Dump'!$H:$H,Master!$A175,'GL Dump'!$D:$D,Master!R$1),SUMIFS('GL Dump'!$E:$E,'GL Dump'!$H:$H,Master!$A175,'GL Dump'!$D:$D,Master!R$1,'GL Dump'!$C:$C,Master!$G$1))</f>
        <v>0</v>
      </c>
      <c r="S175" s="422">
        <f>IF($G$1="ALL",SUMIFS('GL Dump'!$E:$E,'GL Dump'!$H:$H,Master!$A175,'GL Dump'!$D:$D,Master!S$1),SUMIFS('GL Dump'!$E:$E,'GL Dump'!$H:$H,Master!$A175,'GL Dump'!$D:$D,Master!S$1,'GL Dump'!$C:$C,Master!$G$1))</f>
        <v>0</v>
      </c>
      <c r="T175" s="423"/>
    </row>
    <row r="176" spans="1:20" x14ac:dyDescent="0.25">
      <c r="A176" s="267" t="s">
        <v>2025</v>
      </c>
      <c r="B176" s="267" t="s">
        <v>3084</v>
      </c>
      <c r="C176" s="267">
        <v>0</v>
      </c>
      <c r="D176" s="267"/>
      <c r="E176" s="384">
        <f t="shared" si="10"/>
        <v>0</v>
      </c>
      <c r="F176" s="267" t="s">
        <v>3108</v>
      </c>
      <c r="H176" s="397">
        <f>E176+SUMIFS('GL Dump'!$E:$E,'GL Dump'!$H:$H,Master!A176,'GL Dump'!$D:$D,Master!$I$1)</f>
        <v>0</v>
      </c>
      <c r="I176" s="81">
        <f>IF($G$1="ALL",SUMIFS('GL Dump'!$E:$E,'GL Dump'!$H:$H,Master!$A176,'GL Dump'!$D:$D,Master!I$1),SUMIFS('GL Dump'!$E:$E,'GL Dump'!$H:$H,Master!$A176,'GL Dump'!$D:$D,Master!I$1,'GL Dump'!$C:$C,Master!$G$1))</f>
        <v>0</v>
      </c>
      <c r="J176" s="81">
        <f>IF($G$1="ALL",SUMIFS('GL Dump'!$E:$E,'GL Dump'!$H:$H,Master!$A176,'GL Dump'!$D:$D,Master!J$1),SUMIFS('GL Dump'!$E:$E,'GL Dump'!$H:$H,Master!$A176,'GL Dump'!$D:$D,Master!J$1,'GL Dump'!$C:$C,Master!$G$1))</f>
        <v>0</v>
      </c>
      <c r="K176" s="81">
        <f>IF($G$1="ALL",SUMIFS('GL Dump'!$E:$E,'GL Dump'!$H:$H,Master!$A176,'GL Dump'!$D:$D,Master!K$1),SUMIFS('GL Dump'!$E:$E,'GL Dump'!$H:$H,Master!$A176,'GL Dump'!$D:$D,Master!K$1,'GL Dump'!$C:$C,Master!$G$1))</f>
        <v>78.180000000000007</v>
      </c>
      <c r="L176" s="81">
        <f>IF($G$1="ALL",SUMIFS('GL Dump'!$E:$E,'GL Dump'!$H:$H,Master!$A176,'GL Dump'!$D:$D,Master!L$1),SUMIFS('GL Dump'!$E:$E,'GL Dump'!$H:$H,Master!$A176,'GL Dump'!$D:$D,Master!L$1,'GL Dump'!$C:$C,Master!$G$1))</f>
        <v>156.36000000000001</v>
      </c>
      <c r="M176" s="81">
        <f>IF($G$1="ALL",SUMIFS('GL Dump'!$E:$E,'GL Dump'!$H:$H,Master!$A176,'GL Dump'!$D:$D,Master!M$1),SUMIFS('GL Dump'!$E:$E,'GL Dump'!$H:$H,Master!$A176,'GL Dump'!$D:$D,Master!M$1,'GL Dump'!$C:$C,Master!$G$1))</f>
        <v>0</v>
      </c>
      <c r="N176" s="81">
        <f>IF($G$1="ALL",SUMIFS('GL Dump'!$E:$E,'GL Dump'!$H:$H,Master!$A176,'GL Dump'!$D:$D,Master!N$1),SUMIFS('GL Dump'!$E:$E,'GL Dump'!$H:$H,Master!$A176,'GL Dump'!$D:$D,Master!N$1,'GL Dump'!$C:$C,Master!$G$1))</f>
        <v>156.36000000000001</v>
      </c>
      <c r="O176" s="81">
        <f>IF($G$1="ALL",SUMIFS('GL Dump'!$E:$E,'GL Dump'!$H:$H,Master!$A176,'GL Dump'!$D:$D,Master!O$1),SUMIFS('GL Dump'!$E:$E,'GL Dump'!$H:$H,Master!$A176,'GL Dump'!$D:$D,Master!O$1,'GL Dump'!$C:$C,Master!$G$1))</f>
        <v>0</v>
      </c>
      <c r="P176" s="81">
        <f>IF($G$1="ALL",SUMIFS('GL Dump'!$E:$E,'GL Dump'!$H:$H,Master!$A176,'GL Dump'!$D:$D,Master!P$1),SUMIFS('GL Dump'!$E:$E,'GL Dump'!$H:$H,Master!$A176,'GL Dump'!$D:$D,Master!P$1,'GL Dump'!$C:$C,Master!$G$1))</f>
        <v>0</v>
      </c>
      <c r="Q176" s="81">
        <f>IF($G$1="ALL",SUMIFS('GL Dump'!$E:$E,'GL Dump'!$H:$H,Master!$A176,'GL Dump'!$D:$D,Master!Q$1),SUMIFS('GL Dump'!$E:$E,'GL Dump'!$H:$H,Master!$A176,'GL Dump'!$D:$D,Master!Q$1,'GL Dump'!$C:$C,Master!$G$1))</f>
        <v>0</v>
      </c>
      <c r="R176" s="81">
        <f>IF($G$1="ALL",SUMIFS('GL Dump'!$E:$E,'GL Dump'!$H:$H,Master!$A176,'GL Dump'!$D:$D,Master!R$1),SUMIFS('GL Dump'!$E:$E,'GL Dump'!$H:$H,Master!$A176,'GL Dump'!$D:$D,Master!R$1,'GL Dump'!$C:$C,Master!$G$1))</f>
        <v>0</v>
      </c>
      <c r="S176" s="81">
        <f>IF($G$1="ALL",SUMIFS('GL Dump'!$E:$E,'GL Dump'!$H:$H,Master!$A176,'GL Dump'!$D:$D,Master!S$1),SUMIFS('GL Dump'!$E:$E,'GL Dump'!$H:$H,Master!$A176,'GL Dump'!$D:$D,Master!S$1,'GL Dump'!$C:$C,Master!$G$1))</f>
        <v>0</v>
      </c>
    </row>
    <row r="177" spans="1:20" x14ac:dyDescent="0.25">
      <c r="A177" s="454" t="s">
        <v>2026</v>
      </c>
      <c r="B177" s="454" t="s">
        <v>3084</v>
      </c>
      <c r="C177" s="454">
        <v>0</v>
      </c>
      <c r="D177" s="454">
        <f>86*4</f>
        <v>344</v>
      </c>
      <c r="E177" s="468">
        <f t="shared" si="10"/>
        <v>0</v>
      </c>
      <c r="F177" s="454" t="s">
        <v>3108</v>
      </c>
      <c r="G177" s="420"/>
      <c r="H177" s="421">
        <f>E177+SUMIFS('GL Dump'!$E:$E,'GL Dump'!$H:$H,Master!A177,'GL Dump'!$D:$D,Master!$I$1)</f>
        <v>0</v>
      </c>
      <c r="I177" s="422">
        <f>IF($G$1="ALL",SUMIFS('GL Dump'!$E:$E,'GL Dump'!$H:$H,Master!$A177,'GL Dump'!$D:$D,Master!I$1),SUMIFS('GL Dump'!$E:$E,'GL Dump'!$H:$H,Master!$A177,'GL Dump'!$D:$D,Master!I$1,'GL Dump'!$C:$C,Master!$G$1))</f>
        <v>0</v>
      </c>
      <c r="J177" s="422">
        <f>IF($G$1="ALL",SUMIFS('GL Dump'!$E:$E,'GL Dump'!$H:$H,Master!$A177,'GL Dump'!$D:$D,Master!J$1),SUMIFS('GL Dump'!$E:$E,'GL Dump'!$H:$H,Master!$A177,'GL Dump'!$D:$D,Master!J$1,'GL Dump'!$C:$C,Master!$G$1))</f>
        <v>312.72000000000003</v>
      </c>
      <c r="K177" s="422">
        <f>IF($G$1="ALL",SUMIFS('GL Dump'!$E:$E,'GL Dump'!$H:$H,Master!$A177,'GL Dump'!$D:$D,Master!K$1),SUMIFS('GL Dump'!$E:$E,'GL Dump'!$H:$H,Master!$A177,'GL Dump'!$D:$D,Master!K$1,'GL Dump'!$C:$C,Master!$G$1))</f>
        <v>703.62000000000012</v>
      </c>
      <c r="L177" s="422">
        <f>IF($G$1="ALL",SUMIFS('GL Dump'!$E:$E,'GL Dump'!$H:$H,Master!$A177,'GL Dump'!$D:$D,Master!L$1),SUMIFS('GL Dump'!$E:$E,'GL Dump'!$H:$H,Master!$A177,'GL Dump'!$D:$D,Master!L$1,'GL Dump'!$C:$C,Master!$G$1))</f>
        <v>1563.6000000000008</v>
      </c>
      <c r="M177" s="422">
        <f>IF($G$1="ALL",SUMIFS('GL Dump'!$E:$E,'GL Dump'!$H:$H,Master!$A177,'GL Dump'!$D:$D,Master!M$1),SUMIFS('GL Dump'!$E:$E,'GL Dump'!$H:$H,Master!$A177,'GL Dump'!$D:$D,Master!M$1,'GL Dump'!$C:$C,Master!$G$1))</f>
        <v>0</v>
      </c>
      <c r="N177" s="422">
        <f>IF($G$1="ALL",SUMIFS('GL Dump'!$E:$E,'GL Dump'!$H:$H,Master!$A177,'GL Dump'!$D:$D,Master!N$1),SUMIFS('GL Dump'!$E:$E,'GL Dump'!$H:$H,Master!$A177,'GL Dump'!$D:$D,Master!N$1,'GL Dump'!$C:$C,Master!$G$1))</f>
        <v>1016.3400000000004</v>
      </c>
      <c r="O177" s="422">
        <f>IF($G$1="ALL",SUMIFS('GL Dump'!$E:$E,'GL Dump'!$H:$H,Master!$A177,'GL Dump'!$D:$D,Master!O$1),SUMIFS('GL Dump'!$E:$E,'GL Dump'!$H:$H,Master!$A177,'GL Dump'!$D:$D,Master!O$1,'GL Dump'!$C:$C,Master!$G$1))</f>
        <v>0</v>
      </c>
      <c r="P177" s="422">
        <f>IF($G$1="ALL",SUMIFS('GL Dump'!$E:$E,'GL Dump'!$H:$H,Master!$A177,'GL Dump'!$D:$D,Master!P$1),SUMIFS('GL Dump'!$E:$E,'GL Dump'!$H:$H,Master!$A177,'GL Dump'!$D:$D,Master!P$1,'GL Dump'!$C:$C,Master!$G$1))</f>
        <v>0</v>
      </c>
      <c r="Q177" s="422">
        <f>IF($G$1="ALL",SUMIFS('GL Dump'!$E:$E,'GL Dump'!$H:$H,Master!$A177,'GL Dump'!$D:$D,Master!Q$1),SUMIFS('GL Dump'!$E:$E,'GL Dump'!$H:$H,Master!$A177,'GL Dump'!$D:$D,Master!Q$1,'GL Dump'!$C:$C,Master!$G$1))</f>
        <v>0</v>
      </c>
      <c r="R177" s="422">
        <f>IF($G$1="ALL",SUMIFS('GL Dump'!$E:$E,'GL Dump'!$H:$H,Master!$A177,'GL Dump'!$D:$D,Master!R$1),SUMIFS('GL Dump'!$E:$E,'GL Dump'!$H:$H,Master!$A177,'GL Dump'!$D:$D,Master!R$1,'GL Dump'!$C:$C,Master!$G$1))</f>
        <v>0</v>
      </c>
      <c r="S177" s="422">
        <f>IF($G$1="ALL",SUMIFS('GL Dump'!$E:$E,'GL Dump'!$H:$H,Master!$A177,'GL Dump'!$D:$D,Master!S$1),SUMIFS('GL Dump'!$E:$E,'GL Dump'!$H:$H,Master!$A177,'GL Dump'!$D:$D,Master!S$1,'GL Dump'!$C:$C,Master!$G$1))</f>
        <v>0</v>
      </c>
      <c r="T177" s="423"/>
    </row>
    <row r="178" spans="1:20" x14ac:dyDescent="0.25">
      <c r="A178" s="267" t="s">
        <v>2029</v>
      </c>
      <c r="B178" s="267" t="s">
        <v>3084</v>
      </c>
      <c r="C178" s="267">
        <v>0</v>
      </c>
      <c r="D178" s="267"/>
      <c r="E178" s="384">
        <f t="shared" si="10"/>
        <v>0</v>
      </c>
      <c r="F178" s="267" t="s">
        <v>3108</v>
      </c>
      <c r="H178" s="397">
        <f>E178+SUMIFS('GL Dump'!$E:$E,'GL Dump'!$H:$H,Master!A178,'GL Dump'!$D:$D,Master!$I$1)</f>
        <v>0</v>
      </c>
      <c r="I178" s="81">
        <f>IF($G$1="ALL",SUMIFS('GL Dump'!$E:$E,'GL Dump'!$H:$H,Master!$A178,'GL Dump'!$D:$D,Master!I$1),SUMIFS('GL Dump'!$E:$E,'GL Dump'!$H:$H,Master!$A178,'GL Dump'!$D:$D,Master!I$1,'GL Dump'!$C:$C,Master!$G$1))</f>
        <v>0</v>
      </c>
      <c r="J178" s="81">
        <f>IF($G$1="ALL",SUMIFS('GL Dump'!$E:$E,'GL Dump'!$H:$H,Master!$A178,'GL Dump'!$D:$D,Master!J$1),SUMIFS('GL Dump'!$E:$E,'GL Dump'!$H:$H,Master!$A178,'GL Dump'!$D:$D,Master!J$1,'GL Dump'!$C:$C,Master!$G$1))</f>
        <v>0</v>
      </c>
      <c r="K178" s="81">
        <f>IF($G$1="ALL",SUMIFS('GL Dump'!$E:$E,'GL Dump'!$H:$H,Master!$A178,'GL Dump'!$D:$D,Master!K$1),SUMIFS('GL Dump'!$E:$E,'GL Dump'!$H:$H,Master!$A178,'GL Dump'!$D:$D,Master!K$1,'GL Dump'!$C:$C,Master!$G$1))</f>
        <v>234.54000000000002</v>
      </c>
      <c r="L178" s="81">
        <f>IF($G$1="ALL",SUMIFS('GL Dump'!$E:$E,'GL Dump'!$H:$H,Master!$A178,'GL Dump'!$D:$D,Master!L$1),SUMIFS('GL Dump'!$E:$E,'GL Dump'!$H:$H,Master!$A178,'GL Dump'!$D:$D,Master!L$1,'GL Dump'!$C:$C,Master!$G$1))</f>
        <v>469.08000000000004</v>
      </c>
      <c r="M178" s="81">
        <f>IF($G$1="ALL",SUMIFS('GL Dump'!$E:$E,'GL Dump'!$H:$H,Master!$A178,'GL Dump'!$D:$D,Master!M$1),SUMIFS('GL Dump'!$E:$E,'GL Dump'!$H:$H,Master!$A178,'GL Dump'!$D:$D,Master!M$1,'GL Dump'!$C:$C,Master!$G$1))</f>
        <v>0</v>
      </c>
      <c r="N178" s="81">
        <f>IF($G$1="ALL",SUMIFS('GL Dump'!$E:$E,'GL Dump'!$H:$H,Master!$A178,'GL Dump'!$D:$D,Master!N$1),SUMIFS('GL Dump'!$E:$E,'GL Dump'!$H:$H,Master!$A178,'GL Dump'!$D:$D,Master!N$1,'GL Dump'!$C:$C,Master!$G$1))</f>
        <v>234.54000000000002</v>
      </c>
      <c r="O178" s="81">
        <f>IF($G$1="ALL",SUMIFS('GL Dump'!$E:$E,'GL Dump'!$H:$H,Master!$A178,'GL Dump'!$D:$D,Master!O$1),SUMIFS('GL Dump'!$E:$E,'GL Dump'!$H:$H,Master!$A178,'GL Dump'!$D:$D,Master!O$1,'GL Dump'!$C:$C,Master!$G$1))</f>
        <v>0</v>
      </c>
      <c r="P178" s="81">
        <f>IF($G$1="ALL",SUMIFS('GL Dump'!$E:$E,'GL Dump'!$H:$H,Master!$A178,'GL Dump'!$D:$D,Master!P$1),SUMIFS('GL Dump'!$E:$E,'GL Dump'!$H:$H,Master!$A178,'GL Dump'!$D:$D,Master!P$1,'GL Dump'!$C:$C,Master!$G$1))</f>
        <v>0</v>
      </c>
      <c r="Q178" s="81">
        <f>IF($G$1="ALL",SUMIFS('GL Dump'!$E:$E,'GL Dump'!$H:$H,Master!$A178,'GL Dump'!$D:$D,Master!Q$1),SUMIFS('GL Dump'!$E:$E,'GL Dump'!$H:$H,Master!$A178,'GL Dump'!$D:$D,Master!Q$1,'GL Dump'!$C:$C,Master!$G$1))</f>
        <v>0</v>
      </c>
      <c r="R178" s="81">
        <f>IF($G$1="ALL",SUMIFS('GL Dump'!$E:$E,'GL Dump'!$H:$H,Master!$A178,'GL Dump'!$D:$D,Master!R$1),SUMIFS('GL Dump'!$E:$E,'GL Dump'!$H:$H,Master!$A178,'GL Dump'!$D:$D,Master!R$1,'GL Dump'!$C:$C,Master!$G$1))</f>
        <v>0</v>
      </c>
      <c r="S178" s="81">
        <f>IF($G$1="ALL",SUMIFS('GL Dump'!$E:$E,'GL Dump'!$H:$H,Master!$A178,'GL Dump'!$D:$D,Master!S$1),SUMIFS('GL Dump'!$E:$E,'GL Dump'!$H:$H,Master!$A178,'GL Dump'!$D:$D,Master!S$1,'GL Dump'!$C:$C,Master!$G$1))</f>
        <v>0</v>
      </c>
    </row>
    <row r="179" spans="1:20" x14ac:dyDescent="0.25">
      <c r="A179" s="454" t="s">
        <v>2338</v>
      </c>
      <c r="B179" s="454" t="s">
        <v>3084</v>
      </c>
      <c r="C179" s="454">
        <v>0</v>
      </c>
      <c r="D179" s="454">
        <v>86</v>
      </c>
      <c r="E179" s="468">
        <f t="shared" si="10"/>
        <v>0</v>
      </c>
      <c r="F179" s="454" t="s">
        <v>3108</v>
      </c>
      <c r="G179" s="420"/>
      <c r="H179" s="421">
        <f>E179+SUMIFS('GL Dump'!$E:$E,'GL Dump'!$H:$H,Master!A179,'GL Dump'!$D:$D,Master!$I$1)</f>
        <v>0</v>
      </c>
      <c r="I179" s="422">
        <f>IF($G$1="ALL",SUMIFS('GL Dump'!$E:$E,'GL Dump'!$H:$H,Master!$A179,'GL Dump'!$D:$D,Master!I$1),SUMIFS('GL Dump'!$E:$E,'GL Dump'!$H:$H,Master!$A179,'GL Dump'!$D:$D,Master!I$1,'GL Dump'!$C:$C,Master!$G$1))</f>
        <v>0</v>
      </c>
      <c r="J179" s="422">
        <f>IF($G$1="ALL",SUMIFS('GL Dump'!$E:$E,'GL Dump'!$H:$H,Master!$A179,'GL Dump'!$D:$D,Master!J$1),SUMIFS('GL Dump'!$E:$E,'GL Dump'!$H:$H,Master!$A179,'GL Dump'!$D:$D,Master!J$1,'GL Dump'!$C:$C,Master!$G$1))</f>
        <v>78.180000000000007</v>
      </c>
      <c r="K179" s="422">
        <f>IF($G$1="ALL",SUMIFS('GL Dump'!$E:$E,'GL Dump'!$H:$H,Master!$A179,'GL Dump'!$D:$D,Master!K$1),SUMIFS('GL Dump'!$E:$E,'GL Dump'!$H:$H,Master!$A179,'GL Dump'!$D:$D,Master!K$1,'GL Dump'!$C:$C,Master!$G$1))</f>
        <v>0</v>
      </c>
      <c r="L179" s="422">
        <f>IF($G$1="ALL",SUMIFS('GL Dump'!$E:$E,'GL Dump'!$H:$H,Master!$A179,'GL Dump'!$D:$D,Master!L$1),SUMIFS('GL Dump'!$E:$E,'GL Dump'!$H:$H,Master!$A179,'GL Dump'!$D:$D,Master!L$1,'GL Dump'!$C:$C,Master!$G$1))</f>
        <v>19.899999999999999</v>
      </c>
      <c r="M179" s="422">
        <f>IF($G$1="ALL",SUMIFS('GL Dump'!$E:$E,'GL Dump'!$H:$H,Master!$A179,'GL Dump'!$D:$D,Master!M$1),SUMIFS('GL Dump'!$E:$E,'GL Dump'!$H:$H,Master!$A179,'GL Dump'!$D:$D,Master!M$1,'GL Dump'!$C:$C,Master!$G$1))</f>
        <v>92.86</v>
      </c>
      <c r="N179" s="422">
        <f>IF($G$1="ALL",SUMIFS('GL Dump'!$E:$E,'GL Dump'!$H:$H,Master!$A179,'GL Dump'!$D:$D,Master!N$1),SUMIFS('GL Dump'!$E:$E,'GL Dump'!$H:$H,Master!$A179,'GL Dump'!$D:$D,Master!N$1,'GL Dump'!$C:$C,Master!$G$1))</f>
        <v>0</v>
      </c>
      <c r="O179" s="422">
        <f>IF($G$1="ALL",SUMIFS('GL Dump'!$E:$E,'GL Dump'!$H:$H,Master!$A179,'GL Dump'!$D:$D,Master!O$1),SUMIFS('GL Dump'!$E:$E,'GL Dump'!$H:$H,Master!$A179,'GL Dump'!$D:$D,Master!O$1,'GL Dump'!$C:$C,Master!$G$1))</f>
        <v>445.22</v>
      </c>
      <c r="P179" s="422">
        <f>IF($G$1="ALL",SUMIFS('GL Dump'!$E:$E,'GL Dump'!$H:$H,Master!$A179,'GL Dump'!$D:$D,Master!P$1),SUMIFS('GL Dump'!$E:$E,'GL Dump'!$H:$H,Master!$A179,'GL Dump'!$D:$D,Master!P$1,'GL Dump'!$C:$C,Master!$G$1))</f>
        <v>0</v>
      </c>
      <c r="Q179" s="422">
        <f>IF($G$1="ALL",SUMIFS('GL Dump'!$E:$E,'GL Dump'!$H:$H,Master!$A179,'GL Dump'!$D:$D,Master!Q$1),SUMIFS('GL Dump'!$E:$E,'GL Dump'!$H:$H,Master!$A179,'GL Dump'!$D:$D,Master!Q$1,'GL Dump'!$C:$C,Master!$G$1))</f>
        <v>0</v>
      </c>
      <c r="R179" s="422">
        <f>IF($G$1="ALL",SUMIFS('GL Dump'!$E:$E,'GL Dump'!$H:$H,Master!$A179,'GL Dump'!$D:$D,Master!R$1),SUMIFS('GL Dump'!$E:$E,'GL Dump'!$H:$H,Master!$A179,'GL Dump'!$D:$D,Master!R$1,'GL Dump'!$C:$C,Master!$G$1))</f>
        <v>217.86</v>
      </c>
      <c r="S179" s="422">
        <f>IF($G$1="ALL",SUMIFS('GL Dump'!$E:$E,'GL Dump'!$H:$H,Master!$A179,'GL Dump'!$D:$D,Master!S$1),SUMIFS('GL Dump'!$E:$E,'GL Dump'!$H:$H,Master!$A179,'GL Dump'!$D:$D,Master!S$1,'GL Dump'!$C:$C,Master!$G$1))</f>
        <v>76.510000000000005</v>
      </c>
      <c r="T179" s="423"/>
    </row>
    <row r="180" spans="1:20" x14ac:dyDescent="0.25">
      <c r="A180" s="267" t="s">
        <v>3099</v>
      </c>
      <c r="B180" s="267" t="s">
        <v>3084</v>
      </c>
      <c r="C180" s="267">
        <v>0</v>
      </c>
      <c r="D180" s="267"/>
      <c r="E180" s="384">
        <f t="shared" si="10"/>
        <v>0</v>
      </c>
      <c r="F180" s="267" t="s">
        <v>3108</v>
      </c>
      <c r="H180" s="397">
        <f>E180+SUMIFS('GL Dump'!$E:$E,'GL Dump'!$H:$H,Master!A180,'GL Dump'!$D:$D,Master!$I$1)</f>
        <v>0</v>
      </c>
      <c r="I180" s="81">
        <f>IF($G$1="ALL",SUMIFS('GL Dump'!$E:$E,'GL Dump'!$H:$H,Master!$A180,'GL Dump'!$D:$D,Master!I$1),SUMIFS('GL Dump'!$E:$E,'GL Dump'!$H:$H,Master!$A180,'GL Dump'!$D:$D,Master!I$1,'GL Dump'!$C:$C,Master!$G$1))</f>
        <v>0</v>
      </c>
      <c r="J180" s="81">
        <f>IF($G$1="ALL",SUMIFS('GL Dump'!$E:$E,'GL Dump'!$H:$H,Master!$A180,'GL Dump'!$D:$D,Master!J$1),SUMIFS('GL Dump'!$E:$E,'GL Dump'!$H:$H,Master!$A180,'GL Dump'!$D:$D,Master!J$1,'GL Dump'!$C:$C,Master!$G$1))</f>
        <v>0</v>
      </c>
      <c r="K180" s="81">
        <f>IF($G$1="ALL",SUMIFS('GL Dump'!$E:$E,'GL Dump'!$H:$H,Master!$A180,'GL Dump'!$D:$D,Master!K$1),SUMIFS('GL Dump'!$E:$E,'GL Dump'!$H:$H,Master!$A180,'GL Dump'!$D:$D,Master!K$1,'GL Dump'!$C:$C,Master!$G$1))</f>
        <v>0</v>
      </c>
      <c r="L180" s="81">
        <f>IF($G$1="ALL",SUMIFS('GL Dump'!$E:$E,'GL Dump'!$H:$H,Master!$A180,'GL Dump'!$D:$D,Master!L$1),SUMIFS('GL Dump'!$E:$E,'GL Dump'!$H:$H,Master!$A180,'GL Dump'!$D:$D,Master!L$1,'GL Dump'!$C:$C,Master!$G$1))</f>
        <v>0</v>
      </c>
      <c r="M180" s="81">
        <f>IF($G$1="ALL",SUMIFS('GL Dump'!$E:$E,'GL Dump'!$H:$H,Master!$A180,'GL Dump'!$D:$D,Master!M$1),SUMIFS('GL Dump'!$E:$E,'GL Dump'!$H:$H,Master!$A180,'GL Dump'!$D:$D,Master!M$1,'GL Dump'!$C:$C,Master!$G$1))</f>
        <v>0</v>
      </c>
      <c r="N180" s="81">
        <f>IF($G$1="ALL",SUMIFS('GL Dump'!$E:$E,'GL Dump'!$H:$H,Master!$A180,'GL Dump'!$D:$D,Master!N$1),SUMIFS('GL Dump'!$E:$E,'GL Dump'!$H:$H,Master!$A180,'GL Dump'!$D:$D,Master!N$1,'GL Dump'!$C:$C,Master!$G$1))</f>
        <v>0</v>
      </c>
      <c r="O180" s="81">
        <f>IF($G$1="ALL",SUMIFS('GL Dump'!$E:$E,'GL Dump'!$H:$H,Master!$A180,'GL Dump'!$D:$D,Master!O$1),SUMIFS('GL Dump'!$E:$E,'GL Dump'!$H:$H,Master!$A180,'GL Dump'!$D:$D,Master!O$1,'GL Dump'!$C:$C,Master!$G$1))</f>
        <v>0</v>
      </c>
      <c r="P180" s="81">
        <f>IF($G$1="ALL",SUMIFS('GL Dump'!$E:$E,'GL Dump'!$H:$H,Master!$A180,'GL Dump'!$D:$D,Master!P$1),SUMIFS('GL Dump'!$E:$E,'GL Dump'!$H:$H,Master!$A180,'GL Dump'!$D:$D,Master!P$1,'GL Dump'!$C:$C,Master!$G$1))</f>
        <v>0</v>
      </c>
      <c r="Q180" s="81">
        <f>IF($G$1="ALL",SUMIFS('GL Dump'!$E:$E,'GL Dump'!$H:$H,Master!$A180,'GL Dump'!$D:$D,Master!Q$1),SUMIFS('GL Dump'!$E:$E,'GL Dump'!$H:$H,Master!$A180,'GL Dump'!$D:$D,Master!Q$1,'GL Dump'!$C:$C,Master!$G$1))</f>
        <v>0</v>
      </c>
      <c r="R180" s="81">
        <f>IF($G$1="ALL",SUMIFS('GL Dump'!$E:$E,'GL Dump'!$H:$H,Master!$A180,'GL Dump'!$D:$D,Master!R$1),SUMIFS('GL Dump'!$E:$E,'GL Dump'!$H:$H,Master!$A180,'GL Dump'!$D:$D,Master!R$1,'GL Dump'!$C:$C,Master!$G$1))</f>
        <v>0</v>
      </c>
      <c r="S180" s="81">
        <f>IF($G$1="ALL",SUMIFS('GL Dump'!$E:$E,'GL Dump'!$H:$H,Master!$A180,'GL Dump'!$D:$D,Master!S$1),SUMIFS('GL Dump'!$E:$E,'GL Dump'!$H:$H,Master!$A180,'GL Dump'!$D:$D,Master!S$1,'GL Dump'!$C:$C,Master!$G$1))</f>
        <v>0</v>
      </c>
    </row>
    <row r="181" spans="1:20" x14ac:dyDescent="0.25">
      <c r="A181" s="454" t="s">
        <v>3100</v>
      </c>
      <c r="B181" s="454" t="s">
        <v>3084</v>
      </c>
      <c r="C181" s="454">
        <v>0</v>
      </c>
      <c r="D181" s="454"/>
      <c r="E181" s="468">
        <f t="shared" si="10"/>
        <v>0</v>
      </c>
      <c r="F181" s="454" t="s">
        <v>3108</v>
      </c>
      <c r="G181" s="420"/>
      <c r="H181" s="421">
        <f>E181+SUMIFS('GL Dump'!$E:$E,'GL Dump'!$H:$H,Master!A181,'GL Dump'!$D:$D,Master!$I$1)</f>
        <v>0</v>
      </c>
      <c r="I181" s="422">
        <f>IF($G$1="ALL",SUMIFS('GL Dump'!$E:$E,'GL Dump'!$H:$H,Master!$A181,'GL Dump'!$D:$D,Master!I$1),SUMIFS('GL Dump'!$E:$E,'GL Dump'!$H:$H,Master!$A181,'GL Dump'!$D:$D,Master!I$1,'GL Dump'!$C:$C,Master!$G$1))</f>
        <v>0</v>
      </c>
      <c r="J181" s="422">
        <f>IF($G$1="ALL",SUMIFS('GL Dump'!$E:$E,'GL Dump'!$H:$H,Master!$A181,'GL Dump'!$D:$D,Master!J$1),SUMIFS('GL Dump'!$E:$E,'GL Dump'!$H:$H,Master!$A181,'GL Dump'!$D:$D,Master!J$1,'GL Dump'!$C:$C,Master!$G$1))</f>
        <v>0</v>
      </c>
      <c r="K181" s="422">
        <f>IF($G$1="ALL",SUMIFS('GL Dump'!$E:$E,'GL Dump'!$H:$H,Master!$A181,'GL Dump'!$D:$D,Master!K$1),SUMIFS('GL Dump'!$E:$E,'GL Dump'!$H:$H,Master!$A181,'GL Dump'!$D:$D,Master!K$1,'GL Dump'!$C:$C,Master!$G$1))</f>
        <v>0</v>
      </c>
      <c r="L181" s="422">
        <f>IF($G$1="ALL",SUMIFS('GL Dump'!$E:$E,'GL Dump'!$H:$H,Master!$A181,'GL Dump'!$D:$D,Master!L$1),SUMIFS('GL Dump'!$E:$E,'GL Dump'!$H:$H,Master!$A181,'GL Dump'!$D:$D,Master!L$1,'GL Dump'!$C:$C,Master!$G$1))</f>
        <v>0</v>
      </c>
      <c r="M181" s="422">
        <f>IF($G$1="ALL",SUMIFS('GL Dump'!$E:$E,'GL Dump'!$H:$H,Master!$A181,'GL Dump'!$D:$D,Master!M$1),SUMIFS('GL Dump'!$E:$E,'GL Dump'!$H:$H,Master!$A181,'GL Dump'!$D:$D,Master!M$1,'GL Dump'!$C:$C,Master!$G$1))</f>
        <v>0</v>
      </c>
      <c r="N181" s="422">
        <f>IF($G$1="ALL",SUMIFS('GL Dump'!$E:$E,'GL Dump'!$H:$H,Master!$A181,'GL Dump'!$D:$D,Master!N$1),SUMIFS('GL Dump'!$E:$E,'GL Dump'!$H:$H,Master!$A181,'GL Dump'!$D:$D,Master!N$1,'GL Dump'!$C:$C,Master!$G$1))</f>
        <v>0</v>
      </c>
      <c r="O181" s="422">
        <f>IF($G$1="ALL",SUMIFS('GL Dump'!$E:$E,'GL Dump'!$H:$H,Master!$A181,'GL Dump'!$D:$D,Master!O$1),SUMIFS('GL Dump'!$E:$E,'GL Dump'!$H:$H,Master!$A181,'GL Dump'!$D:$D,Master!O$1,'GL Dump'!$C:$C,Master!$G$1))</f>
        <v>0</v>
      </c>
      <c r="P181" s="422">
        <f>IF($G$1="ALL",SUMIFS('GL Dump'!$E:$E,'GL Dump'!$H:$H,Master!$A181,'GL Dump'!$D:$D,Master!P$1),SUMIFS('GL Dump'!$E:$E,'GL Dump'!$H:$H,Master!$A181,'GL Dump'!$D:$D,Master!P$1,'GL Dump'!$C:$C,Master!$G$1))</f>
        <v>0</v>
      </c>
      <c r="Q181" s="422">
        <f>IF($G$1="ALL",SUMIFS('GL Dump'!$E:$E,'GL Dump'!$H:$H,Master!$A181,'GL Dump'!$D:$D,Master!Q$1),SUMIFS('GL Dump'!$E:$E,'GL Dump'!$H:$H,Master!$A181,'GL Dump'!$D:$D,Master!Q$1,'GL Dump'!$C:$C,Master!$G$1))</f>
        <v>0</v>
      </c>
      <c r="R181" s="422">
        <f>IF($G$1="ALL",SUMIFS('GL Dump'!$E:$E,'GL Dump'!$H:$H,Master!$A181,'GL Dump'!$D:$D,Master!R$1),SUMIFS('GL Dump'!$E:$E,'GL Dump'!$H:$H,Master!$A181,'GL Dump'!$D:$D,Master!R$1,'GL Dump'!$C:$C,Master!$G$1))</f>
        <v>0</v>
      </c>
      <c r="S181" s="422">
        <f>IF($G$1="ALL",SUMIFS('GL Dump'!$E:$E,'GL Dump'!$H:$H,Master!$A181,'GL Dump'!$D:$D,Master!S$1),SUMIFS('GL Dump'!$E:$E,'GL Dump'!$H:$H,Master!$A181,'GL Dump'!$D:$D,Master!S$1,'GL Dump'!$C:$C,Master!$G$1))</f>
        <v>0</v>
      </c>
      <c r="T181" s="423"/>
    </row>
    <row r="182" spans="1:20" x14ac:dyDescent="0.25">
      <c r="A182" s="267" t="s">
        <v>2345</v>
      </c>
      <c r="B182" s="267" t="s">
        <v>3084</v>
      </c>
      <c r="C182" s="267">
        <v>0</v>
      </c>
      <c r="D182" s="267"/>
      <c r="E182" s="384">
        <f t="shared" si="10"/>
        <v>0</v>
      </c>
      <c r="F182" s="267" t="s">
        <v>3108</v>
      </c>
      <c r="H182" s="397">
        <f>E182+SUMIFS('GL Dump'!$E:$E,'GL Dump'!$H:$H,Master!A182,'GL Dump'!$D:$D,Master!$I$1)</f>
        <v>0</v>
      </c>
      <c r="I182" s="81">
        <f>IF($G$1="ALL",SUMIFS('GL Dump'!$E:$E,'GL Dump'!$H:$H,Master!$A182,'GL Dump'!$D:$D,Master!I$1),SUMIFS('GL Dump'!$E:$E,'GL Dump'!$H:$H,Master!$A182,'GL Dump'!$D:$D,Master!I$1,'GL Dump'!$C:$C,Master!$G$1))</f>
        <v>0</v>
      </c>
      <c r="J182" s="81">
        <f>IF($G$1="ALL",SUMIFS('GL Dump'!$E:$E,'GL Dump'!$H:$H,Master!$A182,'GL Dump'!$D:$D,Master!J$1),SUMIFS('GL Dump'!$E:$E,'GL Dump'!$H:$H,Master!$A182,'GL Dump'!$D:$D,Master!J$1,'GL Dump'!$C:$C,Master!$G$1))</f>
        <v>0</v>
      </c>
      <c r="K182" s="81">
        <f>IF($G$1="ALL",SUMIFS('GL Dump'!$E:$E,'GL Dump'!$H:$H,Master!$A182,'GL Dump'!$D:$D,Master!K$1),SUMIFS('GL Dump'!$E:$E,'GL Dump'!$H:$H,Master!$A182,'GL Dump'!$D:$D,Master!K$1,'GL Dump'!$C:$C,Master!$G$1))</f>
        <v>171.04000000000002</v>
      </c>
      <c r="L182" s="81">
        <f>IF($G$1="ALL",SUMIFS('GL Dump'!$E:$E,'GL Dump'!$H:$H,Master!$A182,'GL Dump'!$D:$D,Master!L$1),SUMIFS('GL Dump'!$E:$E,'GL Dump'!$H:$H,Master!$A182,'GL Dump'!$D:$D,Master!L$1,'GL Dump'!$C:$C,Master!$G$1))</f>
        <v>156.36000000000001</v>
      </c>
      <c r="M182" s="81">
        <f>IF($G$1="ALL",SUMIFS('GL Dump'!$E:$E,'GL Dump'!$H:$H,Master!$A182,'GL Dump'!$D:$D,Master!M$1),SUMIFS('GL Dump'!$E:$E,'GL Dump'!$H:$H,Master!$A182,'GL Dump'!$D:$D,Master!M$1,'GL Dump'!$C:$C,Master!$G$1))</f>
        <v>191.17999999999998</v>
      </c>
      <c r="N182" s="81">
        <f>IF($G$1="ALL",SUMIFS('GL Dump'!$E:$E,'GL Dump'!$H:$H,Master!$A182,'GL Dump'!$D:$D,Master!N$1),SUMIFS('GL Dump'!$E:$E,'GL Dump'!$H:$H,Master!$A182,'GL Dump'!$D:$D,Master!N$1,'GL Dump'!$C:$C,Master!$G$1))</f>
        <v>78.180000000000007</v>
      </c>
      <c r="O182" s="81">
        <f>IF($G$1="ALL",SUMIFS('GL Dump'!$E:$E,'GL Dump'!$H:$H,Master!$A182,'GL Dump'!$D:$D,Master!O$1),SUMIFS('GL Dump'!$E:$E,'GL Dump'!$H:$H,Master!$A182,'GL Dump'!$D:$D,Master!O$1,'GL Dump'!$C:$C,Master!$G$1))</f>
        <v>0</v>
      </c>
      <c r="P182" s="81">
        <f>IF($G$1="ALL",SUMIFS('GL Dump'!$E:$E,'GL Dump'!$H:$H,Master!$A182,'GL Dump'!$D:$D,Master!P$1),SUMIFS('GL Dump'!$E:$E,'GL Dump'!$H:$H,Master!$A182,'GL Dump'!$D:$D,Master!P$1,'GL Dump'!$C:$C,Master!$G$1))</f>
        <v>0</v>
      </c>
      <c r="Q182" s="81">
        <f>IF($G$1="ALL",SUMIFS('GL Dump'!$E:$E,'GL Dump'!$H:$H,Master!$A182,'GL Dump'!$D:$D,Master!Q$1),SUMIFS('GL Dump'!$E:$E,'GL Dump'!$H:$H,Master!$A182,'GL Dump'!$D:$D,Master!Q$1,'GL Dump'!$C:$C,Master!$G$1))</f>
        <v>92.86</v>
      </c>
      <c r="R182" s="81">
        <f>IF($G$1="ALL",SUMIFS('GL Dump'!$E:$E,'GL Dump'!$H:$H,Master!$A182,'GL Dump'!$D:$D,Master!R$1),SUMIFS('GL Dump'!$E:$E,'GL Dump'!$H:$H,Master!$A182,'GL Dump'!$D:$D,Master!R$1,'GL Dump'!$C:$C,Master!$G$1))</f>
        <v>0</v>
      </c>
      <c r="S182" s="81">
        <f>IF($G$1="ALL",SUMIFS('GL Dump'!$E:$E,'GL Dump'!$H:$H,Master!$A182,'GL Dump'!$D:$D,Master!S$1),SUMIFS('GL Dump'!$E:$E,'GL Dump'!$H:$H,Master!$A182,'GL Dump'!$D:$D,Master!S$1,'GL Dump'!$C:$C,Master!$G$1))</f>
        <v>14.9</v>
      </c>
    </row>
    <row r="183" spans="1:20" x14ac:dyDescent="0.25">
      <c r="A183" s="454" t="s">
        <v>2233</v>
      </c>
      <c r="B183" s="454" t="s">
        <v>3085</v>
      </c>
      <c r="C183" s="454">
        <v>1</v>
      </c>
      <c r="D183" s="468">
        <v>768.18181818181813</v>
      </c>
      <c r="E183" s="468">
        <f t="shared" si="10"/>
        <v>768.18181818181813</v>
      </c>
      <c r="F183" s="454" t="s">
        <v>3091</v>
      </c>
      <c r="G183" s="420"/>
      <c r="H183" s="421">
        <f>E183+SUMIFS('GL Dump'!$E:$E,'GL Dump'!$H:$H,Master!A183,'GL Dump'!$D:$D,Master!$I$1)</f>
        <v>768.18181818181813</v>
      </c>
      <c r="I183" s="422">
        <f>IF($G$1="ALL",SUMIFS('GL Dump'!$E:$E,'GL Dump'!$H:$H,Master!$A183,'GL Dump'!$D:$D,Master!I$1),SUMIFS('GL Dump'!$E:$E,'GL Dump'!$H:$H,Master!$A183,'GL Dump'!$D:$D,Master!I$1,'GL Dump'!$C:$C,Master!$G$1))</f>
        <v>0</v>
      </c>
      <c r="J183" s="422">
        <f>IF($G$1="ALL",SUMIFS('GL Dump'!$E:$E,'GL Dump'!$H:$H,Master!$A183,'GL Dump'!$D:$D,Master!J$1),SUMIFS('GL Dump'!$E:$E,'GL Dump'!$H:$H,Master!$A183,'GL Dump'!$D:$D,Master!J$1,'GL Dump'!$C:$C,Master!$G$1))</f>
        <v>768.17000000000007</v>
      </c>
      <c r="K183" s="422">
        <f>IF($G$1="ALL",SUMIFS('GL Dump'!$E:$E,'GL Dump'!$H:$H,Master!$A183,'GL Dump'!$D:$D,Master!K$1),SUMIFS('GL Dump'!$E:$E,'GL Dump'!$H:$H,Master!$A183,'GL Dump'!$D:$D,Master!K$1,'GL Dump'!$C:$C,Master!$G$1))</f>
        <v>745.45</v>
      </c>
      <c r="L183" s="422">
        <f>IF($G$1="ALL",SUMIFS('GL Dump'!$E:$E,'GL Dump'!$H:$H,Master!$A183,'GL Dump'!$D:$D,Master!L$1),SUMIFS('GL Dump'!$E:$E,'GL Dump'!$H:$H,Master!$A183,'GL Dump'!$D:$D,Master!L$1,'GL Dump'!$C:$C,Master!$G$1))</f>
        <v>809.09</v>
      </c>
      <c r="M183" s="422">
        <f>IF($G$1="ALL",SUMIFS('GL Dump'!$E:$E,'GL Dump'!$H:$H,Master!$A183,'GL Dump'!$D:$D,Master!M$1),SUMIFS('GL Dump'!$E:$E,'GL Dump'!$H:$H,Master!$A183,'GL Dump'!$D:$D,Master!M$1,'GL Dump'!$C:$C,Master!$G$1))</f>
        <v>904.55</v>
      </c>
      <c r="N183" s="422">
        <f>IF($G$1="ALL",SUMIFS('GL Dump'!$E:$E,'GL Dump'!$H:$H,Master!$A183,'GL Dump'!$D:$D,Master!N$1),SUMIFS('GL Dump'!$E:$E,'GL Dump'!$H:$H,Master!$A183,'GL Dump'!$D:$D,Master!N$1,'GL Dump'!$C:$C,Master!$G$1))</f>
        <v>554.54</v>
      </c>
      <c r="O183" s="422">
        <f>IF($G$1="ALL",SUMIFS('GL Dump'!$E:$E,'GL Dump'!$H:$H,Master!$A183,'GL Dump'!$D:$D,Master!O$1),SUMIFS('GL Dump'!$E:$E,'GL Dump'!$H:$H,Master!$A183,'GL Dump'!$D:$D,Master!O$1,'GL Dump'!$C:$C,Master!$G$1))</f>
        <v>359.09</v>
      </c>
      <c r="P183" s="422">
        <f>IF($G$1="ALL",SUMIFS('GL Dump'!$E:$E,'GL Dump'!$H:$H,Master!$A183,'GL Dump'!$D:$D,Master!P$1),SUMIFS('GL Dump'!$E:$E,'GL Dump'!$H:$H,Master!$A183,'GL Dump'!$D:$D,Master!P$1,'GL Dump'!$C:$C,Master!$G$1))</f>
        <v>372.73</v>
      </c>
      <c r="Q183" s="422">
        <f>IF($G$1="ALL",SUMIFS('GL Dump'!$E:$E,'GL Dump'!$H:$H,Master!$A183,'GL Dump'!$D:$D,Master!Q$1),SUMIFS('GL Dump'!$E:$E,'GL Dump'!$H:$H,Master!$A183,'GL Dump'!$D:$D,Master!Q$1,'GL Dump'!$C:$C,Master!$G$1))</f>
        <v>913.63</v>
      </c>
      <c r="R183" s="422">
        <f>IF($G$1="ALL",SUMIFS('GL Dump'!$E:$E,'GL Dump'!$H:$H,Master!$A183,'GL Dump'!$D:$D,Master!R$1),SUMIFS('GL Dump'!$E:$E,'GL Dump'!$H:$H,Master!$A183,'GL Dump'!$D:$D,Master!R$1,'GL Dump'!$C:$C,Master!$G$1))</f>
        <v>0</v>
      </c>
      <c r="S183" s="422">
        <f>IF($G$1="ALL",SUMIFS('GL Dump'!$E:$E,'GL Dump'!$H:$H,Master!$A183,'GL Dump'!$D:$D,Master!S$1),SUMIFS('GL Dump'!$E:$E,'GL Dump'!$H:$H,Master!$A183,'GL Dump'!$D:$D,Master!S$1,'GL Dump'!$C:$C,Master!$G$1))</f>
        <v>0</v>
      </c>
      <c r="T183" s="423"/>
    </row>
    <row r="184" spans="1:20" x14ac:dyDescent="0.25">
      <c r="A184" s="267" t="s">
        <v>2262</v>
      </c>
      <c r="B184" s="267" t="s">
        <v>3085</v>
      </c>
      <c r="C184" s="267">
        <v>1</v>
      </c>
      <c r="D184" s="384">
        <v>177.27272727272725</v>
      </c>
      <c r="E184" s="384">
        <f t="shared" si="10"/>
        <v>177.27272727272725</v>
      </c>
      <c r="F184" s="267" t="s">
        <v>3091</v>
      </c>
      <c r="H184" s="397">
        <f>E184+SUMIFS('GL Dump'!$E:$E,'GL Dump'!$H:$H,Master!A184,'GL Dump'!$D:$D,Master!$I$1)</f>
        <v>177.27272727272725</v>
      </c>
      <c r="I184" s="81">
        <f>IF($G$1="ALL",SUMIFS('GL Dump'!$E:$E,'GL Dump'!$H:$H,Master!$A184,'GL Dump'!$D:$D,Master!I$1),SUMIFS('GL Dump'!$E:$E,'GL Dump'!$H:$H,Master!$A184,'GL Dump'!$D:$D,Master!I$1,'GL Dump'!$C:$C,Master!$G$1))</f>
        <v>0</v>
      </c>
      <c r="J184" s="81">
        <f>IF($G$1="ALL",SUMIFS('GL Dump'!$E:$E,'GL Dump'!$H:$H,Master!$A184,'GL Dump'!$D:$D,Master!J$1),SUMIFS('GL Dump'!$E:$E,'GL Dump'!$H:$H,Master!$A184,'GL Dump'!$D:$D,Master!J$1,'GL Dump'!$C:$C,Master!$G$1))</f>
        <v>177.27999999999997</v>
      </c>
      <c r="K184" s="81">
        <f>IF($G$1="ALL",SUMIFS('GL Dump'!$E:$E,'GL Dump'!$H:$H,Master!$A184,'GL Dump'!$D:$D,Master!K$1),SUMIFS('GL Dump'!$E:$E,'GL Dump'!$H:$H,Master!$A184,'GL Dump'!$D:$D,Master!K$1,'GL Dump'!$C:$C,Master!$G$1))</f>
        <v>154.55000000000001</v>
      </c>
      <c r="L184" s="81">
        <f>IF($G$1="ALL",SUMIFS('GL Dump'!$E:$E,'GL Dump'!$H:$H,Master!$A184,'GL Dump'!$D:$D,Master!L$1),SUMIFS('GL Dump'!$E:$E,'GL Dump'!$H:$H,Master!$A184,'GL Dump'!$D:$D,Master!L$1,'GL Dump'!$C:$C,Master!$G$1))</f>
        <v>213.64</v>
      </c>
      <c r="M184" s="81">
        <f>IF($G$1="ALL",SUMIFS('GL Dump'!$E:$E,'GL Dump'!$H:$H,Master!$A184,'GL Dump'!$D:$D,Master!M$1),SUMIFS('GL Dump'!$E:$E,'GL Dump'!$H:$H,Master!$A184,'GL Dump'!$D:$D,Master!M$1,'GL Dump'!$C:$C,Master!$G$1))</f>
        <v>195.45</v>
      </c>
      <c r="N184" s="81">
        <f>IF($G$1="ALL",SUMIFS('GL Dump'!$E:$E,'GL Dump'!$H:$H,Master!$A184,'GL Dump'!$D:$D,Master!N$1),SUMIFS('GL Dump'!$E:$E,'GL Dump'!$H:$H,Master!$A184,'GL Dump'!$D:$D,Master!N$1,'GL Dump'!$C:$C,Master!$G$1))</f>
        <v>172.73000000000002</v>
      </c>
      <c r="O184" s="81">
        <f>IF($G$1="ALL",SUMIFS('GL Dump'!$E:$E,'GL Dump'!$H:$H,Master!$A184,'GL Dump'!$D:$D,Master!O$1),SUMIFS('GL Dump'!$E:$E,'GL Dump'!$H:$H,Master!$A184,'GL Dump'!$D:$D,Master!O$1,'GL Dump'!$C:$C,Master!$G$1))</f>
        <v>100.01</v>
      </c>
      <c r="P184" s="81">
        <f>IF($G$1="ALL",SUMIFS('GL Dump'!$E:$E,'GL Dump'!$H:$H,Master!$A184,'GL Dump'!$D:$D,Master!P$1),SUMIFS('GL Dump'!$E:$E,'GL Dump'!$H:$H,Master!$A184,'GL Dump'!$D:$D,Master!P$1,'GL Dump'!$C:$C,Master!$G$1))</f>
        <v>104.54</v>
      </c>
      <c r="Q184" s="81">
        <f>IF($G$1="ALL",SUMIFS('GL Dump'!$E:$E,'GL Dump'!$H:$H,Master!$A184,'GL Dump'!$D:$D,Master!Q$1),SUMIFS('GL Dump'!$E:$E,'GL Dump'!$H:$H,Master!$A184,'GL Dump'!$D:$D,Master!Q$1,'GL Dump'!$C:$C,Master!$G$1))</f>
        <v>313.64999999999998</v>
      </c>
      <c r="R184" s="81">
        <f>IF($G$1="ALL",SUMIFS('GL Dump'!$E:$E,'GL Dump'!$H:$H,Master!$A184,'GL Dump'!$D:$D,Master!R$1),SUMIFS('GL Dump'!$E:$E,'GL Dump'!$H:$H,Master!$A184,'GL Dump'!$D:$D,Master!R$1,'GL Dump'!$C:$C,Master!$G$1))</f>
        <v>0</v>
      </c>
      <c r="S184" s="81">
        <f>IF($G$1="ALL",SUMIFS('GL Dump'!$E:$E,'GL Dump'!$H:$H,Master!$A184,'GL Dump'!$D:$D,Master!S$1),SUMIFS('GL Dump'!$E:$E,'GL Dump'!$H:$H,Master!$A184,'GL Dump'!$D:$D,Master!S$1,'GL Dump'!$C:$C,Master!$G$1))</f>
        <v>0</v>
      </c>
    </row>
    <row r="185" spans="1:20" x14ac:dyDescent="0.25">
      <c r="A185" s="454" t="s">
        <v>3101</v>
      </c>
      <c r="B185" s="454" t="s">
        <v>3086</v>
      </c>
      <c r="C185" s="454">
        <v>0</v>
      </c>
      <c r="D185" s="454"/>
      <c r="E185" s="468">
        <f t="shared" si="10"/>
        <v>0</v>
      </c>
      <c r="F185" s="454" t="s">
        <v>3092</v>
      </c>
      <c r="G185" s="420"/>
      <c r="H185" s="421">
        <f>E185+SUMIFS('GL Dump'!$E:$E,'GL Dump'!$H:$H,Master!A185,'GL Dump'!$D:$D,Master!$I$1)</f>
        <v>0</v>
      </c>
      <c r="I185" s="422">
        <f>IF($G$1="ALL",SUMIFS('GL Dump'!$E:$E,'GL Dump'!$H:$H,Master!$A185,'GL Dump'!$D:$D,Master!I$1),SUMIFS('GL Dump'!$E:$E,'GL Dump'!$H:$H,Master!$A185,'GL Dump'!$D:$D,Master!I$1,'GL Dump'!$C:$C,Master!$G$1))</f>
        <v>0</v>
      </c>
      <c r="J185" s="422">
        <f>IF($G$1="ALL",SUMIFS('GL Dump'!$E:$E,'GL Dump'!$H:$H,Master!$A185,'GL Dump'!$D:$D,Master!J$1),SUMIFS('GL Dump'!$E:$E,'GL Dump'!$H:$H,Master!$A185,'GL Dump'!$D:$D,Master!J$1,'GL Dump'!$C:$C,Master!$G$1))</f>
        <v>0</v>
      </c>
      <c r="K185" s="422">
        <f>IF($G$1="ALL",SUMIFS('GL Dump'!$E:$E,'GL Dump'!$H:$H,Master!$A185,'GL Dump'!$D:$D,Master!K$1),SUMIFS('GL Dump'!$E:$E,'GL Dump'!$H:$H,Master!$A185,'GL Dump'!$D:$D,Master!K$1,'GL Dump'!$C:$C,Master!$G$1))</f>
        <v>0</v>
      </c>
      <c r="L185" s="422">
        <f>IF($G$1="ALL",SUMIFS('GL Dump'!$E:$E,'GL Dump'!$H:$H,Master!$A185,'GL Dump'!$D:$D,Master!L$1),SUMIFS('GL Dump'!$E:$E,'GL Dump'!$H:$H,Master!$A185,'GL Dump'!$D:$D,Master!L$1,'GL Dump'!$C:$C,Master!$G$1))</f>
        <v>0</v>
      </c>
      <c r="M185" s="422">
        <f>IF($G$1="ALL",SUMIFS('GL Dump'!$E:$E,'GL Dump'!$H:$H,Master!$A185,'GL Dump'!$D:$D,Master!M$1),SUMIFS('GL Dump'!$E:$E,'GL Dump'!$H:$H,Master!$A185,'GL Dump'!$D:$D,Master!M$1,'GL Dump'!$C:$C,Master!$G$1))</f>
        <v>0</v>
      </c>
      <c r="N185" s="422">
        <f>IF($G$1="ALL",SUMIFS('GL Dump'!$E:$E,'GL Dump'!$H:$H,Master!$A185,'GL Dump'!$D:$D,Master!N$1),SUMIFS('GL Dump'!$E:$E,'GL Dump'!$H:$H,Master!$A185,'GL Dump'!$D:$D,Master!N$1,'GL Dump'!$C:$C,Master!$G$1))</f>
        <v>0</v>
      </c>
      <c r="O185" s="422">
        <f>IF($G$1="ALL",SUMIFS('GL Dump'!$E:$E,'GL Dump'!$H:$H,Master!$A185,'GL Dump'!$D:$D,Master!O$1),SUMIFS('GL Dump'!$E:$E,'GL Dump'!$H:$H,Master!$A185,'GL Dump'!$D:$D,Master!O$1,'GL Dump'!$C:$C,Master!$G$1))</f>
        <v>0</v>
      </c>
      <c r="P185" s="422">
        <f>IF($G$1="ALL",SUMIFS('GL Dump'!$E:$E,'GL Dump'!$H:$H,Master!$A185,'GL Dump'!$D:$D,Master!P$1),SUMIFS('GL Dump'!$E:$E,'GL Dump'!$H:$H,Master!$A185,'GL Dump'!$D:$D,Master!P$1,'GL Dump'!$C:$C,Master!$G$1))</f>
        <v>0</v>
      </c>
      <c r="Q185" s="422">
        <f>IF($G$1="ALL",SUMIFS('GL Dump'!$E:$E,'GL Dump'!$H:$H,Master!$A185,'GL Dump'!$D:$D,Master!Q$1),SUMIFS('GL Dump'!$E:$E,'GL Dump'!$H:$H,Master!$A185,'GL Dump'!$D:$D,Master!Q$1,'GL Dump'!$C:$C,Master!$G$1))</f>
        <v>0</v>
      </c>
      <c r="R185" s="422">
        <f>IF($G$1="ALL",SUMIFS('GL Dump'!$E:$E,'GL Dump'!$H:$H,Master!$A185,'GL Dump'!$D:$D,Master!R$1),SUMIFS('GL Dump'!$E:$E,'GL Dump'!$H:$H,Master!$A185,'GL Dump'!$D:$D,Master!R$1,'GL Dump'!$C:$C,Master!$G$1))</f>
        <v>0</v>
      </c>
      <c r="S185" s="422">
        <f>IF($G$1="ALL",SUMIFS('GL Dump'!$E:$E,'GL Dump'!$H:$H,Master!$A185,'GL Dump'!$D:$D,Master!S$1),SUMIFS('GL Dump'!$E:$E,'GL Dump'!$H:$H,Master!$A185,'GL Dump'!$D:$D,Master!S$1,'GL Dump'!$C:$C,Master!$G$1))</f>
        <v>0</v>
      </c>
      <c r="T185" s="423"/>
    </row>
    <row r="186" spans="1:20" x14ac:dyDescent="0.25">
      <c r="A186" s="267" t="s">
        <v>1938</v>
      </c>
      <c r="B186" s="267" t="s">
        <v>857</v>
      </c>
      <c r="C186" s="267">
        <v>0</v>
      </c>
      <c r="D186" s="267"/>
      <c r="E186" s="384">
        <f t="shared" si="10"/>
        <v>0</v>
      </c>
      <c r="F186" s="267" t="s">
        <v>3092</v>
      </c>
      <c r="H186" s="397">
        <f>E186+SUMIFS('GL Dump'!$E:$E,'GL Dump'!$H:$H,Master!A186,'GL Dump'!$D:$D,Master!$I$1)</f>
        <v>0</v>
      </c>
      <c r="I186" s="81">
        <f>IF($G$1="ALL",SUMIFS('GL Dump'!$E:$E,'GL Dump'!$H:$H,Master!$A186,'GL Dump'!$D:$D,Master!I$1),SUMIFS('GL Dump'!$E:$E,'GL Dump'!$H:$H,Master!$A186,'GL Dump'!$D:$D,Master!I$1,'GL Dump'!$C:$C,Master!$G$1))</f>
        <v>0</v>
      </c>
      <c r="J186" s="81">
        <f>IF($G$1="ALL",SUMIFS('GL Dump'!$E:$E,'GL Dump'!$H:$H,Master!$A186,'GL Dump'!$D:$D,Master!J$1),SUMIFS('GL Dump'!$E:$E,'GL Dump'!$H:$H,Master!$A186,'GL Dump'!$D:$D,Master!J$1,'GL Dump'!$C:$C,Master!$G$1))</f>
        <v>136.35000000000002</v>
      </c>
      <c r="K186" s="81">
        <f>IF($G$1="ALL",SUMIFS('GL Dump'!$E:$E,'GL Dump'!$H:$H,Master!$A186,'GL Dump'!$D:$D,Master!K$1),SUMIFS('GL Dump'!$E:$E,'GL Dump'!$H:$H,Master!$A186,'GL Dump'!$D:$D,Master!K$1,'GL Dump'!$C:$C,Master!$G$1))</f>
        <v>0</v>
      </c>
      <c r="L186" s="81">
        <f>IF($G$1="ALL",SUMIFS('GL Dump'!$E:$E,'GL Dump'!$H:$H,Master!$A186,'GL Dump'!$D:$D,Master!L$1),SUMIFS('GL Dump'!$E:$E,'GL Dump'!$H:$H,Master!$A186,'GL Dump'!$D:$D,Master!L$1,'GL Dump'!$C:$C,Master!$G$1))</f>
        <v>0</v>
      </c>
      <c r="M186" s="81">
        <f>IF($G$1="ALL",SUMIFS('GL Dump'!$E:$E,'GL Dump'!$H:$H,Master!$A186,'GL Dump'!$D:$D,Master!M$1),SUMIFS('GL Dump'!$E:$E,'GL Dump'!$H:$H,Master!$A186,'GL Dump'!$D:$D,Master!M$1,'GL Dump'!$C:$C,Master!$G$1))</f>
        <v>0</v>
      </c>
      <c r="N186" s="81">
        <f>IF($G$1="ALL",SUMIFS('GL Dump'!$E:$E,'GL Dump'!$H:$H,Master!$A186,'GL Dump'!$D:$D,Master!N$1),SUMIFS('GL Dump'!$E:$E,'GL Dump'!$H:$H,Master!$A186,'GL Dump'!$D:$D,Master!N$1,'GL Dump'!$C:$C,Master!$G$1))</f>
        <v>0</v>
      </c>
      <c r="O186" s="81">
        <f>IF($G$1="ALL",SUMIFS('GL Dump'!$E:$E,'GL Dump'!$H:$H,Master!$A186,'GL Dump'!$D:$D,Master!O$1),SUMIFS('GL Dump'!$E:$E,'GL Dump'!$H:$H,Master!$A186,'GL Dump'!$D:$D,Master!O$1,'GL Dump'!$C:$C,Master!$G$1))</f>
        <v>129.86000000000001</v>
      </c>
      <c r="P186" s="81">
        <f>IF($G$1="ALL",SUMIFS('GL Dump'!$E:$E,'GL Dump'!$H:$H,Master!$A186,'GL Dump'!$D:$D,Master!P$1),SUMIFS('GL Dump'!$E:$E,'GL Dump'!$H:$H,Master!$A186,'GL Dump'!$D:$D,Master!P$1,'GL Dump'!$C:$C,Master!$G$1))</f>
        <v>0</v>
      </c>
      <c r="Q186" s="81">
        <f>IF($G$1="ALL",SUMIFS('GL Dump'!$E:$E,'GL Dump'!$H:$H,Master!$A186,'GL Dump'!$D:$D,Master!Q$1),SUMIFS('GL Dump'!$E:$E,'GL Dump'!$H:$H,Master!$A186,'GL Dump'!$D:$D,Master!Q$1,'GL Dump'!$C:$C,Master!$G$1))</f>
        <v>0</v>
      </c>
      <c r="R186" s="81">
        <f>IF($G$1="ALL",SUMIFS('GL Dump'!$E:$E,'GL Dump'!$H:$H,Master!$A186,'GL Dump'!$D:$D,Master!R$1),SUMIFS('GL Dump'!$E:$E,'GL Dump'!$H:$H,Master!$A186,'GL Dump'!$D:$D,Master!R$1,'GL Dump'!$C:$C,Master!$G$1))</f>
        <v>0</v>
      </c>
      <c r="S186" s="81">
        <f>IF($G$1="ALL",SUMIFS('GL Dump'!$E:$E,'GL Dump'!$H:$H,Master!$A186,'GL Dump'!$D:$D,Master!S$1),SUMIFS('GL Dump'!$E:$E,'GL Dump'!$H:$H,Master!$A186,'GL Dump'!$D:$D,Master!S$1,'GL Dump'!$C:$C,Master!$G$1))</f>
        <v>65.55</v>
      </c>
    </row>
    <row r="187" spans="1:20" x14ac:dyDescent="0.25">
      <c r="A187" s="454" t="s">
        <v>1993</v>
      </c>
      <c r="B187" s="454" t="s">
        <v>857</v>
      </c>
      <c r="C187" s="454">
        <v>0</v>
      </c>
      <c r="D187" s="454"/>
      <c r="E187" s="468">
        <f t="shared" si="10"/>
        <v>0</v>
      </c>
      <c r="F187" s="454" t="s">
        <v>3092</v>
      </c>
      <c r="G187" s="420"/>
      <c r="H187" s="421">
        <f>E187+SUMIFS('GL Dump'!$E:$E,'GL Dump'!$H:$H,Master!A187,'GL Dump'!$D:$D,Master!$I$1)</f>
        <v>0</v>
      </c>
      <c r="I187" s="422">
        <f>IF($G$1="ALL",SUMIFS('GL Dump'!$E:$E,'GL Dump'!$H:$H,Master!$A187,'GL Dump'!$D:$D,Master!I$1),SUMIFS('GL Dump'!$E:$E,'GL Dump'!$H:$H,Master!$A187,'GL Dump'!$D:$D,Master!I$1,'GL Dump'!$C:$C,Master!$G$1))</f>
        <v>0</v>
      </c>
      <c r="J187" s="422">
        <f>IF($G$1="ALL",SUMIFS('GL Dump'!$E:$E,'GL Dump'!$H:$H,Master!$A187,'GL Dump'!$D:$D,Master!J$1),SUMIFS('GL Dump'!$E:$E,'GL Dump'!$H:$H,Master!$A187,'GL Dump'!$D:$D,Master!J$1,'GL Dump'!$C:$C,Master!$G$1))</f>
        <v>136.35</v>
      </c>
      <c r="K187" s="422">
        <f>IF($G$1="ALL",SUMIFS('GL Dump'!$E:$E,'GL Dump'!$H:$H,Master!$A187,'GL Dump'!$D:$D,Master!K$1),SUMIFS('GL Dump'!$E:$E,'GL Dump'!$H:$H,Master!$A187,'GL Dump'!$D:$D,Master!K$1,'GL Dump'!$C:$C,Master!$G$1))</f>
        <v>0</v>
      </c>
      <c r="L187" s="422">
        <f>IF($G$1="ALL",SUMIFS('GL Dump'!$E:$E,'GL Dump'!$H:$H,Master!$A187,'GL Dump'!$D:$D,Master!L$1),SUMIFS('GL Dump'!$E:$E,'GL Dump'!$H:$H,Master!$A187,'GL Dump'!$D:$D,Master!L$1,'GL Dump'!$C:$C,Master!$G$1))</f>
        <v>90.91</v>
      </c>
      <c r="M187" s="422">
        <f>IF($G$1="ALL",SUMIFS('GL Dump'!$E:$E,'GL Dump'!$H:$H,Master!$A187,'GL Dump'!$D:$D,Master!M$1),SUMIFS('GL Dump'!$E:$E,'GL Dump'!$H:$H,Master!$A187,'GL Dump'!$D:$D,Master!M$1,'GL Dump'!$C:$C,Master!$G$1))</f>
        <v>285.70999999999998</v>
      </c>
      <c r="N187" s="422">
        <f>IF($G$1="ALL",SUMIFS('GL Dump'!$E:$E,'GL Dump'!$H:$H,Master!$A187,'GL Dump'!$D:$D,Master!N$1),SUMIFS('GL Dump'!$E:$E,'GL Dump'!$H:$H,Master!$A187,'GL Dump'!$D:$D,Master!N$1,'GL Dump'!$C:$C,Master!$G$1))</f>
        <v>172.07</v>
      </c>
      <c r="O187" s="422">
        <f>IF($G$1="ALL",SUMIFS('GL Dump'!$E:$E,'GL Dump'!$H:$H,Master!$A187,'GL Dump'!$D:$D,Master!O$1),SUMIFS('GL Dump'!$E:$E,'GL Dump'!$H:$H,Master!$A187,'GL Dump'!$D:$D,Master!O$1,'GL Dump'!$C:$C,Master!$G$1))</f>
        <v>129.87</v>
      </c>
      <c r="P187" s="422">
        <f>IF($G$1="ALL",SUMIFS('GL Dump'!$E:$E,'GL Dump'!$H:$H,Master!$A187,'GL Dump'!$D:$D,Master!P$1),SUMIFS('GL Dump'!$E:$E,'GL Dump'!$H:$H,Master!$A187,'GL Dump'!$D:$D,Master!P$1,'GL Dump'!$C:$C,Master!$G$1))</f>
        <v>114.72</v>
      </c>
      <c r="Q187" s="422">
        <f>IF($G$1="ALL",SUMIFS('GL Dump'!$E:$E,'GL Dump'!$H:$H,Master!$A187,'GL Dump'!$D:$D,Master!Q$1),SUMIFS('GL Dump'!$E:$E,'GL Dump'!$H:$H,Master!$A187,'GL Dump'!$D:$D,Master!Q$1,'GL Dump'!$C:$C,Master!$G$1))</f>
        <v>0</v>
      </c>
      <c r="R187" s="422">
        <f>IF($G$1="ALL",SUMIFS('GL Dump'!$E:$E,'GL Dump'!$H:$H,Master!$A187,'GL Dump'!$D:$D,Master!R$1),SUMIFS('GL Dump'!$E:$E,'GL Dump'!$H:$H,Master!$A187,'GL Dump'!$D:$D,Master!R$1,'GL Dump'!$C:$C,Master!$G$1))</f>
        <v>275.35000000000002</v>
      </c>
      <c r="S187" s="422">
        <f>IF($G$1="ALL",SUMIFS('GL Dump'!$E:$E,'GL Dump'!$H:$H,Master!$A187,'GL Dump'!$D:$D,Master!S$1),SUMIFS('GL Dump'!$E:$E,'GL Dump'!$H:$H,Master!$A187,'GL Dump'!$D:$D,Master!S$1,'GL Dump'!$C:$C,Master!$G$1))</f>
        <v>196.64999999999998</v>
      </c>
      <c r="T187" s="423"/>
    </row>
    <row r="188" spans="1:20" x14ac:dyDescent="0.25">
      <c r="A188" s="267" t="s">
        <v>1879</v>
      </c>
      <c r="B188" s="267" t="s">
        <v>857</v>
      </c>
      <c r="C188" s="267">
        <v>0</v>
      </c>
      <c r="D188" s="267"/>
      <c r="E188" s="384">
        <f t="shared" si="10"/>
        <v>0</v>
      </c>
      <c r="F188" s="267" t="s">
        <v>3092</v>
      </c>
      <c r="H188" s="397">
        <f>E188+SUMIFS('GL Dump'!$E:$E,'GL Dump'!$H:$H,Master!A188,'GL Dump'!$D:$D,Master!$I$1)</f>
        <v>0</v>
      </c>
      <c r="I188" s="81">
        <f>IF($G$1="ALL",SUMIFS('GL Dump'!$E:$E,'GL Dump'!$H:$H,Master!$A188,'GL Dump'!$D:$D,Master!I$1),SUMIFS('GL Dump'!$E:$E,'GL Dump'!$H:$H,Master!$A188,'GL Dump'!$D:$D,Master!I$1,'GL Dump'!$C:$C,Master!$G$1))</f>
        <v>0</v>
      </c>
      <c r="J188" s="81">
        <f>IF($G$1="ALL",SUMIFS('GL Dump'!$E:$E,'GL Dump'!$H:$H,Master!$A188,'GL Dump'!$D:$D,Master!J$1),SUMIFS('GL Dump'!$E:$E,'GL Dump'!$H:$H,Master!$A188,'GL Dump'!$D:$D,Master!J$1,'GL Dump'!$C:$C,Master!$G$1))</f>
        <v>0</v>
      </c>
      <c r="K188" s="81">
        <f>IF($G$1="ALL",SUMIFS('GL Dump'!$E:$E,'GL Dump'!$H:$H,Master!$A188,'GL Dump'!$D:$D,Master!K$1),SUMIFS('GL Dump'!$E:$E,'GL Dump'!$H:$H,Master!$A188,'GL Dump'!$D:$D,Master!K$1,'GL Dump'!$C:$C,Master!$G$1))</f>
        <v>0</v>
      </c>
      <c r="L188" s="81">
        <f>IF($G$1="ALL",SUMIFS('GL Dump'!$E:$E,'GL Dump'!$H:$H,Master!$A188,'GL Dump'!$D:$D,Master!L$1),SUMIFS('GL Dump'!$E:$E,'GL Dump'!$H:$H,Master!$A188,'GL Dump'!$D:$D,Master!L$1,'GL Dump'!$C:$C,Master!$G$1))</f>
        <v>0</v>
      </c>
      <c r="M188" s="81">
        <f>IF($G$1="ALL",SUMIFS('GL Dump'!$E:$E,'GL Dump'!$H:$H,Master!$A188,'GL Dump'!$D:$D,Master!M$1),SUMIFS('GL Dump'!$E:$E,'GL Dump'!$H:$H,Master!$A188,'GL Dump'!$D:$D,Master!M$1,'GL Dump'!$C:$C,Master!$G$1))</f>
        <v>0</v>
      </c>
      <c r="N188" s="81">
        <f>IF($G$1="ALL",SUMIFS('GL Dump'!$E:$E,'GL Dump'!$H:$H,Master!$A188,'GL Dump'!$D:$D,Master!N$1),SUMIFS('GL Dump'!$E:$E,'GL Dump'!$H:$H,Master!$A188,'GL Dump'!$D:$D,Master!N$1,'GL Dump'!$C:$C,Master!$G$1))</f>
        <v>0</v>
      </c>
      <c r="O188" s="81">
        <f>IF($G$1="ALL",SUMIFS('GL Dump'!$E:$E,'GL Dump'!$H:$H,Master!$A188,'GL Dump'!$D:$D,Master!O$1),SUMIFS('GL Dump'!$E:$E,'GL Dump'!$H:$H,Master!$A188,'GL Dump'!$D:$D,Master!O$1,'GL Dump'!$C:$C,Master!$G$1))</f>
        <v>129.86000000000001</v>
      </c>
      <c r="P188" s="81">
        <f>IF($G$1="ALL",SUMIFS('GL Dump'!$E:$E,'GL Dump'!$H:$H,Master!$A188,'GL Dump'!$D:$D,Master!P$1),SUMIFS('GL Dump'!$E:$E,'GL Dump'!$H:$H,Master!$A188,'GL Dump'!$D:$D,Master!P$1,'GL Dump'!$C:$C,Master!$G$1))</f>
        <v>0</v>
      </c>
      <c r="Q188" s="81">
        <f>IF($G$1="ALL",SUMIFS('GL Dump'!$E:$E,'GL Dump'!$H:$H,Master!$A188,'GL Dump'!$D:$D,Master!Q$1),SUMIFS('GL Dump'!$E:$E,'GL Dump'!$H:$H,Master!$A188,'GL Dump'!$D:$D,Master!Q$1,'GL Dump'!$C:$C,Master!$G$1))</f>
        <v>0</v>
      </c>
      <c r="R188" s="81">
        <f>IF($G$1="ALL",SUMIFS('GL Dump'!$E:$E,'GL Dump'!$H:$H,Master!$A188,'GL Dump'!$D:$D,Master!R$1),SUMIFS('GL Dump'!$E:$E,'GL Dump'!$H:$H,Master!$A188,'GL Dump'!$D:$D,Master!R$1,'GL Dump'!$C:$C,Master!$G$1))</f>
        <v>0</v>
      </c>
      <c r="S188" s="81">
        <f>IF($G$1="ALL",SUMIFS('GL Dump'!$E:$E,'GL Dump'!$H:$H,Master!$A188,'GL Dump'!$D:$D,Master!S$1),SUMIFS('GL Dump'!$E:$E,'GL Dump'!$H:$H,Master!$A188,'GL Dump'!$D:$D,Master!S$1,'GL Dump'!$C:$C,Master!$G$1))</f>
        <v>0</v>
      </c>
    </row>
    <row r="189" spans="1:20" x14ac:dyDescent="0.25">
      <c r="A189" s="454" t="s">
        <v>1995</v>
      </c>
      <c r="B189" s="454" t="s">
        <v>857</v>
      </c>
      <c r="C189" s="454">
        <v>0</v>
      </c>
      <c r="D189" s="454"/>
      <c r="E189" s="468">
        <f t="shared" si="10"/>
        <v>0</v>
      </c>
      <c r="F189" s="454" t="s">
        <v>3092</v>
      </c>
      <c r="G189" s="420"/>
      <c r="H189" s="421">
        <f>E189+SUMIFS('GL Dump'!$E:$E,'GL Dump'!$H:$H,Master!A189,'GL Dump'!$D:$D,Master!$I$1)</f>
        <v>0</v>
      </c>
      <c r="I189" s="422">
        <f>IF($G$1="ALL",SUMIFS('GL Dump'!$E:$E,'GL Dump'!$H:$H,Master!$A189,'GL Dump'!$D:$D,Master!I$1),SUMIFS('GL Dump'!$E:$E,'GL Dump'!$H:$H,Master!$A189,'GL Dump'!$D:$D,Master!I$1,'GL Dump'!$C:$C,Master!$G$1))</f>
        <v>0</v>
      </c>
      <c r="J189" s="422">
        <f>IF($G$1="ALL",SUMIFS('GL Dump'!$E:$E,'GL Dump'!$H:$H,Master!$A189,'GL Dump'!$D:$D,Master!J$1),SUMIFS('GL Dump'!$E:$E,'GL Dump'!$H:$H,Master!$A189,'GL Dump'!$D:$D,Master!J$1,'GL Dump'!$C:$C,Master!$G$1))</f>
        <v>136.41</v>
      </c>
      <c r="K189" s="422">
        <f>IF($G$1="ALL",SUMIFS('GL Dump'!$E:$E,'GL Dump'!$H:$H,Master!$A189,'GL Dump'!$D:$D,Master!K$1),SUMIFS('GL Dump'!$E:$E,'GL Dump'!$H:$H,Master!$A189,'GL Dump'!$D:$D,Master!K$1,'GL Dump'!$C:$C,Master!$G$1))</f>
        <v>0</v>
      </c>
      <c r="L189" s="422">
        <f>IF($G$1="ALL",SUMIFS('GL Dump'!$E:$E,'GL Dump'!$H:$H,Master!$A189,'GL Dump'!$D:$D,Master!L$1),SUMIFS('GL Dump'!$E:$E,'GL Dump'!$H:$H,Master!$A189,'GL Dump'!$D:$D,Master!L$1,'GL Dump'!$C:$C,Master!$G$1))</f>
        <v>181.82</v>
      </c>
      <c r="M189" s="422">
        <f>IF($G$1="ALL",SUMIFS('GL Dump'!$E:$E,'GL Dump'!$H:$H,Master!$A189,'GL Dump'!$D:$D,Master!M$1),SUMIFS('GL Dump'!$E:$E,'GL Dump'!$H:$H,Master!$A189,'GL Dump'!$D:$D,Master!M$1,'GL Dump'!$C:$C,Master!$G$1))</f>
        <v>571.41</v>
      </c>
      <c r="N189" s="422">
        <f>IF($G$1="ALL",SUMIFS('GL Dump'!$E:$E,'GL Dump'!$H:$H,Master!$A189,'GL Dump'!$D:$D,Master!N$1),SUMIFS('GL Dump'!$E:$E,'GL Dump'!$H:$H,Master!$A189,'GL Dump'!$D:$D,Master!N$1,'GL Dump'!$C:$C,Master!$G$1))</f>
        <v>344.14</v>
      </c>
      <c r="O189" s="422">
        <f>IF($G$1="ALL",SUMIFS('GL Dump'!$E:$E,'GL Dump'!$H:$H,Master!$A189,'GL Dump'!$D:$D,Master!O$1),SUMIFS('GL Dump'!$E:$E,'GL Dump'!$H:$H,Master!$A189,'GL Dump'!$D:$D,Master!O$1,'GL Dump'!$C:$C,Master!$G$1))</f>
        <v>129.87</v>
      </c>
      <c r="P189" s="422">
        <f>IF($G$1="ALL",SUMIFS('GL Dump'!$E:$E,'GL Dump'!$H:$H,Master!$A189,'GL Dump'!$D:$D,Master!P$1),SUMIFS('GL Dump'!$E:$E,'GL Dump'!$H:$H,Master!$A189,'GL Dump'!$D:$D,Master!P$1,'GL Dump'!$C:$C,Master!$G$1))</f>
        <v>229.44</v>
      </c>
      <c r="Q189" s="422">
        <f>IF($G$1="ALL",SUMIFS('GL Dump'!$E:$E,'GL Dump'!$H:$H,Master!$A189,'GL Dump'!$D:$D,Master!Q$1),SUMIFS('GL Dump'!$E:$E,'GL Dump'!$H:$H,Master!$A189,'GL Dump'!$D:$D,Master!Q$1,'GL Dump'!$C:$C,Master!$G$1))</f>
        <v>0</v>
      </c>
      <c r="R189" s="422">
        <f>IF($G$1="ALL",SUMIFS('GL Dump'!$E:$E,'GL Dump'!$H:$H,Master!$A189,'GL Dump'!$D:$D,Master!R$1),SUMIFS('GL Dump'!$E:$E,'GL Dump'!$H:$H,Master!$A189,'GL Dump'!$D:$D,Master!R$1,'GL Dump'!$C:$C,Master!$G$1))</f>
        <v>183.54</v>
      </c>
      <c r="S189" s="422">
        <f>IF($G$1="ALL",SUMIFS('GL Dump'!$E:$E,'GL Dump'!$H:$H,Master!$A189,'GL Dump'!$D:$D,Master!S$1),SUMIFS('GL Dump'!$E:$E,'GL Dump'!$H:$H,Master!$A189,'GL Dump'!$D:$D,Master!S$1,'GL Dump'!$C:$C,Master!$G$1))</f>
        <v>131.1</v>
      </c>
      <c r="T189" s="423"/>
    </row>
    <row r="190" spans="1:20" x14ac:dyDescent="0.25">
      <c r="A190" s="267" t="s">
        <v>1994</v>
      </c>
      <c r="B190" s="267" t="s">
        <v>857</v>
      </c>
      <c r="C190" s="267">
        <v>0</v>
      </c>
      <c r="D190" s="267"/>
      <c r="E190" s="384">
        <f t="shared" si="10"/>
        <v>0</v>
      </c>
      <c r="F190" s="267" t="s">
        <v>3092</v>
      </c>
      <c r="H190" s="397">
        <f>E190+SUMIFS('GL Dump'!$E:$E,'GL Dump'!$H:$H,Master!A190,'GL Dump'!$D:$D,Master!$I$1)</f>
        <v>0</v>
      </c>
      <c r="I190" s="81">
        <f>IF($G$1="ALL",SUMIFS('GL Dump'!$E:$E,'GL Dump'!$H:$H,Master!$A190,'GL Dump'!$D:$D,Master!I$1),SUMIFS('GL Dump'!$E:$E,'GL Dump'!$H:$H,Master!$A190,'GL Dump'!$D:$D,Master!I$1,'GL Dump'!$C:$C,Master!$G$1))</f>
        <v>0</v>
      </c>
      <c r="J190" s="81">
        <f>IF($G$1="ALL",SUMIFS('GL Dump'!$E:$E,'GL Dump'!$H:$H,Master!$A190,'GL Dump'!$D:$D,Master!J$1),SUMIFS('GL Dump'!$E:$E,'GL Dump'!$H:$H,Master!$A190,'GL Dump'!$D:$D,Master!J$1,'GL Dump'!$C:$C,Master!$G$1))</f>
        <v>0</v>
      </c>
      <c r="K190" s="81">
        <f>IF($G$1="ALL",SUMIFS('GL Dump'!$E:$E,'GL Dump'!$H:$H,Master!$A190,'GL Dump'!$D:$D,Master!K$1),SUMIFS('GL Dump'!$E:$E,'GL Dump'!$H:$H,Master!$A190,'GL Dump'!$D:$D,Master!K$1,'GL Dump'!$C:$C,Master!$G$1))</f>
        <v>0</v>
      </c>
      <c r="L190" s="81">
        <f>IF($G$1="ALL",SUMIFS('GL Dump'!$E:$E,'GL Dump'!$H:$H,Master!$A190,'GL Dump'!$D:$D,Master!L$1),SUMIFS('GL Dump'!$E:$E,'GL Dump'!$H:$H,Master!$A190,'GL Dump'!$D:$D,Master!L$1,'GL Dump'!$C:$C,Master!$G$1))</f>
        <v>181.82</v>
      </c>
      <c r="M190" s="81">
        <f>IF($G$1="ALL",SUMIFS('GL Dump'!$E:$E,'GL Dump'!$H:$H,Master!$A190,'GL Dump'!$D:$D,Master!M$1),SUMIFS('GL Dump'!$E:$E,'GL Dump'!$H:$H,Master!$A190,'GL Dump'!$D:$D,Master!M$1,'GL Dump'!$C:$C,Master!$G$1))</f>
        <v>571.44999999999993</v>
      </c>
      <c r="N190" s="81">
        <f>IF($G$1="ALL",SUMIFS('GL Dump'!$E:$E,'GL Dump'!$H:$H,Master!$A190,'GL Dump'!$D:$D,Master!N$1),SUMIFS('GL Dump'!$E:$E,'GL Dump'!$H:$H,Master!$A190,'GL Dump'!$D:$D,Master!N$1,'GL Dump'!$C:$C,Master!$G$1))</f>
        <v>344.16999999999996</v>
      </c>
      <c r="O190" s="81">
        <f>IF($G$1="ALL",SUMIFS('GL Dump'!$E:$E,'GL Dump'!$H:$H,Master!$A190,'GL Dump'!$D:$D,Master!O$1),SUMIFS('GL Dump'!$E:$E,'GL Dump'!$H:$H,Master!$A190,'GL Dump'!$D:$D,Master!O$1,'GL Dump'!$C:$C,Master!$G$1))</f>
        <v>0</v>
      </c>
      <c r="P190" s="81">
        <f>IF($G$1="ALL",SUMIFS('GL Dump'!$E:$E,'GL Dump'!$H:$H,Master!$A190,'GL Dump'!$D:$D,Master!P$1),SUMIFS('GL Dump'!$E:$E,'GL Dump'!$H:$H,Master!$A190,'GL Dump'!$D:$D,Master!P$1,'GL Dump'!$C:$C,Master!$G$1))</f>
        <v>229.41</v>
      </c>
      <c r="Q190" s="81">
        <f>IF($G$1="ALL",SUMIFS('GL Dump'!$E:$E,'GL Dump'!$H:$H,Master!$A190,'GL Dump'!$D:$D,Master!Q$1),SUMIFS('GL Dump'!$E:$E,'GL Dump'!$H:$H,Master!$A190,'GL Dump'!$D:$D,Master!Q$1,'GL Dump'!$C:$C,Master!$G$1))</f>
        <v>0</v>
      </c>
      <c r="R190" s="81">
        <f>IF($G$1="ALL",SUMIFS('GL Dump'!$E:$E,'GL Dump'!$H:$H,Master!$A190,'GL Dump'!$D:$D,Master!R$1),SUMIFS('GL Dump'!$E:$E,'GL Dump'!$H:$H,Master!$A190,'GL Dump'!$D:$D,Master!R$1,'GL Dump'!$C:$C,Master!$G$1))</f>
        <v>183.54</v>
      </c>
      <c r="S190" s="81">
        <f>IF($G$1="ALL",SUMIFS('GL Dump'!$E:$E,'GL Dump'!$H:$H,Master!$A190,'GL Dump'!$D:$D,Master!S$1),SUMIFS('GL Dump'!$E:$E,'GL Dump'!$H:$H,Master!$A190,'GL Dump'!$D:$D,Master!S$1,'GL Dump'!$C:$C,Master!$G$1))</f>
        <v>196.64999999999998</v>
      </c>
    </row>
    <row r="191" spans="1:20" x14ac:dyDescent="0.25">
      <c r="A191" s="454" t="s">
        <v>1990</v>
      </c>
      <c r="B191" s="454" t="s">
        <v>857</v>
      </c>
      <c r="C191" s="454">
        <v>0</v>
      </c>
      <c r="D191" s="454"/>
      <c r="E191" s="468">
        <f t="shared" si="10"/>
        <v>0</v>
      </c>
      <c r="F191" s="454" t="s">
        <v>3092</v>
      </c>
      <c r="G191" s="420"/>
      <c r="H191" s="421">
        <f>E191+SUMIFS('GL Dump'!$E:$E,'GL Dump'!$H:$H,Master!A191,'GL Dump'!$D:$D,Master!$I$1)</f>
        <v>0</v>
      </c>
      <c r="I191" s="422">
        <f>IF($G$1="ALL",SUMIFS('GL Dump'!$E:$E,'GL Dump'!$H:$H,Master!$A191,'GL Dump'!$D:$D,Master!I$1),SUMIFS('GL Dump'!$E:$E,'GL Dump'!$H:$H,Master!$A191,'GL Dump'!$D:$D,Master!I$1,'GL Dump'!$C:$C,Master!$G$1))</f>
        <v>0</v>
      </c>
      <c r="J191" s="422">
        <f>IF($G$1="ALL",SUMIFS('GL Dump'!$E:$E,'GL Dump'!$H:$H,Master!$A191,'GL Dump'!$D:$D,Master!J$1),SUMIFS('GL Dump'!$E:$E,'GL Dump'!$H:$H,Master!$A191,'GL Dump'!$D:$D,Master!J$1,'GL Dump'!$C:$C,Master!$G$1))</f>
        <v>186.36</v>
      </c>
      <c r="K191" s="422">
        <f>IF($G$1="ALL",SUMIFS('GL Dump'!$E:$E,'GL Dump'!$H:$H,Master!$A191,'GL Dump'!$D:$D,Master!K$1),SUMIFS('GL Dump'!$E:$E,'GL Dump'!$H:$H,Master!$A191,'GL Dump'!$D:$D,Master!K$1,'GL Dump'!$C:$C,Master!$G$1))</f>
        <v>0</v>
      </c>
      <c r="L191" s="422">
        <f>IF($G$1="ALL",SUMIFS('GL Dump'!$E:$E,'GL Dump'!$H:$H,Master!$A191,'GL Dump'!$D:$D,Master!L$1),SUMIFS('GL Dump'!$E:$E,'GL Dump'!$H:$H,Master!$A191,'GL Dump'!$D:$D,Master!L$1,'GL Dump'!$C:$C,Master!$G$1))</f>
        <v>90.91</v>
      </c>
      <c r="M191" s="422">
        <f>IF($G$1="ALL",SUMIFS('GL Dump'!$E:$E,'GL Dump'!$H:$H,Master!$A191,'GL Dump'!$D:$D,Master!M$1),SUMIFS('GL Dump'!$E:$E,'GL Dump'!$H:$H,Master!$A191,'GL Dump'!$D:$D,Master!M$1,'GL Dump'!$C:$C,Master!$G$1))</f>
        <v>285.70999999999998</v>
      </c>
      <c r="N191" s="422">
        <f>IF($G$1="ALL",SUMIFS('GL Dump'!$E:$E,'GL Dump'!$H:$H,Master!$A191,'GL Dump'!$D:$D,Master!N$1),SUMIFS('GL Dump'!$E:$E,'GL Dump'!$H:$H,Master!$A191,'GL Dump'!$D:$D,Master!N$1,'GL Dump'!$C:$C,Master!$G$1))</f>
        <v>172.07</v>
      </c>
      <c r="O191" s="422">
        <f>IF($G$1="ALL",SUMIFS('GL Dump'!$E:$E,'GL Dump'!$H:$H,Master!$A191,'GL Dump'!$D:$D,Master!O$1),SUMIFS('GL Dump'!$E:$E,'GL Dump'!$H:$H,Master!$A191,'GL Dump'!$D:$D,Master!O$1,'GL Dump'!$C:$C,Master!$G$1))</f>
        <v>129.87</v>
      </c>
      <c r="P191" s="422">
        <f>IF($G$1="ALL",SUMIFS('GL Dump'!$E:$E,'GL Dump'!$H:$H,Master!$A191,'GL Dump'!$D:$D,Master!P$1),SUMIFS('GL Dump'!$E:$E,'GL Dump'!$H:$H,Master!$A191,'GL Dump'!$D:$D,Master!P$1,'GL Dump'!$C:$C,Master!$G$1))</f>
        <v>114.72</v>
      </c>
      <c r="Q191" s="422">
        <f>IF($G$1="ALL",SUMIFS('GL Dump'!$E:$E,'GL Dump'!$H:$H,Master!$A191,'GL Dump'!$D:$D,Master!Q$1),SUMIFS('GL Dump'!$E:$E,'GL Dump'!$H:$H,Master!$A191,'GL Dump'!$D:$D,Master!Q$1,'GL Dump'!$C:$C,Master!$G$1))</f>
        <v>0</v>
      </c>
      <c r="R191" s="422">
        <f>IF($G$1="ALL",SUMIFS('GL Dump'!$E:$E,'GL Dump'!$H:$H,Master!$A191,'GL Dump'!$D:$D,Master!R$1),SUMIFS('GL Dump'!$E:$E,'GL Dump'!$H:$H,Master!$A191,'GL Dump'!$D:$D,Master!R$1,'GL Dump'!$C:$C,Master!$G$1))</f>
        <v>275.31</v>
      </c>
      <c r="S191" s="422">
        <f>IF($G$1="ALL",SUMIFS('GL Dump'!$E:$E,'GL Dump'!$H:$H,Master!$A191,'GL Dump'!$D:$D,Master!S$1),SUMIFS('GL Dump'!$E:$E,'GL Dump'!$H:$H,Master!$A191,'GL Dump'!$D:$D,Master!S$1,'GL Dump'!$C:$C,Master!$G$1))</f>
        <v>131.1</v>
      </c>
      <c r="T191" s="423"/>
    </row>
    <row r="192" spans="1:20" x14ac:dyDescent="0.25">
      <c r="A192" s="267" t="s">
        <v>1996</v>
      </c>
      <c r="B192" s="267" t="s">
        <v>857</v>
      </c>
      <c r="C192" s="267">
        <v>0</v>
      </c>
      <c r="D192" s="267"/>
      <c r="E192" s="384">
        <f t="shared" si="10"/>
        <v>0</v>
      </c>
      <c r="F192" s="267" t="s">
        <v>3092</v>
      </c>
      <c r="H192" s="397">
        <f>E192+SUMIFS('GL Dump'!$E:$E,'GL Dump'!$H:$H,Master!A192,'GL Dump'!$D:$D,Master!$I$1)</f>
        <v>0</v>
      </c>
      <c r="I192" s="81">
        <f>IF($G$1="ALL",SUMIFS('GL Dump'!$E:$E,'GL Dump'!$H:$H,Master!$A192,'GL Dump'!$D:$D,Master!I$1),SUMIFS('GL Dump'!$E:$E,'GL Dump'!$H:$H,Master!$A192,'GL Dump'!$D:$D,Master!I$1,'GL Dump'!$C:$C,Master!$G$1))</f>
        <v>0</v>
      </c>
      <c r="J192" s="81">
        <f>IF($G$1="ALL",SUMIFS('GL Dump'!$E:$E,'GL Dump'!$H:$H,Master!$A192,'GL Dump'!$D:$D,Master!J$1),SUMIFS('GL Dump'!$E:$E,'GL Dump'!$H:$H,Master!$A192,'GL Dump'!$D:$D,Master!J$1,'GL Dump'!$C:$C,Master!$G$1))</f>
        <v>0</v>
      </c>
      <c r="K192" s="81">
        <f>IF($G$1="ALL",SUMIFS('GL Dump'!$E:$E,'GL Dump'!$H:$H,Master!$A192,'GL Dump'!$D:$D,Master!K$1),SUMIFS('GL Dump'!$E:$E,'GL Dump'!$H:$H,Master!$A192,'GL Dump'!$D:$D,Master!K$1,'GL Dump'!$C:$C,Master!$G$1))</f>
        <v>0</v>
      </c>
      <c r="L192" s="81">
        <f>IF($G$1="ALL",SUMIFS('GL Dump'!$E:$E,'GL Dump'!$H:$H,Master!$A192,'GL Dump'!$D:$D,Master!L$1),SUMIFS('GL Dump'!$E:$E,'GL Dump'!$H:$H,Master!$A192,'GL Dump'!$D:$D,Master!L$1,'GL Dump'!$C:$C,Master!$G$1))</f>
        <v>272.72000000000003</v>
      </c>
      <c r="M192" s="81">
        <f>IF($G$1="ALL",SUMIFS('GL Dump'!$E:$E,'GL Dump'!$H:$H,Master!$A192,'GL Dump'!$D:$D,Master!M$1),SUMIFS('GL Dump'!$E:$E,'GL Dump'!$H:$H,Master!$A192,'GL Dump'!$D:$D,Master!M$1,'GL Dump'!$C:$C,Master!$G$1))</f>
        <v>285.70999999999998</v>
      </c>
      <c r="N192" s="81">
        <f>IF($G$1="ALL",SUMIFS('GL Dump'!$E:$E,'GL Dump'!$H:$H,Master!$A192,'GL Dump'!$D:$D,Master!N$1),SUMIFS('GL Dump'!$E:$E,'GL Dump'!$H:$H,Master!$A192,'GL Dump'!$D:$D,Master!N$1,'GL Dump'!$C:$C,Master!$G$1))</f>
        <v>172.07</v>
      </c>
      <c r="O192" s="81">
        <f>IF($G$1="ALL",SUMIFS('GL Dump'!$E:$E,'GL Dump'!$H:$H,Master!$A192,'GL Dump'!$D:$D,Master!O$1),SUMIFS('GL Dump'!$E:$E,'GL Dump'!$H:$H,Master!$A192,'GL Dump'!$D:$D,Master!O$1,'GL Dump'!$C:$C,Master!$G$1))</f>
        <v>0</v>
      </c>
      <c r="P192" s="81">
        <f>IF($G$1="ALL",SUMIFS('GL Dump'!$E:$E,'GL Dump'!$H:$H,Master!$A192,'GL Dump'!$D:$D,Master!P$1),SUMIFS('GL Dump'!$E:$E,'GL Dump'!$H:$H,Master!$A192,'GL Dump'!$D:$D,Master!P$1,'GL Dump'!$C:$C,Master!$G$1))</f>
        <v>114.72</v>
      </c>
      <c r="Q192" s="81">
        <f>IF($G$1="ALL",SUMIFS('GL Dump'!$E:$E,'GL Dump'!$H:$H,Master!$A192,'GL Dump'!$D:$D,Master!Q$1),SUMIFS('GL Dump'!$E:$E,'GL Dump'!$H:$H,Master!$A192,'GL Dump'!$D:$D,Master!Q$1,'GL Dump'!$C:$C,Master!$G$1))</f>
        <v>917.73</v>
      </c>
      <c r="R192" s="81">
        <f>IF($G$1="ALL",SUMIFS('GL Dump'!$E:$E,'GL Dump'!$H:$H,Master!$A192,'GL Dump'!$D:$D,Master!R$1),SUMIFS('GL Dump'!$E:$E,'GL Dump'!$H:$H,Master!$A192,'GL Dump'!$D:$D,Master!R$1,'GL Dump'!$C:$C,Master!$G$1))</f>
        <v>275.31</v>
      </c>
      <c r="S192" s="81">
        <f>IF($G$1="ALL",SUMIFS('GL Dump'!$E:$E,'GL Dump'!$H:$H,Master!$A192,'GL Dump'!$D:$D,Master!S$1),SUMIFS('GL Dump'!$E:$E,'GL Dump'!$H:$H,Master!$A192,'GL Dump'!$D:$D,Master!S$1,'GL Dump'!$C:$C,Master!$G$1))</f>
        <v>131.12</v>
      </c>
    </row>
    <row r="193" spans="1:20" x14ac:dyDescent="0.25">
      <c r="A193" s="454" t="s">
        <v>1927</v>
      </c>
      <c r="B193" s="454" t="s">
        <v>857</v>
      </c>
      <c r="C193" s="454">
        <v>0</v>
      </c>
      <c r="D193" s="454"/>
      <c r="E193" s="468">
        <f t="shared" si="10"/>
        <v>0</v>
      </c>
      <c r="F193" s="454" t="s">
        <v>3092</v>
      </c>
      <c r="G193" s="420"/>
      <c r="H193" s="421">
        <f>E193+SUMIFS('GL Dump'!$E:$E,'GL Dump'!$H:$H,Master!A193,'GL Dump'!$D:$D,Master!$I$1)</f>
        <v>0</v>
      </c>
      <c r="I193" s="422">
        <f>IF($G$1="ALL",SUMIFS('GL Dump'!$E:$E,'GL Dump'!$H:$H,Master!$A193,'GL Dump'!$D:$D,Master!I$1),SUMIFS('GL Dump'!$E:$E,'GL Dump'!$H:$H,Master!$A193,'GL Dump'!$D:$D,Master!I$1,'GL Dump'!$C:$C,Master!$G$1))</f>
        <v>0</v>
      </c>
      <c r="J193" s="422">
        <f>IF($G$1="ALL",SUMIFS('GL Dump'!$E:$E,'GL Dump'!$H:$H,Master!$A193,'GL Dump'!$D:$D,Master!J$1),SUMIFS('GL Dump'!$E:$E,'GL Dump'!$H:$H,Master!$A193,'GL Dump'!$D:$D,Master!J$1,'GL Dump'!$C:$C,Master!$G$1))</f>
        <v>0</v>
      </c>
      <c r="K193" s="422">
        <f>IF($G$1="ALL",SUMIFS('GL Dump'!$E:$E,'GL Dump'!$H:$H,Master!$A193,'GL Dump'!$D:$D,Master!K$1),SUMIFS('GL Dump'!$E:$E,'GL Dump'!$H:$H,Master!$A193,'GL Dump'!$D:$D,Master!K$1,'GL Dump'!$C:$C,Master!$G$1))</f>
        <v>0</v>
      </c>
      <c r="L193" s="422">
        <f>IF($G$1="ALL",SUMIFS('GL Dump'!$E:$E,'GL Dump'!$H:$H,Master!$A193,'GL Dump'!$D:$D,Master!L$1),SUMIFS('GL Dump'!$E:$E,'GL Dump'!$H:$H,Master!$A193,'GL Dump'!$D:$D,Master!L$1,'GL Dump'!$C:$C,Master!$G$1))</f>
        <v>0</v>
      </c>
      <c r="M193" s="422">
        <f>IF($G$1="ALL",SUMIFS('GL Dump'!$E:$E,'GL Dump'!$H:$H,Master!$A193,'GL Dump'!$D:$D,Master!M$1),SUMIFS('GL Dump'!$E:$E,'GL Dump'!$H:$H,Master!$A193,'GL Dump'!$D:$D,Master!M$1,'GL Dump'!$C:$C,Master!$G$1))</f>
        <v>0</v>
      </c>
      <c r="N193" s="422">
        <f>IF($G$1="ALL",SUMIFS('GL Dump'!$E:$E,'GL Dump'!$H:$H,Master!$A193,'GL Dump'!$D:$D,Master!N$1),SUMIFS('GL Dump'!$E:$E,'GL Dump'!$H:$H,Master!$A193,'GL Dump'!$D:$D,Master!N$1,'GL Dump'!$C:$C,Master!$G$1))</f>
        <v>0</v>
      </c>
      <c r="O193" s="422">
        <f>IF($G$1="ALL",SUMIFS('GL Dump'!$E:$E,'GL Dump'!$H:$H,Master!$A193,'GL Dump'!$D:$D,Master!O$1),SUMIFS('GL Dump'!$E:$E,'GL Dump'!$H:$H,Master!$A193,'GL Dump'!$D:$D,Master!O$1,'GL Dump'!$C:$C,Master!$G$1))</f>
        <v>0</v>
      </c>
      <c r="P193" s="422">
        <f>IF($G$1="ALL",SUMIFS('GL Dump'!$E:$E,'GL Dump'!$H:$H,Master!$A193,'GL Dump'!$D:$D,Master!P$1),SUMIFS('GL Dump'!$E:$E,'GL Dump'!$H:$H,Master!$A193,'GL Dump'!$D:$D,Master!P$1,'GL Dump'!$C:$C,Master!$G$1))</f>
        <v>0</v>
      </c>
      <c r="Q193" s="422">
        <f>IF($G$1="ALL",SUMIFS('GL Dump'!$E:$E,'GL Dump'!$H:$H,Master!$A193,'GL Dump'!$D:$D,Master!Q$1),SUMIFS('GL Dump'!$E:$E,'GL Dump'!$H:$H,Master!$A193,'GL Dump'!$D:$D,Master!Q$1,'GL Dump'!$C:$C,Master!$G$1))</f>
        <v>0</v>
      </c>
      <c r="R193" s="422">
        <f>IF($G$1="ALL",SUMIFS('GL Dump'!$E:$E,'GL Dump'!$H:$H,Master!$A193,'GL Dump'!$D:$D,Master!R$1),SUMIFS('GL Dump'!$E:$E,'GL Dump'!$H:$H,Master!$A193,'GL Dump'!$D:$D,Master!R$1,'GL Dump'!$C:$C,Master!$G$1))</f>
        <v>91.77</v>
      </c>
      <c r="S193" s="422">
        <f>IF($G$1="ALL",SUMIFS('GL Dump'!$E:$E,'GL Dump'!$H:$H,Master!$A193,'GL Dump'!$D:$D,Master!S$1),SUMIFS('GL Dump'!$E:$E,'GL Dump'!$H:$H,Master!$A193,'GL Dump'!$D:$D,Master!S$1,'GL Dump'!$C:$C,Master!$G$1))</f>
        <v>65.55</v>
      </c>
      <c r="T193" s="423"/>
    </row>
    <row r="194" spans="1:20" x14ac:dyDescent="0.25">
      <c r="A194" s="267" t="s">
        <v>1893</v>
      </c>
      <c r="B194" s="267" t="s">
        <v>857</v>
      </c>
      <c r="C194" s="267">
        <v>0</v>
      </c>
      <c r="D194" s="267"/>
      <c r="E194" s="384">
        <f t="shared" si="10"/>
        <v>0</v>
      </c>
      <c r="F194" s="267" t="s">
        <v>3092</v>
      </c>
      <c r="H194" s="397">
        <f>E194+SUMIFS('GL Dump'!$E:$E,'GL Dump'!$H:$H,Master!A194,'GL Dump'!$D:$D,Master!$I$1)</f>
        <v>0</v>
      </c>
      <c r="I194" s="81">
        <f>IF($G$1="ALL",SUMIFS('GL Dump'!$E:$E,'GL Dump'!$H:$H,Master!$A194,'GL Dump'!$D:$D,Master!I$1),SUMIFS('GL Dump'!$E:$E,'GL Dump'!$H:$H,Master!$A194,'GL Dump'!$D:$D,Master!I$1,'GL Dump'!$C:$C,Master!$G$1))</f>
        <v>0</v>
      </c>
      <c r="J194" s="81">
        <f>IF($G$1="ALL",SUMIFS('GL Dump'!$E:$E,'GL Dump'!$H:$H,Master!$A194,'GL Dump'!$D:$D,Master!J$1),SUMIFS('GL Dump'!$E:$E,'GL Dump'!$H:$H,Master!$A194,'GL Dump'!$D:$D,Master!J$1,'GL Dump'!$C:$C,Master!$G$1))</f>
        <v>136.37</v>
      </c>
      <c r="K194" s="81">
        <f>IF($G$1="ALL",SUMIFS('GL Dump'!$E:$E,'GL Dump'!$H:$H,Master!$A194,'GL Dump'!$D:$D,Master!K$1),SUMIFS('GL Dump'!$E:$E,'GL Dump'!$H:$H,Master!$A194,'GL Dump'!$D:$D,Master!K$1,'GL Dump'!$C:$C,Master!$G$1))</f>
        <v>0</v>
      </c>
      <c r="L194" s="81">
        <f>IF($G$1="ALL",SUMIFS('GL Dump'!$E:$E,'GL Dump'!$H:$H,Master!$A194,'GL Dump'!$D:$D,Master!L$1),SUMIFS('GL Dump'!$E:$E,'GL Dump'!$H:$H,Master!$A194,'GL Dump'!$D:$D,Master!L$1,'GL Dump'!$C:$C,Master!$G$1))</f>
        <v>90.92</v>
      </c>
      <c r="M194" s="81">
        <f>IF($G$1="ALL",SUMIFS('GL Dump'!$E:$E,'GL Dump'!$H:$H,Master!$A194,'GL Dump'!$D:$D,Master!M$1),SUMIFS('GL Dump'!$E:$E,'GL Dump'!$H:$H,Master!$A194,'GL Dump'!$D:$D,Master!M$1,'GL Dump'!$C:$C,Master!$G$1))</f>
        <v>285.7</v>
      </c>
      <c r="N194" s="81">
        <f>IF($G$1="ALL",SUMIFS('GL Dump'!$E:$E,'GL Dump'!$H:$H,Master!$A194,'GL Dump'!$D:$D,Master!N$1),SUMIFS('GL Dump'!$E:$E,'GL Dump'!$H:$H,Master!$A194,'GL Dump'!$D:$D,Master!N$1,'GL Dump'!$C:$C,Master!$G$1))</f>
        <v>172.07</v>
      </c>
      <c r="O194" s="81">
        <f>IF($G$1="ALL",SUMIFS('GL Dump'!$E:$E,'GL Dump'!$H:$H,Master!$A194,'GL Dump'!$D:$D,Master!O$1),SUMIFS('GL Dump'!$E:$E,'GL Dump'!$H:$H,Master!$A194,'GL Dump'!$D:$D,Master!O$1,'GL Dump'!$C:$C,Master!$G$1))</f>
        <v>129.87</v>
      </c>
      <c r="P194" s="81">
        <f>IF($G$1="ALL",SUMIFS('GL Dump'!$E:$E,'GL Dump'!$H:$H,Master!$A194,'GL Dump'!$D:$D,Master!P$1),SUMIFS('GL Dump'!$E:$E,'GL Dump'!$H:$H,Master!$A194,'GL Dump'!$D:$D,Master!P$1,'GL Dump'!$C:$C,Master!$G$1))</f>
        <v>114.72</v>
      </c>
      <c r="Q194" s="81">
        <f>IF($G$1="ALL",SUMIFS('GL Dump'!$E:$E,'GL Dump'!$H:$H,Master!$A194,'GL Dump'!$D:$D,Master!Q$1),SUMIFS('GL Dump'!$E:$E,'GL Dump'!$H:$H,Master!$A194,'GL Dump'!$D:$D,Master!Q$1,'GL Dump'!$C:$C,Master!$G$1))</f>
        <v>0</v>
      </c>
      <c r="R194" s="81">
        <f>IF($G$1="ALL",SUMIFS('GL Dump'!$E:$E,'GL Dump'!$H:$H,Master!$A194,'GL Dump'!$D:$D,Master!R$1),SUMIFS('GL Dump'!$E:$E,'GL Dump'!$H:$H,Master!$A194,'GL Dump'!$D:$D,Master!R$1,'GL Dump'!$C:$C,Master!$G$1))</f>
        <v>91.77</v>
      </c>
      <c r="S194" s="81">
        <f>IF($G$1="ALL",SUMIFS('GL Dump'!$E:$E,'GL Dump'!$H:$H,Master!$A194,'GL Dump'!$D:$D,Master!S$1),SUMIFS('GL Dump'!$E:$E,'GL Dump'!$H:$H,Master!$A194,'GL Dump'!$D:$D,Master!S$1,'GL Dump'!$C:$C,Master!$G$1))</f>
        <v>0</v>
      </c>
    </row>
    <row r="195" spans="1:20" x14ac:dyDescent="0.25">
      <c r="A195" s="454" t="s">
        <v>2156</v>
      </c>
      <c r="B195" s="454" t="s">
        <v>3087</v>
      </c>
      <c r="C195" s="454">
        <v>1</v>
      </c>
      <c r="D195" s="468">
        <v>419.81818181818176</v>
      </c>
      <c r="E195" s="468">
        <f t="shared" si="10"/>
        <v>419.81818181818176</v>
      </c>
      <c r="F195" s="454" t="s">
        <v>3091</v>
      </c>
      <c r="G195" s="420"/>
      <c r="H195" s="421">
        <f>E195+SUMIFS('GL Dump'!$E:$E,'GL Dump'!$H:$H,Master!A195,'GL Dump'!$D:$D,Master!$I$1)</f>
        <v>419.81818181818176</v>
      </c>
      <c r="I195" s="422">
        <f>IF($G$1="ALL",SUMIFS('GL Dump'!$E:$E,'GL Dump'!$H:$H,Master!$A195,'GL Dump'!$D:$D,Master!I$1),SUMIFS('GL Dump'!$E:$E,'GL Dump'!$H:$H,Master!$A195,'GL Dump'!$D:$D,Master!I$1,'GL Dump'!$C:$C,Master!$G$1))</f>
        <v>0</v>
      </c>
      <c r="J195" s="422">
        <f>IF($G$1="ALL",SUMIFS('GL Dump'!$E:$E,'GL Dump'!$H:$H,Master!$A195,'GL Dump'!$D:$D,Master!J$1),SUMIFS('GL Dump'!$E:$E,'GL Dump'!$H:$H,Master!$A195,'GL Dump'!$D:$D,Master!J$1,'GL Dump'!$C:$C,Master!$G$1))</f>
        <v>419.82</v>
      </c>
      <c r="K195" s="422">
        <f>IF($G$1="ALL",SUMIFS('GL Dump'!$E:$E,'GL Dump'!$H:$H,Master!$A195,'GL Dump'!$D:$D,Master!K$1),SUMIFS('GL Dump'!$E:$E,'GL Dump'!$H:$H,Master!$A195,'GL Dump'!$D:$D,Master!K$1,'GL Dump'!$C:$C,Master!$G$1))</f>
        <v>494</v>
      </c>
      <c r="L195" s="422">
        <f>IF($G$1="ALL",SUMIFS('GL Dump'!$E:$E,'GL Dump'!$H:$H,Master!$A195,'GL Dump'!$D:$D,Master!L$1),SUMIFS('GL Dump'!$E:$E,'GL Dump'!$H:$H,Master!$A195,'GL Dump'!$D:$D,Master!L$1,'GL Dump'!$C:$C,Master!$G$1))</f>
        <v>500.18</v>
      </c>
      <c r="M195" s="422">
        <f>IF($G$1="ALL",SUMIFS('GL Dump'!$E:$E,'GL Dump'!$H:$H,Master!$A195,'GL Dump'!$D:$D,Master!M$1),SUMIFS('GL Dump'!$E:$E,'GL Dump'!$H:$H,Master!$A195,'GL Dump'!$D:$D,Master!M$1,'GL Dump'!$C:$C,Master!$G$1))</f>
        <v>506.37</v>
      </c>
      <c r="N195" s="422">
        <f>IF($G$1="ALL",SUMIFS('GL Dump'!$E:$E,'GL Dump'!$H:$H,Master!$A195,'GL Dump'!$D:$D,Master!N$1),SUMIFS('GL Dump'!$E:$E,'GL Dump'!$H:$H,Master!$A195,'GL Dump'!$D:$D,Master!N$1,'GL Dump'!$C:$C,Master!$G$1))</f>
        <v>228.45000000000002</v>
      </c>
      <c r="O195" s="422">
        <f>IF($G$1="ALL",SUMIFS('GL Dump'!$E:$E,'GL Dump'!$H:$H,Master!$A195,'GL Dump'!$D:$D,Master!O$1),SUMIFS('GL Dump'!$E:$E,'GL Dump'!$H:$H,Master!$A195,'GL Dump'!$D:$D,Master!O$1,'GL Dump'!$C:$C,Master!$G$1))</f>
        <v>324</v>
      </c>
      <c r="P195" s="422">
        <f>IF($G$1="ALL",SUMIFS('GL Dump'!$E:$E,'GL Dump'!$H:$H,Master!$A195,'GL Dump'!$D:$D,Master!P$1),SUMIFS('GL Dump'!$E:$E,'GL Dump'!$H:$H,Master!$A195,'GL Dump'!$D:$D,Master!P$1,'GL Dump'!$C:$C,Master!$G$1))</f>
        <v>0</v>
      </c>
      <c r="Q195" s="422">
        <f>IF($G$1="ALL",SUMIFS('GL Dump'!$E:$E,'GL Dump'!$H:$H,Master!$A195,'GL Dump'!$D:$D,Master!Q$1),SUMIFS('GL Dump'!$E:$E,'GL Dump'!$H:$H,Master!$A195,'GL Dump'!$D:$D,Master!Q$1,'GL Dump'!$C:$C,Master!$G$1))</f>
        <v>47.73</v>
      </c>
      <c r="R195" s="422">
        <f>IF($G$1="ALL",SUMIFS('GL Dump'!$E:$E,'GL Dump'!$H:$H,Master!$A195,'GL Dump'!$D:$D,Master!R$1),SUMIFS('GL Dump'!$E:$E,'GL Dump'!$H:$H,Master!$A195,'GL Dump'!$D:$D,Master!R$1,'GL Dump'!$C:$C,Master!$G$1))</f>
        <v>157.63999999999999</v>
      </c>
      <c r="S195" s="422">
        <f>IF($G$1="ALL",SUMIFS('GL Dump'!$E:$E,'GL Dump'!$H:$H,Master!$A195,'GL Dump'!$D:$D,Master!S$1),SUMIFS('GL Dump'!$E:$E,'GL Dump'!$H:$H,Master!$A195,'GL Dump'!$D:$D,Master!S$1,'GL Dump'!$C:$C,Master!$G$1))</f>
        <v>87.18</v>
      </c>
      <c r="T195" s="423"/>
    </row>
    <row r="196" spans="1:20" x14ac:dyDescent="0.25">
      <c r="A196" s="267" t="s">
        <v>2222</v>
      </c>
      <c r="B196" s="267" t="s">
        <v>3087</v>
      </c>
      <c r="C196" s="267">
        <v>1</v>
      </c>
      <c r="D196" s="384">
        <v>339.99999999999994</v>
      </c>
      <c r="E196" s="384">
        <f t="shared" si="10"/>
        <v>339.99999999999994</v>
      </c>
      <c r="F196" s="267" t="s">
        <v>3091</v>
      </c>
      <c r="H196" s="397">
        <f>E196+SUMIFS('GL Dump'!$E:$E,'GL Dump'!$H:$H,Master!A196,'GL Dump'!$D:$D,Master!$I$1)</f>
        <v>339.99999999999994</v>
      </c>
      <c r="I196" s="81">
        <f>IF($G$1="ALL",SUMIFS('GL Dump'!$E:$E,'GL Dump'!$H:$H,Master!$A196,'GL Dump'!$D:$D,Master!I$1),SUMIFS('GL Dump'!$E:$E,'GL Dump'!$H:$H,Master!$A196,'GL Dump'!$D:$D,Master!I$1,'GL Dump'!$C:$C,Master!$G$1))</f>
        <v>0</v>
      </c>
      <c r="J196" s="81">
        <f>IF($G$1="ALL",SUMIFS('GL Dump'!$E:$E,'GL Dump'!$H:$H,Master!$A196,'GL Dump'!$D:$D,Master!J$1),SUMIFS('GL Dump'!$E:$E,'GL Dump'!$H:$H,Master!$A196,'GL Dump'!$D:$D,Master!J$1,'GL Dump'!$C:$C,Master!$G$1))</f>
        <v>340</v>
      </c>
      <c r="K196" s="81">
        <f>IF($G$1="ALL",SUMIFS('GL Dump'!$E:$E,'GL Dump'!$H:$H,Master!$A196,'GL Dump'!$D:$D,Master!K$1),SUMIFS('GL Dump'!$E:$E,'GL Dump'!$H:$H,Master!$A196,'GL Dump'!$D:$D,Master!K$1,'GL Dump'!$C:$C,Master!$G$1))</f>
        <v>389.45</v>
      </c>
      <c r="L196" s="81">
        <f>IF($G$1="ALL",SUMIFS('GL Dump'!$E:$E,'GL Dump'!$H:$H,Master!$A196,'GL Dump'!$D:$D,Master!L$1),SUMIFS('GL Dump'!$E:$E,'GL Dump'!$H:$H,Master!$A196,'GL Dump'!$D:$D,Master!L$1,'GL Dump'!$C:$C,Master!$G$1))</f>
        <v>531.63</v>
      </c>
      <c r="M196" s="81">
        <f>IF($G$1="ALL",SUMIFS('GL Dump'!$E:$E,'GL Dump'!$H:$H,Master!$A196,'GL Dump'!$D:$D,Master!M$1),SUMIFS('GL Dump'!$E:$E,'GL Dump'!$H:$H,Master!$A196,'GL Dump'!$D:$D,Master!M$1,'GL Dump'!$C:$C,Master!$G$1))</f>
        <v>568.73</v>
      </c>
      <c r="N196" s="81">
        <f>IF($G$1="ALL",SUMIFS('GL Dump'!$E:$E,'GL Dump'!$H:$H,Master!$A196,'GL Dump'!$D:$D,Master!N$1),SUMIFS('GL Dump'!$E:$E,'GL Dump'!$H:$H,Master!$A196,'GL Dump'!$D:$D,Master!N$1,'GL Dump'!$C:$C,Master!$G$1))</f>
        <v>238</v>
      </c>
      <c r="O196" s="81">
        <f>IF($G$1="ALL",SUMIFS('GL Dump'!$E:$E,'GL Dump'!$H:$H,Master!$A196,'GL Dump'!$D:$D,Master!O$1),SUMIFS('GL Dump'!$E:$E,'GL Dump'!$H:$H,Master!$A196,'GL Dump'!$D:$D,Master!O$1,'GL Dump'!$C:$C,Master!$G$1))</f>
        <v>426.53999999999996</v>
      </c>
      <c r="P196" s="81">
        <f>IF($G$1="ALL",SUMIFS('GL Dump'!$E:$E,'GL Dump'!$H:$H,Master!$A196,'GL Dump'!$D:$D,Master!P$1),SUMIFS('GL Dump'!$E:$E,'GL Dump'!$H:$H,Master!$A196,'GL Dump'!$D:$D,Master!P$1,'GL Dump'!$C:$C,Master!$G$1))</f>
        <v>0</v>
      </c>
      <c r="Q196" s="81">
        <f>IF($G$1="ALL",SUMIFS('GL Dump'!$E:$E,'GL Dump'!$H:$H,Master!$A196,'GL Dump'!$D:$D,Master!Q$1),SUMIFS('GL Dump'!$E:$E,'GL Dump'!$H:$H,Master!$A196,'GL Dump'!$D:$D,Master!Q$1,'GL Dump'!$C:$C,Master!$G$1))</f>
        <v>0</v>
      </c>
      <c r="R196" s="81">
        <f>IF($G$1="ALL",SUMIFS('GL Dump'!$E:$E,'GL Dump'!$H:$H,Master!$A196,'GL Dump'!$D:$D,Master!R$1),SUMIFS('GL Dump'!$E:$E,'GL Dump'!$H:$H,Master!$A196,'GL Dump'!$D:$D,Master!R$1,'GL Dump'!$C:$C,Master!$G$1))</f>
        <v>154.99</v>
      </c>
      <c r="S196" s="81">
        <f>IF($G$1="ALL",SUMIFS('GL Dump'!$E:$E,'GL Dump'!$H:$H,Master!$A196,'GL Dump'!$D:$D,Master!S$1),SUMIFS('GL Dump'!$E:$E,'GL Dump'!$H:$H,Master!$A196,'GL Dump'!$D:$D,Master!S$1,'GL Dump'!$C:$C,Master!$G$1))</f>
        <v>104.28</v>
      </c>
    </row>
    <row r="197" spans="1:20" x14ac:dyDescent="0.25">
      <c r="A197" s="454" t="s">
        <v>2225</v>
      </c>
      <c r="B197" s="454" t="s">
        <v>3087</v>
      </c>
      <c r="C197" s="454">
        <v>1</v>
      </c>
      <c r="D197" s="468">
        <v>105.09090909090908</v>
      </c>
      <c r="E197" s="468">
        <f t="shared" si="10"/>
        <v>105.09090909090908</v>
      </c>
      <c r="F197" s="454" t="s">
        <v>3091</v>
      </c>
      <c r="G197" s="420"/>
      <c r="H197" s="421">
        <f>E197+SUMIFS('GL Dump'!$E:$E,'GL Dump'!$H:$H,Master!A197,'GL Dump'!$D:$D,Master!$I$1)</f>
        <v>105.09090909090908</v>
      </c>
      <c r="I197" s="422">
        <f>IF($G$1="ALL",SUMIFS('GL Dump'!$E:$E,'GL Dump'!$H:$H,Master!$A197,'GL Dump'!$D:$D,Master!I$1),SUMIFS('GL Dump'!$E:$E,'GL Dump'!$H:$H,Master!$A197,'GL Dump'!$D:$D,Master!I$1,'GL Dump'!$C:$C,Master!$G$1))</f>
        <v>0</v>
      </c>
      <c r="J197" s="422">
        <f>IF($G$1="ALL",SUMIFS('GL Dump'!$E:$E,'GL Dump'!$H:$H,Master!$A197,'GL Dump'!$D:$D,Master!J$1),SUMIFS('GL Dump'!$E:$E,'GL Dump'!$H:$H,Master!$A197,'GL Dump'!$D:$D,Master!J$1,'GL Dump'!$C:$C,Master!$G$1))</f>
        <v>105.09</v>
      </c>
      <c r="K197" s="422">
        <f>IF($G$1="ALL",SUMIFS('GL Dump'!$E:$E,'GL Dump'!$H:$H,Master!$A197,'GL Dump'!$D:$D,Master!K$1),SUMIFS('GL Dump'!$E:$E,'GL Dump'!$H:$H,Master!$A197,'GL Dump'!$D:$D,Master!K$1,'GL Dump'!$C:$C,Master!$G$1))</f>
        <v>0</v>
      </c>
      <c r="L197" s="422">
        <f>IF($G$1="ALL",SUMIFS('GL Dump'!$E:$E,'GL Dump'!$H:$H,Master!$A197,'GL Dump'!$D:$D,Master!L$1),SUMIFS('GL Dump'!$E:$E,'GL Dump'!$H:$H,Master!$A197,'GL Dump'!$D:$D,Master!L$1,'GL Dump'!$C:$C,Master!$G$1))</f>
        <v>74.19</v>
      </c>
      <c r="M197" s="422">
        <f>IF($G$1="ALL",SUMIFS('GL Dump'!$E:$E,'GL Dump'!$H:$H,Master!$A197,'GL Dump'!$D:$D,Master!M$1),SUMIFS('GL Dump'!$E:$E,'GL Dump'!$H:$H,Master!$A197,'GL Dump'!$D:$D,Master!M$1,'GL Dump'!$C:$C,Master!$G$1))</f>
        <v>86.54</v>
      </c>
      <c r="N197" s="422">
        <f>IF($G$1="ALL",SUMIFS('GL Dump'!$E:$E,'GL Dump'!$H:$H,Master!$A197,'GL Dump'!$D:$D,Master!N$1),SUMIFS('GL Dump'!$E:$E,'GL Dump'!$H:$H,Master!$A197,'GL Dump'!$D:$D,Master!N$1,'GL Dump'!$C:$C,Master!$G$1))</f>
        <v>37.090000000000003</v>
      </c>
      <c r="O197" s="422">
        <f>IF($G$1="ALL",SUMIFS('GL Dump'!$E:$E,'GL Dump'!$H:$H,Master!$A197,'GL Dump'!$D:$D,Master!O$1),SUMIFS('GL Dump'!$E:$E,'GL Dump'!$H:$H,Master!$A197,'GL Dump'!$D:$D,Master!O$1,'GL Dump'!$C:$C,Master!$G$1))</f>
        <v>46.36</v>
      </c>
      <c r="P197" s="422">
        <f>IF($G$1="ALL",SUMIFS('GL Dump'!$E:$E,'GL Dump'!$H:$H,Master!$A197,'GL Dump'!$D:$D,Master!P$1),SUMIFS('GL Dump'!$E:$E,'GL Dump'!$H:$H,Master!$A197,'GL Dump'!$D:$D,Master!P$1,'GL Dump'!$C:$C,Master!$G$1))</f>
        <v>0</v>
      </c>
      <c r="Q197" s="422">
        <f>IF($G$1="ALL",SUMIFS('GL Dump'!$E:$E,'GL Dump'!$H:$H,Master!$A197,'GL Dump'!$D:$D,Master!Q$1),SUMIFS('GL Dump'!$E:$E,'GL Dump'!$H:$H,Master!$A197,'GL Dump'!$D:$D,Master!Q$1,'GL Dump'!$C:$C,Master!$G$1))</f>
        <v>0</v>
      </c>
      <c r="R197" s="422">
        <f>IF($G$1="ALL",SUMIFS('GL Dump'!$E:$E,'GL Dump'!$H:$H,Master!$A197,'GL Dump'!$D:$D,Master!R$1),SUMIFS('GL Dump'!$E:$E,'GL Dump'!$H:$H,Master!$A197,'GL Dump'!$D:$D,Master!R$1,'GL Dump'!$C:$C,Master!$G$1))</f>
        <v>8.4499999999999993</v>
      </c>
      <c r="S197" s="422">
        <f>IF($G$1="ALL",SUMIFS('GL Dump'!$E:$E,'GL Dump'!$H:$H,Master!$A197,'GL Dump'!$D:$D,Master!S$1),SUMIFS('GL Dump'!$E:$E,'GL Dump'!$H:$H,Master!$A197,'GL Dump'!$D:$D,Master!S$1,'GL Dump'!$C:$C,Master!$G$1))</f>
        <v>2.81</v>
      </c>
      <c r="T197" s="423"/>
    </row>
    <row r="198" spans="1:20" x14ac:dyDescent="0.25">
      <c r="A198" s="267" t="s">
        <v>2227</v>
      </c>
      <c r="B198" s="267" t="s">
        <v>3087</v>
      </c>
      <c r="C198" s="267">
        <v>1</v>
      </c>
      <c r="D198" s="384">
        <v>234.90909090909093</v>
      </c>
      <c r="E198" s="384">
        <f t="shared" si="10"/>
        <v>234.90909090909093</v>
      </c>
      <c r="F198" s="267" t="s">
        <v>3091</v>
      </c>
      <c r="H198" s="397">
        <f>E198+SUMIFS('GL Dump'!$E:$E,'GL Dump'!$H:$H,Master!A198,'GL Dump'!$D:$D,Master!$I$1)</f>
        <v>234.90909090909093</v>
      </c>
      <c r="I198" s="81">
        <f>IF($G$1="ALL",SUMIFS('GL Dump'!$E:$E,'GL Dump'!$H:$H,Master!$A198,'GL Dump'!$D:$D,Master!I$1),SUMIFS('GL Dump'!$E:$E,'GL Dump'!$H:$H,Master!$A198,'GL Dump'!$D:$D,Master!I$1,'GL Dump'!$C:$C,Master!$G$1))</f>
        <v>0</v>
      </c>
      <c r="J198" s="81">
        <f>IF($G$1="ALL",SUMIFS('GL Dump'!$E:$E,'GL Dump'!$H:$H,Master!$A198,'GL Dump'!$D:$D,Master!J$1),SUMIFS('GL Dump'!$E:$E,'GL Dump'!$H:$H,Master!$A198,'GL Dump'!$D:$D,Master!J$1,'GL Dump'!$C:$C,Master!$G$1))</f>
        <v>0</v>
      </c>
      <c r="K198" s="81">
        <f>IF($G$1="ALL",SUMIFS('GL Dump'!$E:$E,'GL Dump'!$H:$H,Master!$A198,'GL Dump'!$D:$D,Master!K$1),SUMIFS('GL Dump'!$E:$E,'GL Dump'!$H:$H,Master!$A198,'GL Dump'!$D:$D,Master!K$1,'GL Dump'!$C:$C,Master!$G$1))</f>
        <v>185.45999999999998</v>
      </c>
      <c r="L198" s="81">
        <f>IF($G$1="ALL",SUMIFS('GL Dump'!$E:$E,'GL Dump'!$H:$H,Master!$A198,'GL Dump'!$D:$D,Master!L$1),SUMIFS('GL Dump'!$E:$E,'GL Dump'!$H:$H,Master!$A198,'GL Dump'!$D:$D,Master!L$1,'GL Dump'!$C:$C,Master!$G$1))</f>
        <v>154.55000000000001</v>
      </c>
      <c r="M198" s="81">
        <f>IF($G$1="ALL",SUMIFS('GL Dump'!$E:$E,'GL Dump'!$H:$H,Master!$A198,'GL Dump'!$D:$D,Master!M$1),SUMIFS('GL Dump'!$E:$E,'GL Dump'!$H:$H,Master!$A198,'GL Dump'!$D:$D,Master!M$1,'GL Dump'!$C:$C,Master!$G$1))</f>
        <v>160.72999999999999</v>
      </c>
      <c r="N198" s="81">
        <f>IF($G$1="ALL",SUMIFS('GL Dump'!$E:$E,'GL Dump'!$H:$H,Master!$A198,'GL Dump'!$D:$D,Master!N$1),SUMIFS('GL Dump'!$E:$E,'GL Dump'!$H:$H,Master!$A198,'GL Dump'!$D:$D,Master!N$1,'GL Dump'!$C:$C,Master!$G$1))</f>
        <v>95.82</v>
      </c>
      <c r="O198" s="81">
        <f>IF($G$1="ALL",SUMIFS('GL Dump'!$E:$E,'GL Dump'!$H:$H,Master!$A198,'GL Dump'!$D:$D,Master!O$1),SUMIFS('GL Dump'!$E:$E,'GL Dump'!$H:$H,Master!$A198,'GL Dump'!$D:$D,Master!O$1,'GL Dump'!$C:$C,Master!$G$1))</f>
        <v>136</v>
      </c>
      <c r="P198" s="81">
        <f>IF($G$1="ALL",SUMIFS('GL Dump'!$E:$E,'GL Dump'!$H:$H,Master!$A198,'GL Dump'!$D:$D,Master!P$1),SUMIFS('GL Dump'!$E:$E,'GL Dump'!$H:$H,Master!$A198,'GL Dump'!$D:$D,Master!P$1,'GL Dump'!$C:$C,Master!$G$1))</f>
        <v>0</v>
      </c>
      <c r="Q198" s="81">
        <f>IF($G$1="ALL",SUMIFS('GL Dump'!$E:$E,'GL Dump'!$H:$H,Master!$A198,'GL Dump'!$D:$D,Master!Q$1),SUMIFS('GL Dump'!$E:$E,'GL Dump'!$H:$H,Master!$A198,'GL Dump'!$D:$D,Master!Q$1,'GL Dump'!$C:$C,Master!$G$1))</f>
        <v>364.82</v>
      </c>
      <c r="R198" s="81">
        <f>IF($G$1="ALL",SUMIFS('GL Dump'!$E:$E,'GL Dump'!$H:$H,Master!$A198,'GL Dump'!$D:$D,Master!R$1),SUMIFS('GL Dump'!$E:$E,'GL Dump'!$H:$H,Master!$A198,'GL Dump'!$D:$D,Master!R$1,'GL Dump'!$C:$C,Master!$G$1))</f>
        <v>50.73</v>
      </c>
      <c r="S198" s="81">
        <f>IF($G$1="ALL",SUMIFS('GL Dump'!$E:$E,'GL Dump'!$H:$H,Master!$A198,'GL Dump'!$D:$D,Master!S$1),SUMIFS('GL Dump'!$E:$E,'GL Dump'!$H:$H,Master!$A198,'GL Dump'!$D:$D,Master!S$1,'GL Dump'!$C:$C,Master!$G$1))</f>
        <v>33.82</v>
      </c>
    </row>
    <row r="199" spans="1:20" x14ac:dyDescent="0.25">
      <c r="A199" s="454" t="s">
        <v>2230</v>
      </c>
      <c r="B199" s="454" t="s">
        <v>3087</v>
      </c>
      <c r="C199" s="454">
        <v>1</v>
      </c>
      <c r="D199" s="468">
        <v>18.545454545454543</v>
      </c>
      <c r="E199" s="468">
        <f t="shared" si="10"/>
        <v>18.545454545454543</v>
      </c>
      <c r="F199" s="454" t="s">
        <v>3091</v>
      </c>
      <c r="G199" s="420"/>
      <c r="H199" s="421">
        <f>E199+SUMIFS('GL Dump'!$E:$E,'GL Dump'!$H:$H,Master!A199,'GL Dump'!$D:$D,Master!$I$1)</f>
        <v>18.545454545454543</v>
      </c>
      <c r="I199" s="422">
        <f>IF($G$1="ALL",SUMIFS('GL Dump'!$E:$E,'GL Dump'!$H:$H,Master!$A199,'GL Dump'!$D:$D,Master!I$1),SUMIFS('GL Dump'!$E:$E,'GL Dump'!$H:$H,Master!$A199,'GL Dump'!$D:$D,Master!I$1,'GL Dump'!$C:$C,Master!$G$1))</f>
        <v>0</v>
      </c>
      <c r="J199" s="422">
        <f>IF($G$1="ALL",SUMIFS('GL Dump'!$E:$E,'GL Dump'!$H:$H,Master!$A199,'GL Dump'!$D:$D,Master!J$1),SUMIFS('GL Dump'!$E:$E,'GL Dump'!$H:$H,Master!$A199,'GL Dump'!$D:$D,Master!J$1,'GL Dump'!$C:$C,Master!$G$1))</f>
        <v>18.55</v>
      </c>
      <c r="K199" s="422">
        <f>IF($G$1="ALL",SUMIFS('GL Dump'!$E:$E,'GL Dump'!$H:$H,Master!$A199,'GL Dump'!$D:$D,Master!K$1),SUMIFS('GL Dump'!$E:$E,'GL Dump'!$H:$H,Master!$A199,'GL Dump'!$D:$D,Master!K$1,'GL Dump'!$C:$C,Master!$G$1))</f>
        <v>18.55</v>
      </c>
      <c r="L199" s="422">
        <f>IF($G$1="ALL",SUMIFS('GL Dump'!$E:$E,'GL Dump'!$H:$H,Master!$A199,'GL Dump'!$D:$D,Master!L$1),SUMIFS('GL Dump'!$E:$E,'GL Dump'!$H:$H,Master!$A199,'GL Dump'!$D:$D,Master!L$1,'GL Dump'!$C:$C,Master!$G$1))</f>
        <v>37.090000000000003</v>
      </c>
      <c r="M199" s="422">
        <f>IF($G$1="ALL",SUMIFS('GL Dump'!$E:$E,'GL Dump'!$H:$H,Master!$A199,'GL Dump'!$D:$D,Master!M$1),SUMIFS('GL Dump'!$E:$E,'GL Dump'!$H:$H,Master!$A199,'GL Dump'!$D:$D,Master!M$1,'GL Dump'!$C:$C,Master!$G$1))</f>
        <v>37.090000000000003</v>
      </c>
      <c r="N199" s="422">
        <f>IF($G$1="ALL",SUMIFS('GL Dump'!$E:$E,'GL Dump'!$H:$H,Master!$A199,'GL Dump'!$D:$D,Master!N$1),SUMIFS('GL Dump'!$E:$E,'GL Dump'!$H:$H,Master!$A199,'GL Dump'!$D:$D,Master!N$1,'GL Dump'!$C:$C,Master!$G$1))</f>
        <v>37.090000000000003</v>
      </c>
      <c r="O199" s="422">
        <f>IF($G$1="ALL",SUMIFS('GL Dump'!$E:$E,'GL Dump'!$H:$H,Master!$A199,'GL Dump'!$D:$D,Master!O$1),SUMIFS('GL Dump'!$E:$E,'GL Dump'!$H:$H,Master!$A199,'GL Dump'!$D:$D,Master!O$1,'GL Dump'!$C:$C,Master!$G$1))</f>
        <v>40.18</v>
      </c>
      <c r="P199" s="422">
        <f>IF($G$1="ALL",SUMIFS('GL Dump'!$E:$E,'GL Dump'!$H:$H,Master!$A199,'GL Dump'!$D:$D,Master!P$1),SUMIFS('GL Dump'!$E:$E,'GL Dump'!$H:$H,Master!$A199,'GL Dump'!$D:$D,Master!P$1,'GL Dump'!$C:$C,Master!$G$1))</f>
        <v>0</v>
      </c>
      <c r="Q199" s="422">
        <f>IF($G$1="ALL",SUMIFS('GL Dump'!$E:$E,'GL Dump'!$H:$H,Master!$A199,'GL Dump'!$D:$D,Master!Q$1),SUMIFS('GL Dump'!$E:$E,'GL Dump'!$H:$H,Master!$A199,'GL Dump'!$D:$D,Master!Q$1,'GL Dump'!$C:$C,Master!$G$1))</f>
        <v>0</v>
      </c>
      <c r="R199" s="422">
        <f>IF($G$1="ALL",SUMIFS('GL Dump'!$E:$E,'GL Dump'!$H:$H,Master!$A199,'GL Dump'!$D:$D,Master!R$1),SUMIFS('GL Dump'!$E:$E,'GL Dump'!$H:$H,Master!$A199,'GL Dump'!$D:$D,Master!R$1,'GL Dump'!$C:$C,Master!$G$1))</f>
        <v>25.36</v>
      </c>
      <c r="S199" s="422">
        <f>IF($G$1="ALL",SUMIFS('GL Dump'!$E:$E,'GL Dump'!$H:$H,Master!$A199,'GL Dump'!$D:$D,Master!S$1),SUMIFS('GL Dump'!$E:$E,'GL Dump'!$H:$H,Master!$A199,'GL Dump'!$D:$D,Master!S$1,'GL Dump'!$C:$C,Master!$G$1))</f>
        <v>42.27</v>
      </c>
      <c r="T199" s="423"/>
    </row>
    <row r="200" spans="1:20" x14ac:dyDescent="0.25">
      <c r="A200" s="267" t="s">
        <v>2037</v>
      </c>
      <c r="B200" s="267" t="s">
        <v>3088</v>
      </c>
      <c r="C200" s="267">
        <v>1</v>
      </c>
      <c r="D200" s="267">
        <v>140</v>
      </c>
      <c r="E200" s="384">
        <f t="shared" si="10"/>
        <v>140</v>
      </c>
      <c r="F200" s="267" t="s">
        <v>3091</v>
      </c>
      <c r="H200" s="397">
        <f>E200+SUMIFS('GL Dump'!$E:$E,'GL Dump'!$H:$H,Master!A200,'GL Dump'!$D:$D,Master!$I$1)</f>
        <v>140</v>
      </c>
      <c r="I200" s="81">
        <f>IF($G$1="ALL",SUMIFS('GL Dump'!$E:$E,'GL Dump'!$H:$H,Master!$A200,'GL Dump'!$D:$D,Master!I$1),SUMIFS('GL Dump'!$E:$E,'GL Dump'!$H:$H,Master!$A200,'GL Dump'!$D:$D,Master!I$1,'GL Dump'!$C:$C,Master!$G$1))</f>
        <v>0</v>
      </c>
      <c r="J200" s="81">
        <f>IF($G$1="ALL",SUMIFS('GL Dump'!$E:$E,'GL Dump'!$H:$H,Master!$A200,'GL Dump'!$D:$D,Master!J$1),SUMIFS('GL Dump'!$E:$E,'GL Dump'!$H:$H,Master!$A200,'GL Dump'!$D:$D,Master!J$1,'GL Dump'!$C:$C,Master!$G$1))</f>
        <v>140</v>
      </c>
      <c r="K200" s="81">
        <f>IF($G$1="ALL",SUMIFS('GL Dump'!$E:$E,'GL Dump'!$H:$H,Master!$A200,'GL Dump'!$D:$D,Master!K$1),SUMIFS('GL Dump'!$E:$E,'GL Dump'!$H:$H,Master!$A200,'GL Dump'!$D:$D,Master!K$1,'GL Dump'!$C:$C,Master!$G$1))</f>
        <v>140</v>
      </c>
      <c r="L200" s="81">
        <f>IF($G$1="ALL",SUMIFS('GL Dump'!$E:$E,'GL Dump'!$H:$H,Master!$A200,'GL Dump'!$D:$D,Master!L$1),SUMIFS('GL Dump'!$E:$E,'GL Dump'!$H:$H,Master!$A200,'GL Dump'!$D:$D,Master!L$1,'GL Dump'!$C:$C,Master!$G$1))</f>
        <v>140</v>
      </c>
      <c r="M200" s="81">
        <f>IF($G$1="ALL",SUMIFS('GL Dump'!$E:$E,'GL Dump'!$H:$H,Master!$A200,'GL Dump'!$D:$D,Master!M$1),SUMIFS('GL Dump'!$E:$E,'GL Dump'!$H:$H,Master!$A200,'GL Dump'!$D:$D,Master!M$1,'GL Dump'!$C:$C,Master!$G$1))</f>
        <v>140</v>
      </c>
      <c r="N200" s="81">
        <f>IF($G$1="ALL",SUMIFS('GL Dump'!$E:$E,'GL Dump'!$H:$H,Master!$A200,'GL Dump'!$D:$D,Master!N$1),SUMIFS('GL Dump'!$E:$E,'GL Dump'!$H:$H,Master!$A200,'GL Dump'!$D:$D,Master!N$1,'GL Dump'!$C:$C,Master!$G$1))</f>
        <v>280</v>
      </c>
      <c r="O200" s="81">
        <f>IF($G$1="ALL",SUMIFS('GL Dump'!$E:$E,'GL Dump'!$H:$H,Master!$A200,'GL Dump'!$D:$D,Master!O$1),SUMIFS('GL Dump'!$E:$E,'GL Dump'!$H:$H,Master!$A200,'GL Dump'!$D:$D,Master!O$1,'GL Dump'!$C:$C,Master!$G$1))</f>
        <v>0</v>
      </c>
      <c r="P200" s="81">
        <f>IF($G$1="ALL",SUMIFS('GL Dump'!$E:$E,'GL Dump'!$H:$H,Master!$A200,'GL Dump'!$D:$D,Master!P$1),SUMIFS('GL Dump'!$E:$E,'GL Dump'!$H:$H,Master!$A200,'GL Dump'!$D:$D,Master!P$1,'GL Dump'!$C:$C,Master!$G$1))</f>
        <v>0</v>
      </c>
      <c r="Q200" s="81">
        <f>IF($G$1="ALL",SUMIFS('GL Dump'!$E:$E,'GL Dump'!$H:$H,Master!$A200,'GL Dump'!$D:$D,Master!Q$1),SUMIFS('GL Dump'!$E:$E,'GL Dump'!$H:$H,Master!$A200,'GL Dump'!$D:$D,Master!Q$1,'GL Dump'!$C:$C,Master!$G$1))</f>
        <v>0</v>
      </c>
      <c r="R200" s="81">
        <f>IF($G$1="ALL",SUMIFS('GL Dump'!$E:$E,'GL Dump'!$H:$H,Master!$A200,'GL Dump'!$D:$D,Master!R$1),SUMIFS('GL Dump'!$E:$E,'GL Dump'!$H:$H,Master!$A200,'GL Dump'!$D:$D,Master!R$1,'GL Dump'!$C:$C,Master!$G$1))</f>
        <v>284.24</v>
      </c>
      <c r="S200" s="81">
        <f>IF($G$1="ALL",SUMIFS('GL Dump'!$E:$E,'GL Dump'!$H:$H,Master!$A200,'GL Dump'!$D:$D,Master!S$1),SUMIFS('GL Dump'!$E:$E,'GL Dump'!$H:$H,Master!$A200,'GL Dump'!$D:$D,Master!S$1,'GL Dump'!$C:$C,Master!$G$1))</f>
        <v>0</v>
      </c>
    </row>
    <row r="201" spans="1:20" x14ac:dyDescent="0.25">
      <c r="A201" s="454" t="s">
        <v>2065</v>
      </c>
      <c r="B201" s="454" t="s">
        <v>3088</v>
      </c>
      <c r="C201" s="454">
        <v>1</v>
      </c>
      <c r="D201" s="454">
        <v>210</v>
      </c>
      <c r="E201" s="468">
        <f t="shared" si="10"/>
        <v>210</v>
      </c>
      <c r="F201" s="454" t="s">
        <v>3091</v>
      </c>
      <c r="G201" s="420"/>
      <c r="H201" s="421">
        <f>E201+SUMIFS('GL Dump'!$E:$E,'GL Dump'!$H:$H,Master!A201,'GL Dump'!$D:$D,Master!$I$1)</f>
        <v>210</v>
      </c>
      <c r="I201" s="422">
        <f>IF($G$1="ALL",SUMIFS('GL Dump'!$E:$E,'GL Dump'!$H:$H,Master!$A201,'GL Dump'!$D:$D,Master!I$1),SUMIFS('GL Dump'!$E:$E,'GL Dump'!$H:$H,Master!$A201,'GL Dump'!$D:$D,Master!I$1,'GL Dump'!$C:$C,Master!$G$1))</f>
        <v>0</v>
      </c>
      <c r="J201" s="422">
        <f>IF($G$1="ALL",SUMIFS('GL Dump'!$E:$E,'GL Dump'!$H:$H,Master!$A201,'GL Dump'!$D:$D,Master!J$1),SUMIFS('GL Dump'!$E:$E,'GL Dump'!$H:$H,Master!$A201,'GL Dump'!$D:$D,Master!J$1,'GL Dump'!$C:$C,Master!$G$1))</f>
        <v>210</v>
      </c>
      <c r="K201" s="422">
        <f>IF($G$1="ALL",SUMIFS('GL Dump'!$E:$E,'GL Dump'!$H:$H,Master!$A201,'GL Dump'!$D:$D,Master!K$1),SUMIFS('GL Dump'!$E:$E,'GL Dump'!$H:$H,Master!$A201,'GL Dump'!$D:$D,Master!K$1,'GL Dump'!$C:$C,Master!$G$1))</f>
        <v>210</v>
      </c>
      <c r="L201" s="422">
        <f>IF($G$1="ALL",SUMIFS('GL Dump'!$E:$E,'GL Dump'!$H:$H,Master!$A201,'GL Dump'!$D:$D,Master!L$1),SUMIFS('GL Dump'!$E:$E,'GL Dump'!$H:$H,Master!$A201,'GL Dump'!$D:$D,Master!L$1,'GL Dump'!$C:$C,Master!$G$1))</f>
        <v>210</v>
      </c>
      <c r="M201" s="422">
        <f>IF($G$1="ALL",SUMIFS('GL Dump'!$E:$E,'GL Dump'!$H:$H,Master!$A201,'GL Dump'!$D:$D,Master!M$1),SUMIFS('GL Dump'!$E:$E,'GL Dump'!$H:$H,Master!$A201,'GL Dump'!$D:$D,Master!M$1,'GL Dump'!$C:$C,Master!$G$1))</f>
        <v>210</v>
      </c>
      <c r="N201" s="422">
        <f>IF($G$1="ALL",SUMIFS('GL Dump'!$E:$E,'GL Dump'!$H:$H,Master!$A201,'GL Dump'!$D:$D,Master!N$1),SUMIFS('GL Dump'!$E:$E,'GL Dump'!$H:$H,Master!$A201,'GL Dump'!$D:$D,Master!N$1,'GL Dump'!$C:$C,Master!$G$1))</f>
        <v>420</v>
      </c>
      <c r="O201" s="422">
        <f>IF($G$1="ALL",SUMIFS('GL Dump'!$E:$E,'GL Dump'!$H:$H,Master!$A201,'GL Dump'!$D:$D,Master!O$1),SUMIFS('GL Dump'!$E:$E,'GL Dump'!$H:$H,Master!$A201,'GL Dump'!$D:$D,Master!O$1,'GL Dump'!$C:$C,Master!$G$1))</f>
        <v>0</v>
      </c>
      <c r="P201" s="422">
        <f>IF($G$1="ALL",SUMIFS('GL Dump'!$E:$E,'GL Dump'!$H:$H,Master!$A201,'GL Dump'!$D:$D,Master!P$1),SUMIFS('GL Dump'!$E:$E,'GL Dump'!$H:$H,Master!$A201,'GL Dump'!$D:$D,Master!P$1,'GL Dump'!$C:$C,Master!$G$1))</f>
        <v>0</v>
      </c>
      <c r="Q201" s="422">
        <f>IF($G$1="ALL",SUMIFS('GL Dump'!$E:$E,'GL Dump'!$H:$H,Master!$A201,'GL Dump'!$D:$D,Master!Q$1),SUMIFS('GL Dump'!$E:$E,'GL Dump'!$H:$H,Master!$A201,'GL Dump'!$D:$D,Master!Q$1,'GL Dump'!$C:$C,Master!$G$1))</f>
        <v>0</v>
      </c>
      <c r="R201" s="422">
        <f>IF($G$1="ALL",SUMIFS('GL Dump'!$E:$E,'GL Dump'!$H:$H,Master!$A201,'GL Dump'!$D:$D,Master!R$1),SUMIFS('GL Dump'!$E:$E,'GL Dump'!$H:$H,Master!$A201,'GL Dump'!$D:$D,Master!R$1,'GL Dump'!$C:$C,Master!$G$1))</f>
        <v>568.48</v>
      </c>
      <c r="S201" s="422">
        <f>IF($G$1="ALL",SUMIFS('GL Dump'!$E:$E,'GL Dump'!$H:$H,Master!$A201,'GL Dump'!$D:$D,Master!S$1),SUMIFS('GL Dump'!$E:$E,'GL Dump'!$H:$H,Master!$A201,'GL Dump'!$D:$D,Master!S$1,'GL Dump'!$C:$C,Master!$G$1))</f>
        <v>0</v>
      </c>
      <c r="T201" s="423"/>
    </row>
    <row r="202" spans="1:20" x14ac:dyDescent="0.25">
      <c r="A202" s="267" t="s">
        <v>2085</v>
      </c>
      <c r="B202" s="267" t="s">
        <v>3088</v>
      </c>
      <c r="C202" s="267">
        <v>1</v>
      </c>
      <c r="D202" s="267">
        <v>210</v>
      </c>
      <c r="E202" s="384">
        <f t="shared" si="10"/>
        <v>210</v>
      </c>
      <c r="F202" s="267" t="s">
        <v>3091</v>
      </c>
      <c r="H202" s="397">
        <f>E202+SUMIFS('GL Dump'!$E:$E,'GL Dump'!$H:$H,Master!A202,'GL Dump'!$D:$D,Master!$I$1)</f>
        <v>210</v>
      </c>
      <c r="I202" s="81">
        <f>IF($G$1="ALL",SUMIFS('GL Dump'!$E:$E,'GL Dump'!$H:$H,Master!$A202,'GL Dump'!$D:$D,Master!I$1),SUMIFS('GL Dump'!$E:$E,'GL Dump'!$H:$H,Master!$A202,'GL Dump'!$D:$D,Master!I$1,'GL Dump'!$C:$C,Master!$G$1))</f>
        <v>0</v>
      </c>
      <c r="J202" s="81">
        <f>IF($G$1="ALL",SUMIFS('GL Dump'!$E:$E,'GL Dump'!$H:$H,Master!$A202,'GL Dump'!$D:$D,Master!J$1),SUMIFS('GL Dump'!$E:$E,'GL Dump'!$H:$H,Master!$A202,'GL Dump'!$D:$D,Master!J$1,'GL Dump'!$C:$C,Master!$G$1))</f>
        <v>490</v>
      </c>
      <c r="K202" s="81">
        <f>IF($G$1="ALL",SUMIFS('GL Dump'!$E:$E,'GL Dump'!$H:$H,Master!$A202,'GL Dump'!$D:$D,Master!K$1),SUMIFS('GL Dump'!$E:$E,'GL Dump'!$H:$H,Master!$A202,'GL Dump'!$D:$D,Master!K$1,'GL Dump'!$C:$C,Master!$G$1))</f>
        <v>210</v>
      </c>
      <c r="L202" s="81">
        <f>IF($G$1="ALL",SUMIFS('GL Dump'!$E:$E,'GL Dump'!$H:$H,Master!$A202,'GL Dump'!$D:$D,Master!L$1),SUMIFS('GL Dump'!$E:$E,'GL Dump'!$H:$H,Master!$A202,'GL Dump'!$D:$D,Master!L$1,'GL Dump'!$C:$C,Master!$G$1))</f>
        <v>210</v>
      </c>
      <c r="M202" s="81">
        <f>IF($G$1="ALL",SUMIFS('GL Dump'!$E:$E,'GL Dump'!$H:$H,Master!$A202,'GL Dump'!$D:$D,Master!M$1),SUMIFS('GL Dump'!$E:$E,'GL Dump'!$H:$H,Master!$A202,'GL Dump'!$D:$D,Master!M$1,'GL Dump'!$C:$C,Master!$G$1))</f>
        <v>280</v>
      </c>
      <c r="N202" s="81">
        <f>IF($G$1="ALL",SUMIFS('GL Dump'!$E:$E,'GL Dump'!$H:$H,Master!$A202,'GL Dump'!$D:$D,Master!N$1),SUMIFS('GL Dump'!$E:$E,'GL Dump'!$H:$H,Master!$A202,'GL Dump'!$D:$D,Master!N$1,'GL Dump'!$C:$C,Master!$G$1))</f>
        <v>420</v>
      </c>
      <c r="O202" s="81">
        <f>IF($G$1="ALL",SUMIFS('GL Dump'!$E:$E,'GL Dump'!$H:$H,Master!$A202,'GL Dump'!$D:$D,Master!O$1),SUMIFS('GL Dump'!$E:$E,'GL Dump'!$H:$H,Master!$A202,'GL Dump'!$D:$D,Master!O$1,'GL Dump'!$C:$C,Master!$G$1))</f>
        <v>194.81</v>
      </c>
      <c r="P202" s="81">
        <f>IF($G$1="ALL",SUMIFS('GL Dump'!$E:$E,'GL Dump'!$H:$H,Master!$A202,'GL Dump'!$D:$D,Master!P$1),SUMIFS('GL Dump'!$E:$E,'GL Dump'!$H:$H,Master!$A202,'GL Dump'!$D:$D,Master!P$1,'GL Dump'!$C:$C,Master!$G$1))</f>
        <v>0</v>
      </c>
      <c r="Q202" s="81">
        <f>IF($G$1="ALL",SUMIFS('GL Dump'!$E:$E,'GL Dump'!$H:$H,Master!$A202,'GL Dump'!$D:$D,Master!Q$1),SUMIFS('GL Dump'!$E:$E,'GL Dump'!$H:$H,Master!$A202,'GL Dump'!$D:$D,Master!Q$1,'GL Dump'!$C:$C,Master!$G$1))</f>
        <v>194.11</v>
      </c>
      <c r="R202" s="81">
        <f>IF($G$1="ALL",SUMIFS('GL Dump'!$E:$E,'GL Dump'!$H:$H,Master!$A202,'GL Dump'!$D:$D,Master!R$1),SUMIFS('GL Dump'!$E:$E,'GL Dump'!$H:$H,Master!$A202,'GL Dump'!$D:$D,Master!R$1,'GL Dump'!$C:$C,Master!$G$1))</f>
        <v>1352.06</v>
      </c>
      <c r="S202" s="81">
        <f>IF($G$1="ALL",SUMIFS('GL Dump'!$E:$E,'GL Dump'!$H:$H,Master!$A202,'GL Dump'!$D:$D,Master!S$1),SUMIFS('GL Dump'!$E:$E,'GL Dump'!$H:$H,Master!$A202,'GL Dump'!$D:$D,Master!S$1,'GL Dump'!$C:$C,Master!$G$1))</f>
        <v>0</v>
      </c>
    </row>
    <row r="203" spans="1:20" x14ac:dyDescent="0.25">
      <c r="A203" s="454" t="s">
        <v>2107</v>
      </c>
      <c r="B203" s="454" t="s">
        <v>3088</v>
      </c>
      <c r="C203" s="454">
        <v>1</v>
      </c>
      <c r="D203" s="454">
        <v>70</v>
      </c>
      <c r="E203" s="468">
        <f t="shared" si="10"/>
        <v>70</v>
      </c>
      <c r="F203" s="454" t="s">
        <v>3091</v>
      </c>
      <c r="G203" s="420"/>
      <c r="H203" s="421">
        <f>E203+SUMIFS('GL Dump'!$E:$E,'GL Dump'!$H:$H,Master!A203,'GL Dump'!$D:$D,Master!$I$1)</f>
        <v>70</v>
      </c>
      <c r="I203" s="422">
        <f>IF($G$1="ALL",SUMIFS('GL Dump'!$E:$E,'GL Dump'!$H:$H,Master!$A203,'GL Dump'!$D:$D,Master!I$1),SUMIFS('GL Dump'!$E:$E,'GL Dump'!$H:$H,Master!$A203,'GL Dump'!$D:$D,Master!I$1,'GL Dump'!$C:$C,Master!$G$1))</f>
        <v>0</v>
      </c>
      <c r="J203" s="422">
        <f>IF($G$1="ALL",SUMIFS('GL Dump'!$E:$E,'GL Dump'!$H:$H,Master!$A203,'GL Dump'!$D:$D,Master!J$1),SUMIFS('GL Dump'!$E:$E,'GL Dump'!$H:$H,Master!$A203,'GL Dump'!$D:$D,Master!J$1,'GL Dump'!$C:$C,Master!$G$1))</f>
        <v>70</v>
      </c>
      <c r="K203" s="422">
        <f>IF($G$1="ALL",SUMIFS('GL Dump'!$E:$E,'GL Dump'!$H:$H,Master!$A203,'GL Dump'!$D:$D,Master!K$1),SUMIFS('GL Dump'!$E:$E,'GL Dump'!$H:$H,Master!$A203,'GL Dump'!$D:$D,Master!K$1,'GL Dump'!$C:$C,Master!$G$1))</f>
        <v>70</v>
      </c>
      <c r="L203" s="422">
        <f>IF($G$1="ALL",SUMIFS('GL Dump'!$E:$E,'GL Dump'!$H:$H,Master!$A203,'GL Dump'!$D:$D,Master!L$1),SUMIFS('GL Dump'!$E:$E,'GL Dump'!$H:$H,Master!$A203,'GL Dump'!$D:$D,Master!L$1,'GL Dump'!$C:$C,Master!$G$1))</f>
        <v>70</v>
      </c>
      <c r="M203" s="422">
        <f>IF($G$1="ALL",SUMIFS('GL Dump'!$E:$E,'GL Dump'!$H:$H,Master!$A203,'GL Dump'!$D:$D,Master!M$1),SUMIFS('GL Dump'!$E:$E,'GL Dump'!$H:$H,Master!$A203,'GL Dump'!$D:$D,Master!M$1,'GL Dump'!$C:$C,Master!$G$1))</f>
        <v>70</v>
      </c>
      <c r="N203" s="422">
        <f>IF($G$1="ALL",SUMIFS('GL Dump'!$E:$E,'GL Dump'!$H:$H,Master!$A203,'GL Dump'!$D:$D,Master!N$1),SUMIFS('GL Dump'!$E:$E,'GL Dump'!$H:$H,Master!$A203,'GL Dump'!$D:$D,Master!N$1,'GL Dump'!$C:$C,Master!$G$1))</f>
        <v>280</v>
      </c>
      <c r="O203" s="422">
        <f>IF($G$1="ALL",SUMIFS('GL Dump'!$E:$E,'GL Dump'!$H:$H,Master!$A203,'GL Dump'!$D:$D,Master!O$1),SUMIFS('GL Dump'!$E:$E,'GL Dump'!$H:$H,Master!$A203,'GL Dump'!$D:$D,Master!O$1,'GL Dump'!$C:$C,Master!$G$1))</f>
        <v>194.81</v>
      </c>
      <c r="P203" s="422">
        <f>IF($G$1="ALL",SUMIFS('GL Dump'!$E:$E,'GL Dump'!$H:$H,Master!$A203,'GL Dump'!$D:$D,Master!P$1),SUMIFS('GL Dump'!$E:$E,'GL Dump'!$H:$H,Master!$A203,'GL Dump'!$D:$D,Master!P$1,'GL Dump'!$C:$C,Master!$G$1))</f>
        <v>0</v>
      </c>
      <c r="Q203" s="422">
        <f>IF($G$1="ALL",SUMIFS('GL Dump'!$E:$E,'GL Dump'!$H:$H,Master!$A203,'GL Dump'!$D:$D,Master!Q$1),SUMIFS('GL Dump'!$E:$E,'GL Dump'!$H:$H,Master!$A203,'GL Dump'!$D:$D,Master!Q$1,'GL Dump'!$C:$C,Master!$G$1))</f>
        <v>194.11</v>
      </c>
      <c r="R203" s="422">
        <f>IF($G$1="ALL",SUMIFS('GL Dump'!$E:$E,'GL Dump'!$H:$H,Master!$A203,'GL Dump'!$D:$D,Master!R$1),SUMIFS('GL Dump'!$E:$E,'GL Dump'!$H:$H,Master!$A203,'GL Dump'!$D:$D,Master!R$1,'GL Dump'!$C:$C,Master!$G$1))</f>
        <v>770.5</v>
      </c>
      <c r="S203" s="422">
        <f>IF($G$1="ALL",SUMIFS('GL Dump'!$E:$E,'GL Dump'!$H:$H,Master!$A203,'GL Dump'!$D:$D,Master!S$1),SUMIFS('GL Dump'!$E:$E,'GL Dump'!$H:$H,Master!$A203,'GL Dump'!$D:$D,Master!S$1,'GL Dump'!$C:$C,Master!$G$1))</f>
        <v>0</v>
      </c>
      <c r="T203" s="423"/>
    </row>
    <row r="204" spans="1:20" x14ac:dyDescent="0.25">
      <c r="A204" s="267" t="s">
        <v>2108</v>
      </c>
      <c r="B204" s="267" t="s">
        <v>3088</v>
      </c>
      <c r="C204" s="267">
        <v>1</v>
      </c>
      <c r="D204" s="267">
        <v>70</v>
      </c>
      <c r="E204" s="384">
        <f t="shared" si="10"/>
        <v>70</v>
      </c>
      <c r="F204" s="267" t="s">
        <v>3091</v>
      </c>
      <c r="H204" s="397">
        <f>E204+SUMIFS('GL Dump'!$E:$E,'GL Dump'!$H:$H,Master!A204,'GL Dump'!$D:$D,Master!$I$1)</f>
        <v>70</v>
      </c>
      <c r="I204" s="81">
        <f>IF($G$1="ALL",SUMIFS('GL Dump'!$E:$E,'GL Dump'!$H:$H,Master!$A204,'GL Dump'!$D:$D,Master!I$1),SUMIFS('GL Dump'!$E:$E,'GL Dump'!$H:$H,Master!$A204,'GL Dump'!$D:$D,Master!I$1,'GL Dump'!$C:$C,Master!$G$1))</f>
        <v>0</v>
      </c>
      <c r="J204" s="81">
        <f>IF($G$1="ALL",SUMIFS('GL Dump'!$E:$E,'GL Dump'!$H:$H,Master!$A204,'GL Dump'!$D:$D,Master!J$1),SUMIFS('GL Dump'!$E:$E,'GL Dump'!$H:$H,Master!$A204,'GL Dump'!$D:$D,Master!J$1,'GL Dump'!$C:$C,Master!$G$1))</f>
        <v>70</v>
      </c>
      <c r="K204" s="81">
        <f>IF($G$1="ALL",SUMIFS('GL Dump'!$E:$E,'GL Dump'!$H:$H,Master!$A204,'GL Dump'!$D:$D,Master!K$1),SUMIFS('GL Dump'!$E:$E,'GL Dump'!$H:$H,Master!$A204,'GL Dump'!$D:$D,Master!K$1,'GL Dump'!$C:$C,Master!$G$1))</f>
        <v>70</v>
      </c>
      <c r="L204" s="81">
        <f>IF($G$1="ALL",SUMIFS('GL Dump'!$E:$E,'GL Dump'!$H:$H,Master!$A204,'GL Dump'!$D:$D,Master!L$1),SUMIFS('GL Dump'!$E:$E,'GL Dump'!$H:$H,Master!$A204,'GL Dump'!$D:$D,Master!L$1,'GL Dump'!$C:$C,Master!$G$1))</f>
        <v>70</v>
      </c>
      <c r="M204" s="81">
        <f>IF($G$1="ALL",SUMIFS('GL Dump'!$E:$E,'GL Dump'!$H:$H,Master!$A204,'GL Dump'!$D:$D,Master!M$1),SUMIFS('GL Dump'!$E:$E,'GL Dump'!$H:$H,Master!$A204,'GL Dump'!$D:$D,Master!M$1,'GL Dump'!$C:$C,Master!$G$1))</f>
        <v>0</v>
      </c>
      <c r="N204" s="81">
        <f>IF($G$1="ALL",SUMIFS('GL Dump'!$E:$E,'GL Dump'!$H:$H,Master!$A204,'GL Dump'!$D:$D,Master!N$1),SUMIFS('GL Dump'!$E:$E,'GL Dump'!$H:$H,Master!$A204,'GL Dump'!$D:$D,Master!N$1,'GL Dump'!$C:$C,Master!$G$1))</f>
        <v>0</v>
      </c>
      <c r="O204" s="81">
        <f>IF($G$1="ALL",SUMIFS('GL Dump'!$E:$E,'GL Dump'!$H:$H,Master!$A204,'GL Dump'!$D:$D,Master!O$1),SUMIFS('GL Dump'!$E:$E,'GL Dump'!$H:$H,Master!$A204,'GL Dump'!$D:$D,Master!O$1,'GL Dump'!$C:$C,Master!$G$1))</f>
        <v>0</v>
      </c>
      <c r="P204" s="81">
        <f>IF($G$1="ALL",SUMIFS('GL Dump'!$E:$E,'GL Dump'!$H:$H,Master!$A204,'GL Dump'!$D:$D,Master!P$1),SUMIFS('GL Dump'!$E:$E,'GL Dump'!$H:$H,Master!$A204,'GL Dump'!$D:$D,Master!P$1,'GL Dump'!$C:$C,Master!$G$1))</f>
        <v>0</v>
      </c>
      <c r="Q204" s="81">
        <f>IF($G$1="ALL",SUMIFS('GL Dump'!$E:$E,'GL Dump'!$H:$H,Master!$A204,'GL Dump'!$D:$D,Master!Q$1),SUMIFS('GL Dump'!$E:$E,'GL Dump'!$H:$H,Master!$A204,'GL Dump'!$D:$D,Master!Q$1,'GL Dump'!$C:$C,Master!$G$1))</f>
        <v>0</v>
      </c>
      <c r="R204" s="81">
        <f>IF($G$1="ALL",SUMIFS('GL Dump'!$E:$E,'GL Dump'!$H:$H,Master!$A204,'GL Dump'!$D:$D,Master!R$1),SUMIFS('GL Dump'!$E:$E,'GL Dump'!$H:$H,Master!$A204,'GL Dump'!$D:$D,Master!R$1,'GL Dump'!$C:$C,Master!$G$1))</f>
        <v>284.24</v>
      </c>
      <c r="S204" s="81">
        <f>IF($G$1="ALL",SUMIFS('GL Dump'!$E:$E,'GL Dump'!$H:$H,Master!$A204,'GL Dump'!$D:$D,Master!S$1),SUMIFS('GL Dump'!$E:$E,'GL Dump'!$H:$H,Master!$A204,'GL Dump'!$D:$D,Master!S$1,'GL Dump'!$C:$C,Master!$G$1))</f>
        <v>0</v>
      </c>
    </row>
    <row r="205" spans="1:20" x14ac:dyDescent="0.25">
      <c r="A205" s="454" t="s">
        <v>2109</v>
      </c>
      <c r="B205" s="454" t="s">
        <v>3088</v>
      </c>
      <c r="C205" s="454">
        <v>1</v>
      </c>
      <c r="D205" s="454">
        <v>0</v>
      </c>
      <c r="E205" s="468">
        <f t="shared" si="10"/>
        <v>0</v>
      </c>
      <c r="F205" s="454" t="s">
        <v>3091</v>
      </c>
      <c r="G205" s="420"/>
      <c r="H205" s="421">
        <f>E205+SUMIFS('GL Dump'!$E:$E,'GL Dump'!$H:$H,Master!A205,'GL Dump'!$D:$D,Master!$I$1)</f>
        <v>0</v>
      </c>
      <c r="I205" s="422">
        <f>IF($G$1="ALL",SUMIFS('GL Dump'!$E:$E,'GL Dump'!$H:$H,Master!$A205,'GL Dump'!$D:$D,Master!I$1),SUMIFS('GL Dump'!$E:$E,'GL Dump'!$H:$H,Master!$A205,'GL Dump'!$D:$D,Master!I$1,'GL Dump'!$C:$C,Master!$G$1))</f>
        <v>0</v>
      </c>
      <c r="J205" s="422">
        <f>IF($G$1="ALL",SUMIFS('GL Dump'!$E:$E,'GL Dump'!$H:$H,Master!$A205,'GL Dump'!$D:$D,Master!J$1),SUMIFS('GL Dump'!$E:$E,'GL Dump'!$H:$H,Master!$A205,'GL Dump'!$D:$D,Master!J$1,'GL Dump'!$C:$C,Master!$G$1))</f>
        <v>0</v>
      </c>
      <c r="K205" s="422">
        <f>IF($G$1="ALL",SUMIFS('GL Dump'!$E:$E,'GL Dump'!$H:$H,Master!$A205,'GL Dump'!$D:$D,Master!K$1),SUMIFS('GL Dump'!$E:$E,'GL Dump'!$H:$H,Master!$A205,'GL Dump'!$D:$D,Master!K$1,'GL Dump'!$C:$C,Master!$G$1))</f>
        <v>0</v>
      </c>
      <c r="L205" s="422">
        <f>IF($G$1="ALL",SUMIFS('GL Dump'!$E:$E,'GL Dump'!$H:$H,Master!$A205,'GL Dump'!$D:$D,Master!L$1),SUMIFS('GL Dump'!$E:$E,'GL Dump'!$H:$H,Master!$A205,'GL Dump'!$D:$D,Master!L$1,'GL Dump'!$C:$C,Master!$G$1))</f>
        <v>0</v>
      </c>
      <c r="M205" s="422">
        <f>IF($G$1="ALL",SUMIFS('GL Dump'!$E:$E,'GL Dump'!$H:$H,Master!$A205,'GL Dump'!$D:$D,Master!M$1),SUMIFS('GL Dump'!$E:$E,'GL Dump'!$H:$H,Master!$A205,'GL Dump'!$D:$D,Master!M$1,'GL Dump'!$C:$C,Master!$G$1))</f>
        <v>0</v>
      </c>
      <c r="N205" s="422">
        <f>IF($G$1="ALL",SUMIFS('GL Dump'!$E:$E,'GL Dump'!$H:$H,Master!$A205,'GL Dump'!$D:$D,Master!N$1),SUMIFS('GL Dump'!$E:$E,'GL Dump'!$H:$H,Master!$A205,'GL Dump'!$D:$D,Master!N$1,'GL Dump'!$C:$C,Master!$G$1))</f>
        <v>0</v>
      </c>
      <c r="O205" s="422">
        <f>IF($G$1="ALL",SUMIFS('GL Dump'!$E:$E,'GL Dump'!$H:$H,Master!$A205,'GL Dump'!$D:$D,Master!O$1),SUMIFS('GL Dump'!$E:$E,'GL Dump'!$H:$H,Master!$A205,'GL Dump'!$D:$D,Master!O$1,'GL Dump'!$C:$C,Master!$G$1))</f>
        <v>194.79000000000002</v>
      </c>
      <c r="P205" s="422">
        <f>IF($G$1="ALL",SUMIFS('GL Dump'!$E:$E,'GL Dump'!$H:$H,Master!$A205,'GL Dump'!$D:$D,Master!P$1),SUMIFS('GL Dump'!$E:$E,'GL Dump'!$H:$H,Master!$A205,'GL Dump'!$D:$D,Master!P$1,'GL Dump'!$C:$C,Master!$G$1))</f>
        <v>0</v>
      </c>
      <c r="Q205" s="422">
        <f>IF($G$1="ALL",SUMIFS('GL Dump'!$E:$E,'GL Dump'!$H:$H,Master!$A205,'GL Dump'!$D:$D,Master!Q$1),SUMIFS('GL Dump'!$E:$E,'GL Dump'!$H:$H,Master!$A205,'GL Dump'!$D:$D,Master!Q$1,'GL Dump'!$C:$C,Master!$G$1))</f>
        <v>194.11</v>
      </c>
      <c r="R205" s="422">
        <f>IF($G$1="ALL",SUMIFS('GL Dump'!$E:$E,'GL Dump'!$H:$H,Master!$A205,'GL Dump'!$D:$D,Master!R$1),SUMIFS('GL Dump'!$E:$E,'GL Dump'!$H:$H,Master!$A205,'GL Dump'!$D:$D,Master!R$1,'GL Dump'!$C:$C,Master!$G$1))</f>
        <v>1134.1400000000001</v>
      </c>
      <c r="S205" s="422">
        <f>IF($G$1="ALL",SUMIFS('GL Dump'!$E:$E,'GL Dump'!$H:$H,Master!$A205,'GL Dump'!$D:$D,Master!S$1),SUMIFS('GL Dump'!$E:$E,'GL Dump'!$H:$H,Master!$A205,'GL Dump'!$D:$D,Master!S$1,'GL Dump'!$C:$C,Master!$G$1))</f>
        <v>0</v>
      </c>
      <c r="T205" s="423"/>
    </row>
    <row r="206" spans="1:20" x14ac:dyDescent="0.25">
      <c r="A206" s="267" t="s">
        <v>2114</v>
      </c>
      <c r="B206" s="267" t="s">
        <v>3088</v>
      </c>
      <c r="C206" s="267">
        <v>1</v>
      </c>
      <c r="D206" s="267">
        <v>210</v>
      </c>
      <c r="E206" s="384">
        <f t="shared" si="10"/>
        <v>210</v>
      </c>
      <c r="F206" s="267" t="s">
        <v>3091</v>
      </c>
      <c r="H206" s="397">
        <f>E206+SUMIFS('GL Dump'!$E:$E,'GL Dump'!$H:$H,Master!A206,'GL Dump'!$D:$D,Master!$I$1)</f>
        <v>210</v>
      </c>
      <c r="I206" s="81">
        <f>IF($G$1="ALL",SUMIFS('GL Dump'!$E:$E,'GL Dump'!$H:$H,Master!$A206,'GL Dump'!$D:$D,Master!I$1),SUMIFS('GL Dump'!$E:$E,'GL Dump'!$H:$H,Master!$A206,'GL Dump'!$D:$D,Master!I$1,'GL Dump'!$C:$C,Master!$G$1))</f>
        <v>0</v>
      </c>
      <c r="J206" s="81">
        <f>IF($G$1="ALL",SUMIFS('GL Dump'!$E:$E,'GL Dump'!$H:$H,Master!$A206,'GL Dump'!$D:$D,Master!J$1),SUMIFS('GL Dump'!$E:$E,'GL Dump'!$H:$H,Master!$A206,'GL Dump'!$D:$D,Master!J$1,'GL Dump'!$C:$C,Master!$G$1))</f>
        <v>0</v>
      </c>
      <c r="K206" s="81">
        <f>IF($G$1="ALL",SUMIFS('GL Dump'!$E:$E,'GL Dump'!$H:$H,Master!$A206,'GL Dump'!$D:$D,Master!K$1),SUMIFS('GL Dump'!$E:$E,'GL Dump'!$H:$H,Master!$A206,'GL Dump'!$D:$D,Master!K$1,'GL Dump'!$C:$C,Master!$G$1))</f>
        <v>210</v>
      </c>
      <c r="L206" s="81">
        <f>IF($G$1="ALL",SUMIFS('GL Dump'!$E:$E,'GL Dump'!$H:$H,Master!$A206,'GL Dump'!$D:$D,Master!L$1),SUMIFS('GL Dump'!$E:$E,'GL Dump'!$H:$H,Master!$A206,'GL Dump'!$D:$D,Master!L$1,'GL Dump'!$C:$C,Master!$G$1))</f>
        <v>210</v>
      </c>
      <c r="M206" s="81">
        <f>IF($G$1="ALL",SUMIFS('GL Dump'!$E:$E,'GL Dump'!$H:$H,Master!$A206,'GL Dump'!$D:$D,Master!M$1),SUMIFS('GL Dump'!$E:$E,'GL Dump'!$H:$H,Master!$A206,'GL Dump'!$D:$D,Master!M$1,'GL Dump'!$C:$C,Master!$G$1))</f>
        <v>280</v>
      </c>
      <c r="N206" s="81">
        <f>IF($G$1="ALL",SUMIFS('GL Dump'!$E:$E,'GL Dump'!$H:$H,Master!$A206,'GL Dump'!$D:$D,Master!N$1),SUMIFS('GL Dump'!$E:$E,'GL Dump'!$H:$H,Master!$A206,'GL Dump'!$D:$D,Master!N$1,'GL Dump'!$C:$C,Master!$G$1))</f>
        <v>560</v>
      </c>
      <c r="O206" s="81">
        <f>IF($G$1="ALL",SUMIFS('GL Dump'!$E:$E,'GL Dump'!$H:$H,Master!$A206,'GL Dump'!$D:$D,Master!O$1),SUMIFS('GL Dump'!$E:$E,'GL Dump'!$H:$H,Master!$A206,'GL Dump'!$D:$D,Master!O$1,'GL Dump'!$C:$C,Master!$G$1))</f>
        <v>194.81</v>
      </c>
      <c r="P206" s="81">
        <f>IF($G$1="ALL",SUMIFS('GL Dump'!$E:$E,'GL Dump'!$H:$H,Master!$A206,'GL Dump'!$D:$D,Master!P$1),SUMIFS('GL Dump'!$E:$E,'GL Dump'!$H:$H,Master!$A206,'GL Dump'!$D:$D,Master!P$1,'GL Dump'!$C:$C,Master!$G$1))</f>
        <v>0</v>
      </c>
      <c r="Q206" s="81">
        <f>IF($G$1="ALL",SUMIFS('GL Dump'!$E:$E,'GL Dump'!$H:$H,Master!$A206,'GL Dump'!$D:$D,Master!Q$1),SUMIFS('GL Dump'!$E:$E,'GL Dump'!$H:$H,Master!$A206,'GL Dump'!$D:$D,Master!Q$1,'GL Dump'!$C:$C,Master!$G$1))</f>
        <v>194.11</v>
      </c>
      <c r="R206" s="81">
        <f>IF($G$1="ALL",SUMIFS('GL Dump'!$E:$E,'GL Dump'!$H:$H,Master!$A206,'GL Dump'!$D:$D,Master!R$1),SUMIFS('GL Dump'!$E:$E,'GL Dump'!$H:$H,Master!$A206,'GL Dump'!$D:$D,Master!R$1,'GL Dump'!$C:$C,Master!$G$1))</f>
        <v>3265.9400000000005</v>
      </c>
      <c r="S206" s="81">
        <f>IF($G$1="ALL",SUMIFS('GL Dump'!$E:$E,'GL Dump'!$H:$H,Master!$A206,'GL Dump'!$D:$D,Master!S$1),SUMIFS('GL Dump'!$E:$E,'GL Dump'!$H:$H,Master!$A206,'GL Dump'!$D:$D,Master!S$1,'GL Dump'!$C:$C,Master!$G$1))</f>
        <v>0</v>
      </c>
    </row>
    <row r="207" spans="1:20" x14ac:dyDescent="0.25">
      <c r="A207" s="454" t="s">
        <v>2115</v>
      </c>
      <c r="B207" s="454" t="s">
        <v>3088</v>
      </c>
      <c r="C207" s="454">
        <v>1</v>
      </c>
      <c r="D207" s="454">
        <v>0</v>
      </c>
      <c r="E207" s="468">
        <f t="shared" si="10"/>
        <v>0</v>
      </c>
      <c r="F207" s="454" t="s">
        <v>3091</v>
      </c>
      <c r="G207" s="420"/>
      <c r="H207" s="421">
        <f>E207+SUMIFS('GL Dump'!$E:$E,'GL Dump'!$H:$H,Master!A207,'GL Dump'!$D:$D,Master!$I$1)</f>
        <v>0</v>
      </c>
      <c r="I207" s="422">
        <f>IF($G$1="ALL",SUMIFS('GL Dump'!$E:$E,'GL Dump'!$H:$H,Master!$A207,'GL Dump'!$D:$D,Master!I$1),SUMIFS('GL Dump'!$E:$E,'GL Dump'!$H:$H,Master!$A207,'GL Dump'!$D:$D,Master!I$1,'GL Dump'!$C:$C,Master!$G$1))</f>
        <v>0</v>
      </c>
      <c r="J207" s="422">
        <f>IF($G$1="ALL",SUMIFS('GL Dump'!$E:$E,'GL Dump'!$H:$H,Master!$A207,'GL Dump'!$D:$D,Master!J$1),SUMIFS('GL Dump'!$E:$E,'GL Dump'!$H:$H,Master!$A207,'GL Dump'!$D:$D,Master!J$1,'GL Dump'!$C:$C,Master!$G$1))</f>
        <v>0</v>
      </c>
      <c r="K207" s="422">
        <f>IF($G$1="ALL",SUMIFS('GL Dump'!$E:$E,'GL Dump'!$H:$H,Master!$A207,'GL Dump'!$D:$D,Master!K$1),SUMIFS('GL Dump'!$E:$E,'GL Dump'!$H:$H,Master!$A207,'GL Dump'!$D:$D,Master!K$1,'GL Dump'!$C:$C,Master!$G$1))</f>
        <v>0</v>
      </c>
      <c r="L207" s="422">
        <f>IF($G$1="ALL",SUMIFS('GL Dump'!$E:$E,'GL Dump'!$H:$H,Master!$A207,'GL Dump'!$D:$D,Master!L$1),SUMIFS('GL Dump'!$E:$E,'GL Dump'!$H:$H,Master!$A207,'GL Dump'!$D:$D,Master!L$1,'GL Dump'!$C:$C,Master!$G$1))</f>
        <v>0</v>
      </c>
      <c r="M207" s="422">
        <f>IF($G$1="ALL",SUMIFS('GL Dump'!$E:$E,'GL Dump'!$H:$H,Master!$A207,'GL Dump'!$D:$D,Master!M$1),SUMIFS('GL Dump'!$E:$E,'GL Dump'!$H:$H,Master!$A207,'GL Dump'!$D:$D,Master!M$1,'GL Dump'!$C:$C,Master!$G$1))</f>
        <v>0</v>
      </c>
      <c r="N207" s="422">
        <f>IF($G$1="ALL",SUMIFS('GL Dump'!$E:$E,'GL Dump'!$H:$H,Master!$A207,'GL Dump'!$D:$D,Master!N$1),SUMIFS('GL Dump'!$E:$E,'GL Dump'!$H:$H,Master!$A207,'GL Dump'!$D:$D,Master!N$1,'GL Dump'!$C:$C,Master!$G$1))</f>
        <v>0</v>
      </c>
      <c r="O207" s="422">
        <f>IF($G$1="ALL",SUMIFS('GL Dump'!$E:$E,'GL Dump'!$H:$H,Master!$A207,'GL Dump'!$D:$D,Master!O$1),SUMIFS('GL Dump'!$E:$E,'GL Dump'!$H:$H,Master!$A207,'GL Dump'!$D:$D,Master!O$1,'GL Dump'!$C:$C,Master!$G$1))</f>
        <v>194.81</v>
      </c>
      <c r="P207" s="422">
        <f>IF($G$1="ALL",SUMIFS('GL Dump'!$E:$E,'GL Dump'!$H:$H,Master!$A207,'GL Dump'!$D:$D,Master!P$1),SUMIFS('GL Dump'!$E:$E,'GL Dump'!$H:$H,Master!$A207,'GL Dump'!$D:$D,Master!P$1,'GL Dump'!$C:$C,Master!$G$1))</f>
        <v>0</v>
      </c>
      <c r="Q207" s="422">
        <f>IF($G$1="ALL",SUMIFS('GL Dump'!$E:$E,'GL Dump'!$H:$H,Master!$A207,'GL Dump'!$D:$D,Master!Q$1),SUMIFS('GL Dump'!$E:$E,'GL Dump'!$H:$H,Master!$A207,'GL Dump'!$D:$D,Master!Q$1,'GL Dump'!$C:$C,Master!$G$1))</f>
        <v>194.11</v>
      </c>
      <c r="R207" s="422">
        <f>IF($G$1="ALL",SUMIFS('GL Dump'!$E:$E,'GL Dump'!$H:$H,Master!$A207,'GL Dump'!$D:$D,Master!R$1),SUMIFS('GL Dump'!$E:$E,'GL Dump'!$H:$H,Master!$A207,'GL Dump'!$D:$D,Master!R$1,'GL Dump'!$C:$C,Master!$G$1))</f>
        <v>707.78</v>
      </c>
      <c r="S207" s="422">
        <f>IF($G$1="ALL",SUMIFS('GL Dump'!$E:$E,'GL Dump'!$H:$H,Master!$A207,'GL Dump'!$D:$D,Master!S$1),SUMIFS('GL Dump'!$E:$E,'GL Dump'!$H:$H,Master!$A207,'GL Dump'!$D:$D,Master!S$1,'GL Dump'!$C:$C,Master!$G$1))</f>
        <v>0</v>
      </c>
      <c r="T207" s="423"/>
    </row>
    <row r="208" spans="1:20" x14ac:dyDescent="0.25">
      <c r="A208" s="267" t="s">
        <v>2117</v>
      </c>
      <c r="B208" s="267" t="s">
        <v>3088</v>
      </c>
      <c r="C208" s="267">
        <v>1</v>
      </c>
      <c r="D208" s="267">
        <v>280</v>
      </c>
      <c r="E208" s="384">
        <f t="shared" si="10"/>
        <v>280</v>
      </c>
      <c r="F208" s="267" t="s">
        <v>3091</v>
      </c>
      <c r="H208" s="397">
        <f>E208+SUMIFS('GL Dump'!$E:$E,'GL Dump'!$H:$H,Master!A208,'GL Dump'!$D:$D,Master!$I$1)</f>
        <v>280</v>
      </c>
      <c r="I208" s="81">
        <f>IF($G$1="ALL",SUMIFS('GL Dump'!$E:$E,'GL Dump'!$H:$H,Master!$A208,'GL Dump'!$D:$D,Master!I$1),SUMIFS('GL Dump'!$E:$E,'GL Dump'!$H:$H,Master!$A208,'GL Dump'!$D:$D,Master!I$1,'GL Dump'!$C:$C,Master!$G$1))</f>
        <v>0</v>
      </c>
      <c r="J208" s="81">
        <f>IF($G$1="ALL",SUMIFS('GL Dump'!$E:$E,'GL Dump'!$H:$H,Master!$A208,'GL Dump'!$D:$D,Master!J$1),SUMIFS('GL Dump'!$E:$E,'GL Dump'!$H:$H,Master!$A208,'GL Dump'!$D:$D,Master!J$1,'GL Dump'!$C:$C,Master!$G$1))</f>
        <v>0</v>
      </c>
      <c r="K208" s="81">
        <f>IF($G$1="ALL",SUMIFS('GL Dump'!$E:$E,'GL Dump'!$H:$H,Master!$A208,'GL Dump'!$D:$D,Master!K$1),SUMIFS('GL Dump'!$E:$E,'GL Dump'!$H:$H,Master!$A208,'GL Dump'!$D:$D,Master!K$1,'GL Dump'!$C:$C,Master!$G$1))</f>
        <v>280</v>
      </c>
      <c r="L208" s="81">
        <f>IF($G$1="ALL",SUMIFS('GL Dump'!$E:$E,'GL Dump'!$H:$H,Master!$A208,'GL Dump'!$D:$D,Master!L$1),SUMIFS('GL Dump'!$E:$E,'GL Dump'!$H:$H,Master!$A208,'GL Dump'!$D:$D,Master!L$1,'GL Dump'!$C:$C,Master!$G$1))</f>
        <v>280</v>
      </c>
      <c r="M208" s="81">
        <f>IF($G$1="ALL",SUMIFS('GL Dump'!$E:$E,'GL Dump'!$H:$H,Master!$A208,'GL Dump'!$D:$D,Master!M$1),SUMIFS('GL Dump'!$E:$E,'GL Dump'!$H:$H,Master!$A208,'GL Dump'!$D:$D,Master!M$1,'GL Dump'!$C:$C,Master!$G$1))</f>
        <v>280</v>
      </c>
      <c r="N208" s="81">
        <f>IF($G$1="ALL",SUMIFS('GL Dump'!$E:$E,'GL Dump'!$H:$H,Master!$A208,'GL Dump'!$D:$D,Master!N$1),SUMIFS('GL Dump'!$E:$E,'GL Dump'!$H:$H,Master!$A208,'GL Dump'!$D:$D,Master!N$1,'GL Dump'!$C:$C,Master!$G$1))</f>
        <v>560</v>
      </c>
      <c r="O208" s="81">
        <f>IF($G$1="ALL",SUMIFS('GL Dump'!$E:$E,'GL Dump'!$H:$H,Master!$A208,'GL Dump'!$D:$D,Master!O$1),SUMIFS('GL Dump'!$E:$E,'GL Dump'!$H:$H,Master!$A208,'GL Dump'!$D:$D,Master!O$1,'GL Dump'!$C:$C,Master!$G$1))</f>
        <v>0</v>
      </c>
      <c r="P208" s="81">
        <f>IF($G$1="ALL",SUMIFS('GL Dump'!$E:$E,'GL Dump'!$H:$H,Master!$A208,'GL Dump'!$D:$D,Master!P$1),SUMIFS('GL Dump'!$E:$E,'GL Dump'!$H:$H,Master!$A208,'GL Dump'!$D:$D,Master!P$1,'GL Dump'!$C:$C,Master!$G$1))</f>
        <v>0</v>
      </c>
      <c r="Q208" s="81">
        <f>IF($G$1="ALL",SUMIFS('GL Dump'!$E:$E,'GL Dump'!$H:$H,Master!$A208,'GL Dump'!$D:$D,Master!Q$1),SUMIFS('GL Dump'!$E:$E,'GL Dump'!$H:$H,Master!$A208,'GL Dump'!$D:$D,Master!Q$1,'GL Dump'!$C:$C,Master!$G$1))</f>
        <v>0</v>
      </c>
      <c r="R208" s="81">
        <f>IF($G$1="ALL",SUMIFS('GL Dump'!$E:$E,'GL Dump'!$H:$H,Master!$A208,'GL Dump'!$D:$D,Master!R$1),SUMIFS('GL Dump'!$E:$E,'GL Dump'!$H:$H,Master!$A208,'GL Dump'!$D:$D,Master!R$1,'GL Dump'!$C:$C,Master!$G$1))</f>
        <v>1279.08</v>
      </c>
      <c r="S208" s="81">
        <f>IF($G$1="ALL",SUMIFS('GL Dump'!$E:$E,'GL Dump'!$H:$H,Master!$A208,'GL Dump'!$D:$D,Master!S$1),SUMIFS('GL Dump'!$E:$E,'GL Dump'!$H:$H,Master!$A208,'GL Dump'!$D:$D,Master!S$1,'GL Dump'!$C:$C,Master!$G$1))</f>
        <v>0</v>
      </c>
    </row>
    <row r="209" spans="1:20" x14ac:dyDescent="0.25">
      <c r="A209" s="454" t="s">
        <v>2118</v>
      </c>
      <c r="B209" s="454" t="s">
        <v>3088</v>
      </c>
      <c r="C209" s="454">
        <v>1</v>
      </c>
      <c r="D209" s="454">
        <v>0</v>
      </c>
      <c r="E209" s="468">
        <f t="shared" si="10"/>
        <v>0</v>
      </c>
      <c r="F209" s="454" t="s">
        <v>3091</v>
      </c>
      <c r="G209" s="420"/>
      <c r="H209" s="421">
        <f>E209+SUMIFS('GL Dump'!$E:$E,'GL Dump'!$H:$H,Master!A209,'GL Dump'!$D:$D,Master!$I$1)</f>
        <v>0</v>
      </c>
      <c r="I209" s="422">
        <f>IF($G$1="ALL",SUMIFS('GL Dump'!$E:$E,'GL Dump'!$H:$H,Master!$A209,'GL Dump'!$D:$D,Master!I$1),SUMIFS('GL Dump'!$E:$E,'GL Dump'!$H:$H,Master!$A209,'GL Dump'!$D:$D,Master!I$1,'GL Dump'!$C:$C,Master!$G$1))</f>
        <v>0</v>
      </c>
      <c r="J209" s="422">
        <f>IF($G$1="ALL",SUMIFS('GL Dump'!$E:$E,'GL Dump'!$H:$H,Master!$A209,'GL Dump'!$D:$D,Master!J$1),SUMIFS('GL Dump'!$E:$E,'GL Dump'!$H:$H,Master!$A209,'GL Dump'!$D:$D,Master!J$1,'GL Dump'!$C:$C,Master!$G$1))</f>
        <v>0</v>
      </c>
      <c r="K209" s="422">
        <f>IF($G$1="ALL",SUMIFS('GL Dump'!$E:$E,'GL Dump'!$H:$H,Master!$A209,'GL Dump'!$D:$D,Master!K$1),SUMIFS('GL Dump'!$E:$E,'GL Dump'!$H:$H,Master!$A209,'GL Dump'!$D:$D,Master!K$1,'GL Dump'!$C:$C,Master!$G$1))</f>
        <v>0</v>
      </c>
      <c r="L209" s="422">
        <f>IF($G$1="ALL",SUMIFS('GL Dump'!$E:$E,'GL Dump'!$H:$H,Master!$A209,'GL Dump'!$D:$D,Master!L$1),SUMIFS('GL Dump'!$E:$E,'GL Dump'!$H:$H,Master!$A209,'GL Dump'!$D:$D,Master!L$1,'GL Dump'!$C:$C,Master!$G$1))</f>
        <v>0</v>
      </c>
      <c r="M209" s="422">
        <f>IF($G$1="ALL",SUMIFS('GL Dump'!$E:$E,'GL Dump'!$H:$H,Master!$A209,'GL Dump'!$D:$D,Master!M$1),SUMIFS('GL Dump'!$E:$E,'GL Dump'!$H:$H,Master!$A209,'GL Dump'!$D:$D,Master!M$1,'GL Dump'!$C:$C,Master!$G$1))</f>
        <v>0</v>
      </c>
      <c r="N209" s="422">
        <f>IF($G$1="ALL",SUMIFS('GL Dump'!$E:$E,'GL Dump'!$H:$H,Master!$A209,'GL Dump'!$D:$D,Master!N$1),SUMIFS('GL Dump'!$E:$E,'GL Dump'!$H:$H,Master!$A209,'GL Dump'!$D:$D,Master!N$1,'GL Dump'!$C:$C,Master!$G$1))</f>
        <v>0</v>
      </c>
      <c r="O209" s="422">
        <f>IF($G$1="ALL",SUMIFS('GL Dump'!$E:$E,'GL Dump'!$H:$H,Master!$A209,'GL Dump'!$D:$D,Master!O$1),SUMIFS('GL Dump'!$E:$E,'GL Dump'!$H:$H,Master!$A209,'GL Dump'!$D:$D,Master!O$1,'GL Dump'!$C:$C,Master!$G$1))</f>
        <v>0</v>
      </c>
      <c r="P209" s="422">
        <f>IF($G$1="ALL",SUMIFS('GL Dump'!$E:$E,'GL Dump'!$H:$H,Master!$A209,'GL Dump'!$D:$D,Master!P$1),SUMIFS('GL Dump'!$E:$E,'GL Dump'!$H:$H,Master!$A209,'GL Dump'!$D:$D,Master!P$1,'GL Dump'!$C:$C,Master!$G$1))</f>
        <v>0</v>
      </c>
      <c r="Q209" s="422">
        <f>IF($G$1="ALL",SUMIFS('GL Dump'!$E:$E,'GL Dump'!$H:$H,Master!$A209,'GL Dump'!$D:$D,Master!Q$1),SUMIFS('GL Dump'!$E:$E,'GL Dump'!$H:$H,Master!$A209,'GL Dump'!$D:$D,Master!Q$1,'GL Dump'!$C:$C,Master!$G$1))</f>
        <v>0</v>
      </c>
      <c r="R209" s="422">
        <f>IF($G$1="ALL",SUMIFS('GL Dump'!$E:$E,'GL Dump'!$H:$H,Master!$A209,'GL Dump'!$D:$D,Master!R$1),SUMIFS('GL Dump'!$E:$E,'GL Dump'!$H:$H,Master!$A209,'GL Dump'!$D:$D,Master!R$1,'GL Dump'!$C:$C,Master!$G$1))</f>
        <v>426.36</v>
      </c>
      <c r="S209" s="422">
        <f>IF($G$1="ALL",SUMIFS('GL Dump'!$E:$E,'GL Dump'!$H:$H,Master!$A209,'GL Dump'!$D:$D,Master!S$1),SUMIFS('GL Dump'!$E:$E,'GL Dump'!$H:$H,Master!$A209,'GL Dump'!$D:$D,Master!S$1,'GL Dump'!$C:$C,Master!$G$1))</f>
        <v>0</v>
      </c>
      <c r="T209" s="423"/>
    </row>
    <row r="210" spans="1:20" x14ac:dyDescent="0.25">
      <c r="A210" s="267" t="s">
        <v>2119</v>
      </c>
      <c r="B210" s="267" t="s">
        <v>3088</v>
      </c>
      <c r="C210" s="267">
        <v>1</v>
      </c>
      <c r="D210" s="267">
        <v>70</v>
      </c>
      <c r="E210" s="384">
        <f t="shared" si="10"/>
        <v>70</v>
      </c>
      <c r="F210" s="267" t="s">
        <v>3091</v>
      </c>
      <c r="H210" s="397">
        <f>E210+SUMIFS('GL Dump'!$E:$E,'GL Dump'!$H:$H,Master!A210,'GL Dump'!$D:$D,Master!$I$1)</f>
        <v>70</v>
      </c>
      <c r="I210" s="81">
        <f>IF($G$1="ALL",SUMIFS('GL Dump'!$E:$E,'GL Dump'!$H:$H,Master!$A210,'GL Dump'!$D:$D,Master!I$1),SUMIFS('GL Dump'!$E:$E,'GL Dump'!$H:$H,Master!$A210,'GL Dump'!$D:$D,Master!I$1,'GL Dump'!$C:$C,Master!$G$1))</f>
        <v>0</v>
      </c>
      <c r="J210" s="81">
        <f>IF($G$1="ALL",SUMIFS('GL Dump'!$E:$E,'GL Dump'!$H:$H,Master!$A210,'GL Dump'!$D:$D,Master!J$1),SUMIFS('GL Dump'!$E:$E,'GL Dump'!$H:$H,Master!$A210,'GL Dump'!$D:$D,Master!J$1,'GL Dump'!$C:$C,Master!$G$1))</f>
        <v>70</v>
      </c>
      <c r="K210" s="81">
        <f>IF($G$1="ALL",SUMIFS('GL Dump'!$E:$E,'GL Dump'!$H:$H,Master!$A210,'GL Dump'!$D:$D,Master!K$1),SUMIFS('GL Dump'!$E:$E,'GL Dump'!$H:$H,Master!$A210,'GL Dump'!$D:$D,Master!K$1,'GL Dump'!$C:$C,Master!$G$1))</f>
        <v>70</v>
      </c>
      <c r="L210" s="81">
        <f>IF($G$1="ALL",SUMIFS('GL Dump'!$E:$E,'GL Dump'!$H:$H,Master!$A210,'GL Dump'!$D:$D,Master!L$1),SUMIFS('GL Dump'!$E:$E,'GL Dump'!$H:$H,Master!$A210,'GL Dump'!$D:$D,Master!L$1,'GL Dump'!$C:$C,Master!$G$1))</f>
        <v>70</v>
      </c>
      <c r="M210" s="81">
        <f>IF($G$1="ALL",SUMIFS('GL Dump'!$E:$E,'GL Dump'!$H:$H,Master!$A210,'GL Dump'!$D:$D,Master!M$1),SUMIFS('GL Dump'!$E:$E,'GL Dump'!$H:$H,Master!$A210,'GL Dump'!$D:$D,Master!M$1,'GL Dump'!$C:$C,Master!$G$1))</f>
        <v>70</v>
      </c>
      <c r="N210" s="81">
        <f>IF($G$1="ALL",SUMIFS('GL Dump'!$E:$E,'GL Dump'!$H:$H,Master!$A210,'GL Dump'!$D:$D,Master!N$1),SUMIFS('GL Dump'!$E:$E,'GL Dump'!$H:$H,Master!$A210,'GL Dump'!$D:$D,Master!N$1,'GL Dump'!$C:$C,Master!$G$1))</f>
        <v>140</v>
      </c>
      <c r="O210" s="81">
        <f>IF($G$1="ALL",SUMIFS('GL Dump'!$E:$E,'GL Dump'!$H:$H,Master!$A210,'GL Dump'!$D:$D,Master!O$1),SUMIFS('GL Dump'!$E:$E,'GL Dump'!$H:$H,Master!$A210,'GL Dump'!$D:$D,Master!O$1,'GL Dump'!$C:$C,Master!$G$1))</f>
        <v>0</v>
      </c>
      <c r="P210" s="81">
        <f>IF($G$1="ALL",SUMIFS('GL Dump'!$E:$E,'GL Dump'!$H:$H,Master!$A210,'GL Dump'!$D:$D,Master!P$1),SUMIFS('GL Dump'!$E:$E,'GL Dump'!$H:$H,Master!$A210,'GL Dump'!$D:$D,Master!P$1,'GL Dump'!$C:$C,Master!$G$1))</f>
        <v>0</v>
      </c>
      <c r="Q210" s="81">
        <f>IF($G$1="ALL",SUMIFS('GL Dump'!$E:$E,'GL Dump'!$H:$H,Master!$A210,'GL Dump'!$D:$D,Master!Q$1),SUMIFS('GL Dump'!$E:$E,'GL Dump'!$H:$H,Master!$A210,'GL Dump'!$D:$D,Master!Q$1,'GL Dump'!$C:$C,Master!$G$1))</f>
        <v>0</v>
      </c>
      <c r="R210" s="81">
        <f>IF($G$1="ALL",SUMIFS('GL Dump'!$E:$E,'GL Dump'!$H:$H,Master!$A210,'GL Dump'!$D:$D,Master!R$1),SUMIFS('GL Dump'!$E:$E,'GL Dump'!$H:$H,Master!$A210,'GL Dump'!$D:$D,Master!R$1,'GL Dump'!$C:$C,Master!$G$1))</f>
        <v>284.24</v>
      </c>
      <c r="S210" s="81">
        <f>IF($G$1="ALL",SUMIFS('GL Dump'!$E:$E,'GL Dump'!$H:$H,Master!$A210,'GL Dump'!$D:$D,Master!S$1),SUMIFS('GL Dump'!$E:$E,'GL Dump'!$H:$H,Master!$A210,'GL Dump'!$D:$D,Master!S$1,'GL Dump'!$C:$C,Master!$G$1))</f>
        <v>0</v>
      </c>
    </row>
    <row r="211" spans="1:20" x14ac:dyDescent="0.25">
      <c r="A211" s="454" t="s">
        <v>2120</v>
      </c>
      <c r="B211" s="454" t="s">
        <v>3088</v>
      </c>
      <c r="C211" s="454">
        <v>1</v>
      </c>
      <c r="D211" s="454">
        <v>350</v>
      </c>
      <c r="E211" s="468">
        <f t="shared" si="10"/>
        <v>350</v>
      </c>
      <c r="F211" s="454" t="s">
        <v>3091</v>
      </c>
      <c r="G211" s="420"/>
      <c r="H211" s="421">
        <f>E211+SUMIFS('GL Dump'!$E:$E,'GL Dump'!$H:$H,Master!A211,'GL Dump'!$D:$D,Master!$I$1)</f>
        <v>350</v>
      </c>
      <c r="I211" s="422">
        <f>IF($G$1="ALL",SUMIFS('GL Dump'!$E:$E,'GL Dump'!$H:$H,Master!$A211,'GL Dump'!$D:$D,Master!I$1),SUMIFS('GL Dump'!$E:$E,'GL Dump'!$H:$H,Master!$A211,'GL Dump'!$D:$D,Master!I$1,'GL Dump'!$C:$C,Master!$G$1))</f>
        <v>0</v>
      </c>
      <c r="J211" s="422">
        <f>IF($G$1="ALL",SUMIFS('GL Dump'!$E:$E,'GL Dump'!$H:$H,Master!$A211,'GL Dump'!$D:$D,Master!J$1),SUMIFS('GL Dump'!$E:$E,'GL Dump'!$H:$H,Master!$A211,'GL Dump'!$D:$D,Master!J$1,'GL Dump'!$C:$C,Master!$G$1))</f>
        <v>350</v>
      </c>
      <c r="K211" s="422">
        <f>IF($G$1="ALL",SUMIFS('GL Dump'!$E:$E,'GL Dump'!$H:$H,Master!$A211,'GL Dump'!$D:$D,Master!K$1),SUMIFS('GL Dump'!$E:$E,'GL Dump'!$H:$H,Master!$A211,'GL Dump'!$D:$D,Master!K$1,'GL Dump'!$C:$C,Master!$G$1))</f>
        <v>350</v>
      </c>
      <c r="L211" s="422">
        <f>IF($G$1="ALL",SUMIFS('GL Dump'!$E:$E,'GL Dump'!$H:$H,Master!$A211,'GL Dump'!$D:$D,Master!L$1),SUMIFS('GL Dump'!$E:$E,'GL Dump'!$H:$H,Master!$A211,'GL Dump'!$D:$D,Master!L$1,'GL Dump'!$C:$C,Master!$G$1))</f>
        <v>280</v>
      </c>
      <c r="M211" s="422">
        <f>IF($G$1="ALL",SUMIFS('GL Dump'!$E:$E,'GL Dump'!$H:$H,Master!$A211,'GL Dump'!$D:$D,Master!M$1),SUMIFS('GL Dump'!$E:$E,'GL Dump'!$H:$H,Master!$A211,'GL Dump'!$D:$D,Master!M$1,'GL Dump'!$C:$C,Master!$G$1))</f>
        <v>280</v>
      </c>
      <c r="N211" s="422">
        <f>IF($G$1="ALL",SUMIFS('GL Dump'!$E:$E,'GL Dump'!$H:$H,Master!$A211,'GL Dump'!$D:$D,Master!N$1),SUMIFS('GL Dump'!$E:$E,'GL Dump'!$H:$H,Master!$A211,'GL Dump'!$D:$D,Master!N$1,'GL Dump'!$C:$C,Master!$G$1))</f>
        <v>560</v>
      </c>
      <c r="O211" s="422">
        <f>IF($G$1="ALL",SUMIFS('GL Dump'!$E:$E,'GL Dump'!$H:$H,Master!$A211,'GL Dump'!$D:$D,Master!O$1),SUMIFS('GL Dump'!$E:$E,'GL Dump'!$H:$H,Master!$A211,'GL Dump'!$D:$D,Master!O$1,'GL Dump'!$C:$C,Master!$G$1))</f>
        <v>0</v>
      </c>
      <c r="P211" s="422">
        <f>IF($G$1="ALL",SUMIFS('GL Dump'!$E:$E,'GL Dump'!$H:$H,Master!$A211,'GL Dump'!$D:$D,Master!P$1),SUMIFS('GL Dump'!$E:$E,'GL Dump'!$H:$H,Master!$A211,'GL Dump'!$D:$D,Master!P$1,'GL Dump'!$C:$C,Master!$G$1))</f>
        <v>0</v>
      </c>
      <c r="Q211" s="422">
        <f>IF($G$1="ALL",SUMIFS('GL Dump'!$E:$E,'GL Dump'!$H:$H,Master!$A211,'GL Dump'!$D:$D,Master!Q$1),SUMIFS('GL Dump'!$E:$E,'GL Dump'!$H:$H,Master!$A211,'GL Dump'!$D:$D,Master!Q$1,'GL Dump'!$C:$C,Master!$G$1))</f>
        <v>75.75</v>
      </c>
      <c r="R211" s="422">
        <f>IF($G$1="ALL",SUMIFS('GL Dump'!$E:$E,'GL Dump'!$H:$H,Master!$A211,'GL Dump'!$D:$D,Master!R$1),SUMIFS('GL Dump'!$E:$E,'GL Dump'!$H:$H,Master!$A211,'GL Dump'!$D:$D,Master!R$1,'GL Dump'!$C:$C,Master!$G$1))</f>
        <v>2273.92</v>
      </c>
      <c r="S211" s="422">
        <f>IF($G$1="ALL",SUMIFS('GL Dump'!$E:$E,'GL Dump'!$H:$H,Master!$A211,'GL Dump'!$D:$D,Master!S$1),SUMIFS('GL Dump'!$E:$E,'GL Dump'!$H:$H,Master!$A211,'GL Dump'!$D:$D,Master!S$1,'GL Dump'!$C:$C,Master!$G$1))</f>
        <v>0</v>
      </c>
      <c r="T211" s="423"/>
    </row>
    <row r="212" spans="1:20" x14ac:dyDescent="0.25">
      <c r="A212" s="267" t="s">
        <v>2121</v>
      </c>
      <c r="B212" s="267" t="s">
        <v>3088</v>
      </c>
      <c r="C212" s="267">
        <v>1</v>
      </c>
      <c r="D212" s="267">
        <v>210</v>
      </c>
      <c r="E212" s="384">
        <f t="shared" si="10"/>
        <v>210</v>
      </c>
      <c r="F212" s="267" t="s">
        <v>3091</v>
      </c>
      <c r="H212" s="397">
        <f>E212+SUMIFS('GL Dump'!$E:$E,'GL Dump'!$H:$H,Master!A212,'GL Dump'!$D:$D,Master!$I$1)</f>
        <v>210</v>
      </c>
      <c r="I212" s="81">
        <f>IF($G$1="ALL",SUMIFS('GL Dump'!$E:$E,'GL Dump'!$H:$H,Master!$A212,'GL Dump'!$D:$D,Master!I$1),SUMIFS('GL Dump'!$E:$E,'GL Dump'!$H:$H,Master!$A212,'GL Dump'!$D:$D,Master!I$1,'GL Dump'!$C:$C,Master!$G$1))</f>
        <v>0</v>
      </c>
      <c r="J212" s="81">
        <f>IF($G$1="ALL",SUMIFS('GL Dump'!$E:$E,'GL Dump'!$H:$H,Master!$A212,'GL Dump'!$D:$D,Master!J$1),SUMIFS('GL Dump'!$E:$E,'GL Dump'!$H:$H,Master!$A212,'GL Dump'!$D:$D,Master!J$1,'GL Dump'!$C:$C,Master!$G$1))</f>
        <v>280</v>
      </c>
      <c r="K212" s="81">
        <f>IF($G$1="ALL",SUMIFS('GL Dump'!$E:$E,'GL Dump'!$H:$H,Master!$A212,'GL Dump'!$D:$D,Master!K$1),SUMIFS('GL Dump'!$E:$E,'GL Dump'!$H:$H,Master!$A212,'GL Dump'!$D:$D,Master!K$1,'GL Dump'!$C:$C,Master!$G$1))</f>
        <v>210</v>
      </c>
      <c r="L212" s="81">
        <f>IF($G$1="ALL",SUMIFS('GL Dump'!$E:$E,'GL Dump'!$H:$H,Master!$A212,'GL Dump'!$D:$D,Master!L$1),SUMIFS('GL Dump'!$E:$E,'GL Dump'!$H:$H,Master!$A212,'GL Dump'!$D:$D,Master!L$1,'GL Dump'!$C:$C,Master!$G$1))</f>
        <v>210</v>
      </c>
      <c r="M212" s="81">
        <f>IF($G$1="ALL",SUMIFS('GL Dump'!$E:$E,'GL Dump'!$H:$H,Master!$A212,'GL Dump'!$D:$D,Master!M$1),SUMIFS('GL Dump'!$E:$E,'GL Dump'!$H:$H,Master!$A212,'GL Dump'!$D:$D,Master!M$1,'GL Dump'!$C:$C,Master!$G$1))</f>
        <v>210</v>
      </c>
      <c r="N212" s="81">
        <f>IF($G$1="ALL",SUMIFS('GL Dump'!$E:$E,'GL Dump'!$H:$H,Master!$A212,'GL Dump'!$D:$D,Master!N$1),SUMIFS('GL Dump'!$E:$E,'GL Dump'!$H:$H,Master!$A212,'GL Dump'!$D:$D,Master!N$1,'GL Dump'!$C:$C,Master!$G$1))</f>
        <v>420</v>
      </c>
      <c r="O212" s="81">
        <f>IF($G$1="ALL",SUMIFS('GL Dump'!$E:$E,'GL Dump'!$H:$H,Master!$A212,'GL Dump'!$D:$D,Master!O$1),SUMIFS('GL Dump'!$E:$E,'GL Dump'!$H:$H,Master!$A212,'GL Dump'!$D:$D,Master!O$1,'GL Dump'!$C:$C,Master!$G$1))</f>
        <v>0</v>
      </c>
      <c r="P212" s="81">
        <f>IF($G$1="ALL",SUMIFS('GL Dump'!$E:$E,'GL Dump'!$H:$H,Master!$A212,'GL Dump'!$D:$D,Master!P$1),SUMIFS('GL Dump'!$E:$E,'GL Dump'!$H:$H,Master!$A212,'GL Dump'!$D:$D,Master!P$1,'GL Dump'!$C:$C,Master!$G$1))</f>
        <v>0</v>
      </c>
      <c r="Q212" s="81">
        <f>IF($G$1="ALL",SUMIFS('GL Dump'!$E:$E,'GL Dump'!$H:$H,Master!$A212,'GL Dump'!$D:$D,Master!Q$1),SUMIFS('GL Dump'!$E:$E,'GL Dump'!$H:$H,Master!$A212,'GL Dump'!$D:$D,Master!Q$1,'GL Dump'!$C:$C,Master!$G$1))</f>
        <v>0</v>
      </c>
      <c r="R212" s="81">
        <f>IF($G$1="ALL",SUMIFS('GL Dump'!$E:$E,'GL Dump'!$H:$H,Master!$A212,'GL Dump'!$D:$D,Master!R$1),SUMIFS('GL Dump'!$E:$E,'GL Dump'!$H:$H,Master!$A212,'GL Dump'!$D:$D,Master!R$1,'GL Dump'!$C:$C,Master!$G$1))</f>
        <v>1705.44</v>
      </c>
      <c r="S212" s="81">
        <f>IF($G$1="ALL",SUMIFS('GL Dump'!$E:$E,'GL Dump'!$H:$H,Master!$A212,'GL Dump'!$D:$D,Master!S$1),SUMIFS('GL Dump'!$E:$E,'GL Dump'!$H:$H,Master!$A212,'GL Dump'!$D:$D,Master!S$1,'GL Dump'!$C:$C,Master!$G$1))</f>
        <v>0</v>
      </c>
    </row>
    <row r="213" spans="1:20" x14ac:dyDescent="0.25">
      <c r="A213" s="454" t="s">
        <v>2125</v>
      </c>
      <c r="B213" s="454" t="s">
        <v>3088</v>
      </c>
      <c r="C213" s="454">
        <v>1</v>
      </c>
      <c r="D213" s="454">
        <v>140</v>
      </c>
      <c r="E213" s="468">
        <f t="shared" si="10"/>
        <v>140</v>
      </c>
      <c r="F213" s="454" t="s">
        <v>3091</v>
      </c>
      <c r="G213" s="420"/>
      <c r="H213" s="421">
        <f>E213+SUMIFS('GL Dump'!$E:$E,'GL Dump'!$H:$H,Master!A213,'GL Dump'!$D:$D,Master!$I$1)</f>
        <v>140</v>
      </c>
      <c r="I213" s="422">
        <f>IF($G$1="ALL",SUMIFS('GL Dump'!$E:$E,'GL Dump'!$H:$H,Master!$A213,'GL Dump'!$D:$D,Master!I$1),SUMIFS('GL Dump'!$E:$E,'GL Dump'!$H:$H,Master!$A213,'GL Dump'!$D:$D,Master!I$1,'GL Dump'!$C:$C,Master!$G$1))</f>
        <v>0</v>
      </c>
      <c r="J213" s="422">
        <f>IF($G$1="ALL",SUMIFS('GL Dump'!$E:$E,'GL Dump'!$H:$H,Master!$A213,'GL Dump'!$D:$D,Master!J$1),SUMIFS('GL Dump'!$E:$E,'GL Dump'!$H:$H,Master!$A213,'GL Dump'!$D:$D,Master!J$1,'GL Dump'!$C:$C,Master!$G$1))</f>
        <v>140</v>
      </c>
      <c r="K213" s="422">
        <f>IF($G$1="ALL",SUMIFS('GL Dump'!$E:$E,'GL Dump'!$H:$H,Master!$A213,'GL Dump'!$D:$D,Master!K$1),SUMIFS('GL Dump'!$E:$E,'GL Dump'!$H:$H,Master!$A213,'GL Dump'!$D:$D,Master!K$1,'GL Dump'!$C:$C,Master!$G$1))</f>
        <v>140</v>
      </c>
      <c r="L213" s="422">
        <f>IF($G$1="ALL",SUMIFS('GL Dump'!$E:$E,'GL Dump'!$H:$H,Master!$A213,'GL Dump'!$D:$D,Master!L$1),SUMIFS('GL Dump'!$E:$E,'GL Dump'!$H:$H,Master!$A213,'GL Dump'!$D:$D,Master!L$1,'GL Dump'!$C:$C,Master!$G$1))</f>
        <v>140</v>
      </c>
      <c r="M213" s="422">
        <f>IF($G$1="ALL",SUMIFS('GL Dump'!$E:$E,'GL Dump'!$H:$H,Master!$A213,'GL Dump'!$D:$D,Master!M$1),SUMIFS('GL Dump'!$E:$E,'GL Dump'!$H:$H,Master!$A213,'GL Dump'!$D:$D,Master!M$1,'GL Dump'!$C:$C,Master!$G$1))</f>
        <v>140</v>
      </c>
      <c r="N213" s="422">
        <f>IF($G$1="ALL",SUMIFS('GL Dump'!$E:$E,'GL Dump'!$H:$H,Master!$A213,'GL Dump'!$D:$D,Master!N$1),SUMIFS('GL Dump'!$E:$E,'GL Dump'!$H:$H,Master!$A213,'GL Dump'!$D:$D,Master!N$1,'GL Dump'!$C:$C,Master!$G$1))</f>
        <v>420</v>
      </c>
      <c r="O213" s="422">
        <f>IF($G$1="ALL",SUMIFS('GL Dump'!$E:$E,'GL Dump'!$H:$H,Master!$A213,'GL Dump'!$D:$D,Master!O$1),SUMIFS('GL Dump'!$E:$E,'GL Dump'!$H:$H,Master!$A213,'GL Dump'!$D:$D,Master!O$1,'GL Dump'!$C:$C,Master!$G$1))</f>
        <v>0</v>
      </c>
      <c r="P213" s="422">
        <f>IF($G$1="ALL",SUMIFS('GL Dump'!$E:$E,'GL Dump'!$H:$H,Master!$A213,'GL Dump'!$D:$D,Master!P$1),SUMIFS('GL Dump'!$E:$E,'GL Dump'!$H:$H,Master!$A213,'GL Dump'!$D:$D,Master!P$1,'GL Dump'!$C:$C,Master!$G$1))</f>
        <v>0</v>
      </c>
      <c r="Q213" s="422">
        <f>IF($G$1="ALL",SUMIFS('GL Dump'!$E:$E,'GL Dump'!$H:$H,Master!$A213,'GL Dump'!$D:$D,Master!Q$1),SUMIFS('GL Dump'!$E:$E,'GL Dump'!$H:$H,Master!$A213,'GL Dump'!$D:$D,Master!Q$1,'GL Dump'!$C:$C,Master!$G$1))</f>
        <v>151.5</v>
      </c>
      <c r="R213" s="422">
        <f>IF($G$1="ALL",SUMIFS('GL Dump'!$E:$E,'GL Dump'!$H:$H,Master!$A213,'GL Dump'!$D:$D,Master!R$1),SUMIFS('GL Dump'!$E:$E,'GL Dump'!$H:$H,Master!$A213,'GL Dump'!$D:$D,Master!R$1,'GL Dump'!$C:$C,Master!$G$1))</f>
        <v>1481.09</v>
      </c>
      <c r="S213" s="422">
        <f>IF($G$1="ALL",SUMIFS('GL Dump'!$E:$E,'GL Dump'!$H:$H,Master!$A213,'GL Dump'!$D:$D,Master!S$1),SUMIFS('GL Dump'!$E:$E,'GL Dump'!$H:$H,Master!$A213,'GL Dump'!$D:$D,Master!S$1,'GL Dump'!$C:$C,Master!$G$1))</f>
        <v>0</v>
      </c>
      <c r="T213" s="423"/>
    </row>
    <row r="214" spans="1:20" x14ac:dyDescent="0.25">
      <c r="A214" s="267" t="s">
        <v>2127</v>
      </c>
      <c r="B214" s="267" t="s">
        <v>3088</v>
      </c>
      <c r="C214" s="267">
        <v>1</v>
      </c>
      <c r="D214" s="267">
        <v>140</v>
      </c>
      <c r="E214" s="384">
        <f t="shared" si="10"/>
        <v>140</v>
      </c>
      <c r="F214" s="267" t="s">
        <v>3091</v>
      </c>
      <c r="H214" s="397">
        <f>E214+SUMIFS('GL Dump'!$E:$E,'GL Dump'!$H:$H,Master!A214,'GL Dump'!$D:$D,Master!$I$1)</f>
        <v>140</v>
      </c>
      <c r="I214" s="81">
        <f>IF($G$1="ALL",SUMIFS('GL Dump'!$E:$E,'GL Dump'!$H:$H,Master!$A214,'GL Dump'!$D:$D,Master!I$1),SUMIFS('GL Dump'!$E:$E,'GL Dump'!$H:$H,Master!$A214,'GL Dump'!$D:$D,Master!I$1,'GL Dump'!$C:$C,Master!$G$1))</f>
        <v>0</v>
      </c>
      <c r="J214" s="81">
        <f>IF($G$1="ALL",SUMIFS('GL Dump'!$E:$E,'GL Dump'!$H:$H,Master!$A214,'GL Dump'!$D:$D,Master!J$1),SUMIFS('GL Dump'!$E:$E,'GL Dump'!$H:$H,Master!$A214,'GL Dump'!$D:$D,Master!J$1,'GL Dump'!$C:$C,Master!$G$1))</f>
        <v>70</v>
      </c>
      <c r="K214" s="81">
        <f>IF($G$1="ALL",SUMIFS('GL Dump'!$E:$E,'GL Dump'!$H:$H,Master!$A214,'GL Dump'!$D:$D,Master!K$1),SUMIFS('GL Dump'!$E:$E,'GL Dump'!$H:$H,Master!$A214,'GL Dump'!$D:$D,Master!K$1,'GL Dump'!$C:$C,Master!$G$1))</f>
        <v>140</v>
      </c>
      <c r="L214" s="81">
        <f>IF($G$1="ALL",SUMIFS('GL Dump'!$E:$E,'GL Dump'!$H:$H,Master!$A214,'GL Dump'!$D:$D,Master!L$1),SUMIFS('GL Dump'!$E:$E,'GL Dump'!$H:$H,Master!$A214,'GL Dump'!$D:$D,Master!L$1,'GL Dump'!$C:$C,Master!$G$1))</f>
        <v>70</v>
      </c>
      <c r="M214" s="81">
        <f>IF($G$1="ALL",SUMIFS('GL Dump'!$E:$E,'GL Dump'!$H:$H,Master!$A214,'GL Dump'!$D:$D,Master!M$1),SUMIFS('GL Dump'!$E:$E,'GL Dump'!$H:$H,Master!$A214,'GL Dump'!$D:$D,Master!M$1,'GL Dump'!$C:$C,Master!$G$1))</f>
        <v>140</v>
      </c>
      <c r="N214" s="81">
        <f>IF($G$1="ALL",SUMIFS('GL Dump'!$E:$E,'GL Dump'!$H:$H,Master!$A214,'GL Dump'!$D:$D,Master!N$1),SUMIFS('GL Dump'!$E:$E,'GL Dump'!$H:$H,Master!$A214,'GL Dump'!$D:$D,Master!N$1,'GL Dump'!$C:$C,Master!$G$1))</f>
        <v>280</v>
      </c>
      <c r="O214" s="81">
        <f>IF($G$1="ALL",SUMIFS('GL Dump'!$E:$E,'GL Dump'!$H:$H,Master!$A214,'GL Dump'!$D:$D,Master!O$1),SUMIFS('GL Dump'!$E:$E,'GL Dump'!$H:$H,Master!$A214,'GL Dump'!$D:$D,Master!O$1,'GL Dump'!$C:$C,Master!$G$1))</f>
        <v>0</v>
      </c>
      <c r="P214" s="81">
        <f>IF($G$1="ALL",SUMIFS('GL Dump'!$E:$E,'GL Dump'!$H:$H,Master!$A214,'GL Dump'!$D:$D,Master!P$1),SUMIFS('GL Dump'!$E:$E,'GL Dump'!$H:$H,Master!$A214,'GL Dump'!$D:$D,Master!P$1,'GL Dump'!$C:$C,Master!$G$1))</f>
        <v>0</v>
      </c>
      <c r="Q214" s="81">
        <f>IF($G$1="ALL",SUMIFS('GL Dump'!$E:$E,'GL Dump'!$H:$H,Master!$A214,'GL Dump'!$D:$D,Master!Q$1),SUMIFS('GL Dump'!$E:$E,'GL Dump'!$H:$H,Master!$A214,'GL Dump'!$D:$D,Master!Q$1,'GL Dump'!$C:$C,Master!$G$1))</f>
        <v>0</v>
      </c>
      <c r="R214" s="81">
        <f>IF($G$1="ALL",SUMIFS('GL Dump'!$E:$E,'GL Dump'!$H:$H,Master!$A214,'GL Dump'!$D:$D,Master!R$1),SUMIFS('GL Dump'!$E:$E,'GL Dump'!$H:$H,Master!$A214,'GL Dump'!$D:$D,Master!R$1,'GL Dump'!$C:$C,Master!$G$1))</f>
        <v>142.12</v>
      </c>
      <c r="S214" s="81">
        <f>IF($G$1="ALL",SUMIFS('GL Dump'!$E:$E,'GL Dump'!$H:$H,Master!$A214,'GL Dump'!$D:$D,Master!S$1),SUMIFS('GL Dump'!$E:$E,'GL Dump'!$H:$H,Master!$A214,'GL Dump'!$D:$D,Master!S$1,'GL Dump'!$C:$C,Master!$G$1))</f>
        <v>0</v>
      </c>
    </row>
    <row r="215" spans="1:20" x14ac:dyDescent="0.25">
      <c r="A215" s="454" t="s">
        <v>2132</v>
      </c>
      <c r="B215" s="454" t="s">
        <v>3088</v>
      </c>
      <c r="C215" s="454">
        <v>1</v>
      </c>
      <c r="D215" s="454">
        <v>630</v>
      </c>
      <c r="E215" s="468">
        <f t="shared" si="10"/>
        <v>630</v>
      </c>
      <c r="F215" s="454" t="s">
        <v>3091</v>
      </c>
      <c r="G215" s="420"/>
      <c r="H215" s="421">
        <f>E215+SUMIFS('GL Dump'!$E:$E,'GL Dump'!$H:$H,Master!A215,'GL Dump'!$D:$D,Master!$I$1)</f>
        <v>630</v>
      </c>
      <c r="I215" s="422">
        <f>IF($G$1="ALL",SUMIFS('GL Dump'!$E:$E,'GL Dump'!$H:$H,Master!$A215,'GL Dump'!$D:$D,Master!I$1),SUMIFS('GL Dump'!$E:$E,'GL Dump'!$H:$H,Master!$A215,'GL Dump'!$D:$D,Master!I$1,'GL Dump'!$C:$C,Master!$G$1))</f>
        <v>0</v>
      </c>
      <c r="J215" s="422">
        <f>IF($G$1="ALL",SUMIFS('GL Dump'!$E:$E,'GL Dump'!$H:$H,Master!$A215,'GL Dump'!$D:$D,Master!J$1),SUMIFS('GL Dump'!$E:$E,'GL Dump'!$H:$H,Master!$A215,'GL Dump'!$D:$D,Master!J$1,'GL Dump'!$C:$C,Master!$G$1))</f>
        <v>490</v>
      </c>
      <c r="K215" s="422">
        <f>IF($G$1="ALL",SUMIFS('GL Dump'!$E:$E,'GL Dump'!$H:$H,Master!$A215,'GL Dump'!$D:$D,Master!K$1),SUMIFS('GL Dump'!$E:$E,'GL Dump'!$H:$H,Master!$A215,'GL Dump'!$D:$D,Master!K$1,'GL Dump'!$C:$C,Master!$G$1))</f>
        <v>630</v>
      </c>
      <c r="L215" s="422">
        <f>IF($G$1="ALL",SUMIFS('GL Dump'!$E:$E,'GL Dump'!$H:$H,Master!$A215,'GL Dump'!$D:$D,Master!L$1),SUMIFS('GL Dump'!$E:$E,'GL Dump'!$H:$H,Master!$A215,'GL Dump'!$D:$D,Master!L$1,'GL Dump'!$C:$C,Master!$G$1))</f>
        <v>700</v>
      </c>
      <c r="M215" s="422">
        <f>IF($G$1="ALL",SUMIFS('GL Dump'!$E:$E,'GL Dump'!$H:$H,Master!$A215,'GL Dump'!$D:$D,Master!M$1),SUMIFS('GL Dump'!$E:$E,'GL Dump'!$H:$H,Master!$A215,'GL Dump'!$D:$D,Master!M$1,'GL Dump'!$C:$C,Master!$G$1))</f>
        <v>840</v>
      </c>
      <c r="N215" s="422">
        <f>IF($G$1="ALL",SUMIFS('GL Dump'!$E:$E,'GL Dump'!$H:$H,Master!$A215,'GL Dump'!$D:$D,Master!N$1),SUMIFS('GL Dump'!$E:$E,'GL Dump'!$H:$H,Master!$A215,'GL Dump'!$D:$D,Master!N$1,'GL Dump'!$C:$C,Master!$G$1))</f>
        <v>1540</v>
      </c>
      <c r="O215" s="422">
        <f>IF($G$1="ALL",SUMIFS('GL Dump'!$E:$E,'GL Dump'!$H:$H,Master!$A215,'GL Dump'!$D:$D,Master!O$1),SUMIFS('GL Dump'!$E:$E,'GL Dump'!$H:$H,Master!$A215,'GL Dump'!$D:$D,Master!O$1,'GL Dump'!$C:$C,Master!$G$1))</f>
        <v>194.81</v>
      </c>
      <c r="P215" s="422">
        <f>IF($G$1="ALL",SUMIFS('GL Dump'!$E:$E,'GL Dump'!$H:$H,Master!$A215,'GL Dump'!$D:$D,Master!P$1),SUMIFS('GL Dump'!$E:$E,'GL Dump'!$H:$H,Master!$A215,'GL Dump'!$D:$D,Master!P$1,'GL Dump'!$C:$C,Master!$G$1))</f>
        <v>0</v>
      </c>
      <c r="Q215" s="422">
        <f>IF($G$1="ALL",SUMIFS('GL Dump'!$E:$E,'GL Dump'!$H:$H,Master!$A215,'GL Dump'!$D:$D,Master!Q$1),SUMIFS('GL Dump'!$E:$E,'GL Dump'!$H:$H,Master!$A215,'GL Dump'!$D:$D,Master!Q$1,'GL Dump'!$C:$C,Master!$G$1))</f>
        <v>118.36</v>
      </c>
      <c r="R215" s="422">
        <f>IF($G$1="ALL",SUMIFS('GL Dump'!$E:$E,'GL Dump'!$H:$H,Master!$A215,'GL Dump'!$D:$D,Master!R$1),SUMIFS('GL Dump'!$E:$E,'GL Dump'!$H:$H,Master!$A215,'GL Dump'!$D:$D,Master!R$1,'GL Dump'!$C:$C,Master!$G$1))</f>
        <v>5913.55</v>
      </c>
      <c r="S215" s="422">
        <f>IF($G$1="ALL",SUMIFS('GL Dump'!$E:$E,'GL Dump'!$H:$H,Master!$A215,'GL Dump'!$D:$D,Master!S$1),SUMIFS('GL Dump'!$E:$E,'GL Dump'!$H:$H,Master!$A215,'GL Dump'!$D:$D,Master!S$1,'GL Dump'!$C:$C,Master!$G$1))</f>
        <v>0</v>
      </c>
      <c r="T215" s="423"/>
    </row>
    <row r="216" spans="1:20" x14ac:dyDescent="0.25">
      <c r="A216" s="267" t="s">
        <v>2142</v>
      </c>
      <c r="B216" s="267" t="s">
        <v>3088</v>
      </c>
      <c r="C216" s="267">
        <v>1</v>
      </c>
      <c r="D216" s="267">
        <v>280</v>
      </c>
      <c r="E216" s="384">
        <f t="shared" si="10"/>
        <v>280</v>
      </c>
      <c r="F216" s="267" t="s">
        <v>3091</v>
      </c>
      <c r="H216" s="397">
        <f>E216+SUMIFS('GL Dump'!$E:$E,'GL Dump'!$H:$H,Master!A216,'GL Dump'!$D:$D,Master!$I$1)</f>
        <v>280</v>
      </c>
      <c r="I216" s="81">
        <f>IF($G$1="ALL",SUMIFS('GL Dump'!$E:$E,'GL Dump'!$H:$H,Master!$A216,'GL Dump'!$D:$D,Master!I$1),SUMIFS('GL Dump'!$E:$E,'GL Dump'!$H:$H,Master!$A216,'GL Dump'!$D:$D,Master!I$1,'GL Dump'!$C:$C,Master!$G$1))</f>
        <v>0</v>
      </c>
      <c r="J216" s="81">
        <f>IF($G$1="ALL",SUMIFS('GL Dump'!$E:$E,'GL Dump'!$H:$H,Master!$A216,'GL Dump'!$D:$D,Master!J$1),SUMIFS('GL Dump'!$E:$E,'GL Dump'!$H:$H,Master!$A216,'GL Dump'!$D:$D,Master!J$1,'GL Dump'!$C:$C,Master!$G$1))</f>
        <v>350</v>
      </c>
      <c r="K216" s="81">
        <f>IF($G$1="ALL",SUMIFS('GL Dump'!$E:$E,'GL Dump'!$H:$H,Master!$A216,'GL Dump'!$D:$D,Master!K$1),SUMIFS('GL Dump'!$E:$E,'GL Dump'!$H:$H,Master!$A216,'GL Dump'!$D:$D,Master!K$1,'GL Dump'!$C:$C,Master!$G$1))</f>
        <v>280</v>
      </c>
      <c r="L216" s="81">
        <f>IF($G$1="ALL",SUMIFS('GL Dump'!$E:$E,'GL Dump'!$H:$H,Master!$A216,'GL Dump'!$D:$D,Master!L$1),SUMIFS('GL Dump'!$E:$E,'GL Dump'!$H:$H,Master!$A216,'GL Dump'!$D:$D,Master!L$1,'GL Dump'!$C:$C,Master!$G$1))</f>
        <v>280</v>
      </c>
      <c r="M216" s="81">
        <f>IF($G$1="ALL",SUMIFS('GL Dump'!$E:$E,'GL Dump'!$H:$H,Master!$A216,'GL Dump'!$D:$D,Master!M$1),SUMIFS('GL Dump'!$E:$E,'GL Dump'!$H:$H,Master!$A216,'GL Dump'!$D:$D,Master!M$1,'GL Dump'!$C:$C,Master!$G$1))</f>
        <v>210</v>
      </c>
      <c r="N216" s="81">
        <f>IF($G$1="ALL",SUMIFS('GL Dump'!$E:$E,'GL Dump'!$H:$H,Master!$A216,'GL Dump'!$D:$D,Master!N$1),SUMIFS('GL Dump'!$E:$E,'GL Dump'!$H:$H,Master!$A216,'GL Dump'!$D:$D,Master!N$1,'GL Dump'!$C:$C,Master!$G$1))</f>
        <v>420</v>
      </c>
      <c r="O216" s="81">
        <f>IF($G$1="ALL",SUMIFS('GL Dump'!$E:$E,'GL Dump'!$H:$H,Master!$A216,'GL Dump'!$D:$D,Master!O$1),SUMIFS('GL Dump'!$E:$E,'GL Dump'!$H:$H,Master!$A216,'GL Dump'!$D:$D,Master!O$1,'GL Dump'!$C:$C,Master!$G$1))</f>
        <v>194.8</v>
      </c>
      <c r="P216" s="81">
        <f>IF($G$1="ALL",SUMIFS('GL Dump'!$E:$E,'GL Dump'!$H:$H,Master!$A216,'GL Dump'!$D:$D,Master!P$1),SUMIFS('GL Dump'!$E:$E,'GL Dump'!$H:$H,Master!$A216,'GL Dump'!$D:$D,Master!P$1,'GL Dump'!$C:$C,Master!$G$1))</f>
        <v>0</v>
      </c>
      <c r="Q216" s="81">
        <f>IF($G$1="ALL",SUMIFS('GL Dump'!$E:$E,'GL Dump'!$H:$H,Master!$A216,'GL Dump'!$D:$D,Master!Q$1),SUMIFS('GL Dump'!$E:$E,'GL Dump'!$H:$H,Master!$A216,'GL Dump'!$D:$D,Master!Q$1,'GL Dump'!$C:$C,Master!$G$1))</f>
        <v>194.15000000000003</v>
      </c>
      <c r="R216" s="81">
        <f>IF($G$1="ALL",SUMIFS('GL Dump'!$E:$E,'GL Dump'!$H:$H,Master!$A216,'GL Dump'!$D:$D,Master!R$1),SUMIFS('GL Dump'!$E:$E,'GL Dump'!$H:$H,Master!$A216,'GL Dump'!$D:$D,Master!R$1,'GL Dump'!$C:$C,Master!$G$1))</f>
        <v>1765.34</v>
      </c>
      <c r="S216" s="81">
        <f>IF($G$1="ALL",SUMIFS('GL Dump'!$E:$E,'GL Dump'!$H:$H,Master!$A216,'GL Dump'!$D:$D,Master!S$1),SUMIFS('GL Dump'!$E:$E,'GL Dump'!$H:$H,Master!$A216,'GL Dump'!$D:$D,Master!S$1,'GL Dump'!$C:$C,Master!$G$1))</f>
        <v>0</v>
      </c>
    </row>
    <row r="217" spans="1:20" x14ac:dyDescent="0.25">
      <c r="A217" s="454" t="s">
        <v>2145</v>
      </c>
      <c r="B217" s="454" t="s">
        <v>3088</v>
      </c>
      <c r="C217" s="454">
        <v>1</v>
      </c>
      <c r="D217" s="454">
        <v>350</v>
      </c>
      <c r="E217" s="468">
        <f t="shared" si="10"/>
        <v>350</v>
      </c>
      <c r="F217" s="454" t="s">
        <v>3091</v>
      </c>
      <c r="G217" s="420"/>
      <c r="H217" s="421">
        <f>E217+SUMIFS('GL Dump'!$E:$E,'GL Dump'!$H:$H,Master!A217,'GL Dump'!$D:$D,Master!$I$1)</f>
        <v>350</v>
      </c>
      <c r="I217" s="422">
        <f>IF($G$1="ALL",SUMIFS('GL Dump'!$E:$E,'GL Dump'!$H:$H,Master!$A217,'GL Dump'!$D:$D,Master!I$1),SUMIFS('GL Dump'!$E:$E,'GL Dump'!$H:$H,Master!$A217,'GL Dump'!$D:$D,Master!I$1,'GL Dump'!$C:$C,Master!$G$1))</f>
        <v>0</v>
      </c>
      <c r="J217" s="422">
        <f>IF($G$1="ALL",SUMIFS('GL Dump'!$E:$E,'GL Dump'!$H:$H,Master!$A217,'GL Dump'!$D:$D,Master!J$1),SUMIFS('GL Dump'!$E:$E,'GL Dump'!$H:$H,Master!$A217,'GL Dump'!$D:$D,Master!J$1,'GL Dump'!$C:$C,Master!$G$1))</f>
        <v>280</v>
      </c>
      <c r="K217" s="422">
        <f>IF($G$1="ALL",SUMIFS('GL Dump'!$E:$E,'GL Dump'!$H:$H,Master!$A217,'GL Dump'!$D:$D,Master!K$1),SUMIFS('GL Dump'!$E:$E,'GL Dump'!$H:$H,Master!$A217,'GL Dump'!$D:$D,Master!K$1,'GL Dump'!$C:$C,Master!$G$1))</f>
        <v>350</v>
      </c>
      <c r="L217" s="422">
        <f>IF($G$1="ALL",SUMIFS('GL Dump'!$E:$E,'GL Dump'!$H:$H,Master!$A217,'GL Dump'!$D:$D,Master!L$1),SUMIFS('GL Dump'!$E:$E,'GL Dump'!$H:$H,Master!$A217,'GL Dump'!$D:$D,Master!L$1,'GL Dump'!$C:$C,Master!$G$1))</f>
        <v>420</v>
      </c>
      <c r="M217" s="422">
        <f>IF($G$1="ALL",SUMIFS('GL Dump'!$E:$E,'GL Dump'!$H:$H,Master!$A217,'GL Dump'!$D:$D,Master!M$1),SUMIFS('GL Dump'!$E:$E,'GL Dump'!$H:$H,Master!$A217,'GL Dump'!$D:$D,Master!M$1,'GL Dump'!$C:$C,Master!$G$1))</f>
        <v>560</v>
      </c>
      <c r="N217" s="422">
        <f>IF($G$1="ALL",SUMIFS('GL Dump'!$E:$E,'GL Dump'!$H:$H,Master!$A217,'GL Dump'!$D:$D,Master!N$1),SUMIFS('GL Dump'!$E:$E,'GL Dump'!$H:$H,Master!$A217,'GL Dump'!$D:$D,Master!N$1,'GL Dump'!$C:$C,Master!$G$1))</f>
        <v>980</v>
      </c>
      <c r="O217" s="422">
        <f>IF($G$1="ALL",SUMIFS('GL Dump'!$E:$E,'GL Dump'!$H:$H,Master!$A217,'GL Dump'!$D:$D,Master!O$1),SUMIFS('GL Dump'!$E:$E,'GL Dump'!$H:$H,Master!$A217,'GL Dump'!$D:$D,Master!O$1,'GL Dump'!$C:$C,Master!$G$1))</f>
        <v>0</v>
      </c>
      <c r="P217" s="422">
        <f>IF($G$1="ALL",SUMIFS('GL Dump'!$E:$E,'GL Dump'!$H:$H,Master!$A217,'GL Dump'!$D:$D,Master!P$1),SUMIFS('GL Dump'!$E:$E,'GL Dump'!$H:$H,Master!$A217,'GL Dump'!$D:$D,Master!P$1,'GL Dump'!$C:$C,Master!$G$1))</f>
        <v>0</v>
      </c>
      <c r="Q217" s="422">
        <f>IF($G$1="ALL",SUMIFS('GL Dump'!$E:$E,'GL Dump'!$H:$H,Master!$A217,'GL Dump'!$D:$D,Master!Q$1),SUMIFS('GL Dump'!$E:$E,'GL Dump'!$H:$H,Master!$A217,'GL Dump'!$D:$D,Master!Q$1,'GL Dump'!$C:$C,Master!$G$1))</f>
        <v>194.24</v>
      </c>
      <c r="R217" s="422">
        <f>IF($G$1="ALL",SUMIFS('GL Dump'!$E:$E,'GL Dump'!$H:$H,Master!$A217,'GL Dump'!$D:$D,Master!R$1),SUMIFS('GL Dump'!$E:$E,'GL Dump'!$H:$H,Master!$A217,'GL Dump'!$D:$D,Master!R$1,'GL Dump'!$C:$C,Master!$G$1))</f>
        <v>4535.9000000000015</v>
      </c>
      <c r="S217" s="422">
        <f>IF($G$1="ALL",SUMIFS('GL Dump'!$E:$E,'GL Dump'!$H:$H,Master!$A217,'GL Dump'!$D:$D,Master!S$1),SUMIFS('GL Dump'!$E:$E,'GL Dump'!$H:$H,Master!$A217,'GL Dump'!$D:$D,Master!S$1,'GL Dump'!$C:$C,Master!$G$1))</f>
        <v>681.82</v>
      </c>
      <c r="T217" s="423"/>
    </row>
    <row r="218" spans="1:20" x14ac:dyDescent="0.25">
      <c r="A218" s="267" t="s">
        <v>2310</v>
      </c>
      <c r="B218" s="267" t="s">
        <v>3089</v>
      </c>
      <c r="C218" s="267">
        <v>0</v>
      </c>
      <c r="D218" s="267"/>
      <c r="E218" s="384">
        <f t="shared" si="10"/>
        <v>0</v>
      </c>
      <c r="F218" s="267" t="s">
        <v>3120</v>
      </c>
      <c r="H218" s="397">
        <f>E218+SUMIFS('GL Dump'!$E:$E,'GL Dump'!$H:$H,Master!A218,'GL Dump'!$D:$D,Master!$I$1)</f>
        <v>0</v>
      </c>
      <c r="I218" s="81">
        <f>IF($G$1="ALL",SUMIFS('GL Dump'!$E:$E,'GL Dump'!$H:$H,Master!$A218,'GL Dump'!$D:$D,Master!I$1),SUMIFS('GL Dump'!$E:$E,'GL Dump'!$H:$H,Master!$A218,'GL Dump'!$D:$D,Master!I$1,'GL Dump'!$C:$C,Master!$G$1))</f>
        <v>0</v>
      </c>
      <c r="J218" s="81">
        <f>IF($G$1="ALL",SUMIFS('GL Dump'!$E:$E,'GL Dump'!$H:$H,Master!$A218,'GL Dump'!$D:$D,Master!J$1),SUMIFS('GL Dump'!$E:$E,'GL Dump'!$H:$H,Master!$A218,'GL Dump'!$D:$D,Master!J$1,'GL Dump'!$C:$C,Master!$G$1))</f>
        <v>770</v>
      </c>
      <c r="K218" s="81">
        <f>IF($G$1="ALL",SUMIFS('GL Dump'!$E:$E,'GL Dump'!$H:$H,Master!$A218,'GL Dump'!$D:$D,Master!K$1),SUMIFS('GL Dump'!$E:$E,'GL Dump'!$H:$H,Master!$A218,'GL Dump'!$D:$D,Master!K$1,'GL Dump'!$C:$C,Master!$G$1))</f>
        <v>2520</v>
      </c>
      <c r="L218" s="81">
        <f>IF($G$1="ALL",SUMIFS('GL Dump'!$E:$E,'GL Dump'!$H:$H,Master!$A218,'GL Dump'!$D:$D,Master!L$1),SUMIFS('GL Dump'!$E:$E,'GL Dump'!$H:$H,Master!$A218,'GL Dump'!$D:$D,Master!L$1,'GL Dump'!$C:$C,Master!$G$1))</f>
        <v>0</v>
      </c>
      <c r="M218" s="81">
        <f>IF($G$1="ALL",SUMIFS('GL Dump'!$E:$E,'GL Dump'!$H:$H,Master!$A218,'GL Dump'!$D:$D,Master!M$1),SUMIFS('GL Dump'!$E:$E,'GL Dump'!$H:$H,Master!$A218,'GL Dump'!$D:$D,Master!M$1,'GL Dump'!$C:$C,Master!$G$1))</f>
        <v>700</v>
      </c>
      <c r="N218" s="81">
        <f>IF($G$1="ALL",SUMIFS('GL Dump'!$E:$E,'GL Dump'!$H:$H,Master!$A218,'GL Dump'!$D:$D,Master!N$1),SUMIFS('GL Dump'!$E:$E,'GL Dump'!$H:$H,Master!$A218,'GL Dump'!$D:$D,Master!N$1,'GL Dump'!$C:$C,Master!$G$1))</f>
        <v>0</v>
      </c>
      <c r="O218" s="81">
        <f>IF($G$1="ALL",SUMIFS('GL Dump'!$E:$E,'GL Dump'!$H:$H,Master!$A218,'GL Dump'!$D:$D,Master!O$1),SUMIFS('GL Dump'!$E:$E,'GL Dump'!$H:$H,Master!$A218,'GL Dump'!$D:$D,Master!O$1,'GL Dump'!$C:$C,Master!$G$1))</f>
        <v>700</v>
      </c>
      <c r="P218" s="81">
        <f>IF($G$1="ALL",SUMIFS('GL Dump'!$E:$E,'GL Dump'!$H:$H,Master!$A218,'GL Dump'!$D:$D,Master!P$1),SUMIFS('GL Dump'!$E:$E,'GL Dump'!$H:$H,Master!$A218,'GL Dump'!$D:$D,Master!P$1,'GL Dump'!$C:$C,Master!$G$1))</f>
        <v>350</v>
      </c>
      <c r="Q218" s="81">
        <f>IF($G$1="ALL",SUMIFS('GL Dump'!$E:$E,'GL Dump'!$H:$H,Master!$A218,'GL Dump'!$D:$D,Master!Q$1),SUMIFS('GL Dump'!$E:$E,'GL Dump'!$H:$H,Master!$A218,'GL Dump'!$D:$D,Master!Q$1,'GL Dump'!$C:$C,Master!$G$1))</f>
        <v>350</v>
      </c>
      <c r="R218" s="81">
        <f>IF($G$1="ALL",SUMIFS('GL Dump'!$E:$E,'GL Dump'!$H:$H,Master!$A218,'GL Dump'!$D:$D,Master!R$1),SUMIFS('GL Dump'!$E:$E,'GL Dump'!$H:$H,Master!$A218,'GL Dump'!$D:$D,Master!R$1,'GL Dump'!$C:$C,Master!$G$1))</f>
        <v>840</v>
      </c>
      <c r="S218" s="81">
        <f>IF($G$1="ALL",SUMIFS('GL Dump'!$E:$E,'GL Dump'!$H:$H,Master!$A218,'GL Dump'!$D:$D,Master!S$1),SUMIFS('GL Dump'!$E:$E,'GL Dump'!$H:$H,Master!$A218,'GL Dump'!$D:$D,Master!S$1,'GL Dump'!$C:$C,Master!$G$1))</f>
        <v>0</v>
      </c>
    </row>
    <row r="219" spans="1:20" x14ac:dyDescent="0.25">
      <c r="A219" s="454" t="s">
        <v>1943</v>
      </c>
      <c r="B219" s="454" t="s">
        <v>3090</v>
      </c>
      <c r="C219" s="454">
        <v>0</v>
      </c>
      <c r="D219" s="454"/>
      <c r="E219" s="468">
        <f t="shared" si="10"/>
        <v>0</v>
      </c>
      <c r="F219" s="454" t="s">
        <v>3120</v>
      </c>
      <c r="G219" s="420"/>
      <c r="H219" s="421">
        <f>E219+SUMIFS('GL Dump'!$E:$E,'GL Dump'!$H:$H,Master!A219,'GL Dump'!$D:$D,Master!$I$1)</f>
        <v>0</v>
      </c>
      <c r="I219" s="422">
        <f>IF($G$1="ALL",SUMIFS('GL Dump'!$E:$E,'GL Dump'!$H:$H,Master!$A219,'GL Dump'!$D:$D,Master!I$1),SUMIFS('GL Dump'!$E:$E,'GL Dump'!$H:$H,Master!$A219,'GL Dump'!$D:$D,Master!I$1,'GL Dump'!$C:$C,Master!$G$1))</f>
        <v>0</v>
      </c>
      <c r="J219" s="422">
        <f>IF($G$1="ALL",SUMIFS('GL Dump'!$E:$E,'GL Dump'!$H:$H,Master!$A219,'GL Dump'!$D:$D,Master!J$1),SUMIFS('GL Dump'!$E:$E,'GL Dump'!$H:$H,Master!$A219,'GL Dump'!$D:$D,Master!J$1,'GL Dump'!$C:$C,Master!$G$1))</f>
        <v>1909.1200000000001</v>
      </c>
      <c r="K219" s="422">
        <f>IF($G$1="ALL",SUMIFS('GL Dump'!$E:$E,'GL Dump'!$H:$H,Master!$A219,'GL Dump'!$D:$D,Master!K$1),SUMIFS('GL Dump'!$E:$E,'GL Dump'!$H:$H,Master!$A219,'GL Dump'!$D:$D,Master!K$1,'GL Dump'!$C:$C,Master!$G$1))</f>
        <v>90.91</v>
      </c>
      <c r="L219" s="422">
        <f>IF($G$1="ALL",SUMIFS('GL Dump'!$E:$E,'GL Dump'!$H:$H,Master!$A219,'GL Dump'!$D:$D,Master!L$1),SUMIFS('GL Dump'!$E:$E,'GL Dump'!$H:$H,Master!$A219,'GL Dump'!$D:$D,Master!L$1,'GL Dump'!$C:$C,Master!$G$1))</f>
        <v>90.91</v>
      </c>
      <c r="M219" s="422">
        <f>IF($G$1="ALL",SUMIFS('GL Dump'!$E:$E,'GL Dump'!$H:$H,Master!$A219,'GL Dump'!$D:$D,Master!M$1),SUMIFS('GL Dump'!$E:$E,'GL Dump'!$H:$H,Master!$A219,'GL Dump'!$D:$D,Master!M$1,'GL Dump'!$C:$C,Master!$G$1))</f>
        <v>90.91</v>
      </c>
      <c r="N219" s="422">
        <f>IF($G$1="ALL",SUMIFS('GL Dump'!$E:$E,'GL Dump'!$H:$H,Master!$A219,'GL Dump'!$D:$D,Master!N$1),SUMIFS('GL Dump'!$E:$E,'GL Dump'!$H:$H,Master!$A219,'GL Dump'!$D:$D,Master!N$1,'GL Dump'!$C:$C,Master!$G$1))</f>
        <v>90.91</v>
      </c>
      <c r="O219" s="422">
        <f>IF($G$1="ALL",SUMIFS('GL Dump'!$E:$E,'GL Dump'!$H:$H,Master!$A219,'GL Dump'!$D:$D,Master!O$1),SUMIFS('GL Dump'!$E:$E,'GL Dump'!$H:$H,Master!$A219,'GL Dump'!$D:$D,Master!O$1,'GL Dump'!$C:$C,Master!$G$1))</f>
        <v>90.91</v>
      </c>
      <c r="P219" s="422">
        <f>IF($G$1="ALL",SUMIFS('GL Dump'!$E:$E,'GL Dump'!$H:$H,Master!$A219,'GL Dump'!$D:$D,Master!P$1),SUMIFS('GL Dump'!$E:$E,'GL Dump'!$H:$H,Master!$A219,'GL Dump'!$D:$D,Master!P$1,'GL Dump'!$C:$C,Master!$G$1))</f>
        <v>90.91</v>
      </c>
      <c r="Q219" s="422">
        <f>IF($G$1="ALL",SUMIFS('GL Dump'!$E:$E,'GL Dump'!$H:$H,Master!$A219,'GL Dump'!$D:$D,Master!Q$1),SUMIFS('GL Dump'!$E:$E,'GL Dump'!$H:$H,Master!$A219,'GL Dump'!$D:$D,Master!Q$1,'GL Dump'!$C:$C,Master!$G$1))</f>
        <v>90.91</v>
      </c>
      <c r="R219" s="422">
        <f>IF($G$1="ALL",SUMIFS('GL Dump'!$E:$E,'GL Dump'!$H:$H,Master!$A219,'GL Dump'!$D:$D,Master!R$1),SUMIFS('GL Dump'!$E:$E,'GL Dump'!$H:$H,Master!$A219,'GL Dump'!$D:$D,Master!R$1,'GL Dump'!$C:$C,Master!$G$1))</f>
        <v>90.91</v>
      </c>
      <c r="S219" s="422">
        <f>IF($G$1="ALL",SUMIFS('GL Dump'!$E:$E,'GL Dump'!$H:$H,Master!$A219,'GL Dump'!$D:$D,Master!S$1),SUMIFS('GL Dump'!$E:$E,'GL Dump'!$H:$H,Master!$A219,'GL Dump'!$D:$D,Master!S$1,'GL Dump'!$C:$C,Master!$G$1))</f>
        <v>90.91</v>
      </c>
      <c r="T219" s="423"/>
    </row>
    <row r="220" spans="1:20" x14ac:dyDescent="0.25">
      <c r="A220" s="267" t="s">
        <v>2072</v>
      </c>
      <c r="B220" s="267" t="s">
        <v>3093</v>
      </c>
      <c r="C220" s="267">
        <v>1</v>
      </c>
      <c r="D220" s="267">
        <v>100</v>
      </c>
      <c r="E220" s="267">
        <f t="shared" si="10"/>
        <v>100</v>
      </c>
      <c r="F220" s="267" t="s">
        <v>3091</v>
      </c>
      <c r="H220" s="397">
        <f>E220+SUMIFS('GL Dump'!$E:$E,'GL Dump'!$H:$H,Master!A220,'GL Dump'!$D:$D,Master!$I$1)</f>
        <v>100</v>
      </c>
      <c r="I220" s="81">
        <f>IF($G$1="ALL",SUMIFS('GL Dump'!$E:$E,'GL Dump'!$H:$H,Master!$A220,'GL Dump'!$D:$D,Master!I$1),SUMIFS('GL Dump'!$E:$E,'GL Dump'!$H:$H,Master!$A220,'GL Dump'!$D:$D,Master!I$1,'GL Dump'!$C:$C,Master!$G$1))</f>
        <v>0</v>
      </c>
      <c r="J220" s="81">
        <f>IF($G$1="ALL",SUMIFS('GL Dump'!$E:$E,'GL Dump'!$H:$H,Master!$A220,'GL Dump'!$D:$D,Master!J$1),SUMIFS('GL Dump'!$E:$E,'GL Dump'!$H:$H,Master!$A220,'GL Dump'!$D:$D,Master!J$1,'GL Dump'!$C:$C,Master!$G$1))</f>
        <v>126.82</v>
      </c>
      <c r="K220" s="81">
        <f>IF($G$1="ALL",SUMIFS('GL Dump'!$E:$E,'GL Dump'!$H:$H,Master!$A220,'GL Dump'!$D:$D,Master!K$1),SUMIFS('GL Dump'!$E:$E,'GL Dump'!$H:$H,Master!$A220,'GL Dump'!$D:$D,Master!K$1,'GL Dump'!$C:$C,Master!$G$1))</f>
        <v>106.36999999999999</v>
      </c>
      <c r="L220" s="81">
        <f>IF($G$1="ALL",SUMIFS('GL Dump'!$E:$E,'GL Dump'!$H:$H,Master!$A220,'GL Dump'!$D:$D,Master!L$1),SUMIFS('GL Dump'!$E:$E,'GL Dump'!$H:$H,Master!$A220,'GL Dump'!$D:$D,Master!L$1,'GL Dump'!$C:$C,Master!$G$1))</f>
        <v>0</v>
      </c>
      <c r="M220" s="81">
        <f>IF($G$1="ALL",SUMIFS('GL Dump'!$E:$E,'GL Dump'!$H:$H,Master!$A220,'GL Dump'!$D:$D,Master!M$1),SUMIFS('GL Dump'!$E:$E,'GL Dump'!$H:$H,Master!$A220,'GL Dump'!$D:$D,Master!M$1,'GL Dump'!$C:$C,Master!$G$1))</f>
        <v>10.91</v>
      </c>
      <c r="N220" s="81">
        <f>IF($G$1="ALL",SUMIFS('GL Dump'!$E:$E,'GL Dump'!$H:$H,Master!$A220,'GL Dump'!$D:$D,Master!N$1),SUMIFS('GL Dump'!$E:$E,'GL Dump'!$H:$H,Master!$A220,'GL Dump'!$D:$D,Master!N$1,'GL Dump'!$C:$C,Master!$G$1))</f>
        <v>0</v>
      </c>
      <c r="O220" s="81">
        <f>IF($G$1="ALL",SUMIFS('GL Dump'!$E:$E,'GL Dump'!$H:$H,Master!$A220,'GL Dump'!$D:$D,Master!O$1),SUMIFS('GL Dump'!$E:$E,'GL Dump'!$H:$H,Master!$A220,'GL Dump'!$D:$D,Master!O$1,'GL Dump'!$C:$C,Master!$G$1))</f>
        <v>0</v>
      </c>
      <c r="P220" s="81">
        <f>IF($G$1="ALL",SUMIFS('GL Dump'!$E:$E,'GL Dump'!$H:$H,Master!$A220,'GL Dump'!$D:$D,Master!P$1),SUMIFS('GL Dump'!$E:$E,'GL Dump'!$H:$H,Master!$A220,'GL Dump'!$D:$D,Master!P$1,'GL Dump'!$C:$C,Master!$G$1))</f>
        <v>0</v>
      </c>
      <c r="Q220" s="81">
        <f>IF($G$1="ALL",SUMIFS('GL Dump'!$E:$E,'GL Dump'!$H:$H,Master!$A220,'GL Dump'!$D:$D,Master!Q$1),SUMIFS('GL Dump'!$E:$E,'GL Dump'!$H:$H,Master!$A220,'GL Dump'!$D:$D,Master!Q$1,'GL Dump'!$C:$C,Master!$G$1))</f>
        <v>0</v>
      </c>
      <c r="R220" s="81">
        <f>IF($G$1="ALL",SUMIFS('GL Dump'!$E:$E,'GL Dump'!$H:$H,Master!$A220,'GL Dump'!$D:$D,Master!R$1),SUMIFS('GL Dump'!$E:$E,'GL Dump'!$H:$H,Master!$A220,'GL Dump'!$D:$D,Master!R$1,'GL Dump'!$C:$C,Master!$G$1))</f>
        <v>0</v>
      </c>
      <c r="S220" s="81">
        <f>IF($G$1="ALL",SUMIFS('GL Dump'!$E:$E,'GL Dump'!$H:$H,Master!$A220,'GL Dump'!$D:$D,Master!S$1),SUMIFS('GL Dump'!$E:$E,'GL Dump'!$H:$H,Master!$A220,'GL Dump'!$D:$D,Master!S$1,'GL Dump'!$C:$C,Master!$G$1))</f>
        <v>0</v>
      </c>
    </row>
    <row r="221" spans="1:20" ht="15.75" thickBot="1" x14ac:dyDescent="0.3">
      <c r="A221" s="158"/>
      <c r="B221" s="271"/>
      <c r="C221" s="188"/>
      <c r="D221" s="122" t="s">
        <v>758</v>
      </c>
      <c r="E221" s="132">
        <f>SUBTOTAL(9,E173:E220)</f>
        <v>5523.818181818182</v>
      </c>
      <c r="F221" s="294"/>
      <c r="H221" s="397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</row>
    <row r="222" spans="1:20" ht="16.5" thickTop="1" x14ac:dyDescent="0.25">
      <c r="A222" s="151">
        <v>3020</v>
      </c>
      <c r="B222" s="260" t="s">
        <v>3094</v>
      </c>
      <c r="C222" s="144"/>
      <c r="D222" s="116"/>
      <c r="E222" s="117"/>
      <c r="F222" s="287"/>
      <c r="H222" s="397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</row>
    <row r="223" spans="1:20" x14ac:dyDescent="0.25">
      <c r="A223" s="267" t="s">
        <v>1486</v>
      </c>
      <c r="B223" s="267" t="s">
        <v>3096</v>
      </c>
      <c r="C223" s="267">
        <v>1</v>
      </c>
      <c r="D223" s="267">
        <v>1172</v>
      </c>
      <c r="E223" s="267">
        <f>C223*D223</f>
        <v>1172</v>
      </c>
      <c r="F223" s="267" t="s">
        <v>3119</v>
      </c>
      <c r="H223" s="397">
        <f>E223+SUMIFS('GL Dump'!$E:$E,'GL Dump'!$H:$H,Master!A223,'GL Dump'!$D:$D,Master!$I$1)</f>
        <v>1172</v>
      </c>
      <c r="I223" s="81">
        <f>IF($G$1="ALL",SUMIFS('GL Dump'!$E:$E,'GL Dump'!$H:$H,Master!$A223,'GL Dump'!$D:$D,Master!I$1),SUMIFS('GL Dump'!$E:$E,'GL Dump'!$H:$H,Master!$A223,'GL Dump'!$D:$D,Master!I$1,'GL Dump'!$C:$C,Master!$G$1))</f>
        <v>0</v>
      </c>
      <c r="J223" s="81">
        <f>IF($G$1="ALL",SUMIFS('GL Dump'!$E:$E,'GL Dump'!$H:$H,Master!$A223,'GL Dump'!$D:$D,Master!J$1),SUMIFS('GL Dump'!$E:$E,'GL Dump'!$H:$H,Master!$A223,'GL Dump'!$D:$D,Master!J$1,'GL Dump'!$C:$C,Master!$G$1))</f>
        <v>953.34</v>
      </c>
      <c r="K223" s="81">
        <f>IF($G$1="ALL",SUMIFS('GL Dump'!$E:$E,'GL Dump'!$H:$H,Master!$A223,'GL Dump'!$D:$D,Master!K$1),SUMIFS('GL Dump'!$E:$E,'GL Dump'!$H:$H,Master!$A223,'GL Dump'!$D:$D,Master!K$1,'GL Dump'!$C:$C,Master!$G$1))</f>
        <v>709.09</v>
      </c>
      <c r="L223" s="81">
        <f>IF($G$1="ALL",SUMIFS('GL Dump'!$E:$E,'GL Dump'!$H:$H,Master!$A223,'GL Dump'!$D:$D,Master!L$1),SUMIFS('GL Dump'!$E:$E,'GL Dump'!$H:$H,Master!$A223,'GL Dump'!$D:$D,Master!L$1,'GL Dump'!$C:$C,Master!$G$1))</f>
        <v>1715.6100000000001</v>
      </c>
      <c r="M223" s="81">
        <f>IF($G$1="ALL",SUMIFS('GL Dump'!$E:$E,'GL Dump'!$H:$H,Master!$A223,'GL Dump'!$D:$D,Master!M$1),SUMIFS('GL Dump'!$E:$E,'GL Dump'!$H:$H,Master!$A223,'GL Dump'!$D:$D,Master!M$1,'GL Dump'!$C:$C,Master!$G$1))</f>
        <v>2844.8700000000003</v>
      </c>
      <c r="N223" s="81">
        <f>IF($G$1="ALL",SUMIFS('GL Dump'!$E:$E,'GL Dump'!$H:$H,Master!$A223,'GL Dump'!$D:$D,Master!N$1),SUMIFS('GL Dump'!$E:$E,'GL Dump'!$H:$H,Master!$A223,'GL Dump'!$D:$D,Master!N$1,'GL Dump'!$C:$C,Master!$G$1))</f>
        <v>0</v>
      </c>
      <c r="O223" s="81">
        <f>IF($G$1="ALL",SUMIFS('GL Dump'!$E:$E,'GL Dump'!$H:$H,Master!$A223,'GL Dump'!$D:$D,Master!O$1),SUMIFS('GL Dump'!$E:$E,'GL Dump'!$H:$H,Master!$A223,'GL Dump'!$D:$D,Master!O$1,'GL Dump'!$C:$C,Master!$G$1))</f>
        <v>0</v>
      </c>
      <c r="P223" s="81">
        <f>IF($G$1="ALL",SUMIFS('GL Dump'!$E:$E,'GL Dump'!$H:$H,Master!$A223,'GL Dump'!$D:$D,Master!P$1),SUMIFS('GL Dump'!$E:$E,'GL Dump'!$H:$H,Master!$A223,'GL Dump'!$D:$D,Master!P$1,'GL Dump'!$C:$C,Master!$G$1))</f>
        <v>2572.86</v>
      </c>
      <c r="Q223" s="81">
        <f>IF($G$1="ALL",SUMIFS('GL Dump'!$E:$E,'GL Dump'!$H:$H,Master!$A223,'GL Dump'!$D:$D,Master!Q$1),SUMIFS('GL Dump'!$E:$E,'GL Dump'!$H:$H,Master!$A223,'GL Dump'!$D:$D,Master!Q$1,'GL Dump'!$C:$C,Master!$G$1))</f>
        <v>1146.17</v>
      </c>
      <c r="R223" s="81">
        <f>IF($G$1="ALL",SUMIFS('GL Dump'!$E:$E,'GL Dump'!$H:$H,Master!$A223,'GL Dump'!$D:$D,Master!R$1),SUMIFS('GL Dump'!$E:$E,'GL Dump'!$H:$H,Master!$A223,'GL Dump'!$D:$D,Master!R$1,'GL Dump'!$C:$C,Master!$G$1))</f>
        <v>609.45000000000005</v>
      </c>
      <c r="S223" s="81">
        <f>IF($G$1="ALL",SUMIFS('GL Dump'!$E:$E,'GL Dump'!$H:$H,Master!$A223,'GL Dump'!$D:$D,Master!S$1),SUMIFS('GL Dump'!$E:$E,'GL Dump'!$H:$H,Master!$A223,'GL Dump'!$D:$D,Master!S$1,'GL Dump'!$C:$C,Master!$G$1))</f>
        <v>1125</v>
      </c>
    </row>
    <row r="224" spans="1:20" x14ac:dyDescent="0.25">
      <c r="A224" s="267"/>
      <c r="B224" s="267"/>
      <c r="C224" s="267"/>
      <c r="D224" s="267"/>
      <c r="E224" s="267"/>
      <c r="F224" s="267"/>
      <c r="H224" s="397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</row>
    <row r="225" spans="1:19" ht="15.75" thickBot="1" x14ac:dyDescent="0.3">
      <c r="A225" s="158"/>
      <c r="B225" s="271"/>
      <c r="C225" s="188"/>
      <c r="D225" s="122" t="s">
        <v>758</v>
      </c>
      <c r="E225" s="132">
        <f>SUBTOTAL(9,E221:E223)</f>
        <v>1172</v>
      </c>
      <c r="F225" s="294"/>
      <c r="H225" s="397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</row>
    <row r="226" spans="1:19" ht="16.5" thickTop="1" x14ac:dyDescent="0.25">
      <c r="A226" s="151">
        <v>3363</v>
      </c>
      <c r="B226" s="260" t="s">
        <v>3095</v>
      </c>
      <c r="C226" s="144"/>
      <c r="D226" s="116"/>
      <c r="E226" s="117"/>
      <c r="F226" s="287"/>
      <c r="H226" s="397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</row>
    <row r="227" spans="1:19" x14ac:dyDescent="0.25">
      <c r="A227" s="267" t="s">
        <v>2678</v>
      </c>
      <c r="B227" s="267" t="s">
        <v>3283</v>
      </c>
      <c r="C227" s="267">
        <v>1</v>
      </c>
      <c r="D227" s="267">
        <v>616</v>
      </c>
      <c r="E227" s="267">
        <f>C227*D227</f>
        <v>616</v>
      </c>
      <c r="F227" s="267" t="s">
        <v>3284</v>
      </c>
      <c r="H227" s="397">
        <f>E227+SUMIFS('GL Dump'!$E:$E,'GL Dump'!$H:$H,Master!A227,'GL Dump'!$D:$D,Master!$I$1)</f>
        <v>616</v>
      </c>
      <c r="I227" s="81">
        <f>IF($G$1="ALL",SUMIFS('GL Dump'!$E:$E,'GL Dump'!$H:$H,Master!$A227,'GL Dump'!$D:$D,Master!I$1),SUMIFS('GL Dump'!$E:$E,'GL Dump'!$H:$H,Master!$A227,'GL Dump'!$D:$D,Master!I$1,'GL Dump'!$C:$C,Master!$G$1))</f>
        <v>0</v>
      </c>
      <c r="J227" s="81">
        <f>IF($G$1="ALL",SUMIFS('GL Dump'!$E:$E,'GL Dump'!$H:$H,Master!$A227,'GL Dump'!$D:$D,Master!J$1),SUMIFS('GL Dump'!$E:$E,'GL Dump'!$H:$H,Master!$A227,'GL Dump'!$D:$D,Master!J$1,'GL Dump'!$C:$C,Master!$G$1))</f>
        <v>104</v>
      </c>
      <c r="K227" s="81">
        <f>IF($G$1="ALL",SUMIFS('GL Dump'!$E:$E,'GL Dump'!$H:$H,Master!$A227,'GL Dump'!$D:$D,Master!K$1),SUMIFS('GL Dump'!$E:$E,'GL Dump'!$H:$H,Master!$A227,'GL Dump'!$D:$D,Master!K$1,'GL Dump'!$C:$C,Master!$G$1))</f>
        <v>0</v>
      </c>
      <c r="L227" s="81">
        <f>IF($G$1="ALL",SUMIFS('GL Dump'!$E:$E,'GL Dump'!$H:$H,Master!$A227,'GL Dump'!$D:$D,Master!L$1),SUMIFS('GL Dump'!$E:$E,'GL Dump'!$H:$H,Master!$A227,'GL Dump'!$D:$D,Master!L$1,'GL Dump'!$C:$C,Master!$G$1))</f>
        <v>553.12</v>
      </c>
      <c r="M227" s="81">
        <f>IF($G$1="ALL",SUMIFS('GL Dump'!$E:$E,'GL Dump'!$H:$H,Master!$A227,'GL Dump'!$D:$D,Master!M$1),SUMIFS('GL Dump'!$E:$E,'GL Dump'!$H:$H,Master!$A227,'GL Dump'!$D:$D,Master!M$1,'GL Dump'!$C:$C,Master!$G$1))</f>
        <v>1825.25</v>
      </c>
      <c r="N227" s="81">
        <f>IF($G$1="ALL",SUMIFS('GL Dump'!$E:$E,'GL Dump'!$H:$H,Master!$A227,'GL Dump'!$D:$D,Master!N$1),SUMIFS('GL Dump'!$E:$E,'GL Dump'!$H:$H,Master!$A227,'GL Dump'!$D:$D,Master!N$1,'GL Dump'!$C:$C,Master!$G$1))</f>
        <v>0</v>
      </c>
      <c r="O227" s="81">
        <f>IF($G$1="ALL",SUMIFS('GL Dump'!$E:$E,'GL Dump'!$H:$H,Master!$A227,'GL Dump'!$D:$D,Master!O$1),SUMIFS('GL Dump'!$E:$E,'GL Dump'!$H:$H,Master!$A227,'GL Dump'!$D:$D,Master!O$1,'GL Dump'!$C:$C,Master!$G$1))</f>
        <v>1390.5</v>
      </c>
      <c r="P227" s="81">
        <f>IF($G$1="ALL",SUMIFS('GL Dump'!$E:$E,'GL Dump'!$H:$H,Master!$A227,'GL Dump'!$D:$D,Master!P$1),SUMIFS('GL Dump'!$E:$E,'GL Dump'!$H:$H,Master!$A227,'GL Dump'!$D:$D,Master!P$1,'GL Dump'!$C:$C,Master!$G$1))</f>
        <v>709.12</v>
      </c>
      <c r="Q227" s="81">
        <f>IF($G$1="ALL",SUMIFS('GL Dump'!$E:$E,'GL Dump'!$H:$H,Master!$A227,'GL Dump'!$D:$D,Master!Q$1),SUMIFS('GL Dump'!$E:$E,'GL Dump'!$H:$H,Master!$A227,'GL Dump'!$D:$D,Master!Q$1,'GL Dump'!$C:$C,Master!$G$1))</f>
        <v>0</v>
      </c>
      <c r="R227" s="81">
        <f>IF($G$1="ALL",SUMIFS('GL Dump'!$E:$E,'GL Dump'!$H:$H,Master!$A227,'GL Dump'!$D:$D,Master!R$1),SUMIFS('GL Dump'!$E:$E,'GL Dump'!$H:$H,Master!$A227,'GL Dump'!$D:$D,Master!R$1,'GL Dump'!$C:$C,Master!$G$1))</f>
        <v>737.5</v>
      </c>
      <c r="S227" s="81">
        <f>IF($G$1="ALL",SUMIFS('GL Dump'!$E:$E,'GL Dump'!$H:$H,Master!$A227,'GL Dump'!$D:$D,Master!S$1),SUMIFS('GL Dump'!$E:$E,'GL Dump'!$H:$H,Master!$A227,'GL Dump'!$D:$D,Master!S$1,'GL Dump'!$C:$C,Master!$G$1))</f>
        <v>841.5</v>
      </c>
    </row>
    <row r="228" spans="1:19" x14ac:dyDescent="0.25">
      <c r="A228" s="267"/>
      <c r="B228" s="267"/>
      <c r="C228" s="267"/>
      <c r="D228" s="267"/>
      <c r="E228" s="267"/>
      <c r="F228" s="267"/>
      <c r="H228" s="397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</row>
    <row r="229" spans="1:19" ht="15.75" thickBot="1" x14ac:dyDescent="0.3">
      <c r="A229" s="158"/>
      <c r="B229" s="271"/>
      <c r="C229" s="188"/>
      <c r="D229" s="122" t="s">
        <v>758</v>
      </c>
      <c r="E229" s="132">
        <f>SUBTOTAL(9,E227)</f>
        <v>616</v>
      </c>
      <c r="F229" s="294"/>
      <c r="H229" s="397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</row>
    <row r="230" spans="1:19" ht="16.5" thickTop="1" x14ac:dyDescent="0.25">
      <c r="A230" s="151">
        <v>3034</v>
      </c>
      <c r="B230" s="260" t="s">
        <v>3097</v>
      </c>
      <c r="C230" s="144"/>
      <c r="D230" s="116"/>
      <c r="E230" s="117"/>
      <c r="F230" s="287"/>
      <c r="H230" s="397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</row>
    <row r="231" spans="1:19" x14ac:dyDescent="0.25">
      <c r="A231" s="267" t="s">
        <v>844</v>
      </c>
      <c r="B231" s="267" t="s">
        <v>3098</v>
      </c>
      <c r="C231" s="267">
        <v>1</v>
      </c>
      <c r="D231" s="384">
        <v>4552.2</v>
      </c>
      <c r="E231" s="384">
        <f>C231*D231</f>
        <v>4552.2</v>
      </c>
      <c r="F231" s="267" t="s">
        <v>3118</v>
      </c>
      <c r="H231" s="397">
        <f>E243+SUMIFS('GL Dump'!$E:$E,'GL Dump'!$H:$H,Master!A231,'GL Dump'!$D:$D,Master!$I$1)</f>
        <v>9793.7066666666688</v>
      </c>
      <c r="I231" s="81">
        <f>IF($G$1="ALL",SUMIFS('GL Dump'!$E:$E,'GL Dump'!$H:$H,Master!$A231,'GL Dump'!$D:$D,Master!I$1),SUMIFS('GL Dump'!$E:$E,'GL Dump'!$H:$H,Master!$A231,'GL Dump'!$D:$D,Master!I$1,'GL Dump'!$C:$C,Master!$G$1))</f>
        <v>0</v>
      </c>
      <c r="J231" s="81">
        <f>IF($G$1="ALL",SUMIFS('GL Dump'!$E:$E,'GL Dump'!$H:$H,Master!$A231,'GL Dump'!$D:$D,Master!J$1),SUMIFS('GL Dump'!$E:$E,'GL Dump'!$H:$H,Master!$A231,'GL Dump'!$D:$D,Master!J$1,'GL Dump'!$C:$C,Master!$G$1))</f>
        <v>4552.2</v>
      </c>
      <c r="K231" s="81">
        <f>IF($G$1="ALL",SUMIFS('GL Dump'!$E:$E,'GL Dump'!$H:$H,Master!$A231,'GL Dump'!$D:$D,Master!K$1),SUMIFS('GL Dump'!$E:$E,'GL Dump'!$H:$H,Master!$A231,'GL Dump'!$D:$D,Master!K$1,'GL Dump'!$C:$C,Master!$G$1))</f>
        <v>29481.630000000005</v>
      </c>
      <c r="L231" s="81">
        <f>IF($G$1="ALL",SUMIFS('GL Dump'!$E:$E,'GL Dump'!$H:$H,Master!$A231,'GL Dump'!$D:$D,Master!L$1),SUMIFS('GL Dump'!$E:$E,'GL Dump'!$H:$H,Master!$A231,'GL Dump'!$D:$D,Master!L$1,'GL Dump'!$C:$C,Master!$G$1))</f>
        <v>4552.2</v>
      </c>
      <c r="M231" s="81">
        <f>IF($G$1="ALL",SUMIFS('GL Dump'!$E:$E,'GL Dump'!$H:$H,Master!$A231,'GL Dump'!$D:$D,Master!M$1),SUMIFS('GL Dump'!$E:$E,'GL Dump'!$H:$H,Master!$A231,'GL Dump'!$D:$D,Master!M$1,'GL Dump'!$C:$C,Master!$G$1))</f>
        <v>9979.9599999999991</v>
      </c>
      <c r="N231" s="81">
        <f>IF($G$1="ALL",SUMIFS('GL Dump'!$E:$E,'GL Dump'!$H:$H,Master!$A231,'GL Dump'!$D:$D,Master!N$1),SUMIFS('GL Dump'!$E:$E,'GL Dump'!$H:$H,Master!$A231,'GL Dump'!$D:$D,Master!N$1,'GL Dump'!$C:$C,Master!$G$1))</f>
        <v>4551.6000000000004</v>
      </c>
      <c r="O231" s="81">
        <f>IF($G$1="ALL",SUMIFS('GL Dump'!$E:$E,'GL Dump'!$H:$H,Master!$A231,'GL Dump'!$D:$D,Master!O$1),SUMIFS('GL Dump'!$E:$E,'GL Dump'!$H:$H,Master!$A231,'GL Dump'!$D:$D,Master!O$1,'GL Dump'!$C:$C,Master!$G$1))</f>
        <v>5200.99</v>
      </c>
      <c r="P231" s="81">
        <f>IF($G$1="ALL",SUMIFS('GL Dump'!$E:$E,'GL Dump'!$H:$H,Master!$A231,'GL Dump'!$D:$D,Master!P$1),SUMIFS('GL Dump'!$E:$E,'GL Dump'!$H:$H,Master!$A231,'GL Dump'!$D:$D,Master!P$1,'GL Dump'!$C:$C,Master!$G$1))</f>
        <v>11827.389999999998</v>
      </c>
      <c r="Q231" s="81">
        <f>IF($G$1="ALL",SUMIFS('GL Dump'!$E:$E,'GL Dump'!$H:$H,Master!$A231,'GL Dump'!$D:$D,Master!Q$1),SUMIFS('GL Dump'!$E:$E,'GL Dump'!$H:$H,Master!$A231,'GL Dump'!$D:$D,Master!Q$1,'GL Dump'!$C:$C,Master!$G$1))</f>
        <v>3732.1899999999987</v>
      </c>
      <c r="R231" s="81">
        <f>IF($G$1="ALL",SUMIFS('GL Dump'!$E:$E,'GL Dump'!$H:$H,Master!$A231,'GL Dump'!$D:$D,Master!R$1),SUMIFS('GL Dump'!$E:$E,'GL Dump'!$H:$H,Master!$A231,'GL Dump'!$D:$D,Master!R$1,'GL Dump'!$C:$C,Master!$G$1))</f>
        <v>9162.5899999999983</v>
      </c>
      <c r="S231" s="81">
        <f>IF($G$1="ALL",SUMIFS('GL Dump'!$E:$E,'GL Dump'!$H:$H,Master!$A231,'GL Dump'!$D:$D,Master!S$1),SUMIFS('GL Dump'!$E:$E,'GL Dump'!$H:$H,Master!$A231,'GL Dump'!$D:$D,Master!S$1,'GL Dump'!$C:$C,Master!$G$1))</f>
        <v>12220.029999999999</v>
      </c>
    </row>
    <row r="232" spans="1:19" s="176" customFormat="1" x14ac:dyDescent="0.25">
      <c r="A232" s="267" t="s">
        <v>844</v>
      </c>
      <c r="B232" s="267" t="s">
        <v>1040</v>
      </c>
      <c r="C232" s="267">
        <v>1</v>
      </c>
      <c r="D232" s="384">
        <v>611.66666666666663</v>
      </c>
      <c r="E232" s="384">
        <f t="shared" ref="E232:E241" si="11">C232*D232</f>
        <v>611.66666666666663</v>
      </c>
      <c r="F232" s="267" t="s">
        <v>3282</v>
      </c>
      <c r="G232" s="272"/>
      <c r="H232" s="397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</row>
    <row r="233" spans="1:19" s="176" customFormat="1" x14ac:dyDescent="0.25">
      <c r="A233" s="267" t="s">
        <v>844</v>
      </c>
      <c r="B233" s="267" t="s">
        <v>3116</v>
      </c>
      <c r="C233" s="267">
        <v>1</v>
      </c>
      <c r="D233" s="384">
        <v>2982.93</v>
      </c>
      <c r="E233" s="384">
        <f t="shared" si="11"/>
        <v>2982.93</v>
      </c>
      <c r="F233" s="267" t="s">
        <v>3282</v>
      </c>
      <c r="G233" s="272"/>
      <c r="H233" s="397"/>
      <c r="I233" s="81"/>
      <c r="J233" s="81"/>
      <c r="K233" s="81"/>
      <c r="L233" s="81"/>
      <c r="M233" s="81"/>
      <c r="N233" s="81"/>
      <c r="O233" s="81"/>
      <c r="P233" s="81"/>
      <c r="Q233" s="81"/>
      <c r="R233" s="81"/>
      <c r="S233" s="81"/>
    </row>
    <row r="234" spans="1:19" s="176" customFormat="1" x14ac:dyDescent="0.25">
      <c r="A234" s="267" t="s">
        <v>844</v>
      </c>
      <c r="B234" s="267" t="s">
        <v>3110</v>
      </c>
      <c r="C234" s="267">
        <v>1</v>
      </c>
      <c r="D234" s="384">
        <v>39</v>
      </c>
      <c r="E234" s="384">
        <f t="shared" si="11"/>
        <v>39</v>
      </c>
      <c r="F234" s="267" t="s">
        <v>3282</v>
      </c>
      <c r="G234" s="272"/>
      <c r="H234" s="397"/>
      <c r="I234" s="81"/>
      <c r="J234" s="81"/>
      <c r="K234" s="81"/>
      <c r="L234" s="81"/>
      <c r="M234" s="81"/>
      <c r="N234" s="81"/>
      <c r="O234" s="81"/>
      <c r="P234" s="81"/>
      <c r="Q234" s="81"/>
      <c r="R234" s="81"/>
      <c r="S234" s="81"/>
    </row>
    <row r="235" spans="1:19" s="176" customFormat="1" x14ac:dyDescent="0.25">
      <c r="A235" s="267" t="s">
        <v>844</v>
      </c>
      <c r="B235" s="267" t="s">
        <v>3115</v>
      </c>
      <c r="C235" s="267">
        <v>1</v>
      </c>
      <c r="D235" s="384">
        <v>467.24</v>
      </c>
      <c r="E235" s="384">
        <f t="shared" si="11"/>
        <v>467.24</v>
      </c>
      <c r="F235" s="267" t="s">
        <v>3282</v>
      </c>
      <c r="G235" s="272"/>
      <c r="H235" s="397"/>
      <c r="I235" s="81"/>
      <c r="J235" s="81"/>
      <c r="K235" s="81"/>
      <c r="L235" s="81"/>
      <c r="M235" s="81"/>
      <c r="N235" s="81"/>
      <c r="O235" s="81"/>
      <c r="P235" s="81"/>
      <c r="Q235" s="81"/>
      <c r="R235" s="81"/>
      <c r="S235" s="81"/>
    </row>
    <row r="236" spans="1:19" s="176" customFormat="1" x14ac:dyDescent="0.25">
      <c r="A236" s="267" t="s">
        <v>844</v>
      </c>
      <c r="B236" s="267" t="s">
        <v>3111</v>
      </c>
      <c r="C236" s="267">
        <v>1</v>
      </c>
      <c r="D236" s="384">
        <v>19.989999999999998</v>
      </c>
      <c r="E236" s="384">
        <f t="shared" si="11"/>
        <v>19.989999999999998</v>
      </c>
      <c r="F236" s="267" t="s">
        <v>3282</v>
      </c>
      <c r="G236" s="272"/>
      <c r="H236" s="397"/>
      <c r="I236" s="81"/>
      <c r="J236" s="81"/>
      <c r="K236" s="81"/>
      <c r="L236" s="81"/>
      <c r="M236" s="81"/>
      <c r="N236" s="81"/>
      <c r="O236" s="81"/>
      <c r="P236" s="81"/>
      <c r="Q236" s="81"/>
      <c r="R236" s="81"/>
      <c r="S236" s="81"/>
    </row>
    <row r="237" spans="1:19" s="176" customFormat="1" x14ac:dyDescent="0.25">
      <c r="A237" s="267" t="s">
        <v>844</v>
      </c>
      <c r="B237" s="267" t="s">
        <v>1057</v>
      </c>
      <c r="C237" s="267">
        <v>1</v>
      </c>
      <c r="D237" s="384">
        <v>17.03</v>
      </c>
      <c r="E237" s="384">
        <f t="shared" si="11"/>
        <v>17.03</v>
      </c>
      <c r="F237" s="267" t="s">
        <v>3282</v>
      </c>
      <c r="G237" s="272"/>
      <c r="H237" s="397"/>
      <c r="I237" s="81"/>
      <c r="J237" s="81"/>
      <c r="K237" s="81"/>
      <c r="L237" s="81"/>
      <c r="M237" s="81"/>
      <c r="N237" s="81"/>
      <c r="O237" s="81"/>
      <c r="P237" s="81"/>
      <c r="Q237" s="81"/>
      <c r="R237" s="81"/>
      <c r="S237" s="81"/>
    </row>
    <row r="238" spans="1:19" s="176" customFormat="1" x14ac:dyDescent="0.25">
      <c r="A238" s="267" t="s">
        <v>844</v>
      </c>
      <c r="B238" s="267" t="s">
        <v>3113</v>
      </c>
      <c r="C238" s="267">
        <v>1</v>
      </c>
      <c r="D238" s="384">
        <v>601.86</v>
      </c>
      <c r="E238" s="384">
        <f t="shared" si="11"/>
        <v>601.86</v>
      </c>
      <c r="F238" s="267" t="s">
        <v>3282</v>
      </c>
      <c r="G238" s="272"/>
      <c r="H238" s="397"/>
      <c r="I238" s="81"/>
      <c r="J238" s="81"/>
      <c r="K238" s="81"/>
      <c r="L238" s="81"/>
      <c r="M238" s="81"/>
      <c r="N238" s="81"/>
      <c r="O238" s="81"/>
      <c r="P238" s="81"/>
      <c r="Q238" s="81"/>
      <c r="R238" s="81"/>
      <c r="S238" s="81"/>
    </row>
    <row r="239" spans="1:19" s="176" customFormat="1" x14ac:dyDescent="0.25">
      <c r="A239" s="267" t="s">
        <v>844</v>
      </c>
      <c r="B239" s="267" t="s">
        <v>3112</v>
      </c>
      <c r="C239" s="267">
        <v>1</v>
      </c>
      <c r="D239" s="384">
        <v>237.41</v>
      </c>
      <c r="E239" s="384">
        <f t="shared" si="11"/>
        <v>237.41</v>
      </c>
      <c r="F239" s="267" t="s">
        <v>3282</v>
      </c>
      <c r="G239" s="272"/>
      <c r="H239" s="397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</row>
    <row r="240" spans="1:19" s="176" customFormat="1" x14ac:dyDescent="0.25">
      <c r="A240" s="267" t="s">
        <v>844</v>
      </c>
      <c r="B240" s="267" t="s">
        <v>3114</v>
      </c>
      <c r="C240" s="267">
        <v>1</v>
      </c>
      <c r="D240" s="384">
        <v>132.35</v>
      </c>
      <c r="E240" s="384">
        <f t="shared" si="11"/>
        <v>132.35</v>
      </c>
      <c r="F240" s="267" t="s">
        <v>3282</v>
      </c>
      <c r="G240" s="272"/>
      <c r="H240" s="397"/>
      <c r="I240" s="81"/>
      <c r="J240" s="81"/>
      <c r="K240" s="81"/>
      <c r="L240" s="81"/>
      <c r="M240" s="81"/>
      <c r="N240" s="81"/>
      <c r="O240" s="81"/>
      <c r="P240" s="81"/>
      <c r="Q240" s="81"/>
      <c r="R240" s="81"/>
      <c r="S240" s="81"/>
    </row>
    <row r="241" spans="1:19" s="176" customFormat="1" x14ac:dyDescent="0.25">
      <c r="A241" s="267" t="s">
        <v>844</v>
      </c>
      <c r="B241" s="267" t="s">
        <v>3117</v>
      </c>
      <c r="C241" s="267">
        <v>1</v>
      </c>
      <c r="D241" s="384">
        <v>132.03</v>
      </c>
      <c r="E241" s="384">
        <f t="shared" si="11"/>
        <v>132.03</v>
      </c>
      <c r="F241" s="267" t="s">
        <v>3282</v>
      </c>
      <c r="G241" s="272"/>
      <c r="H241" s="397"/>
      <c r="I241" s="81"/>
      <c r="J241" s="81"/>
      <c r="K241" s="81"/>
      <c r="L241" s="81"/>
      <c r="M241" s="81"/>
      <c r="N241" s="81"/>
      <c r="O241" s="81"/>
      <c r="P241" s="81"/>
      <c r="Q241" s="81"/>
      <c r="R241" s="81"/>
      <c r="S241" s="81"/>
    </row>
    <row r="242" spans="1:19" x14ac:dyDescent="0.25">
      <c r="A242" s="267"/>
      <c r="B242" s="267"/>
      <c r="C242" s="267"/>
      <c r="D242" s="267"/>
      <c r="E242" s="267"/>
      <c r="F242" s="267"/>
      <c r="H242" s="397"/>
      <c r="I242" s="81"/>
      <c r="J242" s="81"/>
      <c r="K242" s="81"/>
      <c r="L242" s="81"/>
      <c r="M242" s="81"/>
      <c r="N242" s="81"/>
      <c r="O242" s="81"/>
      <c r="P242" s="81"/>
      <c r="Q242" s="81"/>
      <c r="R242" s="81"/>
      <c r="S242" s="81"/>
    </row>
    <row r="243" spans="1:19" ht="15.75" thickBot="1" x14ac:dyDescent="0.3">
      <c r="A243" s="158"/>
      <c r="B243" s="271"/>
      <c r="C243" s="188"/>
      <c r="D243" s="122" t="s">
        <v>758</v>
      </c>
      <c r="E243" s="132">
        <f>SUBTOTAL(9,E231:E241)</f>
        <v>9793.7066666666688</v>
      </c>
      <c r="F243" s="294"/>
      <c r="H243" s="397"/>
      <c r="I243" s="397"/>
      <c r="J243" s="397"/>
      <c r="K243" s="397"/>
      <c r="L243" s="397"/>
      <c r="M243" s="397"/>
      <c r="N243" s="397"/>
      <c r="O243" s="397"/>
      <c r="P243" s="397"/>
      <c r="Q243" s="397"/>
      <c r="R243" s="397"/>
      <c r="S243" s="397"/>
    </row>
    <row r="244" spans="1:19" ht="15.75" thickTop="1" x14ac:dyDescent="0.25"/>
  </sheetData>
  <conditionalFormatting sqref="H3:S243">
    <cfRule type="expression" dxfId="1" priority="1">
      <formula>H3&lt;0</formula>
    </cfRule>
  </conditionalFormatting>
  <dataValidations count="1">
    <dataValidation type="list" showErrorMessage="1" sqref="G1" xr:uid="{116AF8A8-7EF1-413E-83FA-A04583CE6541}">
      <formula1>"ALL,GENJNL,REVJNL,APINV,APCNOTE,DIRECTCR,AMEX,DIRECTDR"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39" r:id="rId4" name="Button 63">
              <controlPr defaultSize="0" print="0" autoFill="0" autoPict="0" macro="[0]!ShowJournal">
                <anchor>
                  <from>
                    <xdr:col>8</xdr:col>
                    <xdr:colOff>400050</xdr:colOff>
                    <xdr:row>0</xdr:row>
                    <xdr:rowOff>133350</xdr:rowOff>
                  </from>
                  <to>
                    <xdr:col>19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D0B34-5139-4AAF-AD57-AACAB8C42DE1}">
  <sheetPr codeName="Sheet14" filterMode="1">
    <tabColor rgb="FF7030A0"/>
    <pageSetUpPr fitToPage="1"/>
  </sheetPr>
  <dimension ref="A1:H277"/>
  <sheetViews>
    <sheetView showGridLines="0" topLeftCell="A15" workbookViewId="0">
      <selection activeCell="E277" sqref="E277"/>
    </sheetView>
  </sheetViews>
  <sheetFormatPr defaultColWidth="9.140625" defaultRowHeight="16.5" x14ac:dyDescent="0.3"/>
  <cols>
    <col min="1" max="1" width="19.140625" style="486" bestFit="1" customWidth="1"/>
    <col min="2" max="2" width="3.42578125" style="20" bestFit="1" customWidth="1"/>
    <col min="3" max="3" width="16.85546875" style="20" customWidth="1"/>
    <col min="4" max="4" width="14" style="3" bestFit="1" customWidth="1"/>
    <col min="5" max="5" width="38.28515625" style="3" customWidth="1"/>
    <col min="6" max="6" width="12.5703125" style="3" customWidth="1"/>
    <col min="7" max="7" width="12.140625" style="3" customWidth="1"/>
    <col min="8" max="8" width="14.28515625" style="3" customWidth="1"/>
    <col min="9" max="16384" width="9.140625" style="3"/>
  </cols>
  <sheetData>
    <row r="1" spans="1:8" ht="34.5" x14ac:dyDescent="0.45">
      <c r="A1" s="16"/>
      <c r="B1" s="2"/>
      <c r="C1" s="2"/>
      <c r="D1" s="2"/>
      <c r="E1" s="2"/>
      <c r="F1" s="2"/>
      <c r="G1" s="2"/>
      <c r="H1" s="2"/>
    </row>
    <row r="2" spans="1:8" ht="34.5" x14ac:dyDescent="0.45">
      <c r="A2" s="16"/>
      <c r="B2" s="2"/>
      <c r="C2" s="2"/>
      <c r="D2" s="2"/>
      <c r="E2" s="2"/>
      <c r="F2" s="2"/>
      <c r="G2" s="2"/>
      <c r="H2" s="2"/>
    </row>
    <row r="3" spans="1:8" ht="27" customHeight="1" x14ac:dyDescent="0.45">
      <c r="A3" s="16"/>
      <c r="B3" s="2"/>
      <c r="C3" s="2"/>
      <c r="D3" s="2"/>
      <c r="E3" s="2"/>
      <c r="F3" s="2"/>
      <c r="G3" s="2"/>
      <c r="H3" s="2"/>
    </row>
    <row r="4" spans="1:8" x14ac:dyDescent="0.3">
      <c r="A4" s="483" t="s">
        <v>752</v>
      </c>
      <c r="B4" s="18"/>
      <c r="C4" s="499" t="s">
        <v>754</v>
      </c>
      <c r="D4" s="499"/>
      <c r="E4" s="499"/>
      <c r="F4" s="499"/>
      <c r="G4" s="499"/>
      <c r="H4" s="499"/>
    </row>
    <row r="5" spans="1:8" x14ac:dyDescent="0.3">
      <c r="A5" s="483" t="s">
        <v>4</v>
      </c>
      <c r="B5" s="18"/>
      <c r="C5" s="491" t="s">
        <v>747</v>
      </c>
      <c r="D5" s="491"/>
      <c r="E5" s="491"/>
      <c r="F5" s="491"/>
      <c r="G5" s="491"/>
      <c r="H5" s="491"/>
    </row>
    <row r="6" spans="1:8" x14ac:dyDescent="0.3">
      <c r="A6" s="483" t="s">
        <v>5</v>
      </c>
      <c r="B6" s="19"/>
      <c r="C6" s="500"/>
      <c r="D6" s="500"/>
      <c r="E6" s="500"/>
      <c r="F6" s="500"/>
      <c r="G6" s="500"/>
      <c r="H6" s="500"/>
    </row>
    <row r="7" spans="1:8" x14ac:dyDescent="0.3">
      <c r="A7" s="483" t="s">
        <v>740</v>
      </c>
      <c r="B7" s="19"/>
      <c r="C7" s="500"/>
      <c r="D7" s="500"/>
      <c r="E7" s="500"/>
      <c r="F7" s="500"/>
      <c r="G7" s="500"/>
      <c r="H7" s="500"/>
    </row>
    <row r="8" spans="1:8" x14ac:dyDescent="0.3">
      <c r="A8" s="483" t="s">
        <v>6</v>
      </c>
      <c r="B8" s="18"/>
      <c r="C8" s="501">
        <v>44316</v>
      </c>
      <c r="D8" s="501"/>
      <c r="E8" s="501"/>
      <c r="F8" s="501"/>
      <c r="G8" s="501"/>
      <c r="H8" s="501"/>
    </row>
    <row r="9" spans="1:8" x14ac:dyDescent="0.3">
      <c r="A9" s="483" t="s">
        <v>7</v>
      </c>
      <c r="B9" s="18"/>
      <c r="C9" s="502">
        <f ca="1">NOW()</f>
        <v>44340.669444328705</v>
      </c>
      <c r="D9" s="502"/>
      <c r="E9" s="502"/>
      <c r="F9" s="502"/>
      <c r="G9" s="502"/>
      <c r="H9" s="502"/>
    </row>
    <row r="10" spans="1:8" x14ac:dyDescent="0.3">
      <c r="A10" s="483" t="s">
        <v>8</v>
      </c>
      <c r="B10" s="18"/>
      <c r="C10" s="491" t="s">
        <v>14</v>
      </c>
      <c r="D10" s="491"/>
      <c r="E10" s="491"/>
      <c r="F10" s="491"/>
      <c r="G10" s="491"/>
      <c r="H10" s="491"/>
    </row>
    <row r="11" spans="1:8" x14ac:dyDescent="0.3">
      <c r="A11" s="483" t="s">
        <v>9</v>
      </c>
      <c r="B11" s="18"/>
      <c r="C11" s="491" t="s">
        <v>1033</v>
      </c>
      <c r="D11" s="491"/>
      <c r="E11" s="491"/>
      <c r="F11" s="491"/>
      <c r="G11" s="491"/>
      <c r="H11" s="491"/>
    </row>
    <row r="12" spans="1:8" x14ac:dyDescent="0.3">
      <c r="A12" s="483" t="s">
        <v>10</v>
      </c>
      <c r="B12" s="18"/>
      <c r="C12" s="492" t="s">
        <v>11</v>
      </c>
      <c r="D12" s="492"/>
      <c r="E12" s="492"/>
      <c r="F12" s="492"/>
      <c r="G12" s="492"/>
      <c r="H12" s="492"/>
    </row>
    <row r="13" spans="1:8" x14ac:dyDescent="0.3">
      <c r="A13" s="483" t="s">
        <v>12</v>
      </c>
      <c r="B13" s="18"/>
      <c r="C13" s="494" t="s">
        <v>3269</v>
      </c>
      <c r="D13" s="495"/>
      <c r="E13" s="495"/>
      <c r="F13" s="496"/>
      <c r="G13" s="497" t="s">
        <v>3253</v>
      </c>
      <c r="H13" s="498"/>
    </row>
    <row r="14" spans="1:8" x14ac:dyDescent="0.3">
      <c r="A14" s="484"/>
      <c r="B14" s="22"/>
      <c r="C14" s="493"/>
      <c r="D14" s="493"/>
      <c r="E14" s="493"/>
      <c r="F14" s="493"/>
      <c r="G14" s="493"/>
      <c r="H14" s="493"/>
    </row>
    <row r="15" spans="1:8" x14ac:dyDescent="0.3">
      <c r="A15" s="484"/>
      <c r="B15" s="22"/>
      <c r="C15" s="22"/>
      <c r="D15" s="21"/>
      <c r="E15" s="21"/>
      <c r="F15" s="21"/>
      <c r="G15" s="21"/>
      <c r="H15" s="21"/>
    </row>
    <row r="16" spans="1:8" x14ac:dyDescent="0.3">
      <c r="A16" s="485"/>
      <c r="B16" s="105" t="s">
        <v>741</v>
      </c>
      <c r="C16" s="17" t="s">
        <v>742</v>
      </c>
      <c r="D16" s="17" t="s">
        <v>743</v>
      </c>
      <c r="E16" s="17" t="s">
        <v>744</v>
      </c>
      <c r="F16" s="17" t="s">
        <v>744</v>
      </c>
      <c r="G16" s="17" t="s">
        <v>744</v>
      </c>
      <c r="H16" s="17" t="s">
        <v>745</v>
      </c>
    </row>
    <row r="17" spans="1:8" hidden="1" x14ac:dyDescent="0.3">
      <c r="A17" s="482"/>
      <c r="B17" s="108" t="s">
        <v>741</v>
      </c>
      <c r="C17" s="23" t="s">
        <v>2439</v>
      </c>
      <c r="D17" s="24">
        <f>SUMIF(Master!A:A,Journals!C17,Master!E:E)</f>
        <v>0</v>
      </c>
      <c r="E17" s="25" t="s">
        <v>3254</v>
      </c>
      <c r="F17" s="487" t="str">
        <f>$G$13</f>
        <v>Apr 2021</v>
      </c>
      <c r="G17" s="25"/>
      <c r="H17" s="25"/>
    </row>
    <row r="18" spans="1:8" hidden="1" x14ac:dyDescent="0.3">
      <c r="A18" s="482"/>
      <c r="B18" s="108" t="s">
        <v>741</v>
      </c>
      <c r="C18" s="23" t="s">
        <v>3162</v>
      </c>
      <c r="D18" s="24">
        <f>SUMIF(Master!A:A,Journals!C18,Master!E:E)</f>
        <v>0</v>
      </c>
      <c r="E18" s="25" t="str">
        <f>E17</f>
        <v>Property Outgoings Accrual</v>
      </c>
      <c r="F18" s="487" t="str">
        <f t="shared" ref="F18:F81" si="0">$G$13</f>
        <v>Apr 2021</v>
      </c>
      <c r="G18" s="25"/>
      <c r="H18" s="25"/>
    </row>
    <row r="19" spans="1:8" hidden="1" x14ac:dyDescent="0.3">
      <c r="A19" s="482"/>
      <c r="B19" s="108" t="s">
        <v>741</v>
      </c>
      <c r="C19" s="23" t="s">
        <v>3163</v>
      </c>
      <c r="D19" s="24">
        <f>SUMIF(Master!A:A,Journals!C19,Master!E:E)</f>
        <v>0</v>
      </c>
      <c r="E19" s="25" t="str">
        <f t="shared" ref="E19:E82" si="1">E18</f>
        <v>Property Outgoings Accrual</v>
      </c>
      <c r="F19" s="487" t="str">
        <f t="shared" si="0"/>
        <v>Apr 2021</v>
      </c>
      <c r="G19" s="25"/>
      <c r="H19" s="25"/>
    </row>
    <row r="20" spans="1:8" hidden="1" x14ac:dyDescent="0.3">
      <c r="A20" s="482"/>
      <c r="B20" s="108" t="s">
        <v>741</v>
      </c>
      <c r="C20" s="23" t="s">
        <v>3164</v>
      </c>
      <c r="D20" s="24">
        <f>SUMIF(Master!A:A,Journals!C20,Master!E:E)</f>
        <v>0</v>
      </c>
      <c r="E20" s="25" t="str">
        <f t="shared" si="1"/>
        <v>Property Outgoings Accrual</v>
      </c>
      <c r="F20" s="487" t="str">
        <f t="shared" si="0"/>
        <v>Apr 2021</v>
      </c>
      <c r="G20" s="25"/>
      <c r="H20" s="25"/>
    </row>
    <row r="21" spans="1:8" hidden="1" x14ac:dyDescent="0.3">
      <c r="A21" s="482"/>
      <c r="B21" s="108" t="s">
        <v>741</v>
      </c>
      <c r="C21" s="23" t="s">
        <v>3165</v>
      </c>
      <c r="D21" s="24">
        <f>SUMIF(Master!A:A,Journals!C21,Master!E:E)</f>
        <v>0</v>
      </c>
      <c r="E21" s="25" t="str">
        <f t="shared" si="1"/>
        <v>Property Outgoings Accrual</v>
      </c>
      <c r="F21" s="487" t="str">
        <f t="shared" si="0"/>
        <v>Apr 2021</v>
      </c>
      <c r="G21" s="25"/>
      <c r="H21" s="25"/>
    </row>
    <row r="22" spans="1:8" hidden="1" x14ac:dyDescent="0.3">
      <c r="A22" s="482"/>
      <c r="B22" s="108" t="s">
        <v>741</v>
      </c>
      <c r="C22" s="23" t="s">
        <v>3166</v>
      </c>
      <c r="D22" s="24">
        <f>SUMIF(Master!A:A,Journals!C22,Master!E:E)</f>
        <v>0</v>
      </c>
      <c r="E22" s="25" t="str">
        <f t="shared" si="1"/>
        <v>Property Outgoings Accrual</v>
      </c>
      <c r="F22" s="487" t="str">
        <f t="shared" si="0"/>
        <v>Apr 2021</v>
      </c>
      <c r="G22" s="25"/>
      <c r="H22" s="25"/>
    </row>
    <row r="23" spans="1:8" hidden="1" x14ac:dyDescent="0.3">
      <c r="A23" s="482"/>
      <c r="B23" s="108" t="s">
        <v>741</v>
      </c>
      <c r="C23" s="23" t="s">
        <v>3167</v>
      </c>
      <c r="D23" s="24">
        <f>SUMIF(Master!A:A,Journals!C23,Master!E:E)</f>
        <v>0</v>
      </c>
      <c r="E23" s="25" t="str">
        <f t="shared" si="1"/>
        <v>Property Outgoings Accrual</v>
      </c>
      <c r="F23" s="487" t="str">
        <f t="shared" si="0"/>
        <v>Apr 2021</v>
      </c>
      <c r="G23" s="25"/>
      <c r="H23" s="25"/>
    </row>
    <row r="24" spans="1:8" hidden="1" x14ac:dyDescent="0.3">
      <c r="A24" s="482"/>
      <c r="B24" s="108" t="s">
        <v>741</v>
      </c>
      <c r="C24" s="23" t="s">
        <v>3168</v>
      </c>
      <c r="D24" s="24">
        <f>SUMIF(Master!A:A,Journals!C24,Master!E:E)</f>
        <v>0</v>
      </c>
      <c r="E24" s="25" t="str">
        <f t="shared" si="1"/>
        <v>Property Outgoings Accrual</v>
      </c>
      <c r="F24" s="487" t="str">
        <f t="shared" si="0"/>
        <v>Apr 2021</v>
      </c>
      <c r="G24" s="25"/>
      <c r="H24" s="25"/>
    </row>
    <row r="25" spans="1:8" hidden="1" x14ac:dyDescent="0.3">
      <c r="A25" s="482"/>
      <c r="B25" s="108" t="s">
        <v>741</v>
      </c>
      <c r="C25" s="23" t="s">
        <v>3169</v>
      </c>
      <c r="D25" s="24">
        <f>SUMIF(Master!A:A,Journals!C25,Master!E:E)</f>
        <v>0</v>
      </c>
      <c r="E25" s="25" t="str">
        <f t="shared" si="1"/>
        <v>Property Outgoings Accrual</v>
      </c>
      <c r="F25" s="487" t="str">
        <f t="shared" si="0"/>
        <v>Apr 2021</v>
      </c>
      <c r="G25" s="25"/>
      <c r="H25" s="25"/>
    </row>
    <row r="26" spans="1:8" hidden="1" x14ac:dyDescent="0.3">
      <c r="A26" s="482"/>
      <c r="B26" s="108" t="s">
        <v>741</v>
      </c>
      <c r="C26" s="23" t="s">
        <v>3170</v>
      </c>
      <c r="D26" s="24">
        <f>SUMIF(Master!A:A,Journals!C26,Master!E:E)</f>
        <v>0</v>
      </c>
      <c r="E26" s="25" t="str">
        <f t="shared" si="1"/>
        <v>Property Outgoings Accrual</v>
      </c>
      <c r="F26" s="487" t="str">
        <f t="shared" si="0"/>
        <v>Apr 2021</v>
      </c>
      <c r="G26" s="25"/>
      <c r="H26" s="25"/>
    </row>
    <row r="27" spans="1:8" hidden="1" x14ac:dyDescent="0.3">
      <c r="A27" s="482"/>
      <c r="B27" s="108" t="s">
        <v>741</v>
      </c>
      <c r="C27" s="23" t="s">
        <v>3171</v>
      </c>
      <c r="D27" s="24">
        <f>SUMIF(Master!A:A,Journals!C27,Master!E:E)</f>
        <v>0</v>
      </c>
      <c r="E27" s="25" t="str">
        <f t="shared" si="1"/>
        <v>Property Outgoings Accrual</v>
      </c>
      <c r="F27" s="487" t="str">
        <f t="shared" si="0"/>
        <v>Apr 2021</v>
      </c>
      <c r="G27" s="25"/>
      <c r="H27" s="25"/>
    </row>
    <row r="28" spans="1:8" hidden="1" x14ac:dyDescent="0.3">
      <c r="A28" s="482"/>
      <c r="B28" s="108" t="s">
        <v>741</v>
      </c>
      <c r="C28" s="23" t="s">
        <v>3172</v>
      </c>
      <c r="D28" s="24">
        <f>SUMIF(Master!A:A,Journals!C28,Master!E:E)</f>
        <v>0</v>
      </c>
      <c r="E28" s="25" t="str">
        <f t="shared" si="1"/>
        <v>Property Outgoings Accrual</v>
      </c>
      <c r="F28" s="487" t="str">
        <f t="shared" si="0"/>
        <v>Apr 2021</v>
      </c>
      <c r="G28" s="25"/>
      <c r="H28" s="25"/>
    </row>
    <row r="29" spans="1:8" hidden="1" x14ac:dyDescent="0.3">
      <c r="A29" s="482"/>
      <c r="B29" s="108" t="s">
        <v>741</v>
      </c>
      <c r="C29" s="23" t="s">
        <v>3173</v>
      </c>
      <c r="D29" s="24">
        <f>SUMIF(Master!A:A,Journals!C29,Master!E:E)</f>
        <v>0</v>
      </c>
      <c r="E29" s="25" t="str">
        <f t="shared" si="1"/>
        <v>Property Outgoings Accrual</v>
      </c>
      <c r="F29" s="487" t="str">
        <f t="shared" si="0"/>
        <v>Apr 2021</v>
      </c>
      <c r="G29" s="25"/>
      <c r="H29" s="25"/>
    </row>
    <row r="30" spans="1:8" hidden="1" x14ac:dyDescent="0.3">
      <c r="A30" s="482"/>
      <c r="B30" s="108" t="s">
        <v>741</v>
      </c>
      <c r="C30" s="23" t="s">
        <v>3174</v>
      </c>
      <c r="D30" s="24">
        <f>SUMIF(Master!A:A,Journals!C30,Master!E:E)</f>
        <v>0</v>
      </c>
      <c r="E30" s="25" t="str">
        <f t="shared" si="1"/>
        <v>Property Outgoings Accrual</v>
      </c>
      <c r="F30" s="487" t="str">
        <f t="shared" si="0"/>
        <v>Apr 2021</v>
      </c>
      <c r="G30" s="25"/>
      <c r="H30" s="25"/>
    </row>
    <row r="31" spans="1:8" hidden="1" x14ac:dyDescent="0.3">
      <c r="A31" s="482"/>
      <c r="B31" s="108" t="s">
        <v>741</v>
      </c>
      <c r="C31" s="23" t="s">
        <v>3175</v>
      </c>
      <c r="D31" s="24">
        <f>SUMIF(Master!A:A,Journals!C31,Master!E:E)</f>
        <v>0</v>
      </c>
      <c r="E31" s="25" t="str">
        <f t="shared" si="1"/>
        <v>Property Outgoings Accrual</v>
      </c>
      <c r="F31" s="487" t="str">
        <f t="shared" si="0"/>
        <v>Apr 2021</v>
      </c>
      <c r="G31" s="25"/>
      <c r="H31" s="25"/>
    </row>
    <row r="32" spans="1:8" hidden="1" x14ac:dyDescent="0.3">
      <c r="A32" s="482"/>
      <c r="B32" s="108" t="s">
        <v>741</v>
      </c>
      <c r="C32" s="23" t="s">
        <v>3176</v>
      </c>
      <c r="D32" s="24">
        <f>SUMIF(Master!A:A,Journals!C32,Master!E:E)</f>
        <v>0</v>
      </c>
      <c r="E32" s="25" t="str">
        <f t="shared" si="1"/>
        <v>Property Outgoings Accrual</v>
      </c>
      <c r="F32" s="487" t="str">
        <f t="shared" si="0"/>
        <v>Apr 2021</v>
      </c>
      <c r="G32" s="25"/>
      <c r="H32" s="25"/>
    </row>
    <row r="33" spans="1:8" hidden="1" x14ac:dyDescent="0.3">
      <c r="A33" s="482"/>
      <c r="B33" s="108" t="s">
        <v>741</v>
      </c>
      <c r="C33" s="23" t="s">
        <v>3177</v>
      </c>
      <c r="D33" s="24">
        <f>SUMIF(Master!A:A,Journals!C33,Master!E:E)</f>
        <v>0</v>
      </c>
      <c r="E33" s="25" t="str">
        <f t="shared" si="1"/>
        <v>Property Outgoings Accrual</v>
      </c>
      <c r="F33" s="487" t="str">
        <f t="shared" si="0"/>
        <v>Apr 2021</v>
      </c>
      <c r="G33" s="25"/>
      <c r="H33" s="25"/>
    </row>
    <row r="34" spans="1:8" hidden="1" x14ac:dyDescent="0.3">
      <c r="A34" s="482"/>
      <c r="B34" s="108" t="s">
        <v>741</v>
      </c>
      <c r="C34" s="23" t="s">
        <v>3178</v>
      </c>
      <c r="D34" s="24">
        <f>SUMIF(Master!A:A,Journals!C34,Master!E:E)</f>
        <v>0</v>
      </c>
      <c r="E34" s="25" t="str">
        <f t="shared" si="1"/>
        <v>Property Outgoings Accrual</v>
      </c>
      <c r="F34" s="487" t="str">
        <f t="shared" si="0"/>
        <v>Apr 2021</v>
      </c>
      <c r="G34" s="25"/>
      <c r="H34" s="25"/>
    </row>
    <row r="35" spans="1:8" hidden="1" x14ac:dyDescent="0.3">
      <c r="A35" s="482"/>
      <c r="B35" s="108" t="s">
        <v>741</v>
      </c>
      <c r="C35" s="23" t="s">
        <v>3179</v>
      </c>
      <c r="D35" s="24">
        <f>SUMIF(Master!A:A,Journals!C35,Master!E:E)</f>
        <v>0</v>
      </c>
      <c r="E35" s="25" t="str">
        <f t="shared" si="1"/>
        <v>Property Outgoings Accrual</v>
      </c>
      <c r="F35" s="487" t="str">
        <f t="shared" si="0"/>
        <v>Apr 2021</v>
      </c>
      <c r="G35" s="25"/>
      <c r="H35" s="25"/>
    </row>
    <row r="36" spans="1:8" hidden="1" x14ac:dyDescent="0.3">
      <c r="A36" s="482"/>
      <c r="B36" s="108" t="s">
        <v>741</v>
      </c>
      <c r="C36" s="23" t="s">
        <v>2467</v>
      </c>
      <c r="D36" s="24">
        <f>SUMIF(Master!A:A,Journals!C36,Master!E:E)</f>
        <v>2248.3375000000001</v>
      </c>
      <c r="E36" s="25" t="str">
        <f>E35</f>
        <v>Property Outgoings Accrual</v>
      </c>
      <c r="F36" s="487" t="str">
        <f t="shared" si="0"/>
        <v>Apr 2021</v>
      </c>
      <c r="G36" s="25"/>
      <c r="H36" s="25"/>
    </row>
    <row r="37" spans="1:8" hidden="1" x14ac:dyDescent="0.3">
      <c r="A37" s="482"/>
      <c r="B37" s="108" t="s">
        <v>741</v>
      </c>
      <c r="C37" s="23" t="s">
        <v>3180</v>
      </c>
      <c r="D37" s="24">
        <f>SUMIF(Master!A:A,Journals!C37,Master!E:E)</f>
        <v>0</v>
      </c>
      <c r="E37" s="25" t="str">
        <f t="shared" si="1"/>
        <v>Property Outgoings Accrual</v>
      </c>
      <c r="F37" s="487" t="str">
        <f t="shared" si="0"/>
        <v>Apr 2021</v>
      </c>
      <c r="G37" s="25"/>
      <c r="H37" s="25"/>
    </row>
    <row r="38" spans="1:8" hidden="1" x14ac:dyDescent="0.3">
      <c r="A38" s="482"/>
      <c r="B38" s="108" t="s">
        <v>741</v>
      </c>
      <c r="C38" s="23" t="s">
        <v>2479</v>
      </c>
      <c r="D38" s="24">
        <f>SUMIF(Master!A:A,Journals!C38,Master!E:E)</f>
        <v>7401.0666666666666</v>
      </c>
      <c r="E38" s="25" t="str">
        <f t="shared" si="1"/>
        <v>Property Outgoings Accrual</v>
      </c>
      <c r="F38" s="487" t="str">
        <f t="shared" si="0"/>
        <v>Apr 2021</v>
      </c>
      <c r="G38" s="25"/>
      <c r="H38" s="25"/>
    </row>
    <row r="39" spans="1:8" hidden="1" x14ac:dyDescent="0.3">
      <c r="A39" s="482"/>
      <c r="B39" s="108" t="s">
        <v>741</v>
      </c>
      <c r="C39" s="23" t="s">
        <v>2481</v>
      </c>
      <c r="D39" s="24">
        <f>SUMIF(Master!A:A,Journals!C39,Master!E:E)</f>
        <v>1467.34</v>
      </c>
      <c r="E39" s="25" t="str">
        <f t="shared" si="1"/>
        <v>Property Outgoings Accrual</v>
      </c>
      <c r="F39" s="487" t="str">
        <f t="shared" si="0"/>
        <v>Apr 2021</v>
      </c>
      <c r="G39" s="25"/>
      <c r="H39" s="25"/>
    </row>
    <row r="40" spans="1:8" hidden="1" x14ac:dyDescent="0.3">
      <c r="A40" s="482"/>
      <c r="B40" s="108" t="s">
        <v>741</v>
      </c>
      <c r="C40" s="23" t="s">
        <v>2483</v>
      </c>
      <c r="D40" s="24">
        <f>SUMIF(Master!A:A,Journals!C40,Master!E:E)</f>
        <v>0</v>
      </c>
      <c r="E40" s="25" t="str">
        <f t="shared" si="1"/>
        <v>Property Outgoings Accrual</v>
      </c>
      <c r="F40" s="487" t="str">
        <f t="shared" si="0"/>
        <v>Apr 2021</v>
      </c>
      <c r="G40" s="25"/>
      <c r="H40" s="25"/>
    </row>
    <row r="41" spans="1:8" hidden="1" x14ac:dyDescent="0.3">
      <c r="A41" s="482"/>
      <c r="B41" s="108" t="s">
        <v>741</v>
      </c>
      <c r="C41" s="23" t="s">
        <v>2487</v>
      </c>
      <c r="D41" s="24">
        <f>SUMIF(Master!A:A,Journals!C41,Master!E:E)</f>
        <v>59154.44</v>
      </c>
      <c r="E41" s="25" t="str">
        <f t="shared" si="1"/>
        <v>Property Outgoings Accrual</v>
      </c>
      <c r="F41" s="487" t="str">
        <f t="shared" si="0"/>
        <v>Apr 2021</v>
      </c>
      <c r="G41" s="25"/>
      <c r="H41" s="25"/>
    </row>
    <row r="42" spans="1:8" hidden="1" x14ac:dyDescent="0.3">
      <c r="A42" s="482"/>
      <c r="B42" s="108" t="s">
        <v>741</v>
      </c>
      <c r="C42" s="23" t="s">
        <v>2493</v>
      </c>
      <c r="D42" s="24">
        <f>SUMIF(Master!A:A,Journals!C42,Master!E:E)</f>
        <v>7082.16</v>
      </c>
      <c r="E42" s="25" t="str">
        <f t="shared" si="1"/>
        <v>Property Outgoings Accrual</v>
      </c>
      <c r="F42" s="487" t="str">
        <f t="shared" si="0"/>
        <v>Apr 2021</v>
      </c>
      <c r="G42" s="25"/>
      <c r="H42" s="25"/>
    </row>
    <row r="43" spans="1:8" hidden="1" x14ac:dyDescent="0.3">
      <c r="A43" s="482"/>
      <c r="B43" s="108" t="s">
        <v>741</v>
      </c>
      <c r="C43" s="23" t="s">
        <v>3181</v>
      </c>
      <c r="D43" s="24">
        <f>SUMIF(Master!A:A,Journals!C43,Master!E:E)</f>
        <v>0</v>
      </c>
      <c r="E43" s="25" t="str">
        <f t="shared" si="1"/>
        <v>Property Outgoings Accrual</v>
      </c>
      <c r="F43" s="487" t="str">
        <f t="shared" si="0"/>
        <v>Apr 2021</v>
      </c>
      <c r="G43" s="25"/>
      <c r="H43" s="25"/>
    </row>
    <row r="44" spans="1:8" hidden="1" x14ac:dyDescent="0.3">
      <c r="A44" s="482"/>
      <c r="B44" s="108" t="s">
        <v>741</v>
      </c>
      <c r="C44" s="23" t="s">
        <v>3182</v>
      </c>
      <c r="D44" s="24">
        <f>SUMIF(Master!A:A,Journals!C44,Master!E:E)</f>
        <v>0</v>
      </c>
      <c r="E44" s="25" t="str">
        <f t="shared" si="1"/>
        <v>Property Outgoings Accrual</v>
      </c>
      <c r="F44" s="487" t="str">
        <f t="shared" si="0"/>
        <v>Apr 2021</v>
      </c>
      <c r="G44" s="25"/>
      <c r="H44" s="25"/>
    </row>
    <row r="45" spans="1:8" hidden="1" x14ac:dyDescent="0.3">
      <c r="A45" s="482"/>
      <c r="B45" s="108" t="s">
        <v>741</v>
      </c>
      <c r="C45" s="23" t="s">
        <v>3183</v>
      </c>
      <c r="D45" s="24">
        <f>SUMIF(Master!A:A,Journals!C45,Master!E:E)</f>
        <v>0</v>
      </c>
      <c r="E45" s="25" t="str">
        <f t="shared" si="1"/>
        <v>Property Outgoings Accrual</v>
      </c>
      <c r="F45" s="487" t="str">
        <f t="shared" si="0"/>
        <v>Apr 2021</v>
      </c>
      <c r="G45" s="25"/>
      <c r="H45" s="25"/>
    </row>
    <row r="46" spans="1:8" hidden="1" x14ac:dyDescent="0.3">
      <c r="A46" s="482"/>
      <c r="B46" s="108" t="s">
        <v>741</v>
      </c>
      <c r="C46" s="23" t="s">
        <v>3184</v>
      </c>
      <c r="D46" s="24">
        <f>SUMIF(Master!A:A,Journals!C46,Master!E:E)</f>
        <v>0</v>
      </c>
      <c r="E46" s="25" t="str">
        <f t="shared" si="1"/>
        <v>Property Outgoings Accrual</v>
      </c>
      <c r="F46" s="487" t="str">
        <f t="shared" si="0"/>
        <v>Apr 2021</v>
      </c>
      <c r="G46" s="25"/>
      <c r="H46" s="25"/>
    </row>
    <row r="47" spans="1:8" hidden="1" x14ac:dyDescent="0.3">
      <c r="A47" s="482"/>
      <c r="B47" s="108" t="s">
        <v>741</v>
      </c>
      <c r="C47" s="23" t="s">
        <v>3185</v>
      </c>
      <c r="D47" s="24">
        <f>SUMIF(Master!A:A,Journals!C47,Master!E:E)</f>
        <v>0</v>
      </c>
      <c r="E47" s="25" t="str">
        <f t="shared" si="1"/>
        <v>Property Outgoings Accrual</v>
      </c>
      <c r="F47" s="487" t="str">
        <f t="shared" si="0"/>
        <v>Apr 2021</v>
      </c>
      <c r="G47" s="25"/>
      <c r="H47" s="25"/>
    </row>
    <row r="48" spans="1:8" hidden="1" x14ac:dyDescent="0.3">
      <c r="A48" s="482"/>
      <c r="B48" s="108" t="s">
        <v>741</v>
      </c>
      <c r="C48" s="23" t="s">
        <v>3186</v>
      </c>
      <c r="D48" s="24">
        <f>SUMIF(Master!A:A,Journals!C48,Master!E:E)</f>
        <v>0</v>
      </c>
      <c r="E48" s="25" t="str">
        <f t="shared" si="1"/>
        <v>Property Outgoings Accrual</v>
      </c>
      <c r="F48" s="487" t="str">
        <f t="shared" si="0"/>
        <v>Apr 2021</v>
      </c>
      <c r="G48" s="25"/>
      <c r="H48" s="25"/>
    </row>
    <row r="49" spans="1:8" hidden="1" x14ac:dyDescent="0.3">
      <c r="A49" s="482"/>
      <c r="B49" s="108" t="s">
        <v>741</v>
      </c>
      <c r="C49" s="23" t="s">
        <v>3187</v>
      </c>
      <c r="D49" s="24">
        <f>SUMIF(Master!A:A,Journals!C49,Master!E:E)</f>
        <v>0</v>
      </c>
      <c r="E49" s="25" t="str">
        <f t="shared" si="1"/>
        <v>Property Outgoings Accrual</v>
      </c>
      <c r="F49" s="487" t="str">
        <f t="shared" si="0"/>
        <v>Apr 2021</v>
      </c>
      <c r="G49" s="25"/>
      <c r="H49" s="25"/>
    </row>
    <row r="50" spans="1:8" hidden="1" x14ac:dyDescent="0.3">
      <c r="A50" s="482"/>
      <c r="B50" s="108" t="s">
        <v>741</v>
      </c>
      <c r="C50" s="23" t="s">
        <v>3188</v>
      </c>
      <c r="D50" s="24">
        <f>SUMIF(Master!A:A,Journals!C50,Master!E:E)</f>
        <v>0</v>
      </c>
      <c r="E50" s="25" t="str">
        <f t="shared" si="1"/>
        <v>Property Outgoings Accrual</v>
      </c>
      <c r="F50" s="487" t="str">
        <f t="shared" si="0"/>
        <v>Apr 2021</v>
      </c>
      <c r="G50" s="25"/>
      <c r="H50" s="25"/>
    </row>
    <row r="51" spans="1:8" hidden="1" x14ac:dyDescent="0.3">
      <c r="A51" s="482"/>
      <c r="B51" s="108" t="s">
        <v>741</v>
      </c>
      <c r="C51" s="23" t="s">
        <v>2496</v>
      </c>
      <c r="D51" s="24">
        <f>SUMIF(Master!A:A,Journals!C51,Master!E:E)</f>
        <v>0</v>
      </c>
      <c r="E51" s="25" t="str">
        <f t="shared" si="1"/>
        <v>Property Outgoings Accrual</v>
      </c>
      <c r="F51" s="487" t="str">
        <f t="shared" si="0"/>
        <v>Apr 2021</v>
      </c>
      <c r="G51" s="25"/>
      <c r="H51" s="25"/>
    </row>
    <row r="52" spans="1:8" hidden="1" x14ac:dyDescent="0.3">
      <c r="A52" s="482"/>
      <c r="B52" s="108" t="s">
        <v>741</v>
      </c>
      <c r="C52" s="108" t="s">
        <v>3189</v>
      </c>
      <c r="D52" s="24">
        <f>SUMIF(Master!A:A,Journals!C52,Master!E:E)</f>
        <v>0</v>
      </c>
      <c r="E52" s="25" t="str">
        <f t="shared" si="1"/>
        <v>Property Outgoings Accrual</v>
      </c>
      <c r="F52" s="488" t="str">
        <f t="shared" si="0"/>
        <v>Apr 2021</v>
      </c>
      <c r="G52" s="86"/>
      <c r="H52" s="86"/>
    </row>
    <row r="53" spans="1:8" hidden="1" x14ac:dyDescent="0.3">
      <c r="A53" s="482"/>
      <c r="B53" s="108" t="s">
        <v>741</v>
      </c>
      <c r="C53" s="108" t="s">
        <v>3190</v>
      </c>
      <c r="D53" s="24">
        <f>SUMIF(Master!A:A,Journals!C53,Master!E:E)</f>
        <v>0</v>
      </c>
      <c r="E53" s="25" t="str">
        <f t="shared" si="1"/>
        <v>Property Outgoings Accrual</v>
      </c>
      <c r="F53" s="488" t="str">
        <f t="shared" si="0"/>
        <v>Apr 2021</v>
      </c>
      <c r="G53" s="86"/>
      <c r="H53" s="86"/>
    </row>
    <row r="54" spans="1:8" hidden="1" x14ac:dyDescent="0.3">
      <c r="A54" s="482"/>
      <c r="B54" s="108" t="s">
        <v>741</v>
      </c>
      <c r="C54" s="23" t="s">
        <v>3191</v>
      </c>
      <c r="D54" s="24">
        <f>SUMIF(Master!A:A,Journals!C54,Master!E:E)</f>
        <v>0</v>
      </c>
      <c r="E54" s="25" t="str">
        <f t="shared" si="1"/>
        <v>Property Outgoings Accrual</v>
      </c>
      <c r="F54" s="487" t="str">
        <f t="shared" si="0"/>
        <v>Apr 2021</v>
      </c>
      <c r="G54" s="25"/>
      <c r="H54" s="25"/>
    </row>
    <row r="55" spans="1:8" hidden="1" x14ac:dyDescent="0.3">
      <c r="A55" s="482"/>
      <c r="B55" s="108" t="s">
        <v>741</v>
      </c>
      <c r="C55" s="23" t="s">
        <v>3192</v>
      </c>
      <c r="D55" s="24">
        <f>SUMIF(Master!A:A,Journals!C55,Master!E:E)</f>
        <v>0</v>
      </c>
      <c r="E55" s="25" t="str">
        <f t="shared" si="1"/>
        <v>Property Outgoings Accrual</v>
      </c>
      <c r="F55" s="487" t="str">
        <f t="shared" si="0"/>
        <v>Apr 2021</v>
      </c>
      <c r="G55" s="25"/>
      <c r="H55" s="25"/>
    </row>
    <row r="56" spans="1:8" hidden="1" x14ac:dyDescent="0.3">
      <c r="A56" s="482"/>
      <c r="B56" s="108" t="s">
        <v>741</v>
      </c>
      <c r="C56" s="23" t="s">
        <v>3193</v>
      </c>
      <c r="D56" s="24">
        <f>SUMIF(Master!A:A,Journals!C56,Master!E:E)</f>
        <v>0</v>
      </c>
      <c r="E56" s="25" t="str">
        <f t="shared" si="1"/>
        <v>Property Outgoings Accrual</v>
      </c>
      <c r="F56" s="487" t="str">
        <f t="shared" si="0"/>
        <v>Apr 2021</v>
      </c>
      <c r="G56" s="25"/>
      <c r="H56" s="25"/>
    </row>
    <row r="57" spans="1:8" hidden="1" x14ac:dyDescent="0.3">
      <c r="A57" s="482"/>
      <c r="B57" s="108" t="s">
        <v>741</v>
      </c>
      <c r="C57" s="23" t="s">
        <v>3194</v>
      </c>
      <c r="D57" s="24">
        <f>SUMIF(Master!A:A,Journals!C57,Master!E:E)</f>
        <v>0</v>
      </c>
      <c r="E57" s="25" t="str">
        <f t="shared" si="1"/>
        <v>Property Outgoings Accrual</v>
      </c>
      <c r="F57" s="487" t="str">
        <f t="shared" si="0"/>
        <v>Apr 2021</v>
      </c>
      <c r="G57" s="25"/>
      <c r="H57" s="25"/>
    </row>
    <row r="58" spans="1:8" hidden="1" x14ac:dyDescent="0.3">
      <c r="A58" s="482"/>
      <c r="B58" s="108" t="s">
        <v>741</v>
      </c>
      <c r="C58" s="23" t="s">
        <v>3195</v>
      </c>
      <c r="D58" s="24">
        <f>SUMIF(Master!A:A,Journals!C58,Master!E:E)</f>
        <v>0</v>
      </c>
      <c r="E58" s="25" t="str">
        <f t="shared" si="1"/>
        <v>Property Outgoings Accrual</v>
      </c>
      <c r="F58" s="487" t="str">
        <f t="shared" si="0"/>
        <v>Apr 2021</v>
      </c>
      <c r="G58" s="25"/>
      <c r="H58" s="25"/>
    </row>
    <row r="59" spans="1:8" hidden="1" x14ac:dyDescent="0.3">
      <c r="A59" s="482"/>
      <c r="B59" s="108" t="s">
        <v>741</v>
      </c>
      <c r="C59" s="23" t="s">
        <v>3196</v>
      </c>
      <c r="D59" s="24">
        <f>SUMIF(Master!A:A,Journals!C59,Master!E:E)</f>
        <v>0</v>
      </c>
      <c r="E59" s="25" t="str">
        <f t="shared" si="1"/>
        <v>Property Outgoings Accrual</v>
      </c>
      <c r="F59" s="487" t="str">
        <f t="shared" si="0"/>
        <v>Apr 2021</v>
      </c>
      <c r="G59" s="25"/>
      <c r="H59" s="25"/>
    </row>
    <row r="60" spans="1:8" hidden="1" x14ac:dyDescent="0.3">
      <c r="A60" s="482"/>
      <c r="B60" s="108" t="s">
        <v>741</v>
      </c>
      <c r="C60" s="23" t="s">
        <v>3197</v>
      </c>
      <c r="D60" s="24">
        <f>SUMIF(Master!A:A,Journals!C60,Master!E:E)</f>
        <v>0</v>
      </c>
      <c r="E60" s="25" t="str">
        <f t="shared" si="1"/>
        <v>Property Outgoings Accrual</v>
      </c>
      <c r="F60" s="487" t="str">
        <f t="shared" si="0"/>
        <v>Apr 2021</v>
      </c>
      <c r="G60" s="25"/>
      <c r="H60" s="25"/>
    </row>
    <row r="61" spans="1:8" hidden="1" x14ac:dyDescent="0.3">
      <c r="A61" s="482"/>
      <c r="B61" s="108" t="s">
        <v>741</v>
      </c>
      <c r="C61" s="23" t="s">
        <v>3198</v>
      </c>
      <c r="D61" s="24">
        <f>SUMIF(Master!A:A,Journals!C61,Master!E:E)</f>
        <v>0</v>
      </c>
      <c r="E61" s="25" t="str">
        <f t="shared" si="1"/>
        <v>Property Outgoings Accrual</v>
      </c>
      <c r="F61" s="487" t="str">
        <f t="shared" si="0"/>
        <v>Apr 2021</v>
      </c>
      <c r="G61" s="25"/>
      <c r="H61" s="25"/>
    </row>
    <row r="62" spans="1:8" hidden="1" x14ac:dyDescent="0.3">
      <c r="A62" s="482"/>
      <c r="B62" s="108" t="s">
        <v>741</v>
      </c>
      <c r="C62" s="23" t="s">
        <v>3199</v>
      </c>
      <c r="D62" s="24">
        <f>SUMIF(Master!A:A,Journals!C62,Master!E:E)</f>
        <v>0</v>
      </c>
      <c r="E62" s="25" t="str">
        <f t="shared" si="1"/>
        <v>Property Outgoings Accrual</v>
      </c>
      <c r="F62" s="487" t="str">
        <f t="shared" si="0"/>
        <v>Apr 2021</v>
      </c>
      <c r="G62" s="25"/>
      <c r="H62" s="25"/>
    </row>
    <row r="63" spans="1:8" hidden="1" x14ac:dyDescent="0.3">
      <c r="A63" s="482"/>
      <c r="B63" s="108" t="s">
        <v>741</v>
      </c>
      <c r="C63" s="23" t="s">
        <v>3200</v>
      </c>
      <c r="D63" s="24">
        <f>SUMIF(Master!A:A,Journals!C63,Master!E:E)</f>
        <v>0</v>
      </c>
      <c r="E63" s="25" t="str">
        <f t="shared" si="1"/>
        <v>Property Outgoings Accrual</v>
      </c>
      <c r="F63" s="487" t="str">
        <f t="shared" si="0"/>
        <v>Apr 2021</v>
      </c>
      <c r="G63" s="25"/>
      <c r="H63" s="25"/>
    </row>
    <row r="64" spans="1:8" hidden="1" x14ac:dyDescent="0.3">
      <c r="A64" s="482"/>
      <c r="B64" s="108" t="s">
        <v>741</v>
      </c>
      <c r="C64" s="23" t="s">
        <v>3201</v>
      </c>
      <c r="D64" s="24">
        <f>SUMIF(Master!A:A,Journals!C64,Master!E:E)</f>
        <v>0</v>
      </c>
      <c r="E64" s="25" t="str">
        <f t="shared" si="1"/>
        <v>Property Outgoings Accrual</v>
      </c>
      <c r="F64" s="487" t="str">
        <f t="shared" si="0"/>
        <v>Apr 2021</v>
      </c>
      <c r="G64" s="25"/>
      <c r="H64" s="25"/>
    </row>
    <row r="65" spans="1:8" hidden="1" x14ac:dyDescent="0.3">
      <c r="A65" s="482"/>
      <c r="B65" s="108" t="s">
        <v>741</v>
      </c>
      <c r="C65" s="23" t="s">
        <v>3202</v>
      </c>
      <c r="D65" s="24">
        <f>SUMIF(Master!A:A,Journals!C65,Master!E:E)</f>
        <v>0</v>
      </c>
      <c r="E65" s="25" t="str">
        <f t="shared" si="1"/>
        <v>Property Outgoings Accrual</v>
      </c>
      <c r="F65" s="487" t="str">
        <f t="shared" si="0"/>
        <v>Apr 2021</v>
      </c>
      <c r="G65" s="25"/>
      <c r="H65" s="25"/>
    </row>
    <row r="66" spans="1:8" hidden="1" x14ac:dyDescent="0.3">
      <c r="A66" s="482"/>
      <c r="B66" s="108" t="s">
        <v>741</v>
      </c>
      <c r="C66" s="23" t="s">
        <v>3203</v>
      </c>
      <c r="D66" s="24">
        <f>SUMIF(Master!A:A,Journals!C66,Master!E:E)</f>
        <v>0</v>
      </c>
      <c r="E66" s="25" t="str">
        <f t="shared" si="1"/>
        <v>Property Outgoings Accrual</v>
      </c>
      <c r="F66" s="487" t="str">
        <f t="shared" si="0"/>
        <v>Apr 2021</v>
      </c>
      <c r="G66" s="25"/>
      <c r="H66" s="25"/>
    </row>
    <row r="67" spans="1:8" hidden="1" x14ac:dyDescent="0.3">
      <c r="A67" s="482"/>
      <c r="B67" s="108" t="s">
        <v>741</v>
      </c>
      <c r="C67" s="23" t="s">
        <v>3204</v>
      </c>
      <c r="D67" s="24">
        <f>SUMIF(Master!A:A,Journals!C67,Master!E:E)</f>
        <v>0</v>
      </c>
      <c r="E67" s="25" t="str">
        <f t="shared" si="1"/>
        <v>Property Outgoings Accrual</v>
      </c>
      <c r="F67" s="487" t="str">
        <f t="shared" si="0"/>
        <v>Apr 2021</v>
      </c>
      <c r="G67" s="25"/>
      <c r="H67" s="25"/>
    </row>
    <row r="68" spans="1:8" hidden="1" x14ac:dyDescent="0.3">
      <c r="A68" s="482"/>
      <c r="B68" s="108" t="s">
        <v>741</v>
      </c>
      <c r="C68" s="23" t="s">
        <v>3205</v>
      </c>
      <c r="D68" s="24">
        <f>SUMIF(Master!A:A,Journals!C68,Master!E:E)</f>
        <v>0</v>
      </c>
      <c r="E68" s="25" t="str">
        <f t="shared" si="1"/>
        <v>Property Outgoings Accrual</v>
      </c>
      <c r="F68" s="487" t="str">
        <f t="shared" si="0"/>
        <v>Apr 2021</v>
      </c>
      <c r="G68" s="25"/>
      <c r="H68" s="25"/>
    </row>
    <row r="69" spans="1:8" hidden="1" x14ac:dyDescent="0.3">
      <c r="A69" s="482"/>
      <c r="B69" s="108" t="s">
        <v>741</v>
      </c>
      <c r="C69" s="23" t="s">
        <v>2501</v>
      </c>
      <c r="D69" s="24">
        <f>SUMIF(Master!A:A,Journals!C69,Master!E:E)</f>
        <v>0</v>
      </c>
      <c r="E69" s="25" t="str">
        <f t="shared" si="1"/>
        <v>Property Outgoings Accrual</v>
      </c>
      <c r="F69" s="487" t="str">
        <f t="shared" si="0"/>
        <v>Apr 2021</v>
      </c>
      <c r="G69" s="25"/>
      <c r="H69" s="25"/>
    </row>
    <row r="70" spans="1:8" hidden="1" x14ac:dyDescent="0.3">
      <c r="A70" s="482"/>
      <c r="B70" s="108" t="s">
        <v>741</v>
      </c>
      <c r="C70" s="23" t="s">
        <v>3063</v>
      </c>
      <c r="D70" s="24">
        <f>SUMIF(Master!A:A,Journals!C70,Master!E:E)</f>
        <v>0</v>
      </c>
      <c r="E70" s="25" t="str">
        <f t="shared" si="1"/>
        <v>Property Outgoings Accrual</v>
      </c>
      <c r="F70" s="487" t="str">
        <f t="shared" si="0"/>
        <v>Apr 2021</v>
      </c>
      <c r="G70" s="25"/>
      <c r="H70" s="25"/>
    </row>
    <row r="71" spans="1:8" hidden="1" x14ac:dyDescent="0.3">
      <c r="A71" s="482"/>
      <c r="B71" s="108" t="s">
        <v>741</v>
      </c>
      <c r="C71" s="23" t="s">
        <v>2523</v>
      </c>
      <c r="D71" s="24">
        <f>SUMIF(Master!A:A,Journals!C71,Master!E:E)</f>
        <v>0</v>
      </c>
      <c r="E71" s="25" t="str">
        <f t="shared" si="1"/>
        <v>Property Outgoings Accrual</v>
      </c>
      <c r="F71" s="487" t="str">
        <f t="shared" si="0"/>
        <v>Apr 2021</v>
      </c>
      <c r="G71" s="25"/>
      <c r="H71" s="25"/>
    </row>
    <row r="72" spans="1:8" hidden="1" x14ac:dyDescent="0.3">
      <c r="A72" s="482"/>
      <c r="B72" s="108" t="s">
        <v>741</v>
      </c>
      <c r="C72" s="23" t="s">
        <v>3206</v>
      </c>
      <c r="D72" s="24">
        <f>SUMIF(Master!A:A,Journals!C72,Master!E:E)</f>
        <v>0</v>
      </c>
      <c r="E72" s="25" t="str">
        <f t="shared" si="1"/>
        <v>Property Outgoings Accrual</v>
      </c>
      <c r="F72" s="487" t="str">
        <f t="shared" si="0"/>
        <v>Apr 2021</v>
      </c>
      <c r="G72" s="25"/>
      <c r="H72" s="25"/>
    </row>
    <row r="73" spans="1:8" hidden="1" x14ac:dyDescent="0.3">
      <c r="A73" s="482"/>
      <c r="B73" s="108" t="s">
        <v>741</v>
      </c>
      <c r="C73" s="23" t="s">
        <v>2576</v>
      </c>
      <c r="D73" s="24">
        <f>SUMIF(Master!A:A,Journals!C73,Master!E:E)</f>
        <v>0</v>
      </c>
      <c r="E73" s="25" t="str">
        <f t="shared" si="1"/>
        <v>Property Outgoings Accrual</v>
      </c>
      <c r="F73" s="487" t="str">
        <f t="shared" si="0"/>
        <v>Apr 2021</v>
      </c>
      <c r="G73" s="25"/>
      <c r="H73" s="25"/>
    </row>
    <row r="74" spans="1:8" hidden="1" x14ac:dyDescent="0.3">
      <c r="A74" s="482"/>
      <c r="B74" s="108" t="s">
        <v>741</v>
      </c>
      <c r="C74" s="23" t="s">
        <v>2578</v>
      </c>
      <c r="D74" s="24">
        <f>SUMIF(Master!A:A,Journals!C74,Master!E:E)</f>
        <v>0</v>
      </c>
      <c r="E74" s="25" t="str">
        <f t="shared" si="1"/>
        <v>Property Outgoings Accrual</v>
      </c>
      <c r="F74" s="487" t="str">
        <f t="shared" si="0"/>
        <v>Apr 2021</v>
      </c>
      <c r="G74" s="25"/>
      <c r="H74" s="25"/>
    </row>
    <row r="75" spans="1:8" hidden="1" x14ac:dyDescent="0.3">
      <c r="A75" s="482"/>
      <c r="B75" s="108" t="s">
        <v>741</v>
      </c>
      <c r="C75" s="23" t="s">
        <v>2581</v>
      </c>
      <c r="D75" s="24">
        <f>SUMIF(Master!A:A,Journals!C75,Master!E:E)</f>
        <v>1321.07</v>
      </c>
      <c r="E75" s="25" t="str">
        <f t="shared" si="1"/>
        <v>Property Outgoings Accrual</v>
      </c>
      <c r="F75" s="487" t="str">
        <f t="shared" si="0"/>
        <v>Apr 2021</v>
      </c>
      <c r="G75" s="25"/>
      <c r="H75" s="25"/>
    </row>
    <row r="76" spans="1:8" hidden="1" x14ac:dyDescent="0.3">
      <c r="A76" s="482"/>
      <c r="B76" s="108" t="s">
        <v>741</v>
      </c>
      <c r="C76" s="23" t="s">
        <v>2596</v>
      </c>
      <c r="D76" s="24">
        <f>SUMIF(Master!A:A,Journals!C76,Master!E:E)</f>
        <v>5167.7700000000004</v>
      </c>
      <c r="E76" s="25" t="str">
        <f t="shared" si="1"/>
        <v>Property Outgoings Accrual</v>
      </c>
      <c r="F76" s="487" t="str">
        <f t="shared" si="0"/>
        <v>Apr 2021</v>
      </c>
      <c r="G76" s="25"/>
      <c r="H76" s="25"/>
    </row>
    <row r="77" spans="1:8" hidden="1" x14ac:dyDescent="0.3">
      <c r="A77" s="482"/>
      <c r="B77" s="108" t="s">
        <v>741</v>
      </c>
      <c r="C77" s="23" t="s">
        <v>2597</v>
      </c>
      <c r="D77" s="24">
        <f>SUMIF(Master!A:A,Journals!C77,Master!E:E)</f>
        <v>2176.0700000000002</v>
      </c>
      <c r="E77" s="25" t="str">
        <f t="shared" si="1"/>
        <v>Property Outgoings Accrual</v>
      </c>
      <c r="F77" s="487" t="str">
        <f t="shared" si="0"/>
        <v>Apr 2021</v>
      </c>
      <c r="G77" s="25"/>
      <c r="H77" s="25"/>
    </row>
    <row r="78" spans="1:8" hidden="1" x14ac:dyDescent="0.3">
      <c r="A78" s="482"/>
      <c r="B78" s="108" t="s">
        <v>741</v>
      </c>
      <c r="C78" s="23" t="s">
        <v>2600</v>
      </c>
      <c r="D78" s="24">
        <f>SUMIF(Master!A:A,Journals!C78,Master!E:E)</f>
        <v>0</v>
      </c>
      <c r="E78" s="25" t="str">
        <f t="shared" si="1"/>
        <v>Property Outgoings Accrual</v>
      </c>
      <c r="F78" s="487" t="str">
        <f t="shared" si="0"/>
        <v>Apr 2021</v>
      </c>
      <c r="G78" s="25"/>
      <c r="H78" s="25"/>
    </row>
    <row r="79" spans="1:8" hidden="1" x14ac:dyDescent="0.3">
      <c r="A79" s="482"/>
      <c r="B79" s="108" t="s">
        <v>741</v>
      </c>
      <c r="C79" s="23" t="s">
        <v>2603</v>
      </c>
      <c r="D79" s="24">
        <f>SUMIF(Master!A:A,Journals!C79,Master!E:E)</f>
        <v>0</v>
      </c>
      <c r="E79" s="25" t="str">
        <f t="shared" si="1"/>
        <v>Property Outgoings Accrual</v>
      </c>
      <c r="F79" s="487" t="str">
        <f t="shared" si="0"/>
        <v>Apr 2021</v>
      </c>
      <c r="G79" s="25"/>
      <c r="H79" s="25"/>
    </row>
    <row r="80" spans="1:8" hidden="1" x14ac:dyDescent="0.3">
      <c r="A80" s="482"/>
      <c r="B80" s="108" t="s">
        <v>741</v>
      </c>
      <c r="C80" s="23" t="s">
        <v>2604</v>
      </c>
      <c r="D80" s="24">
        <f>SUMIF(Master!A:A,Journals!C80,Master!E:E)</f>
        <v>2075.92</v>
      </c>
      <c r="E80" s="25" t="str">
        <f t="shared" si="1"/>
        <v>Property Outgoings Accrual</v>
      </c>
      <c r="F80" s="487" t="str">
        <f t="shared" si="0"/>
        <v>Apr 2021</v>
      </c>
      <c r="G80" s="25"/>
      <c r="H80" s="25"/>
    </row>
    <row r="81" spans="1:8" hidden="1" x14ac:dyDescent="0.3">
      <c r="A81" s="482"/>
      <c r="B81" s="108" t="s">
        <v>741</v>
      </c>
      <c r="C81" s="23" t="s">
        <v>2606</v>
      </c>
      <c r="D81" s="24">
        <f>SUMIF(Master!A:A,Journals!C81,Master!E:E)</f>
        <v>144.54000000000002</v>
      </c>
      <c r="E81" s="25" t="str">
        <f t="shared" si="1"/>
        <v>Property Outgoings Accrual</v>
      </c>
      <c r="F81" s="487" t="str">
        <f t="shared" si="0"/>
        <v>Apr 2021</v>
      </c>
      <c r="G81" s="25"/>
      <c r="H81" s="25"/>
    </row>
    <row r="82" spans="1:8" hidden="1" x14ac:dyDescent="0.3">
      <c r="A82" s="482"/>
      <c r="B82" s="108" t="s">
        <v>741</v>
      </c>
      <c r="C82" s="23" t="s">
        <v>3207</v>
      </c>
      <c r="D82" s="24">
        <f>SUMIF(Master!A:A,Journals!C82,Master!E:E)</f>
        <v>0</v>
      </c>
      <c r="E82" s="25" t="str">
        <f t="shared" si="1"/>
        <v>Property Outgoings Accrual</v>
      </c>
      <c r="F82" s="487" t="str">
        <f t="shared" ref="F82:F145" si="2">$G$13</f>
        <v>Apr 2021</v>
      </c>
      <c r="G82" s="25"/>
      <c r="H82" s="25"/>
    </row>
    <row r="83" spans="1:8" hidden="1" x14ac:dyDescent="0.3">
      <c r="A83" s="482"/>
      <c r="B83" s="108" t="s">
        <v>741</v>
      </c>
      <c r="C83" s="23" t="s">
        <v>2609</v>
      </c>
      <c r="D83" s="24">
        <f>SUMIF(Master!A:A,Journals!C83,Master!E:E)</f>
        <v>10859.39</v>
      </c>
      <c r="E83" s="25" t="str">
        <f t="shared" ref="E83" si="3">E82</f>
        <v>Property Outgoings Accrual</v>
      </c>
      <c r="F83" s="487" t="str">
        <f t="shared" si="2"/>
        <v>Apr 2021</v>
      </c>
      <c r="G83" s="25"/>
      <c r="H83" s="25"/>
    </row>
    <row r="84" spans="1:8" x14ac:dyDescent="0.3">
      <c r="A84" s="482"/>
      <c r="B84" s="161" t="s">
        <v>741</v>
      </c>
      <c r="C84" s="77" t="s">
        <v>3208</v>
      </c>
      <c r="D84" s="78">
        <f>-SUM(D17:D83)</f>
        <v>-99098.104166666686</v>
      </c>
      <c r="E84" s="26" t="str">
        <f>E83</f>
        <v>Property Outgoings Accrual</v>
      </c>
      <c r="F84" s="489" t="str">
        <f t="shared" si="2"/>
        <v>Apr 2021</v>
      </c>
      <c r="G84" s="26"/>
      <c r="H84" s="26"/>
    </row>
    <row r="85" spans="1:8" hidden="1" x14ac:dyDescent="0.3">
      <c r="A85" s="482"/>
      <c r="B85" s="108" t="s">
        <v>741</v>
      </c>
      <c r="C85" s="23" t="s">
        <v>1139</v>
      </c>
      <c r="D85" s="24">
        <f>SUMIF(Master!A:A,Journals!C85,Master!E:E)</f>
        <v>0</v>
      </c>
      <c r="E85" s="25" t="s">
        <v>3270</v>
      </c>
      <c r="F85" s="487" t="str">
        <f t="shared" si="2"/>
        <v>Apr 2021</v>
      </c>
      <c r="G85" s="25"/>
      <c r="H85" s="25"/>
    </row>
    <row r="86" spans="1:8" hidden="1" x14ac:dyDescent="0.3">
      <c r="A86" s="482"/>
      <c r="B86" s="108" t="s">
        <v>741</v>
      </c>
      <c r="C86" s="23" t="s">
        <v>1153</v>
      </c>
      <c r="D86" s="24">
        <f>SUMIF(Master!A:A,Journals!C86,Master!E:E)</f>
        <v>0</v>
      </c>
      <c r="E86" s="25" t="str">
        <f>E85</f>
        <v>Advertisement &amp; Promo Accrual</v>
      </c>
      <c r="F86" s="487" t="str">
        <f t="shared" si="2"/>
        <v>Apr 2021</v>
      </c>
      <c r="G86" s="25"/>
      <c r="H86" s="25"/>
    </row>
    <row r="87" spans="1:8" hidden="1" x14ac:dyDescent="0.3">
      <c r="A87" s="482"/>
      <c r="B87" s="108" t="s">
        <v>741</v>
      </c>
      <c r="C87" s="23" t="s">
        <v>1154</v>
      </c>
      <c r="D87" s="24">
        <f>SUMIF(Master!A:A,Journals!C87,Master!E:E)</f>
        <v>0</v>
      </c>
      <c r="E87" s="25" t="str">
        <f>$E$86</f>
        <v>Advertisement &amp; Promo Accrual</v>
      </c>
      <c r="F87" s="487" t="str">
        <f t="shared" si="2"/>
        <v>Apr 2021</v>
      </c>
      <c r="G87" s="25"/>
      <c r="H87" s="25"/>
    </row>
    <row r="88" spans="1:8" hidden="1" x14ac:dyDescent="0.3">
      <c r="A88" s="482"/>
      <c r="B88" s="108" t="s">
        <v>741</v>
      </c>
      <c r="C88" s="23" t="s">
        <v>1157</v>
      </c>
      <c r="D88" s="24">
        <f>SUMIF(Master!A:A,Journals!C88,Master!E:E)</f>
        <v>4.4551499999999997</v>
      </c>
      <c r="E88" s="25" t="str">
        <f t="shared" ref="E88:E135" si="4">$E$86</f>
        <v>Advertisement &amp; Promo Accrual</v>
      </c>
      <c r="F88" s="487" t="str">
        <f t="shared" si="2"/>
        <v>Apr 2021</v>
      </c>
      <c r="G88" s="25"/>
      <c r="H88" s="25"/>
    </row>
    <row r="89" spans="1:8" hidden="1" x14ac:dyDescent="0.3">
      <c r="A89" s="482"/>
      <c r="B89" s="108" t="s">
        <v>741</v>
      </c>
      <c r="C89" s="23" t="s">
        <v>1174</v>
      </c>
      <c r="D89" s="24">
        <f>SUMIF(Master!A:A,Journals!C89,Master!E:E)</f>
        <v>114.12295</v>
      </c>
      <c r="E89" s="25" t="str">
        <f t="shared" si="4"/>
        <v>Advertisement &amp; Promo Accrual</v>
      </c>
      <c r="F89" s="487" t="str">
        <f t="shared" si="2"/>
        <v>Apr 2021</v>
      </c>
      <c r="G89" s="25"/>
      <c r="H89" s="25"/>
    </row>
    <row r="90" spans="1:8" hidden="1" x14ac:dyDescent="0.3">
      <c r="A90" s="482"/>
      <c r="B90" s="108" t="s">
        <v>741</v>
      </c>
      <c r="C90" s="108" t="s">
        <v>1186</v>
      </c>
      <c r="D90" s="24">
        <f>SUMIF(Master!A:A,Journals!C90,Master!E:E)</f>
        <v>213.07085000000001</v>
      </c>
      <c r="E90" s="25" t="str">
        <f t="shared" si="4"/>
        <v>Advertisement &amp; Promo Accrual</v>
      </c>
      <c r="F90" s="487" t="str">
        <f t="shared" si="2"/>
        <v>Apr 2021</v>
      </c>
      <c r="G90" s="25"/>
      <c r="H90" s="25"/>
    </row>
    <row r="91" spans="1:8" hidden="1" x14ac:dyDescent="0.3">
      <c r="A91" s="482"/>
      <c r="B91" s="108" t="s">
        <v>741</v>
      </c>
      <c r="C91" s="108" t="s">
        <v>1195</v>
      </c>
      <c r="D91" s="24">
        <f>SUMIF(Master!A:A,Journals!C91,Master!E:E)</f>
        <v>440</v>
      </c>
      <c r="E91" s="25" t="str">
        <f t="shared" si="4"/>
        <v>Advertisement &amp; Promo Accrual</v>
      </c>
      <c r="F91" s="487" t="str">
        <f t="shared" si="2"/>
        <v>Apr 2021</v>
      </c>
      <c r="G91" s="25"/>
      <c r="H91" s="25"/>
    </row>
    <row r="92" spans="1:8" hidden="1" x14ac:dyDescent="0.3">
      <c r="A92" s="482"/>
      <c r="B92" s="108" t="s">
        <v>741</v>
      </c>
      <c r="C92" s="108" t="s">
        <v>1202</v>
      </c>
      <c r="D92" s="24">
        <f>SUMIF(Master!A:A,Journals!C92,Master!E:E)</f>
        <v>842</v>
      </c>
      <c r="E92" s="25" t="str">
        <f t="shared" si="4"/>
        <v>Advertisement &amp; Promo Accrual</v>
      </c>
      <c r="F92" s="487" t="str">
        <f t="shared" si="2"/>
        <v>Apr 2021</v>
      </c>
      <c r="G92" s="25"/>
      <c r="H92" s="25"/>
    </row>
    <row r="93" spans="1:8" hidden="1" x14ac:dyDescent="0.3">
      <c r="A93" s="482"/>
      <c r="B93" s="108" t="s">
        <v>741</v>
      </c>
      <c r="C93" s="23" t="s">
        <v>1203</v>
      </c>
      <c r="D93" s="24">
        <f>SUMIF(Master!A:A,Journals!C93,Master!E:E)</f>
        <v>2696.34</v>
      </c>
      <c r="E93" s="25" t="str">
        <f t="shared" si="4"/>
        <v>Advertisement &amp; Promo Accrual</v>
      </c>
      <c r="F93" s="487" t="str">
        <f t="shared" si="2"/>
        <v>Apr 2021</v>
      </c>
      <c r="G93" s="25"/>
      <c r="H93" s="25"/>
    </row>
    <row r="94" spans="1:8" hidden="1" x14ac:dyDescent="0.3">
      <c r="A94" s="482"/>
      <c r="B94" s="108" t="s">
        <v>741</v>
      </c>
      <c r="C94" s="23" t="s">
        <v>1253</v>
      </c>
      <c r="D94" s="24">
        <f>SUMIF(Master!A:A,Journals!C94,Master!E:E)</f>
        <v>6374.6654499999995</v>
      </c>
      <c r="E94" s="25" t="str">
        <f t="shared" si="4"/>
        <v>Advertisement &amp; Promo Accrual</v>
      </c>
      <c r="F94" s="487" t="str">
        <f t="shared" si="2"/>
        <v>Apr 2021</v>
      </c>
      <c r="G94" s="25"/>
      <c r="H94" s="25"/>
    </row>
    <row r="95" spans="1:8" hidden="1" x14ac:dyDescent="0.3">
      <c r="A95" s="482"/>
      <c r="B95" s="108" t="s">
        <v>741</v>
      </c>
      <c r="C95" s="23" t="s">
        <v>1257</v>
      </c>
      <c r="D95" s="24">
        <f>SUMIF(Master!A:A,Journals!C95,Master!E:E)</f>
        <v>8385.7763500000001</v>
      </c>
      <c r="E95" s="25" t="str">
        <f t="shared" si="4"/>
        <v>Advertisement &amp; Promo Accrual</v>
      </c>
      <c r="F95" s="487" t="str">
        <f t="shared" si="2"/>
        <v>Apr 2021</v>
      </c>
      <c r="G95" s="25"/>
      <c r="H95" s="25"/>
    </row>
    <row r="96" spans="1:8" hidden="1" x14ac:dyDescent="0.3">
      <c r="A96" s="482"/>
      <c r="B96" s="108" t="s">
        <v>741</v>
      </c>
      <c r="C96" s="23" t="s">
        <v>1258</v>
      </c>
      <c r="D96" s="24">
        <f>SUMIF(Master!A:A,Journals!C96,Master!E:E)</f>
        <v>1254.98</v>
      </c>
      <c r="E96" s="25" t="str">
        <f t="shared" si="4"/>
        <v>Advertisement &amp; Promo Accrual</v>
      </c>
      <c r="F96" s="487" t="str">
        <f t="shared" si="2"/>
        <v>Apr 2021</v>
      </c>
      <c r="G96" s="25"/>
      <c r="H96" s="25"/>
    </row>
    <row r="97" spans="1:8" hidden="1" x14ac:dyDescent="0.3">
      <c r="A97" s="482"/>
      <c r="B97" s="108" t="s">
        <v>741</v>
      </c>
      <c r="C97" s="23" t="s">
        <v>1259</v>
      </c>
      <c r="D97" s="24">
        <f>SUMIF(Master!A:A,Journals!C97,Master!E:E)</f>
        <v>1200</v>
      </c>
      <c r="E97" s="25" t="str">
        <f t="shared" si="4"/>
        <v>Advertisement &amp; Promo Accrual</v>
      </c>
      <c r="F97" s="487" t="str">
        <f t="shared" si="2"/>
        <v>Apr 2021</v>
      </c>
      <c r="G97" s="25"/>
      <c r="H97" s="25"/>
    </row>
    <row r="98" spans="1:8" hidden="1" x14ac:dyDescent="0.3">
      <c r="A98" s="482"/>
      <c r="B98" s="108" t="s">
        <v>741</v>
      </c>
      <c r="C98" s="23" t="s">
        <v>1260</v>
      </c>
      <c r="D98" s="24">
        <f>SUMIF(Master!A:A,Journals!C98,Master!E:E)</f>
        <v>1087.3117999999999</v>
      </c>
      <c r="E98" s="25" t="str">
        <f t="shared" si="4"/>
        <v>Advertisement &amp; Promo Accrual</v>
      </c>
      <c r="F98" s="487" t="str">
        <f t="shared" si="2"/>
        <v>Apr 2021</v>
      </c>
      <c r="G98" s="25"/>
      <c r="H98" s="25"/>
    </row>
    <row r="99" spans="1:8" hidden="1" x14ac:dyDescent="0.3">
      <c r="A99" s="482"/>
      <c r="B99" s="108" t="s">
        <v>741</v>
      </c>
      <c r="C99" s="23" t="s">
        <v>1263</v>
      </c>
      <c r="D99" s="24">
        <f>SUMIF(Master!A:A,Journals!C99,Master!E:E)</f>
        <v>0</v>
      </c>
      <c r="E99" s="25" t="str">
        <f t="shared" si="4"/>
        <v>Advertisement &amp; Promo Accrual</v>
      </c>
      <c r="F99" s="487" t="str">
        <f t="shared" si="2"/>
        <v>Apr 2021</v>
      </c>
      <c r="G99" s="25"/>
      <c r="H99" s="25"/>
    </row>
    <row r="100" spans="1:8" hidden="1" x14ac:dyDescent="0.3">
      <c r="A100" s="482"/>
      <c r="B100" s="108" t="s">
        <v>741</v>
      </c>
      <c r="C100" s="23" t="s">
        <v>1211</v>
      </c>
      <c r="D100" s="24">
        <f>SUMIF(Master!A:A,Journals!C100,Master!E:E)</f>
        <v>0</v>
      </c>
      <c r="E100" s="25" t="str">
        <f t="shared" si="4"/>
        <v>Advertisement &amp; Promo Accrual</v>
      </c>
      <c r="F100" s="487" t="str">
        <f t="shared" si="2"/>
        <v>Apr 2021</v>
      </c>
      <c r="G100" s="25"/>
      <c r="H100" s="25"/>
    </row>
    <row r="101" spans="1:8" hidden="1" x14ac:dyDescent="0.3">
      <c r="A101" s="482"/>
      <c r="B101" s="108" t="s">
        <v>741</v>
      </c>
      <c r="C101" s="23" t="s">
        <v>1284</v>
      </c>
      <c r="D101" s="24">
        <f>SUMIF(Master!A:A,Journals!C101,Master!E:E)</f>
        <v>5459.2792030000001</v>
      </c>
      <c r="E101" s="25" t="str">
        <f t="shared" si="4"/>
        <v>Advertisement &amp; Promo Accrual</v>
      </c>
      <c r="F101" s="487" t="str">
        <f t="shared" si="2"/>
        <v>Apr 2021</v>
      </c>
      <c r="G101" s="25"/>
      <c r="H101" s="25"/>
    </row>
    <row r="102" spans="1:8" hidden="1" x14ac:dyDescent="0.3">
      <c r="A102" s="482"/>
      <c r="B102" s="108" t="s">
        <v>741</v>
      </c>
      <c r="C102" s="23" t="s">
        <v>1285</v>
      </c>
      <c r="D102" s="24">
        <f>SUMIF(Master!A:A,Journals!C102,Master!E:E)</f>
        <v>1498.56</v>
      </c>
      <c r="E102" s="25" t="str">
        <f t="shared" si="4"/>
        <v>Advertisement &amp; Promo Accrual</v>
      </c>
      <c r="F102" s="487" t="str">
        <f t="shared" si="2"/>
        <v>Apr 2021</v>
      </c>
      <c r="G102" s="25"/>
      <c r="H102" s="25"/>
    </row>
    <row r="103" spans="1:8" hidden="1" x14ac:dyDescent="0.3">
      <c r="A103" s="482"/>
      <c r="B103" s="108" t="s">
        <v>741</v>
      </c>
      <c r="C103" s="23" t="s">
        <v>1286</v>
      </c>
      <c r="D103" s="24">
        <f>SUMIF(Master!A:A,Journals!C103,Master!E:E)</f>
        <v>1525.8440779999999</v>
      </c>
      <c r="E103" s="25" t="str">
        <f t="shared" si="4"/>
        <v>Advertisement &amp; Promo Accrual</v>
      </c>
      <c r="F103" s="487" t="str">
        <f t="shared" si="2"/>
        <v>Apr 2021</v>
      </c>
      <c r="G103" s="25"/>
      <c r="H103" s="25"/>
    </row>
    <row r="104" spans="1:8" hidden="1" x14ac:dyDescent="0.3">
      <c r="A104" s="482"/>
      <c r="B104" s="108" t="s">
        <v>741</v>
      </c>
      <c r="C104" s="23" t="s">
        <v>1287</v>
      </c>
      <c r="D104" s="24">
        <f>SUMIF(Master!A:A,Journals!C104,Master!E:E)</f>
        <v>86505.482937000008</v>
      </c>
      <c r="E104" s="25" t="str">
        <f t="shared" si="4"/>
        <v>Advertisement &amp; Promo Accrual</v>
      </c>
      <c r="F104" s="487" t="str">
        <f t="shared" si="2"/>
        <v>Apr 2021</v>
      </c>
      <c r="G104" s="25"/>
      <c r="H104" s="25"/>
    </row>
    <row r="105" spans="1:8" hidden="1" x14ac:dyDescent="0.3">
      <c r="A105" s="482"/>
      <c r="B105" s="108" t="s">
        <v>741</v>
      </c>
      <c r="C105" s="23" t="s">
        <v>1290</v>
      </c>
      <c r="D105" s="24">
        <f>SUMIF(Master!A:A,Journals!C105,Master!E:E)</f>
        <v>1080</v>
      </c>
      <c r="E105" s="25" t="str">
        <f t="shared" si="4"/>
        <v>Advertisement &amp; Promo Accrual</v>
      </c>
      <c r="F105" s="487" t="str">
        <f t="shared" si="2"/>
        <v>Apr 2021</v>
      </c>
      <c r="G105" s="25"/>
      <c r="H105" s="25"/>
    </row>
    <row r="106" spans="1:8" hidden="1" x14ac:dyDescent="0.3">
      <c r="A106" s="482"/>
      <c r="B106" s="108" t="s">
        <v>741</v>
      </c>
      <c r="C106" s="23" t="s">
        <v>1293</v>
      </c>
      <c r="D106" s="24">
        <f>SUMIF(Master!A:A,Journals!C106,Master!E:E)</f>
        <v>330</v>
      </c>
      <c r="E106" s="25" t="str">
        <f t="shared" si="4"/>
        <v>Advertisement &amp; Promo Accrual</v>
      </c>
      <c r="F106" s="487" t="str">
        <f t="shared" si="2"/>
        <v>Apr 2021</v>
      </c>
      <c r="G106" s="25"/>
      <c r="H106" s="25"/>
    </row>
    <row r="107" spans="1:8" hidden="1" x14ac:dyDescent="0.3">
      <c r="A107" s="482"/>
      <c r="B107" s="108" t="s">
        <v>741</v>
      </c>
      <c r="C107" s="23" t="s">
        <v>3068</v>
      </c>
      <c r="D107" s="24">
        <f>SUMIF(Master!A:A,Journals!C107,Master!E:E)</f>
        <v>0</v>
      </c>
      <c r="E107" s="25" t="str">
        <f t="shared" si="4"/>
        <v>Advertisement &amp; Promo Accrual</v>
      </c>
      <c r="F107" s="487" t="str">
        <f t="shared" si="2"/>
        <v>Apr 2021</v>
      </c>
      <c r="G107" s="25"/>
      <c r="H107" s="25"/>
    </row>
    <row r="108" spans="1:8" hidden="1" x14ac:dyDescent="0.3">
      <c r="A108" s="482"/>
      <c r="B108" s="108" t="s">
        <v>741</v>
      </c>
      <c r="C108" s="23" t="s">
        <v>3069</v>
      </c>
      <c r="D108" s="24">
        <f>SUMIF(Master!A:A,Journals!C108,Master!E:E)</f>
        <v>0</v>
      </c>
      <c r="E108" s="25" t="str">
        <f t="shared" si="4"/>
        <v>Advertisement &amp; Promo Accrual</v>
      </c>
      <c r="F108" s="487" t="str">
        <f t="shared" si="2"/>
        <v>Apr 2021</v>
      </c>
      <c r="G108" s="25"/>
      <c r="H108" s="25"/>
    </row>
    <row r="109" spans="1:8" hidden="1" x14ac:dyDescent="0.3">
      <c r="A109" s="482"/>
      <c r="B109" s="108" t="s">
        <v>741</v>
      </c>
      <c r="C109" s="23" t="s">
        <v>1312</v>
      </c>
      <c r="D109" s="24">
        <f>SUMIF(Master!A:A,Journals!C109,Master!E:E)</f>
        <v>2067.8515499999999</v>
      </c>
      <c r="E109" s="25" t="str">
        <f t="shared" si="4"/>
        <v>Advertisement &amp; Promo Accrual</v>
      </c>
      <c r="F109" s="487" t="str">
        <f t="shared" si="2"/>
        <v>Apr 2021</v>
      </c>
      <c r="G109" s="25"/>
      <c r="H109" s="25"/>
    </row>
    <row r="110" spans="1:8" hidden="1" x14ac:dyDescent="0.3">
      <c r="A110" s="482"/>
      <c r="B110" s="108" t="s">
        <v>741</v>
      </c>
      <c r="C110" s="23" t="s">
        <v>1319</v>
      </c>
      <c r="D110" s="24">
        <f>SUMIF(Master!A:A,Journals!C110,Master!E:E)</f>
        <v>19062.495397000002</v>
      </c>
      <c r="E110" s="25" t="str">
        <f t="shared" si="4"/>
        <v>Advertisement &amp; Promo Accrual</v>
      </c>
      <c r="F110" s="487" t="str">
        <f t="shared" si="2"/>
        <v>Apr 2021</v>
      </c>
      <c r="G110" s="25"/>
      <c r="H110" s="25"/>
    </row>
    <row r="111" spans="1:8" hidden="1" x14ac:dyDescent="0.3">
      <c r="A111" s="482"/>
      <c r="B111" s="108" t="s">
        <v>741</v>
      </c>
      <c r="C111" s="23" t="s">
        <v>1322</v>
      </c>
      <c r="D111" s="24">
        <f>SUMIF(Master!A:A,Journals!C111,Master!E:E)</f>
        <v>1633.1575419999999</v>
      </c>
      <c r="E111" s="25" t="str">
        <f t="shared" si="4"/>
        <v>Advertisement &amp; Promo Accrual</v>
      </c>
      <c r="F111" s="487" t="str">
        <f t="shared" si="2"/>
        <v>Apr 2021</v>
      </c>
      <c r="G111" s="25"/>
      <c r="H111" s="25"/>
    </row>
    <row r="112" spans="1:8" hidden="1" x14ac:dyDescent="0.3">
      <c r="A112" s="482"/>
      <c r="B112" s="108" t="s">
        <v>741</v>
      </c>
      <c r="C112" s="23" t="s">
        <v>3070</v>
      </c>
      <c r="D112" s="24">
        <f>SUMIF(Master!A:A,Journals!C112,Master!E:E)</f>
        <v>0</v>
      </c>
      <c r="E112" s="25" t="str">
        <f t="shared" si="4"/>
        <v>Advertisement &amp; Promo Accrual</v>
      </c>
      <c r="F112" s="487" t="str">
        <f t="shared" si="2"/>
        <v>Apr 2021</v>
      </c>
      <c r="G112" s="25"/>
      <c r="H112" s="25"/>
    </row>
    <row r="113" spans="1:8" hidden="1" x14ac:dyDescent="0.3">
      <c r="A113" s="482"/>
      <c r="B113" s="108" t="s">
        <v>741</v>
      </c>
      <c r="C113" s="23" t="s">
        <v>1323</v>
      </c>
      <c r="D113" s="24">
        <f>SUMIF(Master!A:A,Journals!C113,Master!E:E)</f>
        <v>2038.2581249999998</v>
      </c>
      <c r="E113" s="25" t="str">
        <f t="shared" si="4"/>
        <v>Advertisement &amp; Promo Accrual</v>
      </c>
      <c r="F113" s="488" t="str">
        <f t="shared" si="2"/>
        <v>Apr 2021</v>
      </c>
      <c r="G113" s="86"/>
      <c r="H113" s="86"/>
    </row>
    <row r="114" spans="1:8" hidden="1" x14ac:dyDescent="0.3">
      <c r="A114" s="482"/>
      <c r="B114" s="108" t="s">
        <v>741</v>
      </c>
      <c r="C114" s="23" t="s">
        <v>1324</v>
      </c>
      <c r="D114" s="24">
        <f>SUMIF(Master!A:A,Journals!C114,Master!E:E)</f>
        <v>15638.058675</v>
      </c>
      <c r="E114" s="25" t="str">
        <f t="shared" si="4"/>
        <v>Advertisement &amp; Promo Accrual</v>
      </c>
      <c r="F114" s="487" t="str">
        <f t="shared" si="2"/>
        <v>Apr 2021</v>
      </c>
      <c r="G114" s="25"/>
      <c r="H114" s="25"/>
    </row>
    <row r="115" spans="1:8" hidden="1" x14ac:dyDescent="0.3">
      <c r="A115" s="482"/>
      <c r="B115" s="108" t="s">
        <v>741</v>
      </c>
      <c r="C115" s="23" t="s">
        <v>1325</v>
      </c>
      <c r="D115" s="24">
        <f>SUMIF(Master!A:A,Journals!C115,Master!E:E)</f>
        <v>20709.928906000001</v>
      </c>
      <c r="E115" s="25" t="str">
        <f t="shared" si="4"/>
        <v>Advertisement &amp; Promo Accrual</v>
      </c>
      <c r="F115" s="487" t="str">
        <f t="shared" si="2"/>
        <v>Apr 2021</v>
      </c>
      <c r="G115" s="25"/>
      <c r="H115" s="25"/>
    </row>
    <row r="116" spans="1:8" hidden="1" x14ac:dyDescent="0.3">
      <c r="A116" s="482"/>
      <c r="B116" s="108" t="s">
        <v>741</v>
      </c>
      <c r="C116" s="23" t="s">
        <v>1326</v>
      </c>
      <c r="D116" s="24">
        <f>SUMIF(Master!A:A,Journals!C116,Master!E:E)</f>
        <v>1969.591795</v>
      </c>
      <c r="E116" s="25" t="str">
        <f t="shared" si="4"/>
        <v>Advertisement &amp; Promo Accrual</v>
      </c>
      <c r="F116" s="487" t="str">
        <f t="shared" si="2"/>
        <v>Apr 2021</v>
      </c>
      <c r="G116" s="25"/>
      <c r="H116" s="25"/>
    </row>
    <row r="117" spans="1:8" hidden="1" x14ac:dyDescent="0.3">
      <c r="A117" s="482"/>
      <c r="B117" s="108" t="s">
        <v>741</v>
      </c>
      <c r="C117" s="23" t="s">
        <v>1327</v>
      </c>
      <c r="D117" s="24">
        <f>SUMIF(Master!A:A,Journals!C117,Master!E:E)</f>
        <v>2370.0142390000001</v>
      </c>
      <c r="E117" s="25" t="str">
        <f t="shared" si="4"/>
        <v>Advertisement &amp; Promo Accrual</v>
      </c>
      <c r="F117" s="487" t="str">
        <f t="shared" si="2"/>
        <v>Apr 2021</v>
      </c>
      <c r="G117" s="25"/>
      <c r="H117" s="25"/>
    </row>
    <row r="118" spans="1:8" hidden="1" x14ac:dyDescent="0.3">
      <c r="A118" s="482"/>
      <c r="B118" s="108" t="s">
        <v>741</v>
      </c>
      <c r="C118" s="23" t="s">
        <v>1328</v>
      </c>
      <c r="D118" s="24">
        <f>SUMIF(Master!A:A,Journals!C118,Master!E:E)</f>
        <v>1904.5722300000002</v>
      </c>
      <c r="E118" s="25" t="str">
        <f t="shared" si="4"/>
        <v>Advertisement &amp; Promo Accrual</v>
      </c>
      <c r="F118" s="487" t="str">
        <f t="shared" si="2"/>
        <v>Apr 2021</v>
      </c>
      <c r="G118" s="25"/>
      <c r="H118" s="25"/>
    </row>
    <row r="119" spans="1:8" hidden="1" x14ac:dyDescent="0.3">
      <c r="A119" s="482"/>
      <c r="B119" s="108" t="s">
        <v>741</v>
      </c>
      <c r="C119" s="23" t="s">
        <v>3071</v>
      </c>
      <c r="D119" s="24">
        <f>SUMIF(Master!A:A,Journals!C119,Master!E:E)</f>
        <v>0</v>
      </c>
      <c r="E119" s="25" t="str">
        <f t="shared" si="4"/>
        <v>Advertisement &amp; Promo Accrual</v>
      </c>
      <c r="F119" s="487" t="str">
        <f t="shared" si="2"/>
        <v>Apr 2021</v>
      </c>
      <c r="G119" s="25"/>
      <c r="H119" s="25"/>
    </row>
    <row r="120" spans="1:8" hidden="1" x14ac:dyDescent="0.3">
      <c r="A120" s="482"/>
      <c r="B120" s="108" t="s">
        <v>741</v>
      </c>
      <c r="C120" s="23" t="s">
        <v>1329</v>
      </c>
      <c r="D120" s="24">
        <f>SUMIF(Master!A:A,Journals!C120,Master!E:E)</f>
        <v>4999.9800000000005</v>
      </c>
      <c r="E120" s="25" t="str">
        <f t="shared" si="4"/>
        <v>Advertisement &amp; Promo Accrual</v>
      </c>
      <c r="F120" s="487" t="str">
        <f t="shared" si="2"/>
        <v>Apr 2021</v>
      </c>
      <c r="G120" s="25"/>
      <c r="H120" s="25"/>
    </row>
    <row r="121" spans="1:8" hidden="1" x14ac:dyDescent="0.3">
      <c r="A121" s="482"/>
      <c r="B121" s="108" t="s">
        <v>741</v>
      </c>
      <c r="C121" s="23" t="s">
        <v>3072</v>
      </c>
      <c r="D121" s="24">
        <f>SUMIF(Master!A:A,Journals!C121,Master!E:E)</f>
        <v>0</v>
      </c>
      <c r="E121" s="25" t="str">
        <f t="shared" si="4"/>
        <v>Advertisement &amp; Promo Accrual</v>
      </c>
      <c r="F121" s="488" t="str">
        <f t="shared" si="2"/>
        <v>Apr 2021</v>
      </c>
      <c r="G121" s="86"/>
      <c r="H121" s="86"/>
    </row>
    <row r="122" spans="1:8" hidden="1" x14ac:dyDescent="0.3">
      <c r="A122" s="482"/>
      <c r="B122" s="108" t="s">
        <v>741</v>
      </c>
      <c r="C122" s="23" t="s">
        <v>3073</v>
      </c>
      <c r="D122" s="24">
        <f>SUMIF(Master!A:A,Journals!C122,Master!E:E)</f>
        <v>0</v>
      </c>
      <c r="E122" s="25" t="str">
        <f t="shared" si="4"/>
        <v>Advertisement &amp; Promo Accrual</v>
      </c>
      <c r="F122" s="488" t="str">
        <f t="shared" si="2"/>
        <v>Apr 2021</v>
      </c>
      <c r="G122" s="86"/>
      <c r="H122" s="86"/>
    </row>
    <row r="123" spans="1:8" hidden="1" x14ac:dyDescent="0.3">
      <c r="A123" s="482"/>
      <c r="B123" s="108" t="s">
        <v>741</v>
      </c>
      <c r="C123" s="23" t="s">
        <v>3074</v>
      </c>
      <c r="D123" s="24">
        <f>SUMIF(Master!A:A,Journals!C123,Master!E:E)</f>
        <v>0</v>
      </c>
      <c r="E123" s="25" t="str">
        <f t="shared" si="4"/>
        <v>Advertisement &amp; Promo Accrual</v>
      </c>
      <c r="F123" s="488" t="str">
        <f t="shared" si="2"/>
        <v>Apr 2021</v>
      </c>
      <c r="G123" s="86"/>
      <c r="H123" s="86"/>
    </row>
    <row r="124" spans="1:8" hidden="1" x14ac:dyDescent="0.3">
      <c r="A124" s="482"/>
      <c r="B124" s="108" t="s">
        <v>741</v>
      </c>
      <c r="C124" s="23" t="s">
        <v>3075</v>
      </c>
      <c r="D124" s="24">
        <f>SUMIF(Master!A:A,Journals!C124,Master!E:E)</f>
        <v>0</v>
      </c>
      <c r="E124" s="25" t="str">
        <f t="shared" si="4"/>
        <v>Advertisement &amp; Promo Accrual</v>
      </c>
      <c r="F124" s="488" t="str">
        <f t="shared" si="2"/>
        <v>Apr 2021</v>
      </c>
      <c r="G124" s="86"/>
      <c r="H124" s="86"/>
    </row>
    <row r="125" spans="1:8" hidden="1" x14ac:dyDescent="0.3">
      <c r="A125" s="482"/>
      <c r="B125" s="108" t="s">
        <v>741</v>
      </c>
      <c r="C125" s="23" t="s">
        <v>1330</v>
      </c>
      <c r="D125" s="24">
        <f>SUMIF(Master!A:A,Journals!C125,Master!E:E)</f>
        <v>64.9024</v>
      </c>
      <c r="E125" s="25" t="str">
        <f t="shared" si="4"/>
        <v>Advertisement &amp; Promo Accrual</v>
      </c>
      <c r="F125" s="487" t="str">
        <f t="shared" si="2"/>
        <v>Apr 2021</v>
      </c>
      <c r="G125" s="25"/>
      <c r="H125" s="25"/>
    </row>
    <row r="126" spans="1:8" hidden="1" x14ac:dyDescent="0.3">
      <c r="A126" s="482"/>
      <c r="B126" s="108" t="s">
        <v>741</v>
      </c>
      <c r="C126" s="23" t="s">
        <v>3076</v>
      </c>
      <c r="D126" s="24">
        <f>SUMIF(Master!A:A,Journals!C126,Master!E:E)</f>
        <v>0</v>
      </c>
      <c r="E126" s="25" t="str">
        <f t="shared" si="4"/>
        <v>Advertisement &amp; Promo Accrual</v>
      </c>
      <c r="F126" s="487" t="str">
        <f t="shared" si="2"/>
        <v>Apr 2021</v>
      </c>
      <c r="G126" s="25"/>
      <c r="H126" s="25"/>
    </row>
    <row r="127" spans="1:8" hidden="1" x14ac:dyDescent="0.3">
      <c r="A127" s="482"/>
      <c r="B127" s="108" t="s">
        <v>741</v>
      </c>
      <c r="C127" s="23" t="s">
        <v>1331</v>
      </c>
      <c r="D127" s="24">
        <f>SUMIF(Master!A:A,Journals!C127,Master!E:E)</f>
        <v>2061.6396000000004</v>
      </c>
      <c r="E127" s="25" t="str">
        <f t="shared" si="4"/>
        <v>Advertisement &amp; Promo Accrual</v>
      </c>
      <c r="F127" s="487" t="str">
        <f t="shared" si="2"/>
        <v>Apr 2021</v>
      </c>
      <c r="G127" s="25"/>
      <c r="H127" s="25"/>
    </row>
    <row r="128" spans="1:8" hidden="1" x14ac:dyDescent="0.3">
      <c r="A128" s="482"/>
      <c r="B128" s="108" t="s">
        <v>741</v>
      </c>
      <c r="C128" s="23" t="s">
        <v>1332</v>
      </c>
      <c r="D128" s="24">
        <f>SUMIF(Master!A:A,Journals!C128,Master!E:E)</f>
        <v>567.64089999999999</v>
      </c>
      <c r="E128" s="25" t="str">
        <f t="shared" si="4"/>
        <v>Advertisement &amp; Promo Accrual</v>
      </c>
      <c r="F128" s="487" t="str">
        <f t="shared" si="2"/>
        <v>Apr 2021</v>
      </c>
      <c r="G128" s="25"/>
      <c r="H128" s="25"/>
    </row>
    <row r="129" spans="1:8" hidden="1" x14ac:dyDescent="0.3">
      <c r="A129" s="482"/>
      <c r="B129" s="108" t="s">
        <v>741</v>
      </c>
      <c r="C129" s="23" t="s">
        <v>3077</v>
      </c>
      <c r="D129" s="24">
        <f>SUMIF(Master!A:A,Journals!C129,Master!E:E)</f>
        <v>0</v>
      </c>
      <c r="E129" s="25" t="str">
        <f t="shared" si="4"/>
        <v>Advertisement &amp; Promo Accrual</v>
      </c>
      <c r="F129" s="487" t="str">
        <f t="shared" si="2"/>
        <v>Apr 2021</v>
      </c>
      <c r="G129" s="25"/>
      <c r="H129" s="25"/>
    </row>
    <row r="130" spans="1:8" hidden="1" x14ac:dyDescent="0.3">
      <c r="A130" s="482"/>
      <c r="B130" s="108" t="s">
        <v>741</v>
      </c>
      <c r="C130" s="23" t="s">
        <v>3078</v>
      </c>
      <c r="D130" s="24">
        <f>SUMIF(Master!A:A,Journals!C130,Master!E:E)</f>
        <v>0</v>
      </c>
      <c r="E130" s="25" t="str">
        <f t="shared" si="4"/>
        <v>Advertisement &amp; Promo Accrual</v>
      </c>
      <c r="F130" s="487" t="str">
        <f t="shared" si="2"/>
        <v>Apr 2021</v>
      </c>
      <c r="G130" s="25"/>
      <c r="H130" s="25"/>
    </row>
    <row r="131" spans="1:8" hidden="1" x14ac:dyDescent="0.3">
      <c r="A131" s="482"/>
      <c r="B131" s="108" t="s">
        <v>741</v>
      </c>
      <c r="C131" s="23" t="s">
        <v>3079</v>
      </c>
      <c r="D131" s="24">
        <f>SUMIF(Master!A:A,Journals!C131,Master!E:E)</f>
        <v>0</v>
      </c>
      <c r="E131" s="25" t="str">
        <f t="shared" si="4"/>
        <v>Advertisement &amp; Promo Accrual</v>
      </c>
      <c r="F131" s="487" t="str">
        <f t="shared" si="2"/>
        <v>Apr 2021</v>
      </c>
      <c r="G131" s="25"/>
      <c r="H131" s="25"/>
    </row>
    <row r="132" spans="1:8" hidden="1" x14ac:dyDescent="0.3">
      <c r="A132" s="482"/>
      <c r="B132" s="108" t="s">
        <v>741</v>
      </c>
      <c r="C132" s="23" t="s">
        <v>1333</v>
      </c>
      <c r="D132" s="24">
        <f>SUMIF(Master!A:A,Journals!C132,Master!E:E)</f>
        <v>0</v>
      </c>
      <c r="E132" s="25" t="str">
        <f t="shared" si="4"/>
        <v>Advertisement &amp; Promo Accrual</v>
      </c>
      <c r="F132" s="487" t="str">
        <f t="shared" si="2"/>
        <v>Apr 2021</v>
      </c>
      <c r="G132" s="25"/>
      <c r="H132" s="25"/>
    </row>
    <row r="133" spans="1:8" hidden="1" x14ac:dyDescent="0.3">
      <c r="A133" s="482"/>
      <c r="B133" s="108" t="s">
        <v>741</v>
      </c>
      <c r="C133" s="23" t="s">
        <v>1334</v>
      </c>
      <c r="D133" s="24">
        <f>SUMIF(Master!A:A,Journals!C133,Master!E:E)</f>
        <v>0</v>
      </c>
      <c r="E133" s="25" t="str">
        <f t="shared" si="4"/>
        <v>Advertisement &amp; Promo Accrual</v>
      </c>
      <c r="F133" s="487" t="str">
        <f t="shared" si="2"/>
        <v>Apr 2021</v>
      </c>
      <c r="G133" s="25"/>
      <c r="H133" s="25"/>
    </row>
    <row r="134" spans="1:8" hidden="1" x14ac:dyDescent="0.3">
      <c r="A134" s="482"/>
      <c r="B134" s="108" t="s">
        <v>741</v>
      </c>
      <c r="C134" s="23" t="s">
        <v>3080</v>
      </c>
      <c r="D134" s="24">
        <f>SUMIF(Master!A:A,Journals!C134,Master!E:E)</f>
        <v>0</v>
      </c>
      <c r="E134" s="25" t="str">
        <f t="shared" si="4"/>
        <v>Advertisement &amp; Promo Accrual</v>
      </c>
      <c r="F134" s="487" t="str">
        <f t="shared" si="2"/>
        <v>Apr 2021</v>
      </c>
      <c r="G134" s="25"/>
      <c r="H134" s="25"/>
    </row>
    <row r="135" spans="1:8" x14ac:dyDescent="0.3">
      <c r="A135" s="482"/>
      <c r="B135" s="161" t="s">
        <v>741</v>
      </c>
      <c r="C135" s="77" t="s">
        <v>3208</v>
      </c>
      <c r="D135" s="78">
        <f>-SUM(D85:D134)</f>
        <v>-194099.98012700002</v>
      </c>
      <c r="E135" s="26" t="str">
        <f t="shared" si="4"/>
        <v>Advertisement &amp; Promo Accrual</v>
      </c>
      <c r="F135" s="489" t="str">
        <f t="shared" si="2"/>
        <v>Apr 2021</v>
      </c>
      <c r="G135" s="26"/>
      <c r="H135" s="26"/>
    </row>
    <row r="136" spans="1:8" hidden="1" x14ac:dyDescent="0.3">
      <c r="A136" s="482"/>
      <c r="B136" s="108" t="s">
        <v>741</v>
      </c>
      <c r="C136" s="23" t="s">
        <v>3065</v>
      </c>
      <c r="D136" s="24">
        <f>SUMIF(Master!A:A,Journals!C136,Master!E:E)</f>
        <v>0</v>
      </c>
      <c r="E136" s="25" t="s">
        <v>3263</v>
      </c>
      <c r="F136" s="487" t="str">
        <f t="shared" si="2"/>
        <v>Apr 2021</v>
      </c>
      <c r="G136" s="25"/>
      <c r="H136" s="25"/>
    </row>
    <row r="137" spans="1:8" hidden="1" x14ac:dyDescent="0.3">
      <c r="A137" s="482"/>
      <c r="B137" s="108" t="s">
        <v>741</v>
      </c>
      <c r="C137" s="23" t="s">
        <v>3209</v>
      </c>
      <c r="D137" s="24">
        <f>SUMIF(Master!A:A,Journals!C137,Master!E:E)</f>
        <v>0</v>
      </c>
      <c r="E137" s="25" t="str">
        <f>$E$136</f>
        <v xml:space="preserve">Waste Disposal Accrual </v>
      </c>
      <c r="F137" s="487" t="str">
        <f t="shared" si="2"/>
        <v>Apr 2021</v>
      </c>
      <c r="G137" s="25"/>
      <c r="H137" s="25"/>
    </row>
    <row r="138" spans="1:8" hidden="1" x14ac:dyDescent="0.3">
      <c r="A138" s="482"/>
      <c r="B138" s="108" t="s">
        <v>741</v>
      </c>
      <c r="C138" s="23" t="s">
        <v>3210</v>
      </c>
      <c r="D138" s="24">
        <f>SUMIF(Master!A:A,Journals!C138,Master!E:E)</f>
        <v>0</v>
      </c>
      <c r="E138" s="25" t="str">
        <f t="shared" ref="E138:E201" si="5">$E$136</f>
        <v xml:space="preserve">Waste Disposal Accrual </v>
      </c>
      <c r="F138" s="487" t="str">
        <f t="shared" si="2"/>
        <v>Apr 2021</v>
      </c>
      <c r="G138" s="25"/>
      <c r="H138" s="25"/>
    </row>
    <row r="139" spans="1:8" hidden="1" x14ac:dyDescent="0.3">
      <c r="A139" s="482"/>
      <c r="B139" s="108" t="s">
        <v>741</v>
      </c>
      <c r="C139" s="23" t="s">
        <v>3211</v>
      </c>
      <c r="D139" s="24">
        <f>SUMIF(Master!A:A,Journals!C139,Master!E:E)</f>
        <v>0</v>
      </c>
      <c r="E139" s="25" t="str">
        <f t="shared" si="5"/>
        <v xml:space="preserve">Waste Disposal Accrual </v>
      </c>
      <c r="F139" s="487" t="str">
        <f t="shared" si="2"/>
        <v>Apr 2021</v>
      </c>
      <c r="G139" s="25"/>
      <c r="H139" s="25"/>
    </row>
    <row r="140" spans="1:8" hidden="1" x14ac:dyDescent="0.3">
      <c r="A140" s="482"/>
      <c r="B140" s="108" t="s">
        <v>741</v>
      </c>
      <c r="C140" s="108" t="s">
        <v>2734</v>
      </c>
      <c r="D140" s="24">
        <f>SUMIF(Master!A:A,Journals!C140,Master!E:E)</f>
        <v>0</v>
      </c>
      <c r="E140" s="25" t="str">
        <f t="shared" si="5"/>
        <v xml:space="preserve">Waste Disposal Accrual </v>
      </c>
      <c r="F140" s="488" t="str">
        <f t="shared" si="2"/>
        <v>Apr 2021</v>
      </c>
      <c r="G140" s="86"/>
      <c r="H140" s="86"/>
    </row>
    <row r="141" spans="1:8" hidden="1" x14ac:dyDescent="0.3">
      <c r="A141" s="482"/>
      <c r="B141" s="108" t="s">
        <v>741</v>
      </c>
      <c r="C141" s="23" t="s">
        <v>2808</v>
      </c>
      <c r="D141" s="24">
        <f>SUMIF(Master!A:A,Journals!C141,Master!E:E)</f>
        <v>0</v>
      </c>
      <c r="E141" s="25" t="str">
        <f t="shared" si="5"/>
        <v xml:space="preserve">Waste Disposal Accrual </v>
      </c>
      <c r="F141" s="487" t="str">
        <f t="shared" si="2"/>
        <v>Apr 2021</v>
      </c>
      <c r="G141" s="25"/>
      <c r="H141" s="25"/>
    </row>
    <row r="142" spans="1:8" hidden="1" x14ac:dyDescent="0.3">
      <c r="A142" s="482"/>
      <c r="B142" s="108" t="s">
        <v>741</v>
      </c>
      <c r="C142" s="23" t="s">
        <v>3212</v>
      </c>
      <c r="D142" s="24">
        <f>SUMIF(Master!A:A,Journals!C142,Master!E:E)</f>
        <v>0</v>
      </c>
      <c r="E142" s="25" t="str">
        <f t="shared" si="5"/>
        <v xml:space="preserve">Waste Disposal Accrual </v>
      </c>
      <c r="F142" s="487" t="str">
        <f t="shared" si="2"/>
        <v>Apr 2021</v>
      </c>
      <c r="G142" s="25"/>
      <c r="H142" s="25"/>
    </row>
    <row r="143" spans="1:8" hidden="1" x14ac:dyDescent="0.3">
      <c r="A143" s="482"/>
      <c r="B143" s="108" t="s">
        <v>741</v>
      </c>
      <c r="C143" s="23" t="s">
        <v>3213</v>
      </c>
      <c r="D143" s="24">
        <f>SUMIF(Master!A:A,Journals!C143,Master!E:E)</f>
        <v>0</v>
      </c>
      <c r="E143" s="25" t="str">
        <f t="shared" si="5"/>
        <v xml:space="preserve">Waste Disposal Accrual </v>
      </c>
      <c r="F143" s="487" t="str">
        <f t="shared" si="2"/>
        <v>Apr 2021</v>
      </c>
      <c r="G143" s="25"/>
      <c r="H143" s="25"/>
    </row>
    <row r="144" spans="1:8" hidden="1" x14ac:dyDescent="0.3">
      <c r="A144" s="482"/>
      <c r="B144" s="108" t="s">
        <v>741</v>
      </c>
      <c r="C144" s="23" t="s">
        <v>3214</v>
      </c>
      <c r="D144" s="24">
        <f>SUMIF(Master!A:A,Journals!C144,Master!E:E)</f>
        <v>0</v>
      </c>
      <c r="E144" s="25" t="str">
        <f t="shared" si="5"/>
        <v xml:space="preserve">Waste Disposal Accrual </v>
      </c>
      <c r="F144" s="487" t="str">
        <f t="shared" si="2"/>
        <v>Apr 2021</v>
      </c>
      <c r="G144" s="25"/>
      <c r="H144" s="25"/>
    </row>
    <row r="145" spans="1:8" hidden="1" x14ac:dyDescent="0.3">
      <c r="A145" s="482"/>
      <c r="B145" s="108" t="s">
        <v>741</v>
      </c>
      <c r="C145" s="23" t="s">
        <v>3215</v>
      </c>
      <c r="D145" s="24">
        <f>SUMIF(Master!A:A,Journals!C145,Master!E:E)</f>
        <v>0</v>
      </c>
      <c r="E145" s="25" t="str">
        <f t="shared" si="5"/>
        <v xml:space="preserve">Waste Disposal Accrual </v>
      </c>
      <c r="F145" s="487" t="str">
        <f t="shared" si="2"/>
        <v>Apr 2021</v>
      </c>
      <c r="G145" s="25"/>
      <c r="H145" s="25"/>
    </row>
    <row r="146" spans="1:8" hidden="1" x14ac:dyDescent="0.3">
      <c r="A146" s="482"/>
      <c r="B146" s="108" t="s">
        <v>741</v>
      </c>
      <c r="C146" s="23" t="s">
        <v>2837</v>
      </c>
      <c r="D146" s="24">
        <f>SUMIF(Master!A:A,Journals!C146,Master!E:E)</f>
        <v>0</v>
      </c>
      <c r="E146" s="25" t="str">
        <f t="shared" si="5"/>
        <v xml:space="preserve">Waste Disposal Accrual </v>
      </c>
      <c r="F146" s="487" t="str">
        <f t="shared" ref="F146:F202" si="6">$G$13</f>
        <v>Apr 2021</v>
      </c>
      <c r="G146" s="25"/>
      <c r="H146" s="25"/>
    </row>
    <row r="147" spans="1:8" hidden="1" x14ac:dyDescent="0.3">
      <c r="A147" s="482"/>
      <c r="B147" s="108" t="s">
        <v>741</v>
      </c>
      <c r="C147" s="23" t="s">
        <v>2856</v>
      </c>
      <c r="D147" s="24">
        <f>SUMIF(Master!A:A,Journals!C147,Master!E:E)</f>
        <v>0</v>
      </c>
      <c r="E147" s="25" t="str">
        <f t="shared" si="5"/>
        <v xml:space="preserve">Waste Disposal Accrual </v>
      </c>
      <c r="F147" s="487" t="str">
        <f t="shared" si="6"/>
        <v>Apr 2021</v>
      </c>
      <c r="G147" s="25"/>
      <c r="H147" s="25"/>
    </row>
    <row r="148" spans="1:8" hidden="1" x14ac:dyDescent="0.3">
      <c r="A148" s="482"/>
      <c r="B148" s="108" t="s">
        <v>741</v>
      </c>
      <c r="C148" s="23" t="s">
        <v>2871</v>
      </c>
      <c r="D148" s="24">
        <f>SUMIF(Master!A:A,Journals!C148,Master!E:E)</f>
        <v>0</v>
      </c>
      <c r="E148" s="25" t="str">
        <f t="shared" si="5"/>
        <v xml:space="preserve">Waste Disposal Accrual </v>
      </c>
      <c r="F148" s="487" t="str">
        <f t="shared" si="6"/>
        <v>Apr 2021</v>
      </c>
      <c r="G148" s="25"/>
      <c r="H148" s="25"/>
    </row>
    <row r="149" spans="1:8" hidden="1" x14ac:dyDescent="0.3">
      <c r="A149" s="482"/>
      <c r="B149" s="108" t="s">
        <v>741</v>
      </c>
      <c r="C149" s="23" t="s">
        <v>2906</v>
      </c>
      <c r="D149" s="24">
        <f>SUMIF(Master!A:A,Journals!C149,Master!E:E)</f>
        <v>0</v>
      </c>
      <c r="E149" s="25" t="str">
        <f t="shared" si="5"/>
        <v xml:space="preserve">Waste Disposal Accrual </v>
      </c>
      <c r="F149" s="487" t="str">
        <f t="shared" si="6"/>
        <v>Apr 2021</v>
      </c>
      <c r="G149" s="25"/>
      <c r="H149" s="25"/>
    </row>
    <row r="150" spans="1:8" hidden="1" x14ac:dyDescent="0.3">
      <c r="A150" s="482"/>
      <c r="B150" s="108" t="s">
        <v>741</v>
      </c>
      <c r="C150" s="23" t="s">
        <v>2919</v>
      </c>
      <c r="D150" s="24">
        <f>SUMIF(Master!A:A,Journals!C150,Master!E:E)</f>
        <v>0</v>
      </c>
      <c r="E150" s="25" t="str">
        <f t="shared" si="5"/>
        <v xml:space="preserve">Waste Disposal Accrual </v>
      </c>
      <c r="F150" s="487" t="str">
        <f t="shared" si="6"/>
        <v>Apr 2021</v>
      </c>
      <c r="G150" s="25"/>
      <c r="H150" s="25"/>
    </row>
    <row r="151" spans="1:8" hidden="1" x14ac:dyDescent="0.3">
      <c r="A151" s="482"/>
      <c r="B151" s="108" t="s">
        <v>741</v>
      </c>
      <c r="C151" s="23" t="s">
        <v>2941</v>
      </c>
      <c r="D151" s="24">
        <f>SUMIF(Master!A:A,Journals!C151,Master!E:E)</f>
        <v>0</v>
      </c>
      <c r="E151" s="25" t="str">
        <f t="shared" si="5"/>
        <v xml:space="preserve">Waste Disposal Accrual </v>
      </c>
      <c r="F151" s="487" t="str">
        <f t="shared" si="6"/>
        <v>Apr 2021</v>
      </c>
      <c r="G151" s="25"/>
      <c r="H151" s="25"/>
    </row>
    <row r="152" spans="1:8" hidden="1" x14ac:dyDescent="0.3">
      <c r="A152" s="482"/>
      <c r="B152" s="108" t="s">
        <v>741</v>
      </c>
      <c r="C152" s="23" t="s">
        <v>2963</v>
      </c>
      <c r="D152" s="24">
        <f>SUMIF(Master!A:A,Journals!C152,Master!E:E)</f>
        <v>0</v>
      </c>
      <c r="E152" s="25" t="str">
        <f t="shared" si="5"/>
        <v xml:space="preserve">Waste Disposal Accrual </v>
      </c>
      <c r="F152" s="487" t="str">
        <f t="shared" si="6"/>
        <v>Apr 2021</v>
      </c>
      <c r="G152" s="25"/>
      <c r="H152" s="25"/>
    </row>
    <row r="153" spans="1:8" hidden="1" x14ac:dyDescent="0.3">
      <c r="A153" s="482"/>
      <c r="B153" s="108" t="s">
        <v>741</v>
      </c>
      <c r="C153" s="23" t="s">
        <v>3216</v>
      </c>
      <c r="D153" s="24">
        <f>SUMIF(Master!A:A,Journals!C153,Master!E:E)</f>
        <v>0</v>
      </c>
      <c r="E153" s="25" t="str">
        <f t="shared" si="5"/>
        <v xml:space="preserve">Waste Disposal Accrual </v>
      </c>
      <c r="F153" s="487" t="str">
        <f t="shared" si="6"/>
        <v>Apr 2021</v>
      </c>
      <c r="G153" s="25"/>
      <c r="H153" s="25"/>
    </row>
    <row r="154" spans="1:8" hidden="1" x14ac:dyDescent="0.3">
      <c r="A154" s="482"/>
      <c r="B154" s="108" t="s">
        <v>741</v>
      </c>
      <c r="C154" s="23" t="s">
        <v>3217</v>
      </c>
      <c r="D154" s="24">
        <f>SUMIF(Master!A:A,Journals!C154,Master!E:E)</f>
        <v>0</v>
      </c>
      <c r="E154" s="25" t="str">
        <f t="shared" si="5"/>
        <v xml:space="preserve">Waste Disposal Accrual </v>
      </c>
      <c r="F154" s="487" t="str">
        <f t="shared" si="6"/>
        <v>Apr 2021</v>
      </c>
      <c r="G154" s="25"/>
      <c r="H154" s="25"/>
    </row>
    <row r="155" spans="1:8" hidden="1" x14ac:dyDescent="0.3">
      <c r="A155" s="482"/>
      <c r="B155" s="108" t="s">
        <v>741</v>
      </c>
      <c r="C155" s="23" t="s">
        <v>3218</v>
      </c>
      <c r="D155" s="24">
        <f>SUMIF(Master!A:A,Journals!C155,Master!E:E)</f>
        <v>0</v>
      </c>
      <c r="E155" s="25" t="str">
        <f t="shared" si="5"/>
        <v xml:space="preserve">Waste Disposal Accrual </v>
      </c>
      <c r="F155" s="487" t="str">
        <f t="shared" si="6"/>
        <v>Apr 2021</v>
      </c>
      <c r="G155" s="25"/>
      <c r="H155" s="25"/>
    </row>
    <row r="156" spans="1:8" hidden="1" x14ac:dyDescent="0.3">
      <c r="A156" s="482"/>
      <c r="B156" s="108" t="s">
        <v>741</v>
      </c>
      <c r="C156" s="23" t="s">
        <v>3219</v>
      </c>
      <c r="D156" s="24">
        <f>SUMIF(Master!A:A,Journals!C156,Master!E:E)</f>
        <v>0</v>
      </c>
      <c r="E156" s="25" t="str">
        <f t="shared" si="5"/>
        <v xml:space="preserve">Waste Disposal Accrual </v>
      </c>
      <c r="F156" s="487" t="str">
        <f t="shared" si="6"/>
        <v>Apr 2021</v>
      </c>
      <c r="G156" s="25"/>
      <c r="H156" s="25"/>
    </row>
    <row r="157" spans="1:8" hidden="1" x14ac:dyDescent="0.3">
      <c r="A157" s="482"/>
      <c r="B157" s="108" t="s">
        <v>741</v>
      </c>
      <c r="C157" s="23" t="s">
        <v>3220</v>
      </c>
      <c r="D157" s="24">
        <f>SUMIF(Master!A:A,Journals!C157,Master!E:E)</f>
        <v>0</v>
      </c>
      <c r="E157" s="25" t="str">
        <f t="shared" si="5"/>
        <v xml:space="preserve">Waste Disposal Accrual </v>
      </c>
      <c r="F157" s="487" t="str">
        <f t="shared" si="6"/>
        <v>Apr 2021</v>
      </c>
      <c r="G157" s="25"/>
      <c r="H157" s="25"/>
    </row>
    <row r="158" spans="1:8" hidden="1" x14ac:dyDescent="0.3">
      <c r="A158" s="482"/>
      <c r="B158" s="108" t="s">
        <v>741</v>
      </c>
      <c r="C158" s="23" t="s">
        <v>3221</v>
      </c>
      <c r="D158" s="24">
        <f>SUMIF(Master!A:A,Journals!C158,Master!E:E)</f>
        <v>0</v>
      </c>
      <c r="E158" s="25" t="str">
        <f t="shared" si="5"/>
        <v xml:space="preserve">Waste Disposal Accrual </v>
      </c>
      <c r="F158" s="487" t="str">
        <f t="shared" si="6"/>
        <v>Apr 2021</v>
      </c>
      <c r="G158" s="25"/>
      <c r="H158" s="25"/>
    </row>
    <row r="159" spans="1:8" hidden="1" x14ac:dyDescent="0.3">
      <c r="A159" s="482"/>
      <c r="B159" s="108" t="s">
        <v>741</v>
      </c>
      <c r="C159" s="23" t="s">
        <v>3222</v>
      </c>
      <c r="D159" s="24">
        <f>SUMIF(Master!A:A,Journals!C159,Master!E:E)</f>
        <v>0</v>
      </c>
      <c r="E159" s="25" t="str">
        <f t="shared" si="5"/>
        <v xml:space="preserve">Waste Disposal Accrual </v>
      </c>
      <c r="F159" s="487" t="str">
        <f t="shared" si="6"/>
        <v>Apr 2021</v>
      </c>
      <c r="G159" s="25"/>
      <c r="H159" s="25"/>
    </row>
    <row r="160" spans="1:8" hidden="1" x14ac:dyDescent="0.3">
      <c r="A160" s="482"/>
      <c r="B160" s="108" t="s">
        <v>741</v>
      </c>
      <c r="C160" s="23" t="s">
        <v>3223</v>
      </c>
      <c r="D160" s="24">
        <f>SUMIF(Master!A:A,Journals!C160,Master!E:E)</f>
        <v>0</v>
      </c>
      <c r="E160" s="25" t="str">
        <f t="shared" si="5"/>
        <v xml:space="preserve">Waste Disposal Accrual </v>
      </c>
      <c r="F160" s="487" t="str">
        <f t="shared" si="6"/>
        <v>Apr 2021</v>
      </c>
      <c r="G160" s="25"/>
      <c r="H160" s="25"/>
    </row>
    <row r="161" spans="1:8" hidden="1" x14ac:dyDescent="0.3">
      <c r="A161" s="482"/>
      <c r="B161" s="108" t="s">
        <v>741</v>
      </c>
      <c r="C161" s="23" t="s">
        <v>3224</v>
      </c>
      <c r="D161" s="24">
        <f>SUMIF(Master!A:A,Journals!C161,Master!E:E)</f>
        <v>0</v>
      </c>
      <c r="E161" s="25" t="str">
        <f t="shared" si="5"/>
        <v xml:space="preserve">Waste Disposal Accrual </v>
      </c>
      <c r="F161" s="487" t="str">
        <f t="shared" si="6"/>
        <v>Apr 2021</v>
      </c>
      <c r="G161" s="25"/>
      <c r="H161" s="25"/>
    </row>
    <row r="162" spans="1:8" hidden="1" x14ac:dyDescent="0.3">
      <c r="A162" s="482"/>
      <c r="B162" s="108" t="s">
        <v>741</v>
      </c>
      <c r="C162" s="23" t="s">
        <v>3225</v>
      </c>
      <c r="D162" s="24">
        <f>SUMIF(Master!A:A,Journals!C162,Master!E:E)</f>
        <v>0</v>
      </c>
      <c r="E162" s="25" t="str">
        <f t="shared" si="5"/>
        <v xml:space="preserve">Waste Disposal Accrual </v>
      </c>
      <c r="F162" s="487" t="str">
        <f t="shared" si="6"/>
        <v>Apr 2021</v>
      </c>
      <c r="G162" s="25"/>
      <c r="H162" s="25"/>
    </row>
    <row r="163" spans="1:8" hidden="1" x14ac:dyDescent="0.3">
      <c r="A163" s="482"/>
      <c r="B163" s="108" t="s">
        <v>741</v>
      </c>
      <c r="C163" s="23" t="s">
        <v>3226</v>
      </c>
      <c r="D163" s="24">
        <f>SUMIF(Master!A:A,Journals!C163,Master!E:E)</f>
        <v>0</v>
      </c>
      <c r="E163" s="25" t="str">
        <f t="shared" si="5"/>
        <v xml:space="preserve">Waste Disposal Accrual </v>
      </c>
      <c r="F163" s="487" t="str">
        <f t="shared" si="6"/>
        <v>Apr 2021</v>
      </c>
      <c r="G163" s="25"/>
      <c r="H163" s="25"/>
    </row>
    <row r="164" spans="1:8" hidden="1" x14ac:dyDescent="0.3">
      <c r="A164" s="482"/>
      <c r="B164" s="108" t="s">
        <v>741</v>
      </c>
      <c r="C164" s="23" t="s">
        <v>3227</v>
      </c>
      <c r="D164" s="24">
        <f>SUMIF(Master!A:A,Journals!C164,Master!E:E)</f>
        <v>0</v>
      </c>
      <c r="E164" s="25" t="str">
        <f t="shared" si="5"/>
        <v xml:space="preserve">Waste Disposal Accrual </v>
      </c>
      <c r="F164" s="487" t="str">
        <f t="shared" si="6"/>
        <v>Apr 2021</v>
      </c>
      <c r="G164" s="25"/>
      <c r="H164" s="25"/>
    </row>
    <row r="165" spans="1:8" hidden="1" x14ac:dyDescent="0.3">
      <c r="A165" s="482"/>
      <c r="B165" s="108" t="s">
        <v>741</v>
      </c>
      <c r="C165" s="23" t="s">
        <v>3228</v>
      </c>
      <c r="D165" s="24">
        <f>SUMIF(Master!A:A,Journals!C165,Master!E:E)</f>
        <v>0</v>
      </c>
      <c r="E165" s="25" t="str">
        <f t="shared" si="5"/>
        <v xml:space="preserve">Waste Disposal Accrual </v>
      </c>
      <c r="F165" s="487" t="str">
        <f t="shared" si="6"/>
        <v>Apr 2021</v>
      </c>
      <c r="G165" s="25"/>
      <c r="H165" s="25"/>
    </row>
    <row r="166" spans="1:8" hidden="1" x14ac:dyDescent="0.3">
      <c r="A166" s="482"/>
      <c r="B166" s="108" t="s">
        <v>741</v>
      </c>
      <c r="C166" s="23" t="s">
        <v>3229</v>
      </c>
      <c r="D166" s="24">
        <f>SUMIF(Master!A:A,Journals!C166,Master!E:E)</f>
        <v>0</v>
      </c>
      <c r="E166" s="25" t="str">
        <f t="shared" si="5"/>
        <v xml:space="preserve">Waste Disposal Accrual </v>
      </c>
      <c r="F166" s="487" t="str">
        <f t="shared" si="6"/>
        <v>Apr 2021</v>
      </c>
      <c r="G166" s="25"/>
      <c r="H166" s="25"/>
    </row>
    <row r="167" spans="1:8" hidden="1" x14ac:dyDescent="0.3">
      <c r="A167" s="482"/>
      <c r="B167" s="108" t="s">
        <v>741</v>
      </c>
      <c r="C167" s="23" t="s">
        <v>3230</v>
      </c>
      <c r="D167" s="24">
        <f>SUMIF(Master!A:A,Journals!C167,Master!E:E)</f>
        <v>0</v>
      </c>
      <c r="E167" s="25" t="str">
        <f t="shared" si="5"/>
        <v xml:space="preserve">Waste Disposal Accrual </v>
      </c>
      <c r="F167" s="487" t="str">
        <f t="shared" si="6"/>
        <v>Apr 2021</v>
      </c>
      <c r="G167" s="25"/>
      <c r="H167" s="25"/>
    </row>
    <row r="168" spans="1:8" hidden="1" x14ac:dyDescent="0.3">
      <c r="A168" s="482"/>
      <c r="B168" s="108" t="s">
        <v>741</v>
      </c>
      <c r="C168" s="23" t="s">
        <v>3231</v>
      </c>
      <c r="D168" s="24">
        <f>SUMIF(Master!A:A,Journals!C168,Master!E:E)</f>
        <v>0</v>
      </c>
      <c r="E168" s="25" t="str">
        <f t="shared" si="5"/>
        <v xml:space="preserve">Waste Disposal Accrual </v>
      </c>
      <c r="F168" s="487" t="str">
        <f t="shared" si="6"/>
        <v>Apr 2021</v>
      </c>
      <c r="G168" s="25"/>
      <c r="H168" s="25"/>
    </row>
    <row r="169" spans="1:8" hidden="1" x14ac:dyDescent="0.3">
      <c r="A169" s="482"/>
      <c r="B169" s="108" t="s">
        <v>741</v>
      </c>
      <c r="C169" s="23" t="s">
        <v>3232</v>
      </c>
      <c r="D169" s="24">
        <f>SUMIF(Master!A:A,Journals!C169,Master!E:E)</f>
        <v>0</v>
      </c>
      <c r="E169" s="25" t="str">
        <f t="shared" si="5"/>
        <v xml:space="preserve">Waste Disposal Accrual </v>
      </c>
      <c r="F169" s="487" t="str">
        <f t="shared" si="6"/>
        <v>Apr 2021</v>
      </c>
      <c r="G169" s="25"/>
      <c r="H169" s="25"/>
    </row>
    <row r="170" spans="1:8" hidden="1" x14ac:dyDescent="0.3">
      <c r="A170" s="482"/>
      <c r="B170" s="108" t="s">
        <v>741</v>
      </c>
      <c r="C170" s="23" t="s">
        <v>3233</v>
      </c>
      <c r="D170" s="24">
        <f>SUMIF(Master!A:A,Journals!C170,Master!E:E)</f>
        <v>0</v>
      </c>
      <c r="E170" s="25" t="str">
        <f t="shared" si="5"/>
        <v xml:space="preserve">Waste Disposal Accrual </v>
      </c>
      <c r="F170" s="487" t="str">
        <f t="shared" si="6"/>
        <v>Apr 2021</v>
      </c>
      <c r="G170" s="25"/>
      <c r="H170" s="25"/>
    </row>
    <row r="171" spans="1:8" hidden="1" x14ac:dyDescent="0.3">
      <c r="A171" s="482"/>
      <c r="B171" s="108" t="s">
        <v>741</v>
      </c>
      <c r="C171" s="23" t="s">
        <v>3234</v>
      </c>
      <c r="D171" s="24">
        <f>SUMIF(Master!A:A,Journals!C171,Master!E:E)</f>
        <v>0</v>
      </c>
      <c r="E171" s="25" t="str">
        <f t="shared" si="5"/>
        <v xml:space="preserve">Waste Disposal Accrual </v>
      </c>
      <c r="F171" s="487" t="str">
        <f t="shared" si="6"/>
        <v>Apr 2021</v>
      </c>
      <c r="G171" s="25"/>
      <c r="H171" s="25"/>
    </row>
    <row r="172" spans="1:8" hidden="1" x14ac:dyDescent="0.3">
      <c r="A172" s="482"/>
      <c r="B172" s="108" t="s">
        <v>741</v>
      </c>
      <c r="C172" s="23" t="s">
        <v>3235</v>
      </c>
      <c r="D172" s="24">
        <f>SUMIF(Master!A:A,Journals!C172,Master!E:E)</f>
        <v>0</v>
      </c>
      <c r="E172" s="25" t="str">
        <f t="shared" si="5"/>
        <v xml:space="preserve">Waste Disposal Accrual </v>
      </c>
      <c r="F172" s="487" t="str">
        <f t="shared" si="6"/>
        <v>Apr 2021</v>
      </c>
      <c r="G172" s="25"/>
      <c r="H172" s="25"/>
    </row>
    <row r="173" spans="1:8" hidden="1" x14ac:dyDescent="0.3">
      <c r="A173" s="482"/>
      <c r="B173" s="108" t="s">
        <v>741</v>
      </c>
      <c r="C173" s="23" t="s">
        <v>3236</v>
      </c>
      <c r="D173" s="24">
        <f>SUMIF(Master!A:A,Journals!C173,Master!E:E)</f>
        <v>0</v>
      </c>
      <c r="E173" s="25" t="str">
        <f t="shared" si="5"/>
        <v xml:space="preserve">Waste Disposal Accrual </v>
      </c>
      <c r="F173" s="487" t="str">
        <f t="shared" si="6"/>
        <v>Apr 2021</v>
      </c>
      <c r="G173" s="25"/>
      <c r="H173" s="25"/>
    </row>
    <row r="174" spans="1:8" hidden="1" x14ac:dyDescent="0.3">
      <c r="A174" s="482"/>
      <c r="B174" s="108" t="s">
        <v>741</v>
      </c>
      <c r="C174" s="23" t="s">
        <v>3237</v>
      </c>
      <c r="D174" s="24">
        <f>SUMIF(Master!A:A,Journals!C174,Master!E:E)</f>
        <v>0</v>
      </c>
      <c r="E174" s="25" t="str">
        <f t="shared" si="5"/>
        <v xml:space="preserve">Waste Disposal Accrual </v>
      </c>
      <c r="F174" s="487" t="str">
        <f t="shared" si="6"/>
        <v>Apr 2021</v>
      </c>
      <c r="G174" s="25"/>
      <c r="H174" s="25"/>
    </row>
    <row r="175" spans="1:8" hidden="1" x14ac:dyDescent="0.3">
      <c r="A175" s="482"/>
      <c r="B175" s="108" t="s">
        <v>741</v>
      </c>
      <c r="C175" s="23" t="s">
        <v>3238</v>
      </c>
      <c r="D175" s="24">
        <f>SUMIF(Master!A:A,Journals!C175,Master!E:E)</f>
        <v>0</v>
      </c>
      <c r="E175" s="25" t="str">
        <f t="shared" si="5"/>
        <v xml:space="preserve">Waste Disposal Accrual </v>
      </c>
      <c r="F175" s="487" t="str">
        <f t="shared" si="6"/>
        <v>Apr 2021</v>
      </c>
      <c r="G175" s="25"/>
      <c r="H175" s="25"/>
    </row>
    <row r="176" spans="1:8" hidden="1" x14ac:dyDescent="0.3">
      <c r="A176" s="482"/>
      <c r="B176" s="108" t="s">
        <v>741</v>
      </c>
      <c r="C176" s="23" t="s">
        <v>3239</v>
      </c>
      <c r="D176" s="24">
        <f>SUMIF(Master!A:A,Journals!C176,Master!E:E)</f>
        <v>0</v>
      </c>
      <c r="E176" s="25" t="str">
        <f t="shared" si="5"/>
        <v xml:space="preserve">Waste Disposal Accrual </v>
      </c>
      <c r="F176" s="487" t="str">
        <f t="shared" si="6"/>
        <v>Apr 2021</v>
      </c>
      <c r="G176" s="25"/>
      <c r="H176" s="25"/>
    </row>
    <row r="177" spans="1:8" hidden="1" x14ac:dyDescent="0.3">
      <c r="A177" s="482"/>
      <c r="B177" s="108" t="s">
        <v>741</v>
      </c>
      <c r="C177" s="23" t="s">
        <v>3240</v>
      </c>
      <c r="D177" s="24">
        <f>SUMIF(Master!A:A,Journals!C177,Master!E:E)</f>
        <v>0</v>
      </c>
      <c r="E177" s="25" t="str">
        <f t="shared" si="5"/>
        <v xml:space="preserve">Waste Disposal Accrual </v>
      </c>
      <c r="F177" s="487" t="str">
        <f t="shared" si="6"/>
        <v>Apr 2021</v>
      </c>
      <c r="G177" s="25"/>
      <c r="H177" s="25"/>
    </row>
    <row r="178" spans="1:8" hidden="1" x14ac:dyDescent="0.3">
      <c r="A178" s="482"/>
      <c r="B178" s="108" t="s">
        <v>741</v>
      </c>
      <c r="C178" s="23" t="s">
        <v>3241</v>
      </c>
      <c r="D178" s="24">
        <f>SUMIF(Master!A:A,Journals!C178,Master!E:E)</f>
        <v>0</v>
      </c>
      <c r="E178" s="25" t="str">
        <f t="shared" si="5"/>
        <v xml:space="preserve">Waste Disposal Accrual </v>
      </c>
      <c r="F178" s="487" t="str">
        <f t="shared" si="6"/>
        <v>Apr 2021</v>
      </c>
      <c r="G178" s="25"/>
      <c r="H178" s="25"/>
    </row>
    <row r="179" spans="1:8" hidden="1" x14ac:dyDescent="0.3">
      <c r="A179" s="482"/>
      <c r="B179" s="108" t="s">
        <v>741</v>
      </c>
      <c r="C179" s="23" t="s">
        <v>3242</v>
      </c>
      <c r="D179" s="24">
        <f>SUMIF(Master!A:A,Journals!C179,Master!E:E)</f>
        <v>0</v>
      </c>
      <c r="E179" s="25" t="str">
        <f t="shared" si="5"/>
        <v xml:space="preserve">Waste Disposal Accrual </v>
      </c>
      <c r="F179" s="487" t="str">
        <f t="shared" si="6"/>
        <v>Apr 2021</v>
      </c>
      <c r="G179" s="25"/>
      <c r="H179" s="25"/>
    </row>
    <row r="180" spans="1:8" hidden="1" x14ac:dyDescent="0.3">
      <c r="A180" s="482"/>
      <c r="B180" s="108" t="s">
        <v>741</v>
      </c>
      <c r="C180" s="23" t="s">
        <v>3243</v>
      </c>
      <c r="D180" s="24">
        <f>SUMIF(Master!A:A,Journals!C180,Master!E:E)</f>
        <v>0</v>
      </c>
      <c r="E180" s="25" t="str">
        <f t="shared" si="5"/>
        <v xml:space="preserve">Waste Disposal Accrual </v>
      </c>
      <c r="F180" s="487" t="str">
        <f t="shared" si="6"/>
        <v>Apr 2021</v>
      </c>
      <c r="G180" s="25"/>
      <c r="H180" s="25"/>
    </row>
    <row r="181" spans="1:8" hidden="1" x14ac:dyDescent="0.3">
      <c r="A181" s="482"/>
      <c r="B181" s="108" t="s">
        <v>741</v>
      </c>
      <c r="C181" s="23" t="s">
        <v>3244</v>
      </c>
      <c r="D181" s="24">
        <f>SUMIF(Master!A:A,Journals!C181,Master!E:E)</f>
        <v>0</v>
      </c>
      <c r="E181" s="25" t="str">
        <f t="shared" si="5"/>
        <v xml:space="preserve">Waste Disposal Accrual </v>
      </c>
      <c r="F181" s="487" t="str">
        <f t="shared" si="6"/>
        <v>Apr 2021</v>
      </c>
      <c r="G181" s="25"/>
      <c r="H181" s="25"/>
    </row>
    <row r="182" spans="1:8" hidden="1" x14ac:dyDescent="0.3">
      <c r="A182" s="482"/>
      <c r="B182" s="108" t="s">
        <v>741</v>
      </c>
      <c r="C182" s="23" t="s">
        <v>3245</v>
      </c>
      <c r="D182" s="24">
        <f>SUMIF(Master!A:A,Journals!C182,Master!E:E)</f>
        <v>0</v>
      </c>
      <c r="E182" s="25" t="str">
        <f t="shared" si="5"/>
        <v xml:space="preserve">Waste Disposal Accrual </v>
      </c>
      <c r="F182" s="487" t="str">
        <f t="shared" si="6"/>
        <v>Apr 2021</v>
      </c>
      <c r="G182" s="25"/>
      <c r="H182" s="25"/>
    </row>
    <row r="183" spans="1:8" hidden="1" x14ac:dyDescent="0.3">
      <c r="A183" s="482"/>
      <c r="B183" s="108" t="s">
        <v>741</v>
      </c>
      <c r="C183" s="23" t="s">
        <v>3246</v>
      </c>
      <c r="D183" s="24">
        <f>SUMIF(Master!A:A,Journals!C183,Master!E:E)</f>
        <v>0</v>
      </c>
      <c r="E183" s="25" t="str">
        <f t="shared" si="5"/>
        <v xml:space="preserve">Waste Disposal Accrual </v>
      </c>
      <c r="F183" s="487" t="str">
        <f t="shared" si="6"/>
        <v>Apr 2021</v>
      </c>
      <c r="G183" s="25"/>
      <c r="H183" s="25"/>
    </row>
    <row r="184" spans="1:8" hidden="1" x14ac:dyDescent="0.3">
      <c r="A184" s="482"/>
      <c r="B184" s="108" t="s">
        <v>741</v>
      </c>
      <c r="C184" s="23" t="s">
        <v>3247</v>
      </c>
      <c r="D184" s="24">
        <f>SUMIF(Master!A:A,Journals!C184,Master!E:E)</f>
        <v>0</v>
      </c>
      <c r="E184" s="25" t="str">
        <f t="shared" si="5"/>
        <v xml:space="preserve">Waste Disposal Accrual </v>
      </c>
      <c r="F184" s="487" t="str">
        <f t="shared" si="6"/>
        <v>Apr 2021</v>
      </c>
      <c r="G184" s="25"/>
      <c r="H184" s="25"/>
    </row>
    <row r="185" spans="1:8" hidden="1" x14ac:dyDescent="0.3">
      <c r="A185" s="482"/>
      <c r="B185" s="108" t="s">
        <v>741</v>
      </c>
      <c r="C185" s="23" t="s">
        <v>3248</v>
      </c>
      <c r="D185" s="24">
        <f>SUMIF(Master!A:A,Journals!C185,Master!E:E)</f>
        <v>0</v>
      </c>
      <c r="E185" s="25" t="str">
        <f t="shared" si="5"/>
        <v xml:space="preserve">Waste Disposal Accrual </v>
      </c>
      <c r="F185" s="487" t="str">
        <f t="shared" si="6"/>
        <v>Apr 2021</v>
      </c>
      <c r="G185" s="25"/>
      <c r="H185" s="25"/>
    </row>
    <row r="186" spans="1:8" hidden="1" x14ac:dyDescent="0.3">
      <c r="A186" s="482"/>
      <c r="B186" s="108" t="s">
        <v>741</v>
      </c>
      <c r="C186" s="23" t="s">
        <v>3249</v>
      </c>
      <c r="D186" s="24">
        <f>SUMIF(Master!A:A,Journals!C186,Master!E:E)</f>
        <v>0</v>
      </c>
      <c r="E186" s="25" t="str">
        <f t="shared" si="5"/>
        <v xml:space="preserve">Waste Disposal Accrual </v>
      </c>
      <c r="F186" s="487" t="str">
        <f t="shared" si="6"/>
        <v>Apr 2021</v>
      </c>
      <c r="G186" s="25"/>
      <c r="H186" s="25"/>
    </row>
    <row r="187" spans="1:8" hidden="1" x14ac:dyDescent="0.3">
      <c r="A187" s="482"/>
      <c r="B187" s="108" t="s">
        <v>741</v>
      </c>
      <c r="C187" s="23" t="s">
        <v>3250</v>
      </c>
      <c r="D187" s="24">
        <f>SUMIF(Master!A:A,Journals!C187,Master!E:E)</f>
        <v>0</v>
      </c>
      <c r="E187" s="25" t="str">
        <f t="shared" si="5"/>
        <v xml:space="preserve">Waste Disposal Accrual </v>
      </c>
      <c r="F187" s="487" t="str">
        <f t="shared" si="6"/>
        <v>Apr 2021</v>
      </c>
      <c r="G187" s="25"/>
      <c r="H187" s="25"/>
    </row>
    <row r="188" spans="1:8" hidden="1" x14ac:dyDescent="0.3">
      <c r="A188" s="482"/>
      <c r="B188" s="108" t="s">
        <v>741</v>
      </c>
      <c r="C188" s="23" t="s">
        <v>2978</v>
      </c>
      <c r="D188" s="24">
        <f>SUMIF(Master!A:A,Journals!C188,Master!E:E)</f>
        <v>0</v>
      </c>
      <c r="E188" s="25" t="str">
        <f t="shared" si="5"/>
        <v xml:space="preserve">Waste Disposal Accrual </v>
      </c>
      <c r="F188" s="487" t="str">
        <f t="shared" si="6"/>
        <v>Apr 2021</v>
      </c>
      <c r="G188" s="25"/>
      <c r="H188" s="25"/>
    </row>
    <row r="189" spans="1:8" hidden="1" x14ac:dyDescent="0.3">
      <c r="A189" s="482"/>
      <c r="B189" s="108" t="s">
        <v>741</v>
      </c>
      <c r="C189" s="23" t="s">
        <v>3251</v>
      </c>
      <c r="D189" s="24">
        <f>SUMIF(Master!A:A,Journals!C189,Master!E:E)</f>
        <v>0</v>
      </c>
      <c r="E189" s="25" t="str">
        <f t="shared" si="5"/>
        <v xml:space="preserve">Waste Disposal Accrual </v>
      </c>
      <c r="F189" s="487" t="str">
        <f t="shared" si="6"/>
        <v>Apr 2021</v>
      </c>
      <c r="G189" s="25"/>
      <c r="H189" s="25"/>
    </row>
    <row r="190" spans="1:8" hidden="1" x14ac:dyDescent="0.3">
      <c r="A190" s="482"/>
      <c r="B190" s="108" t="s">
        <v>741</v>
      </c>
      <c r="C190" s="23" t="s">
        <v>2979</v>
      </c>
      <c r="D190" s="24">
        <f>SUMIF(Master!A:A,Journals!C190,Master!E:E)</f>
        <v>0</v>
      </c>
      <c r="E190" s="25" t="str">
        <f t="shared" si="5"/>
        <v xml:space="preserve">Waste Disposal Accrual </v>
      </c>
      <c r="F190" s="487" t="str">
        <f t="shared" si="6"/>
        <v>Apr 2021</v>
      </c>
      <c r="G190" s="25"/>
      <c r="H190" s="25"/>
    </row>
    <row r="191" spans="1:8" hidden="1" x14ac:dyDescent="0.3">
      <c r="A191" s="482"/>
      <c r="B191" s="108" t="s">
        <v>741</v>
      </c>
      <c r="C191" s="23" t="s">
        <v>2980</v>
      </c>
      <c r="D191" s="24">
        <f>SUMIF(Master!A:A,Journals!C191,Master!E:E)</f>
        <v>0</v>
      </c>
      <c r="E191" s="25" t="str">
        <f t="shared" si="5"/>
        <v xml:space="preserve">Waste Disposal Accrual </v>
      </c>
      <c r="F191" s="487" t="str">
        <f t="shared" si="6"/>
        <v>Apr 2021</v>
      </c>
      <c r="G191" s="25"/>
      <c r="H191" s="25"/>
    </row>
    <row r="192" spans="1:8" hidden="1" x14ac:dyDescent="0.3">
      <c r="A192" s="482"/>
      <c r="B192" s="108" t="s">
        <v>741</v>
      </c>
      <c r="C192" s="23" t="s">
        <v>2983</v>
      </c>
      <c r="D192" s="24">
        <f>SUMIF(Master!A:A,Journals!C192,Master!E:E)</f>
        <v>200</v>
      </c>
      <c r="E192" s="25" t="str">
        <f t="shared" si="5"/>
        <v xml:space="preserve">Waste Disposal Accrual </v>
      </c>
      <c r="F192" s="487" t="str">
        <f t="shared" si="6"/>
        <v>Apr 2021</v>
      </c>
      <c r="G192" s="25"/>
      <c r="H192" s="25"/>
    </row>
    <row r="193" spans="1:8" hidden="1" x14ac:dyDescent="0.3">
      <c r="A193" s="482"/>
      <c r="B193" s="108" t="s">
        <v>741</v>
      </c>
      <c r="C193" s="23" t="s">
        <v>2990</v>
      </c>
      <c r="D193" s="24">
        <f>SUMIF(Master!A:A,Journals!C193,Master!E:E)</f>
        <v>300</v>
      </c>
      <c r="E193" s="25" t="str">
        <f>$E$136</f>
        <v xml:space="preserve">Waste Disposal Accrual </v>
      </c>
      <c r="F193" s="487" t="str">
        <f t="shared" si="6"/>
        <v>Apr 2021</v>
      </c>
      <c r="G193" s="25"/>
      <c r="H193" s="25"/>
    </row>
    <row r="194" spans="1:8" hidden="1" x14ac:dyDescent="0.3">
      <c r="A194" s="482"/>
      <c r="B194" s="108" t="s">
        <v>741</v>
      </c>
      <c r="C194" s="23" t="s">
        <v>3001</v>
      </c>
      <c r="D194" s="24">
        <f>SUMIF(Master!A:A,Journals!C194,Master!E:E)</f>
        <v>200</v>
      </c>
      <c r="E194" s="25" t="str">
        <f t="shared" si="5"/>
        <v xml:space="preserve">Waste Disposal Accrual </v>
      </c>
      <c r="F194" s="487" t="str">
        <f t="shared" si="6"/>
        <v>Apr 2021</v>
      </c>
      <c r="G194" s="25"/>
      <c r="H194" s="25"/>
    </row>
    <row r="195" spans="1:8" hidden="1" x14ac:dyDescent="0.3">
      <c r="A195" s="482"/>
      <c r="B195" s="108" t="s">
        <v>741</v>
      </c>
      <c r="C195" s="23" t="s">
        <v>3066</v>
      </c>
      <c r="D195" s="24">
        <f>SUMIF(Master!A:A,Journals!C195,Master!E:E)</f>
        <v>0</v>
      </c>
      <c r="E195" s="25" t="str">
        <f t="shared" si="5"/>
        <v xml:space="preserve">Waste Disposal Accrual </v>
      </c>
      <c r="F195" s="487" t="str">
        <f t="shared" si="6"/>
        <v>Apr 2021</v>
      </c>
      <c r="G195" s="25"/>
      <c r="H195" s="25"/>
    </row>
    <row r="196" spans="1:8" hidden="1" x14ac:dyDescent="0.3">
      <c r="A196" s="482"/>
      <c r="B196" s="108" t="s">
        <v>741</v>
      </c>
      <c r="C196" s="23" t="s">
        <v>3067</v>
      </c>
      <c r="D196" s="24">
        <f>SUMIF(Master!A:A,Journals!C196,Master!E:E)</f>
        <v>0</v>
      </c>
      <c r="E196" s="25" t="str">
        <f t="shared" si="5"/>
        <v xml:space="preserve">Waste Disposal Accrual </v>
      </c>
      <c r="F196" s="487" t="str">
        <f t="shared" si="6"/>
        <v>Apr 2021</v>
      </c>
      <c r="G196" s="25"/>
      <c r="H196" s="25"/>
    </row>
    <row r="197" spans="1:8" hidden="1" x14ac:dyDescent="0.3">
      <c r="A197" s="482"/>
      <c r="B197" s="108" t="s">
        <v>741</v>
      </c>
      <c r="C197" s="23" t="s">
        <v>3004</v>
      </c>
      <c r="D197" s="24">
        <f>SUMIF(Master!A:A,Journals!C197,Master!E:E)</f>
        <v>0</v>
      </c>
      <c r="E197" s="25" t="str">
        <f t="shared" si="5"/>
        <v xml:space="preserve">Waste Disposal Accrual </v>
      </c>
      <c r="F197" s="487" t="str">
        <f t="shared" si="6"/>
        <v>Apr 2021</v>
      </c>
      <c r="G197" s="25"/>
      <c r="H197" s="25"/>
    </row>
    <row r="198" spans="1:8" hidden="1" x14ac:dyDescent="0.3">
      <c r="A198" s="482"/>
      <c r="B198" s="108" t="s">
        <v>741</v>
      </c>
      <c r="C198" s="23" t="s">
        <v>3252</v>
      </c>
      <c r="D198" s="24">
        <f>SUMIF(Master!A:A,Journals!C198,Master!E:E)</f>
        <v>0</v>
      </c>
      <c r="E198" s="25" t="str">
        <f t="shared" si="5"/>
        <v xml:space="preserve">Waste Disposal Accrual </v>
      </c>
      <c r="F198" s="487" t="str">
        <f t="shared" si="6"/>
        <v>Apr 2021</v>
      </c>
      <c r="G198" s="25"/>
      <c r="H198" s="25"/>
    </row>
    <row r="199" spans="1:8" hidden="1" x14ac:dyDescent="0.3">
      <c r="A199" s="482"/>
      <c r="B199" s="108" t="s">
        <v>741</v>
      </c>
      <c r="C199" s="23" t="s">
        <v>3028</v>
      </c>
      <c r="D199" s="24">
        <f>SUMIF(Master!A:A,Journals!C199,Master!E:E)</f>
        <v>444.04</v>
      </c>
      <c r="E199" s="25" t="str">
        <f t="shared" si="5"/>
        <v xml:space="preserve">Waste Disposal Accrual </v>
      </c>
      <c r="F199" s="487" t="str">
        <f t="shared" si="6"/>
        <v>Apr 2021</v>
      </c>
      <c r="G199" s="25"/>
      <c r="H199" s="25"/>
    </row>
    <row r="200" spans="1:8" hidden="1" x14ac:dyDescent="0.3">
      <c r="A200" s="482"/>
      <c r="B200" s="108" t="s">
        <v>741</v>
      </c>
      <c r="C200" s="23" t="s">
        <v>3025</v>
      </c>
      <c r="D200" s="24">
        <f>SUMIF(Master!A:A,Journals!C200,Master!E:E)</f>
        <v>0</v>
      </c>
      <c r="E200" s="25" t="str">
        <f t="shared" si="5"/>
        <v xml:space="preserve">Waste Disposal Accrual </v>
      </c>
      <c r="F200" s="487" t="str">
        <f t="shared" si="6"/>
        <v>Apr 2021</v>
      </c>
      <c r="G200" s="25"/>
      <c r="H200" s="25"/>
    </row>
    <row r="201" spans="1:8" x14ac:dyDescent="0.3">
      <c r="A201" s="482"/>
      <c r="B201" s="161" t="s">
        <v>741</v>
      </c>
      <c r="C201" s="77" t="s">
        <v>3208</v>
      </c>
      <c r="D201" s="78">
        <f>-SUM(D136:D200)</f>
        <v>-1144.04</v>
      </c>
      <c r="E201" s="26" t="str">
        <f t="shared" si="5"/>
        <v xml:space="preserve">Waste Disposal Accrual </v>
      </c>
      <c r="F201" s="489" t="str">
        <f t="shared" si="6"/>
        <v>Apr 2021</v>
      </c>
      <c r="G201" s="26"/>
      <c r="H201" s="26"/>
    </row>
    <row r="202" spans="1:8" hidden="1" x14ac:dyDescent="0.3">
      <c r="B202" s="108" t="s">
        <v>741</v>
      </c>
      <c r="C202" s="108" t="s">
        <v>844</v>
      </c>
      <c r="D202" s="24">
        <f>SUMIF(Master!A:A,Journals!C202,Master!E:E)</f>
        <v>9793.7066666666688</v>
      </c>
      <c r="E202" s="86" t="s">
        <v>3271</v>
      </c>
      <c r="F202" s="488" t="str">
        <f t="shared" si="6"/>
        <v>Apr 2021</v>
      </c>
      <c r="G202" s="86"/>
      <c r="H202" s="86"/>
    </row>
    <row r="203" spans="1:8" x14ac:dyDescent="0.3">
      <c r="B203" s="161" t="s">
        <v>741</v>
      </c>
      <c r="C203" s="161" t="s">
        <v>3208</v>
      </c>
      <c r="D203" s="95">
        <f>-SUM(D202:D202)</f>
        <v>-9793.7066666666688</v>
      </c>
      <c r="E203" s="97" t="s">
        <v>3278</v>
      </c>
      <c r="F203" s="490" t="str">
        <f t="shared" ref="F203:F262" si="7">$G$13</f>
        <v>Apr 2021</v>
      </c>
      <c r="G203" s="97"/>
      <c r="H203" s="97"/>
    </row>
    <row r="204" spans="1:8" hidden="1" x14ac:dyDescent="0.3">
      <c r="B204" s="23" t="s">
        <v>741</v>
      </c>
      <c r="C204" s="93" t="s">
        <v>1486</v>
      </c>
      <c r="D204" s="24">
        <f>SUMIF(Master!A:A,Journals!C204,Master!E:E)</f>
        <v>1172</v>
      </c>
      <c r="E204" s="80" t="s">
        <v>3272</v>
      </c>
      <c r="F204" s="487" t="str">
        <f t="shared" si="7"/>
        <v>Apr 2021</v>
      </c>
      <c r="G204" s="25"/>
      <c r="H204" s="25"/>
    </row>
    <row r="205" spans="1:8" x14ac:dyDescent="0.3">
      <c r="B205" s="77" t="s">
        <v>741</v>
      </c>
      <c r="C205" s="77" t="s">
        <v>3208</v>
      </c>
      <c r="D205" s="95">
        <f>-D204</f>
        <v>-1172</v>
      </c>
      <c r="E205" s="96" t="s">
        <v>3272</v>
      </c>
      <c r="F205" s="489" t="str">
        <f t="shared" si="7"/>
        <v>Apr 2021</v>
      </c>
      <c r="G205" s="26"/>
      <c r="H205" s="26"/>
    </row>
    <row r="206" spans="1:8" hidden="1" x14ac:dyDescent="0.3">
      <c r="B206" s="23" t="s">
        <v>741</v>
      </c>
      <c r="C206" s="93" t="s">
        <v>2678</v>
      </c>
      <c r="D206" s="24">
        <f>SUMIF(Master!A:A,Journals!C206,Master!E:E)</f>
        <v>616</v>
      </c>
      <c r="E206" s="80" t="s">
        <v>3273</v>
      </c>
      <c r="F206" s="487" t="str">
        <f t="shared" si="7"/>
        <v>Apr 2021</v>
      </c>
      <c r="G206" s="25"/>
      <c r="H206" s="25"/>
    </row>
    <row r="207" spans="1:8" x14ac:dyDescent="0.3">
      <c r="B207" s="77" t="s">
        <v>741</v>
      </c>
      <c r="C207" s="77" t="s">
        <v>3208</v>
      </c>
      <c r="D207" s="95">
        <f>-D206</f>
        <v>-616</v>
      </c>
      <c r="E207" s="96" t="s">
        <v>3276</v>
      </c>
      <c r="F207" s="489" t="str">
        <f t="shared" si="7"/>
        <v>Apr 2021</v>
      </c>
      <c r="G207" s="26"/>
      <c r="H207" s="26"/>
    </row>
    <row r="208" spans="1:8" hidden="1" x14ac:dyDescent="0.3">
      <c r="B208" s="23" t="s">
        <v>741</v>
      </c>
      <c r="C208" s="23" t="s">
        <v>2712</v>
      </c>
      <c r="D208" s="24">
        <f>SUMIF(Master!A:A,Journals!C208,Master!E:E)</f>
        <v>0</v>
      </c>
      <c r="E208" s="25" t="s">
        <v>3264</v>
      </c>
      <c r="F208" s="487" t="str">
        <f t="shared" si="7"/>
        <v>Apr 2021</v>
      </c>
      <c r="G208" s="25"/>
      <c r="H208" s="25"/>
    </row>
    <row r="209" spans="2:8" hidden="1" x14ac:dyDescent="0.3">
      <c r="B209" s="23" t="s">
        <v>741</v>
      </c>
      <c r="C209" s="23" t="s">
        <v>2722</v>
      </c>
      <c r="D209" s="24">
        <f>SUMIF(Master!A:A,Journals!C209,Master!E:E)</f>
        <v>0</v>
      </c>
      <c r="E209" s="25" t="s">
        <v>3264</v>
      </c>
      <c r="F209" s="487" t="str">
        <f t="shared" si="7"/>
        <v>Apr 2021</v>
      </c>
      <c r="G209" s="25"/>
      <c r="H209" s="25"/>
    </row>
    <row r="210" spans="2:8" x14ac:dyDescent="0.3">
      <c r="B210" s="77" t="s">
        <v>741</v>
      </c>
      <c r="C210" s="77" t="s">
        <v>3208</v>
      </c>
      <c r="D210" s="78">
        <f>-SUM(D208:D209)</f>
        <v>0</v>
      </c>
      <c r="E210" s="26" t="s">
        <v>3264</v>
      </c>
      <c r="F210" s="489" t="str">
        <f t="shared" si="7"/>
        <v>Apr 2021</v>
      </c>
      <c r="G210" s="26"/>
      <c r="H210" s="26"/>
    </row>
    <row r="211" spans="2:8" hidden="1" x14ac:dyDescent="0.3">
      <c r="B211" s="23" t="s">
        <v>741</v>
      </c>
      <c r="C211" s="23" t="s">
        <v>1115</v>
      </c>
      <c r="D211" s="24">
        <f>SUMIF(Master!A:A,Journals!C211,Master!E:E)</f>
        <v>130000</v>
      </c>
      <c r="E211" s="25" t="s">
        <v>3265</v>
      </c>
      <c r="F211" s="487" t="str">
        <f t="shared" si="7"/>
        <v>Apr 2021</v>
      </c>
      <c r="G211" s="25"/>
      <c r="H211" s="25"/>
    </row>
    <row r="212" spans="2:8" x14ac:dyDescent="0.3">
      <c r="B212" s="77" t="s">
        <v>741</v>
      </c>
      <c r="C212" s="77" t="s">
        <v>3208</v>
      </c>
      <c r="D212" s="78">
        <f>-D211</f>
        <v>-130000</v>
      </c>
      <c r="E212" s="26" t="s">
        <v>3265</v>
      </c>
      <c r="F212" s="489" t="str">
        <f t="shared" si="7"/>
        <v>Apr 2021</v>
      </c>
      <c r="G212" s="26"/>
      <c r="H212" s="26"/>
    </row>
    <row r="213" spans="2:8" hidden="1" x14ac:dyDescent="0.3">
      <c r="B213" s="23" t="s">
        <v>741</v>
      </c>
      <c r="C213" s="23" t="s">
        <v>1782</v>
      </c>
      <c r="D213" s="24">
        <f>SUMIF(Master!A:A,Journals!C213,Master!E:E)</f>
        <v>2042</v>
      </c>
      <c r="E213" s="25" t="s">
        <v>3266</v>
      </c>
      <c r="F213" s="487" t="str">
        <f t="shared" si="7"/>
        <v>Apr 2021</v>
      </c>
      <c r="G213" s="25"/>
      <c r="H213" s="25"/>
    </row>
    <row r="214" spans="2:8" x14ac:dyDescent="0.3">
      <c r="B214" s="77" t="s">
        <v>741</v>
      </c>
      <c r="C214" s="77" t="s">
        <v>3208</v>
      </c>
      <c r="D214" s="78">
        <f>-D213</f>
        <v>-2042</v>
      </c>
      <c r="E214" s="26" t="s">
        <v>3267</v>
      </c>
      <c r="F214" s="489" t="str">
        <f t="shared" si="7"/>
        <v>Apr 2021</v>
      </c>
      <c r="G214" s="26"/>
      <c r="H214" s="26"/>
    </row>
    <row r="215" spans="2:8" hidden="1" x14ac:dyDescent="0.3">
      <c r="B215" s="23" t="s">
        <v>741</v>
      </c>
      <c r="C215" s="23" t="s">
        <v>2397</v>
      </c>
      <c r="D215" s="24">
        <f>SUMIF(Master!A:A,Journals!C215,Master!E:E)</f>
        <v>307.5</v>
      </c>
      <c r="E215" s="25" t="s">
        <v>3275</v>
      </c>
      <c r="F215" s="487" t="str">
        <f t="shared" si="7"/>
        <v>Apr 2021</v>
      </c>
      <c r="G215" s="25"/>
      <c r="H215" s="25"/>
    </row>
    <row r="216" spans="2:8" x14ac:dyDescent="0.3">
      <c r="B216" s="77" t="s">
        <v>741</v>
      </c>
      <c r="C216" s="77" t="s">
        <v>3208</v>
      </c>
      <c r="D216" s="78">
        <f>-D215</f>
        <v>-307.5</v>
      </c>
      <c r="E216" s="26" t="s">
        <v>3275</v>
      </c>
      <c r="F216" s="489" t="str">
        <f t="shared" si="7"/>
        <v>Apr 2021</v>
      </c>
      <c r="G216" s="26"/>
      <c r="H216" s="26"/>
    </row>
    <row r="217" spans="2:8" hidden="1" x14ac:dyDescent="0.3">
      <c r="B217" s="23" t="s">
        <v>741</v>
      </c>
      <c r="C217" s="23" t="s">
        <v>1542</v>
      </c>
      <c r="D217" s="24">
        <f>SUMIF(Master!A:A,Journals!C217,Master!E:E)</f>
        <v>35775.699999999997</v>
      </c>
      <c r="E217" s="25" t="s">
        <v>3274</v>
      </c>
      <c r="F217" s="487" t="str">
        <f t="shared" si="7"/>
        <v>Apr 2021</v>
      </c>
      <c r="G217" s="25"/>
      <c r="H217" s="25"/>
    </row>
    <row r="218" spans="2:8" x14ac:dyDescent="0.3">
      <c r="B218" s="77" t="s">
        <v>741</v>
      </c>
      <c r="C218" s="77" t="s">
        <v>3208</v>
      </c>
      <c r="D218" s="78">
        <f>-D217</f>
        <v>-35775.699999999997</v>
      </c>
      <c r="E218" s="26" t="s">
        <v>3277</v>
      </c>
      <c r="F218" s="489" t="str">
        <f t="shared" si="7"/>
        <v>Apr 2021</v>
      </c>
      <c r="G218" s="26"/>
      <c r="H218" s="26"/>
    </row>
    <row r="219" spans="2:8" hidden="1" x14ac:dyDescent="0.3">
      <c r="B219" s="108" t="s">
        <v>741</v>
      </c>
      <c r="C219" s="108" t="s">
        <v>2002</v>
      </c>
      <c r="D219" s="24">
        <f>SUMIF(Master!A:A,Journals!C219,Master!E:E)</f>
        <v>0</v>
      </c>
      <c r="E219" s="86" t="s">
        <v>3268</v>
      </c>
      <c r="F219" s="488" t="str">
        <f t="shared" si="7"/>
        <v>Apr 2021</v>
      </c>
      <c r="G219" s="86"/>
      <c r="H219" s="86"/>
    </row>
    <row r="220" spans="2:8" hidden="1" x14ac:dyDescent="0.3">
      <c r="B220" s="108" t="s">
        <v>741</v>
      </c>
      <c r="C220" s="108" t="s">
        <v>2024</v>
      </c>
      <c r="D220" s="24">
        <f>SUMIF(Master!A:A,Journals!C220,Master!E:E)</f>
        <v>0</v>
      </c>
      <c r="E220" s="86" t="str">
        <f>E219</f>
        <v xml:space="preserve">Carpark Accrual Melbourne </v>
      </c>
      <c r="F220" s="488" t="str">
        <f t="shared" si="7"/>
        <v>Apr 2021</v>
      </c>
      <c r="G220" s="86"/>
      <c r="H220" s="86"/>
    </row>
    <row r="221" spans="2:8" hidden="1" x14ac:dyDescent="0.3">
      <c r="B221" s="108" t="s">
        <v>741</v>
      </c>
      <c r="C221" s="108" t="s">
        <v>2025</v>
      </c>
      <c r="D221" s="24">
        <f>SUMIF(Master!A:A,Journals!C221,Master!E:E)</f>
        <v>0</v>
      </c>
      <c r="E221" s="86" t="str">
        <f>E220</f>
        <v xml:space="preserve">Carpark Accrual Melbourne </v>
      </c>
      <c r="F221" s="488" t="str">
        <f t="shared" si="7"/>
        <v>Apr 2021</v>
      </c>
      <c r="G221" s="86"/>
      <c r="H221" s="86"/>
    </row>
    <row r="222" spans="2:8" hidden="1" x14ac:dyDescent="0.3">
      <c r="B222" s="108" t="s">
        <v>741</v>
      </c>
      <c r="C222" s="108" t="s">
        <v>2026</v>
      </c>
      <c r="D222" s="24">
        <f>SUMIF(Master!A:A,Journals!C222,Master!E:E)</f>
        <v>0</v>
      </c>
      <c r="E222" s="86" t="str">
        <f t="shared" ref="E222:E226" si="8">E221</f>
        <v xml:space="preserve">Carpark Accrual Melbourne </v>
      </c>
      <c r="F222" s="488" t="str">
        <f t="shared" si="7"/>
        <v>Apr 2021</v>
      </c>
      <c r="G222" s="86"/>
      <c r="H222" s="86"/>
    </row>
    <row r="223" spans="2:8" hidden="1" x14ac:dyDescent="0.3">
      <c r="B223" s="108" t="s">
        <v>741</v>
      </c>
      <c r="C223" s="108" t="s">
        <v>2029</v>
      </c>
      <c r="D223" s="24">
        <f>SUMIF(Master!A:A,Journals!C223,Master!E:E)</f>
        <v>0</v>
      </c>
      <c r="E223" s="86" t="str">
        <f t="shared" si="8"/>
        <v xml:space="preserve">Carpark Accrual Melbourne </v>
      </c>
      <c r="F223" s="488" t="str">
        <f t="shared" si="7"/>
        <v>Apr 2021</v>
      </c>
      <c r="G223" s="86"/>
      <c r="H223" s="86"/>
    </row>
    <row r="224" spans="2:8" hidden="1" x14ac:dyDescent="0.3">
      <c r="B224" s="108" t="s">
        <v>741</v>
      </c>
      <c r="C224" s="108" t="s">
        <v>2338</v>
      </c>
      <c r="D224" s="24">
        <f>SUMIF(Master!A:A,Journals!C224,Master!E:E)</f>
        <v>0</v>
      </c>
      <c r="E224" s="86" t="str">
        <f t="shared" si="8"/>
        <v xml:space="preserve">Carpark Accrual Melbourne </v>
      </c>
      <c r="F224" s="488" t="str">
        <f t="shared" si="7"/>
        <v>Apr 2021</v>
      </c>
      <c r="G224" s="86"/>
      <c r="H224" s="86"/>
    </row>
    <row r="225" spans="2:8" hidden="1" x14ac:dyDescent="0.3">
      <c r="B225" s="108" t="s">
        <v>741</v>
      </c>
      <c r="C225" s="108" t="s">
        <v>3099</v>
      </c>
      <c r="D225" s="24">
        <f>SUMIF(Master!A:A,Journals!C225,Master!E:E)</f>
        <v>0</v>
      </c>
      <c r="E225" s="86" t="str">
        <f t="shared" si="8"/>
        <v xml:space="preserve">Carpark Accrual Melbourne </v>
      </c>
      <c r="F225" s="488" t="str">
        <f t="shared" si="7"/>
        <v>Apr 2021</v>
      </c>
      <c r="G225" s="86"/>
      <c r="H225" s="86"/>
    </row>
    <row r="226" spans="2:8" hidden="1" x14ac:dyDescent="0.3">
      <c r="B226" s="108" t="s">
        <v>741</v>
      </c>
      <c r="C226" s="108" t="s">
        <v>3100</v>
      </c>
      <c r="D226" s="24">
        <f>SUMIF(Master!A:A,Journals!C226,Master!E:E)</f>
        <v>0</v>
      </c>
      <c r="E226" s="86" t="str">
        <f t="shared" si="8"/>
        <v xml:space="preserve">Carpark Accrual Melbourne </v>
      </c>
      <c r="F226" s="488" t="str">
        <f t="shared" si="7"/>
        <v>Apr 2021</v>
      </c>
      <c r="G226" s="86"/>
      <c r="H226" s="86"/>
    </row>
    <row r="227" spans="2:8" hidden="1" x14ac:dyDescent="0.3">
      <c r="B227" s="108" t="s">
        <v>741</v>
      </c>
      <c r="C227" s="108" t="s">
        <v>2345</v>
      </c>
      <c r="D227" s="24">
        <f>SUMIF(Master!A:A,Journals!C227,Master!E:E)</f>
        <v>0</v>
      </c>
      <c r="E227" s="86" t="str">
        <f>E226</f>
        <v xml:space="preserve">Carpark Accrual Melbourne </v>
      </c>
      <c r="F227" s="488" t="str">
        <f t="shared" si="7"/>
        <v>Apr 2021</v>
      </c>
      <c r="G227" s="86"/>
      <c r="H227" s="86"/>
    </row>
    <row r="228" spans="2:8" x14ac:dyDescent="0.3">
      <c r="B228" s="161" t="s">
        <v>741</v>
      </c>
      <c r="C228" s="161" t="s">
        <v>3208</v>
      </c>
      <c r="D228" s="95">
        <f>-SUM(D219:D227)</f>
        <v>0</v>
      </c>
      <c r="E228" s="163" t="str">
        <f>E227</f>
        <v xml:space="preserve">Carpark Accrual Melbourne </v>
      </c>
      <c r="F228" s="490" t="str">
        <f t="shared" si="7"/>
        <v>Apr 2021</v>
      </c>
      <c r="G228" s="97"/>
      <c r="H228" s="97"/>
    </row>
    <row r="229" spans="2:8" hidden="1" x14ac:dyDescent="0.3">
      <c r="B229" s="108" t="s">
        <v>741</v>
      </c>
      <c r="C229" s="183" t="s">
        <v>2233</v>
      </c>
      <c r="D229" s="24">
        <f>SUMIF(Master!A:A,Journals!C229,Master!E:E)</f>
        <v>768.18181818181813</v>
      </c>
      <c r="E229" s="86" t="s">
        <v>3255</v>
      </c>
      <c r="F229" s="488" t="str">
        <f t="shared" si="7"/>
        <v>Apr 2021</v>
      </c>
      <c r="G229" s="86"/>
      <c r="H229" s="86"/>
    </row>
    <row r="230" spans="2:8" hidden="1" x14ac:dyDescent="0.3">
      <c r="B230" s="108" t="s">
        <v>741</v>
      </c>
      <c r="C230" s="183" t="s">
        <v>2262</v>
      </c>
      <c r="D230" s="24">
        <f>SUMIF(Master!A:A,Journals!C230,Master!E:E)</f>
        <v>177.27272727272725</v>
      </c>
      <c r="E230" s="247" t="str">
        <f>E231</f>
        <v xml:space="preserve">Carpark Accrual Hobart </v>
      </c>
      <c r="F230" s="488" t="str">
        <f t="shared" si="7"/>
        <v>Apr 2021</v>
      </c>
      <c r="G230" s="86"/>
      <c r="H230" s="86"/>
    </row>
    <row r="231" spans="2:8" x14ac:dyDescent="0.3">
      <c r="B231" s="161" t="s">
        <v>741</v>
      </c>
      <c r="C231" s="161" t="s">
        <v>3208</v>
      </c>
      <c r="D231" s="95">
        <f>-SUM(D229:D230)</f>
        <v>-945.45454545454538</v>
      </c>
      <c r="E231" s="163" t="s">
        <v>3255</v>
      </c>
      <c r="F231" s="490" t="str">
        <f t="shared" si="7"/>
        <v>Apr 2021</v>
      </c>
      <c r="G231" s="97"/>
      <c r="H231" s="97"/>
    </row>
    <row r="232" spans="2:8" hidden="1" x14ac:dyDescent="0.3">
      <c r="B232" s="108" t="s">
        <v>741</v>
      </c>
      <c r="C232" s="108" t="s">
        <v>3101</v>
      </c>
      <c r="D232" s="24">
        <f>SUMIF(Master!A:A,Journals!C232,Master!E:E)</f>
        <v>0</v>
      </c>
      <c r="E232" s="86" t="s">
        <v>3260</v>
      </c>
      <c r="F232" s="488" t="str">
        <f t="shared" si="7"/>
        <v>Apr 2021</v>
      </c>
      <c r="G232" s="86"/>
      <c r="H232" s="86"/>
    </row>
    <row r="233" spans="2:8" x14ac:dyDescent="0.3">
      <c r="B233" s="161" t="s">
        <v>741</v>
      </c>
      <c r="C233" s="162" t="s">
        <v>3208</v>
      </c>
      <c r="D233" s="95">
        <f>-SUM(D232)</f>
        <v>0</v>
      </c>
      <c r="E233" s="163" t="str">
        <f>E232</f>
        <v xml:space="preserve">Carpark Accrual Newcastle </v>
      </c>
      <c r="F233" s="490" t="str">
        <f t="shared" si="7"/>
        <v>Apr 2021</v>
      </c>
      <c r="G233" s="97"/>
      <c r="H233" s="97"/>
    </row>
    <row r="234" spans="2:8" hidden="1" x14ac:dyDescent="0.3">
      <c r="B234" s="108" t="s">
        <v>741</v>
      </c>
      <c r="C234" s="183" t="s">
        <v>1938</v>
      </c>
      <c r="D234" s="24">
        <f>SUMIF(Master!A:A,Journals!C234,Master!E:E)</f>
        <v>0</v>
      </c>
      <c r="E234" s="86" t="s">
        <v>3261</v>
      </c>
      <c r="F234" s="488" t="str">
        <f t="shared" si="7"/>
        <v>Apr 2021</v>
      </c>
      <c r="G234" s="86"/>
      <c r="H234" s="86"/>
    </row>
    <row r="235" spans="2:8" hidden="1" x14ac:dyDescent="0.3">
      <c r="B235" s="108" t="s">
        <v>741</v>
      </c>
      <c r="C235" s="183" t="s">
        <v>1993</v>
      </c>
      <c r="D235" s="24">
        <f>SUMIF(Master!A:A,Journals!C235,Master!E:E)</f>
        <v>0</v>
      </c>
      <c r="E235" s="86" t="str">
        <f>E234</f>
        <v xml:space="preserve">Carpark Accrual Sydney </v>
      </c>
      <c r="F235" s="488" t="str">
        <f t="shared" si="7"/>
        <v>Apr 2021</v>
      </c>
      <c r="G235" s="86"/>
      <c r="H235" s="86"/>
    </row>
    <row r="236" spans="2:8" hidden="1" x14ac:dyDescent="0.3">
      <c r="B236" s="108" t="s">
        <v>741</v>
      </c>
      <c r="C236" s="183" t="s">
        <v>1879</v>
      </c>
      <c r="D236" s="24">
        <f>SUMIF(Master!A:A,Journals!C236,Master!E:E)</f>
        <v>0</v>
      </c>
      <c r="E236" s="86" t="str">
        <f t="shared" ref="E236:E242" si="9">E235</f>
        <v xml:space="preserve">Carpark Accrual Sydney </v>
      </c>
      <c r="F236" s="488" t="str">
        <f t="shared" si="7"/>
        <v>Apr 2021</v>
      </c>
      <c r="G236" s="86"/>
      <c r="H236" s="86"/>
    </row>
    <row r="237" spans="2:8" hidden="1" x14ac:dyDescent="0.3">
      <c r="B237" s="108" t="s">
        <v>741</v>
      </c>
      <c r="C237" s="183" t="s">
        <v>1995</v>
      </c>
      <c r="D237" s="24">
        <f>SUMIF(Master!A:A,Journals!C237,Master!E:E)</f>
        <v>0</v>
      </c>
      <c r="E237" s="86" t="str">
        <f t="shared" si="9"/>
        <v xml:space="preserve">Carpark Accrual Sydney </v>
      </c>
      <c r="F237" s="488" t="str">
        <f t="shared" si="7"/>
        <v>Apr 2021</v>
      </c>
      <c r="G237" s="86"/>
      <c r="H237" s="86"/>
    </row>
    <row r="238" spans="2:8" hidden="1" x14ac:dyDescent="0.3">
      <c r="B238" s="108" t="s">
        <v>741</v>
      </c>
      <c r="C238" s="183" t="s">
        <v>1994</v>
      </c>
      <c r="D238" s="24">
        <f>SUMIF(Master!A:A,Journals!C238,Master!E:E)</f>
        <v>0</v>
      </c>
      <c r="E238" s="86" t="str">
        <f t="shared" si="9"/>
        <v xml:space="preserve">Carpark Accrual Sydney </v>
      </c>
      <c r="F238" s="488" t="str">
        <f t="shared" si="7"/>
        <v>Apr 2021</v>
      </c>
      <c r="G238" s="86"/>
      <c r="H238" s="86"/>
    </row>
    <row r="239" spans="2:8" hidden="1" x14ac:dyDescent="0.3">
      <c r="B239" s="108" t="s">
        <v>741</v>
      </c>
      <c r="C239" s="183" t="s">
        <v>1990</v>
      </c>
      <c r="D239" s="24">
        <f>SUMIF(Master!A:A,Journals!C239,Master!E:E)</f>
        <v>0</v>
      </c>
      <c r="E239" s="86" t="str">
        <f t="shared" si="9"/>
        <v xml:space="preserve">Carpark Accrual Sydney </v>
      </c>
      <c r="F239" s="488" t="str">
        <f t="shared" si="7"/>
        <v>Apr 2021</v>
      </c>
      <c r="G239" s="86"/>
      <c r="H239" s="86"/>
    </row>
    <row r="240" spans="2:8" hidden="1" x14ac:dyDescent="0.3">
      <c r="B240" s="108" t="s">
        <v>741</v>
      </c>
      <c r="C240" s="183" t="s">
        <v>1996</v>
      </c>
      <c r="D240" s="24">
        <f>SUMIF(Master!A:A,Journals!C240,Master!E:E)</f>
        <v>0</v>
      </c>
      <c r="E240" s="86" t="str">
        <f t="shared" si="9"/>
        <v xml:space="preserve">Carpark Accrual Sydney </v>
      </c>
      <c r="F240" s="488" t="str">
        <f t="shared" si="7"/>
        <v>Apr 2021</v>
      </c>
      <c r="G240" s="86"/>
      <c r="H240" s="86"/>
    </row>
    <row r="241" spans="2:8" hidden="1" x14ac:dyDescent="0.3">
      <c r="B241" s="108" t="s">
        <v>741</v>
      </c>
      <c r="C241" s="183" t="s">
        <v>1927</v>
      </c>
      <c r="D241" s="24">
        <f>SUMIF(Master!A:A,Journals!C241,Master!E:E)</f>
        <v>0</v>
      </c>
      <c r="E241" s="86" t="str">
        <f t="shared" si="9"/>
        <v xml:space="preserve">Carpark Accrual Sydney </v>
      </c>
      <c r="F241" s="488" t="str">
        <f t="shared" si="7"/>
        <v>Apr 2021</v>
      </c>
      <c r="G241" s="86"/>
      <c r="H241" s="86"/>
    </row>
    <row r="242" spans="2:8" hidden="1" x14ac:dyDescent="0.3">
      <c r="B242" s="108" t="s">
        <v>741</v>
      </c>
      <c r="C242" s="183" t="s">
        <v>1893</v>
      </c>
      <c r="D242" s="24">
        <f>SUMIF(Master!A:A,Journals!C242,Master!E:E)</f>
        <v>0</v>
      </c>
      <c r="E242" s="86" t="str">
        <f t="shared" si="9"/>
        <v xml:space="preserve">Carpark Accrual Sydney </v>
      </c>
      <c r="F242" s="488" t="str">
        <f t="shared" si="7"/>
        <v>Apr 2021</v>
      </c>
      <c r="G242" s="86"/>
      <c r="H242" s="86"/>
    </row>
    <row r="243" spans="2:8" x14ac:dyDescent="0.3">
      <c r="B243" s="161" t="s">
        <v>741</v>
      </c>
      <c r="C243" s="162" t="s">
        <v>3208</v>
      </c>
      <c r="D243" s="95">
        <f>-SUM(D234:D242)</f>
        <v>0</v>
      </c>
      <c r="E243" s="163" t="str">
        <f>E241</f>
        <v xml:space="preserve">Carpark Accrual Sydney </v>
      </c>
      <c r="F243" s="490" t="str">
        <f t="shared" si="7"/>
        <v>Apr 2021</v>
      </c>
      <c r="G243" s="97"/>
      <c r="H243" s="97"/>
    </row>
    <row r="244" spans="2:8" hidden="1" x14ac:dyDescent="0.3">
      <c r="B244" s="108" t="s">
        <v>741</v>
      </c>
      <c r="C244" s="108" t="s">
        <v>2156</v>
      </c>
      <c r="D244" s="24">
        <f>SUMIF(Master!A:A,Journals!C244,Master!E:E)</f>
        <v>419.81818181818176</v>
      </c>
      <c r="E244" s="247" t="str">
        <f>E249</f>
        <v xml:space="preserve">Carpark Accrual Perth </v>
      </c>
      <c r="F244" s="488" t="str">
        <f t="shared" si="7"/>
        <v>Apr 2021</v>
      </c>
      <c r="G244" s="86"/>
      <c r="H244" s="86"/>
    </row>
    <row r="245" spans="2:8" hidden="1" x14ac:dyDescent="0.3">
      <c r="B245" s="108" t="s">
        <v>741</v>
      </c>
      <c r="C245" s="108" t="s">
        <v>2222</v>
      </c>
      <c r="D245" s="24">
        <f>SUMIF(Master!A:A,Journals!C245,Master!E:E)</f>
        <v>339.99999999999994</v>
      </c>
      <c r="E245" s="86" t="str">
        <f>E244</f>
        <v xml:space="preserve">Carpark Accrual Perth </v>
      </c>
      <c r="F245" s="488" t="str">
        <f t="shared" si="7"/>
        <v>Apr 2021</v>
      </c>
      <c r="G245" s="86"/>
      <c r="H245" s="86"/>
    </row>
    <row r="246" spans="2:8" hidden="1" x14ac:dyDescent="0.3">
      <c r="B246" s="108" t="s">
        <v>741</v>
      </c>
      <c r="C246" s="108" t="s">
        <v>2225</v>
      </c>
      <c r="D246" s="24">
        <f>SUMIF(Master!A:A,Journals!C246,Master!E:E)</f>
        <v>105.09090909090908</v>
      </c>
      <c r="E246" s="86" t="str">
        <f t="shared" ref="E246:E248" si="10">E245</f>
        <v xml:space="preserve">Carpark Accrual Perth </v>
      </c>
      <c r="F246" s="488" t="str">
        <f t="shared" si="7"/>
        <v>Apr 2021</v>
      </c>
      <c r="G246" s="86"/>
      <c r="H246" s="86"/>
    </row>
    <row r="247" spans="2:8" hidden="1" x14ac:dyDescent="0.3">
      <c r="B247" s="108" t="s">
        <v>741</v>
      </c>
      <c r="C247" s="108" t="s">
        <v>2227</v>
      </c>
      <c r="D247" s="24">
        <f>SUMIF(Master!A:A,Journals!C247,Master!E:E)</f>
        <v>234.90909090909093</v>
      </c>
      <c r="E247" s="86" t="str">
        <f t="shared" si="10"/>
        <v xml:space="preserve">Carpark Accrual Perth </v>
      </c>
      <c r="F247" s="488" t="str">
        <f t="shared" si="7"/>
        <v>Apr 2021</v>
      </c>
      <c r="G247" s="86"/>
      <c r="H247" s="86"/>
    </row>
    <row r="248" spans="2:8" hidden="1" x14ac:dyDescent="0.3">
      <c r="B248" s="108" t="s">
        <v>741</v>
      </c>
      <c r="C248" s="108" t="s">
        <v>2230</v>
      </c>
      <c r="D248" s="24">
        <f>SUMIF(Master!A:A,Journals!C248,Master!E:E)</f>
        <v>18.545454545454543</v>
      </c>
      <c r="E248" s="86" t="str">
        <f t="shared" si="10"/>
        <v xml:space="preserve">Carpark Accrual Perth </v>
      </c>
      <c r="F248" s="488" t="str">
        <f t="shared" si="7"/>
        <v>Apr 2021</v>
      </c>
      <c r="G248" s="86"/>
      <c r="H248" s="86"/>
    </row>
    <row r="249" spans="2:8" x14ac:dyDescent="0.3">
      <c r="B249" s="161" t="s">
        <v>741</v>
      </c>
      <c r="C249" s="161" t="s">
        <v>3208</v>
      </c>
      <c r="D249" s="95">
        <f>-SUM(D244:D248)</f>
        <v>-1118.3636363636363</v>
      </c>
      <c r="E249" s="163" t="s">
        <v>3256</v>
      </c>
      <c r="F249" s="490" t="str">
        <f t="shared" si="7"/>
        <v>Apr 2021</v>
      </c>
      <c r="G249" s="97"/>
      <c r="H249" s="97"/>
    </row>
    <row r="250" spans="2:8" hidden="1" x14ac:dyDescent="0.3">
      <c r="B250" s="108" t="s">
        <v>741</v>
      </c>
      <c r="C250" s="108" t="s">
        <v>2037</v>
      </c>
      <c r="D250" s="24">
        <f>SUMIF(Master!A:A,Journals!C250,Master!E:E)</f>
        <v>140</v>
      </c>
      <c r="E250" s="247" t="str">
        <f>E268</f>
        <v xml:space="preserve"> Carpark Accrual Brisbane </v>
      </c>
      <c r="F250" s="488" t="str">
        <f t="shared" si="7"/>
        <v>Apr 2021</v>
      </c>
      <c r="G250" s="86"/>
      <c r="H250" s="86"/>
    </row>
    <row r="251" spans="2:8" hidden="1" x14ac:dyDescent="0.3">
      <c r="B251" s="108" t="s">
        <v>741</v>
      </c>
      <c r="C251" s="108" t="s">
        <v>2065</v>
      </c>
      <c r="D251" s="24">
        <f>SUMIF(Master!A:A,Journals!C251,Master!E:E)</f>
        <v>210</v>
      </c>
      <c r="E251" s="106" t="str">
        <f>E250</f>
        <v xml:space="preserve"> Carpark Accrual Brisbane </v>
      </c>
      <c r="F251" s="488" t="str">
        <f t="shared" si="7"/>
        <v>Apr 2021</v>
      </c>
      <c r="G251" s="86"/>
      <c r="H251" s="86"/>
    </row>
    <row r="252" spans="2:8" hidden="1" x14ac:dyDescent="0.3">
      <c r="B252" s="108" t="s">
        <v>741</v>
      </c>
      <c r="C252" s="108" t="s">
        <v>2085</v>
      </c>
      <c r="D252" s="24">
        <f>SUMIF(Master!A:A,Journals!C252,Master!E:E)</f>
        <v>210</v>
      </c>
      <c r="E252" s="106" t="str">
        <f t="shared" ref="E252:E267" si="11">E251</f>
        <v xml:space="preserve"> Carpark Accrual Brisbane </v>
      </c>
      <c r="F252" s="488" t="str">
        <f t="shared" si="7"/>
        <v>Apr 2021</v>
      </c>
      <c r="G252" s="86"/>
      <c r="H252" s="86"/>
    </row>
    <row r="253" spans="2:8" hidden="1" x14ac:dyDescent="0.3">
      <c r="B253" s="108" t="s">
        <v>741</v>
      </c>
      <c r="C253" s="108" t="s">
        <v>2107</v>
      </c>
      <c r="D253" s="24">
        <f>SUMIF(Master!A:A,Journals!C253,Master!E:E)</f>
        <v>70</v>
      </c>
      <c r="E253" s="106" t="str">
        <f t="shared" si="11"/>
        <v xml:space="preserve"> Carpark Accrual Brisbane </v>
      </c>
      <c r="F253" s="488" t="str">
        <f t="shared" si="7"/>
        <v>Apr 2021</v>
      </c>
      <c r="G253" s="86"/>
      <c r="H253" s="86"/>
    </row>
    <row r="254" spans="2:8" hidden="1" x14ac:dyDescent="0.3">
      <c r="B254" s="108" t="s">
        <v>741</v>
      </c>
      <c r="C254" s="108" t="s">
        <v>2108</v>
      </c>
      <c r="D254" s="24">
        <f>SUMIF(Master!A:A,Journals!C254,Master!E:E)</f>
        <v>70</v>
      </c>
      <c r="E254" s="106" t="str">
        <f t="shared" si="11"/>
        <v xml:space="preserve"> Carpark Accrual Brisbane </v>
      </c>
      <c r="F254" s="488" t="str">
        <f t="shared" si="7"/>
        <v>Apr 2021</v>
      </c>
      <c r="G254" s="86"/>
      <c r="H254" s="86"/>
    </row>
    <row r="255" spans="2:8" hidden="1" x14ac:dyDescent="0.3">
      <c r="B255" s="108" t="s">
        <v>741</v>
      </c>
      <c r="C255" s="108" t="s">
        <v>2109</v>
      </c>
      <c r="D255" s="24">
        <f>SUMIF(Master!A:A,Journals!C255,Master!E:E)</f>
        <v>0</v>
      </c>
      <c r="E255" s="106" t="str">
        <f t="shared" si="11"/>
        <v xml:space="preserve"> Carpark Accrual Brisbane </v>
      </c>
      <c r="F255" s="488" t="str">
        <f t="shared" si="7"/>
        <v>Apr 2021</v>
      </c>
      <c r="G255" s="86"/>
      <c r="H255" s="86"/>
    </row>
    <row r="256" spans="2:8" hidden="1" x14ac:dyDescent="0.3">
      <c r="B256" s="108" t="s">
        <v>741</v>
      </c>
      <c r="C256" s="108" t="s">
        <v>2114</v>
      </c>
      <c r="D256" s="24">
        <f>SUMIF(Master!A:A,Journals!C256,Master!E:E)</f>
        <v>210</v>
      </c>
      <c r="E256" s="106" t="str">
        <f t="shared" si="11"/>
        <v xml:space="preserve"> Carpark Accrual Brisbane </v>
      </c>
      <c r="F256" s="488" t="str">
        <f t="shared" si="7"/>
        <v>Apr 2021</v>
      </c>
      <c r="G256" s="86"/>
      <c r="H256" s="86"/>
    </row>
    <row r="257" spans="2:8" hidden="1" x14ac:dyDescent="0.3">
      <c r="B257" s="108" t="s">
        <v>741</v>
      </c>
      <c r="C257" s="108" t="s">
        <v>2115</v>
      </c>
      <c r="D257" s="24">
        <f>SUMIF(Master!A:A,Journals!C257,Master!E:E)</f>
        <v>0</v>
      </c>
      <c r="E257" s="106" t="str">
        <f t="shared" si="11"/>
        <v xml:space="preserve"> Carpark Accrual Brisbane </v>
      </c>
      <c r="F257" s="488" t="str">
        <f t="shared" si="7"/>
        <v>Apr 2021</v>
      </c>
      <c r="G257" s="86"/>
      <c r="H257" s="86"/>
    </row>
    <row r="258" spans="2:8" hidden="1" x14ac:dyDescent="0.3">
      <c r="B258" s="108" t="s">
        <v>741</v>
      </c>
      <c r="C258" s="108" t="s">
        <v>2117</v>
      </c>
      <c r="D258" s="24">
        <f>SUMIF(Master!A:A,Journals!C258,Master!E:E)</f>
        <v>280</v>
      </c>
      <c r="E258" s="106" t="str">
        <f t="shared" si="11"/>
        <v xml:space="preserve"> Carpark Accrual Brisbane </v>
      </c>
      <c r="F258" s="488" t="str">
        <f t="shared" si="7"/>
        <v>Apr 2021</v>
      </c>
      <c r="G258" s="86"/>
      <c r="H258" s="86"/>
    </row>
    <row r="259" spans="2:8" hidden="1" x14ac:dyDescent="0.3">
      <c r="B259" s="108" t="s">
        <v>741</v>
      </c>
      <c r="C259" s="108" t="s">
        <v>2118</v>
      </c>
      <c r="D259" s="24">
        <f>SUMIF(Master!A:A,Journals!C259,Master!E:E)</f>
        <v>0</v>
      </c>
      <c r="E259" s="106" t="str">
        <f t="shared" si="11"/>
        <v xml:space="preserve"> Carpark Accrual Brisbane </v>
      </c>
      <c r="F259" s="488" t="str">
        <f t="shared" si="7"/>
        <v>Apr 2021</v>
      </c>
      <c r="G259" s="86"/>
      <c r="H259" s="86"/>
    </row>
    <row r="260" spans="2:8" hidden="1" x14ac:dyDescent="0.3">
      <c r="B260" s="108" t="s">
        <v>741</v>
      </c>
      <c r="C260" s="108" t="s">
        <v>2119</v>
      </c>
      <c r="D260" s="24">
        <f>SUMIF(Master!A:A,Journals!C260,Master!E:E)</f>
        <v>70</v>
      </c>
      <c r="E260" s="106" t="str">
        <f t="shared" si="11"/>
        <v xml:space="preserve"> Carpark Accrual Brisbane </v>
      </c>
      <c r="F260" s="488" t="str">
        <f t="shared" si="7"/>
        <v>Apr 2021</v>
      </c>
      <c r="G260" s="86"/>
      <c r="H260" s="86"/>
    </row>
    <row r="261" spans="2:8" hidden="1" x14ac:dyDescent="0.3">
      <c r="B261" s="108" t="s">
        <v>741</v>
      </c>
      <c r="C261" s="108" t="s">
        <v>2120</v>
      </c>
      <c r="D261" s="24">
        <f>SUMIF(Master!A:A,Journals!C261,Master!E:E)</f>
        <v>350</v>
      </c>
      <c r="E261" s="106" t="str">
        <f t="shared" si="11"/>
        <v xml:space="preserve"> Carpark Accrual Brisbane </v>
      </c>
      <c r="F261" s="488" t="str">
        <f t="shared" si="7"/>
        <v>Apr 2021</v>
      </c>
      <c r="G261" s="86"/>
      <c r="H261" s="86"/>
    </row>
    <row r="262" spans="2:8" hidden="1" x14ac:dyDescent="0.3">
      <c r="B262" s="108" t="s">
        <v>741</v>
      </c>
      <c r="C262" s="108" t="s">
        <v>2121</v>
      </c>
      <c r="D262" s="24">
        <f>SUMIF(Master!A:A,Journals!C262,Master!E:E)</f>
        <v>210</v>
      </c>
      <c r="E262" s="106" t="str">
        <f t="shared" si="11"/>
        <v xml:space="preserve"> Carpark Accrual Brisbane </v>
      </c>
      <c r="F262" s="488" t="str">
        <f t="shared" si="7"/>
        <v>Apr 2021</v>
      </c>
      <c r="G262" s="86"/>
      <c r="H262" s="86"/>
    </row>
    <row r="263" spans="2:8" hidden="1" x14ac:dyDescent="0.3">
      <c r="B263" s="108" t="s">
        <v>741</v>
      </c>
      <c r="C263" s="108" t="s">
        <v>2125</v>
      </c>
      <c r="D263" s="24">
        <f>SUMIF(Master!A:A,Journals!C263,Master!E:E)</f>
        <v>140</v>
      </c>
      <c r="E263" s="106" t="str">
        <f t="shared" si="11"/>
        <v xml:space="preserve"> Carpark Accrual Brisbane </v>
      </c>
      <c r="F263" s="488" t="str">
        <f t="shared" ref="F263:F274" si="12">$G$13</f>
        <v>Apr 2021</v>
      </c>
      <c r="G263" s="86"/>
      <c r="H263" s="86"/>
    </row>
    <row r="264" spans="2:8" hidden="1" x14ac:dyDescent="0.3">
      <c r="B264" s="108" t="s">
        <v>741</v>
      </c>
      <c r="C264" s="108" t="s">
        <v>2127</v>
      </c>
      <c r="D264" s="24">
        <f>SUMIF(Master!A:A,Journals!C264,Master!E:E)</f>
        <v>140</v>
      </c>
      <c r="E264" s="106" t="str">
        <f t="shared" si="11"/>
        <v xml:space="preserve"> Carpark Accrual Brisbane </v>
      </c>
      <c r="F264" s="488" t="str">
        <f t="shared" si="12"/>
        <v>Apr 2021</v>
      </c>
      <c r="G264" s="86"/>
      <c r="H264" s="86"/>
    </row>
    <row r="265" spans="2:8" hidden="1" x14ac:dyDescent="0.3">
      <c r="B265" s="108" t="s">
        <v>741</v>
      </c>
      <c r="C265" s="108" t="s">
        <v>2132</v>
      </c>
      <c r="D265" s="24">
        <f>SUMIF(Master!A:A,Journals!C265,Master!E:E)</f>
        <v>630</v>
      </c>
      <c r="E265" s="106" t="str">
        <f t="shared" si="11"/>
        <v xml:space="preserve"> Carpark Accrual Brisbane </v>
      </c>
      <c r="F265" s="488" t="str">
        <f t="shared" si="12"/>
        <v>Apr 2021</v>
      </c>
      <c r="G265" s="86"/>
      <c r="H265" s="86"/>
    </row>
    <row r="266" spans="2:8" hidden="1" x14ac:dyDescent="0.3">
      <c r="B266" s="108" t="s">
        <v>741</v>
      </c>
      <c r="C266" s="108" t="s">
        <v>2142</v>
      </c>
      <c r="D266" s="24">
        <f>SUMIF(Master!A:A,Journals!C266,Master!E:E)</f>
        <v>280</v>
      </c>
      <c r="E266" s="106" t="str">
        <f t="shared" si="11"/>
        <v xml:space="preserve"> Carpark Accrual Brisbane </v>
      </c>
      <c r="F266" s="488" t="str">
        <f t="shared" si="12"/>
        <v>Apr 2021</v>
      </c>
      <c r="G266" s="86"/>
      <c r="H266" s="86"/>
    </row>
    <row r="267" spans="2:8" hidden="1" x14ac:dyDescent="0.3">
      <c r="B267" s="108" t="s">
        <v>741</v>
      </c>
      <c r="C267" s="108" t="s">
        <v>2145</v>
      </c>
      <c r="D267" s="24">
        <f>SUMIF(Master!A:A,Journals!C267,Master!E:E)</f>
        <v>350</v>
      </c>
      <c r="E267" s="106" t="str">
        <f t="shared" si="11"/>
        <v xml:space="preserve"> Carpark Accrual Brisbane </v>
      </c>
      <c r="F267" s="488" t="str">
        <f t="shared" si="12"/>
        <v>Apr 2021</v>
      </c>
      <c r="G267" s="86"/>
      <c r="H267" s="86"/>
    </row>
    <row r="268" spans="2:8" x14ac:dyDescent="0.3">
      <c r="B268" s="161" t="s">
        <v>741</v>
      </c>
      <c r="C268" s="161" t="s">
        <v>3208</v>
      </c>
      <c r="D268" s="95">
        <f>-SUM(D250:D267)</f>
        <v>-3360</v>
      </c>
      <c r="E268" s="163" t="s">
        <v>3257</v>
      </c>
      <c r="F268" s="490" t="str">
        <f t="shared" si="12"/>
        <v>Apr 2021</v>
      </c>
      <c r="G268" s="97"/>
      <c r="H268" s="97"/>
    </row>
    <row r="269" spans="2:8" hidden="1" x14ac:dyDescent="0.3">
      <c r="B269" s="108" t="s">
        <v>741</v>
      </c>
      <c r="C269" s="108" t="s">
        <v>2310</v>
      </c>
      <c r="D269" s="24">
        <f>SUMIF(Master!A:A,Journals!C269,Master!E:E)</f>
        <v>0</v>
      </c>
      <c r="E269" s="106" t="s">
        <v>3258</v>
      </c>
      <c r="F269" s="488" t="str">
        <f t="shared" si="12"/>
        <v>Apr 2021</v>
      </c>
      <c r="G269" s="86"/>
      <c r="H269" s="86"/>
    </row>
    <row r="270" spans="2:8" x14ac:dyDescent="0.3">
      <c r="B270" s="161" t="s">
        <v>741</v>
      </c>
      <c r="C270" s="161" t="s">
        <v>3208</v>
      </c>
      <c r="D270" s="95">
        <f>-SUM(D269)</f>
        <v>0</v>
      </c>
      <c r="E270" s="163" t="str">
        <f>E269</f>
        <v xml:space="preserve">Carpark Accrual Darwin </v>
      </c>
      <c r="F270" s="490" t="str">
        <f t="shared" si="12"/>
        <v>Apr 2021</v>
      </c>
      <c r="G270" s="97"/>
      <c r="H270" s="97"/>
    </row>
    <row r="271" spans="2:8" hidden="1" x14ac:dyDescent="0.3">
      <c r="B271" s="108" t="s">
        <v>741</v>
      </c>
      <c r="C271" s="108" t="s">
        <v>1943</v>
      </c>
      <c r="D271" s="24">
        <f>SUMIF(Master!A:A,Journals!C271,Master!E:E)</f>
        <v>0</v>
      </c>
      <c r="E271" s="106" t="s">
        <v>3262</v>
      </c>
      <c r="F271" s="488" t="str">
        <f t="shared" si="12"/>
        <v>Apr 2021</v>
      </c>
      <c r="G271" s="86"/>
      <c r="H271" s="86"/>
    </row>
    <row r="272" spans="2:8" x14ac:dyDescent="0.3">
      <c r="B272" s="161" t="s">
        <v>741</v>
      </c>
      <c r="C272" s="161" t="s">
        <v>3208</v>
      </c>
      <c r="D272" s="95">
        <f>-D271</f>
        <v>0</v>
      </c>
      <c r="E272" s="163" t="str">
        <f>E271</f>
        <v xml:space="preserve">Carpark Accrual Canberra </v>
      </c>
      <c r="F272" s="490" t="str">
        <f t="shared" si="12"/>
        <v>Apr 2021</v>
      </c>
      <c r="G272" s="97"/>
      <c r="H272" s="97"/>
    </row>
    <row r="273" spans="2:8" hidden="1" x14ac:dyDescent="0.3">
      <c r="B273" s="108" t="s">
        <v>741</v>
      </c>
      <c r="C273" s="108" t="s">
        <v>2072</v>
      </c>
      <c r="D273" s="24">
        <f>SUMIF(Master!A:A,Journals!C273,Master!E:E)</f>
        <v>100</v>
      </c>
      <c r="E273" s="106" t="str">
        <f>E274</f>
        <v xml:space="preserve">Carpark Accrual Sunshine Coast </v>
      </c>
      <c r="F273" s="488" t="str">
        <f t="shared" si="12"/>
        <v>Apr 2021</v>
      </c>
      <c r="G273" s="86"/>
      <c r="H273" s="86"/>
    </row>
    <row r="274" spans="2:8" x14ac:dyDescent="0.3">
      <c r="B274" s="161" t="s">
        <v>741</v>
      </c>
      <c r="C274" s="161" t="s">
        <v>3208</v>
      </c>
      <c r="D274" s="95">
        <f>-D273</f>
        <v>-100</v>
      </c>
      <c r="E274" s="163" t="s">
        <v>3259</v>
      </c>
      <c r="F274" s="490" t="str">
        <f t="shared" si="12"/>
        <v>Apr 2021</v>
      </c>
      <c r="G274" s="97"/>
      <c r="H274" s="97"/>
    </row>
    <row r="276" spans="2:8" x14ac:dyDescent="0.3">
      <c r="D276" s="27">
        <f>D84+D135+D201+D203+D205+D207+D210+D212+D214+D216+D218+D228+D231+D233+D243+D249+D268+D270+D272+D274</f>
        <v>-479572.84914215154</v>
      </c>
    </row>
    <row r="277" spans="2:8" x14ac:dyDescent="0.3">
      <c r="D277" s="79">
        <f>Master!E7+Master!E12+Master!E38+Master!E43+Master!E52+Master!E55+Master!E62+Master!E97+Master!E121+Master!E172+Master!E221+Master!E225+Master!E229+Master!E243</f>
        <v>479572.84914215154</v>
      </c>
    </row>
  </sheetData>
  <autoFilter ref="B16:H274" xr:uid="{13102D44-4CA3-4DB3-8E4F-5DE225293DB0}">
    <filterColumn colId="2">
      <colorFilter dxfId="0"/>
    </filterColumn>
  </autoFilter>
  <mergeCells count="12">
    <mergeCell ref="C9:H9"/>
    <mergeCell ref="C4:H4"/>
    <mergeCell ref="C5:H5"/>
    <mergeCell ref="C6:H6"/>
    <mergeCell ref="C7:H7"/>
    <mergeCell ref="C8:H8"/>
    <mergeCell ref="C10:H10"/>
    <mergeCell ref="C11:H11"/>
    <mergeCell ref="C12:H12"/>
    <mergeCell ref="C14:H14"/>
    <mergeCell ref="C13:F13"/>
    <mergeCell ref="G13:H13"/>
  </mergeCells>
  <pageMargins left="0.7" right="0.7" top="0.75" bottom="0.75" header="0.3" footer="0.3"/>
  <pageSetup paperSize="9" scale="50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62C3802-E4FE-4F1B-A9A9-630D3B94ECDE}">
          <x14:formula1>
            <xm:f>Stores!$A$6:$A$301</xm:f>
          </x14:formula1>
          <xm:sqref>A113</xm:sqref>
        </x14:dataValidation>
        <x14:dataValidation type="list" allowBlank="1" showInputMessage="1" showErrorMessage="1" xr:uid="{05C1A53C-220C-41B2-8FE2-C61E600AD5F4}">
          <x14:formula1>
            <xm:f>Stores!$A$6:$A$198</xm:f>
          </x14:formula1>
          <xm:sqref>A114:A125 A127:A201 A17:A112</xm:sqref>
        </x14:dataValidation>
        <x14:dataValidation type="list" allowBlank="1" showInputMessage="1" showErrorMessage="1" xr:uid="{971C791C-6CC5-486C-AAC5-A322E44DA51E}">
          <x14:formula1>
            <xm:f>'Date of Journals '!$A$3:$A$25</xm:f>
          </x14:formula1>
          <xm:sqref>C8:H8</xm:sqref>
        </x14:dataValidation>
        <x14:dataValidation type="list" allowBlank="1" showInputMessage="1" showErrorMessage="1" xr:uid="{464962CD-5D30-4C59-8B36-FEC30BA2DA90}">
          <x14:formula1>
            <xm:f>'Posted By'!$A$2:$A$7</xm:f>
          </x14:formula1>
          <xm:sqref>C10:H10</xm:sqref>
        </x14:dataValidation>
        <x14:dataValidation type="list" allowBlank="1" showInputMessage="1" showErrorMessage="1" xr:uid="{758AE3EC-250E-4DFE-884F-A526BF8E2120}">
          <x14:formula1>
            <xm:f>'Approved by'!$A$3:$A$4</xm:f>
          </x14:formula1>
          <xm:sqref>C11:H11</xm:sqref>
        </x14:dataValidation>
        <x14:dataValidation type="list" allowBlank="1" showInputMessage="1" showErrorMessage="1" xr:uid="{87BE05C4-7774-4843-857C-1784762F5200}">
          <x14:formula1>
            <xm:f>'Type of Journal'!$A$3:$A$5</xm:f>
          </x14:formula1>
          <xm:sqref>C12:H12</xm:sqref>
        </x14:dataValidation>
        <x14:dataValidation type="list" allowBlank="1" showInputMessage="1" showErrorMessage="1" xr:uid="{5881F0D3-FB01-4028-87B2-400BB6C7F684}">
          <x14:formula1>
            <xm:f>Name!$A$2:$A$7</xm:f>
          </x14:formula1>
          <xm:sqref>C5:H5</xm:sqref>
        </x14:dataValidation>
        <x14:dataValidation type="list" allowBlank="1" showInputMessage="1" showErrorMessage="1" xr:uid="{6A125342-85C1-4C3C-910F-7216D6955AA3}">
          <x14:formula1>
            <xm:f>Name!$A$16:$A$17</xm:f>
          </x14:formula1>
          <xm:sqref>C4:H4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6109-FA0E-4C9D-B8DE-65F027105CBA}">
  <sheetPr codeName="Sheet2">
    <tabColor rgb="FF7030A0"/>
  </sheetPr>
  <dimension ref="A1:BD42"/>
  <sheetViews>
    <sheetView workbookViewId="0">
      <pane xSplit="6" topLeftCell="G1" activePane="topRight" state="frozen"/>
      <selection pane="topRight" activeCell="F19" sqref="F19"/>
    </sheetView>
  </sheetViews>
  <sheetFormatPr defaultRowHeight="15" x14ac:dyDescent="0.25"/>
  <cols>
    <col min="1" max="1" width="10.85546875" style="176" customWidth="1"/>
    <col min="2" max="2" width="9" style="176" customWidth="1"/>
    <col min="3" max="3" width="10.140625" style="176" customWidth="1"/>
    <col min="4" max="4" width="20.28515625" style="176" customWidth="1"/>
    <col min="5" max="5" width="10.7109375" style="176" customWidth="1"/>
    <col min="6" max="6" width="24" style="176" bestFit="1" customWidth="1"/>
    <col min="7" max="7" width="10.5703125" style="176" bestFit="1" customWidth="1"/>
    <col min="8" max="9" width="8" style="176" bestFit="1" customWidth="1"/>
    <col min="10" max="11" width="9" style="176" bestFit="1" customWidth="1"/>
    <col min="12" max="12" width="10.85546875" style="176" bestFit="1" customWidth="1"/>
    <col min="13" max="13" width="9" style="176" bestFit="1" customWidth="1"/>
    <col min="14" max="14" width="10.42578125" style="176" bestFit="1" customWidth="1"/>
    <col min="15" max="15" width="10.140625" bestFit="1" customWidth="1"/>
    <col min="16" max="16" width="10.5703125" bestFit="1" customWidth="1"/>
    <col min="17" max="21" width="10.5703125" style="176" customWidth="1"/>
    <col min="22" max="22" width="4.28515625" customWidth="1"/>
    <col min="23" max="24" width="9" style="231" bestFit="1" customWidth="1"/>
    <col min="25" max="26" width="10.5703125" style="231" bestFit="1" customWidth="1"/>
    <col min="27" max="27" width="11" style="231" bestFit="1" customWidth="1"/>
    <col min="28" max="34" width="10.5703125" style="231" bestFit="1" customWidth="1"/>
    <col min="35" max="35" width="10.5703125" style="231" customWidth="1"/>
    <col min="36" max="36" width="38.140625" style="176" bestFit="1" customWidth="1"/>
    <col min="41" max="41" width="10.7109375" bestFit="1" customWidth="1"/>
    <col min="42" max="42" width="24" bestFit="1" customWidth="1"/>
    <col min="43" max="43" width="12.42578125" bestFit="1" customWidth="1"/>
    <col min="44" max="51" width="10.28515625" bestFit="1" customWidth="1"/>
    <col min="52" max="52" width="10.5703125" bestFit="1" customWidth="1"/>
    <col min="53" max="53" width="10.28515625" bestFit="1" customWidth="1"/>
    <col min="54" max="56" width="11.5703125" bestFit="1" customWidth="1"/>
  </cols>
  <sheetData>
    <row r="1" spans="1:56" x14ac:dyDescent="0.25">
      <c r="AP1" t="s">
        <v>1090</v>
      </c>
    </row>
    <row r="2" spans="1:56" x14ac:dyDescent="0.25">
      <c r="B2" s="176">
        <v>3005</v>
      </c>
      <c r="J2" s="176">
        <v>5</v>
      </c>
      <c r="K2" s="176">
        <v>6</v>
      </c>
      <c r="L2" s="176">
        <v>7</v>
      </c>
      <c r="M2" s="176">
        <v>8</v>
      </c>
      <c r="N2" s="176">
        <v>9</v>
      </c>
      <c r="O2" s="176">
        <v>10</v>
      </c>
      <c r="P2" s="176">
        <v>11</v>
      </c>
      <c r="Q2" s="176">
        <v>12</v>
      </c>
      <c r="V2" s="176"/>
      <c r="W2" s="503" t="s">
        <v>1091</v>
      </c>
      <c r="X2" s="503"/>
      <c r="Y2" s="503"/>
      <c r="Z2" s="503"/>
      <c r="AA2" s="503"/>
      <c r="AB2" s="503"/>
      <c r="AC2" s="503"/>
      <c r="AD2" s="503"/>
      <c r="AE2" s="503"/>
      <c r="AF2" s="503"/>
      <c r="AG2" s="503"/>
      <c r="AH2" s="176"/>
      <c r="AI2" s="176"/>
      <c r="AS2">
        <v>5</v>
      </c>
      <c r="AT2">
        <v>6</v>
      </c>
      <c r="AU2">
        <v>7</v>
      </c>
      <c r="AV2" s="176">
        <v>8</v>
      </c>
      <c r="AW2" s="176">
        <v>9</v>
      </c>
      <c r="AX2" s="176">
        <v>10</v>
      </c>
      <c r="AY2" s="176">
        <v>11</v>
      </c>
      <c r="AZ2" s="176">
        <v>12</v>
      </c>
      <c r="BA2" s="176">
        <v>13</v>
      </c>
      <c r="BB2" s="176">
        <v>14</v>
      </c>
      <c r="BC2" s="176">
        <v>15</v>
      </c>
      <c r="BD2" s="176">
        <v>16</v>
      </c>
    </row>
    <row r="3" spans="1:56" ht="15.75" x14ac:dyDescent="0.25">
      <c r="A3" s="204" t="s">
        <v>0</v>
      </c>
      <c r="B3" s="204"/>
      <c r="C3" s="204" t="s">
        <v>871</v>
      </c>
      <c r="D3" s="204" t="s">
        <v>943</v>
      </c>
      <c r="E3" s="204" t="s">
        <v>932</v>
      </c>
      <c r="F3" s="204" t="s">
        <v>0</v>
      </c>
      <c r="G3" s="204" t="s">
        <v>793</v>
      </c>
      <c r="H3" s="204" t="s">
        <v>946</v>
      </c>
      <c r="I3" s="204" t="s">
        <v>785</v>
      </c>
      <c r="J3" s="204" t="s">
        <v>786</v>
      </c>
      <c r="K3" s="204" t="s">
        <v>787</v>
      </c>
      <c r="L3" s="204" t="s">
        <v>788</v>
      </c>
      <c r="M3" s="204" t="s">
        <v>789</v>
      </c>
      <c r="N3" s="204" t="s">
        <v>790</v>
      </c>
      <c r="O3" s="204" t="s">
        <v>791</v>
      </c>
      <c r="P3" s="204" t="s">
        <v>792</v>
      </c>
      <c r="Q3" s="204" t="s">
        <v>781</v>
      </c>
      <c r="R3" s="204" t="s">
        <v>782</v>
      </c>
      <c r="S3" s="204" t="s">
        <v>783</v>
      </c>
      <c r="T3" s="204" t="s">
        <v>784</v>
      </c>
      <c r="U3" s="204" t="s">
        <v>785</v>
      </c>
      <c r="W3" s="232" t="s">
        <v>946</v>
      </c>
      <c r="X3" s="232" t="s">
        <v>785</v>
      </c>
      <c r="Y3" s="232" t="s">
        <v>786</v>
      </c>
      <c r="Z3" s="232" t="s">
        <v>787</v>
      </c>
      <c r="AA3" s="232" t="s">
        <v>788</v>
      </c>
      <c r="AB3" s="232" t="s">
        <v>789</v>
      </c>
      <c r="AC3" s="232" t="s">
        <v>790</v>
      </c>
      <c r="AD3" s="232" t="s">
        <v>791</v>
      </c>
      <c r="AE3" s="232" t="s">
        <v>792</v>
      </c>
      <c r="AF3" s="232" t="s">
        <v>781</v>
      </c>
      <c r="AG3" s="232" t="s">
        <v>782</v>
      </c>
      <c r="AH3" s="232" t="s">
        <v>783</v>
      </c>
      <c r="AI3" s="232" t="s">
        <v>784</v>
      </c>
      <c r="AJ3" s="232" t="s">
        <v>947</v>
      </c>
      <c r="AO3" s="212" t="s">
        <v>932</v>
      </c>
      <c r="AP3" s="203" t="s">
        <v>0</v>
      </c>
      <c r="AQ3" s="203" t="s">
        <v>793</v>
      </c>
      <c r="AR3" s="203" t="s">
        <v>794</v>
      </c>
      <c r="AS3" s="203" t="s">
        <v>795</v>
      </c>
      <c r="AT3" s="203" t="s">
        <v>796</v>
      </c>
      <c r="AU3" s="203" t="s">
        <v>797</v>
      </c>
      <c r="AV3" s="203" t="s">
        <v>798</v>
      </c>
      <c r="AW3" s="203" t="s">
        <v>799</v>
      </c>
      <c r="AX3" s="203" t="s">
        <v>800</v>
      </c>
      <c r="AY3" s="203" t="s">
        <v>801</v>
      </c>
      <c r="AZ3" s="203" t="s">
        <v>802</v>
      </c>
      <c r="BA3" s="203" t="s">
        <v>803</v>
      </c>
      <c r="BB3" s="203" t="s">
        <v>804</v>
      </c>
      <c r="BC3" s="203" t="s">
        <v>805</v>
      </c>
      <c r="BD3" s="203" t="s">
        <v>806</v>
      </c>
    </row>
    <row r="4" spans="1:56" ht="15.75" x14ac:dyDescent="0.25">
      <c r="A4" s="212">
        <f t="shared" ref="A4:A37" si="0">E4</f>
        <v>2117</v>
      </c>
      <c r="B4" s="215" t="s">
        <v>1157</v>
      </c>
      <c r="C4" s="213">
        <v>5.0000000000000001E-3</v>
      </c>
      <c r="D4" s="214">
        <f>SUM(AH4:AI4)</f>
        <v>4.4551499999999997</v>
      </c>
      <c r="E4" s="215">
        <v>2117</v>
      </c>
      <c r="F4" s="212" t="s">
        <v>862</v>
      </c>
      <c r="G4" s="216">
        <f>SUM(H4:P4)</f>
        <v>-10580.6355</v>
      </c>
      <c r="H4" s="216">
        <v>0</v>
      </c>
      <c r="I4" s="216">
        <v>0</v>
      </c>
      <c r="J4" s="216">
        <v>0</v>
      </c>
      <c r="K4" s="216">
        <v>0</v>
      </c>
      <c r="L4" s="216">
        <v>-174</v>
      </c>
      <c r="M4" s="216">
        <v>-3193.23</v>
      </c>
      <c r="N4" s="216">
        <v>-3330</v>
      </c>
      <c r="O4" s="216">
        <v>-3872.0455000000002</v>
      </c>
      <c r="P4" s="216">
        <v>-11.36</v>
      </c>
      <c r="Q4" s="216">
        <f t="shared" ref="Q4:Q19" si="1">VLOOKUP(A4,$AO:$BD,Q$2,0)</f>
        <v>0</v>
      </c>
      <c r="R4" s="216">
        <f>VLOOKUP($A$4,$AO:$BA,13,0)</f>
        <v>0</v>
      </c>
      <c r="S4" s="216">
        <f t="shared" ref="S4:S19" si="2">VLOOKUP($A4,$AO:$BB,14,0)</f>
        <v>-891.03</v>
      </c>
      <c r="T4" s="216"/>
      <c r="U4" s="216"/>
      <c r="W4" s="245"/>
      <c r="X4" s="245"/>
      <c r="Y4" s="245"/>
      <c r="Z4" s="245"/>
      <c r="AA4" s="245"/>
      <c r="AB4" s="245"/>
      <c r="AC4" s="245"/>
      <c r="AD4" s="245"/>
      <c r="AE4" s="245"/>
      <c r="AF4" s="246">
        <f>-$C4*Q4</f>
        <v>0</v>
      </c>
      <c r="AG4" s="246">
        <f>-$C4*R4</f>
        <v>0</v>
      </c>
      <c r="AH4" s="235">
        <f>-$C4*S4</f>
        <v>4.4551499999999997</v>
      </c>
      <c r="AI4" s="235">
        <f>T4*C4</f>
        <v>0</v>
      </c>
      <c r="AL4" s="203"/>
      <c r="AO4" s="215">
        <v>2117</v>
      </c>
      <c r="AP4" s="176" t="s">
        <v>862</v>
      </c>
      <c r="AQ4" s="107">
        <v>-11471.64</v>
      </c>
      <c r="AR4" s="107">
        <v>0</v>
      </c>
      <c r="AS4" s="107">
        <v>0</v>
      </c>
      <c r="AT4" s="107">
        <v>0</v>
      </c>
      <c r="AU4" s="107">
        <v>-174</v>
      </c>
      <c r="AV4" s="107">
        <v>-3193.23</v>
      </c>
      <c r="AW4" s="107">
        <v>-3330</v>
      </c>
      <c r="AX4" s="107">
        <v>-3872.02</v>
      </c>
      <c r="AY4" s="107">
        <v>-11.36</v>
      </c>
      <c r="AZ4" s="107">
        <v>0</v>
      </c>
      <c r="BA4" s="107">
        <v>0</v>
      </c>
      <c r="BB4" s="107">
        <v>-891.03</v>
      </c>
      <c r="BC4" s="107">
        <v>0</v>
      </c>
      <c r="BD4" s="107">
        <v>0</v>
      </c>
    </row>
    <row r="5" spans="1:56" x14ac:dyDescent="0.25">
      <c r="A5" s="212">
        <f t="shared" si="0"/>
        <v>2118</v>
      </c>
      <c r="B5" s="215" t="s">
        <v>1174</v>
      </c>
      <c r="C5" s="213">
        <v>5.0000000000000001E-3</v>
      </c>
      <c r="D5" s="214">
        <f t="shared" ref="D5:D11" si="3">SUM(AH5:AI5)</f>
        <v>114.12295</v>
      </c>
      <c r="E5" s="215">
        <v>2118</v>
      </c>
      <c r="F5" s="212" t="s">
        <v>863</v>
      </c>
      <c r="G5" s="216">
        <f t="shared" ref="G5:G37" si="4">SUM(H5:P5)</f>
        <v>-18284.668300000001</v>
      </c>
      <c r="H5" s="216">
        <v>0</v>
      </c>
      <c r="I5" s="216">
        <v>0</v>
      </c>
      <c r="J5" s="216">
        <v>0</v>
      </c>
      <c r="K5" s="216">
        <v>0</v>
      </c>
      <c r="L5" s="216">
        <v>-413.05</v>
      </c>
      <c r="M5" s="216">
        <v>-3508.74</v>
      </c>
      <c r="N5" s="216">
        <v>-3246.43</v>
      </c>
      <c r="O5" s="216">
        <v>-9890.5383000000002</v>
      </c>
      <c r="P5" s="216">
        <v>-1225.9100000000001</v>
      </c>
      <c r="Q5" s="216">
        <f t="shared" si="1"/>
        <v>-4437.91</v>
      </c>
      <c r="R5" s="216">
        <f t="shared" ref="R5:R19" si="5">VLOOKUP(A5,AO:BA,13,0)</f>
        <v>-7441.12</v>
      </c>
      <c r="S5" s="216">
        <f t="shared" si="2"/>
        <v>-22824.59</v>
      </c>
      <c r="T5" s="216"/>
      <c r="U5" s="216"/>
      <c r="W5" s="245">
        <f t="shared" ref="W5:W37" si="6">-$C5*H5</f>
        <v>0</v>
      </c>
      <c r="X5" s="245">
        <f t="shared" ref="X5:X37" si="7">-$C5*I5</f>
        <v>0</v>
      </c>
      <c r="Y5" s="245">
        <f t="shared" ref="Y5:Y37" si="8">-$C5*J5</f>
        <v>0</v>
      </c>
      <c r="Z5" s="245">
        <f t="shared" ref="Z5:Z37" si="9">-$C5*K5</f>
        <v>0</v>
      </c>
      <c r="AA5" s="245">
        <v>0</v>
      </c>
      <c r="AB5" s="245">
        <v>0</v>
      </c>
      <c r="AC5" s="245">
        <v>0</v>
      </c>
      <c r="AD5" s="245">
        <v>0</v>
      </c>
      <c r="AE5" s="245">
        <f t="shared" ref="AE5:AE16" si="10">-$C5*P5</f>
        <v>6.1295500000000009</v>
      </c>
      <c r="AF5" s="246">
        <f t="shared" ref="AF5:AH7" si="11">-$C5*Q5</f>
        <v>22.189550000000001</v>
      </c>
      <c r="AG5" s="246">
        <f t="shared" si="11"/>
        <v>37.205599999999997</v>
      </c>
      <c r="AH5" s="235">
        <f t="shared" si="11"/>
        <v>114.12295</v>
      </c>
      <c r="AI5" s="235">
        <f t="shared" ref="AI5:AI7" si="12">T5*C5</f>
        <v>0</v>
      </c>
      <c r="AL5" s="107"/>
      <c r="AO5" s="215">
        <v>2118</v>
      </c>
      <c r="AP5" s="176" t="s">
        <v>863</v>
      </c>
      <c r="AQ5" s="107">
        <v>-53130.87</v>
      </c>
      <c r="AR5" s="107">
        <v>0</v>
      </c>
      <c r="AS5" s="107">
        <v>0</v>
      </c>
      <c r="AT5" s="107">
        <v>0</v>
      </c>
      <c r="AU5" s="107">
        <v>-413.05</v>
      </c>
      <c r="AV5" s="107">
        <v>-3508.74</v>
      </c>
      <c r="AW5" s="107">
        <v>-3246.43</v>
      </c>
      <c r="AX5" s="107">
        <v>-9819.64</v>
      </c>
      <c r="AY5" s="107">
        <v>-1439.39</v>
      </c>
      <c r="AZ5" s="107">
        <v>-4437.91</v>
      </c>
      <c r="BA5" s="107">
        <v>-7441.12</v>
      </c>
      <c r="BB5" s="107">
        <v>-22824.59</v>
      </c>
      <c r="BC5" s="107">
        <v>0</v>
      </c>
      <c r="BD5" s="107">
        <v>0</v>
      </c>
    </row>
    <row r="6" spans="1:56" x14ac:dyDescent="0.25">
      <c r="A6" s="212">
        <f t="shared" si="0"/>
        <v>2119</v>
      </c>
      <c r="B6" s="215" t="s">
        <v>1186</v>
      </c>
      <c r="C6" s="213">
        <v>5.0000000000000001E-3</v>
      </c>
      <c r="D6" s="214">
        <f t="shared" si="3"/>
        <v>213.07085000000001</v>
      </c>
      <c r="E6" s="215">
        <v>2119</v>
      </c>
      <c r="F6" s="212" t="s">
        <v>864</v>
      </c>
      <c r="G6" s="216">
        <f t="shared" si="4"/>
        <v>-48272.432800000002</v>
      </c>
      <c r="H6" s="216">
        <v>0</v>
      </c>
      <c r="I6" s="216">
        <v>0</v>
      </c>
      <c r="J6" s="216">
        <v>0</v>
      </c>
      <c r="K6" s="216">
        <v>0</v>
      </c>
      <c r="L6" s="216">
        <v>-876.07</v>
      </c>
      <c r="M6" s="216">
        <v>-6306.2</v>
      </c>
      <c r="N6" s="216">
        <v>-11910.21</v>
      </c>
      <c r="O6" s="216">
        <v>-26229.9028</v>
      </c>
      <c r="P6" s="216">
        <v>-2950.05</v>
      </c>
      <c r="Q6" s="216">
        <f t="shared" si="1"/>
        <v>-7831.29</v>
      </c>
      <c r="R6" s="216">
        <f t="shared" si="5"/>
        <v>-24722.42</v>
      </c>
      <c r="S6" s="216">
        <f t="shared" si="2"/>
        <v>-42614.17</v>
      </c>
      <c r="T6" s="216"/>
      <c r="U6" s="216"/>
      <c r="W6" s="245">
        <f t="shared" si="6"/>
        <v>0</v>
      </c>
      <c r="X6" s="245">
        <f t="shared" si="7"/>
        <v>0</v>
      </c>
      <c r="Y6" s="245">
        <f t="shared" si="8"/>
        <v>0</v>
      </c>
      <c r="Z6" s="245">
        <f t="shared" si="9"/>
        <v>0</v>
      </c>
      <c r="AA6" s="245">
        <v>0</v>
      </c>
      <c r="AB6" s="245">
        <v>0</v>
      </c>
      <c r="AC6" s="245">
        <v>0</v>
      </c>
      <c r="AD6" s="245">
        <v>0</v>
      </c>
      <c r="AE6" s="245">
        <f t="shared" si="10"/>
        <v>14.750250000000001</v>
      </c>
      <c r="AF6" s="246">
        <f t="shared" si="11"/>
        <v>39.15645</v>
      </c>
      <c r="AG6" s="246">
        <f t="shared" si="11"/>
        <v>123.6121</v>
      </c>
      <c r="AH6" s="235">
        <f>-$C6*S6</f>
        <v>213.07085000000001</v>
      </c>
      <c r="AI6" s="235">
        <f t="shared" si="12"/>
        <v>0</v>
      </c>
      <c r="AL6" s="107"/>
      <c r="AO6" s="215">
        <v>2119</v>
      </c>
      <c r="AP6" s="176" t="s">
        <v>864</v>
      </c>
      <c r="AQ6" s="107">
        <v>-124579.7</v>
      </c>
      <c r="AR6" s="107">
        <v>0</v>
      </c>
      <c r="AS6" s="107">
        <v>0</v>
      </c>
      <c r="AT6" s="107">
        <v>0</v>
      </c>
      <c r="AU6" s="107">
        <v>-876.07</v>
      </c>
      <c r="AV6" s="107">
        <v>-6306.2</v>
      </c>
      <c r="AW6" s="107">
        <v>-11910.21</v>
      </c>
      <c r="AX6" s="107">
        <v>-26229.89</v>
      </c>
      <c r="AY6" s="107">
        <v>-4089.45</v>
      </c>
      <c r="AZ6" s="107">
        <v>-7831.29</v>
      </c>
      <c r="BA6" s="107">
        <v>-24722.42</v>
      </c>
      <c r="BB6" s="107">
        <v>-42614.17</v>
      </c>
      <c r="BC6" s="107">
        <v>0</v>
      </c>
      <c r="BD6" s="107">
        <v>0</v>
      </c>
    </row>
    <row r="7" spans="1:56" x14ac:dyDescent="0.25">
      <c r="A7" s="212">
        <f t="shared" si="0"/>
        <v>2137</v>
      </c>
      <c r="B7" s="215" t="s">
        <v>1203</v>
      </c>
      <c r="C7" s="213">
        <v>5.0000000000000001E-3</v>
      </c>
      <c r="D7" s="214">
        <f t="shared" si="3"/>
        <v>0</v>
      </c>
      <c r="E7" s="215">
        <v>2137</v>
      </c>
      <c r="F7" s="212" t="s">
        <v>777</v>
      </c>
      <c r="G7" s="216">
        <f t="shared" si="4"/>
        <v>-16124.09</v>
      </c>
      <c r="H7" s="216">
        <v>0</v>
      </c>
      <c r="I7" s="216">
        <v>0</v>
      </c>
      <c r="J7" s="216">
        <v>0</v>
      </c>
      <c r="K7" s="216">
        <v>0</v>
      </c>
      <c r="L7" s="216">
        <v>0</v>
      </c>
      <c r="M7" s="216">
        <v>0</v>
      </c>
      <c r="N7" s="216">
        <v>-3090.25</v>
      </c>
      <c r="O7" s="216">
        <v>-8299.91</v>
      </c>
      <c r="P7" s="216">
        <v>-4733.93</v>
      </c>
      <c r="Q7" s="216">
        <f t="shared" si="1"/>
        <v>-8031.11</v>
      </c>
      <c r="R7" s="216">
        <f t="shared" si="5"/>
        <v>-3851.32</v>
      </c>
      <c r="S7" s="216">
        <f t="shared" si="2"/>
        <v>0</v>
      </c>
      <c r="T7" s="216"/>
      <c r="U7" s="216"/>
      <c r="W7" s="245">
        <f t="shared" si="6"/>
        <v>0</v>
      </c>
      <c r="X7" s="245">
        <f t="shared" si="7"/>
        <v>0</v>
      </c>
      <c r="Y7" s="245">
        <f t="shared" si="8"/>
        <v>0</v>
      </c>
      <c r="Z7" s="245">
        <f t="shared" si="9"/>
        <v>0</v>
      </c>
      <c r="AA7" s="245">
        <v>0</v>
      </c>
      <c r="AB7" s="245">
        <v>0</v>
      </c>
      <c r="AC7" s="245">
        <v>0</v>
      </c>
      <c r="AD7" s="245">
        <v>0</v>
      </c>
      <c r="AE7" s="245">
        <f t="shared" si="10"/>
        <v>23.669650000000001</v>
      </c>
      <c r="AF7" s="246">
        <f t="shared" si="11"/>
        <v>40.155549999999998</v>
      </c>
      <c r="AG7" s="246">
        <f t="shared" si="11"/>
        <v>19.256600000000002</v>
      </c>
      <c r="AH7" s="235">
        <f>-$C7*S7</f>
        <v>0</v>
      </c>
      <c r="AI7" s="235">
        <f t="shared" si="12"/>
        <v>0</v>
      </c>
      <c r="AL7" s="107"/>
      <c r="AO7" s="215">
        <v>2137</v>
      </c>
      <c r="AP7" s="176" t="s">
        <v>777</v>
      </c>
      <c r="AQ7" s="107">
        <v>-29953.99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-3090.25</v>
      </c>
      <c r="AX7" s="107">
        <v>-8299.91</v>
      </c>
      <c r="AY7" s="107">
        <v>-6681.4</v>
      </c>
      <c r="AZ7" s="107">
        <v>-8031.11</v>
      </c>
      <c r="BA7" s="107">
        <v>-3851.32</v>
      </c>
      <c r="BB7" s="107">
        <v>0</v>
      </c>
      <c r="BC7" s="107">
        <v>0</v>
      </c>
      <c r="BD7" s="107">
        <v>0</v>
      </c>
    </row>
    <row r="8" spans="1:56" x14ac:dyDescent="0.25">
      <c r="A8" s="176">
        <f t="shared" si="0"/>
        <v>2225</v>
      </c>
      <c r="B8" s="209" t="s">
        <v>1211</v>
      </c>
      <c r="C8" s="205"/>
      <c r="D8" s="210">
        <f t="shared" ref="D8" si="13">SUM(AF8:AG8)</f>
        <v>0</v>
      </c>
      <c r="E8" s="209">
        <v>2225</v>
      </c>
      <c r="F8" s="83" t="s">
        <v>919</v>
      </c>
      <c r="G8" s="201">
        <f t="shared" si="4"/>
        <v>-419823.01250000001</v>
      </c>
      <c r="H8" s="201">
        <v>0</v>
      </c>
      <c r="I8" s="201">
        <v>0</v>
      </c>
      <c r="J8" s="201">
        <v>-24692.38</v>
      </c>
      <c r="K8" s="201">
        <v>-17363.2</v>
      </c>
      <c r="L8" s="201">
        <v>-18965.650000000001</v>
      </c>
      <c r="M8" s="201">
        <v>-52196.480000000003</v>
      </c>
      <c r="N8" s="201">
        <v>-76046.679999999993</v>
      </c>
      <c r="O8" s="201">
        <v>-148517.76250000001</v>
      </c>
      <c r="P8" s="201">
        <v>-82040.86</v>
      </c>
      <c r="Q8" s="201">
        <f t="shared" si="1"/>
        <v>-107637.68</v>
      </c>
      <c r="R8" s="201">
        <f t="shared" si="5"/>
        <v>-146143.45000000001</v>
      </c>
      <c r="S8" s="201">
        <f t="shared" si="2"/>
        <v>-173752.17</v>
      </c>
      <c r="T8" s="201"/>
      <c r="U8" s="201"/>
      <c r="W8" s="231">
        <f t="shared" si="6"/>
        <v>0</v>
      </c>
      <c r="X8" s="231">
        <f t="shared" si="7"/>
        <v>0</v>
      </c>
      <c r="Y8" s="231">
        <f t="shared" si="8"/>
        <v>0</v>
      </c>
      <c r="Z8" s="231">
        <f t="shared" si="9"/>
        <v>0</v>
      </c>
      <c r="AA8" s="231">
        <f>-$C8*L8</f>
        <v>0</v>
      </c>
      <c r="AB8" s="231">
        <f>-$C8*M8</f>
        <v>0</v>
      </c>
      <c r="AC8" s="231">
        <f>-$C8*N8</f>
        <v>0</v>
      </c>
      <c r="AD8" s="231">
        <f>-$C8*O8</f>
        <v>0</v>
      </c>
      <c r="AE8" s="231">
        <f t="shared" si="10"/>
        <v>0</v>
      </c>
      <c r="AF8" s="236">
        <f t="shared" ref="AF8:AH8" si="14">-$C8*Q8</f>
        <v>0</v>
      </c>
      <c r="AG8" s="236">
        <f t="shared" si="14"/>
        <v>0</v>
      </c>
      <c r="AH8" s="236">
        <f t="shared" si="14"/>
        <v>0</v>
      </c>
      <c r="AI8" s="236"/>
      <c r="AL8" s="107"/>
      <c r="AO8" s="215">
        <v>2225</v>
      </c>
      <c r="AP8" s="176" t="s">
        <v>919</v>
      </c>
      <c r="AQ8" s="107">
        <v>-867370.68</v>
      </c>
      <c r="AR8" s="107">
        <v>0</v>
      </c>
      <c r="AS8" s="107">
        <v>-24692.38</v>
      </c>
      <c r="AT8" s="107">
        <v>-17363.2</v>
      </c>
      <c r="AU8" s="107">
        <v>-18965.650000000001</v>
      </c>
      <c r="AV8" s="107">
        <v>-52196.480000000003</v>
      </c>
      <c r="AW8" s="107">
        <v>-76046.679999999993</v>
      </c>
      <c r="AX8" s="107">
        <v>-148517.78</v>
      </c>
      <c r="AY8" s="107">
        <v>-102055.21</v>
      </c>
      <c r="AZ8" s="107">
        <v>-107637.68</v>
      </c>
      <c r="BA8" s="107">
        <v>-146143.45000000001</v>
      </c>
      <c r="BB8" s="107">
        <v>-173752.17</v>
      </c>
      <c r="BC8" s="107">
        <v>0</v>
      </c>
      <c r="BD8" s="107">
        <v>0</v>
      </c>
    </row>
    <row r="9" spans="1:56" x14ac:dyDescent="0.25">
      <c r="A9" s="212">
        <f t="shared" si="0"/>
        <v>2230</v>
      </c>
      <c r="B9" s="215" t="s">
        <v>1253</v>
      </c>
      <c r="C9" s="213">
        <v>5.0000000000000001E-3</v>
      </c>
      <c r="D9" s="214">
        <f t="shared" si="3"/>
        <v>30.80545</v>
      </c>
      <c r="E9" s="215">
        <v>2230</v>
      </c>
      <c r="F9" s="212" t="s">
        <v>23</v>
      </c>
      <c r="G9" s="216">
        <f t="shared" si="4"/>
        <v>-87173.02</v>
      </c>
      <c r="H9" s="216">
        <v>0</v>
      </c>
      <c r="I9" s="216">
        <v>0</v>
      </c>
      <c r="J9" s="216">
        <v>0</v>
      </c>
      <c r="K9" s="216">
        <v>0</v>
      </c>
      <c r="L9" s="216">
        <v>-5975.79</v>
      </c>
      <c r="M9" s="216">
        <v>-39897.18</v>
      </c>
      <c r="N9" s="216">
        <v>-22189.81</v>
      </c>
      <c r="O9" s="216">
        <v>-13379.77</v>
      </c>
      <c r="P9" s="216">
        <v>-5730.47</v>
      </c>
      <c r="Q9" s="216">
        <f t="shared" si="1"/>
        <v>-7539.97</v>
      </c>
      <c r="R9" s="216">
        <f t="shared" si="5"/>
        <v>-7412.3</v>
      </c>
      <c r="S9" s="216">
        <f t="shared" si="2"/>
        <v>-6161.09</v>
      </c>
      <c r="T9" s="216"/>
      <c r="U9" s="216"/>
      <c r="W9" s="245">
        <f t="shared" si="6"/>
        <v>0</v>
      </c>
      <c r="X9" s="245">
        <f t="shared" si="7"/>
        <v>0</v>
      </c>
      <c r="Y9" s="245">
        <f t="shared" si="8"/>
        <v>0</v>
      </c>
      <c r="Z9" s="245">
        <f t="shared" si="9"/>
        <v>0</v>
      </c>
      <c r="AA9" s="245">
        <v>0</v>
      </c>
      <c r="AB9" s="245">
        <v>0</v>
      </c>
      <c r="AC9" s="245">
        <v>0</v>
      </c>
      <c r="AD9" s="245">
        <v>0</v>
      </c>
      <c r="AE9" s="245">
        <f t="shared" si="10"/>
        <v>28.652350000000002</v>
      </c>
      <c r="AF9" s="246">
        <f t="shared" ref="AF9:AH11" si="15">-$C9*Q9</f>
        <v>37.699850000000005</v>
      </c>
      <c r="AG9" s="246">
        <f t="shared" si="15"/>
        <v>37.061500000000002</v>
      </c>
      <c r="AH9" s="235">
        <f>-$C9*S9</f>
        <v>30.80545</v>
      </c>
      <c r="AI9" s="235">
        <f>T9*C9</f>
        <v>0</v>
      </c>
      <c r="AL9" s="107"/>
      <c r="AO9" s="215">
        <v>2230</v>
      </c>
      <c r="AP9" s="176" t="s">
        <v>23</v>
      </c>
      <c r="AQ9" s="107">
        <v>-109686.59</v>
      </c>
      <c r="AR9" s="107">
        <v>0</v>
      </c>
      <c r="AS9" s="107">
        <v>0</v>
      </c>
      <c r="AT9" s="107">
        <v>0</v>
      </c>
      <c r="AU9" s="107">
        <v>-5975.79</v>
      </c>
      <c r="AV9" s="107">
        <v>-39897.18</v>
      </c>
      <c r="AW9" s="107">
        <v>-22189.81</v>
      </c>
      <c r="AX9" s="107">
        <v>-13379.77</v>
      </c>
      <c r="AY9" s="107">
        <v>-7130.68</v>
      </c>
      <c r="AZ9" s="107">
        <v>-7539.97</v>
      </c>
      <c r="BA9" s="107">
        <v>-7412.3</v>
      </c>
      <c r="BB9" s="107">
        <v>-6161.09</v>
      </c>
      <c r="BC9" s="107">
        <v>0</v>
      </c>
      <c r="BD9" s="107">
        <v>0</v>
      </c>
    </row>
    <row r="10" spans="1:56" x14ac:dyDescent="0.25">
      <c r="A10" s="212">
        <f t="shared" si="0"/>
        <v>2231</v>
      </c>
      <c r="B10" s="215" t="s">
        <v>1257</v>
      </c>
      <c r="C10" s="213">
        <v>5.0000000000000001E-3</v>
      </c>
      <c r="D10" s="214">
        <f t="shared" si="3"/>
        <v>61.876350000000002</v>
      </c>
      <c r="E10" s="215">
        <v>2231</v>
      </c>
      <c r="F10" s="212" t="s">
        <v>778</v>
      </c>
      <c r="G10" s="216">
        <f t="shared" si="4"/>
        <v>-48355.055300000007</v>
      </c>
      <c r="H10" s="216">
        <v>0</v>
      </c>
      <c r="I10" s="216">
        <v>0</v>
      </c>
      <c r="J10" s="216">
        <v>0</v>
      </c>
      <c r="K10" s="216">
        <v>0</v>
      </c>
      <c r="L10" s="216">
        <v>-4029.58</v>
      </c>
      <c r="M10" s="216">
        <v>-17469.7</v>
      </c>
      <c r="N10" s="216">
        <v>-10157.790000000001</v>
      </c>
      <c r="O10" s="216">
        <v>-11481.4653</v>
      </c>
      <c r="P10" s="216">
        <v>-5216.5200000000004</v>
      </c>
      <c r="Q10" s="216">
        <f t="shared" si="1"/>
        <v>-4475.97</v>
      </c>
      <c r="R10" s="216">
        <f t="shared" si="5"/>
        <v>-7092.31</v>
      </c>
      <c r="S10" s="216">
        <f t="shared" si="2"/>
        <v>-12375.27</v>
      </c>
      <c r="T10" s="216"/>
      <c r="U10" s="216"/>
      <c r="W10" s="245">
        <f t="shared" si="6"/>
        <v>0</v>
      </c>
      <c r="X10" s="245">
        <f t="shared" si="7"/>
        <v>0</v>
      </c>
      <c r="Y10" s="245">
        <f t="shared" si="8"/>
        <v>0</v>
      </c>
      <c r="Z10" s="245">
        <f t="shared" si="9"/>
        <v>0</v>
      </c>
      <c r="AA10" s="245">
        <v>0</v>
      </c>
      <c r="AB10" s="245">
        <v>0</v>
      </c>
      <c r="AC10" s="245">
        <v>0</v>
      </c>
      <c r="AD10" s="245">
        <v>0</v>
      </c>
      <c r="AE10" s="245">
        <f t="shared" si="10"/>
        <v>26.082600000000003</v>
      </c>
      <c r="AF10" s="246">
        <f t="shared" si="15"/>
        <v>22.379850000000001</v>
      </c>
      <c r="AG10" s="246">
        <f t="shared" si="15"/>
        <v>35.461550000000003</v>
      </c>
      <c r="AH10" s="235">
        <f>-$C10*S10</f>
        <v>61.876350000000002</v>
      </c>
      <c r="AI10" s="235">
        <f t="shared" ref="AI10:AI29" si="16">T10*C10</f>
        <v>0</v>
      </c>
      <c r="AK10" s="176"/>
      <c r="AL10" s="107"/>
      <c r="AO10" s="215">
        <v>2231</v>
      </c>
      <c r="AP10" s="176" t="s">
        <v>778</v>
      </c>
      <c r="AQ10" s="107">
        <v>-73747.38</v>
      </c>
      <c r="AR10" s="107">
        <v>0</v>
      </c>
      <c r="AS10" s="107">
        <v>0</v>
      </c>
      <c r="AT10" s="107">
        <v>0</v>
      </c>
      <c r="AU10" s="107">
        <v>-4029.58</v>
      </c>
      <c r="AV10" s="107">
        <v>-17469.7</v>
      </c>
      <c r="AW10" s="107">
        <v>-10157.790000000001</v>
      </c>
      <c r="AX10" s="107">
        <v>-11481.47</v>
      </c>
      <c r="AY10" s="107">
        <v>-6665.29</v>
      </c>
      <c r="AZ10" s="107">
        <v>-4475.97</v>
      </c>
      <c r="BA10" s="107">
        <v>-7092.31</v>
      </c>
      <c r="BB10" s="107">
        <v>-12375.27</v>
      </c>
      <c r="BC10" s="107">
        <v>0</v>
      </c>
      <c r="BD10" s="107">
        <v>0</v>
      </c>
    </row>
    <row r="11" spans="1:56" x14ac:dyDescent="0.25">
      <c r="A11" s="212">
        <f t="shared" si="0"/>
        <v>2234</v>
      </c>
      <c r="B11" s="215" t="s">
        <v>1260</v>
      </c>
      <c r="C11" s="213">
        <v>5.0000000000000001E-3</v>
      </c>
      <c r="D11" s="214">
        <f t="shared" si="3"/>
        <v>3.1800000000000002E-2</v>
      </c>
      <c r="E11" s="215">
        <v>2234</v>
      </c>
      <c r="F11" s="212" t="s">
        <v>814</v>
      </c>
      <c r="G11" s="216">
        <f t="shared" si="4"/>
        <v>-10208.188200000001</v>
      </c>
      <c r="H11" s="216">
        <v>0</v>
      </c>
      <c r="I11" s="216">
        <v>0</v>
      </c>
      <c r="J11" s="216">
        <v>0</v>
      </c>
      <c r="K11" s="216">
        <v>0</v>
      </c>
      <c r="L11" s="216">
        <v>0</v>
      </c>
      <c r="M11" s="216">
        <v>0</v>
      </c>
      <c r="N11" s="216">
        <v>-2474.89</v>
      </c>
      <c r="O11" s="216">
        <v>-6125.0982000000004</v>
      </c>
      <c r="P11" s="216">
        <v>-1608.2</v>
      </c>
      <c r="Q11" s="216">
        <f t="shared" si="1"/>
        <v>-1984.29</v>
      </c>
      <c r="R11" s="216">
        <f t="shared" si="5"/>
        <v>-1111.02</v>
      </c>
      <c r="S11" s="216">
        <f t="shared" si="2"/>
        <v>-6.36</v>
      </c>
      <c r="T11" s="216"/>
      <c r="U11" s="216"/>
      <c r="W11" s="245">
        <f t="shared" si="6"/>
        <v>0</v>
      </c>
      <c r="X11" s="245">
        <f t="shared" si="7"/>
        <v>0</v>
      </c>
      <c r="Y11" s="245">
        <f t="shared" si="8"/>
        <v>0</v>
      </c>
      <c r="Z11" s="245">
        <f t="shared" si="9"/>
        <v>0</v>
      </c>
      <c r="AA11" s="245">
        <f t="shared" ref="AA11:AA37" si="17">-$C11*L11</f>
        <v>0</v>
      </c>
      <c r="AB11" s="245">
        <f t="shared" ref="AB11:AB37" si="18">-$C11*M11</f>
        <v>0</v>
      </c>
      <c r="AC11" s="245">
        <v>0</v>
      </c>
      <c r="AD11" s="245">
        <v>0</v>
      </c>
      <c r="AE11" s="245">
        <f t="shared" si="10"/>
        <v>8.0410000000000004</v>
      </c>
      <c r="AF11" s="246">
        <f t="shared" si="15"/>
        <v>9.9214500000000001</v>
      </c>
      <c r="AG11" s="246">
        <f t="shared" si="15"/>
        <v>5.5551000000000004</v>
      </c>
      <c r="AH11" s="235">
        <f t="shared" si="15"/>
        <v>3.1800000000000002E-2</v>
      </c>
      <c r="AI11" s="235">
        <f t="shared" si="16"/>
        <v>0</v>
      </c>
      <c r="AK11" s="176"/>
      <c r="AL11" s="107"/>
      <c r="AO11" s="215">
        <v>2234</v>
      </c>
      <c r="AP11" s="176" t="s">
        <v>814</v>
      </c>
      <c r="AQ11" s="107">
        <v>-14020.16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-2474.89</v>
      </c>
      <c r="AX11" s="107">
        <v>-6125.1</v>
      </c>
      <c r="AY11" s="107">
        <v>-2318.5</v>
      </c>
      <c r="AZ11" s="107">
        <v>-1984.29</v>
      </c>
      <c r="BA11" s="107">
        <v>-1111.02</v>
      </c>
      <c r="BB11" s="107">
        <v>-6.36</v>
      </c>
      <c r="BC11" s="107">
        <v>0</v>
      </c>
      <c r="BD11" s="107">
        <v>0</v>
      </c>
    </row>
    <row r="12" spans="1:56" x14ac:dyDescent="0.25">
      <c r="A12" s="176">
        <f t="shared" si="0"/>
        <v>2450</v>
      </c>
      <c r="B12" s="209" t="s">
        <v>1263</v>
      </c>
      <c r="C12" s="205"/>
      <c r="D12" s="210"/>
      <c r="E12" s="209">
        <v>2450</v>
      </c>
      <c r="F12" s="83" t="s">
        <v>815</v>
      </c>
      <c r="G12" s="201">
        <f t="shared" si="4"/>
        <v>-146476.57750000001</v>
      </c>
      <c r="H12" s="201">
        <v>0</v>
      </c>
      <c r="I12" s="201">
        <v>0</v>
      </c>
      <c r="J12" s="201">
        <v>-18147.39</v>
      </c>
      <c r="K12" s="201">
        <v>-4915.49</v>
      </c>
      <c r="L12" s="201">
        <v>-1334.86</v>
      </c>
      <c r="M12" s="201">
        <v>-141.65</v>
      </c>
      <c r="N12" s="201">
        <v>-10565.33</v>
      </c>
      <c r="O12" s="201">
        <v>-78594.297500000001</v>
      </c>
      <c r="P12" s="201">
        <v>-32777.56</v>
      </c>
      <c r="Q12" s="201">
        <f t="shared" si="1"/>
        <v>-56745.52</v>
      </c>
      <c r="R12" s="201">
        <f t="shared" si="5"/>
        <v>-77660.5</v>
      </c>
      <c r="S12" s="201">
        <f t="shared" si="2"/>
        <v>-99797.49</v>
      </c>
      <c r="T12" s="201"/>
      <c r="U12" s="201"/>
      <c r="W12" s="231">
        <f t="shared" si="6"/>
        <v>0</v>
      </c>
      <c r="X12" s="231">
        <f t="shared" si="7"/>
        <v>0</v>
      </c>
      <c r="Y12" s="231">
        <f t="shared" si="8"/>
        <v>0</v>
      </c>
      <c r="Z12" s="231">
        <f t="shared" si="9"/>
        <v>0</v>
      </c>
      <c r="AA12" s="231">
        <f t="shared" si="17"/>
        <v>0</v>
      </c>
      <c r="AB12" s="231">
        <f t="shared" si="18"/>
        <v>0</v>
      </c>
      <c r="AC12" s="231">
        <f t="shared" ref="AC12:AD16" si="19">-$C12*N12</f>
        <v>0</v>
      </c>
      <c r="AD12" s="231">
        <f t="shared" si="19"/>
        <v>0</v>
      </c>
      <c r="AE12" s="231">
        <f t="shared" si="10"/>
        <v>0</v>
      </c>
      <c r="AF12" s="236">
        <f t="shared" ref="AF12:AF37" si="20">-$C12*Q12</f>
        <v>0</v>
      </c>
      <c r="AG12" s="246">
        <v>520.82000000000005</v>
      </c>
      <c r="AH12" s="246">
        <v>521.82000000000005</v>
      </c>
      <c r="AI12" s="246">
        <f t="shared" si="16"/>
        <v>0</v>
      </c>
      <c r="AL12" s="107"/>
      <c r="AO12" s="215">
        <v>2450</v>
      </c>
      <c r="AP12" s="176" t="s">
        <v>815</v>
      </c>
      <c r="AQ12" s="107">
        <v>-388716.9</v>
      </c>
      <c r="AR12" s="107">
        <v>0</v>
      </c>
      <c r="AS12" s="107">
        <v>-18147.39</v>
      </c>
      <c r="AT12" s="107">
        <v>-4915.49</v>
      </c>
      <c r="AU12" s="107">
        <v>-1334.86</v>
      </c>
      <c r="AV12" s="107">
        <v>-141.65</v>
      </c>
      <c r="AW12" s="107">
        <v>-10565.33</v>
      </c>
      <c r="AX12" s="107">
        <v>-78594.33</v>
      </c>
      <c r="AY12" s="107">
        <v>-40814.339999999997</v>
      </c>
      <c r="AZ12" s="107">
        <v>-56745.52</v>
      </c>
      <c r="BA12" s="107">
        <v>-77660.5</v>
      </c>
      <c r="BB12" s="107">
        <v>-99797.49</v>
      </c>
      <c r="BC12" s="107">
        <v>0</v>
      </c>
      <c r="BD12" s="107">
        <v>0</v>
      </c>
    </row>
    <row r="13" spans="1:56" x14ac:dyDescent="0.25">
      <c r="A13" s="217">
        <f t="shared" si="0"/>
        <v>3019</v>
      </c>
      <c r="B13" s="220" t="s">
        <v>1284</v>
      </c>
      <c r="C13" s="218">
        <v>0.01</v>
      </c>
      <c r="D13" s="219">
        <f>SUM(W13:AI13)</f>
        <v>2560.799203</v>
      </c>
      <c r="E13" s="220">
        <v>3019</v>
      </c>
      <c r="F13" s="217" t="s">
        <v>25</v>
      </c>
      <c r="G13" s="221">
        <f t="shared" si="4"/>
        <v>-83998.100299999991</v>
      </c>
      <c r="H13" s="221">
        <v>0</v>
      </c>
      <c r="I13" s="221">
        <v>0</v>
      </c>
      <c r="J13" s="221">
        <v>0</v>
      </c>
      <c r="K13" s="221">
        <v>0</v>
      </c>
      <c r="L13" s="221">
        <v>0</v>
      </c>
      <c r="M13" s="221">
        <v>0</v>
      </c>
      <c r="N13" s="221">
        <v>-2810.59</v>
      </c>
      <c r="O13" s="221">
        <v>-54767.700299999997</v>
      </c>
      <c r="P13" s="221">
        <v>-26419.81</v>
      </c>
      <c r="Q13" s="221">
        <f t="shared" si="1"/>
        <v>-24975.62</v>
      </c>
      <c r="R13" s="221">
        <f t="shared" si="5"/>
        <v>-64438.42</v>
      </c>
      <c r="S13" s="221">
        <f t="shared" si="2"/>
        <v>-82667.78</v>
      </c>
      <c r="T13" s="221"/>
      <c r="U13" s="221"/>
      <c r="W13" s="235">
        <f t="shared" si="6"/>
        <v>0</v>
      </c>
      <c r="X13" s="235">
        <f t="shared" si="7"/>
        <v>0</v>
      </c>
      <c r="Y13" s="235">
        <f t="shared" si="8"/>
        <v>0</v>
      </c>
      <c r="Z13" s="235">
        <f t="shared" si="9"/>
        <v>0</v>
      </c>
      <c r="AA13" s="235">
        <f t="shared" si="17"/>
        <v>0</v>
      </c>
      <c r="AB13" s="235">
        <f t="shared" si="18"/>
        <v>0</v>
      </c>
      <c r="AC13" s="235">
        <f t="shared" si="19"/>
        <v>28.105900000000002</v>
      </c>
      <c r="AD13" s="235">
        <f t="shared" si="19"/>
        <v>547.67700300000001</v>
      </c>
      <c r="AE13" s="235">
        <f t="shared" si="10"/>
        <v>264.19810000000001</v>
      </c>
      <c r="AF13" s="235">
        <f t="shared" si="20"/>
        <v>249.75620000000001</v>
      </c>
      <c r="AG13" s="235">
        <f t="shared" ref="AG13:AH37" si="21">-$C13*R13</f>
        <v>644.38419999999996</v>
      </c>
      <c r="AH13" s="235">
        <f>-$C13*S13</f>
        <v>826.67780000000005</v>
      </c>
      <c r="AI13" s="235">
        <f t="shared" si="16"/>
        <v>0</v>
      </c>
      <c r="AL13" s="107"/>
      <c r="AO13" s="215">
        <v>3019</v>
      </c>
      <c r="AP13" s="176" t="s">
        <v>25</v>
      </c>
      <c r="AQ13" s="107">
        <v>-267233.49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-2810.59</v>
      </c>
      <c r="AX13" s="107">
        <v>-58003.64</v>
      </c>
      <c r="AY13" s="107">
        <v>-34337.440000000002</v>
      </c>
      <c r="AZ13" s="107">
        <v>-24975.62</v>
      </c>
      <c r="BA13" s="107">
        <v>-64438.42</v>
      </c>
      <c r="BB13" s="107">
        <v>-82667.78</v>
      </c>
      <c r="BC13" s="107">
        <v>0</v>
      </c>
      <c r="BD13" s="107">
        <v>0</v>
      </c>
    </row>
    <row r="14" spans="1:56" x14ac:dyDescent="0.25">
      <c r="A14" s="217">
        <f t="shared" si="0"/>
        <v>3034</v>
      </c>
      <c r="B14" s="220" t="s">
        <v>1286</v>
      </c>
      <c r="C14" s="218">
        <v>0.01</v>
      </c>
      <c r="D14" s="219">
        <f t="shared" ref="D14:D15" si="22">SUM(W14:AI14)</f>
        <v>336.24407799999994</v>
      </c>
      <c r="E14" s="220">
        <v>3034</v>
      </c>
      <c r="F14" s="217" t="s">
        <v>26</v>
      </c>
      <c r="G14" s="221">
        <f t="shared" si="4"/>
        <v>-23297.847800000003</v>
      </c>
      <c r="H14" s="221">
        <v>0</v>
      </c>
      <c r="I14" s="221">
        <v>0</v>
      </c>
      <c r="J14" s="221">
        <v>0</v>
      </c>
      <c r="K14" s="221">
        <v>0</v>
      </c>
      <c r="L14" s="221">
        <v>0</v>
      </c>
      <c r="M14" s="221">
        <v>0</v>
      </c>
      <c r="N14" s="221">
        <v>-3089.47</v>
      </c>
      <c r="O14" s="221">
        <v>-15822.0278</v>
      </c>
      <c r="P14" s="221">
        <v>-4386.3500000000004</v>
      </c>
      <c r="Q14" s="221">
        <f t="shared" si="1"/>
        <v>-5804.72</v>
      </c>
      <c r="R14" s="221">
        <f t="shared" si="5"/>
        <v>-4521.84</v>
      </c>
      <c r="S14" s="221">
        <f t="shared" si="2"/>
        <v>0</v>
      </c>
      <c r="T14" s="221"/>
      <c r="U14" s="221"/>
      <c r="W14" s="235">
        <f t="shared" si="6"/>
        <v>0</v>
      </c>
      <c r="X14" s="235">
        <f t="shared" si="7"/>
        <v>0</v>
      </c>
      <c r="Y14" s="235">
        <f t="shared" si="8"/>
        <v>0</v>
      </c>
      <c r="Z14" s="235">
        <f t="shared" si="9"/>
        <v>0</v>
      </c>
      <c r="AA14" s="235">
        <f t="shared" si="17"/>
        <v>0</v>
      </c>
      <c r="AB14" s="235">
        <f t="shared" si="18"/>
        <v>0</v>
      </c>
      <c r="AC14" s="235">
        <f t="shared" si="19"/>
        <v>30.8947</v>
      </c>
      <c r="AD14" s="235">
        <f t="shared" si="19"/>
        <v>158.22027800000001</v>
      </c>
      <c r="AE14" s="235">
        <f t="shared" si="10"/>
        <v>43.863500000000002</v>
      </c>
      <c r="AF14" s="235">
        <f t="shared" si="20"/>
        <v>58.047200000000004</v>
      </c>
      <c r="AG14" s="235">
        <f t="shared" si="21"/>
        <v>45.218400000000003</v>
      </c>
      <c r="AH14" s="235">
        <f>-$C14*S14</f>
        <v>0</v>
      </c>
      <c r="AI14" s="235">
        <f t="shared" si="16"/>
        <v>0</v>
      </c>
      <c r="AL14" s="107"/>
      <c r="AO14" s="215">
        <v>3034</v>
      </c>
      <c r="AP14" s="176" t="s">
        <v>26</v>
      </c>
      <c r="AQ14" s="107">
        <v>-35388.54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-3089.47</v>
      </c>
      <c r="AX14" s="107">
        <v>-15944.71</v>
      </c>
      <c r="AY14" s="107">
        <v>-6027.8</v>
      </c>
      <c r="AZ14" s="107">
        <v>-5804.72</v>
      </c>
      <c r="BA14" s="107">
        <v>-4521.84</v>
      </c>
      <c r="BB14" s="107">
        <v>0</v>
      </c>
      <c r="BC14" s="107">
        <v>0</v>
      </c>
      <c r="BD14" s="107">
        <v>0</v>
      </c>
    </row>
    <row r="15" spans="1:56" x14ac:dyDescent="0.25">
      <c r="A15" s="217">
        <f t="shared" si="0"/>
        <v>3175</v>
      </c>
      <c r="B15" s="220" t="s">
        <v>1287</v>
      </c>
      <c r="C15" s="218">
        <v>0.01</v>
      </c>
      <c r="D15" s="219">
        <f t="shared" si="22"/>
        <v>557.44293700000003</v>
      </c>
      <c r="E15" s="220">
        <v>3175</v>
      </c>
      <c r="F15" s="217" t="s">
        <v>820</v>
      </c>
      <c r="G15" s="221">
        <f t="shared" si="4"/>
        <v>-34717.7137</v>
      </c>
      <c r="H15" s="221">
        <v>0</v>
      </c>
      <c r="I15" s="221">
        <v>0</v>
      </c>
      <c r="J15" s="221">
        <v>0</v>
      </c>
      <c r="K15" s="221">
        <v>0</v>
      </c>
      <c r="L15" s="221">
        <v>0</v>
      </c>
      <c r="M15" s="221">
        <v>0</v>
      </c>
      <c r="N15" s="221">
        <v>-2449.9699999999998</v>
      </c>
      <c r="O15" s="221">
        <v>-17714.563699999999</v>
      </c>
      <c r="P15" s="221">
        <v>-14553.18</v>
      </c>
      <c r="Q15" s="221">
        <f t="shared" si="1"/>
        <v>-11870.46</v>
      </c>
      <c r="R15" s="221">
        <f t="shared" si="5"/>
        <v>-5555.6</v>
      </c>
      <c r="S15" s="221">
        <f t="shared" si="2"/>
        <v>-3600.52</v>
      </c>
      <c r="T15" s="221"/>
      <c r="U15" s="221"/>
      <c r="W15" s="235">
        <f t="shared" si="6"/>
        <v>0</v>
      </c>
      <c r="X15" s="235">
        <f t="shared" si="7"/>
        <v>0</v>
      </c>
      <c r="Y15" s="235">
        <f t="shared" si="8"/>
        <v>0</v>
      </c>
      <c r="Z15" s="235">
        <f t="shared" si="9"/>
        <v>0</v>
      </c>
      <c r="AA15" s="235">
        <f t="shared" si="17"/>
        <v>0</v>
      </c>
      <c r="AB15" s="235">
        <f t="shared" si="18"/>
        <v>0</v>
      </c>
      <c r="AC15" s="235">
        <f t="shared" si="19"/>
        <v>24.499699999999997</v>
      </c>
      <c r="AD15" s="235">
        <f t="shared" si="19"/>
        <v>177.14563699999999</v>
      </c>
      <c r="AE15" s="235">
        <f t="shared" si="10"/>
        <v>145.5318</v>
      </c>
      <c r="AF15" s="235">
        <f t="shared" si="20"/>
        <v>118.7046</v>
      </c>
      <c r="AG15" s="235">
        <f t="shared" si="21"/>
        <v>55.556000000000004</v>
      </c>
      <c r="AH15" s="235">
        <f t="shared" si="21"/>
        <v>36.005200000000002</v>
      </c>
      <c r="AI15" s="235">
        <f t="shared" si="16"/>
        <v>0</v>
      </c>
      <c r="AL15" s="107"/>
      <c r="AO15" s="215">
        <v>3175</v>
      </c>
      <c r="AP15" s="176" t="s">
        <v>820</v>
      </c>
      <c r="AQ15" s="107">
        <v>-59557.22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-2449.9699999999998</v>
      </c>
      <c r="AX15" s="107">
        <v>-18085.34</v>
      </c>
      <c r="AY15" s="107">
        <v>-17995.330000000002</v>
      </c>
      <c r="AZ15" s="107">
        <v>-11870.46</v>
      </c>
      <c r="BA15" s="107">
        <v>-5555.6</v>
      </c>
      <c r="BB15" s="107">
        <v>-3600.52</v>
      </c>
      <c r="BC15" s="107">
        <v>0</v>
      </c>
      <c r="BD15" s="107">
        <v>0</v>
      </c>
    </row>
    <row r="16" spans="1:56" x14ac:dyDescent="0.25">
      <c r="A16" s="176">
        <f t="shared" si="0"/>
        <v>3228</v>
      </c>
      <c r="B16" s="209" t="s">
        <v>1293</v>
      </c>
      <c r="C16" s="205"/>
      <c r="D16" s="210">
        <f t="shared" ref="D16:D37" si="23">SUM(W16:AF16)</f>
        <v>0</v>
      </c>
      <c r="E16" s="209">
        <v>3228</v>
      </c>
      <c r="F16" s="83" t="s">
        <v>920</v>
      </c>
      <c r="G16" s="201">
        <f t="shared" si="4"/>
        <v>-51924.566399999996</v>
      </c>
      <c r="H16" s="201">
        <v>0</v>
      </c>
      <c r="I16" s="201">
        <v>0</v>
      </c>
      <c r="J16" s="201">
        <v>-7006.11</v>
      </c>
      <c r="K16" s="201">
        <v>0</v>
      </c>
      <c r="L16" s="201">
        <v>0</v>
      </c>
      <c r="M16" s="201">
        <v>-408.18</v>
      </c>
      <c r="N16" s="201">
        <v>-7098.74</v>
      </c>
      <c r="O16" s="201">
        <v>-25593.946400000001</v>
      </c>
      <c r="P16" s="201">
        <v>-11817.59</v>
      </c>
      <c r="Q16" s="201">
        <f t="shared" si="1"/>
        <v>-19794.04</v>
      </c>
      <c r="R16" s="201">
        <f t="shared" si="5"/>
        <v>-37765.64</v>
      </c>
      <c r="S16" s="201">
        <f t="shared" si="2"/>
        <v>-57427.31</v>
      </c>
      <c r="T16" s="201"/>
      <c r="U16" s="201"/>
      <c r="W16" s="231">
        <f t="shared" si="6"/>
        <v>0</v>
      </c>
      <c r="X16" s="231">
        <f t="shared" si="7"/>
        <v>0</v>
      </c>
      <c r="Y16" s="231">
        <f t="shared" si="8"/>
        <v>0</v>
      </c>
      <c r="Z16" s="231">
        <f t="shared" si="9"/>
        <v>0</v>
      </c>
      <c r="AA16" s="231">
        <f t="shared" si="17"/>
        <v>0</v>
      </c>
      <c r="AB16" s="231">
        <f t="shared" si="18"/>
        <v>0</v>
      </c>
      <c r="AC16" s="231">
        <f t="shared" si="19"/>
        <v>0</v>
      </c>
      <c r="AD16" s="231">
        <f t="shared" si="19"/>
        <v>0</v>
      </c>
      <c r="AE16" s="231">
        <f t="shared" si="10"/>
        <v>0</v>
      </c>
      <c r="AF16" s="231">
        <f t="shared" si="20"/>
        <v>0</v>
      </c>
      <c r="AG16" s="231">
        <f t="shared" si="21"/>
        <v>0</v>
      </c>
      <c r="AH16" s="231">
        <f t="shared" si="21"/>
        <v>0</v>
      </c>
      <c r="AL16" s="107"/>
      <c r="AO16" s="215">
        <v>3228</v>
      </c>
      <c r="AP16" s="176" t="s">
        <v>920</v>
      </c>
      <c r="AQ16" s="107">
        <v>-171908.32</v>
      </c>
      <c r="AR16" s="107">
        <v>0</v>
      </c>
      <c r="AS16" s="107">
        <v>-7006.11</v>
      </c>
      <c r="AT16" s="107">
        <v>0</v>
      </c>
      <c r="AU16" s="107">
        <v>0</v>
      </c>
      <c r="AV16" s="107">
        <v>-408.18</v>
      </c>
      <c r="AW16" s="107">
        <v>-7098.74</v>
      </c>
      <c r="AX16" s="107">
        <v>-25593.94</v>
      </c>
      <c r="AY16" s="107">
        <v>-16814.36</v>
      </c>
      <c r="AZ16" s="107">
        <v>-19794.04</v>
      </c>
      <c r="BA16" s="107">
        <v>-37765.64</v>
      </c>
      <c r="BB16" s="107">
        <v>-57427.31</v>
      </c>
      <c r="BC16" s="107">
        <v>0</v>
      </c>
      <c r="BD16" s="107">
        <v>0</v>
      </c>
    </row>
    <row r="17" spans="1:56" x14ac:dyDescent="0.25">
      <c r="A17" s="222">
        <f t="shared" si="0"/>
        <v>4100</v>
      </c>
      <c r="B17" s="207" t="s">
        <v>1312</v>
      </c>
      <c r="C17" s="223">
        <v>5.0000000000000001E-3</v>
      </c>
      <c r="D17" s="224">
        <f>SUM(AG17:AI17)+SUM(Y17:AC17)</f>
        <v>2067.8515499999999</v>
      </c>
      <c r="E17" s="207">
        <v>4100</v>
      </c>
      <c r="F17" s="222" t="s">
        <v>825</v>
      </c>
      <c r="G17" s="225">
        <f t="shared" si="4"/>
        <v>-240754.777</v>
      </c>
      <c r="H17" s="225">
        <v>0</v>
      </c>
      <c r="I17" s="225">
        <v>0</v>
      </c>
      <c r="J17" s="225">
        <v>-13295.66</v>
      </c>
      <c r="K17" s="225">
        <v>-4936.13</v>
      </c>
      <c r="L17" s="225">
        <v>-9157.32</v>
      </c>
      <c r="M17" s="225">
        <v>-14199.42</v>
      </c>
      <c r="N17" s="225">
        <v>-14365.23</v>
      </c>
      <c r="O17" s="225">
        <v>-91643.997000000003</v>
      </c>
      <c r="P17" s="225">
        <v>-93157.02</v>
      </c>
      <c r="Q17" s="225">
        <f t="shared" si="1"/>
        <v>-76304.009999999995</v>
      </c>
      <c r="R17" s="225">
        <f t="shared" si="5"/>
        <v>-144221.62</v>
      </c>
      <c r="S17" s="225">
        <f t="shared" si="2"/>
        <v>-213394.93</v>
      </c>
      <c r="T17" s="225"/>
      <c r="U17" s="225"/>
      <c r="W17" s="231">
        <f t="shared" si="6"/>
        <v>0</v>
      </c>
      <c r="X17" s="231">
        <f t="shared" si="7"/>
        <v>0</v>
      </c>
      <c r="Y17" s="234">
        <f t="shared" si="8"/>
        <v>66.478300000000004</v>
      </c>
      <c r="Z17" s="234">
        <f t="shared" si="9"/>
        <v>24.68065</v>
      </c>
      <c r="AA17" s="234">
        <f t="shared" si="17"/>
        <v>45.7866</v>
      </c>
      <c r="AB17" s="234">
        <f t="shared" si="18"/>
        <v>70.997100000000003</v>
      </c>
      <c r="AC17" s="234">
        <f t="shared" ref="AC17:AC37" si="24">-$C17*N17</f>
        <v>71.826149999999998</v>
      </c>
      <c r="AD17" s="246">
        <f>-$C17*O17</f>
        <v>458.21998500000001</v>
      </c>
      <c r="AE17" s="246">
        <f>-$C17*P17</f>
        <v>465.78510000000006</v>
      </c>
      <c r="AF17" s="246">
        <f>-$C17*Q17</f>
        <v>381.52004999999997</v>
      </c>
      <c r="AG17" s="235">
        <f>-$C17*R17</f>
        <v>721.10810000000004</v>
      </c>
      <c r="AH17" s="235">
        <f t="shared" si="21"/>
        <v>1066.9746499999999</v>
      </c>
      <c r="AI17" s="235">
        <f t="shared" si="16"/>
        <v>0</v>
      </c>
      <c r="AJ17" s="176" t="s">
        <v>949</v>
      </c>
      <c r="AK17" s="176"/>
      <c r="AL17" s="107"/>
      <c r="AO17" s="215">
        <v>4100</v>
      </c>
      <c r="AP17" s="176" t="s">
        <v>825</v>
      </c>
      <c r="AQ17" s="107">
        <v>-700028.84</v>
      </c>
      <c r="AR17" s="107">
        <v>0</v>
      </c>
      <c r="AS17" s="107">
        <v>-13295.66</v>
      </c>
      <c r="AT17" s="107">
        <v>-4936.13</v>
      </c>
      <c r="AU17" s="107">
        <v>-9157.32</v>
      </c>
      <c r="AV17" s="107">
        <v>-14199.42</v>
      </c>
      <c r="AW17" s="107">
        <v>-14365.23</v>
      </c>
      <c r="AX17" s="107">
        <v>-91643.99</v>
      </c>
      <c r="AY17" s="107">
        <v>-118510.53</v>
      </c>
      <c r="AZ17" s="107">
        <v>-76304.009999999995</v>
      </c>
      <c r="BA17" s="107">
        <v>-144221.62</v>
      </c>
      <c r="BB17" s="107">
        <v>-213394.93</v>
      </c>
      <c r="BC17" s="107">
        <v>0</v>
      </c>
      <c r="BD17" s="107">
        <v>0</v>
      </c>
    </row>
    <row r="18" spans="1:56" x14ac:dyDescent="0.25">
      <c r="A18" s="226">
        <f t="shared" si="0"/>
        <v>4101</v>
      </c>
      <c r="B18" s="229" t="s">
        <v>1319</v>
      </c>
      <c r="C18" s="227">
        <v>0.01</v>
      </c>
      <c r="D18" s="228">
        <f>SUM(W18:AI18)</f>
        <v>19062.495397000002</v>
      </c>
      <c r="E18" s="229">
        <v>4101</v>
      </c>
      <c r="F18" s="226" t="s">
        <v>865</v>
      </c>
      <c r="G18" s="230">
        <f t="shared" si="4"/>
        <v>-1165055.7597000001</v>
      </c>
      <c r="H18" s="230">
        <v>-18523.63</v>
      </c>
      <c r="I18" s="230">
        <v>-55796.72</v>
      </c>
      <c r="J18" s="230">
        <v>-124865.92</v>
      </c>
      <c r="K18" s="230">
        <v>-109544.69</v>
      </c>
      <c r="L18" s="230">
        <v>-120037.21</v>
      </c>
      <c r="M18" s="230">
        <v>-143099.96</v>
      </c>
      <c r="N18" s="230">
        <v>-179005.12</v>
      </c>
      <c r="O18" s="230">
        <v>-265302.43969999999</v>
      </c>
      <c r="P18" s="230">
        <v>-148880.07</v>
      </c>
      <c r="Q18" s="230">
        <f t="shared" si="1"/>
        <v>-190770.34</v>
      </c>
      <c r="R18" s="230">
        <f t="shared" si="5"/>
        <v>-277120.57</v>
      </c>
      <c r="S18" s="230">
        <f t="shared" si="2"/>
        <v>-273302.87</v>
      </c>
      <c r="T18" s="230"/>
      <c r="U18" s="230"/>
      <c r="W18" s="235">
        <f t="shared" si="6"/>
        <v>185.2363</v>
      </c>
      <c r="X18" s="235">
        <f t="shared" si="7"/>
        <v>557.96720000000005</v>
      </c>
      <c r="Y18" s="235">
        <f t="shared" si="8"/>
        <v>1248.6592000000001</v>
      </c>
      <c r="Z18" s="235">
        <f t="shared" si="9"/>
        <v>1095.4469000000001</v>
      </c>
      <c r="AA18" s="235">
        <f t="shared" si="17"/>
        <v>1200.3721</v>
      </c>
      <c r="AB18" s="235">
        <f t="shared" si="18"/>
        <v>1430.9995999999999</v>
      </c>
      <c r="AC18" s="235">
        <f t="shared" si="24"/>
        <v>1790.0511999999999</v>
      </c>
      <c r="AD18" s="235">
        <f t="shared" ref="AD18:AD37" si="25">-$C18*O18</f>
        <v>2653.0243970000001</v>
      </c>
      <c r="AE18" s="235">
        <f t="shared" ref="AE18:AE37" si="26">-$C18*P18</f>
        <v>1488.8007</v>
      </c>
      <c r="AF18" s="235">
        <f>-$C18*Q18</f>
        <v>1907.7034000000001</v>
      </c>
      <c r="AG18" s="235">
        <f t="shared" si="21"/>
        <v>2771.2057</v>
      </c>
      <c r="AH18" s="235">
        <f t="shared" si="21"/>
        <v>2733.0286999999998</v>
      </c>
      <c r="AI18" s="235">
        <f t="shared" si="16"/>
        <v>0</v>
      </c>
      <c r="AL18" s="107"/>
      <c r="AO18" s="215">
        <v>4101</v>
      </c>
      <c r="AP18" s="176" t="s">
        <v>865</v>
      </c>
      <c r="AQ18" s="107">
        <v>-1865728.76</v>
      </c>
      <c r="AR18" s="107">
        <v>0</v>
      </c>
      <c r="AS18" s="107">
        <v>-124865.92</v>
      </c>
      <c r="AT18" s="107">
        <v>-109544.69</v>
      </c>
      <c r="AU18" s="107">
        <v>-120037.21</v>
      </c>
      <c r="AV18" s="107">
        <v>-143099.96</v>
      </c>
      <c r="AW18" s="107">
        <v>-179005.12</v>
      </c>
      <c r="AX18" s="107">
        <v>-265302.40999999997</v>
      </c>
      <c r="AY18" s="107">
        <v>-182679.67</v>
      </c>
      <c r="AZ18" s="107">
        <v>-190770.34</v>
      </c>
      <c r="BA18" s="107">
        <v>-277120.57</v>
      </c>
      <c r="BB18" s="107">
        <v>-273302.87</v>
      </c>
      <c r="BC18" s="107">
        <v>0</v>
      </c>
      <c r="BD18" s="107">
        <v>0</v>
      </c>
    </row>
    <row r="19" spans="1:56" x14ac:dyDescent="0.25">
      <c r="A19" s="226">
        <f t="shared" si="0"/>
        <v>4102</v>
      </c>
      <c r="B19" s="229" t="s">
        <v>1322</v>
      </c>
      <c r="C19" s="227">
        <v>0.01</v>
      </c>
      <c r="D19" s="228">
        <f t="shared" ref="D19:D29" si="27">SUM(W19:AI19)</f>
        <v>1633.1575419999999</v>
      </c>
      <c r="E19" s="229">
        <v>4102</v>
      </c>
      <c r="F19" s="226" t="s">
        <v>921</v>
      </c>
      <c r="G19" s="230">
        <f t="shared" si="4"/>
        <v>-93039.434199999989</v>
      </c>
      <c r="H19" s="230">
        <v>0</v>
      </c>
      <c r="I19" s="230">
        <v>0</v>
      </c>
      <c r="J19" s="230">
        <v>0</v>
      </c>
      <c r="K19" s="230">
        <v>-7923.25</v>
      </c>
      <c r="L19" s="230">
        <v>-11792.31</v>
      </c>
      <c r="M19" s="230">
        <v>-15968.81</v>
      </c>
      <c r="N19" s="230">
        <v>-18550.560000000001</v>
      </c>
      <c r="O19" s="230">
        <v>-28062.374199999998</v>
      </c>
      <c r="P19" s="230">
        <v>-10742.13</v>
      </c>
      <c r="Q19" s="230">
        <f t="shared" si="1"/>
        <v>-20208.009999999998</v>
      </c>
      <c r="R19" s="230">
        <f t="shared" si="5"/>
        <v>-28009.34</v>
      </c>
      <c r="S19" s="230">
        <f t="shared" si="2"/>
        <v>-22058.97</v>
      </c>
      <c r="T19" s="230"/>
      <c r="U19" s="230"/>
      <c r="W19" s="235">
        <f t="shared" si="6"/>
        <v>0</v>
      </c>
      <c r="X19" s="235">
        <f t="shared" si="7"/>
        <v>0</v>
      </c>
      <c r="Y19" s="235">
        <f t="shared" si="8"/>
        <v>0</v>
      </c>
      <c r="Z19" s="235">
        <f t="shared" si="9"/>
        <v>79.232500000000002</v>
      </c>
      <c r="AA19" s="235">
        <f t="shared" si="17"/>
        <v>117.92309999999999</v>
      </c>
      <c r="AB19" s="235">
        <f t="shared" si="18"/>
        <v>159.68809999999999</v>
      </c>
      <c r="AC19" s="235">
        <f t="shared" si="24"/>
        <v>185.50560000000002</v>
      </c>
      <c r="AD19" s="235">
        <f t="shared" si="25"/>
        <v>280.62374199999999</v>
      </c>
      <c r="AE19" s="235">
        <f t="shared" si="26"/>
        <v>107.42129999999999</v>
      </c>
      <c r="AF19" s="235">
        <f t="shared" si="20"/>
        <v>202.08009999999999</v>
      </c>
      <c r="AG19" s="235">
        <f t="shared" si="21"/>
        <v>280.09340000000003</v>
      </c>
      <c r="AH19" s="235">
        <f t="shared" si="21"/>
        <v>220.58970000000002</v>
      </c>
      <c r="AI19" s="235">
        <f t="shared" si="16"/>
        <v>0</v>
      </c>
      <c r="AL19" s="107"/>
      <c r="AO19" s="215">
        <v>4102</v>
      </c>
      <c r="AP19" s="176" t="s">
        <v>921</v>
      </c>
      <c r="AQ19" s="107">
        <v>-166747.1</v>
      </c>
      <c r="AR19" s="107">
        <v>0</v>
      </c>
      <c r="AS19" s="107">
        <v>0</v>
      </c>
      <c r="AT19" s="107">
        <v>-7923.25</v>
      </c>
      <c r="AU19" s="107">
        <v>-11792.31</v>
      </c>
      <c r="AV19" s="107">
        <v>-15968.81</v>
      </c>
      <c r="AW19" s="107">
        <v>-18550.560000000001</v>
      </c>
      <c r="AX19" s="107">
        <v>-28062.38</v>
      </c>
      <c r="AY19" s="107">
        <v>-14173.47</v>
      </c>
      <c r="AZ19" s="107">
        <v>-20208.009999999998</v>
      </c>
      <c r="BA19" s="107">
        <v>-28009.34</v>
      </c>
      <c r="BB19" s="107">
        <v>-22058.97</v>
      </c>
      <c r="BC19" s="107">
        <v>0</v>
      </c>
      <c r="BD19" s="107">
        <v>0</v>
      </c>
    </row>
    <row r="20" spans="1:56" x14ac:dyDescent="0.25">
      <c r="A20" s="226">
        <f t="shared" si="0"/>
        <v>4103</v>
      </c>
      <c r="B20" s="229" t="s">
        <v>3070</v>
      </c>
      <c r="C20" s="227">
        <v>0.01</v>
      </c>
      <c r="D20" s="228">
        <f t="shared" si="27"/>
        <v>0</v>
      </c>
      <c r="E20" s="229">
        <v>4103</v>
      </c>
      <c r="F20" s="226" t="s">
        <v>922</v>
      </c>
      <c r="G20" s="230">
        <f t="shared" si="4"/>
        <v>0</v>
      </c>
      <c r="H20" s="230">
        <v>0</v>
      </c>
      <c r="I20" s="230"/>
      <c r="J20" s="230"/>
      <c r="K20" s="230"/>
      <c r="L20" s="230"/>
      <c r="M20" s="230"/>
      <c r="N20" s="230"/>
      <c r="O20" s="230"/>
      <c r="P20" s="230">
        <v>0</v>
      </c>
      <c r="Q20" s="230">
        <v>0</v>
      </c>
      <c r="R20" s="230"/>
      <c r="S20" s="230"/>
      <c r="T20" s="230"/>
      <c r="U20" s="230"/>
      <c r="W20" s="235">
        <f t="shared" si="6"/>
        <v>0</v>
      </c>
      <c r="X20" s="235">
        <f t="shared" si="7"/>
        <v>0</v>
      </c>
      <c r="Y20" s="235">
        <f t="shared" si="8"/>
        <v>0</v>
      </c>
      <c r="Z20" s="235">
        <f t="shared" si="9"/>
        <v>0</v>
      </c>
      <c r="AA20" s="235">
        <f t="shared" si="17"/>
        <v>0</v>
      </c>
      <c r="AB20" s="235">
        <f t="shared" si="18"/>
        <v>0</v>
      </c>
      <c r="AC20" s="235">
        <f t="shared" si="24"/>
        <v>0</v>
      </c>
      <c r="AD20" s="235">
        <f t="shared" si="25"/>
        <v>0</v>
      </c>
      <c r="AE20" s="235">
        <f t="shared" si="26"/>
        <v>0</v>
      </c>
      <c r="AF20" s="235">
        <f t="shared" si="20"/>
        <v>0</v>
      </c>
      <c r="AG20" s="235">
        <f t="shared" si="21"/>
        <v>0</v>
      </c>
      <c r="AH20" s="235">
        <f t="shared" si="21"/>
        <v>0</v>
      </c>
      <c r="AI20" s="235">
        <f t="shared" si="16"/>
        <v>0</v>
      </c>
      <c r="AL20" s="107"/>
      <c r="AO20" s="215">
        <v>4104</v>
      </c>
      <c r="AP20" s="176" t="s">
        <v>923</v>
      </c>
      <c r="AQ20" s="107">
        <v>-206145.68</v>
      </c>
      <c r="AR20" s="107">
        <v>0</v>
      </c>
      <c r="AS20" s="107">
        <v>-16567.849999999999</v>
      </c>
      <c r="AT20" s="107">
        <v>-17607.96</v>
      </c>
      <c r="AU20" s="107">
        <v>-19144.71</v>
      </c>
      <c r="AV20" s="107">
        <v>-18836.48</v>
      </c>
      <c r="AW20" s="107">
        <v>-22247.4</v>
      </c>
      <c r="AX20" s="107">
        <v>-27014.76</v>
      </c>
      <c r="AY20" s="107">
        <v>-16444.96</v>
      </c>
      <c r="AZ20" s="107">
        <v>-21996.5</v>
      </c>
      <c r="BA20" s="107">
        <v>-25726.55</v>
      </c>
      <c r="BB20" s="107">
        <v>-20558.509999999998</v>
      </c>
      <c r="BC20" s="107">
        <v>0</v>
      </c>
      <c r="BD20" s="107">
        <v>0</v>
      </c>
    </row>
    <row r="21" spans="1:56" x14ac:dyDescent="0.25">
      <c r="A21" s="226">
        <f t="shared" si="0"/>
        <v>4104</v>
      </c>
      <c r="B21" s="229" t="s">
        <v>1323</v>
      </c>
      <c r="C21" s="227">
        <v>0.01</v>
      </c>
      <c r="D21" s="228">
        <f t="shared" si="27"/>
        <v>2038.2581249999998</v>
      </c>
      <c r="E21" s="229">
        <v>4104</v>
      </c>
      <c r="F21" s="226" t="s">
        <v>923</v>
      </c>
      <c r="G21" s="230">
        <f t="shared" si="4"/>
        <v>-135544.2525</v>
      </c>
      <c r="H21" s="230">
        <v>0</v>
      </c>
      <c r="I21" s="230">
        <v>-888.85</v>
      </c>
      <c r="J21" s="230">
        <v>-16567.849999999999</v>
      </c>
      <c r="K21" s="230">
        <v>-17607.96</v>
      </c>
      <c r="L21" s="230">
        <v>-19144.71</v>
      </c>
      <c r="M21" s="230">
        <v>-18836.48</v>
      </c>
      <c r="N21" s="230">
        <v>-22247.4</v>
      </c>
      <c r="O21" s="230">
        <v>-27014.762500000001</v>
      </c>
      <c r="P21" s="230">
        <v>-13236.24</v>
      </c>
      <c r="Q21" s="230">
        <f t="shared" ref="Q21:Q37" si="28">VLOOKUP(A21,$AO:$BD,Q$2,0)</f>
        <v>-21996.5</v>
      </c>
      <c r="R21" s="230">
        <f t="shared" ref="R21:R37" si="29">VLOOKUP(A21,AO:BA,13,0)</f>
        <v>-25726.55</v>
      </c>
      <c r="S21" s="230">
        <f t="shared" ref="S21:S37" si="30">VLOOKUP($A21,$AO:$BB,14,0)</f>
        <v>-20558.509999999998</v>
      </c>
      <c r="T21" s="230"/>
      <c r="U21" s="230"/>
      <c r="W21" s="235">
        <f t="shared" si="6"/>
        <v>0</v>
      </c>
      <c r="X21" s="235">
        <f t="shared" si="7"/>
        <v>8.8885000000000005</v>
      </c>
      <c r="Y21" s="235">
        <f t="shared" si="8"/>
        <v>165.67849999999999</v>
      </c>
      <c r="Z21" s="235">
        <f t="shared" si="9"/>
        <v>176.0796</v>
      </c>
      <c r="AA21" s="235">
        <f t="shared" si="17"/>
        <v>191.44710000000001</v>
      </c>
      <c r="AB21" s="235">
        <f t="shared" si="18"/>
        <v>188.3648</v>
      </c>
      <c r="AC21" s="235">
        <f t="shared" si="24"/>
        <v>222.47400000000002</v>
      </c>
      <c r="AD21" s="235">
        <f t="shared" si="25"/>
        <v>270.14762500000001</v>
      </c>
      <c r="AE21" s="235">
        <f t="shared" si="26"/>
        <v>132.36240000000001</v>
      </c>
      <c r="AF21" s="235">
        <f t="shared" si="20"/>
        <v>219.965</v>
      </c>
      <c r="AG21" s="235">
        <f t="shared" si="21"/>
        <v>257.26549999999997</v>
      </c>
      <c r="AH21" s="235">
        <f t="shared" si="21"/>
        <v>205.58509999999998</v>
      </c>
      <c r="AI21" s="235">
        <f t="shared" si="16"/>
        <v>0</v>
      </c>
      <c r="AL21" s="107"/>
      <c r="AO21" s="215">
        <v>4106</v>
      </c>
      <c r="AP21" s="176" t="s">
        <v>924</v>
      </c>
      <c r="AQ21" s="107">
        <v>-1541824.35</v>
      </c>
      <c r="AR21" s="107">
        <v>0</v>
      </c>
      <c r="AS21" s="107">
        <v>-107489.76</v>
      </c>
      <c r="AT21" s="107">
        <v>-102312.63</v>
      </c>
      <c r="AU21" s="107">
        <v>-109638.36</v>
      </c>
      <c r="AV21" s="107">
        <v>-124442.16</v>
      </c>
      <c r="AW21" s="107">
        <v>-134463.35</v>
      </c>
      <c r="AX21" s="107">
        <v>-217756.88</v>
      </c>
      <c r="AY21" s="107">
        <v>-157658.85</v>
      </c>
      <c r="AZ21" s="107">
        <v>-152745.28</v>
      </c>
      <c r="BA21" s="107">
        <v>-226231.5</v>
      </c>
      <c r="BB21" s="107">
        <v>-209085.58</v>
      </c>
      <c r="BC21" s="107">
        <v>0</v>
      </c>
      <c r="BD21" s="107">
        <v>0</v>
      </c>
    </row>
    <row r="22" spans="1:56" x14ac:dyDescent="0.25">
      <c r="A22" s="226">
        <f t="shared" si="0"/>
        <v>4106</v>
      </c>
      <c r="B22" s="229" t="s">
        <v>1324</v>
      </c>
      <c r="C22" s="227">
        <v>0.01</v>
      </c>
      <c r="D22" s="228">
        <f t="shared" si="27"/>
        <v>15638.058675</v>
      </c>
      <c r="E22" s="229">
        <v>4106</v>
      </c>
      <c r="F22" s="226" t="s">
        <v>924</v>
      </c>
      <c r="G22" s="230">
        <f t="shared" si="4"/>
        <v>-975743.50749999995</v>
      </c>
      <c r="H22" s="230">
        <v>-3722.25</v>
      </c>
      <c r="I22" s="230">
        <v>-47016.54</v>
      </c>
      <c r="J22" s="230">
        <v>-107489.76</v>
      </c>
      <c r="K22" s="230">
        <v>-102312.63</v>
      </c>
      <c r="L22" s="230">
        <v>-109638.36</v>
      </c>
      <c r="M22" s="230">
        <v>-124442.16</v>
      </c>
      <c r="N22" s="230">
        <v>-134463.35</v>
      </c>
      <c r="O22" s="230">
        <v>-217756.86749999999</v>
      </c>
      <c r="P22" s="230">
        <v>-128901.59</v>
      </c>
      <c r="Q22" s="230">
        <f t="shared" si="28"/>
        <v>-152745.28</v>
      </c>
      <c r="R22" s="230">
        <f t="shared" si="29"/>
        <v>-226231.5</v>
      </c>
      <c r="S22" s="230">
        <f t="shared" si="30"/>
        <v>-209085.58</v>
      </c>
      <c r="T22" s="230"/>
      <c r="U22" s="230"/>
      <c r="W22" s="235">
        <f t="shared" si="6"/>
        <v>37.222500000000004</v>
      </c>
      <c r="X22" s="235">
        <f t="shared" si="7"/>
        <v>470.16540000000003</v>
      </c>
      <c r="Y22" s="235">
        <f t="shared" si="8"/>
        <v>1074.8976</v>
      </c>
      <c r="Z22" s="235">
        <f t="shared" si="9"/>
        <v>1023.1263</v>
      </c>
      <c r="AA22" s="235">
        <f t="shared" si="17"/>
        <v>1096.3836000000001</v>
      </c>
      <c r="AB22" s="235">
        <f t="shared" si="18"/>
        <v>1244.4216000000001</v>
      </c>
      <c r="AC22" s="235">
        <f t="shared" si="24"/>
        <v>1344.6335000000001</v>
      </c>
      <c r="AD22" s="235">
        <f t="shared" si="25"/>
        <v>2177.568675</v>
      </c>
      <c r="AE22" s="235">
        <f t="shared" si="26"/>
        <v>1289.0159000000001</v>
      </c>
      <c r="AF22" s="235">
        <f t="shared" si="20"/>
        <v>1527.4528</v>
      </c>
      <c r="AG22" s="235">
        <f t="shared" si="21"/>
        <v>2262.3150000000001</v>
      </c>
      <c r="AH22" s="235">
        <f t="shared" si="21"/>
        <v>2090.8557999999998</v>
      </c>
      <c r="AI22" s="235">
        <f t="shared" si="16"/>
        <v>0</v>
      </c>
      <c r="AL22" s="107"/>
      <c r="AO22" s="215">
        <v>4107</v>
      </c>
      <c r="AP22" s="176" t="s">
        <v>925</v>
      </c>
      <c r="AQ22" s="107">
        <v>-2024142.78</v>
      </c>
      <c r="AR22" s="107">
        <v>0</v>
      </c>
      <c r="AS22" s="107">
        <v>-104891.49</v>
      </c>
      <c r="AT22" s="107">
        <v>-92689.47</v>
      </c>
      <c r="AU22" s="107">
        <v>-104298.19</v>
      </c>
      <c r="AV22" s="107">
        <v>-139004.57999999999</v>
      </c>
      <c r="AW22" s="107">
        <v>-174671.45</v>
      </c>
      <c r="AX22" s="107">
        <v>-295815.27</v>
      </c>
      <c r="AY22" s="107">
        <v>-229328.54</v>
      </c>
      <c r="AZ22" s="107">
        <v>-219054.12</v>
      </c>
      <c r="BA22" s="107">
        <v>-331127.71000000002</v>
      </c>
      <c r="BB22" s="107">
        <v>-333261.96000000002</v>
      </c>
      <c r="BC22" s="107">
        <v>0</v>
      </c>
      <c r="BD22" s="107">
        <v>0</v>
      </c>
    </row>
    <row r="23" spans="1:56" x14ac:dyDescent="0.25">
      <c r="A23" s="226">
        <f t="shared" si="0"/>
        <v>4107</v>
      </c>
      <c r="B23" s="229" t="s">
        <v>1325</v>
      </c>
      <c r="C23" s="227">
        <v>0.01</v>
      </c>
      <c r="D23" s="228">
        <f t="shared" si="27"/>
        <v>20709.928906000001</v>
      </c>
      <c r="E23" s="229">
        <v>4107</v>
      </c>
      <c r="F23" s="226" t="s">
        <v>925</v>
      </c>
      <c r="G23" s="230">
        <f t="shared" si="4"/>
        <v>-1187549.1006</v>
      </c>
      <c r="H23" s="230">
        <v>-22859.98</v>
      </c>
      <c r="I23" s="230">
        <v>-54105.52</v>
      </c>
      <c r="J23" s="230">
        <v>-104891.49</v>
      </c>
      <c r="K23" s="230">
        <v>-92689.47</v>
      </c>
      <c r="L23" s="230">
        <v>-104298.19</v>
      </c>
      <c r="M23" s="230">
        <v>-139004.57999999999</v>
      </c>
      <c r="N23" s="230">
        <v>-174671.45</v>
      </c>
      <c r="O23" s="230">
        <v>-305992.36060000001</v>
      </c>
      <c r="P23" s="230">
        <v>-189036.06</v>
      </c>
      <c r="Q23" s="230">
        <f t="shared" si="28"/>
        <v>-219054.12</v>
      </c>
      <c r="R23" s="230">
        <f t="shared" si="29"/>
        <v>-331127.71000000002</v>
      </c>
      <c r="S23" s="230">
        <f t="shared" si="30"/>
        <v>-333261.96000000002</v>
      </c>
      <c r="T23" s="230"/>
      <c r="U23" s="230"/>
      <c r="W23" s="235">
        <f t="shared" si="6"/>
        <v>228.59979999999999</v>
      </c>
      <c r="X23" s="235">
        <f t="shared" si="7"/>
        <v>541.05520000000001</v>
      </c>
      <c r="Y23" s="235">
        <f t="shared" si="8"/>
        <v>1048.9149</v>
      </c>
      <c r="Z23" s="235">
        <f t="shared" si="9"/>
        <v>926.89470000000006</v>
      </c>
      <c r="AA23" s="235">
        <f t="shared" si="17"/>
        <v>1042.9819</v>
      </c>
      <c r="AB23" s="235">
        <f t="shared" si="18"/>
        <v>1390.0457999999999</v>
      </c>
      <c r="AC23" s="235">
        <f t="shared" si="24"/>
        <v>1746.7145</v>
      </c>
      <c r="AD23" s="235">
        <f t="shared" si="25"/>
        <v>3059.9236060000003</v>
      </c>
      <c r="AE23" s="235">
        <f t="shared" si="26"/>
        <v>1890.3606</v>
      </c>
      <c r="AF23" s="235">
        <f t="shared" si="20"/>
        <v>2190.5412000000001</v>
      </c>
      <c r="AG23" s="235">
        <f t="shared" si="21"/>
        <v>3311.2771000000002</v>
      </c>
      <c r="AH23" s="235">
        <f t="shared" si="21"/>
        <v>3332.6196000000004</v>
      </c>
      <c r="AI23" s="235">
        <f t="shared" si="16"/>
        <v>0</v>
      </c>
      <c r="AL23" s="107"/>
      <c r="AO23" s="215">
        <v>4108</v>
      </c>
      <c r="AP23" s="176" t="s">
        <v>944</v>
      </c>
      <c r="AQ23" s="107">
        <v>-202414.23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-32354.17</v>
      </c>
      <c r="AY23" s="107">
        <v>-30019.94</v>
      </c>
      <c r="AZ23" s="107">
        <v>-36226.33</v>
      </c>
      <c r="BA23" s="107">
        <v>-55280.08</v>
      </c>
      <c r="BB23" s="107">
        <v>-48533.71</v>
      </c>
      <c r="BC23" s="107">
        <v>0</v>
      </c>
      <c r="BD23" s="107">
        <v>0</v>
      </c>
    </row>
    <row r="24" spans="1:56" s="176" customFormat="1" x14ac:dyDescent="0.25">
      <c r="A24" s="226">
        <f t="shared" si="0"/>
        <v>4108</v>
      </c>
      <c r="B24" s="229" t="s">
        <v>1326</v>
      </c>
      <c r="C24" s="227">
        <v>0.01</v>
      </c>
      <c r="D24" s="228">
        <f t="shared" si="27"/>
        <v>1969.591795</v>
      </c>
      <c r="E24" s="229">
        <v>4108</v>
      </c>
      <c r="F24" s="226" t="s">
        <v>944</v>
      </c>
      <c r="G24" s="230">
        <f t="shared" si="4"/>
        <v>-56919.059500000003</v>
      </c>
      <c r="H24" s="230"/>
      <c r="I24" s="230"/>
      <c r="J24" s="230"/>
      <c r="K24" s="230"/>
      <c r="L24" s="230"/>
      <c r="M24" s="230"/>
      <c r="N24" s="230"/>
      <c r="O24" s="230">
        <v>-32354.159500000002</v>
      </c>
      <c r="P24" s="230">
        <v>-24564.9</v>
      </c>
      <c r="Q24" s="230">
        <f t="shared" si="28"/>
        <v>-36226.33</v>
      </c>
      <c r="R24" s="230">
        <f t="shared" si="29"/>
        <v>-55280.08</v>
      </c>
      <c r="S24" s="230">
        <f t="shared" si="30"/>
        <v>-48533.71</v>
      </c>
      <c r="T24" s="230"/>
      <c r="U24" s="230"/>
      <c r="W24" s="235">
        <f t="shared" si="6"/>
        <v>0</v>
      </c>
      <c r="X24" s="235">
        <f t="shared" si="7"/>
        <v>0</v>
      </c>
      <c r="Y24" s="235">
        <f t="shared" si="8"/>
        <v>0</v>
      </c>
      <c r="Z24" s="235">
        <f t="shared" si="9"/>
        <v>0</v>
      </c>
      <c r="AA24" s="235">
        <f t="shared" si="17"/>
        <v>0</v>
      </c>
      <c r="AB24" s="235">
        <f t="shared" si="18"/>
        <v>0</v>
      </c>
      <c r="AC24" s="235">
        <f t="shared" si="24"/>
        <v>0</v>
      </c>
      <c r="AD24" s="235">
        <f t="shared" si="25"/>
        <v>323.54159500000003</v>
      </c>
      <c r="AE24" s="235">
        <f t="shared" si="26"/>
        <v>245.64900000000003</v>
      </c>
      <c r="AF24" s="235">
        <f t="shared" si="20"/>
        <v>362.26330000000002</v>
      </c>
      <c r="AG24" s="235">
        <f t="shared" si="21"/>
        <v>552.80079999999998</v>
      </c>
      <c r="AH24" s="235">
        <f t="shared" si="21"/>
        <v>485.33710000000002</v>
      </c>
      <c r="AI24" s="235">
        <f t="shared" si="16"/>
        <v>0</v>
      </c>
      <c r="AL24" s="107"/>
      <c r="AO24" s="215">
        <v>4109</v>
      </c>
      <c r="AP24" s="176" t="s">
        <v>945</v>
      </c>
      <c r="AQ24" s="107">
        <v>-244290.84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-50363.92</v>
      </c>
      <c r="AY24" s="107">
        <v>-34614.22</v>
      </c>
      <c r="AZ24" s="107">
        <v>-41552.559999999998</v>
      </c>
      <c r="BA24" s="107">
        <v>-60919.360000000001</v>
      </c>
      <c r="BB24" s="107">
        <v>-56840.78</v>
      </c>
      <c r="BC24" s="107">
        <v>0</v>
      </c>
      <c r="BD24" s="107">
        <v>0</v>
      </c>
    </row>
    <row r="25" spans="1:56" s="176" customFormat="1" x14ac:dyDescent="0.25">
      <c r="A25" s="226">
        <f t="shared" si="0"/>
        <v>4109</v>
      </c>
      <c r="B25" s="229" t="s">
        <v>1327</v>
      </c>
      <c r="C25" s="227">
        <v>0.01</v>
      </c>
      <c r="D25" s="228">
        <f t="shared" si="27"/>
        <v>2370.0142390000001</v>
      </c>
      <c r="E25" s="229">
        <v>4109</v>
      </c>
      <c r="F25" s="226" t="s">
        <v>945</v>
      </c>
      <c r="G25" s="230">
        <f t="shared" si="4"/>
        <v>-77688.723899999997</v>
      </c>
      <c r="H25" s="230"/>
      <c r="I25" s="230"/>
      <c r="J25" s="230"/>
      <c r="K25" s="230"/>
      <c r="L25" s="230"/>
      <c r="M25" s="230"/>
      <c r="N25" s="230"/>
      <c r="O25" s="230">
        <v>-50363.923900000002</v>
      </c>
      <c r="P25" s="230">
        <v>-27324.799999999999</v>
      </c>
      <c r="Q25" s="230">
        <f t="shared" si="28"/>
        <v>-41552.559999999998</v>
      </c>
      <c r="R25" s="230">
        <f t="shared" si="29"/>
        <v>-60919.360000000001</v>
      </c>
      <c r="S25" s="230">
        <f t="shared" si="30"/>
        <v>-56840.78</v>
      </c>
      <c r="T25" s="230"/>
      <c r="U25" s="230"/>
      <c r="W25" s="235">
        <f t="shared" si="6"/>
        <v>0</v>
      </c>
      <c r="X25" s="235">
        <f t="shared" si="7"/>
        <v>0</v>
      </c>
      <c r="Y25" s="235">
        <f t="shared" si="8"/>
        <v>0</v>
      </c>
      <c r="Z25" s="235">
        <f t="shared" si="9"/>
        <v>0</v>
      </c>
      <c r="AA25" s="235">
        <f t="shared" si="17"/>
        <v>0</v>
      </c>
      <c r="AB25" s="235">
        <f t="shared" si="18"/>
        <v>0</v>
      </c>
      <c r="AC25" s="235">
        <f t="shared" si="24"/>
        <v>0</v>
      </c>
      <c r="AD25" s="235">
        <f t="shared" si="25"/>
        <v>503.63923900000003</v>
      </c>
      <c r="AE25" s="235">
        <f t="shared" si="26"/>
        <v>273.24799999999999</v>
      </c>
      <c r="AF25" s="235">
        <f t="shared" si="20"/>
        <v>415.5256</v>
      </c>
      <c r="AG25" s="235">
        <f t="shared" si="21"/>
        <v>609.19360000000006</v>
      </c>
      <c r="AH25" s="235">
        <f t="shared" si="21"/>
        <v>568.40779999999995</v>
      </c>
      <c r="AI25" s="235">
        <f t="shared" si="16"/>
        <v>0</v>
      </c>
      <c r="AL25" s="107"/>
      <c r="AO25" s="215">
        <v>4110</v>
      </c>
      <c r="AP25" s="176" t="s">
        <v>926</v>
      </c>
      <c r="AQ25" s="107">
        <v>-186165.24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-44275.96</v>
      </c>
      <c r="AY25" s="107">
        <v>-22125.38</v>
      </c>
      <c r="AZ25" s="107">
        <v>-28375.040000000001</v>
      </c>
      <c r="BA25" s="107">
        <v>-41659.910000000003</v>
      </c>
      <c r="BB25" s="107">
        <v>-49728.95</v>
      </c>
      <c r="BC25" s="107">
        <v>0</v>
      </c>
      <c r="BD25" s="107">
        <v>0</v>
      </c>
    </row>
    <row r="26" spans="1:56" x14ac:dyDescent="0.25">
      <c r="A26" s="226">
        <f t="shared" si="0"/>
        <v>4110</v>
      </c>
      <c r="B26" s="229" t="s">
        <v>1328</v>
      </c>
      <c r="C26" s="227">
        <v>0.01</v>
      </c>
      <c r="D26" s="228">
        <f t="shared" si="27"/>
        <v>1904.5722300000002</v>
      </c>
      <c r="E26" s="229">
        <v>4110</v>
      </c>
      <c r="F26" s="226" t="s">
        <v>926</v>
      </c>
      <c r="G26" s="230">
        <f t="shared" si="4"/>
        <v>-70693.323000000004</v>
      </c>
      <c r="H26" s="230">
        <v>-7630.42</v>
      </c>
      <c r="I26" s="230"/>
      <c r="J26" s="230"/>
      <c r="K26" s="230"/>
      <c r="L26" s="230"/>
      <c r="M26" s="230"/>
      <c r="N26" s="230"/>
      <c r="O26" s="230">
        <v>-44275.963000000003</v>
      </c>
      <c r="P26" s="230">
        <v>-18786.939999999999</v>
      </c>
      <c r="Q26" s="230">
        <f t="shared" si="28"/>
        <v>-28375.040000000001</v>
      </c>
      <c r="R26" s="230">
        <f t="shared" si="29"/>
        <v>-41659.910000000003</v>
      </c>
      <c r="S26" s="230">
        <f t="shared" si="30"/>
        <v>-49728.95</v>
      </c>
      <c r="T26" s="230"/>
      <c r="U26" s="230"/>
      <c r="W26" s="235">
        <f t="shared" si="6"/>
        <v>76.304200000000009</v>
      </c>
      <c r="X26" s="235">
        <f t="shared" si="7"/>
        <v>0</v>
      </c>
      <c r="Y26" s="235">
        <f t="shared" si="8"/>
        <v>0</v>
      </c>
      <c r="Z26" s="235">
        <f t="shared" si="9"/>
        <v>0</v>
      </c>
      <c r="AA26" s="235">
        <f t="shared" si="17"/>
        <v>0</v>
      </c>
      <c r="AB26" s="235">
        <f t="shared" si="18"/>
        <v>0</v>
      </c>
      <c r="AC26" s="235">
        <f t="shared" si="24"/>
        <v>0</v>
      </c>
      <c r="AD26" s="235">
        <f t="shared" si="25"/>
        <v>442.75963000000002</v>
      </c>
      <c r="AE26" s="235">
        <f t="shared" si="26"/>
        <v>187.86939999999998</v>
      </c>
      <c r="AF26" s="235">
        <f t="shared" si="20"/>
        <v>283.75040000000001</v>
      </c>
      <c r="AG26" s="235">
        <f t="shared" si="21"/>
        <v>416.59910000000002</v>
      </c>
      <c r="AH26" s="235">
        <f t="shared" si="21"/>
        <v>497.28949999999998</v>
      </c>
      <c r="AI26" s="235">
        <f t="shared" si="16"/>
        <v>0</v>
      </c>
      <c r="AL26" s="107"/>
      <c r="AO26" s="215">
        <v>4244</v>
      </c>
      <c r="AP26" s="176" t="s">
        <v>831</v>
      </c>
      <c r="AQ26" s="107">
        <v>-6490.24</v>
      </c>
      <c r="AR26" s="107">
        <v>0</v>
      </c>
      <c r="AS26" s="107">
        <v>0</v>
      </c>
      <c r="AT26" s="107">
        <v>-1947.66</v>
      </c>
      <c r="AU26" s="107">
        <v>-4542.58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</row>
    <row r="27" spans="1:56" x14ac:dyDescent="0.25">
      <c r="A27" s="226">
        <f t="shared" si="0"/>
        <v>4244</v>
      </c>
      <c r="B27" s="229" t="s">
        <v>1330</v>
      </c>
      <c r="C27" s="227">
        <v>0.01</v>
      </c>
      <c r="D27" s="228">
        <f t="shared" si="27"/>
        <v>64.9024</v>
      </c>
      <c r="E27" s="229">
        <v>4244</v>
      </c>
      <c r="F27" s="226" t="s">
        <v>831</v>
      </c>
      <c r="G27" s="230">
        <f t="shared" si="4"/>
        <v>-6490.24</v>
      </c>
      <c r="H27" s="230">
        <v>0</v>
      </c>
      <c r="I27" s="230">
        <v>0</v>
      </c>
      <c r="J27" s="230">
        <v>0</v>
      </c>
      <c r="K27" s="230">
        <v>-1947.66</v>
      </c>
      <c r="L27" s="230">
        <v>-4542.58</v>
      </c>
      <c r="M27" s="230">
        <v>0</v>
      </c>
      <c r="N27" s="230">
        <v>0</v>
      </c>
      <c r="O27" s="230"/>
      <c r="P27" s="230">
        <v>0</v>
      </c>
      <c r="Q27" s="230">
        <f t="shared" si="28"/>
        <v>0</v>
      </c>
      <c r="R27" s="230">
        <f t="shared" si="29"/>
        <v>0</v>
      </c>
      <c r="S27" s="230">
        <f t="shared" si="30"/>
        <v>0</v>
      </c>
      <c r="T27" s="230"/>
      <c r="U27" s="230"/>
      <c r="W27" s="235">
        <f t="shared" si="6"/>
        <v>0</v>
      </c>
      <c r="X27" s="235">
        <f t="shared" si="7"/>
        <v>0</v>
      </c>
      <c r="Y27" s="235">
        <f t="shared" si="8"/>
        <v>0</v>
      </c>
      <c r="Z27" s="235">
        <f t="shared" si="9"/>
        <v>19.476600000000001</v>
      </c>
      <c r="AA27" s="235">
        <f t="shared" si="17"/>
        <v>45.425800000000002</v>
      </c>
      <c r="AB27" s="235">
        <f t="shared" si="18"/>
        <v>0</v>
      </c>
      <c r="AC27" s="235">
        <f t="shared" si="24"/>
        <v>0</v>
      </c>
      <c r="AD27" s="235">
        <f t="shared" si="25"/>
        <v>0</v>
      </c>
      <c r="AE27" s="235">
        <f t="shared" si="26"/>
        <v>0</v>
      </c>
      <c r="AF27" s="235">
        <f t="shared" si="20"/>
        <v>0</v>
      </c>
      <c r="AG27" s="235">
        <f t="shared" si="21"/>
        <v>0</v>
      </c>
      <c r="AH27" s="235">
        <f t="shared" si="21"/>
        <v>0</v>
      </c>
      <c r="AI27" s="235">
        <f t="shared" si="16"/>
        <v>0</v>
      </c>
      <c r="AL27" s="107"/>
      <c r="AO27" s="215">
        <v>4770</v>
      </c>
      <c r="AP27" s="176" t="s">
        <v>32</v>
      </c>
      <c r="AQ27" s="107">
        <v>-209128.4</v>
      </c>
      <c r="AR27" s="107">
        <v>0</v>
      </c>
      <c r="AS27" s="107">
        <v>0</v>
      </c>
      <c r="AT27" s="107">
        <v>-15655.67</v>
      </c>
      <c r="AU27" s="107">
        <v>-22706.13</v>
      </c>
      <c r="AV27" s="107">
        <v>-19837.349999999999</v>
      </c>
      <c r="AW27" s="107">
        <v>-20659.009999999998</v>
      </c>
      <c r="AX27" s="107">
        <v>-24302.3</v>
      </c>
      <c r="AY27" s="107">
        <v>-18396.009999999998</v>
      </c>
      <c r="AZ27" s="107">
        <v>-20727.990000000002</v>
      </c>
      <c r="BA27" s="107">
        <v>-21452.57</v>
      </c>
      <c r="BB27" s="107">
        <v>-45391.37</v>
      </c>
      <c r="BC27" s="107">
        <v>0</v>
      </c>
      <c r="BD27" s="107">
        <v>0</v>
      </c>
    </row>
    <row r="28" spans="1:56" x14ac:dyDescent="0.25">
      <c r="A28" s="226">
        <f t="shared" si="0"/>
        <v>4770</v>
      </c>
      <c r="B28" s="229" t="s">
        <v>1331</v>
      </c>
      <c r="C28" s="227">
        <v>0.01</v>
      </c>
      <c r="D28" s="228">
        <f t="shared" si="27"/>
        <v>2061.6396000000004</v>
      </c>
      <c r="E28" s="229">
        <v>4770</v>
      </c>
      <c r="F28" s="226" t="s">
        <v>32</v>
      </c>
      <c r="G28" s="230">
        <f t="shared" si="4"/>
        <v>-118592.03</v>
      </c>
      <c r="H28" s="230">
        <v>0</v>
      </c>
      <c r="I28" s="230">
        <v>0</v>
      </c>
      <c r="J28" s="230">
        <v>0</v>
      </c>
      <c r="K28" s="230">
        <v>-15655.67</v>
      </c>
      <c r="L28" s="230">
        <v>-22706.13</v>
      </c>
      <c r="M28" s="230">
        <v>-19837.349999999999</v>
      </c>
      <c r="N28" s="230">
        <v>-20659.009999999998</v>
      </c>
      <c r="O28" s="230">
        <v>-24302.3</v>
      </c>
      <c r="P28" s="230">
        <v>-15431.57</v>
      </c>
      <c r="Q28" s="230">
        <f t="shared" si="28"/>
        <v>-20727.990000000002</v>
      </c>
      <c r="R28" s="230">
        <f t="shared" si="29"/>
        <v>-21452.57</v>
      </c>
      <c r="S28" s="230">
        <f t="shared" si="30"/>
        <v>-45391.37</v>
      </c>
      <c r="T28" s="230"/>
      <c r="U28" s="230"/>
      <c r="W28" s="235">
        <f t="shared" si="6"/>
        <v>0</v>
      </c>
      <c r="X28" s="235">
        <f t="shared" si="7"/>
        <v>0</v>
      </c>
      <c r="Y28" s="235">
        <f t="shared" si="8"/>
        <v>0</v>
      </c>
      <c r="Z28" s="235">
        <f t="shared" si="9"/>
        <v>156.55670000000001</v>
      </c>
      <c r="AA28" s="235">
        <f t="shared" si="17"/>
        <v>227.06130000000002</v>
      </c>
      <c r="AB28" s="235">
        <f t="shared" si="18"/>
        <v>198.37349999999998</v>
      </c>
      <c r="AC28" s="235">
        <f t="shared" si="24"/>
        <v>206.59009999999998</v>
      </c>
      <c r="AD28" s="235">
        <f t="shared" si="25"/>
        <v>243.023</v>
      </c>
      <c r="AE28" s="235">
        <f t="shared" si="26"/>
        <v>154.31569999999999</v>
      </c>
      <c r="AF28" s="235">
        <f t="shared" si="20"/>
        <v>207.27990000000003</v>
      </c>
      <c r="AG28" s="235">
        <f t="shared" si="21"/>
        <v>214.5257</v>
      </c>
      <c r="AH28" s="235">
        <f t="shared" si="21"/>
        <v>453.91370000000006</v>
      </c>
      <c r="AI28" s="235">
        <f t="shared" si="16"/>
        <v>0</v>
      </c>
      <c r="AL28" s="107"/>
      <c r="AO28" s="215">
        <v>4775</v>
      </c>
      <c r="AP28" s="176" t="s">
        <v>833</v>
      </c>
      <c r="AQ28" s="107">
        <v>-56764.09</v>
      </c>
      <c r="AR28" s="107">
        <v>0</v>
      </c>
      <c r="AS28" s="107">
        <v>0</v>
      </c>
      <c r="AT28" s="107">
        <v>-5873.94</v>
      </c>
      <c r="AU28" s="107">
        <v>-10225</v>
      </c>
      <c r="AV28" s="107">
        <v>-12420.85</v>
      </c>
      <c r="AW28" s="107">
        <v>-12498.58</v>
      </c>
      <c r="AX28" s="107">
        <v>-14270.22</v>
      </c>
      <c r="AY28" s="107">
        <v>-1475.5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</row>
    <row r="29" spans="1:56" x14ac:dyDescent="0.25">
      <c r="A29" s="226">
        <f t="shared" si="0"/>
        <v>4775</v>
      </c>
      <c r="B29" s="229" t="s">
        <v>1332</v>
      </c>
      <c r="C29" s="227">
        <v>0.01</v>
      </c>
      <c r="D29" s="228">
        <f t="shared" si="27"/>
        <v>567.64089999999999</v>
      </c>
      <c r="E29" s="229">
        <v>4775</v>
      </c>
      <c r="F29" s="226" t="s">
        <v>833</v>
      </c>
      <c r="G29" s="230">
        <f t="shared" si="4"/>
        <v>-56764.090000000004</v>
      </c>
      <c r="H29" s="230">
        <v>0</v>
      </c>
      <c r="I29" s="230">
        <v>0</v>
      </c>
      <c r="J29" s="230">
        <v>0</v>
      </c>
      <c r="K29" s="230">
        <v>-5873.94</v>
      </c>
      <c r="L29" s="230">
        <v>-10225</v>
      </c>
      <c r="M29" s="230">
        <v>-12420.85</v>
      </c>
      <c r="N29" s="230">
        <v>-12498.58</v>
      </c>
      <c r="O29" s="230">
        <v>-14270.22</v>
      </c>
      <c r="P29" s="230">
        <v>-1475.5</v>
      </c>
      <c r="Q29" s="230">
        <f t="shared" si="28"/>
        <v>0</v>
      </c>
      <c r="R29" s="230">
        <f t="shared" si="29"/>
        <v>0</v>
      </c>
      <c r="S29" s="230">
        <f t="shared" si="30"/>
        <v>0</v>
      </c>
      <c r="T29" s="230"/>
      <c r="U29" s="230"/>
      <c r="W29" s="235">
        <f t="shared" si="6"/>
        <v>0</v>
      </c>
      <c r="X29" s="235">
        <f t="shared" si="7"/>
        <v>0</v>
      </c>
      <c r="Y29" s="235">
        <f t="shared" si="8"/>
        <v>0</v>
      </c>
      <c r="Z29" s="235">
        <f t="shared" si="9"/>
        <v>58.739399999999996</v>
      </c>
      <c r="AA29" s="235">
        <f t="shared" si="17"/>
        <v>102.25</v>
      </c>
      <c r="AB29" s="235">
        <f t="shared" si="18"/>
        <v>124.2085</v>
      </c>
      <c r="AC29" s="235">
        <f t="shared" si="24"/>
        <v>124.9858</v>
      </c>
      <c r="AD29" s="235">
        <f t="shared" si="25"/>
        <v>142.7022</v>
      </c>
      <c r="AE29" s="235">
        <f t="shared" si="26"/>
        <v>14.755000000000001</v>
      </c>
      <c r="AF29" s="235">
        <f t="shared" si="20"/>
        <v>0</v>
      </c>
      <c r="AG29" s="235">
        <f t="shared" si="21"/>
        <v>0</v>
      </c>
      <c r="AH29" s="235">
        <f t="shared" si="21"/>
        <v>0</v>
      </c>
      <c r="AI29" s="235">
        <f t="shared" si="16"/>
        <v>0</v>
      </c>
      <c r="AL29" s="107"/>
      <c r="AO29" s="215">
        <v>6087</v>
      </c>
      <c r="AP29" s="176" t="s">
        <v>836</v>
      </c>
      <c r="AQ29" s="107">
        <v>-70052.479999999996</v>
      </c>
      <c r="AR29" s="107">
        <v>0</v>
      </c>
      <c r="AS29" s="107">
        <v>0</v>
      </c>
      <c r="AT29" s="107">
        <v>-9350.25</v>
      </c>
      <c r="AU29" s="107">
        <v>-10487.41</v>
      </c>
      <c r="AV29" s="107">
        <v>-8213.43</v>
      </c>
      <c r="AW29" s="107">
        <v>-9000.3700000000008</v>
      </c>
      <c r="AX29" s="107">
        <v>-11113.56</v>
      </c>
      <c r="AY29" s="107">
        <v>-8004.79</v>
      </c>
      <c r="AZ29" s="107">
        <v>-4588.51</v>
      </c>
      <c r="BA29" s="107">
        <v>-5461.52</v>
      </c>
      <c r="BB29" s="107">
        <v>-3832.64</v>
      </c>
      <c r="BC29" s="107">
        <v>0</v>
      </c>
      <c r="BD29" s="107">
        <v>0</v>
      </c>
    </row>
    <row r="30" spans="1:56" x14ac:dyDescent="0.25">
      <c r="A30" s="176">
        <f t="shared" si="0"/>
        <v>6087</v>
      </c>
      <c r="B30" s="209" t="s">
        <v>1334</v>
      </c>
      <c r="C30" s="201"/>
      <c r="D30" s="210">
        <f t="shared" si="23"/>
        <v>0</v>
      </c>
      <c r="E30" s="209">
        <v>6087</v>
      </c>
      <c r="F30" s="83" t="s">
        <v>836</v>
      </c>
      <c r="G30" s="201">
        <f t="shared" si="4"/>
        <v>-54348.855800000005</v>
      </c>
      <c r="H30" s="201">
        <v>0</v>
      </c>
      <c r="I30" s="201">
        <v>0</v>
      </c>
      <c r="J30" s="201">
        <v>0</v>
      </c>
      <c r="K30" s="201">
        <v>-9350.25</v>
      </c>
      <c r="L30" s="201">
        <v>-10487.41</v>
      </c>
      <c r="M30" s="201">
        <v>-8213.43</v>
      </c>
      <c r="N30" s="201">
        <v>-9000.3700000000008</v>
      </c>
      <c r="O30" s="201">
        <v>-11113.5558</v>
      </c>
      <c r="P30" s="201">
        <v>-6183.84</v>
      </c>
      <c r="Q30" s="201">
        <f t="shared" si="28"/>
        <v>-4588.51</v>
      </c>
      <c r="R30" s="201">
        <f t="shared" si="29"/>
        <v>-5461.52</v>
      </c>
      <c r="S30" s="201">
        <f t="shared" si="30"/>
        <v>-3832.64</v>
      </c>
      <c r="T30" s="201"/>
      <c r="U30" s="201"/>
      <c r="W30" s="231">
        <f t="shared" si="6"/>
        <v>0</v>
      </c>
      <c r="X30" s="231">
        <f t="shared" si="7"/>
        <v>0</v>
      </c>
      <c r="Y30" s="231">
        <f t="shared" si="8"/>
        <v>0</v>
      </c>
      <c r="Z30" s="231">
        <f t="shared" si="9"/>
        <v>0</v>
      </c>
      <c r="AA30" s="231">
        <f t="shared" si="17"/>
        <v>0</v>
      </c>
      <c r="AB30" s="231">
        <f t="shared" si="18"/>
        <v>0</v>
      </c>
      <c r="AC30" s="231">
        <f t="shared" si="24"/>
        <v>0</v>
      </c>
      <c r="AD30" s="231">
        <f t="shared" si="25"/>
        <v>0</v>
      </c>
      <c r="AE30" s="231">
        <f t="shared" si="26"/>
        <v>0</v>
      </c>
      <c r="AF30" s="231">
        <f t="shared" si="20"/>
        <v>0</v>
      </c>
      <c r="AG30" s="231">
        <f t="shared" si="21"/>
        <v>0</v>
      </c>
      <c r="AH30" s="231">
        <f t="shared" si="21"/>
        <v>0</v>
      </c>
      <c r="AL30" s="107"/>
      <c r="AO30" s="215">
        <v>6176</v>
      </c>
      <c r="AP30" s="176" t="s">
        <v>927</v>
      </c>
      <c r="AQ30" s="107">
        <v>-573112.59</v>
      </c>
      <c r="AR30" s="107">
        <v>0</v>
      </c>
      <c r="AS30" s="107">
        <v>-19247.689999999999</v>
      </c>
      <c r="AT30" s="107">
        <v>-27421.01</v>
      </c>
      <c r="AU30" s="107">
        <v>-30732.400000000001</v>
      </c>
      <c r="AV30" s="107">
        <v>-30129.66</v>
      </c>
      <c r="AW30" s="107">
        <v>-43410.97</v>
      </c>
      <c r="AX30" s="107">
        <v>-83984.25</v>
      </c>
      <c r="AY30" s="107">
        <v>-62656.85</v>
      </c>
      <c r="AZ30" s="107">
        <v>-37869.33</v>
      </c>
      <c r="BA30" s="107">
        <v>-111047.71</v>
      </c>
      <c r="BB30" s="107">
        <v>-126612.72</v>
      </c>
      <c r="BC30" s="107">
        <v>0</v>
      </c>
      <c r="BD30" s="107">
        <v>0</v>
      </c>
    </row>
    <row r="31" spans="1:56" x14ac:dyDescent="0.25">
      <c r="A31" s="176">
        <f t="shared" si="0"/>
        <v>6176</v>
      </c>
      <c r="B31" s="209" t="s">
        <v>3080</v>
      </c>
      <c r="C31" s="201"/>
      <c r="D31" s="210">
        <f t="shared" si="23"/>
        <v>0</v>
      </c>
      <c r="E31" s="209">
        <v>6176</v>
      </c>
      <c r="F31" s="83" t="s">
        <v>927</v>
      </c>
      <c r="G31" s="201">
        <f t="shared" si="4"/>
        <v>-284082.55290000001</v>
      </c>
      <c r="H31" s="201">
        <v>0</v>
      </c>
      <c r="I31" s="201">
        <v>0</v>
      </c>
      <c r="J31" s="201">
        <v>-19247.689999999999</v>
      </c>
      <c r="K31" s="201">
        <v>-27421.01</v>
      </c>
      <c r="L31" s="201">
        <v>-30732.400000000001</v>
      </c>
      <c r="M31" s="201">
        <v>-30129.66</v>
      </c>
      <c r="N31" s="201">
        <v>-43410.97</v>
      </c>
      <c r="O31" s="201">
        <v>-83984.242899999997</v>
      </c>
      <c r="P31" s="201">
        <v>-49156.58</v>
      </c>
      <c r="Q31" s="201">
        <f t="shared" si="28"/>
        <v>-37869.33</v>
      </c>
      <c r="R31" s="201">
        <f t="shared" si="29"/>
        <v>-111047.71</v>
      </c>
      <c r="S31" s="201">
        <f t="shared" si="30"/>
        <v>-126612.72</v>
      </c>
      <c r="T31" s="201"/>
      <c r="U31" s="201"/>
      <c r="W31" s="231">
        <f t="shared" si="6"/>
        <v>0</v>
      </c>
      <c r="X31" s="231">
        <f t="shared" si="7"/>
        <v>0</v>
      </c>
      <c r="Y31" s="231">
        <f t="shared" si="8"/>
        <v>0</v>
      </c>
      <c r="Z31" s="231">
        <f t="shared" si="9"/>
        <v>0</v>
      </c>
      <c r="AA31" s="231">
        <f t="shared" si="17"/>
        <v>0</v>
      </c>
      <c r="AB31" s="231">
        <f t="shared" si="18"/>
        <v>0</v>
      </c>
      <c r="AC31" s="231">
        <f t="shared" si="24"/>
        <v>0</v>
      </c>
      <c r="AD31" s="231">
        <f t="shared" si="25"/>
        <v>0</v>
      </c>
      <c r="AE31" s="231">
        <f t="shared" si="26"/>
        <v>0</v>
      </c>
      <c r="AF31" s="231">
        <f t="shared" si="20"/>
        <v>0</v>
      </c>
      <c r="AG31" s="231">
        <f t="shared" si="21"/>
        <v>0</v>
      </c>
      <c r="AH31" s="231">
        <f t="shared" si="21"/>
        <v>0</v>
      </c>
      <c r="AL31" s="107"/>
      <c r="AO31" s="215">
        <v>7064</v>
      </c>
      <c r="AP31" s="176" t="s">
        <v>837</v>
      </c>
      <c r="AQ31" s="107">
        <v>-223956.81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-2708</v>
      </c>
      <c r="AX31" s="107">
        <v>-23995.49</v>
      </c>
      <c r="AY31" s="107">
        <v>-40656.25</v>
      </c>
      <c r="AZ31" s="107">
        <v>-32858.559999999998</v>
      </c>
      <c r="BA31" s="107">
        <v>-53131.54</v>
      </c>
      <c r="BB31" s="107">
        <v>-70606.97</v>
      </c>
      <c r="BC31" s="107">
        <v>0</v>
      </c>
      <c r="BD31" s="107">
        <v>0</v>
      </c>
    </row>
    <row r="32" spans="1:56" x14ac:dyDescent="0.25">
      <c r="A32" s="176">
        <f t="shared" si="0"/>
        <v>7064</v>
      </c>
      <c r="B32" s="209" t="s">
        <v>3103</v>
      </c>
      <c r="C32" s="201"/>
      <c r="D32" s="210">
        <f t="shared" si="23"/>
        <v>0</v>
      </c>
      <c r="E32" s="209">
        <v>7064</v>
      </c>
      <c r="F32" s="83" t="s">
        <v>837</v>
      </c>
      <c r="G32" s="201">
        <f t="shared" si="4"/>
        <v>-59291.024900000004</v>
      </c>
      <c r="H32" s="201">
        <v>0</v>
      </c>
      <c r="I32" s="201">
        <v>0</v>
      </c>
      <c r="J32" s="201">
        <v>0</v>
      </c>
      <c r="K32" s="201">
        <v>0</v>
      </c>
      <c r="L32" s="201">
        <v>0</v>
      </c>
      <c r="M32" s="201">
        <v>0</v>
      </c>
      <c r="N32" s="201">
        <v>-2708</v>
      </c>
      <c r="O32" s="201">
        <v>-23995.5049</v>
      </c>
      <c r="P32" s="201">
        <v>-32587.52</v>
      </c>
      <c r="Q32" s="201">
        <f t="shared" si="28"/>
        <v>-32858.559999999998</v>
      </c>
      <c r="R32" s="201">
        <f t="shared" si="29"/>
        <v>-53131.54</v>
      </c>
      <c r="S32" s="201">
        <f t="shared" si="30"/>
        <v>-70606.97</v>
      </c>
      <c r="T32" s="201"/>
      <c r="U32" s="201"/>
      <c r="W32" s="231">
        <f t="shared" si="6"/>
        <v>0</v>
      </c>
      <c r="X32" s="231">
        <f t="shared" si="7"/>
        <v>0</v>
      </c>
      <c r="Y32" s="231">
        <f t="shared" si="8"/>
        <v>0</v>
      </c>
      <c r="Z32" s="231">
        <f t="shared" si="9"/>
        <v>0</v>
      </c>
      <c r="AA32" s="231">
        <f t="shared" si="17"/>
        <v>0</v>
      </c>
      <c r="AB32" s="231">
        <f t="shared" si="18"/>
        <v>0</v>
      </c>
      <c r="AC32" s="231">
        <f t="shared" si="24"/>
        <v>0</v>
      </c>
      <c r="AD32" s="231">
        <f t="shared" si="25"/>
        <v>0</v>
      </c>
      <c r="AE32" s="231">
        <f t="shared" si="26"/>
        <v>0</v>
      </c>
      <c r="AF32" s="231">
        <f t="shared" si="20"/>
        <v>0</v>
      </c>
      <c r="AG32" s="231">
        <f t="shared" si="21"/>
        <v>0</v>
      </c>
      <c r="AH32" s="231">
        <f t="shared" si="21"/>
        <v>0</v>
      </c>
      <c r="AL32" s="107"/>
      <c r="AO32" s="215">
        <v>7078</v>
      </c>
      <c r="AP32" s="176" t="s">
        <v>838</v>
      </c>
      <c r="AQ32" s="107">
        <v>-799292.23</v>
      </c>
      <c r="AR32" s="107">
        <v>0</v>
      </c>
      <c r="AS32" s="107">
        <v>-6711.08</v>
      </c>
      <c r="AT32" s="107">
        <v>-8931.64</v>
      </c>
      <c r="AU32" s="107">
        <v>-7654.09</v>
      </c>
      <c r="AV32" s="107">
        <v>-17944.41</v>
      </c>
      <c r="AW32" s="107">
        <v>-61746.95</v>
      </c>
      <c r="AX32" s="107">
        <v>-124272.74</v>
      </c>
      <c r="AY32" s="107">
        <v>-135065.68</v>
      </c>
      <c r="AZ32" s="107">
        <v>-95305.51</v>
      </c>
      <c r="BA32" s="107">
        <v>-157507.01999999999</v>
      </c>
      <c r="BB32" s="107">
        <v>-184153.11</v>
      </c>
      <c r="BC32" s="107">
        <v>0</v>
      </c>
      <c r="BD32" s="107">
        <v>0</v>
      </c>
    </row>
    <row r="33" spans="1:56" x14ac:dyDescent="0.25">
      <c r="A33" s="176">
        <f t="shared" si="0"/>
        <v>7078</v>
      </c>
      <c r="B33" s="209" t="s">
        <v>3104</v>
      </c>
      <c r="C33" s="201"/>
      <c r="D33" s="210">
        <f t="shared" si="23"/>
        <v>0</v>
      </c>
      <c r="E33" s="209">
        <v>7078</v>
      </c>
      <c r="F33" s="83" t="s">
        <v>838</v>
      </c>
      <c r="G33" s="201">
        <f t="shared" si="4"/>
        <v>-338080.76789999998</v>
      </c>
      <c r="H33" s="201">
        <v>0</v>
      </c>
      <c r="I33" s="201">
        <v>0</v>
      </c>
      <c r="J33" s="201">
        <v>-6711.08</v>
      </c>
      <c r="K33" s="201">
        <v>-8931.64</v>
      </c>
      <c r="L33" s="201">
        <v>-7654.09</v>
      </c>
      <c r="M33" s="201">
        <v>-17944.41</v>
      </c>
      <c r="N33" s="201">
        <v>-61746.95</v>
      </c>
      <c r="O33" s="201">
        <v>-124272.73789999999</v>
      </c>
      <c r="P33" s="201">
        <v>-110819.86</v>
      </c>
      <c r="Q33" s="201">
        <f t="shared" si="28"/>
        <v>-95305.51</v>
      </c>
      <c r="R33" s="201">
        <f t="shared" si="29"/>
        <v>-157507.01999999999</v>
      </c>
      <c r="S33" s="201">
        <f t="shared" si="30"/>
        <v>-184153.11</v>
      </c>
      <c r="T33" s="201"/>
      <c r="U33" s="201"/>
      <c r="W33" s="231">
        <f t="shared" si="6"/>
        <v>0</v>
      </c>
      <c r="X33" s="231">
        <f t="shared" si="7"/>
        <v>0</v>
      </c>
      <c r="Y33" s="231">
        <f t="shared" si="8"/>
        <v>0</v>
      </c>
      <c r="Z33" s="231">
        <f t="shared" si="9"/>
        <v>0</v>
      </c>
      <c r="AA33" s="231">
        <f t="shared" si="17"/>
        <v>0</v>
      </c>
      <c r="AB33" s="231">
        <f t="shared" si="18"/>
        <v>0</v>
      </c>
      <c r="AC33" s="231">
        <f t="shared" si="24"/>
        <v>0</v>
      </c>
      <c r="AD33" s="231">
        <f t="shared" si="25"/>
        <v>0</v>
      </c>
      <c r="AE33" s="231">
        <f t="shared" si="26"/>
        <v>0</v>
      </c>
      <c r="AF33" s="231">
        <f t="shared" si="20"/>
        <v>0</v>
      </c>
      <c r="AG33" s="231">
        <f t="shared" si="21"/>
        <v>0</v>
      </c>
      <c r="AH33" s="231">
        <f t="shared" si="21"/>
        <v>0</v>
      </c>
      <c r="AL33" s="107"/>
      <c r="AO33" s="215">
        <v>7079</v>
      </c>
      <c r="AP33" s="176" t="s">
        <v>35</v>
      </c>
      <c r="AQ33" s="107">
        <v>-490001.42</v>
      </c>
      <c r="AR33" s="107">
        <v>0</v>
      </c>
      <c r="AS33" s="107">
        <v>-4462.8500000000004</v>
      </c>
      <c r="AT33" s="107">
        <v>-4976.4799999999996</v>
      </c>
      <c r="AU33" s="107">
        <v>-2614.31</v>
      </c>
      <c r="AV33" s="107">
        <v>-1930.18</v>
      </c>
      <c r="AW33" s="107">
        <v>-31607.38</v>
      </c>
      <c r="AX33" s="107">
        <v>-84139.95</v>
      </c>
      <c r="AY33" s="107">
        <v>-70737.88</v>
      </c>
      <c r="AZ33" s="107">
        <v>-59389.8</v>
      </c>
      <c r="BA33" s="107">
        <v>-108267.37</v>
      </c>
      <c r="BB33" s="107">
        <v>-121875.22</v>
      </c>
      <c r="BC33" s="107">
        <v>0</v>
      </c>
      <c r="BD33" s="107">
        <v>0</v>
      </c>
    </row>
    <row r="34" spans="1:56" x14ac:dyDescent="0.25">
      <c r="A34" s="176">
        <f t="shared" si="0"/>
        <v>7079</v>
      </c>
      <c r="B34" s="209" t="s">
        <v>3105</v>
      </c>
      <c r="C34" s="201"/>
      <c r="D34" s="210">
        <f t="shared" si="23"/>
        <v>0</v>
      </c>
      <c r="E34" s="209">
        <v>7079</v>
      </c>
      <c r="F34" s="83" t="s">
        <v>35</v>
      </c>
      <c r="G34" s="201">
        <f t="shared" si="4"/>
        <v>-185184.9086</v>
      </c>
      <c r="H34" s="201">
        <v>0</v>
      </c>
      <c r="I34" s="201">
        <v>0</v>
      </c>
      <c r="J34" s="201">
        <v>-4462.8500000000004</v>
      </c>
      <c r="K34" s="201">
        <v>-4976.4799999999996</v>
      </c>
      <c r="L34" s="201">
        <v>-2614.31</v>
      </c>
      <c r="M34" s="201">
        <v>-1930.18</v>
      </c>
      <c r="N34" s="201">
        <v>-31607.38</v>
      </c>
      <c r="O34" s="201">
        <v>-84139.948600000003</v>
      </c>
      <c r="P34" s="201">
        <v>-55453.760000000002</v>
      </c>
      <c r="Q34" s="201">
        <f t="shared" si="28"/>
        <v>-59389.8</v>
      </c>
      <c r="R34" s="201">
        <f t="shared" si="29"/>
        <v>-108267.37</v>
      </c>
      <c r="S34" s="201">
        <f t="shared" si="30"/>
        <v>-121875.22</v>
      </c>
      <c r="T34" s="201"/>
      <c r="U34" s="201"/>
      <c r="W34" s="231">
        <f t="shared" si="6"/>
        <v>0</v>
      </c>
      <c r="X34" s="231">
        <f t="shared" si="7"/>
        <v>0</v>
      </c>
      <c r="Y34" s="231">
        <f t="shared" si="8"/>
        <v>0</v>
      </c>
      <c r="Z34" s="231">
        <f t="shared" si="9"/>
        <v>0</v>
      </c>
      <c r="AA34" s="231">
        <f t="shared" si="17"/>
        <v>0</v>
      </c>
      <c r="AB34" s="231">
        <f t="shared" si="18"/>
        <v>0</v>
      </c>
      <c r="AC34" s="231">
        <f t="shared" si="24"/>
        <v>0</v>
      </c>
      <c r="AD34" s="231">
        <f t="shared" si="25"/>
        <v>0</v>
      </c>
      <c r="AE34" s="231">
        <f t="shared" si="26"/>
        <v>0</v>
      </c>
      <c r="AF34" s="231">
        <f t="shared" si="20"/>
        <v>0</v>
      </c>
      <c r="AG34" s="231">
        <f t="shared" si="21"/>
        <v>0</v>
      </c>
      <c r="AH34" s="231">
        <f t="shared" si="21"/>
        <v>0</v>
      </c>
      <c r="AL34" s="107"/>
      <c r="AO34" s="215">
        <v>8030</v>
      </c>
      <c r="AP34" s="176" t="s">
        <v>866</v>
      </c>
      <c r="AQ34" s="107">
        <v>-216747.16</v>
      </c>
      <c r="AR34" s="107">
        <v>0</v>
      </c>
      <c r="AS34" s="107">
        <v>0</v>
      </c>
      <c r="AT34" s="107">
        <v>0</v>
      </c>
      <c r="AU34" s="107">
        <v>-6082.4</v>
      </c>
      <c r="AV34" s="107">
        <v>-14848.74</v>
      </c>
      <c r="AW34" s="107">
        <v>-17791.25</v>
      </c>
      <c r="AX34" s="107">
        <v>-31327.31</v>
      </c>
      <c r="AY34" s="107">
        <v>-24481.06</v>
      </c>
      <c r="AZ34" s="107">
        <v>-20825.03</v>
      </c>
      <c r="BA34" s="107">
        <v>-33191</v>
      </c>
      <c r="BB34" s="107">
        <v>-68200.37</v>
      </c>
      <c r="BC34" s="107">
        <v>0</v>
      </c>
      <c r="BD34" s="107">
        <v>0</v>
      </c>
    </row>
    <row r="35" spans="1:56" x14ac:dyDescent="0.25">
      <c r="A35" s="176">
        <f t="shared" si="0"/>
        <v>8030</v>
      </c>
      <c r="B35" s="209" t="s">
        <v>3106</v>
      </c>
      <c r="C35" s="201"/>
      <c r="D35" s="210">
        <f t="shared" si="23"/>
        <v>0</v>
      </c>
      <c r="E35" s="209">
        <v>8030</v>
      </c>
      <c r="F35" s="83" t="s">
        <v>866</v>
      </c>
      <c r="G35" s="201">
        <f t="shared" si="4"/>
        <v>-58059.380000000005</v>
      </c>
      <c r="H35" s="201">
        <v>0</v>
      </c>
      <c r="I35" s="201">
        <v>0</v>
      </c>
      <c r="J35" s="201">
        <v>0</v>
      </c>
      <c r="K35" s="201">
        <v>0</v>
      </c>
      <c r="L35" s="201">
        <v>-6082.4</v>
      </c>
      <c r="M35" s="201">
        <v>-14848.74</v>
      </c>
      <c r="N35" s="201">
        <v>-17791.25</v>
      </c>
      <c r="O35" s="201"/>
      <c r="P35" s="201">
        <v>-19336.990000000002</v>
      </c>
      <c r="Q35" s="201">
        <f t="shared" si="28"/>
        <v>-20825.03</v>
      </c>
      <c r="R35" s="201">
        <f t="shared" si="29"/>
        <v>-33191</v>
      </c>
      <c r="S35" s="201">
        <f t="shared" si="30"/>
        <v>-68200.37</v>
      </c>
      <c r="T35" s="201"/>
      <c r="U35" s="201"/>
      <c r="W35" s="231">
        <f t="shared" si="6"/>
        <v>0</v>
      </c>
      <c r="X35" s="231">
        <f t="shared" si="7"/>
        <v>0</v>
      </c>
      <c r="Y35" s="231">
        <f t="shared" si="8"/>
        <v>0</v>
      </c>
      <c r="Z35" s="231">
        <f t="shared" si="9"/>
        <v>0</v>
      </c>
      <c r="AA35" s="231">
        <f t="shared" si="17"/>
        <v>0</v>
      </c>
      <c r="AB35" s="231">
        <f t="shared" si="18"/>
        <v>0</v>
      </c>
      <c r="AC35" s="231">
        <f t="shared" si="24"/>
        <v>0</v>
      </c>
      <c r="AD35" s="231">
        <f t="shared" si="25"/>
        <v>0</v>
      </c>
      <c r="AE35" s="231">
        <f t="shared" si="26"/>
        <v>0</v>
      </c>
      <c r="AF35" s="231">
        <f t="shared" si="20"/>
        <v>0</v>
      </c>
      <c r="AG35" s="231">
        <f t="shared" si="21"/>
        <v>0</v>
      </c>
      <c r="AH35" s="231">
        <f t="shared" si="21"/>
        <v>0</v>
      </c>
      <c r="AL35" s="107"/>
      <c r="AO35" s="215">
        <v>8188</v>
      </c>
      <c r="AP35" s="176" t="s">
        <v>36</v>
      </c>
      <c r="AQ35" s="107">
        <v>-1661775.02</v>
      </c>
      <c r="AR35" s="107">
        <v>0</v>
      </c>
      <c r="AS35" s="107">
        <v>-55126.33</v>
      </c>
      <c r="AT35" s="107">
        <v>-85484.09</v>
      </c>
      <c r="AU35" s="107">
        <v>-94460.14</v>
      </c>
      <c r="AV35" s="107">
        <v>-138340.07</v>
      </c>
      <c r="AW35" s="107">
        <v>-148162.56</v>
      </c>
      <c r="AX35" s="107">
        <v>-230322.08</v>
      </c>
      <c r="AY35" s="107">
        <v>-207085.45</v>
      </c>
      <c r="AZ35" s="107">
        <v>-145731.39000000001</v>
      </c>
      <c r="BA35" s="107">
        <v>-229706.4</v>
      </c>
      <c r="BB35" s="107">
        <v>-327356.51</v>
      </c>
      <c r="BC35" s="107">
        <v>0</v>
      </c>
      <c r="BD35" s="107">
        <v>0</v>
      </c>
    </row>
    <row r="36" spans="1:56" x14ac:dyDescent="0.25">
      <c r="A36" s="176">
        <f t="shared" si="0"/>
        <v>8188</v>
      </c>
      <c r="B36" s="209" t="s">
        <v>3107</v>
      </c>
      <c r="C36" s="201"/>
      <c r="D36" s="210">
        <f t="shared" si="23"/>
        <v>0</v>
      </c>
      <c r="E36" s="209">
        <v>8188</v>
      </c>
      <c r="F36" s="83" t="s">
        <v>36</v>
      </c>
      <c r="G36" s="201">
        <f t="shared" si="4"/>
        <v>-917267.47160000005</v>
      </c>
      <c r="H36" s="201">
        <v>0</v>
      </c>
      <c r="I36" s="201">
        <v>0</v>
      </c>
      <c r="J36" s="201">
        <v>-55126.33</v>
      </c>
      <c r="K36" s="201">
        <v>-85484.09</v>
      </c>
      <c r="L36" s="201">
        <v>-94460.14</v>
      </c>
      <c r="M36" s="201">
        <v>-138340.07</v>
      </c>
      <c r="N36" s="201">
        <v>-148162.56</v>
      </c>
      <c r="O36" s="201">
        <v>-230322.0816</v>
      </c>
      <c r="P36" s="201">
        <v>-165372.20000000001</v>
      </c>
      <c r="Q36" s="201">
        <f t="shared" si="28"/>
        <v>-145731.39000000001</v>
      </c>
      <c r="R36" s="201">
        <f t="shared" si="29"/>
        <v>-229706.4</v>
      </c>
      <c r="S36" s="201">
        <f t="shared" si="30"/>
        <v>-327356.51</v>
      </c>
      <c r="T36" s="201"/>
      <c r="U36" s="201"/>
      <c r="W36" s="231">
        <f t="shared" si="6"/>
        <v>0</v>
      </c>
      <c r="X36" s="231">
        <f t="shared" si="7"/>
        <v>0</v>
      </c>
      <c r="Y36" s="231">
        <f t="shared" si="8"/>
        <v>0</v>
      </c>
      <c r="Z36" s="231">
        <f t="shared" si="9"/>
        <v>0</v>
      </c>
      <c r="AA36" s="231">
        <f t="shared" si="17"/>
        <v>0</v>
      </c>
      <c r="AB36" s="231">
        <f t="shared" si="18"/>
        <v>0</v>
      </c>
      <c r="AC36" s="231">
        <f t="shared" si="24"/>
        <v>0</v>
      </c>
      <c r="AD36" s="231">
        <f t="shared" si="25"/>
        <v>0</v>
      </c>
      <c r="AE36" s="231">
        <f t="shared" si="26"/>
        <v>0</v>
      </c>
      <c r="AF36" s="231">
        <f t="shared" si="20"/>
        <v>0</v>
      </c>
      <c r="AG36" s="231">
        <f t="shared" si="21"/>
        <v>0</v>
      </c>
      <c r="AH36" s="231">
        <f t="shared" si="21"/>
        <v>0</v>
      </c>
      <c r="AL36" s="107"/>
      <c r="AO36" s="215">
        <v>9990</v>
      </c>
      <c r="AP36" s="176" t="s">
        <v>37</v>
      </c>
      <c r="AQ36" s="107">
        <v>-7054.14</v>
      </c>
      <c r="AR36" s="107">
        <v>0</v>
      </c>
      <c r="AS36" s="107">
        <v>0</v>
      </c>
      <c r="AT36" s="107">
        <v>180.91</v>
      </c>
      <c r="AU36" s="107">
        <v>-2233.3000000000002</v>
      </c>
      <c r="AV36" s="107">
        <v>-857.57</v>
      </c>
      <c r="AW36" s="107">
        <v>-129.07</v>
      </c>
      <c r="AX36" s="107">
        <v>-21.72</v>
      </c>
      <c r="AY36" s="107">
        <v>59.09</v>
      </c>
      <c r="AZ36" s="107">
        <v>-91.08</v>
      </c>
      <c r="BA36" s="107">
        <v>-596.44000000000005</v>
      </c>
      <c r="BB36" s="107">
        <v>-3364.96</v>
      </c>
      <c r="BC36" s="107">
        <v>0</v>
      </c>
      <c r="BD36" s="107">
        <v>0</v>
      </c>
    </row>
    <row r="37" spans="1:56" x14ac:dyDescent="0.25">
      <c r="A37" s="176">
        <f t="shared" si="0"/>
        <v>9990</v>
      </c>
      <c r="B37" s="209" t="s">
        <v>1337</v>
      </c>
      <c r="C37" s="201"/>
      <c r="D37" s="210">
        <f t="shared" si="23"/>
        <v>0</v>
      </c>
      <c r="E37" s="209">
        <v>9990</v>
      </c>
      <c r="F37" s="83" t="s">
        <v>37</v>
      </c>
      <c r="G37" s="201">
        <f t="shared" si="4"/>
        <v>-2983.9900000000002</v>
      </c>
      <c r="H37" s="201">
        <v>0</v>
      </c>
      <c r="I37" s="201">
        <v>0</v>
      </c>
      <c r="J37" s="201">
        <v>0</v>
      </c>
      <c r="K37" s="201">
        <v>180.91</v>
      </c>
      <c r="L37" s="201">
        <v>-2233.3000000000002</v>
      </c>
      <c r="M37" s="201">
        <v>-857.57</v>
      </c>
      <c r="N37" s="201">
        <v>-133.12</v>
      </c>
      <c r="O37" s="201"/>
      <c r="P37" s="201">
        <v>59.09</v>
      </c>
      <c r="Q37" s="201">
        <f t="shared" si="28"/>
        <v>-91.08</v>
      </c>
      <c r="R37" s="201">
        <f t="shared" si="29"/>
        <v>-596.44000000000005</v>
      </c>
      <c r="S37" s="201">
        <f t="shared" si="30"/>
        <v>-3364.96</v>
      </c>
      <c r="T37" s="201"/>
      <c r="U37" s="201"/>
      <c r="W37" s="231">
        <f t="shared" si="6"/>
        <v>0</v>
      </c>
      <c r="X37" s="231">
        <f t="shared" si="7"/>
        <v>0</v>
      </c>
      <c r="Y37" s="231">
        <f t="shared" si="8"/>
        <v>0</v>
      </c>
      <c r="Z37" s="231">
        <f t="shared" si="9"/>
        <v>0</v>
      </c>
      <c r="AA37" s="231">
        <f t="shared" si="17"/>
        <v>0</v>
      </c>
      <c r="AB37" s="231">
        <f t="shared" si="18"/>
        <v>0</v>
      </c>
      <c r="AC37" s="231">
        <f t="shared" si="24"/>
        <v>0</v>
      </c>
      <c r="AD37" s="231">
        <f t="shared" si="25"/>
        <v>0</v>
      </c>
      <c r="AE37" s="231">
        <f t="shared" si="26"/>
        <v>0</v>
      </c>
      <c r="AF37" s="231">
        <f t="shared" si="20"/>
        <v>0</v>
      </c>
      <c r="AG37" s="231">
        <f t="shared" si="21"/>
        <v>0</v>
      </c>
      <c r="AH37" s="231">
        <f t="shared" si="21"/>
        <v>0</v>
      </c>
      <c r="AL37" s="107"/>
      <c r="AO37" s="212"/>
      <c r="AP37" s="176"/>
      <c r="AQ37" s="233">
        <f t="shared" ref="AQ37:BD37" si="31">SUM(AQ4:AQ36)</f>
        <v>-13658627.880000001</v>
      </c>
      <c r="AR37" s="233">
        <f t="shared" si="31"/>
        <v>0</v>
      </c>
      <c r="AS37" s="233">
        <f t="shared" si="31"/>
        <v>-502504.51</v>
      </c>
      <c r="AT37" s="233">
        <f t="shared" si="31"/>
        <v>-516752.64999999997</v>
      </c>
      <c r="AU37" s="233">
        <f t="shared" si="31"/>
        <v>-597574.8600000001</v>
      </c>
      <c r="AV37" s="233">
        <f t="shared" si="31"/>
        <v>-823195.02999999991</v>
      </c>
      <c r="AW37" s="233">
        <f t="shared" si="31"/>
        <v>-1049477.4099999999</v>
      </c>
      <c r="AX37" s="233">
        <f t="shared" si="31"/>
        <v>-2104286.9</v>
      </c>
      <c r="AY37" s="233">
        <f t="shared" si="31"/>
        <v>-1620436.4899999998</v>
      </c>
      <c r="AZ37" s="233">
        <f t="shared" si="31"/>
        <v>-1465747.9700000002</v>
      </c>
      <c r="BA37" s="233">
        <f t="shared" si="31"/>
        <v>-2298374.15</v>
      </c>
      <c r="BB37" s="233">
        <f t="shared" si="31"/>
        <v>-2680277.91</v>
      </c>
      <c r="BC37" s="233">
        <f t="shared" si="31"/>
        <v>0</v>
      </c>
      <c r="BD37" s="233">
        <f t="shared" si="31"/>
        <v>0</v>
      </c>
    </row>
    <row r="38" spans="1:56" x14ac:dyDescent="0.25">
      <c r="B38" s="83"/>
      <c r="C38" s="201"/>
      <c r="D38" s="210"/>
      <c r="E38" s="83"/>
      <c r="F38" s="83"/>
      <c r="G38" s="201"/>
      <c r="H38" s="211"/>
      <c r="I38" s="211"/>
      <c r="J38" s="211"/>
      <c r="K38" s="211"/>
      <c r="L38" s="211"/>
      <c r="M38" s="211"/>
      <c r="N38" s="211"/>
      <c r="O38" s="83"/>
      <c r="P38" s="201"/>
      <c r="Q38" s="201"/>
      <c r="R38" s="201"/>
      <c r="S38" s="201"/>
      <c r="T38" s="201"/>
      <c r="U38" s="201"/>
      <c r="AL38" s="233"/>
      <c r="AZ38" s="107">
        <f>SUM(AZ4:AZ37)</f>
        <v>-2931495.9400000004</v>
      </c>
    </row>
    <row r="39" spans="1:56" x14ac:dyDescent="0.25">
      <c r="B39" s="83"/>
      <c r="C39" s="201"/>
      <c r="D39" s="210">
        <f>SUM(D4:D38)</f>
        <v>73966.960126999998</v>
      </c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201">
        <f>SUM(P4:P38)</f>
        <v>-1303860.2699999998</v>
      </c>
      <c r="Q39" s="201">
        <f>SUM(Q4:Q38)</f>
        <v>-1465747.9700000002</v>
      </c>
      <c r="R39" s="201"/>
      <c r="S39" s="201">
        <f>SUM(S4:S38)</f>
        <v>-2680277.91</v>
      </c>
      <c r="T39" s="201"/>
      <c r="U39" s="201"/>
    </row>
    <row r="40" spans="1:56" x14ac:dyDescent="0.25">
      <c r="D40" s="206"/>
    </row>
    <row r="41" spans="1:56" x14ac:dyDescent="0.25">
      <c r="D41" s="206"/>
    </row>
    <row r="42" spans="1:56" x14ac:dyDescent="0.25">
      <c r="D42" s="206"/>
    </row>
  </sheetData>
  <mergeCells count="1">
    <mergeCell ref="W2:AG2"/>
  </mergeCells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>
    <tabColor theme="9" tint="-0.249977111117893"/>
  </sheetPr>
  <dimension ref="A1:BC73"/>
  <sheetViews>
    <sheetView topLeftCell="N1" workbookViewId="0">
      <pane xSplit="20" ySplit="2" topLeftCell="AM3" activePane="bottomRight" state="frozen"/>
      <selection activeCell="F98" sqref="F98"/>
      <selection pane="topRight" activeCell="F98" sqref="F98"/>
      <selection pane="bottomLeft" activeCell="F98" sqref="F98"/>
      <selection pane="bottomRight" activeCell="U1" sqref="U1:U1048576"/>
    </sheetView>
  </sheetViews>
  <sheetFormatPr defaultColWidth="9.140625" defaultRowHeight="13.5" x14ac:dyDescent="0.25"/>
  <cols>
    <col min="1" max="1" width="24.42578125" style="43" hidden="1" customWidth="1"/>
    <col min="2" max="2" width="10.85546875" style="43" hidden="1" customWidth="1"/>
    <col min="3" max="3" width="8.5703125" style="43" hidden="1" customWidth="1"/>
    <col min="4" max="12" width="9.85546875" style="43" hidden="1" customWidth="1"/>
    <col min="13" max="13" width="9.7109375" style="43" bestFit="1" customWidth="1"/>
    <col min="14" max="15" width="9.85546875" style="43" customWidth="1"/>
    <col min="16" max="16" width="10" style="44" customWidth="1"/>
    <col min="17" max="17" width="32.7109375" style="45" bestFit="1" customWidth="1"/>
    <col min="18" max="18" width="12.42578125" style="45" bestFit="1" customWidth="1"/>
    <col min="19" max="19" width="10.28515625" style="45" bestFit="1" customWidth="1"/>
    <col min="20" max="21" width="10.5703125" style="45" bestFit="1" customWidth="1"/>
    <col min="22" max="24" width="10.5703125" style="45" hidden="1" customWidth="1"/>
    <col min="25" max="25" width="11.5703125" style="45" hidden="1" customWidth="1"/>
    <col min="26" max="28" width="10.28515625" style="45" hidden="1" customWidth="1"/>
    <col min="29" max="30" width="11.5703125" style="45" hidden="1" customWidth="1"/>
    <col min="31" max="31" width="11.5703125" style="43" hidden="1" customWidth="1"/>
    <col min="32" max="32" width="10" style="43" customWidth="1"/>
    <col min="33" max="33" width="22.42578125" style="43" bestFit="1" customWidth="1"/>
    <col min="34" max="34" width="9.42578125" style="43" bestFit="1" customWidth="1"/>
    <col min="35" max="35" width="15.140625" style="43" bestFit="1" customWidth="1"/>
    <col min="36" max="36" width="12.7109375" style="43" bestFit="1" customWidth="1"/>
    <col min="37" max="37" width="12.42578125" style="43" customWidth="1"/>
    <col min="38" max="39" width="14.42578125" style="43" bestFit="1" customWidth="1"/>
    <col min="40" max="51" width="14.28515625" style="43" customWidth="1"/>
    <col min="52" max="52" width="13.5703125" style="43" bestFit="1" customWidth="1"/>
    <col min="53" max="53" width="9.140625" style="43"/>
    <col min="54" max="54" width="10.42578125" style="43" bestFit="1" customWidth="1"/>
    <col min="55" max="55" width="9.42578125" style="43" bestFit="1" customWidth="1"/>
    <col min="56" max="16384" width="9.140625" style="43"/>
  </cols>
  <sheetData>
    <row r="1" spans="1:55" x14ac:dyDescent="0.25">
      <c r="Q1" s="64" t="s">
        <v>842</v>
      </c>
      <c r="R1" s="45" t="s">
        <v>852</v>
      </c>
      <c r="AI1" s="43" t="s">
        <v>781</v>
      </c>
      <c r="AJ1" s="43" t="s">
        <v>782</v>
      </c>
      <c r="AK1" s="43" t="s">
        <v>783</v>
      </c>
      <c r="AL1" s="43" t="s">
        <v>784</v>
      </c>
      <c r="AM1" s="43" t="s">
        <v>785</v>
      </c>
      <c r="AN1" s="43" t="s">
        <v>786</v>
      </c>
      <c r="AO1" s="43" t="s">
        <v>787</v>
      </c>
      <c r="AP1" s="43" t="s">
        <v>788</v>
      </c>
      <c r="AQ1" s="43" t="s">
        <v>789</v>
      </c>
      <c r="AR1" s="43" t="s">
        <v>790</v>
      </c>
      <c r="AS1" s="43" t="s">
        <v>791</v>
      </c>
      <c r="AT1" s="43" t="s">
        <v>792</v>
      </c>
      <c r="AU1" s="43" t="s">
        <v>781</v>
      </c>
      <c r="AV1" s="43" t="s">
        <v>782</v>
      </c>
      <c r="AW1" s="43" t="s">
        <v>783</v>
      </c>
      <c r="AX1" s="43" t="s">
        <v>784</v>
      </c>
      <c r="AY1" s="43" t="s">
        <v>785</v>
      </c>
    </row>
    <row r="2" spans="1:55" ht="15.75" x14ac:dyDescent="0.25">
      <c r="A2" s="46" t="s">
        <v>0</v>
      </c>
      <c r="B2" s="46" t="s">
        <v>793</v>
      </c>
      <c r="C2" s="46" t="s">
        <v>794</v>
      </c>
      <c r="D2" s="46" t="s">
        <v>795</v>
      </c>
      <c r="E2" s="46" t="s">
        <v>796</v>
      </c>
      <c r="F2" s="46" t="s">
        <v>797</v>
      </c>
      <c r="G2" s="46" t="s">
        <v>798</v>
      </c>
      <c r="H2" s="46" t="s">
        <v>799</v>
      </c>
      <c r="I2" s="46" t="s">
        <v>800</v>
      </c>
      <c r="J2" s="46" t="s">
        <v>801</v>
      </c>
      <c r="K2" s="46" t="s">
        <v>802</v>
      </c>
      <c r="L2" s="46" t="s">
        <v>803</v>
      </c>
      <c r="M2" s="46" t="s">
        <v>804</v>
      </c>
      <c r="N2" s="46" t="s">
        <v>805</v>
      </c>
      <c r="O2" s="46" t="s">
        <v>806</v>
      </c>
      <c r="P2" s="47"/>
      <c r="Q2" s="102" t="s">
        <v>0</v>
      </c>
      <c r="R2" s="102" t="s">
        <v>793</v>
      </c>
      <c r="S2" s="102" t="s">
        <v>794</v>
      </c>
      <c r="T2" s="102" t="s">
        <v>795</v>
      </c>
      <c r="U2" s="102" t="s">
        <v>796</v>
      </c>
      <c r="V2" s="102" t="s">
        <v>797</v>
      </c>
      <c r="W2" s="102" t="s">
        <v>798</v>
      </c>
      <c r="X2" s="102" t="s">
        <v>799</v>
      </c>
      <c r="Y2" s="102" t="s">
        <v>800</v>
      </c>
      <c r="Z2" s="102" t="s">
        <v>801</v>
      </c>
      <c r="AA2" s="102" t="s">
        <v>802</v>
      </c>
      <c r="AB2" s="102" t="s">
        <v>803</v>
      </c>
      <c r="AC2" s="102" t="s">
        <v>804</v>
      </c>
      <c r="AD2" s="102" t="s">
        <v>805</v>
      </c>
      <c r="AE2" s="102" t="s">
        <v>806</v>
      </c>
      <c r="AF2" s="46"/>
      <c r="AH2" s="43">
        <f>0.5%</f>
        <v>5.0000000000000001E-3</v>
      </c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 t="s">
        <v>807</v>
      </c>
    </row>
    <row r="3" spans="1:55" ht="15" x14ac:dyDescent="0.25">
      <c r="A3" s="49" t="s">
        <v>18</v>
      </c>
      <c r="B3" s="50">
        <v>-1012681</v>
      </c>
      <c r="C3" s="50">
        <v>0</v>
      </c>
      <c r="D3" s="50">
        <v>-78876</v>
      </c>
      <c r="E3" s="50">
        <v>-79033</v>
      </c>
      <c r="F3" s="50">
        <v>-77176</v>
      </c>
      <c r="G3" s="50">
        <v>-89168</v>
      </c>
      <c r="H3" s="50">
        <v>-78481</v>
      </c>
      <c r="I3" s="50">
        <v>-83614</v>
      </c>
      <c r="J3" s="50">
        <v>-88515</v>
      </c>
      <c r="K3" s="50">
        <v>-80101</v>
      </c>
      <c r="L3" s="50">
        <v>-100383</v>
      </c>
      <c r="M3" s="50">
        <v>-95172</v>
      </c>
      <c r="N3" s="50">
        <v>-86242</v>
      </c>
      <c r="O3" s="50">
        <v>-75919</v>
      </c>
      <c r="P3" s="51"/>
      <c r="Q3" s="99" t="s">
        <v>20</v>
      </c>
      <c r="R3" s="100">
        <v>-119737.83</v>
      </c>
      <c r="S3" s="100">
        <v>0</v>
      </c>
      <c r="T3" s="100">
        <v>-119737.83</v>
      </c>
      <c r="U3" s="100">
        <v>0</v>
      </c>
      <c r="V3" s="100">
        <v>0</v>
      </c>
      <c r="W3" s="100">
        <v>0</v>
      </c>
      <c r="X3" s="100">
        <v>0</v>
      </c>
      <c r="Y3" s="100">
        <v>0</v>
      </c>
      <c r="Z3" s="100">
        <v>0</v>
      </c>
      <c r="AA3" s="100">
        <v>0</v>
      </c>
      <c r="AB3" s="100">
        <v>0</v>
      </c>
      <c r="AC3" s="100">
        <v>0</v>
      </c>
      <c r="AD3" s="100">
        <v>0</v>
      </c>
      <c r="AE3" s="100">
        <v>0</v>
      </c>
      <c r="AF3" s="50"/>
      <c r="AG3" s="52" t="s">
        <v>18</v>
      </c>
      <c r="AH3" s="53">
        <v>20043005</v>
      </c>
      <c r="AI3" s="38">
        <f>-(VLOOKUP($AG3,$A:$O,11,0))*$AH$2</f>
        <v>400.505</v>
      </c>
      <c r="AJ3" s="38">
        <f>-(VLOOKUP($AG3,$A:$O,12,0))*$AH$2</f>
        <v>501.91500000000002</v>
      </c>
      <c r="AK3" s="38">
        <f>-(VLOOKUP($AG3,$A:$O,13,0))*$AH$2</f>
        <v>475.86</v>
      </c>
      <c r="AL3" s="38">
        <f>-(VLOOKUP($AG3,$A:$O,14,0))*$AH$2</f>
        <v>431.21000000000004</v>
      </c>
      <c r="AM3" s="38">
        <f>-(VLOOKUP($AG3,$A:$O,15,0))*$AH$2</f>
        <v>379.59500000000003</v>
      </c>
      <c r="AN3" s="54"/>
      <c r="AO3" s="54">
        <f>(-IFERROR(VLOOKUP($AG3,$Q:$AE,5,0),0))*$AH$2</f>
        <v>0</v>
      </c>
      <c r="AP3" s="54">
        <f>(-IFERROR(VLOOKUP($AG3,$Q:$AE,6,0),0))*$AH$2</f>
        <v>0</v>
      </c>
      <c r="AQ3" s="54">
        <f>(-IFERROR(VLOOKUP($AG3,$Q:$AE,7,0),0))*$AH$2</f>
        <v>0</v>
      </c>
      <c r="AR3" s="54">
        <f>(-IFERROR(VLOOKUP($AG3,$Q:$AE,8,0),0))*$AH$2</f>
        <v>0</v>
      </c>
      <c r="AS3" s="54">
        <f>(-IFERROR(VLOOKUP($AG3,$Q:$AE,9,0),0))*$AH$2</f>
        <v>0</v>
      </c>
      <c r="AT3" s="54">
        <f>(-IFERROR(VLOOKUP($AG3,$Q:$AE,10,0),0))*$AH$2</f>
        <v>0</v>
      </c>
      <c r="AU3" s="54">
        <f>(-IFERROR(VLOOKUP($AG3,$Q:$AE,11,0),0))*$AH$2</f>
        <v>0</v>
      </c>
      <c r="AV3" s="54">
        <f>(-IFERROR(VLOOKUP($AG3,$Q:$AE,12,0),0))*$AH$2</f>
        <v>0</v>
      </c>
      <c r="AW3" s="54">
        <f>(-IFERROR(VLOOKUP($AG3,$Q:$AE,13,0),0))*$AH$2</f>
        <v>0</v>
      </c>
      <c r="AX3" s="54">
        <f>(-IFERROR(VLOOKUP($AG3,$Q:$AE,14,0),0))*$AH$2</f>
        <v>0</v>
      </c>
      <c r="AY3" s="54">
        <f>(-IFERROR(VLOOKUP($AG3,$Q:$AE,15,0),0))*$AH$2</f>
        <v>0</v>
      </c>
      <c r="AZ3" s="55">
        <f>AY3</f>
        <v>0</v>
      </c>
      <c r="BA3" s="56"/>
      <c r="BB3" s="56">
        <f>AZ3-AQ3</f>
        <v>0</v>
      </c>
      <c r="BC3" s="56"/>
    </row>
    <row r="4" spans="1:55" ht="15" x14ac:dyDescent="0.25">
      <c r="A4" s="49" t="s">
        <v>19</v>
      </c>
      <c r="B4" s="50">
        <v>-1019399</v>
      </c>
      <c r="C4" s="50">
        <v>0</v>
      </c>
      <c r="D4" s="50">
        <v>-86532</v>
      </c>
      <c r="E4" s="50">
        <v>-86523</v>
      </c>
      <c r="F4" s="50">
        <v>-81577</v>
      </c>
      <c r="G4" s="50">
        <v>-82480</v>
      </c>
      <c r="H4" s="50">
        <v>-79331</v>
      </c>
      <c r="I4" s="50">
        <v>-86279</v>
      </c>
      <c r="J4" s="50">
        <v>-94097</v>
      </c>
      <c r="K4" s="50">
        <v>-81708</v>
      </c>
      <c r="L4" s="50">
        <v>-86911</v>
      </c>
      <c r="M4" s="50">
        <v>-89167</v>
      </c>
      <c r="N4" s="50">
        <v>-87197</v>
      </c>
      <c r="O4" s="50">
        <v>-77598</v>
      </c>
      <c r="P4" s="51"/>
      <c r="Q4" s="99" t="s">
        <v>21</v>
      </c>
      <c r="R4" s="100">
        <v>-91699.65</v>
      </c>
      <c r="S4" s="100">
        <v>0</v>
      </c>
      <c r="T4" s="100">
        <v>-91699.65</v>
      </c>
      <c r="U4" s="100">
        <v>0</v>
      </c>
      <c r="V4" s="100">
        <v>0</v>
      </c>
      <c r="W4" s="100">
        <v>0</v>
      </c>
      <c r="X4" s="100">
        <v>0</v>
      </c>
      <c r="Y4" s="100">
        <v>0</v>
      </c>
      <c r="Z4" s="100">
        <v>0</v>
      </c>
      <c r="AA4" s="100">
        <v>0</v>
      </c>
      <c r="AB4" s="100">
        <v>0</v>
      </c>
      <c r="AC4" s="100">
        <v>0</v>
      </c>
      <c r="AD4" s="100">
        <v>0</v>
      </c>
      <c r="AE4" s="100">
        <v>0</v>
      </c>
      <c r="AF4" s="50"/>
      <c r="AG4" s="52" t="s">
        <v>19</v>
      </c>
      <c r="AH4" s="53">
        <v>20093005</v>
      </c>
      <c r="AI4" s="38">
        <f>-(VLOOKUP($AG4,$A:$O,11,0))*$AH$2</f>
        <v>408.54</v>
      </c>
      <c r="AJ4" s="38">
        <f>-(VLOOKUP($AG4,$A:$O,12,0))*$AH$2</f>
        <v>434.55500000000001</v>
      </c>
      <c r="AK4" s="38">
        <f>-(VLOOKUP($AG4,$A:$O,13,0))*$AH$2</f>
        <v>445.83500000000004</v>
      </c>
      <c r="AL4" s="38">
        <f>-(VLOOKUP($AG4,$A:$O,14,0))*$AH$2</f>
        <v>435.98500000000001</v>
      </c>
      <c r="AM4" s="38">
        <f>-(VLOOKUP($AG4,$A:$O,15,0))*$AH$2</f>
        <v>387.99</v>
      </c>
      <c r="AN4" s="54"/>
      <c r="AO4" s="54">
        <f t="shared" ref="AO4:AO12" si="0">(-IFERROR(VLOOKUP($AG4,$Q:$AE,5,0),0))*$AH$2</f>
        <v>0</v>
      </c>
      <c r="AP4" s="54">
        <f t="shared" ref="AP4:AP17" si="1">(-IFERROR(VLOOKUP($AG4,$Q:$AE,6,0),0))*$AH$2</f>
        <v>0</v>
      </c>
      <c r="AQ4" s="54">
        <f>(-IFERROR(VLOOKUP($AG4,$Q:$AE,7,0),0))*$AH$2</f>
        <v>0</v>
      </c>
      <c r="AR4" s="54">
        <f t="shared" ref="AR4:AR5" si="2">(-IFERROR(VLOOKUP($AG4,$Q:$AE,8,0),0))*$AH$2</f>
        <v>0</v>
      </c>
      <c r="AS4" s="54">
        <f t="shared" ref="AS4:AS5" si="3">(-IFERROR(VLOOKUP($AG4,$Q:$AE,9,0),0))*$AH$2</f>
        <v>0</v>
      </c>
      <c r="AT4" s="54">
        <f t="shared" ref="AT4:AT19" si="4">(-IFERROR(VLOOKUP($AG4,$Q:$AE,10,0),0))*$AH$2</f>
        <v>0</v>
      </c>
      <c r="AU4" s="54">
        <f t="shared" ref="AU4:AU19" si="5">(-IFERROR(VLOOKUP($AG4,$Q:$AE,11,0),0))*$AH$2</f>
        <v>0</v>
      </c>
      <c r="AV4" s="54">
        <f t="shared" ref="AV4:AV19" si="6">(-IFERROR(VLOOKUP($AG4,$Q:$AE,12,0),0))*$AH$2</f>
        <v>0</v>
      </c>
      <c r="AW4" s="54">
        <f t="shared" ref="AW4:AW19" si="7">(-IFERROR(VLOOKUP($AG4,$Q:$AE,13,0),0))*$AH$2</f>
        <v>0</v>
      </c>
      <c r="AX4" s="54">
        <f t="shared" ref="AX4:AX19" si="8">(-IFERROR(VLOOKUP($AG4,$Q:$AE,14,0),0))*$AH$2</f>
        <v>0</v>
      </c>
      <c r="AY4" s="54">
        <f>(-IFERROR(VLOOKUP($AG4,$Q:$AE,15,0),0))*$AH$2</f>
        <v>0</v>
      </c>
      <c r="AZ4" s="55">
        <f t="shared" ref="AZ4:AZ19" si="9">AY4</f>
        <v>0</v>
      </c>
      <c r="BA4" s="56"/>
      <c r="BB4" s="56">
        <f t="shared" ref="BB4:BB17" si="10">AZ4-AQ4</f>
        <v>0</v>
      </c>
      <c r="BC4" s="56"/>
    </row>
    <row r="5" spans="1:55" ht="15" x14ac:dyDescent="0.25">
      <c r="A5" s="57" t="s">
        <v>20</v>
      </c>
      <c r="B5" s="50">
        <v>-1620004</v>
      </c>
      <c r="C5" s="50">
        <v>0</v>
      </c>
      <c r="D5" s="50">
        <v>-139949</v>
      </c>
      <c r="E5" s="50">
        <v>-141796</v>
      </c>
      <c r="F5" s="50">
        <v>-129826</v>
      </c>
      <c r="G5" s="50">
        <v>-136083</v>
      </c>
      <c r="H5" s="50">
        <v>-138175</v>
      </c>
      <c r="I5" s="50">
        <v>-149188</v>
      </c>
      <c r="J5" s="50">
        <v>-144407</v>
      </c>
      <c r="K5" s="50">
        <v>-124015</v>
      </c>
      <c r="L5" s="50">
        <v>-145433</v>
      </c>
      <c r="M5" s="50">
        <v>-123181</v>
      </c>
      <c r="N5" s="50">
        <v>-128147</v>
      </c>
      <c r="O5" s="50">
        <v>-119803</v>
      </c>
      <c r="P5" s="51">
        <f>SUM(J5:O5)*0.005</f>
        <v>-3924.9300000000003</v>
      </c>
      <c r="Q5" s="99" t="s">
        <v>843</v>
      </c>
      <c r="R5" s="100">
        <v>-71187.28</v>
      </c>
      <c r="S5" s="100">
        <v>0</v>
      </c>
      <c r="T5" s="100">
        <v>-71187.28</v>
      </c>
      <c r="U5" s="100">
        <v>0</v>
      </c>
      <c r="V5" s="100">
        <v>0</v>
      </c>
      <c r="W5" s="100">
        <v>0</v>
      </c>
      <c r="X5" s="100">
        <v>0</v>
      </c>
      <c r="Y5" s="100">
        <v>0</v>
      </c>
      <c r="Z5" s="100">
        <v>0</v>
      </c>
      <c r="AA5" s="100">
        <v>0</v>
      </c>
      <c r="AB5" s="100">
        <v>0</v>
      </c>
      <c r="AC5" s="100">
        <v>0</v>
      </c>
      <c r="AD5" s="100">
        <v>0</v>
      </c>
      <c r="AE5" s="100">
        <v>0</v>
      </c>
      <c r="AF5" s="50"/>
      <c r="AG5" s="52" t="s">
        <v>20</v>
      </c>
      <c r="AH5" s="43">
        <v>20123005</v>
      </c>
      <c r="AI5" s="38">
        <f t="shared" ref="AI5" si="11">-(VLOOKUP($AG5,$A:$O,11,0))*$AH$2</f>
        <v>620.07500000000005</v>
      </c>
      <c r="AJ5" s="38">
        <f t="shared" ref="AJ5:AJ7" si="12">-(VLOOKUP($AG5,$A:$O,12,0))*$AH$2</f>
        <v>727.16499999999996</v>
      </c>
      <c r="AK5" s="38">
        <f t="shared" ref="AK5:AK7" si="13">-(VLOOKUP($AG5,$A:$O,13,0))*$AH$2</f>
        <v>615.90499999999997</v>
      </c>
      <c r="AL5" s="38">
        <f t="shared" ref="AL5:AL7" si="14">-(VLOOKUP($AG5,$A:$O,14,0))*$AH$2</f>
        <v>640.73500000000001</v>
      </c>
      <c r="AM5" s="38">
        <f t="shared" ref="AM5:AM7" si="15">-(VLOOKUP($AG5,$A:$O,15,0))*$AH$2</f>
        <v>599.01499999999999</v>
      </c>
      <c r="AN5" s="54">
        <f>-(VLOOKUP(AG5,Q:AE,4,0))*$AH$2</f>
        <v>598.68915000000004</v>
      </c>
      <c r="AO5" s="54">
        <f t="shared" si="0"/>
        <v>0</v>
      </c>
      <c r="AP5" s="54">
        <f t="shared" si="1"/>
        <v>0</v>
      </c>
      <c r="AQ5" s="54">
        <f>(-IFERROR(VLOOKUP($AG5,$Q:$AE,7,0),0))*$AH$2</f>
        <v>0</v>
      </c>
      <c r="AR5" s="54">
        <f t="shared" si="2"/>
        <v>0</v>
      </c>
      <c r="AS5" s="54">
        <f t="shared" si="3"/>
        <v>0</v>
      </c>
      <c r="AT5" s="54">
        <f t="shared" si="4"/>
        <v>0</v>
      </c>
      <c r="AU5" s="54">
        <f t="shared" si="5"/>
        <v>0</v>
      </c>
      <c r="AV5" s="54">
        <f t="shared" si="6"/>
        <v>0</v>
      </c>
      <c r="AW5" s="54">
        <f t="shared" si="7"/>
        <v>0</v>
      </c>
      <c r="AX5" s="54">
        <f t="shared" si="8"/>
        <v>0</v>
      </c>
      <c r="AY5" s="54">
        <f t="shared" ref="AY5:AY19" si="16">(-IFERROR(VLOOKUP($AG5,$Q:$AE,15,0),0))*$AH$2</f>
        <v>0</v>
      </c>
      <c r="AZ5" s="55">
        <f t="shared" si="9"/>
        <v>0</v>
      </c>
      <c r="BA5" s="56"/>
      <c r="BB5" s="56">
        <f t="shared" si="10"/>
        <v>0</v>
      </c>
      <c r="BC5" s="56"/>
    </row>
    <row r="6" spans="1:55" ht="15" x14ac:dyDescent="0.25">
      <c r="A6" s="57" t="s">
        <v>21</v>
      </c>
      <c r="B6" s="50">
        <v>-1406392</v>
      </c>
      <c r="C6" s="50">
        <v>0</v>
      </c>
      <c r="D6" s="50">
        <v>-110466</v>
      </c>
      <c r="E6" s="50">
        <v>-127898</v>
      </c>
      <c r="F6" s="50">
        <v>-118821</v>
      </c>
      <c r="G6" s="50">
        <v>-124417</v>
      </c>
      <c r="H6" s="50">
        <v>-120160</v>
      </c>
      <c r="I6" s="50">
        <v>-100933</v>
      </c>
      <c r="J6" s="50">
        <v>-95944</v>
      </c>
      <c r="K6" s="50">
        <v>-114494</v>
      </c>
      <c r="L6" s="50">
        <v>-144207</v>
      </c>
      <c r="M6" s="50">
        <v>-118985</v>
      </c>
      <c r="N6" s="50">
        <v>-116964</v>
      </c>
      <c r="O6" s="50">
        <v>-113104</v>
      </c>
      <c r="P6" s="51"/>
      <c r="Q6" s="99" t="s">
        <v>808</v>
      </c>
      <c r="R6" s="100">
        <v>-48617.71</v>
      </c>
      <c r="S6" s="100">
        <v>0</v>
      </c>
      <c r="T6" s="100">
        <v>-48617.71</v>
      </c>
      <c r="U6" s="100">
        <v>0</v>
      </c>
      <c r="V6" s="100">
        <v>0</v>
      </c>
      <c r="W6" s="100">
        <v>0</v>
      </c>
      <c r="X6" s="100">
        <v>0</v>
      </c>
      <c r="Y6" s="100">
        <v>0</v>
      </c>
      <c r="Z6" s="100">
        <v>0</v>
      </c>
      <c r="AA6" s="100">
        <v>0</v>
      </c>
      <c r="AB6" s="100">
        <v>0</v>
      </c>
      <c r="AC6" s="100">
        <v>0</v>
      </c>
      <c r="AD6" s="100">
        <v>0</v>
      </c>
      <c r="AE6" s="100">
        <v>0</v>
      </c>
      <c r="AF6" s="50"/>
      <c r="AI6" s="38"/>
      <c r="AJ6" s="38"/>
      <c r="AK6" s="38"/>
      <c r="AL6" s="38"/>
      <c r="AM6" s="38"/>
      <c r="AN6" s="54"/>
      <c r="AO6" s="54"/>
      <c r="AP6" s="54"/>
      <c r="AQ6" s="54"/>
      <c r="AR6" s="54"/>
      <c r="AS6" s="54"/>
      <c r="AT6" s="54">
        <f t="shared" si="4"/>
        <v>0</v>
      </c>
      <c r="AU6" s="54">
        <f t="shared" si="5"/>
        <v>0</v>
      </c>
      <c r="AV6" s="54">
        <f t="shared" si="6"/>
        <v>0</v>
      </c>
      <c r="AW6" s="54">
        <f t="shared" si="7"/>
        <v>0</v>
      </c>
      <c r="AX6" s="54">
        <f t="shared" si="8"/>
        <v>0</v>
      </c>
      <c r="AY6" s="54">
        <f t="shared" si="16"/>
        <v>0</v>
      </c>
      <c r="AZ6" s="55">
        <f t="shared" si="9"/>
        <v>0</v>
      </c>
      <c r="BB6" s="56">
        <f t="shared" si="10"/>
        <v>0</v>
      </c>
      <c r="BC6" s="56"/>
    </row>
    <row r="7" spans="1:55" ht="15" x14ac:dyDescent="0.25">
      <c r="A7" s="57" t="s">
        <v>808</v>
      </c>
      <c r="B7" s="50">
        <v>-10412</v>
      </c>
      <c r="C7" s="50">
        <v>0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-10412</v>
      </c>
      <c r="P7" s="51">
        <f>O7*0.005</f>
        <v>-52.06</v>
      </c>
      <c r="Q7" s="99" t="s">
        <v>776</v>
      </c>
      <c r="R7" s="100">
        <v>-78925.399999999994</v>
      </c>
      <c r="S7" s="100">
        <v>0</v>
      </c>
      <c r="T7" s="100">
        <v>-78925.399999999994</v>
      </c>
      <c r="U7" s="100">
        <v>0</v>
      </c>
      <c r="V7" s="100">
        <v>0</v>
      </c>
      <c r="W7" s="100">
        <v>0</v>
      </c>
      <c r="X7" s="100">
        <v>0</v>
      </c>
      <c r="Y7" s="100">
        <v>0</v>
      </c>
      <c r="Z7" s="100">
        <v>0</v>
      </c>
      <c r="AA7" s="100">
        <v>0</v>
      </c>
      <c r="AB7" s="100">
        <v>0</v>
      </c>
      <c r="AC7" s="100">
        <v>0</v>
      </c>
      <c r="AD7" s="100">
        <v>0</v>
      </c>
      <c r="AE7" s="100">
        <v>0</v>
      </c>
      <c r="AF7" s="50"/>
      <c r="AG7" s="58" t="s">
        <v>808</v>
      </c>
      <c r="AH7" s="43">
        <v>21203005</v>
      </c>
      <c r="AI7" s="38">
        <f>-(VLOOKUP($AG7,$A:$O,11,0))*$AH$2</f>
        <v>0</v>
      </c>
      <c r="AJ7" s="38">
        <f t="shared" si="12"/>
        <v>0</v>
      </c>
      <c r="AK7" s="38">
        <f t="shared" si="13"/>
        <v>0</v>
      </c>
      <c r="AL7" s="38">
        <f t="shared" si="14"/>
        <v>0</v>
      </c>
      <c r="AM7" s="38">
        <f t="shared" si="15"/>
        <v>52.06</v>
      </c>
      <c r="AN7" s="54">
        <f>-(VLOOKUP(AG7,Q:AE,4,0))*$AH$2</f>
        <v>243.08855</v>
      </c>
      <c r="AO7" s="54">
        <f t="shared" si="0"/>
        <v>0</v>
      </c>
      <c r="AP7" s="54">
        <f t="shared" si="1"/>
        <v>0</v>
      </c>
      <c r="AQ7" s="54">
        <f>(-IFERROR(VLOOKUP($AG7,$Q:$AE,7,0),0))*$AH$2</f>
        <v>0</v>
      </c>
      <c r="AR7" s="54">
        <f>(-IFERROR(VLOOKUP($AG7,$Q:$AE,8,0),0))*$AH$2</f>
        <v>0</v>
      </c>
      <c r="AS7" s="54">
        <f>(-IFERROR(VLOOKUP($AG7,$Q:$AE,9,0),0))*$AH$2</f>
        <v>0</v>
      </c>
      <c r="AT7" s="54">
        <f t="shared" si="4"/>
        <v>0</v>
      </c>
      <c r="AU7" s="54">
        <f t="shared" si="5"/>
        <v>0</v>
      </c>
      <c r="AV7" s="54">
        <f t="shared" si="6"/>
        <v>0</v>
      </c>
      <c r="AW7" s="54">
        <f t="shared" si="7"/>
        <v>0</v>
      </c>
      <c r="AX7" s="54">
        <f t="shared" si="8"/>
        <v>0</v>
      </c>
      <c r="AY7" s="54">
        <f t="shared" si="16"/>
        <v>0</v>
      </c>
      <c r="AZ7" s="55">
        <f t="shared" si="9"/>
        <v>0</v>
      </c>
      <c r="BA7" s="56"/>
      <c r="BB7" s="56">
        <f t="shared" si="10"/>
        <v>0</v>
      </c>
      <c r="BC7" s="56"/>
    </row>
    <row r="8" spans="1:55" ht="15" x14ac:dyDescent="0.25">
      <c r="A8" s="59" t="s">
        <v>809</v>
      </c>
      <c r="B8" s="50">
        <v>-464351</v>
      </c>
      <c r="C8" s="50">
        <v>0</v>
      </c>
      <c r="D8" s="50">
        <v>-219986</v>
      </c>
      <c r="E8" s="50">
        <v>-244365</v>
      </c>
      <c r="F8" s="50">
        <v>0</v>
      </c>
      <c r="G8" s="50">
        <v>0</v>
      </c>
      <c r="H8" s="50">
        <v>0</v>
      </c>
      <c r="I8" s="50">
        <v>0</v>
      </c>
      <c r="J8" s="50">
        <v>0</v>
      </c>
      <c r="K8" s="50">
        <v>0</v>
      </c>
      <c r="L8" s="50">
        <v>0</v>
      </c>
      <c r="M8" s="50">
        <v>0</v>
      </c>
      <c r="N8" s="50">
        <v>0</v>
      </c>
      <c r="O8" s="50">
        <v>0</v>
      </c>
      <c r="P8" s="51"/>
      <c r="Q8" s="99" t="s">
        <v>777</v>
      </c>
      <c r="R8" s="100">
        <v>-278129.32</v>
      </c>
      <c r="S8" s="100">
        <v>0</v>
      </c>
      <c r="T8" s="100">
        <v>-278129.32</v>
      </c>
      <c r="U8" s="100">
        <v>0</v>
      </c>
      <c r="V8" s="100">
        <v>0</v>
      </c>
      <c r="W8" s="100">
        <v>0</v>
      </c>
      <c r="X8" s="100">
        <v>0</v>
      </c>
      <c r="Y8" s="100">
        <v>0</v>
      </c>
      <c r="Z8" s="100">
        <v>0</v>
      </c>
      <c r="AA8" s="100">
        <v>0</v>
      </c>
      <c r="AB8" s="100">
        <v>0</v>
      </c>
      <c r="AC8" s="100">
        <v>0</v>
      </c>
      <c r="AD8" s="100">
        <v>0</v>
      </c>
      <c r="AE8" s="100">
        <v>0</v>
      </c>
      <c r="AF8" s="50"/>
      <c r="AP8" s="54"/>
      <c r="AQ8" s="54"/>
      <c r="AR8" s="54"/>
      <c r="AS8" s="54"/>
      <c r="AT8" s="54">
        <f t="shared" si="4"/>
        <v>0</v>
      </c>
      <c r="AU8" s="54">
        <f t="shared" si="5"/>
        <v>0</v>
      </c>
      <c r="AV8" s="54">
        <f t="shared" si="6"/>
        <v>0</v>
      </c>
      <c r="AW8" s="54">
        <f t="shared" si="7"/>
        <v>0</v>
      </c>
      <c r="AX8" s="54">
        <f t="shared" si="8"/>
        <v>0</v>
      </c>
      <c r="AY8" s="54">
        <f t="shared" si="16"/>
        <v>0</v>
      </c>
      <c r="AZ8" s="55">
        <f t="shared" si="9"/>
        <v>0</v>
      </c>
      <c r="BB8" s="56">
        <f t="shared" si="10"/>
        <v>0</v>
      </c>
      <c r="BC8" s="56"/>
    </row>
    <row r="9" spans="1:55" ht="15" x14ac:dyDescent="0.25">
      <c r="A9" s="49" t="s">
        <v>810</v>
      </c>
      <c r="B9" s="50">
        <v>-1094286</v>
      </c>
      <c r="C9" s="50">
        <v>0</v>
      </c>
      <c r="D9" s="50">
        <v>-77396</v>
      </c>
      <c r="E9" s="50">
        <v>-92379</v>
      </c>
      <c r="F9" s="50">
        <v>-76592</v>
      </c>
      <c r="G9" s="50">
        <v>-96743</v>
      </c>
      <c r="H9" s="50">
        <v>-100821</v>
      </c>
      <c r="I9" s="50">
        <v>-118216</v>
      </c>
      <c r="J9" s="50">
        <v>-119088</v>
      </c>
      <c r="K9" s="50">
        <v>-97912</v>
      </c>
      <c r="L9" s="50">
        <v>-99082</v>
      </c>
      <c r="M9" s="50">
        <v>-80046</v>
      </c>
      <c r="N9" s="50">
        <v>-74385</v>
      </c>
      <c r="O9" s="50">
        <v>-61627</v>
      </c>
      <c r="P9" s="51"/>
      <c r="Q9" s="99" t="s">
        <v>23</v>
      </c>
      <c r="R9" s="100">
        <v>-593358.11</v>
      </c>
      <c r="S9" s="100">
        <v>0</v>
      </c>
      <c r="T9" s="100">
        <v>-593358.11</v>
      </c>
      <c r="U9" s="100">
        <v>0</v>
      </c>
      <c r="V9" s="100">
        <v>0</v>
      </c>
      <c r="W9" s="100">
        <v>0</v>
      </c>
      <c r="X9" s="100">
        <v>0</v>
      </c>
      <c r="Y9" s="100">
        <v>0</v>
      </c>
      <c r="Z9" s="100">
        <v>0</v>
      </c>
      <c r="AA9" s="100">
        <v>0</v>
      </c>
      <c r="AB9" s="100">
        <v>0</v>
      </c>
      <c r="AC9" s="100">
        <v>0</v>
      </c>
      <c r="AD9" s="100">
        <v>0</v>
      </c>
      <c r="AE9" s="100">
        <v>0</v>
      </c>
      <c r="AF9" s="50"/>
      <c r="AG9" s="60" t="s">
        <v>810</v>
      </c>
      <c r="AH9" s="61">
        <v>21283005</v>
      </c>
      <c r="AI9" s="38">
        <f t="shared" ref="AI9:AI12" si="17">-(VLOOKUP($AG9,$A:$O,11,0))*$AH$2</f>
        <v>489.56</v>
      </c>
      <c r="AJ9" s="38">
        <f t="shared" ref="AJ9:AJ12" si="18">-(VLOOKUP($AG9,$A:$O,12,0))*$AH$2</f>
        <v>495.41</v>
      </c>
      <c r="AK9" s="38">
        <f t="shared" ref="AK9:AK12" si="19">-(VLOOKUP($AG9,$A:$O,13,0))*$AH$2</f>
        <v>400.23</v>
      </c>
      <c r="AL9" s="38">
        <f t="shared" ref="AL9:AL12" si="20">-(VLOOKUP($AG9,$A:$O,14,0))*$AH$2</f>
        <v>371.92500000000001</v>
      </c>
      <c r="AM9" s="38">
        <f t="shared" ref="AM9:AM12" si="21">-(VLOOKUP($AG9,$A:$O,15,0))*$AH$2</f>
        <v>308.13499999999999</v>
      </c>
      <c r="AN9" s="54" t="e">
        <f>-(VLOOKUP(AG9,Q:AE,4,0))*$AH$2</f>
        <v>#N/A</v>
      </c>
      <c r="AO9" s="54">
        <f t="shared" si="0"/>
        <v>0</v>
      </c>
      <c r="AP9" s="54">
        <f t="shared" si="1"/>
        <v>0</v>
      </c>
      <c r="AQ9" s="54">
        <f>(-IFERROR(VLOOKUP($AG9,$Q:$AE,7,0),0))*$AH$2</f>
        <v>0</v>
      </c>
      <c r="AR9" s="54">
        <f>(-IFERROR(VLOOKUP($AG9,$Q:$AE,7,0),0))*$AH$2</f>
        <v>0</v>
      </c>
      <c r="AS9" s="54">
        <f>(-IFERROR(VLOOKUP($AG9,$Q:$AE,7,0),0))*$AH$2</f>
        <v>0</v>
      </c>
      <c r="AT9" s="54">
        <f t="shared" si="4"/>
        <v>0</v>
      </c>
      <c r="AU9" s="54">
        <f t="shared" si="5"/>
        <v>0</v>
      </c>
      <c r="AV9" s="54">
        <f t="shared" si="6"/>
        <v>0</v>
      </c>
      <c r="AW9" s="54">
        <f t="shared" si="7"/>
        <v>0</v>
      </c>
      <c r="AX9" s="54">
        <f t="shared" si="8"/>
        <v>0</v>
      </c>
      <c r="AY9" s="54">
        <f t="shared" si="16"/>
        <v>0</v>
      </c>
      <c r="AZ9" s="55">
        <f t="shared" si="9"/>
        <v>0</v>
      </c>
      <c r="BA9" s="56"/>
      <c r="BB9" s="56">
        <f t="shared" si="10"/>
        <v>0</v>
      </c>
      <c r="BC9" s="56"/>
    </row>
    <row r="10" spans="1:55" ht="15" x14ac:dyDescent="0.25">
      <c r="A10" s="49" t="s">
        <v>22</v>
      </c>
      <c r="B10" s="50">
        <v>-1142822</v>
      </c>
      <c r="C10" s="50">
        <v>0</v>
      </c>
      <c r="D10" s="50">
        <v>-84603</v>
      </c>
      <c r="E10" s="50">
        <v>-88865</v>
      </c>
      <c r="F10" s="50">
        <v>-81521</v>
      </c>
      <c r="G10" s="50">
        <v>-86354</v>
      </c>
      <c r="H10" s="50">
        <v>-108641</v>
      </c>
      <c r="I10" s="50">
        <v>-111542</v>
      </c>
      <c r="J10" s="50">
        <v>-103302</v>
      </c>
      <c r="K10" s="50">
        <v>-100290</v>
      </c>
      <c r="L10" s="50">
        <v>-97105</v>
      </c>
      <c r="M10" s="50">
        <v>-98519</v>
      </c>
      <c r="N10" s="50">
        <v>-87414</v>
      </c>
      <c r="O10" s="50">
        <v>-94667</v>
      </c>
      <c r="P10" s="51"/>
      <c r="Q10" s="99" t="s">
        <v>778</v>
      </c>
      <c r="R10" s="100">
        <v>-789426.2</v>
      </c>
      <c r="S10" s="100">
        <v>0</v>
      </c>
      <c r="T10" s="100">
        <v>-789426.2</v>
      </c>
      <c r="U10" s="100">
        <v>0</v>
      </c>
      <c r="V10" s="100">
        <v>0</v>
      </c>
      <c r="W10" s="100">
        <v>0</v>
      </c>
      <c r="X10" s="100">
        <v>0</v>
      </c>
      <c r="Y10" s="100">
        <v>0</v>
      </c>
      <c r="Z10" s="100">
        <v>0</v>
      </c>
      <c r="AA10" s="100">
        <v>0</v>
      </c>
      <c r="AB10" s="100">
        <v>0</v>
      </c>
      <c r="AC10" s="100">
        <v>0</v>
      </c>
      <c r="AD10" s="100">
        <v>0</v>
      </c>
      <c r="AE10" s="100">
        <v>0</v>
      </c>
      <c r="AF10" s="50"/>
      <c r="AG10" s="60" t="s">
        <v>22</v>
      </c>
      <c r="AH10" s="61">
        <v>21313005</v>
      </c>
      <c r="AI10" s="38">
        <f t="shared" si="17"/>
        <v>501.45</v>
      </c>
      <c r="AJ10" s="38">
        <f t="shared" si="18"/>
        <v>485.52500000000003</v>
      </c>
      <c r="AK10" s="38">
        <f t="shared" si="19"/>
        <v>492.59500000000003</v>
      </c>
      <c r="AL10" s="38">
        <f t="shared" si="20"/>
        <v>437.07</v>
      </c>
      <c r="AM10" s="38">
        <f t="shared" si="21"/>
        <v>473.33500000000004</v>
      </c>
      <c r="AN10" s="54" t="e">
        <f>-(VLOOKUP(AG10,Q:AE,4,0))*$AH$2</f>
        <v>#N/A</v>
      </c>
      <c r="AO10" s="54">
        <f t="shared" si="0"/>
        <v>0</v>
      </c>
      <c r="AP10" s="54">
        <f t="shared" si="1"/>
        <v>0</v>
      </c>
      <c r="AQ10" s="54">
        <f>(-IFERROR(VLOOKUP($AG10,$Q:$AE,7,0),0))*$AH$2</f>
        <v>0</v>
      </c>
      <c r="AR10" s="54">
        <f t="shared" ref="AR10:AS12" si="22">(-IFERROR(VLOOKUP($AG10,$Q:$AE,8,0),0))*$AH$2</f>
        <v>0</v>
      </c>
      <c r="AS10" s="54">
        <f t="shared" si="22"/>
        <v>0</v>
      </c>
      <c r="AT10" s="54">
        <f t="shared" si="4"/>
        <v>0</v>
      </c>
      <c r="AU10" s="54">
        <f t="shared" si="5"/>
        <v>0</v>
      </c>
      <c r="AV10" s="54">
        <f t="shared" si="6"/>
        <v>0</v>
      </c>
      <c r="AW10" s="54">
        <f t="shared" si="7"/>
        <v>0</v>
      </c>
      <c r="AX10" s="54">
        <f t="shared" si="8"/>
        <v>0</v>
      </c>
      <c r="AY10" s="54">
        <f t="shared" si="16"/>
        <v>0</v>
      </c>
      <c r="AZ10" s="55">
        <f t="shared" si="9"/>
        <v>0</v>
      </c>
      <c r="BA10" s="56"/>
      <c r="BB10" s="56">
        <f t="shared" si="10"/>
        <v>0</v>
      </c>
      <c r="BC10" s="56"/>
    </row>
    <row r="11" spans="1:55" ht="15" x14ac:dyDescent="0.25">
      <c r="A11" s="49" t="s">
        <v>776</v>
      </c>
      <c r="B11" s="50">
        <v>-1273596</v>
      </c>
      <c r="C11" s="50">
        <v>0</v>
      </c>
      <c r="D11" s="50">
        <v>-107806</v>
      </c>
      <c r="E11" s="50">
        <v>-119552</v>
      </c>
      <c r="F11" s="50">
        <v>-118364</v>
      </c>
      <c r="G11" s="50">
        <v>-145781</v>
      </c>
      <c r="H11" s="50">
        <v>-129128</v>
      </c>
      <c r="I11" s="50">
        <v>-123531</v>
      </c>
      <c r="J11" s="50">
        <v>-130619</v>
      </c>
      <c r="K11" s="50">
        <v>-106168</v>
      </c>
      <c r="L11" s="50">
        <v>-111794</v>
      </c>
      <c r="M11" s="50">
        <v>-52571</v>
      </c>
      <c r="N11" s="50">
        <v>-65266</v>
      </c>
      <c r="O11" s="50">
        <v>-63015</v>
      </c>
      <c r="P11" s="51"/>
      <c r="Q11" s="99" t="s">
        <v>813</v>
      </c>
      <c r="R11" s="100">
        <v>-118604.63</v>
      </c>
      <c r="S11" s="100">
        <v>0</v>
      </c>
      <c r="T11" s="100">
        <v>-118604.63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50"/>
      <c r="AG11" s="52" t="s">
        <v>776</v>
      </c>
      <c r="AH11" s="61">
        <v>21363005</v>
      </c>
      <c r="AI11" s="38">
        <f t="shared" si="17"/>
        <v>530.84</v>
      </c>
      <c r="AJ11" s="38">
        <f t="shared" si="18"/>
        <v>558.97</v>
      </c>
      <c r="AK11" s="38">
        <f t="shared" si="19"/>
        <v>262.85500000000002</v>
      </c>
      <c r="AL11" s="38">
        <f t="shared" si="20"/>
        <v>326.33</v>
      </c>
      <c r="AM11" s="38">
        <f t="shared" si="21"/>
        <v>315.07499999999999</v>
      </c>
      <c r="AN11" s="54">
        <f>-(VLOOKUP(AG11,Q:AE,4,0))*$AH$2</f>
        <v>394.62699999999995</v>
      </c>
      <c r="AO11" s="54">
        <f t="shared" si="0"/>
        <v>0</v>
      </c>
      <c r="AP11" s="54">
        <f t="shared" si="1"/>
        <v>0</v>
      </c>
      <c r="AQ11" s="54">
        <f>(-IFERROR(VLOOKUP($AG11,$Q:$AE,7,0),0))*$AH$2</f>
        <v>0</v>
      </c>
      <c r="AR11" s="54">
        <f t="shared" si="22"/>
        <v>0</v>
      </c>
      <c r="AS11" s="54">
        <f t="shared" ref="AS11:AS12" si="23">(-IFERROR(VLOOKUP($AG11,$Q:$AE,9,0),0))*$AH$2</f>
        <v>0</v>
      </c>
      <c r="AT11" s="54">
        <f t="shared" si="4"/>
        <v>0</v>
      </c>
      <c r="AU11" s="54">
        <f t="shared" si="5"/>
        <v>0</v>
      </c>
      <c r="AV11" s="54">
        <f t="shared" si="6"/>
        <v>0</v>
      </c>
      <c r="AW11" s="54">
        <f t="shared" si="7"/>
        <v>0</v>
      </c>
      <c r="AX11" s="54">
        <f t="shared" si="8"/>
        <v>0</v>
      </c>
      <c r="AY11" s="54">
        <f t="shared" si="16"/>
        <v>0</v>
      </c>
      <c r="AZ11" s="55">
        <f t="shared" si="9"/>
        <v>0</v>
      </c>
      <c r="BA11" s="56"/>
      <c r="BB11" s="56">
        <f t="shared" si="10"/>
        <v>0</v>
      </c>
      <c r="BC11" s="56"/>
    </row>
    <row r="12" spans="1:55" ht="15" x14ac:dyDescent="0.25">
      <c r="A12" s="49" t="s">
        <v>777</v>
      </c>
      <c r="B12" s="50">
        <v>-3239265</v>
      </c>
      <c r="C12" s="50">
        <v>0</v>
      </c>
      <c r="D12" s="50">
        <v>-238698</v>
      </c>
      <c r="E12" s="50">
        <v>-267216</v>
      </c>
      <c r="F12" s="50">
        <v>-265566</v>
      </c>
      <c r="G12" s="50">
        <v>-308552</v>
      </c>
      <c r="H12" s="50">
        <v>-334406</v>
      </c>
      <c r="I12" s="50">
        <v>-302372</v>
      </c>
      <c r="J12" s="50">
        <v>-293600</v>
      </c>
      <c r="K12" s="50">
        <v>-303244</v>
      </c>
      <c r="L12" s="50">
        <v>-275644</v>
      </c>
      <c r="M12" s="50">
        <v>-251195</v>
      </c>
      <c r="N12" s="50">
        <v>-216498</v>
      </c>
      <c r="O12" s="50">
        <v>-182273</v>
      </c>
      <c r="P12" s="51"/>
      <c r="Q12" s="99" t="s">
        <v>24</v>
      </c>
      <c r="R12" s="100">
        <v>-124536</v>
      </c>
      <c r="S12" s="100">
        <v>0</v>
      </c>
      <c r="T12" s="100">
        <v>-124536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50"/>
      <c r="AG12" s="52" t="s">
        <v>777</v>
      </c>
      <c r="AH12" s="61">
        <v>21373005</v>
      </c>
      <c r="AI12" s="38">
        <f t="shared" si="17"/>
        <v>1516.22</v>
      </c>
      <c r="AJ12" s="38">
        <f t="shared" si="18"/>
        <v>1378.22</v>
      </c>
      <c r="AK12" s="38">
        <f t="shared" si="19"/>
        <v>1255.9750000000001</v>
      </c>
      <c r="AL12" s="38">
        <f t="shared" si="20"/>
        <v>1082.49</v>
      </c>
      <c r="AM12" s="38">
        <f t="shared" si="21"/>
        <v>911.36500000000001</v>
      </c>
      <c r="AN12" s="54">
        <f>-(VLOOKUP(AG12,Q:AE,4,0))*$AH$2</f>
        <v>1390.6466</v>
      </c>
      <c r="AO12" s="54">
        <f t="shared" si="0"/>
        <v>0</v>
      </c>
      <c r="AP12" s="54">
        <f t="shared" si="1"/>
        <v>0</v>
      </c>
      <c r="AQ12" s="54">
        <f>(-IFERROR(VLOOKUP($AG12,$Q:$AE,7,0),0))*$AH$2</f>
        <v>0</v>
      </c>
      <c r="AR12" s="54">
        <f t="shared" si="22"/>
        <v>0</v>
      </c>
      <c r="AS12" s="54">
        <f t="shared" si="23"/>
        <v>0</v>
      </c>
      <c r="AT12" s="54">
        <f t="shared" si="4"/>
        <v>0</v>
      </c>
      <c r="AU12" s="54">
        <f t="shared" si="5"/>
        <v>0</v>
      </c>
      <c r="AV12" s="54">
        <f t="shared" si="6"/>
        <v>0</v>
      </c>
      <c r="AW12" s="54">
        <f t="shared" si="7"/>
        <v>0</v>
      </c>
      <c r="AX12" s="54">
        <f t="shared" si="8"/>
        <v>0</v>
      </c>
      <c r="AY12" s="54">
        <f t="shared" si="16"/>
        <v>0</v>
      </c>
      <c r="AZ12" s="55">
        <f t="shared" si="9"/>
        <v>0</v>
      </c>
      <c r="BA12" s="56"/>
      <c r="BB12" s="56">
        <f t="shared" si="10"/>
        <v>0</v>
      </c>
      <c r="BC12" s="56"/>
    </row>
    <row r="13" spans="1:55" ht="15" x14ac:dyDescent="0.25">
      <c r="A13" s="57" t="s">
        <v>811</v>
      </c>
      <c r="B13" s="50">
        <v>-2183650</v>
      </c>
      <c r="C13" s="50">
        <v>0</v>
      </c>
      <c r="D13" s="50">
        <v>-305336</v>
      </c>
      <c r="E13" s="50">
        <v>-345733</v>
      </c>
      <c r="F13" s="50">
        <v>-368113</v>
      </c>
      <c r="G13" s="50">
        <v>-369748</v>
      </c>
      <c r="H13" s="50">
        <v>-302130</v>
      </c>
      <c r="I13" s="50">
        <v>-234219</v>
      </c>
      <c r="J13" s="50">
        <v>-131073</v>
      </c>
      <c r="K13" s="50">
        <v>-126802</v>
      </c>
      <c r="L13" s="50">
        <v>-497</v>
      </c>
      <c r="M13" s="50">
        <v>0</v>
      </c>
      <c r="N13" s="50">
        <v>0</v>
      </c>
      <c r="O13" s="50">
        <v>0</v>
      </c>
      <c r="P13" s="51"/>
      <c r="Q13" s="99" t="s">
        <v>814</v>
      </c>
      <c r="R13" s="100">
        <v>-98055.09</v>
      </c>
      <c r="S13" s="100">
        <v>0</v>
      </c>
      <c r="T13" s="100">
        <v>-98055.09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50"/>
      <c r="AP13" s="54"/>
      <c r="AQ13" s="54"/>
      <c r="AR13" s="54"/>
      <c r="AS13" s="54"/>
      <c r="AT13" s="54">
        <f t="shared" si="4"/>
        <v>0</v>
      </c>
      <c r="AU13" s="54">
        <f t="shared" si="5"/>
        <v>0</v>
      </c>
      <c r="AV13" s="54">
        <f t="shared" si="6"/>
        <v>0</v>
      </c>
      <c r="AW13" s="54">
        <f t="shared" si="7"/>
        <v>0</v>
      </c>
      <c r="AX13" s="54">
        <f t="shared" si="8"/>
        <v>0</v>
      </c>
      <c r="AY13" s="54">
        <f t="shared" si="16"/>
        <v>0</v>
      </c>
      <c r="AZ13" s="55">
        <f t="shared" si="9"/>
        <v>0</v>
      </c>
      <c r="BB13" s="56">
        <f t="shared" si="10"/>
        <v>0</v>
      </c>
      <c r="BC13" s="56"/>
    </row>
    <row r="14" spans="1:55" ht="15" x14ac:dyDescent="0.25">
      <c r="A14" s="57" t="s">
        <v>812</v>
      </c>
      <c r="B14" s="50">
        <v>-1717604</v>
      </c>
      <c r="C14" s="50">
        <v>0</v>
      </c>
      <c r="D14" s="50">
        <v>-140085</v>
      </c>
      <c r="E14" s="50">
        <v>-175434</v>
      </c>
      <c r="F14" s="50">
        <v>-165440</v>
      </c>
      <c r="G14" s="50">
        <v>-206364</v>
      </c>
      <c r="H14" s="50">
        <v>-220965</v>
      </c>
      <c r="I14" s="50">
        <v>-210576</v>
      </c>
      <c r="J14" s="50">
        <v>-166113</v>
      </c>
      <c r="K14" s="50">
        <v>-144829</v>
      </c>
      <c r="L14" s="50">
        <v>-129338</v>
      </c>
      <c r="M14" s="50">
        <v>-128733</v>
      </c>
      <c r="N14" s="50">
        <v>-29727</v>
      </c>
      <c r="O14" s="50">
        <v>0</v>
      </c>
      <c r="P14" s="51"/>
      <c r="Q14" s="99" t="s">
        <v>815</v>
      </c>
      <c r="R14" s="100">
        <v>-163509.57</v>
      </c>
      <c r="S14" s="100">
        <v>0</v>
      </c>
      <c r="T14" s="100">
        <v>-163509.57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50"/>
      <c r="AP14" s="54"/>
      <c r="AQ14" s="54"/>
      <c r="AR14" s="54"/>
      <c r="AS14" s="54"/>
      <c r="AT14" s="54">
        <f t="shared" si="4"/>
        <v>0</v>
      </c>
      <c r="AU14" s="54">
        <f t="shared" si="5"/>
        <v>0</v>
      </c>
      <c r="AV14" s="54">
        <f t="shared" si="6"/>
        <v>0</v>
      </c>
      <c r="AW14" s="54">
        <f t="shared" si="7"/>
        <v>0</v>
      </c>
      <c r="AX14" s="54">
        <f t="shared" si="8"/>
        <v>0</v>
      </c>
      <c r="AY14" s="54">
        <f t="shared" si="16"/>
        <v>0</v>
      </c>
      <c r="AZ14" s="55">
        <f t="shared" si="9"/>
        <v>0</v>
      </c>
      <c r="BB14" s="56">
        <f t="shared" si="10"/>
        <v>0</v>
      </c>
      <c r="BC14" s="56"/>
    </row>
    <row r="15" spans="1:55" ht="15" x14ac:dyDescent="0.25">
      <c r="A15" s="49" t="s">
        <v>23</v>
      </c>
      <c r="B15" s="50">
        <v>-3411039</v>
      </c>
      <c r="C15" s="50">
        <v>0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-246373</v>
      </c>
      <c r="J15" s="50">
        <v>-551333</v>
      </c>
      <c r="K15" s="50">
        <v>-527751</v>
      </c>
      <c r="L15" s="50">
        <v>-501042</v>
      </c>
      <c r="M15" s="50">
        <v>-476102</v>
      </c>
      <c r="N15" s="50">
        <v>-554262</v>
      </c>
      <c r="O15" s="50">
        <v>-554176</v>
      </c>
      <c r="P15" s="51"/>
      <c r="Q15" s="99" t="s">
        <v>25</v>
      </c>
      <c r="R15" s="100">
        <v>-98139.39</v>
      </c>
      <c r="S15" s="100">
        <v>0</v>
      </c>
      <c r="T15" s="100">
        <v>-98139.39</v>
      </c>
      <c r="U15" s="100">
        <v>0</v>
      </c>
      <c r="V15" s="100">
        <v>0</v>
      </c>
      <c r="W15" s="100">
        <v>0</v>
      </c>
      <c r="X15" s="100">
        <v>0</v>
      </c>
      <c r="Y15" s="100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50"/>
      <c r="AG15" s="52" t="s">
        <v>23</v>
      </c>
      <c r="AH15" s="61">
        <v>22303005</v>
      </c>
      <c r="AI15" s="38">
        <f t="shared" ref="AI15:AI16" si="24">-(VLOOKUP($AG15,$A:$O,11,0))*$AH$2</f>
        <v>2638.7550000000001</v>
      </c>
      <c r="AJ15" s="38">
        <f t="shared" ref="AJ15:AJ16" si="25">-(VLOOKUP($AG15,$A:$O,12,0))*$AH$2</f>
        <v>2505.21</v>
      </c>
      <c r="AK15" s="38">
        <f t="shared" ref="AK15:AK16" si="26">-(VLOOKUP($AG15,$A:$O,13,0))*$AH$2</f>
        <v>2380.5100000000002</v>
      </c>
      <c r="AL15" s="38">
        <f t="shared" ref="AL15:AL16" si="27">-(VLOOKUP($AG15,$A:$O,14,0))*$AH$2</f>
        <v>2771.31</v>
      </c>
      <c r="AM15" s="38">
        <f t="shared" ref="AM15:AM16" si="28">-(VLOOKUP($AG15,$A:$O,15,0))*$AH$2</f>
        <v>2770.88</v>
      </c>
      <c r="AN15" s="54">
        <f>-(VLOOKUP(AG15,Q:AE,4,0))*$AH$2</f>
        <v>2966.7905500000002</v>
      </c>
      <c r="AO15" s="54">
        <f t="shared" ref="AO15:AO17" si="29">(-IFERROR(VLOOKUP($AG15,$Q:$AE,5,0),0))*$AH$2</f>
        <v>0</v>
      </c>
      <c r="AP15" s="54">
        <f t="shared" si="1"/>
        <v>0</v>
      </c>
      <c r="AQ15" s="54">
        <f>(-IFERROR(VLOOKUP($AG15,$Q:$AE,7,0),0))*$AH$2</f>
        <v>0</v>
      </c>
      <c r="AR15" s="54">
        <f t="shared" ref="AR15:AR19" si="30">(-IFERROR(VLOOKUP($AG15,$Q:$AE,8,0),0))*$AH$2</f>
        <v>0</v>
      </c>
      <c r="AS15" s="54">
        <f t="shared" ref="AS15:AS19" si="31">(-IFERROR(VLOOKUP($AG15,$Q:$AE,9,0),0))*$AH$2</f>
        <v>0</v>
      </c>
      <c r="AT15" s="54">
        <f t="shared" si="4"/>
        <v>0</v>
      </c>
      <c r="AU15" s="54">
        <f t="shared" si="5"/>
        <v>0</v>
      </c>
      <c r="AV15" s="54">
        <f t="shared" si="6"/>
        <v>0</v>
      </c>
      <c r="AW15" s="54">
        <f t="shared" si="7"/>
        <v>0</v>
      </c>
      <c r="AX15" s="54">
        <f t="shared" si="8"/>
        <v>0</v>
      </c>
      <c r="AY15" s="54">
        <f t="shared" si="16"/>
        <v>0</v>
      </c>
      <c r="AZ15" s="55">
        <f t="shared" si="9"/>
        <v>0</v>
      </c>
      <c r="BA15" s="56"/>
      <c r="BB15" s="56">
        <f t="shared" si="10"/>
        <v>0</v>
      </c>
      <c r="BC15" s="56"/>
    </row>
    <row r="16" spans="1:55" ht="15" x14ac:dyDescent="0.25">
      <c r="A16" s="49" t="s">
        <v>778</v>
      </c>
      <c r="B16" s="50">
        <v>-7495767</v>
      </c>
      <c r="C16" s="50">
        <v>0</v>
      </c>
      <c r="D16" s="50">
        <v>0</v>
      </c>
      <c r="E16" s="50">
        <v>0</v>
      </c>
      <c r="F16" s="50">
        <v>0</v>
      </c>
      <c r="G16" s="50">
        <v>-206957</v>
      </c>
      <c r="H16" s="50">
        <v>-951254</v>
      </c>
      <c r="I16" s="50">
        <v>-941579</v>
      </c>
      <c r="J16" s="50">
        <v>-944026</v>
      </c>
      <c r="K16" s="50">
        <v>-978968</v>
      </c>
      <c r="L16" s="50">
        <v>-991133</v>
      </c>
      <c r="M16" s="50">
        <v>-939970</v>
      </c>
      <c r="N16" s="50">
        <v>-863704</v>
      </c>
      <c r="O16" s="50">
        <v>-678177</v>
      </c>
      <c r="P16" s="51"/>
      <c r="Q16" s="99" t="s">
        <v>818</v>
      </c>
      <c r="R16" s="100">
        <v>-20973.18</v>
      </c>
      <c r="S16" s="100">
        <v>0</v>
      </c>
      <c r="T16" s="100">
        <v>-20973.18</v>
      </c>
      <c r="U16" s="100">
        <v>0</v>
      </c>
      <c r="V16" s="100">
        <v>0</v>
      </c>
      <c r="W16" s="100">
        <v>0</v>
      </c>
      <c r="X16" s="100">
        <v>0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50"/>
      <c r="AG16" s="52" t="s">
        <v>778</v>
      </c>
      <c r="AH16" s="61">
        <v>22313005</v>
      </c>
      <c r="AI16" s="62">
        <f t="shared" si="24"/>
        <v>4894.84</v>
      </c>
      <c r="AJ16" s="62">
        <f t="shared" si="25"/>
        <v>4955.665</v>
      </c>
      <c r="AK16" s="63">
        <f t="shared" si="26"/>
        <v>4699.8500000000004</v>
      </c>
      <c r="AL16" s="63">
        <f t="shared" si="27"/>
        <v>4318.5200000000004</v>
      </c>
      <c r="AM16" s="63">
        <f t="shared" si="28"/>
        <v>3390.8850000000002</v>
      </c>
      <c r="AN16" s="63">
        <f>-(VLOOKUP(AG16,Q:AE,4,0))*$AH$2</f>
        <v>3947.1309999999999</v>
      </c>
      <c r="AO16" s="54">
        <f t="shared" si="29"/>
        <v>0</v>
      </c>
      <c r="AP16" s="54">
        <f>(-IFERROR(VLOOKUP($AG16,$Q:$AE,6,0),0))*$AH$2</f>
        <v>0</v>
      </c>
      <c r="AQ16" s="54">
        <f>(-IFERROR(VLOOKUP($AG16,$Q:$AE,7,0),0))*$AH$2</f>
        <v>0</v>
      </c>
      <c r="AR16" s="54">
        <f t="shared" si="30"/>
        <v>0</v>
      </c>
      <c r="AS16" s="54">
        <f t="shared" si="31"/>
        <v>0</v>
      </c>
      <c r="AT16" s="54">
        <f t="shared" si="4"/>
        <v>0</v>
      </c>
      <c r="AU16" s="54">
        <f t="shared" si="5"/>
        <v>0</v>
      </c>
      <c r="AV16" s="54">
        <f t="shared" si="6"/>
        <v>0</v>
      </c>
      <c r="AW16" s="54">
        <f t="shared" si="7"/>
        <v>0</v>
      </c>
      <c r="AX16" s="54">
        <f t="shared" si="8"/>
        <v>0</v>
      </c>
      <c r="AY16" s="54">
        <f t="shared" si="16"/>
        <v>0</v>
      </c>
      <c r="AZ16" s="55">
        <f t="shared" si="9"/>
        <v>0</v>
      </c>
      <c r="BA16" s="56"/>
      <c r="BB16" s="56">
        <f t="shared" si="10"/>
        <v>0</v>
      </c>
      <c r="BC16" s="56"/>
    </row>
    <row r="17" spans="1:55" ht="15" x14ac:dyDescent="0.25">
      <c r="A17" s="49" t="s">
        <v>779</v>
      </c>
      <c r="B17" s="50">
        <v>-1487149</v>
      </c>
      <c r="C17" s="50">
        <v>0</v>
      </c>
      <c r="D17" s="50">
        <v>0</v>
      </c>
      <c r="E17" s="50">
        <v>0</v>
      </c>
      <c r="F17" s="50">
        <v>0</v>
      </c>
      <c r="G17" s="50">
        <v>0</v>
      </c>
      <c r="H17" s="50">
        <v>-115893</v>
      </c>
      <c r="I17" s="50">
        <v>-216541</v>
      </c>
      <c r="J17" s="50">
        <v>-210787</v>
      </c>
      <c r="K17" s="50">
        <v>-207257</v>
      </c>
      <c r="L17" s="50">
        <v>-200420</v>
      </c>
      <c r="M17" s="50">
        <v>-193199</v>
      </c>
      <c r="N17" s="50">
        <v>-174895</v>
      </c>
      <c r="O17" s="50">
        <v>-168157</v>
      </c>
      <c r="P17" s="51"/>
      <c r="Q17" s="99" t="s">
        <v>819</v>
      </c>
      <c r="R17" s="100">
        <v>-55827.79</v>
      </c>
      <c r="S17" s="100">
        <v>0</v>
      </c>
      <c r="T17" s="100">
        <v>-55827.79</v>
      </c>
      <c r="U17" s="100">
        <v>0</v>
      </c>
      <c r="V17" s="100">
        <v>0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50"/>
      <c r="AG17" s="52" t="s">
        <v>813</v>
      </c>
      <c r="AH17" s="61">
        <v>22323005</v>
      </c>
      <c r="AI17" s="38">
        <f>-K17*$AH$2</f>
        <v>1036.2850000000001</v>
      </c>
      <c r="AJ17" s="38">
        <f t="shared" ref="AJ17" si="32">-L17*$AH$2</f>
        <v>1002.1</v>
      </c>
      <c r="AK17" s="38">
        <f>-M17*$AH$2</f>
        <v>965.995</v>
      </c>
      <c r="AL17" s="38">
        <f>-N17*$AH$2</f>
        <v>874.47500000000002</v>
      </c>
      <c r="AM17" s="38">
        <f>-O17*$AH$2</f>
        <v>840.78499999999997</v>
      </c>
      <c r="AN17" s="54">
        <f>-(VLOOKUP(AG17,Q:AE,4,0))*$AH$2</f>
        <v>593.02314999999999</v>
      </c>
      <c r="AO17" s="54">
        <f t="shared" si="29"/>
        <v>0</v>
      </c>
      <c r="AP17" s="54">
        <f t="shared" si="1"/>
        <v>0</v>
      </c>
      <c r="AQ17" s="54">
        <f t="shared" ref="AQ17:AQ19" si="33">(-IFERROR(VLOOKUP($AG17,$Q:$AE,7,0),0))*$AH$2</f>
        <v>0</v>
      </c>
      <c r="AR17" s="54">
        <f t="shared" si="30"/>
        <v>0</v>
      </c>
      <c r="AS17" s="54">
        <f t="shared" si="31"/>
        <v>0</v>
      </c>
      <c r="AT17" s="54">
        <f t="shared" si="4"/>
        <v>0</v>
      </c>
      <c r="AU17" s="54">
        <f t="shared" si="5"/>
        <v>0</v>
      </c>
      <c r="AV17" s="54">
        <f t="shared" si="6"/>
        <v>0</v>
      </c>
      <c r="AW17" s="54">
        <f t="shared" si="7"/>
        <v>0</v>
      </c>
      <c r="AX17" s="54">
        <f t="shared" si="8"/>
        <v>0</v>
      </c>
      <c r="AY17" s="54">
        <f t="shared" si="16"/>
        <v>0</v>
      </c>
      <c r="AZ17" s="55">
        <f t="shared" si="9"/>
        <v>0</v>
      </c>
      <c r="BA17" s="56"/>
      <c r="BB17" s="56">
        <f t="shared" si="10"/>
        <v>0</v>
      </c>
      <c r="BC17" s="56"/>
    </row>
    <row r="18" spans="1:55" ht="15" x14ac:dyDescent="0.25">
      <c r="A18" s="57" t="s">
        <v>816</v>
      </c>
      <c r="B18" s="50">
        <v>-62630</v>
      </c>
      <c r="C18" s="50">
        <v>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-9485</v>
      </c>
      <c r="J18" s="50">
        <v>-19338</v>
      </c>
      <c r="K18" s="50">
        <v>-16955</v>
      </c>
      <c r="L18" s="50">
        <v>-16852</v>
      </c>
      <c r="M18" s="50">
        <v>0</v>
      </c>
      <c r="N18" s="50">
        <v>0</v>
      </c>
      <c r="O18" s="50">
        <v>0</v>
      </c>
      <c r="P18" s="51"/>
      <c r="Q18" s="99" t="s">
        <v>26</v>
      </c>
      <c r="R18" s="100">
        <v>-45824.959999999999</v>
      </c>
      <c r="S18" s="100">
        <v>0</v>
      </c>
      <c r="T18" s="100">
        <v>-45824.959999999999</v>
      </c>
      <c r="U18" s="100">
        <v>0</v>
      </c>
      <c r="V18" s="100">
        <v>0</v>
      </c>
      <c r="W18" s="100">
        <v>0</v>
      </c>
      <c r="X18" s="100">
        <v>0</v>
      </c>
      <c r="Y18" s="100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50"/>
      <c r="AG18" s="64" t="s">
        <v>24</v>
      </c>
      <c r="AH18" s="61">
        <v>22333005</v>
      </c>
      <c r="AI18" s="56"/>
      <c r="AJ18" s="56"/>
      <c r="AK18" s="56"/>
      <c r="AL18" s="56"/>
      <c r="AM18" s="56"/>
      <c r="AN18" s="56"/>
      <c r="AO18" s="56"/>
      <c r="AP18" s="56"/>
      <c r="AQ18" s="54">
        <f t="shared" si="33"/>
        <v>0</v>
      </c>
      <c r="AR18" s="54">
        <f t="shared" si="30"/>
        <v>0</v>
      </c>
      <c r="AS18" s="54">
        <f t="shared" si="31"/>
        <v>0</v>
      </c>
      <c r="AT18" s="54">
        <f t="shared" si="4"/>
        <v>0</v>
      </c>
      <c r="AU18" s="54">
        <f t="shared" si="5"/>
        <v>0</v>
      </c>
      <c r="AV18" s="54">
        <f t="shared" si="6"/>
        <v>0</v>
      </c>
      <c r="AW18" s="54">
        <f t="shared" si="7"/>
        <v>0</v>
      </c>
      <c r="AX18" s="54">
        <f t="shared" si="8"/>
        <v>0</v>
      </c>
      <c r="AY18" s="54">
        <f t="shared" si="16"/>
        <v>0</v>
      </c>
      <c r="AZ18" s="55">
        <f t="shared" si="9"/>
        <v>0</v>
      </c>
      <c r="BB18" s="56">
        <f>SUM(BB3:BB17)</f>
        <v>0</v>
      </c>
      <c r="BC18" s="56"/>
    </row>
    <row r="19" spans="1:55" ht="15" x14ac:dyDescent="0.25">
      <c r="A19" s="57" t="s">
        <v>817</v>
      </c>
      <c r="B19" s="50">
        <v>-52254</v>
      </c>
      <c r="C19" s="50">
        <v>0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-6968</v>
      </c>
      <c r="J19" s="50">
        <v>-17670</v>
      </c>
      <c r="K19" s="50">
        <v>-15683</v>
      </c>
      <c r="L19" s="50">
        <v>-11904</v>
      </c>
      <c r="M19" s="50">
        <v>-27</v>
      </c>
      <c r="N19" s="50">
        <v>0</v>
      </c>
      <c r="O19" s="50">
        <v>0</v>
      </c>
      <c r="P19" s="51"/>
      <c r="Q19" s="99" t="s">
        <v>820</v>
      </c>
      <c r="R19" s="100">
        <v>-282462.99</v>
      </c>
      <c r="S19" s="100">
        <v>0</v>
      </c>
      <c r="T19" s="100">
        <v>-282462.99</v>
      </c>
      <c r="U19" s="100">
        <v>0</v>
      </c>
      <c r="V19" s="100">
        <v>0</v>
      </c>
      <c r="W19" s="100">
        <v>0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50"/>
      <c r="AG19" s="64" t="s">
        <v>814</v>
      </c>
      <c r="AH19" s="61">
        <v>22343005</v>
      </c>
      <c r="AQ19" s="54">
        <f t="shared" si="33"/>
        <v>0</v>
      </c>
      <c r="AR19" s="54">
        <f t="shared" si="30"/>
        <v>0</v>
      </c>
      <c r="AS19" s="54">
        <f t="shared" si="31"/>
        <v>0</v>
      </c>
      <c r="AT19" s="54">
        <f t="shared" si="4"/>
        <v>0</v>
      </c>
      <c r="AU19" s="54">
        <f t="shared" si="5"/>
        <v>0</v>
      </c>
      <c r="AV19" s="54">
        <f t="shared" si="6"/>
        <v>0</v>
      </c>
      <c r="AW19" s="54">
        <f t="shared" si="7"/>
        <v>0</v>
      </c>
      <c r="AX19" s="54">
        <f t="shared" si="8"/>
        <v>0</v>
      </c>
      <c r="AY19" s="54">
        <f t="shared" si="16"/>
        <v>0</v>
      </c>
      <c r="AZ19" s="55">
        <f t="shared" si="9"/>
        <v>0</v>
      </c>
      <c r="BB19" s="56">
        <f>SUM(BB4:BB18)</f>
        <v>0</v>
      </c>
      <c r="BC19" s="56"/>
    </row>
    <row r="20" spans="1:55" ht="15" x14ac:dyDescent="0.25">
      <c r="A20" s="57" t="s">
        <v>815</v>
      </c>
      <c r="B20" s="50">
        <v>-1744546</v>
      </c>
      <c r="C20" s="50">
        <v>0</v>
      </c>
      <c r="D20" s="50">
        <v>-151736</v>
      </c>
      <c r="E20" s="50">
        <v>-131517</v>
      </c>
      <c r="F20" s="50">
        <v>-150424</v>
      </c>
      <c r="G20" s="50">
        <v>-159386</v>
      </c>
      <c r="H20" s="50">
        <v>-155292</v>
      </c>
      <c r="I20" s="50">
        <v>-174114</v>
      </c>
      <c r="J20" s="50">
        <v>-149273</v>
      </c>
      <c r="K20" s="50">
        <v>-123558</v>
      </c>
      <c r="L20" s="50">
        <v>-144272</v>
      </c>
      <c r="M20" s="50">
        <v>-141467</v>
      </c>
      <c r="N20" s="50">
        <v>-133988</v>
      </c>
      <c r="O20" s="50">
        <v>-129520</v>
      </c>
      <c r="P20" s="51"/>
      <c r="Q20" s="99" t="s">
        <v>821</v>
      </c>
      <c r="R20" s="100">
        <v>-47740.08</v>
      </c>
      <c r="S20" s="100">
        <v>0</v>
      </c>
      <c r="T20" s="100">
        <v>-47740.08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50"/>
      <c r="AZ20" s="56">
        <f>SUM(AZ3:AZ19)</f>
        <v>0</v>
      </c>
      <c r="BB20" s="56"/>
      <c r="BC20" s="56"/>
    </row>
    <row r="21" spans="1:55" ht="15" x14ac:dyDescent="0.25">
      <c r="A21" s="57" t="s">
        <v>25</v>
      </c>
      <c r="B21" s="50">
        <v>-1302704</v>
      </c>
      <c r="C21" s="50">
        <v>0</v>
      </c>
      <c r="D21" s="50">
        <v>-100757</v>
      </c>
      <c r="E21" s="50">
        <v>-104899</v>
      </c>
      <c r="F21" s="50">
        <v>-107625</v>
      </c>
      <c r="G21" s="50">
        <v>-108479</v>
      </c>
      <c r="H21" s="50">
        <v>-116287</v>
      </c>
      <c r="I21" s="50">
        <v>-120971</v>
      </c>
      <c r="J21" s="50">
        <v>-127769</v>
      </c>
      <c r="K21" s="50">
        <v>-100115</v>
      </c>
      <c r="L21" s="50">
        <v>-121067</v>
      </c>
      <c r="M21" s="50">
        <v>-104378</v>
      </c>
      <c r="N21" s="50">
        <v>-93284</v>
      </c>
      <c r="O21" s="50">
        <v>-97074</v>
      </c>
      <c r="P21" s="51"/>
      <c r="Q21" s="99" t="s">
        <v>27</v>
      </c>
      <c r="R21" s="100">
        <v>-40697.47</v>
      </c>
      <c r="S21" s="100">
        <v>0</v>
      </c>
      <c r="T21" s="100">
        <v>-40697.47</v>
      </c>
      <c r="U21" s="100">
        <v>0</v>
      </c>
      <c r="V21" s="100">
        <v>0</v>
      </c>
      <c r="W21" s="100">
        <v>0</v>
      </c>
      <c r="X21" s="100">
        <v>0</v>
      </c>
      <c r="Y21" s="100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50"/>
      <c r="BB21" s="56"/>
      <c r="BC21" s="56"/>
    </row>
    <row r="22" spans="1:55" ht="15" x14ac:dyDescent="0.25">
      <c r="A22" s="57" t="s">
        <v>818</v>
      </c>
      <c r="B22" s="50">
        <v>-189109</v>
      </c>
      <c r="C22" s="50">
        <v>0</v>
      </c>
      <c r="D22" s="50">
        <v>-15852</v>
      </c>
      <c r="E22" s="50">
        <v>-16754</v>
      </c>
      <c r="F22" s="50">
        <v>-15776</v>
      </c>
      <c r="G22" s="50">
        <v>-16663</v>
      </c>
      <c r="H22" s="50">
        <v>-15299</v>
      </c>
      <c r="I22" s="50">
        <v>-18506</v>
      </c>
      <c r="J22" s="50">
        <v>-17898</v>
      </c>
      <c r="K22" s="50">
        <v>-13592</v>
      </c>
      <c r="L22" s="50">
        <v>-14727</v>
      </c>
      <c r="M22" s="50">
        <v>-14952</v>
      </c>
      <c r="N22" s="50">
        <v>-14076</v>
      </c>
      <c r="O22" s="50">
        <v>-15013</v>
      </c>
      <c r="P22" s="51"/>
      <c r="Q22" s="99" t="s">
        <v>823</v>
      </c>
      <c r="R22" s="100">
        <v>-109518.86</v>
      </c>
      <c r="S22" s="100">
        <v>0</v>
      </c>
      <c r="T22" s="100">
        <v>-109518.86</v>
      </c>
      <c r="U22" s="100">
        <v>0</v>
      </c>
      <c r="V22" s="100">
        <v>0</v>
      </c>
      <c r="W22" s="100">
        <v>0</v>
      </c>
      <c r="X22" s="100">
        <v>0</v>
      </c>
      <c r="Y22" s="100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50"/>
      <c r="BA22" s="43" t="s">
        <v>856</v>
      </c>
      <c r="BB22" s="56"/>
      <c r="BC22" s="56"/>
    </row>
    <row r="23" spans="1:55" ht="15" x14ac:dyDescent="0.25">
      <c r="A23" s="57" t="s">
        <v>819</v>
      </c>
      <c r="B23" s="50">
        <v>-568472</v>
      </c>
      <c r="C23" s="50">
        <v>0</v>
      </c>
      <c r="D23" s="50">
        <v>-39284</v>
      </c>
      <c r="E23" s="50">
        <v>-46272</v>
      </c>
      <c r="F23" s="50">
        <v>-44652</v>
      </c>
      <c r="G23" s="50">
        <v>-49922</v>
      </c>
      <c r="H23" s="50">
        <v>-53927</v>
      </c>
      <c r="I23" s="50">
        <v>-54784</v>
      </c>
      <c r="J23" s="50">
        <v>-55721</v>
      </c>
      <c r="K23" s="50">
        <v>-43800</v>
      </c>
      <c r="L23" s="50">
        <v>-54782</v>
      </c>
      <c r="M23" s="50">
        <v>-44286</v>
      </c>
      <c r="N23" s="50">
        <v>-40942</v>
      </c>
      <c r="O23" s="50">
        <v>-40100</v>
      </c>
      <c r="P23" s="51"/>
      <c r="Q23" s="99" t="s">
        <v>824</v>
      </c>
      <c r="R23" s="100">
        <v>-29813.58</v>
      </c>
      <c r="S23" s="100">
        <v>0</v>
      </c>
      <c r="T23" s="100">
        <v>-29813.58</v>
      </c>
      <c r="U23" s="100">
        <v>0</v>
      </c>
      <c r="V23" s="100">
        <v>0</v>
      </c>
      <c r="W23" s="100">
        <v>0</v>
      </c>
      <c r="X23" s="100">
        <v>0</v>
      </c>
      <c r="Y23" s="100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50"/>
      <c r="BB23" s="56"/>
      <c r="BC23" s="56"/>
    </row>
    <row r="24" spans="1:55" ht="15" x14ac:dyDescent="0.25">
      <c r="A24" s="57" t="s">
        <v>26</v>
      </c>
      <c r="B24" s="50">
        <v>-530451</v>
      </c>
      <c r="C24" s="50">
        <v>0</v>
      </c>
      <c r="D24" s="50">
        <v>-44391</v>
      </c>
      <c r="E24" s="50">
        <v>-43314</v>
      </c>
      <c r="F24" s="50">
        <v>-51114</v>
      </c>
      <c r="G24" s="50">
        <v>-45622</v>
      </c>
      <c r="H24" s="50">
        <v>-45375</v>
      </c>
      <c r="I24" s="50">
        <v>-40715</v>
      </c>
      <c r="J24" s="50">
        <v>-41845</v>
      </c>
      <c r="K24" s="50">
        <v>-33964</v>
      </c>
      <c r="L24" s="50">
        <v>-51098</v>
      </c>
      <c r="M24" s="50">
        <v>-42647</v>
      </c>
      <c r="N24" s="50">
        <v>-46407</v>
      </c>
      <c r="O24" s="50">
        <v>-43958</v>
      </c>
      <c r="P24" s="51"/>
      <c r="Q24" s="99" t="s">
        <v>28</v>
      </c>
      <c r="R24" s="100">
        <v>-78165.61</v>
      </c>
      <c r="S24" s="100">
        <v>0</v>
      </c>
      <c r="T24" s="100">
        <v>-78165.61</v>
      </c>
      <c r="U24" s="100">
        <v>0</v>
      </c>
      <c r="V24" s="100">
        <v>0</v>
      </c>
      <c r="W24" s="100">
        <v>0</v>
      </c>
      <c r="X24" s="100">
        <v>0</v>
      </c>
      <c r="Y24" s="100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50"/>
      <c r="BB24" s="56"/>
      <c r="BC24" s="56"/>
    </row>
    <row r="25" spans="1:55" ht="15" x14ac:dyDescent="0.25">
      <c r="A25" s="57" t="s">
        <v>822</v>
      </c>
      <c r="B25" s="50">
        <v>-302364</v>
      </c>
      <c r="C25" s="50">
        <v>0</v>
      </c>
      <c r="D25" s="50">
        <v>-28446</v>
      </c>
      <c r="E25" s="50">
        <v>-35039</v>
      </c>
      <c r="F25" s="50">
        <v>-32584</v>
      </c>
      <c r="G25" s="50">
        <v>-43101</v>
      </c>
      <c r="H25" s="50">
        <v>-38787</v>
      </c>
      <c r="I25" s="50">
        <v>-38457</v>
      </c>
      <c r="J25" s="50">
        <v>-37459</v>
      </c>
      <c r="K25" s="50">
        <v>-28732</v>
      </c>
      <c r="L25" s="50">
        <v>-19759</v>
      </c>
      <c r="M25" s="50">
        <v>0</v>
      </c>
      <c r="N25" s="50">
        <v>0</v>
      </c>
      <c r="O25" s="50">
        <v>0</v>
      </c>
      <c r="P25" s="51"/>
      <c r="Q25" s="99" t="s">
        <v>825</v>
      </c>
      <c r="R25" s="100">
        <v>-223673.89</v>
      </c>
      <c r="S25" s="100">
        <v>0</v>
      </c>
      <c r="T25" s="100">
        <v>-223673.89</v>
      </c>
      <c r="U25" s="100">
        <v>0</v>
      </c>
      <c r="V25" s="100">
        <v>0</v>
      </c>
      <c r="W25" s="100">
        <v>0</v>
      </c>
      <c r="X25" s="100">
        <v>0</v>
      </c>
      <c r="Y25" s="100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50"/>
      <c r="BB25" s="56"/>
      <c r="BC25" s="56"/>
    </row>
    <row r="26" spans="1:55" ht="15" x14ac:dyDescent="0.25">
      <c r="A26" s="57" t="s">
        <v>820</v>
      </c>
      <c r="B26" s="50">
        <v>-3715728</v>
      </c>
      <c r="C26" s="50">
        <v>0</v>
      </c>
      <c r="D26" s="50">
        <v>-296909</v>
      </c>
      <c r="E26" s="50">
        <v>-306501</v>
      </c>
      <c r="F26" s="50">
        <v>-262719</v>
      </c>
      <c r="G26" s="50">
        <v>-317290</v>
      </c>
      <c r="H26" s="50">
        <v>-305198</v>
      </c>
      <c r="I26" s="50">
        <v>-349165</v>
      </c>
      <c r="J26" s="50">
        <v>-384156</v>
      </c>
      <c r="K26" s="50">
        <v>-306423</v>
      </c>
      <c r="L26" s="50">
        <v>-314370</v>
      </c>
      <c r="M26" s="50">
        <v>-317775</v>
      </c>
      <c r="N26" s="50">
        <v>-274271</v>
      </c>
      <c r="O26" s="50">
        <v>-280950</v>
      </c>
      <c r="P26" s="51"/>
      <c r="Q26" s="99" t="s">
        <v>826</v>
      </c>
      <c r="R26" s="100">
        <v>-207286.37</v>
      </c>
      <c r="S26" s="100">
        <v>0</v>
      </c>
      <c r="T26" s="100">
        <v>-207286.37</v>
      </c>
      <c r="U26" s="100">
        <v>0</v>
      </c>
      <c r="V26" s="100">
        <v>0</v>
      </c>
      <c r="W26" s="100">
        <v>0</v>
      </c>
      <c r="X26" s="100">
        <v>0</v>
      </c>
      <c r="Y26" s="100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50"/>
      <c r="BB26" s="56"/>
      <c r="BC26" s="56"/>
    </row>
    <row r="27" spans="1:55" ht="15" x14ac:dyDescent="0.25">
      <c r="A27" s="57" t="s">
        <v>821</v>
      </c>
      <c r="B27" s="50">
        <v>-472231</v>
      </c>
      <c r="C27" s="50">
        <v>0</v>
      </c>
      <c r="D27" s="50">
        <v>-31754</v>
      </c>
      <c r="E27" s="50">
        <v>-36855</v>
      </c>
      <c r="F27" s="50">
        <v>-34168</v>
      </c>
      <c r="G27" s="50">
        <v>-43769</v>
      </c>
      <c r="H27" s="50">
        <v>-44985</v>
      </c>
      <c r="I27" s="50">
        <v>-41040</v>
      </c>
      <c r="J27" s="50">
        <v>-35159</v>
      </c>
      <c r="K27" s="50">
        <v>-39849</v>
      </c>
      <c r="L27" s="50">
        <v>-45201</v>
      </c>
      <c r="M27" s="50">
        <v>-45214</v>
      </c>
      <c r="N27" s="50">
        <v>-38451</v>
      </c>
      <c r="O27" s="50">
        <v>-35786</v>
      </c>
      <c r="P27" s="51"/>
      <c r="Q27" s="99" t="s">
        <v>29</v>
      </c>
      <c r="R27" s="100">
        <v>-301486.59999999998</v>
      </c>
      <c r="S27" s="100">
        <v>0</v>
      </c>
      <c r="T27" s="100">
        <v>-301486.59999999998</v>
      </c>
      <c r="U27" s="100">
        <v>0</v>
      </c>
      <c r="V27" s="100">
        <v>0</v>
      </c>
      <c r="W27" s="100">
        <v>0</v>
      </c>
      <c r="X27" s="100">
        <v>0</v>
      </c>
      <c r="Y27" s="100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50"/>
      <c r="BB27" s="56"/>
      <c r="BC27" s="56"/>
    </row>
    <row r="28" spans="1:55" ht="15" x14ac:dyDescent="0.25">
      <c r="A28" s="57" t="s">
        <v>27</v>
      </c>
      <c r="B28" s="50">
        <v>-638043</v>
      </c>
      <c r="C28" s="50">
        <v>0</v>
      </c>
      <c r="D28" s="50">
        <v>-60568</v>
      </c>
      <c r="E28" s="50">
        <v>-54651</v>
      </c>
      <c r="F28" s="50">
        <v>-44915</v>
      </c>
      <c r="G28" s="50">
        <v>-52773</v>
      </c>
      <c r="H28" s="50">
        <v>-51718</v>
      </c>
      <c r="I28" s="50">
        <v>-54825</v>
      </c>
      <c r="J28" s="50">
        <v>-58703</v>
      </c>
      <c r="K28" s="50">
        <v>-45951</v>
      </c>
      <c r="L28" s="50">
        <v>-57562</v>
      </c>
      <c r="M28" s="50">
        <v>-51427</v>
      </c>
      <c r="N28" s="50">
        <v>-51847</v>
      </c>
      <c r="O28" s="50">
        <v>-53103</v>
      </c>
      <c r="P28" s="51"/>
      <c r="Q28" s="99" t="s">
        <v>827</v>
      </c>
      <c r="R28" s="100">
        <v>-424228.14</v>
      </c>
      <c r="S28" s="100">
        <v>0</v>
      </c>
      <c r="T28" s="100">
        <v>-424228.14</v>
      </c>
      <c r="U28" s="100">
        <v>0</v>
      </c>
      <c r="V28" s="100">
        <v>0</v>
      </c>
      <c r="W28" s="100">
        <v>0</v>
      </c>
      <c r="X28" s="100">
        <v>0</v>
      </c>
      <c r="Y28" s="100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50"/>
      <c r="BB28" s="56"/>
      <c r="BC28" s="56"/>
    </row>
    <row r="29" spans="1:55" ht="15" x14ac:dyDescent="0.25">
      <c r="A29" s="57" t="s">
        <v>823</v>
      </c>
      <c r="B29" s="50">
        <v>-1356849</v>
      </c>
      <c r="C29" s="50">
        <v>0</v>
      </c>
      <c r="D29" s="50">
        <v>-123870</v>
      </c>
      <c r="E29" s="50">
        <v>-113865</v>
      </c>
      <c r="F29" s="50">
        <v>-117761</v>
      </c>
      <c r="G29" s="50">
        <v>-125599</v>
      </c>
      <c r="H29" s="50">
        <v>-109270</v>
      </c>
      <c r="I29" s="50">
        <v>-134712</v>
      </c>
      <c r="J29" s="50">
        <v>-117314</v>
      </c>
      <c r="K29" s="50">
        <v>-106873</v>
      </c>
      <c r="L29" s="50">
        <v>-106053</v>
      </c>
      <c r="M29" s="50">
        <v>-107762</v>
      </c>
      <c r="N29" s="50">
        <v>-96132</v>
      </c>
      <c r="O29" s="50">
        <v>-97636</v>
      </c>
      <c r="P29" s="51"/>
      <c r="Q29" s="99" t="s">
        <v>30</v>
      </c>
      <c r="R29" s="100">
        <v>-152793.07999999999</v>
      </c>
      <c r="S29" s="100">
        <v>0</v>
      </c>
      <c r="T29" s="100">
        <v>-152793.07999999999</v>
      </c>
      <c r="U29" s="100">
        <v>0</v>
      </c>
      <c r="V29" s="100">
        <v>0</v>
      </c>
      <c r="W29" s="100">
        <v>0</v>
      </c>
      <c r="X29" s="100">
        <v>0</v>
      </c>
      <c r="Y29" s="100">
        <v>0</v>
      </c>
      <c r="Z29" s="100">
        <v>0</v>
      </c>
      <c r="AA29" s="100">
        <v>0</v>
      </c>
      <c r="AB29" s="100">
        <v>0</v>
      </c>
      <c r="AC29" s="100">
        <v>0</v>
      </c>
      <c r="AD29" s="100">
        <v>0</v>
      </c>
      <c r="AE29" s="100">
        <v>0</v>
      </c>
      <c r="AF29" s="50"/>
      <c r="BB29" s="56"/>
      <c r="BC29" s="56"/>
    </row>
    <row r="30" spans="1:55" ht="15" x14ac:dyDescent="0.25">
      <c r="A30" s="57" t="s">
        <v>824</v>
      </c>
      <c r="B30" s="50">
        <v>-316418</v>
      </c>
      <c r="C30" s="50">
        <v>0</v>
      </c>
      <c r="D30" s="50">
        <v>-24020</v>
      </c>
      <c r="E30" s="50">
        <v>-24630</v>
      </c>
      <c r="F30" s="50">
        <v>-25811</v>
      </c>
      <c r="G30" s="50">
        <v>-28884</v>
      </c>
      <c r="H30" s="50">
        <v>-28872</v>
      </c>
      <c r="I30" s="50">
        <v>-28543</v>
      </c>
      <c r="J30" s="50">
        <v>-28137</v>
      </c>
      <c r="K30" s="50">
        <v>-22359</v>
      </c>
      <c r="L30" s="50">
        <v>-25156</v>
      </c>
      <c r="M30" s="50">
        <v>-28849</v>
      </c>
      <c r="N30" s="50">
        <v>-24955</v>
      </c>
      <c r="O30" s="50">
        <v>-26203</v>
      </c>
      <c r="P30" s="51"/>
      <c r="Q30" s="99" t="s">
        <v>829</v>
      </c>
      <c r="R30" s="100">
        <v>-190536.57</v>
      </c>
      <c r="S30" s="100">
        <v>0</v>
      </c>
      <c r="T30" s="100">
        <v>-190536.57</v>
      </c>
      <c r="U30" s="100">
        <v>0</v>
      </c>
      <c r="V30" s="100">
        <v>0</v>
      </c>
      <c r="W30" s="100">
        <v>0</v>
      </c>
      <c r="X30" s="100">
        <v>0</v>
      </c>
      <c r="Y30" s="100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50"/>
      <c r="BB30" s="56"/>
      <c r="BC30" s="56"/>
    </row>
    <row r="31" spans="1:55" ht="15" x14ac:dyDescent="0.25">
      <c r="A31" s="57" t="s">
        <v>28</v>
      </c>
      <c r="B31" s="50">
        <v>-848483</v>
      </c>
      <c r="C31" s="50">
        <v>0</v>
      </c>
      <c r="D31" s="50">
        <v>-65724</v>
      </c>
      <c r="E31" s="50">
        <v>-66303</v>
      </c>
      <c r="F31" s="50">
        <v>-78314</v>
      </c>
      <c r="G31" s="50">
        <v>-64526</v>
      </c>
      <c r="H31" s="50">
        <v>-69551</v>
      </c>
      <c r="I31" s="50">
        <v>-85910</v>
      </c>
      <c r="J31" s="50">
        <v>-66990</v>
      </c>
      <c r="K31" s="50">
        <v>-57566</v>
      </c>
      <c r="L31" s="50">
        <v>-63828</v>
      </c>
      <c r="M31" s="50">
        <v>-76274</v>
      </c>
      <c r="N31" s="50">
        <v>-72629</v>
      </c>
      <c r="O31" s="50">
        <v>-80868</v>
      </c>
      <c r="P31" s="51"/>
      <c r="Q31" s="99" t="s">
        <v>830</v>
      </c>
      <c r="R31" s="100">
        <v>-151677.87</v>
      </c>
      <c r="S31" s="100">
        <v>0</v>
      </c>
      <c r="T31" s="100">
        <v>-151677.87</v>
      </c>
      <c r="U31" s="100">
        <v>0</v>
      </c>
      <c r="V31" s="100">
        <v>0</v>
      </c>
      <c r="W31" s="100">
        <v>0</v>
      </c>
      <c r="X31" s="100">
        <v>0</v>
      </c>
      <c r="Y31" s="100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50"/>
      <c r="BB31" s="56"/>
      <c r="BC31" s="56"/>
    </row>
    <row r="32" spans="1:55" ht="15" x14ac:dyDescent="0.25">
      <c r="A32" s="57" t="s">
        <v>825</v>
      </c>
      <c r="B32" s="50">
        <v>-2042791</v>
      </c>
      <c r="C32" s="50">
        <v>0</v>
      </c>
      <c r="D32" s="50">
        <v>-166959</v>
      </c>
      <c r="E32" s="50">
        <v>-149560</v>
      </c>
      <c r="F32" s="50">
        <v>-179593</v>
      </c>
      <c r="G32" s="50">
        <v>-191159</v>
      </c>
      <c r="H32" s="50">
        <v>-184590</v>
      </c>
      <c r="I32" s="50">
        <v>-191939</v>
      </c>
      <c r="J32" s="50">
        <v>-198968</v>
      </c>
      <c r="K32" s="50">
        <v>-141325</v>
      </c>
      <c r="L32" s="50">
        <v>-166774</v>
      </c>
      <c r="M32" s="50">
        <v>-192989</v>
      </c>
      <c r="N32" s="50">
        <v>-144221</v>
      </c>
      <c r="O32" s="50">
        <v>-134713</v>
      </c>
      <c r="P32" s="51"/>
      <c r="Q32" s="99" t="s">
        <v>31</v>
      </c>
      <c r="R32" s="100">
        <v>-170218.92</v>
      </c>
      <c r="S32" s="100">
        <v>0</v>
      </c>
      <c r="T32" s="100">
        <v>-170218.92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50"/>
      <c r="AG32" s="64" t="s">
        <v>825</v>
      </c>
      <c r="AH32" s="64">
        <v>41003005</v>
      </c>
      <c r="AI32" s="38">
        <f t="shared" ref="AI32" si="34">-(VLOOKUP($AG32,$A:$O,11,0))*$AH$2</f>
        <v>706.625</v>
      </c>
      <c r="AJ32" s="38">
        <f t="shared" ref="AJ32" si="35">-(VLOOKUP($AG32,$A:$O,12,0))*$AH$2</f>
        <v>833.87</v>
      </c>
      <c r="AK32" s="38">
        <f t="shared" ref="AK32" si="36">-(VLOOKUP($AG32,$A:$O,13,0))*$AH$2</f>
        <v>964.94500000000005</v>
      </c>
      <c r="AL32" s="38">
        <f t="shared" ref="AL32" si="37">-(VLOOKUP($AG32,$A:$O,14,0))*$AH$2</f>
        <v>721.10500000000002</v>
      </c>
      <c r="AM32" s="38">
        <f t="shared" ref="AM32" si="38">-(VLOOKUP($AG32,$A:$O,15,0))*$AH$2</f>
        <v>673.56500000000005</v>
      </c>
      <c r="AN32" s="54">
        <f>-(VLOOKUP(AG32,Q:AE,4,0))*$AH$2</f>
        <v>1118.3694500000001</v>
      </c>
      <c r="AO32" s="54">
        <f t="shared" ref="AO32" si="39">(-IFERROR(VLOOKUP($AG32,$Q:$AE,5,0),0))*$AH$2</f>
        <v>0</v>
      </c>
      <c r="AP32" s="54">
        <f>(-IFERROR(VLOOKUP($AG32,$Q:$AE,6,0),0))*$AH$2</f>
        <v>0</v>
      </c>
      <c r="AQ32" s="54">
        <f>(-IFERROR(VLOOKUP($AG32,$Q:$AE,7,0),0))*$AH$2</f>
        <v>0</v>
      </c>
      <c r="AR32" s="54">
        <f>(-IFERROR(VLOOKUP($AG32,$Q:$AE,8,0),0))*$AH$2</f>
        <v>0</v>
      </c>
      <c r="AS32" s="54">
        <f>(-IFERROR(VLOOKUP($AG32,$Q:$AE,9,0),0))*$AH$2</f>
        <v>0</v>
      </c>
      <c r="AT32" s="54">
        <f t="shared" ref="AT32" si="40">(-IFERROR(VLOOKUP($AG32,$Q:$AE,10,0),0))*$AH$2</f>
        <v>0</v>
      </c>
      <c r="AU32" s="54">
        <f t="shared" ref="AU32" si="41">(-IFERROR(VLOOKUP($AG32,$Q:$AE,11,0),0))*$AH$2</f>
        <v>0</v>
      </c>
      <c r="AV32" s="54">
        <f t="shared" ref="AV32" si="42">(-IFERROR(VLOOKUP($AG32,$Q:$AE,12,0),0))*$AH$2</f>
        <v>0</v>
      </c>
      <c r="AW32" s="54">
        <f>(-IFERROR(VLOOKUP($AG32,$Q:$AE,13,0),0))*$AH$2</f>
        <v>0</v>
      </c>
      <c r="AX32" s="54">
        <f>(-IFERROR(VLOOKUP($AG32,$Q:$AE,14,0),0))*$AH$2</f>
        <v>0</v>
      </c>
      <c r="AY32" s="54">
        <f>(-IFERROR(VLOOKUP($AG32,$Q:$AE,15,0),0))*$AH$2</f>
        <v>0</v>
      </c>
      <c r="AZ32" s="55">
        <f>AY32</f>
        <v>0</v>
      </c>
      <c r="BA32" s="56"/>
      <c r="BB32" s="56"/>
      <c r="BC32" s="56"/>
    </row>
    <row r="33" spans="1:52" ht="15" x14ac:dyDescent="0.25">
      <c r="A33" s="57" t="s">
        <v>826</v>
      </c>
      <c r="B33" s="50">
        <v>-2104566</v>
      </c>
      <c r="C33" s="50">
        <v>0</v>
      </c>
      <c r="D33" s="50">
        <v>-177028</v>
      </c>
      <c r="E33" s="50">
        <v>-186654</v>
      </c>
      <c r="F33" s="50">
        <v>-184653</v>
      </c>
      <c r="G33" s="50">
        <v>-173696</v>
      </c>
      <c r="H33" s="50">
        <v>-161756</v>
      </c>
      <c r="I33" s="50">
        <v>-195190</v>
      </c>
      <c r="J33" s="50">
        <v>-183373</v>
      </c>
      <c r="K33" s="50">
        <v>-143418</v>
      </c>
      <c r="L33" s="50">
        <v>-171746</v>
      </c>
      <c r="M33" s="50">
        <v>-187079</v>
      </c>
      <c r="N33" s="50">
        <v>-159647</v>
      </c>
      <c r="O33" s="50">
        <v>-180327</v>
      </c>
      <c r="P33" s="51"/>
      <c r="Q33" s="99" t="s">
        <v>831</v>
      </c>
      <c r="R33" s="100">
        <v>-185065.72</v>
      </c>
      <c r="S33" s="100">
        <v>0</v>
      </c>
      <c r="T33" s="100">
        <v>-185065.72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50"/>
    </row>
    <row r="34" spans="1:52" ht="15" x14ac:dyDescent="0.25">
      <c r="A34" s="57" t="s">
        <v>29</v>
      </c>
      <c r="B34" s="50">
        <v>-3130457</v>
      </c>
      <c r="C34" s="50">
        <v>0</v>
      </c>
      <c r="D34" s="50">
        <v>-269458</v>
      </c>
      <c r="E34" s="50">
        <v>-252293</v>
      </c>
      <c r="F34" s="50">
        <v>-283493</v>
      </c>
      <c r="G34" s="50">
        <v>-279254</v>
      </c>
      <c r="H34" s="50">
        <v>-257923</v>
      </c>
      <c r="I34" s="50">
        <v>-293463</v>
      </c>
      <c r="J34" s="50">
        <v>-260808</v>
      </c>
      <c r="K34" s="50">
        <v>-216113</v>
      </c>
      <c r="L34" s="50">
        <v>-262378</v>
      </c>
      <c r="M34" s="50">
        <v>-267410</v>
      </c>
      <c r="N34" s="50">
        <v>-245190</v>
      </c>
      <c r="O34" s="50">
        <v>-242675</v>
      </c>
      <c r="P34" s="51"/>
      <c r="Q34" s="99" t="s">
        <v>832</v>
      </c>
      <c r="R34" s="100">
        <v>-72521.52</v>
      </c>
      <c r="S34" s="100">
        <v>0</v>
      </c>
      <c r="T34" s="100">
        <v>-72521.52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50"/>
    </row>
    <row r="35" spans="1:52" ht="15" x14ac:dyDescent="0.25">
      <c r="A35" s="57" t="s">
        <v>827</v>
      </c>
      <c r="B35" s="50">
        <v>-4521868</v>
      </c>
      <c r="C35" s="50">
        <v>0</v>
      </c>
      <c r="D35" s="50">
        <v>-382184</v>
      </c>
      <c r="E35" s="50">
        <v>-368989</v>
      </c>
      <c r="F35" s="50">
        <v>-388689</v>
      </c>
      <c r="G35" s="50">
        <v>-394532</v>
      </c>
      <c r="H35" s="50">
        <v>-394297</v>
      </c>
      <c r="I35" s="50">
        <v>-404228</v>
      </c>
      <c r="J35" s="50">
        <v>-339382</v>
      </c>
      <c r="K35" s="50">
        <v>-329920</v>
      </c>
      <c r="L35" s="50">
        <v>-398202</v>
      </c>
      <c r="M35" s="50">
        <v>-379529</v>
      </c>
      <c r="N35" s="50">
        <v>-371110</v>
      </c>
      <c r="O35" s="50">
        <v>-370806</v>
      </c>
      <c r="P35" s="51"/>
      <c r="Q35" s="99" t="s">
        <v>32</v>
      </c>
      <c r="R35" s="100">
        <v>-696266.54</v>
      </c>
      <c r="S35" s="100">
        <v>0</v>
      </c>
      <c r="T35" s="100">
        <v>-696266.54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50"/>
    </row>
    <row r="36" spans="1:52" ht="15" x14ac:dyDescent="0.25">
      <c r="A36" s="57" t="s">
        <v>828</v>
      </c>
      <c r="B36" s="50">
        <v>-181521</v>
      </c>
      <c r="C36" s="50">
        <v>0</v>
      </c>
      <c r="D36" s="50">
        <v>0</v>
      </c>
      <c r="E36" s="50">
        <v>0</v>
      </c>
      <c r="F36" s="50">
        <v>0</v>
      </c>
      <c r="G36" s="50">
        <v>-746</v>
      </c>
      <c r="H36" s="50">
        <v>-24926</v>
      </c>
      <c r="I36" s="50">
        <v>-23581</v>
      </c>
      <c r="J36" s="50">
        <v>-20301</v>
      </c>
      <c r="K36" s="50">
        <v>-21248</v>
      </c>
      <c r="L36" s="50">
        <v>-25112</v>
      </c>
      <c r="M36" s="50">
        <v>-22661</v>
      </c>
      <c r="N36" s="50">
        <v>-21743</v>
      </c>
      <c r="O36" s="50">
        <v>-21202</v>
      </c>
      <c r="P36" s="51"/>
      <c r="Q36" s="99" t="s">
        <v>833</v>
      </c>
      <c r="R36" s="100">
        <v>-352086.27</v>
      </c>
      <c r="S36" s="100">
        <v>0</v>
      </c>
      <c r="T36" s="100">
        <v>-352086.27</v>
      </c>
      <c r="U36" s="100">
        <v>0</v>
      </c>
      <c r="V36" s="100">
        <v>0</v>
      </c>
      <c r="W36" s="100">
        <v>0</v>
      </c>
      <c r="X36" s="100">
        <v>0</v>
      </c>
      <c r="Y36" s="100">
        <v>0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50"/>
    </row>
    <row r="37" spans="1:52" ht="15" x14ac:dyDescent="0.25">
      <c r="A37" s="57" t="s">
        <v>30</v>
      </c>
      <c r="B37" s="50">
        <v>-1698681</v>
      </c>
      <c r="C37" s="50">
        <v>0</v>
      </c>
      <c r="D37" s="50">
        <v>-155078</v>
      </c>
      <c r="E37" s="50">
        <v>-139868</v>
      </c>
      <c r="F37" s="50">
        <v>-151935</v>
      </c>
      <c r="G37" s="50">
        <v>-160587</v>
      </c>
      <c r="H37" s="50">
        <v>-152833</v>
      </c>
      <c r="I37" s="50">
        <v>-151591</v>
      </c>
      <c r="J37" s="50">
        <v>-127805</v>
      </c>
      <c r="K37" s="50">
        <v>-117484</v>
      </c>
      <c r="L37" s="50">
        <v>-144562</v>
      </c>
      <c r="M37" s="50">
        <v>-127030</v>
      </c>
      <c r="N37" s="50">
        <v>-132865</v>
      </c>
      <c r="O37" s="50">
        <v>-137041</v>
      </c>
      <c r="P37" s="51"/>
      <c r="Q37" s="99" t="s">
        <v>834</v>
      </c>
      <c r="R37" s="100">
        <v>-84401.11</v>
      </c>
      <c r="S37" s="100">
        <v>0</v>
      </c>
      <c r="T37" s="100">
        <v>-84401.11</v>
      </c>
      <c r="U37" s="100">
        <v>0</v>
      </c>
      <c r="V37" s="100">
        <v>0</v>
      </c>
      <c r="W37" s="100">
        <v>0</v>
      </c>
      <c r="X37" s="100">
        <v>0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50"/>
    </row>
    <row r="38" spans="1:52" ht="15" x14ac:dyDescent="0.25">
      <c r="A38" s="57" t="s">
        <v>829</v>
      </c>
      <c r="B38" s="50">
        <v>-2227923</v>
      </c>
      <c r="C38" s="50">
        <v>0</v>
      </c>
      <c r="D38" s="50">
        <v>-186902</v>
      </c>
      <c r="E38" s="50">
        <v>-195005</v>
      </c>
      <c r="F38" s="50">
        <v>-192669</v>
      </c>
      <c r="G38" s="50">
        <v>-190009</v>
      </c>
      <c r="H38" s="50">
        <v>-176575</v>
      </c>
      <c r="I38" s="50">
        <v>-224037</v>
      </c>
      <c r="J38" s="50">
        <v>-195931</v>
      </c>
      <c r="K38" s="50">
        <v>-149551</v>
      </c>
      <c r="L38" s="50">
        <v>-176702</v>
      </c>
      <c r="M38" s="50">
        <v>-184940</v>
      </c>
      <c r="N38" s="50">
        <v>-172324</v>
      </c>
      <c r="O38" s="50">
        <v>-183277</v>
      </c>
      <c r="P38" s="51"/>
      <c r="Q38" s="99" t="s">
        <v>33</v>
      </c>
      <c r="R38" s="100">
        <v>-48190.65</v>
      </c>
      <c r="S38" s="100">
        <v>0</v>
      </c>
      <c r="T38" s="100">
        <v>-48190.65</v>
      </c>
      <c r="U38" s="100">
        <v>0</v>
      </c>
      <c r="V38" s="100">
        <v>0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50"/>
    </row>
    <row r="39" spans="1:52" ht="15" x14ac:dyDescent="0.25">
      <c r="A39" s="57" t="s">
        <v>830</v>
      </c>
      <c r="B39" s="50">
        <v>-1478991</v>
      </c>
      <c r="C39" s="50">
        <v>0</v>
      </c>
      <c r="D39" s="50">
        <v>-112684</v>
      </c>
      <c r="E39" s="50">
        <v>-135411</v>
      </c>
      <c r="F39" s="50">
        <v>-133816</v>
      </c>
      <c r="G39" s="50">
        <v>-140814</v>
      </c>
      <c r="H39" s="50">
        <v>-127378</v>
      </c>
      <c r="I39" s="50">
        <v>-136289</v>
      </c>
      <c r="J39" s="50">
        <v>-131673</v>
      </c>
      <c r="K39" s="50">
        <v>-119325</v>
      </c>
      <c r="L39" s="50">
        <v>-122389</v>
      </c>
      <c r="M39" s="50">
        <v>-121993</v>
      </c>
      <c r="N39" s="50">
        <v>-96732</v>
      </c>
      <c r="O39" s="50">
        <v>-100486</v>
      </c>
      <c r="P39" s="51"/>
      <c r="Q39" s="99" t="s">
        <v>835</v>
      </c>
      <c r="R39" s="100">
        <v>-134125.78</v>
      </c>
      <c r="S39" s="100">
        <v>0</v>
      </c>
      <c r="T39" s="100">
        <v>-134125.78</v>
      </c>
      <c r="U39" s="100">
        <v>0</v>
      </c>
      <c r="V39" s="100">
        <v>0</v>
      </c>
      <c r="W39" s="100">
        <v>0</v>
      </c>
      <c r="X39" s="100">
        <v>0</v>
      </c>
      <c r="Y39" s="100">
        <v>0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50"/>
    </row>
    <row r="40" spans="1:52" ht="15" x14ac:dyDescent="0.25">
      <c r="A40" s="57" t="s">
        <v>31</v>
      </c>
      <c r="B40" s="50">
        <v>-1584366</v>
      </c>
      <c r="C40" s="50">
        <v>0</v>
      </c>
      <c r="D40" s="50">
        <v>-145524</v>
      </c>
      <c r="E40" s="50">
        <v>-122949</v>
      </c>
      <c r="F40" s="50">
        <v>-144205</v>
      </c>
      <c r="G40" s="50">
        <v>-138831</v>
      </c>
      <c r="H40" s="50">
        <v>-129611</v>
      </c>
      <c r="I40" s="50">
        <v>-148076</v>
      </c>
      <c r="J40" s="50">
        <v>-136842</v>
      </c>
      <c r="K40" s="50">
        <v>-111494</v>
      </c>
      <c r="L40" s="50">
        <v>-131325</v>
      </c>
      <c r="M40" s="50">
        <v>-132271</v>
      </c>
      <c r="N40" s="50">
        <v>-112170</v>
      </c>
      <c r="O40" s="50">
        <v>-131067</v>
      </c>
      <c r="P40" s="51"/>
      <c r="Q40" s="99" t="s">
        <v>836</v>
      </c>
      <c r="R40" s="100">
        <v>-218171.73</v>
      </c>
      <c r="S40" s="100">
        <v>0</v>
      </c>
      <c r="T40" s="100">
        <v>-218171.73</v>
      </c>
      <c r="U40" s="100">
        <v>0</v>
      </c>
      <c r="V40" s="100">
        <v>0</v>
      </c>
      <c r="W40" s="100">
        <v>0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50"/>
    </row>
    <row r="41" spans="1:52" ht="15" x14ac:dyDescent="0.25">
      <c r="A41" s="57" t="s">
        <v>831</v>
      </c>
      <c r="B41" s="50">
        <v>-2246890</v>
      </c>
      <c r="C41" s="50">
        <v>0</v>
      </c>
      <c r="D41" s="50">
        <v>-148666</v>
      </c>
      <c r="E41" s="50">
        <v>-183307</v>
      </c>
      <c r="F41" s="50">
        <v>-157741</v>
      </c>
      <c r="G41" s="50">
        <v>-212385</v>
      </c>
      <c r="H41" s="50">
        <v>-231859</v>
      </c>
      <c r="I41" s="50">
        <v>-236754</v>
      </c>
      <c r="J41" s="50">
        <v>-227469</v>
      </c>
      <c r="K41" s="50">
        <v>-212697</v>
      </c>
      <c r="L41" s="50">
        <v>-163061</v>
      </c>
      <c r="M41" s="50">
        <v>-163462</v>
      </c>
      <c r="N41" s="50">
        <v>-178432</v>
      </c>
      <c r="O41" s="50">
        <v>-131056</v>
      </c>
      <c r="P41" s="51"/>
      <c r="Q41" s="99" t="s">
        <v>860</v>
      </c>
      <c r="R41" s="100">
        <v>-6583.38</v>
      </c>
      <c r="S41" s="100">
        <v>0</v>
      </c>
      <c r="T41" s="100">
        <v>-6583.38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50"/>
    </row>
    <row r="42" spans="1:52" ht="15" x14ac:dyDescent="0.25">
      <c r="A42" s="57" t="s">
        <v>832</v>
      </c>
      <c r="B42" s="50">
        <v>-702512</v>
      </c>
      <c r="C42" s="50">
        <v>0</v>
      </c>
      <c r="D42" s="50">
        <v>-62210</v>
      </c>
      <c r="E42" s="50">
        <v>-63682</v>
      </c>
      <c r="F42" s="50">
        <v>-56016</v>
      </c>
      <c r="G42" s="50">
        <v>-58855</v>
      </c>
      <c r="H42" s="50">
        <v>-57835</v>
      </c>
      <c r="I42" s="50">
        <v>-57903</v>
      </c>
      <c r="J42" s="50">
        <v>-63815</v>
      </c>
      <c r="K42" s="50">
        <v>-54462</v>
      </c>
      <c r="L42" s="50">
        <v>-60778</v>
      </c>
      <c r="M42" s="50">
        <v>-65310</v>
      </c>
      <c r="N42" s="50">
        <v>-53339</v>
      </c>
      <c r="O42" s="50">
        <v>-48307</v>
      </c>
      <c r="P42" s="51"/>
      <c r="Q42" s="99" t="s">
        <v>34</v>
      </c>
      <c r="R42" s="100">
        <v>-164968.35999999999</v>
      </c>
      <c r="S42" s="100">
        <v>0</v>
      </c>
      <c r="T42" s="100">
        <v>-164968.35999999999</v>
      </c>
      <c r="U42" s="100">
        <v>0</v>
      </c>
      <c r="V42" s="100">
        <v>0</v>
      </c>
      <c r="W42" s="100">
        <v>0</v>
      </c>
      <c r="X42" s="100">
        <v>0</v>
      </c>
      <c r="Y42" s="100">
        <v>0</v>
      </c>
      <c r="Z42" s="100">
        <v>0</v>
      </c>
      <c r="AA42" s="100">
        <v>0</v>
      </c>
      <c r="AB42" s="100">
        <v>0</v>
      </c>
      <c r="AC42" s="100">
        <v>0</v>
      </c>
      <c r="AD42" s="100">
        <v>0</v>
      </c>
      <c r="AE42" s="100">
        <v>0</v>
      </c>
      <c r="AF42" s="50"/>
    </row>
    <row r="43" spans="1:52" ht="15" x14ac:dyDescent="0.25">
      <c r="A43" s="57" t="s">
        <v>32</v>
      </c>
      <c r="B43" s="50">
        <v>-7658982</v>
      </c>
      <c r="C43" s="50">
        <v>0</v>
      </c>
      <c r="D43" s="50">
        <v>-647210</v>
      </c>
      <c r="E43" s="50">
        <v>-691951</v>
      </c>
      <c r="F43" s="50">
        <v>-670513</v>
      </c>
      <c r="G43" s="50">
        <v>-656862</v>
      </c>
      <c r="H43" s="50">
        <v>-620506</v>
      </c>
      <c r="I43" s="50">
        <v>-746026</v>
      </c>
      <c r="J43" s="50">
        <v>-630880</v>
      </c>
      <c r="K43" s="50">
        <v>-498606</v>
      </c>
      <c r="L43" s="50">
        <v>-589395</v>
      </c>
      <c r="M43" s="50">
        <v>-659082</v>
      </c>
      <c r="N43" s="50">
        <v>-597386</v>
      </c>
      <c r="O43" s="50">
        <v>-650565</v>
      </c>
      <c r="P43" s="51"/>
      <c r="Q43" s="99" t="s">
        <v>837</v>
      </c>
      <c r="R43" s="100">
        <v>-69340.820000000007</v>
      </c>
      <c r="S43" s="100">
        <v>0</v>
      </c>
      <c r="T43" s="100">
        <v>-69340.820000000007</v>
      </c>
      <c r="U43" s="100">
        <v>0</v>
      </c>
      <c r="V43" s="100">
        <v>0</v>
      </c>
      <c r="W43" s="100">
        <v>0</v>
      </c>
      <c r="X43" s="100">
        <v>0</v>
      </c>
      <c r="Y43" s="100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50"/>
    </row>
    <row r="44" spans="1:52" ht="15" x14ac:dyDescent="0.25">
      <c r="A44" s="57" t="s">
        <v>833</v>
      </c>
      <c r="B44" s="50">
        <v>-3655484</v>
      </c>
      <c r="C44" s="50">
        <v>0</v>
      </c>
      <c r="D44" s="50">
        <v>-321345</v>
      </c>
      <c r="E44" s="50">
        <v>-334733</v>
      </c>
      <c r="F44" s="50">
        <v>-271242</v>
      </c>
      <c r="G44" s="50">
        <v>-316768</v>
      </c>
      <c r="H44" s="50">
        <v>-307808</v>
      </c>
      <c r="I44" s="50">
        <v>-310432</v>
      </c>
      <c r="J44" s="50">
        <v>-344371</v>
      </c>
      <c r="K44" s="50">
        <v>-283087</v>
      </c>
      <c r="L44" s="50">
        <v>-309129</v>
      </c>
      <c r="M44" s="50">
        <v>-307637</v>
      </c>
      <c r="N44" s="50">
        <v>-282660</v>
      </c>
      <c r="O44" s="50">
        <v>-266272</v>
      </c>
      <c r="P44" s="51"/>
      <c r="Q44" s="99" t="s">
        <v>838</v>
      </c>
      <c r="R44" s="100">
        <v>-223114.91</v>
      </c>
      <c r="S44" s="100">
        <v>0</v>
      </c>
      <c r="T44" s="100">
        <v>-223114.91</v>
      </c>
      <c r="U44" s="100">
        <v>0</v>
      </c>
      <c r="V44" s="100">
        <v>0</v>
      </c>
      <c r="W44" s="100">
        <v>0</v>
      </c>
      <c r="X44" s="100">
        <v>0</v>
      </c>
      <c r="Y44" s="100">
        <v>0</v>
      </c>
      <c r="Z44" s="100">
        <v>0</v>
      </c>
      <c r="AA44" s="100">
        <v>0</v>
      </c>
      <c r="AB44" s="100">
        <v>0</v>
      </c>
      <c r="AC44" s="100">
        <v>0</v>
      </c>
      <c r="AD44" s="100">
        <v>0</v>
      </c>
      <c r="AE44" s="100">
        <v>0</v>
      </c>
      <c r="AF44" s="50"/>
    </row>
    <row r="45" spans="1:52" ht="15" x14ac:dyDescent="0.25">
      <c r="A45" s="57" t="s">
        <v>834</v>
      </c>
      <c r="B45" s="50">
        <v>-1045830</v>
      </c>
      <c r="C45" s="50">
        <v>0</v>
      </c>
      <c r="D45" s="50">
        <v>-76218</v>
      </c>
      <c r="E45" s="50">
        <v>-83747</v>
      </c>
      <c r="F45" s="50">
        <v>-83384</v>
      </c>
      <c r="G45" s="50">
        <v>-83588</v>
      </c>
      <c r="H45" s="50">
        <v>-87438</v>
      </c>
      <c r="I45" s="50">
        <v>-89959</v>
      </c>
      <c r="J45" s="50">
        <v>-100019</v>
      </c>
      <c r="K45" s="50">
        <v>-86305</v>
      </c>
      <c r="L45" s="50">
        <v>-108046</v>
      </c>
      <c r="M45" s="50">
        <v>-90124</v>
      </c>
      <c r="N45" s="50">
        <v>-80902</v>
      </c>
      <c r="O45" s="50">
        <v>-76099</v>
      </c>
      <c r="P45" s="51"/>
      <c r="Q45" s="99" t="s">
        <v>35</v>
      </c>
      <c r="R45" s="100">
        <v>-116946.91</v>
      </c>
      <c r="S45" s="100">
        <v>0</v>
      </c>
      <c r="T45" s="100">
        <v>-116946.91</v>
      </c>
      <c r="U45" s="100">
        <v>0</v>
      </c>
      <c r="V45" s="100">
        <v>0</v>
      </c>
      <c r="W45" s="100">
        <v>0</v>
      </c>
      <c r="X45" s="100">
        <v>0</v>
      </c>
      <c r="Y45" s="100">
        <v>0</v>
      </c>
      <c r="Z45" s="100">
        <v>0</v>
      </c>
      <c r="AA45" s="100">
        <v>0</v>
      </c>
      <c r="AB45" s="100">
        <v>0</v>
      </c>
      <c r="AC45" s="100">
        <v>0</v>
      </c>
      <c r="AD45" s="100">
        <v>0</v>
      </c>
      <c r="AE45" s="100">
        <v>0</v>
      </c>
      <c r="AF45" s="50"/>
      <c r="AG45" s="44" t="s">
        <v>834</v>
      </c>
      <c r="AI45" s="38">
        <f t="shared" ref="AI45:AI46" si="43">-(VLOOKUP($AG45,$A:$O,11,0))*$AH$2</f>
        <v>431.52500000000003</v>
      </c>
      <c r="AJ45" s="38">
        <f t="shared" ref="AJ45:AJ46" si="44">-(VLOOKUP($AG45,$A:$O,12,0))*$AH$2</f>
        <v>540.23</v>
      </c>
      <c r="AK45" s="38">
        <f t="shared" ref="AK45:AK46" si="45">-(VLOOKUP($AG45,$A:$O,13,0))*$AH$2</f>
        <v>450.62</v>
      </c>
      <c r="AL45" s="38">
        <f t="shared" ref="AL45:AL46" si="46">-(VLOOKUP($AG45,$A:$O,14,0))*$AH$2</f>
        <v>404.51</v>
      </c>
      <c r="AM45" s="38">
        <f t="shared" ref="AM45:AM46" si="47">-(VLOOKUP($AG45,$A:$O,15,0))*$AH$2</f>
        <v>380.495</v>
      </c>
      <c r="AN45" s="54">
        <f t="shared" ref="AN45:AN46" si="48">-(VLOOKUP(AG45,Q:AE,4,0))*$AH$2</f>
        <v>422.00555000000003</v>
      </c>
      <c r="AO45" s="54">
        <f t="shared" ref="AO45:AO46" si="49">(-IFERROR(VLOOKUP($AG45,$Q:$AE,5,0),0))*$AH$2</f>
        <v>0</v>
      </c>
      <c r="AP45" s="54">
        <f t="shared" ref="AP45:AP46" si="50">(-IFERROR(VLOOKUP($AG45,$Q:$AE,6,0),0))*$AH$2</f>
        <v>0</v>
      </c>
      <c r="AQ45" s="54">
        <f>(-IFERROR(VLOOKUP($AG45,$Q:$AE,7,0),0))*$AH$2</f>
        <v>0</v>
      </c>
      <c r="AR45" s="54">
        <f t="shared" ref="AR45:AR46" si="51">(-IFERROR(VLOOKUP($AG45,$Q:$AE,8,0),0))*$AH$2</f>
        <v>0</v>
      </c>
      <c r="AS45" s="54">
        <f>(-IFERROR(VLOOKUP($AG45,$Q:$AE,9,0),0))*$AH$2</f>
        <v>0</v>
      </c>
      <c r="AT45" s="54">
        <f t="shared" ref="AT45:AT46" si="52">(-IFERROR(VLOOKUP($AG45,$Q:$AE,10,0),0))*$AH$2</f>
        <v>0</v>
      </c>
      <c r="AU45" s="54">
        <f t="shared" ref="AU45:AU46" si="53">(-IFERROR(VLOOKUP($AG45,$Q:$AE,11,0),0))*$AH$2</f>
        <v>0</v>
      </c>
      <c r="AV45" s="54">
        <f t="shared" ref="AV45:AW46" si="54">(-IFERROR(VLOOKUP($AG45,$Q:$AE,12,0),0))*$AH$2</f>
        <v>0</v>
      </c>
      <c r="AW45" s="54">
        <f t="shared" si="54"/>
        <v>0</v>
      </c>
      <c r="AX45" s="54">
        <f t="shared" ref="AX45:AX46" si="55">(-IFERROR(VLOOKUP($AG45,$Q:$AE,14,0),0))*$AH$2</f>
        <v>0</v>
      </c>
      <c r="AY45" s="54">
        <f>(-IFERROR(VLOOKUP($AG45,$Q:$AE,15,0),0))*$AH$2</f>
        <v>0</v>
      </c>
      <c r="AZ45" s="55">
        <f>AY45</f>
        <v>0</v>
      </c>
    </row>
    <row r="46" spans="1:52" ht="15" x14ac:dyDescent="0.25">
      <c r="A46" s="57" t="s">
        <v>33</v>
      </c>
      <c r="B46" s="50">
        <v>-500013</v>
      </c>
      <c r="C46" s="50">
        <v>0</v>
      </c>
      <c r="D46" s="50">
        <v>-30755</v>
      </c>
      <c r="E46" s="50">
        <v>-43072</v>
      </c>
      <c r="F46" s="50">
        <v>-43799</v>
      </c>
      <c r="G46" s="50">
        <v>-41285</v>
      </c>
      <c r="H46" s="50">
        <v>-39032</v>
      </c>
      <c r="I46" s="50">
        <v>-46483</v>
      </c>
      <c r="J46" s="50">
        <v>-43180</v>
      </c>
      <c r="K46" s="50">
        <v>-37773</v>
      </c>
      <c r="L46" s="50">
        <v>-48708</v>
      </c>
      <c r="M46" s="50">
        <v>-40700</v>
      </c>
      <c r="N46" s="50">
        <v>-43863</v>
      </c>
      <c r="O46" s="50">
        <v>-41361</v>
      </c>
      <c r="P46" s="51"/>
      <c r="Q46" s="99" t="s">
        <v>839</v>
      </c>
      <c r="R46" s="100">
        <v>-80326.63</v>
      </c>
      <c r="S46" s="100">
        <v>0</v>
      </c>
      <c r="T46" s="100">
        <v>-80326.63</v>
      </c>
      <c r="U46" s="100">
        <v>0</v>
      </c>
      <c r="V46" s="100">
        <v>0</v>
      </c>
      <c r="W46" s="100">
        <v>0</v>
      </c>
      <c r="X46" s="100">
        <v>0</v>
      </c>
      <c r="Y46" s="100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50"/>
      <c r="AG46" s="44" t="s">
        <v>33</v>
      </c>
      <c r="AI46" s="38">
        <f t="shared" si="43"/>
        <v>188.86500000000001</v>
      </c>
      <c r="AJ46" s="38">
        <f t="shared" si="44"/>
        <v>243.54</v>
      </c>
      <c r="AK46" s="38">
        <f t="shared" si="45"/>
        <v>203.5</v>
      </c>
      <c r="AL46" s="38">
        <f t="shared" si="46"/>
        <v>219.315</v>
      </c>
      <c r="AM46" s="38">
        <f t="shared" si="47"/>
        <v>206.80500000000001</v>
      </c>
      <c r="AN46" s="54">
        <f t="shared" si="48"/>
        <v>240.95325000000003</v>
      </c>
      <c r="AO46" s="54">
        <f t="shared" si="49"/>
        <v>0</v>
      </c>
      <c r="AP46" s="54">
        <f t="shared" si="50"/>
        <v>0</v>
      </c>
      <c r="AQ46" s="54">
        <f>(-IFERROR(VLOOKUP($AG46,$Q:$AE,7,0),0))*$AH$2</f>
        <v>0</v>
      </c>
      <c r="AR46" s="54">
        <f t="shared" si="51"/>
        <v>0</v>
      </c>
      <c r="AS46" s="54">
        <f>(-IFERROR(VLOOKUP($AG46,$Q:$AE,9,0),0))*$AH$2</f>
        <v>0</v>
      </c>
      <c r="AT46" s="54">
        <f t="shared" si="52"/>
        <v>0</v>
      </c>
      <c r="AU46" s="54">
        <f t="shared" si="53"/>
        <v>0</v>
      </c>
      <c r="AV46" s="54">
        <f t="shared" si="54"/>
        <v>0</v>
      </c>
      <c r="AW46" s="54">
        <f t="shared" si="54"/>
        <v>0</v>
      </c>
      <c r="AX46" s="54">
        <f t="shared" si="55"/>
        <v>0</v>
      </c>
      <c r="AY46" s="54">
        <f t="shared" ref="AY46" si="56">(-IFERROR(VLOOKUP($AG46,$Q:$AE,15,0),0))*$AH$2</f>
        <v>0</v>
      </c>
      <c r="AZ46" s="55">
        <f>AY46</f>
        <v>0</v>
      </c>
    </row>
    <row r="47" spans="1:52" ht="15" x14ac:dyDescent="0.25">
      <c r="A47" s="57" t="s">
        <v>835</v>
      </c>
      <c r="B47" s="50">
        <v>-2719620</v>
      </c>
      <c r="C47" s="50">
        <v>0</v>
      </c>
      <c r="D47" s="50">
        <v>-256557</v>
      </c>
      <c r="E47" s="50">
        <v>-247660</v>
      </c>
      <c r="F47" s="50">
        <v>-246385</v>
      </c>
      <c r="G47" s="50">
        <v>-240259</v>
      </c>
      <c r="H47" s="50">
        <v>-228853</v>
      </c>
      <c r="I47" s="50">
        <v>-248502</v>
      </c>
      <c r="J47" s="50">
        <v>-216386</v>
      </c>
      <c r="K47" s="50">
        <v>-205602</v>
      </c>
      <c r="L47" s="50">
        <v>-202573</v>
      </c>
      <c r="M47" s="50">
        <v>-225849</v>
      </c>
      <c r="N47" s="50">
        <v>-210609</v>
      </c>
      <c r="O47" s="50">
        <v>-190386</v>
      </c>
      <c r="P47" s="51"/>
      <c r="Q47" s="99" t="s">
        <v>840</v>
      </c>
      <c r="R47" s="100">
        <v>-96413.32</v>
      </c>
      <c r="S47" s="100">
        <v>0</v>
      </c>
      <c r="T47" s="100">
        <v>-96413.32</v>
      </c>
      <c r="U47" s="100">
        <v>0</v>
      </c>
      <c r="V47" s="100">
        <v>0</v>
      </c>
      <c r="W47" s="100">
        <v>0</v>
      </c>
      <c r="X47" s="100">
        <v>0</v>
      </c>
      <c r="Y47" s="100">
        <v>0</v>
      </c>
      <c r="Z47" s="100">
        <v>0</v>
      </c>
      <c r="AA47" s="100">
        <v>0</v>
      </c>
      <c r="AB47" s="100">
        <v>0</v>
      </c>
      <c r="AC47" s="100">
        <v>0</v>
      </c>
      <c r="AD47" s="100">
        <v>0</v>
      </c>
      <c r="AE47" s="100">
        <v>0</v>
      </c>
      <c r="AF47" s="50"/>
    </row>
    <row r="48" spans="1:52" ht="15" x14ac:dyDescent="0.25">
      <c r="A48" s="57" t="s">
        <v>836</v>
      </c>
      <c r="B48" s="50">
        <v>-3020976</v>
      </c>
      <c r="C48" s="50">
        <v>0</v>
      </c>
      <c r="D48" s="50">
        <v>-275897</v>
      </c>
      <c r="E48" s="50">
        <v>-266955</v>
      </c>
      <c r="F48" s="50">
        <v>-263945</v>
      </c>
      <c r="G48" s="50">
        <v>-242144</v>
      </c>
      <c r="H48" s="50">
        <v>-248894</v>
      </c>
      <c r="I48" s="50">
        <v>-297658</v>
      </c>
      <c r="J48" s="50">
        <v>-258308</v>
      </c>
      <c r="K48" s="50">
        <v>-217871</v>
      </c>
      <c r="L48" s="50">
        <v>-239705</v>
      </c>
      <c r="M48" s="50">
        <v>-254224</v>
      </c>
      <c r="N48" s="50">
        <v>-228937</v>
      </c>
      <c r="O48" s="50">
        <v>-226439</v>
      </c>
      <c r="P48" s="51"/>
      <c r="Q48" s="99" t="s">
        <v>36</v>
      </c>
      <c r="R48" s="100">
        <v>-560578.57999999996</v>
      </c>
      <c r="S48" s="100">
        <v>0</v>
      </c>
      <c r="T48" s="100">
        <v>-560602.57999999996</v>
      </c>
      <c r="U48" s="100">
        <v>24</v>
      </c>
      <c r="V48" s="100">
        <v>0</v>
      </c>
      <c r="W48" s="100">
        <v>0</v>
      </c>
      <c r="X48" s="100">
        <v>0</v>
      </c>
      <c r="Y48" s="100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50"/>
    </row>
    <row r="49" spans="1:35" ht="15" x14ac:dyDescent="0.25">
      <c r="A49" s="57" t="s">
        <v>34</v>
      </c>
      <c r="B49" s="50">
        <v>-1581778</v>
      </c>
      <c r="C49" s="50">
        <v>0</v>
      </c>
      <c r="D49" s="50">
        <v>-133068</v>
      </c>
      <c r="E49" s="50">
        <v>-134694</v>
      </c>
      <c r="F49" s="50">
        <v>-140192</v>
      </c>
      <c r="G49" s="50">
        <v>-145661</v>
      </c>
      <c r="H49" s="50">
        <v>-129771</v>
      </c>
      <c r="I49" s="50">
        <v>-151331</v>
      </c>
      <c r="J49" s="50">
        <v>-126318</v>
      </c>
      <c r="K49" s="50">
        <v>-112975</v>
      </c>
      <c r="L49" s="50">
        <v>-141387</v>
      </c>
      <c r="M49" s="50">
        <v>-130128</v>
      </c>
      <c r="N49" s="50">
        <v>-127427</v>
      </c>
      <c r="O49" s="50">
        <v>-108825</v>
      </c>
      <c r="P49" s="51"/>
      <c r="Q49" s="99" t="s">
        <v>774</v>
      </c>
      <c r="R49" s="100">
        <v>-18914.650000000001</v>
      </c>
      <c r="S49" s="100">
        <v>0</v>
      </c>
      <c r="T49" s="100">
        <v>-18914.650000000001</v>
      </c>
      <c r="U49" s="100">
        <v>0</v>
      </c>
      <c r="V49" s="100">
        <v>0</v>
      </c>
      <c r="W49" s="100">
        <v>0</v>
      </c>
      <c r="X49" s="100">
        <v>0</v>
      </c>
      <c r="Y49" s="100">
        <v>0</v>
      </c>
      <c r="Z49" s="100">
        <v>0</v>
      </c>
      <c r="AA49" s="100">
        <v>0</v>
      </c>
      <c r="AB49" s="100">
        <v>0</v>
      </c>
      <c r="AC49" s="100">
        <v>0</v>
      </c>
      <c r="AD49" s="100">
        <v>0</v>
      </c>
      <c r="AE49" s="100">
        <v>0</v>
      </c>
      <c r="AF49" s="50"/>
    </row>
    <row r="50" spans="1:35" ht="15" x14ac:dyDescent="0.25">
      <c r="A50" s="57" t="s">
        <v>837</v>
      </c>
      <c r="B50" s="50">
        <v>-951575</v>
      </c>
      <c r="C50" s="50">
        <v>0</v>
      </c>
      <c r="D50" s="50">
        <v>-56735</v>
      </c>
      <c r="E50" s="50">
        <v>-54322</v>
      </c>
      <c r="F50" s="50">
        <v>-65031</v>
      </c>
      <c r="G50" s="50">
        <v>-89469</v>
      </c>
      <c r="H50" s="50">
        <v>-88080</v>
      </c>
      <c r="I50" s="50">
        <v>-98107</v>
      </c>
      <c r="J50" s="50">
        <v>-109973</v>
      </c>
      <c r="K50" s="50">
        <v>-91694</v>
      </c>
      <c r="L50" s="50">
        <v>-93164</v>
      </c>
      <c r="M50" s="50">
        <v>-85324</v>
      </c>
      <c r="N50" s="50">
        <v>-63505</v>
      </c>
      <c r="O50" s="50">
        <v>-56172</v>
      </c>
      <c r="P50" s="51"/>
      <c r="Q50" s="99" t="s">
        <v>37</v>
      </c>
      <c r="R50" s="100">
        <v>336.48</v>
      </c>
      <c r="S50" s="100">
        <v>0</v>
      </c>
      <c r="T50" s="100">
        <v>215.63</v>
      </c>
      <c r="U50" s="100">
        <v>120.85</v>
      </c>
      <c r="V50" s="100">
        <v>0</v>
      </c>
      <c r="W50" s="100">
        <v>0</v>
      </c>
      <c r="X50" s="100">
        <v>0</v>
      </c>
      <c r="Y50" s="100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50"/>
    </row>
    <row r="51" spans="1:35" ht="15" x14ac:dyDescent="0.25">
      <c r="A51" s="57" t="s">
        <v>838</v>
      </c>
      <c r="B51" s="50">
        <v>-2392279</v>
      </c>
      <c r="C51" s="50">
        <v>0</v>
      </c>
      <c r="D51" s="50">
        <v>-198784</v>
      </c>
      <c r="E51" s="50">
        <v>-174518</v>
      </c>
      <c r="F51" s="50">
        <v>-190775</v>
      </c>
      <c r="G51" s="50">
        <v>-213813</v>
      </c>
      <c r="H51" s="50">
        <v>-207610</v>
      </c>
      <c r="I51" s="50">
        <v>-218413</v>
      </c>
      <c r="J51" s="50">
        <v>-233245</v>
      </c>
      <c r="K51" s="50">
        <v>-179831</v>
      </c>
      <c r="L51" s="50">
        <v>-217640</v>
      </c>
      <c r="M51" s="50">
        <v>-200659</v>
      </c>
      <c r="N51" s="50">
        <v>-175094</v>
      </c>
      <c r="O51" s="50">
        <v>-181899</v>
      </c>
      <c r="P51" s="51"/>
      <c r="Q51" s="98"/>
      <c r="R51" s="101">
        <v>-8334532.5400000019</v>
      </c>
      <c r="S51" s="101">
        <v>0</v>
      </c>
      <c r="T51" s="101">
        <v>-8334677.3900000025</v>
      </c>
      <c r="U51" s="101">
        <v>144.85</v>
      </c>
      <c r="V51" s="101">
        <v>0</v>
      </c>
      <c r="W51" s="101">
        <v>0</v>
      </c>
      <c r="X51" s="101">
        <v>0</v>
      </c>
      <c r="Y51" s="101">
        <v>0</v>
      </c>
      <c r="Z51" s="101">
        <v>0</v>
      </c>
      <c r="AA51" s="101">
        <v>0</v>
      </c>
      <c r="AB51" s="101">
        <v>0</v>
      </c>
      <c r="AC51" s="101">
        <v>0</v>
      </c>
      <c r="AD51" s="101">
        <v>0</v>
      </c>
      <c r="AE51" s="101">
        <v>0</v>
      </c>
      <c r="AF51" s="50"/>
    </row>
    <row r="52" spans="1:35" ht="15" x14ac:dyDescent="0.25">
      <c r="A52" s="57" t="s">
        <v>35</v>
      </c>
      <c r="B52" s="50">
        <v>-1347234</v>
      </c>
      <c r="C52" s="50">
        <v>0</v>
      </c>
      <c r="D52" s="50">
        <v>-90975</v>
      </c>
      <c r="E52" s="50">
        <v>-84876</v>
      </c>
      <c r="F52" s="50">
        <v>-85589</v>
      </c>
      <c r="G52" s="50">
        <v>-112792</v>
      </c>
      <c r="H52" s="50">
        <v>-113243</v>
      </c>
      <c r="I52" s="50">
        <v>-147890</v>
      </c>
      <c r="J52" s="50">
        <v>-136136</v>
      </c>
      <c r="K52" s="50">
        <v>-126037</v>
      </c>
      <c r="L52" s="50">
        <v>-120314</v>
      </c>
      <c r="M52" s="50">
        <v>-137531</v>
      </c>
      <c r="N52" s="50">
        <v>-97822</v>
      </c>
      <c r="O52" s="50">
        <v>-94028</v>
      </c>
      <c r="P52" s="51"/>
      <c r="Q52" s="88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50"/>
    </row>
    <row r="53" spans="1:35" ht="15" x14ac:dyDescent="0.25">
      <c r="A53" s="57" t="s">
        <v>839</v>
      </c>
      <c r="B53" s="50">
        <v>-780683</v>
      </c>
      <c r="C53" s="50">
        <v>0</v>
      </c>
      <c r="D53" s="50">
        <v>-76810</v>
      </c>
      <c r="E53" s="50">
        <v>-84543</v>
      </c>
      <c r="F53" s="50">
        <v>-76209</v>
      </c>
      <c r="G53" s="50">
        <v>-79535</v>
      </c>
      <c r="H53" s="50">
        <v>-70539</v>
      </c>
      <c r="I53" s="50">
        <v>-55388</v>
      </c>
      <c r="J53" s="50">
        <v>-53217</v>
      </c>
      <c r="K53" s="50">
        <v>-50138</v>
      </c>
      <c r="L53" s="50">
        <v>-63915</v>
      </c>
      <c r="M53" s="50">
        <v>-62982</v>
      </c>
      <c r="N53" s="50">
        <v>-56231</v>
      </c>
      <c r="O53" s="50">
        <v>-51177</v>
      </c>
      <c r="P53" s="51"/>
      <c r="Q53" s="88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50"/>
    </row>
    <row r="54" spans="1:35" ht="15" x14ac:dyDescent="0.25">
      <c r="A54" s="57" t="s">
        <v>840</v>
      </c>
      <c r="B54" s="50">
        <v>-882526</v>
      </c>
      <c r="C54" s="50">
        <v>0</v>
      </c>
      <c r="D54" s="50">
        <v>-88696</v>
      </c>
      <c r="E54" s="50">
        <v>-76916</v>
      </c>
      <c r="F54" s="50">
        <v>-87665</v>
      </c>
      <c r="G54" s="50">
        <v>-82744</v>
      </c>
      <c r="H54" s="50">
        <v>-69204</v>
      </c>
      <c r="I54" s="50">
        <v>-75887</v>
      </c>
      <c r="J54" s="50">
        <v>-56748</v>
      </c>
      <c r="K54" s="50">
        <v>-52781</v>
      </c>
      <c r="L54" s="50">
        <v>-70066</v>
      </c>
      <c r="M54" s="50">
        <v>-73779</v>
      </c>
      <c r="N54" s="50">
        <v>-74567</v>
      </c>
      <c r="O54" s="50">
        <v>-73472</v>
      </c>
      <c r="P54" s="51"/>
      <c r="Q54" s="88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50"/>
    </row>
    <row r="55" spans="1:35" ht="15" x14ac:dyDescent="0.25">
      <c r="A55" s="57" t="s">
        <v>36</v>
      </c>
      <c r="B55" s="50">
        <v>-5452848</v>
      </c>
      <c r="C55" s="50">
        <v>0</v>
      </c>
      <c r="D55" s="50">
        <v>-615784</v>
      </c>
      <c r="E55" s="50">
        <v>-577896</v>
      </c>
      <c r="F55" s="50">
        <v>-516652</v>
      </c>
      <c r="G55" s="50">
        <v>-510305</v>
      </c>
      <c r="H55" s="50">
        <v>-411429</v>
      </c>
      <c r="I55" s="50">
        <v>-465869</v>
      </c>
      <c r="J55" s="50">
        <v>-346538</v>
      </c>
      <c r="K55" s="50">
        <v>-306385</v>
      </c>
      <c r="L55" s="50">
        <v>-379943</v>
      </c>
      <c r="M55" s="50">
        <v>-435170</v>
      </c>
      <c r="N55" s="50">
        <v>-419713</v>
      </c>
      <c r="O55" s="50">
        <v>-467164</v>
      </c>
      <c r="P55" s="51"/>
      <c r="Q55" s="88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50"/>
    </row>
    <row r="56" spans="1:35" ht="15" x14ac:dyDescent="0.25">
      <c r="A56" s="57" t="s">
        <v>774</v>
      </c>
      <c r="B56" s="50">
        <v>-301821</v>
      </c>
      <c r="C56" s="50">
        <v>0</v>
      </c>
      <c r="D56" s="50">
        <v>-26431</v>
      </c>
      <c r="E56" s="50">
        <v>-27277</v>
      </c>
      <c r="F56" s="50">
        <v>-26413</v>
      </c>
      <c r="G56" s="50">
        <v>-23892</v>
      </c>
      <c r="H56" s="50">
        <v>-21182</v>
      </c>
      <c r="I56" s="50">
        <v>-34556</v>
      </c>
      <c r="J56" s="50">
        <v>-22166</v>
      </c>
      <c r="K56" s="50">
        <v>-17259</v>
      </c>
      <c r="L56" s="50">
        <v>-24368</v>
      </c>
      <c r="M56" s="50">
        <v>-25846</v>
      </c>
      <c r="N56" s="50">
        <v>-22900</v>
      </c>
      <c r="O56" s="50">
        <v>-29531</v>
      </c>
      <c r="P56" s="51"/>
      <c r="Q56" s="87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50"/>
    </row>
    <row r="57" spans="1:35" x14ac:dyDescent="0.25">
      <c r="A57" s="57" t="s">
        <v>841</v>
      </c>
      <c r="B57" s="50">
        <v>-298134</v>
      </c>
      <c r="C57" s="50">
        <v>0</v>
      </c>
      <c r="D57" s="50">
        <v>0</v>
      </c>
      <c r="E57" s="50">
        <v>-20048</v>
      </c>
      <c r="F57" s="50">
        <v>-34425</v>
      </c>
      <c r="G57" s="50">
        <v>-30739</v>
      </c>
      <c r="H57" s="50">
        <v>-29446</v>
      </c>
      <c r="I57" s="50">
        <v>-31152</v>
      </c>
      <c r="J57" s="50">
        <v>-20402</v>
      </c>
      <c r="K57" s="50">
        <v>-21426</v>
      </c>
      <c r="L57" s="50">
        <v>-21008</v>
      </c>
      <c r="M57" s="50">
        <v>-34180</v>
      </c>
      <c r="N57" s="50">
        <v>-26949</v>
      </c>
      <c r="O57" s="50">
        <v>-28359</v>
      </c>
      <c r="P57" s="51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50"/>
      <c r="AF57" s="50"/>
    </row>
    <row r="58" spans="1:35" x14ac:dyDescent="0.25">
      <c r="A58" s="66" t="s">
        <v>37</v>
      </c>
      <c r="B58" s="67">
        <v>-13520</v>
      </c>
      <c r="C58" s="67">
        <v>0</v>
      </c>
      <c r="D58" s="67">
        <v>0</v>
      </c>
      <c r="E58" s="67">
        <v>-399</v>
      </c>
      <c r="F58" s="67">
        <v>-520</v>
      </c>
      <c r="G58" s="67">
        <v>-2318</v>
      </c>
      <c r="H58" s="67">
        <v>-6547</v>
      </c>
      <c r="I58" s="67">
        <v>-446</v>
      </c>
      <c r="J58" s="67">
        <v>-422</v>
      </c>
      <c r="K58" s="67">
        <v>-708</v>
      </c>
      <c r="L58" s="67">
        <v>-290</v>
      </c>
      <c r="M58" s="67">
        <v>-523</v>
      </c>
      <c r="N58" s="67">
        <v>-723</v>
      </c>
      <c r="O58" s="67">
        <v>-623</v>
      </c>
      <c r="P58" s="68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7"/>
      <c r="AF58" s="67"/>
      <c r="AG58" s="57"/>
    </row>
    <row r="59" spans="1:35" x14ac:dyDescent="0.25">
      <c r="B59" s="70">
        <v>-95202566</v>
      </c>
      <c r="C59" s="43">
        <v>0</v>
      </c>
      <c r="D59" s="70">
        <v>-7275004</v>
      </c>
      <c r="E59" s="70">
        <v>-7450722</v>
      </c>
      <c r="F59" s="70">
        <v>-7124406</v>
      </c>
      <c r="G59" s="70">
        <v>-7721704</v>
      </c>
      <c r="H59" s="70">
        <v>-8293113</v>
      </c>
      <c r="I59" s="70">
        <v>-9164306</v>
      </c>
      <c r="J59" s="70">
        <v>-8815013</v>
      </c>
      <c r="K59" s="70">
        <v>-7854476</v>
      </c>
      <c r="L59" s="70">
        <v>-8382299</v>
      </c>
      <c r="M59" s="70">
        <v>-8230309</v>
      </c>
      <c r="N59" s="70">
        <v>-7568746</v>
      </c>
      <c r="O59" s="70">
        <v>-7322470</v>
      </c>
      <c r="AG59" s="50"/>
    </row>
    <row r="60" spans="1:35" x14ac:dyDescent="0.25">
      <c r="AG60" s="50"/>
      <c r="AH60" s="71"/>
      <c r="AI60" s="72"/>
    </row>
    <row r="61" spans="1:35" x14ac:dyDescent="0.25">
      <c r="AG61" s="50"/>
      <c r="AH61" s="71"/>
      <c r="AI61" s="72"/>
    </row>
    <row r="62" spans="1:35" x14ac:dyDescent="0.25">
      <c r="AG62" s="50"/>
      <c r="AH62" s="71"/>
      <c r="AI62" s="72"/>
    </row>
    <row r="63" spans="1:35" x14ac:dyDescent="0.25">
      <c r="AG63" s="50"/>
      <c r="AH63" s="71"/>
      <c r="AI63" s="72"/>
    </row>
    <row r="64" spans="1:35" x14ac:dyDescent="0.25">
      <c r="AG64" s="50"/>
      <c r="AH64" s="71"/>
      <c r="AI64" s="72"/>
    </row>
    <row r="65" spans="33:35" x14ac:dyDescent="0.25">
      <c r="AG65" s="50"/>
      <c r="AH65" s="71"/>
      <c r="AI65" s="72"/>
    </row>
    <row r="66" spans="33:35" x14ac:dyDescent="0.25">
      <c r="AG66" s="50"/>
      <c r="AH66" s="71"/>
      <c r="AI66" s="72"/>
    </row>
    <row r="67" spans="33:35" x14ac:dyDescent="0.25">
      <c r="AG67" s="50"/>
      <c r="AH67" s="71"/>
      <c r="AI67" s="72"/>
    </row>
    <row r="68" spans="33:35" x14ac:dyDescent="0.25">
      <c r="AG68" s="50"/>
      <c r="AH68" s="71"/>
      <c r="AI68" s="72"/>
    </row>
    <row r="69" spans="33:35" x14ac:dyDescent="0.25">
      <c r="AG69" s="50"/>
      <c r="AH69" s="71"/>
      <c r="AI69" s="72"/>
    </row>
    <row r="70" spans="33:35" x14ac:dyDescent="0.25">
      <c r="AG70" s="50"/>
      <c r="AH70" s="71"/>
      <c r="AI70" s="72"/>
    </row>
    <row r="71" spans="33:35" x14ac:dyDescent="0.25">
      <c r="AG71" s="50"/>
      <c r="AH71" s="71"/>
      <c r="AI71" s="72"/>
    </row>
    <row r="72" spans="33:35" x14ac:dyDescent="0.25">
      <c r="AG72" s="50"/>
      <c r="AH72" s="73"/>
      <c r="AI72" s="74"/>
    </row>
    <row r="73" spans="33:35" x14ac:dyDescent="0.25">
      <c r="AH73" s="75"/>
      <c r="AI73" s="7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B2174"/>
  <sheetViews>
    <sheetView workbookViewId="0">
      <selection activeCell="A10" sqref="A10"/>
    </sheetView>
  </sheetViews>
  <sheetFormatPr defaultRowHeight="15" x14ac:dyDescent="0.25"/>
  <cols>
    <col min="1" max="1" width="14.4257812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>
        <v>12662401</v>
      </c>
      <c r="B2">
        <v>27.21</v>
      </c>
    </row>
    <row r="3" spans="1:2" x14ac:dyDescent="0.25">
      <c r="A3">
        <v>12662501</v>
      </c>
      <c r="B3">
        <v>27.21</v>
      </c>
    </row>
    <row r="4" spans="1:2" x14ac:dyDescent="0.25">
      <c r="A4">
        <v>12662601</v>
      </c>
      <c r="B4">
        <v>38.42</v>
      </c>
    </row>
    <row r="5" spans="1:2" x14ac:dyDescent="0.25">
      <c r="A5">
        <v>12662801</v>
      </c>
      <c r="B5">
        <v>38.42</v>
      </c>
    </row>
    <row r="6" spans="1:2" x14ac:dyDescent="0.25">
      <c r="A6">
        <v>12665301</v>
      </c>
      <c r="B6">
        <v>40.86</v>
      </c>
    </row>
    <row r="7" spans="1:2" x14ac:dyDescent="0.25">
      <c r="A7">
        <v>12665302</v>
      </c>
      <c r="B7">
        <v>40.86</v>
      </c>
    </row>
    <row r="8" spans="1:2" x14ac:dyDescent="0.25">
      <c r="A8">
        <v>12665303</v>
      </c>
      <c r="B8">
        <v>32</v>
      </c>
    </row>
    <row r="9" spans="1:2" x14ac:dyDescent="0.25">
      <c r="A9">
        <v>12665401</v>
      </c>
      <c r="B9">
        <v>49.05</v>
      </c>
    </row>
    <row r="10" spans="1:2" x14ac:dyDescent="0.25">
      <c r="A10">
        <v>12665402</v>
      </c>
      <c r="B10">
        <v>49.05</v>
      </c>
    </row>
    <row r="11" spans="1:2" x14ac:dyDescent="0.25">
      <c r="A11">
        <v>12665403</v>
      </c>
      <c r="B11">
        <v>38.42</v>
      </c>
    </row>
    <row r="12" spans="1:2" x14ac:dyDescent="0.25">
      <c r="A12">
        <v>12665701</v>
      </c>
      <c r="B12">
        <v>82.96</v>
      </c>
    </row>
    <row r="13" spans="1:2" x14ac:dyDescent="0.25">
      <c r="A13">
        <v>12665801</v>
      </c>
      <c r="B13">
        <v>32</v>
      </c>
    </row>
    <row r="14" spans="1:2" x14ac:dyDescent="0.25">
      <c r="A14">
        <v>12666001</v>
      </c>
      <c r="B14">
        <v>80.069999999999993</v>
      </c>
    </row>
    <row r="15" spans="1:2" x14ac:dyDescent="0.25">
      <c r="A15">
        <v>12666101</v>
      </c>
      <c r="B15">
        <v>86.49</v>
      </c>
    </row>
    <row r="16" spans="1:2" x14ac:dyDescent="0.25">
      <c r="A16">
        <v>12666201</v>
      </c>
      <c r="B16">
        <v>60.83</v>
      </c>
    </row>
    <row r="17" spans="1:2" x14ac:dyDescent="0.25">
      <c r="A17">
        <v>12670101</v>
      </c>
      <c r="B17">
        <v>59</v>
      </c>
    </row>
    <row r="18" spans="1:2" x14ac:dyDescent="0.25">
      <c r="A18">
        <v>12671101</v>
      </c>
      <c r="B18">
        <v>78.52</v>
      </c>
    </row>
    <row r="19" spans="1:2" x14ac:dyDescent="0.25">
      <c r="A19">
        <v>12671201</v>
      </c>
      <c r="B19">
        <v>64.069999999999993</v>
      </c>
    </row>
    <row r="20" spans="1:2" x14ac:dyDescent="0.25">
      <c r="A20">
        <v>12671301</v>
      </c>
      <c r="B20">
        <v>41.66</v>
      </c>
    </row>
    <row r="21" spans="1:2" x14ac:dyDescent="0.25">
      <c r="A21">
        <v>12671501</v>
      </c>
      <c r="B21">
        <v>44.83</v>
      </c>
    </row>
    <row r="22" spans="1:2" x14ac:dyDescent="0.25">
      <c r="A22">
        <v>12672801</v>
      </c>
      <c r="B22">
        <v>36.869999999999997</v>
      </c>
    </row>
    <row r="23" spans="1:2" x14ac:dyDescent="0.25">
      <c r="A23">
        <v>12673001</v>
      </c>
      <c r="B23">
        <v>80.069999999999993</v>
      </c>
    </row>
    <row r="24" spans="1:2" x14ac:dyDescent="0.25">
      <c r="A24">
        <v>12673401</v>
      </c>
      <c r="B24">
        <v>52.87</v>
      </c>
    </row>
    <row r="25" spans="1:2" x14ac:dyDescent="0.25">
      <c r="A25">
        <v>12673402</v>
      </c>
      <c r="B25">
        <v>52.87</v>
      </c>
    </row>
    <row r="26" spans="1:2" x14ac:dyDescent="0.25">
      <c r="A26">
        <v>12673403</v>
      </c>
      <c r="B26">
        <v>52.87</v>
      </c>
    </row>
    <row r="27" spans="1:2" x14ac:dyDescent="0.25">
      <c r="A27">
        <v>12675701</v>
      </c>
      <c r="B27">
        <v>38.42</v>
      </c>
    </row>
    <row r="28" spans="1:2" x14ac:dyDescent="0.25">
      <c r="A28">
        <v>12679101</v>
      </c>
      <c r="B28">
        <v>73.38</v>
      </c>
    </row>
    <row r="29" spans="1:2" x14ac:dyDescent="0.25">
      <c r="A29">
        <v>12679301</v>
      </c>
      <c r="B29">
        <v>76.930000000000007</v>
      </c>
    </row>
    <row r="30" spans="1:2" x14ac:dyDescent="0.25">
      <c r="A30">
        <v>12679302</v>
      </c>
      <c r="B30">
        <v>76.930000000000007</v>
      </c>
    </row>
    <row r="31" spans="1:2" x14ac:dyDescent="0.25">
      <c r="A31">
        <v>12679303</v>
      </c>
      <c r="B31">
        <v>65.069999999999993</v>
      </c>
    </row>
    <row r="32" spans="1:2" x14ac:dyDescent="0.25">
      <c r="A32">
        <v>12679304</v>
      </c>
      <c r="B32">
        <v>65.069999999999993</v>
      </c>
    </row>
    <row r="33" spans="1:2" x14ac:dyDescent="0.25">
      <c r="A33">
        <v>12679305</v>
      </c>
      <c r="B33">
        <v>65.069999999999993</v>
      </c>
    </row>
    <row r="34" spans="1:2" x14ac:dyDescent="0.25">
      <c r="A34">
        <v>12679306</v>
      </c>
      <c r="B34">
        <v>65.069999999999993</v>
      </c>
    </row>
    <row r="35" spans="1:2" x14ac:dyDescent="0.25">
      <c r="A35">
        <v>12679307</v>
      </c>
      <c r="B35">
        <v>56.88</v>
      </c>
    </row>
    <row r="36" spans="1:2" x14ac:dyDescent="0.25">
      <c r="A36">
        <v>12679308</v>
      </c>
      <c r="B36">
        <v>44.55</v>
      </c>
    </row>
    <row r="37" spans="1:2" x14ac:dyDescent="0.25">
      <c r="A37">
        <v>12679901</v>
      </c>
      <c r="B37">
        <v>69.569999999999993</v>
      </c>
    </row>
    <row r="38" spans="1:2" x14ac:dyDescent="0.25">
      <c r="A38">
        <v>12679902</v>
      </c>
      <c r="B38">
        <v>92.07</v>
      </c>
    </row>
    <row r="39" spans="1:2" x14ac:dyDescent="0.25">
      <c r="A39">
        <v>12679903</v>
      </c>
      <c r="B39">
        <v>92.07</v>
      </c>
    </row>
    <row r="40" spans="1:2" x14ac:dyDescent="0.25">
      <c r="A40">
        <v>12679904</v>
      </c>
      <c r="B40">
        <v>72.11</v>
      </c>
    </row>
    <row r="41" spans="1:2" x14ac:dyDescent="0.25">
      <c r="A41">
        <v>12680201</v>
      </c>
      <c r="B41">
        <v>49.91</v>
      </c>
    </row>
    <row r="42" spans="1:2" x14ac:dyDescent="0.25">
      <c r="A42">
        <v>12682501</v>
      </c>
      <c r="B42">
        <v>36.869999999999997</v>
      </c>
    </row>
    <row r="43" spans="1:2" x14ac:dyDescent="0.25">
      <c r="A43">
        <v>12683701</v>
      </c>
      <c r="B43">
        <v>81.81</v>
      </c>
    </row>
    <row r="44" spans="1:2" x14ac:dyDescent="0.25">
      <c r="A44">
        <v>12683702</v>
      </c>
      <c r="B44">
        <v>71.55</v>
      </c>
    </row>
    <row r="45" spans="1:2" x14ac:dyDescent="0.25">
      <c r="A45">
        <v>12683703</v>
      </c>
      <c r="B45">
        <v>64.069999999999993</v>
      </c>
    </row>
    <row r="46" spans="1:2" x14ac:dyDescent="0.25">
      <c r="A46">
        <v>12690501</v>
      </c>
      <c r="B46">
        <v>42.29</v>
      </c>
    </row>
    <row r="47" spans="1:2" x14ac:dyDescent="0.25">
      <c r="A47">
        <v>14534001</v>
      </c>
      <c r="B47">
        <v>54.49</v>
      </c>
    </row>
    <row r="48" spans="1:2" x14ac:dyDescent="0.25">
      <c r="A48">
        <v>14535001</v>
      </c>
      <c r="B48">
        <v>81.7</v>
      </c>
    </row>
    <row r="49" spans="1:2" x14ac:dyDescent="0.25">
      <c r="A49">
        <v>14535201</v>
      </c>
      <c r="B49">
        <v>51.24</v>
      </c>
    </row>
    <row r="50" spans="1:2" x14ac:dyDescent="0.25">
      <c r="A50">
        <v>14535501</v>
      </c>
      <c r="B50">
        <v>36.869999999999997</v>
      </c>
    </row>
    <row r="51" spans="1:2" x14ac:dyDescent="0.25">
      <c r="A51">
        <v>14535601</v>
      </c>
      <c r="B51">
        <v>59.31</v>
      </c>
    </row>
    <row r="52" spans="1:2" x14ac:dyDescent="0.25">
      <c r="A52">
        <v>14535602</v>
      </c>
      <c r="B52">
        <v>46.45</v>
      </c>
    </row>
    <row r="53" spans="1:2" x14ac:dyDescent="0.25">
      <c r="A53">
        <v>14541701</v>
      </c>
      <c r="B53">
        <v>93.69</v>
      </c>
    </row>
    <row r="54" spans="1:2" x14ac:dyDescent="0.25">
      <c r="A54">
        <v>14541702</v>
      </c>
      <c r="B54">
        <v>73.38</v>
      </c>
    </row>
    <row r="55" spans="1:2" x14ac:dyDescent="0.25">
      <c r="A55">
        <v>14541703</v>
      </c>
      <c r="B55">
        <v>110.07</v>
      </c>
    </row>
    <row r="56" spans="1:2" x14ac:dyDescent="0.25">
      <c r="A56">
        <v>14541704</v>
      </c>
      <c r="B56">
        <v>86.21</v>
      </c>
    </row>
    <row r="57" spans="1:2" x14ac:dyDescent="0.25">
      <c r="A57">
        <v>14541801</v>
      </c>
      <c r="B57">
        <v>73.38</v>
      </c>
    </row>
    <row r="58" spans="1:2" x14ac:dyDescent="0.25">
      <c r="A58">
        <v>14541802</v>
      </c>
      <c r="B58">
        <v>93.69</v>
      </c>
    </row>
    <row r="59" spans="1:2" x14ac:dyDescent="0.25">
      <c r="A59">
        <v>14541803</v>
      </c>
      <c r="B59">
        <v>93.69</v>
      </c>
    </row>
    <row r="60" spans="1:2" x14ac:dyDescent="0.25">
      <c r="A60">
        <v>14541804</v>
      </c>
      <c r="B60">
        <v>93.69</v>
      </c>
    </row>
    <row r="61" spans="1:2" x14ac:dyDescent="0.25">
      <c r="A61">
        <v>14541805</v>
      </c>
      <c r="B61">
        <v>93.69</v>
      </c>
    </row>
    <row r="62" spans="1:2" x14ac:dyDescent="0.25">
      <c r="A62">
        <v>14544501</v>
      </c>
      <c r="B62">
        <v>69.12</v>
      </c>
    </row>
    <row r="63" spans="1:2" x14ac:dyDescent="0.25">
      <c r="A63">
        <v>14544502</v>
      </c>
      <c r="B63">
        <v>69.12</v>
      </c>
    </row>
    <row r="64" spans="1:2" x14ac:dyDescent="0.25">
      <c r="A64">
        <v>14544503</v>
      </c>
      <c r="B64">
        <v>69.12</v>
      </c>
    </row>
    <row r="65" spans="1:2" x14ac:dyDescent="0.25">
      <c r="A65">
        <v>14544504</v>
      </c>
      <c r="B65">
        <v>69.12</v>
      </c>
    </row>
    <row r="66" spans="1:2" x14ac:dyDescent="0.25">
      <c r="A66">
        <v>14544505</v>
      </c>
      <c r="B66">
        <v>54.13</v>
      </c>
    </row>
    <row r="67" spans="1:2" x14ac:dyDescent="0.25">
      <c r="A67">
        <v>14721101</v>
      </c>
      <c r="B67">
        <v>60.93</v>
      </c>
    </row>
    <row r="68" spans="1:2" x14ac:dyDescent="0.25">
      <c r="A68">
        <v>14721102</v>
      </c>
      <c r="B68">
        <v>65.28</v>
      </c>
    </row>
    <row r="69" spans="1:2" x14ac:dyDescent="0.25">
      <c r="A69">
        <v>14721103</v>
      </c>
      <c r="B69">
        <v>47.72</v>
      </c>
    </row>
    <row r="70" spans="1:2" x14ac:dyDescent="0.25">
      <c r="A70">
        <v>14721201</v>
      </c>
      <c r="B70">
        <v>64.069999999999993</v>
      </c>
    </row>
    <row r="71" spans="1:2" x14ac:dyDescent="0.25">
      <c r="A71">
        <v>14762401</v>
      </c>
      <c r="B71">
        <v>69.569999999999993</v>
      </c>
    </row>
    <row r="72" spans="1:2" x14ac:dyDescent="0.25">
      <c r="A72">
        <v>14762402</v>
      </c>
      <c r="B72">
        <v>69.569999999999993</v>
      </c>
    </row>
    <row r="73" spans="1:2" x14ac:dyDescent="0.25">
      <c r="A73">
        <v>14928101</v>
      </c>
      <c r="B73">
        <v>105.93</v>
      </c>
    </row>
    <row r="74" spans="1:2" x14ac:dyDescent="0.25">
      <c r="A74">
        <v>14928102</v>
      </c>
      <c r="B74">
        <v>122.31</v>
      </c>
    </row>
    <row r="75" spans="1:2" x14ac:dyDescent="0.25">
      <c r="A75">
        <v>14929801</v>
      </c>
      <c r="B75">
        <v>153.44999999999999</v>
      </c>
    </row>
    <row r="76" spans="1:2" x14ac:dyDescent="0.25">
      <c r="A76">
        <v>14929802</v>
      </c>
      <c r="B76">
        <v>153.44999999999999</v>
      </c>
    </row>
    <row r="77" spans="1:2" x14ac:dyDescent="0.25">
      <c r="A77">
        <v>15207701</v>
      </c>
      <c r="B77">
        <v>55.26</v>
      </c>
    </row>
    <row r="78" spans="1:2" x14ac:dyDescent="0.25">
      <c r="A78">
        <v>15207702</v>
      </c>
      <c r="B78">
        <v>55.26</v>
      </c>
    </row>
    <row r="79" spans="1:2" x14ac:dyDescent="0.25">
      <c r="A79">
        <v>15208101</v>
      </c>
      <c r="B79">
        <v>122.76</v>
      </c>
    </row>
    <row r="80" spans="1:2" x14ac:dyDescent="0.25">
      <c r="A80">
        <v>15208102</v>
      </c>
      <c r="B80">
        <v>122.76</v>
      </c>
    </row>
    <row r="81" spans="1:2" x14ac:dyDescent="0.25">
      <c r="A81">
        <v>15209901</v>
      </c>
      <c r="B81">
        <v>87.93</v>
      </c>
    </row>
    <row r="82" spans="1:2" x14ac:dyDescent="0.25">
      <c r="A82">
        <v>15209902</v>
      </c>
      <c r="B82">
        <v>87.93</v>
      </c>
    </row>
    <row r="83" spans="1:2" x14ac:dyDescent="0.25">
      <c r="A83">
        <v>15314901</v>
      </c>
      <c r="B83">
        <v>265.95</v>
      </c>
    </row>
    <row r="84" spans="1:2" x14ac:dyDescent="0.25">
      <c r="A84">
        <v>15852001</v>
      </c>
      <c r="B84">
        <v>57.38</v>
      </c>
    </row>
    <row r="85" spans="1:2" x14ac:dyDescent="0.25">
      <c r="A85">
        <v>15852002</v>
      </c>
      <c r="B85">
        <v>73.260000000000005</v>
      </c>
    </row>
    <row r="86" spans="1:2" x14ac:dyDescent="0.25">
      <c r="A86">
        <v>16252501</v>
      </c>
      <c r="B86">
        <v>265.95</v>
      </c>
    </row>
    <row r="87" spans="1:2" x14ac:dyDescent="0.25">
      <c r="A87">
        <v>16253001</v>
      </c>
      <c r="B87">
        <v>184.05</v>
      </c>
    </row>
    <row r="88" spans="1:2" x14ac:dyDescent="0.25">
      <c r="A88">
        <v>16253002</v>
      </c>
      <c r="B88">
        <v>184.05</v>
      </c>
    </row>
    <row r="89" spans="1:2" x14ac:dyDescent="0.25">
      <c r="A89">
        <v>16971901</v>
      </c>
      <c r="B89">
        <v>81.45</v>
      </c>
    </row>
    <row r="90" spans="1:2" x14ac:dyDescent="0.25">
      <c r="A90">
        <v>16972101</v>
      </c>
      <c r="B90">
        <v>93.69</v>
      </c>
    </row>
    <row r="91" spans="1:2" x14ac:dyDescent="0.25">
      <c r="A91">
        <v>17475001</v>
      </c>
      <c r="B91">
        <v>93.69</v>
      </c>
    </row>
    <row r="92" spans="1:2" x14ac:dyDescent="0.25">
      <c r="A92">
        <v>17475101</v>
      </c>
      <c r="B92">
        <v>89.55</v>
      </c>
    </row>
    <row r="93" spans="1:2" x14ac:dyDescent="0.25">
      <c r="A93">
        <v>17475201</v>
      </c>
      <c r="B93">
        <v>81.45</v>
      </c>
    </row>
    <row r="94" spans="1:2" x14ac:dyDescent="0.25">
      <c r="A94">
        <v>17475301</v>
      </c>
      <c r="B94">
        <v>81.45</v>
      </c>
    </row>
    <row r="95" spans="1:2" x14ac:dyDescent="0.25">
      <c r="A95">
        <v>17475401</v>
      </c>
      <c r="B95">
        <v>69.12</v>
      </c>
    </row>
    <row r="96" spans="1:2" x14ac:dyDescent="0.25">
      <c r="A96">
        <v>17484101</v>
      </c>
      <c r="B96">
        <v>87.93</v>
      </c>
    </row>
    <row r="97" spans="1:2" x14ac:dyDescent="0.25">
      <c r="A97">
        <v>17484201</v>
      </c>
      <c r="B97">
        <v>163.26</v>
      </c>
    </row>
    <row r="98" spans="1:2" x14ac:dyDescent="0.25">
      <c r="A98">
        <v>17803301</v>
      </c>
      <c r="B98">
        <v>97.74</v>
      </c>
    </row>
    <row r="99" spans="1:2" x14ac:dyDescent="0.25">
      <c r="A99">
        <v>17804101</v>
      </c>
      <c r="B99">
        <v>81.45</v>
      </c>
    </row>
    <row r="100" spans="1:2" x14ac:dyDescent="0.25">
      <c r="A100">
        <v>17804102</v>
      </c>
      <c r="B100">
        <v>81.45</v>
      </c>
    </row>
    <row r="101" spans="1:2" x14ac:dyDescent="0.25">
      <c r="A101">
        <v>17804103</v>
      </c>
      <c r="B101">
        <v>81.45</v>
      </c>
    </row>
    <row r="102" spans="1:2" x14ac:dyDescent="0.25">
      <c r="A102">
        <v>17804104</v>
      </c>
      <c r="B102">
        <v>81.45</v>
      </c>
    </row>
    <row r="103" spans="1:2" x14ac:dyDescent="0.25">
      <c r="A103">
        <v>18170701</v>
      </c>
      <c r="B103">
        <v>89.55</v>
      </c>
    </row>
    <row r="104" spans="1:2" x14ac:dyDescent="0.25">
      <c r="A104">
        <v>18170702</v>
      </c>
      <c r="B104">
        <v>89.55</v>
      </c>
    </row>
    <row r="105" spans="1:2" x14ac:dyDescent="0.25">
      <c r="A105">
        <v>18170801</v>
      </c>
      <c r="B105">
        <v>60.93</v>
      </c>
    </row>
    <row r="106" spans="1:2" x14ac:dyDescent="0.25">
      <c r="A106">
        <v>18170802</v>
      </c>
      <c r="B106">
        <v>60.93</v>
      </c>
    </row>
    <row r="107" spans="1:2" x14ac:dyDescent="0.25">
      <c r="A107">
        <v>18172801</v>
      </c>
      <c r="B107">
        <v>60.93</v>
      </c>
    </row>
    <row r="108" spans="1:2" x14ac:dyDescent="0.25">
      <c r="A108">
        <v>18172802</v>
      </c>
      <c r="B108">
        <v>60.93</v>
      </c>
    </row>
    <row r="109" spans="1:2" x14ac:dyDescent="0.25">
      <c r="A109">
        <v>18172803</v>
      </c>
      <c r="B109">
        <v>60.93</v>
      </c>
    </row>
    <row r="110" spans="1:2" x14ac:dyDescent="0.25">
      <c r="A110">
        <v>18172804</v>
      </c>
      <c r="B110">
        <v>60.93</v>
      </c>
    </row>
    <row r="111" spans="1:2" x14ac:dyDescent="0.25">
      <c r="A111">
        <v>18358901</v>
      </c>
      <c r="B111">
        <v>105.93</v>
      </c>
    </row>
    <row r="112" spans="1:2" x14ac:dyDescent="0.25">
      <c r="A112">
        <v>18358902</v>
      </c>
      <c r="B112">
        <v>105.93</v>
      </c>
    </row>
    <row r="113" spans="1:2" x14ac:dyDescent="0.25">
      <c r="A113">
        <v>18465201</v>
      </c>
      <c r="B113">
        <v>110.07</v>
      </c>
    </row>
    <row r="114" spans="1:2" x14ac:dyDescent="0.25">
      <c r="A114">
        <v>18465202</v>
      </c>
      <c r="B114">
        <v>110.07</v>
      </c>
    </row>
    <row r="115" spans="1:2" x14ac:dyDescent="0.25">
      <c r="A115">
        <v>18465203</v>
      </c>
      <c r="B115">
        <v>86.21</v>
      </c>
    </row>
    <row r="116" spans="1:2" x14ac:dyDescent="0.25">
      <c r="A116">
        <v>18465301</v>
      </c>
      <c r="B116">
        <v>114.12</v>
      </c>
    </row>
    <row r="117" spans="1:2" x14ac:dyDescent="0.25">
      <c r="A117">
        <v>18465302</v>
      </c>
      <c r="B117">
        <v>89.38</v>
      </c>
    </row>
    <row r="118" spans="1:2" x14ac:dyDescent="0.25">
      <c r="A118">
        <v>18465401</v>
      </c>
      <c r="B118">
        <v>89.55</v>
      </c>
    </row>
    <row r="119" spans="1:2" x14ac:dyDescent="0.25">
      <c r="A119">
        <v>18465402</v>
      </c>
      <c r="B119">
        <v>70.14</v>
      </c>
    </row>
    <row r="120" spans="1:2" x14ac:dyDescent="0.25">
      <c r="A120">
        <v>18479101</v>
      </c>
      <c r="B120">
        <v>52.74</v>
      </c>
    </row>
    <row r="121" spans="1:2" x14ac:dyDescent="0.25">
      <c r="A121">
        <v>18479102</v>
      </c>
      <c r="B121">
        <v>41.31</v>
      </c>
    </row>
    <row r="122" spans="1:2" x14ac:dyDescent="0.25">
      <c r="A122">
        <v>18479301</v>
      </c>
      <c r="B122">
        <v>63.79</v>
      </c>
    </row>
    <row r="123" spans="1:2" x14ac:dyDescent="0.25">
      <c r="A123">
        <v>18479401</v>
      </c>
      <c r="B123">
        <v>60.55</v>
      </c>
    </row>
    <row r="124" spans="1:2" x14ac:dyDescent="0.25">
      <c r="A124">
        <v>18479501</v>
      </c>
      <c r="B124">
        <v>63.79</v>
      </c>
    </row>
    <row r="125" spans="1:2" x14ac:dyDescent="0.25">
      <c r="A125">
        <v>18837901</v>
      </c>
      <c r="B125">
        <v>104.1</v>
      </c>
    </row>
    <row r="126" spans="1:2" x14ac:dyDescent="0.25">
      <c r="A126">
        <v>18918001</v>
      </c>
      <c r="B126">
        <v>63.79</v>
      </c>
    </row>
    <row r="127" spans="1:2" x14ac:dyDescent="0.25">
      <c r="A127">
        <v>19344401</v>
      </c>
      <c r="B127">
        <v>76.92</v>
      </c>
    </row>
    <row r="128" spans="1:2" x14ac:dyDescent="0.25">
      <c r="A128">
        <v>19355001</v>
      </c>
      <c r="B128">
        <v>100.07</v>
      </c>
    </row>
    <row r="129" spans="1:2" x14ac:dyDescent="0.25">
      <c r="A129">
        <v>19355301</v>
      </c>
      <c r="B129">
        <v>94.16</v>
      </c>
    </row>
    <row r="130" spans="1:2" x14ac:dyDescent="0.25">
      <c r="A130">
        <v>19355401</v>
      </c>
      <c r="B130">
        <v>94.16</v>
      </c>
    </row>
    <row r="131" spans="1:2" x14ac:dyDescent="0.25">
      <c r="A131">
        <v>19355501</v>
      </c>
      <c r="B131">
        <v>65.12</v>
      </c>
    </row>
    <row r="132" spans="1:2" x14ac:dyDescent="0.25">
      <c r="A132">
        <v>19355601</v>
      </c>
      <c r="B132">
        <v>65.12</v>
      </c>
    </row>
    <row r="133" spans="1:2" x14ac:dyDescent="0.25">
      <c r="A133">
        <v>19355801</v>
      </c>
      <c r="B133">
        <v>110.07</v>
      </c>
    </row>
    <row r="134" spans="1:2" x14ac:dyDescent="0.25">
      <c r="A134">
        <v>19435501</v>
      </c>
      <c r="B134">
        <v>57.57</v>
      </c>
    </row>
    <row r="135" spans="1:2" x14ac:dyDescent="0.25">
      <c r="A135">
        <v>19516101</v>
      </c>
      <c r="B135">
        <v>103.93</v>
      </c>
    </row>
    <row r="136" spans="1:2" x14ac:dyDescent="0.25">
      <c r="A136">
        <v>64178501</v>
      </c>
      <c r="B136">
        <v>69.16</v>
      </c>
    </row>
    <row r="137" spans="1:2" x14ac:dyDescent="0.25">
      <c r="A137">
        <v>64178701</v>
      </c>
      <c r="B137">
        <v>108.6</v>
      </c>
    </row>
    <row r="138" spans="1:2" x14ac:dyDescent="0.25">
      <c r="A138">
        <v>64179201</v>
      </c>
      <c r="B138">
        <v>122.3</v>
      </c>
    </row>
    <row r="139" spans="1:2" x14ac:dyDescent="0.25">
      <c r="A139">
        <v>64179202</v>
      </c>
      <c r="B139">
        <v>122.3</v>
      </c>
    </row>
    <row r="140" spans="1:2" x14ac:dyDescent="0.25">
      <c r="A140">
        <v>64179401</v>
      </c>
      <c r="B140">
        <v>108.6</v>
      </c>
    </row>
    <row r="141" spans="1:2" x14ac:dyDescent="0.25">
      <c r="A141">
        <v>64179402</v>
      </c>
      <c r="B141">
        <v>108.6</v>
      </c>
    </row>
    <row r="142" spans="1:2" x14ac:dyDescent="0.25">
      <c r="A142">
        <v>64180401</v>
      </c>
      <c r="B142">
        <v>160.16</v>
      </c>
    </row>
    <row r="143" spans="1:2" x14ac:dyDescent="0.25">
      <c r="A143">
        <v>64180501</v>
      </c>
      <c r="B143">
        <v>154.19</v>
      </c>
    </row>
    <row r="144" spans="1:2" x14ac:dyDescent="0.25">
      <c r="A144">
        <v>64180701</v>
      </c>
      <c r="B144">
        <v>122.3</v>
      </c>
    </row>
    <row r="145" spans="1:2" x14ac:dyDescent="0.25">
      <c r="A145">
        <v>64180702</v>
      </c>
      <c r="B145">
        <v>95.79</v>
      </c>
    </row>
    <row r="146" spans="1:2" x14ac:dyDescent="0.25">
      <c r="A146">
        <v>64180801</v>
      </c>
      <c r="B146">
        <v>170.5</v>
      </c>
    </row>
    <row r="147" spans="1:2" x14ac:dyDescent="0.25">
      <c r="A147">
        <v>64180802</v>
      </c>
      <c r="B147">
        <v>170.5</v>
      </c>
    </row>
    <row r="148" spans="1:2" x14ac:dyDescent="0.25">
      <c r="A148">
        <v>65322101</v>
      </c>
      <c r="B148">
        <v>53.7</v>
      </c>
    </row>
    <row r="149" spans="1:2" x14ac:dyDescent="0.25">
      <c r="A149">
        <v>65322201</v>
      </c>
      <c r="B149">
        <v>53.7</v>
      </c>
    </row>
    <row r="150" spans="1:2" x14ac:dyDescent="0.25">
      <c r="A150">
        <v>65322301</v>
      </c>
      <c r="B150">
        <v>56.88</v>
      </c>
    </row>
    <row r="151" spans="1:2" x14ac:dyDescent="0.25">
      <c r="A151">
        <v>65337701</v>
      </c>
      <c r="B151">
        <v>69.16</v>
      </c>
    </row>
    <row r="152" spans="1:2" x14ac:dyDescent="0.25">
      <c r="A152">
        <v>65337901</v>
      </c>
      <c r="B152">
        <v>65.3</v>
      </c>
    </row>
    <row r="153" spans="1:2" x14ac:dyDescent="0.25">
      <c r="A153">
        <v>66067601</v>
      </c>
      <c r="B153">
        <v>52.74</v>
      </c>
    </row>
    <row r="154" spans="1:2" x14ac:dyDescent="0.25">
      <c r="A154">
        <v>66067901</v>
      </c>
      <c r="B154">
        <v>107.8</v>
      </c>
    </row>
    <row r="155" spans="1:2" x14ac:dyDescent="0.25">
      <c r="A155">
        <v>66072601</v>
      </c>
      <c r="B155">
        <v>76.89</v>
      </c>
    </row>
    <row r="156" spans="1:2" x14ac:dyDescent="0.25">
      <c r="A156">
        <v>66091601</v>
      </c>
      <c r="B156">
        <v>48.3</v>
      </c>
    </row>
    <row r="157" spans="1:2" x14ac:dyDescent="0.25">
      <c r="A157">
        <v>66091801</v>
      </c>
      <c r="B157">
        <v>29.9</v>
      </c>
    </row>
    <row r="158" spans="1:2" x14ac:dyDescent="0.25">
      <c r="A158">
        <v>66091901</v>
      </c>
      <c r="B158">
        <v>39</v>
      </c>
    </row>
    <row r="159" spans="1:2" x14ac:dyDescent="0.25">
      <c r="A159">
        <v>66143701</v>
      </c>
      <c r="B159">
        <v>154.16</v>
      </c>
    </row>
    <row r="160" spans="1:2" x14ac:dyDescent="0.25">
      <c r="A160">
        <v>66341601</v>
      </c>
      <c r="B160">
        <v>86.88</v>
      </c>
    </row>
    <row r="161" spans="1:2" x14ac:dyDescent="0.25">
      <c r="A161">
        <v>66341701</v>
      </c>
      <c r="B161">
        <v>86.88</v>
      </c>
    </row>
    <row r="162" spans="1:2" x14ac:dyDescent="0.25">
      <c r="A162">
        <v>66342901</v>
      </c>
      <c r="B162">
        <v>81.45</v>
      </c>
    </row>
    <row r="163" spans="1:2" x14ac:dyDescent="0.25">
      <c r="A163">
        <v>66343001</v>
      </c>
      <c r="B163">
        <v>110.07</v>
      </c>
    </row>
    <row r="164" spans="1:2" x14ac:dyDescent="0.25">
      <c r="A164">
        <v>66659101</v>
      </c>
      <c r="B164">
        <v>134.81</v>
      </c>
    </row>
    <row r="165" spans="1:2" x14ac:dyDescent="0.25">
      <c r="A165">
        <v>67669701</v>
      </c>
      <c r="B165">
        <v>88.49</v>
      </c>
    </row>
    <row r="166" spans="1:2" x14ac:dyDescent="0.25">
      <c r="A166">
        <v>67669801</v>
      </c>
      <c r="B166">
        <v>88.49</v>
      </c>
    </row>
    <row r="167" spans="1:2" x14ac:dyDescent="0.25">
      <c r="A167">
        <v>12676201</v>
      </c>
      <c r="B167">
        <v>16.2</v>
      </c>
    </row>
    <row r="168" spans="1:2" x14ac:dyDescent="0.25">
      <c r="A168">
        <v>12681001</v>
      </c>
      <c r="B168">
        <v>7.38</v>
      </c>
    </row>
    <row r="169" spans="1:2" x14ac:dyDescent="0.25">
      <c r="A169">
        <v>12683101</v>
      </c>
      <c r="B169">
        <v>56.88</v>
      </c>
    </row>
    <row r="170" spans="1:2" x14ac:dyDescent="0.25">
      <c r="A170">
        <v>14080001</v>
      </c>
      <c r="B170">
        <v>28.62</v>
      </c>
    </row>
    <row r="171" spans="1:2" x14ac:dyDescent="0.25">
      <c r="A171">
        <v>14080002</v>
      </c>
      <c r="B171">
        <v>28.62</v>
      </c>
    </row>
    <row r="172" spans="1:2" x14ac:dyDescent="0.25">
      <c r="A172">
        <v>14080201</v>
      </c>
      <c r="B172">
        <v>14.45</v>
      </c>
    </row>
    <row r="173" spans="1:2" x14ac:dyDescent="0.25">
      <c r="A173">
        <v>15202701</v>
      </c>
      <c r="B173">
        <v>32.67</v>
      </c>
    </row>
    <row r="174" spans="1:2" x14ac:dyDescent="0.25">
      <c r="A174">
        <v>15202702</v>
      </c>
      <c r="B174">
        <v>32.67</v>
      </c>
    </row>
    <row r="175" spans="1:2" x14ac:dyDescent="0.25">
      <c r="A175">
        <v>15202703</v>
      </c>
      <c r="B175">
        <v>32.67</v>
      </c>
    </row>
    <row r="176" spans="1:2" x14ac:dyDescent="0.25">
      <c r="A176">
        <v>15202704</v>
      </c>
      <c r="B176">
        <v>32.67</v>
      </c>
    </row>
    <row r="177" spans="1:2" x14ac:dyDescent="0.25">
      <c r="A177">
        <v>15202801</v>
      </c>
      <c r="B177">
        <v>34.74</v>
      </c>
    </row>
    <row r="178" spans="1:2" x14ac:dyDescent="0.25">
      <c r="A178">
        <v>15202802</v>
      </c>
      <c r="B178">
        <v>34.74</v>
      </c>
    </row>
    <row r="179" spans="1:2" x14ac:dyDescent="0.25">
      <c r="A179">
        <v>15202803</v>
      </c>
      <c r="B179">
        <v>34.74</v>
      </c>
    </row>
    <row r="180" spans="1:2" x14ac:dyDescent="0.25">
      <c r="A180">
        <v>15202804</v>
      </c>
      <c r="B180">
        <v>34.74</v>
      </c>
    </row>
    <row r="181" spans="1:2" x14ac:dyDescent="0.25">
      <c r="A181">
        <v>15208501</v>
      </c>
      <c r="B181">
        <v>24.57</v>
      </c>
    </row>
    <row r="182" spans="1:2" x14ac:dyDescent="0.25">
      <c r="A182">
        <v>15208701</v>
      </c>
      <c r="B182">
        <v>26.64</v>
      </c>
    </row>
    <row r="183" spans="1:2" x14ac:dyDescent="0.25">
      <c r="A183">
        <v>12683201</v>
      </c>
      <c r="B183">
        <v>13.6</v>
      </c>
    </row>
    <row r="184" spans="1:2" x14ac:dyDescent="0.25">
      <c r="A184">
        <v>12665601</v>
      </c>
      <c r="B184">
        <v>96.15</v>
      </c>
    </row>
    <row r="185" spans="1:2" x14ac:dyDescent="0.25">
      <c r="A185">
        <v>12669801</v>
      </c>
      <c r="B185">
        <v>96.15</v>
      </c>
    </row>
    <row r="186" spans="1:2" x14ac:dyDescent="0.25">
      <c r="A186">
        <v>19740701</v>
      </c>
      <c r="B186">
        <v>166.88</v>
      </c>
    </row>
    <row r="187" spans="1:2" x14ac:dyDescent="0.25">
      <c r="A187">
        <v>66067501</v>
      </c>
      <c r="B187">
        <v>154.16</v>
      </c>
    </row>
    <row r="188" spans="1:2" x14ac:dyDescent="0.25">
      <c r="A188">
        <v>66072701</v>
      </c>
      <c r="B188">
        <v>154.16</v>
      </c>
    </row>
    <row r="189" spans="1:2" x14ac:dyDescent="0.25">
      <c r="A189">
        <v>66091501</v>
      </c>
      <c r="B189">
        <v>59.8</v>
      </c>
    </row>
    <row r="190" spans="1:2" x14ac:dyDescent="0.25">
      <c r="A190">
        <v>66342801</v>
      </c>
      <c r="B190">
        <v>166.88</v>
      </c>
    </row>
    <row r="191" spans="1:2" x14ac:dyDescent="0.25">
      <c r="A191">
        <v>67669601</v>
      </c>
      <c r="B191">
        <v>166.88</v>
      </c>
    </row>
    <row r="192" spans="1:2" x14ac:dyDescent="0.25">
      <c r="A192">
        <v>67670701</v>
      </c>
      <c r="B192">
        <v>154.19</v>
      </c>
    </row>
    <row r="193" spans="1:2" x14ac:dyDescent="0.25">
      <c r="A193">
        <v>12654901</v>
      </c>
      <c r="B193">
        <v>50.12</v>
      </c>
    </row>
    <row r="194" spans="1:2" x14ac:dyDescent="0.25">
      <c r="A194">
        <v>12656001</v>
      </c>
      <c r="B194">
        <v>50.12</v>
      </c>
    </row>
    <row r="195" spans="1:2" x14ac:dyDescent="0.25">
      <c r="A195">
        <v>12663001</v>
      </c>
      <c r="B195">
        <v>54.49</v>
      </c>
    </row>
    <row r="196" spans="1:2" x14ac:dyDescent="0.25">
      <c r="A196">
        <v>12672901</v>
      </c>
      <c r="B196">
        <v>42.29</v>
      </c>
    </row>
    <row r="197" spans="1:2" x14ac:dyDescent="0.25">
      <c r="A197">
        <v>12683501</v>
      </c>
      <c r="B197">
        <v>76.55</v>
      </c>
    </row>
    <row r="198" spans="1:2" x14ac:dyDescent="0.25">
      <c r="A198">
        <v>14532501</v>
      </c>
      <c r="B198">
        <v>16</v>
      </c>
    </row>
    <row r="199" spans="1:2" x14ac:dyDescent="0.25">
      <c r="A199">
        <v>14533601</v>
      </c>
      <c r="B199">
        <v>68.87</v>
      </c>
    </row>
    <row r="200" spans="1:2" x14ac:dyDescent="0.25">
      <c r="A200">
        <v>14534301</v>
      </c>
      <c r="B200">
        <v>59.28</v>
      </c>
    </row>
    <row r="201" spans="1:2" x14ac:dyDescent="0.25">
      <c r="A201">
        <v>14534701</v>
      </c>
      <c r="B201">
        <v>60.83</v>
      </c>
    </row>
    <row r="202" spans="1:2" x14ac:dyDescent="0.25">
      <c r="A202">
        <v>14928701</v>
      </c>
      <c r="B202">
        <v>97.74</v>
      </c>
    </row>
    <row r="203" spans="1:2" x14ac:dyDescent="0.25">
      <c r="A203">
        <v>14928702</v>
      </c>
      <c r="B203">
        <v>114.12</v>
      </c>
    </row>
    <row r="204" spans="1:2" x14ac:dyDescent="0.25">
      <c r="A204">
        <v>14929001</v>
      </c>
      <c r="B204">
        <v>93.69</v>
      </c>
    </row>
    <row r="205" spans="1:2" x14ac:dyDescent="0.25">
      <c r="A205">
        <v>14929002</v>
      </c>
      <c r="B205">
        <v>93.69</v>
      </c>
    </row>
    <row r="206" spans="1:2" x14ac:dyDescent="0.25">
      <c r="A206">
        <v>15202201</v>
      </c>
      <c r="B206">
        <v>71.64</v>
      </c>
    </row>
    <row r="207" spans="1:2" x14ac:dyDescent="0.25">
      <c r="A207">
        <v>15202202</v>
      </c>
      <c r="B207">
        <v>71.64</v>
      </c>
    </row>
    <row r="208" spans="1:2" x14ac:dyDescent="0.25">
      <c r="A208">
        <v>15207501</v>
      </c>
      <c r="B208">
        <v>94.05</v>
      </c>
    </row>
    <row r="209" spans="1:2" x14ac:dyDescent="0.25">
      <c r="A209">
        <v>15207502</v>
      </c>
      <c r="B209">
        <v>94.05</v>
      </c>
    </row>
    <row r="210" spans="1:2" x14ac:dyDescent="0.25">
      <c r="A210">
        <v>15208301</v>
      </c>
      <c r="B210">
        <v>102.24</v>
      </c>
    </row>
    <row r="211" spans="1:2" x14ac:dyDescent="0.25">
      <c r="A211">
        <v>15208302</v>
      </c>
      <c r="B211">
        <v>102.24</v>
      </c>
    </row>
    <row r="212" spans="1:2" x14ac:dyDescent="0.25">
      <c r="A212">
        <v>16161401</v>
      </c>
      <c r="B212">
        <v>55.26</v>
      </c>
    </row>
    <row r="213" spans="1:2" x14ac:dyDescent="0.25">
      <c r="A213">
        <v>16161402</v>
      </c>
      <c r="B213">
        <v>55.26</v>
      </c>
    </row>
    <row r="214" spans="1:2" x14ac:dyDescent="0.25">
      <c r="A214">
        <v>16253101</v>
      </c>
      <c r="B214">
        <v>194.31</v>
      </c>
    </row>
    <row r="215" spans="1:2" x14ac:dyDescent="0.25">
      <c r="A215">
        <v>16253102</v>
      </c>
      <c r="B215">
        <v>194.31</v>
      </c>
    </row>
    <row r="216" spans="1:2" x14ac:dyDescent="0.25">
      <c r="A216">
        <v>17339001</v>
      </c>
      <c r="B216">
        <v>81.45</v>
      </c>
    </row>
    <row r="217" spans="1:2" x14ac:dyDescent="0.25">
      <c r="A217">
        <v>17339002</v>
      </c>
      <c r="B217">
        <v>81.45</v>
      </c>
    </row>
    <row r="218" spans="1:2" x14ac:dyDescent="0.25">
      <c r="A218">
        <v>17339003</v>
      </c>
      <c r="B218">
        <v>81.45</v>
      </c>
    </row>
    <row r="219" spans="1:2" x14ac:dyDescent="0.25">
      <c r="A219">
        <v>17339101</v>
      </c>
      <c r="B219">
        <v>73.260000000000005</v>
      </c>
    </row>
    <row r="220" spans="1:2" x14ac:dyDescent="0.25">
      <c r="A220">
        <v>17339102</v>
      </c>
      <c r="B220">
        <v>73.260000000000005</v>
      </c>
    </row>
    <row r="221" spans="1:2" x14ac:dyDescent="0.25">
      <c r="A221">
        <v>17339103</v>
      </c>
      <c r="B221">
        <v>73.260000000000005</v>
      </c>
    </row>
    <row r="222" spans="1:2" x14ac:dyDescent="0.25">
      <c r="A222">
        <v>17339104</v>
      </c>
      <c r="B222">
        <v>73.260000000000005</v>
      </c>
    </row>
    <row r="223" spans="1:2" x14ac:dyDescent="0.25">
      <c r="A223">
        <v>18479601</v>
      </c>
      <c r="B223">
        <v>50.96</v>
      </c>
    </row>
    <row r="224" spans="1:2" x14ac:dyDescent="0.25">
      <c r="A224">
        <v>19272601</v>
      </c>
      <c r="B224">
        <v>76.92</v>
      </c>
    </row>
    <row r="225" spans="1:2" x14ac:dyDescent="0.25">
      <c r="A225">
        <v>19485301</v>
      </c>
      <c r="B225">
        <v>100.07</v>
      </c>
    </row>
    <row r="226" spans="1:2" x14ac:dyDescent="0.25">
      <c r="A226">
        <v>65338001</v>
      </c>
      <c r="B226">
        <v>61.43</v>
      </c>
    </row>
    <row r="227" spans="1:2" x14ac:dyDescent="0.25">
      <c r="A227">
        <v>65408001</v>
      </c>
      <c r="B227">
        <v>61.43</v>
      </c>
    </row>
    <row r="228" spans="1:2" x14ac:dyDescent="0.25">
      <c r="A228">
        <v>66091701</v>
      </c>
      <c r="B228">
        <v>32.200000000000003</v>
      </c>
    </row>
    <row r="229" spans="1:2" x14ac:dyDescent="0.25">
      <c r="A229">
        <v>66342001</v>
      </c>
      <c r="B229">
        <v>72.400000000000006</v>
      </c>
    </row>
    <row r="230" spans="1:2" x14ac:dyDescent="0.25">
      <c r="A230">
        <v>66342101</v>
      </c>
      <c r="B230">
        <v>72.400000000000006</v>
      </c>
    </row>
    <row r="231" spans="1:2" x14ac:dyDescent="0.25">
      <c r="A231">
        <v>66343201</v>
      </c>
      <c r="B231">
        <v>77.31</v>
      </c>
    </row>
    <row r="232" spans="1:2" x14ac:dyDescent="0.25">
      <c r="A232">
        <v>67668901</v>
      </c>
      <c r="B232">
        <v>69.19</v>
      </c>
    </row>
    <row r="233" spans="1:2" x14ac:dyDescent="0.25">
      <c r="A233">
        <v>12670001</v>
      </c>
      <c r="B233">
        <v>24.11</v>
      </c>
    </row>
    <row r="234" spans="1:2" x14ac:dyDescent="0.25">
      <c r="A234">
        <v>12670201</v>
      </c>
      <c r="B234">
        <v>30.45</v>
      </c>
    </row>
    <row r="235" spans="1:2" x14ac:dyDescent="0.25">
      <c r="A235">
        <v>12670401</v>
      </c>
      <c r="B235">
        <v>32</v>
      </c>
    </row>
    <row r="236" spans="1:2" x14ac:dyDescent="0.25">
      <c r="A236">
        <v>12673501</v>
      </c>
      <c r="B236">
        <v>38.880000000000003</v>
      </c>
    </row>
    <row r="237" spans="1:2" x14ac:dyDescent="0.25">
      <c r="A237">
        <v>12673502</v>
      </c>
      <c r="B237">
        <v>30.45</v>
      </c>
    </row>
    <row r="238" spans="1:2" x14ac:dyDescent="0.25">
      <c r="A238">
        <v>12673701</v>
      </c>
      <c r="B238">
        <v>36.81</v>
      </c>
    </row>
    <row r="239" spans="1:2" x14ac:dyDescent="0.25">
      <c r="A239">
        <v>12673702</v>
      </c>
      <c r="B239">
        <v>28.83</v>
      </c>
    </row>
    <row r="240" spans="1:2" x14ac:dyDescent="0.25">
      <c r="A240">
        <v>14535701</v>
      </c>
      <c r="B240">
        <v>28.62</v>
      </c>
    </row>
    <row r="241" spans="1:2" x14ac:dyDescent="0.25">
      <c r="A241">
        <v>14535702</v>
      </c>
      <c r="B241">
        <v>22.42</v>
      </c>
    </row>
    <row r="242" spans="1:2" x14ac:dyDescent="0.25">
      <c r="A242">
        <v>14535801</v>
      </c>
      <c r="B242">
        <v>34.74</v>
      </c>
    </row>
    <row r="243" spans="1:2" x14ac:dyDescent="0.25">
      <c r="A243">
        <v>14535802</v>
      </c>
      <c r="B243">
        <v>27.21</v>
      </c>
    </row>
    <row r="244" spans="1:2" x14ac:dyDescent="0.25">
      <c r="A244">
        <v>14762801</v>
      </c>
      <c r="B244">
        <v>63.45</v>
      </c>
    </row>
    <row r="245" spans="1:2" x14ac:dyDescent="0.25">
      <c r="A245">
        <v>14762802</v>
      </c>
      <c r="B245">
        <v>63.45</v>
      </c>
    </row>
    <row r="246" spans="1:2" x14ac:dyDescent="0.25">
      <c r="A246">
        <v>14762803</v>
      </c>
      <c r="B246">
        <v>63.45</v>
      </c>
    </row>
    <row r="247" spans="1:2" x14ac:dyDescent="0.25">
      <c r="A247">
        <v>14929301</v>
      </c>
      <c r="B247">
        <v>55.26</v>
      </c>
    </row>
    <row r="248" spans="1:2" x14ac:dyDescent="0.25">
      <c r="A248">
        <v>14929302</v>
      </c>
      <c r="B248">
        <v>55.26</v>
      </c>
    </row>
    <row r="249" spans="1:2" x14ac:dyDescent="0.25">
      <c r="A249">
        <v>15189901</v>
      </c>
      <c r="B249">
        <v>55.26</v>
      </c>
    </row>
    <row r="250" spans="1:2" x14ac:dyDescent="0.25">
      <c r="A250">
        <v>15189902</v>
      </c>
      <c r="B250">
        <v>55.26</v>
      </c>
    </row>
    <row r="251" spans="1:2" x14ac:dyDescent="0.25">
      <c r="A251">
        <v>15190201</v>
      </c>
      <c r="B251">
        <v>81.81</v>
      </c>
    </row>
    <row r="252" spans="1:2" x14ac:dyDescent="0.25">
      <c r="A252">
        <v>15202301</v>
      </c>
      <c r="B252">
        <v>100.26</v>
      </c>
    </row>
    <row r="253" spans="1:2" x14ac:dyDescent="0.25">
      <c r="A253">
        <v>15202302</v>
      </c>
      <c r="B253">
        <v>100.26</v>
      </c>
    </row>
    <row r="254" spans="1:2" x14ac:dyDescent="0.25">
      <c r="A254">
        <v>15202401</v>
      </c>
      <c r="B254">
        <v>92.07</v>
      </c>
    </row>
    <row r="255" spans="1:2" x14ac:dyDescent="0.25">
      <c r="A255">
        <v>15202402</v>
      </c>
      <c r="B255">
        <v>92.07</v>
      </c>
    </row>
    <row r="256" spans="1:2" x14ac:dyDescent="0.25">
      <c r="A256">
        <v>15202501</v>
      </c>
      <c r="B256">
        <v>98.19</v>
      </c>
    </row>
    <row r="257" spans="1:2" x14ac:dyDescent="0.25">
      <c r="A257">
        <v>15202502</v>
      </c>
      <c r="B257">
        <v>98.19</v>
      </c>
    </row>
    <row r="258" spans="1:2" x14ac:dyDescent="0.25">
      <c r="A258">
        <v>15202601</v>
      </c>
      <c r="B258">
        <v>51.12</v>
      </c>
    </row>
    <row r="259" spans="1:2" x14ac:dyDescent="0.25">
      <c r="A259">
        <v>15202602</v>
      </c>
      <c r="B259">
        <v>51.12</v>
      </c>
    </row>
    <row r="260" spans="1:2" x14ac:dyDescent="0.25">
      <c r="A260">
        <v>15207801</v>
      </c>
      <c r="B260">
        <v>93.69</v>
      </c>
    </row>
    <row r="261" spans="1:2" x14ac:dyDescent="0.25">
      <c r="A261">
        <v>15207802</v>
      </c>
      <c r="B261">
        <v>105.93</v>
      </c>
    </row>
    <row r="262" spans="1:2" x14ac:dyDescent="0.25">
      <c r="A262">
        <v>15207901</v>
      </c>
      <c r="B262">
        <v>108.45</v>
      </c>
    </row>
    <row r="263" spans="1:2" x14ac:dyDescent="0.25">
      <c r="A263">
        <v>15207902</v>
      </c>
      <c r="B263">
        <v>108.45</v>
      </c>
    </row>
    <row r="264" spans="1:2" x14ac:dyDescent="0.25">
      <c r="A264">
        <v>64178601</v>
      </c>
      <c r="B264">
        <v>63.2</v>
      </c>
    </row>
    <row r="265" spans="1:2" x14ac:dyDescent="0.25">
      <c r="A265">
        <v>64180001</v>
      </c>
      <c r="B265">
        <v>45.4</v>
      </c>
    </row>
    <row r="266" spans="1:2" x14ac:dyDescent="0.25">
      <c r="A266">
        <v>65337801</v>
      </c>
      <c r="B266">
        <v>65.069999999999993</v>
      </c>
    </row>
    <row r="267" spans="1:2" x14ac:dyDescent="0.25">
      <c r="A267">
        <v>67669001</v>
      </c>
      <c r="B267">
        <v>53.72</v>
      </c>
    </row>
    <row r="268" spans="1:2" x14ac:dyDescent="0.25">
      <c r="A268">
        <v>67669101</v>
      </c>
      <c r="B268">
        <v>61.46</v>
      </c>
    </row>
    <row r="269" spans="1:2" x14ac:dyDescent="0.25">
      <c r="A269">
        <v>12679401</v>
      </c>
      <c r="B269">
        <v>52.74</v>
      </c>
    </row>
    <row r="270" spans="1:2" x14ac:dyDescent="0.25">
      <c r="A270">
        <v>12679402</v>
      </c>
      <c r="B270">
        <v>52.74</v>
      </c>
    </row>
    <row r="271" spans="1:2" x14ac:dyDescent="0.25">
      <c r="A271">
        <v>12679403</v>
      </c>
      <c r="B271">
        <v>47.07</v>
      </c>
    </row>
    <row r="272" spans="1:2" x14ac:dyDescent="0.25">
      <c r="A272">
        <v>12679404</v>
      </c>
      <c r="B272">
        <v>47.07</v>
      </c>
    </row>
    <row r="273" spans="1:2" x14ac:dyDescent="0.25">
      <c r="A273">
        <v>12679405</v>
      </c>
      <c r="B273">
        <v>49.05</v>
      </c>
    </row>
    <row r="274" spans="1:2" x14ac:dyDescent="0.25">
      <c r="A274">
        <v>12679406</v>
      </c>
      <c r="B274">
        <v>49.05</v>
      </c>
    </row>
    <row r="275" spans="1:2" x14ac:dyDescent="0.25">
      <c r="A275">
        <v>12679407</v>
      </c>
      <c r="B275">
        <v>49.05</v>
      </c>
    </row>
    <row r="276" spans="1:2" x14ac:dyDescent="0.25">
      <c r="A276">
        <v>12679408</v>
      </c>
      <c r="B276">
        <v>41.31</v>
      </c>
    </row>
    <row r="277" spans="1:2" x14ac:dyDescent="0.25">
      <c r="A277">
        <v>15204401</v>
      </c>
      <c r="B277">
        <v>47.07</v>
      </c>
    </row>
    <row r="278" spans="1:2" x14ac:dyDescent="0.25">
      <c r="A278">
        <v>15204402</v>
      </c>
      <c r="B278">
        <v>47.07</v>
      </c>
    </row>
    <row r="279" spans="1:2" x14ac:dyDescent="0.25">
      <c r="A279">
        <v>18591801</v>
      </c>
      <c r="B279">
        <v>50.96</v>
      </c>
    </row>
    <row r="280" spans="1:2" x14ac:dyDescent="0.25">
      <c r="A280">
        <v>18680301</v>
      </c>
      <c r="B280">
        <v>81.400000000000006</v>
      </c>
    </row>
    <row r="281" spans="1:2" x14ac:dyDescent="0.25">
      <c r="A281">
        <v>18680401</v>
      </c>
      <c r="B281">
        <v>60.93</v>
      </c>
    </row>
    <row r="282" spans="1:2" x14ac:dyDescent="0.25">
      <c r="A282">
        <v>18680601</v>
      </c>
      <c r="B282">
        <v>73.38</v>
      </c>
    </row>
    <row r="283" spans="1:2" x14ac:dyDescent="0.25">
      <c r="A283">
        <v>64176401</v>
      </c>
      <c r="B283">
        <v>58.6</v>
      </c>
    </row>
    <row r="284" spans="1:2" x14ac:dyDescent="0.25">
      <c r="A284">
        <v>64176402</v>
      </c>
      <c r="B284">
        <v>58.6</v>
      </c>
    </row>
    <row r="285" spans="1:2" x14ac:dyDescent="0.25">
      <c r="A285">
        <v>64176403</v>
      </c>
      <c r="B285">
        <v>58.6</v>
      </c>
    </row>
    <row r="286" spans="1:2" x14ac:dyDescent="0.25">
      <c r="A286">
        <v>64178801</v>
      </c>
      <c r="B286">
        <v>67.7</v>
      </c>
    </row>
    <row r="287" spans="1:2" x14ac:dyDescent="0.25">
      <c r="A287">
        <v>66341801</v>
      </c>
      <c r="B287">
        <v>72.400000000000006</v>
      </c>
    </row>
    <row r="288" spans="1:2" x14ac:dyDescent="0.25">
      <c r="A288">
        <v>66341901</v>
      </c>
      <c r="B288">
        <v>72.400000000000006</v>
      </c>
    </row>
    <row r="289" spans="1:2" x14ac:dyDescent="0.25">
      <c r="A289">
        <v>66860701</v>
      </c>
      <c r="B289">
        <v>100.05</v>
      </c>
    </row>
    <row r="290" spans="1:2" x14ac:dyDescent="0.25">
      <c r="A290">
        <v>66861601</v>
      </c>
      <c r="B290">
        <v>65.12</v>
      </c>
    </row>
    <row r="291" spans="1:2" x14ac:dyDescent="0.25">
      <c r="A291">
        <v>67669201</v>
      </c>
      <c r="B291">
        <v>96.22</v>
      </c>
    </row>
    <row r="292" spans="1:2" x14ac:dyDescent="0.25">
      <c r="A292">
        <v>67669301</v>
      </c>
      <c r="B292">
        <v>72.400000000000006</v>
      </c>
    </row>
    <row r="293" spans="1:2" x14ac:dyDescent="0.25">
      <c r="A293">
        <v>67669901</v>
      </c>
      <c r="B293">
        <v>115.52</v>
      </c>
    </row>
    <row r="294" spans="1:2" x14ac:dyDescent="0.25">
      <c r="A294">
        <v>67671901</v>
      </c>
      <c r="B294">
        <v>61.46</v>
      </c>
    </row>
    <row r="295" spans="1:2" x14ac:dyDescent="0.25">
      <c r="A295">
        <v>68142001</v>
      </c>
      <c r="B295">
        <v>115.43</v>
      </c>
    </row>
    <row r="296" spans="1:2" x14ac:dyDescent="0.25">
      <c r="A296">
        <v>68582901</v>
      </c>
      <c r="B296">
        <v>119.6</v>
      </c>
    </row>
    <row r="297" spans="1:2" x14ac:dyDescent="0.25">
      <c r="A297">
        <v>68583001</v>
      </c>
      <c r="B297">
        <v>127.08</v>
      </c>
    </row>
    <row r="298" spans="1:2" x14ac:dyDescent="0.25">
      <c r="A298">
        <v>68584001</v>
      </c>
      <c r="B298">
        <v>108.72</v>
      </c>
    </row>
    <row r="299" spans="1:2" x14ac:dyDescent="0.25">
      <c r="A299">
        <v>68584101</v>
      </c>
      <c r="B299">
        <v>108.72</v>
      </c>
    </row>
    <row r="300" spans="1:2" x14ac:dyDescent="0.25">
      <c r="A300">
        <v>68585101</v>
      </c>
      <c r="B300">
        <v>54.16</v>
      </c>
    </row>
    <row r="301" spans="1:2" x14ac:dyDescent="0.25">
      <c r="A301">
        <v>68585201</v>
      </c>
      <c r="B301">
        <v>57.55</v>
      </c>
    </row>
    <row r="302" spans="1:2" x14ac:dyDescent="0.25">
      <c r="A302">
        <v>67672001</v>
      </c>
      <c r="B302">
        <v>69.19</v>
      </c>
    </row>
    <row r="303" spans="1:2" x14ac:dyDescent="0.25">
      <c r="A303">
        <v>67672101</v>
      </c>
      <c r="B303">
        <v>69.19</v>
      </c>
    </row>
    <row r="304" spans="1:2" x14ac:dyDescent="0.25">
      <c r="A304">
        <v>14934101</v>
      </c>
      <c r="B304">
        <v>81.45</v>
      </c>
    </row>
    <row r="305" spans="1:2" x14ac:dyDescent="0.25">
      <c r="A305">
        <v>14934102</v>
      </c>
      <c r="B305">
        <v>81.45</v>
      </c>
    </row>
    <row r="306" spans="1:2" x14ac:dyDescent="0.25">
      <c r="A306">
        <v>16251901</v>
      </c>
      <c r="B306">
        <v>77.31</v>
      </c>
    </row>
    <row r="307" spans="1:2" x14ac:dyDescent="0.25">
      <c r="A307">
        <v>17483601</v>
      </c>
      <c r="B307">
        <v>77.31</v>
      </c>
    </row>
    <row r="308" spans="1:2" x14ac:dyDescent="0.25">
      <c r="A308">
        <v>17802701</v>
      </c>
      <c r="B308">
        <v>48.69</v>
      </c>
    </row>
    <row r="309" spans="1:2" x14ac:dyDescent="0.25">
      <c r="A309">
        <v>17802702</v>
      </c>
      <c r="B309">
        <v>48.69</v>
      </c>
    </row>
    <row r="310" spans="1:2" x14ac:dyDescent="0.25">
      <c r="A310">
        <v>12665501</v>
      </c>
      <c r="B310">
        <v>94.52</v>
      </c>
    </row>
    <row r="311" spans="1:2" x14ac:dyDescent="0.25">
      <c r="A311">
        <v>12671901</v>
      </c>
      <c r="B311">
        <v>98.19</v>
      </c>
    </row>
    <row r="312" spans="1:2" x14ac:dyDescent="0.25">
      <c r="A312">
        <v>12671902</v>
      </c>
      <c r="B312">
        <v>98.19</v>
      </c>
    </row>
    <row r="313" spans="1:2" x14ac:dyDescent="0.25">
      <c r="A313">
        <v>12671903</v>
      </c>
      <c r="B313">
        <v>76.900000000000006</v>
      </c>
    </row>
    <row r="314" spans="1:2" x14ac:dyDescent="0.25">
      <c r="A314">
        <v>12673301</v>
      </c>
      <c r="B314">
        <v>110.43</v>
      </c>
    </row>
    <row r="315" spans="1:2" x14ac:dyDescent="0.25">
      <c r="A315">
        <v>12673302</v>
      </c>
      <c r="B315">
        <v>86.49</v>
      </c>
    </row>
    <row r="316" spans="1:2" x14ac:dyDescent="0.25">
      <c r="A316">
        <v>12675301</v>
      </c>
      <c r="B316">
        <v>69.569999999999993</v>
      </c>
    </row>
    <row r="317" spans="1:2" x14ac:dyDescent="0.25">
      <c r="A317">
        <v>12675302</v>
      </c>
      <c r="B317">
        <v>69.569999999999993</v>
      </c>
    </row>
    <row r="318" spans="1:2" x14ac:dyDescent="0.25">
      <c r="A318">
        <v>12675303</v>
      </c>
      <c r="B318">
        <v>69.569999999999993</v>
      </c>
    </row>
    <row r="319" spans="1:2" x14ac:dyDescent="0.25">
      <c r="A319">
        <v>12675304</v>
      </c>
      <c r="B319">
        <v>69.569999999999993</v>
      </c>
    </row>
    <row r="320" spans="1:2" x14ac:dyDescent="0.25">
      <c r="A320">
        <v>14533001</v>
      </c>
      <c r="B320">
        <v>51.24</v>
      </c>
    </row>
    <row r="321" spans="1:2" x14ac:dyDescent="0.25">
      <c r="A321">
        <v>14533501</v>
      </c>
      <c r="B321">
        <v>51.24</v>
      </c>
    </row>
    <row r="322" spans="1:2" x14ac:dyDescent="0.25">
      <c r="A322">
        <v>66068001</v>
      </c>
      <c r="B322">
        <v>146.43</v>
      </c>
    </row>
    <row r="323" spans="1:2" x14ac:dyDescent="0.25">
      <c r="A323">
        <v>19431801</v>
      </c>
      <c r="B323">
        <v>192.8</v>
      </c>
    </row>
    <row r="324" spans="1:2" x14ac:dyDescent="0.25">
      <c r="A324">
        <v>12674601</v>
      </c>
      <c r="B324">
        <v>38.880000000000003</v>
      </c>
    </row>
    <row r="325" spans="1:2" x14ac:dyDescent="0.25">
      <c r="A325">
        <v>12674602</v>
      </c>
      <c r="B325">
        <v>38.880000000000003</v>
      </c>
    </row>
    <row r="326" spans="1:2" x14ac:dyDescent="0.25">
      <c r="A326">
        <v>12674603</v>
      </c>
      <c r="B326">
        <v>38.880000000000003</v>
      </c>
    </row>
    <row r="327" spans="1:2" x14ac:dyDescent="0.25">
      <c r="A327">
        <v>12674604</v>
      </c>
      <c r="B327">
        <v>38.880000000000003</v>
      </c>
    </row>
    <row r="328" spans="1:2" x14ac:dyDescent="0.25">
      <c r="A328">
        <v>12674605</v>
      </c>
      <c r="B328">
        <v>38.880000000000003</v>
      </c>
    </row>
    <row r="329" spans="1:2" x14ac:dyDescent="0.25">
      <c r="A329">
        <v>12674606</v>
      </c>
      <c r="B329">
        <v>38.880000000000003</v>
      </c>
    </row>
    <row r="330" spans="1:2" x14ac:dyDescent="0.25">
      <c r="A330">
        <v>12674607</v>
      </c>
      <c r="B330">
        <v>38.880000000000003</v>
      </c>
    </row>
    <row r="331" spans="1:2" x14ac:dyDescent="0.25">
      <c r="A331">
        <v>12674608</v>
      </c>
      <c r="B331">
        <v>30.45</v>
      </c>
    </row>
    <row r="332" spans="1:2" x14ac:dyDescent="0.25">
      <c r="A332">
        <v>12675401</v>
      </c>
      <c r="B332">
        <v>40.950000000000003</v>
      </c>
    </row>
    <row r="333" spans="1:2" x14ac:dyDescent="0.25">
      <c r="A333">
        <v>12675402</v>
      </c>
      <c r="B333">
        <v>40.950000000000003</v>
      </c>
    </row>
    <row r="334" spans="1:2" x14ac:dyDescent="0.25">
      <c r="A334">
        <v>12675403</v>
      </c>
      <c r="B334">
        <v>40.950000000000003</v>
      </c>
    </row>
    <row r="335" spans="1:2" x14ac:dyDescent="0.25">
      <c r="A335">
        <v>12675404</v>
      </c>
      <c r="B335">
        <v>40.950000000000003</v>
      </c>
    </row>
    <row r="336" spans="1:2" x14ac:dyDescent="0.25">
      <c r="A336">
        <v>12676401</v>
      </c>
      <c r="B336">
        <v>18.45</v>
      </c>
    </row>
    <row r="337" spans="1:2" x14ac:dyDescent="0.25">
      <c r="A337">
        <v>12676101</v>
      </c>
      <c r="B337">
        <v>32.67</v>
      </c>
    </row>
    <row r="338" spans="1:2" x14ac:dyDescent="0.25">
      <c r="A338">
        <v>12675901</v>
      </c>
      <c r="B338">
        <v>24.57</v>
      </c>
    </row>
    <row r="339" spans="1:2" x14ac:dyDescent="0.25">
      <c r="A339">
        <v>12676001</v>
      </c>
      <c r="B339">
        <v>20.43</v>
      </c>
    </row>
    <row r="340" spans="1:2" x14ac:dyDescent="0.25">
      <c r="A340">
        <v>14540001</v>
      </c>
      <c r="B340">
        <v>32.67</v>
      </c>
    </row>
    <row r="341" spans="1:2" x14ac:dyDescent="0.25">
      <c r="A341">
        <v>14540002</v>
      </c>
      <c r="B341">
        <v>32.67</v>
      </c>
    </row>
    <row r="342" spans="1:2" x14ac:dyDescent="0.25">
      <c r="A342">
        <v>14540003</v>
      </c>
      <c r="B342">
        <v>32.67</v>
      </c>
    </row>
    <row r="343" spans="1:2" x14ac:dyDescent="0.25">
      <c r="A343">
        <v>14540004</v>
      </c>
      <c r="B343">
        <v>25.59</v>
      </c>
    </row>
    <row r="344" spans="1:2" x14ac:dyDescent="0.25">
      <c r="A344">
        <v>17339601</v>
      </c>
      <c r="B344">
        <v>39.24</v>
      </c>
    </row>
    <row r="345" spans="1:2" x14ac:dyDescent="0.25">
      <c r="A345">
        <v>17339602</v>
      </c>
      <c r="B345">
        <v>39.24</v>
      </c>
    </row>
    <row r="346" spans="1:2" x14ac:dyDescent="0.25">
      <c r="A346">
        <v>17339603</v>
      </c>
      <c r="B346">
        <v>39.24</v>
      </c>
    </row>
    <row r="347" spans="1:2" x14ac:dyDescent="0.25">
      <c r="A347">
        <v>17384201</v>
      </c>
      <c r="B347">
        <v>31.05</v>
      </c>
    </row>
    <row r="348" spans="1:2" x14ac:dyDescent="0.25">
      <c r="A348">
        <v>17384202</v>
      </c>
      <c r="B348">
        <v>31.05</v>
      </c>
    </row>
    <row r="349" spans="1:2" x14ac:dyDescent="0.25">
      <c r="A349">
        <v>18465801</v>
      </c>
      <c r="B349">
        <v>40.86</v>
      </c>
    </row>
    <row r="350" spans="1:2" x14ac:dyDescent="0.25">
      <c r="A350">
        <v>18465802</v>
      </c>
      <c r="B350">
        <v>32</v>
      </c>
    </row>
    <row r="351" spans="1:2" x14ac:dyDescent="0.25">
      <c r="A351">
        <v>12652901</v>
      </c>
      <c r="B351">
        <v>49.69</v>
      </c>
    </row>
    <row r="352" spans="1:2" x14ac:dyDescent="0.25">
      <c r="A352">
        <v>12653001</v>
      </c>
      <c r="B352">
        <v>30.59</v>
      </c>
    </row>
    <row r="353" spans="1:2" x14ac:dyDescent="0.25">
      <c r="A353">
        <v>12653301</v>
      </c>
      <c r="B353">
        <v>55.62</v>
      </c>
    </row>
    <row r="354" spans="1:2" x14ac:dyDescent="0.25">
      <c r="A354">
        <v>12653401</v>
      </c>
      <c r="B354">
        <v>23.97</v>
      </c>
    </row>
    <row r="355" spans="1:2" x14ac:dyDescent="0.25">
      <c r="A355">
        <v>12653501</v>
      </c>
      <c r="B355">
        <v>23.97</v>
      </c>
    </row>
    <row r="356" spans="1:2" x14ac:dyDescent="0.25">
      <c r="A356">
        <v>12653601</v>
      </c>
      <c r="B356">
        <v>23.97</v>
      </c>
    </row>
    <row r="357" spans="1:2" x14ac:dyDescent="0.25">
      <c r="A357">
        <v>12654401</v>
      </c>
      <c r="B357">
        <v>61.54</v>
      </c>
    </row>
    <row r="358" spans="1:2" x14ac:dyDescent="0.25">
      <c r="A358">
        <v>12654501</v>
      </c>
      <c r="B358">
        <v>54.28</v>
      </c>
    </row>
    <row r="359" spans="1:2" x14ac:dyDescent="0.25">
      <c r="A359">
        <v>12654801</v>
      </c>
      <c r="B359">
        <v>38.770000000000003</v>
      </c>
    </row>
    <row r="360" spans="1:2" x14ac:dyDescent="0.25">
      <c r="A360">
        <v>12655101</v>
      </c>
      <c r="B360">
        <v>31.72</v>
      </c>
    </row>
    <row r="361" spans="1:2" x14ac:dyDescent="0.25">
      <c r="A361">
        <v>12655201</v>
      </c>
      <c r="B361">
        <v>30.59</v>
      </c>
    </row>
    <row r="362" spans="1:2" x14ac:dyDescent="0.25">
      <c r="A362">
        <v>12655501</v>
      </c>
      <c r="B362">
        <v>26.29</v>
      </c>
    </row>
    <row r="363" spans="1:2" x14ac:dyDescent="0.25">
      <c r="A363">
        <v>12655901</v>
      </c>
      <c r="B363">
        <v>30.59</v>
      </c>
    </row>
    <row r="364" spans="1:2" x14ac:dyDescent="0.25">
      <c r="A364">
        <v>12656801</v>
      </c>
      <c r="B364">
        <v>30.8</v>
      </c>
    </row>
    <row r="365" spans="1:2" x14ac:dyDescent="0.25">
      <c r="A365">
        <v>12656901</v>
      </c>
      <c r="B365">
        <v>30.8</v>
      </c>
    </row>
    <row r="366" spans="1:2" x14ac:dyDescent="0.25">
      <c r="A366">
        <v>12657501</v>
      </c>
      <c r="B366">
        <v>39.47</v>
      </c>
    </row>
    <row r="367" spans="1:2" x14ac:dyDescent="0.25">
      <c r="A367">
        <v>12657601</v>
      </c>
      <c r="B367">
        <v>39.47</v>
      </c>
    </row>
    <row r="368" spans="1:2" x14ac:dyDescent="0.25">
      <c r="A368">
        <v>12657701</v>
      </c>
      <c r="B368">
        <v>20.440000000000001</v>
      </c>
    </row>
    <row r="369" spans="1:2" x14ac:dyDescent="0.25">
      <c r="A369">
        <v>12657801</v>
      </c>
      <c r="B369">
        <v>20.440000000000001</v>
      </c>
    </row>
    <row r="370" spans="1:2" x14ac:dyDescent="0.25">
      <c r="A370">
        <v>12657901</v>
      </c>
      <c r="B370">
        <v>50.12</v>
      </c>
    </row>
    <row r="371" spans="1:2" x14ac:dyDescent="0.25">
      <c r="A371">
        <v>12658001</v>
      </c>
      <c r="B371">
        <v>48.28</v>
      </c>
    </row>
    <row r="372" spans="1:2" x14ac:dyDescent="0.25">
      <c r="A372">
        <v>12658101</v>
      </c>
      <c r="B372">
        <v>23.97</v>
      </c>
    </row>
    <row r="373" spans="1:2" x14ac:dyDescent="0.25">
      <c r="A373">
        <v>12658201</v>
      </c>
      <c r="B373">
        <v>31.72</v>
      </c>
    </row>
    <row r="374" spans="1:2" x14ac:dyDescent="0.25">
      <c r="A374">
        <v>12659201</v>
      </c>
      <c r="B374">
        <v>29.21</v>
      </c>
    </row>
    <row r="375" spans="1:2" x14ac:dyDescent="0.25">
      <c r="A375">
        <v>12659301</v>
      </c>
      <c r="B375">
        <v>51.61</v>
      </c>
    </row>
    <row r="376" spans="1:2" x14ac:dyDescent="0.25">
      <c r="A376">
        <v>12659701</v>
      </c>
      <c r="B376">
        <v>42.65</v>
      </c>
    </row>
    <row r="377" spans="1:2" x14ac:dyDescent="0.25">
      <c r="A377">
        <v>12659801</v>
      </c>
      <c r="B377">
        <v>76.55</v>
      </c>
    </row>
    <row r="378" spans="1:2" x14ac:dyDescent="0.25">
      <c r="A378">
        <v>12659901</v>
      </c>
      <c r="B378">
        <v>61.54</v>
      </c>
    </row>
    <row r="379" spans="1:2" x14ac:dyDescent="0.25">
      <c r="A379">
        <v>12660201</v>
      </c>
      <c r="B379">
        <v>22.42</v>
      </c>
    </row>
    <row r="380" spans="1:2" x14ac:dyDescent="0.25">
      <c r="A380">
        <v>12660301</v>
      </c>
      <c r="B380">
        <v>22.27</v>
      </c>
    </row>
    <row r="381" spans="1:2" x14ac:dyDescent="0.25">
      <c r="A381">
        <v>12660401</v>
      </c>
      <c r="B381">
        <v>28.2</v>
      </c>
    </row>
    <row r="382" spans="1:2" x14ac:dyDescent="0.25">
      <c r="A382">
        <v>12660601</v>
      </c>
      <c r="B382">
        <v>28.2</v>
      </c>
    </row>
    <row r="383" spans="1:2" x14ac:dyDescent="0.25">
      <c r="A383">
        <v>12661901</v>
      </c>
      <c r="B383">
        <v>33.619999999999997</v>
      </c>
    </row>
    <row r="384" spans="1:2" x14ac:dyDescent="0.25">
      <c r="A384">
        <v>12662001</v>
      </c>
      <c r="B384">
        <v>33.619999999999997</v>
      </c>
    </row>
    <row r="385" spans="1:2" x14ac:dyDescent="0.25">
      <c r="A385">
        <v>12662901</v>
      </c>
      <c r="B385">
        <v>40.53</v>
      </c>
    </row>
    <row r="386" spans="1:2" x14ac:dyDescent="0.25">
      <c r="A386">
        <v>12663301</v>
      </c>
      <c r="B386">
        <v>32</v>
      </c>
    </row>
    <row r="387" spans="1:2" x14ac:dyDescent="0.25">
      <c r="A387">
        <v>12663401</v>
      </c>
      <c r="B387">
        <v>38.880000000000003</v>
      </c>
    </row>
    <row r="388" spans="1:2" x14ac:dyDescent="0.25">
      <c r="A388">
        <v>12663402</v>
      </c>
      <c r="B388">
        <v>38.880000000000003</v>
      </c>
    </row>
    <row r="389" spans="1:2" x14ac:dyDescent="0.25">
      <c r="A389">
        <v>12663403</v>
      </c>
      <c r="B389">
        <v>38.880000000000003</v>
      </c>
    </row>
    <row r="390" spans="1:2" x14ac:dyDescent="0.25">
      <c r="A390">
        <v>12663404</v>
      </c>
      <c r="B390">
        <v>30.45</v>
      </c>
    </row>
    <row r="391" spans="1:2" x14ac:dyDescent="0.25">
      <c r="A391">
        <v>12663501</v>
      </c>
      <c r="B391">
        <v>40.86</v>
      </c>
    </row>
    <row r="392" spans="1:2" x14ac:dyDescent="0.25">
      <c r="A392">
        <v>12663502</v>
      </c>
      <c r="B392">
        <v>40.86</v>
      </c>
    </row>
    <row r="393" spans="1:2" x14ac:dyDescent="0.25">
      <c r="A393">
        <v>12663503</v>
      </c>
      <c r="B393">
        <v>40.86</v>
      </c>
    </row>
    <row r="394" spans="1:2" x14ac:dyDescent="0.25">
      <c r="A394">
        <v>12663504</v>
      </c>
      <c r="B394">
        <v>40.86</v>
      </c>
    </row>
    <row r="395" spans="1:2" x14ac:dyDescent="0.25">
      <c r="A395">
        <v>12663505</v>
      </c>
      <c r="B395">
        <v>32</v>
      </c>
    </row>
    <row r="396" spans="1:2" x14ac:dyDescent="0.25">
      <c r="A396">
        <v>12664001</v>
      </c>
      <c r="B396">
        <v>65.430000000000007</v>
      </c>
    </row>
    <row r="397" spans="1:2" x14ac:dyDescent="0.25">
      <c r="A397">
        <v>12664002</v>
      </c>
      <c r="B397">
        <v>51.24</v>
      </c>
    </row>
    <row r="398" spans="1:2" x14ac:dyDescent="0.25">
      <c r="A398">
        <v>12664801</v>
      </c>
      <c r="B398">
        <v>29.39</v>
      </c>
    </row>
    <row r="399" spans="1:2" x14ac:dyDescent="0.25">
      <c r="A399">
        <v>12665901</v>
      </c>
      <c r="B399">
        <v>29.39</v>
      </c>
    </row>
    <row r="400" spans="1:2" x14ac:dyDescent="0.25">
      <c r="A400">
        <v>12666601</v>
      </c>
      <c r="B400">
        <v>81.81</v>
      </c>
    </row>
    <row r="401" spans="1:2" x14ac:dyDescent="0.25">
      <c r="A401">
        <v>12666602</v>
      </c>
      <c r="B401">
        <v>64.069999999999993</v>
      </c>
    </row>
    <row r="402" spans="1:2" x14ac:dyDescent="0.25">
      <c r="A402">
        <v>12667001</v>
      </c>
      <c r="B402">
        <v>29.39</v>
      </c>
    </row>
    <row r="403" spans="1:2" x14ac:dyDescent="0.25">
      <c r="A403">
        <v>12668101</v>
      </c>
      <c r="B403">
        <v>29.39</v>
      </c>
    </row>
    <row r="404" spans="1:2" x14ac:dyDescent="0.25">
      <c r="A404">
        <v>12668801</v>
      </c>
      <c r="B404">
        <v>49.05</v>
      </c>
    </row>
    <row r="405" spans="1:2" x14ac:dyDescent="0.25">
      <c r="A405">
        <v>12668802</v>
      </c>
      <c r="B405">
        <v>38.42</v>
      </c>
    </row>
    <row r="406" spans="1:2" x14ac:dyDescent="0.25">
      <c r="A406">
        <v>12669201</v>
      </c>
      <c r="B406">
        <v>31.3</v>
      </c>
    </row>
    <row r="407" spans="1:2" x14ac:dyDescent="0.25">
      <c r="A407">
        <v>12669601</v>
      </c>
      <c r="B407">
        <v>40.86</v>
      </c>
    </row>
    <row r="408" spans="1:2" x14ac:dyDescent="0.25">
      <c r="A408">
        <v>12669602</v>
      </c>
      <c r="B408">
        <v>40.86</v>
      </c>
    </row>
    <row r="409" spans="1:2" x14ac:dyDescent="0.25">
      <c r="A409">
        <v>12669603</v>
      </c>
      <c r="B409">
        <v>40.86</v>
      </c>
    </row>
    <row r="410" spans="1:2" x14ac:dyDescent="0.25">
      <c r="A410">
        <v>12669604</v>
      </c>
      <c r="B410">
        <v>40.86</v>
      </c>
    </row>
    <row r="411" spans="1:2" x14ac:dyDescent="0.25">
      <c r="A411">
        <v>12669605</v>
      </c>
      <c r="B411">
        <v>40.86</v>
      </c>
    </row>
    <row r="412" spans="1:2" x14ac:dyDescent="0.25">
      <c r="A412">
        <v>12669606</v>
      </c>
      <c r="B412">
        <v>40.86</v>
      </c>
    </row>
    <row r="413" spans="1:2" x14ac:dyDescent="0.25">
      <c r="A413">
        <v>12669607</v>
      </c>
      <c r="B413">
        <v>40.86</v>
      </c>
    </row>
    <row r="414" spans="1:2" x14ac:dyDescent="0.25">
      <c r="A414">
        <v>12669608</v>
      </c>
      <c r="B414">
        <v>32</v>
      </c>
    </row>
    <row r="415" spans="1:2" x14ac:dyDescent="0.25">
      <c r="A415">
        <v>12669901</v>
      </c>
      <c r="B415">
        <v>51.12</v>
      </c>
    </row>
    <row r="416" spans="1:2" x14ac:dyDescent="0.25">
      <c r="A416">
        <v>12669902</v>
      </c>
      <c r="B416">
        <v>40.04</v>
      </c>
    </row>
    <row r="417" spans="1:2" x14ac:dyDescent="0.25">
      <c r="A417">
        <v>12670301</v>
      </c>
      <c r="B417">
        <v>31.3</v>
      </c>
    </row>
    <row r="418" spans="1:2" x14ac:dyDescent="0.25">
      <c r="A418">
        <v>12670801</v>
      </c>
      <c r="B418">
        <v>26.55</v>
      </c>
    </row>
    <row r="419" spans="1:2" x14ac:dyDescent="0.25">
      <c r="A419">
        <v>12670802</v>
      </c>
      <c r="B419">
        <v>20.79</v>
      </c>
    </row>
    <row r="420" spans="1:2" x14ac:dyDescent="0.25">
      <c r="A420">
        <v>12671001</v>
      </c>
      <c r="B420">
        <v>36.81</v>
      </c>
    </row>
    <row r="421" spans="1:2" x14ac:dyDescent="0.25">
      <c r="A421">
        <v>12671002</v>
      </c>
      <c r="B421">
        <v>28.83</v>
      </c>
    </row>
    <row r="422" spans="1:2" x14ac:dyDescent="0.25">
      <c r="A422">
        <v>12671401</v>
      </c>
      <c r="B422">
        <v>31.3</v>
      </c>
    </row>
    <row r="423" spans="1:2" x14ac:dyDescent="0.25">
      <c r="A423">
        <v>12671801</v>
      </c>
      <c r="B423">
        <v>53.19</v>
      </c>
    </row>
    <row r="424" spans="1:2" x14ac:dyDescent="0.25">
      <c r="A424">
        <v>12671802</v>
      </c>
      <c r="B424">
        <v>53.19</v>
      </c>
    </row>
    <row r="425" spans="1:2" x14ac:dyDescent="0.25">
      <c r="A425">
        <v>12671803</v>
      </c>
      <c r="B425">
        <v>41.66</v>
      </c>
    </row>
    <row r="426" spans="1:2" x14ac:dyDescent="0.25">
      <c r="A426">
        <v>12672501</v>
      </c>
      <c r="B426">
        <v>49.69</v>
      </c>
    </row>
    <row r="427" spans="1:2" x14ac:dyDescent="0.25">
      <c r="A427">
        <v>12672601</v>
      </c>
      <c r="B427">
        <v>40.86</v>
      </c>
    </row>
    <row r="428" spans="1:2" x14ac:dyDescent="0.25">
      <c r="A428">
        <v>12672602</v>
      </c>
      <c r="B428">
        <v>40.86</v>
      </c>
    </row>
    <row r="429" spans="1:2" x14ac:dyDescent="0.25">
      <c r="A429">
        <v>12672603</v>
      </c>
      <c r="B429">
        <v>40.86</v>
      </c>
    </row>
    <row r="430" spans="1:2" x14ac:dyDescent="0.25">
      <c r="A430">
        <v>12672604</v>
      </c>
      <c r="B430">
        <v>40.86</v>
      </c>
    </row>
    <row r="431" spans="1:2" x14ac:dyDescent="0.25">
      <c r="A431">
        <v>12672605</v>
      </c>
      <c r="B431">
        <v>40.86</v>
      </c>
    </row>
    <row r="432" spans="1:2" x14ac:dyDescent="0.25">
      <c r="A432">
        <v>12672606</v>
      </c>
      <c r="B432">
        <v>40.86</v>
      </c>
    </row>
    <row r="433" spans="1:2" x14ac:dyDescent="0.25">
      <c r="A433">
        <v>12672607</v>
      </c>
      <c r="B433">
        <v>40.86</v>
      </c>
    </row>
    <row r="434" spans="1:2" x14ac:dyDescent="0.25">
      <c r="A434">
        <v>12672608</v>
      </c>
      <c r="B434">
        <v>40.86</v>
      </c>
    </row>
    <row r="435" spans="1:2" x14ac:dyDescent="0.25">
      <c r="A435">
        <v>12672609</v>
      </c>
      <c r="B435">
        <v>32</v>
      </c>
    </row>
    <row r="436" spans="1:2" x14ac:dyDescent="0.25">
      <c r="A436">
        <v>12672701</v>
      </c>
      <c r="B436">
        <v>40.86</v>
      </c>
    </row>
    <row r="437" spans="1:2" x14ac:dyDescent="0.25">
      <c r="A437">
        <v>12672702</v>
      </c>
      <c r="B437">
        <v>47.07</v>
      </c>
    </row>
    <row r="438" spans="1:2" x14ac:dyDescent="0.25">
      <c r="A438">
        <v>12672703</v>
      </c>
      <c r="B438">
        <v>40.86</v>
      </c>
    </row>
    <row r="439" spans="1:2" x14ac:dyDescent="0.25">
      <c r="A439">
        <v>12672704</v>
      </c>
      <c r="B439">
        <v>36.869999999999997</v>
      </c>
    </row>
    <row r="440" spans="1:2" x14ac:dyDescent="0.25">
      <c r="A440">
        <v>12673201</v>
      </c>
      <c r="B440">
        <v>61.38</v>
      </c>
    </row>
    <row r="441" spans="1:2" x14ac:dyDescent="0.25">
      <c r="A441">
        <v>12673202</v>
      </c>
      <c r="B441">
        <v>61.38</v>
      </c>
    </row>
    <row r="442" spans="1:2" x14ac:dyDescent="0.25">
      <c r="A442">
        <v>12673203</v>
      </c>
      <c r="B442">
        <v>61.38</v>
      </c>
    </row>
    <row r="443" spans="1:2" x14ac:dyDescent="0.25">
      <c r="A443">
        <v>12673204</v>
      </c>
      <c r="B443">
        <v>61.38</v>
      </c>
    </row>
    <row r="444" spans="1:2" x14ac:dyDescent="0.25">
      <c r="A444">
        <v>12673205</v>
      </c>
      <c r="B444">
        <v>48.07</v>
      </c>
    </row>
    <row r="445" spans="1:2" x14ac:dyDescent="0.25">
      <c r="A445">
        <v>12673601</v>
      </c>
      <c r="B445">
        <v>61.54</v>
      </c>
    </row>
    <row r="446" spans="1:2" x14ac:dyDescent="0.25">
      <c r="A446">
        <v>12674401</v>
      </c>
      <c r="B446">
        <v>40.86</v>
      </c>
    </row>
    <row r="447" spans="1:2" x14ac:dyDescent="0.25">
      <c r="A447">
        <v>12674402</v>
      </c>
      <c r="B447">
        <v>32</v>
      </c>
    </row>
    <row r="448" spans="1:2" x14ac:dyDescent="0.25">
      <c r="A448">
        <v>12674701</v>
      </c>
      <c r="B448">
        <v>61.54</v>
      </c>
    </row>
    <row r="449" spans="1:2" x14ac:dyDescent="0.25">
      <c r="A449">
        <v>12675601</v>
      </c>
      <c r="B449">
        <v>14.4</v>
      </c>
    </row>
    <row r="450" spans="1:2" x14ac:dyDescent="0.25">
      <c r="A450">
        <v>12675602</v>
      </c>
      <c r="B450">
        <v>14.4</v>
      </c>
    </row>
    <row r="451" spans="1:2" x14ac:dyDescent="0.25">
      <c r="A451">
        <v>12675603</v>
      </c>
      <c r="B451">
        <v>14.4</v>
      </c>
    </row>
    <row r="452" spans="1:2" x14ac:dyDescent="0.25">
      <c r="A452">
        <v>12675604</v>
      </c>
      <c r="B452">
        <v>14.4</v>
      </c>
    </row>
    <row r="453" spans="1:2" x14ac:dyDescent="0.25">
      <c r="A453">
        <v>12675801</v>
      </c>
      <c r="B453">
        <v>26.57</v>
      </c>
    </row>
    <row r="454" spans="1:2" x14ac:dyDescent="0.25">
      <c r="A454">
        <v>12676501</v>
      </c>
      <c r="B454">
        <v>57.55</v>
      </c>
    </row>
    <row r="455" spans="1:2" x14ac:dyDescent="0.25">
      <c r="A455">
        <v>12676502</v>
      </c>
      <c r="B455">
        <v>36.81</v>
      </c>
    </row>
    <row r="456" spans="1:2" x14ac:dyDescent="0.25">
      <c r="A456">
        <v>12676503</v>
      </c>
      <c r="B456">
        <v>36.81</v>
      </c>
    </row>
    <row r="457" spans="1:2" x14ac:dyDescent="0.25">
      <c r="A457">
        <v>12676504</v>
      </c>
      <c r="B457">
        <v>36.81</v>
      </c>
    </row>
    <row r="458" spans="1:2" x14ac:dyDescent="0.25">
      <c r="A458">
        <v>12676505</v>
      </c>
      <c r="B458">
        <v>57.55</v>
      </c>
    </row>
    <row r="459" spans="1:2" x14ac:dyDescent="0.25">
      <c r="A459">
        <v>12676506</v>
      </c>
      <c r="B459">
        <v>36.81</v>
      </c>
    </row>
    <row r="460" spans="1:2" x14ac:dyDescent="0.25">
      <c r="A460">
        <v>12676507</v>
      </c>
      <c r="B460">
        <v>36.81</v>
      </c>
    </row>
    <row r="461" spans="1:2" x14ac:dyDescent="0.25">
      <c r="A461">
        <v>12676508</v>
      </c>
      <c r="B461">
        <v>36.81</v>
      </c>
    </row>
    <row r="462" spans="1:2" x14ac:dyDescent="0.25">
      <c r="A462">
        <v>12676509</v>
      </c>
      <c r="B462">
        <v>48.69</v>
      </c>
    </row>
    <row r="463" spans="1:2" x14ac:dyDescent="0.25">
      <c r="A463">
        <v>12676510</v>
      </c>
      <c r="B463">
        <v>40.86</v>
      </c>
    </row>
    <row r="464" spans="1:2" x14ac:dyDescent="0.25">
      <c r="A464">
        <v>12676511</v>
      </c>
      <c r="B464">
        <v>48.69</v>
      </c>
    </row>
    <row r="465" spans="1:2" x14ac:dyDescent="0.25">
      <c r="A465">
        <v>12676512</v>
      </c>
      <c r="B465">
        <v>48.69</v>
      </c>
    </row>
    <row r="466" spans="1:2" x14ac:dyDescent="0.25">
      <c r="A466">
        <v>12676513</v>
      </c>
      <c r="B466">
        <v>48.69</v>
      </c>
    </row>
    <row r="467" spans="1:2" x14ac:dyDescent="0.25">
      <c r="A467">
        <v>12676514</v>
      </c>
      <c r="B467">
        <v>38.130000000000003</v>
      </c>
    </row>
    <row r="468" spans="1:2" x14ac:dyDescent="0.25">
      <c r="A468">
        <v>12676515</v>
      </c>
      <c r="B468">
        <v>48.69</v>
      </c>
    </row>
    <row r="469" spans="1:2" x14ac:dyDescent="0.25">
      <c r="A469">
        <v>12676516</v>
      </c>
      <c r="B469">
        <v>48.69</v>
      </c>
    </row>
    <row r="470" spans="1:2" x14ac:dyDescent="0.25">
      <c r="A470">
        <v>12676517</v>
      </c>
      <c r="B470">
        <v>38.130000000000003</v>
      </c>
    </row>
    <row r="471" spans="1:2" x14ac:dyDescent="0.25">
      <c r="A471">
        <v>12676901</v>
      </c>
      <c r="B471">
        <v>30.59</v>
      </c>
    </row>
    <row r="472" spans="1:2" x14ac:dyDescent="0.25">
      <c r="A472">
        <v>12678001</v>
      </c>
      <c r="B472">
        <v>30.59</v>
      </c>
    </row>
    <row r="473" spans="1:2" x14ac:dyDescent="0.25">
      <c r="A473">
        <v>12681501</v>
      </c>
      <c r="B473">
        <v>52.87</v>
      </c>
    </row>
    <row r="474" spans="1:2" x14ac:dyDescent="0.25">
      <c r="A474">
        <v>12681502</v>
      </c>
      <c r="B474">
        <v>67.5</v>
      </c>
    </row>
    <row r="475" spans="1:2" x14ac:dyDescent="0.25">
      <c r="A475">
        <v>12681701</v>
      </c>
      <c r="B475">
        <v>27</v>
      </c>
    </row>
    <row r="476" spans="1:2" x14ac:dyDescent="0.25">
      <c r="A476">
        <v>12681702</v>
      </c>
      <c r="B476">
        <v>27</v>
      </c>
    </row>
    <row r="477" spans="1:2" x14ac:dyDescent="0.25">
      <c r="A477">
        <v>12682001</v>
      </c>
      <c r="B477">
        <v>36.869999999999997</v>
      </c>
    </row>
    <row r="478" spans="1:2" x14ac:dyDescent="0.25">
      <c r="A478">
        <v>12682101</v>
      </c>
      <c r="B478">
        <v>40.04</v>
      </c>
    </row>
    <row r="479" spans="1:2" x14ac:dyDescent="0.25">
      <c r="A479">
        <v>12682301</v>
      </c>
      <c r="B479">
        <v>61.54</v>
      </c>
    </row>
    <row r="480" spans="1:2" x14ac:dyDescent="0.25">
      <c r="A480">
        <v>12682701</v>
      </c>
      <c r="B480">
        <v>28.83</v>
      </c>
    </row>
    <row r="481" spans="1:2" x14ac:dyDescent="0.25">
      <c r="A481">
        <v>12683301</v>
      </c>
      <c r="B481">
        <v>38.880000000000003</v>
      </c>
    </row>
    <row r="482" spans="1:2" x14ac:dyDescent="0.25">
      <c r="A482">
        <v>12683302</v>
      </c>
      <c r="B482">
        <v>38.880000000000003</v>
      </c>
    </row>
    <row r="483" spans="1:2" x14ac:dyDescent="0.25">
      <c r="A483">
        <v>12683303</v>
      </c>
      <c r="B483">
        <v>47.72</v>
      </c>
    </row>
    <row r="484" spans="1:2" x14ac:dyDescent="0.25">
      <c r="A484">
        <v>12684101</v>
      </c>
      <c r="B484">
        <v>30.78</v>
      </c>
    </row>
    <row r="485" spans="1:2" x14ac:dyDescent="0.25">
      <c r="A485">
        <v>12684102</v>
      </c>
      <c r="B485">
        <v>30.78</v>
      </c>
    </row>
    <row r="486" spans="1:2" x14ac:dyDescent="0.25">
      <c r="A486">
        <v>12684103</v>
      </c>
      <c r="B486">
        <v>30.78</v>
      </c>
    </row>
    <row r="487" spans="1:2" x14ac:dyDescent="0.25">
      <c r="A487">
        <v>12684104</v>
      </c>
      <c r="B487">
        <v>24.11</v>
      </c>
    </row>
    <row r="488" spans="1:2" x14ac:dyDescent="0.25">
      <c r="A488">
        <v>12686001</v>
      </c>
      <c r="B488">
        <v>48.28</v>
      </c>
    </row>
    <row r="489" spans="1:2" x14ac:dyDescent="0.25">
      <c r="A489">
        <v>12686101</v>
      </c>
      <c r="B489">
        <v>54.28</v>
      </c>
    </row>
    <row r="490" spans="1:2" x14ac:dyDescent="0.25">
      <c r="A490">
        <v>12686201</v>
      </c>
      <c r="B490">
        <v>54.28</v>
      </c>
    </row>
    <row r="491" spans="1:2" x14ac:dyDescent="0.25">
      <c r="A491">
        <v>12686301</v>
      </c>
      <c r="B491">
        <v>23.97</v>
      </c>
    </row>
    <row r="492" spans="1:2" x14ac:dyDescent="0.25">
      <c r="A492">
        <v>12686401</v>
      </c>
      <c r="B492">
        <v>23.97</v>
      </c>
    </row>
    <row r="493" spans="1:2" x14ac:dyDescent="0.25">
      <c r="A493">
        <v>12686501</v>
      </c>
      <c r="B493">
        <v>23.97</v>
      </c>
    </row>
    <row r="494" spans="1:2" x14ac:dyDescent="0.25">
      <c r="A494">
        <v>12686601</v>
      </c>
      <c r="B494">
        <v>20.79</v>
      </c>
    </row>
    <row r="495" spans="1:2" x14ac:dyDescent="0.25">
      <c r="A495">
        <v>12686701</v>
      </c>
      <c r="B495">
        <v>20.79</v>
      </c>
    </row>
    <row r="496" spans="1:2" x14ac:dyDescent="0.25">
      <c r="A496">
        <v>12686801</v>
      </c>
      <c r="B496">
        <v>20.79</v>
      </c>
    </row>
    <row r="497" spans="1:2" x14ac:dyDescent="0.25">
      <c r="A497">
        <v>12689601</v>
      </c>
      <c r="B497">
        <v>26.29</v>
      </c>
    </row>
    <row r="498" spans="1:2" x14ac:dyDescent="0.25">
      <c r="A498">
        <v>12689701</v>
      </c>
      <c r="B498">
        <v>26.29</v>
      </c>
    </row>
    <row r="499" spans="1:2" x14ac:dyDescent="0.25">
      <c r="A499">
        <v>12689801</v>
      </c>
      <c r="B499">
        <v>33.57</v>
      </c>
    </row>
    <row r="500" spans="1:2" x14ac:dyDescent="0.25">
      <c r="A500">
        <v>12689901</v>
      </c>
      <c r="B500">
        <v>38.770000000000003</v>
      </c>
    </row>
    <row r="501" spans="1:2" x14ac:dyDescent="0.25">
      <c r="A501">
        <v>12690001</v>
      </c>
      <c r="B501">
        <v>89.55</v>
      </c>
    </row>
    <row r="502" spans="1:2" x14ac:dyDescent="0.25">
      <c r="A502">
        <v>12690002</v>
      </c>
      <c r="B502">
        <v>89.55</v>
      </c>
    </row>
    <row r="503" spans="1:2" x14ac:dyDescent="0.25">
      <c r="A503">
        <v>12690003</v>
      </c>
      <c r="B503">
        <v>70.14</v>
      </c>
    </row>
    <row r="504" spans="1:2" x14ac:dyDescent="0.25">
      <c r="A504">
        <v>12690101</v>
      </c>
      <c r="B504">
        <v>38.770000000000003</v>
      </c>
    </row>
    <row r="505" spans="1:2" x14ac:dyDescent="0.25">
      <c r="A505">
        <v>12690201</v>
      </c>
      <c r="B505">
        <v>40.53</v>
      </c>
    </row>
    <row r="506" spans="1:2" x14ac:dyDescent="0.25">
      <c r="A506">
        <v>12690301</v>
      </c>
      <c r="B506">
        <v>40.53</v>
      </c>
    </row>
    <row r="507" spans="1:2" x14ac:dyDescent="0.25">
      <c r="A507">
        <v>12690401</v>
      </c>
      <c r="B507">
        <v>40.53</v>
      </c>
    </row>
    <row r="508" spans="1:2" x14ac:dyDescent="0.25">
      <c r="A508">
        <v>12690601</v>
      </c>
      <c r="B508">
        <v>31.72</v>
      </c>
    </row>
    <row r="509" spans="1:2" x14ac:dyDescent="0.25">
      <c r="A509">
        <v>12690701</v>
      </c>
      <c r="B509">
        <v>31.72</v>
      </c>
    </row>
    <row r="510" spans="1:2" x14ac:dyDescent="0.25">
      <c r="A510">
        <v>12690801</v>
      </c>
      <c r="B510">
        <v>31.72</v>
      </c>
    </row>
    <row r="511" spans="1:2" x14ac:dyDescent="0.25">
      <c r="A511">
        <v>12691501</v>
      </c>
      <c r="B511">
        <v>31.3</v>
      </c>
    </row>
    <row r="512" spans="1:2" x14ac:dyDescent="0.25">
      <c r="A512">
        <v>12691601</v>
      </c>
      <c r="B512">
        <v>31.3</v>
      </c>
    </row>
    <row r="513" spans="1:2" x14ac:dyDescent="0.25">
      <c r="A513">
        <v>14530301</v>
      </c>
      <c r="B513">
        <v>47.07</v>
      </c>
    </row>
    <row r="514" spans="1:2" x14ac:dyDescent="0.25">
      <c r="A514">
        <v>14530302</v>
      </c>
      <c r="B514">
        <v>47.07</v>
      </c>
    </row>
    <row r="515" spans="1:2" x14ac:dyDescent="0.25">
      <c r="A515">
        <v>14530303</v>
      </c>
      <c r="B515">
        <v>47.07</v>
      </c>
    </row>
    <row r="516" spans="1:2" x14ac:dyDescent="0.25">
      <c r="A516">
        <v>14530304</v>
      </c>
      <c r="B516">
        <v>36.869999999999997</v>
      </c>
    </row>
    <row r="517" spans="1:2" x14ac:dyDescent="0.25">
      <c r="A517">
        <v>14530401</v>
      </c>
      <c r="B517">
        <v>40.86</v>
      </c>
    </row>
    <row r="518" spans="1:2" x14ac:dyDescent="0.25">
      <c r="A518">
        <v>14530402</v>
      </c>
      <c r="B518">
        <v>40.86</v>
      </c>
    </row>
    <row r="519" spans="1:2" x14ac:dyDescent="0.25">
      <c r="A519">
        <v>14530403</v>
      </c>
      <c r="B519">
        <v>40.86</v>
      </c>
    </row>
    <row r="520" spans="1:2" x14ac:dyDescent="0.25">
      <c r="A520">
        <v>14530404</v>
      </c>
      <c r="B520">
        <v>40.86</v>
      </c>
    </row>
    <row r="521" spans="1:2" x14ac:dyDescent="0.25">
      <c r="A521">
        <v>14530405</v>
      </c>
      <c r="B521">
        <v>56.88</v>
      </c>
    </row>
    <row r="522" spans="1:2" x14ac:dyDescent="0.25">
      <c r="A522">
        <v>14530406</v>
      </c>
      <c r="B522">
        <v>40.86</v>
      </c>
    </row>
    <row r="523" spans="1:2" x14ac:dyDescent="0.25">
      <c r="A523">
        <v>14530407</v>
      </c>
      <c r="B523">
        <v>40.86</v>
      </c>
    </row>
    <row r="524" spans="1:2" x14ac:dyDescent="0.25">
      <c r="A524">
        <v>14530408</v>
      </c>
      <c r="B524">
        <v>40.86</v>
      </c>
    </row>
    <row r="525" spans="1:2" x14ac:dyDescent="0.25">
      <c r="A525">
        <v>14530409</v>
      </c>
      <c r="B525">
        <v>40.86</v>
      </c>
    </row>
    <row r="526" spans="1:2" x14ac:dyDescent="0.25">
      <c r="A526">
        <v>14530410</v>
      </c>
      <c r="B526">
        <v>56.88</v>
      </c>
    </row>
    <row r="527" spans="1:2" x14ac:dyDescent="0.25">
      <c r="A527">
        <v>14530411</v>
      </c>
      <c r="B527">
        <v>40.86</v>
      </c>
    </row>
    <row r="528" spans="1:2" x14ac:dyDescent="0.25">
      <c r="A528">
        <v>14530412</v>
      </c>
      <c r="B528">
        <v>44.55</v>
      </c>
    </row>
    <row r="529" spans="1:2" x14ac:dyDescent="0.25">
      <c r="A529">
        <v>14531001</v>
      </c>
      <c r="B529">
        <v>61.38</v>
      </c>
    </row>
    <row r="530" spans="1:2" x14ac:dyDescent="0.25">
      <c r="A530">
        <v>14531002</v>
      </c>
      <c r="B530">
        <v>48.07</v>
      </c>
    </row>
    <row r="531" spans="1:2" x14ac:dyDescent="0.25">
      <c r="A531">
        <v>14531801</v>
      </c>
      <c r="B531">
        <v>55.26</v>
      </c>
    </row>
    <row r="532" spans="1:2" x14ac:dyDescent="0.25">
      <c r="A532">
        <v>14531802</v>
      </c>
      <c r="B532">
        <v>55.26</v>
      </c>
    </row>
    <row r="533" spans="1:2" x14ac:dyDescent="0.25">
      <c r="A533">
        <v>14531901</v>
      </c>
      <c r="B533">
        <v>57.24</v>
      </c>
    </row>
    <row r="534" spans="1:2" x14ac:dyDescent="0.25">
      <c r="A534">
        <v>14531902</v>
      </c>
      <c r="B534">
        <v>44.83</v>
      </c>
    </row>
    <row r="535" spans="1:2" x14ac:dyDescent="0.25">
      <c r="A535">
        <v>14532801</v>
      </c>
      <c r="B535">
        <v>19.239999999999998</v>
      </c>
    </row>
    <row r="536" spans="1:2" x14ac:dyDescent="0.25">
      <c r="A536">
        <v>14533301</v>
      </c>
      <c r="B536">
        <v>20.79</v>
      </c>
    </row>
    <row r="537" spans="1:2" x14ac:dyDescent="0.25">
      <c r="A537">
        <v>14533401</v>
      </c>
      <c r="B537">
        <v>16</v>
      </c>
    </row>
    <row r="538" spans="1:2" x14ac:dyDescent="0.25">
      <c r="A538">
        <v>14535301</v>
      </c>
      <c r="B538">
        <v>32</v>
      </c>
    </row>
    <row r="539" spans="1:2" x14ac:dyDescent="0.25">
      <c r="A539">
        <v>14535401</v>
      </c>
      <c r="B539">
        <v>44.83</v>
      </c>
    </row>
    <row r="540" spans="1:2" x14ac:dyDescent="0.25">
      <c r="A540">
        <v>14721001</v>
      </c>
      <c r="B540">
        <v>22.42</v>
      </c>
    </row>
    <row r="541" spans="1:2" x14ac:dyDescent="0.25">
      <c r="A541">
        <v>14926501</v>
      </c>
      <c r="B541">
        <v>60.93</v>
      </c>
    </row>
    <row r="542" spans="1:2" x14ac:dyDescent="0.25">
      <c r="A542">
        <v>14926502</v>
      </c>
      <c r="B542">
        <v>40.86</v>
      </c>
    </row>
    <row r="543" spans="1:2" x14ac:dyDescent="0.25">
      <c r="A543">
        <v>14926503</v>
      </c>
      <c r="B543">
        <v>60.93</v>
      </c>
    </row>
    <row r="544" spans="1:2" x14ac:dyDescent="0.25">
      <c r="A544">
        <v>14926504</v>
      </c>
      <c r="B544">
        <v>55.26</v>
      </c>
    </row>
    <row r="545" spans="1:2" x14ac:dyDescent="0.25">
      <c r="A545">
        <v>14926505</v>
      </c>
      <c r="B545">
        <v>55.26</v>
      </c>
    </row>
    <row r="546" spans="1:2" x14ac:dyDescent="0.25">
      <c r="A546">
        <v>14926506</v>
      </c>
      <c r="B546">
        <v>55.26</v>
      </c>
    </row>
    <row r="547" spans="1:2" x14ac:dyDescent="0.25">
      <c r="A547">
        <v>14926507</v>
      </c>
      <c r="B547">
        <v>55.26</v>
      </c>
    </row>
    <row r="548" spans="1:2" x14ac:dyDescent="0.25">
      <c r="A548">
        <v>14926508</v>
      </c>
      <c r="B548">
        <v>60.93</v>
      </c>
    </row>
    <row r="549" spans="1:2" x14ac:dyDescent="0.25">
      <c r="A549">
        <v>14926509</v>
      </c>
      <c r="B549">
        <v>47.72</v>
      </c>
    </row>
    <row r="550" spans="1:2" x14ac:dyDescent="0.25">
      <c r="A550">
        <v>15189101</v>
      </c>
      <c r="B550">
        <v>36.81</v>
      </c>
    </row>
    <row r="551" spans="1:2" x14ac:dyDescent="0.25">
      <c r="A551">
        <v>15189102</v>
      </c>
      <c r="B551">
        <v>36.81</v>
      </c>
    </row>
    <row r="552" spans="1:2" x14ac:dyDescent="0.25">
      <c r="A552">
        <v>15189103</v>
      </c>
      <c r="B552">
        <v>36.81</v>
      </c>
    </row>
    <row r="553" spans="1:2" x14ac:dyDescent="0.25">
      <c r="A553">
        <v>15189104</v>
      </c>
      <c r="B553">
        <v>36.81</v>
      </c>
    </row>
    <row r="554" spans="1:2" x14ac:dyDescent="0.25">
      <c r="A554">
        <v>15205101</v>
      </c>
      <c r="B554">
        <v>92.07</v>
      </c>
    </row>
    <row r="555" spans="1:2" x14ac:dyDescent="0.25">
      <c r="A555">
        <v>15205102</v>
      </c>
      <c r="B555">
        <v>92.07</v>
      </c>
    </row>
    <row r="556" spans="1:2" x14ac:dyDescent="0.25">
      <c r="A556">
        <v>15205103</v>
      </c>
      <c r="B556">
        <v>92.07</v>
      </c>
    </row>
    <row r="557" spans="1:2" x14ac:dyDescent="0.25">
      <c r="A557">
        <v>15205401</v>
      </c>
      <c r="B557">
        <v>55.26</v>
      </c>
    </row>
    <row r="558" spans="1:2" x14ac:dyDescent="0.25">
      <c r="A558">
        <v>15205402</v>
      </c>
      <c r="B558">
        <v>55.26</v>
      </c>
    </row>
    <row r="559" spans="1:2" x14ac:dyDescent="0.25">
      <c r="A559">
        <v>15205403</v>
      </c>
      <c r="B559">
        <v>55.26</v>
      </c>
    </row>
    <row r="560" spans="1:2" x14ac:dyDescent="0.25">
      <c r="A560">
        <v>15205701</v>
      </c>
      <c r="B560">
        <v>69.569999999999993</v>
      </c>
    </row>
    <row r="561" spans="1:2" x14ac:dyDescent="0.25">
      <c r="A561">
        <v>15205702</v>
      </c>
      <c r="B561">
        <v>69.569999999999993</v>
      </c>
    </row>
    <row r="562" spans="1:2" x14ac:dyDescent="0.25">
      <c r="A562">
        <v>15205703</v>
      </c>
      <c r="B562">
        <v>69.569999999999993</v>
      </c>
    </row>
    <row r="563" spans="1:2" x14ac:dyDescent="0.25">
      <c r="A563">
        <v>15205704</v>
      </c>
      <c r="B563">
        <v>69.569999999999993</v>
      </c>
    </row>
    <row r="564" spans="1:2" x14ac:dyDescent="0.25">
      <c r="A564">
        <v>15205705</v>
      </c>
      <c r="B564">
        <v>69.569999999999993</v>
      </c>
    </row>
    <row r="565" spans="1:2" x14ac:dyDescent="0.25">
      <c r="A565">
        <v>15205801</v>
      </c>
      <c r="B565">
        <v>40.86</v>
      </c>
    </row>
    <row r="566" spans="1:2" x14ac:dyDescent="0.25">
      <c r="A566">
        <v>15205802</v>
      </c>
      <c r="B566">
        <v>40.86</v>
      </c>
    </row>
    <row r="567" spans="1:2" x14ac:dyDescent="0.25">
      <c r="A567">
        <v>15205803</v>
      </c>
      <c r="B567">
        <v>40.86</v>
      </c>
    </row>
    <row r="568" spans="1:2" x14ac:dyDescent="0.25">
      <c r="A568">
        <v>15206701</v>
      </c>
      <c r="B568">
        <v>71.64</v>
      </c>
    </row>
    <row r="569" spans="1:2" x14ac:dyDescent="0.25">
      <c r="A569">
        <v>17339201</v>
      </c>
      <c r="B569">
        <v>65.069999999999993</v>
      </c>
    </row>
    <row r="570" spans="1:2" x14ac:dyDescent="0.25">
      <c r="A570">
        <v>17339202</v>
      </c>
      <c r="B570">
        <v>65.069999999999993</v>
      </c>
    </row>
    <row r="571" spans="1:2" x14ac:dyDescent="0.25">
      <c r="A571">
        <v>17339203</v>
      </c>
      <c r="B571">
        <v>65.069999999999993</v>
      </c>
    </row>
    <row r="572" spans="1:2" x14ac:dyDescent="0.25">
      <c r="A572">
        <v>17339204</v>
      </c>
      <c r="B572">
        <v>65.069999999999993</v>
      </c>
    </row>
    <row r="573" spans="1:2" x14ac:dyDescent="0.25">
      <c r="A573">
        <v>17803601</v>
      </c>
      <c r="B573">
        <v>60.84</v>
      </c>
    </row>
    <row r="574" spans="1:2" x14ac:dyDescent="0.25">
      <c r="A574">
        <v>17803602</v>
      </c>
      <c r="B574">
        <v>60.84</v>
      </c>
    </row>
    <row r="575" spans="1:2" x14ac:dyDescent="0.25">
      <c r="A575">
        <v>17803603</v>
      </c>
      <c r="B575">
        <v>60.84</v>
      </c>
    </row>
    <row r="576" spans="1:2" x14ac:dyDescent="0.25">
      <c r="A576">
        <v>17803604</v>
      </c>
      <c r="B576">
        <v>60.84</v>
      </c>
    </row>
    <row r="577" spans="1:2" x14ac:dyDescent="0.25">
      <c r="A577">
        <v>17803605</v>
      </c>
      <c r="B577">
        <v>60.84</v>
      </c>
    </row>
    <row r="578" spans="1:2" x14ac:dyDescent="0.25">
      <c r="A578">
        <v>18171401</v>
      </c>
      <c r="B578">
        <v>65.069999999999993</v>
      </c>
    </row>
    <row r="579" spans="1:2" x14ac:dyDescent="0.25">
      <c r="A579">
        <v>18171402</v>
      </c>
      <c r="B579">
        <v>65.069999999999993</v>
      </c>
    </row>
    <row r="580" spans="1:2" x14ac:dyDescent="0.25">
      <c r="A580">
        <v>18171403</v>
      </c>
      <c r="B580">
        <v>65.069999999999993</v>
      </c>
    </row>
    <row r="581" spans="1:2" x14ac:dyDescent="0.25">
      <c r="A581">
        <v>18171404</v>
      </c>
      <c r="B581">
        <v>65.069999999999993</v>
      </c>
    </row>
    <row r="582" spans="1:2" x14ac:dyDescent="0.25">
      <c r="A582">
        <v>18172501</v>
      </c>
      <c r="B582">
        <v>73.260000000000005</v>
      </c>
    </row>
    <row r="583" spans="1:2" x14ac:dyDescent="0.25">
      <c r="A583">
        <v>18172502</v>
      </c>
      <c r="B583">
        <v>73.260000000000005</v>
      </c>
    </row>
    <row r="584" spans="1:2" x14ac:dyDescent="0.25">
      <c r="A584">
        <v>18172503</v>
      </c>
      <c r="B584">
        <v>73.260000000000005</v>
      </c>
    </row>
    <row r="585" spans="1:2" x14ac:dyDescent="0.25">
      <c r="A585">
        <v>18172504</v>
      </c>
      <c r="B585">
        <v>73.260000000000005</v>
      </c>
    </row>
    <row r="586" spans="1:2" x14ac:dyDescent="0.25">
      <c r="A586">
        <v>18465001</v>
      </c>
      <c r="B586">
        <v>81.45</v>
      </c>
    </row>
    <row r="587" spans="1:2" x14ac:dyDescent="0.25">
      <c r="A587">
        <v>18465002</v>
      </c>
      <c r="B587">
        <v>81.45</v>
      </c>
    </row>
    <row r="588" spans="1:2" x14ac:dyDescent="0.25">
      <c r="A588">
        <v>18465003</v>
      </c>
      <c r="B588">
        <v>63.79</v>
      </c>
    </row>
    <row r="589" spans="1:2" x14ac:dyDescent="0.25">
      <c r="A589">
        <v>18680501</v>
      </c>
      <c r="B589">
        <v>41.31</v>
      </c>
    </row>
    <row r="590" spans="1:2" x14ac:dyDescent="0.25">
      <c r="A590">
        <v>18680701</v>
      </c>
      <c r="B590">
        <v>44.55</v>
      </c>
    </row>
    <row r="591" spans="1:2" x14ac:dyDescent="0.25">
      <c r="A591">
        <v>18834301</v>
      </c>
      <c r="B591">
        <v>34.15</v>
      </c>
    </row>
    <row r="592" spans="1:2" x14ac:dyDescent="0.25">
      <c r="A592">
        <v>19272801</v>
      </c>
      <c r="B592">
        <v>65.3</v>
      </c>
    </row>
    <row r="593" spans="1:2" x14ac:dyDescent="0.25">
      <c r="A593">
        <v>19379601</v>
      </c>
      <c r="B593">
        <v>57.84</v>
      </c>
    </row>
    <row r="594" spans="1:2" x14ac:dyDescent="0.25">
      <c r="A594">
        <v>19387101</v>
      </c>
      <c r="B594">
        <v>68.72</v>
      </c>
    </row>
    <row r="595" spans="1:2" x14ac:dyDescent="0.25">
      <c r="A595">
        <v>19433101</v>
      </c>
      <c r="B595">
        <v>61.44</v>
      </c>
    </row>
    <row r="596" spans="1:2" x14ac:dyDescent="0.25">
      <c r="A596">
        <v>19435401</v>
      </c>
      <c r="B596">
        <v>61.44</v>
      </c>
    </row>
    <row r="597" spans="1:2" x14ac:dyDescent="0.25">
      <c r="A597">
        <v>19662301</v>
      </c>
      <c r="B597">
        <v>147.32</v>
      </c>
    </row>
    <row r="598" spans="1:2" x14ac:dyDescent="0.25">
      <c r="A598">
        <v>19662501</v>
      </c>
      <c r="B598">
        <v>147.32</v>
      </c>
    </row>
    <row r="599" spans="1:2" x14ac:dyDescent="0.25">
      <c r="A599">
        <v>64174601</v>
      </c>
      <c r="B599">
        <v>57.55</v>
      </c>
    </row>
    <row r="600" spans="1:2" x14ac:dyDescent="0.25">
      <c r="A600">
        <v>64175801</v>
      </c>
      <c r="B600">
        <v>72.3</v>
      </c>
    </row>
    <row r="601" spans="1:2" x14ac:dyDescent="0.25">
      <c r="A601">
        <v>64176601</v>
      </c>
      <c r="B601">
        <v>143.19</v>
      </c>
    </row>
    <row r="602" spans="1:2" x14ac:dyDescent="0.25">
      <c r="A602">
        <v>64176602</v>
      </c>
      <c r="B602">
        <v>143.19</v>
      </c>
    </row>
    <row r="603" spans="1:2" x14ac:dyDescent="0.25">
      <c r="A603">
        <v>64176701</v>
      </c>
      <c r="B603">
        <v>101.88</v>
      </c>
    </row>
    <row r="604" spans="1:2" x14ac:dyDescent="0.25">
      <c r="A604">
        <v>64178901</v>
      </c>
      <c r="B604">
        <v>67.7</v>
      </c>
    </row>
    <row r="605" spans="1:2" x14ac:dyDescent="0.25">
      <c r="A605">
        <v>64179101</v>
      </c>
      <c r="B605">
        <v>90.5</v>
      </c>
    </row>
    <row r="606" spans="1:2" x14ac:dyDescent="0.25">
      <c r="A606">
        <v>64179102</v>
      </c>
      <c r="B606">
        <v>90.5</v>
      </c>
    </row>
    <row r="607" spans="1:2" x14ac:dyDescent="0.25">
      <c r="A607">
        <v>64179501</v>
      </c>
      <c r="B607">
        <v>181.4</v>
      </c>
    </row>
    <row r="608" spans="1:2" x14ac:dyDescent="0.25">
      <c r="A608">
        <v>64179601</v>
      </c>
      <c r="B608">
        <v>67.599999999999994</v>
      </c>
    </row>
    <row r="609" spans="1:2" x14ac:dyDescent="0.25">
      <c r="A609">
        <v>64179602</v>
      </c>
      <c r="B609">
        <v>67.599999999999994</v>
      </c>
    </row>
    <row r="610" spans="1:2" x14ac:dyDescent="0.25">
      <c r="A610">
        <v>64179603</v>
      </c>
      <c r="B610">
        <v>67.599999999999994</v>
      </c>
    </row>
    <row r="611" spans="1:2" x14ac:dyDescent="0.25">
      <c r="A611">
        <v>64179604</v>
      </c>
      <c r="B611">
        <v>67.599999999999994</v>
      </c>
    </row>
    <row r="612" spans="1:2" x14ac:dyDescent="0.25">
      <c r="A612">
        <v>64179901</v>
      </c>
      <c r="B612">
        <v>67.7</v>
      </c>
    </row>
    <row r="613" spans="1:2" x14ac:dyDescent="0.25">
      <c r="A613">
        <v>64179902</v>
      </c>
      <c r="B613">
        <v>67.7</v>
      </c>
    </row>
    <row r="614" spans="1:2" x14ac:dyDescent="0.25">
      <c r="A614">
        <v>64812101</v>
      </c>
      <c r="B614">
        <v>48.69</v>
      </c>
    </row>
    <row r="615" spans="1:2" x14ac:dyDescent="0.25">
      <c r="A615">
        <v>64812801</v>
      </c>
      <c r="B615">
        <v>49.84</v>
      </c>
    </row>
    <row r="616" spans="1:2" x14ac:dyDescent="0.25">
      <c r="A616">
        <v>64812901</v>
      </c>
      <c r="B616">
        <v>49.84</v>
      </c>
    </row>
    <row r="617" spans="1:2" x14ac:dyDescent="0.25">
      <c r="A617">
        <v>65322401</v>
      </c>
      <c r="B617">
        <v>57.57</v>
      </c>
    </row>
    <row r="618" spans="1:2" x14ac:dyDescent="0.25">
      <c r="A618">
        <v>65322501</v>
      </c>
      <c r="B618">
        <v>57.57</v>
      </c>
    </row>
    <row r="619" spans="1:2" x14ac:dyDescent="0.25">
      <c r="A619">
        <v>65322601</v>
      </c>
      <c r="B619">
        <v>48.69</v>
      </c>
    </row>
    <row r="620" spans="1:2" x14ac:dyDescent="0.25">
      <c r="A620">
        <v>65322701</v>
      </c>
      <c r="B620">
        <v>48.69</v>
      </c>
    </row>
    <row r="621" spans="1:2" x14ac:dyDescent="0.25">
      <c r="A621">
        <v>65336201</v>
      </c>
      <c r="B621">
        <v>73.02</v>
      </c>
    </row>
    <row r="622" spans="1:2" x14ac:dyDescent="0.25">
      <c r="A622">
        <v>65407901</v>
      </c>
      <c r="B622">
        <v>76.89</v>
      </c>
    </row>
    <row r="623" spans="1:2" x14ac:dyDescent="0.25">
      <c r="A623">
        <v>66067801</v>
      </c>
      <c r="B623">
        <v>56.88</v>
      </c>
    </row>
    <row r="624" spans="1:2" x14ac:dyDescent="0.25">
      <c r="A624">
        <v>66068301</v>
      </c>
      <c r="B624">
        <v>73.02</v>
      </c>
    </row>
    <row r="625" spans="1:2" x14ac:dyDescent="0.25">
      <c r="A625">
        <v>66068401</v>
      </c>
      <c r="B625">
        <v>73.02</v>
      </c>
    </row>
    <row r="626" spans="1:2" x14ac:dyDescent="0.25">
      <c r="A626">
        <v>66068901</v>
      </c>
      <c r="B626">
        <v>56.88</v>
      </c>
    </row>
    <row r="627" spans="1:2" x14ac:dyDescent="0.25">
      <c r="A627">
        <v>66069001</v>
      </c>
      <c r="B627">
        <v>56.88</v>
      </c>
    </row>
    <row r="628" spans="1:2" x14ac:dyDescent="0.25">
      <c r="A628">
        <v>66341401</v>
      </c>
      <c r="B628">
        <v>76.89</v>
      </c>
    </row>
    <row r="629" spans="1:2" x14ac:dyDescent="0.25">
      <c r="A629">
        <v>66341501</v>
      </c>
      <c r="B629">
        <v>76.89</v>
      </c>
    </row>
    <row r="630" spans="1:2" x14ac:dyDescent="0.25">
      <c r="A630">
        <v>66659001</v>
      </c>
      <c r="B630">
        <v>77.27</v>
      </c>
    </row>
    <row r="631" spans="1:2" x14ac:dyDescent="0.25">
      <c r="A631">
        <v>68583101</v>
      </c>
      <c r="B631">
        <v>72.400000000000006</v>
      </c>
    </row>
    <row r="632" spans="1:2" x14ac:dyDescent="0.25">
      <c r="A632">
        <v>68585001</v>
      </c>
      <c r="B632">
        <v>77.27</v>
      </c>
    </row>
    <row r="633" spans="1:2" x14ac:dyDescent="0.25">
      <c r="A633">
        <v>69229901</v>
      </c>
      <c r="B633">
        <v>72.400000000000006</v>
      </c>
    </row>
    <row r="634" spans="1:2" x14ac:dyDescent="0.25">
      <c r="A634">
        <v>69582601</v>
      </c>
      <c r="B634">
        <v>68.72</v>
      </c>
    </row>
    <row r="635" spans="1:2" x14ac:dyDescent="0.25">
      <c r="A635">
        <v>69582701</v>
      </c>
      <c r="B635">
        <v>68.72</v>
      </c>
    </row>
    <row r="636" spans="1:2" x14ac:dyDescent="0.25">
      <c r="A636">
        <v>69584101</v>
      </c>
      <c r="B636">
        <v>83.28</v>
      </c>
    </row>
    <row r="637" spans="1:2" x14ac:dyDescent="0.25">
      <c r="A637">
        <v>69584701</v>
      </c>
      <c r="B637">
        <v>57.84</v>
      </c>
    </row>
    <row r="638" spans="1:2" x14ac:dyDescent="0.25">
      <c r="A638">
        <v>69584801</v>
      </c>
      <c r="B638">
        <v>57.84</v>
      </c>
    </row>
    <row r="639" spans="1:2" x14ac:dyDescent="0.25">
      <c r="A639">
        <v>12652101</v>
      </c>
      <c r="B639">
        <v>16.920000000000002</v>
      </c>
    </row>
    <row r="640" spans="1:2" x14ac:dyDescent="0.25">
      <c r="A640">
        <v>12652201</v>
      </c>
      <c r="B640">
        <v>16.920000000000002</v>
      </c>
    </row>
    <row r="641" spans="1:2" x14ac:dyDescent="0.25">
      <c r="A641">
        <v>12652301</v>
      </c>
      <c r="B641">
        <v>16.920000000000002</v>
      </c>
    </row>
    <row r="642" spans="1:2" x14ac:dyDescent="0.25">
      <c r="A642">
        <v>12652401</v>
      </c>
      <c r="B642">
        <v>16.920000000000002</v>
      </c>
    </row>
    <row r="643" spans="1:2" x14ac:dyDescent="0.25">
      <c r="A643">
        <v>12652501</v>
      </c>
      <c r="B643">
        <v>16.920000000000002</v>
      </c>
    </row>
    <row r="644" spans="1:2" x14ac:dyDescent="0.25">
      <c r="A644">
        <v>12652601</v>
      </c>
      <c r="B644">
        <v>16.920000000000002</v>
      </c>
    </row>
    <row r="645" spans="1:2" x14ac:dyDescent="0.25">
      <c r="A645">
        <v>12653101</v>
      </c>
      <c r="B645">
        <v>18.399999999999999</v>
      </c>
    </row>
    <row r="646" spans="1:2" x14ac:dyDescent="0.25">
      <c r="A646">
        <v>12653201</v>
      </c>
      <c r="B646">
        <v>21.22</v>
      </c>
    </row>
    <row r="647" spans="1:2" x14ac:dyDescent="0.25">
      <c r="A647">
        <v>12653701</v>
      </c>
      <c r="B647">
        <v>17.62</v>
      </c>
    </row>
    <row r="648" spans="1:2" x14ac:dyDescent="0.25">
      <c r="A648">
        <v>12653801</v>
      </c>
      <c r="B648">
        <v>15.23</v>
      </c>
    </row>
    <row r="649" spans="1:2" x14ac:dyDescent="0.25">
      <c r="A649">
        <v>12654001</v>
      </c>
      <c r="B649">
        <v>23.54</v>
      </c>
    </row>
    <row r="650" spans="1:2" x14ac:dyDescent="0.25">
      <c r="A650">
        <v>12654101</v>
      </c>
      <c r="B650">
        <v>26.22</v>
      </c>
    </row>
    <row r="651" spans="1:2" x14ac:dyDescent="0.25">
      <c r="A651">
        <v>12654201</v>
      </c>
      <c r="B651">
        <v>26.22</v>
      </c>
    </row>
    <row r="652" spans="1:2" x14ac:dyDescent="0.25">
      <c r="A652">
        <v>12654301</v>
      </c>
      <c r="B652">
        <v>21.57</v>
      </c>
    </row>
    <row r="653" spans="1:2" x14ac:dyDescent="0.25">
      <c r="A653">
        <v>12655301</v>
      </c>
      <c r="B653">
        <v>21.57</v>
      </c>
    </row>
    <row r="654" spans="1:2" x14ac:dyDescent="0.25">
      <c r="A654">
        <v>12655401</v>
      </c>
      <c r="B654">
        <v>22.98</v>
      </c>
    </row>
    <row r="655" spans="1:2" x14ac:dyDescent="0.25">
      <c r="A655">
        <v>12655601</v>
      </c>
      <c r="B655">
        <v>27.63</v>
      </c>
    </row>
    <row r="656" spans="1:2" x14ac:dyDescent="0.25">
      <c r="A656">
        <v>12655701</v>
      </c>
      <c r="B656">
        <v>27.63</v>
      </c>
    </row>
    <row r="657" spans="1:2" x14ac:dyDescent="0.25">
      <c r="A657">
        <v>12655801</v>
      </c>
      <c r="B657">
        <v>15.93</v>
      </c>
    </row>
    <row r="658" spans="1:2" x14ac:dyDescent="0.25">
      <c r="A658">
        <v>12656201</v>
      </c>
      <c r="B658">
        <v>21.22</v>
      </c>
    </row>
    <row r="659" spans="1:2" x14ac:dyDescent="0.25">
      <c r="A659">
        <v>12656301</v>
      </c>
      <c r="B659">
        <v>20.79</v>
      </c>
    </row>
    <row r="660" spans="1:2" x14ac:dyDescent="0.25">
      <c r="A660">
        <v>12656401</v>
      </c>
      <c r="B660">
        <v>20.79</v>
      </c>
    </row>
    <row r="661" spans="1:2" x14ac:dyDescent="0.25">
      <c r="A661">
        <v>12656501</v>
      </c>
      <c r="B661">
        <v>24.11</v>
      </c>
    </row>
    <row r="662" spans="1:2" x14ac:dyDescent="0.25">
      <c r="A662">
        <v>12656601</v>
      </c>
      <c r="B662">
        <v>16</v>
      </c>
    </row>
    <row r="663" spans="1:2" x14ac:dyDescent="0.25">
      <c r="A663">
        <v>12656701</v>
      </c>
      <c r="B663">
        <v>15.93</v>
      </c>
    </row>
    <row r="664" spans="1:2" x14ac:dyDescent="0.25">
      <c r="A664">
        <v>12658401</v>
      </c>
      <c r="B664">
        <v>17.2</v>
      </c>
    </row>
    <row r="665" spans="1:2" x14ac:dyDescent="0.25">
      <c r="A665">
        <v>12658501</v>
      </c>
      <c r="B665">
        <v>17.2</v>
      </c>
    </row>
    <row r="666" spans="1:2" x14ac:dyDescent="0.25">
      <c r="A666">
        <v>12658601</v>
      </c>
      <c r="B666">
        <v>32.57</v>
      </c>
    </row>
    <row r="667" spans="1:2" x14ac:dyDescent="0.25">
      <c r="A667">
        <v>12658701</v>
      </c>
      <c r="B667">
        <v>19.239999999999998</v>
      </c>
    </row>
    <row r="668" spans="1:2" x14ac:dyDescent="0.25">
      <c r="A668">
        <v>12658801</v>
      </c>
      <c r="B668">
        <v>19.239999999999998</v>
      </c>
    </row>
    <row r="669" spans="1:2" x14ac:dyDescent="0.25">
      <c r="A669">
        <v>12658901</v>
      </c>
      <c r="B669">
        <v>23.68</v>
      </c>
    </row>
    <row r="670" spans="1:2" x14ac:dyDescent="0.25">
      <c r="A670">
        <v>12659001</v>
      </c>
      <c r="B670">
        <v>23.68</v>
      </c>
    </row>
    <row r="671" spans="1:2" x14ac:dyDescent="0.25">
      <c r="A671">
        <v>12659101</v>
      </c>
      <c r="B671">
        <v>26.5</v>
      </c>
    </row>
    <row r="672" spans="1:2" x14ac:dyDescent="0.25">
      <c r="A672">
        <v>12659401</v>
      </c>
      <c r="B672">
        <v>18.75</v>
      </c>
    </row>
    <row r="673" spans="1:2" x14ac:dyDescent="0.25">
      <c r="A673">
        <v>12659501</v>
      </c>
      <c r="B673">
        <v>27.41</v>
      </c>
    </row>
    <row r="674" spans="1:2" x14ac:dyDescent="0.25">
      <c r="A674">
        <v>12659601</v>
      </c>
      <c r="B674">
        <v>25.53</v>
      </c>
    </row>
    <row r="675" spans="1:2" x14ac:dyDescent="0.25">
      <c r="A675">
        <v>12660001</v>
      </c>
      <c r="B675">
        <v>21.22</v>
      </c>
    </row>
    <row r="676" spans="1:2" x14ac:dyDescent="0.25">
      <c r="A676">
        <v>12660501</v>
      </c>
      <c r="B676">
        <v>23.94</v>
      </c>
    </row>
    <row r="677" spans="1:2" x14ac:dyDescent="0.25">
      <c r="A677">
        <v>12660502</v>
      </c>
      <c r="B677">
        <v>32.67</v>
      </c>
    </row>
    <row r="678" spans="1:2" x14ac:dyDescent="0.25">
      <c r="A678">
        <v>12660503</v>
      </c>
      <c r="B678">
        <v>25.59</v>
      </c>
    </row>
    <row r="679" spans="1:2" x14ac:dyDescent="0.25">
      <c r="A679">
        <v>12660701</v>
      </c>
      <c r="B679">
        <v>19.03</v>
      </c>
    </row>
    <row r="680" spans="1:2" x14ac:dyDescent="0.25">
      <c r="A680">
        <v>12660801</v>
      </c>
      <c r="B680">
        <v>26.08</v>
      </c>
    </row>
    <row r="681" spans="1:2" x14ac:dyDescent="0.25">
      <c r="A681">
        <v>12660901</v>
      </c>
      <c r="B681">
        <v>20.79</v>
      </c>
    </row>
    <row r="682" spans="1:2" x14ac:dyDescent="0.25">
      <c r="A682">
        <v>12661001</v>
      </c>
      <c r="B682">
        <v>20.79</v>
      </c>
    </row>
    <row r="683" spans="1:2" x14ac:dyDescent="0.25">
      <c r="A683">
        <v>12661101</v>
      </c>
      <c r="B683">
        <v>22.42</v>
      </c>
    </row>
    <row r="684" spans="1:2" x14ac:dyDescent="0.25">
      <c r="A684">
        <v>12661201</v>
      </c>
      <c r="B684">
        <v>22.42</v>
      </c>
    </row>
    <row r="685" spans="1:2" x14ac:dyDescent="0.25">
      <c r="A685">
        <v>12661301</v>
      </c>
      <c r="B685">
        <v>36.869999999999997</v>
      </c>
    </row>
    <row r="686" spans="1:2" x14ac:dyDescent="0.25">
      <c r="A686">
        <v>12661401</v>
      </c>
      <c r="B686">
        <v>36.869999999999997</v>
      </c>
    </row>
    <row r="687" spans="1:2" x14ac:dyDescent="0.25">
      <c r="A687">
        <v>12661501</v>
      </c>
      <c r="B687">
        <v>30.45</v>
      </c>
    </row>
    <row r="688" spans="1:2" x14ac:dyDescent="0.25">
      <c r="A688">
        <v>12661601</v>
      </c>
      <c r="B688">
        <v>18.75</v>
      </c>
    </row>
    <row r="689" spans="1:2" x14ac:dyDescent="0.25">
      <c r="A689">
        <v>12661701</v>
      </c>
      <c r="B689">
        <v>30.45</v>
      </c>
    </row>
    <row r="690" spans="1:2" x14ac:dyDescent="0.25">
      <c r="A690">
        <v>12661801</v>
      </c>
      <c r="B690">
        <v>16</v>
      </c>
    </row>
    <row r="691" spans="1:2" x14ac:dyDescent="0.25">
      <c r="A691">
        <v>12662201</v>
      </c>
      <c r="B691">
        <v>17.62</v>
      </c>
    </row>
    <row r="692" spans="1:2" x14ac:dyDescent="0.25">
      <c r="A692">
        <v>12662301</v>
      </c>
      <c r="B692">
        <v>17.62</v>
      </c>
    </row>
    <row r="693" spans="1:2" x14ac:dyDescent="0.25">
      <c r="A693">
        <v>12662701</v>
      </c>
      <c r="B693">
        <v>18.75</v>
      </c>
    </row>
    <row r="694" spans="1:2" x14ac:dyDescent="0.25">
      <c r="A694">
        <v>12663701</v>
      </c>
      <c r="B694">
        <v>18.75</v>
      </c>
    </row>
    <row r="695" spans="1:2" x14ac:dyDescent="0.25">
      <c r="A695">
        <v>12663801</v>
      </c>
      <c r="B695">
        <v>40.86</v>
      </c>
    </row>
    <row r="696" spans="1:2" x14ac:dyDescent="0.25">
      <c r="A696">
        <v>12663802</v>
      </c>
      <c r="B696">
        <v>40.86</v>
      </c>
    </row>
    <row r="697" spans="1:2" x14ac:dyDescent="0.25">
      <c r="A697">
        <v>12663803</v>
      </c>
      <c r="B697">
        <v>32</v>
      </c>
    </row>
    <row r="698" spans="1:2" x14ac:dyDescent="0.25">
      <c r="A698">
        <v>12664101</v>
      </c>
      <c r="B698">
        <v>32.67</v>
      </c>
    </row>
    <row r="699" spans="1:2" x14ac:dyDescent="0.25">
      <c r="A699">
        <v>12664102</v>
      </c>
      <c r="B699">
        <v>25.59</v>
      </c>
    </row>
    <row r="700" spans="1:2" x14ac:dyDescent="0.25">
      <c r="A700">
        <v>12664201</v>
      </c>
      <c r="B700">
        <v>30.69</v>
      </c>
    </row>
    <row r="701" spans="1:2" x14ac:dyDescent="0.25">
      <c r="A701">
        <v>12664202</v>
      </c>
      <c r="B701">
        <v>24.04</v>
      </c>
    </row>
    <row r="702" spans="1:2" x14ac:dyDescent="0.25">
      <c r="A702">
        <v>12664301</v>
      </c>
      <c r="B702">
        <v>32.67</v>
      </c>
    </row>
    <row r="703" spans="1:2" x14ac:dyDescent="0.25">
      <c r="A703">
        <v>12664302</v>
      </c>
      <c r="B703">
        <v>25.59</v>
      </c>
    </row>
    <row r="704" spans="1:2" x14ac:dyDescent="0.25">
      <c r="A704">
        <v>12664401</v>
      </c>
      <c r="B704">
        <v>53.1</v>
      </c>
    </row>
    <row r="705" spans="1:2" x14ac:dyDescent="0.25">
      <c r="A705">
        <v>12664402</v>
      </c>
      <c r="B705">
        <v>27.21</v>
      </c>
    </row>
    <row r="706" spans="1:2" x14ac:dyDescent="0.25">
      <c r="A706">
        <v>12664403</v>
      </c>
      <c r="B706">
        <v>34.74</v>
      </c>
    </row>
    <row r="707" spans="1:2" x14ac:dyDescent="0.25">
      <c r="A707">
        <v>12664404</v>
      </c>
      <c r="B707">
        <v>34.74</v>
      </c>
    </row>
    <row r="708" spans="1:2" x14ac:dyDescent="0.25">
      <c r="A708">
        <v>12664405</v>
      </c>
      <c r="B708">
        <v>34.74</v>
      </c>
    </row>
    <row r="709" spans="1:2" x14ac:dyDescent="0.25">
      <c r="A709">
        <v>12664406</v>
      </c>
      <c r="B709">
        <v>34.74</v>
      </c>
    </row>
    <row r="710" spans="1:2" x14ac:dyDescent="0.25">
      <c r="A710">
        <v>12664407</v>
      </c>
      <c r="B710">
        <v>34.74</v>
      </c>
    </row>
    <row r="711" spans="1:2" x14ac:dyDescent="0.25">
      <c r="A711">
        <v>12664408</v>
      </c>
      <c r="B711">
        <v>34.74</v>
      </c>
    </row>
    <row r="712" spans="1:2" x14ac:dyDescent="0.25">
      <c r="A712">
        <v>12664409</v>
      </c>
      <c r="B712">
        <v>34.74</v>
      </c>
    </row>
    <row r="713" spans="1:2" x14ac:dyDescent="0.25">
      <c r="A713">
        <v>12664410</v>
      </c>
      <c r="B713">
        <v>48.69</v>
      </c>
    </row>
    <row r="714" spans="1:2" x14ac:dyDescent="0.25">
      <c r="A714">
        <v>12664411</v>
      </c>
      <c r="B714">
        <v>34.74</v>
      </c>
    </row>
    <row r="715" spans="1:2" x14ac:dyDescent="0.25">
      <c r="A715">
        <v>12664412</v>
      </c>
      <c r="B715">
        <v>34.74</v>
      </c>
    </row>
    <row r="716" spans="1:2" x14ac:dyDescent="0.25">
      <c r="A716">
        <v>12664413</v>
      </c>
      <c r="B716">
        <v>38.880000000000003</v>
      </c>
    </row>
    <row r="717" spans="1:2" x14ac:dyDescent="0.25">
      <c r="A717">
        <v>12664414</v>
      </c>
      <c r="B717">
        <v>30.45</v>
      </c>
    </row>
    <row r="718" spans="1:2" x14ac:dyDescent="0.25">
      <c r="A718">
        <v>12664415</v>
      </c>
      <c r="B718">
        <v>48.69</v>
      </c>
    </row>
    <row r="719" spans="1:2" x14ac:dyDescent="0.25">
      <c r="A719">
        <v>12664416</v>
      </c>
      <c r="B719">
        <v>38.130000000000003</v>
      </c>
    </row>
    <row r="720" spans="1:2" x14ac:dyDescent="0.25">
      <c r="A720">
        <v>12664417</v>
      </c>
      <c r="B720">
        <v>48.69</v>
      </c>
    </row>
    <row r="721" spans="1:2" x14ac:dyDescent="0.25">
      <c r="A721">
        <v>12664418</v>
      </c>
      <c r="B721">
        <v>48.69</v>
      </c>
    </row>
    <row r="722" spans="1:2" x14ac:dyDescent="0.25">
      <c r="A722">
        <v>12664501</v>
      </c>
      <c r="B722">
        <v>32.67</v>
      </c>
    </row>
    <row r="723" spans="1:2" x14ac:dyDescent="0.25">
      <c r="A723">
        <v>12664502</v>
      </c>
      <c r="B723">
        <v>20.43</v>
      </c>
    </row>
    <row r="724" spans="1:2" x14ac:dyDescent="0.25">
      <c r="A724">
        <v>12664503</v>
      </c>
      <c r="B724">
        <v>20.43</v>
      </c>
    </row>
    <row r="725" spans="1:2" x14ac:dyDescent="0.25">
      <c r="A725">
        <v>12664504</v>
      </c>
      <c r="B725">
        <v>20.43</v>
      </c>
    </row>
    <row r="726" spans="1:2" x14ac:dyDescent="0.25">
      <c r="A726">
        <v>12664505</v>
      </c>
      <c r="B726">
        <v>20.43</v>
      </c>
    </row>
    <row r="727" spans="1:2" x14ac:dyDescent="0.25">
      <c r="A727">
        <v>12664506</v>
      </c>
      <c r="B727">
        <v>20.43</v>
      </c>
    </row>
    <row r="728" spans="1:2" x14ac:dyDescent="0.25">
      <c r="A728">
        <v>12664507</v>
      </c>
      <c r="B728">
        <v>20.43</v>
      </c>
    </row>
    <row r="729" spans="1:2" x14ac:dyDescent="0.25">
      <c r="A729">
        <v>12664508</v>
      </c>
      <c r="B729">
        <v>32.67</v>
      </c>
    </row>
    <row r="730" spans="1:2" x14ac:dyDescent="0.25">
      <c r="A730">
        <v>12664509</v>
      </c>
      <c r="B730">
        <v>20.43</v>
      </c>
    </row>
    <row r="731" spans="1:2" x14ac:dyDescent="0.25">
      <c r="A731">
        <v>12664510</v>
      </c>
      <c r="B731">
        <v>20.43</v>
      </c>
    </row>
    <row r="732" spans="1:2" x14ac:dyDescent="0.25">
      <c r="A732">
        <v>12664511</v>
      </c>
      <c r="B732">
        <v>20.43</v>
      </c>
    </row>
    <row r="733" spans="1:2" x14ac:dyDescent="0.25">
      <c r="A733">
        <v>12664512</v>
      </c>
      <c r="B733">
        <v>20.43</v>
      </c>
    </row>
    <row r="734" spans="1:2" x14ac:dyDescent="0.25">
      <c r="A734">
        <v>12664513</v>
      </c>
      <c r="B734">
        <v>22.5</v>
      </c>
    </row>
    <row r="735" spans="1:2" x14ac:dyDescent="0.25">
      <c r="A735">
        <v>12664514</v>
      </c>
      <c r="B735">
        <v>22.5</v>
      </c>
    </row>
    <row r="736" spans="1:2" x14ac:dyDescent="0.25">
      <c r="A736">
        <v>12664515</v>
      </c>
      <c r="B736">
        <v>22.5</v>
      </c>
    </row>
    <row r="737" spans="1:2" x14ac:dyDescent="0.25">
      <c r="A737">
        <v>12664516</v>
      </c>
      <c r="B737">
        <v>27</v>
      </c>
    </row>
    <row r="738" spans="1:2" x14ac:dyDescent="0.25">
      <c r="A738">
        <v>12664517</v>
      </c>
      <c r="B738">
        <v>32.67</v>
      </c>
    </row>
    <row r="739" spans="1:2" x14ac:dyDescent="0.25">
      <c r="A739">
        <v>12664518</v>
      </c>
      <c r="B739">
        <v>32.67</v>
      </c>
    </row>
    <row r="740" spans="1:2" x14ac:dyDescent="0.25">
      <c r="A740">
        <v>12664519</v>
      </c>
      <c r="B740">
        <v>32.67</v>
      </c>
    </row>
    <row r="741" spans="1:2" x14ac:dyDescent="0.25">
      <c r="A741">
        <v>12664520</v>
      </c>
      <c r="B741">
        <v>32.67</v>
      </c>
    </row>
    <row r="742" spans="1:2" x14ac:dyDescent="0.25">
      <c r="A742">
        <v>12664521</v>
      </c>
      <c r="B742">
        <v>32.67</v>
      </c>
    </row>
    <row r="743" spans="1:2" x14ac:dyDescent="0.25">
      <c r="A743">
        <v>12664522</v>
      </c>
      <c r="B743">
        <v>25.59</v>
      </c>
    </row>
    <row r="744" spans="1:2" x14ac:dyDescent="0.25">
      <c r="A744">
        <v>12664523</v>
      </c>
      <c r="B744">
        <v>32.67</v>
      </c>
    </row>
    <row r="745" spans="1:2" x14ac:dyDescent="0.25">
      <c r="A745">
        <v>12664601</v>
      </c>
      <c r="B745">
        <v>38.700000000000003</v>
      </c>
    </row>
    <row r="746" spans="1:2" x14ac:dyDescent="0.25">
      <c r="A746">
        <v>12664602</v>
      </c>
      <c r="B746">
        <v>38.700000000000003</v>
      </c>
    </row>
    <row r="747" spans="1:2" x14ac:dyDescent="0.25">
      <c r="A747">
        <v>12664603</v>
      </c>
      <c r="B747">
        <v>30.31</v>
      </c>
    </row>
    <row r="748" spans="1:2" x14ac:dyDescent="0.25">
      <c r="A748">
        <v>12664701</v>
      </c>
      <c r="B748">
        <v>17.82</v>
      </c>
    </row>
    <row r="749" spans="1:2" x14ac:dyDescent="0.25">
      <c r="A749">
        <v>12664702</v>
      </c>
      <c r="B749">
        <v>17.82</v>
      </c>
    </row>
    <row r="750" spans="1:2" x14ac:dyDescent="0.25">
      <c r="A750">
        <v>12664703</v>
      </c>
      <c r="B750">
        <v>13.96</v>
      </c>
    </row>
    <row r="751" spans="1:2" x14ac:dyDescent="0.25">
      <c r="A751">
        <v>12664901</v>
      </c>
      <c r="B751">
        <v>53.72</v>
      </c>
    </row>
    <row r="752" spans="1:2" x14ac:dyDescent="0.25">
      <c r="A752">
        <v>12664902</v>
      </c>
      <c r="B752">
        <v>38.880000000000003</v>
      </c>
    </row>
    <row r="753" spans="1:2" x14ac:dyDescent="0.25">
      <c r="A753">
        <v>12664903</v>
      </c>
      <c r="B753">
        <v>38.880000000000003</v>
      </c>
    </row>
    <row r="754" spans="1:2" x14ac:dyDescent="0.25">
      <c r="A754">
        <v>12664904</v>
      </c>
      <c r="B754">
        <v>38.880000000000003</v>
      </c>
    </row>
    <row r="755" spans="1:2" x14ac:dyDescent="0.25">
      <c r="A755">
        <v>12664905</v>
      </c>
      <c r="B755">
        <v>38.880000000000003</v>
      </c>
    </row>
    <row r="756" spans="1:2" x14ac:dyDescent="0.25">
      <c r="A756">
        <v>12664906</v>
      </c>
      <c r="B756">
        <v>38.880000000000003</v>
      </c>
    </row>
    <row r="757" spans="1:2" x14ac:dyDescent="0.25">
      <c r="A757">
        <v>12664907</v>
      </c>
      <c r="B757">
        <v>38.880000000000003</v>
      </c>
    </row>
    <row r="758" spans="1:2" x14ac:dyDescent="0.25">
      <c r="A758">
        <v>12664908</v>
      </c>
      <c r="B758">
        <v>38.880000000000003</v>
      </c>
    </row>
    <row r="759" spans="1:2" x14ac:dyDescent="0.25">
      <c r="A759">
        <v>12664909</v>
      </c>
      <c r="B759">
        <v>38.880000000000003</v>
      </c>
    </row>
    <row r="760" spans="1:2" x14ac:dyDescent="0.25">
      <c r="A760">
        <v>12664910</v>
      </c>
      <c r="B760">
        <v>53.72</v>
      </c>
    </row>
    <row r="761" spans="1:2" x14ac:dyDescent="0.25">
      <c r="A761">
        <v>12664911</v>
      </c>
      <c r="B761">
        <v>38.880000000000003</v>
      </c>
    </row>
    <row r="762" spans="1:2" x14ac:dyDescent="0.25">
      <c r="A762">
        <v>12664912</v>
      </c>
      <c r="B762">
        <v>38.880000000000003</v>
      </c>
    </row>
    <row r="763" spans="1:2" x14ac:dyDescent="0.25">
      <c r="A763">
        <v>12664913</v>
      </c>
      <c r="B763">
        <v>38.880000000000003</v>
      </c>
    </row>
    <row r="764" spans="1:2" x14ac:dyDescent="0.25">
      <c r="A764">
        <v>12664914</v>
      </c>
      <c r="B764">
        <v>38.880000000000003</v>
      </c>
    </row>
    <row r="765" spans="1:2" x14ac:dyDescent="0.25">
      <c r="A765">
        <v>12664915</v>
      </c>
      <c r="B765">
        <v>38.880000000000003</v>
      </c>
    </row>
    <row r="766" spans="1:2" x14ac:dyDescent="0.25">
      <c r="A766">
        <v>12664916</v>
      </c>
      <c r="B766">
        <v>38.880000000000003</v>
      </c>
    </row>
    <row r="767" spans="1:2" x14ac:dyDescent="0.25">
      <c r="A767">
        <v>12664917</v>
      </c>
      <c r="B767">
        <v>38.880000000000003</v>
      </c>
    </row>
    <row r="768" spans="1:2" x14ac:dyDescent="0.25">
      <c r="A768">
        <v>12664918</v>
      </c>
      <c r="B768">
        <v>38.880000000000003</v>
      </c>
    </row>
    <row r="769" spans="1:2" x14ac:dyDescent="0.25">
      <c r="A769">
        <v>12664919</v>
      </c>
      <c r="B769">
        <v>32</v>
      </c>
    </row>
    <row r="770" spans="1:2" x14ac:dyDescent="0.25">
      <c r="A770">
        <v>12664920</v>
      </c>
      <c r="B770">
        <v>40.86</v>
      </c>
    </row>
    <row r="771" spans="1:2" x14ac:dyDescent="0.25">
      <c r="A771">
        <v>12664921</v>
      </c>
      <c r="B771">
        <v>40.86</v>
      </c>
    </row>
    <row r="772" spans="1:2" x14ac:dyDescent="0.25">
      <c r="A772">
        <v>12664922</v>
      </c>
      <c r="B772">
        <v>53.72</v>
      </c>
    </row>
    <row r="773" spans="1:2" x14ac:dyDescent="0.25">
      <c r="A773">
        <v>12664923</v>
      </c>
      <c r="B773">
        <v>40.86</v>
      </c>
    </row>
    <row r="774" spans="1:2" x14ac:dyDescent="0.25">
      <c r="A774">
        <v>12664924</v>
      </c>
      <c r="B774">
        <v>40.86</v>
      </c>
    </row>
    <row r="775" spans="1:2" x14ac:dyDescent="0.25">
      <c r="A775">
        <v>12664925</v>
      </c>
      <c r="B775">
        <v>32</v>
      </c>
    </row>
    <row r="776" spans="1:2" x14ac:dyDescent="0.25">
      <c r="A776">
        <v>12665001</v>
      </c>
      <c r="B776">
        <v>57.84</v>
      </c>
    </row>
    <row r="777" spans="1:2" x14ac:dyDescent="0.25">
      <c r="A777">
        <v>12665002</v>
      </c>
      <c r="B777">
        <v>36.81</v>
      </c>
    </row>
    <row r="778" spans="1:2" x14ac:dyDescent="0.25">
      <c r="A778">
        <v>12665003</v>
      </c>
      <c r="B778">
        <v>36.81</v>
      </c>
    </row>
    <row r="779" spans="1:2" x14ac:dyDescent="0.25">
      <c r="A779">
        <v>12665004</v>
      </c>
      <c r="B779">
        <v>36.81</v>
      </c>
    </row>
    <row r="780" spans="1:2" x14ac:dyDescent="0.25">
      <c r="A780">
        <v>12665005</v>
      </c>
      <c r="B780">
        <v>40.86</v>
      </c>
    </row>
    <row r="781" spans="1:2" x14ac:dyDescent="0.25">
      <c r="A781">
        <v>12665006</v>
      </c>
      <c r="B781">
        <v>36.81</v>
      </c>
    </row>
    <row r="782" spans="1:2" x14ac:dyDescent="0.25">
      <c r="A782">
        <v>12665007</v>
      </c>
      <c r="B782">
        <v>36.81</v>
      </c>
    </row>
    <row r="783" spans="1:2" x14ac:dyDescent="0.25">
      <c r="A783">
        <v>12665008</v>
      </c>
      <c r="B783">
        <v>57.84</v>
      </c>
    </row>
    <row r="784" spans="1:2" x14ac:dyDescent="0.25">
      <c r="A784">
        <v>12665009</v>
      </c>
      <c r="B784">
        <v>28.83</v>
      </c>
    </row>
    <row r="785" spans="1:2" x14ac:dyDescent="0.25">
      <c r="A785">
        <v>12665010</v>
      </c>
      <c r="B785">
        <v>36.81</v>
      </c>
    </row>
    <row r="786" spans="1:2" x14ac:dyDescent="0.25">
      <c r="A786">
        <v>12665011</v>
      </c>
      <c r="B786">
        <v>40.86</v>
      </c>
    </row>
    <row r="787" spans="1:2" x14ac:dyDescent="0.25">
      <c r="A787">
        <v>12665012</v>
      </c>
      <c r="B787">
        <v>40.86</v>
      </c>
    </row>
    <row r="788" spans="1:2" x14ac:dyDescent="0.25">
      <c r="A788">
        <v>12665013</v>
      </c>
      <c r="B788">
        <v>48.69</v>
      </c>
    </row>
    <row r="789" spans="1:2" x14ac:dyDescent="0.25">
      <c r="A789">
        <v>12665014</v>
      </c>
      <c r="B789">
        <v>48.69</v>
      </c>
    </row>
    <row r="790" spans="1:2" x14ac:dyDescent="0.25">
      <c r="A790">
        <v>12665015</v>
      </c>
      <c r="B790">
        <v>41.59</v>
      </c>
    </row>
    <row r="791" spans="1:2" x14ac:dyDescent="0.25">
      <c r="A791">
        <v>12665016</v>
      </c>
      <c r="B791">
        <v>38.130000000000003</v>
      </c>
    </row>
    <row r="792" spans="1:2" x14ac:dyDescent="0.25">
      <c r="A792">
        <v>12665101</v>
      </c>
      <c r="B792">
        <v>22.5</v>
      </c>
    </row>
    <row r="793" spans="1:2" x14ac:dyDescent="0.25">
      <c r="A793">
        <v>12665102</v>
      </c>
      <c r="B793">
        <v>22.5</v>
      </c>
    </row>
    <row r="794" spans="1:2" x14ac:dyDescent="0.25">
      <c r="A794">
        <v>12665103</v>
      </c>
      <c r="B794">
        <v>17.62</v>
      </c>
    </row>
    <row r="795" spans="1:2" x14ac:dyDescent="0.25">
      <c r="A795">
        <v>12665201</v>
      </c>
      <c r="B795">
        <v>49.81</v>
      </c>
    </row>
    <row r="796" spans="1:2" x14ac:dyDescent="0.25">
      <c r="A796">
        <v>12665202</v>
      </c>
      <c r="B796">
        <v>26.55</v>
      </c>
    </row>
    <row r="797" spans="1:2" x14ac:dyDescent="0.25">
      <c r="A797">
        <v>12665203</v>
      </c>
      <c r="B797">
        <v>26.55</v>
      </c>
    </row>
    <row r="798" spans="1:2" x14ac:dyDescent="0.25">
      <c r="A798">
        <v>12665204</v>
      </c>
      <c r="B798">
        <v>26.55</v>
      </c>
    </row>
    <row r="799" spans="1:2" x14ac:dyDescent="0.25">
      <c r="A799">
        <v>12665205</v>
      </c>
      <c r="B799">
        <v>26.55</v>
      </c>
    </row>
    <row r="800" spans="1:2" x14ac:dyDescent="0.25">
      <c r="A800">
        <v>12665206</v>
      </c>
      <c r="B800">
        <v>26.55</v>
      </c>
    </row>
    <row r="801" spans="1:2" x14ac:dyDescent="0.25">
      <c r="A801">
        <v>12665207</v>
      </c>
      <c r="B801">
        <v>49.81</v>
      </c>
    </row>
    <row r="802" spans="1:2" x14ac:dyDescent="0.25">
      <c r="A802">
        <v>12665208</v>
      </c>
      <c r="B802">
        <v>26.55</v>
      </c>
    </row>
    <row r="803" spans="1:2" x14ac:dyDescent="0.25">
      <c r="A803">
        <v>12665209</v>
      </c>
      <c r="B803">
        <v>26.55</v>
      </c>
    </row>
    <row r="804" spans="1:2" x14ac:dyDescent="0.25">
      <c r="A804">
        <v>12665210</v>
      </c>
      <c r="B804">
        <v>26.55</v>
      </c>
    </row>
    <row r="805" spans="1:2" x14ac:dyDescent="0.25">
      <c r="A805">
        <v>12665211</v>
      </c>
      <c r="B805">
        <v>26.55</v>
      </c>
    </row>
    <row r="806" spans="1:2" x14ac:dyDescent="0.25">
      <c r="A806">
        <v>12665212</v>
      </c>
      <c r="B806">
        <v>26.55</v>
      </c>
    </row>
    <row r="807" spans="1:2" x14ac:dyDescent="0.25">
      <c r="A807">
        <v>12665213</v>
      </c>
      <c r="B807">
        <v>26.55</v>
      </c>
    </row>
    <row r="808" spans="1:2" x14ac:dyDescent="0.25">
      <c r="A808">
        <v>12665214</v>
      </c>
      <c r="B808">
        <v>26.55</v>
      </c>
    </row>
    <row r="809" spans="1:2" x14ac:dyDescent="0.25">
      <c r="A809">
        <v>12665215</v>
      </c>
      <c r="B809">
        <v>30.69</v>
      </c>
    </row>
    <row r="810" spans="1:2" x14ac:dyDescent="0.25">
      <c r="A810">
        <v>12665216</v>
      </c>
      <c r="B810">
        <v>30.69</v>
      </c>
    </row>
    <row r="811" spans="1:2" x14ac:dyDescent="0.25">
      <c r="A811">
        <v>12665217</v>
      </c>
      <c r="B811">
        <v>30.69</v>
      </c>
    </row>
    <row r="812" spans="1:2" x14ac:dyDescent="0.25">
      <c r="A812">
        <v>12665218</v>
      </c>
      <c r="B812">
        <v>35.19</v>
      </c>
    </row>
    <row r="813" spans="1:2" x14ac:dyDescent="0.25">
      <c r="A813">
        <v>12665219</v>
      </c>
      <c r="B813">
        <v>35.19</v>
      </c>
    </row>
    <row r="814" spans="1:2" x14ac:dyDescent="0.25">
      <c r="A814">
        <v>12665220</v>
      </c>
      <c r="B814">
        <v>35.19</v>
      </c>
    </row>
    <row r="815" spans="1:2" x14ac:dyDescent="0.25">
      <c r="A815">
        <v>12665221</v>
      </c>
      <c r="B815">
        <v>39.24</v>
      </c>
    </row>
    <row r="816" spans="1:2" x14ac:dyDescent="0.25">
      <c r="A816">
        <v>12665222</v>
      </c>
      <c r="B816">
        <v>39.24</v>
      </c>
    </row>
    <row r="817" spans="1:2" x14ac:dyDescent="0.25">
      <c r="A817">
        <v>12665223</v>
      </c>
      <c r="B817">
        <v>34.15</v>
      </c>
    </row>
    <row r="818" spans="1:2" x14ac:dyDescent="0.25">
      <c r="A818">
        <v>12667801</v>
      </c>
      <c r="B818">
        <v>53.72</v>
      </c>
    </row>
    <row r="819" spans="1:2" x14ac:dyDescent="0.25">
      <c r="A819">
        <v>12667802</v>
      </c>
      <c r="B819">
        <v>32.67</v>
      </c>
    </row>
    <row r="820" spans="1:2" x14ac:dyDescent="0.25">
      <c r="A820">
        <v>12667803</v>
      </c>
      <c r="B820">
        <v>32.67</v>
      </c>
    </row>
    <row r="821" spans="1:2" x14ac:dyDescent="0.25">
      <c r="A821">
        <v>12667804</v>
      </c>
      <c r="B821">
        <v>32.67</v>
      </c>
    </row>
    <row r="822" spans="1:2" x14ac:dyDescent="0.25">
      <c r="A822">
        <v>12667805</v>
      </c>
      <c r="B822">
        <v>32.67</v>
      </c>
    </row>
    <row r="823" spans="1:2" x14ac:dyDescent="0.25">
      <c r="A823">
        <v>12667806</v>
      </c>
      <c r="B823">
        <v>32.67</v>
      </c>
    </row>
    <row r="824" spans="1:2" x14ac:dyDescent="0.25">
      <c r="A824">
        <v>12667807</v>
      </c>
      <c r="B824">
        <v>53.72</v>
      </c>
    </row>
    <row r="825" spans="1:2" x14ac:dyDescent="0.25">
      <c r="A825">
        <v>12667808</v>
      </c>
      <c r="B825">
        <v>32.67</v>
      </c>
    </row>
    <row r="826" spans="1:2" x14ac:dyDescent="0.25">
      <c r="A826">
        <v>12667809</v>
      </c>
      <c r="B826">
        <v>25.59</v>
      </c>
    </row>
    <row r="827" spans="1:2" x14ac:dyDescent="0.25">
      <c r="A827">
        <v>12667810</v>
      </c>
      <c r="B827">
        <v>32.67</v>
      </c>
    </row>
    <row r="828" spans="1:2" x14ac:dyDescent="0.25">
      <c r="A828">
        <v>12667811</v>
      </c>
      <c r="B828">
        <v>32.67</v>
      </c>
    </row>
    <row r="829" spans="1:2" x14ac:dyDescent="0.25">
      <c r="A829">
        <v>12667812</v>
      </c>
      <c r="B829">
        <v>36.450000000000003</v>
      </c>
    </row>
    <row r="830" spans="1:2" x14ac:dyDescent="0.25">
      <c r="A830">
        <v>12667813</v>
      </c>
      <c r="B830">
        <v>36.450000000000003</v>
      </c>
    </row>
    <row r="831" spans="1:2" x14ac:dyDescent="0.25">
      <c r="A831">
        <v>12667814</v>
      </c>
      <c r="B831">
        <v>36.299999999999997</v>
      </c>
    </row>
    <row r="832" spans="1:2" x14ac:dyDescent="0.25">
      <c r="A832">
        <v>12667815</v>
      </c>
      <c r="B832">
        <v>36.81</v>
      </c>
    </row>
    <row r="833" spans="1:2" x14ac:dyDescent="0.25">
      <c r="A833">
        <v>12667816</v>
      </c>
      <c r="B833">
        <v>40.86</v>
      </c>
    </row>
    <row r="834" spans="1:2" x14ac:dyDescent="0.25">
      <c r="A834">
        <v>12667817</v>
      </c>
      <c r="B834">
        <v>40.86</v>
      </c>
    </row>
    <row r="835" spans="1:2" x14ac:dyDescent="0.25">
      <c r="A835">
        <v>12667818</v>
      </c>
      <c r="B835">
        <v>40.86</v>
      </c>
    </row>
    <row r="836" spans="1:2" x14ac:dyDescent="0.25">
      <c r="A836">
        <v>12667819</v>
      </c>
      <c r="B836">
        <v>32</v>
      </c>
    </row>
    <row r="837" spans="1:2" x14ac:dyDescent="0.25">
      <c r="A837">
        <v>12667901</v>
      </c>
      <c r="B837">
        <v>48.69</v>
      </c>
    </row>
    <row r="838" spans="1:2" x14ac:dyDescent="0.25">
      <c r="A838">
        <v>12667902</v>
      </c>
      <c r="B838">
        <v>40.86</v>
      </c>
    </row>
    <row r="839" spans="1:2" x14ac:dyDescent="0.25">
      <c r="A839">
        <v>12667903</v>
      </c>
      <c r="B839">
        <v>40.86</v>
      </c>
    </row>
    <row r="840" spans="1:2" x14ac:dyDescent="0.25">
      <c r="A840">
        <v>12667904</v>
      </c>
      <c r="B840">
        <v>40.86</v>
      </c>
    </row>
    <row r="841" spans="1:2" x14ac:dyDescent="0.25">
      <c r="A841">
        <v>12667905</v>
      </c>
      <c r="B841">
        <v>48.69</v>
      </c>
    </row>
    <row r="842" spans="1:2" x14ac:dyDescent="0.25">
      <c r="A842">
        <v>12667906</v>
      </c>
      <c r="B842">
        <v>49.05</v>
      </c>
    </row>
    <row r="843" spans="1:2" x14ac:dyDescent="0.25">
      <c r="A843">
        <v>12667907</v>
      </c>
      <c r="B843">
        <v>49.05</v>
      </c>
    </row>
    <row r="844" spans="1:2" x14ac:dyDescent="0.25">
      <c r="A844">
        <v>12667908</v>
      </c>
      <c r="B844">
        <v>38.130000000000003</v>
      </c>
    </row>
    <row r="845" spans="1:2" x14ac:dyDescent="0.25">
      <c r="A845">
        <v>12668001</v>
      </c>
      <c r="B845">
        <v>47.07</v>
      </c>
    </row>
    <row r="846" spans="1:2" x14ac:dyDescent="0.25">
      <c r="A846">
        <v>12668002</v>
      </c>
      <c r="B846">
        <v>47.07</v>
      </c>
    </row>
    <row r="847" spans="1:2" x14ac:dyDescent="0.25">
      <c r="A847">
        <v>12668003</v>
      </c>
      <c r="B847">
        <v>36.869999999999997</v>
      </c>
    </row>
    <row r="848" spans="1:2" x14ac:dyDescent="0.25">
      <c r="A848">
        <v>12668401</v>
      </c>
      <c r="B848">
        <v>40.86</v>
      </c>
    </row>
    <row r="849" spans="1:2" x14ac:dyDescent="0.25">
      <c r="A849">
        <v>12668402</v>
      </c>
      <c r="B849">
        <v>32</v>
      </c>
    </row>
    <row r="850" spans="1:2" x14ac:dyDescent="0.25">
      <c r="A850">
        <v>12668501</v>
      </c>
      <c r="B850">
        <v>28.62</v>
      </c>
    </row>
    <row r="851" spans="1:2" x14ac:dyDescent="0.25">
      <c r="A851">
        <v>12668502</v>
      </c>
      <c r="B851">
        <v>22.42</v>
      </c>
    </row>
    <row r="852" spans="1:2" x14ac:dyDescent="0.25">
      <c r="A852">
        <v>12668601</v>
      </c>
      <c r="B852">
        <v>24.04</v>
      </c>
    </row>
    <row r="853" spans="1:2" x14ac:dyDescent="0.25">
      <c r="A853">
        <v>12668901</v>
      </c>
      <c r="B853">
        <v>47.07</v>
      </c>
    </row>
    <row r="854" spans="1:2" x14ac:dyDescent="0.25">
      <c r="A854">
        <v>12668902</v>
      </c>
      <c r="B854">
        <v>47.07</v>
      </c>
    </row>
    <row r="855" spans="1:2" x14ac:dyDescent="0.25">
      <c r="A855">
        <v>12668903</v>
      </c>
      <c r="B855">
        <v>36.869999999999997</v>
      </c>
    </row>
    <row r="856" spans="1:2" x14ac:dyDescent="0.25">
      <c r="A856">
        <v>12669001</v>
      </c>
      <c r="B856">
        <v>36.81</v>
      </c>
    </row>
    <row r="857" spans="1:2" x14ac:dyDescent="0.25">
      <c r="A857">
        <v>12669002</v>
      </c>
      <c r="B857">
        <v>36.81</v>
      </c>
    </row>
    <row r="858" spans="1:2" x14ac:dyDescent="0.25">
      <c r="A858">
        <v>12669003</v>
      </c>
      <c r="B858">
        <v>36.81</v>
      </c>
    </row>
    <row r="859" spans="1:2" x14ac:dyDescent="0.25">
      <c r="A859">
        <v>12669004</v>
      </c>
      <c r="B859">
        <v>28.83</v>
      </c>
    </row>
    <row r="860" spans="1:2" x14ac:dyDescent="0.25">
      <c r="A860">
        <v>12669101</v>
      </c>
      <c r="B860">
        <v>38.880000000000003</v>
      </c>
    </row>
    <row r="861" spans="1:2" x14ac:dyDescent="0.25">
      <c r="A861">
        <v>12669102</v>
      </c>
      <c r="B861">
        <v>38.880000000000003</v>
      </c>
    </row>
    <row r="862" spans="1:2" x14ac:dyDescent="0.25">
      <c r="A862">
        <v>12669103</v>
      </c>
      <c r="B862">
        <v>38.880000000000003</v>
      </c>
    </row>
    <row r="863" spans="1:2" x14ac:dyDescent="0.25">
      <c r="A863">
        <v>12669104</v>
      </c>
      <c r="B863">
        <v>30.45</v>
      </c>
    </row>
    <row r="864" spans="1:2" x14ac:dyDescent="0.25">
      <c r="A864">
        <v>12669401</v>
      </c>
      <c r="B864">
        <v>24.48</v>
      </c>
    </row>
    <row r="865" spans="1:2" x14ac:dyDescent="0.25">
      <c r="A865">
        <v>12669402</v>
      </c>
      <c r="B865">
        <v>24.48</v>
      </c>
    </row>
    <row r="866" spans="1:2" x14ac:dyDescent="0.25">
      <c r="A866">
        <v>12669403</v>
      </c>
      <c r="B866">
        <v>24.48</v>
      </c>
    </row>
    <row r="867" spans="1:2" x14ac:dyDescent="0.25">
      <c r="A867">
        <v>12669404</v>
      </c>
      <c r="B867">
        <v>24.48</v>
      </c>
    </row>
    <row r="868" spans="1:2" x14ac:dyDescent="0.25">
      <c r="A868">
        <v>12669405</v>
      </c>
      <c r="B868">
        <v>24.48</v>
      </c>
    </row>
    <row r="869" spans="1:2" x14ac:dyDescent="0.25">
      <c r="A869">
        <v>12669406</v>
      </c>
      <c r="B869">
        <v>24.48</v>
      </c>
    </row>
    <row r="870" spans="1:2" x14ac:dyDescent="0.25">
      <c r="A870">
        <v>12669407</v>
      </c>
      <c r="B870">
        <v>19.170000000000002</v>
      </c>
    </row>
    <row r="871" spans="1:2" x14ac:dyDescent="0.25">
      <c r="A871">
        <v>12669701</v>
      </c>
      <c r="B871">
        <v>34.74</v>
      </c>
    </row>
    <row r="872" spans="1:2" x14ac:dyDescent="0.25">
      <c r="A872">
        <v>12669702</v>
      </c>
      <c r="B872">
        <v>34.74</v>
      </c>
    </row>
    <row r="873" spans="1:2" x14ac:dyDescent="0.25">
      <c r="A873">
        <v>12669703</v>
      </c>
      <c r="B873">
        <v>27.21</v>
      </c>
    </row>
    <row r="874" spans="1:2" x14ac:dyDescent="0.25">
      <c r="A874">
        <v>12670501</v>
      </c>
      <c r="B874">
        <v>20.43</v>
      </c>
    </row>
    <row r="875" spans="1:2" x14ac:dyDescent="0.25">
      <c r="A875">
        <v>12670502</v>
      </c>
      <c r="B875">
        <v>20.43</v>
      </c>
    </row>
    <row r="876" spans="1:2" x14ac:dyDescent="0.25">
      <c r="A876">
        <v>12670503</v>
      </c>
      <c r="B876">
        <v>16</v>
      </c>
    </row>
    <row r="877" spans="1:2" x14ac:dyDescent="0.25">
      <c r="A877">
        <v>12671601</v>
      </c>
      <c r="B877">
        <v>36.299999999999997</v>
      </c>
    </row>
    <row r="878" spans="1:2" x14ac:dyDescent="0.25">
      <c r="A878">
        <v>12671602</v>
      </c>
      <c r="B878">
        <v>36.299999999999997</v>
      </c>
    </row>
    <row r="879" spans="1:2" x14ac:dyDescent="0.25">
      <c r="A879">
        <v>12671603</v>
      </c>
      <c r="B879">
        <v>36.299999999999997</v>
      </c>
    </row>
    <row r="880" spans="1:2" x14ac:dyDescent="0.25">
      <c r="A880">
        <v>12671604</v>
      </c>
      <c r="B880">
        <v>28.43</v>
      </c>
    </row>
    <row r="881" spans="1:2" x14ac:dyDescent="0.25">
      <c r="A881">
        <v>12671701</v>
      </c>
      <c r="B881">
        <v>32.67</v>
      </c>
    </row>
    <row r="882" spans="1:2" x14ac:dyDescent="0.25">
      <c r="A882">
        <v>12671702</v>
      </c>
      <c r="B882">
        <v>32.67</v>
      </c>
    </row>
    <row r="883" spans="1:2" x14ac:dyDescent="0.25">
      <c r="A883">
        <v>12671703</v>
      </c>
      <c r="B883">
        <v>32.67</v>
      </c>
    </row>
    <row r="884" spans="1:2" x14ac:dyDescent="0.25">
      <c r="A884">
        <v>12671704</v>
      </c>
      <c r="B884">
        <v>32.67</v>
      </c>
    </row>
    <row r="885" spans="1:2" x14ac:dyDescent="0.25">
      <c r="A885">
        <v>12671705</v>
      </c>
      <c r="B885">
        <v>32.67</v>
      </c>
    </row>
    <row r="886" spans="1:2" x14ac:dyDescent="0.25">
      <c r="A886">
        <v>12671706</v>
      </c>
      <c r="B886">
        <v>25.59</v>
      </c>
    </row>
    <row r="887" spans="1:2" x14ac:dyDescent="0.25">
      <c r="A887">
        <v>12672201</v>
      </c>
      <c r="B887">
        <v>30.78</v>
      </c>
    </row>
    <row r="888" spans="1:2" x14ac:dyDescent="0.25">
      <c r="A888">
        <v>12672202</v>
      </c>
      <c r="B888">
        <v>30.78</v>
      </c>
    </row>
    <row r="889" spans="1:2" x14ac:dyDescent="0.25">
      <c r="A889">
        <v>12672203</v>
      </c>
      <c r="B889">
        <v>30.78</v>
      </c>
    </row>
    <row r="890" spans="1:2" x14ac:dyDescent="0.25">
      <c r="A890">
        <v>12672204</v>
      </c>
      <c r="B890">
        <v>30.78</v>
      </c>
    </row>
    <row r="891" spans="1:2" x14ac:dyDescent="0.25">
      <c r="A891">
        <v>12672205</v>
      </c>
      <c r="B891">
        <v>40.86</v>
      </c>
    </row>
    <row r="892" spans="1:2" x14ac:dyDescent="0.25">
      <c r="A892">
        <v>12672206</v>
      </c>
      <c r="B892">
        <v>30.78</v>
      </c>
    </row>
    <row r="893" spans="1:2" x14ac:dyDescent="0.25">
      <c r="A893">
        <v>12672207</v>
      </c>
      <c r="B893">
        <v>30.78</v>
      </c>
    </row>
    <row r="894" spans="1:2" x14ac:dyDescent="0.25">
      <c r="A894">
        <v>12672208</v>
      </c>
      <c r="B894">
        <v>30.78</v>
      </c>
    </row>
    <row r="895" spans="1:2" x14ac:dyDescent="0.25">
      <c r="A895">
        <v>12672209</v>
      </c>
      <c r="B895">
        <v>30.78</v>
      </c>
    </row>
    <row r="896" spans="1:2" x14ac:dyDescent="0.25">
      <c r="A896">
        <v>12672210</v>
      </c>
      <c r="B896">
        <v>30.78</v>
      </c>
    </row>
    <row r="897" spans="1:2" x14ac:dyDescent="0.25">
      <c r="A897">
        <v>12672211</v>
      </c>
      <c r="B897">
        <v>32</v>
      </c>
    </row>
    <row r="898" spans="1:2" x14ac:dyDescent="0.25">
      <c r="A898">
        <v>12672301</v>
      </c>
      <c r="B898">
        <v>30.78</v>
      </c>
    </row>
    <row r="899" spans="1:2" x14ac:dyDescent="0.25">
      <c r="A899">
        <v>12672302</v>
      </c>
      <c r="B899">
        <v>30.78</v>
      </c>
    </row>
    <row r="900" spans="1:2" x14ac:dyDescent="0.25">
      <c r="A900">
        <v>12672303</v>
      </c>
      <c r="B900">
        <v>24.11</v>
      </c>
    </row>
    <row r="901" spans="1:2" x14ac:dyDescent="0.25">
      <c r="A901">
        <v>12672401</v>
      </c>
      <c r="B901">
        <v>38.880000000000003</v>
      </c>
    </row>
    <row r="902" spans="1:2" x14ac:dyDescent="0.25">
      <c r="A902">
        <v>12672402</v>
      </c>
      <c r="B902">
        <v>30.45</v>
      </c>
    </row>
    <row r="903" spans="1:2" x14ac:dyDescent="0.25">
      <c r="A903">
        <v>12673101</v>
      </c>
      <c r="B903">
        <v>36.81</v>
      </c>
    </row>
    <row r="904" spans="1:2" x14ac:dyDescent="0.25">
      <c r="A904">
        <v>12673102</v>
      </c>
      <c r="B904">
        <v>36.81</v>
      </c>
    </row>
    <row r="905" spans="1:2" x14ac:dyDescent="0.25">
      <c r="A905">
        <v>12673103</v>
      </c>
      <c r="B905">
        <v>36.81</v>
      </c>
    </row>
    <row r="906" spans="1:2" x14ac:dyDescent="0.25">
      <c r="A906">
        <v>12673104</v>
      </c>
      <c r="B906">
        <v>28.83</v>
      </c>
    </row>
    <row r="907" spans="1:2" x14ac:dyDescent="0.25">
      <c r="A907">
        <v>12673801</v>
      </c>
      <c r="B907">
        <v>30.69</v>
      </c>
    </row>
    <row r="908" spans="1:2" x14ac:dyDescent="0.25">
      <c r="A908">
        <v>12673802</v>
      </c>
      <c r="B908">
        <v>30.69</v>
      </c>
    </row>
    <row r="909" spans="1:2" x14ac:dyDescent="0.25">
      <c r="A909">
        <v>12673803</v>
      </c>
      <c r="B909">
        <v>26.55</v>
      </c>
    </row>
    <row r="910" spans="1:2" x14ac:dyDescent="0.25">
      <c r="A910">
        <v>12673804</v>
      </c>
      <c r="B910">
        <v>36.81</v>
      </c>
    </row>
    <row r="911" spans="1:2" x14ac:dyDescent="0.25">
      <c r="A911">
        <v>12673805</v>
      </c>
      <c r="B911">
        <v>26.55</v>
      </c>
    </row>
    <row r="912" spans="1:2" x14ac:dyDescent="0.25">
      <c r="A912">
        <v>12673806</v>
      </c>
      <c r="B912">
        <v>26.55</v>
      </c>
    </row>
    <row r="913" spans="1:2" x14ac:dyDescent="0.25">
      <c r="A913">
        <v>12673807</v>
      </c>
      <c r="B913">
        <v>26.55</v>
      </c>
    </row>
    <row r="914" spans="1:2" x14ac:dyDescent="0.25">
      <c r="A914">
        <v>12673808</v>
      </c>
      <c r="B914">
        <v>26.55</v>
      </c>
    </row>
    <row r="915" spans="1:2" x14ac:dyDescent="0.25">
      <c r="A915">
        <v>12673809</v>
      </c>
      <c r="B915">
        <v>20.79</v>
      </c>
    </row>
    <row r="916" spans="1:2" x14ac:dyDescent="0.25">
      <c r="A916">
        <v>12673810</v>
      </c>
      <c r="B916">
        <v>30.69</v>
      </c>
    </row>
    <row r="917" spans="1:2" x14ac:dyDescent="0.25">
      <c r="A917">
        <v>12673811</v>
      </c>
      <c r="B917">
        <v>30.69</v>
      </c>
    </row>
    <row r="918" spans="1:2" x14ac:dyDescent="0.25">
      <c r="A918">
        <v>12673812</v>
      </c>
      <c r="B918">
        <v>36.81</v>
      </c>
    </row>
    <row r="919" spans="1:2" x14ac:dyDescent="0.25">
      <c r="A919">
        <v>12673813</v>
      </c>
      <c r="B919">
        <v>36.81</v>
      </c>
    </row>
    <row r="920" spans="1:2" x14ac:dyDescent="0.25">
      <c r="A920">
        <v>12673814</v>
      </c>
      <c r="B920">
        <v>36.81</v>
      </c>
    </row>
    <row r="921" spans="1:2" x14ac:dyDescent="0.25">
      <c r="A921">
        <v>12673815</v>
      </c>
      <c r="B921">
        <v>36.81</v>
      </c>
    </row>
    <row r="922" spans="1:2" x14ac:dyDescent="0.25">
      <c r="A922">
        <v>12673816</v>
      </c>
      <c r="B922">
        <v>36.81</v>
      </c>
    </row>
    <row r="923" spans="1:2" x14ac:dyDescent="0.25">
      <c r="A923">
        <v>12673817</v>
      </c>
      <c r="B923">
        <v>40.9</v>
      </c>
    </row>
    <row r="924" spans="1:2" x14ac:dyDescent="0.25">
      <c r="A924">
        <v>12673818</v>
      </c>
      <c r="B924">
        <v>36.81</v>
      </c>
    </row>
    <row r="925" spans="1:2" x14ac:dyDescent="0.25">
      <c r="A925">
        <v>12673901</v>
      </c>
      <c r="B925">
        <v>28.62</v>
      </c>
    </row>
    <row r="926" spans="1:2" x14ac:dyDescent="0.25">
      <c r="A926">
        <v>12673902</v>
      </c>
      <c r="B926">
        <v>28.62</v>
      </c>
    </row>
    <row r="927" spans="1:2" x14ac:dyDescent="0.25">
      <c r="A927">
        <v>12673903</v>
      </c>
      <c r="B927">
        <v>22.42</v>
      </c>
    </row>
    <row r="928" spans="1:2" x14ac:dyDescent="0.25">
      <c r="A928">
        <v>12674001</v>
      </c>
      <c r="B928">
        <v>25.65</v>
      </c>
    </row>
    <row r="929" spans="1:2" x14ac:dyDescent="0.25">
      <c r="A929">
        <v>12674002</v>
      </c>
      <c r="B929">
        <v>25.65</v>
      </c>
    </row>
    <row r="930" spans="1:2" x14ac:dyDescent="0.25">
      <c r="A930">
        <v>12674003</v>
      </c>
      <c r="B930">
        <v>20.09</v>
      </c>
    </row>
    <row r="931" spans="1:2" x14ac:dyDescent="0.25">
      <c r="A931">
        <v>12674101</v>
      </c>
      <c r="B931">
        <v>30.78</v>
      </c>
    </row>
    <row r="932" spans="1:2" x14ac:dyDescent="0.25">
      <c r="A932">
        <v>12674102</v>
      </c>
      <c r="B932">
        <v>30.78</v>
      </c>
    </row>
    <row r="933" spans="1:2" x14ac:dyDescent="0.25">
      <c r="A933">
        <v>12674103</v>
      </c>
      <c r="B933">
        <v>24.11</v>
      </c>
    </row>
    <row r="934" spans="1:2" x14ac:dyDescent="0.25">
      <c r="A934">
        <v>12674301</v>
      </c>
      <c r="B934">
        <v>28.62</v>
      </c>
    </row>
    <row r="935" spans="1:2" x14ac:dyDescent="0.25">
      <c r="A935">
        <v>12674302</v>
      </c>
      <c r="B935">
        <v>22.42</v>
      </c>
    </row>
    <row r="936" spans="1:2" x14ac:dyDescent="0.25">
      <c r="A936">
        <v>12674501</v>
      </c>
      <c r="B936">
        <v>40.86</v>
      </c>
    </row>
    <row r="937" spans="1:2" x14ac:dyDescent="0.25">
      <c r="A937">
        <v>12674502</v>
      </c>
      <c r="B937">
        <v>32</v>
      </c>
    </row>
    <row r="938" spans="1:2" x14ac:dyDescent="0.25">
      <c r="A938">
        <v>12674801</v>
      </c>
      <c r="B938">
        <v>40.86</v>
      </c>
    </row>
    <row r="939" spans="1:2" x14ac:dyDescent="0.25">
      <c r="A939">
        <v>12674802</v>
      </c>
      <c r="B939">
        <v>40.86</v>
      </c>
    </row>
    <row r="940" spans="1:2" x14ac:dyDescent="0.25">
      <c r="A940">
        <v>12674803</v>
      </c>
      <c r="B940">
        <v>40.86</v>
      </c>
    </row>
    <row r="941" spans="1:2" x14ac:dyDescent="0.25">
      <c r="A941">
        <v>12674804</v>
      </c>
      <c r="B941">
        <v>32</v>
      </c>
    </row>
    <row r="942" spans="1:2" x14ac:dyDescent="0.25">
      <c r="A942">
        <v>12674901</v>
      </c>
      <c r="B942">
        <v>40.86</v>
      </c>
    </row>
    <row r="943" spans="1:2" x14ac:dyDescent="0.25">
      <c r="A943">
        <v>12674902</v>
      </c>
      <c r="B943">
        <v>40.86</v>
      </c>
    </row>
    <row r="944" spans="1:2" x14ac:dyDescent="0.25">
      <c r="A944">
        <v>12674903</v>
      </c>
      <c r="B944">
        <v>40.86</v>
      </c>
    </row>
    <row r="945" spans="1:2" x14ac:dyDescent="0.25">
      <c r="A945">
        <v>12674904</v>
      </c>
      <c r="B945">
        <v>32</v>
      </c>
    </row>
    <row r="946" spans="1:2" x14ac:dyDescent="0.25">
      <c r="A946">
        <v>12675001</v>
      </c>
      <c r="B946">
        <v>38.880000000000003</v>
      </c>
    </row>
    <row r="947" spans="1:2" x14ac:dyDescent="0.25">
      <c r="A947">
        <v>12675002</v>
      </c>
      <c r="B947">
        <v>30.45</v>
      </c>
    </row>
    <row r="948" spans="1:2" x14ac:dyDescent="0.25">
      <c r="A948">
        <v>12675101</v>
      </c>
      <c r="B948">
        <v>34.74</v>
      </c>
    </row>
    <row r="949" spans="1:2" x14ac:dyDescent="0.25">
      <c r="A949">
        <v>12675102</v>
      </c>
      <c r="B949">
        <v>27.21</v>
      </c>
    </row>
    <row r="950" spans="1:2" x14ac:dyDescent="0.25">
      <c r="A950">
        <v>12675201</v>
      </c>
      <c r="B950">
        <v>30.45</v>
      </c>
    </row>
    <row r="951" spans="1:2" x14ac:dyDescent="0.25">
      <c r="A951">
        <v>12675202</v>
      </c>
      <c r="B951">
        <v>38.880000000000003</v>
      </c>
    </row>
    <row r="952" spans="1:2" x14ac:dyDescent="0.25">
      <c r="A952">
        <v>12676601</v>
      </c>
      <c r="B952">
        <v>53.72</v>
      </c>
    </row>
    <row r="953" spans="1:2" x14ac:dyDescent="0.25">
      <c r="A953">
        <v>12676602</v>
      </c>
      <c r="B953">
        <v>30.69</v>
      </c>
    </row>
    <row r="954" spans="1:2" x14ac:dyDescent="0.25">
      <c r="A954">
        <v>12676603</v>
      </c>
      <c r="B954">
        <v>30.69</v>
      </c>
    </row>
    <row r="955" spans="1:2" x14ac:dyDescent="0.25">
      <c r="A955">
        <v>12676604</v>
      </c>
      <c r="B955">
        <v>30.69</v>
      </c>
    </row>
    <row r="956" spans="1:2" x14ac:dyDescent="0.25">
      <c r="A956">
        <v>12676605</v>
      </c>
      <c r="B956">
        <v>53.72</v>
      </c>
    </row>
    <row r="957" spans="1:2" x14ac:dyDescent="0.25">
      <c r="A957">
        <v>12676606</v>
      </c>
      <c r="B957">
        <v>30.69</v>
      </c>
    </row>
    <row r="958" spans="1:2" x14ac:dyDescent="0.25">
      <c r="A958">
        <v>12676607</v>
      </c>
      <c r="B958">
        <v>30.69</v>
      </c>
    </row>
    <row r="959" spans="1:2" x14ac:dyDescent="0.25">
      <c r="A959">
        <v>12676608</v>
      </c>
      <c r="B959">
        <v>30.69</v>
      </c>
    </row>
    <row r="960" spans="1:2" x14ac:dyDescent="0.25">
      <c r="A960">
        <v>12676609</v>
      </c>
      <c r="B960">
        <v>30.69</v>
      </c>
    </row>
    <row r="961" spans="1:2" x14ac:dyDescent="0.25">
      <c r="A961">
        <v>12676610</v>
      </c>
      <c r="B961">
        <v>30.69</v>
      </c>
    </row>
    <row r="962" spans="1:2" x14ac:dyDescent="0.25">
      <c r="A962">
        <v>12676611</v>
      </c>
      <c r="B962">
        <v>34.74</v>
      </c>
    </row>
    <row r="963" spans="1:2" x14ac:dyDescent="0.25">
      <c r="A963">
        <v>12676612</v>
      </c>
      <c r="B963">
        <v>34.74</v>
      </c>
    </row>
    <row r="964" spans="1:2" x14ac:dyDescent="0.25">
      <c r="A964">
        <v>12676613</v>
      </c>
      <c r="B964">
        <v>34.74</v>
      </c>
    </row>
    <row r="965" spans="1:2" x14ac:dyDescent="0.25">
      <c r="A965">
        <v>12676614</v>
      </c>
      <c r="B965">
        <v>35.19</v>
      </c>
    </row>
    <row r="966" spans="1:2" x14ac:dyDescent="0.25">
      <c r="A966">
        <v>12676615</v>
      </c>
      <c r="B966">
        <v>40.86</v>
      </c>
    </row>
    <row r="967" spans="1:2" x14ac:dyDescent="0.25">
      <c r="A967">
        <v>12676616</v>
      </c>
      <c r="B967">
        <v>40.86</v>
      </c>
    </row>
    <row r="968" spans="1:2" x14ac:dyDescent="0.25">
      <c r="A968">
        <v>12676617</v>
      </c>
      <c r="B968">
        <v>40.86</v>
      </c>
    </row>
    <row r="969" spans="1:2" x14ac:dyDescent="0.25">
      <c r="A969">
        <v>12676618</v>
      </c>
      <c r="B969">
        <v>40.86</v>
      </c>
    </row>
    <row r="970" spans="1:2" x14ac:dyDescent="0.25">
      <c r="A970">
        <v>12676619</v>
      </c>
      <c r="B970">
        <v>40.86</v>
      </c>
    </row>
    <row r="971" spans="1:2" x14ac:dyDescent="0.25">
      <c r="A971">
        <v>12676620</v>
      </c>
      <c r="B971">
        <v>40.86</v>
      </c>
    </row>
    <row r="972" spans="1:2" x14ac:dyDescent="0.25">
      <c r="A972">
        <v>12676621</v>
      </c>
      <c r="B972">
        <v>32</v>
      </c>
    </row>
    <row r="973" spans="1:2" x14ac:dyDescent="0.25">
      <c r="A973">
        <v>12676701</v>
      </c>
      <c r="B973">
        <v>22.5</v>
      </c>
    </row>
    <row r="974" spans="1:2" x14ac:dyDescent="0.25">
      <c r="A974">
        <v>12676702</v>
      </c>
      <c r="B974">
        <v>22.5</v>
      </c>
    </row>
    <row r="975" spans="1:2" x14ac:dyDescent="0.25">
      <c r="A975">
        <v>12676703</v>
      </c>
      <c r="B975">
        <v>17.62</v>
      </c>
    </row>
    <row r="976" spans="1:2" x14ac:dyDescent="0.25">
      <c r="A976">
        <v>12676801</v>
      </c>
      <c r="B976">
        <v>30.78</v>
      </c>
    </row>
    <row r="977" spans="1:2" x14ac:dyDescent="0.25">
      <c r="A977">
        <v>12676802</v>
      </c>
      <c r="B977">
        <v>30.78</v>
      </c>
    </row>
    <row r="978" spans="1:2" x14ac:dyDescent="0.25">
      <c r="A978">
        <v>12676803</v>
      </c>
      <c r="B978">
        <v>24.11</v>
      </c>
    </row>
    <row r="979" spans="1:2" x14ac:dyDescent="0.25">
      <c r="A979">
        <v>12677001</v>
      </c>
      <c r="B979">
        <v>30.78</v>
      </c>
    </row>
    <row r="980" spans="1:2" x14ac:dyDescent="0.25">
      <c r="A980">
        <v>12677002</v>
      </c>
      <c r="B980">
        <v>30.78</v>
      </c>
    </row>
    <row r="981" spans="1:2" x14ac:dyDescent="0.25">
      <c r="A981">
        <v>12677003</v>
      </c>
      <c r="B981">
        <v>24.11</v>
      </c>
    </row>
    <row r="982" spans="1:2" x14ac:dyDescent="0.25">
      <c r="A982">
        <v>12677101</v>
      </c>
      <c r="B982">
        <v>28.62</v>
      </c>
    </row>
    <row r="983" spans="1:2" x14ac:dyDescent="0.25">
      <c r="A983">
        <v>12677102</v>
      </c>
      <c r="B983">
        <v>28.62</v>
      </c>
    </row>
    <row r="984" spans="1:2" x14ac:dyDescent="0.25">
      <c r="A984">
        <v>12677103</v>
      </c>
      <c r="B984">
        <v>22.42</v>
      </c>
    </row>
    <row r="985" spans="1:2" x14ac:dyDescent="0.25">
      <c r="A985">
        <v>12677201</v>
      </c>
      <c r="B985">
        <v>30.69</v>
      </c>
    </row>
    <row r="986" spans="1:2" x14ac:dyDescent="0.25">
      <c r="A986">
        <v>12677202</v>
      </c>
      <c r="B986">
        <v>24.04</v>
      </c>
    </row>
    <row r="987" spans="1:2" x14ac:dyDescent="0.25">
      <c r="A987">
        <v>12677301</v>
      </c>
      <c r="B987">
        <v>40.86</v>
      </c>
    </row>
    <row r="988" spans="1:2" x14ac:dyDescent="0.25">
      <c r="A988">
        <v>12677302</v>
      </c>
      <c r="B988">
        <v>32</v>
      </c>
    </row>
    <row r="989" spans="1:2" x14ac:dyDescent="0.25">
      <c r="A989">
        <v>12679501</v>
      </c>
      <c r="B989">
        <v>32.67</v>
      </c>
    </row>
    <row r="990" spans="1:2" x14ac:dyDescent="0.25">
      <c r="A990">
        <v>12679502</v>
      </c>
      <c r="B990">
        <v>25.59</v>
      </c>
    </row>
    <row r="991" spans="1:2" x14ac:dyDescent="0.25">
      <c r="A991">
        <v>12679601</v>
      </c>
      <c r="B991">
        <v>32.67</v>
      </c>
    </row>
    <row r="992" spans="1:2" x14ac:dyDescent="0.25">
      <c r="A992">
        <v>12679602</v>
      </c>
      <c r="B992">
        <v>32.67</v>
      </c>
    </row>
    <row r="993" spans="1:2" x14ac:dyDescent="0.25">
      <c r="A993">
        <v>12679603</v>
      </c>
      <c r="B993">
        <v>32.67</v>
      </c>
    </row>
    <row r="994" spans="1:2" x14ac:dyDescent="0.25">
      <c r="A994">
        <v>12679604</v>
      </c>
      <c r="B994">
        <v>25.59</v>
      </c>
    </row>
    <row r="995" spans="1:2" x14ac:dyDescent="0.25">
      <c r="A995">
        <v>12679701</v>
      </c>
      <c r="B995">
        <v>36.81</v>
      </c>
    </row>
    <row r="996" spans="1:2" x14ac:dyDescent="0.25">
      <c r="A996">
        <v>12679702</v>
      </c>
      <c r="B996">
        <v>36.81</v>
      </c>
    </row>
    <row r="997" spans="1:2" x14ac:dyDescent="0.25">
      <c r="A997">
        <v>12679703</v>
      </c>
      <c r="B997">
        <v>28.83</v>
      </c>
    </row>
    <row r="998" spans="1:2" x14ac:dyDescent="0.25">
      <c r="A998">
        <v>12679801</v>
      </c>
      <c r="B998">
        <v>34.74</v>
      </c>
    </row>
    <row r="999" spans="1:2" x14ac:dyDescent="0.25">
      <c r="A999">
        <v>12679802</v>
      </c>
      <c r="B999">
        <v>34.74</v>
      </c>
    </row>
    <row r="1000" spans="1:2" x14ac:dyDescent="0.25">
      <c r="A1000">
        <v>12679803</v>
      </c>
      <c r="B1000">
        <v>34.74</v>
      </c>
    </row>
    <row r="1001" spans="1:2" x14ac:dyDescent="0.25">
      <c r="A1001">
        <v>12679804</v>
      </c>
      <c r="B1001">
        <v>34.74</v>
      </c>
    </row>
    <row r="1002" spans="1:2" x14ac:dyDescent="0.25">
      <c r="A1002">
        <v>12679805</v>
      </c>
      <c r="B1002">
        <v>27.21</v>
      </c>
    </row>
    <row r="1003" spans="1:2" x14ac:dyDescent="0.25">
      <c r="A1003">
        <v>12680001</v>
      </c>
      <c r="B1003">
        <v>36.81</v>
      </c>
    </row>
    <row r="1004" spans="1:2" x14ac:dyDescent="0.25">
      <c r="A1004">
        <v>12680002</v>
      </c>
      <c r="B1004">
        <v>36.81</v>
      </c>
    </row>
    <row r="1005" spans="1:2" x14ac:dyDescent="0.25">
      <c r="A1005">
        <v>12680003</v>
      </c>
      <c r="B1005">
        <v>36.81</v>
      </c>
    </row>
    <row r="1006" spans="1:2" x14ac:dyDescent="0.25">
      <c r="A1006">
        <v>12680004</v>
      </c>
      <c r="B1006">
        <v>36.81</v>
      </c>
    </row>
    <row r="1007" spans="1:2" x14ac:dyDescent="0.25">
      <c r="A1007">
        <v>12680005</v>
      </c>
      <c r="B1007">
        <v>28.83</v>
      </c>
    </row>
    <row r="1008" spans="1:2" x14ac:dyDescent="0.25">
      <c r="A1008">
        <v>12680101</v>
      </c>
      <c r="B1008">
        <v>36.81</v>
      </c>
    </row>
    <row r="1009" spans="1:2" x14ac:dyDescent="0.25">
      <c r="A1009">
        <v>12680102</v>
      </c>
      <c r="B1009">
        <v>28.83</v>
      </c>
    </row>
    <row r="1010" spans="1:2" x14ac:dyDescent="0.25">
      <c r="A1010">
        <v>12680301</v>
      </c>
      <c r="B1010">
        <v>36.81</v>
      </c>
    </row>
    <row r="1011" spans="1:2" x14ac:dyDescent="0.25">
      <c r="A1011">
        <v>12680302</v>
      </c>
      <c r="B1011">
        <v>36.81</v>
      </c>
    </row>
    <row r="1012" spans="1:2" x14ac:dyDescent="0.25">
      <c r="A1012">
        <v>12680303</v>
      </c>
      <c r="B1012">
        <v>36.81</v>
      </c>
    </row>
    <row r="1013" spans="1:2" x14ac:dyDescent="0.25">
      <c r="A1013">
        <v>12680304</v>
      </c>
      <c r="B1013">
        <v>36.81</v>
      </c>
    </row>
    <row r="1014" spans="1:2" x14ac:dyDescent="0.25">
      <c r="A1014">
        <v>12680305</v>
      </c>
      <c r="B1014">
        <v>28.83</v>
      </c>
    </row>
    <row r="1015" spans="1:2" x14ac:dyDescent="0.25">
      <c r="A1015">
        <v>12680401</v>
      </c>
      <c r="B1015">
        <v>30.69</v>
      </c>
    </row>
    <row r="1016" spans="1:2" x14ac:dyDescent="0.25">
      <c r="A1016">
        <v>12680402</v>
      </c>
      <c r="B1016">
        <v>30.69</v>
      </c>
    </row>
    <row r="1017" spans="1:2" x14ac:dyDescent="0.25">
      <c r="A1017">
        <v>12680403</v>
      </c>
      <c r="B1017">
        <v>30.69</v>
      </c>
    </row>
    <row r="1018" spans="1:2" x14ac:dyDescent="0.25">
      <c r="A1018">
        <v>12680404</v>
      </c>
      <c r="B1018">
        <v>24.04</v>
      </c>
    </row>
    <row r="1019" spans="1:2" x14ac:dyDescent="0.25">
      <c r="A1019">
        <v>12680501</v>
      </c>
      <c r="B1019">
        <v>32.67</v>
      </c>
    </row>
    <row r="1020" spans="1:2" x14ac:dyDescent="0.25">
      <c r="A1020">
        <v>12680502</v>
      </c>
      <c r="B1020">
        <v>32.67</v>
      </c>
    </row>
    <row r="1021" spans="1:2" x14ac:dyDescent="0.25">
      <c r="A1021">
        <v>12680503</v>
      </c>
      <c r="B1021">
        <v>32.67</v>
      </c>
    </row>
    <row r="1022" spans="1:2" x14ac:dyDescent="0.25">
      <c r="A1022">
        <v>12680504</v>
      </c>
      <c r="B1022">
        <v>25.59</v>
      </c>
    </row>
    <row r="1023" spans="1:2" x14ac:dyDescent="0.25">
      <c r="A1023">
        <v>12680601</v>
      </c>
      <c r="B1023">
        <v>36.81</v>
      </c>
    </row>
    <row r="1024" spans="1:2" x14ac:dyDescent="0.25">
      <c r="A1024">
        <v>12680602</v>
      </c>
      <c r="B1024">
        <v>36.81</v>
      </c>
    </row>
    <row r="1025" spans="1:2" x14ac:dyDescent="0.25">
      <c r="A1025">
        <v>12680603</v>
      </c>
      <c r="B1025">
        <v>36.81</v>
      </c>
    </row>
    <row r="1026" spans="1:2" x14ac:dyDescent="0.25">
      <c r="A1026">
        <v>12680604</v>
      </c>
      <c r="B1026">
        <v>28.83</v>
      </c>
    </row>
    <row r="1027" spans="1:2" x14ac:dyDescent="0.25">
      <c r="A1027">
        <v>12680701</v>
      </c>
      <c r="B1027">
        <v>30.69</v>
      </c>
    </row>
    <row r="1028" spans="1:2" x14ac:dyDescent="0.25">
      <c r="A1028">
        <v>12680702</v>
      </c>
      <c r="B1028">
        <v>30.69</v>
      </c>
    </row>
    <row r="1029" spans="1:2" x14ac:dyDescent="0.25">
      <c r="A1029">
        <v>12680703</v>
      </c>
      <c r="B1029">
        <v>30.69</v>
      </c>
    </row>
    <row r="1030" spans="1:2" x14ac:dyDescent="0.25">
      <c r="A1030">
        <v>12680704</v>
      </c>
      <c r="B1030">
        <v>24.04</v>
      </c>
    </row>
    <row r="1031" spans="1:2" x14ac:dyDescent="0.25">
      <c r="A1031">
        <v>12680901</v>
      </c>
      <c r="B1031">
        <v>34.74</v>
      </c>
    </row>
    <row r="1032" spans="1:2" x14ac:dyDescent="0.25">
      <c r="A1032">
        <v>12680902</v>
      </c>
      <c r="B1032">
        <v>27.21</v>
      </c>
    </row>
    <row r="1033" spans="1:2" x14ac:dyDescent="0.25">
      <c r="A1033">
        <v>12681101</v>
      </c>
      <c r="B1033">
        <v>25.59</v>
      </c>
    </row>
    <row r="1034" spans="1:2" x14ac:dyDescent="0.25">
      <c r="A1034">
        <v>12681201</v>
      </c>
      <c r="B1034">
        <v>22.42</v>
      </c>
    </row>
    <row r="1035" spans="1:2" x14ac:dyDescent="0.25">
      <c r="A1035">
        <v>12681301</v>
      </c>
      <c r="B1035">
        <v>21.22</v>
      </c>
    </row>
    <row r="1036" spans="1:2" x14ac:dyDescent="0.25">
      <c r="A1036">
        <v>12681401</v>
      </c>
      <c r="B1036">
        <v>28.83</v>
      </c>
    </row>
    <row r="1037" spans="1:2" x14ac:dyDescent="0.25">
      <c r="A1037">
        <v>12682201</v>
      </c>
      <c r="B1037">
        <v>32</v>
      </c>
    </row>
    <row r="1038" spans="1:2" x14ac:dyDescent="0.25">
      <c r="A1038">
        <v>12682401</v>
      </c>
      <c r="B1038">
        <v>18.399999999999999</v>
      </c>
    </row>
    <row r="1039" spans="1:2" x14ac:dyDescent="0.25">
      <c r="A1039">
        <v>12682601</v>
      </c>
      <c r="B1039">
        <v>28.62</v>
      </c>
    </row>
    <row r="1040" spans="1:2" x14ac:dyDescent="0.25">
      <c r="A1040">
        <v>12682602</v>
      </c>
      <c r="B1040">
        <v>28.62</v>
      </c>
    </row>
    <row r="1041" spans="1:2" x14ac:dyDescent="0.25">
      <c r="A1041">
        <v>12682603</v>
      </c>
      <c r="B1041">
        <v>22.42</v>
      </c>
    </row>
    <row r="1042" spans="1:2" x14ac:dyDescent="0.25">
      <c r="A1042">
        <v>12682801</v>
      </c>
      <c r="B1042">
        <v>28.83</v>
      </c>
    </row>
    <row r="1043" spans="1:2" x14ac:dyDescent="0.25">
      <c r="A1043">
        <v>12682901</v>
      </c>
      <c r="B1043">
        <v>22.42</v>
      </c>
    </row>
    <row r="1044" spans="1:2" x14ac:dyDescent="0.25">
      <c r="A1044">
        <v>12683001</v>
      </c>
      <c r="B1044">
        <v>18.399999999999999</v>
      </c>
    </row>
    <row r="1045" spans="1:2" x14ac:dyDescent="0.25">
      <c r="A1045">
        <v>12683401</v>
      </c>
      <c r="B1045">
        <v>32.67</v>
      </c>
    </row>
    <row r="1046" spans="1:2" x14ac:dyDescent="0.25">
      <c r="A1046">
        <v>12683402</v>
      </c>
      <c r="B1046">
        <v>32.67</v>
      </c>
    </row>
    <row r="1047" spans="1:2" x14ac:dyDescent="0.25">
      <c r="A1047">
        <v>12683403</v>
      </c>
      <c r="B1047">
        <v>25.59</v>
      </c>
    </row>
    <row r="1048" spans="1:2" x14ac:dyDescent="0.25">
      <c r="A1048">
        <v>12683601</v>
      </c>
      <c r="B1048">
        <v>34.74</v>
      </c>
    </row>
    <row r="1049" spans="1:2" x14ac:dyDescent="0.25">
      <c r="A1049">
        <v>12683602</v>
      </c>
      <c r="B1049">
        <v>34.74</v>
      </c>
    </row>
    <row r="1050" spans="1:2" x14ac:dyDescent="0.25">
      <c r="A1050">
        <v>12683603</v>
      </c>
      <c r="B1050">
        <v>34.74</v>
      </c>
    </row>
    <row r="1051" spans="1:2" x14ac:dyDescent="0.25">
      <c r="A1051">
        <v>12683604</v>
      </c>
      <c r="B1051">
        <v>34.74</v>
      </c>
    </row>
    <row r="1052" spans="1:2" x14ac:dyDescent="0.25">
      <c r="A1052">
        <v>12683605</v>
      </c>
      <c r="B1052">
        <v>27.21</v>
      </c>
    </row>
    <row r="1053" spans="1:2" x14ac:dyDescent="0.25">
      <c r="A1053">
        <v>12683801</v>
      </c>
      <c r="B1053">
        <v>36.81</v>
      </c>
    </row>
    <row r="1054" spans="1:2" x14ac:dyDescent="0.25">
      <c r="A1054">
        <v>12683802</v>
      </c>
      <c r="B1054">
        <v>36.81</v>
      </c>
    </row>
    <row r="1055" spans="1:2" x14ac:dyDescent="0.25">
      <c r="A1055">
        <v>12683803</v>
      </c>
      <c r="B1055">
        <v>36.81</v>
      </c>
    </row>
    <row r="1056" spans="1:2" x14ac:dyDescent="0.25">
      <c r="A1056">
        <v>12683804</v>
      </c>
      <c r="B1056">
        <v>28.83</v>
      </c>
    </row>
    <row r="1057" spans="1:2" x14ac:dyDescent="0.25">
      <c r="A1057">
        <v>12683901</v>
      </c>
      <c r="B1057">
        <v>56.88</v>
      </c>
    </row>
    <row r="1058" spans="1:2" x14ac:dyDescent="0.25">
      <c r="A1058">
        <v>12683902</v>
      </c>
      <c r="B1058">
        <v>51.12</v>
      </c>
    </row>
    <row r="1059" spans="1:2" x14ac:dyDescent="0.25">
      <c r="A1059">
        <v>12683903</v>
      </c>
      <c r="B1059">
        <v>56.88</v>
      </c>
    </row>
    <row r="1060" spans="1:2" x14ac:dyDescent="0.25">
      <c r="A1060">
        <v>12683904</v>
      </c>
      <c r="B1060">
        <v>51.12</v>
      </c>
    </row>
    <row r="1061" spans="1:2" x14ac:dyDescent="0.25">
      <c r="A1061">
        <v>12683905</v>
      </c>
      <c r="B1061">
        <v>52.74</v>
      </c>
    </row>
    <row r="1062" spans="1:2" x14ac:dyDescent="0.25">
      <c r="A1062">
        <v>12683906</v>
      </c>
      <c r="B1062">
        <v>51.12</v>
      </c>
    </row>
    <row r="1063" spans="1:2" x14ac:dyDescent="0.25">
      <c r="A1063">
        <v>12683907</v>
      </c>
      <c r="B1063">
        <v>51.12</v>
      </c>
    </row>
    <row r="1064" spans="1:2" x14ac:dyDescent="0.25">
      <c r="A1064">
        <v>12683908</v>
      </c>
      <c r="B1064">
        <v>51.12</v>
      </c>
    </row>
    <row r="1065" spans="1:2" x14ac:dyDescent="0.25">
      <c r="A1065">
        <v>12683909</v>
      </c>
      <c r="B1065">
        <v>52.74</v>
      </c>
    </row>
    <row r="1066" spans="1:2" x14ac:dyDescent="0.25">
      <c r="A1066">
        <v>12683910</v>
      </c>
      <c r="B1066">
        <v>56.88</v>
      </c>
    </row>
    <row r="1067" spans="1:2" x14ac:dyDescent="0.25">
      <c r="A1067">
        <v>12683911</v>
      </c>
      <c r="B1067">
        <v>56.88</v>
      </c>
    </row>
    <row r="1068" spans="1:2" x14ac:dyDescent="0.25">
      <c r="A1068">
        <v>12683912</v>
      </c>
      <c r="B1068">
        <v>56.88</v>
      </c>
    </row>
    <row r="1069" spans="1:2" x14ac:dyDescent="0.25">
      <c r="A1069">
        <v>12683913</v>
      </c>
      <c r="B1069">
        <v>56.88</v>
      </c>
    </row>
    <row r="1070" spans="1:2" x14ac:dyDescent="0.25">
      <c r="A1070">
        <v>12683914</v>
      </c>
      <c r="B1070">
        <v>56.88</v>
      </c>
    </row>
    <row r="1071" spans="1:2" x14ac:dyDescent="0.25">
      <c r="A1071">
        <v>12683915</v>
      </c>
      <c r="B1071">
        <v>44.55</v>
      </c>
    </row>
    <row r="1072" spans="1:2" x14ac:dyDescent="0.25">
      <c r="A1072">
        <v>12684401</v>
      </c>
      <c r="B1072">
        <v>26.55</v>
      </c>
    </row>
    <row r="1073" spans="1:2" x14ac:dyDescent="0.25">
      <c r="A1073">
        <v>12684402</v>
      </c>
      <c r="B1073">
        <v>26.55</v>
      </c>
    </row>
    <row r="1074" spans="1:2" x14ac:dyDescent="0.25">
      <c r="A1074">
        <v>12684403</v>
      </c>
      <c r="B1074">
        <v>20.79</v>
      </c>
    </row>
    <row r="1075" spans="1:2" x14ac:dyDescent="0.25">
      <c r="A1075">
        <v>12684501</v>
      </c>
      <c r="B1075">
        <v>49.05</v>
      </c>
    </row>
    <row r="1076" spans="1:2" x14ac:dyDescent="0.25">
      <c r="A1076">
        <v>12684502</v>
      </c>
      <c r="B1076">
        <v>49.05</v>
      </c>
    </row>
    <row r="1077" spans="1:2" x14ac:dyDescent="0.25">
      <c r="A1077">
        <v>12684503</v>
      </c>
      <c r="B1077">
        <v>38.42</v>
      </c>
    </row>
    <row r="1078" spans="1:2" x14ac:dyDescent="0.25">
      <c r="A1078">
        <v>12684601</v>
      </c>
      <c r="B1078">
        <v>40.04</v>
      </c>
    </row>
    <row r="1079" spans="1:2" x14ac:dyDescent="0.25">
      <c r="A1079">
        <v>12684701</v>
      </c>
      <c r="B1079">
        <v>36.81</v>
      </c>
    </row>
    <row r="1080" spans="1:2" x14ac:dyDescent="0.25">
      <c r="A1080">
        <v>12684702</v>
      </c>
      <c r="B1080">
        <v>36.81</v>
      </c>
    </row>
    <row r="1081" spans="1:2" x14ac:dyDescent="0.25">
      <c r="A1081">
        <v>12684703</v>
      </c>
      <c r="B1081">
        <v>28.83</v>
      </c>
    </row>
    <row r="1082" spans="1:2" x14ac:dyDescent="0.25">
      <c r="A1082">
        <v>12684801</v>
      </c>
      <c r="B1082">
        <v>40.86</v>
      </c>
    </row>
    <row r="1083" spans="1:2" x14ac:dyDescent="0.25">
      <c r="A1083">
        <v>12684802</v>
      </c>
      <c r="B1083">
        <v>40.86</v>
      </c>
    </row>
    <row r="1084" spans="1:2" x14ac:dyDescent="0.25">
      <c r="A1084">
        <v>12684803</v>
      </c>
      <c r="B1084">
        <v>32</v>
      </c>
    </row>
    <row r="1085" spans="1:2" x14ac:dyDescent="0.25">
      <c r="A1085">
        <v>12684901</v>
      </c>
      <c r="B1085">
        <v>28.62</v>
      </c>
    </row>
    <row r="1086" spans="1:2" x14ac:dyDescent="0.25">
      <c r="A1086">
        <v>12684902</v>
      </c>
      <c r="B1086">
        <v>28.62</v>
      </c>
    </row>
    <row r="1087" spans="1:2" x14ac:dyDescent="0.25">
      <c r="A1087">
        <v>12684903</v>
      </c>
      <c r="B1087">
        <v>22.42</v>
      </c>
    </row>
    <row r="1088" spans="1:2" x14ac:dyDescent="0.25">
      <c r="A1088">
        <v>12685201</v>
      </c>
      <c r="B1088">
        <v>51.12</v>
      </c>
    </row>
    <row r="1089" spans="1:2" x14ac:dyDescent="0.25">
      <c r="A1089">
        <v>12685202</v>
      </c>
      <c r="B1089">
        <v>51.12</v>
      </c>
    </row>
    <row r="1090" spans="1:2" x14ac:dyDescent="0.25">
      <c r="A1090">
        <v>12685203</v>
      </c>
      <c r="B1090">
        <v>51.12</v>
      </c>
    </row>
    <row r="1091" spans="1:2" x14ac:dyDescent="0.25">
      <c r="A1091">
        <v>12685204</v>
      </c>
      <c r="B1091">
        <v>40.04</v>
      </c>
    </row>
    <row r="1092" spans="1:2" x14ac:dyDescent="0.25">
      <c r="A1092">
        <v>12686901</v>
      </c>
      <c r="B1092">
        <v>15.23</v>
      </c>
    </row>
    <row r="1093" spans="1:2" x14ac:dyDescent="0.25">
      <c r="A1093">
        <v>12687001</v>
      </c>
      <c r="B1093">
        <v>15.23</v>
      </c>
    </row>
    <row r="1094" spans="1:2" x14ac:dyDescent="0.25">
      <c r="A1094">
        <v>12687101</v>
      </c>
      <c r="B1094">
        <v>15.23</v>
      </c>
    </row>
    <row r="1095" spans="1:2" x14ac:dyDescent="0.25">
      <c r="A1095">
        <v>12687201</v>
      </c>
      <c r="B1095">
        <v>15.23</v>
      </c>
    </row>
    <row r="1096" spans="1:2" x14ac:dyDescent="0.25">
      <c r="A1096">
        <v>12687301</v>
      </c>
      <c r="B1096">
        <v>17.62</v>
      </c>
    </row>
    <row r="1097" spans="1:2" x14ac:dyDescent="0.25">
      <c r="A1097">
        <v>12687401</v>
      </c>
      <c r="B1097">
        <v>17.62</v>
      </c>
    </row>
    <row r="1098" spans="1:2" x14ac:dyDescent="0.25">
      <c r="A1098">
        <v>12687501</v>
      </c>
      <c r="B1098">
        <v>17.62</v>
      </c>
    </row>
    <row r="1099" spans="1:2" x14ac:dyDescent="0.25">
      <c r="A1099">
        <v>12687601</v>
      </c>
      <c r="B1099">
        <v>20.09</v>
      </c>
    </row>
    <row r="1100" spans="1:2" x14ac:dyDescent="0.25">
      <c r="A1100">
        <v>12687701</v>
      </c>
      <c r="B1100">
        <v>16.920000000000002</v>
      </c>
    </row>
    <row r="1101" spans="1:2" x14ac:dyDescent="0.25">
      <c r="A1101">
        <v>12687801</v>
      </c>
      <c r="B1101">
        <v>16.920000000000002</v>
      </c>
    </row>
    <row r="1102" spans="1:2" x14ac:dyDescent="0.25">
      <c r="A1102">
        <v>12687901</v>
      </c>
      <c r="B1102">
        <v>19.03</v>
      </c>
    </row>
    <row r="1103" spans="1:2" x14ac:dyDescent="0.25">
      <c r="A1103">
        <v>12688001</v>
      </c>
      <c r="B1103">
        <v>16.850000000000001</v>
      </c>
    </row>
    <row r="1104" spans="1:2" x14ac:dyDescent="0.25">
      <c r="A1104">
        <v>12688101</v>
      </c>
      <c r="B1104">
        <v>16.850000000000001</v>
      </c>
    </row>
    <row r="1105" spans="1:2" x14ac:dyDescent="0.25">
      <c r="A1105">
        <v>12688201</v>
      </c>
      <c r="B1105">
        <v>26.08</v>
      </c>
    </row>
    <row r="1106" spans="1:2" x14ac:dyDescent="0.25">
      <c r="A1106">
        <v>12688301</v>
      </c>
      <c r="B1106">
        <v>23.54</v>
      </c>
    </row>
    <row r="1107" spans="1:2" x14ac:dyDescent="0.25">
      <c r="A1107">
        <v>12688401</v>
      </c>
      <c r="B1107">
        <v>23.54</v>
      </c>
    </row>
    <row r="1108" spans="1:2" x14ac:dyDescent="0.25">
      <c r="A1108">
        <v>12688501</v>
      </c>
      <c r="B1108">
        <v>23.47</v>
      </c>
    </row>
    <row r="1109" spans="1:2" x14ac:dyDescent="0.25">
      <c r="A1109">
        <v>12688601</v>
      </c>
      <c r="B1109">
        <v>23.47</v>
      </c>
    </row>
    <row r="1110" spans="1:2" x14ac:dyDescent="0.25">
      <c r="A1110">
        <v>12688701</v>
      </c>
      <c r="B1110">
        <v>23.47</v>
      </c>
    </row>
    <row r="1111" spans="1:2" x14ac:dyDescent="0.25">
      <c r="A1111">
        <v>12688801</v>
      </c>
      <c r="B1111">
        <v>21.57</v>
      </c>
    </row>
    <row r="1112" spans="1:2" x14ac:dyDescent="0.25">
      <c r="A1112">
        <v>12688901</v>
      </c>
      <c r="B1112">
        <v>21.57</v>
      </c>
    </row>
    <row r="1113" spans="1:2" x14ac:dyDescent="0.25">
      <c r="A1113">
        <v>12689001</v>
      </c>
      <c r="B1113">
        <v>21.57</v>
      </c>
    </row>
    <row r="1114" spans="1:2" x14ac:dyDescent="0.25">
      <c r="A1114">
        <v>12689101</v>
      </c>
      <c r="B1114">
        <v>18.75</v>
      </c>
    </row>
    <row r="1115" spans="1:2" x14ac:dyDescent="0.25">
      <c r="A1115">
        <v>12689201</v>
      </c>
      <c r="B1115">
        <v>18.75</v>
      </c>
    </row>
    <row r="1116" spans="1:2" x14ac:dyDescent="0.25">
      <c r="A1116">
        <v>12690901</v>
      </c>
      <c r="B1116">
        <v>26.22</v>
      </c>
    </row>
    <row r="1117" spans="1:2" x14ac:dyDescent="0.25">
      <c r="A1117">
        <v>12691001</v>
      </c>
      <c r="B1117">
        <v>26.22</v>
      </c>
    </row>
    <row r="1118" spans="1:2" x14ac:dyDescent="0.25">
      <c r="A1118">
        <v>12691101</v>
      </c>
      <c r="B1118">
        <v>26.22</v>
      </c>
    </row>
    <row r="1119" spans="1:2" x14ac:dyDescent="0.25">
      <c r="A1119">
        <v>12691201</v>
      </c>
      <c r="B1119">
        <v>15.93</v>
      </c>
    </row>
    <row r="1120" spans="1:2" x14ac:dyDescent="0.25">
      <c r="A1120">
        <v>12691301</v>
      </c>
      <c r="B1120">
        <v>15.65</v>
      </c>
    </row>
    <row r="1121" spans="1:2" x14ac:dyDescent="0.25">
      <c r="A1121">
        <v>12691401</v>
      </c>
      <c r="B1121">
        <v>15.65</v>
      </c>
    </row>
    <row r="1122" spans="1:2" x14ac:dyDescent="0.25">
      <c r="A1122">
        <v>12691701</v>
      </c>
      <c r="B1122">
        <v>26.22</v>
      </c>
    </row>
    <row r="1123" spans="1:2" x14ac:dyDescent="0.25">
      <c r="A1123">
        <v>14530001</v>
      </c>
      <c r="B1123">
        <v>24.48</v>
      </c>
    </row>
    <row r="1124" spans="1:2" x14ac:dyDescent="0.25">
      <c r="A1124">
        <v>14530002</v>
      </c>
      <c r="B1124">
        <v>24.48</v>
      </c>
    </row>
    <row r="1125" spans="1:2" x14ac:dyDescent="0.25">
      <c r="A1125">
        <v>14530003</v>
      </c>
      <c r="B1125">
        <v>24.48</v>
      </c>
    </row>
    <row r="1126" spans="1:2" x14ac:dyDescent="0.25">
      <c r="A1126">
        <v>14530004</v>
      </c>
      <c r="B1126">
        <v>24.48</v>
      </c>
    </row>
    <row r="1127" spans="1:2" x14ac:dyDescent="0.25">
      <c r="A1127">
        <v>14530005</v>
      </c>
      <c r="B1127">
        <v>24.48</v>
      </c>
    </row>
    <row r="1128" spans="1:2" x14ac:dyDescent="0.25">
      <c r="A1128">
        <v>14530006</v>
      </c>
      <c r="B1128">
        <v>19.170000000000002</v>
      </c>
    </row>
    <row r="1129" spans="1:2" x14ac:dyDescent="0.25">
      <c r="A1129">
        <v>14530701</v>
      </c>
      <c r="B1129">
        <v>60.93</v>
      </c>
    </row>
    <row r="1130" spans="1:2" x14ac:dyDescent="0.25">
      <c r="A1130">
        <v>14530702</v>
      </c>
      <c r="B1130">
        <v>55.26</v>
      </c>
    </row>
    <row r="1131" spans="1:2" x14ac:dyDescent="0.25">
      <c r="A1131">
        <v>14530703</v>
      </c>
      <c r="B1131">
        <v>55.26</v>
      </c>
    </row>
    <row r="1132" spans="1:2" x14ac:dyDescent="0.25">
      <c r="A1132">
        <v>14530704</v>
      </c>
      <c r="B1132">
        <v>55.26</v>
      </c>
    </row>
    <row r="1133" spans="1:2" x14ac:dyDescent="0.25">
      <c r="A1133">
        <v>14530705</v>
      </c>
      <c r="B1133">
        <v>55.26</v>
      </c>
    </row>
    <row r="1134" spans="1:2" x14ac:dyDescent="0.25">
      <c r="A1134">
        <v>14530706</v>
      </c>
      <c r="B1134">
        <v>55.26</v>
      </c>
    </row>
    <row r="1135" spans="1:2" x14ac:dyDescent="0.25">
      <c r="A1135">
        <v>14530707</v>
      </c>
      <c r="B1135">
        <v>63.45</v>
      </c>
    </row>
    <row r="1136" spans="1:2" x14ac:dyDescent="0.25">
      <c r="A1136">
        <v>14530708</v>
      </c>
      <c r="B1136">
        <v>63.45</v>
      </c>
    </row>
    <row r="1137" spans="1:2" x14ac:dyDescent="0.25">
      <c r="A1137">
        <v>14530709</v>
      </c>
      <c r="B1137">
        <v>69.12</v>
      </c>
    </row>
    <row r="1138" spans="1:2" x14ac:dyDescent="0.25">
      <c r="A1138">
        <v>14530710</v>
      </c>
      <c r="B1138">
        <v>54.13</v>
      </c>
    </row>
    <row r="1139" spans="1:2" x14ac:dyDescent="0.25">
      <c r="A1139">
        <v>14531301</v>
      </c>
      <c r="B1139">
        <v>49.05</v>
      </c>
    </row>
    <row r="1140" spans="1:2" x14ac:dyDescent="0.25">
      <c r="A1140">
        <v>14531302</v>
      </c>
      <c r="B1140">
        <v>49.05</v>
      </c>
    </row>
    <row r="1141" spans="1:2" x14ac:dyDescent="0.25">
      <c r="A1141">
        <v>14531303</v>
      </c>
      <c r="B1141">
        <v>38.42</v>
      </c>
    </row>
    <row r="1142" spans="1:2" x14ac:dyDescent="0.25">
      <c r="A1142">
        <v>14531601</v>
      </c>
      <c r="B1142">
        <v>40.86</v>
      </c>
    </row>
    <row r="1143" spans="1:2" x14ac:dyDescent="0.25">
      <c r="A1143">
        <v>14531602</v>
      </c>
      <c r="B1143">
        <v>32</v>
      </c>
    </row>
    <row r="1144" spans="1:2" x14ac:dyDescent="0.25">
      <c r="A1144">
        <v>14531701</v>
      </c>
      <c r="B1144">
        <v>63.45</v>
      </c>
    </row>
    <row r="1145" spans="1:2" x14ac:dyDescent="0.25">
      <c r="A1145">
        <v>14531702</v>
      </c>
      <c r="B1145">
        <v>49.69</v>
      </c>
    </row>
    <row r="1146" spans="1:2" x14ac:dyDescent="0.25">
      <c r="A1146">
        <v>14533201</v>
      </c>
      <c r="B1146">
        <v>17.62</v>
      </c>
    </row>
    <row r="1147" spans="1:2" x14ac:dyDescent="0.25">
      <c r="A1147">
        <v>14534401</v>
      </c>
      <c r="B1147">
        <v>51.12</v>
      </c>
    </row>
    <row r="1148" spans="1:2" x14ac:dyDescent="0.25">
      <c r="A1148">
        <v>14534402</v>
      </c>
      <c r="B1148">
        <v>40.04</v>
      </c>
    </row>
    <row r="1149" spans="1:2" x14ac:dyDescent="0.25">
      <c r="A1149">
        <v>14540201</v>
      </c>
      <c r="B1149">
        <v>32.67</v>
      </c>
    </row>
    <row r="1150" spans="1:2" x14ac:dyDescent="0.25">
      <c r="A1150">
        <v>14540202</v>
      </c>
      <c r="B1150">
        <v>32.67</v>
      </c>
    </row>
    <row r="1151" spans="1:2" x14ac:dyDescent="0.25">
      <c r="A1151">
        <v>14540203</v>
      </c>
      <c r="B1151">
        <v>25.59</v>
      </c>
    </row>
    <row r="1152" spans="1:2" x14ac:dyDescent="0.25">
      <c r="A1152">
        <v>14540301</v>
      </c>
      <c r="B1152">
        <v>47.72</v>
      </c>
    </row>
    <row r="1153" spans="1:2" x14ac:dyDescent="0.25">
      <c r="A1153">
        <v>14540302</v>
      </c>
      <c r="B1153">
        <v>60.93</v>
      </c>
    </row>
    <row r="1154" spans="1:2" x14ac:dyDescent="0.25">
      <c r="A1154">
        <v>14540303</v>
      </c>
      <c r="B1154">
        <v>52.74</v>
      </c>
    </row>
    <row r="1155" spans="1:2" x14ac:dyDescent="0.25">
      <c r="A1155">
        <v>14540304</v>
      </c>
      <c r="B1155">
        <v>52.74</v>
      </c>
    </row>
    <row r="1156" spans="1:2" x14ac:dyDescent="0.25">
      <c r="A1156">
        <v>14540305</v>
      </c>
      <c r="B1156">
        <v>60.93</v>
      </c>
    </row>
    <row r="1157" spans="1:2" x14ac:dyDescent="0.25">
      <c r="A1157">
        <v>14540306</v>
      </c>
      <c r="B1157">
        <v>47.72</v>
      </c>
    </row>
    <row r="1158" spans="1:2" x14ac:dyDescent="0.25">
      <c r="A1158">
        <v>14540401</v>
      </c>
      <c r="B1158">
        <v>30.78</v>
      </c>
    </row>
    <row r="1159" spans="1:2" x14ac:dyDescent="0.25">
      <c r="A1159">
        <v>14540402</v>
      </c>
      <c r="B1159">
        <v>30.78</v>
      </c>
    </row>
    <row r="1160" spans="1:2" x14ac:dyDescent="0.25">
      <c r="A1160">
        <v>14540403</v>
      </c>
      <c r="B1160">
        <v>24.11</v>
      </c>
    </row>
    <row r="1161" spans="1:2" x14ac:dyDescent="0.25">
      <c r="A1161">
        <v>14540501</v>
      </c>
      <c r="B1161">
        <v>40.86</v>
      </c>
    </row>
    <row r="1162" spans="1:2" x14ac:dyDescent="0.25">
      <c r="A1162">
        <v>14540502</v>
      </c>
      <c r="B1162">
        <v>32</v>
      </c>
    </row>
    <row r="1163" spans="1:2" x14ac:dyDescent="0.25">
      <c r="A1163">
        <v>14540701</v>
      </c>
      <c r="B1163">
        <v>51.12</v>
      </c>
    </row>
    <row r="1164" spans="1:2" x14ac:dyDescent="0.25">
      <c r="A1164">
        <v>14540702</v>
      </c>
      <c r="B1164">
        <v>40.04</v>
      </c>
    </row>
    <row r="1165" spans="1:2" x14ac:dyDescent="0.25">
      <c r="A1165">
        <v>14540801</v>
      </c>
      <c r="B1165">
        <v>38.880000000000003</v>
      </c>
    </row>
    <row r="1166" spans="1:2" x14ac:dyDescent="0.25">
      <c r="A1166">
        <v>14540802</v>
      </c>
      <c r="B1166">
        <v>38.880000000000003</v>
      </c>
    </row>
    <row r="1167" spans="1:2" x14ac:dyDescent="0.25">
      <c r="A1167">
        <v>14540803</v>
      </c>
      <c r="B1167">
        <v>38.880000000000003</v>
      </c>
    </row>
    <row r="1168" spans="1:2" x14ac:dyDescent="0.25">
      <c r="A1168">
        <v>14540804</v>
      </c>
      <c r="B1168">
        <v>30.45</v>
      </c>
    </row>
    <row r="1169" spans="1:2" x14ac:dyDescent="0.25">
      <c r="A1169">
        <v>14541901</v>
      </c>
      <c r="B1169">
        <v>47.07</v>
      </c>
    </row>
    <row r="1170" spans="1:2" x14ac:dyDescent="0.25">
      <c r="A1170">
        <v>14541902</v>
      </c>
      <c r="B1170">
        <v>47.07</v>
      </c>
    </row>
    <row r="1171" spans="1:2" x14ac:dyDescent="0.25">
      <c r="A1171">
        <v>14541903</v>
      </c>
      <c r="B1171">
        <v>36.869999999999997</v>
      </c>
    </row>
    <row r="1172" spans="1:2" x14ac:dyDescent="0.25">
      <c r="A1172">
        <v>14720901</v>
      </c>
      <c r="B1172">
        <v>44.83</v>
      </c>
    </row>
    <row r="1173" spans="1:2" x14ac:dyDescent="0.25">
      <c r="A1173">
        <v>14761901</v>
      </c>
      <c r="B1173">
        <v>38.880000000000003</v>
      </c>
    </row>
    <row r="1174" spans="1:2" x14ac:dyDescent="0.25">
      <c r="A1174">
        <v>14761902</v>
      </c>
      <c r="B1174">
        <v>38.880000000000003</v>
      </c>
    </row>
    <row r="1175" spans="1:2" x14ac:dyDescent="0.25">
      <c r="A1175">
        <v>14761903</v>
      </c>
      <c r="B1175">
        <v>30.45</v>
      </c>
    </row>
    <row r="1176" spans="1:2" x14ac:dyDescent="0.25">
      <c r="A1176">
        <v>14762001</v>
      </c>
      <c r="B1176">
        <v>48.69</v>
      </c>
    </row>
    <row r="1177" spans="1:2" x14ac:dyDescent="0.25">
      <c r="A1177">
        <v>14762002</v>
      </c>
      <c r="B1177">
        <v>48.69</v>
      </c>
    </row>
    <row r="1178" spans="1:2" x14ac:dyDescent="0.25">
      <c r="A1178">
        <v>14762003</v>
      </c>
      <c r="B1178">
        <v>48.69</v>
      </c>
    </row>
    <row r="1179" spans="1:2" x14ac:dyDescent="0.25">
      <c r="A1179">
        <v>14762004</v>
      </c>
      <c r="B1179">
        <v>38.130000000000003</v>
      </c>
    </row>
    <row r="1180" spans="1:2" x14ac:dyDescent="0.25">
      <c r="A1180">
        <v>14762101</v>
      </c>
      <c r="B1180">
        <v>34.74</v>
      </c>
    </row>
    <row r="1181" spans="1:2" x14ac:dyDescent="0.25">
      <c r="A1181">
        <v>14762102</v>
      </c>
      <c r="B1181">
        <v>34.74</v>
      </c>
    </row>
    <row r="1182" spans="1:2" x14ac:dyDescent="0.25">
      <c r="A1182">
        <v>14762103</v>
      </c>
      <c r="B1182">
        <v>34.74</v>
      </c>
    </row>
    <row r="1183" spans="1:2" x14ac:dyDescent="0.25">
      <c r="A1183">
        <v>14762104</v>
      </c>
      <c r="B1183">
        <v>27.21</v>
      </c>
    </row>
    <row r="1184" spans="1:2" x14ac:dyDescent="0.25">
      <c r="A1184">
        <v>14762201</v>
      </c>
      <c r="B1184">
        <v>40.86</v>
      </c>
    </row>
    <row r="1185" spans="1:2" x14ac:dyDescent="0.25">
      <c r="A1185">
        <v>14762202</v>
      </c>
      <c r="B1185">
        <v>40.86</v>
      </c>
    </row>
    <row r="1186" spans="1:2" x14ac:dyDescent="0.25">
      <c r="A1186">
        <v>14762203</v>
      </c>
      <c r="B1186">
        <v>40.86</v>
      </c>
    </row>
    <row r="1187" spans="1:2" x14ac:dyDescent="0.25">
      <c r="A1187">
        <v>14762204</v>
      </c>
      <c r="B1187">
        <v>32</v>
      </c>
    </row>
    <row r="1188" spans="1:2" x14ac:dyDescent="0.25">
      <c r="A1188">
        <v>14762301</v>
      </c>
      <c r="B1188">
        <v>40.86</v>
      </c>
    </row>
    <row r="1189" spans="1:2" x14ac:dyDescent="0.25">
      <c r="A1189">
        <v>14762302</v>
      </c>
      <c r="B1189">
        <v>40.86</v>
      </c>
    </row>
    <row r="1190" spans="1:2" x14ac:dyDescent="0.25">
      <c r="A1190">
        <v>14762303</v>
      </c>
      <c r="B1190">
        <v>40.86</v>
      </c>
    </row>
    <row r="1191" spans="1:2" x14ac:dyDescent="0.25">
      <c r="A1191">
        <v>14762304</v>
      </c>
      <c r="B1191">
        <v>40.86</v>
      </c>
    </row>
    <row r="1192" spans="1:2" x14ac:dyDescent="0.25">
      <c r="A1192">
        <v>14762305</v>
      </c>
      <c r="B1192">
        <v>32</v>
      </c>
    </row>
    <row r="1193" spans="1:2" x14ac:dyDescent="0.25">
      <c r="A1193">
        <v>14762501</v>
      </c>
      <c r="B1193">
        <v>26.55</v>
      </c>
    </row>
    <row r="1194" spans="1:2" x14ac:dyDescent="0.25">
      <c r="A1194">
        <v>14762502</v>
      </c>
      <c r="B1194">
        <v>26.55</v>
      </c>
    </row>
    <row r="1195" spans="1:2" x14ac:dyDescent="0.25">
      <c r="A1195">
        <v>14762503</v>
      </c>
      <c r="B1195">
        <v>26.55</v>
      </c>
    </row>
    <row r="1196" spans="1:2" x14ac:dyDescent="0.25">
      <c r="A1196">
        <v>14762601</v>
      </c>
      <c r="B1196">
        <v>32.67</v>
      </c>
    </row>
    <row r="1197" spans="1:2" x14ac:dyDescent="0.25">
      <c r="A1197">
        <v>14762602</v>
      </c>
      <c r="B1197">
        <v>32.67</v>
      </c>
    </row>
    <row r="1198" spans="1:2" x14ac:dyDescent="0.25">
      <c r="A1198">
        <v>14762603</v>
      </c>
      <c r="B1198">
        <v>32.67</v>
      </c>
    </row>
    <row r="1199" spans="1:2" x14ac:dyDescent="0.25">
      <c r="A1199">
        <v>14762604</v>
      </c>
      <c r="B1199">
        <v>32.67</v>
      </c>
    </row>
    <row r="1200" spans="1:2" x14ac:dyDescent="0.25">
      <c r="A1200">
        <v>14762701</v>
      </c>
      <c r="B1200">
        <v>51.12</v>
      </c>
    </row>
    <row r="1201" spans="1:2" x14ac:dyDescent="0.25">
      <c r="A1201">
        <v>14762702</v>
      </c>
      <c r="B1201">
        <v>51.12</v>
      </c>
    </row>
    <row r="1202" spans="1:2" x14ac:dyDescent="0.25">
      <c r="A1202">
        <v>14762901</v>
      </c>
      <c r="B1202">
        <v>55.26</v>
      </c>
    </row>
    <row r="1203" spans="1:2" x14ac:dyDescent="0.25">
      <c r="A1203">
        <v>14762902</v>
      </c>
      <c r="B1203">
        <v>55.26</v>
      </c>
    </row>
    <row r="1204" spans="1:2" x14ac:dyDescent="0.25">
      <c r="A1204">
        <v>14762903</v>
      </c>
      <c r="B1204">
        <v>55.26</v>
      </c>
    </row>
    <row r="1205" spans="1:2" x14ac:dyDescent="0.25">
      <c r="A1205">
        <v>14765001</v>
      </c>
      <c r="B1205">
        <v>40.86</v>
      </c>
    </row>
    <row r="1206" spans="1:2" x14ac:dyDescent="0.25">
      <c r="A1206">
        <v>14765002</v>
      </c>
      <c r="B1206">
        <v>40.86</v>
      </c>
    </row>
    <row r="1207" spans="1:2" x14ac:dyDescent="0.25">
      <c r="A1207">
        <v>14765003</v>
      </c>
      <c r="B1207">
        <v>40.86</v>
      </c>
    </row>
    <row r="1208" spans="1:2" x14ac:dyDescent="0.25">
      <c r="A1208">
        <v>14765101</v>
      </c>
      <c r="B1208">
        <v>36.81</v>
      </c>
    </row>
    <row r="1209" spans="1:2" x14ac:dyDescent="0.25">
      <c r="A1209">
        <v>14765102</v>
      </c>
      <c r="B1209">
        <v>36.81</v>
      </c>
    </row>
    <row r="1210" spans="1:2" x14ac:dyDescent="0.25">
      <c r="A1210">
        <v>14765103</v>
      </c>
      <c r="B1210">
        <v>36.81</v>
      </c>
    </row>
    <row r="1211" spans="1:2" x14ac:dyDescent="0.25">
      <c r="A1211">
        <v>14765104</v>
      </c>
      <c r="B1211">
        <v>36.81</v>
      </c>
    </row>
    <row r="1212" spans="1:2" x14ac:dyDescent="0.25">
      <c r="A1212">
        <v>14851601</v>
      </c>
      <c r="B1212">
        <v>40.86</v>
      </c>
    </row>
    <row r="1213" spans="1:2" x14ac:dyDescent="0.25">
      <c r="A1213">
        <v>14851602</v>
      </c>
      <c r="B1213">
        <v>40.86</v>
      </c>
    </row>
    <row r="1214" spans="1:2" x14ac:dyDescent="0.25">
      <c r="A1214">
        <v>14851603</v>
      </c>
      <c r="B1214">
        <v>40.86</v>
      </c>
    </row>
    <row r="1215" spans="1:2" x14ac:dyDescent="0.25">
      <c r="A1215">
        <v>14851701</v>
      </c>
      <c r="B1215">
        <v>40.86</v>
      </c>
    </row>
    <row r="1216" spans="1:2" x14ac:dyDescent="0.25">
      <c r="A1216">
        <v>14851801</v>
      </c>
      <c r="B1216">
        <v>40.86</v>
      </c>
    </row>
    <row r="1217" spans="1:2" x14ac:dyDescent="0.25">
      <c r="A1217">
        <v>14851901</v>
      </c>
      <c r="B1217">
        <v>53.19</v>
      </c>
    </row>
    <row r="1218" spans="1:2" x14ac:dyDescent="0.25">
      <c r="A1218">
        <v>14852101</v>
      </c>
      <c r="B1218">
        <v>36.81</v>
      </c>
    </row>
    <row r="1219" spans="1:2" x14ac:dyDescent="0.25">
      <c r="A1219">
        <v>14852102</v>
      </c>
      <c r="B1219">
        <v>36.81</v>
      </c>
    </row>
    <row r="1220" spans="1:2" x14ac:dyDescent="0.25">
      <c r="A1220">
        <v>14852103</v>
      </c>
      <c r="B1220">
        <v>36.81</v>
      </c>
    </row>
    <row r="1221" spans="1:2" x14ac:dyDescent="0.25">
      <c r="A1221">
        <v>14852104</v>
      </c>
      <c r="B1221">
        <v>36.81</v>
      </c>
    </row>
    <row r="1222" spans="1:2" x14ac:dyDescent="0.25">
      <c r="A1222">
        <v>14868101</v>
      </c>
      <c r="B1222">
        <v>67.5</v>
      </c>
    </row>
    <row r="1223" spans="1:2" x14ac:dyDescent="0.25">
      <c r="A1223">
        <v>14917801</v>
      </c>
      <c r="B1223">
        <v>30.69</v>
      </c>
    </row>
    <row r="1224" spans="1:2" x14ac:dyDescent="0.25">
      <c r="A1224">
        <v>14924101</v>
      </c>
      <c r="B1224">
        <v>57.24</v>
      </c>
    </row>
    <row r="1225" spans="1:2" x14ac:dyDescent="0.25">
      <c r="A1225">
        <v>14925801</v>
      </c>
      <c r="B1225">
        <v>24.48</v>
      </c>
    </row>
    <row r="1226" spans="1:2" x14ac:dyDescent="0.25">
      <c r="A1226">
        <v>14925802</v>
      </c>
      <c r="B1226">
        <v>32.67</v>
      </c>
    </row>
    <row r="1227" spans="1:2" x14ac:dyDescent="0.25">
      <c r="A1227">
        <v>14925803</v>
      </c>
      <c r="B1227">
        <v>25.59</v>
      </c>
    </row>
    <row r="1228" spans="1:2" x14ac:dyDescent="0.25">
      <c r="A1228">
        <v>14927001</v>
      </c>
      <c r="B1228">
        <v>40.86</v>
      </c>
    </row>
    <row r="1229" spans="1:2" x14ac:dyDescent="0.25">
      <c r="A1229">
        <v>14927002</v>
      </c>
      <c r="B1229">
        <v>40.86</v>
      </c>
    </row>
    <row r="1230" spans="1:2" x14ac:dyDescent="0.25">
      <c r="A1230">
        <v>14927003</v>
      </c>
      <c r="B1230">
        <v>40.86</v>
      </c>
    </row>
    <row r="1231" spans="1:2" x14ac:dyDescent="0.25">
      <c r="A1231">
        <v>14927004</v>
      </c>
      <c r="B1231">
        <v>40.86</v>
      </c>
    </row>
    <row r="1232" spans="1:2" x14ac:dyDescent="0.25">
      <c r="A1232">
        <v>14927005</v>
      </c>
      <c r="B1232">
        <v>40.86</v>
      </c>
    </row>
    <row r="1233" spans="1:2" x14ac:dyDescent="0.25">
      <c r="A1233">
        <v>14927006</v>
      </c>
      <c r="B1233">
        <v>40.86</v>
      </c>
    </row>
    <row r="1234" spans="1:2" x14ac:dyDescent="0.25">
      <c r="A1234">
        <v>14927007</v>
      </c>
      <c r="B1234">
        <v>40.86</v>
      </c>
    </row>
    <row r="1235" spans="1:2" x14ac:dyDescent="0.25">
      <c r="A1235">
        <v>14927008</v>
      </c>
      <c r="B1235">
        <v>32</v>
      </c>
    </row>
    <row r="1236" spans="1:2" x14ac:dyDescent="0.25">
      <c r="A1236">
        <v>14931201</v>
      </c>
      <c r="B1236">
        <v>47.07</v>
      </c>
    </row>
    <row r="1237" spans="1:2" x14ac:dyDescent="0.25">
      <c r="A1237">
        <v>14931202</v>
      </c>
      <c r="B1237">
        <v>47.07</v>
      </c>
    </row>
    <row r="1238" spans="1:2" x14ac:dyDescent="0.25">
      <c r="A1238">
        <v>14931401</v>
      </c>
      <c r="B1238">
        <v>65.430000000000007</v>
      </c>
    </row>
    <row r="1239" spans="1:2" x14ac:dyDescent="0.25">
      <c r="A1239">
        <v>14931601</v>
      </c>
      <c r="B1239">
        <v>47.07</v>
      </c>
    </row>
    <row r="1240" spans="1:2" x14ac:dyDescent="0.25">
      <c r="A1240">
        <v>14931602</v>
      </c>
      <c r="B1240">
        <v>47.07</v>
      </c>
    </row>
    <row r="1241" spans="1:2" x14ac:dyDescent="0.25">
      <c r="A1241">
        <v>14932201</v>
      </c>
      <c r="B1241">
        <v>38.880000000000003</v>
      </c>
    </row>
    <row r="1242" spans="1:2" x14ac:dyDescent="0.25">
      <c r="A1242">
        <v>14932202</v>
      </c>
      <c r="B1242">
        <v>38.880000000000003</v>
      </c>
    </row>
    <row r="1243" spans="1:2" x14ac:dyDescent="0.25">
      <c r="A1243">
        <v>14932203</v>
      </c>
      <c r="B1243">
        <v>38.880000000000003</v>
      </c>
    </row>
    <row r="1244" spans="1:2" x14ac:dyDescent="0.25">
      <c r="A1244">
        <v>14932401</v>
      </c>
      <c r="B1244">
        <v>63.45</v>
      </c>
    </row>
    <row r="1245" spans="1:2" x14ac:dyDescent="0.25">
      <c r="A1245">
        <v>14932402</v>
      </c>
      <c r="B1245">
        <v>63.45</v>
      </c>
    </row>
    <row r="1246" spans="1:2" x14ac:dyDescent="0.25">
      <c r="A1246">
        <v>14932501</v>
      </c>
      <c r="B1246">
        <v>59.31</v>
      </c>
    </row>
    <row r="1247" spans="1:2" x14ac:dyDescent="0.25">
      <c r="A1247">
        <v>14932502</v>
      </c>
      <c r="B1247">
        <v>59.31</v>
      </c>
    </row>
    <row r="1248" spans="1:2" x14ac:dyDescent="0.25">
      <c r="A1248">
        <v>14932901</v>
      </c>
      <c r="B1248">
        <v>40.86</v>
      </c>
    </row>
    <row r="1249" spans="1:2" x14ac:dyDescent="0.25">
      <c r="A1249">
        <v>14932902</v>
      </c>
      <c r="B1249">
        <v>40.86</v>
      </c>
    </row>
    <row r="1250" spans="1:2" x14ac:dyDescent="0.25">
      <c r="A1250">
        <v>14933501</v>
      </c>
      <c r="B1250">
        <v>102.24</v>
      </c>
    </row>
    <row r="1251" spans="1:2" x14ac:dyDescent="0.25">
      <c r="A1251">
        <v>14933502</v>
      </c>
      <c r="B1251">
        <v>104.31</v>
      </c>
    </row>
    <row r="1252" spans="1:2" x14ac:dyDescent="0.25">
      <c r="A1252">
        <v>14933503</v>
      </c>
      <c r="B1252">
        <v>104.31</v>
      </c>
    </row>
    <row r="1253" spans="1:2" x14ac:dyDescent="0.25">
      <c r="A1253">
        <v>14933801</v>
      </c>
      <c r="B1253">
        <v>118.62</v>
      </c>
    </row>
    <row r="1254" spans="1:2" x14ac:dyDescent="0.25">
      <c r="A1254">
        <v>14971301</v>
      </c>
      <c r="B1254">
        <v>53.19</v>
      </c>
    </row>
    <row r="1255" spans="1:2" x14ac:dyDescent="0.25">
      <c r="A1255">
        <v>15188901</v>
      </c>
      <c r="B1255">
        <v>30.69</v>
      </c>
    </row>
    <row r="1256" spans="1:2" x14ac:dyDescent="0.25">
      <c r="A1256">
        <v>15188902</v>
      </c>
      <c r="B1256">
        <v>30.69</v>
      </c>
    </row>
    <row r="1257" spans="1:2" x14ac:dyDescent="0.25">
      <c r="A1257">
        <v>15188903</v>
      </c>
      <c r="B1257">
        <v>30.69</v>
      </c>
    </row>
    <row r="1258" spans="1:2" x14ac:dyDescent="0.25">
      <c r="A1258">
        <v>15188904</v>
      </c>
      <c r="B1258">
        <v>30.69</v>
      </c>
    </row>
    <row r="1259" spans="1:2" x14ac:dyDescent="0.25">
      <c r="A1259">
        <v>15189201</v>
      </c>
      <c r="B1259">
        <v>38.880000000000003</v>
      </c>
    </row>
    <row r="1260" spans="1:2" x14ac:dyDescent="0.25">
      <c r="A1260">
        <v>15189202</v>
      </c>
      <c r="B1260">
        <v>38.880000000000003</v>
      </c>
    </row>
    <row r="1261" spans="1:2" x14ac:dyDescent="0.25">
      <c r="A1261">
        <v>15189203</v>
      </c>
      <c r="B1261">
        <v>38.880000000000003</v>
      </c>
    </row>
    <row r="1262" spans="1:2" x14ac:dyDescent="0.25">
      <c r="A1262">
        <v>15189204</v>
      </c>
      <c r="B1262">
        <v>38.880000000000003</v>
      </c>
    </row>
    <row r="1263" spans="1:2" x14ac:dyDescent="0.25">
      <c r="A1263">
        <v>15189301</v>
      </c>
      <c r="B1263">
        <v>22.5</v>
      </c>
    </row>
    <row r="1264" spans="1:2" x14ac:dyDescent="0.25">
      <c r="A1264">
        <v>15189302</v>
      </c>
      <c r="B1264">
        <v>22.5</v>
      </c>
    </row>
    <row r="1265" spans="1:2" x14ac:dyDescent="0.25">
      <c r="A1265">
        <v>15189303</v>
      </c>
      <c r="B1265">
        <v>22.5</v>
      </c>
    </row>
    <row r="1266" spans="1:2" x14ac:dyDescent="0.25">
      <c r="A1266">
        <v>15189304</v>
      </c>
      <c r="B1266">
        <v>22.5</v>
      </c>
    </row>
    <row r="1267" spans="1:2" x14ac:dyDescent="0.25">
      <c r="A1267">
        <v>15189401</v>
      </c>
      <c r="B1267">
        <v>38.880000000000003</v>
      </c>
    </row>
    <row r="1268" spans="1:2" x14ac:dyDescent="0.25">
      <c r="A1268">
        <v>15189402</v>
      </c>
      <c r="B1268">
        <v>38.880000000000003</v>
      </c>
    </row>
    <row r="1269" spans="1:2" x14ac:dyDescent="0.25">
      <c r="A1269">
        <v>15189403</v>
      </c>
      <c r="B1269">
        <v>38.880000000000003</v>
      </c>
    </row>
    <row r="1270" spans="1:2" x14ac:dyDescent="0.25">
      <c r="A1270">
        <v>15189404</v>
      </c>
      <c r="B1270">
        <v>38.880000000000003</v>
      </c>
    </row>
    <row r="1271" spans="1:2" x14ac:dyDescent="0.25">
      <c r="A1271">
        <v>15189501</v>
      </c>
      <c r="B1271">
        <v>40.86</v>
      </c>
    </row>
    <row r="1272" spans="1:2" x14ac:dyDescent="0.25">
      <c r="A1272">
        <v>15189502</v>
      </c>
      <c r="B1272">
        <v>40.86</v>
      </c>
    </row>
    <row r="1273" spans="1:2" x14ac:dyDescent="0.25">
      <c r="A1273">
        <v>15189503</v>
      </c>
      <c r="B1273">
        <v>40.86</v>
      </c>
    </row>
    <row r="1274" spans="1:2" x14ac:dyDescent="0.25">
      <c r="A1274">
        <v>15189601</v>
      </c>
      <c r="B1274">
        <v>34.74</v>
      </c>
    </row>
    <row r="1275" spans="1:2" x14ac:dyDescent="0.25">
      <c r="A1275">
        <v>15189602</v>
      </c>
      <c r="B1275">
        <v>34.74</v>
      </c>
    </row>
    <row r="1276" spans="1:2" x14ac:dyDescent="0.25">
      <c r="A1276">
        <v>15189603</v>
      </c>
      <c r="B1276">
        <v>34.74</v>
      </c>
    </row>
    <row r="1277" spans="1:2" x14ac:dyDescent="0.25">
      <c r="A1277">
        <v>15189604</v>
      </c>
      <c r="B1277">
        <v>34.74</v>
      </c>
    </row>
    <row r="1278" spans="1:2" x14ac:dyDescent="0.25">
      <c r="A1278">
        <v>15189701</v>
      </c>
      <c r="B1278">
        <v>30.69</v>
      </c>
    </row>
    <row r="1279" spans="1:2" x14ac:dyDescent="0.25">
      <c r="A1279">
        <v>15189702</v>
      </c>
      <c r="B1279">
        <v>30.69</v>
      </c>
    </row>
    <row r="1280" spans="1:2" x14ac:dyDescent="0.25">
      <c r="A1280">
        <v>15189703</v>
      </c>
      <c r="B1280">
        <v>30.69</v>
      </c>
    </row>
    <row r="1281" spans="1:2" x14ac:dyDescent="0.25">
      <c r="A1281">
        <v>15189704</v>
      </c>
      <c r="B1281">
        <v>30.69</v>
      </c>
    </row>
    <row r="1282" spans="1:2" x14ac:dyDescent="0.25">
      <c r="A1282">
        <v>15189801</v>
      </c>
      <c r="B1282">
        <v>36.450000000000003</v>
      </c>
    </row>
    <row r="1283" spans="1:2" x14ac:dyDescent="0.25">
      <c r="A1283">
        <v>15189802</v>
      </c>
      <c r="B1283">
        <v>36.450000000000003</v>
      </c>
    </row>
    <row r="1284" spans="1:2" x14ac:dyDescent="0.25">
      <c r="A1284">
        <v>15189803</v>
      </c>
      <c r="B1284">
        <v>36.450000000000003</v>
      </c>
    </row>
    <row r="1285" spans="1:2" x14ac:dyDescent="0.25">
      <c r="A1285">
        <v>15189804</v>
      </c>
      <c r="B1285">
        <v>36.450000000000003</v>
      </c>
    </row>
    <row r="1286" spans="1:2" x14ac:dyDescent="0.25">
      <c r="A1286">
        <v>15190001</v>
      </c>
      <c r="B1286">
        <v>49.05</v>
      </c>
    </row>
    <row r="1287" spans="1:2" x14ac:dyDescent="0.25">
      <c r="A1287">
        <v>15190002</v>
      </c>
      <c r="B1287">
        <v>49.05</v>
      </c>
    </row>
    <row r="1288" spans="1:2" x14ac:dyDescent="0.25">
      <c r="A1288">
        <v>15190003</v>
      </c>
      <c r="B1288">
        <v>49.05</v>
      </c>
    </row>
    <row r="1289" spans="1:2" x14ac:dyDescent="0.25">
      <c r="A1289">
        <v>15190004</v>
      </c>
      <c r="B1289">
        <v>49.05</v>
      </c>
    </row>
    <row r="1290" spans="1:2" x14ac:dyDescent="0.25">
      <c r="A1290">
        <v>15190101</v>
      </c>
      <c r="B1290">
        <v>49.05</v>
      </c>
    </row>
    <row r="1291" spans="1:2" x14ac:dyDescent="0.25">
      <c r="A1291">
        <v>15190102</v>
      </c>
      <c r="B1291">
        <v>49.05</v>
      </c>
    </row>
    <row r="1292" spans="1:2" x14ac:dyDescent="0.25">
      <c r="A1292">
        <v>15190103</v>
      </c>
      <c r="B1292">
        <v>49.05</v>
      </c>
    </row>
    <row r="1293" spans="1:2" x14ac:dyDescent="0.25">
      <c r="A1293">
        <v>15202901</v>
      </c>
      <c r="B1293">
        <v>45.99</v>
      </c>
    </row>
    <row r="1294" spans="1:2" x14ac:dyDescent="0.25">
      <c r="A1294">
        <v>15202902</v>
      </c>
      <c r="B1294">
        <v>45.99</v>
      </c>
    </row>
    <row r="1295" spans="1:2" x14ac:dyDescent="0.25">
      <c r="A1295">
        <v>15202903</v>
      </c>
      <c r="B1295">
        <v>36.81</v>
      </c>
    </row>
    <row r="1296" spans="1:2" x14ac:dyDescent="0.25">
      <c r="A1296">
        <v>15202904</v>
      </c>
      <c r="B1296">
        <v>36.81</v>
      </c>
    </row>
    <row r="1297" spans="1:2" x14ac:dyDescent="0.25">
      <c r="A1297">
        <v>15202905</v>
      </c>
      <c r="B1297">
        <v>36.81</v>
      </c>
    </row>
    <row r="1298" spans="1:2" x14ac:dyDescent="0.25">
      <c r="A1298">
        <v>15202906</v>
      </c>
      <c r="B1298">
        <v>36.81</v>
      </c>
    </row>
    <row r="1299" spans="1:2" x14ac:dyDescent="0.25">
      <c r="A1299">
        <v>15202907</v>
      </c>
      <c r="B1299">
        <v>36.81</v>
      </c>
    </row>
    <row r="1300" spans="1:2" x14ac:dyDescent="0.25">
      <c r="A1300">
        <v>15202908</v>
      </c>
      <c r="B1300">
        <v>40.86</v>
      </c>
    </row>
    <row r="1301" spans="1:2" x14ac:dyDescent="0.25">
      <c r="A1301">
        <v>15202909</v>
      </c>
      <c r="B1301">
        <v>45.99</v>
      </c>
    </row>
    <row r="1302" spans="1:2" x14ac:dyDescent="0.25">
      <c r="A1302">
        <v>15202910</v>
      </c>
      <c r="B1302">
        <v>40.86</v>
      </c>
    </row>
    <row r="1303" spans="1:2" x14ac:dyDescent="0.25">
      <c r="A1303">
        <v>15202911</v>
      </c>
      <c r="B1303">
        <v>40.86</v>
      </c>
    </row>
    <row r="1304" spans="1:2" x14ac:dyDescent="0.25">
      <c r="A1304">
        <v>15202912</v>
      </c>
      <c r="B1304">
        <v>40.86</v>
      </c>
    </row>
    <row r="1305" spans="1:2" x14ac:dyDescent="0.25">
      <c r="A1305">
        <v>15204001</v>
      </c>
      <c r="B1305">
        <v>40.86</v>
      </c>
    </row>
    <row r="1306" spans="1:2" x14ac:dyDescent="0.25">
      <c r="A1306">
        <v>15204002</v>
      </c>
      <c r="B1306">
        <v>40.86</v>
      </c>
    </row>
    <row r="1307" spans="1:2" x14ac:dyDescent="0.25">
      <c r="A1307">
        <v>15204003</v>
      </c>
      <c r="B1307">
        <v>40.86</v>
      </c>
    </row>
    <row r="1308" spans="1:2" x14ac:dyDescent="0.25">
      <c r="A1308">
        <v>15204004</v>
      </c>
      <c r="B1308">
        <v>40.86</v>
      </c>
    </row>
    <row r="1309" spans="1:2" x14ac:dyDescent="0.25">
      <c r="A1309">
        <v>15204005</v>
      </c>
      <c r="B1309">
        <v>40.86</v>
      </c>
    </row>
    <row r="1310" spans="1:2" x14ac:dyDescent="0.25">
      <c r="A1310">
        <v>15204101</v>
      </c>
      <c r="B1310">
        <v>51.12</v>
      </c>
    </row>
    <row r="1311" spans="1:2" x14ac:dyDescent="0.25">
      <c r="A1311">
        <v>15204102</v>
      </c>
      <c r="B1311">
        <v>51.12</v>
      </c>
    </row>
    <row r="1312" spans="1:2" x14ac:dyDescent="0.25">
      <c r="A1312">
        <v>15204103</v>
      </c>
      <c r="B1312">
        <v>51.12</v>
      </c>
    </row>
    <row r="1313" spans="1:2" x14ac:dyDescent="0.25">
      <c r="A1313">
        <v>15204104</v>
      </c>
      <c r="B1313">
        <v>51.12</v>
      </c>
    </row>
    <row r="1314" spans="1:2" x14ac:dyDescent="0.25">
      <c r="A1314">
        <v>15204201</v>
      </c>
      <c r="B1314">
        <v>38.880000000000003</v>
      </c>
    </row>
    <row r="1315" spans="1:2" x14ac:dyDescent="0.25">
      <c r="A1315">
        <v>15204202</v>
      </c>
      <c r="B1315">
        <v>38.880000000000003</v>
      </c>
    </row>
    <row r="1316" spans="1:2" x14ac:dyDescent="0.25">
      <c r="A1316">
        <v>15204203</v>
      </c>
      <c r="B1316">
        <v>38.880000000000003</v>
      </c>
    </row>
    <row r="1317" spans="1:2" x14ac:dyDescent="0.25">
      <c r="A1317">
        <v>15204204</v>
      </c>
      <c r="B1317">
        <v>38.880000000000003</v>
      </c>
    </row>
    <row r="1318" spans="1:2" x14ac:dyDescent="0.25">
      <c r="A1318">
        <v>15204205</v>
      </c>
      <c r="B1318">
        <v>38.880000000000003</v>
      </c>
    </row>
    <row r="1319" spans="1:2" x14ac:dyDescent="0.25">
      <c r="A1319">
        <v>15204301</v>
      </c>
      <c r="B1319">
        <v>38.880000000000003</v>
      </c>
    </row>
    <row r="1320" spans="1:2" x14ac:dyDescent="0.25">
      <c r="A1320">
        <v>15204302</v>
      </c>
      <c r="B1320">
        <v>38.880000000000003</v>
      </c>
    </row>
    <row r="1321" spans="1:2" x14ac:dyDescent="0.25">
      <c r="A1321">
        <v>15204701</v>
      </c>
      <c r="B1321">
        <v>87.93</v>
      </c>
    </row>
    <row r="1322" spans="1:2" x14ac:dyDescent="0.25">
      <c r="A1322">
        <v>15204702</v>
      </c>
      <c r="B1322">
        <v>87.93</v>
      </c>
    </row>
    <row r="1323" spans="1:2" x14ac:dyDescent="0.25">
      <c r="A1323">
        <v>15204801</v>
      </c>
      <c r="B1323">
        <v>79.94</v>
      </c>
    </row>
    <row r="1324" spans="1:2" x14ac:dyDescent="0.25">
      <c r="A1324">
        <v>15204802</v>
      </c>
      <c r="B1324">
        <v>79.94</v>
      </c>
    </row>
    <row r="1325" spans="1:2" x14ac:dyDescent="0.25">
      <c r="A1325">
        <v>15204901</v>
      </c>
      <c r="B1325">
        <v>104.31</v>
      </c>
    </row>
    <row r="1326" spans="1:2" x14ac:dyDescent="0.25">
      <c r="A1326">
        <v>15204902</v>
      </c>
      <c r="B1326">
        <v>104.31</v>
      </c>
    </row>
    <row r="1327" spans="1:2" x14ac:dyDescent="0.25">
      <c r="A1327">
        <v>15205001</v>
      </c>
      <c r="B1327">
        <v>92.07</v>
      </c>
    </row>
    <row r="1328" spans="1:2" x14ac:dyDescent="0.25">
      <c r="A1328">
        <v>15205002</v>
      </c>
      <c r="B1328">
        <v>92.07</v>
      </c>
    </row>
    <row r="1329" spans="1:2" x14ac:dyDescent="0.25">
      <c r="A1329">
        <v>15206001</v>
      </c>
      <c r="B1329">
        <v>63.45</v>
      </c>
    </row>
    <row r="1330" spans="1:2" x14ac:dyDescent="0.25">
      <c r="A1330">
        <v>15206002</v>
      </c>
      <c r="B1330">
        <v>63.45</v>
      </c>
    </row>
    <row r="1331" spans="1:2" x14ac:dyDescent="0.25">
      <c r="A1331">
        <v>15206003</v>
      </c>
      <c r="B1331">
        <v>63.45</v>
      </c>
    </row>
    <row r="1332" spans="1:2" x14ac:dyDescent="0.25">
      <c r="A1332">
        <v>15207001</v>
      </c>
      <c r="B1332">
        <v>49.05</v>
      </c>
    </row>
    <row r="1333" spans="1:2" x14ac:dyDescent="0.25">
      <c r="A1333">
        <v>15207201</v>
      </c>
      <c r="B1333">
        <v>32.67</v>
      </c>
    </row>
    <row r="1334" spans="1:2" x14ac:dyDescent="0.25">
      <c r="A1334">
        <v>15209301</v>
      </c>
      <c r="B1334">
        <v>51.12</v>
      </c>
    </row>
    <row r="1335" spans="1:2" x14ac:dyDescent="0.25">
      <c r="A1335">
        <v>15209302</v>
      </c>
      <c r="B1335">
        <v>51.12</v>
      </c>
    </row>
    <row r="1336" spans="1:2" x14ac:dyDescent="0.25">
      <c r="A1336">
        <v>15209501</v>
      </c>
      <c r="B1336">
        <v>59.31</v>
      </c>
    </row>
    <row r="1337" spans="1:2" x14ac:dyDescent="0.25">
      <c r="A1337">
        <v>15209502</v>
      </c>
      <c r="B1337">
        <v>59.31</v>
      </c>
    </row>
    <row r="1338" spans="1:2" x14ac:dyDescent="0.25">
      <c r="A1338">
        <v>15209701</v>
      </c>
      <c r="B1338">
        <v>51.12</v>
      </c>
    </row>
    <row r="1339" spans="1:2" x14ac:dyDescent="0.25">
      <c r="A1339">
        <v>15209702</v>
      </c>
      <c r="B1339">
        <v>51.12</v>
      </c>
    </row>
    <row r="1340" spans="1:2" x14ac:dyDescent="0.25">
      <c r="A1340">
        <v>15851701</v>
      </c>
      <c r="B1340">
        <v>36.81</v>
      </c>
    </row>
    <row r="1341" spans="1:2" x14ac:dyDescent="0.25">
      <c r="A1341">
        <v>15851801</v>
      </c>
      <c r="B1341">
        <v>36.81</v>
      </c>
    </row>
    <row r="1342" spans="1:2" x14ac:dyDescent="0.25">
      <c r="A1342">
        <v>15851802</v>
      </c>
      <c r="B1342">
        <v>36.81</v>
      </c>
    </row>
    <row r="1343" spans="1:2" x14ac:dyDescent="0.25">
      <c r="A1343">
        <v>15851803</v>
      </c>
      <c r="B1343">
        <v>36.81</v>
      </c>
    </row>
    <row r="1344" spans="1:2" x14ac:dyDescent="0.25">
      <c r="A1344">
        <v>15851901</v>
      </c>
      <c r="B1344">
        <v>47.07</v>
      </c>
    </row>
    <row r="1345" spans="1:2" x14ac:dyDescent="0.25">
      <c r="A1345">
        <v>15851902</v>
      </c>
      <c r="B1345">
        <v>47.07</v>
      </c>
    </row>
    <row r="1346" spans="1:2" x14ac:dyDescent="0.25">
      <c r="A1346">
        <v>15851903</v>
      </c>
      <c r="B1346">
        <v>47.07</v>
      </c>
    </row>
    <row r="1347" spans="1:2" x14ac:dyDescent="0.25">
      <c r="A1347">
        <v>15851904</v>
      </c>
      <c r="B1347">
        <v>47.07</v>
      </c>
    </row>
    <row r="1348" spans="1:2" x14ac:dyDescent="0.25">
      <c r="A1348">
        <v>15851905</v>
      </c>
      <c r="B1348">
        <v>47.07</v>
      </c>
    </row>
    <row r="1349" spans="1:2" x14ac:dyDescent="0.25">
      <c r="A1349">
        <v>15852101</v>
      </c>
      <c r="B1349">
        <v>40.86</v>
      </c>
    </row>
    <row r="1350" spans="1:2" x14ac:dyDescent="0.25">
      <c r="A1350">
        <v>15852102</v>
      </c>
      <c r="B1350">
        <v>40.86</v>
      </c>
    </row>
    <row r="1351" spans="1:2" x14ac:dyDescent="0.25">
      <c r="A1351">
        <v>15852401</v>
      </c>
      <c r="B1351">
        <v>36.81</v>
      </c>
    </row>
    <row r="1352" spans="1:2" x14ac:dyDescent="0.25">
      <c r="A1352">
        <v>15852402</v>
      </c>
      <c r="B1352">
        <v>36.81</v>
      </c>
    </row>
    <row r="1353" spans="1:2" x14ac:dyDescent="0.25">
      <c r="A1353">
        <v>16161501</v>
      </c>
      <c r="B1353">
        <v>83.05</v>
      </c>
    </row>
    <row r="1354" spans="1:2" x14ac:dyDescent="0.25">
      <c r="A1354">
        <v>16251501</v>
      </c>
      <c r="B1354">
        <v>48.69</v>
      </c>
    </row>
    <row r="1355" spans="1:2" x14ac:dyDescent="0.25">
      <c r="A1355">
        <v>16251601</v>
      </c>
      <c r="B1355">
        <v>36.81</v>
      </c>
    </row>
    <row r="1356" spans="1:2" x14ac:dyDescent="0.25">
      <c r="A1356">
        <v>16251701</v>
      </c>
      <c r="B1356">
        <v>36.81</v>
      </c>
    </row>
    <row r="1357" spans="1:2" x14ac:dyDescent="0.25">
      <c r="A1357">
        <v>16252101</v>
      </c>
      <c r="B1357">
        <v>40.86</v>
      </c>
    </row>
    <row r="1358" spans="1:2" x14ac:dyDescent="0.25">
      <c r="A1358">
        <v>16252102</v>
      </c>
      <c r="B1358">
        <v>35.19</v>
      </c>
    </row>
    <row r="1359" spans="1:2" x14ac:dyDescent="0.25">
      <c r="A1359">
        <v>16252103</v>
      </c>
      <c r="B1359">
        <v>35.19</v>
      </c>
    </row>
    <row r="1360" spans="1:2" x14ac:dyDescent="0.25">
      <c r="A1360">
        <v>16252104</v>
      </c>
      <c r="B1360">
        <v>40.86</v>
      </c>
    </row>
    <row r="1361" spans="1:2" x14ac:dyDescent="0.25">
      <c r="A1361">
        <v>16252105</v>
      </c>
      <c r="B1361">
        <v>40.86</v>
      </c>
    </row>
    <row r="1362" spans="1:2" x14ac:dyDescent="0.25">
      <c r="A1362">
        <v>16252301</v>
      </c>
      <c r="B1362">
        <v>48.6</v>
      </c>
    </row>
    <row r="1363" spans="1:2" x14ac:dyDescent="0.25">
      <c r="A1363">
        <v>16252401</v>
      </c>
      <c r="B1363">
        <v>40.86</v>
      </c>
    </row>
    <row r="1364" spans="1:2" x14ac:dyDescent="0.25">
      <c r="A1364">
        <v>16252601</v>
      </c>
      <c r="B1364">
        <v>122.31</v>
      </c>
    </row>
    <row r="1365" spans="1:2" x14ac:dyDescent="0.25">
      <c r="A1365">
        <v>16252701</v>
      </c>
      <c r="B1365">
        <v>77.31</v>
      </c>
    </row>
    <row r="1366" spans="1:2" x14ac:dyDescent="0.25">
      <c r="A1366">
        <v>16252702</v>
      </c>
      <c r="B1366">
        <v>77.31</v>
      </c>
    </row>
    <row r="1367" spans="1:2" x14ac:dyDescent="0.25">
      <c r="A1367">
        <v>16252801</v>
      </c>
      <c r="B1367">
        <v>93.69</v>
      </c>
    </row>
    <row r="1368" spans="1:2" x14ac:dyDescent="0.25">
      <c r="A1368">
        <v>16252802</v>
      </c>
      <c r="B1368">
        <v>93.69</v>
      </c>
    </row>
    <row r="1369" spans="1:2" x14ac:dyDescent="0.25">
      <c r="A1369">
        <v>16252901</v>
      </c>
      <c r="B1369">
        <v>81.45</v>
      </c>
    </row>
    <row r="1370" spans="1:2" x14ac:dyDescent="0.25">
      <c r="A1370">
        <v>16252902</v>
      </c>
      <c r="B1370">
        <v>81.45</v>
      </c>
    </row>
    <row r="1371" spans="1:2" x14ac:dyDescent="0.25">
      <c r="A1371">
        <v>16640501</v>
      </c>
      <c r="B1371">
        <v>28.62</v>
      </c>
    </row>
    <row r="1372" spans="1:2" x14ac:dyDescent="0.25">
      <c r="A1372">
        <v>16640502</v>
      </c>
      <c r="B1372">
        <v>28.62</v>
      </c>
    </row>
    <row r="1373" spans="1:2" x14ac:dyDescent="0.25">
      <c r="A1373">
        <v>16640503</v>
      </c>
      <c r="B1373">
        <v>28.62</v>
      </c>
    </row>
    <row r="1374" spans="1:2" x14ac:dyDescent="0.25">
      <c r="A1374">
        <v>17338701</v>
      </c>
      <c r="B1374">
        <v>101.88</v>
      </c>
    </row>
    <row r="1375" spans="1:2" x14ac:dyDescent="0.25">
      <c r="A1375">
        <v>17338801</v>
      </c>
      <c r="B1375">
        <v>93.69</v>
      </c>
    </row>
    <row r="1376" spans="1:2" x14ac:dyDescent="0.25">
      <c r="A1376">
        <v>17338901</v>
      </c>
      <c r="B1376">
        <v>122.31</v>
      </c>
    </row>
    <row r="1377" spans="1:2" x14ac:dyDescent="0.25">
      <c r="A1377">
        <v>17351701</v>
      </c>
      <c r="B1377">
        <v>81.45</v>
      </c>
    </row>
    <row r="1378" spans="1:2" x14ac:dyDescent="0.25">
      <c r="A1378">
        <v>17351702</v>
      </c>
      <c r="B1378">
        <v>81.45</v>
      </c>
    </row>
    <row r="1379" spans="1:2" x14ac:dyDescent="0.25">
      <c r="A1379">
        <v>17351703</v>
      </c>
      <c r="B1379">
        <v>81.45</v>
      </c>
    </row>
    <row r="1380" spans="1:2" x14ac:dyDescent="0.25">
      <c r="A1380">
        <v>17352201</v>
      </c>
      <c r="B1380">
        <v>65.069999999999993</v>
      </c>
    </row>
    <row r="1381" spans="1:2" x14ac:dyDescent="0.25">
      <c r="A1381">
        <v>17352202</v>
      </c>
      <c r="B1381">
        <v>65.069999999999993</v>
      </c>
    </row>
    <row r="1382" spans="1:2" x14ac:dyDescent="0.25">
      <c r="A1382">
        <v>17352203</v>
      </c>
      <c r="B1382">
        <v>65.069999999999993</v>
      </c>
    </row>
    <row r="1383" spans="1:2" x14ac:dyDescent="0.25">
      <c r="A1383">
        <v>17352204</v>
      </c>
      <c r="B1383">
        <v>65.069999999999993</v>
      </c>
    </row>
    <row r="1384" spans="1:2" x14ac:dyDescent="0.25">
      <c r="A1384">
        <v>17353801</v>
      </c>
      <c r="B1384">
        <v>56.88</v>
      </c>
    </row>
    <row r="1385" spans="1:2" x14ac:dyDescent="0.25">
      <c r="A1385">
        <v>17353802</v>
      </c>
      <c r="B1385">
        <v>56.88</v>
      </c>
    </row>
    <row r="1386" spans="1:2" x14ac:dyDescent="0.25">
      <c r="A1386">
        <v>17353803</v>
      </c>
      <c r="B1386">
        <v>56.88</v>
      </c>
    </row>
    <row r="1387" spans="1:2" x14ac:dyDescent="0.25">
      <c r="A1387">
        <v>17354201</v>
      </c>
      <c r="B1387">
        <v>45</v>
      </c>
    </row>
    <row r="1388" spans="1:2" x14ac:dyDescent="0.25">
      <c r="A1388">
        <v>17354301</v>
      </c>
      <c r="B1388">
        <v>39.24</v>
      </c>
    </row>
    <row r="1389" spans="1:2" x14ac:dyDescent="0.25">
      <c r="A1389">
        <v>17384401</v>
      </c>
      <c r="B1389">
        <v>65.069999999999993</v>
      </c>
    </row>
    <row r="1390" spans="1:2" x14ac:dyDescent="0.25">
      <c r="A1390">
        <v>17482601</v>
      </c>
      <c r="B1390">
        <v>48.69</v>
      </c>
    </row>
    <row r="1391" spans="1:2" x14ac:dyDescent="0.25">
      <c r="A1391">
        <v>17482602</v>
      </c>
      <c r="B1391">
        <v>48.69</v>
      </c>
    </row>
    <row r="1392" spans="1:2" x14ac:dyDescent="0.25">
      <c r="A1392">
        <v>17482603</v>
      </c>
      <c r="B1392">
        <v>48.69</v>
      </c>
    </row>
    <row r="1393" spans="1:2" x14ac:dyDescent="0.25">
      <c r="A1393">
        <v>17482604</v>
      </c>
      <c r="B1393">
        <v>48.69</v>
      </c>
    </row>
    <row r="1394" spans="1:2" x14ac:dyDescent="0.25">
      <c r="A1394">
        <v>17483001</v>
      </c>
      <c r="B1394">
        <v>81.45</v>
      </c>
    </row>
    <row r="1395" spans="1:2" x14ac:dyDescent="0.25">
      <c r="A1395">
        <v>17483002</v>
      </c>
      <c r="B1395">
        <v>81.45</v>
      </c>
    </row>
    <row r="1396" spans="1:2" x14ac:dyDescent="0.25">
      <c r="A1396">
        <v>17483003</v>
      </c>
      <c r="B1396">
        <v>81.45</v>
      </c>
    </row>
    <row r="1397" spans="1:2" x14ac:dyDescent="0.25">
      <c r="A1397">
        <v>17483201</v>
      </c>
      <c r="B1397">
        <v>40.86</v>
      </c>
    </row>
    <row r="1398" spans="1:2" x14ac:dyDescent="0.25">
      <c r="A1398">
        <v>17483202</v>
      </c>
      <c r="B1398">
        <v>40.86</v>
      </c>
    </row>
    <row r="1399" spans="1:2" x14ac:dyDescent="0.25">
      <c r="A1399">
        <v>17483203</v>
      </c>
      <c r="B1399">
        <v>40.86</v>
      </c>
    </row>
    <row r="1400" spans="1:2" x14ac:dyDescent="0.25">
      <c r="A1400">
        <v>17483301</v>
      </c>
      <c r="B1400">
        <v>36.81</v>
      </c>
    </row>
    <row r="1401" spans="1:2" x14ac:dyDescent="0.25">
      <c r="A1401">
        <v>17483302</v>
      </c>
      <c r="B1401">
        <v>36.81</v>
      </c>
    </row>
    <row r="1402" spans="1:2" x14ac:dyDescent="0.25">
      <c r="A1402">
        <v>17483303</v>
      </c>
      <c r="B1402">
        <v>36.81</v>
      </c>
    </row>
    <row r="1403" spans="1:2" x14ac:dyDescent="0.25">
      <c r="A1403">
        <v>17483501</v>
      </c>
      <c r="B1403">
        <v>40.86</v>
      </c>
    </row>
    <row r="1404" spans="1:2" x14ac:dyDescent="0.25">
      <c r="A1404">
        <v>17483701</v>
      </c>
      <c r="B1404">
        <v>60.93</v>
      </c>
    </row>
    <row r="1405" spans="1:2" x14ac:dyDescent="0.25">
      <c r="A1405">
        <v>17483702</v>
      </c>
      <c r="B1405">
        <v>60.93</v>
      </c>
    </row>
    <row r="1406" spans="1:2" x14ac:dyDescent="0.25">
      <c r="A1406">
        <v>17483703</v>
      </c>
      <c r="B1406">
        <v>60.93</v>
      </c>
    </row>
    <row r="1407" spans="1:2" x14ac:dyDescent="0.25">
      <c r="A1407">
        <v>17802001</v>
      </c>
      <c r="B1407">
        <v>45.99</v>
      </c>
    </row>
    <row r="1408" spans="1:2" x14ac:dyDescent="0.25">
      <c r="A1408">
        <v>17802002</v>
      </c>
      <c r="B1408">
        <v>45.99</v>
      </c>
    </row>
    <row r="1409" spans="1:2" x14ac:dyDescent="0.25">
      <c r="A1409">
        <v>17802003</v>
      </c>
      <c r="B1409">
        <v>36.81</v>
      </c>
    </row>
    <row r="1410" spans="1:2" x14ac:dyDescent="0.25">
      <c r="A1410">
        <v>17802004</v>
      </c>
      <c r="B1410">
        <v>36.81</v>
      </c>
    </row>
    <row r="1411" spans="1:2" x14ac:dyDescent="0.25">
      <c r="A1411">
        <v>17802005</v>
      </c>
      <c r="B1411">
        <v>36.81</v>
      </c>
    </row>
    <row r="1412" spans="1:2" x14ac:dyDescent="0.25">
      <c r="A1412">
        <v>17802006</v>
      </c>
      <c r="B1412">
        <v>36.81</v>
      </c>
    </row>
    <row r="1413" spans="1:2" x14ac:dyDescent="0.25">
      <c r="A1413">
        <v>17802007</v>
      </c>
      <c r="B1413">
        <v>36.81</v>
      </c>
    </row>
    <row r="1414" spans="1:2" x14ac:dyDescent="0.25">
      <c r="A1414">
        <v>17802501</v>
      </c>
      <c r="B1414">
        <v>60.93</v>
      </c>
    </row>
    <row r="1415" spans="1:2" x14ac:dyDescent="0.25">
      <c r="A1415">
        <v>17802502</v>
      </c>
      <c r="B1415">
        <v>60.93</v>
      </c>
    </row>
    <row r="1416" spans="1:2" x14ac:dyDescent="0.25">
      <c r="A1416">
        <v>17802601</v>
      </c>
      <c r="B1416">
        <v>48.69</v>
      </c>
    </row>
    <row r="1417" spans="1:2" x14ac:dyDescent="0.25">
      <c r="A1417">
        <v>17802602</v>
      </c>
      <c r="B1417">
        <v>48.69</v>
      </c>
    </row>
    <row r="1418" spans="1:2" x14ac:dyDescent="0.25">
      <c r="A1418">
        <v>17802801</v>
      </c>
      <c r="B1418">
        <v>39.24</v>
      </c>
    </row>
    <row r="1419" spans="1:2" x14ac:dyDescent="0.25">
      <c r="A1419">
        <v>17802802</v>
      </c>
      <c r="B1419">
        <v>39.24</v>
      </c>
    </row>
    <row r="1420" spans="1:2" x14ac:dyDescent="0.25">
      <c r="A1420">
        <v>17802901</v>
      </c>
      <c r="B1420">
        <v>40.86</v>
      </c>
    </row>
    <row r="1421" spans="1:2" x14ac:dyDescent="0.25">
      <c r="A1421">
        <v>17802902</v>
      </c>
      <c r="B1421">
        <v>40.86</v>
      </c>
    </row>
    <row r="1422" spans="1:2" x14ac:dyDescent="0.25">
      <c r="A1422">
        <v>17803001</v>
      </c>
      <c r="B1422">
        <v>40.86</v>
      </c>
    </row>
    <row r="1423" spans="1:2" x14ac:dyDescent="0.25">
      <c r="A1423">
        <v>17803002</v>
      </c>
      <c r="B1423">
        <v>40.86</v>
      </c>
    </row>
    <row r="1424" spans="1:2" x14ac:dyDescent="0.25">
      <c r="A1424">
        <v>17803101</v>
      </c>
      <c r="B1424">
        <v>48.69</v>
      </c>
    </row>
    <row r="1425" spans="1:2" x14ac:dyDescent="0.25">
      <c r="A1425">
        <v>17803102</v>
      </c>
      <c r="B1425">
        <v>48.69</v>
      </c>
    </row>
    <row r="1426" spans="1:2" x14ac:dyDescent="0.25">
      <c r="A1426">
        <v>17803201</v>
      </c>
      <c r="B1426">
        <v>56.88</v>
      </c>
    </row>
    <row r="1427" spans="1:2" x14ac:dyDescent="0.25">
      <c r="A1427">
        <v>17803801</v>
      </c>
      <c r="B1427">
        <v>40.86</v>
      </c>
    </row>
    <row r="1428" spans="1:2" x14ac:dyDescent="0.25">
      <c r="A1428">
        <v>17803802</v>
      </c>
      <c r="B1428">
        <v>40.86</v>
      </c>
    </row>
    <row r="1429" spans="1:2" x14ac:dyDescent="0.25">
      <c r="A1429">
        <v>17803803</v>
      </c>
      <c r="B1429">
        <v>40.86</v>
      </c>
    </row>
    <row r="1430" spans="1:2" x14ac:dyDescent="0.25">
      <c r="A1430">
        <v>17803901</v>
      </c>
      <c r="B1430">
        <v>40.86</v>
      </c>
    </row>
    <row r="1431" spans="1:2" x14ac:dyDescent="0.25">
      <c r="A1431">
        <v>17803902</v>
      </c>
      <c r="B1431">
        <v>40.86</v>
      </c>
    </row>
    <row r="1432" spans="1:2" x14ac:dyDescent="0.25">
      <c r="A1432">
        <v>17803903</v>
      </c>
      <c r="B1432">
        <v>40.86</v>
      </c>
    </row>
    <row r="1433" spans="1:2" x14ac:dyDescent="0.25">
      <c r="A1433">
        <v>17804201</v>
      </c>
      <c r="B1433">
        <v>48.69</v>
      </c>
    </row>
    <row r="1434" spans="1:2" x14ac:dyDescent="0.25">
      <c r="A1434">
        <v>18169601</v>
      </c>
      <c r="B1434">
        <v>32.67</v>
      </c>
    </row>
    <row r="1435" spans="1:2" x14ac:dyDescent="0.25">
      <c r="A1435">
        <v>18169701</v>
      </c>
      <c r="B1435">
        <v>40.86</v>
      </c>
    </row>
    <row r="1436" spans="1:2" x14ac:dyDescent="0.25">
      <c r="A1436">
        <v>18169801</v>
      </c>
      <c r="B1436">
        <v>39.24</v>
      </c>
    </row>
    <row r="1437" spans="1:2" x14ac:dyDescent="0.25">
      <c r="A1437">
        <v>18169901</v>
      </c>
      <c r="B1437">
        <v>48.69</v>
      </c>
    </row>
    <row r="1438" spans="1:2" x14ac:dyDescent="0.25">
      <c r="A1438">
        <v>18170101</v>
      </c>
      <c r="B1438">
        <v>65.069999999999993</v>
      </c>
    </row>
    <row r="1439" spans="1:2" x14ac:dyDescent="0.25">
      <c r="A1439">
        <v>18170102</v>
      </c>
      <c r="B1439">
        <v>65.069999999999993</v>
      </c>
    </row>
    <row r="1440" spans="1:2" x14ac:dyDescent="0.25">
      <c r="A1440">
        <v>18170201</v>
      </c>
      <c r="B1440">
        <v>48.69</v>
      </c>
    </row>
    <row r="1441" spans="1:2" x14ac:dyDescent="0.25">
      <c r="A1441">
        <v>18170202</v>
      </c>
      <c r="B1441">
        <v>48.69</v>
      </c>
    </row>
    <row r="1442" spans="1:2" x14ac:dyDescent="0.25">
      <c r="A1442">
        <v>18170301</v>
      </c>
      <c r="B1442">
        <v>52.74</v>
      </c>
    </row>
    <row r="1443" spans="1:2" x14ac:dyDescent="0.25">
      <c r="A1443">
        <v>18170302</v>
      </c>
      <c r="B1443">
        <v>52.74</v>
      </c>
    </row>
    <row r="1444" spans="1:2" x14ac:dyDescent="0.25">
      <c r="A1444">
        <v>18170401</v>
      </c>
      <c r="B1444">
        <v>56.88</v>
      </c>
    </row>
    <row r="1445" spans="1:2" x14ac:dyDescent="0.25">
      <c r="A1445">
        <v>18170402</v>
      </c>
      <c r="B1445">
        <v>56.88</v>
      </c>
    </row>
    <row r="1446" spans="1:2" x14ac:dyDescent="0.25">
      <c r="A1446">
        <v>18170501</v>
      </c>
      <c r="B1446">
        <v>40.86</v>
      </c>
    </row>
    <row r="1447" spans="1:2" x14ac:dyDescent="0.25">
      <c r="A1447">
        <v>18170502</v>
      </c>
      <c r="B1447">
        <v>40.86</v>
      </c>
    </row>
    <row r="1448" spans="1:2" x14ac:dyDescent="0.25">
      <c r="A1448">
        <v>18170601</v>
      </c>
      <c r="B1448">
        <v>73.260000000000005</v>
      </c>
    </row>
    <row r="1449" spans="1:2" x14ac:dyDescent="0.25">
      <c r="A1449">
        <v>18170602</v>
      </c>
      <c r="B1449">
        <v>73.260000000000005</v>
      </c>
    </row>
    <row r="1450" spans="1:2" x14ac:dyDescent="0.25">
      <c r="A1450">
        <v>18171301</v>
      </c>
      <c r="B1450">
        <v>60.93</v>
      </c>
    </row>
    <row r="1451" spans="1:2" x14ac:dyDescent="0.25">
      <c r="A1451">
        <v>18171302</v>
      </c>
      <c r="B1451">
        <v>47.72</v>
      </c>
    </row>
    <row r="1452" spans="1:2" x14ac:dyDescent="0.25">
      <c r="A1452">
        <v>18171303</v>
      </c>
      <c r="B1452">
        <v>60.93</v>
      </c>
    </row>
    <row r="1453" spans="1:2" x14ac:dyDescent="0.25">
      <c r="A1453">
        <v>18171304</v>
      </c>
      <c r="B1453">
        <v>60.93</v>
      </c>
    </row>
    <row r="1454" spans="1:2" x14ac:dyDescent="0.25">
      <c r="A1454">
        <v>18171501</v>
      </c>
      <c r="B1454">
        <v>36.81</v>
      </c>
    </row>
    <row r="1455" spans="1:2" x14ac:dyDescent="0.25">
      <c r="A1455">
        <v>18171502</v>
      </c>
      <c r="B1455">
        <v>36.81</v>
      </c>
    </row>
    <row r="1456" spans="1:2" x14ac:dyDescent="0.25">
      <c r="A1456">
        <v>18171503</v>
      </c>
      <c r="B1456">
        <v>36.81</v>
      </c>
    </row>
    <row r="1457" spans="1:2" x14ac:dyDescent="0.25">
      <c r="A1457">
        <v>18171504</v>
      </c>
      <c r="B1457">
        <v>36.81</v>
      </c>
    </row>
    <row r="1458" spans="1:2" x14ac:dyDescent="0.25">
      <c r="A1458">
        <v>18171505</v>
      </c>
      <c r="B1458">
        <v>36.81</v>
      </c>
    </row>
    <row r="1459" spans="1:2" x14ac:dyDescent="0.25">
      <c r="A1459">
        <v>18172601</v>
      </c>
      <c r="B1459">
        <v>40.86</v>
      </c>
    </row>
    <row r="1460" spans="1:2" x14ac:dyDescent="0.25">
      <c r="A1460">
        <v>18172602</v>
      </c>
      <c r="B1460">
        <v>40.86</v>
      </c>
    </row>
    <row r="1461" spans="1:2" x14ac:dyDescent="0.25">
      <c r="A1461">
        <v>18172603</v>
      </c>
      <c r="B1461">
        <v>40.86</v>
      </c>
    </row>
    <row r="1462" spans="1:2" x14ac:dyDescent="0.25">
      <c r="A1462">
        <v>18172701</v>
      </c>
      <c r="B1462">
        <v>48.69</v>
      </c>
    </row>
    <row r="1463" spans="1:2" x14ac:dyDescent="0.25">
      <c r="A1463">
        <v>18463601</v>
      </c>
      <c r="B1463">
        <v>40.86</v>
      </c>
    </row>
    <row r="1464" spans="1:2" x14ac:dyDescent="0.25">
      <c r="A1464">
        <v>18463602</v>
      </c>
      <c r="B1464">
        <v>32</v>
      </c>
    </row>
    <row r="1465" spans="1:2" x14ac:dyDescent="0.25">
      <c r="A1465">
        <v>18464101</v>
      </c>
      <c r="B1465">
        <v>48.69</v>
      </c>
    </row>
    <row r="1466" spans="1:2" x14ac:dyDescent="0.25">
      <c r="A1466">
        <v>18464102</v>
      </c>
      <c r="B1466">
        <v>38.130000000000003</v>
      </c>
    </row>
    <row r="1467" spans="1:2" x14ac:dyDescent="0.25">
      <c r="A1467">
        <v>18464201</v>
      </c>
      <c r="B1467">
        <v>53.72</v>
      </c>
    </row>
    <row r="1468" spans="1:2" x14ac:dyDescent="0.25">
      <c r="A1468">
        <v>18464202</v>
      </c>
      <c r="B1468">
        <v>53.72</v>
      </c>
    </row>
    <row r="1469" spans="1:2" x14ac:dyDescent="0.25">
      <c r="A1469">
        <v>18464203</v>
      </c>
      <c r="B1469">
        <v>40.86</v>
      </c>
    </row>
    <row r="1470" spans="1:2" x14ac:dyDescent="0.25">
      <c r="A1470">
        <v>18464204</v>
      </c>
      <c r="B1470">
        <v>53.72</v>
      </c>
    </row>
    <row r="1471" spans="1:2" x14ac:dyDescent="0.25">
      <c r="A1471">
        <v>18464205</v>
      </c>
      <c r="B1471">
        <v>32</v>
      </c>
    </row>
    <row r="1472" spans="1:2" x14ac:dyDescent="0.25">
      <c r="A1472">
        <v>18464401</v>
      </c>
      <c r="B1472">
        <v>32.67</v>
      </c>
    </row>
    <row r="1473" spans="1:2" x14ac:dyDescent="0.25">
      <c r="A1473">
        <v>18464402</v>
      </c>
      <c r="B1473">
        <v>32.67</v>
      </c>
    </row>
    <row r="1474" spans="1:2" x14ac:dyDescent="0.25">
      <c r="A1474">
        <v>18464403</v>
      </c>
      <c r="B1474">
        <v>32.67</v>
      </c>
    </row>
    <row r="1475" spans="1:2" x14ac:dyDescent="0.25">
      <c r="A1475">
        <v>18464404</v>
      </c>
      <c r="B1475">
        <v>32.67</v>
      </c>
    </row>
    <row r="1476" spans="1:2" x14ac:dyDescent="0.25">
      <c r="A1476">
        <v>18464405</v>
      </c>
      <c r="B1476">
        <v>25.59</v>
      </c>
    </row>
    <row r="1477" spans="1:2" x14ac:dyDescent="0.25">
      <c r="A1477">
        <v>18464501</v>
      </c>
      <c r="B1477">
        <v>60.93</v>
      </c>
    </row>
    <row r="1478" spans="1:2" x14ac:dyDescent="0.25">
      <c r="A1478">
        <v>18464502</v>
      </c>
      <c r="B1478">
        <v>47.72</v>
      </c>
    </row>
    <row r="1479" spans="1:2" x14ac:dyDescent="0.25">
      <c r="A1479">
        <v>18464601</v>
      </c>
      <c r="B1479">
        <v>44.55</v>
      </c>
    </row>
    <row r="1480" spans="1:2" x14ac:dyDescent="0.25">
      <c r="A1480">
        <v>18464701</v>
      </c>
      <c r="B1480">
        <v>56.88</v>
      </c>
    </row>
    <row r="1481" spans="1:2" x14ac:dyDescent="0.25">
      <c r="A1481">
        <v>18464702</v>
      </c>
      <c r="B1481">
        <v>52.74</v>
      </c>
    </row>
    <row r="1482" spans="1:2" x14ac:dyDescent="0.25">
      <c r="A1482">
        <v>18464703</v>
      </c>
      <c r="B1482">
        <v>44.55</v>
      </c>
    </row>
    <row r="1483" spans="1:2" x14ac:dyDescent="0.25">
      <c r="A1483">
        <v>18464801</v>
      </c>
      <c r="B1483">
        <v>48.69</v>
      </c>
    </row>
    <row r="1484" spans="1:2" x14ac:dyDescent="0.25">
      <c r="A1484">
        <v>18464802</v>
      </c>
      <c r="B1484">
        <v>48.69</v>
      </c>
    </row>
    <row r="1485" spans="1:2" x14ac:dyDescent="0.25">
      <c r="A1485">
        <v>18464803</v>
      </c>
      <c r="B1485">
        <v>38.130000000000003</v>
      </c>
    </row>
    <row r="1486" spans="1:2" x14ac:dyDescent="0.25">
      <c r="A1486">
        <v>18464901</v>
      </c>
      <c r="B1486">
        <v>69.12</v>
      </c>
    </row>
    <row r="1487" spans="1:2" x14ac:dyDescent="0.25">
      <c r="A1487">
        <v>18464902</v>
      </c>
      <c r="B1487">
        <v>69.12</v>
      </c>
    </row>
    <row r="1488" spans="1:2" x14ac:dyDescent="0.25">
      <c r="A1488">
        <v>18464903</v>
      </c>
      <c r="B1488">
        <v>54.13</v>
      </c>
    </row>
    <row r="1489" spans="1:2" x14ac:dyDescent="0.25">
      <c r="A1489">
        <v>18465101</v>
      </c>
      <c r="B1489">
        <v>52.74</v>
      </c>
    </row>
    <row r="1490" spans="1:2" x14ac:dyDescent="0.25">
      <c r="A1490">
        <v>18465102</v>
      </c>
      <c r="B1490">
        <v>48.69</v>
      </c>
    </row>
    <row r="1491" spans="1:2" x14ac:dyDescent="0.25">
      <c r="A1491">
        <v>18465103</v>
      </c>
      <c r="B1491">
        <v>41.31</v>
      </c>
    </row>
    <row r="1492" spans="1:2" x14ac:dyDescent="0.25">
      <c r="A1492">
        <v>18465601</v>
      </c>
      <c r="B1492">
        <v>69.12</v>
      </c>
    </row>
    <row r="1493" spans="1:2" x14ac:dyDescent="0.25">
      <c r="A1493">
        <v>18465602</v>
      </c>
      <c r="B1493">
        <v>54.13</v>
      </c>
    </row>
    <row r="1494" spans="1:2" x14ac:dyDescent="0.25">
      <c r="A1494">
        <v>18479201</v>
      </c>
      <c r="B1494">
        <v>28.83</v>
      </c>
    </row>
    <row r="1495" spans="1:2" x14ac:dyDescent="0.25">
      <c r="A1495">
        <v>18479701</v>
      </c>
      <c r="B1495">
        <v>38.130000000000003</v>
      </c>
    </row>
    <row r="1496" spans="1:2" x14ac:dyDescent="0.25">
      <c r="A1496">
        <v>18479801</v>
      </c>
      <c r="B1496">
        <v>50.96</v>
      </c>
    </row>
    <row r="1497" spans="1:2" x14ac:dyDescent="0.25">
      <c r="A1497">
        <v>18479901</v>
      </c>
      <c r="B1497">
        <v>41.31</v>
      </c>
    </row>
    <row r="1498" spans="1:2" x14ac:dyDescent="0.25">
      <c r="A1498">
        <v>18591401</v>
      </c>
      <c r="B1498">
        <v>32.67</v>
      </c>
    </row>
    <row r="1499" spans="1:2" x14ac:dyDescent="0.25">
      <c r="A1499">
        <v>18591402</v>
      </c>
      <c r="B1499">
        <v>32.67</v>
      </c>
    </row>
    <row r="1500" spans="1:2" x14ac:dyDescent="0.25">
      <c r="A1500">
        <v>18591403</v>
      </c>
      <c r="B1500">
        <v>25.59</v>
      </c>
    </row>
    <row r="1501" spans="1:2" x14ac:dyDescent="0.25">
      <c r="A1501">
        <v>18591501</v>
      </c>
      <c r="B1501">
        <v>39.24</v>
      </c>
    </row>
    <row r="1502" spans="1:2" x14ac:dyDescent="0.25">
      <c r="A1502">
        <v>18591502</v>
      </c>
      <c r="B1502">
        <v>39.24</v>
      </c>
    </row>
    <row r="1503" spans="1:2" x14ac:dyDescent="0.25">
      <c r="A1503">
        <v>18591503</v>
      </c>
      <c r="B1503">
        <v>30.73</v>
      </c>
    </row>
    <row r="1504" spans="1:2" x14ac:dyDescent="0.25">
      <c r="A1504">
        <v>18591601</v>
      </c>
      <c r="B1504">
        <v>36.81</v>
      </c>
    </row>
    <row r="1505" spans="1:2" x14ac:dyDescent="0.25">
      <c r="A1505">
        <v>18591602</v>
      </c>
      <c r="B1505">
        <v>36.81</v>
      </c>
    </row>
    <row r="1506" spans="1:2" x14ac:dyDescent="0.25">
      <c r="A1506">
        <v>18591603</v>
      </c>
      <c r="B1506">
        <v>28.83</v>
      </c>
    </row>
    <row r="1507" spans="1:2" x14ac:dyDescent="0.25">
      <c r="A1507">
        <v>18591701</v>
      </c>
      <c r="B1507">
        <v>38.130000000000003</v>
      </c>
    </row>
    <row r="1508" spans="1:2" x14ac:dyDescent="0.25">
      <c r="A1508">
        <v>18916301</v>
      </c>
      <c r="B1508">
        <v>52.74</v>
      </c>
    </row>
    <row r="1509" spans="1:2" x14ac:dyDescent="0.25">
      <c r="A1509">
        <v>18916501</v>
      </c>
      <c r="B1509">
        <v>40.86</v>
      </c>
    </row>
    <row r="1510" spans="1:2" x14ac:dyDescent="0.25">
      <c r="A1510">
        <v>18916502</v>
      </c>
      <c r="B1510">
        <v>40.86</v>
      </c>
    </row>
    <row r="1511" spans="1:2" x14ac:dyDescent="0.25">
      <c r="A1511">
        <v>18916901</v>
      </c>
      <c r="B1511">
        <v>48.69</v>
      </c>
    </row>
    <row r="1512" spans="1:2" x14ac:dyDescent="0.25">
      <c r="A1512">
        <v>18916902</v>
      </c>
      <c r="B1512">
        <v>48.69</v>
      </c>
    </row>
    <row r="1513" spans="1:2" x14ac:dyDescent="0.25">
      <c r="A1513">
        <v>18917001</v>
      </c>
      <c r="B1513">
        <v>40.86</v>
      </c>
    </row>
    <row r="1514" spans="1:2" x14ac:dyDescent="0.25">
      <c r="A1514">
        <v>18917002</v>
      </c>
      <c r="B1514">
        <v>40.86</v>
      </c>
    </row>
    <row r="1515" spans="1:2" x14ac:dyDescent="0.25">
      <c r="A1515">
        <v>18917301</v>
      </c>
      <c r="B1515">
        <v>56.88</v>
      </c>
    </row>
    <row r="1516" spans="1:2" x14ac:dyDescent="0.25">
      <c r="A1516">
        <v>18917302</v>
      </c>
      <c r="B1516">
        <v>56.88</v>
      </c>
    </row>
    <row r="1517" spans="1:2" x14ac:dyDescent="0.25">
      <c r="A1517">
        <v>18917601</v>
      </c>
      <c r="B1517">
        <v>60.93</v>
      </c>
    </row>
    <row r="1518" spans="1:2" x14ac:dyDescent="0.25">
      <c r="A1518">
        <v>18917602</v>
      </c>
      <c r="B1518">
        <v>60.93</v>
      </c>
    </row>
    <row r="1519" spans="1:2" x14ac:dyDescent="0.25">
      <c r="A1519">
        <v>19187601</v>
      </c>
      <c r="B1519">
        <v>49.84</v>
      </c>
    </row>
    <row r="1520" spans="1:2" x14ac:dyDescent="0.25">
      <c r="A1520">
        <v>19261201</v>
      </c>
      <c r="B1520">
        <v>57.84</v>
      </c>
    </row>
    <row r="1521" spans="1:2" x14ac:dyDescent="0.25">
      <c r="A1521">
        <v>19261301</v>
      </c>
      <c r="B1521">
        <v>49.84</v>
      </c>
    </row>
    <row r="1522" spans="1:2" x14ac:dyDescent="0.25">
      <c r="A1522">
        <v>19306701</v>
      </c>
      <c r="B1522">
        <v>57.84</v>
      </c>
    </row>
    <row r="1523" spans="1:2" x14ac:dyDescent="0.25">
      <c r="A1523">
        <v>19334101</v>
      </c>
      <c r="B1523">
        <v>57.84</v>
      </c>
    </row>
    <row r="1524" spans="1:2" x14ac:dyDescent="0.25">
      <c r="A1524">
        <v>19355101</v>
      </c>
      <c r="B1524">
        <v>57.84</v>
      </c>
    </row>
    <row r="1525" spans="1:2" x14ac:dyDescent="0.25">
      <c r="A1525">
        <v>19355201</v>
      </c>
      <c r="B1525">
        <v>61.43</v>
      </c>
    </row>
    <row r="1526" spans="1:2" x14ac:dyDescent="0.25">
      <c r="A1526">
        <v>19355701</v>
      </c>
      <c r="B1526">
        <v>43.28</v>
      </c>
    </row>
    <row r="1527" spans="1:2" x14ac:dyDescent="0.25">
      <c r="A1527">
        <v>19376301</v>
      </c>
      <c r="B1527">
        <v>45.98</v>
      </c>
    </row>
    <row r="1528" spans="1:2" x14ac:dyDescent="0.25">
      <c r="A1528">
        <v>19379701</v>
      </c>
      <c r="B1528">
        <v>50.56</v>
      </c>
    </row>
    <row r="1529" spans="1:2" x14ac:dyDescent="0.25">
      <c r="A1529">
        <v>19381801</v>
      </c>
      <c r="B1529">
        <v>76.930000000000007</v>
      </c>
    </row>
    <row r="1530" spans="1:2" x14ac:dyDescent="0.25">
      <c r="A1530">
        <v>19391201</v>
      </c>
      <c r="B1530">
        <v>68.72</v>
      </c>
    </row>
    <row r="1531" spans="1:2" x14ac:dyDescent="0.25">
      <c r="A1531">
        <v>19391301</v>
      </c>
      <c r="B1531">
        <v>46.88</v>
      </c>
    </row>
    <row r="1532" spans="1:2" x14ac:dyDescent="0.25">
      <c r="A1532">
        <v>19426801</v>
      </c>
      <c r="B1532">
        <v>57.57</v>
      </c>
    </row>
    <row r="1533" spans="1:2" x14ac:dyDescent="0.25">
      <c r="A1533">
        <v>19428901</v>
      </c>
      <c r="B1533">
        <v>57.84</v>
      </c>
    </row>
    <row r="1534" spans="1:2" x14ac:dyDescent="0.25">
      <c r="A1534">
        <v>19429001</v>
      </c>
      <c r="B1534">
        <v>57.84</v>
      </c>
    </row>
    <row r="1535" spans="1:2" x14ac:dyDescent="0.25">
      <c r="A1535">
        <v>19432901</v>
      </c>
      <c r="B1535">
        <v>61.43</v>
      </c>
    </row>
    <row r="1536" spans="1:2" x14ac:dyDescent="0.25">
      <c r="A1536">
        <v>19435701</v>
      </c>
      <c r="B1536">
        <v>38.619999999999997</v>
      </c>
    </row>
    <row r="1537" spans="1:2" x14ac:dyDescent="0.25">
      <c r="A1537">
        <v>19435801</v>
      </c>
      <c r="B1537">
        <v>40.86</v>
      </c>
    </row>
    <row r="1538" spans="1:2" x14ac:dyDescent="0.25">
      <c r="A1538">
        <v>19473801</v>
      </c>
      <c r="B1538">
        <v>68.72</v>
      </c>
    </row>
    <row r="1539" spans="1:2" x14ac:dyDescent="0.25">
      <c r="A1539">
        <v>19473901</v>
      </c>
      <c r="B1539">
        <v>68.72</v>
      </c>
    </row>
    <row r="1540" spans="1:2" x14ac:dyDescent="0.25">
      <c r="A1540">
        <v>19479301</v>
      </c>
      <c r="B1540">
        <v>72.400000000000006</v>
      </c>
    </row>
    <row r="1541" spans="1:2" x14ac:dyDescent="0.25">
      <c r="A1541">
        <v>19493201</v>
      </c>
      <c r="B1541">
        <v>50.56</v>
      </c>
    </row>
    <row r="1542" spans="1:2" x14ac:dyDescent="0.25">
      <c r="A1542">
        <v>19493301</v>
      </c>
      <c r="B1542">
        <v>54.16</v>
      </c>
    </row>
    <row r="1543" spans="1:2" x14ac:dyDescent="0.25">
      <c r="A1543">
        <v>19515201</v>
      </c>
      <c r="B1543">
        <v>46.88</v>
      </c>
    </row>
    <row r="1544" spans="1:2" x14ac:dyDescent="0.25">
      <c r="A1544">
        <v>19659601</v>
      </c>
      <c r="B1544">
        <v>43.28</v>
      </c>
    </row>
    <row r="1545" spans="1:2" x14ac:dyDescent="0.25">
      <c r="A1545">
        <v>30157401</v>
      </c>
      <c r="B1545">
        <v>54.16</v>
      </c>
    </row>
    <row r="1546" spans="1:2" x14ac:dyDescent="0.25">
      <c r="A1546">
        <v>64174701</v>
      </c>
      <c r="B1546">
        <v>28.43</v>
      </c>
    </row>
    <row r="1547" spans="1:2" x14ac:dyDescent="0.25">
      <c r="A1547">
        <v>64174801</v>
      </c>
      <c r="B1547">
        <v>53.72</v>
      </c>
    </row>
    <row r="1548" spans="1:2" x14ac:dyDescent="0.25">
      <c r="A1548">
        <v>64174901</v>
      </c>
      <c r="B1548">
        <v>32.03</v>
      </c>
    </row>
    <row r="1549" spans="1:2" x14ac:dyDescent="0.25">
      <c r="A1549">
        <v>64175001</v>
      </c>
      <c r="B1549">
        <v>57.55</v>
      </c>
    </row>
    <row r="1550" spans="1:2" x14ac:dyDescent="0.25">
      <c r="A1550">
        <v>64175101</v>
      </c>
      <c r="B1550">
        <v>53.72</v>
      </c>
    </row>
    <row r="1551" spans="1:2" x14ac:dyDescent="0.25">
      <c r="A1551">
        <v>64175201</v>
      </c>
      <c r="B1551">
        <v>49.81</v>
      </c>
    </row>
    <row r="1552" spans="1:2" x14ac:dyDescent="0.25">
      <c r="A1552">
        <v>64175301</v>
      </c>
      <c r="B1552">
        <v>49.5</v>
      </c>
    </row>
    <row r="1553" spans="1:2" x14ac:dyDescent="0.25">
      <c r="A1553">
        <v>64175401</v>
      </c>
      <c r="B1553">
        <v>67.7</v>
      </c>
    </row>
    <row r="1554" spans="1:2" x14ac:dyDescent="0.25">
      <c r="A1554">
        <v>64175501</v>
      </c>
      <c r="B1554">
        <v>54.1</v>
      </c>
    </row>
    <row r="1555" spans="1:2" x14ac:dyDescent="0.25">
      <c r="A1555">
        <v>64175601</v>
      </c>
      <c r="B1555">
        <v>45.4</v>
      </c>
    </row>
    <row r="1556" spans="1:2" x14ac:dyDescent="0.25">
      <c r="A1556">
        <v>64175701</v>
      </c>
      <c r="B1556">
        <v>67.7</v>
      </c>
    </row>
    <row r="1557" spans="1:2" x14ac:dyDescent="0.25">
      <c r="A1557">
        <v>64175901</v>
      </c>
      <c r="B1557">
        <v>40.9</v>
      </c>
    </row>
    <row r="1558" spans="1:2" x14ac:dyDescent="0.25">
      <c r="A1558">
        <v>64176001</v>
      </c>
      <c r="B1558">
        <v>53.72</v>
      </c>
    </row>
    <row r="1559" spans="1:2" x14ac:dyDescent="0.25">
      <c r="A1559">
        <v>64176101</v>
      </c>
      <c r="B1559">
        <v>36.299999999999997</v>
      </c>
    </row>
    <row r="1560" spans="1:2" x14ac:dyDescent="0.25">
      <c r="A1560">
        <v>64176201</v>
      </c>
      <c r="B1560">
        <v>45.4</v>
      </c>
    </row>
    <row r="1561" spans="1:2" x14ac:dyDescent="0.25">
      <c r="A1561">
        <v>64176202</v>
      </c>
      <c r="B1561">
        <v>45.4</v>
      </c>
    </row>
    <row r="1562" spans="1:2" x14ac:dyDescent="0.25">
      <c r="A1562">
        <v>64176301</v>
      </c>
      <c r="B1562">
        <v>65.28</v>
      </c>
    </row>
    <row r="1563" spans="1:2" x14ac:dyDescent="0.25">
      <c r="A1563">
        <v>64176302</v>
      </c>
      <c r="B1563">
        <v>65.28</v>
      </c>
    </row>
    <row r="1564" spans="1:2" x14ac:dyDescent="0.25">
      <c r="A1564">
        <v>64176303</v>
      </c>
      <c r="B1564">
        <v>65.28</v>
      </c>
    </row>
    <row r="1565" spans="1:2" x14ac:dyDescent="0.25">
      <c r="A1565">
        <v>64177301</v>
      </c>
      <c r="B1565">
        <v>36.299999999999997</v>
      </c>
    </row>
    <row r="1566" spans="1:2" x14ac:dyDescent="0.25">
      <c r="A1566">
        <v>64177401</v>
      </c>
      <c r="B1566">
        <v>45.4</v>
      </c>
    </row>
    <row r="1567" spans="1:2" x14ac:dyDescent="0.25">
      <c r="A1567">
        <v>64177501</v>
      </c>
      <c r="B1567">
        <v>54.1</v>
      </c>
    </row>
    <row r="1568" spans="1:2" x14ac:dyDescent="0.25">
      <c r="A1568">
        <v>64177601</v>
      </c>
      <c r="B1568">
        <v>45.4</v>
      </c>
    </row>
    <row r="1569" spans="1:2" x14ac:dyDescent="0.25">
      <c r="A1569">
        <v>64177701</v>
      </c>
      <c r="B1569">
        <v>43.6</v>
      </c>
    </row>
    <row r="1570" spans="1:2" x14ac:dyDescent="0.25">
      <c r="A1570">
        <v>64177801</v>
      </c>
      <c r="B1570">
        <v>63.2</v>
      </c>
    </row>
    <row r="1571" spans="1:2" x14ac:dyDescent="0.25">
      <c r="A1571">
        <v>64177901</v>
      </c>
      <c r="B1571">
        <v>67.7</v>
      </c>
    </row>
    <row r="1572" spans="1:2" x14ac:dyDescent="0.25">
      <c r="A1572">
        <v>64178001</v>
      </c>
      <c r="B1572">
        <v>58.6</v>
      </c>
    </row>
    <row r="1573" spans="1:2" x14ac:dyDescent="0.25">
      <c r="A1573">
        <v>64178101</v>
      </c>
      <c r="B1573">
        <v>54.1</v>
      </c>
    </row>
    <row r="1574" spans="1:2" x14ac:dyDescent="0.25">
      <c r="A1574">
        <v>64178201</v>
      </c>
      <c r="B1574">
        <v>45.4</v>
      </c>
    </row>
    <row r="1575" spans="1:2" x14ac:dyDescent="0.25">
      <c r="A1575">
        <v>64178301</v>
      </c>
      <c r="B1575">
        <v>72.3</v>
      </c>
    </row>
    <row r="1576" spans="1:2" x14ac:dyDescent="0.25">
      <c r="A1576">
        <v>64178401</v>
      </c>
      <c r="B1576">
        <v>54.1</v>
      </c>
    </row>
    <row r="1577" spans="1:2" x14ac:dyDescent="0.25">
      <c r="A1577">
        <v>64179001</v>
      </c>
      <c r="B1577">
        <v>76.8</v>
      </c>
    </row>
    <row r="1578" spans="1:2" x14ac:dyDescent="0.25">
      <c r="A1578">
        <v>64179002</v>
      </c>
      <c r="B1578">
        <v>76.8</v>
      </c>
    </row>
    <row r="1579" spans="1:2" x14ac:dyDescent="0.25">
      <c r="A1579">
        <v>64179301</v>
      </c>
      <c r="B1579">
        <v>54.1</v>
      </c>
    </row>
    <row r="1580" spans="1:2" x14ac:dyDescent="0.25">
      <c r="A1580">
        <v>64179302</v>
      </c>
      <c r="B1580">
        <v>54.1</v>
      </c>
    </row>
    <row r="1581" spans="1:2" x14ac:dyDescent="0.25">
      <c r="A1581">
        <v>64179801</v>
      </c>
      <c r="B1581">
        <v>36.299999999999997</v>
      </c>
    </row>
    <row r="1582" spans="1:2" x14ac:dyDescent="0.25">
      <c r="A1582">
        <v>64180201</v>
      </c>
      <c r="B1582">
        <v>67.7</v>
      </c>
    </row>
    <row r="1583" spans="1:2" x14ac:dyDescent="0.25">
      <c r="A1583">
        <v>64180601</v>
      </c>
      <c r="B1583">
        <v>90.5</v>
      </c>
    </row>
    <row r="1584" spans="1:2" x14ac:dyDescent="0.25">
      <c r="A1584">
        <v>64180602</v>
      </c>
      <c r="B1584">
        <v>70.88</v>
      </c>
    </row>
    <row r="1585" spans="1:2" x14ac:dyDescent="0.25">
      <c r="A1585">
        <v>64772901</v>
      </c>
      <c r="B1585">
        <v>53.02</v>
      </c>
    </row>
    <row r="1586" spans="1:2" x14ac:dyDescent="0.25">
      <c r="A1586">
        <v>64773001</v>
      </c>
      <c r="B1586">
        <v>81.53</v>
      </c>
    </row>
    <row r="1587" spans="1:2" x14ac:dyDescent="0.25">
      <c r="A1587">
        <v>64773101</v>
      </c>
      <c r="B1587">
        <v>104.1</v>
      </c>
    </row>
    <row r="1588" spans="1:2" x14ac:dyDescent="0.25">
      <c r="A1588">
        <v>65110701</v>
      </c>
      <c r="B1588">
        <v>49.81</v>
      </c>
    </row>
    <row r="1589" spans="1:2" x14ac:dyDescent="0.25">
      <c r="A1589">
        <v>65320901</v>
      </c>
      <c r="B1589">
        <v>57.55</v>
      </c>
    </row>
    <row r="1590" spans="1:2" x14ac:dyDescent="0.25">
      <c r="A1590">
        <v>65321001</v>
      </c>
      <c r="B1590">
        <v>53.72</v>
      </c>
    </row>
    <row r="1591" spans="1:2" x14ac:dyDescent="0.25">
      <c r="A1591">
        <v>65321101</v>
      </c>
      <c r="B1591">
        <v>49.81</v>
      </c>
    </row>
    <row r="1592" spans="1:2" x14ac:dyDescent="0.25">
      <c r="A1592">
        <v>65321201</v>
      </c>
      <c r="B1592">
        <v>48.69</v>
      </c>
    </row>
    <row r="1593" spans="1:2" x14ac:dyDescent="0.25">
      <c r="A1593">
        <v>65321301</v>
      </c>
      <c r="B1593">
        <v>36.81</v>
      </c>
    </row>
    <row r="1594" spans="1:2" x14ac:dyDescent="0.25">
      <c r="A1594">
        <v>65321401</v>
      </c>
      <c r="B1594">
        <v>52.74</v>
      </c>
    </row>
    <row r="1595" spans="1:2" x14ac:dyDescent="0.25">
      <c r="A1595">
        <v>65321501</v>
      </c>
      <c r="B1595">
        <v>48.69</v>
      </c>
    </row>
    <row r="1596" spans="1:2" x14ac:dyDescent="0.25">
      <c r="A1596">
        <v>65321601</v>
      </c>
      <c r="B1596">
        <v>40.86</v>
      </c>
    </row>
    <row r="1597" spans="1:2" x14ac:dyDescent="0.25">
      <c r="A1597">
        <v>65321701</v>
      </c>
      <c r="B1597">
        <v>48.69</v>
      </c>
    </row>
    <row r="1598" spans="1:2" x14ac:dyDescent="0.25">
      <c r="A1598">
        <v>65321801</v>
      </c>
      <c r="B1598">
        <v>45.98</v>
      </c>
    </row>
    <row r="1599" spans="1:2" x14ac:dyDescent="0.25">
      <c r="A1599">
        <v>65321901</v>
      </c>
      <c r="B1599">
        <v>45.98</v>
      </c>
    </row>
    <row r="1600" spans="1:2" x14ac:dyDescent="0.25">
      <c r="A1600">
        <v>65322001</v>
      </c>
      <c r="B1600">
        <v>61.46</v>
      </c>
    </row>
    <row r="1601" spans="1:2" x14ac:dyDescent="0.25">
      <c r="A1601">
        <v>65322801</v>
      </c>
      <c r="B1601">
        <v>38.619999999999997</v>
      </c>
    </row>
    <row r="1602" spans="1:2" x14ac:dyDescent="0.25">
      <c r="A1602">
        <v>65335601</v>
      </c>
      <c r="B1602">
        <v>57.55</v>
      </c>
    </row>
    <row r="1603" spans="1:2" x14ac:dyDescent="0.25">
      <c r="A1603">
        <v>65335701</v>
      </c>
      <c r="B1603">
        <v>57.55</v>
      </c>
    </row>
    <row r="1604" spans="1:2" x14ac:dyDescent="0.25">
      <c r="A1604">
        <v>65335801</v>
      </c>
      <c r="B1604">
        <v>48.69</v>
      </c>
    </row>
    <row r="1605" spans="1:2" x14ac:dyDescent="0.25">
      <c r="A1605">
        <v>65335901</v>
      </c>
      <c r="B1605">
        <v>53.72</v>
      </c>
    </row>
    <row r="1606" spans="1:2" x14ac:dyDescent="0.25">
      <c r="A1606">
        <v>65336001</v>
      </c>
      <c r="B1606">
        <v>49.81</v>
      </c>
    </row>
    <row r="1607" spans="1:2" x14ac:dyDescent="0.25">
      <c r="A1607">
        <v>65336101</v>
      </c>
      <c r="B1607">
        <v>49.81</v>
      </c>
    </row>
    <row r="1608" spans="1:2" x14ac:dyDescent="0.25">
      <c r="A1608">
        <v>65336301</v>
      </c>
      <c r="B1608">
        <v>52.74</v>
      </c>
    </row>
    <row r="1609" spans="1:2" x14ac:dyDescent="0.25">
      <c r="A1609">
        <v>65336401</v>
      </c>
      <c r="B1609">
        <v>52.74</v>
      </c>
    </row>
    <row r="1610" spans="1:2" x14ac:dyDescent="0.25">
      <c r="A1610">
        <v>65336501</v>
      </c>
      <c r="B1610">
        <v>53.72</v>
      </c>
    </row>
    <row r="1611" spans="1:2" x14ac:dyDescent="0.25">
      <c r="A1611">
        <v>65336601</v>
      </c>
      <c r="B1611">
        <v>53.72</v>
      </c>
    </row>
    <row r="1612" spans="1:2" x14ac:dyDescent="0.25">
      <c r="A1612">
        <v>65336701</v>
      </c>
      <c r="B1612">
        <v>36.81</v>
      </c>
    </row>
    <row r="1613" spans="1:2" x14ac:dyDescent="0.25">
      <c r="A1613">
        <v>65336801</v>
      </c>
      <c r="B1613">
        <v>36.81</v>
      </c>
    </row>
    <row r="1614" spans="1:2" x14ac:dyDescent="0.25">
      <c r="A1614">
        <v>65336901</v>
      </c>
      <c r="B1614">
        <v>52.74</v>
      </c>
    </row>
    <row r="1615" spans="1:2" x14ac:dyDescent="0.25">
      <c r="A1615">
        <v>65337001</v>
      </c>
      <c r="B1615">
        <v>52.74</v>
      </c>
    </row>
    <row r="1616" spans="1:2" x14ac:dyDescent="0.25">
      <c r="A1616">
        <v>65337101</v>
      </c>
      <c r="B1616">
        <v>48.69</v>
      </c>
    </row>
    <row r="1617" spans="1:2" x14ac:dyDescent="0.25">
      <c r="A1617">
        <v>65337201</v>
      </c>
      <c r="B1617">
        <v>48.69</v>
      </c>
    </row>
    <row r="1618" spans="1:2" x14ac:dyDescent="0.25">
      <c r="A1618">
        <v>65337301</v>
      </c>
      <c r="B1618">
        <v>40.86</v>
      </c>
    </row>
    <row r="1619" spans="1:2" x14ac:dyDescent="0.25">
      <c r="A1619">
        <v>65337401</v>
      </c>
      <c r="B1619">
        <v>40.86</v>
      </c>
    </row>
    <row r="1620" spans="1:2" x14ac:dyDescent="0.25">
      <c r="A1620">
        <v>65337501</v>
      </c>
      <c r="B1620">
        <v>48.69</v>
      </c>
    </row>
    <row r="1621" spans="1:2" x14ac:dyDescent="0.25">
      <c r="A1621">
        <v>65337601</v>
      </c>
      <c r="B1621">
        <v>48.69</v>
      </c>
    </row>
    <row r="1622" spans="1:2" x14ac:dyDescent="0.25">
      <c r="A1622">
        <v>65338101</v>
      </c>
      <c r="B1622">
        <v>45.98</v>
      </c>
    </row>
    <row r="1623" spans="1:2" x14ac:dyDescent="0.25">
      <c r="A1623">
        <v>65338201</v>
      </c>
      <c r="B1623">
        <v>45.98</v>
      </c>
    </row>
    <row r="1624" spans="1:2" x14ac:dyDescent="0.25">
      <c r="A1624">
        <v>65338301</v>
      </c>
      <c r="B1624">
        <v>45.98</v>
      </c>
    </row>
    <row r="1625" spans="1:2" x14ac:dyDescent="0.25">
      <c r="A1625">
        <v>65338401</v>
      </c>
      <c r="B1625">
        <v>45.98</v>
      </c>
    </row>
    <row r="1626" spans="1:2" x14ac:dyDescent="0.25">
      <c r="A1626">
        <v>65338501</v>
      </c>
      <c r="B1626">
        <v>38.619999999999997</v>
      </c>
    </row>
    <row r="1627" spans="1:2" x14ac:dyDescent="0.25">
      <c r="A1627">
        <v>65338601</v>
      </c>
      <c r="B1627">
        <v>38.619999999999997</v>
      </c>
    </row>
    <row r="1628" spans="1:2" x14ac:dyDescent="0.25">
      <c r="A1628">
        <v>65338701</v>
      </c>
      <c r="B1628">
        <v>38.619999999999997</v>
      </c>
    </row>
    <row r="1629" spans="1:2" x14ac:dyDescent="0.25">
      <c r="A1629">
        <v>65338801</v>
      </c>
      <c r="B1629">
        <v>38.619999999999997</v>
      </c>
    </row>
    <row r="1630" spans="1:2" x14ac:dyDescent="0.25">
      <c r="A1630">
        <v>65338901</v>
      </c>
      <c r="B1630">
        <v>38.619999999999997</v>
      </c>
    </row>
    <row r="1631" spans="1:2" x14ac:dyDescent="0.25">
      <c r="A1631">
        <v>65339001</v>
      </c>
      <c r="B1631">
        <v>38.619999999999997</v>
      </c>
    </row>
    <row r="1632" spans="1:2" x14ac:dyDescent="0.25">
      <c r="A1632">
        <v>65339101</v>
      </c>
      <c r="B1632">
        <v>49.84</v>
      </c>
    </row>
    <row r="1633" spans="1:2" x14ac:dyDescent="0.25">
      <c r="A1633">
        <v>65339201</v>
      </c>
      <c r="B1633">
        <v>49.84</v>
      </c>
    </row>
    <row r="1634" spans="1:2" x14ac:dyDescent="0.25">
      <c r="A1634">
        <v>66068101</v>
      </c>
      <c r="B1634">
        <v>38.619999999999997</v>
      </c>
    </row>
    <row r="1635" spans="1:2" x14ac:dyDescent="0.25">
      <c r="A1635">
        <v>66068201</v>
      </c>
      <c r="B1635">
        <v>38.619999999999997</v>
      </c>
    </row>
    <row r="1636" spans="1:2" x14ac:dyDescent="0.25">
      <c r="A1636">
        <v>66069101</v>
      </c>
      <c r="B1636">
        <v>56.88</v>
      </c>
    </row>
    <row r="1637" spans="1:2" x14ac:dyDescent="0.25">
      <c r="A1637">
        <v>66069201</v>
      </c>
      <c r="B1637">
        <v>56.88</v>
      </c>
    </row>
    <row r="1638" spans="1:2" x14ac:dyDescent="0.25">
      <c r="A1638">
        <v>66069301</v>
      </c>
      <c r="B1638">
        <v>52.74</v>
      </c>
    </row>
    <row r="1639" spans="1:2" x14ac:dyDescent="0.25">
      <c r="A1639">
        <v>66069401</v>
      </c>
      <c r="B1639">
        <v>52.74</v>
      </c>
    </row>
    <row r="1640" spans="1:2" x14ac:dyDescent="0.25">
      <c r="A1640">
        <v>66069501</v>
      </c>
      <c r="B1640">
        <v>48.69</v>
      </c>
    </row>
    <row r="1641" spans="1:2" x14ac:dyDescent="0.25">
      <c r="A1641">
        <v>66069601</v>
      </c>
      <c r="B1641">
        <v>48.69</v>
      </c>
    </row>
    <row r="1642" spans="1:2" x14ac:dyDescent="0.25">
      <c r="A1642">
        <v>66069801</v>
      </c>
      <c r="B1642">
        <v>48.69</v>
      </c>
    </row>
    <row r="1643" spans="1:2" x14ac:dyDescent="0.25">
      <c r="A1643">
        <v>66069901</v>
      </c>
      <c r="B1643">
        <v>52.74</v>
      </c>
    </row>
    <row r="1644" spans="1:2" x14ac:dyDescent="0.25">
      <c r="A1644">
        <v>66070201</v>
      </c>
      <c r="B1644">
        <v>40.86</v>
      </c>
    </row>
    <row r="1645" spans="1:2" x14ac:dyDescent="0.25">
      <c r="A1645">
        <v>66070301</v>
      </c>
      <c r="B1645">
        <v>40.86</v>
      </c>
    </row>
    <row r="1646" spans="1:2" x14ac:dyDescent="0.25">
      <c r="A1646">
        <v>66070401</v>
      </c>
      <c r="B1646">
        <v>40.86</v>
      </c>
    </row>
    <row r="1647" spans="1:2" x14ac:dyDescent="0.25">
      <c r="A1647">
        <v>66070501</v>
      </c>
      <c r="B1647">
        <v>40.86</v>
      </c>
    </row>
    <row r="1648" spans="1:2" x14ac:dyDescent="0.25">
      <c r="A1648">
        <v>66070601</v>
      </c>
      <c r="B1648">
        <v>69.16</v>
      </c>
    </row>
    <row r="1649" spans="1:2" x14ac:dyDescent="0.25">
      <c r="A1649">
        <v>66070701</v>
      </c>
      <c r="B1649">
        <v>69.16</v>
      </c>
    </row>
    <row r="1650" spans="1:2" x14ac:dyDescent="0.25">
      <c r="A1650">
        <v>66070801</v>
      </c>
      <c r="B1650">
        <v>38.619999999999997</v>
      </c>
    </row>
    <row r="1651" spans="1:2" x14ac:dyDescent="0.25">
      <c r="A1651">
        <v>66070901</v>
      </c>
      <c r="B1651">
        <v>40.86</v>
      </c>
    </row>
    <row r="1652" spans="1:2" x14ac:dyDescent="0.25">
      <c r="A1652">
        <v>66071001</v>
      </c>
      <c r="B1652">
        <v>38.619999999999997</v>
      </c>
    </row>
    <row r="1653" spans="1:2" x14ac:dyDescent="0.25">
      <c r="A1653">
        <v>66071101</v>
      </c>
      <c r="B1653">
        <v>40.86</v>
      </c>
    </row>
    <row r="1654" spans="1:2" x14ac:dyDescent="0.25">
      <c r="A1654">
        <v>66071201</v>
      </c>
      <c r="B1654">
        <v>52.74</v>
      </c>
    </row>
    <row r="1655" spans="1:2" x14ac:dyDescent="0.25">
      <c r="A1655">
        <v>66071301</v>
      </c>
      <c r="B1655">
        <v>52.74</v>
      </c>
    </row>
    <row r="1656" spans="1:2" x14ac:dyDescent="0.25">
      <c r="A1656">
        <v>66071401</v>
      </c>
      <c r="B1656">
        <v>48.69</v>
      </c>
    </row>
    <row r="1657" spans="1:2" x14ac:dyDescent="0.25">
      <c r="A1657">
        <v>66071501</v>
      </c>
      <c r="B1657">
        <v>48.69</v>
      </c>
    </row>
    <row r="1658" spans="1:2" x14ac:dyDescent="0.25">
      <c r="A1658">
        <v>66071601</v>
      </c>
      <c r="B1658">
        <v>40.86</v>
      </c>
    </row>
    <row r="1659" spans="1:2" x14ac:dyDescent="0.25">
      <c r="A1659">
        <v>66071701</v>
      </c>
      <c r="B1659">
        <v>40.86</v>
      </c>
    </row>
    <row r="1660" spans="1:2" x14ac:dyDescent="0.25">
      <c r="A1660">
        <v>66071801</v>
      </c>
      <c r="B1660">
        <v>48.69</v>
      </c>
    </row>
    <row r="1661" spans="1:2" x14ac:dyDescent="0.25">
      <c r="A1661">
        <v>66071901</v>
      </c>
      <c r="B1661">
        <v>48.69</v>
      </c>
    </row>
    <row r="1662" spans="1:2" x14ac:dyDescent="0.25">
      <c r="A1662">
        <v>66072101</v>
      </c>
      <c r="B1662">
        <v>40.86</v>
      </c>
    </row>
    <row r="1663" spans="1:2" x14ac:dyDescent="0.25">
      <c r="A1663">
        <v>66072201</v>
      </c>
      <c r="B1663">
        <v>40.86</v>
      </c>
    </row>
    <row r="1664" spans="1:2" x14ac:dyDescent="0.25">
      <c r="A1664">
        <v>66072301</v>
      </c>
      <c r="B1664">
        <v>52.74</v>
      </c>
    </row>
    <row r="1665" spans="1:2" x14ac:dyDescent="0.25">
      <c r="A1665">
        <v>66143801</v>
      </c>
      <c r="B1665">
        <v>54.16</v>
      </c>
    </row>
    <row r="1666" spans="1:2" x14ac:dyDescent="0.25">
      <c r="A1666">
        <v>66143901</v>
      </c>
      <c r="B1666">
        <v>54.16</v>
      </c>
    </row>
    <row r="1667" spans="1:2" x14ac:dyDescent="0.25">
      <c r="A1667">
        <v>66339601</v>
      </c>
      <c r="B1667">
        <v>57.84</v>
      </c>
    </row>
    <row r="1668" spans="1:2" x14ac:dyDescent="0.25">
      <c r="A1668">
        <v>66339701</v>
      </c>
      <c r="B1668">
        <v>57.55</v>
      </c>
    </row>
    <row r="1669" spans="1:2" x14ac:dyDescent="0.25">
      <c r="A1669">
        <v>66339801</v>
      </c>
      <c r="B1669">
        <v>57.55</v>
      </c>
    </row>
    <row r="1670" spans="1:2" x14ac:dyDescent="0.25">
      <c r="A1670">
        <v>66339901</v>
      </c>
      <c r="B1670">
        <v>54.16</v>
      </c>
    </row>
    <row r="1671" spans="1:2" x14ac:dyDescent="0.25">
      <c r="A1671">
        <v>66340001</v>
      </c>
      <c r="B1671">
        <v>53.72</v>
      </c>
    </row>
    <row r="1672" spans="1:2" x14ac:dyDescent="0.25">
      <c r="A1672">
        <v>66340101</v>
      </c>
      <c r="B1672">
        <v>53.72</v>
      </c>
    </row>
    <row r="1673" spans="1:2" x14ac:dyDescent="0.25">
      <c r="A1673">
        <v>66340201</v>
      </c>
      <c r="B1673">
        <v>49.81</v>
      </c>
    </row>
    <row r="1674" spans="1:2" x14ac:dyDescent="0.25">
      <c r="A1674">
        <v>66340301</v>
      </c>
      <c r="B1674">
        <v>49.81</v>
      </c>
    </row>
    <row r="1675" spans="1:2" x14ac:dyDescent="0.25">
      <c r="A1675">
        <v>66340401</v>
      </c>
      <c r="B1675">
        <v>49.81</v>
      </c>
    </row>
    <row r="1676" spans="1:2" x14ac:dyDescent="0.25">
      <c r="A1676">
        <v>66340501</v>
      </c>
      <c r="B1676">
        <v>53.72</v>
      </c>
    </row>
    <row r="1677" spans="1:2" x14ac:dyDescent="0.25">
      <c r="A1677">
        <v>66340601</v>
      </c>
      <c r="B1677">
        <v>53.72</v>
      </c>
    </row>
    <row r="1678" spans="1:2" x14ac:dyDescent="0.25">
      <c r="A1678">
        <v>66340701</v>
      </c>
      <c r="B1678">
        <v>53.72</v>
      </c>
    </row>
    <row r="1679" spans="1:2" x14ac:dyDescent="0.25">
      <c r="A1679">
        <v>66340801</v>
      </c>
      <c r="B1679">
        <v>53.72</v>
      </c>
    </row>
    <row r="1680" spans="1:2" x14ac:dyDescent="0.25">
      <c r="A1680">
        <v>66340901</v>
      </c>
      <c r="B1680">
        <v>53.72</v>
      </c>
    </row>
    <row r="1681" spans="1:2" x14ac:dyDescent="0.25">
      <c r="A1681">
        <v>66342201</v>
      </c>
      <c r="B1681">
        <v>46.88</v>
      </c>
    </row>
    <row r="1682" spans="1:2" x14ac:dyDescent="0.25">
      <c r="A1682">
        <v>66342301</v>
      </c>
      <c r="B1682">
        <v>46.88</v>
      </c>
    </row>
    <row r="1683" spans="1:2" x14ac:dyDescent="0.25">
      <c r="A1683">
        <v>66342401</v>
      </c>
      <c r="B1683">
        <v>57.84</v>
      </c>
    </row>
    <row r="1684" spans="1:2" x14ac:dyDescent="0.25">
      <c r="A1684">
        <v>66342501</v>
      </c>
      <c r="B1684">
        <v>57.84</v>
      </c>
    </row>
    <row r="1685" spans="1:2" x14ac:dyDescent="0.25">
      <c r="A1685">
        <v>66342601</v>
      </c>
      <c r="B1685">
        <v>43.28</v>
      </c>
    </row>
    <row r="1686" spans="1:2" x14ac:dyDescent="0.25">
      <c r="A1686">
        <v>66342701</v>
      </c>
      <c r="B1686">
        <v>43.28</v>
      </c>
    </row>
    <row r="1687" spans="1:2" x14ac:dyDescent="0.25">
      <c r="A1687">
        <v>66343101</v>
      </c>
      <c r="B1687">
        <v>56.88</v>
      </c>
    </row>
    <row r="1688" spans="1:2" x14ac:dyDescent="0.25">
      <c r="A1688">
        <v>66482201</v>
      </c>
      <c r="B1688">
        <v>61.43</v>
      </c>
    </row>
    <row r="1689" spans="1:2" x14ac:dyDescent="0.25">
      <c r="A1689">
        <v>66482301</v>
      </c>
      <c r="B1689">
        <v>45.98</v>
      </c>
    </row>
    <row r="1690" spans="1:2" x14ac:dyDescent="0.25">
      <c r="A1690">
        <v>66482401</v>
      </c>
      <c r="B1690">
        <v>57.57</v>
      </c>
    </row>
    <row r="1691" spans="1:2" x14ac:dyDescent="0.25">
      <c r="A1691">
        <v>66482501</v>
      </c>
      <c r="B1691">
        <v>49.84</v>
      </c>
    </row>
    <row r="1692" spans="1:2" x14ac:dyDescent="0.25">
      <c r="A1692">
        <v>66657701</v>
      </c>
      <c r="B1692">
        <v>57.84</v>
      </c>
    </row>
    <row r="1693" spans="1:2" x14ac:dyDescent="0.25">
      <c r="A1693">
        <v>66657801</v>
      </c>
      <c r="B1693">
        <v>57.84</v>
      </c>
    </row>
    <row r="1694" spans="1:2" x14ac:dyDescent="0.25">
      <c r="A1694">
        <v>66657901</v>
      </c>
      <c r="B1694">
        <v>54.16</v>
      </c>
    </row>
    <row r="1695" spans="1:2" x14ac:dyDescent="0.25">
      <c r="A1695">
        <v>66658001</v>
      </c>
      <c r="B1695">
        <v>54.16</v>
      </c>
    </row>
    <row r="1696" spans="1:2" x14ac:dyDescent="0.25">
      <c r="A1696">
        <v>66658101</v>
      </c>
      <c r="B1696">
        <v>50.56</v>
      </c>
    </row>
    <row r="1697" spans="1:2" x14ac:dyDescent="0.25">
      <c r="A1697">
        <v>66658201</v>
      </c>
      <c r="B1697">
        <v>50.56</v>
      </c>
    </row>
    <row r="1698" spans="1:2" x14ac:dyDescent="0.25">
      <c r="A1698">
        <v>66658301</v>
      </c>
      <c r="B1698">
        <v>54.16</v>
      </c>
    </row>
    <row r="1699" spans="1:2" x14ac:dyDescent="0.25">
      <c r="A1699">
        <v>66658401</v>
      </c>
      <c r="B1699">
        <v>54.16</v>
      </c>
    </row>
    <row r="1700" spans="1:2" x14ac:dyDescent="0.25">
      <c r="A1700">
        <v>66658501</v>
      </c>
      <c r="B1700">
        <v>53.72</v>
      </c>
    </row>
    <row r="1701" spans="1:2" x14ac:dyDescent="0.25">
      <c r="A1701">
        <v>66658601</v>
      </c>
      <c r="B1701">
        <v>53.72</v>
      </c>
    </row>
    <row r="1702" spans="1:2" x14ac:dyDescent="0.25">
      <c r="A1702">
        <v>66658701</v>
      </c>
      <c r="B1702">
        <v>57.84</v>
      </c>
    </row>
    <row r="1703" spans="1:2" x14ac:dyDescent="0.25">
      <c r="A1703">
        <v>66658801</v>
      </c>
      <c r="B1703">
        <v>57.84</v>
      </c>
    </row>
    <row r="1704" spans="1:2" x14ac:dyDescent="0.25">
      <c r="A1704">
        <v>66658901</v>
      </c>
      <c r="B1704">
        <v>65.28</v>
      </c>
    </row>
    <row r="1705" spans="1:2" x14ac:dyDescent="0.25">
      <c r="A1705">
        <v>66859701</v>
      </c>
      <c r="B1705">
        <v>65.28</v>
      </c>
    </row>
    <row r="1706" spans="1:2" x14ac:dyDescent="0.25">
      <c r="A1706">
        <v>66859801</v>
      </c>
      <c r="B1706">
        <v>38.590000000000003</v>
      </c>
    </row>
    <row r="1707" spans="1:2" x14ac:dyDescent="0.25">
      <c r="A1707">
        <v>66859901</v>
      </c>
      <c r="B1707">
        <v>38.590000000000003</v>
      </c>
    </row>
    <row r="1708" spans="1:2" x14ac:dyDescent="0.25">
      <c r="A1708">
        <v>66860001</v>
      </c>
      <c r="B1708">
        <v>65.28</v>
      </c>
    </row>
    <row r="1709" spans="1:2" x14ac:dyDescent="0.25">
      <c r="A1709">
        <v>66860201</v>
      </c>
      <c r="B1709">
        <v>61.46</v>
      </c>
    </row>
    <row r="1710" spans="1:2" x14ac:dyDescent="0.25">
      <c r="A1710">
        <v>66860301</v>
      </c>
      <c r="B1710">
        <v>49.81</v>
      </c>
    </row>
    <row r="1711" spans="1:2" x14ac:dyDescent="0.25">
      <c r="A1711">
        <v>66860401</v>
      </c>
      <c r="B1711">
        <v>53.72</v>
      </c>
    </row>
    <row r="1712" spans="1:2" x14ac:dyDescent="0.25">
      <c r="A1712">
        <v>66860501</v>
      </c>
      <c r="B1712">
        <v>53.72</v>
      </c>
    </row>
    <row r="1713" spans="1:2" x14ac:dyDescent="0.25">
      <c r="A1713">
        <v>66860601</v>
      </c>
      <c r="B1713">
        <v>49.81</v>
      </c>
    </row>
    <row r="1714" spans="1:2" x14ac:dyDescent="0.25">
      <c r="A1714">
        <v>66860801</v>
      </c>
      <c r="B1714">
        <v>57.84</v>
      </c>
    </row>
    <row r="1715" spans="1:2" x14ac:dyDescent="0.25">
      <c r="A1715">
        <v>66860901</v>
      </c>
      <c r="B1715">
        <v>54.16</v>
      </c>
    </row>
    <row r="1716" spans="1:2" x14ac:dyDescent="0.25">
      <c r="A1716">
        <v>66861001</v>
      </c>
      <c r="B1716">
        <v>50.56</v>
      </c>
    </row>
    <row r="1717" spans="1:2" x14ac:dyDescent="0.25">
      <c r="A1717">
        <v>66861101</v>
      </c>
      <c r="B1717">
        <v>50.56</v>
      </c>
    </row>
    <row r="1718" spans="1:2" x14ac:dyDescent="0.25">
      <c r="A1718">
        <v>66861201</v>
      </c>
      <c r="B1718">
        <v>54.16</v>
      </c>
    </row>
    <row r="1719" spans="1:2" x14ac:dyDescent="0.25">
      <c r="A1719">
        <v>66861301</v>
      </c>
      <c r="B1719">
        <v>54.16</v>
      </c>
    </row>
    <row r="1720" spans="1:2" x14ac:dyDescent="0.25">
      <c r="A1720">
        <v>66861401</v>
      </c>
      <c r="B1720">
        <v>57.84</v>
      </c>
    </row>
    <row r="1721" spans="1:2" x14ac:dyDescent="0.25">
      <c r="A1721">
        <v>66861501</v>
      </c>
      <c r="B1721">
        <v>57.84</v>
      </c>
    </row>
    <row r="1722" spans="1:2" x14ac:dyDescent="0.25">
      <c r="A1722">
        <v>66861701</v>
      </c>
      <c r="B1722">
        <v>115.52</v>
      </c>
    </row>
    <row r="1723" spans="1:2" x14ac:dyDescent="0.25">
      <c r="A1723">
        <v>67196001</v>
      </c>
      <c r="B1723">
        <v>53.72</v>
      </c>
    </row>
    <row r="1724" spans="1:2" x14ac:dyDescent="0.25">
      <c r="A1724">
        <v>67669401</v>
      </c>
      <c r="B1724">
        <v>46.88</v>
      </c>
    </row>
    <row r="1725" spans="1:2" x14ac:dyDescent="0.25">
      <c r="A1725">
        <v>67669501</v>
      </c>
      <c r="B1725">
        <v>57.84</v>
      </c>
    </row>
    <row r="1726" spans="1:2" x14ac:dyDescent="0.25">
      <c r="A1726">
        <v>67670001</v>
      </c>
      <c r="B1726">
        <v>61.44</v>
      </c>
    </row>
    <row r="1727" spans="1:2" x14ac:dyDescent="0.25">
      <c r="A1727">
        <v>67670101</v>
      </c>
      <c r="B1727">
        <v>61.44</v>
      </c>
    </row>
    <row r="1728" spans="1:2" x14ac:dyDescent="0.25">
      <c r="A1728">
        <v>67670201</v>
      </c>
      <c r="B1728">
        <v>61.44</v>
      </c>
    </row>
    <row r="1729" spans="1:2" x14ac:dyDescent="0.25">
      <c r="A1729">
        <v>67670301</v>
      </c>
      <c r="B1729">
        <v>61.44</v>
      </c>
    </row>
    <row r="1730" spans="1:2" x14ac:dyDescent="0.25">
      <c r="A1730">
        <v>67670401</v>
      </c>
      <c r="B1730">
        <v>61.44</v>
      </c>
    </row>
    <row r="1731" spans="1:2" x14ac:dyDescent="0.25">
      <c r="A1731">
        <v>67670501</v>
      </c>
      <c r="B1731">
        <v>61.44</v>
      </c>
    </row>
    <row r="1732" spans="1:2" x14ac:dyDescent="0.25">
      <c r="A1732">
        <v>67670601</v>
      </c>
      <c r="B1732">
        <v>76.930000000000007</v>
      </c>
    </row>
    <row r="1733" spans="1:2" x14ac:dyDescent="0.25">
      <c r="A1733">
        <v>67670801</v>
      </c>
      <c r="B1733">
        <v>49.81</v>
      </c>
    </row>
    <row r="1734" spans="1:2" x14ac:dyDescent="0.25">
      <c r="A1734">
        <v>67670901</v>
      </c>
      <c r="B1734">
        <v>76.930000000000007</v>
      </c>
    </row>
    <row r="1735" spans="1:2" x14ac:dyDescent="0.25">
      <c r="A1735">
        <v>67671001</v>
      </c>
      <c r="B1735">
        <v>46.88</v>
      </c>
    </row>
    <row r="1736" spans="1:2" x14ac:dyDescent="0.25">
      <c r="A1736">
        <v>67671101</v>
      </c>
      <c r="B1736">
        <v>46.88</v>
      </c>
    </row>
    <row r="1737" spans="1:2" x14ac:dyDescent="0.25">
      <c r="A1737">
        <v>67671201</v>
      </c>
      <c r="B1737">
        <v>50.56</v>
      </c>
    </row>
    <row r="1738" spans="1:2" x14ac:dyDescent="0.25">
      <c r="A1738">
        <v>67671301</v>
      </c>
      <c r="B1738">
        <v>50.56</v>
      </c>
    </row>
    <row r="1739" spans="1:2" x14ac:dyDescent="0.25">
      <c r="A1739">
        <v>67671401</v>
      </c>
      <c r="B1739">
        <v>50.56</v>
      </c>
    </row>
    <row r="1740" spans="1:2" x14ac:dyDescent="0.25">
      <c r="A1740">
        <v>67671501</v>
      </c>
      <c r="B1740">
        <v>54.16</v>
      </c>
    </row>
    <row r="1741" spans="1:2" x14ac:dyDescent="0.25">
      <c r="A1741">
        <v>67671601</v>
      </c>
      <c r="B1741">
        <v>57.84</v>
      </c>
    </row>
    <row r="1742" spans="1:2" x14ac:dyDescent="0.25">
      <c r="A1742">
        <v>67671701</v>
      </c>
      <c r="B1742">
        <v>57.84</v>
      </c>
    </row>
    <row r="1743" spans="1:2" x14ac:dyDescent="0.25">
      <c r="A1743">
        <v>67671801</v>
      </c>
      <c r="B1743">
        <v>61.44</v>
      </c>
    </row>
    <row r="1744" spans="1:2" x14ac:dyDescent="0.25">
      <c r="A1744">
        <v>68140701</v>
      </c>
      <c r="B1744">
        <v>57.84</v>
      </c>
    </row>
    <row r="1745" spans="1:2" x14ac:dyDescent="0.25">
      <c r="A1745">
        <v>68140801</v>
      </c>
      <c r="B1745">
        <v>57.84</v>
      </c>
    </row>
    <row r="1746" spans="1:2" x14ac:dyDescent="0.25">
      <c r="A1746">
        <v>68140901</v>
      </c>
      <c r="B1746">
        <v>54.16</v>
      </c>
    </row>
    <row r="1747" spans="1:2" x14ac:dyDescent="0.25">
      <c r="A1747">
        <v>68141001</v>
      </c>
      <c r="B1747">
        <v>50.56</v>
      </c>
    </row>
    <row r="1748" spans="1:2" x14ac:dyDescent="0.25">
      <c r="A1748">
        <v>68141101</v>
      </c>
      <c r="B1748">
        <v>50.56</v>
      </c>
    </row>
    <row r="1749" spans="1:2" x14ac:dyDescent="0.25">
      <c r="A1749">
        <v>68141201</v>
      </c>
      <c r="B1749">
        <v>57.84</v>
      </c>
    </row>
    <row r="1750" spans="1:2" x14ac:dyDescent="0.25">
      <c r="A1750">
        <v>68141301</v>
      </c>
      <c r="B1750">
        <v>57.84</v>
      </c>
    </row>
    <row r="1751" spans="1:2" x14ac:dyDescent="0.25">
      <c r="A1751">
        <v>68141401</v>
      </c>
      <c r="B1751">
        <v>57.84</v>
      </c>
    </row>
    <row r="1752" spans="1:2" x14ac:dyDescent="0.25">
      <c r="A1752">
        <v>68141501</v>
      </c>
      <c r="B1752">
        <v>57.84</v>
      </c>
    </row>
    <row r="1753" spans="1:2" x14ac:dyDescent="0.25">
      <c r="A1753">
        <v>68141601</v>
      </c>
      <c r="B1753">
        <v>46.88</v>
      </c>
    </row>
    <row r="1754" spans="1:2" x14ac:dyDescent="0.25">
      <c r="A1754">
        <v>68141701</v>
      </c>
      <c r="B1754">
        <v>57.84</v>
      </c>
    </row>
    <row r="1755" spans="1:2" x14ac:dyDescent="0.25">
      <c r="A1755">
        <v>68141801</v>
      </c>
      <c r="B1755">
        <v>43.28</v>
      </c>
    </row>
    <row r="1756" spans="1:2" x14ac:dyDescent="0.25">
      <c r="A1756">
        <v>68141901</v>
      </c>
      <c r="B1756">
        <v>61.44</v>
      </c>
    </row>
    <row r="1757" spans="1:2" x14ac:dyDescent="0.25">
      <c r="A1757">
        <v>68142101</v>
      </c>
      <c r="B1757">
        <v>45.99</v>
      </c>
    </row>
    <row r="1758" spans="1:2" x14ac:dyDescent="0.25">
      <c r="A1758">
        <v>68583201</v>
      </c>
      <c r="B1758">
        <v>46.88</v>
      </c>
    </row>
    <row r="1759" spans="1:2" x14ac:dyDescent="0.25">
      <c r="A1759">
        <v>68583301</v>
      </c>
      <c r="B1759">
        <v>46.88</v>
      </c>
    </row>
    <row r="1760" spans="1:2" x14ac:dyDescent="0.25">
      <c r="A1760">
        <v>68583401</v>
      </c>
      <c r="B1760">
        <v>97.84</v>
      </c>
    </row>
    <row r="1761" spans="1:2" x14ac:dyDescent="0.25">
      <c r="A1761">
        <v>68583501</v>
      </c>
      <c r="B1761">
        <v>97.84</v>
      </c>
    </row>
    <row r="1762" spans="1:2" x14ac:dyDescent="0.25">
      <c r="A1762">
        <v>68583601</v>
      </c>
      <c r="B1762">
        <v>57.55</v>
      </c>
    </row>
    <row r="1763" spans="1:2" x14ac:dyDescent="0.25">
      <c r="A1763">
        <v>68583701</v>
      </c>
      <c r="B1763">
        <v>57.55</v>
      </c>
    </row>
    <row r="1764" spans="1:2" x14ac:dyDescent="0.25">
      <c r="A1764">
        <v>68583801</v>
      </c>
      <c r="B1764">
        <v>65.12</v>
      </c>
    </row>
    <row r="1765" spans="1:2" x14ac:dyDescent="0.25">
      <c r="A1765">
        <v>68583901</v>
      </c>
      <c r="B1765">
        <v>69.19</v>
      </c>
    </row>
    <row r="1766" spans="1:2" x14ac:dyDescent="0.25">
      <c r="A1766">
        <v>68584201</v>
      </c>
      <c r="B1766">
        <v>57.84</v>
      </c>
    </row>
    <row r="1767" spans="1:2" x14ac:dyDescent="0.25">
      <c r="A1767">
        <v>68584301</v>
      </c>
      <c r="B1767">
        <v>57.84</v>
      </c>
    </row>
    <row r="1768" spans="1:2" x14ac:dyDescent="0.25">
      <c r="A1768">
        <v>68584401</v>
      </c>
      <c r="B1768">
        <v>50.56</v>
      </c>
    </row>
    <row r="1769" spans="1:2" x14ac:dyDescent="0.25">
      <c r="A1769">
        <v>68584501</v>
      </c>
      <c r="B1769">
        <v>57.84</v>
      </c>
    </row>
    <row r="1770" spans="1:2" x14ac:dyDescent="0.25">
      <c r="A1770">
        <v>68584601</v>
      </c>
      <c r="B1770">
        <v>57.84</v>
      </c>
    </row>
    <row r="1771" spans="1:2" x14ac:dyDescent="0.25">
      <c r="A1771">
        <v>68584701</v>
      </c>
      <c r="B1771">
        <v>57.84</v>
      </c>
    </row>
    <row r="1772" spans="1:2" x14ac:dyDescent="0.25">
      <c r="A1772">
        <v>68584801</v>
      </c>
      <c r="B1772">
        <v>57.84</v>
      </c>
    </row>
    <row r="1773" spans="1:2" x14ac:dyDescent="0.25">
      <c r="A1773">
        <v>68584901</v>
      </c>
      <c r="B1773">
        <v>46.88</v>
      </c>
    </row>
    <row r="1774" spans="1:2" x14ac:dyDescent="0.25">
      <c r="A1774">
        <v>69139801</v>
      </c>
      <c r="B1774">
        <v>54.16</v>
      </c>
    </row>
    <row r="1775" spans="1:2" x14ac:dyDescent="0.25">
      <c r="A1775">
        <v>69139901</v>
      </c>
      <c r="B1775">
        <v>54.16</v>
      </c>
    </row>
    <row r="1776" spans="1:2" x14ac:dyDescent="0.25">
      <c r="A1776">
        <v>69140001</v>
      </c>
      <c r="B1776">
        <v>54.16</v>
      </c>
    </row>
    <row r="1777" spans="1:2" x14ac:dyDescent="0.25">
      <c r="A1777">
        <v>69140101</v>
      </c>
      <c r="B1777">
        <v>57.84</v>
      </c>
    </row>
    <row r="1778" spans="1:2" x14ac:dyDescent="0.25">
      <c r="A1778">
        <v>69140201</v>
      </c>
      <c r="B1778">
        <v>57.84</v>
      </c>
    </row>
    <row r="1779" spans="1:2" x14ac:dyDescent="0.25">
      <c r="A1779">
        <v>69140301</v>
      </c>
      <c r="B1779">
        <v>57.84</v>
      </c>
    </row>
    <row r="1780" spans="1:2" x14ac:dyDescent="0.25">
      <c r="A1780">
        <v>69140501</v>
      </c>
      <c r="B1780">
        <v>46.88</v>
      </c>
    </row>
    <row r="1781" spans="1:2" x14ac:dyDescent="0.25">
      <c r="A1781">
        <v>69140701</v>
      </c>
      <c r="B1781">
        <v>119.6</v>
      </c>
    </row>
    <row r="1782" spans="1:2" x14ac:dyDescent="0.25">
      <c r="A1782">
        <v>69140801</v>
      </c>
      <c r="B1782">
        <v>65.12</v>
      </c>
    </row>
    <row r="1783" spans="1:2" x14ac:dyDescent="0.25">
      <c r="A1783">
        <v>69140901</v>
      </c>
      <c r="B1783">
        <v>65.12</v>
      </c>
    </row>
    <row r="1784" spans="1:2" x14ac:dyDescent="0.25">
      <c r="A1784">
        <v>69141001</v>
      </c>
      <c r="B1784">
        <v>94.16</v>
      </c>
    </row>
    <row r="1785" spans="1:2" x14ac:dyDescent="0.25">
      <c r="A1785">
        <v>69141101</v>
      </c>
      <c r="B1785">
        <v>86.88</v>
      </c>
    </row>
    <row r="1786" spans="1:2" x14ac:dyDescent="0.25">
      <c r="A1786">
        <v>69229501</v>
      </c>
      <c r="B1786">
        <v>61.44</v>
      </c>
    </row>
    <row r="1787" spans="1:2" x14ac:dyDescent="0.25">
      <c r="A1787">
        <v>69229601</v>
      </c>
      <c r="B1787">
        <v>50.56</v>
      </c>
    </row>
    <row r="1788" spans="1:2" x14ac:dyDescent="0.25">
      <c r="A1788">
        <v>69229701</v>
      </c>
      <c r="B1788">
        <v>50.56</v>
      </c>
    </row>
    <row r="1789" spans="1:2" x14ac:dyDescent="0.25">
      <c r="A1789">
        <v>69229801</v>
      </c>
      <c r="B1789">
        <v>46.88</v>
      </c>
    </row>
    <row r="1790" spans="1:2" x14ac:dyDescent="0.25">
      <c r="A1790">
        <v>69230001</v>
      </c>
      <c r="B1790">
        <v>54.16</v>
      </c>
    </row>
    <row r="1791" spans="1:2" x14ac:dyDescent="0.25">
      <c r="A1791">
        <v>69230101</v>
      </c>
      <c r="B1791">
        <v>61.44</v>
      </c>
    </row>
    <row r="1792" spans="1:2" x14ac:dyDescent="0.25">
      <c r="A1792">
        <v>69230201</v>
      </c>
      <c r="B1792">
        <v>36.32</v>
      </c>
    </row>
    <row r="1793" spans="1:2" x14ac:dyDescent="0.25">
      <c r="A1793">
        <v>69583201</v>
      </c>
      <c r="B1793">
        <v>50.56</v>
      </c>
    </row>
    <row r="1794" spans="1:2" x14ac:dyDescent="0.25">
      <c r="A1794">
        <v>69583301</v>
      </c>
      <c r="B1794">
        <v>54.16</v>
      </c>
    </row>
    <row r="1795" spans="1:2" x14ac:dyDescent="0.25">
      <c r="A1795">
        <v>69583601</v>
      </c>
      <c r="B1795">
        <v>123.28</v>
      </c>
    </row>
    <row r="1796" spans="1:2" x14ac:dyDescent="0.25">
      <c r="A1796">
        <v>69583701</v>
      </c>
      <c r="B1796">
        <v>123.28</v>
      </c>
    </row>
    <row r="1797" spans="1:2" x14ac:dyDescent="0.25">
      <c r="A1797">
        <v>69583801</v>
      </c>
      <c r="B1797">
        <v>115.52</v>
      </c>
    </row>
    <row r="1798" spans="1:2" x14ac:dyDescent="0.25">
      <c r="A1798">
        <v>69584001</v>
      </c>
      <c r="B1798">
        <v>65.040000000000006</v>
      </c>
    </row>
    <row r="1799" spans="1:2" x14ac:dyDescent="0.25">
      <c r="A1799">
        <v>69584201</v>
      </c>
      <c r="B1799">
        <v>86.88</v>
      </c>
    </row>
    <row r="1800" spans="1:2" x14ac:dyDescent="0.25">
      <c r="A1800">
        <v>69584901</v>
      </c>
      <c r="B1800">
        <v>61.44</v>
      </c>
    </row>
    <row r="1801" spans="1:2" x14ac:dyDescent="0.25">
      <c r="A1801">
        <v>69585001</v>
      </c>
      <c r="B1801">
        <v>61.44</v>
      </c>
    </row>
    <row r="1802" spans="1:2" x14ac:dyDescent="0.25">
      <c r="A1802">
        <v>12652701</v>
      </c>
      <c r="B1802">
        <v>12.41</v>
      </c>
    </row>
    <row r="1803" spans="1:2" x14ac:dyDescent="0.25">
      <c r="A1803">
        <v>12652801</v>
      </c>
      <c r="B1803">
        <v>12.41</v>
      </c>
    </row>
    <row r="1804" spans="1:2" x14ac:dyDescent="0.25">
      <c r="A1804">
        <v>12653901</v>
      </c>
      <c r="B1804">
        <v>12.41</v>
      </c>
    </row>
    <row r="1805" spans="1:2" x14ac:dyDescent="0.25">
      <c r="A1805">
        <v>12654601</v>
      </c>
      <c r="B1805">
        <v>14.38</v>
      </c>
    </row>
    <row r="1806" spans="1:2" x14ac:dyDescent="0.25">
      <c r="A1806">
        <v>12654701</v>
      </c>
      <c r="B1806">
        <v>14.38</v>
      </c>
    </row>
    <row r="1807" spans="1:2" x14ac:dyDescent="0.25">
      <c r="A1807">
        <v>12655001</v>
      </c>
      <c r="B1807">
        <v>12.41</v>
      </c>
    </row>
    <row r="1808" spans="1:2" x14ac:dyDescent="0.25">
      <c r="A1808">
        <v>12656101</v>
      </c>
      <c r="B1808">
        <v>12.41</v>
      </c>
    </row>
    <row r="1809" spans="1:2" x14ac:dyDescent="0.25">
      <c r="A1809">
        <v>12657201</v>
      </c>
      <c r="B1809">
        <v>12.41</v>
      </c>
    </row>
    <row r="1810" spans="1:2" x14ac:dyDescent="0.25">
      <c r="A1810">
        <v>12657301</v>
      </c>
      <c r="B1810">
        <v>14.8</v>
      </c>
    </row>
    <row r="1811" spans="1:2" x14ac:dyDescent="0.25">
      <c r="A1811">
        <v>12657401</v>
      </c>
      <c r="B1811">
        <v>14.8</v>
      </c>
    </row>
    <row r="1812" spans="1:2" x14ac:dyDescent="0.25">
      <c r="A1812">
        <v>12658301</v>
      </c>
      <c r="B1812">
        <v>12.41</v>
      </c>
    </row>
    <row r="1813" spans="1:2" x14ac:dyDescent="0.25">
      <c r="A1813">
        <v>12660101</v>
      </c>
      <c r="B1813">
        <v>14.38</v>
      </c>
    </row>
    <row r="1814" spans="1:2" x14ac:dyDescent="0.25">
      <c r="A1814">
        <v>12666401</v>
      </c>
      <c r="B1814">
        <v>17.62</v>
      </c>
    </row>
    <row r="1815" spans="1:2" x14ac:dyDescent="0.25">
      <c r="A1815">
        <v>12666501</v>
      </c>
      <c r="B1815">
        <v>17.62</v>
      </c>
    </row>
    <row r="1816" spans="1:2" x14ac:dyDescent="0.25">
      <c r="A1816">
        <v>12668701</v>
      </c>
      <c r="B1816">
        <v>36.81</v>
      </c>
    </row>
    <row r="1817" spans="1:2" x14ac:dyDescent="0.25">
      <c r="A1817">
        <v>12668702</v>
      </c>
      <c r="B1817">
        <v>28.83</v>
      </c>
    </row>
    <row r="1818" spans="1:2" x14ac:dyDescent="0.25">
      <c r="A1818">
        <v>12669501</v>
      </c>
      <c r="B1818">
        <v>18.36</v>
      </c>
    </row>
    <row r="1819" spans="1:2" x14ac:dyDescent="0.25">
      <c r="A1819">
        <v>12669502</v>
      </c>
      <c r="B1819">
        <v>22.5</v>
      </c>
    </row>
    <row r="1820" spans="1:2" x14ac:dyDescent="0.25">
      <c r="A1820">
        <v>12669503</v>
      </c>
      <c r="B1820">
        <v>22.5</v>
      </c>
    </row>
    <row r="1821" spans="1:2" x14ac:dyDescent="0.25">
      <c r="A1821">
        <v>12669504</v>
      </c>
      <c r="B1821">
        <v>22.5</v>
      </c>
    </row>
    <row r="1822" spans="1:2" x14ac:dyDescent="0.25">
      <c r="A1822">
        <v>12669505</v>
      </c>
      <c r="B1822">
        <v>22.5</v>
      </c>
    </row>
    <row r="1823" spans="1:2" x14ac:dyDescent="0.25">
      <c r="A1823">
        <v>12669506</v>
      </c>
      <c r="B1823">
        <v>22.5</v>
      </c>
    </row>
    <row r="1824" spans="1:2" x14ac:dyDescent="0.25">
      <c r="A1824">
        <v>12669507</v>
      </c>
      <c r="B1824">
        <v>22.5</v>
      </c>
    </row>
    <row r="1825" spans="1:2" x14ac:dyDescent="0.25">
      <c r="A1825">
        <v>12669508</v>
      </c>
      <c r="B1825">
        <v>22.5</v>
      </c>
    </row>
    <row r="1826" spans="1:2" x14ac:dyDescent="0.25">
      <c r="A1826">
        <v>12669509</v>
      </c>
      <c r="B1826">
        <v>22.5</v>
      </c>
    </row>
    <row r="1827" spans="1:2" x14ac:dyDescent="0.25">
      <c r="A1827">
        <v>12669510</v>
      </c>
      <c r="B1827">
        <v>22.5</v>
      </c>
    </row>
    <row r="1828" spans="1:2" x14ac:dyDescent="0.25">
      <c r="A1828">
        <v>12669511</v>
      </c>
      <c r="B1828">
        <v>17.62</v>
      </c>
    </row>
    <row r="1829" spans="1:2" x14ac:dyDescent="0.25">
      <c r="A1829">
        <v>12669512</v>
      </c>
      <c r="B1829">
        <v>17.62</v>
      </c>
    </row>
    <row r="1830" spans="1:2" x14ac:dyDescent="0.25">
      <c r="A1830">
        <v>12670701</v>
      </c>
      <c r="B1830">
        <v>20.43</v>
      </c>
    </row>
    <row r="1831" spans="1:2" x14ac:dyDescent="0.25">
      <c r="A1831">
        <v>12670702</v>
      </c>
      <c r="B1831">
        <v>16</v>
      </c>
    </row>
    <row r="1832" spans="1:2" x14ac:dyDescent="0.25">
      <c r="A1832">
        <v>12675501</v>
      </c>
      <c r="B1832">
        <v>14.4</v>
      </c>
    </row>
    <row r="1833" spans="1:2" x14ac:dyDescent="0.25">
      <c r="A1833">
        <v>12675502</v>
      </c>
      <c r="B1833">
        <v>14.4</v>
      </c>
    </row>
    <row r="1834" spans="1:2" x14ac:dyDescent="0.25">
      <c r="A1834">
        <v>12675503</v>
      </c>
      <c r="B1834">
        <v>14.4</v>
      </c>
    </row>
    <row r="1835" spans="1:2" x14ac:dyDescent="0.25">
      <c r="A1835">
        <v>12675504</v>
      </c>
      <c r="B1835">
        <v>14.4</v>
      </c>
    </row>
    <row r="1836" spans="1:2" x14ac:dyDescent="0.25">
      <c r="A1836">
        <v>12679201</v>
      </c>
      <c r="B1836">
        <v>20.43</v>
      </c>
    </row>
    <row r="1837" spans="1:2" x14ac:dyDescent="0.25">
      <c r="A1837">
        <v>12679202</v>
      </c>
      <c r="B1837">
        <v>20.43</v>
      </c>
    </row>
    <row r="1838" spans="1:2" x14ac:dyDescent="0.25">
      <c r="A1838">
        <v>12679203</v>
      </c>
      <c r="B1838">
        <v>20.43</v>
      </c>
    </row>
    <row r="1839" spans="1:2" x14ac:dyDescent="0.25">
      <c r="A1839">
        <v>12679204</v>
      </c>
      <c r="B1839">
        <v>16</v>
      </c>
    </row>
    <row r="1840" spans="1:2" x14ac:dyDescent="0.25">
      <c r="A1840">
        <v>12680801</v>
      </c>
      <c r="B1840">
        <v>18.36</v>
      </c>
    </row>
    <row r="1841" spans="1:2" x14ac:dyDescent="0.25">
      <c r="A1841">
        <v>12680802</v>
      </c>
      <c r="B1841">
        <v>14.38</v>
      </c>
    </row>
    <row r="1842" spans="1:2" x14ac:dyDescent="0.25">
      <c r="A1842">
        <v>12689301</v>
      </c>
      <c r="B1842">
        <v>9.16</v>
      </c>
    </row>
    <row r="1843" spans="1:2" x14ac:dyDescent="0.25">
      <c r="A1843">
        <v>12689401</v>
      </c>
      <c r="B1843">
        <v>9.16</v>
      </c>
    </row>
    <row r="1844" spans="1:2" x14ac:dyDescent="0.25">
      <c r="A1844">
        <v>12689501</v>
      </c>
      <c r="B1844">
        <v>9.16</v>
      </c>
    </row>
    <row r="1845" spans="1:2" x14ac:dyDescent="0.25">
      <c r="A1845">
        <v>14530201</v>
      </c>
      <c r="B1845">
        <v>18.36</v>
      </c>
    </row>
    <row r="1846" spans="1:2" x14ac:dyDescent="0.25">
      <c r="A1846">
        <v>14530202</v>
      </c>
      <c r="B1846">
        <v>18.36</v>
      </c>
    </row>
    <row r="1847" spans="1:2" x14ac:dyDescent="0.25">
      <c r="A1847">
        <v>14530203</v>
      </c>
      <c r="B1847">
        <v>18.36</v>
      </c>
    </row>
    <row r="1848" spans="1:2" x14ac:dyDescent="0.25">
      <c r="A1848">
        <v>14530204</v>
      </c>
      <c r="B1848">
        <v>18.36</v>
      </c>
    </row>
    <row r="1849" spans="1:2" x14ac:dyDescent="0.25">
      <c r="A1849">
        <v>14530205</v>
      </c>
      <c r="B1849">
        <v>18.36</v>
      </c>
    </row>
    <row r="1850" spans="1:2" x14ac:dyDescent="0.25">
      <c r="A1850">
        <v>14530206</v>
      </c>
      <c r="B1850">
        <v>18.36</v>
      </c>
    </row>
    <row r="1851" spans="1:2" x14ac:dyDescent="0.25">
      <c r="A1851">
        <v>15205501</v>
      </c>
      <c r="B1851">
        <v>22.5</v>
      </c>
    </row>
    <row r="1852" spans="1:2" x14ac:dyDescent="0.25">
      <c r="A1852">
        <v>15205502</v>
      </c>
      <c r="B1852">
        <v>22.5</v>
      </c>
    </row>
    <row r="1853" spans="1:2" x14ac:dyDescent="0.25">
      <c r="A1853">
        <v>15205503</v>
      </c>
      <c r="B1853">
        <v>22.5</v>
      </c>
    </row>
    <row r="1854" spans="1:2" x14ac:dyDescent="0.25">
      <c r="A1854">
        <v>17483901</v>
      </c>
      <c r="B1854">
        <v>36.81</v>
      </c>
    </row>
    <row r="1855" spans="1:2" x14ac:dyDescent="0.25">
      <c r="A1855">
        <v>17483902</v>
      </c>
      <c r="B1855">
        <v>36.81</v>
      </c>
    </row>
    <row r="1856" spans="1:2" x14ac:dyDescent="0.25">
      <c r="A1856">
        <v>17483903</v>
      </c>
      <c r="B1856">
        <v>36.81</v>
      </c>
    </row>
    <row r="1857" spans="1:2" x14ac:dyDescent="0.25">
      <c r="A1857">
        <v>17804001</v>
      </c>
      <c r="B1857">
        <v>28.62</v>
      </c>
    </row>
    <row r="1858" spans="1:2" x14ac:dyDescent="0.25">
      <c r="A1858">
        <v>17804002</v>
      </c>
      <c r="B1858">
        <v>28.62</v>
      </c>
    </row>
    <row r="1859" spans="1:2" x14ac:dyDescent="0.25">
      <c r="A1859">
        <v>17804003</v>
      </c>
      <c r="B1859">
        <v>28.62</v>
      </c>
    </row>
    <row r="1860" spans="1:2" x14ac:dyDescent="0.25">
      <c r="A1860">
        <v>17804004</v>
      </c>
      <c r="B1860">
        <v>28.62</v>
      </c>
    </row>
    <row r="1861" spans="1:2" x14ac:dyDescent="0.25">
      <c r="A1861">
        <v>17804005</v>
      </c>
      <c r="B1861">
        <v>28.62</v>
      </c>
    </row>
    <row r="1862" spans="1:2" x14ac:dyDescent="0.25">
      <c r="A1862">
        <v>18170001</v>
      </c>
      <c r="B1862">
        <v>40.86</v>
      </c>
    </row>
    <row r="1863" spans="1:2" x14ac:dyDescent="0.25">
      <c r="A1863">
        <v>64180101</v>
      </c>
      <c r="B1863">
        <v>31.8</v>
      </c>
    </row>
    <row r="1864" spans="1:2" x14ac:dyDescent="0.25">
      <c r="A1864">
        <v>66069701</v>
      </c>
      <c r="B1864">
        <v>40.86</v>
      </c>
    </row>
    <row r="1865" spans="1:2" x14ac:dyDescent="0.25">
      <c r="A1865">
        <v>66341201</v>
      </c>
      <c r="B1865">
        <v>38.619999999999997</v>
      </c>
    </row>
    <row r="1866" spans="1:2" x14ac:dyDescent="0.25">
      <c r="A1866">
        <v>66341301</v>
      </c>
      <c r="B1866">
        <v>38.619999999999997</v>
      </c>
    </row>
    <row r="1867" spans="1:2" x14ac:dyDescent="0.25">
      <c r="A1867">
        <v>12651901</v>
      </c>
      <c r="B1867">
        <v>44.39</v>
      </c>
    </row>
    <row r="1868" spans="1:2" x14ac:dyDescent="0.25">
      <c r="A1868">
        <v>12651902</v>
      </c>
      <c r="B1868">
        <v>73.260000000000005</v>
      </c>
    </row>
    <row r="1869" spans="1:2" x14ac:dyDescent="0.25">
      <c r="A1869">
        <v>12651903</v>
      </c>
      <c r="B1869">
        <v>48.69</v>
      </c>
    </row>
    <row r="1870" spans="1:2" x14ac:dyDescent="0.25">
      <c r="A1870">
        <v>12651904</v>
      </c>
      <c r="B1870">
        <v>73.260000000000005</v>
      </c>
    </row>
    <row r="1871" spans="1:2" x14ac:dyDescent="0.25">
      <c r="A1871">
        <v>12652001</v>
      </c>
      <c r="B1871">
        <v>27.21</v>
      </c>
    </row>
    <row r="1872" spans="1:2" x14ac:dyDescent="0.25">
      <c r="A1872">
        <v>12657001</v>
      </c>
      <c r="B1872">
        <v>35.24</v>
      </c>
    </row>
    <row r="1873" spans="1:2" x14ac:dyDescent="0.25">
      <c r="A1873">
        <v>12657101</v>
      </c>
      <c r="B1873">
        <v>34.47</v>
      </c>
    </row>
    <row r="1874" spans="1:2" x14ac:dyDescent="0.25">
      <c r="A1874">
        <v>12662101</v>
      </c>
      <c r="B1874">
        <v>35.24</v>
      </c>
    </row>
    <row r="1875" spans="1:2" x14ac:dyDescent="0.25">
      <c r="A1875">
        <v>12663201</v>
      </c>
      <c r="B1875">
        <v>48.07</v>
      </c>
    </row>
    <row r="1876" spans="1:2" x14ac:dyDescent="0.25">
      <c r="A1876">
        <v>12663601</v>
      </c>
      <c r="B1876">
        <v>38.880000000000003</v>
      </c>
    </row>
    <row r="1877" spans="1:2" x14ac:dyDescent="0.25">
      <c r="A1877">
        <v>12663602</v>
      </c>
      <c r="B1877">
        <v>38.880000000000003</v>
      </c>
    </row>
    <row r="1878" spans="1:2" x14ac:dyDescent="0.25">
      <c r="A1878">
        <v>12663603</v>
      </c>
      <c r="B1878">
        <v>38.880000000000003</v>
      </c>
    </row>
    <row r="1879" spans="1:2" x14ac:dyDescent="0.25">
      <c r="A1879">
        <v>12663604</v>
      </c>
      <c r="B1879">
        <v>38.880000000000003</v>
      </c>
    </row>
    <row r="1880" spans="1:2" x14ac:dyDescent="0.25">
      <c r="A1880">
        <v>12663605</v>
      </c>
      <c r="B1880">
        <v>38.880000000000003</v>
      </c>
    </row>
    <row r="1881" spans="1:2" x14ac:dyDescent="0.25">
      <c r="A1881">
        <v>12663606</v>
      </c>
      <c r="B1881">
        <v>38.880000000000003</v>
      </c>
    </row>
    <row r="1882" spans="1:2" x14ac:dyDescent="0.25">
      <c r="A1882">
        <v>12663607</v>
      </c>
      <c r="B1882">
        <v>30.45</v>
      </c>
    </row>
    <row r="1883" spans="1:2" x14ac:dyDescent="0.25">
      <c r="A1883">
        <v>12666301</v>
      </c>
      <c r="B1883">
        <v>47.07</v>
      </c>
    </row>
    <row r="1884" spans="1:2" x14ac:dyDescent="0.25">
      <c r="A1884">
        <v>12666302</v>
      </c>
      <c r="B1884">
        <v>47.07</v>
      </c>
    </row>
    <row r="1885" spans="1:2" x14ac:dyDescent="0.25">
      <c r="A1885">
        <v>12666303</v>
      </c>
      <c r="B1885">
        <v>47.07</v>
      </c>
    </row>
    <row r="1886" spans="1:2" x14ac:dyDescent="0.25">
      <c r="A1886">
        <v>12666304</v>
      </c>
      <c r="B1886">
        <v>47.07</v>
      </c>
    </row>
    <row r="1887" spans="1:2" x14ac:dyDescent="0.25">
      <c r="A1887">
        <v>12666305</v>
      </c>
      <c r="B1887">
        <v>47.07</v>
      </c>
    </row>
    <row r="1888" spans="1:2" x14ac:dyDescent="0.25">
      <c r="A1888">
        <v>12666306</v>
      </c>
      <c r="B1888">
        <v>47.07</v>
      </c>
    </row>
    <row r="1889" spans="1:2" x14ac:dyDescent="0.25">
      <c r="A1889">
        <v>12666307</v>
      </c>
      <c r="B1889">
        <v>36.869999999999997</v>
      </c>
    </row>
    <row r="1890" spans="1:2" x14ac:dyDescent="0.25">
      <c r="A1890">
        <v>12668201</v>
      </c>
      <c r="B1890">
        <v>28.62</v>
      </c>
    </row>
    <row r="1891" spans="1:2" x14ac:dyDescent="0.25">
      <c r="A1891">
        <v>12668202</v>
      </c>
      <c r="B1891">
        <v>22.42</v>
      </c>
    </row>
    <row r="1892" spans="1:2" x14ac:dyDescent="0.25">
      <c r="A1892">
        <v>12668301</v>
      </c>
      <c r="B1892">
        <v>36</v>
      </c>
    </row>
    <row r="1893" spans="1:2" x14ac:dyDescent="0.25">
      <c r="A1893">
        <v>12668302</v>
      </c>
      <c r="B1893">
        <v>28.2</v>
      </c>
    </row>
    <row r="1894" spans="1:2" x14ac:dyDescent="0.25">
      <c r="A1894">
        <v>12672101</v>
      </c>
      <c r="B1894">
        <v>49.05</v>
      </c>
    </row>
    <row r="1895" spans="1:2" x14ac:dyDescent="0.25">
      <c r="A1895">
        <v>12672102</v>
      </c>
      <c r="B1895">
        <v>38.42</v>
      </c>
    </row>
    <row r="1896" spans="1:2" x14ac:dyDescent="0.25">
      <c r="A1896">
        <v>12674201</v>
      </c>
      <c r="B1896">
        <v>40.86</v>
      </c>
    </row>
    <row r="1897" spans="1:2" x14ac:dyDescent="0.25">
      <c r="A1897">
        <v>12674202</v>
      </c>
      <c r="B1897">
        <v>32</v>
      </c>
    </row>
    <row r="1898" spans="1:2" x14ac:dyDescent="0.25">
      <c r="A1898">
        <v>12684001</v>
      </c>
      <c r="B1898">
        <v>27.77</v>
      </c>
    </row>
    <row r="1899" spans="1:2" x14ac:dyDescent="0.25">
      <c r="A1899">
        <v>12684201</v>
      </c>
      <c r="B1899">
        <v>51.12</v>
      </c>
    </row>
    <row r="1900" spans="1:2" x14ac:dyDescent="0.25">
      <c r="A1900">
        <v>12684202</v>
      </c>
      <c r="B1900">
        <v>40.04</v>
      </c>
    </row>
    <row r="1901" spans="1:2" x14ac:dyDescent="0.25">
      <c r="A1901">
        <v>12684301</v>
      </c>
      <c r="B1901">
        <v>63.45</v>
      </c>
    </row>
    <row r="1902" spans="1:2" x14ac:dyDescent="0.25">
      <c r="A1902">
        <v>12684302</v>
      </c>
      <c r="B1902">
        <v>49.69</v>
      </c>
    </row>
    <row r="1903" spans="1:2" x14ac:dyDescent="0.25">
      <c r="A1903">
        <v>12685101</v>
      </c>
      <c r="B1903">
        <v>27.77</v>
      </c>
    </row>
    <row r="1904" spans="1:2" x14ac:dyDescent="0.25">
      <c r="A1904">
        <v>12685801</v>
      </c>
      <c r="B1904">
        <v>27.77</v>
      </c>
    </row>
    <row r="1905" spans="1:2" x14ac:dyDescent="0.25">
      <c r="A1905">
        <v>12685901</v>
      </c>
      <c r="B1905">
        <v>27.77</v>
      </c>
    </row>
    <row r="1906" spans="1:2" x14ac:dyDescent="0.25">
      <c r="A1906">
        <v>14540601</v>
      </c>
      <c r="B1906">
        <v>49.05</v>
      </c>
    </row>
    <row r="1907" spans="1:2" x14ac:dyDescent="0.25">
      <c r="A1907">
        <v>14540602</v>
      </c>
      <c r="B1907">
        <v>38.42</v>
      </c>
    </row>
    <row r="1908" spans="1:2" x14ac:dyDescent="0.25">
      <c r="A1908">
        <v>14541001</v>
      </c>
      <c r="B1908">
        <v>61.38</v>
      </c>
    </row>
    <row r="1909" spans="1:2" x14ac:dyDescent="0.25">
      <c r="A1909">
        <v>14541002</v>
      </c>
      <c r="B1909">
        <v>48.07</v>
      </c>
    </row>
    <row r="1910" spans="1:2" x14ac:dyDescent="0.25">
      <c r="A1910">
        <v>14720701</v>
      </c>
      <c r="B1910">
        <v>52.74</v>
      </c>
    </row>
    <row r="1911" spans="1:2" x14ac:dyDescent="0.25">
      <c r="A1911">
        <v>14720702</v>
      </c>
      <c r="B1911">
        <v>41.31</v>
      </c>
    </row>
    <row r="1912" spans="1:2" x14ac:dyDescent="0.25">
      <c r="A1912">
        <v>17384101</v>
      </c>
      <c r="B1912">
        <v>60.93</v>
      </c>
    </row>
    <row r="1913" spans="1:2" x14ac:dyDescent="0.25">
      <c r="A1913">
        <v>17384102</v>
      </c>
      <c r="B1913">
        <v>60.93</v>
      </c>
    </row>
    <row r="1914" spans="1:2" x14ac:dyDescent="0.25">
      <c r="A1914">
        <v>17483801</v>
      </c>
      <c r="B1914">
        <v>73.260000000000005</v>
      </c>
    </row>
    <row r="1915" spans="1:2" x14ac:dyDescent="0.25">
      <c r="A1915">
        <v>17483802</v>
      </c>
      <c r="B1915">
        <v>73.260000000000005</v>
      </c>
    </row>
    <row r="1916" spans="1:2" x14ac:dyDescent="0.25">
      <c r="A1916">
        <v>17483803</v>
      </c>
      <c r="B1916">
        <v>73.260000000000005</v>
      </c>
    </row>
    <row r="1917" spans="1:2" x14ac:dyDescent="0.25">
      <c r="A1917">
        <v>17526901</v>
      </c>
      <c r="B1917">
        <v>110.43</v>
      </c>
    </row>
    <row r="1918" spans="1:2" x14ac:dyDescent="0.25">
      <c r="A1918">
        <v>17803401</v>
      </c>
      <c r="B1918">
        <v>105.93</v>
      </c>
    </row>
    <row r="1919" spans="1:2" x14ac:dyDescent="0.25">
      <c r="A1919">
        <v>17803501</v>
      </c>
      <c r="B1919">
        <v>73.260000000000005</v>
      </c>
    </row>
    <row r="1920" spans="1:2" x14ac:dyDescent="0.25">
      <c r="A1920">
        <v>18171601</v>
      </c>
      <c r="B1920">
        <v>48.69</v>
      </c>
    </row>
    <row r="1921" spans="1:2" x14ac:dyDescent="0.25">
      <c r="A1921">
        <v>18171602</v>
      </c>
      <c r="B1921">
        <v>48.69</v>
      </c>
    </row>
    <row r="1922" spans="1:2" x14ac:dyDescent="0.25">
      <c r="A1922">
        <v>18171603</v>
      </c>
      <c r="B1922">
        <v>48.69</v>
      </c>
    </row>
    <row r="1923" spans="1:2" x14ac:dyDescent="0.25">
      <c r="A1923">
        <v>18171604</v>
      </c>
      <c r="B1923">
        <v>48.69</v>
      </c>
    </row>
    <row r="1924" spans="1:2" x14ac:dyDescent="0.25">
      <c r="A1924">
        <v>18465701</v>
      </c>
      <c r="B1924">
        <v>93.69</v>
      </c>
    </row>
    <row r="1925" spans="1:2" x14ac:dyDescent="0.25">
      <c r="A1925">
        <v>18465702</v>
      </c>
      <c r="B1925">
        <v>73.38</v>
      </c>
    </row>
    <row r="1926" spans="1:2" x14ac:dyDescent="0.25">
      <c r="A1926">
        <v>19433001</v>
      </c>
      <c r="B1926">
        <v>154.16</v>
      </c>
    </row>
    <row r="1927" spans="1:2" x14ac:dyDescent="0.25">
      <c r="A1927">
        <v>12663101</v>
      </c>
      <c r="B1927">
        <v>59.28</v>
      </c>
    </row>
    <row r="1928" spans="1:2" x14ac:dyDescent="0.25">
      <c r="A1928">
        <v>12669301</v>
      </c>
      <c r="B1928">
        <v>65.430000000000007</v>
      </c>
    </row>
    <row r="1929" spans="1:2" x14ac:dyDescent="0.25">
      <c r="A1929">
        <v>12669302</v>
      </c>
      <c r="B1929">
        <v>65.430000000000007</v>
      </c>
    </row>
    <row r="1930" spans="1:2" x14ac:dyDescent="0.25">
      <c r="A1930">
        <v>12669303</v>
      </c>
      <c r="B1930">
        <v>65.430000000000007</v>
      </c>
    </row>
    <row r="1931" spans="1:2" x14ac:dyDescent="0.25">
      <c r="A1931">
        <v>12669304</v>
      </c>
      <c r="B1931">
        <v>65.430000000000007</v>
      </c>
    </row>
    <row r="1932" spans="1:2" x14ac:dyDescent="0.25">
      <c r="A1932">
        <v>12669305</v>
      </c>
      <c r="B1932">
        <v>65.430000000000007</v>
      </c>
    </row>
    <row r="1933" spans="1:2" x14ac:dyDescent="0.25">
      <c r="A1933">
        <v>12669306</v>
      </c>
      <c r="B1933">
        <v>89.55</v>
      </c>
    </row>
    <row r="1934" spans="1:2" x14ac:dyDescent="0.25">
      <c r="A1934">
        <v>12669307</v>
      </c>
      <c r="B1934">
        <v>51.24</v>
      </c>
    </row>
    <row r="1935" spans="1:2" x14ac:dyDescent="0.25">
      <c r="A1935">
        <v>12670601</v>
      </c>
      <c r="B1935">
        <v>40.85</v>
      </c>
    </row>
    <row r="1936" spans="1:2" x14ac:dyDescent="0.25">
      <c r="A1936">
        <v>12670602</v>
      </c>
      <c r="B1936">
        <v>31.99</v>
      </c>
    </row>
    <row r="1937" spans="1:2" x14ac:dyDescent="0.25">
      <c r="A1937">
        <v>12681601</v>
      </c>
      <c r="B1937">
        <v>40.950000000000003</v>
      </c>
    </row>
    <row r="1938" spans="1:2" x14ac:dyDescent="0.25">
      <c r="A1938">
        <v>12681602</v>
      </c>
      <c r="B1938">
        <v>40.950000000000003</v>
      </c>
    </row>
    <row r="1939" spans="1:2" x14ac:dyDescent="0.25">
      <c r="A1939">
        <v>12681603</v>
      </c>
      <c r="B1939">
        <v>40.950000000000003</v>
      </c>
    </row>
    <row r="1940" spans="1:2" x14ac:dyDescent="0.25">
      <c r="A1940">
        <v>12681801</v>
      </c>
      <c r="B1940">
        <v>53.18</v>
      </c>
    </row>
    <row r="1941" spans="1:2" x14ac:dyDescent="0.25">
      <c r="A1941">
        <v>12681802</v>
      </c>
      <c r="B1941">
        <v>53.18</v>
      </c>
    </row>
    <row r="1942" spans="1:2" x14ac:dyDescent="0.25">
      <c r="A1942">
        <v>12681803</v>
      </c>
      <c r="B1942">
        <v>53.18</v>
      </c>
    </row>
    <row r="1943" spans="1:2" x14ac:dyDescent="0.25">
      <c r="A1943">
        <v>12681901</v>
      </c>
      <c r="B1943">
        <v>68.87</v>
      </c>
    </row>
    <row r="1944" spans="1:2" x14ac:dyDescent="0.25">
      <c r="A1944">
        <v>14528901</v>
      </c>
      <c r="B1944">
        <v>89.55</v>
      </c>
    </row>
    <row r="1945" spans="1:2" x14ac:dyDescent="0.25">
      <c r="A1945">
        <v>14528902</v>
      </c>
      <c r="B1945">
        <v>67.5</v>
      </c>
    </row>
    <row r="1946" spans="1:2" x14ac:dyDescent="0.25">
      <c r="A1946">
        <v>14528903</v>
      </c>
      <c r="B1946">
        <v>67.5</v>
      </c>
    </row>
    <row r="1947" spans="1:2" x14ac:dyDescent="0.25">
      <c r="A1947">
        <v>14528904</v>
      </c>
      <c r="B1947">
        <v>67.5</v>
      </c>
    </row>
    <row r="1948" spans="1:2" x14ac:dyDescent="0.25">
      <c r="A1948">
        <v>14528905</v>
      </c>
      <c r="B1948">
        <v>67.5</v>
      </c>
    </row>
    <row r="1949" spans="1:2" x14ac:dyDescent="0.25">
      <c r="A1949">
        <v>14528906</v>
      </c>
      <c r="B1949">
        <v>67.5</v>
      </c>
    </row>
    <row r="1950" spans="1:2" x14ac:dyDescent="0.25">
      <c r="A1950">
        <v>14528907</v>
      </c>
      <c r="B1950">
        <v>77.67</v>
      </c>
    </row>
    <row r="1951" spans="1:2" x14ac:dyDescent="0.25">
      <c r="A1951">
        <v>14528908</v>
      </c>
      <c r="B1951">
        <v>89.55</v>
      </c>
    </row>
    <row r="1952" spans="1:2" x14ac:dyDescent="0.25">
      <c r="A1952">
        <v>14528909</v>
      </c>
      <c r="B1952">
        <v>105.93</v>
      </c>
    </row>
    <row r="1953" spans="1:2" x14ac:dyDescent="0.25">
      <c r="A1953">
        <v>14528910</v>
      </c>
      <c r="B1953">
        <v>77.67</v>
      </c>
    </row>
    <row r="1954" spans="1:2" x14ac:dyDescent="0.25">
      <c r="A1954">
        <v>14528911</v>
      </c>
      <c r="B1954">
        <v>105.93</v>
      </c>
    </row>
    <row r="1955" spans="1:2" x14ac:dyDescent="0.25">
      <c r="A1955">
        <v>14528912</v>
      </c>
      <c r="B1955">
        <v>89.55</v>
      </c>
    </row>
    <row r="1956" spans="1:2" x14ac:dyDescent="0.25">
      <c r="A1956">
        <v>14528913</v>
      </c>
      <c r="B1956">
        <v>70.14</v>
      </c>
    </row>
    <row r="1957" spans="1:2" x14ac:dyDescent="0.25">
      <c r="A1957">
        <v>14530501</v>
      </c>
      <c r="B1957">
        <v>69.569999999999993</v>
      </c>
    </row>
    <row r="1958" spans="1:2" x14ac:dyDescent="0.25">
      <c r="A1958">
        <v>14530502</v>
      </c>
      <c r="B1958">
        <v>69.569999999999993</v>
      </c>
    </row>
    <row r="1959" spans="1:2" x14ac:dyDescent="0.25">
      <c r="A1959">
        <v>14530503</v>
      </c>
      <c r="B1959">
        <v>69.569999999999993</v>
      </c>
    </row>
    <row r="1960" spans="1:2" x14ac:dyDescent="0.25">
      <c r="A1960">
        <v>14530504</v>
      </c>
      <c r="B1960">
        <v>69.569999999999993</v>
      </c>
    </row>
    <row r="1961" spans="1:2" x14ac:dyDescent="0.25">
      <c r="A1961">
        <v>14530505</v>
      </c>
      <c r="B1961">
        <v>69.569999999999993</v>
      </c>
    </row>
    <row r="1962" spans="1:2" x14ac:dyDescent="0.25">
      <c r="A1962">
        <v>14530506</v>
      </c>
      <c r="B1962">
        <v>69.569999999999993</v>
      </c>
    </row>
    <row r="1963" spans="1:2" x14ac:dyDescent="0.25">
      <c r="A1963">
        <v>14530507</v>
      </c>
      <c r="B1963">
        <v>69.569999999999993</v>
      </c>
    </row>
    <row r="1964" spans="1:2" x14ac:dyDescent="0.25">
      <c r="A1964">
        <v>14530508</v>
      </c>
      <c r="B1964">
        <v>69.569999999999993</v>
      </c>
    </row>
    <row r="1965" spans="1:2" x14ac:dyDescent="0.25">
      <c r="A1965">
        <v>14530509</v>
      </c>
      <c r="B1965">
        <v>54.49</v>
      </c>
    </row>
    <row r="1966" spans="1:2" x14ac:dyDescent="0.25">
      <c r="A1966">
        <v>14531101</v>
      </c>
      <c r="B1966">
        <v>102.24</v>
      </c>
    </row>
    <row r="1967" spans="1:2" x14ac:dyDescent="0.25">
      <c r="A1967">
        <v>14531102</v>
      </c>
      <c r="B1967">
        <v>80.069999999999993</v>
      </c>
    </row>
    <row r="1968" spans="1:2" x14ac:dyDescent="0.25">
      <c r="A1968">
        <v>14532301</v>
      </c>
      <c r="B1968">
        <v>48.07</v>
      </c>
    </row>
    <row r="1969" spans="1:2" x14ac:dyDescent="0.25">
      <c r="A1969">
        <v>14532401</v>
      </c>
      <c r="B1969">
        <v>48.07</v>
      </c>
    </row>
    <row r="1970" spans="1:2" x14ac:dyDescent="0.25">
      <c r="A1970">
        <v>14720801</v>
      </c>
      <c r="B1970">
        <v>118.62</v>
      </c>
    </row>
    <row r="1971" spans="1:2" x14ac:dyDescent="0.25">
      <c r="A1971">
        <v>14720802</v>
      </c>
      <c r="B1971">
        <v>92.9</v>
      </c>
    </row>
    <row r="1972" spans="1:2" x14ac:dyDescent="0.25">
      <c r="A1972">
        <v>15205201</v>
      </c>
      <c r="B1972">
        <v>77.67</v>
      </c>
    </row>
    <row r="1973" spans="1:2" x14ac:dyDescent="0.25">
      <c r="A1973">
        <v>15205202</v>
      </c>
      <c r="B1973">
        <v>77.67</v>
      </c>
    </row>
    <row r="1974" spans="1:2" x14ac:dyDescent="0.25">
      <c r="A1974">
        <v>15205203</v>
      </c>
      <c r="B1974">
        <v>77.67</v>
      </c>
    </row>
    <row r="1975" spans="1:2" x14ac:dyDescent="0.25">
      <c r="A1975">
        <v>15205204</v>
      </c>
      <c r="B1975">
        <v>77.67</v>
      </c>
    </row>
    <row r="1976" spans="1:2" x14ac:dyDescent="0.25">
      <c r="A1976">
        <v>15205205</v>
      </c>
      <c r="B1976">
        <v>77.67</v>
      </c>
    </row>
    <row r="1977" spans="1:2" x14ac:dyDescent="0.25">
      <c r="A1977">
        <v>15205301</v>
      </c>
      <c r="B1977">
        <v>69.569999999999993</v>
      </c>
    </row>
    <row r="1978" spans="1:2" x14ac:dyDescent="0.25">
      <c r="A1978">
        <v>15205302</v>
      </c>
      <c r="B1978">
        <v>69.569999999999993</v>
      </c>
    </row>
    <row r="1979" spans="1:2" x14ac:dyDescent="0.25">
      <c r="A1979">
        <v>15205303</v>
      </c>
      <c r="B1979">
        <v>69.569999999999993</v>
      </c>
    </row>
    <row r="1980" spans="1:2" x14ac:dyDescent="0.25">
      <c r="A1980">
        <v>15206201</v>
      </c>
      <c r="B1980">
        <v>122.76</v>
      </c>
    </row>
    <row r="1981" spans="1:2" x14ac:dyDescent="0.25">
      <c r="A1981">
        <v>15206401</v>
      </c>
      <c r="B1981">
        <v>73.62</v>
      </c>
    </row>
    <row r="1982" spans="1:2" x14ac:dyDescent="0.25">
      <c r="A1982">
        <v>15206402</v>
      </c>
      <c r="B1982">
        <v>73.62</v>
      </c>
    </row>
    <row r="1983" spans="1:2" x14ac:dyDescent="0.25">
      <c r="A1983">
        <v>15208901</v>
      </c>
      <c r="B1983">
        <v>120.69</v>
      </c>
    </row>
    <row r="1984" spans="1:2" x14ac:dyDescent="0.25">
      <c r="A1984">
        <v>15208902</v>
      </c>
      <c r="B1984">
        <v>120.69</v>
      </c>
    </row>
    <row r="1985" spans="1:2" x14ac:dyDescent="0.25">
      <c r="A1985">
        <v>15209101</v>
      </c>
      <c r="B1985">
        <v>157.5</v>
      </c>
    </row>
    <row r="1986" spans="1:2" x14ac:dyDescent="0.25">
      <c r="A1986">
        <v>15209102</v>
      </c>
      <c r="B1986">
        <v>157.5</v>
      </c>
    </row>
    <row r="1987" spans="1:2" x14ac:dyDescent="0.25">
      <c r="A1987">
        <v>16160601</v>
      </c>
      <c r="B1987">
        <v>104.31</v>
      </c>
    </row>
    <row r="1988" spans="1:2" x14ac:dyDescent="0.25">
      <c r="A1988">
        <v>16160602</v>
      </c>
      <c r="B1988">
        <v>104.31</v>
      </c>
    </row>
    <row r="1989" spans="1:2" x14ac:dyDescent="0.25">
      <c r="A1989">
        <v>16160603</v>
      </c>
      <c r="B1989">
        <v>104.31</v>
      </c>
    </row>
    <row r="1990" spans="1:2" x14ac:dyDescent="0.25">
      <c r="A1990">
        <v>16160604</v>
      </c>
      <c r="B1990">
        <v>104.31</v>
      </c>
    </row>
    <row r="1991" spans="1:2" x14ac:dyDescent="0.25">
      <c r="A1991">
        <v>16251801</v>
      </c>
      <c r="B1991">
        <v>60.93</v>
      </c>
    </row>
    <row r="1992" spans="1:2" x14ac:dyDescent="0.25">
      <c r="A1992">
        <v>16252001</v>
      </c>
      <c r="B1992">
        <v>60.93</v>
      </c>
    </row>
    <row r="1993" spans="1:2" x14ac:dyDescent="0.25">
      <c r="A1993">
        <v>17339301</v>
      </c>
      <c r="B1993">
        <v>122.31</v>
      </c>
    </row>
    <row r="1994" spans="1:2" x14ac:dyDescent="0.25">
      <c r="A1994">
        <v>17339302</v>
      </c>
      <c r="B1994">
        <v>122.31</v>
      </c>
    </row>
    <row r="1995" spans="1:2" x14ac:dyDescent="0.25">
      <c r="A1995">
        <v>17339303</v>
      </c>
      <c r="B1995">
        <v>122.31</v>
      </c>
    </row>
    <row r="1996" spans="1:2" x14ac:dyDescent="0.25">
      <c r="A1996">
        <v>17339501</v>
      </c>
      <c r="B1996">
        <v>110.07</v>
      </c>
    </row>
    <row r="1997" spans="1:2" x14ac:dyDescent="0.25">
      <c r="A1997">
        <v>17339502</v>
      </c>
      <c r="B1997">
        <v>110.07</v>
      </c>
    </row>
    <row r="1998" spans="1:2" x14ac:dyDescent="0.25">
      <c r="A1998">
        <v>17339503</v>
      </c>
      <c r="B1998">
        <v>110.07</v>
      </c>
    </row>
    <row r="1999" spans="1:2" x14ac:dyDescent="0.25">
      <c r="A1999">
        <v>17339504</v>
      </c>
      <c r="B1999">
        <v>110.07</v>
      </c>
    </row>
    <row r="2000" spans="1:2" x14ac:dyDescent="0.25">
      <c r="A2000">
        <v>17384301</v>
      </c>
      <c r="B2000">
        <v>132.93</v>
      </c>
    </row>
    <row r="2001" spans="1:2" x14ac:dyDescent="0.25">
      <c r="A2001">
        <v>17384302</v>
      </c>
      <c r="B2001">
        <v>132.93</v>
      </c>
    </row>
    <row r="2002" spans="1:2" x14ac:dyDescent="0.25">
      <c r="A2002">
        <v>17803701</v>
      </c>
      <c r="B2002">
        <v>122.31</v>
      </c>
    </row>
    <row r="2003" spans="1:2" x14ac:dyDescent="0.25">
      <c r="A2003">
        <v>17803702</v>
      </c>
      <c r="B2003">
        <v>122.31</v>
      </c>
    </row>
    <row r="2004" spans="1:2" x14ac:dyDescent="0.25">
      <c r="A2004">
        <v>17803703</v>
      </c>
      <c r="B2004">
        <v>143.19</v>
      </c>
    </row>
    <row r="2005" spans="1:2" x14ac:dyDescent="0.25">
      <c r="A2005">
        <v>17803704</v>
      </c>
      <c r="B2005">
        <v>122.31</v>
      </c>
    </row>
    <row r="2006" spans="1:2" x14ac:dyDescent="0.25">
      <c r="A2006">
        <v>18171701</v>
      </c>
      <c r="B2006">
        <v>143.19</v>
      </c>
    </row>
    <row r="2007" spans="1:2" x14ac:dyDescent="0.25">
      <c r="A2007">
        <v>18171702</v>
      </c>
      <c r="B2007">
        <v>143.19</v>
      </c>
    </row>
    <row r="2008" spans="1:2" x14ac:dyDescent="0.25">
      <c r="A2008">
        <v>64176501</v>
      </c>
      <c r="B2008">
        <v>135.9</v>
      </c>
    </row>
    <row r="2009" spans="1:2" x14ac:dyDescent="0.25">
      <c r="A2009">
        <v>64176502</v>
      </c>
      <c r="B2009">
        <v>135.9</v>
      </c>
    </row>
    <row r="2010" spans="1:2" x14ac:dyDescent="0.25">
      <c r="A2010">
        <v>64179701</v>
      </c>
      <c r="B2010">
        <v>99.5</v>
      </c>
    </row>
    <row r="2011" spans="1:2" x14ac:dyDescent="0.25">
      <c r="A2011">
        <v>64179702</v>
      </c>
      <c r="B2011">
        <v>99.5</v>
      </c>
    </row>
    <row r="2012" spans="1:2" x14ac:dyDescent="0.25">
      <c r="A2012">
        <v>64180301</v>
      </c>
      <c r="B2012">
        <v>81.400000000000006</v>
      </c>
    </row>
    <row r="2013" spans="1:2" x14ac:dyDescent="0.25">
      <c r="A2013">
        <v>64180302</v>
      </c>
      <c r="B2013">
        <v>63.75</v>
      </c>
    </row>
    <row r="2014" spans="1:2" x14ac:dyDescent="0.25">
      <c r="A2014">
        <v>66143501</v>
      </c>
      <c r="B2014">
        <v>122.31</v>
      </c>
    </row>
    <row r="2015" spans="1:2" x14ac:dyDescent="0.25">
      <c r="A2015">
        <v>66143601</v>
      </c>
      <c r="B2015">
        <v>122.31</v>
      </c>
    </row>
    <row r="2016" spans="1:2" x14ac:dyDescent="0.25">
      <c r="A2016">
        <v>12663901</v>
      </c>
      <c r="B2016">
        <v>38.880000000000003</v>
      </c>
    </row>
    <row r="2017" spans="1:2" x14ac:dyDescent="0.25">
      <c r="A2017">
        <v>12663902</v>
      </c>
      <c r="B2017">
        <v>30.45</v>
      </c>
    </row>
    <row r="2018" spans="1:2" x14ac:dyDescent="0.25">
      <c r="A2018">
        <v>12670901</v>
      </c>
      <c r="B2018">
        <v>34.74</v>
      </c>
    </row>
    <row r="2019" spans="1:2" x14ac:dyDescent="0.25">
      <c r="A2019">
        <v>12670902</v>
      </c>
      <c r="B2019">
        <v>34.74</v>
      </c>
    </row>
    <row r="2020" spans="1:2" x14ac:dyDescent="0.25">
      <c r="A2020">
        <v>12670903</v>
      </c>
      <c r="B2020">
        <v>34.74</v>
      </c>
    </row>
    <row r="2021" spans="1:2" x14ac:dyDescent="0.25">
      <c r="A2021">
        <v>12670904</v>
      </c>
      <c r="B2021">
        <v>25.59</v>
      </c>
    </row>
    <row r="2022" spans="1:2" x14ac:dyDescent="0.25">
      <c r="A2022">
        <v>12672001</v>
      </c>
      <c r="B2022">
        <v>28.62</v>
      </c>
    </row>
    <row r="2023" spans="1:2" x14ac:dyDescent="0.25">
      <c r="A2023">
        <v>12672002</v>
      </c>
      <c r="B2023">
        <v>28.62</v>
      </c>
    </row>
    <row r="2024" spans="1:2" x14ac:dyDescent="0.25">
      <c r="A2024">
        <v>12672003</v>
      </c>
      <c r="B2024">
        <v>22.42</v>
      </c>
    </row>
    <row r="2025" spans="1:2" x14ac:dyDescent="0.25">
      <c r="A2025">
        <v>17484001</v>
      </c>
      <c r="B2025">
        <v>60.66</v>
      </c>
    </row>
    <row r="2026" spans="1:2" x14ac:dyDescent="0.25">
      <c r="A2026">
        <v>17484002</v>
      </c>
      <c r="B2026">
        <v>60.66</v>
      </c>
    </row>
    <row r="2027" spans="1:2" x14ac:dyDescent="0.25">
      <c r="A2027">
        <v>17484003</v>
      </c>
      <c r="B2027">
        <v>60.66</v>
      </c>
    </row>
    <row r="2028" spans="1:2" x14ac:dyDescent="0.25">
      <c r="A2028">
        <v>17802101</v>
      </c>
      <c r="B2028">
        <v>56.88</v>
      </c>
    </row>
    <row r="2029" spans="1:2" x14ac:dyDescent="0.25">
      <c r="A2029">
        <v>17802102</v>
      </c>
      <c r="B2029">
        <v>56.88</v>
      </c>
    </row>
    <row r="2030" spans="1:2" x14ac:dyDescent="0.25">
      <c r="A2030">
        <v>17802103</v>
      </c>
      <c r="B2030">
        <v>56.88</v>
      </c>
    </row>
    <row r="2031" spans="1:2" x14ac:dyDescent="0.25">
      <c r="A2031">
        <v>18480001</v>
      </c>
      <c r="B2031">
        <v>44.55</v>
      </c>
    </row>
    <row r="2032" spans="1:2" x14ac:dyDescent="0.25">
      <c r="A2032">
        <v>66067701</v>
      </c>
      <c r="B2032">
        <v>56.88</v>
      </c>
    </row>
    <row r="2033" spans="1:2" x14ac:dyDescent="0.25">
      <c r="A2033">
        <v>66068501</v>
      </c>
      <c r="B2033">
        <v>73.02</v>
      </c>
    </row>
    <row r="2034" spans="1:2" x14ac:dyDescent="0.25">
      <c r="A2034">
        <v>66068601</v>
      </c>
      <c r="B2034">
        <v>73.02</v>
      </c>
    </row>
    <row r="2035" spans="1:2" x14ac:dyDescent="0.25">
      <c r="A2035">
        <v>66068701</v>
      </c>
      <c r="B2035">
        <v>76.89</v>
      </c>
    </row>
    <row r="2036" spans="1:2" x14ac:dyDescent="0.25">
      <c r="A2036">
        <v>66068801</v>
      </c>
      <c r="B2036">
        <v>76.89</v>
      </c>
    </row>
    <row r="2037" spans="1:2" x14ac:dyDescent="0.25">
      <c r="A2037">
        <v>66070001</v>
      </c>
      <c r="B2037">
        <v>76.89</v>
      </c>
    </row>
    <row r="2038" spans="1:2" x14ac:dyDescent="0.25">
      <c r="A2038">
        <v>66070101</v>
      </c>
      <c r="B2038">
        <v>76.89</v>
      </c>
    </row>
    <row r="2039" spans="1:2" x14ac:dyDescent="0.25">
      <c r="A2039">
        <v>66072401</v>
      </c>
      <c r="B2039">
        <v>56.88</v>
      </c>
    </row>
    <row r="2040" spans="1:2" x14ac:dyDescent="0.25">
      <c r="A2040">
        <v>66072501</v>
      </c>
      <c r="B2040">
        <v>56.88</v>
      </c>
    </row>
    <row r="2041" spans="1:2" x14ac:dyDescent="0.25">
      <c r="A2041">
        <v>66341001</v>
      </c>
      <c r="B2041">
        <v>76.89</v>
      </c>
    </row>
    <row r="2042" spans="1:2" x14ac:dyDescent="0.25">
      <c r="A2042">
        <v>66341101</v>
      </c>
      <c r="B2042">
        <v>76.89</v>
      </c>
    </row>
    <row r="2043" spans="1:2" x14ac:dyDescent="0.25">
      <c r="A2043">
        <v>66659201</v>
      </c>
      <c r="B2043">
        <v>115.52</v>
      </c>
    </row>
    <row r="2044" spans="1:2" x14ac:dyDescent="0.25">
      <c r="A2044">
        <v>66860101</v>
      </c>
      <c r="B2044">
        <v>65.28</v>
      </c>
    </row>
    <row r="2045" spans="1:2" x14ac:dyDescent="0.25">
      <c r="A2045">
        <v>69140401</v>
      </c>
      <c r="B2045">
        <v>46.88</v>
      </c>
    </row>
    <row r="2046" spans="1:2" x14ac:dyDescent="0.25">
      <c r="A2046">
        <v>69140601</v>
      </c>
      <c r="B2046">
        <v>61.44</v>
      </c>
    </row>
    <row r="2047" spans="1:2" x14ac:dyDescent="0.25">
      <c r="A2047">
        <v>69582801</v>
      </c>
      <c r="B2047">
        <v>43.28</v>
      </c>
    </row>
    <row r="2048" spans="1:2" x14ac:dyDescent="0.25">
      <c r="A2048">
        <v>69582901</v>
      </c>
      <c r="B2048">
        <v>46.88</v>
      </c>
    </row>
    <row r="2049" spans="1:2" x14ac:dyDescent="0.25">
      <c r="A2049">
        <v>69583001</v>
      </c>
      <c r="B2049">
        <v>46.88</v>
      </c>
    </row>
    <row r="2050" spans="1:2" x14ac:dyDescent="0.25">
      <c r="A2050">
        <v>69583101</v>
      </c>
      <c r="B2050">
        <v>46.88</v>
      </c>
    </row>
    <row r="2051" spans="1:2" x14ac:dyDescent="0.25">
      <c r="A2051">
        <v>69583401</v>
      </c>
      <c r="B2051">
        <v>57.84</v>
      </c>
    </row>
    <row r="2052" spans="1:2" x14ac:dyDescent="0.25">
      <c r="A2052">
        <v>69583501</v>
      </c>
      <c r="B2052">
        <v>57.84</v>
      </c>
    </row>
    <row r="2053" spans="1:2" x14ac:dyDescent="0.25">
      <c r="A2053">
        <v>69583901</v>
      </c>
      <c r="B2053">
        <v>61.44</v>
      </c>
    </row>
    <row r="2054" spans="1:2" x14ac:dyDescent="0.25">
      <c r="A2054">
        <v>69584301</v>
      </c>
      <c r="B2054">
        <v>43.28</v>
      </c>
    </row>
    <row r="2055" spans="1:2" x14ac:dyDescent="0.25">
      <c r="A2055">
        <v>69584401</v>
      </c>
      <c r="B2055">
        <v>43.28</v>
      </c>
    </row>
    <row r="2056" spans="1:2" x14ac:dyDescent="0.25">
      <c r="A2056">
        <v>69584501</v>
      </c>
      <c r="B2056">
        <v>36</v>
      </c>
    </row>
    <row r="2057" spans="1:2" x14ac:dyDescent="0.25">
      <c r="A2057">
        <v>69584601</v>
      </c>
      <c r="B2057">
        <v>36</v>
      </c>
    </row>
    <row r="2058" spans="1:2" x14ac:dyDescent="0.25">
      <c r="A2058">
        <v>12677401</v>
      </c>
      <c r="B2058">
        <v>79.790000000000006</v>
      </c>
    </row>
    <row r="2059" spans="1:2" x14ac:dyDescent="0.25">
      <c r="A2059">
        <v>12677501</v>
      </c>
      <c r="B2059">
        <v>79.739999999999995</v>
      </c>
    </row>
    <row r="2060" spans="1:2" x14ac:dyDescent="0.25">
      <c r="A2060">
        <v>12677502</v>
      </c>
      <c r="B2060">
        <v>93.69</v>
      </c>
    </row>
    <row r="2061" spans="1:2" x14ac:dyDescent="0.25">
      <c r="A2061">
        <v>12677503</v>
      </c>
      <c r="B2061">
        <v>79.739999999999995</v>
      </c>
    </row>
    <row r="2062" spans="1:2" x14ac:dyDescent="0.25">
      <c r="A2062">
        <v>12677601</v>
      </c>
      <c r="B2062">
        <v>114.12</v>
      </c>
    </row>
    <row r="2063" spans="1:2" x14ac:dyDescent="0.25">
      <c r="A2063">
        <v>12677602</v>
      </c>
      <c r="B2063">
        <v>122.31</v>
      </c>
    </row>
    <row r="2064" spans="1:2" x14ac:dyDescent="0.25">
      <c r="A2064">
        <v>12677603</v>
      </c>
      <c r="B2064">
        <v>114.12</v>
      </c>
    </row>
    <row r="2065" spans="1:2" x14ac:dyDescent="0.25">
      <c r="A2065">
        <v>12677701</v>
      </c>
      <c r="B2065">
        <v>46.45</v>
      </c>
    </row>
    <row r="2066" spans="1:2" x14ac:dyDescent="0.25">
      <c r="A2066">
        <v>12677801</v>
      </c>
      <c r="B2066">
        <v>69.12</v>
      </c>
    </row>
    <row r="2067" spans="1:2" x14ac:dyDescent="0.25">
      <c r="A2067">
        <v>12677802</v>
      </c>
      <c r="B2067">
        <v>69.12</v>
      </c>
    </row>
    <row r="2068" spans="1:2" x14ac:dyDescent="0.25">
      <c r="A2068">
        <v>12677803</v>
      </c>
      <c r="B2068">
        <v>69.12</v>
      </c>
    </row>
    <row r="2069" spans="1:2" x14ac:dyDescent="0.25">
      <c r="A2069">
        <v>12677804</v>
      </c>
      <c r="B2069">
        <v>69.12</v>
      </c>
    </row>
    <row r="2070" spans="1:2" x14ac:dyDescent="0.25">
      <c r="A2070">
        <v>12677805</v>
      </c>
      <c r="B2070">
        <v>54.13</v>
      </c>
    </row>
    <row r="2071" spans="1:2" x14ac:dyDescent="0.25">
      <c r="A2071">
        <v>12677901</v>
      </c>
      <c r="B2071">
        <v>38.42</v>
      </c>
    </row>
    <row r="2072" spans="1:2" x14ac:dyDescent="0.25">
      <c r="A2072">
        <v>12678101</v>
      </c>
      <c r="B2072">
        <v>87.93</v>
      </c>
    </row>
    <row r="2073" spans="1:2" x14ac:dyDescent="0.25">
      <c r="A2073">
        <v>12678102</v>
      </c>
      <c r="B2073">
        <v>68.87</v>
      </c>
    </row>
    <row r="2074" spans="1:2" x14ac:dyDescent="0.25">
      <c r="A2074">
        <v>12678201</v>
      </c>
      <c r="B2074">
        <v>116.94</v>
      </c>
    </row>
    <row r="2075" spans="1:2" x14ac:dyDescent="0.25">
      <c r="A2075">
        <v>12678301</v>
      </c>
      <c r="B2075">
        <v>73.66</v>
      </c>
    </row>
    <row r="2076" spans="1:2" x14ac:dyDescent="0.25">
      <c r="A2076">
        <v>12678401</v>
      </c>
      <c r="B2076">
        <v>48.07</v>
      </c>
    </row>
    <row r="2077" spans="1:2" x14ac:dyDescent="0.25">
      <c r="A2077">
        <v>12678501</v>
      </c>
      <c r="B2077">
        <v>64.069999999999993</v>
      </c>
    </row>
    <row r="2078" spans="1:2" x14ac:dyDescent="0.25">
      <c r="A2078">
        <v>12678601</v>
      </c>
      <c r="B2078">
        <v>116.94</v>
      </c>
    </row>
    <row r="2079" spans="1:2" x14ac:dyDescent="0.25">
      <c r="A2079">
        <v>12678701</v>
      </c>
      <c r="B2079">
        <v>107.35</v>
      </c>
    </row>
    <row r="2080" spans="1:2" x14ac:dyDescent="0.25">
      <c r="A2080">
        <v>12678801</v>
      </c>
      <c r="B2080">
        <v>49.69</v>
      </c>
    </row>
    <row r="2081" spans="1:2" x14ac:dyDescent="0.25">
      <c r="A2081">
        <v>12678901</v>
      </c>
      <c r="B2081">
        <v>46.45</v>
      </c>
    </row>
    <row r="2082" spans="1:2" x14ac:dyDescent="0.25">
      <c r="A2082">
        <v>12679001</v>
      </c>
      <c r="B2082">
        <v>52.87</v>
      </c>
    </row>
    <row r="2083" spans="1:2" x14ac:dyDescent="0.25">
      <c r="A2083">
        <v>12685001</v>
      </c>
      <c r="B2083">
        <v>137.07</v>
      </c>
    </row>
    <row r="2084" spans="1:2" x14ac:dyDescent="0.25">
      <c r="A2084">
        <v>12685002</v>
      </c>
      <c r="B2084">
        <v>107.35</v>
      </c>
    </row>
    <row r="2085" spans="1:2" x14ac:dyDescent="0.25">
      <c r="A2085">
        <v>12685301</v>
      </c>
      <c r="B2085">
        <v>61.38</v>
      </c>
    </row>
    <row r="2086" spans="1:2" x14ac:dyDescent="0.25">
      <c r="A2086">
        <v>12685302</v>
      </c>
      <c r="B2086">
        <v>61.38</v>
      </c>
    </row>
    <row r="2087" spans="1:2" x14ac:dyDescent="0.25">
      <c r="A2087">
        <v>12685303</v>
      </c>
      <c r="B2087">
        <v>61.38</v>
      </c>
    </row>
    <row r="2088" spans="1:2" x14ac:dyDescent="0.25">
      <c r="A2088">
        <v>12685304</v>
      </c>
      <c r="B2088">
        <v>48.07</v>
      </c>
    </row>
    <row r="2089" spans="1:2" x14ac:dyDescent="0.25">
      <c r="A2089">
        <v>12685401</v>
      </c>
      <c r="B2089">
        <v>77.67</v>
      </c>
    </row>
    <row r="2090" spans="1:2" x14ac:dyDescent="0.25">
      <c r="A2090">
        <v>12685402</v>
      </c>
      <c r="B2090">
        <v>77.67</v>
      </c>
    </row>
    <row r="2091" spans="1:2" x14ac:dyDescent="0.25">
      <c r="A2091">
        <v>12685403</v>
      </c>
      <c r="B2091">
        <v>77.67</v>
      </c>
    </row>
    <row r="2092" spans="1:2" x14ac:dyDescent="0.25">
      <c r="A2092">
        <v>12685404</v>
      </c>
      <c r="B2092">
        <v>60.83</v>
      </c>
    </row>
    <row r="2093" spans="1:2" x14ac:dyDescent="0.25">
      <c r="A2093">
        <v>12685501</v>
      </c>
      <c r="B2093">
        <v>57.66</v>
      </c>
    </row>
    <row r="2094" spans="1:2" x14ac:dyDescent="0.25">
      <c r="A2094">
        <v>14540901</v>
      </c>
      <c r="B2094">
        <v>78.52</v>
      </c>
    </row>
    <row r="2095" spans="1:2" x14ac:dyDescent="0.25">
      <c r="A2095">
        <v>14852001</v>
      </c>
      <c r="B2095">
        <v>38.880000000000003</v>
      </c>
    </row>
    <row r="2096" spans="1:2" x14ac:dyDescent="0.25">
      <c r="A2096">
        <v>14852002</v>
      </c>
      <c r="B2096">
        <v>38.880000000000003</v>
      </c>
    </row>
    <row r="2097" spans="1:2" x14ac:dyDescent="0.25">
      <c r="A2097">
        <v>15204601</v>
      </c>
      <c r="B2097">
        <v>40.86</v>
      </c>
    </row>
    <row r="2098" spans="1:2" x14ac:dyDescent="0.25">
      <c r="A2098">
        <v>15204602</v>
      </c>
      <c r="B2098">
        <v>40.86</v>
      </c>
    </row>
    <row r="2099" spans="1:2" x14ac:dyDescent="0.25">
      <c r="A2099">
        <v>15314401</v>
      </c>
      <c r="B2099">
        <v>143.19</v>
      </c>
    </row>
    <row r="2100" spans="1:2" x14ac:dyDescent="0.25">
      <c r="A2100">
        <v>15314501</v>
      </c>
      <c r="B2100">
        <v>92.07</v>
      </c>
    </row>
    <row r="2101" spans="1:2" x14ac:dyDescent="0.25">
      <c r="A2101">
        <v>15314601</v>
      </c>
      <c r="B2101">
        <v>63.45</v>
      </c>
    </row>
    <row r="2102" spans="1:2" x14ac:dyDescent="0.25">
      <c r="A2102">
        <v>15314701</v>
      </c>
      <c r="B2102">
        <v>114.57</v>
      </c>
    </row>
    <row r="2103" spans="1:2" x14ac:dyDescent="0.25">
      <c r="A2103">
        <v>15314801</v>
      </c>
      <c r="B2103">
        <v>79.739999999999995</v>
      </c>
    </row>
    <row r="2104" spans="1:2" x14ac:dyDescent="0.25">
      <c r="A2104">
        <v>15315001</v>
      </c>
      <c r="B2104">
        <v>116.64</v>
      </c>
    </row>
    <row r="2105" spans="1:2" x14ac:dyDescent="0.25">
      <c r="A2105">
        <v>15852201</v>
      </c>
      <c r="B2105">
        <v>47.07</v>
      </c>
    </row>
    <row r="2106" spans="1:2" x14ac:dyDescent="0.25">
      <c r="A2106">
        <v>15852202</v>
      </c>
      <c r="B2106">
        <v>47.07</v>
      </c>
    </row>
    <row r="2107" spans="1:2" x14ac:dyDescent="0.25">
      <c r="A2107">
        <v>15852301</v>
      </c>
      <c r="B2107">
        <v>49.05</v>
      </c>
    </row>
    <row r="2108" spans="1:2" x14ac:dyDescent="0.25">
      <c r="A2108">
        <v>15852302</v>
      </c>
      <c r="B2108">
        <v>49.05</v>
      </c>
    </row>
    <row r="2109" spans="1:2" x14ac:dyDescent="0.25">
      <c r="A2109">
        <v>15852501</v>
      </c>
      <c r="B2109">
        <v>40.86</v>
      </c>
    </row>
    <row r="2110" spans="1:2" x14ac:dyDescent="0.25">
      <c r="A2110">
        <v>15852502</v>
      </c>
      <c r="B2110">
        <v>40.86</v>
      </c>
    </row>
    <row r="2111" spans="1:2" x14ac:dyDescent="0.25">
      <c r="A2111">
        <v>15852601</v>
      </c>
      <c r="B2111">
        <v>32.67</v>
      </c>
    </row>
    <row r="2112" spans="1:2" x14ac:dyDescent="0.25">
      <c r="A2112">
        <v>15852602</v>
      </c>
      <c r="B2112">
        <v>32.67</v>
      </c>
    </row>
    <row r="2113" spans="1:2" x14ac:dyDescent="0.25">
      <c r="A2113">
        <v>15852701</v>
      </c>
      <c r="B2113">
        <v>59.31</v>
      </c>
    </row>
    <row r="2114" spans="1:2" x14ac:dyDescent="0.25">
      <c r="A2114">
        <v>15852702</v>
      </c>
      <c r="B2114">
        <v>59.31</v>
      </c>
    </row>
    <row r="2115" spans="1:2" x14ac:dyDescent="0.25">
      <c r="A2115">
        <v>15852801</v>
      </c>
      <c r="B2115">
        <v>57.24</v>
      </c>
    </row>
    <row r="2116" spans="1:2" x14ac:dyDescent="0.25">
      <c r="A2116">
        <v>15852802</v>
      </c>
      <c r="B2116">
        <v>57.24</v>
      </c>
    </row>
    <row r="2117" spans="1:2" x14ac:dyDescent="0.25">
      <c r="A2117">
        <v>16965401</v>
      </c>
      <c r="B2117">
        <v>56.88</v>
      </c>
    </row>
    <row r="2118" spans="1:2" x14ac:dyDescent="0.25">
      <c r="A2118">
        <v>16965402</v>
      </c>
      <c r="B2118">
        <v>56.88</v>
      </c>
    </row>
    <row r="2119" spans="1:2" x14ac:dyDescent="0.25">
      <c r="A2119">
        <v>16965901</v>
      </c>
      <c r="B2119">
        <v>73.260000000000005</v>
      </c>
    </row>
    <row r="2120" spans="1:2" x14ac:dyDescent="0.25">
      <c r="A2120">
        <v>16965902</v>
      </c>
      <c r="B2120">
        <v>73.260000000000005</v>
      </c>
    </row>
    <row r="2121" spans="1:2" x14ac:dyDescent="0.25">
      <c r="A2121">
        <v>16966001</v>
      </c>
      <c r="B2121">
        <v>65.069999999999993</v>
      </c>
    </row>
    <row r="2122" spans="1:2" x14ac:dyDescent="0.25">
      <c r="A2122">
        <v>16966002</v>
      </c>
      <c r="B2122">
        <v>65.069999999999993</v>
      </c>
    </row>
    <row r="2123" spans="1:2" x14ac:dyDescent="0.25">
      <c r="A2123">
        <v>16966201</v>
      </c>
      <c r="B2123">
        <v>69.12</v>
      </c>
    </row>
    <row r="2124" spans="1:2" x14ac:dyDescent="0.25">
      <c r="A2124">
        <v>16966202</v>
      </c>
      <c r="B2124">
        <v>69.12</v>
      </c>
    </row>
    <row r="2125" spans="1:2" x14ac:dyDescent="0.25">
      <c r="A2125">
        <v>16971101</v>
      </c>
      <c r="B2125">
        <v>40.86</v>
      </c>
    </row>
    <row r="2126" spans="1:2" x14ac:dyDescent="0.25">
      <c r="A2126">
        <v>16971102</v>
      </c>
      <c r="B2126">
        <v>40.86</v>
      </c>
    </row>
    <row r="2127" spans="1:2" x14ac:dyDescent="0.25">
      <c r="A2127">
        <v>16971201</v>
      </c>
      <c r="B2127">
        <v>40.86</v>
      </c>
    </row>
    <row r="2128" spans="1:2" x14ac:dyDescent="0.25">
      <c r="A2128">
        <v>16971301</v>
      </c>
      <c r="B2128">
        <v>48.69</v>
      </c>
    </row>
    <row r="2129" spans="1:2" x14ac:dyDescent="0.25">
      <c r="A2129">
        <v>16971401</v>
      </c>
      <c r="B2129">
        <v>48.69</v>
      </c>
    </row>
    <row r="2130" spans="1:2" x14ac:dyDescent="0.25">
      <c r="A2130">
        <v>16971402</v>
      </c>
      <c r="B2130">
        <v>48.69</v>
      </c>
    </row>
    <row r="2131" spans="1:2" x14ac:dyDescent="0.25">
      <c r="A2131">
        <v>16971501</v>
      </c>
      <c r="B2131">
        <v>81.45</v>
      </c>
    </row>
    <row r="2132" spans="1:2" x14ac:dyDescent="0.25">
      <c r="A2132">
        <v>16971601</v>
      </c>
      <c r="B2132">
        <v>69.12</v>
      </c>
    </row>
    <row r="2133" spans="1:2" x14ac:dyDescent="0.25">
      <c r="A2133">
        <v>16971701</v>
      </c>
      <c r="B2133">
        <v>77.31</v>
      </c>
    </row>
    <row r="2134" spans="1:2" x14ac:dyDescent="0.25">
      <c r="A2134">
        <v>16971801</v>
      </c>
      <c r="B2134">
        <v>69.12</v>
      </c>
    </row>
    <row r="2135" spans="1:2" x14ac:dyDescent="0.25">
      <c r="A2135">
        <v>16972001</v>
      </c>
      <c r="B2135">
        <v>73.260000000000005</v>
      </c>
    </row>
    <row r="2136" spans="1:2" x14ac:dyDescent="0.25">
      <c r="A2136">
        <v>17352001</v>
      </c>
      <c r="B2136">
        <v>81.45</v>
      </c>
    </row>
    <row r="2137" spans="1:2" x14ac:dyDescent="0.25">
      <c r="A2137">
        <v>17352002</v>
      </c>
      <c r="B2137">
        <v>81.45</v>
      </c>
    </row>
    <row r="2138" spans="1:2" x14ac:dyDescent="0.25">
      <c r="A2138">
        <v>17352003</v>
      </c>
      <c r="B2138">
        <v>81.45</v>
      </c>
    </row>
    <row r="2139" spans="1:2" x14ac:dyDescent="0.25">
      <c r="A2139">
        <v>17354001</v>
      </c>
      <c r="B2139">
        <v>81.45</v>
      </c>
    </row>
    <row r="2140" spans="1:2" x14ac:dyDescent="0.25">
      <c r="A2140">
        <v>17354002</v>
      </c>
      <c r="B2140">
        <v>81.45</v>
      </c>
    </row>
    <row r="2141" spans="1:2" x14ac:dyDescent="0.25">
      <c r="A2141">
        <v>17354003</v>
      </c>
      <c r="B2141">
        <v>81.45</v>
      </c>
    </row>
    <row r="2142" spans="1:2" x14ac:dyDescent="0.25">
      <c r="A2142">
        <v>17354004</v>
      </c>
      <c r="B2142">
        <v>81.45</v>
      </c>
    </row>
    <row r="2143" spans="1:2" x14ac:dyDescent="0.25">
      <c r="A2143">
        <v>17354101</v>
      </c>
      <c r="B2143">
        <v>73.260000000000005</v>
      </c>
    </row>
    <row r="2144" spans="1:2" x14ac:dyDescent="0.25">
      <c r="A2144">
        <v>17354102</v>
      </c>
      <c r="B2144">
        <v>73.260000000000005</v>
      </c>
    </row>
    <row r="2145" spans="1:2" x14ac:dyDescent="0.25">
      <c r="A2145">
        <v>17354103</v>
      </c>
      <c r="B2145">
        <v>73.260000000000005</v>
      </c>
    </row>
    <row r="2146" spans="1:2" x14ac:dyDescent="0.25">
      <c r="A2146">
        <v>17482701</v>
      </c>
      <c r="B2146">
        <v>97.74</v>
      </c>
    </row>
    <row r="2147" spans="1:2" x14ac:dyDescent="0.25">
      <c r="A2147">
        <v>17482702</v>
      </c>
      <c r="B2147">
        <v>97.74</v>
      </c>
    </row>
    <row r="2148" spans="1:2" x14ac:dyDescent="0.25">
      <c r="A2148">
        <v>17482703</v>
      </c>
      <c r="B2148">
        <v>97.74</v>
      </c>
    </row>
    <row r="2149" spans="1:2" x14ac:dyDescent="0.25">
      <c r="A2149">
        <v>17482801</v>
      </c>
      <c r="B2149">
        <v>93.69</v>
      </c>
    </row>
    <row r="2150" spans="1:2" x14ac:dyDescent="0.25">
      <c r="A2150">
        <v>17482802</v>
      </c>
      <c r="B2150">
        <v>93.69</v>
      </c>
    </row>
    <row r="2151" spans="1:2" x14ac:dyDescent="0.25">
      <c r="A2151">
        <v>17482803</v>
      </c>
      <c r="B2151">
        <v>93.69</v>
      </c>
    </row>
    <row r="2152" spans="1:2" x14ac:dyDescent="0.25">
      <c r="A2152">
        <v>17482901</v>
      </c>
      <c r="B2152">
        <v>93.69</v>
      </c>
    </row>
    <row r="2153" spans="1:2" x14ac:dyDescent="0.25">
      <c r="A2153">
        <v>17482902</v>
      </c>
      <c r="B2153">
        <v>93.69</v>
      </c>
    </row>
    <row r="2154" spans="1:2" x14ac:dyDescent="0.25">
      <c r="A2154">
        <v>17482903</v>
      </c>
      <c r="B2154">
        <v>93.69</v>
      </c>
    </row>
    <row r="2155" spans="1:2" x14ac:dyDescent="0.25">
      <c r="A2155">
        <v>17483101</v>
      </c>
      <c r="B2155">
        <v>77.31</v>
      </c>
    </row>
    <row r="2156" spans="1:2" x14ac:dyDescent="0.25">
      <c r="A2156">
        <v>17483102</v>
      </c>
      <c r="B2156">
        <v>77.31</v>
      </c>
    </row>
    <row r="2157" spans="1:2" x14ac:dyDescent="0.25">
      <c r="A2157">
        <v>17483103</v>
      </c>
      <c r="B2157">
        <v>77.31</v>
      </c>
    </row>
    <row r="2158" spans="1:2" x14ac:dyDescent="0.25">
      <c r="A2158">
        <v>17483401</v>
      </c>
      <c r="B2158">
        <v>69.12</v>
      </c>
    </row>
    <row r="2159" spans="1:2" x14ac:dyDescent="0.25">
      <c r="A2159">
        <v>64176801</v>
      </c>
      <c r="B2159">
        <v>21.62</v>
      </c>
    </row>
    <row r="2160" spans="1:2" x14ac:dyDescent="0.25">
      <c r="A2160">
        <v>64176802</v>
      </c>
      <c r="B2160">
        <v>21.62</v>
      </c>
    </row>
    <row r="2161" spans="1:2" x14ac:dyDescent="0.25">
      <c r="A2161">
        <v>64176803</v>
      </c>
      <c r="B2161">
        <v>22.86</v>
      </c>
    </row>
    <row r="2162" spans="1:2" x14ac:dyDescent="0.25">
      <c r="A2162">
        <v>64176901</v>
      </c>
      <c r="B2162">
        <v>34.75</v>
      </c>
    </row>
    <row r="2163" spans="1:2" x14ac:dyDescent="0.25">
      <c r="A2163">
        <v>64176902</v>
      </c>
      <c r="B2163">
        <v>34.75</v>
      </c>
    </row>
    <row r="2164" spans="1:2" x14ac:dyDescent="0.25">
      <c r="A2164">
        <v>64176903</v>
      </c>
      <c r="B2164">
        <v>36.81</v>
      </c>
    </row>
    <row r="2165" spans="1:2" x14ac:dyDescent="0.25">
      <c r="A2165">
        <v>64177001</v>
      </c>
      <c r="B2165">
        <v>34.880000000000003</v>
      </c>
    </row>
    <row r="2166" spans="1:2" x14ac:dyDescent="0.25">
      <c r="A2166">
        <v>64177002</v>
      </c>
      <c r="B2166">
        <v>37.07</v>
      </c>
    </row>
    <row r="2167" spans="1:2" x14ac:dyDescent="0.25">
      <c r="A2167">
        <v>64177003</v>
      </c>
      <c r="B2167">
        <v>39.24</v>
      </c>
    </row>
    <row r="2168" spans="1:2" x14ac:dyDescent="0.25">
      <c r="A2168">
        <v>12676301</v>
      </c>
      <c r="B2168">
        <v>12.24</v>
      </c>
    </row>
    <row r="2169" spans="1:2" x14ac:dyDescent="0.25">
      <c r="A2169">
        <v>16252201</v>
      </c>
      <c r="B2169">
        <v>28.6</v>
      </c>
    </row>
    <row r="2170" spans="1:2" x14ac:dyDescent="0.25">
      <c r="A2170">
        <v>16252202</v>
      </c>
      <c r="B2170">
        <v>28.6</v>
      </c>
    </row>
    <row r="2171" spans="1:2" x14ac:dyDescent="0.25">
      <c r="A2171">
        <v>16252203</v>
      </c>
      <c r="B2171">
        <v>28.6</v>
      </c>
    </row>
    <row r="2172" spans="1:2" x14ac:dyDescent="0.25">
      <c r="A2172">
        <v>64177101</v>
      </c>
      <c r="B2172">
        <v>27.3</v>
      </c>
    </row>
    <row r="2173" spans="1:2" x14ac:dyDescent="0.25">
      <c r="A2173">
        <v>64177201</v>
      </c>
      <c r="B2173">
        <v>27.3</v>
      </c>
    </row>
    <row r="2174" spans="1:2" x14ac:dyDescent="0.25">
      <c r="A2174">
        <v>66072001</v>
      </c>
      <c r="B2174">
        <v>36.32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5">
    <tabColor rgb="FF00B050"/>
  </sheetPr>
  <dimension ref="A2:A17"/>
  <sheetViews>
    <sheetView workbookViewId="0">
      <selection activeCell="B17" sqref="B17"/>
    </sheetView>
  </sheetViews>
  <sheetFormatPr defaultRowHeight="15" x14ac:dyDescent="0.25"/>
  <cols>
    <col min="1" max="1" width="27.28515625" bestFit="1" customWidth="1"/>
  </cols>
  <sheetData>
    <row r="2" spans="1:1" x14ac:dyDescent="0.25">
      <c r="A2" t="s">
        <v>746</v>
      </c>
    </row>
    <row r="3" spans="1:1" s="6" customFormat="1" x14ac:dyDescent="0.25">
      <c r="A3" s="6" t="s">
        <v>747</v>
      </c>
    </row>
    <row r="4" spans="1:1" s="6" customFormat="1" x14ac:dyDescent="0.25">
      <c r="A4" s="6" t="s">
        <v>748</v>
      </c>
    </row>
    <row r="5" spans="1:1" s="6" customFormat="1" x14ac:dyDescent="0.25">
      <c r="A5" s="6" t="s">
        <v>749</v>
      </c>
    </row>
    <row r="6" spans="1:1" x14ac:dyDescent="0.25">
      <c r="A6" t="s">
        <v>750</v>
      </c>
    </row>
    <row r="7" spans="1:1" x14ac:dyDescent="0.25">
      <c r="A7" t="s">
        <v>751</v>
      </c>
    </row>
    <row r="15" spans="1:1" x14ac:dyDescent="0.25">
      <c r="A15" t="s">
        <v>753</v>
      </c>
    </row>
    <row r="16" spans="1:1" x14ac:dyDescent="0.25">
      <c r="A16" t="s">
        <v>754</v>
      </c>
    </row>
    <row r="17" spans="1:1" x14ac:dyDescent="0.25">
      <c r="A17" t="s">
        <v>755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>
    <tabColor rgb="FF00B050"/>
  </sheetPr>
  <dimension ref="A3:A5"/>
  <sheetViews>
    <sheetView workbookViewId="0">
      <selection activeCell="A4" sqref="A4"/>
    </sheetView>
  </sheetViews>
  <sheetFormatPr defaultRowHeight="15" x14ac:dyDescent="0.25"/>
  <cols>
    <col min="1" max="1" width="18.140625" customWidth="1"/>
  </cols>
  <sheetData>
    <row r="3" spans="1:1" x14ac:dyDescent="0.25">
      <c r="A3" t="s">
        <v>11</v>
      </c>
    </row>
    <row r="4" spans="1:1" s="84" customFormat="1" x14ac:dyDescent="0.25">
      <c r="A4" s="84" t="s">
        <v>854</v>
      </c>
    </row>
    <row r="5" spans="1:1" x14ac:dyDescent="0.25">
      <c r="A5" t="s"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7">
    <tabColor rgb="FF00B050"/>
  </sheetPr>
  <dimension ref="A2:A28"/>
  <sheetViews>
    <sheetView topLeftCell="B3" workbookViewId="0">
      <selection activeCell="A21" sqref="A21"/>
    </sheetView>
  </sheetViews>
  <sheetFormatPr defaultRowHeight="15" x14ac:dyDescent="0.25"/>
  <cols>
    <col min="1" max="1" width="10.7109375" bestFit="1" customWidth="1"/>
  </cols>
  <sheetData>
    <row r="2" spans="1:1" x14ac:dyDescent="0.25">
      <c r="A2" t="s">
        <v>739</v>
      </c>
    </row>
    <row r="3" spans="1:1" x14ac:dyDescent="0.25">
      <c r="A3" s="1">
        <v>43677</v>
      </c>
    </row>
    <row r="4" spans="1:1" x14ac:dyDescent="0.25">
      <c r="A4" s="1">
        <v>43708</v>
      </c>
    </row>
    <row r="5" spans="1:1" x14ac:dyDescent="0.25">
      <c r="A5" s="92">
        <v>43738</v>
      </c>
    </row>
    <row r="6" spans="1:1" x14ac:dyDescent="0.25">
      <c r="A6" s="92">
        <v>43769</v>
      </c>
    </row>
    <row r="7" spans="1:1" x14ac:dyDescent="0.25">
      <c r="A7" s="92">
        <v>43799</v>
      </c>
    </row>
    <row r="8" spans="1:1" x14ac:dyDescent="0.25">
      <c r="A8" s="92">
        <v>43830</v>
      </c>
    </row>
    <row r="9" spans="1:1" x14ac:dyDescent="0.25">
      <c r="A9" s="92">
        <v>43861</v>
      </c>
    </row>
    <row r="10" spans="1:1" x14ac:dyDescent="0.25">
      <c r="A10" s="92">
        <v>43890</v>
      </c>
    </row>
    <row r="11" spans="1:1" x14ac:dyDescent="0.25">
      <c r="A11" s="92">
        <v>43921</v>
      </c>
    </row>
    <row r="12" spans="1:1" x14ac:dyDescent="0.25">
      <c r="A12" s="92">
        <v>43951</v>
      </c>
    </row>
    <row r="13" spans="1:1" x14ac:dyDescent="0.25">
      <c r="A13" s="92">
        <v>43982</v>
      </c>
    </row>
    <row r="14" spans="1:1" x14ac:dyDescent="0.25">
      <c r="A14" s="92">
        <v>44012</v>
      </c>
    </row>
    <row r="15" spans="1:1" x14ac:dyDescent="0.25">
      <c r="A15" s="92">
        <v>44043</v>
      </c>
    </row>
    <row r="16" spans="1:1" x14ac:dyDescent="0.25">
      <c r="A16" s="92">
        <v>44074</v>
      </c>
    </row>
    <row r="17" spans="1:1" x14ac:dyDescent="0.25">
      <c r="A17" s="92">
        <v>44104</v>
      </c>
    </row>
    <row r="18" spans="1:1" x14ac:dyDescent="0.25">
      <c r="A18" s="92">
        <v>44135</v>
      </c>
    </row>
    <row r="19" spans="1:1" x14ac:dyDescent="0.25">
      <c r="A19" s="92">
        <v>44165</v>
      </c>
    </row>
    <row r="20" spans="1:1" x14ac:dyDescent="0.25">
      <c r="A20" s="92">
        <v>44196</v>
      </c>
    </row>
    <row r="21" spans="1:1" x14ac:dyDescent="0.25">
      <c r="A21" s="92">
        <v>44227</v>
      </c>
    </row>
    <row r="22" spans="1:1" x14ac:dyDescent="0.25">
      <c r="A22" s="92">
        <v>44255</v>
      </c>
    </row>
    <row r="23" spans="1:1" x14ac:dyDescent="0.25">
      <c r="A23" s="92">
        <v>44286</v>
      </c>
    </row>
    <row r="24" spans="1:1" x14ac:dyDescent="0.25">
      <c r="A24" s="92">
        <v>44316</v>
      </c>
    </row>
    <row r="25" spans="1:1" x14ac:dyDescent="0.25">
      <c r="A25" s="92">
        <v>44347</v>
      </c>
    </row>
    <row r="26" spans="1:1" x14ac:dyDescent="0.25">
      <c r="A26" s="92">
        <v>44377</v>
      </c>
    </row>
    <row r="27" spans="1:1" x14ac:dyDescent="0.25">
      <c r="A27" s="92">
        <v>44408</v>
      </c>
    </row>
    <row r="28" spans="1:1" x14ac:dyDescent="0.25">
      <c r="A28" s="92">
        <v>44439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rgb="FF00B050"/>
  </sheetPr>
  <dimension ref="A2:A7"/>
  <sheetViews>
    <sheetView workbookViewId="0">
      <selection activeCell="A4" sqref="A4"/>
    </sheetView>
  </sheetViews>
  <sheetFormatPr defaultRowHeight="15" x14ac:dyDescent="0.25"/>
  <cols>
    <col min="1" max="1" width="17.140625" customWidth="1"/>
  </cols>
  <sheetData>
    <row r="2" spans="1:1" x14ac:dyDescent="0.25">
      <c r="A2" t="s">
        <v>16</v>
      </c>
    </row>
    <row r="3" spans="1:1" x14ac:dyDescent="0.25">
      <c r="A3" t="s">
        <v>14</v>
      </c>
    </row>
    <row r="4" spans="1:1" s="110" customFormat="1" x14ac:dyDescent="0.25">
      <c r="A4" s="110" t="s">
        <v>867</v>
      </c>
    </row>
    <row r="5" spans="1:1" s="84" customFormat="1" x14ac:dyDescent="0.25">
      <c r="A5" s="84" t="s">
        <v>853</v>
      </c>
    </row>
    <row r="6" spans="1:1" x14ac:dyDescent="0.25">
      <c r="A6" t="s">
        <v>15</v>
      </c>
    </row>
    <row r="7" spans="1:1" x14ac:dyDescent="0.25">
      <c r="A7" t="s">
        <v>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>
    <tabColor rgb="FF00B050"/>
  </sheetPr>
  <dimension ref="A3:A4"/>
  <sheetViews>
    <sheetView workbookViewId="0">
      <selection activeCell="B11" sqref="B11"/>
    </sheetView>
  </sheetViews>
  <sheetFormatPr defaultRowHeight="15" x14ac:dyDescent="0.25"/>
  <cols>
    <col min="1" max="1" width="14.28515625" bestFit="1" customWidth="1"/>
  </cols>
  <sheetData>
    <row r="3" spans="1:1" x14ac:dyDescent="0.25">
      <c r="A3" s="176" t="s">
        <v>1033</v>
      </c>
    </row>
    <row r="4" spans="1:1" x14ac:dyDescent="0.25">
      <c r="A4" s="176" t="s">
        <v>915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>
    <tabColor rgb="FF00B050"/>
  </sheetPr>
  <dimension ref="A1:O203"/>
  <sheetViews>
    <sheetView topLeftCell="A174" workbookViewId="0">
      <selection activeCell="A197" sqref="A197"/>
    </sheetView>
  </sheetViews>
  <sheetFormatPr defaultRowHeight="15" x14ac:dyDescent="0.25"/>
  <cols>
    <col min="2" max="2" width="37.42578125" style="6" bestFit="1" customWidth="1"/>
    <col min="3" max="9" width="9.140625" style="6"/>
    <col min="10" max="10" width="31.5703125" style="6" customWidth="1"/>
    <col min="11" max="11" width="0" style="6" hidden="1" customWidth="1"/>
    <col min="12" max="12" width="23.5703125" hidden="1" customWidth="1"/>
  </cols>
  <sheetData>
    <row r="1" spans="1:12" ht="15.75" x14ac:dyDescent="0.25">
      <c r="L1" s="5"/>
    </row>
    <row r="2" spans="1:12" x14ac:dyDescent="0.25">
      <c r="L2" s="4"/>
    </row>
    <row r="3" spans="1:12" x14ac:dyDescent="0.25">
      <c r="L3" s="4"/>
    </row>
    <row r="4" spans="1:12" x14ac:dyDescent="0.25">
      <c r="L4" s="4"/>
    </row>
    <row r="5" spans="1:12" s="6" customFormat="1" x14ac:dyDescent="0.25">
      <c r="A5" s="6" t="s">
        <v>738</v>
      </c>
      <c r="L5" s="7"/>
    </row>
    <row r="6" spans="1:12" x14ac:dyDescent="0.25">
      <c r="A6" s="15">
        <v>1001</v>
      </c>
      <c r="B6" s="14" t="s">
        <v>566</v>
      </c>
      <c r="L6" s="4"/>
    </row>
    <row r="7" spans="1:12" x14ac:dyDescent="0.25">
      <c r="A7" s="15">
        <v>1002</v>
      </c>
      <c r="B7" s="14" t="s">
        <v>567</v>
      </c>
      <c r="L7" s="4"/>
    </row>
    <row r="8" spans="1:12" x14ac:dyDescent="0.25">
      <c r="A8" s="15">
        <v>1003</v>
      </c>
      <c r="B8" s="14" t="s">
        <v>568</v>
      </c>
      <c r="L8" s="4"/>
    </row>
    <row r="9" spans="1:12" x14ac:dyDescent="0.25">
      <c r="A9" s="15">
        <v>1010</v>
      </c>
      <c r="B9" s="14" t="s">
        <v>569</v>
      </c>
      <c r="L9" s="4"/>
    </row>
    <row r="10" spans="1:12" x14ac:dyDescent="0.25">
      <c r="A10" s="15">
        <v>1015</v>
      </c>
      <c r="B10" s="14" t="s">
        <v>570</v>
      </c>
      <c r="L10" s="4"/>
    </row>
    <row r="11" spans="1:12" x14ac:dyDescent="0.25">
      <c r="A11" s="15">
        <v>1038</v>
      </c>
      <c r="B11" s="14" t="s">
        <v>571</v>
      </c>
      <c r="L11" s="4"/>
    </row>
    <row r="12" spans="1:12" x14ac:dyDescent="0.25">
      <c r="A12" s="15">
        <v>1041</v>
      </c>
      <c r="B12" s="14" t="s">
        <v>572</v>
      </c>
      <c r="L12" s="4"/>
    </row>
    <row r="13" spans="1:12" x14ac:dyDescent="0.25">
      <c r="A13" s="15">
        <v>1075</v>
      </c>
      <c r="B13" s="14" t="s">
        <v>573</v>
      </c>
      <c r="L13" s="4"/>
    </row>
    <row r="14" spans="1:12" x14ac:dyDescent="0.25">
      <c r="A14" s="15">
        <v>1085</v>
      </c>
      <c r="B14" s="14" t="s">
        <v>574</v>
      </c>
      <c r="L14" s="4"/>
    </row>
    <row r="15" spans="1:12" x14ac:dyDescent="0.25">
      <c r="A15" s="15">
        <v>1086</v>
      </c>
      <c r="B15" s="14" t="s">
        <v>575</v>
      </c>
      <c r="L15" s="4"/>
    </row>
    <row r="16" spans="1:12" x14ac:dyDescent="0.25">
      <c r="A16" s="15">
        <v>1090</v>
      </c>
      <c r="B16" s="14" t="s">
        <v>576</v>
      </c>
      <c r="L16" s="4"/>
    </row>
    <row r="17" spans="1:12" x14ac:dyDescent="0.25">
      <c r="A17" s="15">
        <v>1093</v>
      </c>
      <c r="B17" s="14" t="s">
        <v>577</v>
      </c>
      <c r="L17" s="4"/>
    </row>
    <row r="18" spans="1:12" x14ac:dyDescent="0.25">
      <c r="A18" s="15">
        <v>1149</v>
      </c>
      <c r="B18" s="14" t="s">
        <v>578</v>
      </c>
      <c r="L18" s="4"/>
    </row>
    <row r="19" spans="1:12" x14ac:dyDescent="0.25">
      <c r="A19" s="15">
        <v>1151</v>
      </c>
      <c r="B19" s="14" t="s">
        <v>579</v>
      </c>
      <c r="L19" s="4"/>
    </row>
    <row r="20" spans="1:12" x14ac:dyDescent="0.25">
      <c r="A20" s="15">
        <v>1161</v>
      </c>
      <c r="B20" s="14" t="s">
        <v>580</v>
      </c>
      <c r="L20" s="4"/>
    </row>
    <row r="21" spans="1:12" x14ac:dyDescent="0.25">
      <c r="A21" s="15">
        <v>1171</v>
      </c>
      <c r="B21" s="14" t="s">
        <v>581</v>
      </c>
      <c r="L21" s="4"/>
    </row>
    <row r="22" spans="1:12" x14ac:dyDescent="0.25">
      <c r="A22" s="15">
        <v>1181</v>
      </c>
      <c r="B22" s="14" t="s">
        <v>582</v>
      </c>
      <c r="L22" s="4"/>
    </row>
    <row r="23" spans="1:12" x14ac:dyDescent="0.25">
      <c r="A23" s="15">
        <v>1199</v>
      </c>
      <c r="B23" s="14" t="s">
        <v>583</v>
      </c>
      <c r="L23" s="7"/>
    </row>
    <row r="24" spans="1:12" x14ac:dyDescent="0.25">
      <c r="A24" s="15">
        <v>1210</v>
      </c>
      <c r="B24" s="14" t="s">
        <v>584</v>
      </c>
      <c r="L24" s="7"/>
    </row>
    <row r="25" spans="1:12" x14ac:dyDescent="0.25">
      <c r="A25" s="15">
        <v>2000</v>
      </c>
      <c r="B25" s="14" t="s">
        <v>585</v>
      </c>
    </row>
    <row r="26" spans="1:12" x14ac:dyDescent="0.25">
      <c r="A26" s="15">
        <v>2004</v>
      </c>
      <c r="B26" s="14" t="s">
        <v>586</v>
      </c>
    </row>
    <row r="27" spans="1:12" x14ac:dyDescent="0.25">
      <c r="A27" s="15">
        <v>2005</v>
      </c>
      <c r="B27" s="14" t="s">
        <v>587</v>
      </c>
    </row>
    <row r="28" spans="1:12" x14ac:dyDescent="0.25">
      <c r="A28" s="15">
        <v>2009</v>
      </c>
      <c r="B28" s="14" t="s">
        <v>588</v>
      </c>
    </row>
    <row r="29" spans="1:12" x14ac:dyDescent="0.25">
      <c r="A29" s="15">
        <v>2012</v>
      </c>
      <c r="B29" s="14" t="s">
        <v>589</v>
      </c>
    </row>
    <row r="30" spans="1:12" x14ac:dyDescent="0.25">
      <c r="A30" s="15">
        <v>2013</v>
      </c>
      <c r="B30" s="14" t="s">
        <v>590</v>
      </c>
    </row>
    <row r="31" spans="1:12" x14ac:dyDescent="0.25">
      <c r="A31" s="15">
        <v>2015</v>
      </c>
      <c r="B31" s="14" t="s">
        <v>591</v>
      </c>
    </row>
    <row r="32" spans="1:12" x14ac:dyDescent="0.25">
      <c r="A32" s="15">
        <v>2016</v>
      </c>
      <c r="B32" s="14" t="s">
        <v>592</v>
      </c>
    </row>
    <row r="33" spans="1:2" x14ac:dyDescent="0.25">
      <c r="A33" s="15">
        <v>2017</v>
      </c>
      <c r="B33" s="14" t="s">
        <v>593</v>
      </c>
    </row>
    <row r="34" spans="1:2" x14ac:dyDescent="0.25">
      <c r="A34" s="15">
        <v>2044</v>
      </c>
      <c r="B34" s="14" t="s">
        <v>594</v>
      </c>
    </row>
    <row r="35" spans="1:2" x14ac:dyDescent="0.25">
      <c r="A35" s="15">
        <v>2052</v>
      </c>
      <c r="B35" s="14" t="s">
        <v>595</v>
      </c>
    </row>
    <row r="36" spans="1:2" x14ac:dyDescent="0.25">
      <c r="A36" s="15">
        <v>2055</v>
      </c>
      <c r="B36" s="14" t="s">
        <v>596</v>
      </c>
    </row>
    <row r="37" spans="1:2" x14ac:dyDescent="0.25">
      <c r="A37" s="15">
        <v>2056</v>
      </c>
      <c r="B37" s="14" t="s">
        <v>597</v>
      </c>
    </row>
    <row r="38" spans="1:2" x14ac:dyDescent="0.25">
      <c r="A38" s="15">
        <v>2059</v>
      </c>
      <c r="B38" s="14" t="s">
        <v>598</v>
      </c>
    </row>
    <row r="39" spans="1:2" x14ac:dyDescent="0.25">
      <c r="A39" s="15">
        <v>2067</v>
      </c>
      <c r="B39" s="14" t="s">
        <v>599</v>
      </c>
    </row>
    <row r="40" spans="1:2" s="110" customFormat="1" x14ac:dyDescent="0.25">
      <c r="A40" s="15">
        <v>2106</v>
      </c>
      <c r="B40" s="111" t="s">
        <v>878</v>
      </c>
    </row>
    <row r="41" spans="1:2" s="110" customFormat="1" x14ac:dyDescent="0.25">
      <c r="A41" s="15">
        <v>2117</v>
      </c>
      <c r="B41" s="109" t="s">
        <v>868</v>
      </c>
    </row>
    <row r="42" spans="1:2" s="110" customFormat="1" x14ac:dyDescent="0.25">
      <c r="A42" s="15">
        <v>2118</v>
      </c>
      <c r="B42" s="109" t="s">
        <v>869</v>
      </c>
    </row>
    <row r="43" spans="1:2" s="110" customFormat="1" x14ac:dyDescent="0.25">
      <c r="A43" s="15">
        <v>2119</v>
      </c>
      <c r="B43" s="109" t="s">
        <v>870</v>
      </c>
    </row>
    <row r="44" spans="1:2" x14ac:dyDescent="0.25">
      <c r="A44" s="15">
        <v>2120</v>
      </c>
      <c r="B44" s="14" t="s">
        <v>600</v>
      </c>
    </row>
    <row r="45" spans="1:2" x14ac:dyDescent="0.25">
      <c r="A45" s="15">
        <v>2124</v>
      </c>
      <c r="B45" s="14" t="s">
        <v>601</v>
      </c>
    </row>
    <row r="46" spans="1:2" x14ac:dyDescent="0.25">
      <c r="A46" s="15">
        <v>2125</v>
      </c>
      <c r="B46" s="14" t="s">
        <v>602</v>
      </c>
    </row>
    <row r="47" spans="1:2" x14ac:dyDescent="0.25">
      <c r="A47" s="15">
        <v>2126</v>
      </c>
      <c r="B47" s="14" t="s">
        <v>603</v>
      </c>
    </row>
    <row r="48" spans="1:2" x14ac:dyDescent="0.25">
      <c r="A48" s="15">
        <v>2127</v>
      </c>
      <c r="B48" s="14" t="s">
        <v>604</v>
      </c>
    </row>
    <row r="49" spans="1:2" x14ac:dyDescent="0.25">
      <c r="A49" s="15">
        <v>2128</v>
      </c>
      <c r="B49" s="14" t="s">
        <v>605</v>
      </c>
    </row>
    <row r="50" spans="1:2" x14ac:dyDescent="0.25">
      <c r="A50" s="15">
        <v>2129</v>
      </c>
      <c r="B50" s="14" t="s">
        <v>606</v>
      </c>
    </row>
    <row r="51" spans="1:2" x14ac:dyDescent="0.25">
      <c r="A51" s="15">
        <v>2131</v>
      </c>
      <c r="B51" s="14" t="s">
        <v>607</v>
      </c>
    </row>
    <row r="52" spans="1:2" x14ac:dyDescent="0.25">
      <c r="A52" s="15">
        <v>2132</v>
      </c>
      <c r="B52" s="14" t="s">
        <v>608</v>
      </c>
    </row>
    <row r="53" spans="1:2" x14ac:dyDescent="0.25">
      <c r="A53" s="15">
        <v>2136</v>
      </c>
      <c r="B53" s="14" t="s">
        <v>609</v>
      </c>
    </row>
    <row r="54" spans="1:2" x14ac:dyDescent="0.25">
      <c r="A54" s="15">
        <v>2137</v>
      </c>
      <c r="B54" s="14" t="s">
        <v>610</v>
      </c>
    </row>
    <row r="55" spans="1:2" x14ac:dyDescent="0.25">
      <c r="A55" s="15">
        <v>2139</v>
      </c>
      <c r="B55" s="14" t="s">
        <v>611</v>
      </c>
    </row>
    <row r="56" spans="1:2" x14ac:dyDescent="0.25">
      <c r="A56" s="15">
        <v>2140</v>
      </c>
      <c r="B56" s="14" t="s">
        <v>612</v>
      </c>
    </row>
    <row r="57" spans="1:2" x14ac:dyDescent="0.25">
      <c r="A57" s="15">
        <v>2150</v>
      </c>
      <c r="B57" s="14" t="s">
        <v>613</v>
      </c>
    </row>
    <row r="58" spans="1:2" x14ac:dyDescent="0.25">
      <c r="A58" s="15">
        <v>2207</v>
      </c>
      <c r="B58" s="14" t="s">
        <v>614</v>
      </c>
    </row>
    <row r="59" spans="1:2" x14ac:dyDescent="0.25">
      <c r="A59" s="15">
        <v>2230</v>
      </c>
      <c r="B59" s="14" t="s">
        <v>615</v>
      </c>
    </row>
    <row r="60" spans="1:2" x14ac:dyDescent="0.25">
      <c r="A60" s="15">
        <v>2231</v>
      </c>
      <c r="B60" s="14" t="s">
        <v>616</v>
      </c>
    </row>
    <row r="61" spans="1:2" x14ac:dyDescent="0.25">
      <c r="A61" s="15">
        <v>2232</v>
      </c>
      <c r="B61" s="14" t="s">
        <v>617</v>
      </c>
    </row>
    <row r="62" spans="1:2" x14ac:dyDescent="0.25">
      <c r="A62" s="15">
        <v>2233</v>
      </c>
      <c r="B62" s="14" t="s">
        <v>618</v>
      </c>
    </row>
    <row r="63" spans="1:2" x14ac:dyDescent="0.25">
      <c r="A63" s="15">
        <v>2234</v>
      </c>
      <c r="B63" s="14" t="s">
        <v>619</v>
      </c>
    </row>
    <row r="64" spans="1:2" x14ac:dyDescent="0.25">
      <c r="A64" s="15">
        <v>2242</v>
      </c>
      <c r="B64" s="14" t="s">
        <v>620</v>
      </c>
    </row>
    <row r="65" spans="1:2" x14ac:dyDescent="0.25">
      <c r="A65" s="15">
        <v>2245</v>
      </c>
      <c r="B65" s="14" t="s">
        <v>621</v>
      </c>
    </row>
    <row r="66" spans="1:2" x14ac:dyDescent="0.25">
      <c r="A66" s="15">
        <v>2450</v>
      </c>
      <c r="B66" s="14" t="s">
        <v>3</v>
      </c>
    </row>
    <row r="67" spans="1:2" x14ac:dyDescent="0.25">
      <c r="A67" s="15">
        <v>2990</v>
      </c>
      <c r="B67" s="14" t="s">
        <v>622</v>
      </c>
    </row>
    <row r="68" spans="1:2" x14ac:dyDescent="0.25">
      <c r="A68" s="15">
        <v>3000</v>
      </c>
      <c r="B68" s="14" t="s">
        <v>623</v>
      </c>
    </row>
    <row r="69" spans="1:2" x14ac:dyDescent="0.25">
      <c r="A69" s="15">
        <v>3018</v>
      </c>
      <c r="B69" s="14" t="s">
        <v>624</v>
      </c>
    </row>
    <row r="70" spans="1:2" x14ac:dyDescent="0.25">
      <c r="A70" s="15">
        <v>3019</v>
      </c>
      <c r="B70" s="14" t="s">
        <v>625</v>
      </c>
    </row>
    <row r="71" spans="1:2" x14ac:dyDescent="0.25">
      <c r="A71" s="15">
        <v>3025</v>
      </c>
      <c r="B71" s="14" t="s">
        <v>626</v>
      </c>
    </row>
    <row r="72" spans="1:2" x14ac:dyDescent="0.25">
      <c r="A72" s="15">
        <v>3028</v>
      </c>
      <c r="B72" s="14" t="s">
        <v>627</v>
      </c>
    </row>
    <row r="73" spans="1:2" x14ac:dyDescent="0.25">
      <c r="A73" s="15">
        <v>3033</v>
      </c>
      <c r="B73" s="14" t="s">
        <v>628</v>
      </c>
    </row>
    <row r="74" spans="1:2" x14ac:dyDescent="0.25">
      <c r="A74" s="15">
        <v>3034</v>
      </c>
      <c r="B74" s="14" t="s">
        <v>629</v>
      </c>
    </row>
    <row r="75" spans="1:2" x14ac:dyDescent="0.25">
      <c r="A75" s="15">
        <v>3035</v>
      </c>
      <c r="B75" s="14" t="s">
        <v>630</v>
      </c>
    </row>
    <row r="76" spans="1:2" x14ac:dyDescent="0.25">
      <c r="A76" s="15">
        <v>3039</v>
      </c>
      <c r="B76" s="14" t="s">
        <v>631</v>
      </c>
    </row>
    <row r="77" spans="1:2" x14ac:dyDescent="0.25">
      <c r="A77" s="15">
        <v>3049</v>
      </c>
      <c r="B77" s="14" t="s">
        <v>632</v>
      </c>
    </row>
    <row r="78" spans="1:2" x14ac:dyDescent="0.25">
      <c r="A78" s="15">
        <v>3057</v>
      </c>
      <c r="B78" s="14" t="s">
        <v>633</v>
      </c>
    </row>
    <row r="79" spans="1:2" x14ac:dyDescent="0.25">
      <c r="A79" s="15">
        <v>3063</v>
      </c>
      <c r="B79" s="14" t="s">
        <v>634</v>
      </c>
    </row>
    <row r="80" spans="1:2" x14ac:dyDescent="0.25">
      <c r="A80" s="15">
        <v>3065</v>
      </c>
      <c r="B80" s="14" t="s">
        <v>635</v>
      </c>
    </row>
    <row r="81" spans="1:2" x14ac:dyDescent="0.25">
      <c r="A81" s="15">
        <v>3074</v>
      </c>
      <c r="B81" s="14" t="s">
        <v>636</v>
      </c>
    </row>
    <row r="82" spans="1:2" x14ac:dyDescent="0.25">
      <c r="A82" s="15">
        <v>3088</v>
      </c>
      <c r="B82" s="14" t="s">
        <v>637</v>
      </c>
    </row>
    <row r="83" spans="1:2" x14ac:dyDescent="0.25">
      <c r="A83" s="15">
        <v>3100</v>
      </c>
      <c r="B83" s="14" t="s">
        <v>638</v>
      </c>
    </row>
    <row r="84" spans="1:2" x14ac:dyDescent="0.25">
      <c r="A84" s="15">
        <v>3130</v>
      </c>
      <c r="B84" s="14" t="s">
        <v>639</v>
      </c>
    </row>
    <row r="85" spans="1:2" x14ac:dyDescent="0.25">
      <c r="A85" s="15">
        <v>3135</v>
      </c>
      <c r="B85" s="14" t="s">
        <v>640</v>
      </c>
    </row>
    <row r="86" spans="1:2" x14ac:dyDescent="0.25">
      <c r="A86" s="15">
        <v>3160</v>
      </c>
      <c r="B86" s="14" t="s">
        <v>641</v>
      </c>
    </row>
    <row r="87" spans="1:2" x14ac:dyDescent="0.25">
      <c r="A87" s="15">
        <v>3169</v>
      </c>
      <c r="B87" s="14" t="s">
        <v>642</v>
      </c>
    </row>
    <row r="88" spans="1:2" x14ac:dyDescent="0.25">
      <c r="A88" s="15">
        <v>3175</v>
      </c>
      <c r="B88" s="14" t="s">
        <v>643</v>
      </c>
    </row>
    <row r="89" spans="1:2" x14ac:dyDescent="0.25">
      <c r="A89" s="15">
        <v>3195</v>
      </c>
      <c r="B89" s="14" t="s">
        <v>644</v>
      </c>
    </row>
    <row r="90" spans="1:2" x14ac:dyDescent="0.25">
      <c r="A90" s="15">
        <v>3213</v>
      </c>
      <c r="B90" s="14" t="s">
        <v>645</v>
      </c>
    </row>
    <row r="91" spans="1:2" x14ac:dyDescent="0.25">
      <c r="A91" s="15">
        <v>3216</v>
      </c>
      <c r="B91" s="14" t="s">
        <v>646</v>
      </c>
    </row>
    <row r="92" spans="1:2" x14ac:dyDescent="0.25">
      <c r="A92" s="15">
        <v>3240</v>
      </c>
      <c r="B92" s="14" t="s">
        <v>647</v>
      </c>
    </row>
    <row r="93" spans="1:2" x14ac:dyDescent="0.25">
      <c r="A93" s="15">
        <v>3249</v>
      </c>
      <c r="B93" s="14" t="s">
        <v>648</v>
      </c>
    </row>
    <row r="94" spans="1:2" x14ac:dyDescent="0.25">
      <c r="A94" s="15">
        <v>4000</v>
      </c>
      <c r="B94" s="14" t="s">
        <v>649</v>
      </c>
    </row>
    <row r="95" spans="1:2" x14ac:dyDescent="0.25">
      <c r="A95" s="15">
        <v>4005</v>
      </c>
      <c r="B95" s="14" t="s">
        <v>650</v>
      </c>
    </row>
    <row r="96" spans="1:2" x14ac:dyDescent="0.25">
      <c r="A96" s="15">
        <v>4007</v>
      </c>
      <c r="B96" s="14" t="s">
        <v>651</v>
      </c>
    </row>
    <row r="97" spans="1:2" x14ac:dyDescent="0.25">
      <c r="A97" s="15">
        <v>4008</v>
      </c>
      <c r="B97" s="14" t="s">
        <v>652</v>
      </c>
    </row>
    <row r="98" spans="1:2" x14ac:dyDescent="0.25">
      <c r="A98" s="15">
        <v>4020</v>
      </c>
      <c r="B98" s="14" t="s">
        <v>653</v>
      </c>
    </row>
    <row r="99" spans="1:2" x14ac:dyDescent="0.25">
      <c r="A99" s="15">
        <v>4022</v>
      </c>
      <c r="B99" s="14" t="s">
        <v>654</v>
      </c>
    </row>
    <row r="100" spans="1:2" x14ac:dyDescent="0.25">
      <c r="A100" s="15">
        <v>4023</v>
      </c>
      <c r="B100" s="14" t="s">
        <v>655</v>
      </c>
    </row>
    <row r="101" spans="1:2" x14ac:dyDescent="0.25">
      <c r="A101" s="15">
        <v>4024</v>
      </c>
      <c r="B101" s="14" t="s">
        <v>656</v>
      </c>
    </row>
    <row r="102" spans="1:2" x14ac:dyDescent="0.25">
      <c r="A102" s="15">
        <v>4036</v>
      </c>
      <c r="B102" s="14" t="s">
        <v>657</v>
      </c>
    </row>
    <row r="103" spans="1:2" x14ac:dyDescent="0.25">
      <c r="A103" s="15">
        <v>4037</v>
      </c>
      <c r="B103" s="14" t="s">
        <v>658</v>
      </c>
    </row>
    <row r="104" spans="1:2" x14ac:dyDescent="0.25">
      <c r="A104" s="15">
        <v>4040</v>
      </c>
      <c r="B104" s="14" t="s">
        <v>659</v>
      </c>
    </row>
    <row r="105" spans="1:2" x14ac:dyDescent="0.25">
      <c r="A105" s="15">
        <v>4043</v>
      </c>
      <c r="B105" s="14" t="s">
        <v>660</v>
      </c>
    </row>
    <row r="106" spans="1:2" x14ac:dyDescent="0.25">
      <c r="A106" s="15">
        <v>4049</v>
      </c>
      <c r="B106" s="14" t="s">
        <v>661</v>
      </c>
    </row>
    <row r="107" spans="1:2" x14ac:dyDescent="0.25">
      <c r="A107" s="15">
        <v>4050</v>
      </c>
      <c r="B107" s="14" t="s">
        <v>662</v>
      </c>
    </row>
    <row r="108" spans="1:2" x14ac:dyDescent="0.25">
      <c r="A108" s="15">
        <v>4051</v>
      </c>
      <c r="B108" s="14" t="s">
        <v>663</v>
      </c>
    </row>
    <row r="109" spans="1:2" x14ac:dyDescent="0.25">
      <c r="A109" s="15">
        <v>4058</v>
      </c>
      <c r="B109" s="14" t="s">
        <v>664</v>
      </c>
    </row>
    <row r="110" spans="1:2" x14ac:dyDescent="0.25">
      <c r="A110" s="15">
        <v>4060</v>
      </c>
      <c r="B110" s="14" t="s">
        <v>665</v>
      </c>
    </row>
    <row r="111" spans="1:2" x14ac:dyDescent="0.25">
      <c r="A111" s="15">
        <v>4062</v>
      </c>
      <c r="B111" s="14" t="s">
        <v>666</v>
      </c>
    </row>
    <row r="112" spans="1:2" x14ac:dyDescent="0.25">
      <c r="A112" s="15">
        <v>4068</v>
      </c>
      <c r="B112" s="14" t="s">
        <v>667</v>
      </c>
    </row>
    <row r="113" spans="1:2" x14ac:dyDescent="0.25">
      <c r="A113" s="15">
        <v>4069</v>
      </c>
      <c r="B113" s="14" t="s">
        <v>668</v>
      </c>
    </row>
    <row r="114" spans="1:2" x14ac:dyDescent="0.25">
      <c r="A114" s="15">
        <v>4070</v>
      </c>
      <c r="B114" s="14" t="s">
        <v>669</v>
      </c>
    </row>
    <row r="115" spans="1:2" x14ac:dyDescent="0.25">
      <c r="A115" s="15">
        <v>4071</v>
      </c>
      <c r="B115" s="14" t="s">
        <v>670</v>
      </c>
    </row>
    <row r="116" spans="1:2" x14ac:dyDescent="0.25">
      <c r="A116" s="15">
        <v>4072</v>
      </c>
      <c r="B116" s="14" t="s">
        <v>671</v>
      </c>
    </row>
    <row r="117" spans="1:2" x14ac:dyDescent="0.25">
      <c r="A117" s="15">
        <v>4073</v>
      </c>
      <c r="B117" s="14" t="s">
        <v>672</v>
      </c>
    </row>
    <row r="118" spans="1:2" x14ac:dyDescent="0.25">
      <c r="A118" s="15">
        <v>4076</v>
      </c>
      <c r="B118" s="14" t="s">
        <v>673</v>
      </c>
    </row>
    <row r="119" spans="1:2" x14ac:dyDescent="0.25">
      <c r="A119" s="15">
        <v>4082</v>
      </c>
      <c r="B119" s="14" t="s">
        <v>674</v>
      </c>
    </row>
    <row r="120" spans="1:2" x14ac:dyDescent="0.25">
      <c r="A120" s="15">
        <v>4085</v>
      </c>
      <c r="B120" s="14" t="s">
        <v>675</v>
      </c>
    </row>
    <row r="121" spans="1:2" x14ac:dyDescent="0.25">
      <c r="A121" s="15">
        <v>4100</v>
      </c>
      <c r="B121" s="14" t="s">
        <v>676</v>
      </c>
    </row>
    <row r="122" spans="1:2" s="139" customFormat="1" x14ac:dyDescent="0.25">
      <c r="A122" s="15">
        <v>4101</v>
      </c>
      <c r="B122" s="140" t="s">
        <v>879</v>
      </c>
    </row>
    <row r="123" spans="1:2" s="164" customFormat="1" x14ac:dyDescent="0.25">
      <c r="A123" s="15">
        <v>4102</v>
      </c>
      <c r="B123" s="140"/>
    </row>
    <row r="124" spans="1:2" s="164" customFormat="1" x14ac:dyDescent="0.25">
      <c r="A124" s="15">
        <v>4103</v>
      </c>
      <c r="B124" s="140"/>
    </row>
    <row r="125" spans="1:2" s="139" customFormat="1" x14ac:dyDescent="0.25">
      <c r="A125" s="15">
        <v>4104</v>
      </c>
      <c r="B125" s="140"/>
    </row>
    <row r="126" spans="1:2" s="139" customFormat="1" x14ac:dyDescent="0.25">
      <c r="A126" s="15">
        <v>4109</v>
      </c>
      <c r="B126" s="140"/>
    </row>
    <row r="127" spans="1:2" s="139" customFormat="1" x14ac:dyDescent="0.25">
      <c r="A127" s="15">
        <v>4110</v>
      </c>
      <c r="B127" s="140"/>
    </row>
    <row r="128" spans="1:2" s="139" customFormat="1" x14ac:dyDescent="0.25">
      <c r="A128" s="15">
        <v>4106</v>
      </c>
      <c r="B128" s="140"/>
    </row>
    <row r="129" spans="1:2" x14ac:dyDescent="0.25">
      <c r="A129" s="15">
        <v>4114</v>
      </c>
      <c r="B129" s="14" t="s">
        <v>677</v>
      </c>
    </row>
    <row r="130" spans="1:2" x14ac:dyDescent="0.25">
      <c r="A130" s="15">
        <v>4115</v>
      </c>
      <c r="B130" s="14" t="s">
        <v>678</v>
      </c>
    </row>
    <row r="131" spans="1:2" x14ac:dyDescent="0.25">
      <c r="A131" s="15">
        <v>4145</v>
      </c>
      <c r="B131" s="14" t="s">
        <v>679</v>
      </c>
    </row>
    <row r="132" spans="1:2" x14ac:dyDescent="0.25">
      <c r="A132" s="15">
        <v>4146</v>
      </c>
      <c r="B132" s="14" t="s">
        <v>680</v>
      </c>
    </row>
    <row r="133" spans="1:2" x14ac:dyDescent="0.25">
      <c r="A133" s="15">
        <v>4147</v>
      </c>
      <c r="B133" s="14" t="s">
        <v>681</v>
      </c>
    </row>
    <row r="134" spans="1:2" x14ac:dyDescent="0.25">
      <c r="A134" s="15">
        <v>4148</v>
      </c>
      <c r="B134" s="14" t="s">
        <v>682</v>
      </c>
    </row>
    <row r="135" spans="1:2" x14ac:dyDescent="0.25">
      <c r="A135" s="15">
        <v>4149</v>
      </c>
      <c r="B135" s="14" t="s">
        <v>683</v>
      </c>
    </row>
    <row r="136" spans="1:2" x14ac:dyDescent="0.25">
      <c r="A136" s="15">
        <v>4155</v>
      </c>
      <c r="B136" s="14" t="s">
        <v>684</v>
      </c>
    </row>
    <row r="137" spans="1:2" x14ac:dyDescent="0.25">
      <c r="A137" s="15">
        <v>4157</v>
      </c>
      <c r="B137" s="14" t="s">
        <v>685</v>
      </c>
    </row>
    <row r="138" spans="1:2" x14ac:dyDescent="0.25">
      <c r="A138" s="15">
        <v>4170</v>
      </c>
      <c r="B138" s="14" t="s">
        <v>686</v>
      </c>
    </row>
    <row r="139" spans="1:2" x14ac:dyDescent="0.25">
      <c r="A139" s="15">
        <v>4235</v>
      </c>
      <c r="B139" s="14" t="s">
        <v>687</v>
      </c>
    </row>
    <row r="140" spans="1:2" x14ac:dyDescent="0.25">
      <c r="A140" s="15">
        <v>4239</v>
      </c>
      <c r="B140" s="14" t="s">
        <v>688</v>
      </c>
    </row>
    <row r="141" spans="1:2" x14ac:dyDescent="0.25">
      <c r="A141" s="15">
        <v>4244</v>
      </c>
      <c r="B141" s="14" t="s">
        <v>689</v>
      </c>
    </row>
    <row r="142" spans="1:2" x14ac:dyDescent="0.25">
      <c r="A142" s="15">
        <v>4530</v>
      </c>
      <c r="B142" s="14" t="s">
        <v>690</v>
      </c>
    </row>
    <row r="143" spans="1:2" x14ac:dyDescent="0.25">
      <c r="A143" s="15">
        <v>4540</v>
      </c>
      <c r="B143" s="14" t="s">
        <v>691</v>
      </c>
    </row>
    <row r="144" spans="1:2" x14ac:dyDescent="0.25">
      <c r="A144" s="15">
        <v>4770</v>
      </c>
      <c r="B144" s="14" t="s">
        <v>692</v>
      </c>
    </row>
    <row r="145" spans="1:2" x14ac:dyDescent="0.25">
      <c r="A145" s="15">
        <v>4775</v>
      </c>
      <c r="B145" s="14" t="s">
        <v>693</v>
      </c>
    </row>
    <row r="146" spans="1:2" s="139" customFormat="1" x14ac:dyDescent="0.25">
      <c r="A146" s="15">
        <v>4995</v>
      </c>
      <c r="B146" s="141" t="s">
        <v>881</v>
      </c>
    </row>
    <row r="147" spans="1:2" x14ac:dyDescent="0.25">
      <c r="A147" s="15">
        <v>5000</v>
      </c>
      <c r="B147" s="14" t="s">
        <v>694</v>
      </c>
    </row>
    <row r="148" spans="1:2" x14ac:dyDescent="0.25">
      <c r="A148" s="15">
        <v>5032</v>
      </c>
      <c r="B148" s="14" t="s">
        <v>695</v>
      </c>
    </row>
    <row r="149" spans="1:2" x14ac:dyDescent="0.25">
      <c r="A149" s="15">
        <v>5053</v>
      </c>
      <c r="B149" s="14" t="s">
        <v>696</v>
      </c>
    </row>
    <row r="150" spans="1:2" x14ac:dyDescent="0.25">
      <c r="A150" s="15">
        <v>5192</v>
      </c>
      <c r="B150" s="14" t="s">
        <v>697</v>
      </c>
    </row>
    <row r="151" spans="1:2" x14ac:dyDescent="0.25">
      <c r="A151" s="15">
        <v>6000</v>
      </c>
      <c r="B151" s="14" t="s">
        <v>698</v>
      </c>
    </row>
    <row r="152" spans="1:2" x14ac:dyDescent="0.25">
      <c r="A152" s="15">
        <v>6014</v>
      </c>
      <c r="B152" s="14" t="s">
        <v>699</v>
      </c>
    </row>
    <row r="153" spans="1:2" x14ac:dyDescent="0.25">
      <c r="A153" s="15">
        <v>6026</v>
      </c>
      <c r="B153" s="14" t="s">
        <v>700</v>
      </c>
    </row>
    <row r="154" spans="1:2" x14ac:dyDescent="0.25">
      <c r="A154" s="15">
        <v>6027</v>
      </c>
      <c r="B154" s="14" t="s">
        <v>701</v>
      </c>
    </row>
    <row r="155" spans="1:2" x14ac:dyDescent="0.25">
      <c r="A155" s="15">
        <v>6029</v>
      </c>
      <c r="B155" s="14" t="s">
        <v>702</v>
      </c>
    </row>
    <row r="156" spans="1:2" x14ac:dyDescent="0.25">
      <c r="A156" s="15">
        <v>6045</v>
      </c>
      <c r="B156" s="14" t="s">
        <v>703</v>
      </c>
    </row>
    <row r="157" spans="1:2" x14ac:dyDescent="0.25">
      <c r="A157" s="15">
        <v>6075</v>
      </c>
      <c r="B157" s="14" t="s">
        <v>704</v>
      </c>
    </row>
    <row r="158" spans="1:2" x14ac:dyDescent="0.25">
      <c r="A158" s="15">
        <v>6077</v>
      </c>
      <c r="B158" s="14" t="s">
        <v>705</v>
      </c>
    </row>
    <row r="159" spans="1:2" x14ac:dyDescent="0.25">
      <c r="A159" s="15">
        <v>6087</v>
      </c>
      <c r="B159" s="14" t="s">
        <v>706</v>
      </c>
    </row>
    <row r="160" spans="1:2" s="139" customFormat="1" x14ac:dyDescent="0.25">
      <c r="A160" s="15">
        <v>6089</v>
      </c>
      <c r="B160" s="138" t="s">
        <v>880</v>
      </c>
    </row>
    <row r="161" spans="1:15" x14ac:dyDescent="0.25">
      <c r="A161" s="15">
        <v>6165</v>
      </c>
      <c r="B161" s="14" t="s">
        <v>699</v>
      </c>
    </row>
    <row r="162" spans="1:15" s="176" customFormat="1" x14ac:dyDescent="0.25">
      <c r="A162" s="15">
        <v>6176</v>
      </c>
      <c r="B162" s="175" t="s">
        <v>891</v>
      </c>
    </row>
    <row r="163" spans="1:15" x14ac:dyDescent="0.25">
      <c r="A163" s="15">
        <v>7000</v>
      </c>
      <c r="B163" s="14" t="s">
        <v>707</v>
      </c>
    </row>
    <row r="164" spans="1:15" x14ac:dyDescent="0.25">
      <c r="A164" s="15">
        <v>7042</v>
      </c>
      <c r="B164" s="14" t="s">
        <v>708</v>
      </c>
      <c r="J164" s="177"/>
      <c r="O164" s="177"/>
    </row>
    <row r="165" spans="1:15" x14ac:dyDescent="0.25">
      <c r="A165" s="15">
        <v>7064</v>
      </c>
      <c r="B165" s="14" t="s">
        <v>709</v>
      </c>
    </row>
    <row r="166" spans="1:15" x14ac:dyDescent="0.25">
      <c r="A166" s="15">
        <v>7078</v>
      </c>
      <c r="B166" s="14" t="s">
        <v>708</v>
      </c>
    </row>
    <row r="167" spans="1:15" x14ac:dyDescent="0.25">
      <c r="A167" s="15">
        <v>7079</v>
      </c>
      <c r="B167" s="14" t="s">
        <v>710</v>
      </c>
    </row>
    <row r="168" spans="1:15" x14ac:dyDescent="0.25">
      <c r="A168" s="15">
        <v>7084</v>
      </c>
      <c r="B168" s="14" t="s">
        <v>711</v>
      </c>
    </row>
    <row r="169" spans="1:15" x14ac:dyDescent="0.25">
      <c r="A169" s="15">
        <v>8000</v>
      </c>
      <c r="B169" s="14" t="s">
        <v>712</v>
      </c>
    </row>
    <row r="170" spans="1:15" x14ac:dyDescent="0.25">
      <c r="A170" s="15">
        <v>8006</v>
      </c>
      <c r="B170" s="14" t="s">
        <v>713</v>
      </c>
    </row>
    <row r="171" spans="1:15" x14ac:dyDescent="0.25">
      <c r="A171" s="15">
        <v>8015</v>
      </c>
      <c r="B171" s="14" t="s">
        <v>714</v>
      </c>
    </row>
    <row r="172" spans="1:15" x14ac:dyDescent="0.25">
      <c r="A172" s="15">
        <v>8030</v>
      </c>
      <c r="B172" s="14" t="s">
        <v>715</v>
      </c>
    </row>
    <row r="173" spans="1:15" x14ac:dyDescent="0.25">
      <c r="A173" s="15">
        <v>8031</v>
      </c>
      <c r="B173" s="14" t="s">
        <v>716</v>
      </c>
    </row>
    <row r="174" spans="1:15" x14ac:dyDescent="0.25">
      <c r="A174" s="15">
        <v>8046</v>
      </c>
      <c r="B174" s="14" t="s">
        <v>717</v>
      </c>
    </row>
    <row r="175" spans="1:15" x14ac:dyDescent="0.25">
      <c r="A175" s="15">
        <v>8185</v>
      </c>
      <c r="B175" s="14" t="s">
        <v>718</v>
      </c>
    </row>
    <row r="176" spans="1:15" x14ac:dyDescent="0.25">
      <c r="A176" s="15">
        <v>8188</v>
      </c>
      <c r="B176" s="14" t="s">
        <v>719</v>
      </c>
    </row>
    <row r="177" spans="1:2" x14ac:dyDescent="0.25">
      <c r="A177" s="15">
        <v>8190</v>
      </c>
      <c r="B177" s="14" t="s">
        <v>720</v>
      </c>
    </row>
    <row r="178" spans="1:2" x14ac:dyDescent="0.25">
      <c r="A178" s="15">
        <v>8196</v>
      </c>
      <c r="B178" s="14" t="s">
        <v>721</v>
      </c>
    </row>
    <row r="179" spans="1:2" x14ac:dyDescent="0.25">
      <c r="A179" s="15">
        <v>8999</v>
      </c>
      <c r="B179" s="14" t="s">
        <v>718</v>
      </c>
    </row>
    <row r="180" spans="1:2" x14ac:dyDescent="0.25">
      <c r="A180" s="15">
        <v>9104</v>
      </c>
      <c r="B180" s="14" t="s">
        <v>722</v>
      </c>
    </row>
    <row r="181" spans="1:2" x14ac:dyDescent="0.25">
      <c r="A181" s="15">
        <v>9105</v>
      </c>
      <c r="B181" s="14" t="s">
        <v>723</v>
      </c>
    </row>
    <row r="182" spans="1:2" x14ac:dyDescent="0.25">
      <c r="A182" s="15">
        <v>9301</v>
      </c>
      <c r="B182" s="14" t="s">
        <v>724</v>
      </c>
    </row>
    <row r="183" spans="1:2" x14ac:dyDescent="0.25">
      <c r="A183" s="15">
        <v>9302</v>
      </c>
      <c r="B183" s="14" t="s">
        <v>725</v>
      </c>
    </row>
    <row r="184" spans="1:2" x14ac:dyDescent="0.25">
      <c r="A184" s="15">
        <v>9980</v>
      </c>
      <c r="B184" s="14" t="s">
        <v>726</v>
      </c>
    </row>
    <row r="185" spans="1:2" x14ac:dyDescent="0.25">
      <c r="A185" s="15">
        <v>9981</v>
      </c>
      <c r="B185" s="14" t="s">
        <v>727</v>
      </c>
    </row>
    <row r="186" spans="1:2" x14ac:dyDescent="0.25">
      <c r="A186" s="15">
        <v>9982</v>
      </c>
      <c r="B186" s="14" t="s">
        <v>728</v>
      </c>
    </row>
    <row r="187" spans="1:2" x14ac:dyDescent="0.25">
      <c r="A187" s="15">
        <v>9983</v>
      </c>
      <c r="B187" s="14" t="s">
        <v>729</v>
      </c>
    </row>
    <row r="188" spans="1:2" x14ac:dyDescent="0.25">
      <c r="A188" s="15">
        <v>9989</v>
      </c>
      <c r="B188" s="14" t="s">
        <v>730</v>
      </c>
    </row>
    <row r="189" spans="1:2" x14ac:dyDescent="0.25">
      <c r="A189" s="15">
        <v>9990</v>
      </c>
      <c r="B189" s="14" t="s">
        <v>726</v>
      </c>
    </row>
    <row r="190" spans="1:2" x14ac:dyDescent="0.25">
      <c r="A190" s="15">
        <v>9991</v>
      </c>
      <c r="B190" s="14" t="s">
        <v>731</v>
      </c>
    </row>
    <row r="191" spans="1:2" x14ac:dyDescent="0.25">
      <c r="A191" s="15">
        <v>9992</v>
      </c>
      <c r="B191" s="14" t="s">
        <v>732</v>
      </c>
    </row>
    <row r="192" spans="1:2" x14ac:dyDescent="0.25">
      <c r="A192" s="15">
        <v>9993</v>
      </c>
      <c r="B192" s="14" t="s">
        <v>733</v>
      </c>
    </row>
    <row r="193" spans="1:2" x14ac:dyDescent="0.25">
      <c r="A193" s="15">
        <v>9994</v>
      </c>
      <c r="B193" s="14" t="s">
        <v>734</v>
      </c>
    </row>
    <row r="194" spans="1:2" x14ac:dyDescent="0.25">
      <c r="A194" s="15">
        <v>9995</v>
      </c>
      <c r="B194" s="14" t="s">
        <v>735</v>
      </c>
    </row>
    <row r="195" spans="1:2" x14ac:dyDescent="0.25">
      <c r="A195" s="15">
        <v>9996</v>
      </c>
      <c r="B195" s="14" t="s">
        <v>736</v>
      </c>
    </row>
    <row r="196" spans="1:2" x14ac:dyDescent="0.25">
      <c r="A196" s="15">
        <v>9997</v>
      </c>
      <c r="B196" s="14" t="s">
        <v>737</v>
      </c>
    </row>
    <row r="197" spans="1:2" s="176" customFormat="1" x14ac:dyDescent="0.25">
      <c r="A197" s="15">
        <v>2225</v>
      </c>
      <c r="B197" s="202"/>
    </row>
    <row r="198" spans="1:2" x14ac:dyDescent="0.25">
      <c r="A198" s="15">
        <v>9999</v>
      </c>
      <c r="B198" s="14" t="s">
        <v>559</v>
      </c>
    </row>
    <row r="199" spans="1:2" x14ac:dyDescent="0.25">
      <c r="A199" s="94">
        <v>4200</v>
      </c>
      <c r="B199" s="6" t="s">
        <v>858</v>
      </c>
    </row>
    <row r="200" spans="1:2" x14ac:dyDescent="0.25">
      <c r="A200" s="94">
        <v>6089</v>
      </c>
      <c r="B200" s="6" t="s">
        <v>859</v>
      </c>
    </row>
    <row r="201" spans="1:2" x14ac:dyDescent="0.25">
      <c r="A201" s="94">
        <v>3228</v>
      </c>
    </row>
    <row r="202" spans="1:2" x14ac:dyDescent="0.25">
      <c r="A202" s="94">
        <v>4250</v>
      </c>
    </row>
    <row r="203" spans="1:2" x14ac:dyDescent="0.25">
      <c r="A203" s="94">
        <v>2225</v>
      </c>
    </row>
  </sheetData>
  <hyperlinks>
    <hyperlink ref="B122" r:id="rId1" xr:uid="{00000000-0004-0000-2000-000000000000}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>
    <tabColor rgb="FF00B050"/>
  </sheetPr>
  <dimension ref="A5:B363"/>
  <sheetViews>
    <sheetView topLeftCell="A300" workbookViewId="0">
      <selection activeCell="A341" sqref="A341:XFD341"/>
    </sheetView>
  </sheetViews>
  <sheetFormatPr defaultRowHeight="15" x14ac:dyDescent="0.25"/>
  <sheetData>
    <row r="5" spans="1:2" x14ac:dyDescent="0.25">
      <c r="A5" s="15">
        <v>1000</v>
      </c>
      <c r="B5" s="6" t="s">
        <v>49</v>
      </c>
    </row>
    <row r="6" spans="1:2" x14ac:dyDescent="0.25">
      <c r="A6" s="15">
        <v>1001</v>
      </c>
      <c r="B6" s="6" t="s">
        <v>50</v>
      </c>
    </row>
    <row r="7" spans="1:2" x14ac:dyDescent="0.25">
      <c r="A7" s="15">
        <v>1005</v>
      </c>
      <c r="B7" s="6" t="s">
        <v>51</v>
      </c>
    </row>
    <row r="8" spans="1:2" x14ac:dyDescent="0.25">
      <c r="A8" s="15">
        <v>1200</v>
      </c>
      <c r="B8" s="6" t="s">
        <v>52</v>
      </c>
    </row>
    <row r="9" spans="1:2" x14ac:dyDescent="0.25">
      <c r="A9" s="15">
        <v>1205</v>
      </c>
      <c r="B9" s="6" t="s">
        <v>53</v>
      </c>
    </row>
    <row r="10" spans="1:2" x14ac:dyDescent="0.25">
      <c r="A10" s="15">
        <v>1210</v>
      </c>
      <c r="B10" s="6" t="s">
        <v>54</v>
      </c>
    </row>
    <row r="11" spans="1:2" x14ac:dyDescent="0.25">
      <c r="A11" s="15">
        <v>1215</v>
      </c>
      <c r="B11" s="6" t="s">
        <v>55</v>
      </c>
    </row>
    <row r="12" spans="1:2" x14ac:dyDescent="0.25">
      <c r="A12" s="15">
        <v>1220</v>
      </c>
      <c r="B12" s="6" t="s">
        <v>56</v>
      </c>
    </row>
    <row r="13" spans="1:2" x14ac:dyDescent="0.25">
      <c r="A13" s="15">
        <v>1225</v>
      </c>
      <c r="B13" s="6" t="s">
        <v>57</v>
      </c>
    </row>
    <row r="14" spans="1:2" x14ac:dyDescent="0.25">
      <c r="A14" s="15">
        <v>1227</v>
      </c>
      <c r="B14" s="6" t="s">
        <v>58</v>
      </c>
    </row>
    <row r="15" spans="1:2" x14ac:dyDescent="0.25">
      <c r="A15" s="15">
        <v>1315</v>
      </c>
      <c r="B15" s="6" t="s">
        <v>59</v>
      </c>
    </row>
    <row r="16" spans="1:2" x14ac:dyDescent="0.25">
      <c r="A16" s="15">
        <v>2000</v>
      </c>
      <c r="B16" s="14" t="s">
        <v>60</v>
      </c>
    </row>
    <row r="17" spans="1:2" x14ac:dyDescent="0.25">
      <c r="A17" s="15">
        <v>2010</v>
      </c>
      <c r="B17" s="14" t="s">
        <v>61</v>
      </c>
    </row>
    <row r="18" spans="1:2" x14ac:dyDescent="0.25">
      <c r="A18" s="15">
        <v>2011</v>
      </c>
      <c r="B18" s="14" t="s">
        <v>62</v>
      </c>
    </row>
    <row r="19" spans="1:2" x14ac:dyDescent="0.25">
      <c r="A19" s="15">
        <v>2012</v>
      </c>
      <c r="B19" s="14" t="s">
        <v>63</v>
      </c>
    </row>
    <row r="20" spans="1:2" x14ac:dyDescent="0.25">
      <c r="A20" s="15">
        <v>2013</v>
      </c>
      <c r="B20" s="14" t="s">
        <v>64</v>
      </c>
    </row>
    <row r="21" spans="1:2" x14ac:dyDescent="0.25">
      <c r="A21" s="15">
        <v>2014</v>
      </c>
      <c r="B21" s="14" t="s">
        <v>65</v>
      </c>
    </row>
    <row r="22" spans="1:2" x14ac:dyDescent="0.25">
      <c r="A22" s="15">
        <v>2015</v>
      </c>
      <c r="B22" s="14" t="s">
        <v>53</v>
      </c>
    </row>
    <row r="23" spans="1:2" x14ac:dyDescent="0.25">
      <c r="A23" s="15">
        <v>2016</v>
      </c>
      <c r="B23" s="14" t="s">
        <v>66</v>
      </c>
    </row>
    <row r="24" spans="1:2" x14ac:dyDescent="0.25">
      <c r="A24" s="15">
        <v>2020</v>
      </c>
      <c r="B24" s="14" t="s">
        <v>67</v>
      </c>
    </row>
    <row r="25" spans="1:2" x14ac:dyDescent="0.25">
      <c r="A25" s="15">
        <v>2025</v>
      </c>
      <c r="B25" s="14" t="s">
        <v>68</v>
      </c>
    </row>
    <row r="26" spans="1:2" x14ac:dyDescent="0.25">
      <c r="A26" s="15">
        <v>2030</v>
      </c>
      <c r="B26" s="14" t="s">
        <v>69</v>
      </c>
    </row>
    <row r="27" spans="1:2" x14ac:dyDescent="0.25">
      <c r="A27" s="15">
        <v>2035</v>
      </c>
      <c r="B27" s="14" t="s">
        <v>70</v>
      </c>
    </row>
    <row r="28" spans="1:2" x14ac:dyDescent="0.25">
      <c r="A28" s="15">
        <v>2040</v>
      </c>
      <c r="B28" s="14" t="s">
        <v>71</v>
      </c>
    </row>
    <row r="29" spans="1:2" x14ac:dyDescent="0.25">
      <c r="A29" s="15">
        <v>2045</v>
      </c>
      <c r="B29" s="14" t="s">
        <v>72</v>
      </c>
    </row>
    <row r="30" spans="1:2" x14ac:dyDescent="0.25">
      <c r="A30" s="15">
        <v>2047</v>
      </c>
      <c r="B30" s="14" t="s">
        <v>73</v>
      </c>
    </row>
    <row r="31" spans="1:2" x14ac:dyDescent="0.25">
      <c r="A31" s="6">
        <v>3000</v>
      </c>
      <c r="B31" s="14" t="s">
        <v>89</v>
      </c>
    </row>
    <row r="32" spans="1:2" x14ac:dyDescent="0.25">
      <c r="A32" s="6">
        <v>3005</v>
      </c>
      <c r="B32" s="14" t="s">
        <v>90</v>
      </c>
    </row>
    <row r="33" spans="1:2" x14ac:dyDescent="0.25">
      <c r="A33" s="6">
        <v>3006</v>
      </c>
      <c r="B33" s="14" t="s">
        <v>91</v>
      </c>
    </row>
    <row r="34" spans="1:2" x14ac:dyDescent="0.25">
      <c r="A34" s="6">
        <v>3007</v>
      </c>
      <c r="B34" s="14" t="s">
        <v>92</v>
      </c>
    </row>
    <row r="35" spans="1:2" x14ac:dyDescent="0.25">
      <c r="A35" s="6">
        <v>3008</v>
      </c>
      <c r="B35" s="14" t="s">
        <v>93</v>
      </c>
    </row>
    <row r="36" spans="1:2" x14ac:dyDescent="0.25">
      <c r="A36" s="6">
        <v>3009</v>
      </c>
      <c r="B36" s="14" t="s">
        <v>94</v>
      </c>
    </row>
    <row r="37" spans="1:2" x14ac:dyDescent="0.25">
      <c r="A37" s="6">
        <v>3010</v>
      </c>
      <c r="B37" s="14" t="s">
        <v>95</v>
      </c>
    </row>
    <row r="38" spans="1:2" x14ac:dyDescent="0.25">
      <c r="A38" s="6">
        <v>3015</v>
      </c>
      <c r="B38" s="14" t="s">
        <v>96</v>
      </c>
    </row>
    <row r="39" spans="1:2" x14ac:dyDescent="0.25">
      <c r="A39" s="6">
        <v>3020</v>
      </c>
      <c r="B39" s="14" t="s">
        <v>97</v>
      </c>
    </row>
    <row r="40" spans="1:2" x14ac:dyDescent="0.25">
      <c r="A40" s="6">
        <v>3023</v>
      </c>
      <c r="B40" s="14" t="s">
        <v>98</v>
      </c>
    </row>
    <row r="41" spans="1:2" x14ac:dyDescent="0.25">
      <c r="A41" s="6">
        <v>3025</v>
      </c>
      <c r="B41" s="14" t="s">
        <v>99</v>
      </c>
    </row>
    <row r="42" spans="1:2" x14ac:dyDescent="0.25">
      <c r="A42" s="6">
        <v>3026</v>
      </c>
      <c r="B42" s="14" t="s">
        <v>100</v>
      </c>
    </row>
    <row r="43" spans="1:2" x14ac:dyDescent="0.25">
      <c r="A43" s="6">
        <v>3027</v>
      </c>
      <c r="B43" s="14" t="s">
        <v>101</v>
      </c>
    </row>
    <row r="44" spans="1:2" x14ac:dyDescent="0.25">
      <c r="A44" s="6">
        <v>3028</v>
      </c>
      <c r="B44" s="14" t="s">
        <v>102</v>
      </c>
    </row>
    <row r="45" spans="1:2" x14ac:dyDescent="0.25">
      <c r="A45" s="6">
        <v>3029</v>
      </c>
      <c r="B45" s="14" t="s">
        <v>103</v>
      </c>
    </row>
    <row r="46" spans="1:2" x14ac:dyDescent="0.25">
      <c r="A46" s="6">
        <v>3030</v>
      </c>
      <c r="B46" s="14" t="s">
        <v>104</v>
      </c>
    </row>
    <row r="47" spans="1:2" x14ac:dyDescent="0.25">
      <c r="A47" s="6">
        <v>3031</v>
      </c>
      <c r="B47" s="14" t="s">
        <v>105</v>
      </c>
    </row>
    <row r="48" spans="1:2" x14ac:dyDescent="0.25">
      <c r="A48" s="6">
        <v>3032</v>
      </c>
      <c r="B48" s="14" t="s">
        <v>106</v>
      </c>
    </row>
    <row r="49" spans="1:2" x14ac:dyDescent="0.25">
      <c r="A49" s="6">
        <v>3033</v>
      </c>
      <c r="B49" s="14" t="s">
        <v>107</v>
      </c>
    </row>
    <row r="50" spans="1:2" x14ac:dyDescent="0.25">
      <c r="A50" s="6">
        <v>3034</v>
      </c>
      <c r="B50" s="14" t="s">
        <v>108</v>
      </c>
    </row>
    <row r="51" spans="1:2" x14ac:dyDescent="0.25">
      <c r="A51" s="6">
        <v>3035</v>
      </c>
      <c r="B51" s="14" t="s">
        <v>109</v>
      </c>
    </row>
    <row r="52" spans="1:2" x14ac:dyDescent="0.25">
      <c r="A52" s="6">
        <v>3040</v>
      </c>
      <c r="B52" s="14" t="s">
        <v>110</v>
      </c>
    </row>
    <row r="53" spans="1:2" x14ac:dyDescent="0.25">
      <c r="A53" s="6">
        <v>3050</v>
      </c>
      <c r="B53" s="14" t="s">
        <v>111</v>
      </c>
    </row>
    <row r="54" spans="1:2" x14ac:dyDescent="0.25">
      <c r="A54" s="6">
        <v>3051</v>
      </c>
      <c r="B54" s="14" t="s">
        <v>112</v>
      </c>
    </row>
    <row r="55" spans="1:2" x14ac:dyDescent="0.25">
      <c r="A55" s="6">
        <v>3052</v>
      </c>
      <c r="B55" s="14" t="s">
        <v>113</v>
      </c>
    </row>
    <row r="56" spans="1:2" x14ac:dyDescent="0.25">
      <c r="A56" s="6">
        <v>3053</v>
      </c>
      <c r="B56" s="14" t="s">
        <v>114</v>
      </c>
    </row>
    <row r="57" spans="1:2" x14ac:dyDescent="0.25">
      <c r="A57" s="6">
        <v>3054</v>
      </c>
      <c r="B57" s="14" t="s">
        <v>115</v>
      </c>
    </row>
    <row r="58" spans="1:2" x14ac:dyDescent="0.25">
      <c r="A58" s="6">
        <v>3055</v>
      </c>
      <c r="B58" s="14" t="s">
        <v>116</v>
      </c>
    </row>
    <row r="59" spans="1:2" x14ac:dyDescent="0.25">
      <c r="A59" s="6">
        <v>3056</v>
      </c>
      <c r="B59" s="14" t="s">
        <v>117</v>
      </c>
    </row>
    <row r="60" spans="1:2" x14ac:dyDescent="0.25">
      <c r="A60" s="6">
        <v>3057</v>
      </c>
      <c r="B60" s="14" t="s">
        <v>118</v>
      </c>
    </row>
    <row r="61" spans="1:2" x14ac:dyDescent="0.25">
      <c r="A61" s="6">
        <v>3058</v>
      </c>
      <c r="B61" s="14" t="s">
        <v>119</v>
      </c>
    </row>
    <row r="62" spans="1:2" x14ac:dyDescent="0.25">
      <c r="A62" s="6">
        <v>3060</v>
      </c>
      <c r="B62" s="14" t="s">
        <v>120</v>
      </c>
    </row>
    <row r="63" spans="1:2" x14ac:dyDescent="0.25">
      <c r="A63" s="6">
        <v>3061</v>
      </c>
      <c r="B63" s="14" t="s">
        <v>121</v>
      </c>
    </row>
    <row r="64" spans="1:2" x14ac:dyDescent="0.25">
      <c r="A64" s="6">
        <v>3063</v>
      </c>
      <c r="B64" s="14" t="s">
        <v>122</v>
      </c>
    </row>
    <row r="65" spans="1:2" x14ac:dyDescent="0.25">
      <c r="A65" s="6">
        <v>3065</v>
      </c>
      <c r="B65" s="14" t="s">
        <v>123</v>
      </c>
    </row>
    <row r="66" spans="1:2" x14ac:dyDescent="0.25">
      <c r="A66" s="6">
        <v>3067</v>
      </c>
      <c r="B66" s="14" t="s">
        <v>124</v>
      </c>
    </row>
    <row r="67" spans="1:2" x14ac:dyDescent="0.25">
      <c r="A67" s="6">
        <v>3070</v>
      </c>
      <c r="B67" s="14" t="s">
        <v>125</v>
      </c>
    </row>
    <row r="68" spans="1:2" x14ac:dyDescent="0.25">
      <c r="A68" s="6">
        <v>3071</v>
      </c>
      <c r="B68" s="14" t="s">
        <v>126</v>
      </c>
    </row>
    <row r="69" spans="1:2" x14ac:dyDescent="0.25">
      <c r="A69" s="6">
        <v>3072</v>
      </c>
      <c r="B69" s="14" t="s">
        <v>127</v>
      </c>
    </row>
    <row r="70" spans="1:2" x14ac:dyDescent="0.25">
      <c r="A70" s="6">
        <v>3073</v>
      </c>
      <c r="B70" s="14" t="s">
        <v>128</v>
      </c>
    </row>
    <row r="71" spans="1:2" x14ac:dyDescent="0.25">
      <c r="A71" s="6">
        <v>3074</v>
      </c>
      <c r="B71" s="14" t="s">
        <v>129</v>
      </c>
    </row>
    <row r="72" spans="1:2" x14ac:dyDescent="0.25">
      <c r="A72" s="6">
        <v>3075</v>
      </c>
      <c r="B72" s="14" t="s">
        <v>130</v>
      </c>
    </row>
    <row r="73" spans="1:2" x14ac:dyDescent="0.25">
      <c r="A73" s="6">
        <v>3076</v>
      </c>
      <c r="B73" s="14" t="s">
        <v>131</v>
      </c>
    </row>
    <row r="74" spans="1:2" x14ac:dyDescent="0.25">
      <c r="A74" s="6">
        <v>3077</v>
      </c>
      <c r="B74" s="14" t="s">
        <v>132</v>
      </c>
    </row>
    <row r="75" spans="1:2" x14ac:dyDescent="0.25">
      <c r="A75" s="6">
        <v>3078</v>
      </c>
      <c r="B75" s="14" t="s">
        <v>133</v>
      </c>
    </row>
    <row r="76" spans="1:2" x14ac:dyDescent="0.25">
      <c r="A76" s="6">
        <v>3079</v>
      </c>
      <c r="B76" s="14" t="s">
        <v>134</v>
      </c>
    </row>
    <row r="77" spans="1:2" x14ac:dyDescent="0.25">
      <c r="A77" s="6">
        <v>3080</v>
      </c>
      <c r="B77" s="14" t="s">
        <v>135</v>
      </c>
    </row>
    <row r="78" spans="1:2" x14ac:dyDescent="0.25">
      <c r="A78" s="6">
        <v>3082</v>
      </c>
      <c r="B78" s="14" t="s">
        <v>136</v>
      </c>
    </row>
    <row r="79" spans="1:2" x14ac:dyDescent="0.25">
      <c r="A79" s="6">
        <v>3083</v>
      </c>
      <c r="B79" s="14" t="s">
        <v>137</v>
      </c>
    </row>
    <row r="80" spans="1:2" x14ac:dyDescent="0.25">
      <c r="A80" s="6">
        <v>3084</v>
      </c>
      <c r="B80" s="14" t="s">
        <v>138</v>
      </c>
    </row>
    <row r="81" spans="1:2" x14ac:dyDescent="0.25">
      <c r="A81" s="6">
        <v>3085</v>
      </c>
      <c r="B81" s="14" t="s">
        <v>139</v>
      </c>
    </row>
    <row r="82" spans="1:2" x14ac:dyDescent="0.25">
      <c r="A82" s="6">
        <v>3086</v>
      </c>
      <c r="B82" s="14" t="s">
        <v>140</v>
      </c>
    </row>
    <row r="83" spans="1:2" x14ac:dyDescent="0.25">
      <c r="A83" s="6">
        <v>3087</v>
      </c>
      <c r="B83" s="14" t="s">
        <v>141</v>
      </c>
    </row>
    <row r="84" spans="1:2" x14ac:dyDescent="0.25">
      <c r="A84" s="6">
        <v>3088</v>
      </c>
      <c r="B84" s="14" t="s">
        <v>142</v>
      </c>
    </row>
    <row r="85" spans="1:2" x14ac:dyDescent="0.25">
      <c r="A85" s="6">
        <v>3090</v>
      </c>
      <c r="B85" s="14" t="s">
        <v>143</v>
      </c>
    </row>
    <row r="86" spans="1:2" x14ac:dyDescent="0.25">
      <c r="A86" s="6">
        <v>3092</v>
      </c>
      <c r="B86" s="14" t="s">
        <v>144</v>
      </c>
    </row>
    <row r="87" spans="1:2" x14ac:dyDescent="0.25">
      <c r="A87" s="6">
        <v>3095</v>
      </c>
      <c r="B87" s="14" t="s">
        <v>62</v>
      </c>
    </row>
    <row r="88" spans="1:2" x14ac:dyDescent="0.25">
      <c r="A88" s="6">
        <v>3096</v>
      </c>
      <c r="B88" s="14" t="s">
        <v>145</v>
      </c>
    </row>
    <row r="89" spans="1:2" x14ac:dyDescent="0.25">
      <c r="A89" s="6">
        <v>3099</v>
      </c>
      <c r="B89" s="14" t="s">
        <v>146</v>
      </c>
    </row>
    <row r="90" spans="1:2" x14ac:dyDescent="0.25">
      <c r="A90" s="6">
        <v>3100</v>
      </c>
      <c r="B90" s="14" t="s">
        <v>147</v>
      </c>
    </row>
    <row r="91" spans="1:2" x14ac:dyDescent="0.25">
      <c r="A91" s="6">
        <v>3150</v>
      </c>
      <c r="B91" s="14" t="s">
        <v>148</v>
      </c>
    </row>
    <row r="92" spans="1:2" x14ac:dyDescent="0.25">
      <c r="A92" s="6">
        <v>3151</v>
      </c>
      <c r="B92" s="14" t="s">
        <v>149</v>
      </c>
    </row>
    <row r="93" spans="1:2" x14ac:dyDescent="0.25">
      <c r="A93" s="6">
        <v>3160</v>
      </c>
      <c r="B93" s="14" t="s">
        <v>150</v>
      </c>
    </row>
    <row r="94" spans="1:2" x14ac:dyDescent="0.25">
      <c r="A94" s="6">
        <v>3161</v>
      </c>
      <c r="B94" s="14" t="s">
        <v>151</v>
      </c>
    </row>
    <row r="95" spans="1:2" x14ac:dyDescent="0.25">
      <c r="A95" s="6">
        <v>3162</v>
      </c>
      <c r="B95" s="14" t="s">
        <v>152</v>
      </c>
    </row>
    <row r="96" spans="1:2" x14ac:dyDescent="0.25">
      <c r="A96" s="6">
        <v>3163</v>
      </c>
      <c r="B96" s="14" t="s">
        <v>153</v>
      </c>
    </row>
    <row r="97" spans="1:2" x14ac:dyDescent="0.25">
      <c r="A97" s="6">
        <v>3170</v>
      </c>
      <c r="B97" s="14" t="s">
        <v>154</v>
      </c>
    </row>
    <row r="98" spans="1:2" x14ac:dyDescent="0.25">
      <c r="A98" s="6">
        <v>3180</v>
      </c>
      <c r="B98" s="14" t="s">
        <v>155</v>
      </c>
    </row>
    <row r="99" spans="1:2" x14ac:dyDescent="0.25">
      <c r="A99" s="6">
        <v>3200</v>
      </c>
      <c r="B99" s="14" t="s">
        <v>156</v>
      </c>
    </row>
    <row r="100" spans="1:2" x14ac:dyDescent="0.25">
      <c r="A100" s="6">
        <v>3201</v>
      </c>
      <c r="B100" s="14" t="s">
        <v>157</v>
      </c>
    </row>
    <row r="101" spans="1:2" x14ac:dyDescent="0.25">
      <c r="A101" s="6">
        <v>3202</v>
      </c>
      <c r="B101" s="14" t="s">
        <v>158</v>
      </c>
    </row>
    <row r="102" spans="1:2" x14ac:dyDescent="0.25">
      <c r="A102" s="6">
        <v>3203</v>
      </c>
      <c r="B102" s="14" t="s">
        <v>147</v>
      </c>
    </row>
    <row r="103" spans="1:2" x14ac:dyDescent="0.25">
      <c r="A103" s="6">
        <v>3204</v>
      </c>
      <c r="B103" s="14" t="s">
        <v>159</v>
      </c>
    </row>
    <row r="104" spans="1:2" x14ac:dyDescent="0.25">
      <c r="A104" s="6">
        <v>3205</v>
      </c>
      <c r="B104" s="14" t="s">
        <v>160</v>
      </c>
    </row>
    <row r="105" spans="1:2" x14ac:dyDescent="0.25">
      <c r="A105" s="6">
        <v>3206</v>
      </c>
      <c r="B105" s="14" t="s">
        <v>161</v>
      </c>
    </row>
    <row r="106" spans="1:2" x14ac:dyDescent="0.25">
      <c r="A106" s="6">
        <v>3250</v>
      </c>
      <c r="B106" s="14" t="s">
        <v>162</v>
      </c>
    </row>
    <row r="107" spans="1:2" x14ac:dyDescent="0.25">
      <c r="A107" s="6">
        <v>3300</v>
      </c>
      <c r="B107" s="14" t="s">
        <v>163</v>
      </c>
    </row>
    <row r="108" spans="1:2" x14ac:dyDescent="0.25">
      <c r="A108" s="6">
        <v>3301</v>
      </c>
      <c r="B108" s="14" t="s">
        <v>164</v>
      </c>
    </row>
    <row r="109" spans="1:2" x14ac:dyDescent="0.25">
      <c r="A109" s="6">
        <v>3302</v>
      </c>
      <c r="B109" s="14" t="s">
        <v>165</v>
      </c>
    </row>
    <row r="110" spans="1:2" x14ac:dyDescent="0.25">
      <c r="A110" s="6">
        <v>3350</v>
      </c>
      <c r="B110" s="14" t="s">
        <v>166</v>
      </c>
    </row>
    <row r="111" spans="1:2" x14ac:dyDescent="0.25">
      <c r="A111" s="6">
        <v>3351</v>
      </c>
      <c r="B111" s="14" t="s">
        <v>167</v>
      </c>
    </row>
    <row r="112" spans="1:2" x14ac:dyDescent="0.25">
      <c r="A112" s="6">
        <v>3360</v>
      </c>
      <c r="B112" s="14" t="s">
        <v>168</v>
      </c>
    </row>
    <row r="113" spans="1:2" x14ac:dyDescent="0.25">
      <c r="A113" s="6">
        <v>3361</v>
      </c>
      <c r="B113" s="14" t="s">
        <v>169</v>
      </c>
    </row>
    <row r="114" spans="1:2" x14ac:dyDescent="0.25">
      <c r="A114" s="6">
        <v>3362</v>
      </c>
      <c r="B114" s="14" t="s">
        <v>170</v>
      </c>
    </row>
    <row r="115" spans="1:2" x14ac:dyDescent="0.25">
      <c r="A115" s="6">
        <v>3363</v>
      </c>
      <c r="B115" s="14" t="s">
        <v>171</v>
      </c>
    </row>
    <row r="116" spans="1:2" x14ac:dyDescent="0.25">
      <c r="A116" s="6">
        <v>3364</v>
      </c>
      <c r="B116" s="14" t="s">
        <v>172</v>
      </c>
    </row>
    <row r="117" spans="1:2" x14ac:dyDescent="0.25">
      <c r="A117" s="6">
        <v>3370</v>
      </c>
      <c r="B117" s="14" t="s">
        <v>173</v>
      </c>
    </row>
    <row r="118" spans="1:2" x14ac:dyDescent="0.25">
      <c r="A118" s="6">
        <v>3375</v>
      </c>
      <c r="B118" s="14" t="s">
        <v>174</v>
      </c>
    </row>
    <row r="119" spans="1:2" x14ac:dyDescent="0.25">
      <c r="A119" s="6">
        <v>3376</v>
      </c>
      <c r="B119" s="14" t="s">
        <v>175</v>
      </c>
    </row>
    <row r="120" spans="1:2" x14ac:dyDescent="0.25">
      <c r="A120" s="6">
        <v>3377</v>
      </c>
      <c r="B120" s="14" t="s">
        <v>176</v>
      </c>
    </row>
    <row r="121" spans="1:2" x14ac:dyDescent="0.25">
      <c r="A121" s="6">
        <v>3378</v>
      </c>
      <c r="B121" s="14" t="s">
        <v>177</v>
      </c>
    </row>
    <row r="122" spans="1:2" x14ac:dyDescent="0.25">
      <c r="A122" s="6">
        <v>3380</v>
      </c>
      <c r="B122" s="14" t="s">
        <v>178</v>
      </c>
    </row>
    <row r="123" spans="1:2" x14ac:dyDescent="0.25">
      <c r="A123" s="6">
        <v>3381</v>
      </c>
      <c r="B123" s="14" t="s">
        <v>179</v>
      </c>
    </row>
    <row r="124" spans="1:2" x14ac:dyDescent="0.25">
      <c r="A124" s="6">
        <v>3385</v>
      </c>
      <c r="B124" s="14" t="s">
        <v>180</v>
      </c>
    </row>
    <row r="125" spans="1:2" x14ac:dyDescent="0.25">
      <c r="A125" s="6">
        <v>3400</v>
      </c>
      <c r="B125" s="14" t="s">
        <v>181</v>
      </c>
    </row>
    <row r="126" spans="1:2" x14ac:dyDescent="0.25">
      <c r="A126" s="6">
        <v>3401</v>
      </c>
      <c r="B126" s="14" t="s">
        <v>182</v>
      </c>
    </row>
    <row r="127" spans="1:2" x14ac:dyDescent="0.25">
      <c r="A127" s="6">
        <v>3402</v>
      </c>
      <c r="B127" s="14" t="s">
        <v>183</v>
      </c>
    </row>
    <row r="128" spans="1:2" x14ac:dyDescent="0.25">
      <c r="A128" s="6">
        <v>3403</v>
      </c>
      <c r="B128" s="14" t="s">
        <v>184</v>
      </c>
    </row>
    <row r="129" spans="1:2" x14ac:dyDescent="0.25">
      <c r="A129" s="6">
        <v>3404</v>
      </c>
      <c r="B129" s="14" t="s">
        <v>185</v>
      </c>
    </row>
    <row r="130" spans="1:2" x14ac:dyDescent="0.25">
      <c r="A130" s="6">
        <v>3405</v>
      </c>
      <c r="B130" s="14" t="s">
        <v>186</v>
      </c>
    </row>
    <row r="131" spans="1:2" x14ac:dyDescent="0.25">
      <c r="A131" s="6">
        <v>3406</v>
      </c>
      <c r="B131" s="14" t="s">
        <v>187</v>
      </c>
    </row>
    <row r="132" spans="1:2" x14ac:dyDescent="0.25">
      <c r="A132" s="6">
        <v>3407</v>
      </c>
      <c r="B132" s="14" t="s">
        <v>188</v>
      </c>
    </row>
    <row r="133" spans="1:2" x14ac:dyDescent="0.25">
      <c r="A133" s="6">
        <v>3408</v>
      </c>
      <c r="B133" s="14" t="s">
        <v>189</v>
      </c>
    </row>
    <row r="134" spans="1:2" x14ac:dyDescent="0.25">
      <c r="A134" s="6">
        <v>3409</v>
      </c>
      <c r="B134" s="14" t="s">
        <v>190</v>
      </c>
    </row>
    <row r="135" spans="1:2" x14ac:dyDescent="0.25">
      <c r="A135" s="6">
        <v>3410</v>
      </c>
      <c r="B135" s="14" t="s">
        <v>191</v>
      </c>
    </row>
    <row r="136" spans="1:2" x14ac:dyDescent="0.25">
      <c r="A136" s="6">
        <v>3411</v>
      </c>
      <c r="B136" s="14" t="s">
        <v>192</v>
      </c>
    </row>
    <row r="137" spans="1:2" x14ac:dyDescent="0.25">
      <c r="A137" s="6">
        <v>3412</v>
      </c>
      <c r="B137" s="14" t="s">
        <v>193</v>
      </c>
    </row>
    <row r="138" spans="1:2" x14ac:dyDescent="0.25">
      <c r="A138" s="6">
        <v>3413</v>
      </c>
      <c r="B138" s="14" t="s">
        <v>194</v>
      </c>
    </row>
    <row r="139" spans="1:2" x14ac:dyDescent="0.25">
      <c r="A139" s="6">
        <v>3450</v>
      </c>
      <c r="B139" s="14" t="s">
        <v>195</v>
      </c>
    </row>
    <row r="140" spans="1:2" x14ac:dyDescent="0.25">
      <c r="A140" s="6">
        <v>3451</v>
      </c>
      <c r="B140" s="14" t="s">
        <v>196</v>
      </c>
    </row>
    <row r="141" spans="1:2" x14ac:dyDescent="0.25">
      <c r="A141" s="6">
        <v>3452</v>
      </c>
      <c r="B141" s="14" t="s">
        <v>197</v>
      </c>
    </row>
    <row r="142" spans="1:2" x14ac:dyDescent="0.25">
      <c r="A142" s="6">
        <v>3453</v>
      </c>
      <c r="B142" s="14" t="s">
        <v>198</v>
      </c>
    </row>
    <row r="143" spans="1:2" x14ac:dyDescent="0.25">
      <c r="A143" s="6">
        <v>3454</v>
      </c>
      <c r="B143" s="14" t="s">
        <v>182</v>
      </c>
    </row>
    <row r="144" spans="1:2" x14ac:dyDescent="0.25">
      <c r="A144" s="6">
        <v>3455</v>
      </c>
      <c r="B144" s="14" t="s">
        <v>183</v>
      </c>
    </row>
    <row r="145" spans="1:2" x14ac:dyDescent="0.25">
      <c r="A145" s="6">
        <v>3456</v>
      </c>
      <c r="B145" s="14" t="s">
        <v>184</v>
      </c>
    </row>
    <row r="146" spans="1:2" x14ac:dyDescent="0.25">
      <c r="A146" s="6">
        <v>3457</v>
      </c>
      <c r="B146" s="14" t="s">
        <v>185</v>
      </c>
    </row>
    <row r="147" spans="1:2" x14ac:dyDescent="0.25">
      <c r="A147" s="6">
        <v>3458</v>
      </c>
      <c r="B147" s="14" t="s">
        <v>186</v>
      </c>
    </row>
    <row r="148" spans="1:2" x14ac:dyDescent="0.25">
      <c r="A148" s="6">
        <v>3459</v>
      </c>
      <c r="B148" s="14" t="s">
        <v>187</v>
      </c>
    </row>
    <row r="149" spans="1:2" x14ac:dyDescent="0.25">
      <c r="A149" s="6">
        <v>3460</v>
      </c>
      <c r="B149" s="14" t="s">
        <v>199</v>
      </c>
    </row>
    <row r="150" spans="1:2" x14ac:dyDescent="0.25">
      <c r="A150" s="6">
        <v>3461</v>
      </c>
      <c r="B150" s="14" t="s">
        <v>188</v>
      </c>
    </row>
    <row r="151" spans="1:2" x14ac:dyDescent="0.25">
      <c r="A151" s="6">
        <v>3462</v>
      </c>
      <c r="B151" s="14" t="s">
        <v>189</v>
      </c>
    </row>
    <row r="152" spans="1:2" x14ac:dyDescent="0.25">
      <c r="A152" s="6">
        <v>3463</v>
      </c>
      <c r="B152" s="14" t="s">
        <v>190</v>
      </c>
    </row>
    <row r="153" spans="1:2" x14ac:dyDescent="0.25">
      <c r="A153" s="6">
        <v>3464</v>
      </c>
      <c r="B153" s="14" t="s">
        <v>191</v>
      </c>
    </row>
    <row r="154" spans="1:2" x14ac:dyDescent="0.25">
      <c r="A154" s="6">
        <v>3465</v>
      </c>
      <c r="B154" s="14" t="s">
        <v>192</v>
      </c>
    </row>
    <row r="155" spans="1:2" x14ac:dyDescent="0.25">
      <c r="A155" s="6">
        <v>3466</v>
      </c>
      <c r="B155" s="14" t="s">
        <v>193</v>
      </c>
    </row>
    <row r="156" spans="1:2" x14ac:dyDescent="0.25">
      <c r="A156" s="6">
        <v>3467</v>
      </c>
      <c r="B156" s="14" t="s">
        <v>194</v>
      </c>
    </row>
    <row r="157" spans="1:2" x14ac:dyDescent="0.25">
      <c r="A157" s="6">
        <v>3468</v>
      </c>
      <c r="B157" s="14" t="s">
        <v>200</v>
      </c>
    </row>
    <row r="158" spans="1:2" x14ac:dyDescent="0.25">
      <c r="A158" s="6">
        <v>3500</v>
      </c>
      <c r="B158" s="14" t="s">
        <v>201</v>
      </c>
    </row>
    <row r="159" spans="1:2" x14ac:dyDescent="0.25">
      <c r="A159" s="6">
        <v>3501</v>
      </c>
      <c r="B159" s="14" t="s">
        <v>202</v>
      </c>
    </row>
    <row r="160" spans="1:2" x14ac:dyDescent="0.25">
      <c r="A160" s="6">
        <v>3502</v>
      </c>
      <c r="B160" s="14" t="s">
        <v>203</v>
      </c>
    </row>
    <row r="161" spans="1:2" x14ac:dyDescent="0.25">
      <c r="A161" s="6">
        <v>3520</v>
      </c>
      <c r="B161" s="14" t="s">
        <v>204</v>
      </c>
    </row>
    <row r="162" spans="1:2" x14ac:dyDescent="0.25">
      <c r="A162" s="6">
        <v>3525</v>
      </c>
      <c r="B162" s="14" t="s">
        <v>205</v>
      </c>
    </row>
    <row r="163" spans="1:2" x14ac:dyDescent="0.25">
      <c r="A163" s="6">
        <v>3530</v>
      </c>
      <c r="B163" s="14" t="s">
        <v>206</v>
      </c>
    </row>
    <row r="164" spans="1:2" x14ac:dyDescent="0.25">
      <c r="A164" s="6">
        <v>3531</v>
      </c>
      <c r="B164" s="14" t="s">
        <v>207</v>
      </c>
    </row>
    <row r="165" spans="1:2" x14ac:dyDescent="0.25">
      <c r="A165" s="6">
        <v>3532</v>
      </c>
      <c r="B165" s="14" t="s">
        <v>208</v>
      </c>
    </row>
    <row r="166" spans="1:2" x14ac:dyDescent="0.25">
      <c r="A166" s="6">
        <v>3533</v>
      </c>
      <c r="B166" s="14" t="s">
        <v>209</v>
      </c>
    </row>
    <row r="167" spans="1:2" x14ac:dyDescent="0.25">
      <c r="A167" s="6">
        <v>3534</v>
      </c>
      <c r="B167" s="14" t="s">
        <v>210</v>
      </c>
    </row>
    <row r="168" spans="1:2" x14ac:dyDescent="0.25">
      <c r="A168" s="6">
        <v>3540</v>
      </c>
      <c r="B168" s="14" t="s">
        <v>211</v>
      </c>
    </row>
    <row r="169" spans="1:2" x14ac:dyDescent="0.25">
      <c r="A169" s="6">
        <v>3545</v>
      </c>
      <c r="B169" s="14" t="s">
        <v>212</v>
      </c>
    </row>
    <row r="170" spans="1:2" x14ac:dyDescent="0.25">
      <c r="A170" s="6">
        <v>3546</v>
      </c>
      <c r="B170" s="14" t="s">
        <v>213</v>
      </c>
    </row>
    <row r="171" spans="1:2" x14ac:dyDescent="0.25">
      <c r="A171" s="6">
        <v>3570</v>
      </c>
      <c r="B171" s="14" t="s">
        <v>214</v>
      </c>
    </row>
    <row r="172" spans="1:2" x14ac:dyDescent="0.25">
      <c r="A172" s="6">
        <v>3575</v>
      </c>
      <c r="B172" s="14" t="s">
        <v>215</v>
      </c>
    </row>
    <row r="173" spans="1:2" x14ac:dyDescent="0.25">
      <c r="A173" s="6">
        <v>3576</v>
      </c>
      <c r="B173" s="14" t="s">
        <v>216</v>
      </c>
    </row>
    <row r="174" spans="1:2" x14ac:dyDescent="0.25">
      <c r="A174" s="6">
        <v>3577</v>
      </c>
      <c r="B174" s="14" t="s">
        <v>217</v>
      </c>
    </row>
    <row r="175" spans="1:2" x14ac:dyDescent="0.25">
      <c r="A175" s="6">
        <v>3578</v>
      </c>
      <c r="B175" s="14" t="s">
        <v>218</v>
      </c>
    </row>
    <row r="176" spans="1:2" x14ac:dyDescent="0.25">
      <c r="A176" s="6">
        <v>3600</v>
      </c>
      <c r="B176" s="14" t="s">
        <v>219</v>
      </c>
    </row>
    <row r="177" spans="1:2" x14ac:dyDescent="0.25">
      <c r="A177" s="6">
        <v>3645</v>
      </c>
      <c r="B177" s="14" t="s">
        <v>220</v>
      </c>
    </row>
    <row r="178" spans="1:2" x14ac:dyDescent="0.25">
      <c r="A178" s="6">
        <v>3647</v>
      </c>
      <c r="B178" s="14" t="s">
        <v>221</v>
      </c>
    </row>
    <row r="179" spans="1:2" x14ac:dyDescent="0.25">
      <c r="A179" s="6">
        <v>3648</v>
      </c>
      <c r="B179" s="14" t="s">
        <v>222</v>
      </c>
    </row>
    <row r="180" spans="1:2" x14ac:dyDescent="0.25">
      <c r="A180" s="6">
        <v>3650</v>
      </c>
      <c r="B180" s="14" t="s">
        <v>223</v>
      </c>
    </row>
    <row r="181" spans="1:2" x14ac:dyDescent="0.25">
      <c r="A181" s="6">
        <v>3976</v>
      </c>
      <c r="B181" s="14" t="s">
        <v>224</v>
      </c>
    </row>
    <row r="182" spans="1:2" x14ac:dyDescent="0.25">
      <c r="A182" s="6">
        <v>3977</v>
      </c>
      <c r="B182" s="14" t="s">
        <v>225</v>
      </c>
    </row>
    <row r="183" spans="1:2" x14ac:dyDescent="0.25">
      <c r="A183" s="6">
        <v>3978</v>
      </c>
      <c r="B183" s="14" t="s">
        <v>226</v>
      </c>
    </row>
    <row r="184" spans="1:2" x14ac:dyDescent="0.25">
      <c r="A184" s="6">
        <v>3979</v>
      </c>
      <c r="B184" s="14" t="s">
        <v>227</v>
      </c>
    </row>
    <row r="185" spans="1:2" x14ac:dyDescent="0.25">
      <c r="A185" s="6">
        <v>3980</v>
      </c>
      <c r="B185" s="14" t="s">
        <v>228</v>
      </c>
    </row>
    <row r="186" spans="1:2" x14ac:dyDescent="0.25">
      <c r="A186" s="6">
        <v>3981</v>
      </c>
      <c r="B186" s="14" t="s">
        <v>229</v>
      </c>
    </row>
    <row r="187" spans="1:2" x14ac:dyDescent="0.25">
      <c r="A187" s="6">
        <v>3982</v>
      </c>
      <c r="B187" s="14" t="s">
        <v>230</v>
      </c>
    </row>
    <row r="188" spans="1:2" x14ac:dyDescent="0.25">
      <c r="A188" s="6">
        <v>3983</v>
      </c>
      <c r="B188" s="14" t="s">
        <v>231</v>
      </c>
    </row>
    <row r="189" spans="1:2" x14ac:dyDescent="0.25">
      <c r="A189" s="6">
        <v>3984</v>
      </c>
      <c r="B189" s="14" t="s">
        <v>232</v>
      </c>
    </row>
    <row r="190" spans="1:2" x14ac:dyDescent="0.25">
      <c r="A190" s="6">
        <v>3985</v>
      </c>
      <c r="B190" s="14" t="s">
        <v>233</v>
      </c>
    </row>
    <row r="191" spans="1:2" x14ac:dyDescent="0.25">
      <c r="A191" s="6">
        <v>3986</v>
      </c>
      <c r="B191" s="14" t="s">
        <v>234</v>
      </c>
    </row>
    <row r="192" spans="1:2" x14ac:dyDescent="0.25">
      <c r="A192" s="6">
        <v>3987</v>
      </c>
      <c r="B192" s="14" t="s">
        <v>235</v>
      </c>
    </row>
    <row r="193" spans="1:2" x14ac:dyDescent="0.25">
      <c r="A193" s="6">
        <v>3988</v>
      </c>
      <c r="B193" s="14" t="s">
        <v>236</v>
      </c>
    </row>
    <row r="194" spans="1:2" x14ac:dyDescent="0.25">
      <c r="A194" s="6">
        <v>3989</v>
      </c>
      <c r="B194" s="14" t="s">
        <v>237</v>
      </c>
    </row>
    <row r="195" spans="1:2" x14ac:dyDescent="0.25">
      <c r="A195" s="6">
        <v>3990</v>
      </c>
      <c r="B195" s="14" t="s">
        <v>238</v>
      </c>
    </row>
    <row r="196" spans="1:2" x14ac:dyDescent="0.25">
      <c r="A196" s="6">
        <v>3991</v>
      </c>
      <c r="B196" s="14" t="s">
        <v>239</v>
      </c>
    </row>
    <row r="197" spans="1:2" x14ac:dyDescent="0.25">
      <c r="A197" s="6">
        <v>3992</v>
      </c>
      <c r="B197" s="14" t="s">
        <v>240</v>
      </c>
    </row>
    <row r="198" spans="1:2" x14ac:dyDescent="0.25">
      <c r="A198" s="13" t="s">
        <v>242</v>
      </c>
      <c r="B198" s="14" t="s">
        <v>241</v>
      </c>
    </row>
    <row r="199" spans="1:2" x14ac:dyDescent="0.25">
      <c r="A199" s="15">
        <v>5001</v>
      </c>
      <c r="B199" s="14" t="s">
        <v>243</v>
      </c>
    </row>
    <row r="200" spans="1:2" x14ac:dyDescent="0.25">
      <c r="A200" s="15">
        <v>5051</v>
      </c>
      <c r="B200" s="14" t="s">
        <v>245</v>
      </c>
    </row>
    <row r="201" spans="1:2" x14ac:dyDescent="0.25">
      <c r="A201" s="15">
        <v>5052</v>
      </c>
      <c r="B201" s="14" t="s">
        <v>247</v>
      </c>
    </row>
    <row r="202" spans="1:2" x14ac:dyDescent="0.25">
      <c r="A202" s="15">
        <v>5053</v>
      </c>
      <c r="B202" s="14" t="s">
        <v>249</v>
      </c>
    </row>
    <row r="203" spans="1:2" x14ac:dyDescent="0.25">
      <c r="A203" s="15">
        <v>5054</v>
      </c>
      <c r="B203" s="14" t="s">
        <v>251</v>
      </c>
    </row>
    <row r="204" spans="1:2" x14ac:dyDescent="0.25">
      <c r="A204" s="15">
        <v>5055</v>
      </c>
      <c r="B204" s="14" t="s">
        <v>253</v>
      </c>
    </row>
    <row r="205" spans="1:2" x14ac:dyDescent="0.25">
      <c r="A205" s="15">
        <v>5056</v>
      </c>
      <c r="B205" s="14" t="s">
        <v>255</v>
      </c>
    </row>
    <row r="206" spans="1:2" x14ac:dyDescent="0.25">
      <c r="A206" s="15">
        <v>5057</v>
      </c>
      <c r="B206" s="14" t="s">
        <v>257</v>
      </c>
    </row>
    <row r="207" spans="1:2" x14ac:dyDescent="0.25">
      <c r="A207" s="15">
        <v>5058</v>
      </c>
      <c r="B207" s="14" t="s">
        <v>259</v>
      </c>
    </row>
    <row r="208" spans="1:2" x14ac:dyDescent="0.25">
      <c r="A208" s="15">
        <v>5059</v>
      </c>
      <c r="B208" s="14" t="s">
        <v>261</v>
      </c>
    </row>
    <row r="209" spans="1:2" x14ac:dyDescent="0.25">
      <c r="A209" s="15">
        <v>5100</v>
      </c>
      <c r="B209" s="14" t="s">
        <v>263</v>
      </c>
    </row>
    <row r="210" spans="1:2" x14ac:dyDescent="0.25">
      <c r="A210" s="15">
        <v>5101</v>
      </c>
      <c r="B210" s="14" t="s">
        <v>265</v>
      </c>
    </row>
    <row r="211" spans="1:2" x14ac:dyDescent="0.25">
      <c r="A211" s="15">
        <v>5102</v>
      </c>
      <c r="B211" s="14" t="s">
        <v>267</v>
      </c>
    </row>
    <row r="212" spans="1:2" x14ac:dyDescent="0.25">
      <c r="A212" s="15">
        <v>5103</v>
      </c>
      <c r="B212" s="14" t="s">
        <v>269</v>
      </c>
    </row>
    <row r="213" spans="1:2" x14ac:dyDescent="0.25">
      <c r="A213" s="15">
        <v>5104</v>
      </c>
      <c r="B213" s="14" t="s">
        <v>271</v>
      </c>
    </row>
    <row r="214" spans="1:2" x14ac:dyDescent="0.25">
      <c r="A214" s="15">
        <v>5105</v>
      </c>
      <c r="B214" s="14" t="s">
        <v>273</v>
      </c>
    </row>
    <row r="215" spans="1:2" x14ac:dyDescent="0.25">
      <c r="A215" s="15">
        <v>5106</v>
      </c>
      <c r="B215" s="14" t="s">
        <v>275</v>
      </c>
    </row>
    <row r="216" spans="1:2" x14ac:dyDescent="0.25">
      <c r="A216" s="15">
        <v>5107</v>
      </c>
      <c r="B216" s="14" t="s">
        <v>277</v>
      </c>
    </row>
    <row r="217" spans="1:2" x14ac:dyDescent="0.25">
      <c r="A217" s="15">
        <v>5108</v>
      </c>
      <c r="B217" s="14" t="s">
        <v>279</v>
      </c>
    </row>
    <row r="218" spans="1:2" x14ac:dyDescent="0.25">
      <c r="A218" s="15">
        <v>5109</v>
      </c>
      <c r="B218" s="14" t="s">
        <v>281</v>
      </c>
    </row>
    <row r="219" spans="1:2" x14ac:dyDescent="0.25">
      <c r="A219" s="15">
        <v>5110</v>
      </c>
      <c r="B219" s="14" t="s">
        <v>283</v>
      </c>
    </row>
    <row r="220" spans="1:2" x14ac:dyDescent="0.25">
      <c r="A220" s="15">
        <v>5111</v>
      </c>
      <c r="B220" s="14" t="s">
        <v>285</v>
      </c>
    </row>
    <row r="221" spans="1:2" x14ac:dyDescent="0.25">
      <c r="A221" s="15">
        <v>5112</v>
      </c>
      <c r="B221" s="14" t="s">
        <v>202</v>
      </c>
    </row>
    <row r="222" spans="1:2" x14ac:dyDescent="0.25">
      <c r="A222" s="15">
        <v>5113</v>
      </c>
      <c r="B222" s="14" t="s">
        <v>288</v>
      </c>
    </row>
    <row r="223" spans="1:2" x14ac:dyDescent="0.25">
      <c r="A223" s="15">
        <v>5114</v>
      </c>
      <c r="B223" s="14" t="s">
        <v>290</v>
      </c>
    </row>
    <row r="224" spans="1:2" x14ac:dyDescent="0.25">
      <c r="A224" s="15">
        <v>5115</v>
      </c>
      <c r="B224" s="14" t="s">
        <v>292</v>
      </c>
    </row>
    <row r="225" spans="1:2" x14ac:dyDescent="0.25">
      <c r="A225" s="15">
        <v>5116</v>
      </c>
      <c r="B225" s="14" t="s">
        <v>294</v>
      </c>
    </row>
    <row r="226" spans="1:2" x14ac:dyDescent="0.25">
      <c r="A226" s="15">
        <v>5117</v>
      </c>
      <c r="B226" s="14" t="s">
        <v>296</v>
      </c>
    </row>
    <row r="227" spans="1:2" x14ac:dyDescent="0.25">
      <c r="A227" s="15">
        <v>5118</v>
      </c>
      <c r="B227" s="14" t="s">
        <v>298</v>
      </c>
    </row>
    <row r="228" spans="1:2" x14ac:dyDescent="0.25">
      <c r="A228" s="15">
        <v>5119</v>
      </c>
      <c r="B228" s="14" t="s">
        <v>300</v>
      </c>
    </row>
    <row r="229" spans="1:2" x14ac:dyDescent="0.25">
      <c r="A229" s="15">
        <v>5201</v>
      </c>
      <c r="B229" s="14" t="s">
        <v>302</v>
      </c>
    </row>
    <row r="230" spans="1:2" x14ac:dyDescent="0.25">
      <c r="A230" s="15">
        <v>5202</v>
      </c>
      <c r="B230" s="14" t="s">
        <v>304</v>
      </c>
    </row>
    <row r="231" spans="1:2" x14ac:dyDescent="0.25">
      <c r="A231" s="15">
        <v>5203</v>
      </c>
      <c r="B231" s="14" t="s">
        <v>306</v>
      </c>
    </row>
    <row r="232" spans="1:2" x14ac:dyDescent="0.25">
      <c r="A232" s="15">
        <v>5204</v>
      </c>
      <c r="B232" s="14" t="s">
        <v>308</v>
      </c>
    </row>
    <row r="233" spans="1:2" x14ac:dyDescent="0.25">
      <c r="A233" s="15">
        <v>5205</v>
      </c>
      <c r="B233" s="14" t="s">
        <v>310</v>
      </c>
    </row>
    <row r="234" spans="1:2" x14ac:dyDescent="0.25">
      <c r="A234" s="15">
        <v>5206</v>
      </c>
      <c r="B234" s="14" t="s">
        <v>312</v>
      </c>
    </row>
    <row r="235" spans="1:2" x14ac:dyDescent="0.25">
      <c r="A235" s="15">
        <v>5207</v>
      </c>
      <c r="B235" s="14" t="s">
        <v>314</v>
      </c>
    </row>
    <row r="236" spans="1:2" x14ac:dyDescent="0.25">
      <c r="A236" s="15">
        <v>5250</v>
      </c>
      <c r="B236" s="14" t="s">
        <v>316</v>
      </c>
    </row>
    <row r="237" spans="1:2" x14ac:dyDescent="0.25">
      <c r="A237" s="15">
        <v>5251</v>
      </c>
      <c r="B237" s="14" t="s">
        <v>318</v>
      </c>
    </row>
    <row r="238" spans="1:2" x14ac:dyDescent="0.25">
      <c r="A238" s="15">
        <v>5252</v>
      </c>
      <c r="B238" s="14" t="s">
        <v>320</v>
      </c>
    </row>
    <row r="239" spans="1:2" x14ac:dyDescent="0.25">
      <c r="A239" s="15">
        <v>5253</v>
      </c>
      <c r="B239" s="14" t="s">
        <v>322</v>
      </c>
    </row>
    <row r="240" spans="1:2" x14ac:dyDescent="0.25">
      <c r="A240" s="15">
        <v>5254</v>
      </c>
      <c r="B240" s="14" t="s">
        <v>324</v>
      </c>
    </row>
    <row r="241" spans="1:2" x14ac:dyDescent="0.25">
      <c r="A241" s="15">
        <v>5255</v>
      </c>
      <c r="B241" s="14" t="s">
        <v>326</v>
      </c>
    </row>
    <row r="242" spans="1:2" x14ac:dyDescent="0.25">
      <c r="A242" s="15">
        <v>5256</v>
      </c>
      <c r="B242" s="14" t="s">
        <v>328</v>
      </c>
    </row>
    <row r="243" spans="1:2" x14ac:dyDescent="0.25">
      <c r="A243" s="15">
        <v>5257</v>
      </c>
      <c r="B243" s="14" t="s">
        <v>330</v>
      </c>
    </row>
    <row r="244" spans="1:2" x14ac:dyDescent="0.25">
      <c r="A244" s="15">
        <v>5258</v>
      </c>
      <c r="B244" s="14" t="s">
        <v>191</v>
      </c>
    </row>
    <row r="245" spans="1:2" x14ac:dyDescent="0.25">
      <c r="A245" s="15">
        <v>5259</v>
      </c>
      <c r="B245" s="14" t="s">
        <v>333</v>
      </c>
    </row>
    <row r="246" spans="1:2" x14ac:dyDescent="0.25">
      <c r="A246" s="15">
        <v>5300</v>
      </c>
      <c r="B246" s="14" t="s">
        <v>335</v>
      </c>
    </row>
    <row r="247" spans="1:2" x14ac:dyDescent="0.25">
      <c r="A247" s="15">
        <v>5301</v>
      </c>
      <c r="B247" s="14" t="s">
        <v>337</v>
      </c>
    </row>
    <row r="248" spans="1:2" x14ac:dyDescent="0.25">
      <c r="A248" s="15">
        <v>5302</v>
      </c>
      <c r="B248" s="14" t="s">
        <v>339</v>
      </c>
    </row>
    <row r="249" spans="1:2" x14ac:dyDescent="0.25">
      <c r="A249" s="15">
        <v>5303</v>
      </c>
      <c r="B249" s="14" t="s">
        <v>341</v>
      </c>
    </row>
    <row r="250" spans="1:2" x14ac:dyDescent="0.25">
      <c r="A250" s="15">
        <v>5304</v>
      </c>
      <c r="B250" s="14" t="s">
        <v>343</v>
      </c>
    </row>
    <row r="251" spans="1:2" x14ac:dyDescent="0.25">
      <c r="A251" s="15">
        <v>5330</v>
      </c>
      <c r="B251" s="14" t="s">
        <v>345</v>
      </c>
    </row>
    <row r="252" spans="1:2" x14ac:dyDescent="0.25">
      <c r="A252" s="15">
        <v>5331</v>
      </c>
      <c r="B252" s="14" t="s">
        <v>347</v>
      </c>
    </row>
    <row r="253" spans="1:2" x14ac:dyDescent="0.25">
      <c r="A253" s="15">
        <v>5332</v>
      </c>
      <c r="B253" s="14" t="s">
        <v>349</v>
      </c>
    </row>
    <row r="254" spans="1:2" x14ac:dyDescent="0.25">
      <c r="A254" s="15">
        <v>5333</v>
      </c>
      <c r="B254" s="14" t="s">
        <v>351</v>
      </c>
    </row>
    <row r="255" spans="1:2" x14ac:dyDescent="0.25">
      <c r="A255" s="15">
        <v>5334</v>
      </c>
      <c r="B255" s="14" t="s">
        <v>353</v>
      </c>
    </row>
    <row r="256" spans="1:2" x14ac:dyDescent="0.25">
      <c r="A256" s="15">
        <v>5335</v>
      </c>
      <c r="B256" s="14" t="s">
        <v>355</v>
      </c>
    </row>
    <row r="257" spans="1:2" x14ac:dyDescent="0.25">
      <c r="A257" s="15">
        <v>5336</v>
      </c>
      <c r="B257" s="14" t="s">
        <v>357</v>
      </c>
    </row>
    <row r="258" spans="1:2" x14ac:dyDescent="0.25">
      <c r="A258" s="15">
        <v>5337</v>
      </c>
      <c r="B258" s="14" t="s">
        <v>359</v>
      </c>
    </row>
    <row r="259" spans="1:2" x14ac:dyDescent="0.25">
      <c r="A259" s="15">
        <v>5338</v>
      </c>
      <c r="B259" s="14" t="s">
        <v>361</v>
      </c>
    </row>
    <row r="260" spans="1:2" x14ac:dyDescent="0.25">
      <c r="A260" s="15">
        <v>5350</v>
      </c>
      <c r="B260" s="14" t="s">
        <v>363</v>
      </c>
    </row>
    <row r="261" spans="1:2" x14ac:dyDescent="0.25">
      <c r="A261" s="15">
        <v>5351</v>
      </c>
      <c r="B261" s="14" t="s">
        <v>365</v>
      </c>
    </row>
    <row r="262" spans="1:2" x14ac:dyDescent="0.25">
      <c r="A262" s="15">
        <v>5400</v>
      </c>
      <c r="B262" s="14" t="s">
        <v>367</v>
      </c>
    </row>
    <row r="263" spans="1:2" x14ac:dyDescent="0.25">
      <c r="A263" s="15">
        <v>5410</v>
      </c>
      <c r="B263" s="14" t="s">
        <v>369</v>
      </c>
    </row>
    <row r="264" spans="1:2" x14ac:dyDescent="0.25">
      <c r="A264" s="15">
        <v>5411</v>
      </c>
      <c r="B264" s="14" t="s">
        <v>371</v>
      </c>
    </row>
    <row r="265" spans="1:2" x14ac:dyDescent="0.25">
      <c r="A265" s="15">
        <v>5412</v>
      </c>
      <c r="B265" s="14" t="s">
        <v>373</v>
      </c>
    </row>
    <row r="266" spans="1:2" x14ac:dyDescent="0.25">
      <c r="A266" s="15">
        <v>5415</v>
      </c>
      <c r="B266" s="14" t="s">
        <v>375</v>
      </c>
    </row>
    <row r="267" spans="1:2" x14ac:dyDescent="0.25">
      <c r="A267" s="15">
        <v>5416</v>
      </c>
      <c r="B267" s="14" t="s">
        <v>377</v>
      </c>
    </row>
    <row r="268" spans="1:2" x14ac:dyDescent="0.25">
      <c r="A268" s="15">
        <v>5417</v>
      </c>
      <c r="B268" s="14" t="s">
        <v>379</v>
      </c>
    </row>
    <row r="269" spans="1:2" x14ac:dyDescent="0.25">
      <c r="A269" s="15">
        <v>5420</v>
      </c>
      <c r="B269" s="14" t="s">
        <v>381</v>
      </c>
    </row>
    <row r="270" spans="1:2" x14ac:dyDescent="0.25">
      <c r="A270" s="15">
        <v>5421</v>
      </c>
      <c r="B270" s="14" t="s">
        <v>383</v>
      </c>
    </row>
    <row r="271" spans="1:2" x14ac:dyDescent="0.25">
      <c r="A271" s="15">
        <v>5422</v>
      </c>
      <c r="B271" s="14" t="s">
        <v>385</v>
      </c>
    </row>
    <row r="272" spans="1:2" x14ac:dyDescent="0.25">
      <c r="A272" s="15">
        <v>5425</v>
      </c>
      <c r="B272" s="14" t="s">
        <v>387</v>
      </c>
    </row>
    <row r="273" spans="1:2" x14ac:dyDescent="0.25">
      <c r="A273" s="15">
        <v>5426</v>
      </c>
      <c r="B273" s="14" t="s">
        <v>389</v>
      </c>
    </row>
    <row r="274" spans="1:2" x14ac:dyDescent="0.25">
      <c r="A274" s="15">
        <v>5427</v>
      </c>
      <c r="B274" s="14" t="s">
        <v>391</v>
      </c>
    </row>
    <row r="275" spans="1:2" x14ac:dyDescent="0.25">
      <c r="A275" s="15">
        <v>5430</v>
      </c>
      <c r="B275" s="14" t="s">
        <v>393</v>
      </c>
    </row>
    <row r="276" spans="1:2" x14ac:dyDescent="0.25">
      <c r="A276" s="15">
        <v>5431</v>
      </c>
      <c r="B276" s="14" t="s">
        <v>395</v>
      </c>
    </row>
    <row r="277" spans="1:2" x14ac:dyDescent="0.25">
      <c r="A277" s="15">
        <v>5432</v>
      </c>
      <c r="B277" s="14" t="s">
        <v>397</v>
      </c>
    </row>
    <row r="278" spans="1:2" x14ac:dyDescent="0.25">
      <c r="A278" s="15">
        <v>5435</v>
      </c>
      <c r="B278" s="14" t="s">
        <v>399</v>
      </c>
    </row>
    <row r="279" spans="1:2" x14ac:dyDescent="0.25">
      <c r="A279" s="15">
        <v>5436</v>
      </c>
      <c r="B279" s="14" t="s">
        <v>401</v>
      </c>
    </row>
    <row r="280" spans="1:2" x14ac:dyDescent="0.25">
      <c r="A280" s="15">
        <v>5437</v>
      </c>
      <c r="B280" s="14" t="s">
        <v>403</v>
      </c>
    </row>
    <row r="281" spans="1:2" x14ac:dyDescent="0.25">
      <c r="A281" s="15">
        <v>5440</v>
      </c>
      <c r="B281" s="14" t="s">
        <v>405</v>
      </c>
    </row>
    <row r="282" spans="1:2" x14ac:dyDescent="0.25">
      <c r="A282" s="15">
        <v>5445</v>
      </c>
      <c r="B282" s="14" t="s">
        <v>407</v>
      </c>
    </row>
    <row r="283" spans="1:2" x14ac:dyDescent="0.25">
      <c r="A283" s="15">
        <v>5550</v>
      </c>
      <c r="B283" s="14" t="s">
        <v>409</v>
      </c>
    </row>
    <row r="284" spans="1:2" x14ac:dyDescent="0.25">
      <c r="A284" s="15">
        <v>5559</v>
      </c>
      <c r="B284" s="14" t="s">
        <v>411</v>
      </c>
    </row>
    <row r="285" spans="1:2" x14ac:dyDescent="0.25">
      <c r="A285" s="15">
        <v>5560</v>
      </c>
      <c r="B285" s="14" t="s">
        <v>413</v>
      </c>
    </row>
    <row r="286" spans="1:2" x14ac:dyDescent="0.25">
      <c r="A286" s="15">
        <v>5561</v>
      </c>
      <c r="B286" s="14" t="s">
        <v>415</v>
      </c>
    </row>
    <row r="287" spans="1:2" x14ac:dyDescent="0.25">
      <c r="A287" s="15">
        <v>5562</v>
      </c>
      <c r="B287" s="14" t="s">
        <v>417</v>
      </c>
    </row>
    <row r="288" spans="1:2" x14ac:dyDescent="0.25">
      <c r="A288" s="15">
        <v>5563</v>
      </c>
      <c r="B288" s="14" t="s">
        <v>419</v>
      </c>
    </row>
    <row r="289" spans="1:2" x14ac:dyDescent="0.25">
      <c r="A289" s="15">
        <v>5564</v>
      </c>
      <c r="B289" s="14" t="s">
        <v>421</v>
      </c>
    </row>
    <row r="290" spans="1:2" x14ac:dyDescent="0.25">
      <c r="A290" s="15">
        <v>5565</v>
      </c>
      <c r="B290" s="14" t="s">
        <v>423</v>
      </c>
    </row>
    <row r="291" spans="1:2" x14ac:dyDescent="0.25">
      <c r="A291" s="15">
        <v>5566</v>
      </c>
      <c r="B291" s="14" t="s">
        <v>425</v>
      </c>
    </row>
    <row r="292" spans="1:2" x14ac:dyDescent="0.25">
      <c r="A292" s="15">
        <v>5570</v>
      </c>
      <c r="B292" s="14" t="s">
        <v>427</v>
      </c>
    </row>
    <row r="293" spans="1:2" x14ac:dyDescent="0.25">
      <c r="A293" s="15">
        <v>5571</v>
      </c>
      <c r="B293" s="14" t="s">
        <v>429</v>
      </c>
    </row>
    <row r="294" spans="1:2" x14ac:dyDescent="0.25">
      <c r="A294" s="15">
        <v>5572</v>
      </c>
      <c r="B294" s="14" t="s">
        <v>431</v>
      </c>
    </row>
    <row r="295" spans="1:2" x14ac:dyDescent="0.25">
      <c r="A295" s="15">
        <v>5573</v>
      </c>
      <c r="B295" s="14" t="s">
        <v>433</v>
      </c>
    </row>
    <row r="296" spans="1:2" x14ac:dyDescent="0.25">
      <c r="A296" s="15">
        <v>5580</v>
      </c>
      <c r="B296" s="14" t="s">
        <v>435</v>
      </c>
    </row>
    <row r="297" spans="1:2" x14ac:dyDescent="0.25">
      <c r="A297" s="13" t="s">
        <v>438</v>
      </c>
      <c r="B297" s="14" t="s">
        <v>437</v>
      </c>
    </row>
    <row r="298" spans="1:2" x14ac:dyDescent="0.25">
      <c r="A298" s="15">
        <v>6001</v>
      </c>
      <c r="B298" s="14" t="s">
        <v>439</v>
      </c>
    </row>
    <row r="299" spans="1:2" x14ac:dyDescent="0.25">
      <c r="A299" s="15">
        <v>6002</v>
      </c>
      <c r="B299" s="14" t="s">
        <v>441</v>
      </c>
    </row>
    <row r="300" spans="1:2" x14ac:dyDescent="0.25">
      <c r="A300" s="15">
        <v>6003</v>
      </c>
      <c r="B300" s="14" t="s">
        <v>443</v>
      </c>
    </row>
    <row r="301" spans="1:2" x14ac:dyDescent="0.25">
      <c r="A301" s="15">
        <v>6004</v>
      </c>
      <c r="B301" s="14" t="s">
        <v>445</v>
      </c>
    </row>
    <row r="302" spans="1:2" x14ac:dyDescent="0.25">
      <c r="A302" s="15">
        <v>6005</v>
      </c>
      <c r="B302" s="14" t="s">
        <v>447</v>
      </c>
    </row>
    <row r="303" spans="1:2" x14ac:dyDescent="0.25">
      <c r="A303" s="15">
        <v>6006</v>
      </c>
      <c r="B303" s="14" t="s">
        <v>449</v>
      </c>
    </row>
    <row r="304" spans="1:2" x14ac:dyDescent="0.25">
      <c r="A304" s="15">
        <v>6010</v>
      </c>
      <c r="B304" s="14" t="s">
        <v>451</v>
      </c>
    </row>
    <row r="305" spans="1:2" x14ac:dyDescent="0.25">
      <c r="A305" s="15">
        <v>6011</v>
      </c>
      <c r="B305" s="14" t="s">
        <v>453</v>
      </c>
    </row>
    <row r="306" spans="1:2" x14ac:dyDescent="0.25">
      <c r="A306" s="15">
        <v>6012</v>
      </c>
      <c r="B306" s="14" t="s">
        <v>455</v>
      </c>
    </row>
    <row r="307" spans="1:2" x14ac:dyDescent="0.25">
      <c r="A307" s="15">
        <v>6013</v>
      </c>
      <c r="B307" s="14" t="s">
        <v>457</v>
      </c>
    </row>
    <row r="308" spans="1:2" x14ac:dyDescent="0.25">
      <c r="A308" s="15">
        <v>6014</v>
      </c>
      <c r="B308" s="14" t="s">
        <v>459</v>
      </c>
    </row>
    <row r="309" spans="1:2" x14ac:dyDescent="0.25">
      <c r="A309" s="15">
        <v>6015</v>
      </c>
      <c r="B309" s="14" t="s">
        <v>461</v>
      </c>
    </row>
    <row r="310" spans="1:2" x14ac:dyDescent="0.25">
      <c r="A310" s="15">
        <v>6050</v>
      </c>
      <c r="B310" s="14" t="s">
        <v>463</v>
      </c>
    </row>
    <row r="311" spans="1:2" x14ac:dyDescent="0.25">
      <c r="A311" s="15">
        <v>6060</v>
      </c>
      <c r="B311" s="14" t="s">
        <v>465</v>
      </c>
    </row>
    <row r="312" spans="1:2" x14ac:dyDescent="0.25">
      <c r="A312" s="15">
        <v>6061</v>
      </c>
      <c r="B312" s="14" t="s">
        <v>184</v>
      </c>
    </row>
    <row r="313" spans="1:2" x14ac:dyDescent="0.25">
      <c r="A313" s="15">
        <v>6062</v>
      </c>
      <c r="B313" s="14" t="s">
        <v>468</v>
      </c>
    </row>
    <row r="314" spans="1:2" x14ac:dyDescent="0.25">
      <c r="A314" s="15">
        <v>6063</v>
      </c>
      <c r="B314" s="14" t="s">
        <v>470</v>
      </c>
    </row>
    <row r="315" spans="1:2" x14ac:dyDescent="0.25">
      <c r="A315" s="15">
        <v>6100</v>
      </c>
      <c r="B315" s="14" t="s">
        <v>472</v>
      </c>
    </row>
    <row r="316" spans="1:2" x14ac:dyDescent="0.25">
      <c r="A316" s="15">
        <v>6101</v>
      </c>
      <c r="B316" s="14" t="s">
        <v>474</v>
      </c>
    </row>
    <row r="317" spans="1:2" x14ac:dyDescent="0.25">
      <c r="A317" s="15">
        <v>6102</v>
      </c>
      <c r="B317" s="14" t="s">
        <v>316</v>
      </c>
    </row>
    <row r="318" spans="1:2" x14ac:dyDescent="0.25">
      <c r="A318" s="15">
        <v>6103</v>
      </c>
      <c r="B318" s="14" t="s">
        <v>477</v>
      </c>
    </row>
    <row r="319" spans="1:2" x14ac:dyDescent="0.25">
      <c r="A319" s="15">
        <v>6104</v>
      </c>
      <c r="B319" s="14" t="s">
        <v>479</v>
      </c>
    </row>
    <row r="320" spans="1:2" x14ac:dyDescent="0.25">
      <c r="A320" s="15">
        <v>6105</v>
      </c>
      <c r="B320" s="14" t="s">
        <v>481</v>
      </c>
    </row>
    <row r="321" spans="1:2" x14ac:dyDescent="0.25">
      <c r="A321" s="15">
        <v>6106</v>
      </c>
      <c r="B321" s="14" t="s">
        <v>483</v>
      </c>
    </row>
    <row r="322" spans="1:2" x14ac:dyDescent="0.25">
      <c r="A322" s="15">
        <v>6108</v>
      </c>
      <c r="B322" s="14" t="s">
        <v>485</v>
      </c>
    </row>
    <row r="323" spans="1:2" x14ac:dyDescent="0.25">
      <c r="A323" s="15">
        <v>6109</v>
      </c>
      <c r="B323" s="14" t="s">
        <v>487</v>
      </c>
    </row>
    <row r="324" spans="1:2" x14ac:dyDescent="0.25">
      <c r="A324" s="15">
        <v>6110</v>
      </c>
      <c r="B324" s="14" t="s">
        <v>489</v>
      </c>
    </row>
    <row r="325" spans="1:2" x14ac:dyDescent="0.25">
      <c r="A325" s="15">
        <v>6111</v>
      </c>
      <c r="B325" s="14" t="s">
        <v>491</v>
      </c>
    </row>
    <row r="326" spans="1:2" x14ac:dyDescent="0.25">
      <c r="A326" s="15">
        <v>6112</v>
      </c>
      <c r="B326" s="14" t="s">
        <v>493</v>
      </c>
    </row>
    <row r="327" spans="1:2" x14ac:dyDescent="0.25">
      <c r="A327" s="15">
        <v>6113</v>
      </c>
      <c r="B327" s="14" t="s">
        <v>495</v>
      </c>
    </row>
    <row r="328" spans="1:2" x14ac:dyDescent="0.25">
      <c r="A328" s="15">
        <v>6114</v>
      </c>
      <c r="B328" s="14" t="s">
        <v>497</v>
      </c>
    </row>
    <row r="329" spans="1:2" x14ac:dyDescent="0.25">
      <c r="A329" s="15">
        <v>6115</v>
      </c>
      <c r="B329" s="14" t="s">
        <v>499</v>
      </c>
    </row>
    <row r="330" spans="1:2" x14ac:dyDescent="0.25">
      <c r="A330" s="15">
        <v>6116</v>
      </c>
      <c r="B330" s="14" t="s">
        <v>501</v>
      </c>
    </row>
    <row r="331" spans="1:2" x14ac:dyDescent="0.25">
      <c r="A331" s="15">
        <v>6117</v>
      </c>
      <c r="B331" s="14" t="s">
        <v>503</v>
      </c>
    </row>
    <row r="332" spans="1:2" x14ac:dyDescent="0.25">
      <c r="A332" s="15">
        <v>6118</v>
      </c>
      <c r="B332" s="14" t="s">
        <v>505</v>
      </c>
    </row>
    <row r="333" spans="1:2" x14ac:dyDescent="0.25">
      <c r="A333" s="15">
        <v>6119</v>
      </c>
      <c r="B333" s="14" t="s">
        <v>507</v>
      </c>
    </row>
    <row r="334" spans="1:2" x14ac:dyDescent="0.25">
      <c r="A334" s="15">
        <v>6120</v>
      </c>
      <c r="B334" s="14" t="s">
        <v>509</v>
      </c>
    </row>
    <row r="335" spans="1:2" x14ac:dyDescent="0.25">
      <c r="A335" s="15">
        <v>6121</v>
      </c>
      <c r="B335" s="14" t="s">
        <v>511</v>
      </c>
    </row>
    <row r="336" spans="1:2" x14ac:dyDescent="0.25">
      <c r="A336" s="15">
        <v>6122</v>
      </c>
      <c r="B336" s="14" t="s">
        <v>513</v>
      </c>
    </row>
    <row r="337" spans="1:2" x14ac:dyDescent="0.25">
      <c r="A337" s="15">
        <v>6130</v>
      </c>
      <c r="B337" s="14" t="s">
        <v>515</v>
      </c>
    </row>
    <row r="338" spans="1:2" x14ac:dyDescent="0.25">
      <c r="A338" s="15">
        <v>6131</v>
      </c>
      <c r="B338" s="14" t="s">
        <v>517</v>
      </c>
    </row>
    <row r="339" spans="1:2" x14ac:dyDescent="0.25">
      <c r="A339" s="15">
        <v>6132</v>
      </c>
      <c r="B339" s="14" t="s">
        <v>519</v>
      </c>
    </row>
    <row r="340" spans="1:2" x14ac:dyDescent="0.25">
      <c r="A340" s="15">
        <v>6133</v>
      </c>
      <c r="B340" s="14" t="s">
        <v>521</v>
      </c>
    </row>
    <row r="341" spans="1:2" x14ac:dyDescent="0.25">
      <c r="A341" s="15">
        <v>6200</v>
      </c>
      <c r="B341" s="14" t="s">
        <v>523</v>
      </c>
    </row>
    <row r="342" spans="1:2" x14ac:dyDescent="0.25">
      <c r="A342" s="15">
        <v>6500</v>
      </c>
      <c r="B342" s="14" t="s">
        <v>523</v>
      </c>
    </row>
    <row r="343" spans="1:2" x14ac:dyDescent="0.25">
      <c r="A343" s="15">
        <v>6550</v>
      </c>
      <c r="B343" s="14" t="s">
        <v>526</v>
      </c>
    </row>
    <row r="344" spans="1:2" x14ac:dyDescent="0.25">
      <c r="A344" s="15">
        <v>6600</v>
      </c>
      <c r="B344" s="14" t="s">
        <v>528</v>
      </c>
    </row>
    <row r="345" spans="1:2" x14ac:dyDescent="0.25">
      <c r="A345" s="13" t="s">
        <v>531</v>
      </c>
      <c r="B345" s="14" t="s">
        <v>530</v>
      </c>
    </row>
    <row r="346" spans="1:2" x14ac:dyDescent="0.25">
      <c r="A346" s="15">
        <v>7001</v>
      </c>
      <c r="B346" s="14" t="s">
        <v>532</v>
      </c>
    </row>
    <row r="347" spans="1:2" x14ac:dyDescent="0.25">
      <c r="A347" s="15">
        <v>7002</v>
      </c>
      <c r="B347" s="14" t="s">
        <v>534</v>
      </c>
    </row>
    <row r="348" spans="1:2" x14ac:dyDescent="0.25">
      <c r="A348" s="15">
        <v>7003</v>
      </c>
      <c r="B348" s="14" t="s">
        <v>536</v>
      </c>
    </row>
    <row r="349" spans="1:2" x14ac:dyDescent="0.25">
      <c r="A349" s="15">
        <v>7004</v>
      </c>
      <c r="B349" s="14" t="s">
        <v>538</v>
      </c>
    </row>
    <row r="350" spans="1:2" x14ac:dyDescent="0.25">
      <c r="A350" s="15">
        <v>7005</v>
      </c>
      <c r="B350" s="14" t="s">
        <v>540</v>
      </c>
    </row>
    <row r="351" spans="1:2" x14ac:dyDescent="0.25">
      <c r="A351" s="15">
        <v>7006</v>
      </c>
      <c r="B351" s="14" t="s">
        <v>413</v>
      </c>
    </row>
    <row r="352" spans="1:2" x14ac:dyDescent="0.25">
      <c r="A352" s="15">
        <v>7007</v>
      </c>
      <c r="B352" s="14" t="s">
        <v>543</v>
      </c>
    </row>
    <row r="353" spans="1:2" x14ac:dyDescent="0.25">
      <c r="A353" s="15">
        <v>7008</v>
      </c>
      <c r="B353" s="14" t="s">
        <v>545</v>
      </c>
    </row>
    <row r="354" spans="1:2" x14ac:dyDescent="0.25">
      <c r="A354" s="15">
        <v>7150</v>
      </c>
      <c r="B354" s="14" t="s">
        <v>547</v>
      </c>
    </row>
    <row r="355" spans="1:2" x14ac:dyDescent="0.25">
      <c r="A355" s="15">
        <v>7151</v>
      </c>
      <c r="B355" s="14" t="s">
        <v>549</v>
      </c>
    </row>
    <row r="356" spans="1:2" x14ac:dyDescent="0.25">
      <c r="A356" s="15">
        <v>7152</v>
      </c>
      <c r="B356" s="14" t="s">
        <v>551</v>
      </c>
    </row>
    <row r="357" spans="1:2" x14ac:dyDescent="0.25">
      <c r="A357" s="15">
        <v>7200</v>
      </c>
      <c r="B357" s="14" t="s">
        <v>553</v>
      </c>
    </row>
    <row r="358" spans="1:2" x14ac:dyDescent="0.25">
      <c r="A358" s="15">
        <v>7201</v>
      </c>
      <c r="B358" s="14" t="s">
        <v>555</v>
      </c>
    </row>
    <row r="359" spans="1:2" x14ac:dyDescent="0.25">
      <c r="A359" s="15">
        <v>7250</v>
      </c>
      <c r="B359" s="14" t="s">
        <v>557</v>
      </c>
    </row>
    <row r="360" spans="1:2" x14ac:dyDescent="0.25">
      <c r="A360" s="13" t="s">
        <v>560</v>
      </c>
      <c r="B360" s="14" t="s">
        <v>559</v>
      </c>
    </row>
    <row r="361" spans="1:2" x14ac:dyDescent="0.25">
      <c r="A361" s="15">
        <v>9997</v>
      </c>
      <c r="B361" s="14" t="s">
        <v>561</v>
      </c>
    </row>
    <row r="362" spans="1:2" x14ac:dyDescent="0.25">
      <c r="A362" s="15">
        <v>9998</v>
      </c>
      <c r="B362" s="14" t="s">
        <v>563</v>
      </c>
    </row>
    <row r="363" spans="1:2" x14ac:dyDescent="0.25">
      <c r="A363" s="15">
        <v>9999</v>
      </c>
      <c r="B363" s="14" t="s">
        <v>559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>
    <tabColor rgb="FF00B050"/>
  </sheetPr>
  <dimension ref="A3:B16"/>
  <sheetViews>
    <sheetView workbookViewId="0">
      <selection activeCell="B17" sqref="B17"/>
    </sheetView>
  </sheetViews>
  <sheetFormatPr defaultRowHeight="15" x14ac:dyDescent="0.25"/>
  <cols>
    <col min="2" max="2" width="19.28515625" bestFit="1" customWidth="1"/>
  </cols>
  <sheetData>
    <row r="3" spans="1:2" s="6" customFormat="1" x14ac:dyDescent="0.25"/>
    <row r="4" spans="1:2" s="6" customFormat="1" x14ac:dyDescent="0.25"/>
    <row r="5" spans="1:2" s="6" customFormat="1" x14ac:dyDescent="0.25"/>
    <row r="6" spans="1:2" x14ac:dyDescent="0.25">
      <c r="A6" s="8" t="s">
        <v>38</v>
      </c>
      <c r="B6" t="s">
        <v>49</v>
      </c>
    </row>
    <row r="7" spans="1:2" x14ac:dyDescent="0.25">
      <c r="A7" s="8" t="s">
        <v>39</v>
      </c>
      <c r="B7" t="s">
        <v>50</v>
      </c>
    </row>
    <row r="8" spans="1:2" x14ac:dyDescent="0.25">
      <c r="A8" s="8" t="s">
        <v>40</v>
      </c>
      <c r="B8" t="s">
        <v>51</v>
      </c>
    </row>
    <row r="9" spans="1:2" x14ac:dyDescent="0.25">
      <c r="A9" s="8" t="s">
        <v>41</v>
      </c>
      <c r="B9" t="s">
        <v>52</v>
      </c>
    </row>
    <row r="10" spans="1:2" x14ac:dyDescent="0.25">
      <c r="A10" s="8" t="s">
        <v>42</v>
      </c>
      <c r="B10" t="s">
        <v>53</v>
      </c>
    </row>
    <row r="11" spans="1:2" x14ac:dyDescent="0.25">
      <c r="A11" s="8" t="s">
        <v>43</v>
      </c>
      <c r="B11" t="s">
        <v>54</v>
      </c>
    </row>
    <row r="12" spans="1:2" x14ac:dyDescent="0.25">
      <c r="A12" s="8" t="s">
        <v>44</v>
      </c>
      <c r="B12" t="s">
        <v>55</v>
      </c>
    </row>
    <row r="13" spans="1:2" x14ac:dyDescent="0.25">
      <c r="A13" s="8" t="s">
        <v>45</v>
      </c>
      <c r="B13" t="s">
        <v>56</v>
      </c>
    </row>
    <row r="14" spans="1:2" x14ac:dyDescent="0.25">
      <c r="A14" s="8" t="s">
        <v>46</v>
      </c>
      <c r="B14" t="s">
        <v>57</v>
      </c>
    </row>
    <row r="15" spans="1:2" x14ac:dyDescent="0.25">
      <c r="A15" s="8" t="s">
        <v>47</v>
      </c>
      <c r="B15" t="s">
        <v>58</v>
      </c>
    </row>
    <row r="16" spans="1:2" x14ac:dyDescent="0.25">
      <c r="A16" s="8" t="s">
        <v>48</v>
      </c>
      <c r="B16" t="s">
        <v>59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4">
    <tabColor rgb="FF00B050"/>
  </sheetPr>
  <dimension ref="A5:G19"/>
  <sheetViews>
    <sheetView workbookViewId="0">
      <selection activeCell="B17" sqref="B17"/>
    </sheetView>
  </sheetViews>
  <sheetFormatPr defaultRowHeight="15" x14ac:dyDescent="0.25"/>
  <cols>
    <col min="2" max="2" width="21.42578125" style="6" customWidth="1"/>
    <col min="3" max="7" width="9.140625" style="6"/>
  </cols>
  <sheetData>
    <row r="5" spans="1:7" x14ac:dyDescent="0.25">
      <c r="A5" s="9" t="s">
        <v>74</v>
      </c>
      <c r="B5" s="14" t="s">
        <v>60</v>
      </c>
      <c r="C5" s="14"/>
      <c r="D5" s="14"/>
      <c r="E5" s="14"/>
      <c r="F5" s="14"/>
      <c r="G5" s="14"/>
    </row>
    <row r="6" spans="1:7" x14ac:dyDescent="0.25">
      <c r="A6" s="9" t="s">
        <v>75</v>
      </c>
      <c r="B6" s="14" t="s">
        <v>61</v>
      </c>
      <c r="C6" s="14"/>
      <c r="D6" s="14"/>
      <c r="E6" s="14"/>
      <c r="F6" s="14"/>
      <c r="G6" s="14"/>
    </row>
    <row r="7" spans="1:7" x14ac:dyDescent="0.25">
      <c r="A7" s="9" t="s">
        <v>76</v>
      </c>
      <c r="B7" s="14" t="s">
        <v>62</v>
      </c>
      <c r="C7" s="14"/>
      <c r="D7" s="14"/>
      <c r="E7" s="14"/>
      <c r="F7" s="14"/>
      <c r="G7" s="14"/>
    </row>
    <row r="8" spans="1:7" x14ac:dyDescent="0.25">
      <c r="A8" s="9" t="s">
        <v>77</v>
      </c>
      <c r="B8" s="14" t="s">
        <v>63</v>
      </c>
      <c r="C8" s="14"/>
      <c r="D8" s="14"/>
      <c r="E8" s="14"/>
      <c r="F8" s="14"/>
      <c r="G8" s="14"/>
    </row>
    <row r="9" spans="1:7" x14ac:dyDescent="0.25">
      <c r="A9" s="9" t="s">
        <v>78</v>
      </c>
      <c r="B9" s="14" t="s">
        <v>64</v>
      </c>
      <c r="C9" s="14"/>
      <c r="D9" s="14"/>
      <c r="E9" s="14"/>
      <c r="F9" s="14"/>
      <c r="G9" s="14"/>
    </row>
    <row r="10" spans="1:7" x14ac:dyDescent="0.25">
      <c r="A10" s="9" t="s">
        <v>79</v>
      </c>
      <c r="B10" s="14" t="s">
        <v>65</v>
      </c>
      <c r="C10" s="14"/>
      <c r="D10" s="14"/>
      <c r="E10" s="14"/>
      <c r="F10" s="14"/>
      <c r="G10" s="14"/>
    </row>
    <row r="11" spans="1:7" x14ac:dyDescent="0.25">
      <c r="A11" s="9" t="s">
        <v>80</v>
      </c>
      <c r="B11" s="14" t="s">
        <v>53</v>
      </c>
      <c r="C11" s="14"/>
      <c r="D11" s="14"/>
      <c r="E11" s="14"/>
      <c r="F11" s="14"/>
      <c r="G11" s="14"/>
    </row>
    <row r="12" spans="1:7" x14ac:dyDescent="0.25">
      <c r="A12" s="9" t="s">
        <v>81</v>
      </c>
      <c r="B12" s="14" t="s">
        <v>66</v>
      </c>
      <c r="C12" s="14"/>
      <c r="D12" s="14"/>
      <c r="E12" s="14"/>
      <c r="F12" s="14"/>
      <c r="G12" s="14"/>
    </row>
    <row r="13" spans="1:7" x14ac:dyDescent="0.25">
      <c r="A13" s="9" t="s">
        <v>82</v>
      </c>
      <c r="B13" s="14" t="s">
        <v>67</v>
      </c>
      <c r="C13" s="14"/>
      <c r="D13" s="14"/>
      <c r="E13" s="14"/>
      <c r="F13" s="14"/>
      <c r="G13" s="14"/>
    </row>
    <row r="14" spans="1:7" x14ac:dyDescent="0.25">
      <c r="A14" s="9" t="s">
        <v>83</v>
      </c>
      <c r="B14" s="14" t="s">
        <v>68</v>
      </c>
      <c r="C14" s="14"/>
      <c r="D14" s="14"/>
      <c r="E14" s="14"/>
      <c r="F14" s="14"/>
      <c r="G14" s="14"/>
    </row>
    <row r="15" spans="1:7" x14ac:dyDescent="0.25">
      <c r="A15" s="9" t="s">
        <v>84</v>
      </c>
      <c r="B15" s="14" t="s">
        <v>69</v>
      </c>
      <c r="C15" s="14"/>
      <c r="D15" s="14"/>
      <c r="E15" s="14"/>
      <c r="F15" s="14"/>
      <c r="G15" s="14"/>
    </row>
    <row r="16" spans="1:7" x14ac:dyDescent="0.25">
      <c r="A16" s="9" t="s">
        <v>85</v>
      </c>
      <c r="B16" s="14" t="s">
        <v>70</v>
      </c>
      <c r="C16" s="14"/>
      <c r="D16" s="14"/>
      <c r="E16" s="14"/>
      <c r="F16" s="14"/>
      <c r="G16" s="14"/>
    </row>
    <row r="17" spans="1:7" x14ac:dyDescent="0.25">
      <c r="A17" s="9" t="s">
        <v>86</v>
      </c>
      <c r="B17" s="14" t="s">
        <v>71</v>
      </c>
      <c r="C17" s="14"/>
      <c r="D17" s="14"/>
      <c r="E17" s="14"/>
      <c r="F17" s="14"/>
      <c r="G17" s="14"/>
    </row>
    <row r="18" spans="1:7" x14ac:dyDescent="0.25">
      <c r="A18" s="9" t="s">
        <v>87</v>
      </c>
      <c r="B18" s="14" t="s">
        <v>72</v>
      </c>
      <c r="C18" s="14"/>
      <c r="D18" s="14"/>
      <c r="E18" s="14"/>
      <c r="F18" s="14"/>
      <c r="G18" s="14"/>
    </row>
    <row r="19" spans="1:7" x14ac:dyDescent="0.25">
      <c r="A19" s="9" t="s">
        <v>88</v>
      </c>
      <c r="B19" s="14" t="s">
        <v>73</v>
      </c>
      <c r="C19" s="14"/>
      <c r="D19" s="14"/>
      <c r="E19" s="14"/>
      <c r="F19" s="14"/>
      <c r="G19" s="1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5">
    <tabColor rgb="FF00B050"/>
  </sheetPr>
  <dimension ref="A5:G171"/>
  <sheetViews>
    <sheetView topLeftCell="A5" workbookViewId="0">
      <selection activeCell="B17" sqref="B17"/>
    </sheetView>
  </sheetViews>
  <sheetFormatPr defaultRowHeight="15" x14ac:dyDescent="0.25"/>
  <cols>
    <col min="2" max="2" width="17.7109375" style="6" customWidth="1"/>
    <col min="3" max="7" width="9.140625" style="6"/>
  </cols>
  <sheetData>
    <row r="5" spans="1:7" x14ac:dyDescent="0.25">
      <c r="A5">
        <v>3000</v>
      </c>
      <c r="B5" s="14" t="s">
        <v>89</v>
      </c>
      <c r="C5" s="14"/>
      <c r="D5" s="14"/>
      <c r="E5" s="14"/>
      <c r="F5" s="14"/>
      <c r="G5" s="14"/>
    </row>
    <row r="6" spans="1:7" x14ac:dyDescent="0.25">
      <c r="A6">
        <v>3005</v>
      </c>
      <c r="B6" s="14" t="s">
        <v>90</v>
      </c>
      <c r="C6" s="14"/>
      <c r="D6" s="14"/>
      <c r="E6" s="14"/>
      <c r="F6" s="14"/>
      <c r="G6" s="14"/>
    </row>
    <row r="7" spans="1:7" x14ac:dyDescent="0.25">
      <c r="A7">
        <v>3006</v>
      </c>
      <c r="B7" s="14" t="s">
        <v>91</v>
      </c>
      <c r="C7" s="14"/>
      <c r="D7" s="14"/>
      <c r="E7" s="14"/>
      <c r="F7" s="14"/>
      <c r="G7" s="14"/>
    </row>
    <row r="8" spans="1:7" x14ac:dyDescent="0.25">
      <c r="A8">
        <v>3007</v>
      </c>
      <c r="B8" s="14" t="s">
        <v>92</v>
      </c>
      <c r="C8" s="14"/>
      <c r="D8" s="14"/>
      <c r="E8" s="14"/>
      <c r="F8" s="14"/>
      <c r="G8" s="14"/>
    </row>
    <row r="9" spans="1:7" x14ac:dyDescent="0.25">
      <c r="A9">
        <v>3008</v>
      </c>
      <c r="B9" s="14" t="s">
        <v>93</v>
      </c>
      <c r="C9" s="14"/>
      <c r="D9" s="14"/>
      <c r="E9" s="14"/>
      <c r="F9" s="14"/>
      <c r="G9" s="14"/>
    </row>
    <row r="10" spans="1:7" x14ac:dyDescent="0.25">
      <c r="A10">
        <v>3009</v>
      </c>
      <c r="B10" s="14" t="s">
        <v>94</v>
      </c>
      <c r="C10" s="14"/>
      <c r="D10" s="14"/>
      <c r="E10" s="14"/>
      <c r="F10" s="14"/>
      <c r="G10" s="14"/>
    </row>
    <row r="11" spans="1:7" x14ac:dyDescent="0.25">
      <c r="A11">
        <v>3010</v>
      </c>
      <c r="B11" s="14" t="s">
        <v>95</v>
      </c>
      <c r="C11" s="14"/>
      <c r="D11" s="14"/>
      <c r="E11" s="14"/>
      <c r="F11" s="14"/>
      <c r="G11" s="14"/>
    </row>
    <row r="12" spans="1:7" x14ac:dyDescent="0.25">
      <c r="A12">
        <v>3015</v>
      </c>
      <c r="B12" s="14" t="s">
        <v>96</v>
      </c>
      <c r="C12" s="14"/>
      <c r="D12" s="14"/>
      <c r="E12" s="14"/>
      <c r="F12" s="14"/>
      <c r="G12" s="14"/>
    </row>
    <row r="13" spans="1:7" x14ac:dyDescent="0.25">
      <c r="A13">
        <v>3020</v>
      </c>
      <c r="B13" s="14" t="s">
        <v>97</v>
      </c>
      <c r="C13" s="14"/>
      <c r="D13" s="14"/>
      <c r="E13" s="14"/>
      <c r="F13" s="14"/>
      <c r="G13" s="14"/>
    </row>
    <row r="14" spans="1:7" x14ac:dyDescent="0.25">
      <c r="A14">
        <v>3023</v>
      </c>
      <c r="B14" s="14" t="s">
        <v>98</v>
      </c>
      <c r="C14" s="14"/>
      <c r="D14" s="14"/>
      <c r="E14" s="14"/>
      <c r="F14" s="14"/>
      <c r="G14" s="14"/>
    </row>
    <row r="15" spans="1:7" x14ac:dyDescent="0.25">
      <c r="A15">
        <v>3025</v>
      </c>
      <c r="B15" s="14" t="s">
        <v>99</v>
      </c>
      <c r="C15" s="14"/>
      <c r="D15" s="14"/>
      <c r="E15" s="14"/>
      <c r="F15" s="14"/>
      <c r="G15" s="14"/>
    </row>
    <row r="16" spans="1:7" x14ac:dyDescent="0.25">
      <c r="A16">
        <v>3026</v>
      </c>
      <c r="B16" s="14" t="s">
        <v>100</v>
      </c>
      <c r="C16" s="14"/>
      <c r="D16" s="14"/>
      <c r="E16" s="14"/>
      <c r="F16" s="14"/>
      <c r="G16" s="14"/>
    </row>
    <row r="17" spans="1:7" x14ac:dyDescent="0.25">
      <c r="A17">
        <v>3027</v>
      </c>
      <c r="B17" s="14" t="s">
        <v>101</v>
      </c>
      <c r="C17" s="14"/>
      <c r="D17" s="14"/>
      <c r="E17" s="14"/>
      <c r="F17" s="14"/>
      <c r="G17" s="14"/>
    </row>
    <row r="18" spans="1:7" x14ac:dyDescent="0.25">
      <c r="A18">
        <v>3028</v>
      </c>
      <c r="B18" s="14" t="s">
        <v>102</v>
      </c>
      <c r="C18" s="14"/>
      <c r="D18" s="14"/>
      <c r="E18" s="14"/>
      <c r="F18" s="14"/>
      <c r="G18" s="14"/>
    </row>
    <row r="19" spans="1:7" x14ac:dyDescent="0.25">
      <c r="A19">
        <v>3029</v>
      </c>
      <c r="B19" s="14" t="s">
        <v>103</v>
      </c>
      <c r="C19" s="14"/>
      <c r="D19" s="14"/>
      <c r="E19" s="14"/>
      <c r="F19" s="14"/>
      <c r="G19" s="14"/>
    </row>
    <row r="20" spans="1:7" x14ac:dyDescent="0.25">
      <c r="A20">
        <v>3030</v>
      </c>
      <c r="B20" s="14" t="s">
        <v>104</v>
      </c>
      <c r="C20" s="14"/>
      <c r="D20" s="14"/>
      <c r="E20" s="14"/>
      <c r="F20" s="14"/>
      <c r="G20" s="14"/>
    </row>
    <row r="21" spans="1:7" x14ac:dyDescent="0.25">
      <c r="A21">
        <v>3031</v>
      </c>
      <c r="B21" s="14" t="s">
        <v>105</v>
      </c>
      <c r="C21" s="14"/>
      <c r="D21" s="14"/>
      <c r="E21" s="14"/>
      <c r="F21" s="14"/>
      <c r="G21" s="14"/>
    </row>
    <row r="22" spans="1:7" x14ac:dyDescent="0.25">
      <c r="A22">
        <v>3032</v>
      </c>
      <c r="B22" s="14" t="s">
        <v>106</v>
      </c>
      <c r="C22" s="14"/>
      <c r="D22" s="14"/>
      <c r="E22" s="14"/>
      <c r="F22" s="14"/>
      <c r="G22" s="14"/>
    </row>
    <row r="23" spans="1:7" x14ac:dyDescent="0.25">
      <c r="A23">
        <v>3033</v>
      </c>
      <c r="B23" s="14" t="s">
        <v>107</v>
      </c>
      <c r="C23" s="14"/>
      <c r="D23" s="14"/>
      <c r="E23" s="14"/>
      <c r="F23" s="14"/>
      <c r="G23" s="14"/>
    </row>
    <row r="24" spans="1:7" x14ac:dyDescent="0.25">
      <c r="A24">
        <v>3034</v>
      </c>
      <c r="B24" s="14" t="s">
        <v>108</v>
      </c>
      <c r="C24" s="14"/>
      <c r="D24" s="14"/>
      <c r="E24" s="14"/>
      <c r="F24" s="14"/>
      <c r="G24" s="14"/>
    </row>
    <row r="25" spans="1:7" x14ac:dyDescent="0.25">
      <c r="A25">
        <v>3035</v>
      </c>
      <c r="B25" s="14" t="s">
        <v>109</v>
      </c>
      <c r="C25" s="14"/>
      <c r="D25" s="14"/>
      <c r="E25" s="14"/>
      <c r="F25" s="14"/>
      <c r="G25" s="14"/>
    </row>
    <row r="26" spans="1:7" x14ac:dyDescent="0.25">
      <c r="A26">
        <v>3040</v>
      </c>
      <c r="B26" s="14" t="s">
        <v>110</v>
      </c>
      <c r="C26" s="14"/>
      <c r="D26" s="14"/>
      <c r="E26" s="14"/>
      <c r="F26" s="14"/>
      <c r="G26" s="14"/>
    </row>
    <row r="27" spans="1:7" x14ac:dyDescent="0.25">
      <c r="A27">
        <v>3050</v>
      </c>
      <c r="B27" s="14" t="s">
        <v>111</v>
      </c>
      <c r="C27" s="14"/>
      <c r="D27" s="14"/>
      <c r="E27" s="14"/>
      <c r="F27" s="14"/>
      <c r="G27" s="14"/>
    </row>
    <row r="28" spans="1:7" x14ac:dyDescent="0.25">
      <c r="A28">
        <v>3051</v>
      </c>
      <c r="B28" s="14" t="s">
        <v>112</v>
      </c>
      <c r="C28" s="14"/>
      <c r="D28" s="14"/>
      <c r="E28" s="14"/>
      <c r="F28" s="14"/>
      <c r="G28" s="14"/>
    </row>
    <row r="29" spans="1:7" x14ac:dyDescent="0.25">
      <c r="A29">
        <v>3052</v>
      </c>
      <c r="B29" s="14" t="s">
        <v>113</v>
      </c>
      <c r="C29" s="14"/>
      <c r="D29" s="14"/>
      <c r="E29" s="14"/>
      <c r="F29" s="14"/>
      <c r="G29" s="14"/>
    </row>
    <row r="30" spans="1:7" x14ac:dyDescent="0.25">
      <c r="A30">
        <v>3053</v>
      </c>
      <c r="B30" s="14" t="s">
        <v>114</v>
      </c>
      <c r="C30" s="14"/>
      <c r="D30" s="14"/>
      <c r="E30" s="14"/>
      <c r="F30" s="14"/>
      <c r="G30" s="14"/>
    </row>
    <row r="31" spans="1:7" x14ac:dyDescent="0.25">
      <c r="A31">
        <v>3054</v>
      </c>
      <c r="B31" s="14" t="s">
        <v>115</v>
      </c>
      <c r="C31" s="14"/>
      <c r="D31" s="14"/>
      <c r="E31" s="14"/>
      <c r="F31" s="14"/>
      <c r="G31" s="14"/>
    </row>
    <row r="32" spans="1:7" x14ac:dyDescent="0.25">
      <c r="A32">
        <v>3055</v>
      </c>
      <c r="B32" s="14" t="s">
        <v>116</v>
      </c>
      <c r="C32" s="14"/>
      <c r="D32" s="14"/>
      <c r="E32" s="14"/>
      <c r="F32" s="14"/>
      <c r="G32" s="14"/>
    </row>
    <row r="33" spans="1:7" x14ac:dyDescent="0.25">
      <c r="A33">
        <v>3056</v>
      </c>
      <c r="B33" s="14" t="s">
        <v>117</v>
      </c>
      <c r="C33" s="14"/>
      <c r="D33" s="14"/>
      <c r="E33" s="14"/>
      <c r="F33" s="14"/>
      <c r="G33" s="14"/>
    </row>
    <row r="34" spans="1:7" x14ac:dyDescent="0.25">
      <c r="A34">
        <v>3057</v>
      </c>
      <c r="B34" s="14" t="s">
        <v>118</v>
      </c>
      <c r="C34" s="14"/>
      <c r="D34" s="14"/>
      <c r="E34" s="14"/>
      <c r="F34" s="14"/>
      <c r="G34" s="14"/>
    </row>
    <row r="35" spans="1:7" x14ac:dyDescent="0.25">
      <c r="A35">
        <v>3058</v>
      </c>
      <c r="B35" s="14" t="s">
        <v>119</v>
      </c>
      <c r="C35" s="14"/>
      <c r="D35" s="14"/>
      <c r="E35" s="14"/>
      <c r="F35" s="14"/>
      <c r="G35" s="14"/>
    </row>
    <row r="36" spans="1:7" x14ac:dyDescent="0.25">
      <c r="A36">
        <v>3060</v>
      </c>
      <c r="B36" s="14" t="s">
        <v>120</v>
      </c>
      <c r="C36" s="14"/>
      <c r="D36" s="14"/>
      <c r="E36" s="14"/>
      <c r="F36" s="14"/>
      <c r="G36" s="14"/>
    </row>
    <row r="37" spans="1:7" x14ac:dyDescent="0.25">
      <c r="A37">
        <v>3061</v>
      </c>
      <c r="B37" s="14" t="s">
        <v>121</v>
      </c>
      <c r="C37" s="14"/>
      <c r="D37" s="14"/>
      <c r="E37" s="14"/>
      <c r="F37" s="14"/>
      <c r="G37" s="14"/>
    </row>
    <row r="38" spans="1:7" x14ac:dyDescent="0.25">
      <c r="A38">
        <v>3063</v>
      </c>
      <c r="B38" s="14" t="s">
        <v>122</v>
      </c>
      <c r="C38" s="14"/>
      <c r="D38" s="14"/>
      <c r="E38" s="14"/>
      <c r="F38" s="14"/>
      <c r="G38" s="14"/>
    </row>
    <row r="39" spans="1:7" x14ac:dyDescent="0.25">
      <c r="A39">
        <v>3065</v>
      </c>
      <c r="B39" s="14" t="s">
        <v>123</v>
      </c>
      <c r="C39" s="14"/>
      <c r="D39" s="14"/>
      <c r="E39" s="14"/>
      <c r="F39" s="14"/>
      <c r="G39" s="14"/>
    </row>
    <row r="40" spans="1:7" x14ac:dyDescent="0.25">
      <c r="A40">
        <v>3067</v>
      </c>
      <c r="B40" s="14" t="s">
        <v>124</v>
      </c>
      <c r="C40" s="14"/>
      <c r="D40" s="14"/>
      <c r="E40" s="14"/>
      <c r="F40" s="14"/>
      <c r="G40" s="14"/>
    </row>
    <row r="41" spans="1:7" x14ac:dyDescent="0.25">
      <c r="A41">
        <v>3070</v>
      </c>
      <c r="B41" s="14" t="s">
        <v>125</v>
      </c>
      <c r="C41" s="14"/>
      <c r="D41" s="14"/>
      <c r="E41" s="14"/>
      <c r="F41" s="14"/>
      <c r="G41" s="14"/>
    </row>
    <row r="42" spans="1:7" x14ac:dyDescent="0.25">
      <c r="A42">
        <v>3071</v>
      </c>
      <c r="B42" s="14" t="s">
        <v>126</v>
      </c>
      <c r="C42" s="14"/>
      <c r="D42" s="14"/>
      <c r="E42" s="14"/>
      <c r="F42" s="14"/>
      <c r="G42" s="14"/>
    </row>
    <row r="43" spans="1:7" x14ac:dyDescent="0.25">
      <c r="A43">
        <v>3072</v>
      </c>
      <c r="B43" s="14" t="s">
        <v>127</v>
      </c>
      <c r="C43" s="14"/>
      <c r="D43" s="14"/>
      <c r="E43" s="14"/>
      <c r="F43" s="14"/>
      <c r="G43" s="14"/>
    </row>
    <row r="44" spans="1:7" x14ac:dyDescent="0.25">
      <c r="A44">
        <v>3073</v>
      </c>
      <c r="B44" s="14" t="s">
        <v>128</v>
      </c>
      <c r="C44" s="14"/>
      <c r="D44" s="14"/>
      <c r="E44" s="14"/>
      <c r="F44" s="14"/>
      <c r="G44" s="14"/>
    </row>
    <row r="45" spans="1:7" x14ac:dyDescent="0.25">
      <c r="A45">
        <v>3074</v>
      </c>
      <c r="B45" s="14" t="s">
        <v>129</v>
      </c>
      <c r="C45" s="14"/>
      <c r="D45" s="14"/>
      <c r="E45" s="14"/>
      <c r="F45" s="14"/>
      <c r="G45" s="14"/>
    </row>
    <row r="46" spans="1:7" x14ac:dyDescent="0.25">
      <c r="A46">
        <v>3075</v>
      </c>
      <c r="B46" s="14" t="s">
        <v>130</v>
      </c>
      <c r="C46" s="14"/>
      <c r="D46" s="14"/>
      <c r="E46" s="14"/>
      <c r="F46" s="14"/>
      <c r="G46" s="14"/>
    </row>
    <row r="47" spans="1:7" x14ac:dyDescent="0.25">
      <c r="A47">
        <v>3076</v>
      </c>
      <c r="B47" s="14" t="s">
        <v>131</v>
      </c>
      <c r="C47" s="14"/>
      <c r="D47" s="14"/>
      <c r="E47" s="14"/>
      <c r="F47" s="14"/>
      <c r="G47" s="14"/>
    </row>
    <row r="48" spans="1:7" x14ac:dyDescent="0.25">
      <c r="A48">
        <v>3077</v>
      </c>
      <c r="B48" s="14" t="s">
        <v>132</v>
      </c>
      <c r="C48" s="14"/>
      <c r="D48" s="14"/>
      <c r="E48" s="14"/>
      <c r="F48" s="14"/>
      <c r="G48" s="14"/>
    </row>
    <row r="49" spans="1:7" x14ac:dyDescent="0.25">
      <c r="A49">
        <v>3078</v>
      </c>
      <c r="B49" s="14" t="s">
        <v>133</v>
      </c>
      <c r="C49" s="14"/>
      <c r="D49" s="14"/>
      <c r="E49" s="14"/>
      <c r="F49" s="14"/>
      <c r="G49" s="14"/>
    </row>
    <row r="50" spans="1:7" x14ac:dyDescent="0.25">
      <c r="A50">
        <v>3079</v>
      </c>
      <c r="B50" s="14" t="s">
        <v>134</v>
      </c>
      <c r="C50" s="14"/>
      <c r="D50" s="14"/>
      <c r="E50" s="14"/>
      <c r="F50" s="14"/>
      <c r="G50" s="14"/>
    </row>
    <row r="51" spans="1:7" x14ac:dyDescent="0.25">
      <c r="A51">
        <v>3080</v>
      </c>
      <c r="B51" s="14" t="s">
        <v>135</v>
      </c>
      <c r="C51" s="14"/>
      <c r="D51" s="14"/>
      <c r="E51" s="14"/>
      <c r="F51" s="14"/>
      <c r="G51" s="14"/>
    </row>
    <row r="52" spans="1:7" x14ac:dyDescent="0.25">
      <c r="A52">
        <v>3082</v>
      </c>
      <c r="B52" s="14" t="s">
        <v>136</v>
      </c>
      <c r="C52" s="14"/>
      <c r="D52" s="14"/>
      <c r="E52" s="14"/>
      <c r="F52" s="14"/>
      <c r="G52" s="14"/>
    </row>
    <row r="53" spans="1:7" x14ac:dyDescent="0.25">
      <c r="A53">
        <v>3083</v>
      </c>
      <c r="B53" s="14" t="s">
        <v>137</v>
      </c>
      <c r="C53" s="14"/>
      <c r="D53" s="14"/>
      <c r="E53" s="14"/>
      <c r="F53" s="14"/>
      <c r="G53" s="14"/>
    </row>
    <row r="54" spans="1:7" x14ac:dyDescent="0.25">
      <c r="A54">
        <v>3084</v>
      </c>
      <c r="B54" s="14" t="s">
        <v>138</v>
      </c>
      <c r="C54" s="14"/>
      <c r="D54" s="14"/>
      <c r="E54" s="14"/>
      <c r="F54" s="14"/>
      <c r="G54" s="14"/>
    </row>
    <row r="55" spans="1:7" x14ac:dyDescent="0.25">
      <c r="A55">
        <v>3085</v>
      </c>
      <c r="B55" s="14" t="s">
        <v>139</v>
      </c>
      <c r="C55" s="14"/>
      <c r="D55" s="14"/>
      <c r="E55" s="14"/>
      <c r="F55" s="14"/>
      <c r="G55" s="14"/>
    </row>
    <row r="56" spans="1:7" x14ac:dyDescent="0.25">
      <c r="A56">
        <v>3086</v>
      </c>
      <c r="B56" s="14" t="s">
        <v>140</v>
      </c>
      <c r="C56" s="14"/>
      <c r="D56" s="14"/>
      <c r="E56" s="14"/>
      <c r="F56" s="14"/>
      <c r="G56" s="14"/>
    </row>
    <row r="57" spans="1:7" x14ac:dyDescent="0.25">
      <c r="A57">
        <v>3087</v>
      </c>
      <c r="B57" s="14" t="s">
        <v>141</v>
      </c>
      <c r="C57" s="14"/>
      <c r="D57" s="14"/>
      <c r="E57" s="14"/>
      <c r="F57" s="14"/>
      <c r="G57" s="14"/>
    </row>
    <row r="58" spans="1:7" x14ac:dyDescent="0.25">
      <c r="A58">
        <v>3088</v>
      </c>
      <c r="B58" s="14" t="s">
        <v>142</v>
      </c>
      <c r="C58" s="14"/>
      <c r="D58" s="14"/>
      <c r="E58" s="14"/>
      <c r="F58" s="14"/>
      <c r="G58" s="14"/>
    </row>
    <row r="59" spans="1:7" x14ac:dyDescent="0.25">
      <c r="A59">
        <v>3090</v>
      </c>
      <c r="B59" s="14" t="s">
        <v>143</v>
      </c>
      <c r="C59" s="14"/>
      <c r="D59" s="14"/>
      <c r="E59" s="14"/>
      <c r="F59" s="14"/>
      <c r="G59" s="14"/>
    </row>
    <row r="60" spans="1:7" x14ac:dyDescent="0.25">
      <c r="A60">
        <v>3092</v>
      </c>
      <c r="B60" s="14" t="s">
        <v>144</v>
      </c>
      <c r="C60" s="14"/>
      <c r="D60" s="14"/>
      <c r="E60" s="14"/>
      <c r="F60" s="14"/>
      <c r="G60" s="14"/>
    </row>
    <row r="61" spans="1:7" x14ac:dyDescent="0.25">
      <c r="A61">
        <v>3095</v>
      </c>
      <c r="B61" s="14" t="s">
        <v>62</v>
      </c>
      <c r="C61" s="14"/>
      <c r="D61" s="14"/>
      <c r="E61" s="14"/>
      <c r="F61" s="14"/>
      <c r="G61" s="14"/>
    </row>
    <row r="62" spans="1:7" x14ac:dyDescent="0.25">
      <c r="A62">
        <v>3096</v>
      </c>
      <c r="B62" s="14" t="s">
        <v>145</v>
      </c>
      <c r="C62" s="14"/>
      <c r="D62" s="14"/>
      <c r="E62" s="14"/>
      <c r="F62" s="14"/>
      <c r="G62" s="14"/>
    </row>
    <row r="63" spans="1:7" x14ac:dyDescent="0.25">
      <c r="A63">
        <v>3099</v>
      </c>
      <c r="B63" s="14" t="s">
        <v>146</v>
      </c>
      <c r="C63" s="14"/>
      <c r="D63" s="14"/>
      <c r="E63" s="14"/>
      <c r="F63" s="14"/>
      <c r="G63" s="14"/>
    </row>
    <row r="64" spans="1:7" x14ac:dyDescent="0.25">
      <c r="A64">
        <v>3100</v>
      </c>
      <c r="B64" s="14" t="s">
        <v>147</v>
      </c>
      <c r="C64" s="14"/>
      <c r="D64" s="14"/>
      <c r="E64" s="14"/>
      <c r="F64" s="14"/>
      <c r="G64" s="14"/>
    </row>
    <row r="65" spans="1:7" x14ac:dyDescent="0.25">
      <c r="A65">
        <v>3150</v>
      </c>
      <c r="B65" s="14" t="s">
        <v>148</v>
      </c>
      <c r="C65" s="14"/>
      <c r="D65" s="14"/>
      <c r="E65" s="14"/>
      <c r="F65" s="14"/>
      <c r="G65" s="14"/>
    </row>
    <row r="66" spans="1:7" x14ac:dyDescent="0.25">
      <c r="A66">
        <v>3151</v>
      </c>
      <c r="B66" s="14" t="s">
        <v>149</v>
      </c>
      <c r="C66" s="14"/>
      <c r="D66" s="14"/>
      <c r="E66" s="14"/>
      <c r="F66" s="14"/>
      <c r="G66" s="14"/>
    </row>
    <row r="67" spans="1:7" x14ac:dyDescent="0.25">
      <c r="A67">
        <v>3160</v>
      </c>
      <c r="B67" s="14" t="s">
        <v>150</v>
      </c>
      <c r="C67" s="14"/>
      <c r="D67" s="14"/>
      <c r="E67" s="14"/>
      <c r="F67" s="14"/>
      <c r="G67" s="14"/>
    </row>
    <row r="68" spans="1:7" x14ac:dyDescent="0.25">
      <c r="A68">
        <v>3161</v>
      </c>
      <c r="B68" s="14" t="s">
        <v>151</v>
      </c>
      <c r="C68" s="14"/>
      <c r="D68" s="14"/>
      <c r="E68" s="14"/>
      <c r="F68" s="14"/>
      <c r="G68" s="14"/>
    </row>
    <row r="69" spans="1:7" x14ac:dyDescent="0.25">
      <c r="A69">
        <v>3162</v>
      </c>
      <c r="B69" s="14" t="s">
        <v>152</v>
      </c>
      <c r="C69" s="14"/>
      <c r="D69" s="14"/>
      <c r="E69" s="14"/>
      <c r="F69" s="14"/>
      <c r="G69" s="14"/>
    </row>
    <row r="70" spans="1:7" x14ac:dyDescent="0.25">
      <c r="A70">
        <v>3163</v>
      </c>
      <c r="B70" s="14" t="s">
        <v>153</v>
      </c>
      <c r="C70" s="14"/>
      <c r="D70" s="14"/>
      <c r="E70" s="14"/>
      <c r="F70" s="14"/>
      <c r="G70" s="14"/>
    </row>
    <row r="71" spans="1:7" x14ac:dyDescent="0.25">
      <c r="A71">
        <v>3170</v>
      </c>
      <c r="B71" s="14" t="s">
        <v>154</v>
      </c>
      <c r="C71" s="14"/>
      <c r="D71" s="14"/>
      <c r="E71" s="14"/>
      <c r="F71" s="14"/>
      <c r="G71" s="14"/>
    </row>
    <row r="72" spans="1:7" x14ac:dyDescent="0.25">
      <c r="A72">
        <v>3180</v>
      </c>
      <c r="B72" s="14" t="s">
        <v>155</v>
      </c>
      <c r="C72" s="14"/>
      <c r="D72" s="14"/>
      <c r="E72" s="14"/>
      <c r="F72" s="14"/>
      <c r="G72" s="14"/>
    </row>
    <row r="73" spans="1:7" x14ac:dyDescent="0.25">
      <c r="A73">
        <v>3200</v>
      </c>
      <c r="B73" s="14" t="s">
        <v>156</v>
      </c>
      <c r="C73" s="14"/>
      <c r="D73" s="14"/>
      <c r="E73" s="14"/>
      <c r="F73" s="14"/>
      <c r="G73" s="14"/>
    </row>
    <row r="74" spans="1:7" x14ac:dyDescent="0.25">
      <c r="A74">
        <v>3201</v>
      </c>
      <c r="B74" s="14" t="s">
        <v>157</v>
      </c>
      <c r="C74" s="14"/>
      <c r="D74" s="14"/>
      <c r="E74" s="14"/>
      <c r="F74" s="14"/>
      <c r="G74" s="14"/>
    </row>
    <row r="75" spans="1:7" x14ac:dyDescent="0.25">
      <c r="A75">
        <v>3202</v>
      </c>
      <c r="B75" s="14" t="s">
        <v>158</v>
      </c>
      <c r="C75" s="14"/>
      <c r="D75" s="14"/>
      <c r="E75" s="14"/>
      <c r="F75" s="14"/>
      <c r="G75" s="14"/>
    </row>
    <row r="76" spans="1:7" x14ac:dyDescent="0.25">
      <c r="A76">
        <v>3203</v>
      </c>
      <c r="B76" s="14" t="s">
        <v>147</v>
      </c>
      <c r="C76" s="14"/>
      <c r="D76" s="14"/>
      <c r="E76" s="14"/>
      <c r="F76" s="14"/>
      <c r="G76" s="14"/>
    </row>
    <row r="77" spans="1:7" x14ac:dyDescent="0.25">
      <c r="A77">
        <v>3204</v>
      </c>
      <c r="B77" s="14" t="s">
        <v>159</v>
      </c>
      <c r="C77" s="14"/>
      <c r="D77" s="14"/>
      <c r="E77" s="14"/>
      <c r="F77" s="14"/>
      <c r="G77" s="14"/>
    </row>
    <row r="78" spans="1:7" x14ac:dyDescent="0.25">
      <c r="A78">
        <v>3205</v>
      </c>
      <c r="B78" s="14" t="s">
        <v>160</v>
      </c>
      <c r="C78" s="14"/>
      <c r="D78" s="14"/>
      <c r="E78" s="14"/>
      <c r="F78" s="14"/>
      <c r="G78" s="14"/>
    </row>
    <row r="79" spans="1:7" x14ac:dyDescent="0.25">
      <c r="A79">
        <v>3206</v>
      </c>
      <c r="B79" s="14" t="s">
        <v>161</v>
      </c>
      <c r="C79" s="14"/>
      <c r="D79" s="14"/>
      <c r="E79" s="14"/>
      <c r="F79" s="14"/>
      <c r="G79" s="14"/>
    </row>
    <row r="80" spans="1:7" x14ac:dyDescent="0.25">
      <c r="A80">
        <v>3250</v>
      </c>
      <c r="B80" s="14" t="s">
        <v>162</v>
      </c>
      <c r="C80" s="14"/>
      <c r="D80" s="14"/>
      <c r="E80" s="14"/>
      <c r="F80" s="14"/>
      <c r="G80" s="14"/>
    </row>
    <row r="81" spans="1:7" x14ac:dyDescent="0.25">
      <c r="A81">
        <v>3300</v>
      </c>
      <c r="B81" s="14" t="s">
        <v>163</v>
      </c>
      <c r="C81" s="14"/>
      <c r="D81" s="14"/>
      <c r="E81" s="14"/>
      <c r="F81" s="14"/>
      <c r="G81" s="14"/>
    </row>
    <row r="82" spans="1:7" x14ac:dyDescent="0.25">
      <c r="A82">
        <v>3301</v>
      </c>
      <c r="B82" s="14" t="s">
        <v>164</v>
      </c>
      <c r="C82" s="14"/>
      <c r="D82" s="14"/>
      <c r="E82" s="14"/>
      <c r="F82" s="14"/>
      <c r="G82" s="14"/>
    </row>
    <row r="83" spans="1:7" x14ac:dyDescent="0.25">
      <c r="A83">
        <v>3302</v>
      </c>
      <c r="B83" s="14" t="s">
        <v>165</v>
      </c>
      <c r="C83" s="14"/>
      <c r="D83" s="14"/>
      <c r="E83" s="14"/>
      <c r="F83" s="14"/>
      <c r="G83" s="14"/>
    </row>
    <row r="84" spans="1:7" x14ac:dyDescent="0.25">
      <c r="A84">
        <v>3350</v>
      </c>
      <c r="B84" s="14" t="s">
        <v>166</v>
      </c>
      <c r="C84" s="14"/>
      <c r="D84" s="14"/>
      <c r="E84" s="14"/>
      <c r="F84" s="14"/>
      <c r="G84" s="14"/>
    </row>
    <row r="85" spans="1:7" x14ac:dyDescent="0.25">
      <c r="A85">
        <v>3351</v>
      </c>
      <c r="B85" s="14" t="s">
        <v>167</v>
      </c>
      <c r="C85" s="14"/>
      <c r="D85" s="14"/>
      <c r="E85" s="14"/>
      <c r="F85" s="14"/>
      <c r="G85" s="14"/>
    </row>
    <row r="86" spans="1:7" x14ac:dyDescent="0.25">
      <c r="A86">
        <v>3360</v>
      </c>
      <c r="B86" s="14" t="s">
        <v>168</v>
      </c>
      <c r="C86" s="14"/>
      <c r="D86" s="14"/>
      <c r="E86" s="14"/>
      <c r="F86" s="14"/>
      <c r="G86" s="14"/>
    </row>
    <row r="87" spans="1:7" x14ac:dyDescent="0.25">
      <c r="A87">
        <v>3361</v>
      </c>
      <c r="B87" s="14" t="s">
        <v>169</v>
      </c>
      <c r="C87" s="14"/>
      <c r="D87" s="14"/>
      <c r="E87" s="14"/>
      <c r="F87" s="14"/>
      <c r="G87" s="14"/>
    </row>
    <row r="88" spans="1:7" x14ac:dyDescent="0.25">
      <c r="A88">
        <v>3362</v>
      </c>
      <c r="B88" s="14" t="s">
        <v>170</v>
      </c>
      <c r="C88" s="14"/>
      <c r="D88" s="14"/>
      <c r="E88" s="14"/>
      <c r="F88" s="14"/>
      <c r="G88" s="14"/>
    </row>
    <row r="89" spans="1:7" x14ac:dyDescent="0.25">
      <c r="A89">
        <v>3363</v>
      </c>
      <c r="B89" s="14" t="s">
        <v>171</v>
      </c>
      <c r="C89" s="14"/>
      <c r="D89" s="14"/>
      <c r="E89" s="14"/>
      <c r="F89" s="14"/>
      <c r="G89" s="14"/>
    </row>
    <row r="90" spans="1:7" x14ac:dyDescent="0.25">
      <c r="A90">
        <v>3364</v>
      </c>
      <c r="B90" s="14" t="s">
        <v>172</v>
      </c>
      <c r="C90" s="14"/>
      <c r="D90" s="14"/>
      <c r="E90" s="14"/>
      <c r="F90" s="14"/>
      <c r="G90" s="14"/>
    </row>
    <row r="91" spans="1:7" x14ac:dyDescent="0.25">
      <c r="A91">
        <v>3370</v>
      </c>
      <c r="B91" s="14" t="s">
        <v>173</v>
      </c>
      <c r="C91" s="14"/>
      <c r="D91" s="14"/>
      <c r="E91" s="14"/>
      <c r="F91" s="14"/>
      <c r="G91" s="14"/>
    </row>
    <row r="92" spans="1:7" x14ac:dyDescent="0.25">
      <c r="A92">
        <v>3375</v>
      </c>
      <c r="B92" s="14" t="s">
        <v>174</v>
      </c>
      <c r="C92" s="14"/>
      <c r="D92" s="14"/>
      <c r="E92" s="14"/>
      <c r="F92" s="14"/>
      <c r="G92" s="14"/>
    </row>
    <row r="93" spans="1:7" x14ac:dyDescent="0.25">
      <c r="A93">
        <v>3376</v>
      </c>
      <c r="B93" s="14" t="s">
        <v>175</v>
      </c>
      <c r="C93" s="14"/>
      <c r="D93" s="14"/>
      <c r="E93" s="14"/>
      <c r="F93" s="14"/>
      <c r="G93" s="14"/>
    </row>
    <row r="94" spans="1:7" x14ac:dyDescent="0.25">
      <c r="A94">
        <v>3377</v>
      </c>
      <c r="B94" s="14" t="s">
        <v>176</v>
      </c>
      <c r="C94" s="14"/>
      <c r="D94" s="14"/>
      <c r="E94" s="14"/>
      <c r="F94" s="14"/>
      <c r="G94" s="14"/>
    </row>
    <row r="95" spans="1:7" x14ac:dyDescent="0.25">
      <c r="A95">
        <v>3378</v>
      </c>
      <c r="B95" s="14" t="s">
        <v>177</v>
      </c>
      <c r="C95" s="14"/>
      <c r="D95" s="14"/>
      <c r="E95" s="14"/>
      <c r="F95" s="14"/>
      <c r="G95" s="14"/>
    </row>
    <row r="96" spans="1:7" x14ac:dyDescent="0.25">
      <c r="A96">
        <v>3380</v>
      </c>
      <c r="B96" s="14" t="s">
        <v>178</v>
      </c>
      <c r="C96" s="14"/>
      <c r="D96" s="14"/>
      <c r="E96" s="14"/>
      <c r="F96" s="14"/>
      <c r="G96" s="14"/>
    </row>
    <row r="97" spans="1:7" x14ac:dyDescent="0.25">
      <c r="A97">
        <v>3381</v>
      </c>
      <c r="B97" s="14" t="s">
        <v>179</v>
      </c>
      <c r="C97" s="14"/>
      <c r="D97" s="14"/>
      <c r="E97" s="14"/>
      <c r="F97" s="14"/>
      <c r="G97" s="14"/>
    </row>
    <row r="98" spans="1:7" x14ac:dyDescent="0.25">
      <c r="A98">
        <v>3385</v>
      </c>
      <c r="B98" s="14" t="s">
        <v>180</v>
      </c>
      <c r="C98" s="14"/>
      <c r="D98" s="14"/>
      <c r="E98" s="14"/>
      <c r="F98" s="14"/>
      <c r="G98" s="14"/>
    </row>
    <row r="99" spans="1:7" x14ac:dyDescent="0.25">
      <c r="A99">
        <v>3400</v>
      </c>
      <c r="B99" s="14" t="s">
        <v>181</v>
      </c>
      <c r="C99" s="14"/>
      <c r="D99" s="14"/>
      <c r="E99" s="14"/>
      <c r="F99" s="14"/>
      <c r="G99" s="14"/>
    </row>
    <row r="100" spans="1:7" x14ac:dyDescent="0.25">
      <c r="A100">
        <v>3401</v>
      </c>
      <c r="B100" s="14" t="s">
        <v>182</v>
      </c>
      <c r="C100" s="14"/>
      <c r="D100" s="14"/>
      <c r="E100" s="14"/>
      <c r="F100" s="14"/>
      <c r="G100" s="14"/>
    </row>
    <row r="101" spans="1:7" x14ac:dyDescent="0.25">
      <c r="A101">
        <v>3402</v>
      </c>
      <c r="B101" s="14" t="s">
        <v>183</v>
      </c>
      <c r="C101" s="14"/>
      <c r="D101" s="14"/>
      <c r="E101" s="14"/>
      <c r="F101" s="14"/>
      <c r="G101" s="14"/>
    </row>
    <row r="102" spans="1:7" x14ac:dyDescent="0.25">
      <c r="A102">
        <v>3403</v>
      </c>
      <c r="B102" s="14" t="s">
        <v>184</v>
      </c>
      <c r="C102" s="14"/>
      <c r="D102" s="14"/>
      <c r="E102" s="14"/>
      <c r="F102" s="14"/>
      <c r="G102" s="14"/>
    </row>
    <row r="103" spans="1:7" x14ac:dyDescent="0.25">
      <c r="A103">
        <v>3404</v>
      </c>
      <c r="B103" s="14" t="s">
        <v>185</v>
      </c>
      <c r="C103" s="14"/>
      <c r="D103" s="14"/>
      <c r="E103" s="14"/>
      <c r="F103" s="14"/>
      <c r="G103" s="14"/>
    </row>
    <row r="104" spans="1:7" x14ac:dyDescent="0.25">
      <c r="A104">
        <v>3405</v>
      </c>
      <c r="B104" s="14" t="s">
        <v>186</v>
      </c>
      <c r="C104" s="14"/>
      <c r="D104" s="14"/>
      <c r="E104" s="14"/>
      <c r="F104" s="14"/>
      <c r="G104" s="14"/>
    </row>
    <row r="105" spans="1:7" x14ac:dyDescent="0.25">
      <c r="A105">
        <v>3406</v>
      </c>
      <c r="B105" s="14" t="s">
        <v>187</v>
      </c>
      <c r="C105" s="14"/>
      <c r="D105" s="14"/>
      <c r="E105" s="14"/>
      <c r="F105" s="14"/>
      <c r="G105" s="14"/>
    </row>
    <row r="106" spans="1:7" x14ac:dyDescent="0.25">
      <c r="A106">
        <v>3407</v>
      </c>
      <c r="B106" s="14" t="s">
        <v>188</v>
      </c>
      <c r="C106" s="14"/>
      <c r="D106" s="14"/>
      <c r="E106" s="14"/>
      <c r="F106" s="14"/>
      <c r="G106" s="14"/>
    </row>
    <row r="107" spans="1:7" x14ac:dyDescent="0.25">
      <c r="A107">
        <v>3408</v>
      </c>
      <c r="B107" s="14" t="s">
        <v>189</v>
      </c>
      <c r="C107" s="14"/>
      <c r="D107" s="14"/>
      <c r="E107" s="14"/>
      <c r="F107" s="14"/>
      <c r="G107" s="14"/>
    </row>
    <row r="108" spans="1:7" x14ac:dyDescent="0.25">
      <c r="A108">
        <v>3409</v>
      </c>
      <c r="B108" s="14" t="s">
        <v>190</v>
      </c>
      <c r="C108" s="14"/>
      <c r="D108" s="14"/>
      <c r="E108" s="14"/>
      <c r="F108" s="14"/>
      <c r="G108" s="14"/>
    </row>
    <row r="109" spans="1:7" x14ac:dyDescent="0.25">
      <c r="A109">
        <v>3410</v>
      </c>
      <c r="B109" s="14" t="s">
        <v>191</v>
      </c>
      <c r="C109" s="14"/>
      <c r="D109" s="14"/>
      <c r="E109" s="14"/>
      <c r="F109" s="14"/>
      <c r="G109" s="14"/>
    </row>
    <row r="110" spans="1:7" x14ac:dyDescent="0.25">
      <c r="A110">
        <v>3411</v>
      </c>
      <c r="B110" s="14" t="s">
        <v>192</v>
      </c>
      <c r="C110" s="14"/>
      <c r="D110" s="14"/>
      <c r="E110" s="14"/>
      <c r="F110" s="14"/>
      <c r="G110" s="14"/>
    </row>
    <row r="111" spans="1:7" x14ac:dyDescent="0.25">
      <c r="A111">
        <v>3412</v>
      </c>
      <c r="B111" s="14" t="s">
        <v>193</v>
      </c>
      <c r="C111" s="14"/>
      <c r="D111" s="14"/>
      <c r="E111" s="14"/>
      <c r="F111" s="14"/>
      <c r="G111" s="14"/>
    </row>
    <row r="112" spans="1:7" x14ac:dyDescent="0.25">
      <c r="A112">
        <v>3413</v>
      </c>
      <c r="B112" s="14" t="s">
        <v>194</v>
      </c>
      <c r="C112" s="14"/>
      <c r="D112" s="14"/>
      <c r="E112" s="14"/>
      <c r="F112" s="14"/>
      <c r="G112" s="14"/>
    </row>
    <row r="113" spans="1:7" x14ac:dyDescent="0.25">
      <c r="A113">
        <v>3450</v>
      </c>
      <c r="B113" s="14" t="s">
        <v>195</v>
      </c>
      <c r="C113" s="14"/>
      <c r="D113" s="14"/>
      <c r="E113" s="14"/>
      <c r="F113" s="14"/>
      <c r="G113" s="14"/>
    </row>
    <row r="114" spans="1:7" x14ac:dyDescent="0.25">
      <c r="A114">
        <v>3451</v>
      </c>
      <c r="B114" s="14" t="s">
        <v>196</v>
      </c>
      <c r="C114" s="14"/>
      <c r="D114" s="14"/>
      <c r="E114" s="14"/>
      <c r="F114" s="14"/>
      <c r="G114" s="14"/>
    </row>
    <row r="115" spans="1:7" x14ac:dyDescent="0.25">
      <c r="A115">
        <v>3452</v>
      </c>
      <c r="B115" s="14" t="s">
        <v>197</v>
      </c>
      <c r="C115" s="14"/>
      <c r="D115" s="14"/>
      <c r="E115" s="14"/>
      <c r="F115" s="14"/>
      <c r="G115" s="14"/>
    </row>
    <row r="116" spans="1:7" x14ac:dyDescent="0.25">
      <c r="A116">
        <v>3453</v>
      </c>
      <c r="B116" s="14" t="s">
        <v>198</v>
      </c>
      <c r="C116" s="14"/>
      <c r="D116" s="14"/>
      <c r="E116" s="14"/>
      <c r="F116" s="14"/>
      <c r="G116" s="14"/>
    </row>
    <row r="117" spans="1:7" x14ac:dyDescent="0.25">
      <c r="A117">
        <v>3454</v>
      </c>
      <c r="B117" s="14" t="s">
        <v>182</v>
      </c>
      <c r="C117" s="14"/>
      <c r="D117" s="14"/>
      <c r="E117" s="14"/>
      <c r="F117" s="14"/>
      <c r="G117" s="14"/>
    </row>
    <row r="118" spans="1:7" x14ac:dyDescent="0.25">
      <c r="A118">
        <v>3455</v>
      </c>
      <c r="B118" s="14" t="s">
        <v>183</v>
      </c>
      <c r="C118" s="14"/>
      <c r="D118" s="14"/>
      <c r="E118" s="14"/>
      <c r="F118" s="14"/>
      <c r="G118" s="14"/>
    </row>
    <row r="119" spans="1:7" x14ac:dyDescent="0.25">
      <c r="A119">
        <v>3456</v>
      </c>
      <c r="B119" s="14" t="s">
        <v>184</v>
      </c>
      <c r="C119" s="14"/>
      <c r="D119" s="14"/>
      <c r="E119" s="14"/>
      <c r="F119" s="14"/>
      <c r="G119" s="14"/>
    </row>
    <row r="120" spans="1:7" x14ac:dyDescent="0.25">
      <c r="A120">
        <v>3457</v>
      </c>
      <c r="B120" s="14" t="s">
        <v>185</v>
      </c>
      <c r="C120" s="14"/>
      <c r="D120" s="14"/>
      <c r="E120" s="14"/>
      <c r="F120" s="14"/>
      <c r="G120" s="14"/>
    </row>
    <row r="121" spans="1:7" x14ac:dyDescent="0.25">
      <c r="A121">
        <v>3458</v>
      </c>
      <c r="B121" s="14" t="s">
        <v>186</v>
      </c>
      <c r="C121" s="14"/>
      <c r="D121" s="14"/>
      <c r="E121" s="14"/>
      <c r="F121" s="14"/>
      <c r="G121" s="14"/>
    </row>
    <row r="122" spans="1:7" x14ac:dyDescent="0.25">
      <c r="A122">
        <v>3459</v>
      </c>
      <c r="B122" s="14" t="s">
        <v>187</v>
      </c>
      <c r="C122" s="14"/>
      <c r="D122" s="14"/>
      <c r="E122" s="14"/>
      <c r="F122" s="14"/>
      <c r="G122" s="14"/>
    </row>
    <row r="123" spans="1:7" x14ac:dyDescent="0.25">
      <c r="A123">
        <v>3460</v>
      </c>
      <c r="B123" s="14" t="s">
        <v>199</v>
      </c>
      <c r="C123" s="14"/>
      <c r="D123" s="14"/>
      <c r="E123" s="14"/>
      <c r="F123" s="14"/>
      <c r="G123" s="14"/>
    </row>
    <row r="124" spans="1:7" x14ac:dyDescent="0.25">
      <c r="A124">
        <v>3461</v>
      </c>
      <c r="B124" s="14" t="s">
        <v>188</v>
      </c>
      <c r="C124" s="14"/>
      <c r="D124" s="14"/>
      <c r="E124" s="14"/>
      <c r="F124" s="14"/>
      <c r="G124" s="14"/>
    </row>
    <row r="125" spans="1:7" x14ac:dyDescent="0.25">
      <c r="A125">
        <v>3462</v>
      </c>
      <c r="B125" s="14" t="s">
        <v>189</v>
      </c>
      <c r="C125" s="14"/>
      <c r="D125" s="14"/>
      <c r="E125" s="14"/>
      <c r="F125" s="14"/>
      <c r="G125" s="14"/>
    </row>
    <row r="126" spans="1:7" x14ac:dyDescent="0.25">
      <c r="A126">
        <v>3463</v>
      </c>
      <c r="B126" s="14" t="s">
        <v>190</v>
      </c>
      <c r="C126" s="14"/>
      <c r="D126" s="14"/>
      <c r="E126" s="14"/>
      <c r="F126" s="14"/>
      <c r="G126" s="14"/>
    </row>
    <row r="127" spans="1:7" x14ac:dyDescent="0.25">
      <c r="A127">
        <v>3464</v>
      </c>
      <c r="B127" s="14" t="s">
        <v>191</v>
      </c>
      <c r="C127" s="14"/>
      <c r="D127" s="14"/>
      <c r="E127" s="14"/>
      <c r="F127" s="14"/>
      <c r="G127" s="14"/>
    </row>
    <row r="128" spans="1:7" x14ac:dyDescent="0.25">
      <c r="A128">
        <v>3465</v>
      </c>
      <c r="B128" s="14" t="s">
        <v>192</v>
      </c>
      <c r="C128" s="14"/>
      <c r="D128" s="14"/>
      <c r="E128" s="14"/>
      <c r="F128" s="14"/>
      <c r="G128" s="14"/>
    </row>
    <row r="129" spans="1:7" x14ac:dyDescent="0.25">
      <c r="A129">
        <v>3466</v>
      </c>
      <c r="B129" s="14" t="s">
        <v>193</v>
      </c>
      <c r="C129" s="14"/>
      <c r="D129" s="14"/>
      <c r="E129" s="14"/>
      <c r="F129" s="14"/>
      <c r="G129" s="14"/>
    </row>
    <row r="130" spans="1:7" x14ac:dyDescent="0.25">
      <c r="A130">
        <v>3467</v>
      </c>
      <c r="B130" s="14" t="s">
        <v>194</v>
      </c>
      <c r="C130" s="14"/>
      <c r="D130" s="14"/>
      <c r="E130" s="14"/>
      <c r="F130" s="14"/>
      <c r="G130" s="14"/>
    </row>
    <row r="131" spans="1:7" x14ac:dyDescent="0.25">
      <c r="A131">
        <v>3468</v>
      </c>
      <c r="B131" s="14" t="s">
        <v>200</v>
      </c>
      <c r="C131" s="14"/>
      <c r="D131" s="14"/>
      <c r="E131" s="14"/>
      <c r="F131" s="14"/>
      <c r="G131" s="14"/>
    </row>
    <row r="132" spans="1:7" x14ac:dyDescent="0.25">
      <c r="A132">
        <v>3500</v>
      </c>
      <c r="B132" s="14" t="s">
        <v>201</v>
      </c>
      <c r="C132" s="14"/>
      <c r="D132" s="14"/>
      <c r="E132" s="14"/>
      <c r="F132" s="14"/>
      <c r="G132" s="14"/>
    </row>
    <row r="133" spans="1:7" x14ac:dyDescent="0.25">
      <c r="A133">
        <v>3501</v>
      </c>
      <c r="B133" s="14" t="s">
        <v>202</v>
      </c>
      <c r="C133" s="14"/>
      <c r="D133" s="14"/>
      <c r="E133" s="14"/>
      <c r="F133" s="14"/>
      <c r="G133" s="14"/>
    </row>
    <row r="134" spans="1:7" x14ac:dyDescent="0.25">
      <c r="A134">
        <v>3502</v>
      </c>
      <c r="B134" s="14" t="s">
        <v>203</v>
      </c>
      <c r="C134" s="14"/>
      <c r="D134" s="14"/>
      <c r="E134" s="14"/>
      <c r="F134" s="14"/>
      <c r="G134" s="14"/>
    </row>
    <row r="135" spans="1:7" x14ac:dyDescent="0.25">
      <c r="A135">
        <v>3520</v>
      </c>
      <c r="B135" s="14" t="s">
        <v>204</v>
      </c>
      <c r="C135" s="14"/>
      <c r="D135" s="14"/>
      <c r="E135" s="14"/>
      <c r="F135" s="14"/>
      <c r="G135" s="14"/>
    </row>
    <row r="136" spans="1:7" x14ac:dyDescent="0.25">
      <c r="A136">
        <v>3525</v>
      </c>
      <c r="B136" s="14" t="s">
        <v>205</v>
      </c>
      <c r="C136" s="14"/>
      <c r="D136" s="14"/>
      <c r="E136" s="14"/>
      <c r="F136" s="14"/>
      <c r="G136" s="14"/>
    </row>
    <row r="137" spans="1:7" x14ac:dyDescent="0.25">
      <c r="A137">
        <v>3530</v>
      </c>
      <c r="B137" s="14" t="s">
        <v>206</v>
      </c>
      <c r="C137" s="14"/>
      <c r="D137" s="14"/>
      <c r="E137" s="14"/>
      <c r="F137" s="14"/>
      <c r="G137" s="14"/>
    </row>
    <row r="138" spans="1:7" x14ac:dyDescent="0.25">
      <c r="A138">
        <v>3531</v>
      </c>
      <c r="B138" s="14" t="s">
        <v>207</v>
      </c>
      <c r="C138" s="14"/>
      <c r="D138" s="14"/>
      <c r="E138" s="14"/>
      <c r="F138" s="14"/>
      <c r="G138" s="14"/>
    </row>
    <row r="139" spans="1:7" x14ac:dyDescent="0.25">
      <c r="A139">
        <v>3532</v>
      </c>
      <c r="B139" s="14" t="s">
        <v>208</v>
      </c>
      <c r="C139" s="14"/>
      <c r="D139" s="14"/>
      <c r="E139" s="14"/>
      <c r="F139" s="14"/>
      <c r="G139" s="14"/>
    </row>
    <row r="140" spans="1:7" x14ac:dyDescent="0.25">
      <c r="A140">
        <v>3533</v>
      </c>
      <c r="B140" s="14" t="s">
        <v>209</v>
      </c>
      <c r="C140" s="14"/>
      <c r="D140" s="14"/>
      <c r="E140" s="14"/>
      <c r="F140" s="14"/>
      <c r="G140" s="14"/>
    </row>
    <row r="141" spans="1:7" x14ac:dyDescent="0.25">
      <c r="A141">
        <v>3534</v>
      </c>
      <c r="B141" s="14" t="s">
        <v>210</v>
      </c>
      <c r="C141" s="14"/>
      <c r="D141" s="14"/>
      <c r="E141" s="14"/>
      <c r="F141" s="14"/>
      <c r="G141" s="14"/>
    </row>
    <row r="142" spans="1:7" x14ac:dyDescent="0.25">
      <c r="A142">
        <v>3540</v>
      </c>
      <c r="B142" s="14" t="s">
        <v>211</v>
      </c>
      <c r="C142" s="14"/>
      <c r="D142" s="14"/>
      <c r="E142" s="14"/>
      <c r="F142" s="14"/>
      <c r="G142" s="14"/>
    </row>
    <row r="143" spans="1:7" x14ac:dyDescent="0.25">
      <c r="A143">
        <v>3545</v>
      </c>
      <c r="B143" s="14" t="s">
        <v>212</v>
      </c>
      <c r="C143" s="14"/>
      <c r="D143" s="14"/>
      <c r="E143" s="14"/>
      <c r="F143" s="14"/>
      <c r="G143" s="14"/>
    </row>
    <row r="144" spans="1:7" x14ac:dyDescent="0.25">
      <c r="A144">
        <v>3546</v>
      </c>
      <c r="B144" s="14" t="s">
        <v>213</v>
      </c>
      <c r="C144" s="14"/>
      <c r="D144" s="14"/>
      <c r="E144" s="14"/>
      <c r="F144" s="14"/>
      <c r="G144" s="14"/>
    </row>
    <row r="145" spans="1:7" x14ac:dyDescent="0.25">
      <c r="A145">
        <v>3570</v>
      </c>
      <c r="B145" s="14" t="s">
        <v>214</v>
      </c>
      <c r="C145" s="14"/>
      <c r="D145" s="14"/>
      <c r="E145" s="14"/>
      <c r="F145" s="14"/>
      <c r="G145" s="14"/>
    </row>
    <row r="146" spans="1:7" x14ac:dyDescent="0.25">
      <c r="A146">
        <v>3575</v>
      </c>
      <c r="B146" s="14" t="s">
        <v>215</v>
      </c>
      <c r="C146" s="14"/>
      <c r="D146" s="14"/>
      <c r="E146" s="14"/>
      <c r="F146" s="14"/>
      <c r="G146" s="14"/>
    </row>
    <row r="147" spans="1:7" x14ac:dyDescent="0.25">
      <c r="A147">
        <v>3576</v>
      </c>
      <c r="B147" s="14" t="s">
        <v>216</v>
      </c>
      <c r="C147" s="14"/>
      <c r="D147" s="14"/>
      <c r="E147" s="14"/>
      <c r="F147" s="14"/>
      <c r="G147" s="14"/>
    </row>
    <row r="148" spans="1:7" x14ac:dyDescent="0.25">
      <c r="A148">
        <v>3577</v>
      </c>
      <c r="B148" s="14" t="s">
        <v>217</v>
      </c>
      <c r="C148" s="14"/>
      <c r="D148" s="14"/>
      <c r="E148" s="14"/>
      <c r="F148" s="14"/>
      <c r="G148" s="14"/>
    </row>
    <row r="149" spans="1:7" x14ac:dyDescent="0.25">
      <c r="A149">
        <v>3578</v>
      </c>
      <c r="B149" s="14" t="s">
        <v>218</v>
      </c>
      <c r="C149" s="14"/>
      <c r="D149" s="14"/>
      <c r="E149" s="14"/>
      <c r="F149" s="14"/>
      <c r="G149" s="14"/>
    </row>
    <row r="150" spans="1:7" x14ac:dyDescent="0.25">
      <c r="A150">
        <v>3600</v>
      </c>
      <c r="B150" s="14" t="s">
        <v>219</v>
      </c>
      <c r="C150" s="14"/>
      <c r="D150" s="14"/>
      <c r="E150" s="14"/>
      <c r="F150" s="14"/>
      <c r="G150" s="14"/>
    </row>
    <row r="151" spans="1:7" x14ac:dyDescent="0.25">
      <c r="A151">
        <v>3645</v>
      </c>
      <c r="B151" s="14" t="s">
        <v>220</v>
      </c>
      <c r="C151" s="14"/>
      <c r="D151" s="14"/>
      <c r="E151" s="14"/>
      <c r="F151" s="14"/>
      <c r="G151" s="14"/>
    </row>
    <row r="152" spans="1:7" x14ac:dyDescent="0.25">
      <c r="A152">
        <v>3647</v>
      </c>
      <c r="B152" s="14" t="s">
        <v>221</v>
      </c>
      <c r="C152" s="14"/>
      <c r="D152" s="14"/>
      <c r="E152" s="14"/>
      <c r="F152" s="14"/>
      <c r="G152" s="14"/>
    </row>
    <row r="153" spans="1:7" x14ac:dyDescent="0.25">
      <c r="A153">
        <v>3648</v>
      </c>
      <c r="B153" s="14" t="s">
        <v>222</v>
      </c>
      <c r="C153" s="14"/>
      <c r="D153" s="14"/>
      <c r="E153" s="14"/>
      <c r="F153" s="14"/>
      <c r="G153" s="14"/>
    </row>
    <row r="154" spans="1:7" x14ac:dyDescent="0.25">
      <c r="A154">
        <v>3650</v>
      </c>
      <c r="B154" s="14" t="s">
        <v>223</v>
      </c>
      <c r="C154" s="14"/>
      <c r="D154" s="14"/>
      <c r="E154" s="14"/>
      <c r="F154" s="14"/>
      <c r="G154" s="14"/>
    </row>
    <row r="155" spans="1:7" x14ac:dyDescent="0.25">
      <c r="A155">
        <v>3976</v>
      </c>
      <c r="B155" s="14" t="s">
        <v>224</v>
      </c>
      <c r="C155" s="14"/>
      <c r="D155" s="14"/>
      <c r="E155" s="14"/>
      <c r="F155" s="14"/>
      <c r="G155" s="14"/>
    </row>
    <row r="156" spans="1:7" x14ac:dyDescent="0.25">
      <c r="A156">
        <v>3977</v>
      </c>
      <c r="B156" s="14" t="s">
        <v>225</v>
      </c>
      <c r="C156" s="14"/>
      <c r="D156" s="14"/>
      <c r="E156" s="14"/>
      <c r="F156" s="14"/>
      <c r="G156" s="14"/>
    </row>
    <row r="157" spans="1:7" x14ac:dyDescent="0.25">
      <c r="A157">
        <v>3978</v>
      </c>
      <c r="B157" s="14" t="s">
        <v>226</v>
      </c>
      <c r="C157" s="14"/>
      <c r="D157" s="14"/>
      <c r="E157" s="14"/>
      <c r="F157" s="14"/>
      <c r="G157" s="14"/>
    </row>
    <row r="158" spans="1:7" x14ac:dyDescent="0.25">
      <c r="A158">
        <v>3979</v>
      </c>
      <c r="B158" s="14" t="s">
        <v>227</v>
      </c>
      <c r="C158" s="14"/>
      <c r="D158" s="14"/>
      <c r="E158" s="14"/>
      <c r="F158" s="14"/>
      <c r="G158" s="14"/>
    </row>
    <row r="159" spans="1:7" x14ac:dyDescent="0.25">
      <c r="A159">
        <v>3980</v>
      </c>
      <c r="B159" s="14" t="s">
        <v>228</v>
      </c>
      <c r="C159" s="14"/>
      <c r="D159" s="14"/>
      <c r="E159" s="14"/>
      <c r="F159" s="14"/>
      <c r="G159" s="14"/>
    </row>
    <row r="160" spans="1:7" x14ac:dyDescent="0.25">
      <c r="A160">
        <v>3981</v>
      </c>
      <c r="B160" s="14" t="s">
        <v>229</v>
      </c>
      <c r="C160" s="14"/>
      <c r="D160" s="14"/>
      <c r="E160" s="14"/>
      <c r="F160" s="14"/>
      <c r="G160" s="14"/>
    </row>
    <row r="161" spans="1:7" x14ac:dyDescent="0.25">
      <c r="A161">
        <v>3982</v>
      </c>
      <c r="B161" s="14" t="s">
        <v>230</v>
      </c>
      <c r="C161" s="14"/>
      <c r="D161" s="14"/>
      <c r="E161" s="14"/>
      <c r="F161" s="14"/>
      <c r="G161" s="14"/>
    </row>
    <row r="162" spans="1:7" x14ac:dyDescent="0.25">
      <c r="A162">
        <v>3983</v>
      </c>
      <c r="B162" s="14" t="s">
        <v>231</v>
      </c>
      <c r="C162" s="14"/>
      <c r="D162" s="14"/>
      <c r="E162" s="14"/>
      <c r="F162" s="14"/>
      <c r="G162" s="14"/>
    </row>
    <row r="163" spans="1:7" x14ac:dyDescent="0.25">
      <c r="A163">
        <v>3984</v>
      </c>
      <c r="B163" s="14" t="s">
        <v>232</v>
      </c>
      <c r="C163" s="14"/>
      <c r="D163" s="14"/>
      <c r="E163" s="14"/>
      <c r="F163" s="14"/>
      <c r="G163" s="14"/>
    </row>
    <row r="164" spans="1:7" x14ac:dyDescent="0.25">
      <c r="A164">
        <v>3985</v>
      </c>
      <c r="B164" s="14" t="s">
        <v>233</v>
      </c>
      <c r="C164" s="14"/>
      <c r="D164" s="14"/>
      <c r="E164" s="14"/>
      <c r="F164" s="14"/>
      <c r="G164" s="14"/>
    </row>
    <row r="165" spans="1:7" x14ac:dyDescent="0.25">
      <c r="A165">
        <v>3986</v>
      </c>
      <c r="B165" s="14" t="s">
        <v>234</v>
      </c>
      <c r="C165" s="14"/>
      <c r="D165" s="14"/>
      <c r="E165" s="14"/>
      <c r="F165" s="14"/>
      <c r="G165" s="14"/>
    </row>
    <row r="166" spans="1:7" x14ac:dyDescent="0.25">
      <c r="A166">
        <v>3987</v>
      </c>
      <c r="B166" s="14" t="s">
        <v>235</v>
      </c>
      <c r="C166" s="14"/>
      <c r="D166" s="14"/>
      <c r="E166" s="14"/>
      <c r="F166" s="14"/>
      <c r="G166" s="14"/>
    </row>
    <row r="167" spans="1:7" x14ac:dyDescent="0.25">
      <c r="A167">
        <v>3988</v>
      </c>
      <c r="B167" s="14" t="s">
        <v>236</v>
      </c>
      <c r="C167" s="14"/>
      <c r="D167" s="14"/>
      <c r="E167" s="14"/>
      <c r="F167" s="14"/>
      <c r="G167" s="14"/>
    </row>
    <row r="168" spans="1:7" x14ac:dyDescent="0.25">
      <c r="A168">
        <v>3989</v>
      </c>
      <c r="B168" s="14" t="s">
        <v>237</v>
      </c>
      <c r="C168" s="14"/>
      <c r="D168" s="14"/>
      <c r="E168" s="14"/>
      <c r="F168" s="14"/>
      <c r="G168" s="14"/>
    </row>
    <row r="169" spans="1:7" x14ac:dyDescent="0.25">
      <c r="A169">
        <v>3990</v>
      </c>
      <c r="B169" s="14" t="s">
        <v>238</v>
      </c>
      <c r="C169" s="14"/>
      <c r="D169" s="14"/>
      <c r="E169" s="14"/>
      <c r="F169" s="14"/>
      <c r="G169" s="14"/>
    </row>
    <row r="170" spans="1:7" x14ac:dyDescent="0.25">
      <c r="A170">
        <v>3991</v>
      </c>
      <c r="B170" s="14" t="s">
        <v>239</v>
      </c>
      <c r="C170" s="14"/>
      <c r="D170" s="14"/>
      <c r="E170" s="14"/>
      <c r="F170" s="14"/>
      <c r="G170" s="14"/>
    </row>
    <row r="171" spans="1:7" x14ac:dyDescent="0.25">
      <c r="A171">
        <v>3992</v>
      </c>
      <c r="B171" s="14" t="s">
        <v>240</v>
      </c>
      <c r="C171" s="14"/>
      <c r="D171" s="14"/>
      <c r="E171" s="14"/>
      <c r="F171" s="14"/>
      <c r="G171" s="1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6">
    <tabColor rgb="FF00B050"/>
  </sheetPr>
  <dimension ref="A2:E167"/>
  <sheetViews>
    <sheetView topLeftCell="A141" workbookViewId="0">
      <selection activeCell="B17" sqref="B17"/>
    </sheetView>
  </sheetViews>
  <sheetFormatPr defaultRowHeight="15" x14ac:dyDescent="0.25"/>
  <cols>
    <col min="2" max="2" width="24" customWidth="1"/>
  </cols>
  <sheetData>
    <row r="2" spans="1:2" x14ac:dyDescent="0.25">
      <c r="A2" s="10" t="s">
        <v>242</v>
      </c>
      <c r="B2" s="12" t="s">
        <v>241</v>
      </c>
    </row>
    <row r="3" spans="1:2" x14ac:dyDescent="0.25">
      <c r="A3" s="10" t="s">
        <v>244</v>
      </c>
      <c r="B3" s="12" t="s">
        <v>243</v>
      </c>
    </row>
    <row r="4" spans="1:2" x14ac:dyDescent="0.25">
      <c r="A4" s="10" t="s">
        <v>246</v>
      </c>
      <c r="B4" s="12" t="s">
        <v>245</v>
      </c>
    </row>
    <row r="5" spans="1:2" x14ac:dyDescent="0.25">
      <c r="A5" s="10" t="s">
        <v>248</v>
      </c>
      <c r="B5" s="12" t="s">
        <v>247</v>
      </c>
    </row>
    <row r="6" spans="1:2" x14ac:dyDescent="0.25">
      <c r="A6" s="10" t="s">
        <v>250</v>
      </c>
      <c r="B6" s="12" t="s">
        <v>249</v>
      </c>
    </row>
    <row r="7" spans="1:2" x14ac:dyDescent="0.25">
      <c r="A7" s="10" t="s">
        <v>252</v>
      </c>
      <c r="B7" s="12" t="s">
        <v>251</v>
      </c>
    </row>
    <row r="8" spans="1:2" x14ac:dyDescent="0.25">
      <c r="A8" s="10" t="s">
        <v>254</v>
      </c>
      <c r="B8" s="12" t="s">
        <v>253</v>
      </c>
    </row>
    <row r="9" spans="1:2" x14ac:dyDescent="0.25">
      <c r="A9" s="10" t="s">
        <v>256</v>
      </c>
      <c r="B9" s="12" t="s">
        <v>255</v>
      </c>
    </row>
    <row r="10" spans="1:2" x14ac:dyDescent="0.25">
      <c r="A10" s="10" t="s">
        <v>258</v>
      </c>
      <c r="B10" s="12" t="s">
        <v>257</v>
      </c>
    </row>
    <row r="11" spans="1:2" x14ac:dyDescent="0.25">
      <c r="A11" s="10" t="s">
        <v>260</v>
      </c>
      <c r="B11" s="12" t="s">
        <v>259</v>
      </c>
    </row>
    <row r="12" spans="1:2" x14ac:dyDescent="0.25">
      <c r="A12" s="10" t="s">
        <v>262</v>
      </c>
      <c r="B12" s="12" t="s">
        <v>261</v>
      </c>
    </row>
    <row r="13" spans="1:2" x14ac:dyDescent="0.25">
      <c r="A13" s="10" t="s">
        <v>264</v>
      </c>
      <c r="B13" s="12" t="s">
        <v>263</v>
      </c>
    </row>
    <row r="14" spans="1:2" x14ac:dyDescent="0.25">
      <c r="A14" s="10" t="s">
        <v>266</v>
      </c>
      <c r="B14" s="12" t="s">
        <v>265</v>
      </c>
    </row>
    <row r="15" spans="1:2" x14ac:dyDescent="0.25">
      <c r="A15" s="10" t="s">
        <v>268</v>
      </c>
      <c r="B15" s="12" t="s">
        <v>267</v>
      </c>
    </row>
    <row r="16" spans="1:2" x14ac:dyDescent="0.25">
      <c r="A16" s="10" t="s">
        <v>270</v>
      </c>
      <c r="B16" s="12" t="s">
        <v>269</v>
      </c>
    </row>
    <row r="17" spans="1:2" x14ac:dyDescent="0.25">
      <c r="A17" s="10" t="s">
        <v>272</v>
      </c>
      <c r="B17" s="12" t="s">
        <v>271</v>
      </c>
    </row>
    <row r="18" spans="1:2" x14ac:dyDescent="0.25">
      <c r="A18" s="10" t="s">
        <v>274</v>
      </c>
      <c r="B18" s="12" t="s">
        <v>273</v>
      </c>
    </row>
    <row r="19" spans="1:2" x14ac:dyDescent="0.25">
      <c r="A19" s="10" t="s">
        <v>276</v>
      </c>
      <c r="B19" s="12" t="s">
        <v>275</v>
      </c>
    </row>
    <row r="20" spans="1:2" x14ac:dyDescent="0.25">
      <c r="A20" s="10" t="s">
        <v>278</v>
      </c>
      <c r="B20" s="12" t="s">
        <v>277</v>
      </c>
    </row>
    <row r="21" spans="1:2" x14ac:dyDescent="0.25">
      <c r="A21" s="10" t="s">
        <v>280</v>
      </c>
      <c r="B21" s="12" t="s">
        <v>279</v>
      </c>
    </row>
    <row r="22" spans="1:2" x14ac:dyDescent="0.25">
      <c r="A22" s="10" t="s">
        <v>282</v>
      </c>
      <c r="B22" s="12" t="s">
        <v>281</v>
      </c>
    </row>
    <row r="23" spans="1:2" x14ac:dyDescent="0.25">
      <c r="A23" s="10" t="s">
        <v>284</v>
      </c>
      <c r="B23" s="12" t="s">
        <v>283</v>
      </c>
    </row>
    <row r="24" spans="1:2" x14ac:dyDescent="0.25">
      <c r="A24" s="10" t="s">
        <v>286</v>
      </c>
      <c r="B24" s="12" t="s">
        <v>285</v>
      </c>
    </row>
    <row r="25" spans="1:2" x14ac:dyDescent="0.25">
      <c r="A25" s="10" t="s">
        <v>287</v>
      </c>
      <c r="B25" s="12" t="s">
        <v>202</v>
      </c>
    </row>
    <row r="26" spans="1:2" x14ac:dyDescent="0.25">
      <c r="A26" s="10" t="s">
        <v>289</v>
      </c>
      <c r="B26" s="12" t="s">
        <v>288</v>
      </c>
    </row>
    <row r="27" spans="1:2" x14ac:dyDescent="0.25">
      <c r="A27" s="10" t="s">
        <v>291</v>
      </c>
      <c r="B27" s="12" t="s">
        <v>290</v>
      </c>
    </row>
    <row r="28" spans="1:2" x14ac:dyDescent="0.25">
      <c r="A28" s="10" t="s">
        <v>293</v>
      </c>
      <c r="B28" s="12" t="s">
        <v>292</v>
      </c>
    </row>
    <row r="29" spans="1:2" x14ac:dyDescent="0.25">
      <c r="A29" s="10" t="s">
        <v>295</v>
      </c>
      <c r="B29" s="12" t="s">
        <v>294</v>
      </c>
    </row>
    <row r="30" spans="1:2" x14ac:dyDescent="0.25">
      <c r="A30" s="10" t="s">
        <v>297</v>
      </c>
      <c r="B30" s="12" t="s">
        <v>296</v>
      </c>
    </row>
    <row r="31" spans="1:2" x14ac:dyDescent="0.25">
      <c r="A31" s="10" t="s">
        <v>299</v>
      </c>
      <c r="B31" s="12" t="s">
        <v>298</v>
      </c>
    </row>
    <row r="32" spans="1:2" x14ac:dyDescent="0.25">
      <c r="A32" s="10" t="s">
        <v>301</v>
      </c>
      <c r="B32" s="12" t="s">
        <v>300</v>
      </c>
    </row>
    <row r="33" spans="1:2" x14ac:dyDescent="0.25">
      <c r="A33" s="10" t="s">
        <v>303</v>
      </c>
      <c r="B33" s="12" t="s">
        <v>302</v>
      </c>
    </row>
    <row r="34" spans="1:2" x14ac:dyDescent="0.25">
      <c r="A34" s="10" t="s">
        <v>305</v>
      </c>
      <c r="B34" s="12" t="s">
        <v>304</v>
      </c>
    </row>
    <row r="35" spans="1:2" x14ac:dyDescent="0.25">
      <c r="A35" s="10" t="s">
        <v>307</v>
      </c>
      <c r="B35" s="12" t="s">
        <v>306</v>
      </c>
    </row>
    <row r="36" spans="1:2" x14ac:dyDescent="0.25">
      <c r="A36" s="10" t="s">
        <v>309</v>
      </c>
      <c r="B36" s="12" t="s">
        <v>308</v>
      </c>
    </row>
    <row r="37" spans="1:2" x14ac:dyDescent="0.25">
      <c r="A37" s="10" t="s">
        <v>311</v>
      </c>
      <c r="B37" s="12" t="s">
        <v>310</v>
      </c>
    </row>
    <row r="38" spans="1:2" x14ac:dyDescent="0.25">
      <c r="A38" s="10" t="s">
        <v>313</v>
      </c>
      <c r="B38" s="12" t="s">
        <v>312</v>
      </c>
    </row>
    <row r="39" spans="1:2" x14ac:dyDescent="0.25">
      <c r="A39" s="10" t="s">
        <v>315</v>
      </c>
      <c r="B39" s="12" t="s">
        <v>314</v>
      </c>
    </row>
    <row r="40" spans="1:2" x14ac:dyDescent="0.25">
      <c r="A40" s="10" t="s">
        <v>317</v>
      </c>
      <c r="B40" s="12" t="s">
        <v>316</v>
      </c>
    </row>
    <row r="41" spans="1:2" x14ac:dyDescent="0.25">
      <c r="A41" s="10" t="s">
        <v>319</v>
      </c>
      <c r="B41" s="12" t="s">
        <v>318</v>
      </c>
    </row>
    <row r="42" spans="1:2" x14ac:dyDescent="0.25">
      <c r="A42" s="10" t="s">
        <v>321</v>
      </c>
      <c r="B42" s="12" t="s">
        <v>320</v>
      </c>
    </row>
    <row r="43" spans="1:2" x14ac:dyDescent="0.25">
      <c r="A43" s="10" t="s">
        <v>323</v>
      </c>
      <c r="B43" s="12" t="s">
        <v>322</v>
      </c>
    </row>
    <row r="44" spans="1:2" x14ac:dyDescent="0.25">
      <c r="A44" s="10" t="s">
        <v>325</v>
      </c>
      <c r="B44" s="12" t="s">
        <v>324</v>
      </c>
    </row>
    <row r="45" spans="1:2" x14ac:dyDescent="0.25">
      <c r="A45" s="10" t="s">
        <v>327</v>
      </c>
      <c r="B45" s="12" t="s">
        <v>326</v>
      </c>
    </row>
    <row r="46" spans="1:2" x14ac:dyDescent="0.25">
      <c r="A46" s="10" t="s">
        <v>329</v>
      </c>
      <c r="B46" s="12" t="s">
        <v>328</v>
      </c>
    </row>
    <row r="47" spans="1:2" x14ac:dyDescent="0.25">
      <c r="A47" s="10" t="s">
        <v>331</v>
      </c>
      <c r="B47" s="12" t="s">
        <v>330</v>
      </c>
    </row>
    <row r="48" spans="1:2" x14ac:dyDescent="0.25">
      <c r="A48" s="10" t="s">
        <v>332</v>
      </c>
      <c r="B48" s="12" t="s">
        <v>191</v>
      </c>
    </row>
    <row r="49" spans="1:2" x14ac:dyDescent="0.25">
      <c r="A49" s="10" t="s">
        <v>334</v>
      </c>
      <c r="B49" s="12" t="s">
        <v>333</v>
      </c>
    </row>
    <row r="50" spans="1:2" x14ac:dyDescent="0.25">
      <c r="A50" s="10" t="s">
        <v>336</v>
      </c>
      <c r="B50" s="12" t="s">
        <v>335</v>
      </c>
    </row>
    <row r="51" spans="1:2" x14ac:dyDescent="0.25">
      <c r="A51" s="10" t="s">
        <v>338</v>
      </c>
      <c r="B51" s="12" t="s">
        <v>337</v>
      </c>
    </row>
    <row r="52" spans="1:2" x14ac:dyDescent="0.25">
      <c r="A52" s="10" t="s">
        <v>340</v>
      </c>
      <c r="B52" s="12" t="s">
        <v>339</v>
      </c>
    </row>
    <row r="53" spans="1:2" x14ac:dyDescent="0.25">
      <c r="A53" s="10" t="s">
        <v>342</v>
      </c>
      <c r="B53" s="12" t="s">
        <v>341</v>
      </c>
    </row>
    <row r="54" spans="1:2" x14ac:dyDescent="0.25">
      <c r="A54" s="10" t="s">
        <v>344</v>
      </c>
      <c r="B54" s="12" t="s">
        <v>343</v>
      </c>
    </row>
    <row r="55" spans="1:2" x14ac:dyDescent="0.25">
      <c r="A55" s="10" t="s">
        <v>346</v>
      </c>
      <c r="B55" s="12" t="s">
        <v>345</v>
      </c>
    </row>
    <row r="56" spans="1:2" x14ac:dyDescent="0.25">
      <c r="A56" s="10" t="s">
        <v>348</v>
      </c>
      <c r="B56" s="12" t="s">
        <v>347</v>
      </c>
    </row>
    <row r="57" spans="1:2" x14ac:dyDescent="0.25">
      <c r="A57" s="10" t="s">
        <v>350</v>
      </c>
      <c r="B57" s="12" t="s">
        <v>349</v>
      </c>
    </row>
    <row r="58" spans="1:2" x14ac:dyDescent="0.25">
      <c r="A58" s="10" t="s">
        <v>352</v>
      </c>
      <c r="B58" s="12" t="s">
        <v>351</v>
      </c>
    </row>
    <row r="59" spans="1:2" x14ac:dyDescent="0.25">
      <c r="A59" s="10" t="s">
        <v>354</v>
      </c>
      <c r="B59" s="12" t="s">
        <v>353</v>
      </c>
    </row>
    <row r="60" spans="1:2" x14ac:dyDescent="0.25">
      <c r="A60" s="10" t="s">
        <v>356</v>
      </c>
      <c r="B60" s="12" t="s">
        <v>355</v>
      </c>
    </row>
    <row r="61" spans="1:2" x14ac:dyDescent="0.25">
      <c r="A61" s="10" t="s">
        <v>358</v>
      </c>
      <c r="B61" s="12" t="s">
        <v>357</v>
      </c>
    </row>
    <row r="62" spans="1:2" x14ac:dyDescent="0.25">
      <c r="A62" s="10" t="s">
        <v>360</v>
      </c>
      <c r="B62" s="12" t="s">
        <v>359</v>
      </c>
    </row>
    <row r="63" spans="1:2" x14ac:dyDescent="0.25">
      <c r="A63" s="10" t="s">
        <v>362</v>
      </c>
      <c r="B63" s="12" t="s">
        <v>361</v>
      </c>
    </row>
    <row r="64" spans="1:2" x14ac:dyDescent="0.25">
      <c r="A64" s="10" t="s">
        <v>364</v>
      </c>
      <c r="B64" s="12" t="s">
        <v>363</v>
      </c>
    </row>
    <row r="65" spans="1:2" x14ac:dyDescent="0.25">
      <c r="A65" s="10" t="s">
        <v>366</v>
      </c>
      <c r="B65" s="12" t="s">
        <v>365</v>
      </c>
    </row>
    <row r="66" spans="1:2" x14ac:dyDescent="0.25">
      <c r="A66" s="10" t="s">
        <v>368</v>
      </c>
      <c r="B66" s="12" t="s">
        <v>367</v>
      </c>
    </row>
    <row r="67" spans="1:2" x14ac:dyDescent="0.25">
      <c r="A67" s="10" t="s">
        <v>370</v>
      </c>
      <c r="B67" s="12" t="s">
        <v>369</v>
      </c>
    </row>
    <row r="68" spans="1:2" x14ac:dyDescent="0.25">
      <c r="A68" s="10" t="s">
        <v>372</v>
      </c>
      <c r="B68" s="12" t="s">
        <v>371</v>
      </c>
    </row>
    <row r="69" spans="1:2" x14ac:dyDescent="0.25">
      <c r="A69" s="10" t="s">
        <v>374</v>
      </c>
      <c r="B69" s="12" t="s">
        <v>373</v>
      </c>
    </row>
    <row r="70" spans="1:2" x14ac:dyDescent="0.25">
      <c r="A70" s="10" t="s">
        <v>376</v>
      </c>
      <c r="B70" s="12" t="s">
        <v>375</v>
      </c>
    </row>
    <row r="71" spans="1:2" x14ac:dyDescent="0.25">
      <c r="A71" s="10" t="s">
        <v>378</v>
      </c>
      <c r="B71" s="12" t="s">
        <v>377</v>
      </c>
    </row>
    <row r="72" spans="1:2" x14ac:dyDescent="0.25">
      <c r="A72" s="10" t="s">
        <v>380</v>
      </c>
      <c r="B72" s="12" t="s">
        <v>379</v>
      </c>
    </row>
    <row r="73" spans="1:2" x14ac:dyDescent="0.25">
      <c r="A73" s="10" t="s">
        <v>382</v>
      </c>
      <c r="B73" s="12" t="s">
        <v>381</v>
      </c>
    </row>
    <row r="74" spans="1:2" x14ac:dyDescent="0.25">
      <c r="A74" s="10" t="s">
        <v>384</v>
      </c>
      <c r="B74" s="12" t="s">
        <v>383</v>
      </c>
    </row>
    <row r="75" spans="1:2" x14ac:dyDescent="0.25">
      <c r="A75" s="10" t="s">
        <v>386</v>
      </c>
      <c r="B75" s="12" t="s">
        <v>385</v>
      </c>
    </row>
    <row r="76" spans="1:2" x14ac:dyDescent="0.25">
      <c r="A76" s="10" t="s">
        <v>388</v>
      </c>
      <c r="B76" s="12" t="s">
        <v>387</v>
      </c>
    </row>
    <row r="77" spans="1:2" x14ac:dyDescent="0.25">
      <c r="A77" s="10" t="s">
        <v>390</v>
      </c>
      <c r="B77" s="12" t="s">
        <v>389</v>
      </c>
    </row>
    <row r="78" spans="1:2" x14ac:dyDescent="0.25">
      <c r="A78" s="10" t="s">
        <v>392</v>
      </c>
      <c r="B78" s="12" t="s">
        <v>391</v>
      </c>
    </row>
    <row r="79" spans="1:2" x14ac:dyDescent="0.25">
      <c r="A79" s="10" t="s">
        <v>394</v>
      </c>
      <c r="B79" s="12" t="s">
        <v>393</v>
      </c>
    </row>
    <row r="80" spans="1:2" x14ac:dyDescent="0.25">
      <c r="A80" s="10" t="s">
        <v>396</v>
      </c>
      <c r="B80" s="12" t="s">
        <v>395</v>
      </c>
    </row>
    <row r="81" spans="1:2" x14ac:dyDescent="0.25">
      <c r="A81" s="10" t="s">
        <v>398</v>
      </c>
      <c r="B81" s="12" t="s">
        <v>397</v>
      </c>
    </row>
    <row r="82" spans="1:2" x14ac:dyDescent="0.25">
      <c r="A82" s="10" t="s">
        <v>400</v>
      </c>
      <c r="B82" s="12" t="s">
        <v>399</v>
      </c>
    </row>
    <row r="83" spans="1:2" x14ac:dyDescent="0.25">
      <c r="A83" s="10" t="s">
        <v>402</v>
      </c>
      <c r="B83" s="12" t="s">
        <v>401</v>
      </c>
    </row>
    <row r="84" spans="1:2" x14ac:dyDescent="0.25">
      <c r="A84" s="10" t="s">
        <v>404</v>
      </c>
      <c r="B84" s="12" t="s">
        <v>403</v>
      </c>
    </row>
    <row r="85" spans="1:2" x14ac:dyDescent="0.25">
      <c r="A85" s="10" t="s">
        <v>406</v>
      </c>
      <c r="B85" s="12" t="s">
        <v>405</v>
      </c>
    </row>
    <row r="86" spans="1:2" x14ac:dyDescent="0.25">
      <c r="A86" s="10" t="s">
        <v>408</v>
      </c>
      <c r="B86" s="12" t="s">
        <v>407</v>
      </c>
    </row>
    <row r="87" spans="1:2" x14ac:dyDescent="0.25">
      <c r="A87" s="10" t="s">
        <v>410</v>
      </c>
      <c r="B87" s="12" t="s">
        <v>409</v>
      </c>
    </row>
    <row r="88" spans="1:2" x14ac:dyDescent="0.25">
      <c r="A88" s="10" t="s">
        <v>412</v>
      </c>
      <c r="B88" s="12" t="s">
        <v>411</v>
      </c>
    </row>
    <row r="89" spans="1:2" x14ac:dyDescent="0.25">
      <c r="A89" s="10" t="s">
        <v>414</v>
      </c>
      <c r="B89" s="12" t="s">
        <v>413</v>
      </c>
    </row>
    <row r="90" spans="1:2" x14ac:dyDescent="0.25">
      <c r="A90" s="10" t="s">
        <v>416</v>
      </c>
      <c r="B90" s="12" t="s">
        <v>415</v>
      </c>
    </row>
    <row r="91" spans="1:2" x14ac:dyDescent="0.25">
      <c r="A91" s="10" t="s">
        <v>418</v>
      </c>
      <c r="B91" s="12" t="s">
        <v>417</v>
      </c>
    </row>
    <row r="92" spans="1:2" x14ac:dyDescent="0.25">
      <c r="A92" s="10" t="s">
        <v>420</v>
      </c>
      <c r="B92" s="12" t="s">
        <v>419</v>
      </c>
    </row>
    <row r="93" spans="1:2" x14ac:dyDescent="0.25">
      <c r="A93" s="10" t="s">
        <v>422</v>
      </c>
      <c r="B93" s="12" t="s">
        <v>421</v>
      </c>
    </row>
    <row r="94" spans="1:2" x14ac:dyDescent="0.25">
      <c r="A94" s="10" t="s">
        <v>424</v>
      </c>
      <c r="B94" s="12" t="s">
        <v>423</v>
      </c>
    </row>
    <row r="95" spans="1:2" x14ac:dyDescent="0.25">
      <c r="A95" s="10" t="s">
        <v>426</v>
      </c>
      <c r="B95" s="12" t="s">
        <v>425</v>
      </c>
    </row>
    <row r="96" spans="1:2" x14ac:dyDescent="0.25">
      <c r="A96" s="10" t="s">
        <v>428</v>
      </c>
      <c r="B96" s="12" t="s">
        <v>427</v>
      </c>
    </row>
    <row r="97" spans="1:2" x14ac:dyDescent="0.25">
      <c r="A97" s="10" t="s">
        <v>430</v>
      </c>
      <c r="B97" s="12" t="s">
        <v>429</v>
      </c>
    </row>
    <row r="98" spans="1:2" x14ac:dyDescent="0.25">
      <c r="A98" s="10" t="s">
        <v>432</v>
      </c>
      <c r="B98" s="12" t="s">
        <v>431</v>
      </c>
    </row>
    <row r="99" spans="1:2" x14ac:dyDescent="0.25">
      <c r="A99" s="10" t="s">
        <v>434</v>
      </c>
      <c r="B99" s="12" t="s">
        <v>433</v>
      </c>
    </row>
    <row r="100" spans="1:2" x14ac:dyDescent="0.25">
      <c r="A100" s="10" t="s">
        <v>436</v>
      </c>
      <c r="B100" s="12" t="s">
        <v>435</v>
      </c>
    </row>
    <row r="101" spans="1:2" x14ac:dyDescent="0.25">
      <c r="A101" s="10" t="s">
        <v>438</v>
      </c>
      <c r="B101" s="12" t="s">
        <v>437</v>
      </c>
    </row>
    <row r="102" spans="1:2" x14ac:dyDescent="0.25">
      <c r="A102" s="10" t="s">
        <v>440</v>
      </c>
      <c r="B102" s="12" t="s">
        <v>439</v>
      </c>
    </row>
    <row r="103" spans="1:2" x14ac:dyDescent="0.25">
      <c r="A103" s="10" t="s">
        <v>442</v>
      </c>
      <c r="B103" s="12" t="s">
        <v>441</v>
      </c>
    </row>
    <row r="104" spans="1:2" x14ac:dyDescent="0.25">
      <c r="A104" s="10" t="s">
        <v>444</v>
      </c>
      <c r="B104" s="12" t="s">
        <v>443</v>
      </c>
    </row>
    <row r="105" spans="1:2" x14ac:dyDescent="0.25">
      <c r="A105" s="10" t="s">
        <v>446</v>
      </c>
      <c r="B105" s="12" t="s">
        <v>445</v>
      </c>
    </row>
    <row r="106" spans="1:2" x14ac:dyDescent="0.25">
      <c r="A106" s="10" t="s">
        <v>448</v>
      </c>
      <c r="B106" s="12" t="s">
        <v>447</v>
      </c>
    </row>
    <row r="107" spans="1:2" x14ac:dyDescent="0.25">
      <c r="A107" s="10" t="s">
        <v>450</v>
      </c>
      <c r="B107" s="12" t="s">
        <v>449</v>
      </c>
    </row>
    <row r="108" spans="1:2" x14ac:dyDescent="0.25">
      <c r="A108" s="10" t="s">
        <v>452</v>
      </c>
      <c r="B108" s="12" t="s">
        <v>451</v>
      </c>
    </row>
    <row r="109" spans="1:2" x14ac:dyDescent="0.25">
      <c r="A109" s="10" t="s">
        <v>454</v>
      </c>
      <c r="B109" s="12" t="s">
        <v>453</v>
      </c>
    </row>
    <row r="110" spans="1:2" x14ac:dyDescent="0.25">
      <c r="A110" s="10" t="s">
        <v>456</v>
      </c>
      <c r="B110" s="12" t="s">
        <v>455</v>
      </c>
    </row>
    <row r="111" spans="1:2" x14ac:dyDescent="0.25">
      <c r="A111" s="10" t="s">
        <v>458</v>
      </c>
      <c r="B111" s="12" t="s">
        <v>457</v>
      </c>
    </row>
    <row r="112" spans="1:2" x14ac:dyDescent="0.25">
      <c r="A112" s="10" t="s">
        <v>460</v>
      </c>
      <c r="B112" s="12" t="s">
        <v>459</v>
      </c>
    </row>
    <row r="113" spans="1:2" x14ac:dyDescent="0.25">
      <c r="A113" s="10" t="s">
        <v>462</v>
      </c>
      <c r="B113" s="12" t="s">
        <v>461</v>
      </c>
    </row>
    <row r="114" spans="1:2" x14ac:dyDescent="0.25">
      <c r="A114" s="10" t="s">
        <v>464</v>
      </c>
      <c r="B114" s="12" t="s">
        <v>463</v>
      </c>
    </row>
    <row r="115" spans="1:2" x14ac:dyDescent="0.25">
      <c r="A115" s="10" t="s">
        <v>466</v>
      </c>
      <c r="B115" s="12" t="s">
        <v>465</v>
      </c>
    </row>
    <row r="116" spans="1:2" x14ac:dyDescent="0.25">
      <c r="A116" s="10" t="s">
        <v>467</v>
      </c>
      <c r="B116" s="12" t="s">
        <v>184</v>
      </c>
    </row>
    <row r="117" spans="1:2" x14ac:dyDescent="0.25">
      <c r="A117" s="10" t="s">
        <v>469</v>
      </c>
      <c r="B117" s="12" t="s">
        <v>468</v>
      </c>
    </row>
    <row r="118" spans="1:2" x14ac:dyDescent="0.25">
      <c r="A118" s="10" t="s">
        <v>471</v>
      </c>
      <c r="B118" s="12" t="s">
        <v>470</v>
      </c>
    </row>
    <row r="119" spans="1:2" x14ac:dyDescent="0.25">
      <c r="A119" s="10" t="s">
        <v>473</v>
      </c>
      <c r="B119" s="12" t="s">
        <v>472</v>
      </c>
    </row>
    <row r="120" spans="1:2" x14ac:dyDescent="0.25">
      <c r="A120" s="10" t="s">
        <v>475</v>
      </c>
      <c r="B120" s="12" t="s">
        <v>474</v>
      </c>
    </row>
    <row r="121" spans="1:2" x14ac:dyDescent="0.25">
      <c r="A121" s="10" t="s">
        <v>476</v>
      </c>
      <c r="B121" s="12" t="s">
        <v>316</v>
      </c>
    </row>
    <row r="122" spans="1:2" x14ac:dyDescent="0.25">
      <c r="A122" s="10" t="s">
        <v>478</v>
      </c>
      <c r="B122" s="12" t="s">
        <v>477</v>
      </c>
    </row>
    <row r="123" spans="1:2" x14ac:dyDescent="0.25">
      <c r="A123" s="10" t="s">
        <v>480</v>
      </c>
      <c r="B123" s="12" t="s">
        <v>479</v>
      </c>
    </row>
    <row r="124" spans="1:2" x14ac:dyDescent="0.25">
      <c r="A124" s="10" t="s">
        <v>482</v>
      </c>
      <c r="B124" s="12" t="s">
        <v>481</v>
      </c>
    </row>
    <row r="125" spans="1:2" x14ac:dyDescent="0.25">
      <c r="A125" s="10" t="s">
        <v>484</v>
      </c>
      <c r="B125" s="12" t="s">
        <v>483</v>
      </c>
    </row>
    <row r="126" spans="1:2" x14ac:dyDescent="0.25">
      <c r="A126" s="10" t="s">
        <v>486</v>
      </c>
      <c r="B126" s="12" t="s">
        <v>485</v>
      </c>
    </row>
    <row r="127" spans="1:2" x14ac:dyDescent="0.25">
      <c r="A127" s="10" t="s">
        <v>488</v>
      </c>
      <c r="B127" s="12" t="s">
        <v>487</v>
      </c>
    </row>
    <row r="128" spans="1:2" x14ac:dyDescent="0.25">
      <c r="A128" s="10" t="s">
        <v>490</v>
      </c>
      <c r="B128" s="12" t="s">
        <v>489</v>
      </c>
    </row>
    <row r="129" spans="1:2" x14ac:dyDescent="0.25">
      <c r="A129" s="10" t="s">
        <v>492</v>
      </c>
      <c r="B129" s="12" t="s">
        <v>491</v>
      </c>
    </row>
    <row r="130" spans="1:2" x14ac:dyDescent="0.25">
      <c r="A130" s="10" t="s">
        <v>494</v>
      </c>
      <c r="B130" s="12" t="s">
        <v>493</v>
      </c>
    </row>
    <row r="131" spans="1:2" x14ac:dyDescent="0.25">
      <c r="A131" s="10" t="s">
        <v>496</v>
      </c>
      <c r="B131" s="12" t="s">
        <v>495</v>
      </c>
    </row>
    <row r="132" spans="1:2" x14ac:dyDescent="0.25">
      <c r="A132" s="10" t="s">
        <v>498</v>
      </c>
      <c r="B132" s="12" t="s">
        <v>497</v>
      </c>
    </row>
    <row r="133" spans="1:2" x14ac:dyDescent="0.25">
      <c r="A133" s="10" t="s">
        <v>500</v>
      </c>
      <c r="B133" s="12" t="s">
        <v>499</v>
      </c>
    </row>
    <row r="134" spans="1:2" x14ac:dyDescent="0.25">
      <c r="A134" s="10" t="s">
        <v>502</v>
      </c>
      <c r="B134" s="12" t="s">
        <v>501</v>
      </c>
    </row>
    <row r="135" spans="1:2" x14ac:dyDescent="0.25">
      <c r="A135" s="10" t="s">
        <v>504</v>
      </c>
      <c r="B135" s="12" t="s">
        <v>503</v>
      </c>
    </row>
    <row r="136" spans="1:2" x14ac:dyDescent="0.25">
      <c r="A136" s="10" t="s">
        <v>506</v>
      </c>
      <c r="B136" s="12" t="s">
        <v>505</v>
      </c>
    </row>
    <row r="137" spans="1:2" x14ac:dyDescent="0.25">
      <c r="A137" s="10" t="s">
        <v>508</v>
      </c>
      <c r="B137" s="12" t="s">
        <v>507</v>
      </c>
    </row>
    <row r="138" spans="1:2" x14ac:dyDescent="0.25">
      <c r="A138" s="10" t="s">
        <v>510</v>
      </c>
      <c r="B138" s="12" t="s">
        <v>509</v>
      </c>
    </row>
    <row r="139" spans="1:2" x14ac:dyDescent="0.25">
      <c r="A139" s="10" t="s">
        <v>512</v>
      </c>
      <c r="B139" s="12" t="s">
        <v>511</v>
      </c>
    </row>
    <row r="140" spans="1:2" x14ac:dyDescent="0.25">
      <c r="A140" s="10" t="s">
        <v>514</v>
      </c>
      <c r="B140" s="12" t="s">
        <v>513</v>
      </c>
    </row>
    <row r="141" spans="1:2" x14ac:dyDescent="0.25">
      <c r="A141" s="10" t="s">
        <v>516</v>
      </c>
      <c r="B141" s="12" t="s">
        <v>515</v>
      </c>
    </row>
    <row r="142" spans="1:2" x14ac:dyDescent="0.25">
      <c r="A142" s="10" t="s">
        <v>518</v>
      </c>
      <c r="B142" s="12" t="s">
        <v>517</v>
      </c>
    </row>
    <row r="143" spans="1:2" x14ac:dyDescent="0.25">
      <c r="A143" s="10" t="s">
        <v>520</v>
      </c>
      <c r="B143" s="12" t="s">
        <v>519</v>
      </c>
    </row>
    <row r="144" spans="1:2" x14ac:dyDescent="0.25">
      <c r="A144" s="10" t="s">
        <v>522</v>
      </c>
      <c r="B144" s="12" t="s">
        <v>521</v>
      </c>
    </row>
    <row r="145" spans="1:2" x14ac:dyDescent="0.25">
      <c r="A145" s="10" t="s">
        <v>524</v>
      </c>
      <c r="B145" s="12" t="s">
        <v>523</v>
      </c>
    </row>
    <row r="146" spans="1:2" x14ac:dyDescent="0.25">
      <c r="A146" s="10" t="s">
        <v>525</v>
      </c>
      <c r="B146" s="12" t="s">
        <v>523</v>
      </c>
    </row>
    <row r="147" spans="1:2" x14ac:dyDescent="0.25">
      <c r="A147" s="10" t="s">
        <v>527</v>
      </c>
      <c r="B147" s="12" t="s">
        <v>526</v>
      </c>
    </row>
    <row r="148" spans="1:2" x14ac:dyDescent="0.25">
      <c r="A148" s="10" t="s">
        <v>529</v>
      </c>
      <c r="B148" s="12" t="s">
        <v>528</v>
      </c>
    </row>
    <row r="149" spans="1:2" x14ac:dyDescent="0.25">
      <c r="A149" s="10" t="s">
        <v>531</v>
      </c>
      <c r="B149" s="12" t="s">
        <v>530</v>
      </c>
    </row>
    <row r="150" spans="1:2" x14ac:dyDescent="0.25">
      <c r="A150" s="10" t="s">
        <v>533</v>
      </c>
      <c r="B150" s="12" t="s">
        <v>532</v>
      </c>
    </row>
    <row r="151" spans="1:2" x14ac:dyDescent="0.25">
      <c r="A151" s="10" t="s">
        <v>535</v>
      </c>
      <c r="B151" s="12" t="s">
        <v>534</v>
      </c>
    </row>
    <row r="152" spans="1:2" x14ac:dyDescent="0.25">
      <c r="A152" s="10" t="s">
        <v>537</v>
      </c>
      <c r="B152" s="12" t="s">
        <v>536</v>
      </c>
    </row>
    <row r="153" spans="1:2" x14ac:dyDescent="0.25">
      <c r="A153" s="10" t="s">
        <v>539</v>
      </c>
      <c r="B153" s="12" t="s">
        <v>538</v>
      </c>
    </row>
    <row r="154" spans="1:2" x14ac:dyDescent="0.25">
      <c r="A154" s="10" t="s">
        <v>541</v>
      </c>
      <c r="B154" s="12" t="s">
        <v>540</v>
      </c>
    </row>
    <row r="155" spans="1:2" x14ac:dyDescent="0.25">
      <c r="A155" s="10" t="s">
        <v>542</v>
      </c>
      <c r="B155" s="12" t="s">
        <v>413</v>
      </c>
    </row>
    <row r="156" spans="1:2" x14ac:dyDescent="0.25">
      <c r="A156" s="10" t="s">
        <v>544</v>
      </c>
      <c r="B156" s="12" t="s">
        <v>543</v>
      </c>
    </row>
    <row r="157" spans="1:2" x14ac:dyDescent="0.25">
      <c r="A157" s="10" t="s">
        <v>546</v>
      </c>
      <c r="B157" s="12" t="s">
        <v>545</v>
      </c>
    </row>
    <row r="158" spans="1:2" x14ac:dyDescent="0.25">
      <c r="A158" s="10" t="s">
        <v>548</v>
      </c>
      <c r="B158" s="12" t="s">
        <v>547</v>
      </c>
    </row>
    <row r="159" spans="1:2" x14ac:dyDescent="0.25">
      <c r="A159" s="10" t="s">
        <v>550</v>
      </c>
      <c r="B159" s="12" t="s">
        <v>549</v>
      </c>
    </row>
    <row r="160" spans="1:2" x14ac:dyDescent="0.25">
      <c r="A160" s="10" t="s">
        <v>552</v>
      </c>
      <c r="B160" s="12" t="s">
        <v>551</v>
      </c>
    </row>
    <row r="161" spans="1:5" x14ac:dyDescent="0.25">
      <c r="A161" s="10" t="s">
        <v>554</v>
      </c>
      <c r="B161" s="12" t="s">
        <v>553</v>
      </c>
    </row>
    <row r="162" spans="1:5" x14ac:dyDescent="0.25">
      <c r="A162" s="10" t="s">
        <v>556</v>
      </c>
      <c r="B162" s="12" t="s">
        <v>555</v>
      </c>
    </row>
    <row r="163" spans="1:5" x14ac:dyDescent="0.25">
      <c r="A163" s="10" t="s">
        <v>558</v>
      </c>
      <c r="B163" s="12" t="s">
        <v>557</v>
      </c>
    </row>
    <row r="164" spans="1:5" x14ac:dyDescent="0.25">
      <c r="A164" s="11" t="s">
        <v>560</v>
      </c>
      <c r="B164" s="12" t="s">
        <v>559</v>
      </c>
      <c r="C164" s="504"/>
      <c r="D164" s="504"/>
      <c r="E164" s="11"/>
    </row>
    <row r="165" spans="1:5" x14ac:dyDescent="0.25">
      <c r="A165" s="11" t="s">
        <v>562</v>
      </c>
      <c r="B165" s="12" t="s">
        <v>561</v>
      </c>
      <c r="C165" s="504"/>
      <c r="D165" s="504"/>
      <c r="E165" s="11"/>
    </row>
    <row r="166" spans="1:5" x14ac:dyDescent="0.25">
      <c r="A166" s="11" t="s">
        <v>564</v>
      </c>
      <c r="B166" s="12" t="s">
        <v>563</v>
      </c>
      <c r="C166" s="504"/>
      <c r="D166" s="504"/>
      <c r="E166" s="11"/>
    </row>
    <row r="167" spans="1:5" x14ac:dyDescent="0.25">
      <c r="A167" s="11" t="s">
        <v>565</v>
      </c>
      <c r="B167" s="12" t="s">
        <v>559</v>
      </c>
      <c r="C167" s="504"/>
      <c r="D167" s="504"/>
      <c r="E167" s="11"/>
    </row>
  </sheetData>
  <mergeCells count="4">
    <mergeCell ref="C167:D167"/>
    <mergeCell ref="C165:D165"/>
    <mergeCell ref="C166:D166"/>
    <mergeCell ref="C164:D16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GL Dump</vt:lpstr>
      <vt:lpstr>Master</vt:lpstr>
      <vt:lpstr>Journals</vt:lpstr>
      <vt:lpstr>Promo %</vt:lpstr>
      <vt:lpstr>Promo Workings</vt:lpstr>
      <vt:lpstr>COGS-PROMO PERIOD</vt:lpstr>
      <vt:lpstr>Name</vt:lpstr>
      <vt:lpstr>Type of Journal</vt:lpstr>
      <vt:lpstr>Date of Journals </vt:lpstr>
      <vt:lpstr>Posted By</vt:lpstr>
      <vt:lpstr>Approved by</vt:lpstr>
      <vt:lpstr>Stores</vt:lpstr>
      <vt:lpstr>All Accounts</vt:lpstr>
      <vt:lpstr>Sales</vt:lpstr>
      <vt:lpstr>COGS</vt:lpstr>
      <vt:lpstr>Expenses</vt:lpstr>
      <vt:lpstr>Balance Sheet Account</vt:lpstr>
      <vt:lpstr>Journals!Print_Area</vt:lpstr>
      <vt:lpstr>Journals!Print_Titles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Drew Davey</dc:creator>
  <cp:lastModifiedBy>M</cp:lastModifiedBy>
  <cp:lastPrinted>2020-07-15T02:43:06Z</cp:lastPrinted>
  <dcterms:created xsi:type="dcterms:W3CDTF">2014-10-23T04:25:37Z</dcterms:created>
  <dcterms:modified xsi:type="dcterms:W3CDTF">2021-05-24T06:04:42Z</dcterms:modified>
</cp:coreProperties>
</file>