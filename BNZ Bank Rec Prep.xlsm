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usway-my.sharepoint.com/personal/mli_awpl_com_au/Documents/Desktop/"/>
    </mc:Choice>
  </mc:AlternateContent>
  <xr:revisionPtr revIDLastSave="0" documentId="8_{19ABCDBE-B1DA-48A5-8B2D-F599DF2F6E1B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28Feb" sheetId="605" r:id="rId1"/>
    <sheet name="24Feb" sheetId="604" r:id="rId2"/>
    <sheet name="17Feb" sheetId="603" r:id="rId3"/>
    <sheet name="5Feb" sheetId="602" r:id="rId4"/>
    <sheet name="01Feb" sheetId="601" r:id="rId5"/>
    <sheet name="31Jan" sheetId="600" r:id="rId6"/>
  </sheets>
  <definedNames>
    <definedName name="_xlnm.Print_Area" localSheetId="4">'01Feb'!$A$1:$H$64</definedName>
    <definedName name="_xlnm.Print_Area" localSheetId="2">'17Feb'!$A$1:$H$63</definedName>
    <definedName name="_xlnm.Print_Area" localSheetId="1">'24Feb'!$A$1:$H$63</definedName>
    <definedName name="_xlnm.Print_Area" localSheetId="0">'28Feb'!$A$1:$H$63</definedName>
    <definedName name="_xlnm.Print_Area" localSheetId="5">'31Jan'!$A$1:$H$64</definedName>
    <definedName name="_xlnm.Print_Area" localSheetId="3">'5Feb'!$A$1:$H$64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0" i="605" l="1"/>
  <c r="B27" i="605"/>
  <c r="D29" i="605" s="1"/>
  <c r="D42" i="605" s="1"/>
  <c r="G18" i="605"/>
  <c r="G19" i="605" s="1"/>
  <c r="E27" i="605" l="1"/>
  <c r="D51" i="605"/>
  <c r="K42" i="605"/>
  <c r="L42" i="605" s="1"/>
  <c r="B40" i="604"/>
  <c r="B27" i="604"/>
  <c r="D29" i="604" s="1"/>
  <c r="D42" i="604" s="1"/>
  <c r="G18" i="604"/>
  <c r="G19" i="604" s="1"/>
  <c r="B40" i="603"/>
  <c r="B27" i="603"/>
  <c r="G18" i="603"/>
  <c r="G19" i="603" s="1"/>
  <c r="D52" i="602"/>
  <c r="B41" i="602"/>
  <c r="B28" i="602"/>
  <c r="D30" i="602" s="1"/>
  <c r="D43" i="602" s="1"/>
  <c r="K43" i="602" s="1"/>
  <c r="L43" i="602" s="1"/>
  <c r="G13" i="602"/>
  <c r="G19" i="602" s="1"/>
  <c r="G20" i="602" s="1"/>
  <c r="D52" i="601"/>
  <c r="B41" i="601"/>
  <c r="B28" i="601"/>
  <c r="E28" i="601" s="1"/>
  <c r="G19" i="601"/>
  <c r="G20" i="601" s="1"/>
  <c r="G13" i="601"/>
  <c r="D51" i="604" l="1"/>
  <c r="K42" i="604"/>
  <c r="L42" i="604" s="1"/>
  <c r="E27" i="604"/>
  <c r="D29" i="603"/>
  <c r="D42" i="603" s="1"/>
  <c r="E27" i="603"/>
  <c r="E28" i="602"/>
  <c r="D30" i="601"/>
  <c r="D43" i="601" s="1"/>
  <c r="K43" i="601" s="1"/>
  <c r="L43" i="601" s="1"/>
  <c r="D52" i="600"/>
  <c r="B41" i="600"/>
  <c r="B28" i="600"/>
  <c r="D30" i="600" s="1"/>
  <c r="D43" i="600" s="1"/>
  <c r="G13" i="600"/>
  <c r="G19" i="600" s="1"/>
  <c r="G20" i="600" s="1"/>
  <c r="K42" i="603" l="1"/>
  <c r="L42" i="603" s="1"/>
  <c r="D51" i="603"/>
  <c r="K43" i="600"/>
  <c r="L43" i="600" s="1"/>
  <c r="E28" i="600"/>
</calcChain>
</file>

<file path=xl/sharedStrings.xml><?xml version="1.0" encoding="utf-8"?>
<sst xmlns="http://schemas.openxmlformats.org/spreadsheetml/2006/main" count="189" uniqueCount="52">
  <si>
    <t>NEW ZEALAND</t>
  </si>
  <si>
    <t>Debit</t>
  </si>
  <si>
    <t>Credit</t>
  </si>
  <si>
    <t>Balance</t>
  </si>
  <si>
    <t>change figure to last day's cash book close balance</t>
  </si>
  <si>
    <t>.</t>
  </si>
  <si>
    <t>Plus Deposits:</t>
  </si>
  <si>
    <t>Deposit</t>
  </si>
  <si>
    <t>enter total deposits</t>
  </si>
  <si>
    <t>unidenitified entry</t>
  </si>
  <si>
    <t>AR receipt</t>
  </si>
  <si>
    <t>Less Payments</t>
  </si>
  <si>
    <t>enter total payments</t>
  </si>
  <si>
    <t>Bank Guarantee Fee</t>
  </si>
  <si>
    <t>Bank Charge</t>
  </si>
  <si>
    <t>EFT</t>
  </si>
  <si>
    <t>EFTPOS Rental</t>
  </si>
  <si>
    <t>Amex Fee</t>
  </si>
  <si>
    <t>Total</t>
  </si>
  <si>
    <t>will auto populate</t>
  </si>
  <si>
    <t>Less Payments to be posted on GL</t>
  </si>
  <si>
    <t>Total Payments</t>
  </si>
  <si>
    <t xml:space="preserve">Difference = </t>
  </si>
  <si>
    <t xml:space="preserve">                                                                                                                                                </t>
  </si>
  <si>
    <t>GST Refund</t>
  </si>
  <si>
    <t>IRD Refund</t>
  </si>
  <si>
    <t>Payroll 20.01.2020</t>
  </si>
  <si>
    <t>31/01/2021</t>
  </si>
  <si>
    <t>Cash Book Balance as at 31/01/2021</t>
  </si>
  <si>
    <t>Adjusted Cash Book Balance as at  31/01/2021</t>
  </si>
  <si>
    <t>Closing Bank Balance as at  31/01/2021</t>
  </si>
  <si>
    <t>01/02/2021</t>
  </si>
  <si>
    <t>Cash Book Balance as at 01/02/2021</t>
  </si>
  <si>
    <t>Adjusted Cash Book Balance as at  01/02/2021</t>
  </si>
  <si>
    <t>Closing Bank Balance as at  01/02/2021</t>
  </si>
  <si>
    <t>05/02/2021</t>
  </si>
  <si>
    <t>Cash Book Balance as at 05/02/2021</t>
  </si>
  <si>
    <t>Adjusted Cash Book Balance as at  05/02/2021</t>
  </si>
  <si>
    <t>Closing Bank Balance as at  05/02/2021</t>
  </si>
  <si>
    <t>Payroll</t>
  </si>
  <si>
    <t>17/02/2021</t>
  </si>
  <si>
    <t>Cash Book Balance as at 17/02/2021</t>
  </si>
  <si>
    <t>Adjusted Cash Book Balance as at  17/02/2021</t>
  </si>
  <si>
    <t>Closing Bank Balance as at  17/02/2021</t>
  </si>
  <si>
    <t>24/2/2021</t>
  </si>
  <si>
    <t>Cash Book Balance as at 24/2/2021</t>
  </si>
  <si>
    <t>Adjusted Cash Book Balance as at  24/2/2021</t>
  </si>
  <si>
    <t>Closing Bank Balance as at  24/2/2021</t>
  </si>
  <si>
    <t>28/2/2021</t>
  </si>
  <si>
    <t>Cash Book Balance as at 28/2/2021</t>
  </si>
  <si>
    <t>Adjusted Cash Book Balance as at  28/2/2021</t>
  </si>
  <si>
    <t>Closing Bank Balance as at  28/2/2021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</si>
</sst>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&quot;$&quot;#,##0.00"/>
    <numFmt numFmtId="165" formatCode="_-* #,##0_-;\-* #,##0_-;_-* &quot;-&quot;??_-;_-@_-"/>
  </numFmts>
  <fonts count="13">
    <font>
      <sz val="10"/>
      <name val="Arial"/>
      <charset val="134"/>
    </font>
    <font>
      <b/>
      <sz val="12"/>
      <name val="Arial"/>
      <charset val="134"/>
    </font>
    <font>
      <b/>
      <sz val="10"/>
      <name val="Arial"/>
      <charset val="134"/>
    </font>
    <font>
      <sz val="11"/>
      <name val="Calibri"/>
      <charset val="134"/>
    </font>
    <font>
      <sz val="11"/>
      <color rgb="FF000000"/>
      <name val="Calibri"/>
      <charset val="134"/>
    </font>
    <font>
      <b/>
      <sz val="11"/>
      <color theme="1"/>
      <name val="Calibri"/>
      <charset val="134"/>
      <scheme val="minor"/>
    </font>
    <font>
      <sz val="9"/>
      <color rgb="FF1F1F1F"/>
      <name val="Arial"/>
      <charset val="134"/>
    </font>
    <font>
      <sz val="11"/>
      <color theme="1"/>
      <name val="Calibri"/>
      <charset val="134"/>
      <scheme val="minor"/>
    </font>
    <font>
      <sz val="10"/>
      <name val="Arial"/>
      <charset val="134"/>
    </font>
    <font>
      <sz val="10"/>
      <name val="Arial"/>
      <family val="2"/>
    </font>
    <font>
      <sz val="11"/>
      <name val="Calibri"/>
      <family val="2"/>
    </font>
    <font>
      <b/>
      <sz val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42">
    <xf numFmtId="0" fontId="0" fillId="0" borderId="0"/>
    <xf numFmtId="43" fontId="8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43" fontId="8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</cellStyleXfs>
  <cellXfs count="30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0" fontId="2" fillId="0" borderId="0" xfId="0" applyFont="1"/>
    <xf numFmtId="164" fontId="2" fillId="0" borderId="0" xfId="0" applyNumberFormat="1" applyFont="1"/>
    <xf numFmtId="0" fontId="0" fillId="0" borderId="0" xfId="0" applyFont="1"/>
    <xf numFmtId="164" fontId="0" fillId="0" borderId="0" xfId="0" applyNumberFormat="1" applyFill="1"/>
    <xf numFmtId="2" fontId="0" fillId="0" borderId="0" xfId="0" applyNumberFormat="1"/>
    <xf numFmtId="0" fontId="2" fillId="0" borderId="1" xfId="0" applyFont="1" applyBorder="1"/>
    <xf numFmtId="164" fontId="0" fillId="0" borderId="1" xfId="0" applyNumberFormat="1" applyBorder="1"/>
    <xf numFmtId="0" fontId="0" fillId="0" borderId="1" xfId="0" applyBorder="1"/>
    <xf numFmtId="4" fontId="2" fillId="0" borderId="0" xfId="0" applyNumberFormat="1" applyFont="1"/>
    <xf numFmtId="164" fontId="2" fillId="0" borderId="2" xfId="0" applyNumberFormat="1" applyFont="1" applyBorder="1"/>
    <xf numFmtId="14" fontId="0" fillId="0" borderId="0" xfId="0" applyNumberFormat="1"/>
    <xf numFmtId="0" fontId="4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65" fontId="5" fillId="0" borderId="0" xfId="1" applyNumberFormat="1" applyFont="1"/>
    <xf numFmtId="14" fontId="2" fillId="0" borderId="0" xfId="0" quotePrefix="1" applyNumberFormat="1" applyFont="1" applyAlignment="1">
      <alignment horizontal="right"/>
    </xf>
    <xf numFmtId="0" fontId="9" fillId="0" borderId="0" xfId="0" applyFont="1"/>
    <xf numFmtId="4" fontId="3" fillId="0" borderId="0" xfId="0" applyNumberFormat="1" applyFont="1" applyFill="1"/>
    <xf numFmtId="164" fontId="2" fillId="0" borderId="0" xfId="0" applyNumberFormat="1" applyFont="1" applyFill="1"/>
    <xf numFmtId="4" fontId="6" fillId="0" borderId="0" xfId="0" applyNumberFormat="1" applyFont="1" applyFill="1"/>
    <xf numFmtId="4" fontId="10" fillId="0" borderId="0" xfId="0" applyNumberFormat="1" applyFont="1"/>
    <xf numFmtId="164" fontId="0" fillId="3" borderId="0" xfId="0" applyNumberFormat="1" applyFill="1"/>
    <xf numFmtId="0" fontId="0" fillId="2" borderId="0" xfId="0" applyFill="1"/>
    <xf numFmtId="164" fontId="11" fillId="2" borderId="0" xfId="0" applyNumberFormat="1" applyFont="1" applyFill="1"/>
    <xf numFmtId="0" fontId="11" fillId="0" borderId="0" xfId="0" applyFont="1"/>
    <xf numFmtId="164" fontId="2" fillId="2" borderId="0" xfId="0" applyNumberFormat="1" applyFont="1" applyFill="1"/>
    <xf numFmtId="0" fontId="0" fillId="0" borderId="0" xfId="0" applyAlignment="1">
      <alignment horizontal="center"/>
    </xf>
  </cellXfs>
  <cellStyles count="42">
    <cellStyle name="Comma" xfId="1" builtinId="3"/>
    <cellStyle name="Comma 2" xfId="14" xr:uid="{00000000-0005-0000-0000-00003D000000}"/>
    <cellStyle name="Normal" xfId="0" builtinId="0"/>
    <cellStyle name="Normal 10" xfId="16" xr:uid="{00000000-0005-0000-0000-00003F000000}"/>
    <cellStyle name="Normal 11" xfId="15" xr:uid="{00000000-0005-0000-0000-00003E000000}"/>
    <cellStyle name="Normal 12" xfId="17" xr:uid="{00000000-0005-0000-0000-000040000000}"/>
    <cellStyle name="Normal 12 2" xfId="18" xr:uid="{00000000-0005-0000-0000-000041000000}"/>
    <cellStyle name="Normal 13" xfId="19" xr:uid="{00000000-0005-0000-0000-000042000000}"/>
    <cellStyle name="Normal 14" xfId="20" xr:uid="{00000000-0005-0000-0000-000043000000}"/>
    <cellStyle name="Normal 2" xfId="11" xr:uid="{00000000-0005-0000-0000-000029000000}"/>
    <cellStyle name="Normal 3" xfId="13" xr:uid="{00000000-0005-0000-0000-000030000000}"/>
    <cellStyle name="Normal 3 2" xfId="21" xr:uid="{00000000-0005-0000-0000-000044000000}"/>
    <cellStyle name="Normal 3 2 2" xfId="22" xr:uid="{00000000-0005-0000-0000-000045000000}"/>
    <cellStyle name="Normal 3 3" xfId="10" xr:uid="{00000000-0005-0000-0000-000026000000}"/>
    <cellStyle name="Normal 4" xfId="8" xr:uid="{00000000-0005-0000-0000-00001C000000}"/>
    <cellStyle name="Normal 4 2" xfId="9" xr:uid="{00000000-0005-0000-0000-000024000000}"/>
    <cellStyle name="Normal 4 2 2" xfId="6" xr:uid="{00000000-0005-0000-0000-000017000000}"/>
    <cellStyle name="Normal 4 3" xfId="23" xr:uid="{00000000-0005-0000-0000-000046000000}"/>
    <cellStyle name="Normal 4 3 2" xfId="24" xr:uid="{00000000-0005-0000-0000-000047000000}"/>
    <cellStyle name="Normal 4 4" xfId="25" xr:uid="{00000000-0005-0000-0000-000048000000}"/>
    <cellStyle name="Normal 4 5" xfId="26" xr:uid="{00000000-0005-0000-0000-000049000000}"/>
    <cellStyle name="Normal 5" xfId="27" xr:uid="{00000000-0005-0000-0000-00004A000000}"/>
    <cellStyle name="Normal 5 2" xfId="28" xr:uid="{00000000-0005-0000-0000-00004B000000}"/>
    <cellStyle name="Normal 5 2 2" xfId="29" xr:uid="{00000000-0005-0000-0000-00004C000000}"/>
    <cellStyle name="Normal 5 3" xfId="5" xr:uid="{00000000-0005-0000-0000-000016000000}"/>
    <cellStyle name="Normal 5 3 2" xfId="30" xr:uid="{00000000-0005-0000-0000-00004D000000}"/>
    <cellStyle name="Normal 5 4" xfId="2" xr:uid="{00000000-0005-0000-0000-000008000000}"/>
    <cellStyle name="Normal 5 5" xfId="7" xr:uid="{00000000-0005-0000-0000-000019000000}"/>
    <cellStyle name="Normal 6" xfId="31" xr:uid="{00000000-0005-0000-0000-00004E000000}"/>
    <cellStyle name="Normal 6 2" xfId="32" xr:uid="{00000000-0005-0000-0000-00004F000000}"/>
    <cellStyle name="Normal 6 2 2" xfId="33" xr:uid="{00000000-0005-0000-0000-000050000000}"/>
    <cellStyle name="Normal 6 3" xfId="4" xr:uid="{00000000-0005-0000-0000-000012000000}"/>
    <cellStyle name="Normal 6 3 2" xfId="12" xr:uid="{00000000-0005-0000-0000-00002F000000}"/>
    <cellStyle name="Normal 6 4" xfId="34" xr:uid="{00000000-0005-0000-0000-000051000000}"/>
    <cellStyle name="Normal 7" xfId="35" xr:uid="{00000000-0005-0000-0000-000052000000}"/>
    <cellStyle name="Normal 7 2" xfId="3" xr:uid="{00000000-0005-0000-0000-00000C000000}"/>
    <cellStyle name="Normal 7 2 2" xfId="36" xr:uid="{00000000-0005-0000-0000-000053000000}"/>
    <cellStyle name="Normal 7 3" xfId="37" xr:uid="{00000000-0005-0000-0000-000054000000}"/>
    <cellStyle name="Normal 7 4" xfId="38" xr:uid="{00000000-0005-0000-0000-000055000000}"/>
    <cellStyle name="Normal 7 5" xfId="39" xr:uid="{00000000-0005-0000-0000-000056000000}"/>
    <cellStyle name="Normal 8" xfId="40" xr:uid="{00000000-0005-0000-0000-000057000000}"/>
    <cellStyle name="Normal 9" xfId="41" xr:uid="{00000000-0005-0000-0000-000058000000}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8" name="Picture 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0" name="Picture 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4" name="Picture 4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6" name="Picture 4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1</xdr:row>
          <xdr:rowOff>19050</xdr:rowOff>
        </xdr:from>
        <xdr:to>
          <xdr:col>3</xdr:col>
          <xdr:colOff>9525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8" name="Picture 4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0" name="Picture 4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4" name="Picture 4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6" name="Picture 4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1</xdr:row>
          <xdr:rowOff>19050</xdr:rowOff>
        </xdr:from>
        <xdr:to>
          <xdr:col>3</xdr:col>
          <xdr:colOff>9525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8" name="Picture 4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0" name="Picture 4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4" name="Picture 4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6" name="Picture 4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5851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1</xdr:row>
          <xdr:rowOff>19050</xdr:rowOff>
        </xdr:from>
        <xdr:to>
          <xdr:col>3</xdr:col>
          <xdr:colOff>9525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62325" cy="4457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62325" cy="4457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62325" cy="4457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62325" cy="4457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62325" cy="4457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62325" cy="4457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8" name="Picture 4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62325" cy="4457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62325" cy="4457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0" name="Picture 4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62325" cy="4457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62325" cy="4457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62325" cy="4457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62325" cy="4457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4" name="Picture 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62325" cy="4457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62325" cy="4457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6" name="Picture 4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62325" cy="4457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362325" cy="4457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8" name="Picture 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0" name="Picture 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4" name="Picture 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6" name="Picture 4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8" name="Picture 4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0" name="Picture 4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4" name="Picture 4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6" name="Picture 4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0</xdr:row>
      <xdr:rowOff>95250</xdr:rowOff>
    </xdr:from>
    <xdr:to>
      <xdr:col>1</xdr:col>
      <xdr:colOff>352425</xdr:colOff>
      <xdr:row>3</xdr:row>
      <xdr:rowOff>38100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5250" y="95250"/>
          <a:ext cx="32766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4658-E4E9-47BF-A8C1-392F2A303B07}">
  <sheetPr codeName="Sheet6"/>
  <dimension ref="A3:Q53"/>
  <sheetViews>
    <sheetView tabSelected="1" view="pageBreakPreview" zoomScaleNormal="100" zoomScaleSheetLayoutView="100" workbookViewId="0">
      <selection activeCell="A8" sqref="A8"/>
    </sheetView>
  </sheetViews>
  <sheetFormatPr defaultColWidth="9" defaultRowHeight="12.75"/>
  <cols>
    <col min="1" max="1" width="45.28515625" customWidth="1"/>
    <col min="2" max="2" width="14" style="1" customWidth="1"/>
    <col min="3" max="3" width="14" customWidth="1"/>
    <col min="4" max="4" width="18.42578125" customWidth="1"/>
    <col min="5" max="5" width="10.5703125" hidden="1" customWidth="1"/>
    <col min="6" max="6" width="9" hidden="1" customWidth="1"/>
    <col min="7" max="7" width="9.5703125" hidden="1" customWidth="1"/>
    <col min="9" max="9" width="12.42578125" customWidth="1"/>
    <col min="10" max="10" width="14.5703125" customWidth="1"/>
    <col min="11" max="11" width="13" customWidth="1"/>
    <col min="12" max="12" width="10.5703125" customWidth="1"/>
    <col min="17" max="17" width="11.5703125" customWidth="1"/>
  </cols>
  <sheetData>
    <row r="3" spans="1:17" ht="15.75">
      <c r="D3" s="2" t="s">
        <v>0</v>
      </c>
    </row>
    <row r="6" spans="1:17">
      <c r="A6" s="3"/>
      <c r="B6" s="4" t="s">
        <v>1</v>
      </c>
      <c r="C6" s="4" t="s">
        <v>2</v>
      </c>
      <c r="D6" s="4" t="s">
        <v>3</v>
      </c>
    </row>
    <row r="7" spans="1:17">
      <c r="A7" s="3"/>
      <c r="B7" s="4"/>
      <c r="C7" s="4"/>
      <c r="D7" s="4"/>
      <c r="J7" s="13"/>
    </row>
    <row r="8" spans="1:17">
      <c r="A8" s="18" t="s">
        <v>48</v>
      </c>
      <c r="B8" s="4"/>
      <c r="C8" s="4"/>
      <c r="D8" s="4">
        <v>-1156075.1100000003</v>
      </c>
      <c r="I8" t="s">
        <v>4</v>
      </c>
      <c r="J8" s="1"/>
    </row>
    <row r="9" spans="1:17">
      <c r="A9" t="s">
        <v>5</v>
      </c>
      <c r="C9" s="1"/>
      <c r="D9" s="1"/>
    </row>
    <row r="10" spans="1:17">
      <c r="A10" s="3" t="s">
        <v>6</v>
      </c>
      <c r="D10" s="1"/>
      <c r="Q10" s="7"/>
    </row>
    <row r="11" spans="1:17">
      <c r="A11" s="3"/>
      <c r="C11" s="1"/>
      <c r="D11" s="1"/>
      <c r="Q11" s="7"/>
    </row>
    <row r="12" spans="1:17">
      <c r="A12" s="5" t="s">
        <v>7</v>
      </c>
      <c r="C12" s="25"/>
      <c r="D12" s="1"/>
      <c r="I12" t="s">
        <v>8</v>
      </c>
      <c r="J12" s="1"/>
      <c r="Q12" s="1"/>
    </row>
    <row r="13" spans="1:17" ht="12.75" customHeight="1">
      <c r="A13" s="19" t="s">
        <v>24</v>
      </c>
      <c r="C13" s="25"/>
      <c r="D13" s="7"/>
    </row>
    <row r="14" spans="1:17" ht="12.75" customHeight="1">
      <c r="A14" t="s">
        <v>10</v>
      </c>
      <c r="C14" s="25"/>
      <c r="D14" s="1"/>
    </row>
    <row r="15" spans="1:17" ht="12.75" customHeight="1">
      <c r="C15" s="1"/>
      <c r="D15" s="1"/>
    </row>
    <row r="16" spans="1:17" ht="12.75" customHeight="1">
      <c r="D16" s="1"/>
    </row>
    <row r="17" spans="1:16">
      <c r="A17" s="3"/>
      <c r="C17" s="1"/>
      <c r="D17" s="1"/>
      <c r="G17">
        <v>2395.9299999999998</v>
      </c>
    </row>
    <row r="18" spans="1:16">
      <c r="A18" s="3" t="s">
        <v>11</v>
      </c>
      <c r="B18" s="6"/>
      <c r="C18" s="1"/>
      <c r="D18" s="1"/>
      <c r="G18">
        <f>SUM(G13:G17)</f>
        <v>2395.9299999999998</v>
      </c>
      <c r="I18" t="s">
        <v>12</v>
      </c>
    </row>
    <row r="19" spans="1:16">
      <c r="A19" t="s">
        <v>13</v>
      </c>
      <c r="B19" s="25"/>
      <c r="C19" s="1"/>
      <c r="D19" s="1"/>
      <c r="G19" t="e">
        <f>#REF!-G18</f>
        <v>#REF!</v>
      </c>
    </row>
    <row r="20" spans="1:16">
      <c r="A20" t="s">
        <v>14</v>
      </c>
      <c r="B20" s="25">
        <v>20</v>
      </c>
      <c r="C20" s="1"/>
      <c r="D20" s="1"/>
    </row>
    <row r="21" spans="1:16">
      <c r="A21" t="s">
        <v>15</v>
      </c>
      <c r="B21" s="25"/>
      <c r="C21" s="1"/>
      <c r="D21" s="1"/>
    </row>
    <row r="22" spans="1:16">
      <c r="A22" t="s">
        <v>15</v>
      </c>
      <c r="B22" s="25"/>
      <c r="C22" s="1"/>
      <c r="D22" s="1"/>
    </row>
    <row r="23" spans="1:16">
      <c r="A23" s="19" t="s">
        <v>39</v>
      </c>
      <c r="B23" s="25"/>
      <c r="D23" s="1"/>
    </row>
    <row r="24" spans="1:16">
      <c r="A24" s="19" t="s">
        <v>25</v>
      </c>
      <c r="B24" s="25"/>
      <c r="D24" s="1"/>
      <c r="J24" s="1"/>
    </row>
    <row r="25" spans="1:16">
      <c r="A25" t="s">
        <v>16</v>
      </c>
      <c r="B25" s="25"/>
      <c r="D25" s="1"/>
      <c r="F25" s="1"/>
      <c r="H25" s="1"/>
      <c r="I25" s="1"/>
    </row>
    <row r="26" spans="1:16">
      <c r="A26" t="s">
        <v>17</v>
      </c>
      <c r="B26" s="25"/>
      <c r="D26" s="1"/>
      <c r="F26" s="1"/>
      <c r="H26" s="1"/>
      <c r="I26" s="1"/>
    </row>
    <row r="27" spans="1:16">
      <c r="A27" s="3" t="s">
        <v>18</v>
      </c>
      <c r="B27" s="21">
        <f>SUM(B19:B26)</f>
        <v>20</v>
      </c>
      <c r="C27" s="1"/>
      <c r="D27" s="1"/>
      <c r="E27" s="1">
        <f>108731.03-B27</f>
        <v>108711.03</v>
      </c>
    </row>
    <row r="28" spans="1:16">
      <c r="B28" s="6"/>
      <c r="C28" s="1"/>
      <c r="D28" s="1"/>
    </row>
    <row r="29" spans="1:16" ht="15">
      <c r="A29" s="27" t="s">
        <v>49</v>
      </c>
      <c r="B29" s="6"/>
      <c r="C29" s="1"/>
      <c r="D29" s="4">
        <f>D8+B27+C12+C13+C14+C15</f>
        <v>-1156055.1100000003</v>
      </c>
      <c r="E29" s="1"/>
      <c r="F29" s="1"/>
      <c r="I29" s="1" t="s">
        <v>19</v>
      </c>
      <c r="L29" s="1"/>
      <c r="O29" s="14"/>
      <c r="P29" s="7"/>
    </row>
    <row r="30" spans="1:16" ht="15">
      <c r="B30" s="6"/>
      <c r="C30" s="1"/>
      <c r="D30" s="1"/>
      <c r="I30" s="1"/>
      <c r="O30" s="14"/>
      <c r="P30" s="7"/>
    </row>
    <row r="31" spans="1:16" ht="15">
      <c r="A31" s="3" t="s">
        <v>20</v>
      </c>
      <c r="B31" s="6"/>
      <c r="C31" s="1"/>
      <c r="D31" s="1"/>
      <c r="I31" s="1"/>
      <c r="O31" s="14"/>
      <c r="P31" s="7"/>
    </row>
    <row r="32" spans="1:16" ht="15">
      <c r="B32" s="6"/>
      <c r="C32" s="1"/>
      <c r="D32" s="1"/>
      <c r="I32" s="1"/>
      <c r="O32" s="14"/>
      <c r="P32" s="7"/>
    </row>
    <row r="33" spans="1:13">
      <c r="B33" s="22"/>
      <c r="C33" s="1"/>
      <c r="D33" s="1"/>
      <c r="K33" s="1"/>
    </row>
    <row r="34" spans="1:13">
      <c r="A34" s="19"/>
      <c r="B34" s="6"/>
      <c r="C34" s="1"/>
      <c r="D34" s="1"/>
      <c r="K34" s="1"/>
    </row>
    <row r="35" spans="1:13">
      <c r="A35" s="19"/>
      <c r="B35" s="6"/>
      <c r="D35" s="1"/>
      <c r="K35" s="1"/>
    </row>
    <row r="36" spans="1:13">
      <c r="C36" s="1"/>
      <c r="D36" s="1"/>
      <c r="K36" s="1"/>
    </row>
    <row r="37" spans="1:13">
      <c r="C37" s="1"/>
      <c r="D37" s="1"/>
      <c r="K37" s="1"/>
    </row>
    <row r="38" spans="1:13">
      <c r="C38" s="1"/>
      <c r="D38" s="1"/>
      <c r="K38" s="24"/>
    </row>
    <row r="39" spans="1:13">
      <c r="A39" s="3"/>
      <c r="C39" s="1"/>
      <c r="D39" s="1"/>
      <c r="K39" s="1"/>
    </row>
    <row r="40" spans="1:13">
      <c r="A40" s="3" t="s">
        <v>21</v>
      </c>
      <c r="B40" s="4">
        <f>SUM(B32:B39)</f>
        <v>0</v>
      </c>
      <c r="C40" s="1"/>
      <c r="D40" s="1"/>
    </row>
    <row r="41" spans="1:13">
      <c r="A41" s="5"/>
      <c r="C41" s="1"/>
      <c r="D41" s="1"/>
      <c r="J41" s="15"/>
    </row>
    <row r="42" spans="1:13">
      <c r="A42" s="3" t="s">
        <v>50</v>
      </c>
      <c r="C42" s="1"/>
      <c r="D42" s="4">
        <f>D29+B40</f>
        <v>-1156055.1100000003</v>
      </c>
      <c r="J42" t="s">
        <v>22</v>
      </c>
      <c r="K42" s="16">
        <f>D42+D46</f>
        <v>0</v>
      </c>
      <c r="L42" t="b">
        <f>K42=M42</f>
        <v>1</v>
      </c>
      <c r="M42">
        <v>0</v>
      </c>
    </row>
    <row r="43" spans="1:13" ht="12.75" hidden="1" customHeight="1">
      <c r="A43" s="3"/>
      <c r="C43" s="1"/>
      <c r="D43" s="1"/>
    </row>
    <row r="44" spans="1:13">
      <c r="A44" s="8"/>
      <c r="B44" s="9"/>
      <c r="C44" s="9"/>
      <c r="D44" s="9"/>
      <c r="E44" s="10"/>
      <c r="F44" s="10"/>
      <c r="G44" s="10"/>
      <c r="H44" s="10"/>
    </row>
    <row r="45" spans="1:13">
      <c r="A45" s="3"/>
      <c r="C45" s="1"/>
      <c r="D45" s="1"/>
    </row>
    <row r="46" spans="1:13">
      <c r="A46" s="3" t="s">
        <v>51</v>
      </c>
      <c r="B46" s="1" t="s">
        <v>23</v>
      </c>
      <c r="C46" s="1"/>
      <c r="D46" s="28">
        <v>1156055.1100000001</v>
      </c>
    </row>
    <row r="47" spans="1:13">
      <c r="A47" s="3"/>
      <c r="C47" s="1"/>
      <c r="D47" s="1"/>
    </row>
    <row r="48" spans="1:13">
      <c r="A48" s="3"/>
      <c r="C48" s="1"/>
      <c r="D48" s="4"/>
      <c r="I48" s="1"/>
    </row>
    <row r="49" spans="1:9">
      <c r="A49" s="3"/>
      <c r="I49" s="1"/>
    </row>
    <row r="50" spans="1:9">
      <c r="A50" s="29"/>
      <c r="B50" s="29"/>
      <c r="C50" s="29"/>
      <c r="D50" s="11"/>
      <c r="I50" s="1"/>
    </row>
    <row r="51" spans="1:9" ht="13.5" thickBot="1">
      <c r="D51" s="12">
        <f>D46+D42</f>
        <v>0</v>
      </c>
    </row>
    <row r="52" spans="1:9" ht="13.5" thickTop="1"/>
    <row r="53" spans="1:9" ht="15">
      <c r="I53" s="17"/>
    </row>
  </sheetData>
  <mergeCells count="1">
    <mergeCell ref="A50:C50"/>
  </mergeCells>
  <conditionalFormatting sqref="D51">
    <cfRule type="expression" dxfId="2" priority="1">
      <formula>$D$51&lt;&gt;0</formula>
    </cfRule>
  </conditionalFormatting>
  <dataValidations count="1">
    <dataValidation type="custom" allowBlank="1" showInputMessage="1" showErrorMessage="1" sqref="C13:C14" xr:uid="{B9A8FA35-3CF9-4C4C-994E-13A61F8B4649}">
      <formula1>"&gt;0"</formula1>
    </dataValidation>
  </dataValidations>
  <pageMargins left="1.085" right="0.7" top="0.75" bottom="0.75" header="0.3" footer="0.3"/>
  <pageSetup scale="8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NZRec">
                <anchor>
                  <from>
                    <xdr:col>2</xdr:col>
                    <xdr:colOff>9525</xdr:colOff>
                    <xdr:row>1</xdr:row>
                    <xdr:rowOff>19050</xdr:rowOff>
                  </from>
                  <to>
                    <xdr:col>3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4E6F1-79B9-4231-870B-A424871F833F}">
  <sheetPr codeName="Sheet5"/>
  <dimension ref="A3:Q53"/>
  <sheetViews>
    <sheetView view="pageBreakPreview" zoomScaleNormal="100" zoomScaleSheetLayoutView="100" workbookViewId="0">
      <selection activeCell="D21" sqref="D21"/>
    </sheetView>
  </sheetViews>
  <sheetFormatPr defaultColWidth="9" defaultRowHeight="12.75"/>
  <cols>
    <col min="1" max="1" width="45.28515625" customWidth="1"/>
    <col min="2" max="2" width="14" style="1" customWidth="1"/>
    <col min="3" max="3" width="14" customWidth="1"/>
    <col min="4" max="4" width="18.42578125" customWidth="1"/>
    <col min="5" max="5" width="10.5703125" hidden="1" customWidth="1"/>
    <col min="6" max="6" width="9" hidden="1" customWidth="1"/>
    <col min="7" max="7" width="9.5703125" hidden="1" customWidth="1"/>
    <col min="9" max="9" width="12.42578125" customWidth="1"/>
    <col min="10" max="10" width="14.5703125" customWidth="1"/>
    <col min="11" max="11" width="13" customWidth="1"/>
    <col min="12" max="12" width="10.5703125" customWidth="1"/>
    <col min="17" max="17" width="11.5703125" customWidth="1"/>
  </cols>
  <sheetData>
    <row r="3" spans="1:17" ht="15.75">
      <c r="D3" s="2" t="s">
        <v>0</v>
      </c>
    </row>
    <row r="6" spans="1:17">
      <c r="A6" s="3"/>
      <c r="B6" s="4" t="s">
        <v>1</v>
      </c>
      <c r="C6" s="4" t="s">
        <v>2</v>
      </c>
      <c r="D6" s="4" t="s">
        <v>3</v>
      </c>
    </row>
    <row r="7" spans="1:17">
      <c r="A7" s="3"/>
      <c r="B7" s="4"/>
      <c r="C7" s="4"/>
      <c r="D7" s="4"/>
      <c r="J7" s="13"/>
    </row>
    <row r="8" spans="1:17">
      <c r="A8" s="18" t="s">
        <v>44</v>
      </c>
      <c r="B8" s="4"/>
      <c r="C8" s="4"/>
      <c r="D8" s="4">
        <v>-1164135.2400000002</v>
      </c>
      <c r="I8" t="s">
        <v>4</v>
      </c>
      <c r="J8" s="1"/>
    </row>
    <row r="9" spans="1:17">
      <c r="A9" t="s">
        <v>5</v>
      </c>
      <c r="C9" s="1"/>
      <c r="D9" s="1"/>
    </row>
    <row r="10" spans="1:17">
      <c r="A10" s="3" t="s">
        <v>6</v>
      </c>
      <c r="D10" s="1"/>
      <c r="Q10" s="7"/>
    </row>
    <row r="11" spans="1:17">
      <c r="A11" s="3"/>
      <c r="C11" s="1"/>
      <c r="D11" s="1"/>
      <c r="Q11" s="7"/>
    </row>
    <row r="12" spans="1:17">
      <c r="A12" s="5" t="s">
        <v>7</v>
      </c>
      <c r="C12" s="25"/>
      <c r="D12" s="1"/>
      <c r="I12" t="s">
        <v>8</v>
      </c>
      <c r="J12" s="1"/>
      <c r="Q12" s="1"/>
    </row>
    <row r="13" spans="1:17" ht="12.75" customHeight="1">
      <c r="A13" s="19" t="s">
        <v>24</v>
      </c>
      <c r="C13" s="25"/>
      <c r="D13" s="7"/>
    </row>
    <row r="14" spans="1:17" ht="12.75" customHeight="1">
      <c r="A14" t="s">
        <v>10</v>
      </c>
      <c r="C14" s="25"/>
      <c r="D14" s="1"/>
    </row>
    <row r="15" spans="1:17" ht="12.75" customHeight="1">
      <c r="C15" s="1"/>
      <c r="D15" s="1"/>
    </row>
    <row r="16" spans="1:17" ht="12.75" customHeight="1">
      <c r="D16" s="1"/>
    </row>
    <row r="17" spans="1:16">
      <c r="A17" s="3"/>
      <c r="C17" s="1"/>
      <c r="D17" s="1"/>
      <c r="G17">
        <v>2395.9299999999998</v>
      </c>
    </row>
    <row r="18" spans="1:16">
      <c r="A18" s="3" t="s">
        <v>11</v>
      </c>
      <c r="B18" s="6"/>
      <c r="C18" s="1"/>
      <c r="D18" s="1"/>
      <c r="G18">
        <f>SUM(G13:G17)</f>
        <v>2395.9299999999998</v>
      </c>
      <c r="I18" t="s">
        <v>12</v>
      </c>
    </row>
    <row r="19" spans="1:16">
      <c r="A19" t="s">
        <v>13</v>
      </c>
      <c r="B19" s="25"/>
      <c r="C19" s="1"/>
      <c r="D19" s="1"/>
      <c r="G19" t="e">
        <f>#REF!-G18</f>
        <v>#REF!</v>
      </c>
    </row>
    <row r="20" spans="1:16">
      <c r="A20" t="s">
        <v>14</v>
      </c>
      <c r="B20" s="25"/>
      <c r="C20" s="1"/>
      <c r="D20" s="1"/>
    </row>
    <row r="21" spans="1:16">
      <c r="A21" t="s">
        <v>15</v>
      </c>
      <c r="B21" s="25">
        <v>6500</v>
      </c>
      <c r="C21" s="1"/>
      <c r="D21" s="1"/>
    </row>
    <row r="22" spans="1:16">
      <c r="A22" t="s">
        <v>15</v>
      </c>
      <c r="B22" s="25">
        <v>1560.13</v>
      </c>
      <c r="C22" s="1"/>
      <c r="D22" s="1"/>
    </row>
    <row r="23" spans="1:16">
      <c r="A23" s="19" t="s">
        <v>39</v>
      </c>
      <c r="B23" s="25"/>
      <c r="D23" s="1"/>
    </row>
    <row r="24" spans="1:16">
      <c r="A24" s="19" t="s">
        <v>25</v>
      </c>
      <c r="B24" s="25"/>
      <c r="D24" s="1"/>
      <c r="J24" s="1"/>
    </row>
    <row r="25" spans="1:16">
      <c r="A25" t="s">
        <v>16</v>
      </c>
      <c r="B25" s="25"/>
      <c r="D25" s="1"/>
      <c r="F25" s="1"/>
      <c r="H25" s="1"/>
      <c r="I25" s="1"/>
    </row>
    <row r="26" spans="1:16">
      <c r="A26" t="s">
        <v>17</v>
      </c>
      <c r="B26" s="25"/>
      <c r="D26" s="1"/>
      <c r="F26" s="1"/>
      <c r="H26" s="1"/>
      <c r="I26" s="1"/>
    </row>
    <row r="27" spans="1:16">
      <c r="A27" s="3" t="s">
        <v>18</v>
      </c>
      <c r="B27" s="21">
        <f>SUM(B19:B26)</f>
        <v>8060.13</v>
      </c>
      <c r="C27" s="1"/>
      <c r="D27" s="1"/>
      <c r="E27" s="1">
        <f>108731.03-B27</f>
        <v>100670.9</v>
      </c>
    </row>
    <row r="28" spans="1:16">
      <c r="B28" s="6"/>
      <c r="C28" s="1"/>
      <c r="D28" s="1"/>
    </row>
    <row r="29" spans="1:16" ht="15">
      <c r="A29" s="27" t="s">
        <v>45</v>
      </c>
      <c r="B29" s="6"/>
      <c r="C29" s="1"/>
      <c r="D29" s="4">
        <f>D8+B27+C12+C13+C14+C15</f>
        <v>-1156075.1100000003</v>
      </c>
      <c r="E29" s="1"/>
      <c r="F29" s="1"/>
      <c r="I29" s="1" t="s">
        <v>19</v>
      </c>
      <c r="L29" s="1"/>
      <c r="O29" s="14"/>
      <c r="P29" s="7"/>
    </row>
    <row r="30" spans="1:16" ht="15">
      <c r="B30" s="6"/>
      <c r="C30" s="1"/>
      <c r="D30" s="1"/>
      <c r="I30" s="1"/>
      <c r="O30" s="14"/>
      <c r="P30" s="7"/>
    </row>
    <row r="31" spans="1:16" ht="15">
      <c r="A31" s="3" t="s">
        <v>20</v>
      </c>
      <c r="B31" s="6"/>
      <c r="C31" s="1"/>
      <c r="D31" s="1"/>
      <c r="I31" s="1"/>
      <c r="O31" s="14"/>
      <c r="P31" s="7"/>
    </row>
    <row r="32" spans="1:16" ht="15">
      <c r="B32" s="6"/>
      <c r="C32" s="1"/>
      <c r="D32" s="1"/>
      <c r="I32" s="1"/>
      <c r="O32" s="14"/>
      <c r="P32" s="7"/>
    </row>
    <row r="33" spans="1:13">
      <c r="B33" s="22"/>
      <c r="C33" s="1"/>
      <c r="D33" s="1"/>
      <c r="K33" s="1"/>
    </row>
    <row r="34" spans="1:13">
      <c r="A34" s="19"/>
      <c r="B34" s="6"/>
      <c r="C34" s="1"/>
      <c r="D34" s="1"/>
      <c r="K34" s="1"/>
    </row>
    <row r="35" spans="1:13">
      <c r="A35" s="19"/>
      <c r="B35" s="6"/>
      <c r="D35" s="1"/>
      <c r="K35" s="1"/>
    </row>
    <row r="36" spans="1:13">
      <c r="C36" s="1"/>
      <c r="D36" s="1"/>
      <c r="K36" s="1"/>
    </row>
    <row r="37" spans="1:13">
      <c r="C37" s="1"/>
      <c r="D37" s="1"/>
      <c r="K37" s="1"/>
    </row>
    <row r="38" spans="1:13">
      <c r="C38" s="1"/>
      <c r="D38" s="1"/>
      <c r="K38" s="24"/>
    </row>
    <row r="39" spans="1:13">
      <c r="A39" s="3"/>
      <c r="C39" s="1"/>
      <c r="D39" s="1"/>
      <c r="K39" s="1"/>
    </row>
    <row r="40" spans="1:13">
      <c r="A40" s="3" t="s">
        <v>21</v>
      </c>
      <c r="B40" s="4">
        <f>SUM(B32:B39)</f>
        <v>0</v>
      </c>
      <c r="C40" s="1"/>
      <c r="D40" s="1"/>
    </row>
    <row r="41" spans="1:13">
      <c r="A41" s="5"/>
      <c r="C41" s="1"/>
      <c r="D41" s="1"/>
      <c r="J41" s="15"/>
    </row>
    <row r="42" spans="1:13">
      <c r="A42" s="3" t="s">
        <v>46</v>
      </c>
      <c r="C42" s="1"/>
      <c r="D42" s="4">
        <f>D29+B40</f>
        <v>-1156075.1100000003</v>
      </c>
      <c r="J42" t="s">
        <v>22</v>
      </c>
      <c r="K42" s="16">
        <f>D42+D46</f>
        <v>0</v>
      </c>
      <c r="L42" t="b">
        <f>K42=M42</f>
        <v>1</v>
      </c>
      <c r="M42">
        <v>0</v>
      </c>
    </row>
    <row r="43" spans="1:13" ht="12.75" hidden="1" customHeight="1">
      <c r="A43" s="3"/>
      <c r="C43" s="1"/>
      <c r="D43" s="1"/>
    </row>
    <row r="44" spans="1:13">
      <c r="A44" s="8"/>
      <c r="B44" s="9"/>
      <c r="C44" s="9"/>
      <c r="D44" s="9"/>
      <c r="E44" s="10"/>
      <c r="F44" s="10"/>
      <c r="G44" s="10"/>
      <c r="H44" s="10"/>
    </row>
    <row r="45" spans="1:13">
      <c r="A45" s="3"/>
      <c r="C45" s="1"/>
      <c r="D45" s="1"/>
    </row>
    <row r="46" spans="1:13">
      <c r="A46" s="3" t="s">
        <v>47</v>
      </c>
      <c r="B46" s="1" t="s">
        <v>23</v>
      </c>
      <c r="C46" s="1"/>
      <c r="D46" s="4">
        <v>1156075.1100000001</v>
      </c>
    </row>
    <row r="47" spans="1:13">
      <c r="A47" s="3"/>
      <c r="C47" s="1"/>
      <c r="D47" s="1"/>
    </row>
    <row r="48" spans="1:13">
      <c r="A48" s="3"/>
      <c r="C48" s="1"/>
      <c r="D48" s="4"/>
      <c r="I48" s="1"/>
    </row>
    <row r="49" spans="1:9">
      <c r="A49" s="3"/>
      <c r="I49" s="1"/>
    </row>
    <row r="50" spans="1:9">
      <c r="A50" s="29"/>
      <c r="B50" s="29"/>
      <c r="C50" s="29"/>
      <c r="D50" s="11"/>
      <c r="I50" s="1"/>
    </row>
    <row r="51" spans="1:9" ht="13.5" thickBot="1">
      <c r="D51" s="12">
        <f>D46+D42</f>
        <v>0</v>
      </c>
    </row>
    <row r="52" spans="1:9" ht="13.5" thickTop="1"/>
    <row r="53" spans="1:9" ht="15">
      <c r="I53" s="17"/>
    </row>
  </sheetData>
  <mergeCells count="1">
    <mergeCell ref="A50:C50"/>
  </mergeCells>
  <conditionalFormatting sqref="D51">
    <cfRule type="expression" dxfId="1" priority="1">
      <formula>$D$51&lt;&gt;0</formula>
    </cfRule>
  </conditionalFormatting>
  <dataValidations count="1">
    <dataValidation type="custom" allowBlank="1" showInputMessage="1" showErrorMessage="1" sqref="C13:C14" xr:uid="{BFFDC88B-A4B1-4F22-BE76-FE9C74F4340D}">
      <formula1>"&gt;0"</formula1>
    </dataValidation>
  </dataValidations>
  <pageMargins left="1.085" right="0.7" top="0.75" bottom="0.75" header="0.3" footer="0.3"/>
  <pageSetup scale="8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NZRec">
                <anchor>
                  <from>
                    <xdr:col>2</xdr:col>
                    <xdr:colOff>9525</xdr:colOff>
                    <xdr:row>1</xdr:row>
                    <xdr:rowOff>19050</xdr:rowOff>
                  </from>
                  <to>
                    <xdr:col>3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97FE9-801B-4527-A8DA-3664B562FFC8}">
  <sheetPr codeName="Sheet1"/>
  <dimension ref="A3:Q53"/>
  <sheetViews>
    <sheetView view="pageBreakPreview" zoomScaleNormal="100" zoomScaleSheetLayoutView="100" workbookViewId="0">
      <selection activeCell="D10" sqref="D10"/>
    </sheetView>
  </sheetViews>
  <sheetFormatPr defaultColWidth="9" defaultRowHeight="12.75"/>
  <cols>
    <col min="1" max="1" width="45.28515625" customWidth="1"/>
    <col min="2" max="2" width="14" style="1" customWidth="1"/>
    <col min="3" max="3" width="14" customWidth="1"/>
    <col min="4" max="4" width="18.42578125" customWidth="1"/>
    <col min="5" max="5" width="10.5703125" hidden="1" customWidth="1"/>
    <col min="6" max="6" width="9" hidden="1" customWidth="1"/>
    <col min="7" max="7" width="9.5703125" hidden="1" customWidth="1"/>
    <col min="9" max="9" width="12.42578125" customWidth="1"/>
    <col min="10" max="10" width="14.5703125" customWidth="1"/>
    <col min="11" max="11" width="13" customWidth="1"/>
    <col min="12" max="12" width="10.5703125" customWidth="1"/>
    <col min="17" max="17" width="11.5703125" customWidth="1"/>
  </cols>
  <sheetData>
    <row r="3" spans="1:17" ht="15.75">
      <c r="D3" s="2" t="s">
        <v>0</v>
      </c>
    </row>
    <row r="6" spans="1:17">
      <c r="A6" s="3"/>
      <c r="B6" s="4" t="s">
        <v>1</v>
      </c>
      <c r="C6" s="4" t="s">
        <v>2</v>
      </c>
      <c r="D6" s="4" t="s">
        <v>3</v>
      </c>
    </row>
    <row r="7" spans="1:17">
      <c r="A7" s="3"/>
      <c r="B7" s="4"/>
      <c r="C7" s="4"/>
      <c r="D7" s="4"/>
      <c r="J7" s="13"/>
    </row>
    <row r="8" spans="1:17">
      <c r="A8" s="18" t="s">
        <v>40</v>
      </c>
      <c r="B8" s="4"/>
      <c r="C8" s="4"/>
      <c r="D8" s="4">
        <v>-1259817.9200000002</v>
      </c>
      <c r="I8" t="s">
        <v>4</v>
      </c>
      <c r="J8" s="1"/>
    </row>
    <row r="9" spans="1:17">
      <c r="A9" t="s">
        <v>5</v>
      </c>
      <c r="C9" s="1"/>
      <c r="D9" s="1"/>
    </row>
    <row r="10" spans="1:17">
      <c r="A10" s="3" t="s">
        <v>6</v>
      </c>
      <c r="D10" s="1"/>
      <c r="Q10" s="7"/>
    </row>
    <row r="11" spans="1:17">
      <c r="A11" s="3"/>
      <c r="C11" s="1"/>
      <c r="D11" s="1"/>
      <c r="Q11" s="7"/>
    </row>
    <row r="12" spans="1:17">
      <c r="A12" s="5" t="s">
        <v>7</v>
      </c>
      <c r="C12" s="25"/>
      <c r="D12" s="1"/>
      <c r="I12" t="s">
        <v>8</v>
      </c>
      <c r="J12" s="1"/>
      <c r="Q12" s="1"/>
    </row>
    <row r="13" spans="1:17" ht="12.75" customHeight="1">
      <c r="A13" s="19" t="s">
        <v>24</v>
      </c>
      <c r="C13" s="25"/>
      <c r="D13" s="7"/>
    </row>
    <row r="14" spans="1:17" ht="12.75" customHeight="1">
      <c r="A14" t="s">
        <v>10</v>
      </c>
      <c r="C14" s="25"/>
      <c r="D14" s="1"/>
    </row>
    <row r="15" spans="1:17" ht="12.75" customHeight="1">
      <c r="C15" s="1"/>
      <c r="D15" s="1"/>
    </row>
    <row r="16" spans="1:17" ht="12.75" customHeight="1">
      <c r="D16" s="1"/>
    </row>
    <row r="17" spans="1:16">
      <c r="A17" s="3"/>
      <c r="C17" s="1"/>
      <c r="D17" s="1"/>
      <c r="G17">
        <v>2395.9299999999998</v>
      </c>
    </row>
    <row r="18" spans="1:16">
      <c r="A18" s="3" t="s">
        <v>11</v>
      </c>
      <c r="B18" s="6"/>
      <c r="C18" s="1"/>
      <c r="D18" s="1"/>
      <c r="G18">
        <f>SUM(G13:G17)</f>
        <v>2395.9299999999998</v>
      </c>
      <c r="I18" t="s">
        <v>12</v>
      </c>
    </row>
    <row r="19" spans="1:16">
      <c r="A19" t="s">
        <v>13</v>
      </c>
      <c r="B19" s="25"/>
      <c r="C19" s="1"/>
      <c r="D19" s="1"/>
      <c r="G19" t="e">
        <f>#REF!-G18</f>
        <v>#REF!</v>
      </c>
    </row>
    <row r="20" spans="1:16">
      <c r="A20" t="s">
        <v>14</v>
      </c>
      <c r="B20" s="25"/>
      <c r="C20" s="1"/>
      <c r="D20" s="1"/>
    </row>
    <row r="21" spans="1:16">
      <c r="A21" t="s">
        <v>15</v>
      </c>
      <c r="B21" s="25">
        <v>1500</v>
      </c>
      <c r="C21" s="1"/>
      <c r="D21" s="1"/>
    </row>
    <row r="22" spans="1:16">
      <c r="A22" t="s">
        <v>15</v>
      </c>
      <c r="B22" s="25">
        <v>92575</v>
      </c>
      <c r="C22" s="1"/>
      <c r="D22" s="1"/>
    </row>
    <row r="23" spans="1:16">
      <c r="A23" s="19" t="s">
        <v>39</v>
      </c>
      <c r="B23" s="25">
        <v>451.02</v>
      </c>
      <c r="D23" s="1"/>
    </row>
    <row r="24" spans="1:16">
      <c r="A24" s="19" t="s">
        <v>25</v>
      </c>
      <c r="B24" s="25">
        <v>1156.6600000000001</v>
      </c>
      <c r="D24" s="1"/>
      <c r="J24" s="1"/>
    </row>
    <row r="25" spans="1:16">
      <c r="A25" t="s">
        <v>16</v>
      </c>
      <c r="B25" s="25"/>
      <c r="D25" s="1"/>
      <c r="F25" s="1"/>
      <c r="H25" s="1"/>
      <c r="I25" s="1"/>
    </row>
    <row r="26" spans="1:16">
      <c r="A26" t="s">
        <v>17</v>
      </c>
      <c r="B26" s="25"/>
      <c r="D26" s="1"/>
      <c r="F26" s="1"/>
      <c r="H26" s="1"/>
      <c r="I26" s="1"/>
    </row>
    <row r="27" spans="1:16">
      <c r="A27" s="3" t="s">
        <v>18</v>
      </c>
      <c r="B27" s="21">
        <f>SUM(B19:B26)</f>
        <v>95682.680000000008</v>
      </c>
      <c r="C27" s="1"/>
      <c r="D27" s="1"/>
      <c r="E27" s="1">
        <f>108731.03-B27</f>
        <v>13048.349999999991</v>
      </c>
    </row>
    <row r="28" spans="1:16">
      <c r="B28" s="6"/>
      <c r="C28" s="1"/>
      <c r="D28" s="1"/>
    </row>
    <row r="29" spans="1:16" ht="15">
      <c r="A29" s="27" t="s">
        <v>41</v>
      </c>
      <c r="B29" s="6"/>
      <c r="C29" s="1"/>
      <c r="D29" s="4">
        <f>D8+B27+C12+C13+C14+C15</f>
        <v>-1164135.2400000002</v>
      </c>
      <c r="E29" s="1"/>
      <c r="F29" s="1"/>
      <c r="I29" s="1" t="s">
        <v>19</v>
      </c>
      <c r="L29" s="1"/>
      <c r="O29" s="14"/>
      <c r="P29" s="7"/>
    </row>
    <row r="30" spans="1:16" ht="15">
      <c r="B30" s="6"/>
      <c r="C30" s="1"/>
      <c r="D30" s="1"/>
      <c r="I30" s="1"/>
      <c r="O30" s="14"/>
      <c r="P30" s="7"/>
    </row>
    <row r="31" spans="1:16" ht="15">
      <c r="A31" s="3" t="s">
        <v>20</v>
      </c>
      <c r="B31" s="6"/>
      <c r="C31" s="1"/>
      <c r="D31" s="1"/>
      <c r="I31" s="1"/>
      <c r="O31" s="14"/>
      <c r="P31" s="7"/>
    </row>
    <row r="32" spans="1:16" ht="15">
      <c r="B32" s="6"/>
      <c r="C32" s="1"/>
      <c r="D32" s="1"/>
      <c r="I32" s="1"/>
      <c r="O32" s="14"/>
      <c r="P32" s="7"/>
    </row>
    <row r="33" spans="1:13">
      <c r="B33" s="22"/>
      <c r="C33" s="1"/>
      <c r="D33" s="1"/>
      <c r="K33" s="1"/>
    </row>
    <row r="34" spans="1:13">
      <c r="A34" s="19"/>
      <c r="B34" s="6"/>
      <c r="C34" s="1"/>
      <c r="D34" s="1"/>
      <c r="K34" s="1"/>
    </row>
    <row r="35" spans="1:13">
      <c r="A35" s="19"/>
      <c r="B35" s="6"/>
      <c r="D35" s="1"/>
      <c r="K35" s="1"/>
    </row>
    <row r="36" spans="1:13">
      <c r="C36" s="1"/>
      <c r="D36" s="1"/>
      <c r="K36" s="1"/>
    </row>
    <row r="37" spans="1:13">
      <c r="C37" s="1"/>
      <c r="D37" s="1"/>
      <c r="K37" s="1"/>
    </row>
    <row r="38" spans="1:13">
      <c r="C38" s="1"/>
      <c r="D38" s="1"/>
      <c r="K38" s="24"/>
    </row>
    <row r="39" spans="1:13">
      <c r="A39" s="3"/>
      <c r="C39" s="1"/>
      <c r="D39" s="1"/>
      <c r="K39" s="1"/>
    </row>
    <row r="40" spans="1:13">
      <c r="A40" s="3" t="s">
        <v>21</v>
      </c>
      <c r="B40" s="4">
        <f>SUM(B32:B39)</f>
        <v>0</v>
      </c>
      <c r="C40" s="1"/>
      <c r="D40" s="1"/>
    </row>
    <row r="41" spans="1:13">
      <c r="A41" s="5"/>
      <c r="C41" s="1"/>
      <c r="D41" s="1"/>
      <c r="J41" s="15"/>
    </row>
    <row r="42" spans="1:13">
      <c r="A42" s="3" t="s">
        <v>42</v>
      </c>
      <c r="C42" s="1"/>
      <c r="D42" s="4">
        <f>D29+B40</f>
        <v>-1164135.2400000002</v>
      </c>
      <c r="J42" t="s">
        <v>22</v>
      </c>
      <c r="K42" s="16">
        <f>D42+D46</f>
        <v>0</v>
      </c>
      <c r="L42" t="b">
        <f>K42=M42</f>
        <v>1</v>
      </c>
      <c r="M42">
        <v>0</v>
      </c>
    </row>
    <row r="43" spans="1:13" ht="12.75" hidden="1" customHeight="1">
      <c r="A43" s="3"/>
      <c r="C43" s="1"/>
      <c r="D43" s="1"/>
    </row>
    <row r="44" spans="1:13">
      <c r="A44" s="8"/>
      <c r="B44" s="9"/>
      <c r="C44" s="9"/>
      <c r="D44" s="9"/>
      <c r="E44" s="10"/>
      <c r="F44" s="10"/>
      <c r="G44" s="10"/>
      <c r="H44" s="10"/>
    </row>
    <row r="45" spans="1:13">
      <c r="A45" s="3"/>
      <c r="C45" s="1"/>
      <c r="D45" s="1"/>
    </row>
    <row r="46" spans="1:13">
      <c r="A46" s="3" t="s">
        <v>43</v>
      </c>
      <c r="B46" s="1" t="s">
        <v>23</v>
      </c>
      <c r="C46" s="1"/>
      <c r="D46" s="26">
        <v>1164135.24</v>
      </c>
    </row>
    <row r="47" spans="1:13">
      <c r="A47" s="3"/>
      <c r="C47" s="1"/>
      <c r="D47" s="1"/>
    </row>
    <row r="48" spans="1:13">
      <c r="A48" s="3"/>
      <c r="C48" s="1"/>
      <c r="D48" s="4"/>
      <c r="I48" s="1"/>
    </row>
    <row r="49" spans="1:9">
      <c r="A49" s="3"/>
      <c r="I49" s="1"/>
    </row>
    <row r="50" spans="1:9">
      <c r="A50" s="29"/>
      <c r="B50" s="29"/>
      <c r="C50" s="29"/>
      <c r="D50" s="11"/>
      <c r="I50" s="1"/>
    </row>
    <row r="51" spans="1:9" ht="13.5" thickBot="1">
      <c r="D51" s="12">
        <f>D46+D42</f>
        <v>0</v>
      </c>
    </row>
    <row r="52" spans="1:9" ht="13.5" thickTop="1"/>
    <row r="53" spans="1:9" ht="15">
      <c r="I53" s="17"/>
    </row>
  </sheetData>
  <mergeCells count="1">
    <mergeCell ref="A50:C50"/>
  </mergeCells>
  <conditionalFormatting sqref="D51">
    <cfRule type="expression" dxfId="0" priority="1">
      <formula>$D$51&lt;&gt;0</formula>
    </cfRule>
  </conditionalFormatting>
  <dataValidations count="1">
    <dataValidation type="custom" allowBlank="1" showInputMessage="1" showErrorMessage="1" sqref="C13:C14" xr:uid="{267E014A-0E00-41B6-A02A-B417DC9AF28D}">
      <formula1>"&gt;0"</formula1>
    </dataValidation>
  </dataValidations>
  <pageMargins left="1.085" right="0.7" top="0.75" bottom="0.75" header="0.3" footer="0.3"/>
  <pageSetup scale="8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NZRec">
                <anchor>
                  <from>
                    <xdr:col>2</xdr:col>
                    <xdr:colOff>9525</xdr:colOff>
                    <xdr:row>1</xdr:row>
                    <xdr:rowOff>19050</xdr:rowOff>
                  </from>
                  <to>
                    <xdr:col>3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7CAD9-4D2A-42EF-8159-BFE9C872F4F5}">
  <sheetPr codeName="Sheet2"/>
  <dimension ref="A3:Q54"/>
  <sheetViews>
    <sheetView view="pageBreakPreview" topLeftCell="A14" zoomScale="106" zoomScaleNormal="100" zoomScaleSheetLayoutView="106" workbookViewId="0">
      <selection activeCell="D30" sqref="D30"/>
    </sheetView>
  </sheetViews>
  <sheetFormatPr defaultColWidth="9" defaultRowHeight="12.75"/>
  <cols>
    <col min="1" max="1" width="45.28515625" customWidth="1"/>
    <col min="2" max="2" width="14" style="1" customWidth="1"/>
    <col min="3" max="3" width="14" customWidth="1"/>
    <col min="4" max="4" width="18.42578125" customWidth="1"/>
    <col min="5" max="5" width="10.5703125" hidden="1" customWidth="1"/>
    <col min="6" max="6" width="9" hidden="1" customWidth="1"/>
    <col min="7" max="7" width="9.5703125" hidden="1" customWidth="1"/>
    <col min="9" max="9" width="12.42578125" customWidth="1"/>
    <col min="10" max="10" width="14.5703125" customWidth="1"/>
    <col min="11" max="11" width="13" customWidth="1"/>
    <col min="12" max="12" width="10.5703125" customWidth="1"/>
    <col min="17" max="17" width="11.5703125" customWidth="1"/>
  </cols>
  <sheetData>
    <row r="3" spans="1:17" ht="15.75">
      <c r="D3" s="2" t="s">
        <v>0</v>
      </c>
    </row>
    <row r="6" spans="1:17">
      <c r="A6" s="3"/>
      <c r="B6" s="4" t="s">
        <v>1</v>
      </c>
      <c r="C6" s="4" t="s">
        <v>2</v>
      </c>
      <c r="D6" s="4" t="s">
        <v>3</v>
      </c>
    </row>
    <row r="7" spans="1:17">
      <c r="A7" s="3"/>
      <c r="B7" s="4"/>
      <c r="C7" s="4"/>
      <c r="D7" s="4"/>
      <c r="J7" s="13"/>
    </row>
    <row r="8" spans="1:17">
      <c r="A8" s="18" t="s">
        <v>35</v>
      </c>
      <c r="B8" s="4"/>
      <c r="C8" s="4"/>
      <c r="D8" s="4">
        <v>-1262662.8600000001</v>
      </c>
      <c r="I8" t="s">
        <v>4</v>
      </c>
      <c r="J8" s="1"/>
    </row>
    <row r="9" spans="1:17">
      <c r="A9" t="s">
        <v>5</v>
      </c>
      <c r="C9" s="1"/>
      <c r="D9" s="1"/>
    </row>
    <row r="10" spans="1:17">
      <c r="A10" s="3" t="s">
        <v>6</v>
      </c>
      <c r="D10" s="1"/>
      <c r="Q10" s="7"/>
    </row>
    <row r="11" spans="1:17">
      <c r="A11" s="3"/>
      <c r="C11" s="1"/>
      <c r="D11" s="1"/>
      <c r="Q11" s="7"/>
    </row>
    <row r="12" spans="1:17" ht="15">
      <c r="A12" s="5" t="s">
        <v>7</v>
      </c>
      <c r="C12" s="23"/>
      <c r="D12" s="1"/>
      <c r="I12" t="s">
        <v>8</v>
      </c>
      <c r="J12" s="1"/>
      <c r="Q12" s="1"/>
    </row>
    <row r="13" spans="1:17" ht="12.75" hidden="1" customHeight="1">
      <c r="A13" s="5" t="s">
        <v>9</v>
      </c>
      <c r="C13" s="1"/>
      <c r="D13" s="1"/>
      <c r="G13">
        <f>229.44+4791.66</f>
        <v>5021.0999999999995</v>
      </c>
    </row>
    <row r="14" spans="1:17" ht="12.75" customHeight="1">
      <c r="A14" s="19" t="s">
        <v>24</v>
      </c>
      <c r="C14" s="6"/>
      <c r="D14" s="7"/>
    </row>
    <row r="15" spans="1:17" ht="12.75" customHeight="1">
      <c r="A15" t="s">
        <v>10</v>
      </c>
      <c r="C15" s="6"/>
      <c r="D15" s="1"/>
    </row>
    <row r="16" spans="1:17" ht="12.75" customHeight="1">
      <c r="C16" s="1"/>
      <c r="D16" s="1"/>
    </row>
    <row r="17" spans="1:16" ht="12.75" customHeight="1">
      <c r="D17" s="1"/>
    </row>
    <row r="18" spans="1:16">
      <c r="A18" s="3"/>
      <c r="C18" s="1"/>
      <c r="D18" s="1"/>
      <c r="G18">
        <v>2395.9299999999998</v>
      </c>
    </row>
    <row r="19" spans="1:16">
      <c r="A19" s="3" t="s">
        <v>11</v>
      </c>
      <c r="C19" s="1"/>
      <c r="D19" s="1"/>
      <c r="G19">
        <f>SUM(G13:G18)</f>
        <v>7417.0299999999988</v>
      </c>
      <c r="I19" t="s">
        <v>12</v>
      </c>
    </row>
    <row r="20" spans="1:16" ht="15">
      <c r="A20" t="s">
        <v>13</v>
      </c>
      <c r="B20" s="20"/>
      <c r="C20" s="1"/>
      <c r="D20" s="1"/>
      <c r="G20" t="e">
        <f>#REF!-G19</f>
        <v>#REF!</v>
      </c>
    </row>
    <row r="21" spans="1:16">
      <c r="A21" t="s">
        <v>14</v>
      </c>
      <c r="B21" s="6"/>
      <c r="C21" s="1"/>
      <c r="D21" s="1"/>
    </row>
    <row r="22" spans="1:16">
      <c r="A22" t="s">
        <v>15</v>
      </c>
      <c r="B22" s="6">
        <v>1000</v>
      </c>
      <c r="C22" s="1"/>
      <c r="D22" s="1"/>
    </row>
    <row r="23" spans="1:16">
      <c r="A23" t="s">
        <v>15</v>
      </c>
      <c r="B23" s="6"/>
      <c r="C23" s="1"/>
      <c r="D23" s="1"/>
    </row>
    <row r="24" spans="1:16">
      <c r="A24" s="19" t="s">
        <v>39</v>
      </c>
      <c r="B24" s="6">
        <v>1156.6600000000001</v>
      </c>
      <c r="D24" s="1"/>
    </row>
    <row r="25" spans="1:16">
      <c r="A25" s="19" t="s">
        <v>25</v>
      </c>
      <c r="B25" s="6"/>
      <c r="D25" s="1"/>
      <c r="J25" s="1"/>
    </row>
    <row r="26" spans="1:16" ht="15">
      <c r="A26" t="s">
        <v>16</v>
      </c>
      <c r="B26" s="20">
        <v>688.28</v>
      </c>
      <c r="D26" s="1"/>
      <c r="F26" s="1"/>
      <c r="H26" s="1"/>
      <c r="I26" s="1"/>
    </row>
    <row r="27" spans="1:16">
      <c r="A27" t="s">
        <v>17</v>
      </c>
      <c r="B27" s="6"/>
      <c r="D27" s="1"/>
      <c r="F27" s="1"/>
      <c r="H27" s="1"/>
      <c r="I27" s="1"/>
    </row>
    <row r="28" spans="1:16">
      <c r="A28" s="3" t="s">
        <v>18</v>
      </c>
      <c r="B28" s="21">
        <f>SUM(B20:B27)</f>
        <v>2844.9399999999996</v>
      </c>
      <c r="C28" s="1"/>
      <c r="D28" s="1"/>
      <c r="E28" s="1">
        <f>108731.03-B28</f>
        <v>105886.09</v>
      </c>
    </row>
    <row r="29" spans="1:16">
      <c r="B29" s="6"/>
      <c r="C29" s="1"/>
      <c r="D29" s="1"/>
    </row>
    <row r="30" spans="1:16" ht="15">
      <c r="A30" s="3" t="s">
        <v>36</v>
      </c>
      <c r="B30" s="6"/>
      <c r="C30" s="1"/>
      <c r="D30" s="4">
        <f>D8+B28+C12+C14+C15+C16</f>
        <v>-1259817.9200000002</v>
      </c>
      <c r="E30" s="1"/>
      <c r="F30" s="1"/>
      <c r="I30" s="1" t="s">
        <v>19</v>
      </c>
      <c r="L30" s="1"/>
      <c r="O30" s="14"/>
      <c r="P30" s="7"/>
    </row>
    <row r="31" spans="1:16" ht="15">
      <c r="B31" s="6"/>
      <c r="C31" s="1"/>
      <c r="D31" s="1"/>
      <c r="I31" s="1"/>
      <c r="O31" s="14"/>
      <c r="P31" s="7"/>
    </row>
    <row r="32" spans="1:16" ht="15">
      <c r="A32" s="3" t="s">
        <v>20</v>
      </c>
      <c r="B32" s="6"/>
      <c r="C32" s="1"/>
      <c r="D32" s="1"/>
      <c r="I32" s="1"/>
      <c r="O32" s="14"/>
      <c r="P32" s="7"/>
    </row>
    <row r="33" spans="1:16" ht="15">
      <c r="B33" s="6"/>
      <c r="C33" s="1"/>
      <c r="D33" s="1"/>
      <c r="I33" s="1"/>
      <c r="O33" s="14"/>
      <c r="P33" s="7"/>
    </row>
    <row r="34" spans="1:16">
      <c r="B34" s="22"/>
      <c r="C34" s="1"/>
      <c r="D34" s="1"/>
      <c r="K34" s="1"/>
    </row>
    <row r="35" spans="1:16">
      <c r="A35" s="19"/>
      <c r="B35" s="6"/>
      <c r="C35" s="1"/>
      <c r="D35" s="1"/>
      <c r="K35" s="1"/>
    </row>
    <row r="36" spans="1:16">
      <c r="A36" s="19"/>
      <c r="B36" s="6"/>
      <c r="D36" s="1"/>
      <c r="K36" s="1"/>
    </row>
    <row r="37" spans="1:16">
      <c r="C37" s="1"/>
      <c r="D37" s="1"/>
      <c r="K37" s="1"/>
    </row>
    <row r="38" spans="1:16">
      <c r="C38" s="1"/>
      <c r="D38" s="1"/>
      <c r="K38" s="1"/>
    </row>
    <row r="39" spans="1:16">
      <c r="C39" s="1"/>
      <c r="D39" s="1"/>
      <c r="K39" s="1"/>
    </row>
    <row r="40" spans="1:16">
      <c r="A40" s="3"/>
      <c r="C40" s="1"/>
      <c r="D40" s="1"/>
      <c r="K40" s="1"/>
    </row>
    <row r="41" spans="1:16">
      <c r="A41" s="3" t="s">
        <v>21</v>
      </c>
      <c r="B41" s="4">
        <f>SUM(B33:B40)</f>
        <v>0</v>
      </c>
      <c r="C41" s="1"/>
      <c r="D41" s="1"/>
    </row>
    <row r="42" spans="1:16">
      <c r="A42" s="5"/>
      <c r="C42" s="1"/>
      <c r="D42" s="1"/>
      <c r="J42" s="15"/>
    </row>
    <row r="43" spans="1:16">
      <c r="A43" s="3" t="s">
        <v>37</v>
      </c>
      <c r="C43" s="1"/>
      <c r="D43" s="4">
        <f>D30+B41</f>
        <v>-1259817.9200000002</v>
      </c>
      <c r="J43" t="s">
        <v>22</v>
      </c>
      <c r="K43" s="16">
        <f>D43+D52</f>
        <v>0</v>
      </c>
      <c r="L43" t="b">
        <f>K43=M43</f>
        <v>1</v>
      </c>
      <c r="M43">
        <v>0</v>
      </c>
    </row>
    <row r="44" spans="1:16" ht="12.75" hidden="1" customHeight="1">
      <c r="A44" s="3"/>
      <c r="C44" s="1"/>
      <c r="D44" s="1"/>
    </row>
    <row r="45" spans="1:16">
      <c r="A45" s="8"/>
      <c r="B45" s="9"/>
      <c r="C45" s="9"/>
      <c r="D45" s="9"/>
      <c r="E45" s="10"/>
      <c r="F45" s="10"/>
      <c r="G45" s="10"/>
      <c r="H45" s="10"/>
    </row>
    <row r="46" spans="1:16">
      <c r="A46" s="3"/>
      <c r="C46" s="1"/>
      <c r="D46" s="1"/>
    </row>
    <row r="47" spans="1:16">
      <c r="A47" s="3" t="s">
        <v>38</v>
      </c>
      <c r="B47" s="1" t="s">
        <v>23</v>
      </c>
      <c r="C47" s="1"/>
      <c r="D47" s="4">
        <v>1259817.92</v>
      </c>
    </row>
    <row r="48" spans="1:16">
      <c r="A48" s="3"/>
      <c r="C48" s="1"/>
      <c r="D48" s="1"/>
    </row>
    <row r="49" spans="1:9">
      <c r="A49" s="3"/>
      <c r="C49" s="1"/>
      <c r="D49" s="4"/>
      <c r="I49" s="1"/>
    </row>
    <row r="50" spans="1:9">
      <c r="A50" s="3"/>
      <c r="I50" s="1"/>
    </row>
    <row r="51" spans="1:9">
      <c r="A51" s="29"/>
      <c r="B51" s="29"/>
      <c r="C51" s="29"/>
      <c r="D51" s="11"/>
      <c r="I51" s="1"/>
    </row>
    <row r="52" spans="1:9" ht="13.5" thickBot="1">
      <c r="D52" s="12">
        <f>D47-D51</f>
        <v>1259817.92</v>
      </c>
    </row>
    <row r="53" spans="1:9" ht="13.5" thickTop="1"/>
    <row r="54" spans="1:9" ht="15">
      <c r="I54" s="17"/>
    </row>
  </sheetData>
  <mergeCells count="1">
    <mergeCell ref="A51:C51"/>
  </mergeCells>
  <pageMargins left="1.085" right="0.7" top="0.75" bottom="0.75" header="0.3" footer="0.3"/>
  <pageSetup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50103-C2F1-4122-8658-378AA4C20D8A}">
  <sheetPr codeName="Sheet3"/>
  <dimension ref="A3:Q54"/>
  <sheetViews>
    <sheetView view="pageBreakPreview" topLeftCell="A14" zoomScale="106" zoomScaleNormal="100" zoomScaleSheetLayoutView="106" workbookViewId="0">
      <selection activeCell="C15" sqref="C15"/>
    </sheetView>
  </sheetViews>
  <sheetFormatPr defaultColWidth="9" defaultRowHeight="12.75"/>
  <cols>
    <col min="1" max="1" width="45.28515625" customWidth="1"/>
    <col min="2" max="2" width="14" style="1" customWidth="1"/>
    <col min="3" max="3" width="14" customWidth="1"/>
    <col min="4" max="4" width="18.42578125" customWidth="1"/>
    <col min="5" max="5" width="10.5703125" hidden="1" customWidth="1"/>
    <col min="6" max="6" width="9" hidden="1" customWidth="1"/>
    <col min="7" max="7" width="9.5703125" hidden="1" customWidth="1"/>
    <col min="9" max="9" width="12.42578125" customWidth="1"/>
    <col min="10" max="10" width="14.5703125" customWidth="1"/>
    <col min="11" max="11" width="13" customWidth="1"/>
    <col min="12" max="12" width="10.5703125" customWidth="1"/>
    <col min="17" max="17" width="11.5703125" customWidth="1"/>
  </cols>
  <sheetData>
    <row r="3" spans="1:17" ht="15.75">
      <c r="D3" s="2" t="s">
        <v>0</v>
      </c>
    </row>
    <row r="6" spans="1:17">
      <c r="A6" s="3"/>
      <c r="B6" s="4" t="s">
        <v>1</v>
      </c>
      <c r="C6" s="4" t="s">
        <v>2</v>
      </c>
      <c r="D6" s="4" t="s">
        <v>3</v>
      </c>
    </row>
    <row r="7" spans="1:17">
      <c r="A7" s="3"/>
      <c r="B7" s="4"/>
      <c r="C7" s="4"/>
      <c r="D7" s="4"/>
      <c r="J7" s="13"/>
    </row>
    <row r="8" spans="1:17">
      <c r="A8" s="18" t="s">
        <v>31</v>
      </c>
      <c r="B8" s="4"/>
      <c r="C8" s="4"/>
      <c r="D8" s="4">
        <v>-1262606.83</v>
      </c>
      <c r="I8" t="s">
        <v>4</v>
      </c>
      <c r="J8" s="1"/>
    </row>
    <row r="9" spans="1:17">
      <c r="A9" t="s">
        <v>5</v>
      </c>
      <c r="C9" s="1"/>
      <c r="D9" s="1"/>
    </row>
    <row r="10" spans="1:17">
      <c r="A10" s="3" t="s">
        <v>6</v>
      </c>
      <c r="D10" s="1"/>
      <c r="Q10" s="7"/>
    </row>
    <row r="11" spans="1:17">
      <c r="A11" s="3"/>
      <c r="C11" s="1"/>
      <c r="D11" s="1"/>
      <c r="Q11" s="7"/>
    </row>
    <row r="12" spans="1:17" ht="15">
      <c r="A12" s="5" t="s">
        <v>7</v>
      </c>
      <c r="C12" s="23"/>
      <c r="D12" s="1"/>
      <c r="I12" t="s">
        <v>8</v>
      </c>
      <c r="J12" s="1"/>
      <c r="Q12" s="1"/>
    </row>
    <row r="13" spans="1:17" ht="12.75" hidden="1" customHeight="1">
      <c r="A13" s="5" t="s">
        <v>9</v>
      </c>
      <c r="C13" s="1"/>
      <c r="D13" s="1"/>
      <c r="G13">
        <f>229.44+4791.66</f>
        <v>5021.0999999999995</v>
      </c>
    </row>
    <row r="14" spans="1:17" ht="12.75" customHeight="1">
      <c r="A14" s="19" t="s">
        <v>24</v>
      </c>
      <c r="C14" s="6">
        <v>-61.73</v>
      </c>
      <c r="D14" s="7"/>
    </row>
    <row r="15" spans="1:17" ht="12.75" customHeight="1">
      <c r="A15" t="s">
        <v>10</v>
      </c>
      <c r="C15" s="6"/>
      <c r="D15" s="1"/>
    </row>
    <row r="16" spans="1:17" ht="12.75" customHeight="1">
      <c r="C16" s="1"/>
      <c r="D16" s="1"/>
    </row>
    <row r="17" spans="1:16" ht="12.75" customHeight="1">
      <c r="D17" s="1"/>
    </row>
    <row r="18" spans="1:16">
      <c r="A18" s="3"/>
      <c r="C18" s="1"/>
      <c r="D18" s="1"/>
      <c r="G18">
        <v>2395.9299999999998</v>
      </c>
    </row>
    <row r="19" spans="1:16">
      <c r="A19" s="3" t="s">
        <v>11</v>
      </c>
      <c r="C19" s="1"/>
      <c r="D19" s="1"/>
      <c r="G19">
        <f>SUM(G13:G18)</f>
        <v>7417.0299999999988</v>
      </c>
      <c r="I19" t="s">
        <v>12</v>
      </c>
    </row>
    <row r="20" spans="1:16" ht="15">
      <c r="A20" t="s">
        <v>13</v>
      </c>
      <c r="B20" s="20"/>
      <c r="C20" s="1"/>
      <c r="D20" s="1"/>
      <c r="G20" t="e">
        <f>#REF!-G19</f>
        <v>#REF!</v>
      </c>
    </row>
    <row r="21" spans="1:16">
      <c r="A21" t="s">
        <v>14</v>
      </c>
      <c r="B21" s="6">
        <v>5.7</v>
      </c>
      <c r="C21" s="1"/>
      <c r="D21" s="1"/>
    </row>
    <row r="22" spans="1:16">
      <c r="A22" t="s">
        <v>15</v>
      </c>
      <c r="B22" s="6"/>
      <c r="C22" s="1"/>
      <c r="D22" s="1"/>
    </row>
    <row r="23" spans="1:16">
      <c r="A23" t="s">
        <v>15</v>
      </c>
      <c r="B23" s="6"/>
      <c r="C23" s="1"/>
      <c r="D23" s="1"/>
    </row>
    <row r="24" spans="1:16">
      <c r="A24" s="19" t="s">
        <v>26</v>
      </c>
      <c r="B24" s="6"/>
      <c r="D24" s="1"/>
    </row>
    <row r="25" spans="1:16">
      <c r="A25" s="19" t="s">
        <v>25</v>
      </c>
      <c r="B25" s="6"/>
      <c r="D25" s="1"/>
      <c r="J25" s="1"/>
    </row>
    <row r="26" spans="1:16" ht="15">
      <c r="A26" t="s">
        <v>16</v>
      </c>
      <c r="B26" s="20"/>
      <c r="D26" s="1"/>
      <c r="F26" s="1"/>
      <c r="H26" s="1"/>
      <c r="I26" s="1"/>
    </row>
    <row r="27" spans="1:16">
      <c r="A27" t="s">
        <v>17</v>
      </c>
      <c r="B27" s="6"/>
      <c r="D27" s="1"/>
      <c r="F27" s="1"/>
      <c r="H27" s="1"/>
      <c r="I27" s="1"/>
    </row>
    <row r="28" spans="1:16">
      <c r="A28" s="3" t="s">
        <v>18</v>
      </c>
      <c r="B28" s="21">
        <f>SUM(B20:B27)</f>
        <v>5.7</v>
      </c>
      <c r="C28" s="1"/>
      <c r="D28" s="1"/>
      <c r="E28" s="1">
        <f>108731.03-B28</f>
        <v>108725.33</v>
      </c>
    </row>
    <row r="29" spans="1:16">
      <c r="B29" s="6"/>
      <c r="C29" s="1"/>
      <c r="D29" s="1"/>
    </row>
    <row r="30" spans="1:16" ht="15">
      <c r="A30" s="3" t="s">
        <v>32</v>
      </c>
      <c r="B30" s="6"/>
      <c r="C30" s="1"/>
      <c r="D30" s="4">
        <f>D8+B28+C12+C14+C15+C16</f>
        <v>-1262662.8600000001</v>
      </c>
      <c r="E30" s="1"/>
      <c r="F30" s="1"/>
      <c r="I30" s="1" t="s">
        <v>19</v>
      </c>
      <c r="L30" s="1"/>
      <c r="O30" s="14"/>
      <c r="P30" s="7"/>
    </row>
    <row r="31" spans="1:16" ht="15">
      <c r="B31" s="6"/>
      <c r="C31" s="1"/>
      <c r="D31" s="1"/>
      <c r="I31" s="1"/>
      <c r="O31" s="14"/>
      <c r="P31" s="7"/>
    </row>
    <row r="32" spans="1:16" ht="15">
      <c r="A32" s="3" t="s">
        <v>20</v>
      </c>
      <c r="B32" s="6"/>
      <c r="C32" s="1"/>
      <c r="D32" s="1"/>
      <c r="I32" s="1"/>
      <c r="O32" s="14"/>
      <c r="P32" s="7"/>
    </row>
    <row r="33" spans="1:16" ht="15">
      <c r="B33" s="6"/>
      <c r="C33" s="1"/>
      <c r="D33" s="1"/>
      <c r="I33" s="1"/>
      <c r="O33" s="14"/>
      <c r="P33" s="7"/>
    </row>
    <row r="34" spans="1:16">
      <c r="B34" s="22"/>
      <c r="C34" s="1"/>
      <c r="D34" s="1"/>
      <c r="K34" s="1"/>
    </row>
    <row r="35" spans="1:16">
      <c r="A35" s="19"/>
      <c r="B35" s="6"/>
      <c r="C35" s="1"/>
      <c r="D35" s="1"/>
      <c r="K35" s="1"/>
    </row>
    <row r="36" spans="1:16">
      <c r="A36" s="19"/>
      <c r="B36" s="6"/>
      <c r="D36" s="1"/>
      <c r="K36" s="1"/>
    </row>
    <row r="37" spans="1:16">
      <c r="C37" s="1"/>
      <c r="D37" s="1"/>
      <c r="K37" s="1"/>
    </row>
    <row r="38" spans="1:16">
      <c r="C38" s="1"/>
      <c r="D38" s="1"/>
      <c r="K38" s="1"/>
    </row>
    <row r="39" spans="1:16">
      <c r="C39" s="1"/>
      <c r="D39" s="1"/>
      <c r="K39" s="1"/>
    </row>
    <row r="40" spans="1:16">
      <c r="A40" s="3"/>
      <c r="C40" s="1"/>
      <c r="D40" s="1"/>
      <c r="K40" s="1"/>
    </row>
    <row r="41" spans="1:16">
      <c r="A41" s="3" t="s">
        <v>21</v>
      </c>
      <c r="B41" s="4">
        <f>SUM(B33:B40)</f>
        <v>0</v>
      </c>
      <c r="C41" s="1"/>
      <c r="D41" s="1"/>
    </row>
    <row r="42" spans="1:16">
      <c r="A42" s="5"/>
      <c r="C42" s="1"/>
      <c r="D42" s="1"/>
      <c r="J42" s="15"/>
    </row>
    <row r="43" spans="1:16">
      <c r="A43" s="3" t="s">
        <v>33</v>
      </c>
      <c r="C43" s="1"/>
      <c r="D43" s="4">
        <f>D30+B41</f>
        <v>-1262662.8600000001</v>
      </c>
      <c r="J43" t="s">
        <v>22</v>
      </c>
      <c r="K43" s="16">
        <f>D43+D52</f>
        <v>0</v>
      </c>
      <c r="L43" t="b">
        <f>K43=M43</f>
        <v>1</v>
      </c>
      <c r="M43">
        <v>0</v>
      </c>
    </row>
    <row r="44" spans="1:16" ht="12.75" hidden="1" customHeight="1">
      <c r="A44" s="3"/>
      <c r="C44" s="1"/>
      <c r="D44" s="1"/>
    </row>
    <row r="45" spans="1:16">
      <c r="A45" s="8"/>
      <c r="B45" s="9"/>
      <c r="C45" s="9"/>
      <c r="D45" s="9"/>
      <c r="E45" s="10"/>
      <c r="F45" s="10"/>
      <c r="G45" s="10"/>
      <c r="H45" s="10"/>
    </row>
    <row r="46" spans="1:16">
      <c r="A46" s="3"/>
      <c r="C46" s="1"/>
      <c r="D46" s="1"/>
    </row>
    <row r="47" spans="1:16">
      <c r="A47" s="3" t="s">
        <v>34</v>
      </c>
      <c r="B47" s="1" t="s">
        <v>23</v>
      </c>
      <c r="C47" s="1"/>
      <c r="D47" s="4">
        <v>1262662.8600000001</v>
      </c>
    </row>
    <row r="48" spans="1:16">
      <c r="A48" s="3"/>
      <c r="C48" s="1"/>
      <c r="D48" s="1"/>
    </row>
    <row r="49" spans="1:9">
      <c r="A49" s="3"/>
      <c r="C49" s="1"/>
      <c r="D49" s="4"/>
      <c r="I49" s="1"/>
    </row>
    <row r="50" spans="1:9">
      <c r="A50" s="3"/>
      <c r="I50" s="1"/>
    </row>
    <row r="51" spans="1:9">
      <c r="A51" s="29"/>
      <c r="B51" s="29"/>
      <c r="C51" s="29"/>
      <c r="D51" s="11"/>
      <c r="I51" s="1"/>
    </row>
    <row r="52" spans="1:9" ht="13.5" thickBot="1">
      <c r="D52" s="12">
        <f>D47-D51</f>
        <v>1262662.8600000001</v>
      </c>
    </row>
    <row r="53" spans="1:9" ht="13.5" thickTop="1"/>
    <row r="54" spans="1:9" ht="15">
      <c r="I54" s="17"/>
    </row>
  </sheetData>
  <mergeCells count="1">
    <mergeCell ref="A51:C51"/>
  </mergeCells>
  <pageMargins left="1.085" right="0.7" top="0.75" bottom="0.75" header="0.3" footer="0.3"/>
  <pageSetup scale="85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72267-206D-4C1A-937E-935524458C24}">
  <sheetPr codeName="Sheet4"/>
  <dimension ref="A3:Q54"/>
  <sheetViews>
    <sheetView view="pageBreakPreview" topLeftCell="A5" zoomScale="106" zoomScaleNormal="100" zoomScaleSheetLayoutView="106" workbookViewId="0">
      <selection activeCell="D39" sqref="D39"/>
    </sheetView>
  </sheetViews>
  <sheetFormatPr defaultColWidth="9" defaultRowHeight="12.75"/>
  <cols>
    <col min="1" max="1" width="45.28515625" customWidth="1"/>
    <col min="2" max="2" width="14" style="1" customWidth="1"/>
    <col min="3" max="3" width="14" customWidth="1"/>
    <col min="4" max="4" width="18.42578125" customWidth="1"/>
    <col min="5" max="5" width="10.5703125" hidden="1" customWidth="1"/>
    <col min="6" max="6" width="9" hidden="1" customWidth="1"/>
    <col min="7" max="7" width="9.5703125" hidden="1" customWidth="1"/>
    <col min="9" max="9" width="12.42578125" customWidth="1"/>
    <col min="10" max="10" width="14.5703125" customWidth="1"/>
    <col min="11" max="11" width="13" customWidth="1"/>
    <col min="12" max="12" width="10.5703125" customWidth="1"/>
    <col min="17" max="17" width="11.5703125" customWidth="1"/>
  </cols>
  <sheetData>
    <row r="3" spans="1:17" ht="15.75">
      <c r="D3" s="2" t="s">
        <v>0</v>
      </c>
    </row>
    <row r="6" spans="1:17">
      <c r="A6" s="3"/>
      <c r="B6" s="4" t="s">
        <v>1</v>
      </c>
      <c r="C6" s="4" t="s">
        <v>2</v>
      </c>
      <c r="D6" s="4" t="s">
        <v>3</v>
      </c>
    </row>
    <row r="7" spans="1:17">
      <c r="A7" s="3"/>
      <c r="B7" s="4"/>
      <c r="C7" s="4"/>
      <c r="D7" s="4"/>
      <c r="J7" s="13"/>
    </row>
    <row r="8" spans="1:17">
      <c r="A8" s="18" t="s">
        <v>27</v>
      </c>
      <c r="B8" s="4"/>
      <c r="C8" s="4"/>
      <c r="D8" s="4">
        <v>-1262626.83</v>
      </c>
      <c r="I8" t="s">
        <v>4</v>
      </c>
      <c r="J8" s="1"/>
    </row>
    <row r="9" spans="1:17">
      <c r="A9" t="s">
        <v>5</v>
      </c>
      <c r="C9" s="1"/>
      <c r="D9" s="1"/>
    </row>
    <row r="10" spans="1:17">
      <c r="A10" s="3" t="s">
        <v>6</v>
      </c>
      <c r="D10" s="1"/>
      <c r="Q10" s="7"/>
    </row>
    <row r="11" spans="1:17">
      <c r="A11" s="3"/>
      <c r="C11" s="1"/>
      <c r="D11" s="1"/>
      <c r="Q11" s="7"/>
    </row>
    <row r="12" spans="1:17" ht="15">
      <c r="A12" s="5" t="s">
        <v>7</v>
      </c>
      <c r="C12" s="23"/>
      <c r="D12" s="1"/>
      <c r="I12" t="s">
        <v>8</v>
      </c>
      <c r="J12" s="1"/>
      <c r="Q12" s="1"/>
    </row>
    <row r="13" spans="1:17" ht="12.75" hidden="1" customHeight="1">
      <c r="A13" s="5" t="s">
        <v>9</v>
      </c>
      <c r="C13" s="1"/>
      <c r="D13" s="1"/>
      <c r="G13">
        <f>229.44+4791.66</f>
        <v>5021.0999999999995</v>
      </c>
    </row>
    <row r="14" spans="1:17" ht="12.75" customHeight="1">
      <c r="A14" s="19" t="s">
        <v>24</v>
      </c>
      <c r="C14" s="6"/>
      <c r="D14" s="7"/>
    </row>
    <row r="15" spans="1:17" ht="12.75" customHeight="1">
      <c r="A15" t="s">
        <v>10</v>
      </c>
      <c r="C15" s="6"/>
      <c r="D15" s="1"/>
    </row>
    <row r="16" spans="1:17" ht="12.75" customHeight="1">
      <c r="C16" s="1"/>
      <c r="D16" s="1"/>
    </row>
    <row r="17" spans="1:16" ht="12.75" customHeight="1">
      <c r="D17" s="1"/>
    </row>
    <row r="18" spans="1:16">
      <c r="A18" s="3"/>
      <c r="C18" s="1"/>
      <c r="D18" s="1"/>
      <c r="G18">
        <v>2395.9299999999998</v>
      </c>
    </row>
    <row r="19" spans="1:16">
      <c r="A19" s="3" t="s">
        <v>11</v>
      </c>
      <c r="C19" s="1"/>
      <c r="D19" s="1"/>
      <c r="G19">
        <f>SUM(G13:G18)</f>
        <v>7417.0299999999988</v>
      </c>
      <c r="I19" t="s">
        <v>12</v>
      </c>
    </row>
    <row r="20" spans="1:16" ht="15">
      <c r="A20" t="s">
        <v>13</v>
      </c>
      <c r="B20" s="20"/>
      <c r="C20" s="1"/>
      <c r="D20" s="1"/>
      <c r="G20" t="e">
        <f>#REF!-G19</f>
        <v>#REF!</v>
      </c>
    </row>
    <row r="21" spans="1:16">
      <c r="A21" t="s">
        <v>14</v>
      </c>
      <c r="B21" s="6"/>
      <c r="C21" s="1"/>
      <c r="D21" s="1"/>
    </row>
    <row r="22" spans="1:16">
      <c r="A22" t="s">
        <v>15</v>
      </c>
      <c r="B22" s="6">
        <v>20</v>
      </c>
      <c r="C22" s="1"/>
      <c r="D22" s="1"/>
    </row>
    <row r="23" spans="1:16">
      <c r="A23" t="s">
        <v>15</v>
      </c>
      <c r="B23" s="6"/>
      <c r="C23" s="1"/>
      <c r="D23" s="1"/>
    </row>
    <row r="24" spans="1:16">
      <c r="A24" s="19" t="s">
        <v>26</v>
      </c>
      <c r="B24" s="6"/>
      <c r="D24" s="1"/>
    </row>
    <row r="25" spans="1:16">
      <c r="A25" s="19" t="s">
        <v>25</v>
      </c>
      <c r="B25" s="6"/>
      <c r="D25" s="1"/>
      <c r="J25" s="1"/>
    </row>
    <row r="26" spans="1:16" ht="15">
      <c r="A26" t="s">
        <v>16</v>
      </c>
      <c r="B26" s="20"/>
      <c r="D26" s="1"/>
      <c r="F26" s="1"/>
      <c r="H26" s="1"/>
      <c r="I26" s="1"/>
    </row>
    <row r="27" spans="1:16">
      <c r="A27" t="s">
        <v>17</v>
      </c>
      <c r="B27" s="6"/>
      <c r="D27" s="1"/>
      <c r="F27" s="1"/>
      <c r="H27" s="1"/>
      <c r="I27" s="1"/>
    </row>
    <row r="28" spans="1:16">
      <c r="A28" s="3" t="s">
        <v>18</v>
      </c>
      <c r="B28" s="21">
        <f>SUM(B20:B27)</f>
        <v>20</v>
      </c>
      <c r="C28" s="1"/>
      <c r="D28" s="1"/>
      <c r="E28" s="1">
        <f>108731.03-B28</f>
        <v>108711.03</v>
      </c>
    </row>
    <row r="29" spans="1:16">
      <c r="B29" s="6"/>
      <c r="C29" s="1"/>
      <c r="D29" s="1"/>
    </row>
    <row r="30" spans="1:16" ht="15">
      <c r="A30" s="3" t="s">
        <v>28</v>
      </c>
      <c r="B30" s="6"/>
      <c r="C30" s="1"/>
      <c r="D30" s="4">
        <f>D8+B28+C12+C14+C15+C16</f>
        <v>-1262606.83</v>
      </c>
      <c r="E30" s="1"/>
      <c r="F30" s="1"/>
      <c r="I30" s="1" t="s">
        <v>19</v>
      </c>
      <c r="L30" s="1"/>
      <c r="O30" s="14"/>
      <c r="P30" s="7"/>
    </row>
    <row r="31" spans="1:16" ht="15">
      <c r="B31" s="6"/>
      <c r="C31" s="1"/>
      <c r="D31" s="1"/>
      <c r="I31" s="1"/>
      <c r="O31" s="14"/>
      <c r="P31" s="7"/>
    </row>
    <row r="32" spans="1:16" ht="15">
      <c r="A32" s="3" t="s">
        <v>20</v>
      </c>
      <c r="B32" s="6"/>
      <c r="C32" s="1"/>
      <c r="D32" s="1"/>
      <c r="I32" s="1"/>
      <c r="O32" s="14"/>
      <c r="P32" s="7"/>
    </row>
    <row r="33" spans="1:16" ht="15">
      <c r="B33" s="6"/>
      <c r="C33" s="1"/>
      <c r="D33" s="1"/>
      <c r="I33" s="1"/>
      <c r="O33" s="14"/>
      <c r="P33" s="7"/>
    </row>
    <row r="34" spans="1:16">
      <c r="B34" s="22"/>
      <c r="C34" s="1"/>
      <c r="D34" s="1"/>
      <c r="K34" s="1"/>
    </row>
    <row r="35" spans="1:16">
      <c r="A35" s="19"/>
      <c r="B35" s="6"/>
      <c r="C35" s="1"/>
      <c r="D35" s="1"/>
      <c r="K35" s="1"/>
    </row>
    <row r="36" spans="1:16">
      <c r="A36" s="19"/>
      <c r="B36" s="6"/>
      <c r="D36" s="1"/>
      <c r="K36" s="1"/>
    </row>
    <row r="37" spans="1:16">
      <c r="C37" s="1"/>
      <c r="D37" s="1"/>
      <c r="K37" s="1"/>
    </row>
    <row r="38" spans="1:16">
      <c r="C38" s="1"/>
      <c r="D38" s="1"/>
      <c r="K38" s="1"/>
    </row>
    <row r="39" spans="1:16">
      <c r="C39" s="1"/>
      <c r="D39" s="1"/>
      <c r="K39" s="1"/>
    </row>
    <row r="40" spans="1:16">
      <c r="A40" s="3"/>
      <c r="C40" s="1"/>
      <c r="D40" s="1"/>
      <c r="K40" s="1"/>
    </row>
    <row r="41" spans="1:16">
      <c r="A41" s="3" t="s">
        <v>21</v>
      </c>
      <c r="B41" s="4">
        <f>SUM(B33:B40)</f>
        <v>0</v>
      </c>
      <c r="C41" s="1"/>
      <c r="D41" s="1"/>
    </row>
    <row r="42" spans="1:16">
      <c r="A42" s="5"/>
      <c r="C42" s="1"/>
      <c r="D42" s="1"/>
      <c r="J42" s="15"/>
    </row>
    <row r="43" spans="1:16">
      <c r="A43" s="3" t="s">
        <v>29</v>
      </c>
      <c r="C43" s="1"/>
      <c r="D43" s="4">
        <f>D30+B41</f>
        <v>-1262606.83</v>
      </c>
      <c r="J43" t="s">
        <v>22</v>
      </c>
      <c r="K43" s="16">
        <f>D43+D52</f>
        <v>0</v>
      </c>
      <c r="L43" t="b">
        <f>K43=M43</f>
        <v>1</v>
      </c>
      <c r="M43">
        <v>0</v>
      </c>
    </row>
    <row r="44" spans="1:16" ht="12.75" hidden="1" customHeight="1">
      <c r="A44" s="3"/>
      <c r="C44" s="1"/>
      <c r="D44" s="1"/>
    </row>
    <row r="45" spans="1:16">
      <c r="A45" s="8"/>
      <c r="B45" s="9"/>
      <c r="C45" s="9"/>
      <c r="D45" s="9"/>
      <c r="E45" s="10"/>
      <c r="F45" s="10"/>
      <c r="G45" s="10"/>
      <c r="H45" s="10"/>
    </row>
    <row r="46" spans="1:16">
      <c r="A46" s="3"/>
      <c r="C46" s="1"/>
      <c r="D46" s="1"/>
    </row>
    <row r="47" spans="1:16">
      <c r="A47" s="3" t="s">
        <v>30</v>
      </c>
      <c r="B47" s="1" t="s">
        <v>23</v>
      </c>
      <c r="C47" s="1"/>
      <c r="D47" s="4">
        <v>1262606.83</v>
      </c>
    </row>
    <row r="48" spans="1:16">
      <c r="A48" s="3"/>
      <c r="C48" s="1"/>
      <c r="D48" s="1"/>
    </row>
    <row r="49" spans="1:9">
      <c r="A49" s="3"/>
      <c r="C49" s="1"/>
      <c r="D49" s="4"/>
      <c r="I49" s="1"/>
    </row>
    <row r="50" spans="1:9">
      <c r="A50" s="3"/>
      <c r="I50" s="1"/>
    </row>
    <row r="51" spans="1:9">
      <c r="A51" s="29"/>
      <c r="B51" s="29"/>
      <c r="C51" s="29"/>
      <c r="D51" s="11"/>
      <c r="I51" s="1"/>
    </row>
    <row r="52" spans="1:9" ht="13.5" thickBot="1">
      <c r="D52" s="12">
        <f>D47-D51</f>
        <v>1262606.83</v>
      </c>
    </row>
    <row r="53" spans="1:9" ht="13.5" thickTop="1"/>
    <row r="54" spans="1:9" ht="15">
      <c r="I54" s="17"/>
    </row>
  </sheetData>
  <mergeCells count="1">
    <mergeCell ref="A51:C51"/>
  </mergeCells>
  <pageMargins left="1.085" right="0.7" top="0.75" bottom="0.75" header="0.3" footer="0.3"/>
  <pageSetup scale="85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2729F0CE06C84448530B972A90957FF" ma:contentTypeVersion="6" ma:contentTypeDescription="Create a new document." ma:contentTypeScope="" ma:versionID="8bc3458d05d2a822a074a2516c7e1c4e">
  <xsd:schema xmlns:xsd="http://www.w3.org/2001/XMLSchema" xmlns:xs="http://www.w3.org/2001/XMLSchema" xmlns:p="http://schemas.microsoft.com/office/2006/metadata/properties" xmlns:ns3="4fb058cf-732d-4249-be21-c489e134e95f" targetNamespace="http://schemas.microsoft.com/office/2006/metadata/properties" ma:root="true" ma:fieldsID="6896549eba01ee4a0189ee8c62a2b465" ns3:_="">
    <xsd:import namespace="4fb058cf-732d-4249-be21-c489e134e95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b058cf-732d-4249-be21-c489e134e9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90D64B1-5AD3-459D-836E-CE41B0360E8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b058cf-732d-4249-be21-c489e134e9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340BB8F-9927-4F86-969A-A56976E7A0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692F69E-6D58-42BA-B494-9C677E5CBE1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28Feb</vt:lpstr>
      <vt:lpstr>24Feb</vt:lpstr>
      <vt:lpstr>17Feb</vt:lpstr>
      <vt:lpstr>5Feb</vt:lpstr>
      <vt:lpstr>01Feb</vt:lpstr>
      <vt:lpstr>31Jan</vt:lpstr>
      <vt:lpstr>'01Feb'!Print_Area</vt:lpstr>
      <vt:lpstr>'17Feb'!Print_Area</vt:lpstr>
      <vt:lpstr>'24Feb'!Print_Area</vt:lpstr>
      <vt:lpstr>'28Feb'!Print_Area</vt:lpstr>
      <vt:lpstr>'31Jan'!Print_Area</vt:lpstr>
      <vt:lpstr>'5Feb'!Print_Area</vt:lpstr>
    </vt:vector>
  </TitlesOfParts>
  <Company>AWPL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</cp:lastModifiedBy>
  <cp:lastPrinted>2021-01-13T22:46:26Z</cp:lastPrinted>
  <dcterms:created xsi:type="dcterms:W3CDTF">2017-04-04T01:20:00Z</dcterms:created>
  <dcterms:modified xsi:type="dcterms:W3CDTF">2021-03-01T05:08:47Z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1033-11.2.0.9635</vt:lpwstr>
  </property>
  <property fmtid="{D5CDD505-2E9C-101B-9397-08002B2CF9AE}" pid="3" name="ContentTypeId">
    <vt:lpwstr>0x010100D2729F0CE06C84448530B972A90957FF</vt:lpwstr>
  </property>
</Properties>
</file>