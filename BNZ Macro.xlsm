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Finance Team\BANK\Template NZ Bank Dump Out\"/>
    </mc:Choice>
  </mc:AlternateContent>
  <xr:revisionPtr revIDLastSave="0" documentId="13_ncr:1_{7BD3DBB0-5830-4E29-9382-5F9478DC77ED}" xr6:coauthVersionLast="45" xr6:coauthVersionMax="45" xr10:uidLastSave="{00000000-0000-0000-0000-000000000000}"/>
  <bookViews>
    <workbookView xWindow="-120" yWindow="-120" windowWidth="24240" windowHeight="13140" xr2:uid="{473845D4-8BEC-4DA8-8DD9-1D7300992510}"/>
  </bookViews>
  <sheets>
    <sheet name="BNZ Rec Template" sheetId="15" r:id="rId1"/>
    <sheet name="EFTPOS Rental" sheetId="18" r:id="rId2"/>
    <sheet name="Merchant Fee" sheetId="19" r:id="rId3"/>
    <sheet name="Merchants Numbers" sheetId="17" r:id="rId4"/>
    <sheet name="5106" sheetId="16" state="hidden" r:id="rId5"/>
  </sheets>
  <functionGroups builtInGroupCount="19"/>
  <definedNames>
    <definedName name="_xlnm._FilterDatabase" localSheetId="0" hidden="1">'BNZ Rec Template'!$B$1:$I$16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9" l="1"/>
  <c r="D4" i="19"/>
  <c r="D5" i="19"/>
  <c r="D6" i="19"/>
  <c r="D7" i="19"/>
  <c r="D2" i="19"/>
  <c r="D11" i="19" s="1"/>
  <c r="F7" i="19" l="1"/>
  <c r="F6" i="19"/>
  <c r="F5" i="19"/>
  <c r="F4" i="19"/>
  <c r="F3" i="19"/>
  <c r="F2" i="19" l="1"/>
  <c r="F3" i="18"/>
  <c r="F4" i="18"/>
  <c r="F5" i="18"/>
  <c r="F6" i="18"/>
  <c r="F2" i="18"/>
  <c r="D10" i="18" l="1"/>
</calcChain>
</file>

<file path=xl/sharedStrings.xml><?xml version="1.0" encoding="utf-8"?>
<sst xmlns="http://schemas.openxmlformats.org/spreadsheetml/2006/main" count="70" uniqueCount="24">
  <si>
    <t>Date</t>
  </si>
  <si>
    <t>Amount</t>
  </si>
  <si>
    <t>Payee</t>
  </si>
  <si>
    <t>Particulars</t>
  </si>
  <si>
    <t>Code</t>
  </si>
  <si>
    <t>Reference</t>
  </si>
  <si>
    <t>Tran Type</t>
  </si>
  <si>
    <t>Type</t>
  </si>
  <si>
    <t>GL Code</t>
  </si>
  <si>
    <t>GL</t>
  </si>
  <si>
    <t>Acc No.</t>
  </si>
  <si>
    <t>GST</t>
  </si>
  <si>
    <t>INC</t>
  </si>
  <si>
    <t>Narration 1</t>
  </si>
  <si>
    <t>Narration 2</t>
  </si>
  <si>
    <t>Store</t>
  </si>
  <si>
    <t>Merchant Number</t>
  </si>
  <si>
    <t>NZ</t>
  </si>
  <si>
    <t>EFTPOS Rental BNZ</t>
  </si>
  <si>
    <t>EFTPOS</t>
  </si>
  <si>
    <t>Amex</t>
  </si>
  <si>
    <t>EFTPOS Merchant Fee</t>
  </si>
  <si>
    <t>Amex Fee</t>
  </si>
  <si>
    <t>NZ Merchant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</si>
</sst>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#.##"/>
  </numFmts>
  <fonts count="3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0" fontId="0" fillId="0" borderId="0" xfId="0" applyFill="1" applyAlignment="1">
      <alignment horizontal="center" vertical="center"/>
    </xf>
    <xf numFmtId="164" fontId="0" fillId="0" borderId="0" xfId="0" applyNumberFormat="1"/>
    <xf numFmtId="1" fontId="0" fillId="0" borderId="0" xfId="0" applyNumberFormat="1"/>
    <xf numFmtId="11" fontId="0" fillId="0" borderId="0" xfId="0" applyNumberFormat="1"/>
    <xf numFmtId="0" fontId="0" fillId="2" borderId="0" xfId="0" applyFill="1"/>
    <xf numFmtId="14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276225</xdr:colOff>
          <xdr:row>1</xdr:row>
          <xdr:rowOff>0</xdr:rowOff>
        </xdr:from>
        <xdr:to>
          <xdr:col>0</xdr:col>
          <xdr:colOff>1200150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BNZ Statements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542925</xdr:colOff>
      <xdr:row>3</xdr:row>
      <xdr:rowOff>133350</xdr:rowOff>
    </xdr:from>
    <xdr:to>
      <xdr:col>0</xdr:col>
      <xdr:colOff>904875</xdr:colOff>
      <xdr:row>6</xdr:row>
      <xdr:rowOff>123825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42925" y="704850"/>
          <a:ext cx="361950" cy="5619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0</xdr:col>
      <xdr:colOff>514350</xdr:colOff>
      <xdr:row>10</xdr:row>
      <xdr:rowOff>9525</xdr:rowOff>
    </xdr:from>
    <xdr:to>
      <xdr:col>0</xdr:col>
      <xdr:colOff>876300</xdr:colOff>
      <xdr:row>13</xdr:row>
      <xdr:rowOff>0</xdr:rowOff>
    </xdr:to>
    <xdr:sp macro="" textlink="">
      <xdr:nvSpPr>
        <xdr:cNvPr id="5" name="Arrow: Dow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14350" y="1914525"/>
          <a:ext cx="361950" cy="5619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20</xdr:row>
          <xdr:rowOff>152400</xdr:rowOff>
        </xdr:from>
        <xdr:to>
          <xdr:col>0</xdr:col>
          <xdr:colOff>1085850</xdr:colOff>
          <xdr:row>23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to Copy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123825</xdr:colOff>
      <xdr:row>13</xdr:row>
      <xdr:rowOff>76200</xdr:rowOff>
    </xdr:from>
    <xdr:to>
      <xdr:col>0</xdr:col>
      <xdr:colOff>1266825</xdr:colOff>
      <xdr:row>16</xdr:row>
      <xdr:rowOff>171451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23825" y="2552700"/>
          <a:ext cx="1143000" cy="6667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100"/>
            <a:t>Review</a:t>
          </a:r>
          <a:r>
            <a:rPr lang="en-AU" sz="1100" baseline="0"/>
            <a:t> &amp; Delete Unwanted Lines</a:t>
          </a:r>
          <a:endParaRPr lang="en-AU" sz="1100"/>
        </a:p>
      </xdr:txBody>
    </xdr:sp>
    <xdr:clientData/>
  </xdr:twoCellAnchor>
  <xdr:twoCellAnchor editAs="absolute">
    <xdr:from>
      <xdr:col>0</xdr:col>
      <xdr:colOff>495300</xdr:colOff>
      <xdr:row>17</xdr:row>
      <xdr:rowOff>85726</xdr:rowOff>
    </xdr:from>
    <xdr:to>
      <xdr:col>0</xdr:col>
      <xdr:colOff>857250</xdr:colOff>
      <xdr:row>20</xdr:row>
      <xdr:rowOff>76201</xdr:rowOff>
    </xdr:to>
    <xdr:sp macro="" textlink="">
      <xdr:nvSpPr>
        <xdr:cNvPr id="8" name="Arrow: Dow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95300" y="3324226"/>
          <a:ext cx="361950" cy="5619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7</xdr:row>
          <xdr:rowOff>9525</xdr:rowOff>
        </xdr:from>
        <xdr:to>
          <xdr:col>0</xdr:col>
          <xdr:colOff>1133475</xdr:colOff>
          <xdr:row>9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&amp; 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27</xdr:row>
          <xdr:rowOff>0</xdr:rowOff>
        </xdr:from>
        <xdr:to>
          <xdr:col>0</xdr:col>
          <xdr:colOff>1066800</xdr:colOff>
          <xdr:row>29</xdr:row>
          <xdr:rowOff>38100</xdr:rowOff>
        </xdr:to>
        <xdr:sp macro="" textlink="">
          <xdr:nvSpPr>
            <xdr:cNvPr id="1028" name="Button 4" descr="Save Fil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File</a:t>
              </a:r>
            </a:p>
            <a:p>
              <a:pPr algn="ctr" rtl="0">
                <a:defRPr sz="1000"/>
              </a:pPr>
              <a:endParaRPr lang="en-AU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466725</xdr:colOff>
      <xdr:row>23</xdr:row>
      <xdr:rowOff>114300</xdr:rowOff>
    </xdr:from>
    <xdr:to>
      <xdr:col>0</xdr:col>
      <xdr:colOff>828675</xdr:colOff>
      <xdr:row>26</xdr:row>
      <xdr:rowOff>104775</xdr:rowOff>
    </xdr:to>
    <xdr:sp macro="" textlink="">
      <xdr:nvSpPr>
        <xdr:cNvPr id="10" name="Arrow: Down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66725" y="4495800"/>
          <a:ext cx="361950" cy="5619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285750</xdr:colOff>
          <xdr:row>31</xdr:row>
          <xdr:rowOff>95250</xdr:rowOff>
        </xdr:from>
        <xdr:to>
          <xdr:col>0</xdr:col>
          <xdr:colOff>1047750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Fectch Alipay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5867A2-9C7F-47EE-94B8-1CC0A5907F03}" name="Table1" displayName="Table1" ref="A1:D14" totalsRowShown="0">
  <autoFilter ref="A1:D14" xr:uid="{A65867A2-9C7F-47EE-94B8-1CC0A5907F03}"/>
  <tableColumns count="4">
    <tableColumn id="1" xr3:uid="{DD6DB4F0-937E-4B68-8938-409F38A79AAC}" name="Merchant Number"/>
    <tableColumn id="2" xr3:uid="{1739AA0B-1985-404B-9640-4E8EEB27C759}" name="Store"/>
    <tableColumn id="3" xr3:uid="{A4198BD0-A0F2-451A-9A63-2F8B38AFDE80}" name="Type"/>
    <tableColumn id="4" xr3:uid="{586E9199-DE47-4944-8846-F82C24D47C62}" name="GL Cod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097D3-B51F-412C-97C0-225225853B58}">
  <sheetPr codeName="Sheet2"/>
  <dimension ref="B1:Q617"/>
  <sheetViews>
    <sheetView tabSelected="1" workbookViewId="0">
      <pane ySplit="1" topLeftCell="A2" activePane="bottomLeft" state="frozen"/>
      <selection pane="bottomLeft" activeCell="H13" sqref="H13"/>
    </sheetView>
  </sheetViews>
  <sheetFormatPr defaultRowHeight="15" x14ac:dyDescent="0.25"/>
  <cols>
    <col min="1" max="1" width="19.5703125" customWidth="1"/>
    <col min="2" max="2" width="10.7109375" bestFit="1" customWidth="1"/>
    <col min="3" max="3" width="8.7109375" bestFit="1" customWidth="1"/>
    <col min="4" max="4" width="22.28515625" bestFit="1" customWidth="1"/>
    <col min="5" max="5" width="15" bestFit="1" customWidth="1"/>
    <col min="6" max="6" width="12" bestFit="1" customWidth="1"/>
    <col min="7" max="7" width="12.140625" bestFit="1" customWidth="1"/>
    <col min="8" max="8" width="9.5703125" bestFit="1" customWidth="1"/>
    <col min="9" max="9" width="8.140625" bestFit="1" customWidth="1"/>
    <col min="10" max="10" width="15" bestFit="1" customWidth="1"/>
    <col min="11" max="11" width="11" bestFit="1" customWidth="1"/>
    <col min="12" max="12" width="11.5703125" bestFit="1" customWidth="1"/>
    <col min="13" max="13" width="10.42578125" bestFit="1" customWidth="1"/>
    <col min="14" max="14" width="5.42578125" bestFit="1" customWidth="1"/>
    <col min="15" max="15" width="9.85546875" bestFit="1" customWidth="1"/>
    <col min="16" max="16" width="6.5703125" bestFit="1" customWidth="1"/>
    <col min="17" max="17" width="8.5703125" bestFit="1" customWidth="1"/>
    <col min="18" max="18" width="19.140625" bestFit="1" customWidth="1"/>
    <col min="19" max="19" width="13.140625" bestFit="1" customWidth="1"/>
  </cols>
  <sheetData>
    <row r="1" spans="2:9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</v>
      </c>
    </row>
    <row r="2" spans="2:9" x14ac:dyDescent="0.25">
      <c r="B2" s="1"/>
      <c r="E2" s="1"/>
      <c r="F2" s="7"/>
    </row>
    <row r="3" spans="2:9" x14ac:dyDescent="0.25">
      <c r="B3" s="1"/>
    </row>
    <row r="4" spans="2:9" x14ac:dyDescent="0.25">
      <c r="B4" s="1"/>
    </row>
    <row r="5" spans="2:9" x14ac:dyDescent="0.25">
      <c r="B5" s="1"/>
    </row>
    <row r="6" spans="2:9" x14ac:dyDescent="0.25">
      <c r="B6" s="1"/>
    </row>
    <row r="7" spans="2:9" x14ac:dyDescent="0.25">
      <c r="B7" s="1"/>
    </row>
    <row r="8" spans="2:9" x14ac:dyDescent="0.25">
      <c r="B8" s="1"/>
    </row>
    <row r="9" spans="2:9" x14ac:dyDescent="0.25">
      <c r="B9" s="1"/>
    </row>
    <row r="10" spans="2:9" x14ac:dyDescent="0.25">
      <c r="B10" s="1"/>
    </row>
    <row r="11" spans="2:9" x14ac:dyDescent="0.25">
      <c r="B11" s="1"/>
    </row>
    <row r="12" spans="2:9" x14ac:dyDescent="0.25">
      <c r="B12" s="1"/>
    </row>
    <row r="13" spans="2:9" x14ac:dyDescent="0.25">
      <c r="B13" s="1"/>
    </row>
    <row r="14" spans="2:9" x14ac:dyDescent="0.25">
      <c r="B14" s="1"/>
    </row>
    <row r="15" spans="2:9" x14ac:dyDescent="0.25">
      <c r="B15" s="1"/>
    </row>
    <row r="16" spans="2:9" x14ac:dyDescent="0.25">
      <c r="B16" s="1"/>
    </row>
    <row r="17" spans="2:17" x14ac:dyDescent="0.25">
      <c r="B17" s="1"/>
    </row>
    <row r="18" spans="2:17" x14ac:dyDescent="0.25">
      <c r="B18" s="1"/>
      <c r="Q18" s="5"/>
    </row>
    <row r="19" spans="2:17" x14ac:dyDescent="0.25">
      <c r="B19" s="1"/>
    </row>
    <row r="20" spans="2:17" x14ac:dyDescent="0.25">
      <c r="B20" s="1"/>
    </row>
    <row r="21" spans="2:17" x14ac:dyDescent="0.25">
      <c r="B21" s="1"/>
    </row>
    <row r="22" spans="2:17" x14ac:dyDescent="0.25">
      <c r="B22" s="1"/>
    </row>
    <row r="23" spans="2:17" x14ac:dyDescent="0.25">
      <c r="B23" s="1"/>
    </row>
    <row r="24" spans="2:17" x14ac:dyDescent="0.25">
      <c r="B24" s="1"/>
    </row>
    <row r="25" spans="2:17" x14ac:dyDescent="0.25">
      <c r="B25" s="1"/>
    </row>
    <row r="26" spans="2:17" x14ac:dyDescent="0.25">
      <c r="B26" s="1"/>
    </row>
    <row r="27" spans="2:17" x14ac:dyDescent="0.25">
      <c r="B27" s="1"/>
    </row>
    <row r="28" spans="2:17" x14ac:dyDescent="0.25">
      <c r="B28" s="1"/>
    </row>
    <row r="29" spans="2:17" x14ac:dyDescent="0.25">
      <c r="B29" s="1"/>
    </row>
    <row r="30" spans="2:17" x14ac:dyDescent="0.25">
      <c r="B30" s="1"/>
    </row>
    <row r="31" spans="2:17" x14ac:dyDescent="0.25">
      <c r="B31" s="1"/>
    </row>
    <row r="32" spans="2:17" x14ac:dyDescent="0.25">
      <c r="B32" s="1"/>
    </row>
    <row r="33" spans="2:2" x14ac:dyDescent="0.25">
      <c r="B33" s="1"/>
    </row>
    <row r="34" spans="2:2" x14ac:dyDescent="0.25">
      <c r="B34" s="1"/>
    </row>
    <row r="35" spans="2:2" x14ac:dyDescent="0.25">
      <c r="B35" s="1"/>
    </row>
    <row r="36" spans="2:2" x14ac:dyDescent="0.25">
      <c r="B36" s="1"/>
    </row>
    <row r="37" spans="2:2" x14ac:dyDescent="0.25">
      <c r="B37" s="1"/>
    </row>
    <row r="38" spans="2:2" x14ac:dyDescent="0.25">
      <c r="B38" s="1"/>
    </row>
    <row r="39" spans="2:2" x14ac:dyDescent="0.25">
      <c r="B39" s="1"/>
    </row>
    <row r="40" spans="2:2" x14ac:dyDescent="0.25">
      <c r="B40" s="1"/>
    </row>
    <row r="41" spans="2:2" x14ac:dyDescent="0.25">
      <c r="B41" s="1"/>
    </row>
    <row r="42" spans="2:2" x14ac:dyDescent="0.25">
      <c r="B42" s="1"/>
    </row>
    <row r="43" spans="2:2" x14ac:dyDescent="0.25">
      <c r="B43" s="1"/>
    </row>
    <row r="44" spans="2:2" x14ac:dyDescent="0.25">
      <c r="B44" s="1"/>
    </row>
    <row r="45" spans="2:2" x14ac:dyDescent="0.25">
      <c r="B45" s="1"/>
    </row>
    <row r="46" spans="2:2" x14ac:dyDescent="0.25">
      <c r="B46" s="1"/>
    </row>
    <row r="47" spans="2:2" x14ac:dyDescent="0.25">
      <c r="B47" s="1"/>
    </row>
    <row r="48" spans="2:2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  <row r="52" spans="2:2" x14ac:dyDescent="0.25">
      <c r="B52" s="1"/>
    </row>
    <row r="53" spans="2:2" x14ac:dyDescent="0.25">
      <c r="B53" s="1"/>
    </row>
    <row r="54" spans="2:2" x14ac:dyDescent="0.25">
      <c r="B54" s="1"/>
    </row>
    <row r="55" spans="2:2" x14ac:dyDescent="0.25">
      <c r="B55" s="1"/>
    </row>
    <row r="56" spans="2:2" x14ac:dyDescent="0.25">
      <c r="B56" s="1"/>
    </row>
    <row r="57" spans="2:2" x14ac:dyDescent="0.25">
      <c r="B57" s="1"/>
    </row>
    <row r="58" spans="2:2" x14ac:dyDescent="0.25">
      <c r="B58" s="1"/>
    </row>
    <row r="59" spans="2:2" x14ac:dyDescent="0.25">
      <c r="B59" s="1"/>
    </row>
    <row r="60" spans="2:2" x14ac:dyDescent="0.25">
      <c r="B60" s="1"/>
    </row>
    <row r="61" spans="2:2" x14ac:dyDescent="0.25">
      <c r="B61" s="1"/>
    </row>
    <row r="62" spans="2:2" x14ac:dyDescent="0.25">
      <c r="B62" s="1"/>
    </row>
    <row r="63" spans="2:2" x14ac:dyDescent="0.25">
      <c r="B63" s="1"/>
    </row>
    <row r="64" spans="2:2" x14ac:dyDescent="0.25">
      <c r="B64" s="1"/>
    </row>
    <row r="65" spans="2:2" x14ac:dyDescent="0.25">
      <c r="B65" s="1"/>
    </row>
    <row r="66" spans="2:2" x14ac:dyDescent="0.25">
      <c r="B66" s="1"/>
    </row>
    <row r="67" spans="2:2" x14ac:dyDescent="0.25">
      <c r="B67" s="1"/>
    </row>
    <row r="68" spans="2:2" x14ac:dyDescent="0.25">
      <c r="B68" s="1"/>
    </row>
    <row r="70" spans="2:2" x14ac:dyDescent="0.25">
      <c r="B70" s="1"/>
    </row>
    <row r="73" spans="2:2" x14ac:dyDescent="0.25">
      <c r="B73" s="1"/>
    </row>
    <row r="74" spans="2:2" x14ac:dyDescent="0.25">
      <c r="B74" s="1"/>
    </row>
    <row r="75" spans="2:2" x14ac:dyDescent="0.25">
      <c r="B75" s="1"/>
    </row>
    <row r="80" spans="2:2" x14ac:dyDescent="0.25">
      <c r="B80" s="1"/>
    </row>
    <row r="81" spans="2:7" x14ac:dyDescent="0.25">
      <c r="B81" s="1"/>
    </row>
    <row r="82" spans="2:7" x14ac:dyDescent="0.25">
      <c r="B82" s="1"/>
    </row>
    <row r="84" spans="2:7" x14ac:dyDescent="0.25">
      <c r="B84" s="1"/>
    </row>
    <row r="85" spans="2:7" x14ac:dyDescent="0.25">
      <c r="B85" s="1"/>
    </row>
    <row r="86" spans="2:7" x14ac:dyDescent="0.25">
      <c r="B86" s="1"/>
    </row>
    <row r="89" spans="2:7" x14ac:dyDescent="0.25">
      <c r="B89" s="1"/>
    </row>
    <row r="90" spans="2:7" x14ac:dyDescent="0.25">
      <c r="B90" s="1"/>
    </row>
    <row r="91" spans="2:7" x14ac:dyDescent="0.25">
      <c r="B91" s="1"/>
    </row>
    <row r="92" spans="2:7" x14ac:dyDescent="0.25">
      <c r="B92" s="1"/>
      <c r="C92" s="2"/>
      <c r="D92" s="2"/>
      <c r="E92" s="2"/>
      <c r="F92" s="2"/>
      <c r="G92" s="2"/>
    </row>
    <row r="93" spans="2:7" x14ac:dyDescent="0.25">
      <c r="B93" s="1"/>
    </row>
    <row r="94" spans="2:7" x14ac:dyDescent="0.25">
      <c r="B94" s="1"/>
    </row>
    <row r="95" spans="2:7" x14ac:dyDescent="0.25">
      <c r="B95" s="1"/>
    </row>
    <row r="96" spans="2:7" x14ac:dyDescent="0.25">
      <c r="B96" s="1"/>
    </row>
    <row r="97" spans="2:2" x14ac:dyDescent="0.25">
      <c r="B97" s="1"/>
    </row>
    <row r="102" spans="2:2" x14ac:dyDescent="0.25">
      <c r="B102" s="1"/>
    </row>
    <row r="103" spans="2:2" x14ac:dyDescent="0.25">
      <c r="B103" s="1"/>
    </row>
    <row r="104" spans="2:2" x14ac:dyDescent="0.25">
      <c r="B104" s="1"/>
    </row>
    <row r="105" spans="2:2" x14ac:dyDescent="0.25">
      <c r="B105" s="1"/>
    </row>
    <row r="107" spans="2:2" x14ac:dyDescent="0.25">
      <c r="B107" s="1"/>
    </row>
    <row r="111" spans="2:2" x14ac:dyDescent="0.25">
      <c r="B111" s="1"/>
    </row>
    <row r="112" spans="2:2" x14ac:dyDescent="0.25">
      <c r="B112" s="1"/>
    </row>
    <row r="113" spans="2:2" x14ac:dyDescent="0.25">
      <c r="B113" s="1"/>
    </row>
    <row r="116" spans="2:2" x14ac:dyDescent="0.25">
      <c r="B116" s="1"/>
    </row>
    <row r="118" spans="2:2" x14ac:dyDescent="0.25">
      <c r="B118" s="1"/>
    </row>
    <row r="119" spans="2:2" x14ac:dyDescent="0.25">
      <c r="B119" s="1"/>
    </row>
    <row r="121" spans="2:2" x14ac:dyDescent="0.25">
      <c r="B121" s="1"/>
    </row>
    <row r="122" spans="2:2" x14ac:dyDescent="0.25">
      <c r="B122" s="1"/>
    </row>
    <row r="127" spans="2:2" x14ac:dyDescent="0.25">
      <c r="B127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40" spans="2:2" x14ac:dyDescent="0.25">
      <c r="B140" s="1"/>
    </row>
    <row r="142" spans="2:2" x14ac:dyDescent="0.25">
      <c r="B142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9" spans="2:2" x14ac:dyDescent="0.25">
      <c r="B149" s="1"/>
    </row>
    <row r="150" spans="2:2" x14ac:dyDescent="0.25">
      <c r="B150" s="1"/>
    </row>
    <row r="154" spans="2:2" x14ac:dyDescent="0.25">
      <c r="B154" s="1"/>
    </row>
    <row r="156" spans="2:2" x14ac:dyDescent="0.25">
      <c r="B156" s="1"/>
    </row>
    <row r="157" spans="2:2" x14ac:dyDescent="0.25">
      <c r="B157" s="1"/>
    </row>
    <row r="162" spans="2:2" x14ac:dyDescent="0.25">
      <c r="B162" s="1"/>
    </row>
    <row r="164" spans="2:2" x14ac:dyDescent="0.25">
      <c r="B164" s="1"/>
    </row>
    <row r="168" spans="2:2" x14ac:dyDescent="0.25">
      <c r="B168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4" spans="2:2" x14ac:dyDescent="0.25">
      <c r="B174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200" spans="2:2" x14ac:dyDescent="0.25">
      <c r="B200" s="1"/>
    </row>
    <row r="201" spans="2:2" x14ac:dyDescent="0.25">
      <c r="B201" s="1"/>
    </row>
    <row r="203" spans="2:2" x14ac:dyDescent="0.25">
      <c r="B203" s="1"/>
    </row>
    <row r="207" spans="2:2" x14ac:dyDescent="0.25">
      <c r="B207" s="1"/>
    </row>
    <row r="217" spans="2:2" x14ac:dyDescent="0.25">
      <c r="B217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5" spans="2:2" x14ac:dyDescent="0.25">
      <c r="B225" s="1"/>
    </row>
    <row r="227" spans="2:2" x14ac:dyDescent="0.25">
      <c r="B227" s="1"/>
    </row>
    <row r="230" spans="2:2" x14ac:dyDescent="0.25">
      <c r="B230" s="1"/>
    </row>
    <row r="234" spans="2:2" x14ac:dyDescent="0.25">
      <c r="B234" s="1"/>
    </row>
    <row r="235" spans="2:2" x14ac:dyDescent="0.25">
      <c r="B235" s="1"/>
    </row>
    <row r="237" spans="2:2" x14ac:dyDescent="0.25">
      <c r="B237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6" spans="2:2" x14ac:dyDescent="0.25">
      <c r="B246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4" spans="2:2" x14ac:dyDescent="0.25">
      <c r="B254" s="1"/>
    </row>
    <row r="255" spans="2:2" x14ac:dyDescent="0.25">
      <c r="B255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1" spans="2:2" x14ac:dyDescent="0.25">
      <c r="B261" s="1"/>
    </row>
    <row r="262" spans="2:2" x14ac:dyDescent="0.25">
      <c r="B262" s="1"/>
    </row>
    <row r="264" spans="2:2" x14ac:dyDescent="0.25">
      <c r="B264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5" spans="2:2" x14ac:dyDescent="0.25">
      <c r="B275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90" spans="2:2" x14ac:dyDescent="0.25">
      <c r="B290" s="1"/>
    </row>
    <row r="293" spans="2:2" x14ac:dyDescent="0.25">
      <c r="B293" s="1"/>
    </row>
    <row r="296" spans="2:2" x14ac:dyDescent="0.25">
      <c r="B296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6" spans="2:2" x14ac:dyDescent="0.25">
      <c r="B306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4" spans="2:2" x14ac:dyDescent="0.25">
      <c r="B314" s="1"/>
    </row>
    <row r="315" spans="2:2" x14ac:dyDescent="0.25">
      <c r="B315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30" spans="2:2" x14ac:dyDescent="0.25">
      <c r="B330" s="1"/>
    </row>
    <row r="332" spans="2:2" x14ac:dyDescent="0.25">
      <c r="B332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4" spans="2:2" x14ac:dyDescent="0.25">
      <c r="B344" s="1"/>
    </row>
    <row r="346" spans="2:2" x14ac:dyDescent="0.25">
      <c r="B346" s="1"/>
    </row>
    <row r="348" spans="2:2" x14ac:dyDescent="0.25">
      <c r="B348" s="1"/>
    </row>
    <row r="351" spans="2:2" x14ac:dyDescent="0.25">
      <c r="B351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8" spans="2:2" x14ac:dyDescent="0.25">
      <c r="B358" s="1"/>
    </row>
    <row r="360" spans="2:2" x14ac:dyDescent="0.25">
      <c r="B360" s="1"/>
    </row>
    <row r="362" spans="2:2" x14ac:dyDescent="0.25">
      <c r="B362" s="1"/>
    </row>
    <row r="365" spans="2:2" x14ac:dyDescent="0.25">
      <c r="B365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3" spans="2:2" x14ac:dyDescent="0.25">
      <c r="B373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9" spans="2:2" x14ac:dyDescent="0.25">
      <c r="B379" s="1"/>
    </row>
    <row r="381" spans="2:2" x14ac:dyDescent="0.25">
      <c r="B381" s="1"/>
    </row>
    <row r="382" spans="2:2" x14ac:dyDescent="0.25">
      <c r="B382" s="1"/>
    </row>
    <row r="386" spans="2:2" x14ac:dyDescent="0.25">
      <c r="B386" s="1"/>
    </row>
    <row r="387" spans="2:2" x14ac:dyDescent="0.25">
      <c r="B387" s="1"/>
    </row>
    <row r="389" spans="2:2" x14ac:dyDescent="0.25">
      <c r="B389" s="1"/>
    </row>
    <row r="391" spans="2:2" x14ac:dyDescent="0.25">
      <c r="B391" s="1"/>
    </row>
    <row r="393" spans="2:2" x14ac:dyDescent="0.25">
      <c r="B393" s="1"/>
    </row>
    <row r="395" spans="2:2" x14ac:dyDescent="0.25">
      <c r="B395" s="1"/>
    </row>
    <row r="398" spans="2:2" x14ac:dyDescent="0.25">
      <c r="B398" s="1"/>
    </row>
    <row r="399" spans="2:2" x14ac:dyDescent="0.25">
      <c r="B399" s="1"/>
    </row>
    <row r="402" spans="2:2" x14ac:dyDescent="0.25">
      <c r="B402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9" spans="2:2" x14ac:dyDescent="0.25">
      <c r="B409" s="1"/>
    </row>
    <row r="411" spans="2:2" x14ac:dyDescent="0.25">
      <c r="B411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7" spans="2:2" x14ac:dyDescent="0.25">
      <c r="B417" s="1"/>
    </row>
    <row r="418" spans="2:2" x14ac:dyDescent="0.25">
      <c r="B418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3" spans="2:2" x14ac:dyDescent="0.25">
      <c r="B433" s="1"/>
    </row>
    <row r="435" spans="2:2" x14ac:dyDescent="0.25">
      <c r="B435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7" spans="2:2" x14ac:dyDescent="0.25">
      <c r="B447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7" spans="2:2" x14ac:dyDescent="0.25">
      <c r="B457" s="1"/>
    </row>
    <row r="461" spans="2:2" x14ac:dyDescent="0.25">
      <c r="B461" s="1"/>
    </row>
    <row r="462" spans="2:2" x14ac:dyDescent="0.25">
      <c r="B462" s="1"/>
    </row>
    <row r="464" spans="2:2" x14ac:dyDescent="0.25">
      <c r="B464" s="1"/>
    </row>
    <row r="467" spans="2:2" x14ac:dyDescent="0.25">
      <c r="B467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5" spans="2:2" x14ac:dyDescent="0.25">
      <c r="B485" s="1"/>
    </row>
    <row r="487" spans="2:2" x14ac:dyDescent="0.25">
      <c r="B487" s="1"/>
    </row>
    <row r="489" spans="2:2" x14ac:dyDescent="0.25">
      <c r="B489" s="1"/>
    </row>
    <row r="491" spans="2:2" x14ac:dyDescent="0.25">
      <c r="B491" s="1"/>
    </row>
    <row r="495" spans="2:2" x14ac:dyDescent="0.25">
      <c r="B495" s="1"/>
    </row>
    <row r="497" spans="2:2" x14ac:dyDescent="0.25">
      <c r="B497" s="1"/>
    </row>
    <row r="498" spans="2:2" x14ac:dyDescent="0.25">
      <c r="B498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3" spans="2:2" x14ac:dyDescent="0.25">
      <c r="B513" s="1"/>
    </row>
    <row r="515" spans="2:2" x14ac:dyDescent="0.25">
      <c r="B515" s="1"/>
    </row>
    <row r="517" spans="2:2" x14ac:dyDescent="0.25">
      <c r="B517" s="1"/>
    </row>
    <row r="518" spans="2:2" x14ac:dyDescent="0.25">
      <c r="B518" s="1"/>
    </row>
    <row r="521" spans="2:2" x14ac:dyDescent="0.25">
      <c r="B521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3" spans="2:2" x14ac:dyDescent="0.25">
      <c r="B533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1" spans="2:2" x14ac:dyDescent="0.25">
      <c r="B541" s="1"/>
    </row>
    <row r="543" spans="2:2" x14ac:dyDescent="0.25">
      <c r="B543" s="1"/>
    </row>
    <row r="548" spans="2:2" x14ac:dyDescent="0.25">
      <c r="B548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6" spans="2:2" x14ac:dyDescent="0.25">
      <c r="B556" s="1"/>
    </row>
    <row r="558" spans="2:2" x14ac:dyDescent="0.25">
      <c r="B558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6" spans="2:2" x14ac:dyDescent="0.25">
      <c r="B566" s="1"/>
    </row>
    <row r="568" spans="2:2" x14ac:dyDescent="0.25">
      <c r="B568" s="1"/>
    </row>
    <row r="571" spans="2:2" x14ac:dyDescent="0.25">
      <c r="B571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2" spans="2:2" x14ac:dyDescent="0.25">
      <c r="B582" s="1"/>
    </row>
    <row r="584" spans="2:2" x14ac:dyDescent="0.25">
      <c r="B584" s="1"/>
    </row>
    <row r="586" spans="2:2" x14ac:dyDescent="0.25">
      <c r="B586" s="1"/>
    </row>
    <row r="588" spans="2:2" x14ac:dyDescent="0.25">
      <c r="B588" s="1"/>
    </row>
    <row r="593" spans="2:2" x14ac:dyDescent="0.25">
      <c r="B593" s="1"/>
    </row>
    <row r="594" spans="2:2" x14ac:dyDescent="0.25">
      <c r="B594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3" spans="2:2" x14ac:dyDescent="0.25">
      <c r="B613" s="1"/>
    </row>
    <row r="614" spans="2:2" x14ac:dyDescent="0.25">
      <c r="B614" s="1"/>
    </row>
    <row r="617" spans="2:2" x14ac:dyDescent="0.25">
      <c r="B617" s="1"/>
    </row>
  </sheetData>
  <sortState xmlns:xlrd2="http://schemas.microsoft.com/office/spreadsheetml/2017/richdata2" ref="B2:I16">
    <sortCondition ref="H1"/>
    <sortCondition ref="D1"/>
  </sortState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_BNZ_Statements">
                <anchor>
                  <from>
                    <xdr:col>0</xdr:col>
                    <xdr:colOff>276225</xdr:colOff>
                    <xdr:row>1</xdr:row>
                    <xdr:rowOff>0</xdr:rowOff>
                  </from>
                  <to>
                    <xdr:col>0</xdr:col>
                    <xdr:colOff>1200150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lect_to_Copy_NAB">
                <anchor>
                  <from>
                    <xdr:col>0</xdr:col>
                    <xdr:colOff>247650</xdr:colOff>
                    <xdr:row>20</xdr:row>
                    <xdr:rowOff>152400</xdr:rowOff>
                  </from>
                  <to>
                    <xdr:col>0</xdr:col>
                    <xdr:colOff>1085850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_Group_BNZ">
                <anchor>
                  <from>
                    <xdr:col>0</xdr:col>
                    <xdr:colOff>295275</xdr:colOff>
                    <xdr:row>7</xdr:row>
                    <xdr:rowOff>9525</xdr:rowOff>
                  </from>
                  <to>
                    <xdr:col>0</xdr:col>
                    <xdr:colOff>1133475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File" altText="Save File">
                <anchor>
                  <from>
                    <xdr:col>0</xdr:col>
                    <xdr:colOff>228600</xdr:colOff>
                    <xdr:row>27</xdr:row>
                    <xdr:rowOff>0</xdr:rowOff>
                  </from>
                  <to>
                    <xdr:col>0</xdr:col>
                    <xdr:colOff>1066800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FectchAlipayWechatPay">
                <anchor>
                  <from>
                    <xdr:col>0</xdr:col>
                    <xdr:colOff>285750</xdr:colOff>
                    <xdr:row>31</xdr:row>
                    <xdr:rowOff>95250</xdr:rowOff>
                  </from>
                  <to>
                    <xdr:col>0</xdr:col>
                    <xdr:colOff>1047750</xdr:colOff>
                    <xdr:row>33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3969E-E523-4BF2-A1EA-354C89032EED}">
  <sheetPr codeName="Sheet4"/>
  <dimension ref="A1:F10"/>
  <sheetViews>
    <sheetView workbookViewId="0">
      <selection activeCell="F13" sqref="F13"/>
    </sheetView>
  </sheetViews>
  <sheetFormatPr defaultRowHeight="15" x14ac:dyDescent="0.25"/>
  <cols>
    <col min="5" max="5" width="18" bestFit="1" customWidth="1"/>
    <col min="6" max="6" width="10.85546875" style="1" bestFit="1" customWidth="1"/>
  </cols>
  <sheetData>
    <row r="1" spans="1:6" x14ac:dyDescent="0.25">
      <c r="A1" s="8" t="s">
        <v>9</v>
      </c>
      <c r="B1" s="8" t="s">
        <v>10</v>
      </c>
      <c r="C1" s="8" t="s">
        <v>11</v>
      </c>
      <c r="D1" s="8" t="s">
        <v>12</v>
      </c>
      <c r="E1" s="8" t="s">
        <v>13</v>
      </c>
      <c r="F1" s="9" t="s">
        <v>14</v>
      </c>
    </row>
    <row r="2" spans="1:6" x14ac:dyDescent="0.25">
      <c r="A2" t="s">
        <v>9</v>
      </c>
      <c r="B2">
        <v>10853074</v>
      </c>
      <c r="C2" t="s">
        <v>17</v>
      </c>
      <c r="D2">
        <v>152.94999999999999</v>
      </c>
      <c r="E2" t="s">
        <v>18</v>
      </c>
      <c r="F2" s="1">
        <f ca="1">NOW()-1</f>
        <v>44390.415074884259</v>
      </c>
    </row>
    <row r="3" spans="1:6" x14ac:dyDescent="0.25">
      <c r="A3" t="s">
        <v>9</v>
      </c>
      <c r="B3">
        <v>11513074</v>
      </c>
      <c r="C3" t="s">
        <v>17</v>
      </c>
      <c r="D3">
        <v>152.94999999999999</v>
      </c>
      <c r="E3" t="s">
        <v>18</v>
      </c>
      <c r="F3" s="1">
        <f t="shared" ref="F3:F6" ca="1" si="0">NOW()-1</f>
        <v>44390.415074884259</v>
      </c>
    </row>
    <row r="4" spans="1:6" x14ac:dyDescent="0.25">
      <c r="A4" t="s">
        <v>9</v>
      </c>
      <c r="B4">
        <v>11613074</v>
      </c>
      <c r="C4" t="s">
        <v>17</v>
      </c>
      <c r="D4">
        <v>76.48</v>
      </c>
      <c r="E4" t="s">
        <v>18</v>
      </c>
      <c r="F4" s="1">
        <f t="shared" ca="1" si="0"/>
        <v>44390.415074884259</v>
      </c>
    </row>
    <row r="5" spans="1:6" x14ac:dyDescent="0.25">
      <c r="A5" t="s">
        <v>9</v>
      </c>
      <c r="B5">
        <v>11713074</v>
      </c>
      <c r="C5" t="s">
        <v>17</v>
      </c>
      <c r="D5">
        <v>152.94999999999999</v>
      </c>
      <c r="E5" t="s">
        <v>18</v>
      </c>
      <c r="F5" s="1">
        <f t="shared" ca="1" si="0"/>
        <v>44390.415074884259</v>
      </c>
    </row>
    <row r="6" spans="1:6" x14ac:dyDescent="0.25">
      <c r="A6" t="s">
        <v>9</v>
      </c>
      <c r="B6">
        <v>11813074</v>
      </c>
      <c r="C6" t="s">
        <v>17</v>
      </c>
      <c r="D6">
        <v>152.94999999999999</v>
      </c>
      <c r="E6" t="s">
        <v>18</v>
      </c>
      <c r="F6" s="1">
        <f t="shared" ca="1" si="0"/>
        <v>44390.415074884259</v>
      </c>
    </row>
    <row r="10" spans="1:6" x14ac:dyDescent="0.25">
      <c r="D10">
        <f>SUM(D2:D9)</f>
        <v>688.28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7C989-23D7-412F-A076-498DD312C010}">
  <sheetPr codeName="Sheet5"/>
  <dimension ref="A1:F11"/>
  <sheetViews>
    <sheetView workbookViewId="0">
      <selection activeCell="D12" sqref="D12"/>
    </sheetView>
  </sheetViews>
  <sheetFormatPr defaultRowHeight="15" x14ac:dyDescent="0.25"/>
  <cols>
    <col min="5" max="5" width="16.140625" bestFit="1" customWidth="1"/>
    <col min="6" max="6" width="15.85546875" style="1" bestFit="1" customWidth="1"/>
  </cols>
  <sheetData>
    <row r="1" spans="1:6" x14ac:dyDescent="0.25">
      <c r="A1" s="8" t="s">
        <v>9</v>
      </c>
      <c r="B1" s="8" t="s">
        <v>10</v>
      </c>
      <c r="C1" s="8" t="s">
        <v>11</v>
      </c>
      <c r="D1" s="8" t="s">
        <v>12</v>
      </c>
      <c r="E1" s="8" t="s">
        <v>13</v>
      </c>
      <c r="F1" s="9" t="s">
        <v>14</v>
      </c>
    </row>
    <row r="2" spans="1:6" x14ac:dyDescent="0.25">
      <c r="A2" t="s">
        <v>9</v>
      </c>
      <c r="B2">
        <v>10853078</v>
      </c>
      <c r="C2" t="s">
        <v>17</v>
      </c>
      <c r="D2">
        <f>-SUMIF('BNZ Rec Template'!N:N,'Merchant Fee'!B2,'BNZ Rec Template'!C:C)</f>
        <v>0</v>
      </c>
      <c r="E2" t="s">
        <v>23</v>
      </c>
      <c r="F2" s="1">
        <f ca="1">NOW()-1</f>
        <v>44390.415074884259</v>
      </c>
    </row>
    <row r="3" spans="1:6" x14ac:dyDescent="0.25">
      <c r="A3" t="s">
        <v>9</v>
      </c>
      <c r="B3">
        <v>11513078</v>
      </c>
      <c r="C3" t="s">
        <v>17</v>
      </c>
      <c r="D3">
        <f>-SUMIF('BNZ Rec Template'!N:N,'Merchant Fee'!B3,'BNZ Rec Template'!C:C)</f>
        <v>0</v>
      </c>
      <c r="E3" t="s">
        <v>23</v>
      </c>
      <c r="F3" s="1">
        <f ca="1">NOW()-1</f>
        <v>44390.415074884259</v>
      </c>
    </row>
    <row r="4" spans="1:6" x14ac:dyDescent="0.25">
      <c r="A4" t="s">
        <v>9</v>
      </c>
      <c r="B4">
        <v>11613078</v>
      </c>
      <c r="C4" t="s">
        <v>17</v>
      </c>
      <c r="D4">
        <f>-SUMIF('BNZ Rec Template'!N:N,'Merchant Fee'!B4,'BNZ Rec Template'!C:C)</f>
        <v>0</v>
      </c>
      <c r="E4" t="s">
        <v>23</v>
      </c>
      <c r="F4" s="1">
        <f ca="1">NOW()-1</f>
        <v>44390.415074884259</v>
      </c>
    </row>
    <row r="5" spans="1:6" x14ac:dyDescent="0.25">
      <c r="A5" t="s">
        <v>9</v>
      </c>
      <c r="B5">
        <v>11713078</v>
      </c>
      <c r="C5" t="s">
        <v>17</v>
      </c>
      <c r="D5">
        <f>-SUMIF('BNZ Rec Template'!N:N,'Merchant Fee'!B5,'BNZ Rec Template'!C:C)</f>
        <v>0</v>
      </c>
      <c r="E5" t="s">
        <v>23</v>
      </c>
      <c r="F5" s="1">
        <f ca="1">NOW()-1</f>
        <v>44390.415074884259</v>
      </c>
    </row>
    <row r="6" spans="1:6" x14ac:dyDescent="0.25">
      <c r="A6" t="s">
        <v>9</v>
      </c>
      <c r="B6">
        <v>11813078</v>
      </c>
      <c r="C6" t="s">
        <v>17</v>
      </c>
      <c r="D6">
        <f>-SUMIF('BNZ Rec Template'!N:N,'Merchant Fee'!B6,'BNZ Rec Template'!C:C)</f>
        <v>0</v>
      </c>
      <c r="E6" t="s">
        <v>23</v>
      </c>
      <c r="F6" s="1">
        <f ca="1">NOW()-1</f>
        <v>44390.415074884259</v>
      </c>
    </row>
    <row r="7" spans="1:6" x14ac:dyDescent="0.25">
      <c r="A7" t="s">
        <v>9</v>
      </c>
      <c r="B7">
        <v>99903078</v>
      </c>
      <c r="C7" t="s">
        <v>17</v>
      </c>
      <c r="D7">
        <f>-SUMIF('BNZ Rec Template'!N:N,'Merchant Fee'!B7,'BNZ Rec Template'!C:C)</f>
        <v>0</v>
      </c>
      <c r="E7" t="s">
        <v>23</v>
      </c>
      <c r="F7" s="1">
        <f ca="1">NOW()-1</f>
        <v>44390.415074884259</v>
      </c>
    </row>
    <row r="11" spans="1:6" x14ac:dyDescent="0.25">
      <c r="D11">
        <f>SUM(D2:D10)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E045B-D2DF-4BA2-A7AE-3BC6C774748F}">
  <sheetPr codeName="Sheet3"/>
  <dimension ref="A1:D14"/>
  <sheetViews>
    <sheetView workbookViewId="0">
      <selection activeCell="B17" sqref="B17"/>
    </sheetView>
  </sheetViews>
  <sheetFormatPr defaultRowHeight="15" x14ac:dyDescent="0.25"/>
  <cols>
    <col min="1" max="1" width="17.5703125" customWidth="1"/>
    <col min="3" max="3" width="20.42578125" bestFit="1" customWidth="1"/>
  </cols>
  <sheetData>
    <row r="1" spans="1:4" x14ac:dyDescent="0.25">
      <c r="A1" t="s">
        <v>16</v>
      </c>
      <c r="B1" t="s">
        <v>15</v>
      </c>
      <c r="C1" t="s">
        <v>7</v>
      </c>
      <c r="D1" t="s">
        <v>8</v>
      </c>
    </row>
    <row r="2" spans="1:4" x14ac:dyDescent="0.25">
      <c r="A2" s="3">
        <v>39980600</v>
      </c>
      <c r="B2" s="4">
        <v>1161</v>
      </c>
      <c r="C2" t="s">
        <v>19</v>
      </c>
      <c r="D2">
        <v>5105</v>
      </c>
    </row>
    <row r="3" spans="1:4" x14ac:dyDescent="0.25">
      <c r="A3" s="3">
        <v>39980900</v>
      </c>
      <c r="B3" s="4">
        <v>1085</v>
      </c>
      <c r="C3" t="s">
        <v>19</v>
      </c>
      <c r="D3">
        <v>5105</v>
      </c>
    </row>
    <row r="4" spans="1:4" x14ac:dyDescent="0.25">
      <c r="A4" s="3">
        <v>41643700</v>
      </c>
      <c r="B4" s="4">
        <v>1181</v>
      </c>
      <c r="C4" t="s">
        <v>19</v>
      </c>
      <c r="D4">
        <v>5105</v>
      </c>
    </row>
    <row r="5" spans="1:4" x14ac:dyDescent="0.25">
      <c r="A5" s="3">
        <v>41643800</v>
      </c>
      <c r="B5" s="4">
        <v>1171</v>
      </c>
      <c r="C5" t="s">
        <v>19</v>
      </c>
      <c r="D5">
        <v>5105</v>
      </c>
    </row>
    <row r="6" spans="1:4" x14ac:dyDescent="0.25">
      <c r="A6" s="3">
        <v>42012600</v>
      </c>
      <c r="B6" s="4">
        <v>1151</v>
      </c>
      <c r="C6" t="s">
        <v>19</v>
      </c>
      <c r="D6">
        <v>5105</v>
      </c>
    </row>
    <row r="7" spans="1:4" x14ac:dyDescent="0.25">
      <c r="A7">
        <v>9847810256</v>
      </c>
      <c r="B7">
        <v>1085</v>
      </c>
      <c r="C7" t="s">
        <v>20</v>
      </c>
      <c r="D7">
        <v>5103</v>
      </c>
    </row>
    <row r="8" spans="1:4" x14ac:dyDescent="0.25">
      <c r="A8">
        <v>9840414536</v>
      </c>
      <c r="B8">
        <v>1171</v>
      </c>
      <c r="C8" t="s">
        <v>20</v>
      </c>
      <c r="D8">
        <v>5103</v>
      </c>
    </row>
    <row r="9" spans="1:4" x14ac:dyDescent="0.25">
      <c r="A9">
        <v>9840353650</v>
      </c>
      <c r="B9">
        <v>1181</v>
      </c>
      <c r="C9" t="s">
        <v>20</v>
      </c>
      <c r="D9">
        <v>5103</v>
      </c>
    </row>
    <row r="10" spans="1:4" x14ac:dyDescent="0.25">
      <c r="A10">
        <v>9847810256</v>
      </c>
      <c r="B10">
        <v>1085</v>
      </c>
      <c r="C10" t="s">
        <v>20</v>
      </c>
      <c r="D10">
        <v>5103</v>
      </c>
    </row>
    <row r="11" spans="1:4" x14ac:dyDescent="0.25">
      <c r="A11">
        <v>9847803020</v>
      </c>
      <c r="B11">
        <v>1161</v>
      </c>
      <c r="C11" t="s">
        <v>20</v>
      </c>
      <c r="D11">
        <v>5103</v>
      </c>
    </row>
    <row r="12" spans="1:4" x14ac:dyDescent="0.25">
      <c r="A12">
        <v>61953041</v>
      </c>
      <c r="B12">
        <v>1171</v>
      </c>
      <c r="C12" t="s">
        <v>21</v>
      </c>
      <c r="D12">
        <v>3078</v>
      </c>
    </row>
    <row r="13" spans="1:4" x14ac:dyDescent="0.25">
      <c r="A13">
        <v>130647548</v>
      </c>
      <c r="B13">
        <v>1085</v>
      </c>
      <c r="C13" t="s">
        <v>21</v>
      </c>
      <c r="D13">
        <v>3078</v>
      </c>
    </row>
    <row r="14" spans="1:4" x14ac:dyDescent="0.25">
      <c r="A14" s="6">
        <v>984781025684</v>
      </c>
      <c r="B14">
        <v>1085</v>
      </c>
      <c r="C14" t="s">
        <v>22</v>
      </c>
      <c r="D14">
        <v>3070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63A17-ADA1-43B1-9AFE-CD2BE5500F13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BNZ Rec Template</vt:lpstr>
      <vt:lpstr>EFTPOS Rental</vt:lpstr>
      <vt:lpstr>Merchant Fee</vt:lpstr>
      <vt:lpstr>Merchants Numbers</vt:lpstr>
      <vt:lpstr>5106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M</cp:lastModifiedBy>
  <dcterms:created xsi:type="dcterms:W3CDTF">2021-01-30T05:11:35Z</dcterms:created>
  <dcterms:modified xsi:type="dcterms:W3CDTF">2021-07-13T23:58:55Z</dcterms:modified>
</cp:coreProperties>
</file>