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fileSharing readOnlyRecommended="1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BANK\Template AU CBA Bank Dump Out\"/>
    </mc:Choice>
  </mc:AlternateContent>
  <xr:revisionPtr revIDLastSave="0" documentId="13_ncr:1_{6FCC21B2-CD2A-4CDA-9454-C683815E57D6}" xr6:coauthVersionLast="45" xr6:coauthVersionMax="46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</sheets>
  <externalReferences>
    <externalReference r:id="rId2"/>
    <externalReference r:id="rId3"/>
  </externalReferences>
  <definedNames>
    <definedName name="_xlnm.Print_Titles" localSheetId="0">Sheet1!$1:$1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" i="1" l="1"/>
  <c r="M2" i="1"/>
  <c r="N2" i="1" s="1"/>
  <c r="G2" i="1"/>
  <c r="E2" i="1"/>
  <c r="P2" i="1" l="1"/>
  <c r="C2" i="1" s="1"/>
  <c r="F2" i="1"/>
</calcChain>
</file>

<file path=xl/sharedStrings.xml><?xml version="1.0" encoding="utf-8"?>
<sst xmlns="http://schemas.openxmlformats.org/spreadsheetml/2006/main" count="19" uniqueCount="17">
  <si>
    <t>GL</t>
  </si>
  <si>
    <t>Acc No</t>
  </si>
  <si>
    <t>GST</t>
  </si>
  <si>
    <t>Inc</t>
  </si>
  <si>
    <t>Narrative</t>
  </si>
  <si>
    <t>na</t>
  </si>
  <si>
    <t>Process date</t>
  </si>
  <si>
    <t>Description</t>
  </si>
  <si>
    <t>Currency Code</t>
  </si>
  <si>
    <t xml:space="preserve"> Debit</t>
  </si>
  <si>
    <t xml:space="preserve"> Credit</t>
  </si>
  <si>
    <t>Store No.</t>
  </si>
  <si>
    <t>Copy Paste Special</t>
  </si>
  <si>
    <t>Type</t>
  </si>
  <si>
    <t>Store No F1</t>
  </si>
  <si>
    <t>Account #</t>
  </si>
  <si>
    <t>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</si>
</sst>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00"/>
  </numFmts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2" fillId="0" borderId="0" xfId="0" applyFont="1"/>
    <xf numFmtId="0" fontId="0" fillId="4" borderId="0" xfId="0" applyFill="1"/>
    <xf numFmtId="0" fontId="0" fillId="3" borderId="0" xfId="0" applyFill="1"/>
    <xf numFmtId="0" fontId="0" fillId="2" borderId="0" xfId="0" applyFill="1"/>
    <xf numFmtId="14" fontId="2" fillId="0" borderId="0" xfId="0" applyNumberFormat="1" applyFont="1"/>
    <xf numFmtId="14" fontId="0" fillId="0" borderId="0" xfId="0" applyNumberFormat="1"/>
    <xf numFmtId="0" fontId="0" fillId="0" borderId="0" xfId="0" applyFill="1"/>
    <xf numFmtId="14" fontId="0" fillId="4" borderId="0" xfId="0" applyNumberFormat="1" applyFill="1"/>
    <xf numFmtId="164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123825</xdr:rowOff>
        </xdr:from>
        <xdr:to>
          <xdr:col>0</xdr:col>
          <xdr:colOff>1095375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CBA Statements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521970</xdr:colOff>
      <xdr:row>4</xdr:row>
      <xdr:rowOff>60960</xdr:rowOff>
    </xdr:from>
    <xdr:to>
      <xdr:col>0</xdr:col>
      <xdr:colOff>883920</xdr:colOff>
      <xdr:row>7</xdr:row>
      <xdr:rowOff>137160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1970" y="685800"/>
          <a:ext cx="361950" cy="54483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0</xdr:col>
      <xdr:colOff>131445</xdr:colOff>
      <xdr:row>8</xdr:row>
      <xdr:rowOff>60959</xdr:rowOff>
    </xdr:from>
    <xdr:to>
      <xdr:col>0</xdr:col>
      <xdr:colOff>1274445</xdr:colOff>
      <xdr:row>12</xdr:row>
      <xdr:rowOff>80010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1445" y="1310639"/>
          <a:ext cx="1143000" cy="6438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/>
            <a:t>Delete Merchant</a:t>
          </a:r>
          <a:r>
            <a:rPr lang="en-AU" sz="1100" baseline="0"/>
            <a:t> Fees &amp; Transfer</a:t>
          </a:r>
          <a:endParaRPr lang="en-AU" sz="1100"/>
        </a:p>
      </xdr:txBody>
    </xdr:sp>
    <xdr:clientData/>
  </xdr:twoCellAnchor>
  <xdr:twoCellAnchor editAs="absolute">
    <xdr:from>
      <xdr:col>0</xdr:col>
      <xdr:colOff>493395</xdr:colOff>
      <xdr:row>13</xdr:row>
      <xdr:rowOff>51435</xdr:rowOff>
    </xdr:from>
    <xdr:to>
      <xdr:col>0</xdr:col>
      <xdr:colOff>855345</xdr:colOff>
      <xdr:row>16</xdr:row>
      <xdr:rowOff>127635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3395" y="2082165"/>
          <a:ext cx="361950" cy="54483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17</xdr:row>
          <xdr:rowOff>66675</xdr:rowOff>
        </xdr:from>
        <xdr:to>
          <xdr:col>0</xdr:col>
          <xdr:colOff>1095375</xdr:colOff>
          <xdr:row>20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this Template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102870</xdr:colOff>
      <xdr:row>33</xdr:row>
      <xdr:rowOff>108585</xdr:rowOff>
    </xdr:from>
    <xdr:to>
      <xdr:col>0</xdr:col>
      <xdr:colOff>1245870</xdr:colOff>
      <xdr:row>37</xdr:row>
      <xdr:rowOff>127636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2870" y="5452110"/>
          <a:ext cx="1143000" cy="6667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/>
            <a:t>Paste</a:t>
          </a:r>
          <a:r>
            <a:rPr lang="en-AU" sz="1100" baseline="0"/>
            <a:t> to Tech 1</a:t>
          </a:r>
          <a:endParaRPr lang="en-AU" sz="1100"/>
        </a:p>
      </xdr:txBody>
    </xdr:sp>
    <xdr:clientData/>
  </xdr:twoCellAnchor>
  <xdr:twoCellAnchor editAs="absolute">
    <xdr:from>
      <xdr:col>0</xdr:col>
      <xdr:colOff>474345</xdr:colOff>
      <xdr:row>21</xdr:row>
      <xdr:rowOff>22861</xdr:rowOff>
    </xdr:from>
    <xdr:to>
      <xdr:col>0</xdr:col>
      <xdr:colOff>836295</xdr:colOff>
      <xdr:row>24</xdr:row>
      <xdr:rowOff>99061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4345" y="3303271"/>
          <a:ext cx="361950" cy="54483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0</xdr:col>
      <xdr:colOff>457200</xdr:colOff>
      <xdr:row>38</xdr:row>
      <xdr:rowOff>89535</xdr:rowOff>
    </xdr:from>
    <xdr:to>
      <xdr:col>0</xdr:col>
      <xdr:colOff>819150</xdr:colOff>
      <xdr:row>42</xdr:row>
      <xdr:rowOff>3810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7200" y="6242685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42</xdr:row>
          <xdr:rowOff>142875</xdr:rowOff>
        </xdr:from>
        <xdr:to>
          <xdr:col>0</xdr:col>
          <xdr:colOff>1066800</xdr:colOff>
          <xdr:row>45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25</xdr:row>
          <xdr:rowOff>66675</xdr:rowOff>
        </xdr:from>
        <xdr:to>
          <xdr:col>0</xdr:col>
          <xdr:colOff>1095375</xdr:colOff>
          <xdr:row>28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to Copy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485775</xdr:colOff>
      <xdr:row>29</xdr:row>
      <xdr:rowOff>19050</xdr:rowOff>
    </xdr:from>
    <xdr:to>
      <xdr:col>0</xdr:col>
      <xdr:colOff>847725</xdr:colOff>
      <xdr:row>32</xdr:row>
      <xdr:rowOff>95250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5775" y="4714875"/>
          <a:ext cx="361950" cy="561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%20Team/BANK/Store%20Numbers%20RMS%20Finance%20On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%20Team/BANK/f1%20account%20numb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 t="str">
            <v>RMS store #</v>
          </cell>
          <cell r="D3" t="str">
            <v>Finance One store #</v>
          </cell>
        </row>
        <row r="4">
          <cell r="C4">
            <v>9990</v>
          </cell>
          <cell r="D4">
            <v>9990</v>
          </cell>
        </row>
        <row r="7">
          <cell r="C7">
            <v>2004</v>
          </cell>
          <cell r="D7" t="str">
            <v>CLOSED2004</v>
          </cell>
        </row>
        <row r="8">
          <cell r="C8">
            <v>2009</v>
          </cell>
          <cell r="D8" t="str">
            <v>CLOSED2009</v>
          </cell>
        </row>
        <row r="9">
          <cell r="C9">
            <v>2105</v>
          </cell>
          <cell r="D9" t="str">
            <v>CLOSED2105</v>
          </cell>
        </row>
        <row r="10">
          <cell r="C10">
            <v>2121</v>
          </cell>
          <cell r="D10" t="str">
            <v>CLOSED2012</v>
          </cell>
        </row>
        <row r="11">
          <cell r="C11">
            <v>2012</v>
          </cell>
          <cell r="D11" t="str">
            <v>CLOSED2012</v>
          </cell>
        </row>
        <row r="12">
          <cell r="C12">
            <v>2133</v>
          </cell>
          <cell r="D12" t="str">
            <v>CLOSED2013</v>
          </cell>
        </row>
        <row r="13">
          <cell r="C13">
            <v>2013</v>
          </cell>
          <cell r="D13" t="str">
            <v>CLOSED2013</v>
          </cell>
        </row>
        <row r="14">
          <cell r="C14">
            <v>2117</v>
          </cell>
          <cell r="D14">
            <v>2117</v>
          </cell>
        </row>
        <row r="15">
          <cell r="C15">
            <v>2118</v>
          </cell>
          <cell r="D15">
            <v>2118</v>
          </cell>
        </row>
        <row r="16">
          <cell r="C16">
            <v>2119</v>
          </cell>
          <cell r="D16">
            <v>2119</v>
          </cell>
        </row>
        <row r="17">
          <cell r="C17">
            <v>2526</v>
          </cell>
          <cell r="D17" t="str">
            <v>CLOSED2052</v>
          </cell>
        </row>
        <row r="18">
          <cell r="C18">
            <v>2554</v>
          </cell>
          <cell r="D18" t="str">
            <v>CLOSED2055</v>
          </cell>
        </row>
        <row r="19">
          <cell r="C19">
            <v>2563</v>
          </cell>
          <cell r="D19" t="str">
            <v>CLOSED2056</v>
          </cell>
        </row>
        <row r="20">
          <cell r="C20">
            <v>2445</v>
          </cell>
          <cell r="D20" t="str">
            <v>CLOSED2044</v>
          </cell>
        </row>
        <row r="21">
          <cell r="C21">
            <v>2207</v>
          </cell>
          <cell r="D21" t="str">
            <v>CLOSED2207</v>
          </cell>
        </row>
        <row r="22">
          <cell r="C22">
            <v>2150</v>
          </cell>
          <cell r="D22" t="str">
            <v>CLOSED2150</v>
          </cell>
        </row>
        <row r="23">
          <cell r="C23">
            <v>2450</v>
          </cell>
          <cell r="D23">
            <v>2450</v>
          </cell>
        </row>
        <row r="24">
          <cell r="C24">
            <v>2126</v>
          </cell>
          <cell r="D24" t="str">
            <v>CLOSED2126</v>
          </cell>
        </row>
        <row r="25">
          <cell r="C25">
            <v>2127</v>
          </cell>
          <cell r="D25" t="str">
            <v>CLOSED2127</v>
          </cell>
        </row>
        <row r="26">
          <cell r="C26">
            <v>2128</v>
          </cell>
          <cell r="D26" t="str">
            <v>CLOSED2128</v>
          </cell>
        </row>
        <row r="27">
          <cell r="C27">
            <v>2129</v>
          </cell>
          <cell r="D27" t="str">
            <v>CLOSED2129</v>
          </cell>
        </row>
        <row r="28">
          <cell r="C28">
            <v>2131</v>
          </cell>
          <cell r="D28" t="str">
            <v>CLOSED2131</v>
          </cell>
        </row>
        <row r="29">
          <cell r="C29">
            <v>2132</v>
          </cell>
          <cell r="D29" t="str">
            <v>CLOSED2132</v>
          </cell>
        </row>
        <row r="30">
          <cell r="C30">
            <v>2137</v>
          </cell>
          <cell r="D30">
            <v>2137</v>
          </cell>
        </row>
        <row r="31">
          <cell r="C31">
            <v>2106</v>
          </cell>
          <cell r="D31" t="str">
            <v>CLOSED2106</v>
          </cell>
        </row>
        <row r="32">
          <cell r="C32">
            <v>2118</v>
          </cell>
          <cell r="D32">
            <v>2118</v>
          </cell>
        </row>
        <row r="33">
          <cell r="C33">
            <v>2140</v>
          </cell>
          <cell r="D33" t="str">
            <v>CLOSED2140</v>
          </cell>
        </row>
        <row r="34">
          <cell r="C34">
            <v>2136</v>
          </cell>
          <cell r="D34">
            <v>2136</v>
          </cell>
        </row>
        <row r="35">
          <cell r="C35">
            <v>2120</v>
          </cell>
          <cell r="D35">
            <v>2120</v>
          </cell>
        </row>
        <row r="36">
          <cell r="C36">
            <v>2232</v>
          </cell>
          <cell r="D36">
            <v>2232</v>
          </cell>
        </row>
        <row r="37">
          <cell r="C37">
            <v>2231</v>
          </cell>
          <cell r="D37">
            <v>2231</v>
          </cell>
        </row>
        <row r="38">
          <cell r="C38">
            <v>2230</v>
          </cell>
          <cell r="D38">
            <v>2230</v>
          </cell>
        </row>
        <row r="39">
          <cell r="C39">
            <v>2233</v>
          </cell>
          <cell r="D39">
            <v>2233</v>
          </cell>
        </row>
        <row r="40">
          <cell r="C40">
            <v>2234</v>
          </cell>
          <cell r="D40">
            <v>2234</v>
          </cell>
        </row>
        <row r="41">
          <cell r="C41">
            <v>2242</v>
          </cell>
          <cell r="D41" t="str">
            <v>CLOSED2242</v>
          </cell>
        </row>
        <row r="42">
          <cell r="C42">
            <v>2245</v>
          </cell>
          <cell r="D42" t="str">
            <v>CLOSED2245</v>
          </cell>
        </row>
        <row r="43">
          <cell r="C43">
            <v>2990</v>
          </cell>
          <cell r="D43">
            <v>2990</v>
          </cell>
        </row>
        <row r="44">
          <cell r="C44">
            <v>2225</v>
          </cell>
          <cell r="D44">
            <v>2225</v>
          </cell>
        </row>
        <row r="45">
          <cell r="C45">
            <v>2226</v>
          </cell>
          <cell r="D45">
            <v>2226</v>
          </cell>
        </row>
        <row r="47">
          <cell r="C47">
            <v>3191</v>
          </cell>
          <cell r="D47">
            <v>3019</v>
          </cell>
        </row>
        <row r="48">
          <cell r="C48">
            <v>3019</v>
          </cell>
          <cell r="D48">
            <v>3019</v>
          </cell>
        </row>
        <row r="49">
          <cell r="C49">
            <v>3284</v>
          </cell>
          <cell r="D49">
            <v>3028</v>
          </cell>
        </row>
        <row r="50">
          <cell r="C50">
            <v>3028</v>
          </cell>
          <cell r="D50">
            <v>3028</v>
          </cell>
        </row>
        <row r="51">
          <cell r="C51">
            <v>3354</v>
          </cell>
          <cell r="D51" t="str">
            <v>CLOSED3035</v>
          </cell>
        </row>
        <row r="52">
          <cell r="C52">
            <v>3343</v>
          </cell>
          <cell r="D52">
            <v>3034</v>
          </cell>
        </row>
        <row r="53">
          <cell r="C53">
            <v>3034</v>
          </cell>
          <cell r="D53">
            <v>3034</v>
          </cell>
        </row>
        <row r="54">
          <cell r="C54">
            <v>3251</v>
          </cell>
          <cell r="D54" t="str">
            <v>CLOSED3025</v>
          </cell>
        </row>
        <row r="55">
          <cell r="C55">
            <v>3025</v>
          </cell>
          <cell r="D55" t="str">
            <v>CLOSED3025</v>
          </cell>
        </row>
        <row r="56">
          <cell r="C56">
            <v>3571</v>
          </cell>
          <cell r="D56" t="str">
            <v>CLOSED3057</v>
          </cell>
        </row>
        <row r="57">
          <cell r="C57">
            <v>3655</v>
          </cell>
          <cell r="D57" t="str">
            <v>CLOSED3065</v>
          </cell>
        </row>
        <row r="58">
          <cell r="C58">
            <v>3635</v>
          </cell>
          <cell r="D58" t="str">
            <v>CLOSED3063</v>
          </cell>
        </row>
        <row r="59">
          <cell r="C59">
            <v>3160</v>
          </cell>
          <cell r="D59" t="str">
            <v>CLOSED3160</v>
          </cell>
        </row>
        <row r="60">
          <cell r="C60">
            <v>3216</v>
          </cell>
          <cell r="D60" t="str">
            <v>CLOSED3216</v>
          </cell>
        </row>
        <row r="61">
          <cell r="C61">
            <v>3249</v>
          </cell>
          <cell r="D61" t="str">
            <v>CLOSED3249</v>
          </cell>
        </row>
        <row r="62">
          <cell r="C62">
            <v>3130</v>
          </cell>
          <cell r="D62" t="str">
            <v>CLOSED3130</v>
          </cell>
        </row>
        <row r="63">
          <cell r="C63">
            <v>3240</v>
          </cell>
          <cell r="D63" t="str">
            <v>CLOSED3240</v>
          </cell>
        </row>
        <row r="64">
          <cell r="C64">
            <v>3135</v>
          </cell>
          <cell r="D64" t="str">
            <v>CLOSED3135</v>
          </cell>
        </row>
        <row r="65">
          <cell r="C65">
            <v>3169</v>
          </cell>
          <cell r="D65" t="str">
            <v>CLOSED3169</v>
          </cell>
        </row>
        <row r="66">
          <cell r="C66">
            <v>3175</v>
          </cell>
          <cell r="D66">
            <v>3175</v>
          </cell>
        </row>
        <row r="67">
          <cell r="C67">
            <v>3213</v>
          </cell>
          <cell r="D67">
            <v>3213</v>
          </cell>
        </row>
        <row r="68">
          <cell r="C68">
            <v>3228</v>
          </cell>
          <cell r="D68">
            <v>3228</v>
          </cell>
        </row>
        <row r="70">
          <cell r="C70">
            <v>4051</v>
          </cell>
          <cell r="D70" t="str">
            <v>CLOSED4005</v>
          </cell>
        </row>
        <row r="71">
          <cell r="C71">
            <v>4361</v>
          </cell>
          <cell r="D71" t="str">
            <v>CLOSED4036</v>
          </cell>
        </row>
        <row r="72">
          <cell r="C72">
            <v>4404</v>
          </cell>
          <cell r="D72" t="str">
            <v>CLOSED4040</v>
          </cell>
        </row>
        <row r="73">
          <cell r="C73">
            <v>4081</v>
          </cell>
          <cell r="D73" t="str">
            <v>CLOSED4008</v>
          </cell>
        </row>
        <row r="74">
          <cell r="C74">
            <v>4071</v>
          </cell>
          <cell r="D74" t="str">
            <v>CLOSED4007</v>
          </cell>
        </row>
        <row r="75">
          <cell r="C75">
            <v>4685</v>
          </cell>
          <cell r="D75" t="str">
            <v>CLOSED4068</v>
          </cell>
        </row>
        <row r="76">
          <cell r="C76">
            <v>4695</v>
          </cell>
          <cell r="D76" t="str">
            <v>CLOSED4069</v>
          </cell>
        </row>
        <row r="77">
          <cell r="C77">
            <v>4715</v>
          </cell>
          <cell r="D77" t="str">
            <v>CLOSED4071</v>
          </cell>
        </row>
        <row r="78">
          <cell r="C78">
            <v>4725</v>
          </cell>
          <cell r="D78" t="str">
            <v>CLOSED4072</v>
          </cell>
        </row>
        <row r="79">
          <cell r="C79">
            <v>4736</v>
          </cell>
          <cell r="D79" t="str">
            <v>CLOSED4073</v>
          </cell>
        </row>
        <row r="80">
          <cell r="C80">
            <v>4085</v>
          </cell>
          <cell r="D80">
            <v>4085</v>
          </cell>
        </row>
        <row r="81">
          <cell r="C81">
            <v>4082</v>
          </cell>
          <cell r="D81" t="str">
            <v>CLOSED4082</v>
          </cell>
        </row>
        <row r="82">
          <cell r="C82">
            <v>4100</v>
          </cell>
          <cell r="D82">
            <v>4100</v>
          </cell>
        </row>
        <row r="83">
          <cell r="C83">
            <v>4145</v>
          </cell>
          <cell r="D83" t="str">
            <v>CLOSED4145</v>
          </cell>
        </row>
        <row r="84">
          <cell r="C84">
            <v>4146</v>
          </cell>
          <cell r="D84" t="str">
            <v>CLOSED4146</v>
          </cell>
        </row>
        <row r="85">
          <cell r="C85">
            <v>4147</v>
          </cell>
          <cell r="D85" t="str">
            <v>CLOSED4147</v>
          </cell>
        </row>
        <row r="86">
          <cell r="C86">
            <v>4239</v>
          </cell>
          <cell r="D86" t="str">
            <v>CLOSED4239</v>
          </cell>
        </row>
        <row r="87">
          <cell r="C87">
            <v>4114</v>
          </cell>
          <cell r="D87" t="str">
            <v>CLOSED4114</v>
          </cell>
        </row>
        <row r="88">
          <cell r="C88">
            <v>4024</v>
          </cell>
          <cell r="D88">
            <v>4024</v>
          </cell>
        </row>
        <row r="89">
          <cell r="C89">
            <v>4149</v>
          </cell>
          <cell r="D89" t="str">
            <v>CLOSED4149</v>
          </cell>
        </row>
        <row r="90">
          <cell r="C90">
            <v>4115</v>
          </cell>
          <cell r="D90">
            <v>4115</v>
          </cell>
        </row>
        <row r="91">
          <cell r="C91">
            <v>4170</v>
          </cell>
          <cell r="D91">
            <v>4170</v>
          </cell>
        </row>
        <row r="92">
          <cell r="C92">
            <v>4770</v>
          </cell>
          <cell r="D92">
            <v>4770</v>
          </cell>
        </row>
        <row r="93">
          <cell r="C93">
            <v>4244</v>
          </cell>
          <cell r="D93">
            <v>4244</v>
          </cell>
        </row>
        <row r="94">
          <cell r="C94">
            <v>4235</v>
          </cell>
          <cell r="D94">
            <v>4235</v>
          </cell>
        </row>
        <row r="95">
          <cell r="C95">
            <v>4775</v>
          </cell>
          <cell r="D95">
            <v>4775</v>
          </cell>
        </row>
        <row r="96">
          <cell r="C96">
            <v>4540</v>
          </cell>
          <cell r="D96">
            <v>4530</v>
          </cell>
        </row>
        <row r="97">
          <cell r="C97">
            <v>4157</v>
          </cell>
          <cell r="D97" t="str">
            <v>CLOSED4157</v>
          </cell>
        </row>
        <row r="98">
          <cell r="C98">
            <v>4155</v>
          </cell>
          <cell r="D98" t="str">
            <v>CLOSED4155</v>
          </cell>
        </row>
        <row r="99">
          <cell r="C99">
            <v>4530</v>
          </cell>
          <cell r="D99">
            <v>4530</v>
          </cell>
        </row>
        <row r="100">
          <cell r="C100">
            <v>4200</v>
          </cell>
          <cell r="D100" t="str">
            <v>CLOSED4200</v>
          </cell>
        </row>
        <row r="101">
          <cell r="C101">
            <v>4201</v>
          </cell>
          <cell r="D101" t="str">
            <v>CLOSED4201</v>
          </cell>
        </row>
        <row r="102">
          <cell r="C102">
            <v>4203</v>
          </cell>
          <cell r="D102" t="str">
            <v>CLOSED4203</v>
          </cell>
        </row>
        <row r="103">
          <cell r="C103">
            <v>4122</v>
          </cell>
          <cell r="D103">
            <v>4122</v>
          </cell>
        </row>
        <row r="104">
          <cell r="C104">
            <v>4101</v>
          </cell>
          <cell r="D104">
            <v>4101</v>
          </cell>
        </row>
        <row r="105">
          <cell r="C105">
            <v>4102</v>
          </cell>
          <cell r="D105">
            <v>4102</v>
          </cell>
        </row>
        <row r="106">
          <cell r="C106">
            <v>4103</v>
          </cell>
          <cell r="D106">
            <v>4103</v>
          </cell>
        </row>
        <row r="107">
          <cell r="C107">
            <v>4104</v>
          </cell>
          <cell r="D107">
            <v>4104</v>
          </cell>
        </row>
        <row r="108">
          <cell r="C108">
            <v>4106</v>
          </cell>
          <cell r="D108">
            <v>4106</v>
          </cell>
        </row>
        <row r="109">
          <cell r="C109">
            <v>4107</v>
          </cell>
          <cell r="D109">
            <v>4107</v>
          </cell>
        </row>
        <row r="110">
          <cell r="C110">
            <v>4108</v>
          </cell>
          <cell r="D110">
            <v>4108</v>
          </cell>
        </row>
        <row r="111">
          <cell r="C111">
            <v>4109</v>
          </cell>
          <cell r="D111">
            <v>4109</v>
          </cell>
        </row>
        <row r="112">
          <cell r="C112">
            <v>4110</v>
          </cell>
          <cell r="D112">
            <v>4110</v>
          </cell>
        </row>
        <row r="113">
          <cell r="C113">
            <v>4076</v>
          </cell>
          <cell r="D113">
            <v>4995</v>
          </cell>
        </row>
        <row r="114">
          <cell r="C114">
            <v>4148</v>
          </cell>
          <cell r="D114">
            <v>4995</v>
          </cell>
        </row>
        <row r="115">
          <cell r="C115">
            <v>4995</v>
          </cell>
          <cell r="D115">
            <v>4995</v>
          </cell>
        </row>
        <row r="116">
          <cell r="C116">
            <v>4250</v>
          </cell>
          <cell r="D116">
            <v>4250</v>
          </cell>
        </row>
        <row r="117">
          <cell r="C117">
            <v>4225</v>
          </cell>
          <cell r="D117">
            <v>4225</v>
          </cell>
        </row>
        <row r="118">
          <cell r="C118">
            <v>4226</v>
          </cell>
          <cell r="D118">
            <v>4226</v>
          </cell>
        </row>
        <row r="120">
          <cell r="C120">
            <v>5531</v>
          </cell>
          <cell r="D120" t="str">
            <v>CLOSED5053</v>
          </cell>
        </row>
        <row r="121">
          <cell r="C121">
            <v>5053</v>
          </cell>
          <cell r="D121">
            <v>5053</v>
          </cell>
        </row>
        <row r="122">
          <cell r="C122">
            <v>5192</v>
          </cell>
          <cell r="D122" t="str">
            <v>CLOSED5192</v>
          </cell>
        </row>
        <row r="124">
          <cell r="C124">
            <v>6165</v>
          </cell>
          <cell r="D124" t="str">
            <v>CLOSED6165</v>
          </cell>
        </row>
        <row r="125">
          <cell r="C125">
            <v>6261</v>
          </cell>
          <cell r="D125">
            <v>6026</v>
          </cell>
        </row>
        <row r="126">
          <cell r="C126">
            <v>6026</v>
          </cell>
          <cell r="D126">
            <v>6026</v>
          </cell>
        </row>
        <row r="127">
          <cell r="C127">
            <v>6756</v>
          </cell>
          <cell r="D127" t="str">
            <v>CLOSED6075</v>
          </cell>
        </row>
        <row r="128">
          <cell r="C128">
            <v>6077</v>
          </cell>
          <cell r="D128" t="str">
            <v>CLOSED6077</v>
          </cell>
        </row>
        <row r="129">
          <cell r="C129">
            <v>6045</v>
          </cell>
          <cell r="D129" t="str">
            <v>CLOSED6045</v>
          </cell>
        </row>
        <row r="130">
          <cell r="C130">
            <v>6087</v>
          </cell>
          <cell r="D130">
            <v>6087</v>
          </cell>
        </row>
        <row r="131">
          <cell r="C131">
            <v>6089</v>
          </cell>
          <cell r="D131">
            <v>6089</v>
          </cell>
        </row>
        <row r="132">
          <cell r="C132">
            <v>6176</v>
          </cell>
          <cell r="D132">
            <v>6176</v>
          </cell>
        </row>
        <row r="133">
          <cell r="C133">
            <v>6220</v>
          </cell>
          <cell r="D133">
            <v>6220</v>
          </cell>
        </row>
        <row r="135">
          <cell r="C135">
            <v>7641</v>
          </cell>
          <cell r="D135">
            <v>7064</v>
          </cell>
        </row>
        <row r="136">
          <cell r="C136">
            <v>7064</v>
          </cell>
          <cell r="D136">
            <v>7064</v>
          </cell>
        </row>
        <row r="137">
          <cell r="C137">
            <v>7084</v>
          </cell>
          <cell r="D137" t="str">
            <v>CLOSED7084</v>
          </cell>
        </row>
        <row r="138">
          <cell r="C138">
            <v>7078</v>
          </cell>
          <cell r="D138">
            <v>7078</v>
          </cell>
        </row>
        <row r="139">
          <cell r="C139">
            <v>7079</v>
          </cell>
          <cell r="D139">
            <v>7079</v>
          </cell>
        </row>
        <row r="143">
          <cell r="C143">
            <v>8061</v>
          </cell>
          <cell r="D143">
            <v>8006</v>
          </cell>
        </row>
        <row r="144">
          <cell r="C144">
            <v>8006</v>
          </cell>
          <cell r="D144">
            <v>8006</v>
          </cell>
        </row>
        <row r="145">
          <cell r="C145">
            <v>8015</v>
          </cell>
          <cell r="D145" t="str">
            <v>CLOSED8190</v>
          </cell>
        </row>
        <row r="146">
          <cell r="C146">
            <v>8305</v>
          </cell>
          <cell r="D146">
            <v>8030</v>
          </cell>
        </row>
        <row r="147">
          <cell r="C147">
            <v>8030</v>
          </cell>
          <cell r="D147">
            <v>8030</v>
          </cell>
        </row>
        <row r="148">
          <cell r="C148">
            <v>8188</v>
          </cell>
          <cell r="D148">
            <v>8188</v>
          </cell>
        </row>
        <row r="149">
          <cell r="C149">
            <v>8046</v>
          </cell>
          <cell r="D149" t="str">
            <v>CLOSED8046</v>
          </cell>
        </row>
        <row r="150">
          <cell r="C150">
            <v>8190</v>
          </cell>
          <cell r="D150">
            <v>8190</v>
          </cell>
        </row>
        <row r="151">
          <cell r="C151">
            <v>8196</v>
          </cell>
          <cell r="D151" t="str">
            <v>CLOSED8196</v>
          </cell>
        </row>
        <row r="152">
          <cell r="C152">
            <v>8185</v>
          </cell>
          <cell r="D152">
            <v>8185</v>
          </cell>
        </row>
        <row r="155">
          <cell r="C155">
            <v>1002</v>
          </cell>
          <cell r="D155" t="str">
            <v>CLOSED1002</v>
          </cell>
        </row>
        <row r="156">
          <cell r="C156">
            <v>1003</v>
          </cell>
          <cell r="D156" t="str">
            <v>CLOSED1003</v>
          </cell>
        </row>
        <row r="157">
          <cell r="C157">
            <v>1038</v>
          </cell>
          <cell r="D157" t="str">
            <v>CLOSED1038</v>
          </cell>
        </row>
        <row r="158">
          <cell r="C158">
            <v>1041</v>
          </cell>
          <cell r="D158" t="str">
            <v>CLOSED1041</v>
          </cell>
        </row>
        <row r="159">
          <cell r="C159">
            <v>1075</v>
          </cell>
          <cell r="D159" t="str">
            <v>CLOSED1075</v>
          </cell>
        </row>
        <row r="160">
          <cell r="C160">
            <v>1086</v>
          </cell>
          <cell r="D160" t="str">
            <v>CLOSED1086</v>
          </cell>
        </row>
        <row r="161">
          <cell r="C161">
            <v>1093</v>
          </cell>
          <cell r="D161" t="str">
            <v>CLOSED1093</v>
          </cell>
        </row>
        <row r="162">
          <cell r="C162">
            <v>1149</v>
          </cell>
          <cell r="D162" t="str">
            <v>CLOSED1149</v>
          </cell>
        </row>
        <row r="163">
          <cell r="C163">
            <v>1210</v>
          </cell>
          <cell r="D163" t="str">
            <v>CLOSED1210</v>
          </cell>
        </row>
        <row r="164">
          <cell r="C164">
            <v>1010</v>
          </cell>
          <cell r="D164" t="str">
            <v>CLOSED1010</v>
          </cell>
        </row>
        <row r="165">
          <cell r="C165">
            <v>1199</v>
          </cell>
          <cell r="D165" t="str">
            <v>CLOSED1199</v>
          </cell>
        </row>
        <row r="166">
          <cell r="C166">
            <v>1093</v>
          </cell>
          <cell r="D166" t="str">
            <v>CLOSED1093</v>
          </cell>
        </row>
        <row r="167">
          <cell r="C167">
            <v>1161</v>
          </cell>
          <cell r="D167">
            <v>1161</v>
          </cell>
        </row>
        <row r="168">
          <cell r="C168">
            <v>1171</v>
          </cell>
          <cell r="D168">
            <v>1171</v>
          </cell>
        </row>
        <row r="169">
          <cell r="C169">
            <v>1181</v>
          </cell>
          <cell r="D169">
            <v>1181</v>
          </cell>
        </row>
        <row r="170">
          <cell r="C170">
            <v>1151</v>
          </cell>
          <cell r="D170">
            <v>1151</v>
          </cell>
        </row>
        <row r="171">
          <cell r="C171">
            <v>1085</v>
          </cell>
          <cell r="D171">
            <v>1085</v>
          </cell>
        </row>
        <row r="172">
          <cell r="C172">
            <v>1085</v>
          </cell>
          <cell r="D172">
            <v>1085</v>
          </cell>
        </row>
        <row r="175">
          <cell r="C175">
            <v>9991</v>
          </cell>
          <cell r="D175">
            <v>9991</v>
          </cell>
        </row>
        <row r="176">
          <cell r="C176">
            <v>9993</v>
          </cell>
          <cell r="D176">
            <v>9993</v>
          </cell>
        </row>
        <row r="177">
          <cell r="C177">
            <v>9994</v>
          </cell>
          <cell r="D177">
            <v>9994</v>
          </cell>
        </row>
        <row r="178">
          <cell r="C178">
            <v>9995</v>
          </cell>
          <cell r="D178">
            <v>9995</v>
          </cell>
        </row>
        <row r="179">
          <cell r="C179">
            <v>9996</v>
          </cell>
          <cell r="D179">
            <v>9996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1 account numbers"/>
    </sheetNames>
    <sheetDataSet>
      <sheetData sheetId="0">
        <row r="2">
          <cell r="B2" t="str">
            <v>F1 Accounts</v>
          </cell>
        </row>
        <row r="4">
          <cell r="A4" t="str">
            <v>Cash</v>
          </cell>
          <cell r="B4">
            <v>5101</v>
          </cell>
        </row>
        <row r="5">
          <cell r="A5" t="str">
            <v>EFT</v>
          </cell>
          <cell r="B5">
            <v>5105</v>
          </cell>
        </row>
        <row r="6">
          <cell r="A6" t="str">
            <v>AMEX GR</v>
          </cell>
          <cell r="B6">
            <v>5103</v>
          </cell>
        </row>
        <row r="7">
          <cell r="A7" t="str">
            <v>Diners</v>
          </cell>
          <cell r="B7">
            <v>5104</v>
          </cell>
        </row>
        <row r="8">
          <cell r="A8" t="str">
            <v>Alipay</v>
          </cell>
          <cell r="B8">
            <v>5106</v>
          </cell>
        </row>
        <row r="9">
          <cell r="A9" t="str">
            <v>Pulse International</v>
          </cell>
          <cell r="B9">
            <v>3078</v>
          </cell>
        </row>
        <row r="10">
          <cell r="A10" t="str">
            <v>FX</v>
          </cell>
          <cell r="B10">
            <v>5108</v>
          </cell>
        </row>
        <row r="11">
          <cell r="A11" t="str">
            <v>BYBIT</v>
          </cell>
          <cell r="B11">
            <v>5104</v>
          </cell>
        </row>
        <row r="12">
          <cell r="A12" t="str">
            <v>Float</v>
          </cell>
          <cell r="B12">
            <v>5001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62"/>
  <sheetViews>
    <sheetView tabSelected="1" zoomScaleNormal="100" workbookViewId="0">
      <selection activeCell="B1" sqref="B1"/>
    </sheetView>
  </sheetViews>
  <sheetFormatPr defaultRowHeight="12.75" x14ac:dyDescent="0.2"/>
  <cols>
    <col min="1" max="1" width="21.28515625" customWidth="1"/>
    <col min="2" max="2" width="3.5703125" bestFit="1" customWidth="1"/>
    <col min="3" max="3" width="9" bestFit="1" customWidth="1"/>
    <col min="4" max="4" width="4.85546875" bestFit="1" customWidth="1"/>
    <col min="5" max="5" width="3.7109375" bestFit="1" customWidth="1"/>
    <col min="6" max="6" width="11.5703125" bestFit="1" customWidth="1"/>
    <col min="7" max="7" width="9.28515625" style="6" bestFit="1" customWidth="1"/>
    <col min="8" max="8" width="12" style="6" bestFit="1" customWidth="1"/>
    <col min="9" max="9" width="10.28515625" bestFit="1" customWidth="1"/>
    <col min="10" max="10" width="13.42578125" bestFit="1" customWidth="1"/>
    <col min="11" max="11" width="5.85546875" bestFit="1" customWidth="1"/>
    <col min="12" max="12" width="6.42578125" bestFit="1" customWidth="1"/>
    <col min="13" max="13" width="9.42578125" bestFit="1" customWidth="1"/>
    <col min="14" max="14" width="18.85546875" bestFit="1" customWidth="1"/>
    <col min="15" max="15" width="5.42578125" bestFit="1" customWidth="1"/>
    <col min="16" max="16" width="11.5703125" bestFit="1" customWidth="1"/>
    <col min="17" max="17" width="9.85546875" bestFit="1" customWidth="1"/>
  </cols>
  <sheetData>
    <row r="1" spans="2:18" s="1" customFormat="1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5" t="s">
        <v>4</v>
      </c>
      <c r="H1" s="8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</row>
    <row r="2" spans="2:18" x14ac:dyDescent="0.2">
      <c r="B2" t="s">
        <v>0</v>
      </c>
      <c r="C2" t="str">
        <f>IF(E2&gt;0,P2&amp;Q2,"99903010")</f>
        <v>99903010</v>
      </c>
      <c r="D2" t="s">
        <v>5</v>
      </c>
      <c r="E2">
        <f>IF(L2="",-K2,L2)</f>
        <v>0</v>
      </c>
      <c r="F2" t="str">
        <f>IF(E2&gt;0, "Deposit CBA","Account Fee")</f>
        <v>Account Fee</v>
      </c>
      <c r="G2" s="6">
        <f>H2</f>
        <v>0</v>
      </c>
      <c r="M2" s="3" t="str">
        <f t="shared" ref="M2" si="0">RIGHT(LEFT(I2,14),5)</f>
        <v/>
      </c>
      <c r="N2" t="str">
        <f>IFERROR(1*M2,"")</f>
        <v/>
      </c>
      <c r="O2" t="s">
        <v>16</v>
      </c>
      <c r="P2" s="4" t="str">
        <f>IFERROR(VLOOKUP(N2,[1]Sheet1!$C$1:$D$65536,2,0),"")</f>
        <v/>
      </c>
      <c r="Q2" s="4">
        <f>VLOOKUP(O2,[2]Sheet1!$A$1:$B$65536,2,0)</f>
        <v>5105</v>
      </c>
    </row>
    <row r="3" spans="2:18" x14ac:dyDescent="0.2">
      <c r="L3" s="7"/>
      <c r="M3" s="7"/>
      <c r="N3" s="7"/>
      <c r="O3" s="7"/>
      <c r="P3" s="7"/>
      <c r="Q3" s="7"/>
      <c r="R3" s="7"/>
    </row>
    <row r="4" spans="2:18" x14ac:dyDescent="0.2">
      <c r="L4" s="7"/>
      <c r="M4" s="7"/>
      <c r="N4" s="7"/>
      <c r="O4" s="7"/>
      <c r="P4" s="7"/>
      <c r="Q4" s="7"/>
      <c r="R4" s="7"/>
    </row>
    <row r="5" spans="2:18" x14ac:dyDescent="0.2">
      <c r="L5" s="7"/>
      <c r="M5" s="7"/>
      <c r="N5" s="7"/>
      <c r="O5" s="7"/>
      <c r="P5" s="7"/>
      <c r="Q5" s="7"/>
      <c r="R5" s="7"/>
    </row>
    <row r="6" spans="2:18" x14ac:dyDescent="0.2">
      <c r="L6" s="7"/>
      <c r="M6" s="7"/>
      <c r="N6" s="7"/>
      <c r="O6" s="7"/>
      <c r="P6" s="7"/>
      <c r="Q6" s="7"/>
      <c r="R6" s="7"/>
    </row>
    <row r="7" spans="2:18" x14ac:dyDescent="0.2">
      <c r="L7" s="7"/>
      <c r="M7" s="7"/>
      <c r="N7" s="7"/>
      <c r="O7" s="7"/>
      <c r="P7" s="7"/>
      <c r="Q7" s="7"/>
      <c r="R7" s="7"/>
    </row>
    <row r="8" spans="2:18" x14ac:dyDescent="0.2">
      <c r="L8" s="7"/>
      <c r="M8" s="7"/>
      <c r="N8" s="7"/>
      <c r="O8" s="7"/>
      <c r="P8" s="7"/>
      <c r="Q8" s="7"/>
      <c r="R8" s="7"/>
    </row>
    <row r="9" spans="2:18" x14ac:dyDescent="0.2">
      <c r="L9" s="7"/>
      <c r="M9" s="7"/>
      <c r="N9" s="7"/>
      <c r="O9" s="7"/>
      <c r="P9" s="7"/>
      <c r="Q9" s="7"/>
      <c r="R9" s="7"/>
    </row>
    <row r="10" spans="2:18" x14ac:dyDescent="0.2">
      <c r="L10" s="7"/>
      <c r="M10" s="7"/>
      <c r="N10" s="7"/>
      <c r="O10" s="7"/>
      <c r="P10" s="7"/>
      <c r="Q10" s="7"/>
      <c r="R10" s="7"/>
    </row>
    <row r="11" spans="2:18" x14ac:dyDescent="0.2">
      <c r="L11" s="7"/>
      <c r="M11" s="7"/>
      <c r="N11" s="7"/>
      <c r="O11" s="7"/>
      <c r="P11" s="7"/>
      <c r="Q11" s="7"/>
      <c r="R11" s="7"/>
    </row>
    <row r="12" spans="2:18" x14ac:dyDescent="0.2">
      <c r="L12" s="7"/>
      <c r="M12" s="7"/>
      <c r="N12" s="7"/>
      <c r="O12" s="7"/>
      <c r="P12" s="7"/>
      <c r="Q12" s="7"/>
      <c r="R12" s="7"/>
    </row>
    <row r="13" spans="2:18" x14ac:dyDescent="0.2">
      <c r="L13" s="7"/>
      <c r="M13" s="7"/>
      <c r="N13" s="7"/>
      <c r="O13" s="7"/>
      <c r="P13" s="7"/>
      <c r="Q13" s="7"/>
      <c r="R13" s="7"/>
    </row>
    <row r="14" spans="2:18" x14ac:dyDescent="0.2">
      <c r="L14" s="7"/>
      <c r="M14" s="7"/>
      <c r="N14" s="7"/>
      <c r="O14" s="7"/>
      <c r="P14" s="7"/>
      <c r="Q14" s="7"/>
      <c r="R14" s="7"/>
    </row>
    <row r="15" spans="2:18" x14ac:dyDescent="0.2">
      <c r="E15" s="9"/>
      <c r="L15" s="7"/>
      <c r="M15" s="7"/>
      <c r="N15" s="7"/>
      <c r="O15" s="7"/>
      <c r="P15" s="7"/>
      <c r="Q15" s="7"/>
      <c r="R15" s="7"/>
    </row>
    <row r="16" spans="2:18" x14ac:dyDescent="0.2">
      <c r="L16" s="7"/>
      <c r="M16" s="7"/>
      <c r="N16" s="7"/>
      <c r="O16" s="7"/>
      <c r="P16" s="7"/>
      <c r="Q16" s="7"/>
      <c r="R16" s="7"/>
    </row>
    <row r="17" spans="12:18" x14ac:dyDescent="0.2">
      <c r="L17" s="7"/>
      <c r="M17" s="7"/>
      <c r="N17" s="7"/>
      <c r="O17" s="7"/>
      <c r="P17" s="7"/>
      <c r="Q17" s="7"/>
      <c r="R17" s="7"/>
    </row>
    <row r="18" spans="12:18" x14ac:dyDescent="0.2">
      <c r="L18" s="7"/>
      <c r="M18" s="7"/>
      <c r="N18" s="7"/>
      <c r="O18" s="7"/>
      <c r="P18" s="7"/>
      <c r="Q18" s="7"/>
      <c r="R18" s="7"/>
    </row>
    <row r="19" spans="12:18" x14ac:dyDescent="0.2">
      <c r="L19" s="7"/>
      <c r="M19" s="7"/>
      <c r="N19" s="7"/>
      <c r="O19" s="7"/>
      <c r="P19" s="7"/>
      <c r="Q19" s="7"/>
      <c r="R19" s="7"/>
    </row>
    <row r="20" spans="12:18" x14ac:dyDescent="0.2">
      <c r="L20" s="7"/>
      <c r="M20" s="7"/>
      <c r="N20" s="7"/>
      <c r="O20" s="7"/>
      <c r="P20" s="7"/>
      <c r="Q20" s="7"/>
      <c r="R20" s="7"/>
    </row>
    <row r="21" spans="12:18" x14ac:dyDescent="0.2">
      <c r="L21" s="7"/>
      <c r="M21" s="7"/>
      <c r="N21" s="7"/>
      <c r="O21" s="7"/>
      <c r="P21" s="7"/>
      <c r="Q21" s="7"/>
      <c r="R21" s="7"/>
    </row>
    <row r="22" spans="12:18" x14ac:dyDescent="0.2">
      <c r="L22" s="7"/>
      <c r="M22" s="7"/>
      <c r="N22" s="7"/>
      <c r="O22" s="7"/>
      <c r="P22" s="7"/>
      <c r="Q22" s="7"/>
      <c r="R22" s="7"/>
    </row>
    <row r="23" spans="12:18" x14ac:dyDescent="0.2">
      <c r="L23" s="7"/>
      <c r="M23" s="7"/>
      <c r="N23" s="7"/>
      <c r="O23" s="7"/>
      <c r="P23" s="7"/>
      <c r="Q23" s="7"/>
      <c r="R23" s="7"/>
    </row>
    <row r="24" spans="12:18" x14ac:dyDescent="0.2">
      <c r="L24" s="7"/>
      <c r="M24" s="7"/>
      <c r="N24" s="7"/>
      <c r="O24" s="7"/>
      <c r="P24" s="7"/>
      <c r="Q24" s="7"/>
      <c r="R24" s="7"/>
    </row>
    <row r="25" spans="12:18" x14ac:dyDescent="0.2">
      <c r="L25" s="7"/>
      <c r="M25" s="7"/>
      <c r="N25" s="7"/>
      <c r="O25" s="7"/>
      <c r="P25" s="7"/>
      <c r="Q25" s="7"/>
      <c r="R25" s="7"/>
    </row>
    <row r="26" spans="12:18" x14ac:dyDescent="0.2">
      <c r="L26" s="7"/>
      <c r="M26" s="7"/>
      <c r="N26" s="7"/>
      <c r="O26" s="7"/>
      <c r="P26" s="7"/>
      <c r="Q26" s="7"/>
      <c r="R26" s="7"/>
    </row>
    <row r="27" spans="12:18" x14ac:dyDescent="0.2">
      <c r="L27" s="7"/>
      <c r="M27" s="7"/>
      <c r="N27" s="7"/>
      <c r="O27" s="7"/>
      <c r="P27" s="7"/>
      <c r="Q27" s="7"/>
      <c r="R27" s="7"/>
    </row>
    <row r="28" spans="12:18" x14ac:dyDescent="0.2">
      <c r="L28" s="7"/>
      <c r="M28" s="7"/>
      <c r="N28" s="7"/>
      <c r="O28" s="7"/>
      <c r="P28" s="7"/>
      <c r="Q28" s="7"/>
    </row>
    <row r="29" spans="12:18" x14ac:dyDescent="0.2">
      <c r="L29" s="7"/>
      <c r="M29" s="7"/>
      <c r="N29" s="7"/>
      <c r="O29" s="7"/>
      <c r="P29" s="7"/>
      <c r="Q29" s="7"/>
    </row>
    <row r="30" spans="12:18" x14ac:dyDescent="0.2">
      <c r="L30" s="7"/>
      <c r="M30" s="7"/>
      <c r="N30" s="7"/>
      <c r="O30" s="7"/>
      <c r="P30" s="7"/>
      <c r="Q30" s="7"/>
    </row>
    <row r="31" spans="12:18" x14ac:dyDescent="0.2">
      <c r="L31" s="7"/>
      <c r="M31" s="7"/>
      <c r="N31" s="7"/>
      <c r="O31" s="7"/>
      <c r="P31" s="7"/>
      <c r="Q31" s="7"/>
    </row>
    <row r="32" spans="12:18" x14ac:dyDescent="0.2">
      <c r="L32" s="7"/>
      <c r="M32" s="7"/>
      <c r="N32" s="7"/>
      <c r="O32" s="7"/>
      <c r="P32" s="7"/>
      <c r="Q32" s="7"/>
    </row>
    <row r="33" spans="12:17" x14ac:dyDescent="0.2">
      <c r="L33" s="7"/>
      <c r="M33" s="7"/>
      <c r="N33" s="7"/>
      <c r="O33" s="7"/>
      <c r="P33" s="7"/>
      <c r="Q33" s="7"/>
    </row>
    <row r="34" spans="12:17" x14ac:dyDescent="0.2">
      <c r="L34" s="7"/>
      <c r="M34" s="7"/>
      <c r="N34" s="7"/>
      <c r="O34" s="7"/>
      <c r="P34" s="7"/>
      <c r="Q34" s="7"/>
    </row>
    <row r="35" spans="12:17" x14ac:dyDescent="0.2">
      <c r="L35" s="7"/>
      <c r="M35" s="7"/>
      <c r="N35" s="7"/>
      <c r="O35" s="7"/>
      <c r="P35" s="7"/>
      <c r="Q35" s="7"/>
    </row>
    <row r="36" spans="12:17" x14ac:dyDescent="0.2">
      <c r="L36" s="7"/>
      <c r="M36" s="7"/>
      <c r="N36" s="7"/>
      <c r="O36" s="7"/>
      <c r="P36" s="7"/>
      <c r="Q36" s="7"/>
    </row>
    <row r="37" spans="12:17" x14ac:dyDescent="0.2">
      <c r="L37" s="7"/>
      <c r="M37" s="7"/>
      <c r="N37" s="7"/>
      <c r="O37" s="7"/>
      <c r="P37" s="7"/>
      <c r="Q37" s="7"/>
    </row>
    <row r="38" spans="12:17" x14ac:dyDescent="0.2">
      <c r="L38" s="7"/>
      <c r="M38" s="7"/>
      <c r="N38" s="7"/>
      <c r="O38" s="7"/>
      <c r="P38" s="7"/>
      <c r="Q38" s="7"/>
    </row>
    <row r="39" spans="12:17" x14ac:dyDescent="0.2">
      <c r="L39" s="7"/>
      <c r="M39" s="7"/>
      <c r="N39" s="7"/>
      <c r="O39" s="7"/>
      <c r="P39" s="7"/>
      <c r="Q39" s="7"/>
    </row>
    <row r="40" spans="12:17" x14ac:dyDescent="0.2">
      <c r="L40" s="7"/>
      <c r="M40" s="7"/>
      <c r="N40" s="7"/>
      <c r="O40" s="7"/>
      <c r="P40" s="7"/>
      <c r="Q40" s="7"/>
    </row>
    <row r="41" spans="12:17" x14ac:dyDescent="0.2">
      <c r="L41" s="7"/>
      <c r="M41" s="7"/>
      <c r="N41" s="7"/>
      <c r="O41" s="7"/>
      <c r="P41" s="7"/>
      <c r="Q41" s="7"/>
    </row>
    <row r="42" spans="12:17" x14ac:dyDescent="0.2">
      <c r="L42" s="7"/>
      <c r="M42" s="7"/>
      <c r="N42" s="7"/>
      <c r="O42" s="7"/>
      <c r="P42" s="7"/>
      <c r="Q42" s="7"/>
    </row>
    <row r="43" spans="12:17" x14ac:dyDescent="0.2">
      <c r="L43" s="7"/>
      <c r="M43" s="7"/>
      <c r="N43" s="7"/>
      <c r="O43" s="7"/>
      <c r="P43" s="7"/>
      <c r="Q43" s="7"/>
    </row>
    <row r="44" spans="12:17" x14ac:dyDescent="0.2">
      <c r="L44" s="7"/>
      <c r="M44" s="7"/>
      <c r="N44" s="7"/>
      <c r="O44" s="7"/>
      <c r="P44" s="7"/>
      <c r="Q44" s="7"/>
    </row>
    <row r="45" spans="12:17" x14ac:dyDescent="0.2">
      <c r="L45" s="7"/>
      <c r="M45" s="7"/>
      <c r="N45" s="7"/>
      <c r="O45" s="7"/>
      <c r="P45" s="7"/>
      <c r="Q45" s="7"/>
    </row>
    <row r="46" spans="12:17" x14ac:dyDescent="0.2">
      <c r="L46" s="7"/>
      <c r="M46" s="7"/>
      <c r="N46" s="7"/>
      <c r="O46" s="7"/>
      <c r="P46" s="7"/>
      <c r="Q46" s="7"/>
    </row>
    <row r="47" spans="12:17" x14ac:dyDescent="0.2">
      <c r="L47" s="7"/>
      <c r="M47" s="7"/>
      <c r="N47" s="7"/>
      <c r="O47" s="7"/>
      <c r="P47" s="7"/>
      <c r="Q47" s="7"/>
    </row>
    <row r="48" spans="12:17" x14ac:dyDescent="0.2">
      <c r="L48" s="7"/>
      <c r="M48" s="7"/>
      <c r="N48" s="7"/>
      <c r="O48" s="7"/>
      <c r="P48" s="7"/>
      <c r="Q48" s="7"/>
    </row>
    <row r="49" spans="12:17" x14ac:dyDescent="0.2">
      <c r="L49" s="7"/>
      <c r="M49" s="7"/>
      <c r="N49" s="7"/>
      <c r="O49" s="7"/>
      <c r="P49" s="7"/>
      <c r="Q49" s="7"/>
    </row>
    <row r="50" spans="12:17" x14ac:dyDescent="0.2">
      <c r="L50" s="7"/>
      <c r="M50" s="7"/>
      <c r="N50" s="7"/>
      <c r="O50" s="7"/>
      <c r="P50" s="7"/>
      <c r="Q50" s="7"/>
    </row>
    <row r="51" spans="12:17" x14ac:dyDescent="0.2">
      <c r="L51" s="7"/>
      <c r="M51" s="7"/>
      <c r="N51" s="7"/>
      <c r="O51" s="7"/>
      <c r="P51" s="7"/>
      <c r="Q51" s="7"/>
    </row>
    <row r="52" spans="12:17" x14ac:dyDescent="0.2">
      <c r="L52" s="7"/>
      <c r="M52" s="7"/>
      <c r="N52" s="7"/>
      <c r="O52" s="7"/>
      <c r="P52" s="7"/>
      <c r="Q52" s="7"/>
    </row>
    <row r="53" spans="12:17" x14ac:dyDescent="0.2">
      <c r="L53" s="7"/>
      <c r="M53" s="7"/>
      <c r="N53" s="7"/>
      <c r="O53" s="7"/>
      <c r="P53" s="7"/>
      <c r="Q53" s="7"/>
    </row>
    <row r="54" spans="12:17" x14ac:dyDescent="0.2">
      <c r="L54" s="7"/>
      <c r="M54" s="7"/>
      <c r="N54" s="7"/>
      <c r="O54" s="7"/>
      <c r="P54" s="7"/>
      <c r="Q54" s="7"/>
    </row>
    <row r="55" spans="12:17" x14ac:dyDescent="0.2">
      <c r="L55" s="7"/>
      <c r="M55" s="7"/>
      <c r="N55" s="7"/>
      <c r="O55" s="7"/>
      <c r="P55" s="7"/>
      <c r="Q55" s="7"/>
    </row>
    <row r="56" spans="12:17" x14ac:dyDescent="0.2">
      <c r="L56" s="7"/>
      <c r="M56" s="7"/>
      <c r="N56" s="7"/>
      <c r="O56" s="7"/>
      <c r="P56" s="7"/>
      <c r="Q56" s="7"/>
    </row>
    <row r="57" spans="12:17" x14ac:dyDescent="0.2">
      <c r="L57" s="7"/>
      <c r="M57" s="7"/>
      <c r="N57" s="7"/>
      <c r="O57" s="7"/>
      <c r="P57" s="7"/>
      <c r="Q57" s="7"/>
    </row>
    <row r="58" spans="12:17" x14ac:dyDescent="0.2">
      <c r="L58" s="7"/>
      <c r="M58" s="7"/>
      <c r="N58" s="7"/>
      <c r="O58" s="7"/>
      <c r="P58" s="7"/>
      <c r="Q58" s="7"/>
    </row>
    <row r="59" spans="12:17" x14ac:dyDescent="0.2">
      <c r="L59" s="7"/>
      <c r="M59" s="7"/>
      <c r="N59" s="7"/>
      <c r="O59" s="7"/>
      <c r="P59" s="7"/>
      <c r="Q59" s="7"/>
    </row>
    <row r="60" spans="12:17" x14ac:dyDescent="0.2">
      <c r="L60" s="7"/>
      <c r="M60" s="7"/>
      <c r="N60" s="7"/>
      <c r="O60" s="7"/>
      <c r="P60" s="7"/>
      <c r="Q60" s="7"/>
    </row>
    <row r="61" spans="12:17" x14ac:dyDescent="0.2">
      <c r="L61" s="7"/>
      <c r="M61" s="7"/>
      <c r="N61" s="7"/>
      <c r="O61" s="7"/>
      <c r="P61" s="7"/>
      <c r="Q61" s="7"/>
    </row>
    <row r="62" spans="12:17" x14ac:dyDescent="0.2">
      <c r="L62" s="7"/>
      <c r="M62" s="7"/>
      <c r="N62" s="7"/>
      <c r="O62" s="7"/>
      <c r="P62" s="7"/>
      <c r="Q62" s="7"/>
    </row>
  </sheetData>
  <phoneticPr fontId="1" type="noConversion"/>
  <pageMargins left="0.15748031496062992" right="0.15748031496062992" top="0.39370078740157483" bottom="0.39370078740157483" header="0.11811023622047245" footer="0.11811023622047245"/>
  <pageSetup paperSize="9" scale="3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CBA_Statements">
                <anchor>
                  <from>
                    <xdr:col>0</xdr:col>
                    <xdr:colOff>257175</xdr:colOff>
                    <xdr:row>0</xdr:row>
                    <xdr:rowOff>123825</xdr:rowOff>
                  </from>
                  <to>
                    <xdr:col>0</xdr:col>
                    <xdr:colOff>1095375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_CBA_Template">
                <anchor>
                  <from>
                    <xdr:col>0</xdr:col>
                    <xdr:colOff>257175</xdr:colOff>
                    <xdr:row>17</xdr:row>
                    <xdr:rowOff>66675</xdr:rowOff>
                  </from>
                  <to>
                    <xdr:col>0</xdr:col>
                    <xdr:colOff>1095375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File">
                <anchor>
                  <from>
                    <xdr:col>0</xdr:col>
                    <xdr:colOff>228600</xdr:colOff>
                    <xdr:row>42</xdr:row>
                    <xdr:rowOff>142875</xdr:rowOff>
                  </from>
                  <to>
                    <xdr:col>0</xdr:col>
                    <xdr:colOff>1066800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ToCopy">
                <anchor>
                  <from>
                    <xdr:col>0</xdr:col>
                    <xdr:colOff>257175</xdr:colOff>
                    <xdr:row>25</xdr:row>
                    <xdr:rowOff>66675</xdr:rowOff>
                  </from>
                  <to>
                    <xdr:col>0</xdr:col>
                    <xdr:colOff>1095375</xdr:colOff>
                    <xdr:row>28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 Luxford</dc:creator>
  <cp:lastModifiedBy>M</cp:lastModifiedBy>
  <cp:lastPrinted>2019-08-01T02:41:58Z</cp:lastPrinted>
  <dcterms:created xsi:type="dcterms:W3CDTF">2008-12-19T00:09:30Z</dcterms:created>
  <dcterms:modified xsi:type="dcterms:W3CDTF">2021-07-12T02:15:05Z</dcterms:modified>
</cp:coreProperties>
</file>